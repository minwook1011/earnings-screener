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손익계산서" sheetId="1" state="visible" r:id="rId1"/>
    <sheet xmlns:r="http://schemas.openxmlformats.org/officeDocument/2006/relationships" name="포괄손익" sheetId="2" state="visible" r:id="rId2"/>
    <sheet xmlns:r="http://schemas.openxmlformats.org/officeDocument/2006/relationships" name="재무상태표" sheetId="3" state="visible" r:id="rId3"/>
    <sheet xmlns:r="http://schemas.openxmlformats.org/officeDocument/2006/relationships" name="현금흐름표" sheetId="4" state="visible" r:id="rId4"/>
    <sheet xmlns:r="http://schemas.openxmlformats.org/officeDocument/2006/relationships" name="섹터 데이터" sheetId="5" state="visible" r:id="rId5"/>
    <sheet xmlns:r="http://schemas.openxmlformats.org/officeDocument/2006/relationships" name="출처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;\(#,##0.0\);&quot;-&quot;"/>
    <numFmt numFmtId="165" formatCode="0.0%;\-0.0%;&quot;-&quot;"/>
  </numFmts>
  <fonts count="9">
    <font>
      <name val="Calibri"/>
      <family val="2"/>
      <color theme="1"/>
      <sz val="11"/>
      <scheme val="minor"/>
    </font>
    <font>
      <name val="맑은 고딕"/>
      <b val="1"/>
      <sz val="20"/>
    </font>
    <font>
      <name val="맑은 고딕"/>
      <color rgb="FFFF0000"/>
      <sz val="9"/>
    </font>
    <font>
      <name val="맑은 고딕"/>
      <color rgb="FF808080"/>
      <sz val="9"/>
    </font>
    <font>
      <name val="맑은 고딕"/>
      <b val="1"/>
      <sz val="10"/>
    </font>
    <font>
      <name val="맑은 고딕"/>
      <b val="1"/>
      <sz val="11"/>
    </font>
    <font>
      <name val="맑은 고딕"/>
      <color rgb="FF808080"/>
      <sz val="11"/>
    </font>
    <font>
      <name val="맑은 고딕"/>
      <sz val="11"/>
    </font>
    <font>
      <name val="맑은 고딕"/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D9D9D9"/>
      </patternFill>
    </fill>
    <fill>
      <patternFill patternType="solid">
        <fgColor rgb="FF808080"/>
      </patternFill>
    </fill>
  </fills>
  <borders count="2">
    <border>
      <left/>
      <right/>
      <top/>
      <bottom/>
      <diagonal/>
    </border>
    <border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vertical="top" wrapText="1"/>
    </xf>
    <xf numFmtId="0" fontId="6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164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7" fillId="0" borderId="0" pivotButton="0" quotePrefix="0" xfId="0"/>
    <xf numFmtId="3" fontId="7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4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3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40" customWidth="1" min="29" max="29"/>
  </cols>
  <sheetData>
    <row r="1">
      <c r="A1" s="1" t="inlineStr">
        <is>
          <t>비위드 손익계산서</t>
        </is>
      </c>
    </row>
    <row r="2">
      <c r="A2" s="2" t="inlineStr">
        <is>
          <t>결산기 기준(27.2Q = 2027년 결산기 2분기) · 5월 결산 · 연결 · 분기 단독(누계 차분) · 오른쪽 FY = 연간</t>
        </is>
      </c>
      <c r="B2" s="3" t="inlineStr">
        <is>
          <t>(단위: 억엔)</t>
        </is>
      </c>
    </row>
    <row r="3">
      <c r="A3" s="4" t="inlineStr">
        <is>
          <t>항목</t>
        </is>
      </c>
      <c r="B3" s="4" t="inlineStr">
        <is>
          <t>참고</t>
        </is>
      </c>
      <c r="C3" s="4" t="inlineStr">
        <is>
          <t>22.2Q</t>
        </is>
      </c>
      <c r="D3" s="4" t="inlineStr">
        <is>
          <t>22.3Q</t>
        </is>
      </c>
      <c r="E3" s="4" t="inlineStr">
        <is>
          <t>22.4Q</t>
        </is>
      </c>
      <c r="F3" s="4" t="inlineStr">
        <is>
          <t>23.1Q</t>
        </is>
      </c>
      <c r="G3" s="4" t="inlineStr">
        <is>
          <t>23.2Q</t>
        </is>
      </c>
      <c r="H3" s="4" t="inlineStr">
        <is>
          <t>23.3Q</t>
        </is>
      </c>
      <c r="I3" s="4" t="inlineStr">
        <is>
          <t>23.4Q</t>
        </is>
      </c>
      <c r="J3" s="4" t="inlineStr">
        <is>
          <t>24.1Q</t>
        </is>
      </c>
      <c r="K3" s="4" t="inlineStr">
        <is>
          <t>24.2Q</t>
        </is>
      </c>
      <c r="L3" s="4" t="inlineStr">
        <is>
          <t>24.3Q</t>
        </is>
      </c>
      <c r="M3" s="4" t="inlineStr">
        <is>
          <t>24.4Q</t>
        </is>
      </c>
      <c r="N3" s="4" t="inlineStr">
        <is>
          <t>25.1Q</t>
        </is>
      </c>
      <c r="O3" s="4" t="inlineStr">
        <is>
          <t>25.2Q</t>
        </is>
      </c>
      <c r="P3" s="4" t="inlineStr">
        <is>
          <t>25.3Q</t>
        </is>
      </c>
      <c r="Q3" s="4" t="inlineStr">
        <is>
          <t>25.4Q</t>
        </is>
      </c>
      <c r="R3" s="4" t="inlineStr">
        <is>
          <t>26.1Q</t>
        </is>
      </c>
      <c r="S3" s="4" t="inlineStr">
        <is>
          <t>26.2Q</t>
        </is>
      </c>
      <c r="T3" s="4" t="inlineStr">
        <is>
          <t>26.3Q</t>
        </is>
      </c>
      <c r="U3" s="4" t="inlineStr">
        <is>
          <t>26.4Q</t>
        </is>
      </c>
      <c r="V3" s="4" t="inlineStr">
        <is>
          <t>27.1Q</t>
        </is>
      </c>
      <c r="W3" s="4" t="inlineStr">
        <is>
          <t>FY21</t>
        </is>
      </c>
      <c r="X3" s="4" t="inlineStr">
        <is>
          <t>FY22</t>
        </is>
      </c>
      <c r="Y3" s="4" t="inlineStr">
        <is>
          <t>FY23</t>
        </is>
      </c>
      <c r="Z3" s="4" t="inlineStr">
        <is>
          <t>FY24</t>
        </is>
      </c>
      <c r="AA3" s="4" t="inlineStr">
        <is>
          <t>FY25</t>
        </is>
      </c>
      <c r="AB3" s="4" t="inlineStr">
        <is>
          <t>FY26</t>
        </is>
      </c>
      <c r="AC3" s="4" t="inlineStr">
        <is>
          <t>출처</t>
        </is>
      </c>
    </row>
    <row r="4">
      <c r="A4" s="5" t="inlineStr">
        <is>
          <t>매출액</t>
        </is>
      </c>
      <c r="D4" s="6" t="n">
        <v>82.6155</v>
      </c>
      <c r="E4" s="6" t="n">
        <v>83.5398</v>
      </c>
      <c r="F4" s="6" t="n">
        <v>80.4288</v>
      </c>
      <c r="G4" s="6" t="n">
        <v>85.60599999999999</v>
      </c>
      <c r="H4" s="6" t="n">
        <v>90.84059999999999</v>
      </c>
      <c r="I4" s="6" t="n">
        <v>94.7127</v>
      </c>
      <c r="J4" s="6" t="n">
        <v>96.5026</v>
      </c>
      <c r="K4" s="6" t="n">
        <v>96.8907</v>
      </c>
      <c r="L4" s="6" t="n">
        <v>93.8192</v>
      </c>
      <c r="M4" s="6" t="n">
        <v>95.31789999999999</v>
      </c>
      <c r="N4" s="6" t="n">
        <v>90.93000000000001</v>
      </c>
      <c r="O4" s="6" t="n">
        <v>92.97</v>
      </c>
      <c r="P4" s="6" t="n">
        <v>88.15000000000001</v>
      </c>
      <c r="Q4" s="6" t="n">
        <v>92.19</v>
      </c>
      <c r="R4" s="6" t="n">
        <v>89.3</v>
      </c>
      <c r="S4" s="6" t="n">
        <v>90.09</v>
      </c>
      <c r="T4" s="6" t="n">
        <v>89.8</v>
      </c>
      <c r="U4" s="6" t="n">
        <v>94.03</v>
      </c>
      <c r="V4" s="6" t="n">
        <v>94.11</v>
      </c>
      <c r="W4" s="6" t="n">
        <v>288.4567</v>
      </c>
      <c r="X4" s="6" t="n">
        <v>324.0557</v>
      </c>
      <c r="Y4" s="6" t="n">
        <v>351.5882</v>
      </c>
      <c r="Z4" s="6" t="n">
        <v>382.5304</v>
      </c>
      <c r="AA4" s="6" t="n">
        <v>364.24</v>
      </c>
      <c r="AB4" s="6" t="n">
        <v>363.22</v>
      </c>
      <c r="AC4" s="7" t="inlineStr">
        <is>
          <t>결산단신 XBRL(거래소 공시, TDnet·JPX 보관소). 쓴 문서: 2026-10-13, 2026-07-13, 2026-04-10, 2026-01-09 외 15건 — '출처' 시트에 전부</t>
        </is>
      </c>
    </row>
    <row r="5">
      <c r="A5" s="8" t="inlineStr">
        <is>
          <t>YoY</t>
        </is>
      </c>
      <c r="G5" s="9">
        <f>IF(OR(G4="",C4=""),"",IFERROR(G4/C4-1,""))</f>
        <v/>
      </c>
      <c r="H5" s="9">
        <f>IF(OR(H4="",D4=""),"",IFERROR(H4/D4-1,""))</f>
        <v/>
      </c>
      <c r="I5" s="9">
        <f>IF(OR(I4="",E4=""),"",IFERROR(I4/E4-1,""))</f>
        <v/>
      </c>
      <c r="J5" s="9">
        <f>IF(OR(J4="",F4=""),"",IFERROR(J4/F4-1,""))</f>
        <v/>
      </c>
      <c r="K5" s="9">
        <f>IF(OR(K4="",G4=""),"",IFERROR(K4/G4-1,""))</f>
        <v/>
      </c>
      <c r="L5" s="9">
        <f>IF(OR(L4="",H4=""),"",IFERROR(L4/H4-1,""))</f>
        <v/>
      </c>
      <c r="M5" s="9">
        <f>IF(OR(M4="",I4=""),"",IFERROR(M4/I4-1,""))</f>
        <v/>
      </c>
      <c r="N5" s="9">
        <f>IF(OR(N4="",J4=""),"",IFERROR(N4/J4-1,""))</f>
        <v/>
      </c>
      <c r="O5" s="9">
        <f>IF(OR(O4="",K4=""),"",IFERROR(O4/K4-1,""))</f>
        <v/>
      </c>
      <c r="P5" s="9">
        <f>IF(OR(P4="",L4=""),"",IFERROR(P4/L4-1,""))</f>
        <v/>
      </c>
      <c r="Q5" s="9">
        <f>IF(OR(Q4="",M4=""),"",IFERROR(Q4/M4-1,""))</f>
        <v/>
      </c>
      <c r="R5" s="9">
        <f>IF(OR(R4="",N4=""),"",IFERROR(R4/N4-1,""))</f>
        <v/>
      </c>
      <c r="S5" s="9">
        <f>IF(OR(S4="",O4=""),"",IFERROR(S4/O4-1,""))</f>
        <v/>
      </c>
      <c r="T5" s="9">
        <f>IF(OR(T4="",P4=""),"",IFERROR(T4/P4-1,""))</f>
        <v/>
      </c>
      <c r="U5" s="9">
        <f>IF(OR(U4="",Q4=""),"",IFERROR(U4/Q4-1,""))</f>
        <v/>
      </c>
      <c r="V5" s="9">
        <f>IF(OR(V4="",R4=""),"",IFERROR(V4/R4-1,""))</f>
        <v/>
      </c>
      <c r="X5" s="9">
        <f>IF(OR(X4="",W4=""),"",IFERROR(X4/W4-1,""))</f>
        <v/>
      </c>
      <c r="Y5" s="9">
        <f>IF(OR(Y4="",X4=""),"",IFERROR(Y4/X4-1,""))</f>
        <v/>
      </c>
      <c r="Z5" s="9">
        <f>IF(OR(Z4="",Y4=""),"",IFERROR(Z4/Y4-1,""))</f>
        <v/>
      </c>
      <c r="AA5" s="9">
        <f>IF(OR(AA4="",Z4=""),"",IFERROR(AA4/Z4-1,""))</f>
        <v/>
      </c>
      <c r="AB5" s="9">
        <f>IF(OR(AB4="",AA4=""),"",IFERROR(AB4/AA4-1,""))</f>
        <v/>
      </c>
    </row>
    <row r="6">
      <c r="A6" s="5" t="inlineStr">
        <is>
          <t>매출원가</t>
        </is>
      </c>
      <c r="D6" s="6" t="n">
        <v>67.6621</v>
      </c>
      <c r="E6" s="6" t="n">
        <v>70.73520000000001</v>
      </c>
      <c r="F6" s="6" t="n">
        <v>70.1583</v>
      </c>
      <c r="G6" s="6" t="n">
        <v>71.9858</v>
      </c>
      <c r="H6" s="6" t="n">
        <v>75.7174</v>
      </c>
      <c r="I6" s="6" t="n">
        <v>79.7688</v>
      </c>
      <c r="J6" s="6" t="n">
        <v>81.4341</v>
      </c>
      <c r="K6" s="6" t="n">
        <v>80.9409</v>
      </c>
      <c r="L6" s="6" t="n">
        <v>78.8927</v>
      </c>
      <c r="M6" s="6" t="n">
        <v>80.5929</v>
      </c>
      <c r="N6" s="6" t="n">
        <v>77.56</v>
      </c>
      <c r="O6" s="6" t="n">
        <v>78.75</v>
      </c>
      <c r="P6" s="6" t="n">
        <v>76.52</v>
      </c>
      <c r="Q6" s="6" t="n">
        <v>79.53</v>
      </c>
      <c r="R6" s="6" t="n">
        <v>77.91</v>
      </c>
      <c r="S6" s="6" t="n">
        <v>76.68000000000001</v>
      </c>
      <c r="T6" s="6" t="n">
        <v>76.25</v>
      </c>
      <c r="U6" s="6" t="n">
        <v>78.8</v>
      </c>
      <c r="V6" s="6" t="n">
        <v>79.06</v>
      </c>
      <c r="W6" s="6" t="n">
        <v>240.7351</v>
      </c>
      <c r="X6" s="6" t="n">
        <v>270.4866</v>
      </c>
      <c r="Y6" s="6" t="n">
        <v>297.6304</v>
      </c>
      <c r="Z6" s="6" t="n">
        <v>321.8605</v>
      </c>
      <c r="AA6" s="6" t="n">
        <v>312.36</v>
      </c>
      <c r="AB6" s="6" t="n">
        <v>309.64</v>
      </c>
    </row>
    <row r="7">
      <c r="A7" s="5" t="inlineStr">
        <is>
          <t>매출총이익</t>
        </is>
      </c>
      <c r="D7" s="6" t="n">
        <v>14.9534</v>
      </c>
      <c r="E7" s="6" t="n">
        <v>12.8046</v>
      </c>
      <c r="F7" s="6" t="n">
        <v>10.2705</v>
      </c>
      <c r="G7" s="6" t="n">
        <v>13.6202</v>
      </c>
      <c r="H7" s="6" t="n">
        <v>15.1232</v>
      </c>
      <c r="I7" s="6" t="n">
        <v>14.9439</v>
      </c>
      <c r="J7" s="6" t="n">
        <v>15.0685</v>
      </c>
      <c r="K7" s="6" t="n">
        <v>15.9499</v>
      </c>
      <c r="L7" s="6" t="n">
        <v>14.9265</v>
      </c>
      <c r="M7" s="6" t="n">
        <v>14.725</v>
      </c>
      <c r="N7" s="6" t="n">
        <v>13.36</v>
      </c>
      <c r="O7" s="6" t="n">
        <v>14.22</v>
      </c>
      <c r="P7" s="6" t="n">
        <v>11.64</v>
      </c>
      <c r="Q7" s="6" t="n">
        <v>12.65</v>
      </c>
      <c r="R7" s="6" t="n">
        <v>11.39</v>
      </c>
      <c r="S7" s="6" t="n">
        <v>13.41</v>
      </c>
      <c r="T7" s="6" t="n">
        <v>13.54</v>
      </c>
      <c r="U7" s="6" t="n">
        <v>15.24</v>
      </c>
      <c r="V7" s="6" t="n">
        <v>15.05</v>
      </c>
      <c r="W7" s="6" t="n">
        <v>47.7217</v>
      </c>
      <c r="X7" s="6" t="n">
        <v>53.5691</v>
      </c>
      <c r="Y7" s="6" t="n">
        <v>53.9577</v>
      </c>
      <c r="Z7" s="6" t="n">
        <v>60.6699</v>
      </c>
      <c r="AA7" s="6" t="n">
        <v>51.87</v>
      </c>
      <c r="AB7" s="6" t="n">
        <v>53.58</v>
      </c>
    </row>
    <row r="8">
      <c r="A8" s="8" t="inlineStr">
        <is>
          <t>매출총이익률</t>
        </is>
      </c>
      <c r="C8" s="9">
        <f>IF(OR(C7="",C4=""),"",IFERROR(C7/C4,""))</f>
        <v/>
      </c>
      <c r="D8" s="9">
        <f>IF(OR(D7="",D4=""),"",IFERROR(D7/D4,""))</f>
        <v/>
      </c>
      <c r="E8" s="9">
        <f>IF(OR(E7="",E4=""),"",IFERROR(E7/E4,""))</f>
        <v/>
      </c>
      <c r="F8" s="9">
        <f>IF(OR(F7="",F4=""),"",IFERROR(F7/F4,""))</f>
        <v/>
      </c>
      <c r="G8" s="9">
        <f>IF(OR(G7="",G4=""),"",IFERROR(G7/G4,""))</f>
        <v/>
      </c>
      <c r="H8" s="9">
        <f>IF(OR(H7="",H4=""),"",IFERROR(H7/H4,""))</f>
        <v/>
      </c>
      <c r="I8" s="9">
        <f>IF(OR(I7="",I4=""),"",IFERROR(I7/I4,""))</f>
        <v/>
      </c>
      <c r="J8" s="9">
        <f>IF(OR(J7="",J4=""),"",IFERROR(J7/J4,""))</f>
        <v/>
      </c>
      <c r="K8" s="9">
        <f>IF(OR(K7="",K4=""),"",IFERROR(K7/K4,""))</f>
        <v/>
      </c>
      <c r="L8" s="9">
        <f>IF(OR(L7="",L4=""),"",IFERROR(L7/L4,""))</f>
        <v/>
      </c>
      <c r="M8" s="9">
        <f>IF(OR(M7="",M4=""),"",IFERROR(M7/M4,""))</f>
        <v/>
      </c>
      <c r="N8" s="9">
        <f>IF(OR(N7="",N4=""),"",IFERROR(N7/N4,""))</f>
        <v/>
      </c>
      <c r="O8" s="9">
        <f>IF(OR(O7="",O4=""),"",IFERROR(O7/O4,""))</f>
        <v/>
      </c>
      <c r="P8" s="9">
        <f>IF(OR(P7="",P4=""),"",IFERROR(P7/P4,""))</f>
        <v/>
      </c>
      <c r="Q8" s="9">
        <f>IF(OR(Q7="",Q4=""),"",IFERROR(Q7/Q4,""))</f>
        <v/>
      </c>
      <c r="R8" s="9">
        <f>IF(OR(R7="",R4=""),"",IFERROR(R7/R4,""))</f>
        <v/>
      </c>
      <c r="S8" s="9">
        <f>IF(OR(S7="",S4=""),"",IFERROR(S7/S4,""))</f>
        <v/>
      </c>
      <c r="T8" s="9">
        <f>IF(OR(T7="",T4=""),"",IFERROR(T7/T4,""))</f>
        <v/>
      </c>
      <c r="U8" s="9">
        <f>IF(OR(U7="",U4=""),"",IFERROR(U7/U4,""))</f>
        <v/>
      </c>
      <c r="V8" s="9">
        <f>IF(OR(V7="",V4=""),"",IFERROR(V7/V4,""))</f>
        <v/>
      </c>
      <c r="W8" s="9">
        <f>IF(OR(W7="",W4=""),"",IFERROR(W7/W4,""))</f>
        <v/>
      </c>
      <c r="X8" s="9">
        <f>IF(OR(X7="",X4=""),"",IFERROR(X7/X4,""))</f>
        <v/>
      </c>
      <c r="Y8" s="9">
        <f>IF(OR(Y7="",Y4=""),"",IFERROR(Y7/Y4,""))</f>
        <v/>
      </c>
      <c r="Z8" s="9">
        <f>IF(OR(Z7="",Z4=""),"",IFERROR(Z7/Z4,""))</f>
        <v/>
      </c>
      <c r="AA8" s="9">
        <f>IF(OR(AA7="",AA4=""),"",IFERROR(AA7/AA4,""))</f>
        <v/>
      </c>
      <c r="AB8" s="9">
        <f>IF(OR(AB7="",AB4=""),"",IFERROR(AB7/AB4,""))</f>
        <v/>
      </c>
    </row>
    <row r="9">
      <c r="A9" s="10" t="inlineStr">
        <is>
          <t>판매비와 관리비</t>
        </is>
      </c>
      <c r="D9" s="11" t="n">
        <v>6.9353</v>
      </c>
      <c r="E9" s="11" t="n">
        <v>7.9785</v>
      </c>
      <c r="F9" s="11" t="n">
        <v>8.390000000000001</v>
      </c>
      <c r="G9" s="11" t="n">
        <v>7.8444</v>
      </c>
      <c r="H9" s="11" t="n">
        <v>7.7399</v>
      </c>
      <c r="I9" s="11" t="n">
        <v>7.7323</v>
      </c>
      <c r="J9" s="11" t="n">
        <v>8.6092</v>
      </c>
      <c r="K9" s="11" t="n">
        <v>8.3719</v>
      </c>
      <c r="L9" s="11" t="n">
        <v>8.667</v>
      </c>
      <c r="M9" s="11" t="n">
        <v>9.5914</v>
      </c>
      <c r="N9" s="11" t="n">
        <v>9.529999999999999</v>
      </c>
      <c r="O9" s="11" t="n">
        <v>9.5</v>
      </c>
      <c r="P9" s="11" t="n">
        <v>9.380000000000001</v>
      </c>
      <c r="Q9" s="11" t="n">
        <v>12.76</v>
      </c>
      <c r="R9" s="11" t="n">
        <v>10.05</v>
      </c>
      <c r="S9" s="11" t="n">
        <v>9.470000000000001</v>
      </c>
      <c r="T9" s="11" t="n">
        <v>9.050000000000001</v>
      </c>
      <c r="U9" s="11" t="n">
        <v>13.34</v>
      </c>
      <c r="V9" s="11" t="n">
        <v>10.25</v>
      </c>
      <c r="W9" s="11" t="n">
        <v>26.4064</v>
      </c>
      <c r="X9" s="11" t="n">
        <v>27.9166</v>
      </c>
      <c r="Y9" s="11" t="n">
        <v>31.7065</v>
      </c>
      <c r="Z9" s="11" t="n">
        <v>35.2395</v>
      </c>
      <c r="AA9" s="11" t="n">
        <v>41.17</v>
      </c>
      <c r="AB9" s="11" t="n">
        <v>41.91</v>
      </c>
    </row>
    <row r="10">
      <c r="A10" s="5" t="inlineStr">
        <is>
          <t>영업이익</t>
        </is>
      </c>
      <c r="D10" s="6" t="n">
        <v>8.0181</v>
      </c>
      <c r="E10" s="6" t="n">
        <v>4.826</v>
      </c>
      <c r="F10" s="6" t="n">
        <v>1.8805</v>
      </c>
      <c r="G10" s="6" t="n">
        <v>5.7758</v>
      </c>
      <c r="H10" s="6" t="n">
        <v>7.3834</v>
      </c>
      <c r="I10" s="6" t="n">
        <v>7.2116</v>
      </c>
      <c r="J10" s="6" t="n">
        <v>6.4592</v>
      </c>
      <c r="K10" s="6" t="n">
        <v>7.578</v>
      </c>
      <c r="L10" s="6" t="n">
        <v>6.2595</v>
      </c>
      <c r="M10" s="6" t="n">
        <v>5.1337</v>
      </c>
      <c r="N10" s="6" t="n">
        <v>3.82</v>
      </c>
      <c r="O10" s="6" t="n">
        <v>4.73</v>
      </c>
      <c r="P10" s="6" t="n">
        <v>2.25</v>
      </c>
      <c r="Q10" s="6" t="n">
        <v>-0.11</v>
      </c>
      <c r="R10" s="6" t="n">
        <v>1.34</v>
      </c>
      <c r="S10" s="6" t="n">
        <v>3.93</v>
      </c>
      <c r="T10" s="6" t="n">
        <v>4.49</v>
      </c>
      <c r="U10" s="6" t="n">
        <v>1.91</v>
      </c>
      <c r="V10" s="6" t="n">
        <v>4.79</v>
      </c>
      <c r="W10" s="6" t="n">
        <v>21.3153</v>
      </c>
      <c r="X10" s="6" t="n">
        <v>25.6525</v>
      </c>
      <c r="Y10" s="6" t="n">
        <v>22.2513</v>
      </c>
      <c r="Z10" s="6" t="n">
        <v>25.4304</v>
      </c>
      <c r="AA10" s="6" t="n">
        <v>10.69</v>
      </c>
      <c r="AB10" s="6" t="n">
        <v>11.67</v>
      </c>
    </row>
    <row r="11">
      <c r="A11" s="8" t="inlineStr">
        <is>
          <t>영업이익률</t>
        </is>
      </c>
      <c r="C11" s="9">
        <f>IF(OR(C10="",C4=""),"",IFERROR(C10/C4,""))</f>
        <v/>
      </c>
      <c r="D11" s="9">
        <f>IF(OR(D10="",D4=""),"",IFERROR(D10/D4,""))</f>
        <v/>
      </c>
      <c r="E11" s="9">
        <f>IF(OR(E10="",E4=""),"",IFERROR(E10/E4,""))</f>
        <v/>
      </c>
      <c r="F11" s="9">
        <f>IF(OR(F10="",F4=""),"",IFERROR(F10/F4,""))</f>
        <v/>
      </c>
      <c r="G11" s="9">
        <f>IF(OR(G10="",G4=""),"",IFERROR(G10/G4,""))</f>
        <v/>
      </c>
      <c r="H11" s="9">
        <f>IF(OR(H10="",H4=""),"",IFERROR(H10/H4,""))</f>
        <v/>
      </c>
      <c r="I11" s="9">
        <f>IF(OR(I10="",I4=""),"",IFERROR(I10/I4,""))</f>
        <v/>
      </c>
      <c r="J11" s="9">
        <f>IF(OR(J10="",J4=""),"",IFERROR(J10/J4,""))</f>
        <v/>
      </c>
      <c r="K11" s="9">
        <f>IF(OR(K10="",K4=""),"",IFERROR(K10/K4,""))</f>
        <v/>
      </c>
      <c r="L11" s="9">
        <f>IF(OR(L10="",L4=""),"",IFERROR(L10/L4,""))</f>
        <v/>
      </c>
      <c r="M11" s="9">
        <f>IF(OR(M10="",M4=""),"",IFERROR(M10/M4,""))</f>
        <v/>
      </c>
      <c r="N11" s="9">
        <f>IF(OR(N10="",N4=""),"",IFERROR(N10/N4,""))</f>
        <v/>
      </c>
      <c r="O11" s="9">
        <f>IF(OR(O10="",O4=""),"",IFERROR(O10/O4,""))</f>
        <v/>
      </c>
      <c r="P11" s="9">
        <f>IF(OR(P10="",P4=""),"",IFERROR(P10/P4,""))</f>
        <v/>
      </c>
      <c r="Q11" s="9">
        <f>IF(OR(Q10="",Q4=""),"",IFERROR(Q10/Q4,""))</f>
        <v/>
      </c>
      <c r="R11" s="9">
        <f>IF(OR(R10="",R4=""),"",IFERROR(R10/R4,""))</f>
        <v/>
      </c>
      <c r="S11" s="9">
        <f>IF(OR(S10="",S4=""),"",IFERROR(S10/S4,""))</f>
        <v/>
      </c>
      <c r="T11" s="9">
        <f>IF(OR(T10="",T4=""),"",IFERROR(T10/T4,""))</f>
        <v/>
      </c>
      <c r="U11" s="9">
        <f>IF(OR(U10="",U4=""),"",IFERROR(U10/U4,""))</f>
        <v/>
      </c>
      <c r="V11" s="9">
        <f>IF(OR(V10="",V4=""),"",IFERROR(V10/V4,""))</f>
        <v/>
      </c>
      <c r="W11" s="9">
        <f>IF(OR(W10="",W4=""),"",IFERROR(W10/W4,""))</f>
        <v/>
      </c>
      <c r="X11" s="9">
        <f>IF(OR(X10="",X4=""),"",IFERROR(X10/X4,""))</f>
        <v/>
      </c>
      <c r="Y11" s="9">
        <f>IF(OR(Y10="",Y4=""),"",IFERROR(Y10/Y4,""))</f>
        <v/>
      </c>
      <c r="Z11" s="9">
        <f>IF(OR(Z10="",Z4=""),"",IFERROR(Z10/Z4,""))</f>
        <v/>
      </c>
      <c r="AA11" s="9">
        <f>IF(OR(AA10="",AA4=""),"",IFERROR(AA10/AA4,""))</f>
        <v/>
      </c>
      <c r="AB11" s="9">
        <f>IF(OR(AB10="",AB4=""),"",IFERROR(AB10/AB4,""))</f>
        <v/>
      </c>
    </row>
    <row r="12">
      <c r="A12" s="8" t="inlineStr">
        <is>
          <t>YoY</t>
        </is>
      </c>
      <c r="G12" s="9">
        <f>IF(OR(G10="",C10=""),"",IFERROR(G10/C10-1,""))</f>
        <v/>
      </c>
      <c r="H12" s="9">
        <f>IF(OR(H10="",D10=""),"",IFERROR(H10/D10-1,""))</f>
        <v/>
      </c>
      <c r="I12" s="9">
        <f>IF(OR(I10="",E10=""),"",IFERROR(I10/E10-1,""))</f>
        <v/>
      </c>
      <c r="J12" s="9">
        <f>IF(OR(J10="",F10=""),"",IFERROR(J10/F10-1,""))</f>
        <v/>
      </c>
      <c r="K12" s="9">
        <f>IF(OR(K10="",G10=""),"",IFERROR(K10/G10-1,""))</f>
        <v/>
      </c>
      <c r="L12" s="9">
        <f>IF(OR(L10="",H10=""),"",IFERROR(L10/H10-1,""))</f>
        <v/>
      </c>
      <c r="M12" s="9">
        <f>IF(OR(M10="",I10=""),"",IFERROR(M10/I10-1,""))</f>
        <v/>
      </c>
      <c r="N12" s="9">
        <f>IF(OR(N10="",J10=""),"",IFERROR(N10/J10-1,""))</f>
        <v/>
      </c>
      <c r="O12" s="9">
        <f>IF(OR(O10="",K10=""),"",IFERROR(O10/K10-1,""))</f>
        <v/>
      </c>
      <c r="P12" s="9">
        <f>IF(OR(P10="",L10=""),"",IFERROR(P10/L10-1,""))</f>
        <v/>
      </c>
      <c r="Q12" s="9">
        <f>IF(OR(Q10="",M10=""),"",IFERROR(Q10/M10-1,""))</f>
        <v/>
      </c>
      <c r="R12" s="9">
        <f>IF(OR(R10="",N10=""),"",IFERROR(R10/N10-1,""))</f>
        <v/>
      </c>
      <c r="S12" s="9">
        <f>IF(OR(S10="",O10=""),"",IFERROR(S10/O10-1,""))</f>
        <v/>
      </c>
      <c r="T12" s="9">
        <f>IF(OR(T10="",P10=""),"",IFERROR(T10/P10-1,""))</f>
        <v/>
      </c>
      <c r="U12" s="9">
        <f>IF(OR(U10="",Q10=""),"",IFERROR(U10/Q10-1,""))</f>
        <v/>
      </c>
      <c r="V12" s="9">
        <f>IF(OR(V10="",R10=""),"",IFERROR(V10/R10-1,""))</f>
        <v/>
      </c>
      <c r="X12" s="9">
        <f>IF(OR(X10="",W10=""),"",IFERROR(X10/W10-1,""))</f>
        <v/>
      </c>
      <c r="Y12" s="9">
        <f>IF(OR(Y10="",X10=""),"",IFERROR(Y10/X10-1,""))</f>
        <v/>
      </c>
      <c r="Z12" s="9">
        <f>IF(OR(Z10="",Y10=""),"",IFERROR(Z10/Y10-1,""))</f>
        <v/>
      </c>
      <c r="AA12" s="9">
        <f>IF(OR(AA10="",Z10=""),"",IFERROR(AA10/Z10-1,""))</f>
        <v/>
      </c>
      <c r="AB12" s="9">
        <f>IF(OR(AB10="",AA10=""),"",IFERROR(AB10/AA10-1,""))</f>
        <v/>
      </c>
    </row>
    <row r="13">
      <c r="A13" s="10" t="inlineStr">
        <is>
          <t>이자수익</t>
        </is>
      </c>
      <c r="D13" s="11" t="n">
        <v>0</v>
      </c>
      <c r="E13" s="11" t="n">
        <v>0</v>
      </c>
      <c r="F13" s="11" t="n">
        <v>0</v>
      </c>
      <c r="G13" s="11" t="n">
        <v>0</v>
      </c>
      <c r="H13" s="11" t="n">
        <v>0</v>
      </c>
      <c r="I13" s="11" t="n">
        <v>0</v>
      </c>
      <c r="J13" s="11" t="n">
        <v>0</v>
      </c>
      <c r="K13" s="11" t="n">
        <v>0</v>
      </c>
      <c r="L13" s="11" t="n">
        <v>0</v>
      </c>
      <c r="M13" s="11" t="n">
        <v>0</v>
      </c>
      <c r="N13" s="11" t="n">
        <v>0</v>
      </c>
      <c r="O13" s="11" t="n">
        <v>0</v>
      </c>
      <c r="P13" s="11" t="n">
        <v>0</v>
      </c>
      <c r="Q13" s="11" t="n">
        <v>0</v>
      </c>
      <c r="R13" s="11" t="n">
        <v>0</v>
      </c>
      <c r="S13" s="11" t="n">
        <v>0</v>
      </c>
      <c r="T13" s="11" t="n">
        <v>0</v>
      </c>
      <c r="U13" s="11" t="n">
        <v>0</v>
      </c>
      <c r="W13" s="11" t="n">
        <v>0</v>
      </c>
      <c r="X13" s="11" t="n">
        <v>0</v>
      </c>
      <c r="Y13" s="11" t="n">
        <v>0</v>
      </c>
      <c r="Z13" s="11" t="n">
        <v>0</v>
      </c>
      <c r="AA13" s="11" t="n">
        <v>0</v>
      </c>
      <c r="AB13" s="11" t="n">
        <v>0</v>
      </c>
    </row>
    <row r="14">
      <c r="A14" s="10" t="inlineStr">
        <is>
          <t>배당금수익</t>
        </is>
      </c>
      <c r="F14" s="11" t="n">
        <v>0</v>
      </c>
      <c r="G14" s="11" t="n">
        <v>0</v>
      </c>
      <c r="H14" s="11" t="n">
        <v>0</v>
      </c>
      <c r="I14" s="11" t="n">
        <v>0</v>
      </c>
      <c r="J14" s="11" t="n">
        <v>0</v>
      </c>
      <c r="K14" s="11" t="n">
        <v>0</v>
      </c>
      <c r="L14" s="11" t="n">
        <v>0</v>
      </c>
      <c r="M14" s="11" t="n">
        <v>0</v>
      </c>
      <c r="N14" s="11" t="n">
        <v>0</v>
      </c>
      <c r="O14" s="11" t="n">
        <v>0</v>
      </c>
      <c r="P14" s="11" t="n">
        <v>0</v>
      </c>
      <c r="Q14" s="11" t="n">
        <v>0</v>
      </c>
      <c r="R14" s="11" t="n">
        <v>0</v>
      </c>
      <c r="S14" s="11" t="n">
        <v>0</v>
      </c>
      <c r="T14" s="11" t="n">
        <v>0</v>
      </c>
      <c r="U14" s="11" t="n">
        <v>0</v>
      </c>
      <c r="Y14" s="11" t="n">
        <v>0</v>
      </c>
      <c r="Z14" s="11" t="n">
        <v>0</v>
      </c>
      <c r="AA14" s="11" t="n">
        <v>0</v>
      </c>
      <c r="AB14" s="11" t="n">
        <v>0</v>
      </c>
    </row>
    <row r="15">
      <c r="A15" s="10" t="inlineStr">
        <is>
          <t>보험금 수익</t>
        </is>
      </c>
      <c r="E15" s="11" t="n">
        <v>0</v>
      </c>
      <c r="I15" s="11" t="n">
        <v>0</v>
      </c>
      <c r="M15" s="11" t="n">
        <v>0.0002</v>
      </c>
      <c r="Q15" s="11" t="n">
        <v>0</v>
      </c>
      <c r="W15" s="11" t="n">
        <v>0</v>
      </c>
      <c r="X15" s="11" t="n">
        <v>0.0565</v>
      </c>
      <c r="Y15" s="11" t="n">
        <v>0</v>
      </c>
      <c r="Z15" s="11" t="n">
        <v>0.0214</v>
      </c>
      <c r="AA15" s="11" t="n">
        <v>0</v>
      </c>
      <c r="AB15" s="11" t="n">
        <v>0.06</v>
      </c>
    </row>
    <row r="16">
      <c r="A16" s="10" t="inlineStr">
        <is>
          <t>보상금 수취</t>
        </is>
      </c>
      <c r="Z16" s="11" t="n">
        <v>0</v>
      </c>
      <c r="AA16" s="11" t="n">
        <v>0.0108</v>
      </c>
    </row>
    <row r="17">
      <c r="A17" s="10" t="inlineStr">
        <is>
          <t>이자·배당금 수익</t>
        </is>
      </c>
      <c r="R17" s="11" t="n">
        <v>0</v>
      </c>
      <c r="V17" s="11" t="n">
        <v>0.01</v>
      </c>
    </row>
    <row r="18">
      <c r="A18" s="10" t="inlineStr">
        <is>
          <t>보조금 수입</t>
        </is>
      </c>
      <c r="D18" s="11" t="n">
        <v>0.1698</v>
      </c>
      <c r="E18" s="11" t="n">
        <v>0.1532</v>
      </c>
      <c r="F18" s="11" t="n">
        <v>0.1371</v>
      </c>
      <c r="G18" s="11" t="n">
        <v>0.1214</v>
      </c>
      <c r="H18" s="11" t="n">
        <v>0.1092</v>
      </c>
      <c r="I18" s="11" t="n">
        <v>0.0591</v>
      </c>
      <c r="J18" s="11" t="n">
        <v>0.008999999999999999</v>
      </c>
      <c r="K18" s="11" t="n">
        <v>0.0367</v>
      </c>
      <c r="L18" s="11" t="n">
        <v>0</v>
      </c>
      <c r="M18" s="11" t="n">
        <v>0.066</v>
      </c>
      <c r="N18" s="11" t="n">
        <v>0.04</v>
      </c>
      <c r="O18" s="11" t="n">
        <v>0.01</v>
      </c>
      <c r="P18" s="11" t="n">
        <v>0</v>
      </c>
      <c r="Q18" s="11" t="n">
        <v>0</v>
      </c>
      <c r="R18" s="11" t="n">
        <v>0</v>
      </c>
      <c r="S18" s="11" t="n">
        <v>0.05</v>
      </c>
      <c r="T18" s="11" t="n">
        <v>0.02</v>
      </c>
      <c r="U18" s="11" t="n">
        <v>0.06</v>
      </c>
      <c r="V18" s="11" t="n">
        <v>0</v>
      </c>
      <c r="W18" s="11" t="n">
        <v>0.3704</v>
      </c>
      <c r="X18" s="11" t="n">
        <v>0.5391</v>
      </c>
      <c r="Y18" s="11" t="n">
        <v>0.4268</v>
      </c>
      <c r="Z18" s="11" t="n">
        <v>0.1117</v>
      </c>
      <c r="AA18" s="11" t="n">
        <v>0.05</v>
      </c>
      <c r="AB18" s="11" t="n">
        <v>0.13</v>
      </c>
    </row>
    <row r="19">
      <c r="A19" s="10" t="inlineStr">
        <is>
          <t>보전금 수익</t>
        </is>
      </c>
      <c r="X19" s="11" t="n">
        <v>0</v>
      </c>
      <c r="Y19" s="11" t="n">
        <v>0.1714</v>
      </c>
      <c r="Z19" s="11" t="n">
        <v>0</v>
      </c>
    </row>
    <row r="20">
      <c r="A20" s="10" t="inlineStr">
        <is>
          <t>자판기 수입</t>
        </is>
      </c>
      <c r="Z20" s="11" t="n">
        <v>0.0159</v>
      </c>
      <c r="AA20" s="11" t="n">
        <v>0.0161</v>
      </c>
    </row>
    <row r="21">
      <c r="A21" s="10" t="inlineStr">
        <is>
          <t>자판기 설치료 수입</t>
        </is>
      </c>
      <c r="F21" s="11" t="n">
        <v>0.0043</v>
      </c>
      <c r="J21" s="11" t="n">
        <v>0.0041</v>
      </c>
      <c r="N21" s="11" t="n">
        <v>0</v>
      </c>
      <c r="R21" s="11" t="n">
        <v>0</v>
      </c>
    </row>
    <row r="22">
      <c r="A22" s="10" t="inlineStr">
        <is>
          <t>기타</t>
        </is>
      </c>
      <c r="D22" s="11" t="n">
        <v>0.0037</v>
      </c>
      <c r="E22" s="11" t="n">
        <v>0.0037</v>
      </c>
      <c r="F22" s="11" t="n">
        <v>0.0008</v>
      </c>
      <c r="G22" s="11" t="n">
        <v>0.008800000000000001</v>
      </c>
      <c r="H22" s="11" t="n">
        <v>0.0062</v>
      </c>
      <c r="I22" s="11" t="n">
        <v>0.0043</v>
      </c>
      <c r="J22" s="11" t="n">
        <v>0.0077</v>
      </c>
      <c r="K22" s="11" t="n">
        <v>0.0074</v>
      </c>
      <c r="L22" s="11" t="n">
        <v>0.0027</v>
      </c>
      <c r="M22" s="11" t="n">
        <v>-0.0065</v>
      </c>
      <c r="N22" s="11" t="n">
        <v>0</v>
      </c>
      <c r="O22" s="11" t="n">
        <v>0</v>
      </c>
      <c r="P22" s="11" t="n">
        <v>0</v>
      </c>
      <c r="Q22" s="11" t="n">
        <v>0.02</v>
      </c>
      <c r="R22" s="11" t="n">
        <v>0.02</v>
      </c>
      <c r="S22" s="11" t="n">
        <v>0</v>
      </c>
      <c r="T22" s="11" t="n">
        <v>0.02</v>
      </c>
      <c r="U22" s="11" t="n">
        <v>0.02</v>
      </c>
      <c r="V22" s="11" t="n">
        <v>0.01</v>
      </c>
      <c r="W22" s="11" t="n">
        <v>0.0287</v>
      </c>
      <c r="X22" s="11" t="n">
        <v>0.0171</v>
      </c>
      <c r="Y22" s="11" t="n">
        <v>0.0201</v>
      </c>
      <c r="Z22" s="11" t="n">
        <v>0.0113</v>
      </c>
      <c r="AA22" s="11" t="n">
        <v>0.02</v>
      </c>
      <c r="AB22" s="11" t="n">
        <v>0.06</v>
      </c>
    </row>
    <row r="23">
      <c r="A23" s="5" t="inlineStr">
        <is>
          <t>영업외수익 합계</t>
        </is>
      </c>
      <c r="D23" s="6" t="n">
        <v>0.2301</v>
      </c>
      <c r="E23" s="6" t="n">
        <v>0.1568</v>
      </c>
      <c r="F23" s="6" t="n">
        <v>0.1422</v>
      </c>
      <c r="G23" s="6" t="n">
        <v>0.1259</v>
      </c>
      <c r="H23" s="6" t="n">
        <v>0.1155</v>
      </c>
      <c r="I23" s="6" t="n">
        <v>0.2347</v>
      </c>
      <c r="J23" s="6" t="n">
        <v>0.0167</v>
      </c>
      <c r="K23" s="6" t="n">
        <v>0.0441</v>
      </c>
      <c r="L23" s="6" t="n">
        <v>0.0239</v>
      </c>
      <c r="M23" s="6" t="n">
        <v>0.0757</v>
      </c>
      <c r="N23" s="6" t="n">
        <v>0.05</v>
      </c>
      <c r="O23" s="6" t="n">
        <v>0.01</v>
      </c>
      <c r="P23" s="6" t="n">
        <v>0.01</v>
      </c>
      <c r="Q23" s="6" t="n">
        <v>0.01</v>
      </c>
      <c r="R23" s="6" t="n">
        <v>0.02</v>
      </c>
      <c r="S23" s="6" t="n">
        <v>0.07000000000000001</v>
      </c>
      <c r="T23" s="6" t="n">
        <v>0.04</v>
      </c>
      <c r="U23" s="6" t="n">
        <v>0.15</v>
      </c>
      <c r="V23" s="6" t="n">
        <v>0.03</v>
      </c>
      <c r="W23" s="6" t="n">
        <v>0.3992</v>
      </c>
      <c r="X23" s="6" t="n">
        <v>0.6126</v>
      </c>
      <c r="Y23" s="6" t="n">
        <v>0.6183</v>
      </c>
      <c r="Z23" s="6" t="n">
        <v>0.1604</v>
      </c>
      <c r="AA23" s="6" t="n">
        <v>0.08</v>
      </c>
      <c r="AB23" s="6" t="n">
        <v>0.28</v>
      </c>
    </row>
    <row r="24">
      <c r="A24" s="10" t="inlineStr">
        <is>
          <t>이자비용</t>
        </is>
      </c>
      <c r="E24" s="11" t="n">
        <v>0</v>
      </c>
      <c r="F24" s="11" t="n">
        <v>0</v>
      </c>
      <c r="G24" s="11" t="n">
        <v>0</v>
      </c>
      <c r="H24" s="11" t="n">
        <v>0.001</v>
      </c>
      <c r="I24" s="11" t="n">
        <v>0.0014</v>
      </c>
      <c r="J24" s="11" t="n">
        <v>0.001</v>
      </c>
      <c r="K24" s="11" t="n">
        <v>0.001</v>
      </c>
      <c r="L24" s="11" t="n">
        <v>0.0008</v>
      </c>
      <c r="M24" s="11" t="n">
        <v>0.0009</v>
      </c>
      <c r="N24" s="11" t="n">
        <v>0</v>
      </c>
      <c r="O24" s="11" t="n">
        <v>0</v>
      </c>
      <c r="P24" s="11" t="n">
        <v>0</v>
      </c>
      <c r="Q24" s="11" t="n">
        <v>0</v>
      </c>
      <c r="R24" s="11" t="n">
        <v>0</v>
      </c>
      <c r="S24" s="11" t="n">
        <v>0</v>
      </c>
      <c r="T24" s="11" t="n">
        <v>0</v>
      </c>
      <c r="U24" s="11" t="n">
        <v>0</v>
      </c>
      <c r="V24" s="11" t="n">
        <v>0.1</v>
      </c>
      <c r="W24" s="11" t="n">
        <v>0.0091</v>
      </c>
      <c r="X24" s="11" t="n">
        <v>0</v>
      </c>
      <c r="Y24" s="11" t="n">
        <v>0.0024</v>
      </c>
      <c r="Z24" s="11" t="n">
        <v>0.0037</v>
      </c>
      <c r="AA24" s="11" t="n">
        <v>0</v>
      </c>
      <c r="AB24" s="11" t="n">
        <v>0</v>
      </c>
    </row>
    <row r="25">
      <c r="A25" s="10" t="inlineStr">
        <is>
          <t>지급수수료</t>
        </is>
      </c>
      <c r="W25" s="11" t="n">
        <v>0.0225</v>
      </c>
      <c r="X25" s="11" t="n">
        <v>0</v>
      </c>
    </row>
    <row r="26">
      <c r="A26" s="10" t="inlineStr">
        <is>
          <t>자회사 주식 취득 관련 비용</t>
        </is>
      </c>
      <c r="W26" s="11" t="n">
        <v>0.01</v>
      </c>
      <c r="X26" s="11" t="n">
        <v>0</v>
      </c>
    </row>
    <row r="27">
      <c r="A27" s="10" t="inlineStr">
        <is>
          <t>전자기록채권 매각손실</t>
        </is>
      </c>
      <c r="F27" s="11" t="n">
        <v>0.0005999999999999999</v>
      </c>
      <c r="G27" s="11" t="n">
        <v>0.0005999999999999999</v>
      </c>
      <c r="J27" s="11" t="n">
        <v>0.0005999999999999999</v>
      </c>
      <c r="P27" s="11" t="n">
        <v>0</v>
      </c>
      <c r="T27" s="11" t="n">
        <v>0</v>
      </c>
    </row>
    <row r="28">
      <c r="A28" s="10" t="inlineStr">
        <is>
          <t>지분법손실</t>
        </is>
      </c>
      <c r="H28" s="11" t="n">
        <v>0</v>
      </c>
      <c r="I28" s="11" t="n">
        <v>0</v>
      </c>
      <c r="J28" s="11" t="n">
        <v>0</v>
      </c>
      <c r="K28" s="11" t="n">
        <v>0.139</v>
      </c>
      <c r="L28" s="11" t="n">
        <v>0.1232</v>
      </c>
      <c r="M28" s="11" t="n">
        <v>0.0476</v>
      </c>
      <c r="N28" s="11" t="n">
        <v>0.06</v>
      </c>
      <c r="O28" s="11" t="n">
        <v>0.06</v>
      </c>
      <c r="P28" s="11" t="n">
        <v>0.05</v>
      </c>
      <c r="Q28" s="11" t="n">
        <v>0.5600000000000001</v>
      </c>
      <c r="R28" s="11" t="n">
        <v>0.01</v>
      </c>
      <c r="S28" s="11" t="n">
        <v>-0.01</v>
      </c>
      <c r="T28" s="11" t="n">
        <v>0.12</v>
      </c>
      <c r="U28" s="11" t="n">
        <v>0</v>
      </c>
      <c r="V28" s="11" t="n">
        <v>0</v>
      </c>
      <c r="Y28" s="11" t="n">
        <v>0</v>
      </c>
      <c r="Z28" s="11" t="n">
        <v>0.3098</v>
      </c>
      <c r="AA28" s="11" t="n">
        <v>0.73</v>
      </c>
      <c r="AB28" s="11" t="n">
        <v>0.12</v>
      </c>
    </row>
    <row r="29">
      <c r="A29" s="10" t="inlineStr">
        <is>
          <t>리스해약 손실</t>
        </is>
      </c>
      <c r="E29" s="11" t="n">
        <v>0</v>
      </c>
      <c r="I29" s="11" t="n">
        <v>0.0674</v>
      </c>
      <c r="M29" s="11" t="n">
        <v>0</v>
      </c>
      <c r="X29" s="11" t="n">
        <v>0</v>
      </c>
      <c r="Y29" s="11" t="n">
        <v>0.1714</v>
      </c>
      <c r="Z29" s="11" t="n">
        <v>0</v>
      </c>
    </row>
    <row r="30">
      <c r="A30" s="10" t="inlineStr">
        <is>
          <t>상장 관련 비용</t>
        </is>
      </c>
      <c r="D30" s="11" t="n">
        <v>0</v>
      </c>
      <c r="E30" s="11" t="n">
        <v>0.1686</v>
      </c>
      <c r="H30" s="11" t="n">
        <v>0</v>
      </c>
      <c r="I30" s="11" t="n">
        <v>0</v>
      </c>
      <c r="W30" s="11" t="n">
        <v>0</v>
      </c>
      <c r="X30" s="11" t="n">
        <v>0.2086</v>
      </c>
      <c r="Y30" s="11" t="n">
        <v>0</v>
      </c>
    </row>
    <row r="31">
      <c r="A31" s="10" t="inlineStr">
        <is>
          <t>주식교부비</t>
        </is>
      </c>
      <c r="E31" s="11" t="n">
        <v>0.0171</v>
      </c>
      <c r="I31" s="11" t="n">
        <v>0</v>
      </c>
      <c r="W31" s="11" t="n">
        <v>0</v>
      </c>
      <c r="X31" s="11" t="n">
        <v>0.1325</v>
      </c>
      <c r="Y31" s="11" t="n">
        <v>0</v>
      </c>
    </row>
    <row r="32">
      <c r="A32" s="10" t="inlineStr">
        <is>
          <t>세액공제 외 원천소득세</t>
        </is>
      </c>
      <c r="D32" s="11" t="n">
        <v>0</v>
      </c>
      <c r="H32" s="11" t="n">
        <v>0</v>
      </c>
    </row>
    <row r="33">
      <c r="A33" s="10" t="inlineStr">
        <is>
          <t>세액공제 외 원천소득세</t>
        </is>
      </c>
      <c r="W33" s="11" t="n">
        <v>0</v>
      </c>
      <c r="X33" s="11" t="n">
        <v>0.0071</v>
      </c>
      <c r="Y33" s="11" t="n">
        <v>0</v>
      </c>
    </row>
    <row r="34">
      <c r="A34" s="10" t="inlineStr">
        <is>
          <t>기타</t>
        </is>
      </c>
      <c r="E34" s="11" t="n">
        <v>0.0005999999999999999</v>
      </c>
      <c r="H34" s="11" t="n">
        <v>0.0008</v>
      </c>
      <c r="I34" s="11" t="n">
        <v>0.0005999999999999999</v>
      </c>
      <c r="J34" s="11" t="n">
        <v>0.0005999999999999999</v>
      </c>
      <c r="K34" s="11" t="n">
        <v>0.0005999999999999999</v>
      </c>
      <c r="L34" s="11" t="n">
        <v>0.0009</v>
      </c>
      <c r="M34" s="11" t="n">
        <v>0.001</v>
      </c>
      <c r="N34" s="11" t="n">
        <v>0</v>
      </c>
      <c r="O34" s="11" t="n">
        <v>0</v>
      </c>
      <c r="P34" s="11" t="n">
        <v>0</v>
      </c>
      <c r="Q34" s="11" t="n">
        <v>0</v>
      </c>
      <c r="R34" s="11" t="n">
        <v>0</v>
      </c>
      <c r="S34" s="11" t="n">
        <v>0</v>
      </c>
      <c r="T34" s="11" t="n">
        <v>0</v>
      </c>
      <c r="U34" s="11" t="n">
        <v>0.01</v>
      </c>
      <c r="V34" s="11" t="n">
        <v>0</v>
      </c>
      <c r="W34" s="11" t="n">
        <v>0</v>
      </c>
      <c r="X34" s="11" t="n">
        <v>0.0021</v>
      </c>
      <c r="Y34" s="11" t="n">
        <v>0.0026</v>
      </c>
      <c r="Z34" s="11" t="n">
        <v>0.0031</v>
      </c>
      <c r="AA34" s="11" t="n">
        <v>0</v>
      </c>
      <c r="AB34" s="11" t="n">
        <v>0.01</v>
      </c>
    </row>
    <row r="35">
      <c r="A35" s="10" t="inlineStr">
        <is>
          <t>영업외비용 합계</t>
        </is>
      </c>
      <c r="D35" s="11" t="n">
        <v>0.1161</v>
      </c>
      <c r="E35" s="11" t="n">
        <v>0.1864</v>
      </c>
      <c r="F35" s="11" t="n">
        <v>0.0005999999999999999</v>
      </c>
      <c r="G35" s="11" t="n">
        <v>0.0005999999999999999</v>
      </c>
      <c r="H35" s="11" t="n">
        <v>0.1058</v>
      </c>
      <c r="I35" s="11" t="n">
        <v>0.0694</v>
      </c>
      <c r="J35" s="11" t="n">
        <v>0.0016</v>
      </c>
      <c r="K35" s="11" t="n">
        <v>0.1406</v>
      </c>
      <c r="L35" s="11" t="n">
        <v>0.1248</v>
      </c>
      <c r="M35" s="11" t="n">
        <v>0.0495</v>
      </c>
      <c r="N35" s="11" t="n">
        <v>0.06</v>
      </c>
      <c r="O35" s="11" t="n">
        <v>0.07000000000000001</v>
      </c>
      <c r="P35" s="11" t="n">
        <v>0.05</v>
      </c>
      <c r="Q35" s="11" t="n">
        <v>0.5600000000000001</v>
      </c>
      <c r="R35" s="11" t="n">
        <v>0.01</v>
      </c>
      <c r="S35" s="11" t="n">
        <v>-0.01</v>
      </c>
      <c r="T35" s="11" t="n">
        <v>0.13</v>
      </c>
      <c r="U35" s="11" t="n">
        <v>0</v>
      </c>
      <c r="V35" s="11" t="n">
        <v>0.11</v>
      </c>
      <c r="W35" s="11" t="n">
        <v>0.0416</v>
      </c>
      <c r="X35" s="11" t="n">
        <v>0.3503</v>
      </c>
      <c r="Y35" s="11" t="n">
        <v>0.1763</v>
      </c>
      <c r="Z35" s="11" t="n">
        <v>0.3165</v>
      </c>
      <c r="AA35" s="11" t="n">
        <v>0.74</v>
      </c>
      <c r="AB35" s="11" t="n">
        <v>0.13</v>
      </c>
    </row>
    <row r="36">
      <c r="A36" s="5" t="inlineStr">
        <is>
          <t>경상이익</t>
        </is>
      </c>
      <c r="D36" s="6" t="n">
        <v>8.132</v>
      </c>
      <c r="E36" s="6" t="n">
        <v>4.7965</v>
      </c>
      <c r="F36" s="6" t="n">
        <v>2.0221</v>
      </c>
      <c r="G36" s="6" t="n">
        <v>5.9011</v>
      </c>
      <c r="H36" s="6" t="n">
        <v>7.3931</v>
      </c>
      <c r="I36" s="6" t="n">
        <v>7.3769</v>
      </c>
      <c r="J36" s="6" t="n">
        <v>6.4744</v>
      </c>
      <c r="K36" s="6" t="n">
        <v>7.4815</v>
      </c>
      <c r="L36" s="6" t="n">
        <v>6.1586</v>
      </c>
      <c r="M36" s="6" t="n">
        <v>5.1598</v>
      </c>
      <c r="N36" s="6" t="n">
        <v>3.81</v>
      </c>
      <c r="O36" s="6" t="n">
        <v>4.67</v>
      </c>
      <c r="P36" s="6" t="n">
        <v>2.2</v>
      </c>
      <c r="Q36" s="6" t="n">
        <v>-0.64</v>
      </c>
      <c r="R36" s="6" t="n">
        <v>1.35</v>
      </c>
      <c r="S36" s="6" t="n">
        <v>4.01</v>
      </c>
      <c r="T36" s="6" t="n">
        <v>4.41</v>
      </c>
      <c r="U36" s="6" t="n">
        <v>2.04</v>
      </c>
      <c r="V36" s="6" t="n">
        <v>4.71</v>
      </c>
      <c r="W36" s="6" t="n">
        <v>21.6728</v>
      </c>
      <c r="X36" s="6" t="n">
        <v>25.9149</v>
      </c>
      <c r="Y36" s="6" t="n">
        <v>22.6933</v>
      </c>
      <c r="Z36" s="6" t="n">
        <v>25.2742</v>
      </c>
      <c r="AA36" s="6" t="n">
        <v>10.04</v>
      </c>
      <c r="AB36" s="6" t="n">
        <v>11.81</v>
      </c>
    </row>
    <row r="37">
      <c r="A37" s="8" t="inlineStr">
        <is>
          <t>경상이익률</t>
        </is>
      </c>
      <c r="C37" s="9">
        <f>IF(OR(C36="",C4=""),"",IFERROR(C36/C4,""))</f>
        <v/>
      </c>
      <c r="D37" s="9">
        <f>IF(OR(D36="",D4=""),"",IFERROR(D36/D4,""))</f>
        <v/>
      </c>
      <c r="E37" s="9">
        <f>IF(OR(E36="",E4=""),"",IFERROR(E36/E4,""))</f>
        <v/>
      </c>
      <c r="F37" s="9">
        <f>IF(OR(F36="",F4=""),"",IFERROR(F36/F4,""))</f>
        <v/>
      </c>
      <c r="G37" s="9">
        <f>IF(OR(G36="",G4=""),"",IFERROR(G36/G4,""))</f>
        <v/>
      </c>
      <c r="H37" s="9">
        <f>IF(OR(H36="",H4=""),"",IFERROR(H36/H4,""))</f>
        <v/>
      </c>
      <c r="I37" s="9">
        <f>IF(OR(I36="",I4=""),"",IFERROR(I36/I4,""))</f>
        <v/>
      </c>
      <c r="J37" s="9">
        <f>IF(OR(J36="",J4=""),"",IFERROR(J36/J4,""))</f>
        <v/>
      </c>
      <c r="K37" s="9">
        <f>IF(OR(K36="",K4=""),"",IFERROR(K36/K4,""))</f>
        <v/>
      </c>
      <c r="L37" s="9">
        <f>IF(OR(L36="",L4=""),"",IFERROR(L36/L4,""))</f>
        <v/>
      </c>
      <c r="M37" s="9">
        <f>IF(OR(M36="",M4=""),"",IFERROR(M36/M4,""))</f>
        <v/>
      </c>
      <c r="N37" s="9">
        <f>IF(OR(N36="",N4=""),"",IFERROR(N36/N4,""))</f>
        <v/>
      </c>
      <c r="O37" s="9">
        <f>IF(OR(O36="",O4=""),"",IFERROR(O36/O4,""))</f>
        <v/>
      </c>
      <c r="P37" s="9">
        <f>IF(OR(P36="",P4=""),"",IFERROR(P36/P4,""))</f>
        <v/>
      </c>
      <c r="Q37" s="9">
        <f>IF(OR(Q36="",Q4=""),"",IFERROR(Q36/Q4,""))</f>
        <v/>
      </c>
      <c r="R37" s="9">
        <f>IF(OR(R36="",R4=""),"",IFERROR(R36/R4,""))</f>
        <v/>
      </c>
      <c r="S37" s="9">
        <f>IF(OR(S36="",S4=""),"",IFERROR(S36/S4,""))</f>
        <v/>
      </c>
      <c r="T37" s="9">
        <f>IF(OR(T36="",T4=""),"",IFERROR(T36/T4,""))</f>
        <v/>
      </c>
      <c r="U37" s="9">
        <f>IF(OR(U36="",U4=""),"",IFERROR(U36/U4,""))</f>
        <v/>
      </c>
      <c r="V37" s="9">
        <f>IF(OR(V36="",V4=""),"",IFERROR(V36/V4,""))</f>
        <v/>
      </c>
      <c r="W37" s="9">
        <f>IF(OR(W36="",W4=""),"",IFERROR(W36/W4,""))</f>
        <v/>
      </c>
      <c r="X37" s="9">
        <f>IF(OR(X36="",X4=""),"",IFERROR(X36/X4,""))</f>
        <v/>
      </c>
      <c r="Y37" s="9">
        <f>IF(OR(Y36="",Y4=""),"",IFERROR(Y36/Y4,""))</f>
        <v/>
      </c>
      <c r="Z37" s="9">
        <f>IF(OR(Z36="",Z4=""),"",IFERROR(Z36/Z4,""))</f>
        <v/>
      </c>
      <c r="AA37" s="9">
        <f>IF(OR(AA36="",AA4=""),"",IFERROR(AA36/AA4,""))</f>
        <v/>
      </c>
      <c r="AB37" s="9">
        <f>IF(OR(AB36="",AB4=""),"",IFERROR(AB36/AB4,""))</f>
        <v/>
      </c>
    </row>
    <row r="38">
      <c r="A38" s="10" t="inlineStr">
        <is>
          <t>고정자산 매각이익</t>
        </is>
      </c>
      <c r="Q38" s="11" t="n">
        <v>0</v>
      </c>
      <c r="U38" s="11" t="n">
        <v>0</v>
      </c>
      <c r="AA38" s="11" t="n">
        <v>0</v>
      </c>
      <c r="AB38" s="11" t="n">
        <v>0</v>
      </c>
    </row>
    <row r="39">
      <c r="A39" s="10" t="inlineStr">
        <is>
          <t>투자유가증권 매각이익</t>
        </is>
      </c>
      <c r="M39" s="11" t="n">
        <v>0</v>
      </c>
      <c r="Q39" s="11" t="n">
        <v>0</v>
      </c>
      <c r="U39" s="11" t="n">
        <v>0</v>
      </c>
      <c r="Z39" s="11" t="n">
        <v>0</v>
      </c>
      <c r="AA39" s="11" t="n">
        <v>0.75</v>
      </c>
      <c r="AB39" s="11" t="n">
        <v>0</v>
      </c>
    </row>
    <row r="40">
      <c r="A40" s="10" t="inlineStr">
        <is>
          <t>지분변동이익</t>
        </is>
      </c>
      <c r="H40" s="11" t="n">
        <v>0</v>
      </c>
      <c r="I40" s="11" t="n">
        <v>0</v>
      </c>
      <c r="L40" s="11" t="n">
        <v>0</v>
      </c>
      <c r="M40" s="11" t="n">
        <v>0</v>
      </c>
      <c r="P40" s="11" t="n">
        <v>0</v>
      </c>
      <c r="Q40" s="11" t="n">
        <v>0</v>
      </c>
      <c r="Y40" s="11" t="n">
        <v>0</v>
      </c>
      <c r="Z40" s="11" t="n">
        <v>0.1367</v>
      </c>
      <c r="AA40" s="11" t="n">
        <v>0</v>
      </c>
    </row>
    <row r="41">
      <c r="A41" s="10" t="inlineStr">
        <is>
          <t>특별이익 합계</t>
        </is>
      </c>
      <c r="H41" s="11" t="n">
        <v>0</v>
      </c>
      <c r="I41" s="11" t="n">
        <v>0</v>
      </c>
      <c r="L41" s="11" t="n">
        <v>0</v>
      </c>
      <c r="M41" s="11" t="n">
        <v>0</v>
      </c>
      <c r="P41" s="11" t="n">
        <v>0.75</v>
      </c>
      <c r="Q41" s="11" t="n">
        <v>0</v>
      </c>
      <c r="U41" s="11" t="n">
        <v>0</v>
      </c>
      <c r="Y41" s="11" t="n">
        <v>0</v>
      </c>
      <c r="Z41" s="11" t="n">
        <v>0.1367</v>
      </c>
      <c r="AA41" s="11" t="n">
        <v>0.75</v>
      </c>
      <c r="AB41" s="11" t="n">
        <v>0</v>
      </c>
    </row>
    <row r="42">
      <c r="A42" s="10" t="inlineStr">
        <is>
          <t>손상차손</t>
        </is>
      </c>
      <c r="P42" s="11" t="n">
        <v>0</v>
      </c>
      <c r="Q42" s="11" t="n">
        <v>2.32</v>
      </c>
      <c r="T42" s="11" t="n">
        <v>0</v>
      </c>
      <c r="U42" s="11" t="n">
        <v>0</v>
      </c>
      <c r="Z42" s="11" t="n">
        <v>0</v>
      </c>
      <c r="AA42" s="11" t="n">
        <v>2.32</v>
      </c>
      <c r="AB42" s="11" t="n">
        <v>1.61</v>
      </c>
    </row>
    <row r="43">
      <c r="A43" s="10" t="inlineStr">
        <is>
          <t>고정자산 제각손실</t>
        </is>
      </c>
      <c r="D43" s="11" t="n">
        <v>0.0044</v>
      </c>
      <c r="E43" s="11" t="n">
        <v>0.0058</v>
      </c>
      <c r="F43" s="11" t="n">
        <v>0.0003</v>
      </c>
      <c r="G43" s="11" t="n">
        <v>0.0014</v>
      </c>
      <c r="H43" s="11" t="n">
        <v>0.001</v>
      </c>
      <c r="I43" s="11" t="n">
        <v>0.0017</v>
      </c>
      <c r="J43" s="11" t="n">
        <v>0.0034</v>
      </c>
      <c r="K43" s="11" t="n">
        <v>0.0273</v>
      </c>
      <c r="L43" s="11" t="n">
        <v>0</v>
      </c>
      <c r="M43" s="11" t="n">
        <v>0.0059</v>
      </c>
      <c r="N43" s="11" t="n">
        <v>0</v>
      </c>
      <c r="O43" s="11" t="n">
        <v>0.02</v>
      </c>
      <c r="P43" s="11" t="n">
        <v>0</v>
      </c>
      <c r="Q43" s="11" t="n">
        <v>0.11</v>
      </c>
      <c r="R43" s="11" t="n">
        <v>0.01</v>
      </c>
      <c r="S43" s="11" t="n">
        <v>0.01</v>
      </c>
      <c r="T43" s="11" t="n">
        <v>0.02</v>
      </c>
      <c r="U43" s="11" t="n">
        <v>0.01</v>
      </c>
      <c r="V43" s="11" t="n">
        <v>0.01</v>
      </c>
      <c r="W43" s="11" t="n">
        <v>0.0299</v>
      </c>
      <c r="X43" s="11" t="n">
        <v>0.0143</v>
      </c>
      <c r="Y43" s="11" t="n">
        <v>0.0043</v>
      </c>
      <c r="Z43" s="11" t="n">
        <v>0.0366</v>
      </c>
      <c r="AA43" s="11" t="n">
        <v>0.13</v>
      </c>
      <c r="AB43" s="11" t="n">
        <v>0.05</v>
      </c>
    </row>
    <row r="44">
      <c r="A44" s="10" t="inlineStr">
        <is>
          <t>특별손실 합계</t>
        </is>
      </c>
      <c r="D44" s="11" t="n">
        <v>0.0044</v>
      </c>
      <c r="E44" s="11" t="n">
        <v>0.0058</v>
      </c>
      <c r="F44" s="11" t="n">
        <v>0.0003</v>
      </c>
      <c r="G44" s="11" t="n">
        <v>0.0014</v>
      </c>
      <c r="H44" s="11" t="n">
        <v>0.001</v>
      </c>
      <c r="I44" s="11" t="n">
        <v>0.0017</v>
      </c>
      <c r="J44" s="11" t="n">
        <v>0.0034</v>
      </c>
      <c r="K44" s="11" t="n">
        <v>0.0273</v>
      </c>
      <c r="L44" s="11" t="n">
        <v>0</v>
      </c>
      <c r="M44" s="11" t="n">
        <v>0.0059</v>
      </c>
      <c r="N44" s="11" t="n">
        <v>0</v>
      </c>
      <c r="O44" s="11" t="n">
        <v>0.02</v>
      </c>
      <c r="P44" s="11" t="n">
        <v>0</v>
      </c>
      <c r="Q44" s="11" t="n">
        <v>2.43</v>
      </c>
      <c r="R44" s="11" t="n">
        <v>0.01</v>
      </c>
      <c r="S44" s="11" t="n">
        <v>1.63</v>
      </c>
      <c r="T44" s="11" t="n">
        <v>0.02</v>
      </c>
      <c r="U44" s="11" t="n">
        <v>0.01</v>
      </c>
      <c r="V44" s="11" t="n">
        <v>0.01</v>
      </c>
      <c r="W44" s="11" t="n">
        <v>0.0299</v>
      </c>
      <c r="X44" s="11" t="n">
        <v>0.0143</v>
      </c>
      <c r="Y44" s="11" t="n">
        <v>0.0043</v>
      </c>
      <c r="Z44" s="11" t="n">
        <v>0.0366</v>
      </c>
      <c r="AA44" s="11" t="n">
        <v>2.45</v>
      </c>
      <c r="AB44" s="11" t="n">
        <v>1.67</v>
      </c>
    </row>
    <row r="45">
      <c r="A45" s="10" t="inlineStr">
        <is>
          <t>법인세차감전 순이익</t>
        </is>
      </c>
      <c r="D45" s="11" t="n">
        <v>8.127599999999999</v>
      </c>
      <c r="E45" s="11" t="n">
        <v>4.7907</v>
      </c>
      <c r="F45" s="11" t="n">
        <v>2.0219</v>
      </c>
      <c r="G45" s="11" t="n">
        <v>5.8998</v>
      </c>
      <c r="H45" s="11" t="n">
        <v>7.392</v>
      </c>
      <c r="I45" s="11" t="n">
        <v>7.3753</v>
      </c>
      <c r="J45" s="11" t="n">
        <v>6.471</v>
      </c>
      <c r="K45" s="11" t="n">
        <v>7.5909</v>
      </c>
      <c r="L45" s="11" t="n">
        <v>6.1586</v>
      </c>
      <c r="M45" s="11" t="n">
        <v>5.1539</v>
      </c>
      <c r="N45" s="11" t="n">
        <v>3.81</v>
      </c>
      <c r="O45" s="11" t="n">
        <v>4.65</v>
      </c>
      <c r="P45" s="11" t="n">
        <v>2.96</v>
      </c>
      <c r="Q45" s="11" t="n">
        <v>-3.08</v>
      </c>
      <c r="R45" s="11" t="n">
        <v>1.34</v>
      </c>
      <c r="S45" s="11" t="n">
        <v>2.37</v>
      </c>
      <c r="T45" s="11" t="n">
        <v>4.39</v>
      </c>
      <c r="U45" s="11" t="n">
        <v>2.03</v>
      </c>
      <c r="V45" s="11" t="n">
        <v>4.7</v>
      </c>
      <c r="W45" s="11" t="n">
        <v>21.6429</v>
      </c>
      <c r="X45" s="11" t="n">
        <v>25.9006</v>
      </c>
      <c r="Y45" s="11" t="n">
        <v>22.6889</v>
      </c>
      <c r="Z45" s="11" t="n">
        <v>25.3743</v>
      </c>
      <c r="AA45" s="11" t="n">
        <v>8.34</v>
      </c>
      <c r="AB45" s="11" t="n">
        <v>10.13</v>
      </c>
    </row>
    <row r="46">
      <c r="A46" s="10" t="inlineStr">
        <is>
          <t>법인세·주민세·사업세</t>
        </is>
      </c>
      <c r="D46" s="11" t="n">
        <v>1.487</v>
      </c>
      <c r="E46" s="11" t="n">
        <v>1.8678</v>
      </c>
      <c r="F46" s="11" t="n">
        <v>0.3399</v>
      </c>
      <c r="G46" s="11" t="n">
        <v>2.8008</v>
      </c>
      <c r="H46" s="11" t="n">
        <v>1.9214</v>
      </c>
      <c r="I46" s="11" t="n">
        <v>1.67</v>
      </c>
      <c r="J46" s="11" t="n">
        <v>1.1752</v>
      </c>
      <c r="K46" s="11" t="n">
        <v>3.419</v>
      </c>
      <c r="L46" s="11" t="n">
        <v>1.1359</v>
      </c>
      <c r="M46" s="11" t="n">
        <v>1.2436</v>
      </c>
      <c r="N46" s="11" t="n">
        <v>0.26</v>
      </c>
      <c r="O46" s="11" t="n">
        <v>2.4</v>
      </c>
      <c r="P46" s="11" t="n">
        <v>0.17</v>
      </c>
      <c r="Q46" s="11" t="n">
        <v>1.49</v>
      </c>
      <c r="R46" s="11" t="n">
        <v>0.08</v>
      </c>
      <c r="S46" s="11" t="n">
        <v>1.87</v>
      </c>
      <c r="T46" s="11" t="n">
        <v>0.6</v>
      </c>
      <c r="U46" s="11" t="n">
        <v>2.53</v>
      </c>
      <c r="V46" s="11" t="n">
        <v>0.61</v>
      </c>
      <c r="W46" s="11" t="n">
        <v>6.0385</v>
      </c>
      <c r="X46" s="11" t="n">
        <v>7.8008</v>
      </c>
      <c r="Y46" s="11" t="n">
        <v>6.7321</v>
      </c>
      <c r="Z46" s="11" t="n">
        <v>6.9738</v>
      </c>
      <c r="AA46" s="11" t="n">
        <v>4.32</v>
      </c>
      <c r="AB46" s="11" t="n">
        <v>5.08</v>
      </c>
    </row>
    <row r="47">
      <c r="A47" s="10" t="inlineStr">
        <is>
          <t>법인세 조정액</t>
        </is>
      </c>
      <c r="D47" s="11" t="n">
        <v>0.7388</v>
      </c>
      <c r="E47" s="11" t="n">
        <v>-0.4547</v>
      </c>
      <c r="F47" s="11" t="n">
        <v>0.4336</v>
      </c>
      <c r="G47" s="11" t="n">
        <v>-0.8921</v>
      </c>
      <c r="H47" s="11" t="n">
        <v>0.4518</v>
      </c>
      <c r="I47" s="11" t="n">
        <v>-0.8183</v>
      </c>
      <c r="J47" s="11" t="n">
        <v>0.8861</v>
      </c>
      <c r="K47" s="11" t="n">
        <v>-1.0003</v>
      </c>
      <c r="L47" s="11" t="n">
        <v>0.8379</v>
      </c>
      <c r="M47" s="11" t="n">
        <v>-0.6554</v>
      </c>
      <c r="N47" s="11" t="n">
        <v>0.97</v>
      </c>
      <c r="O47" s="11" t="n">
        <v>-0.77</v>
      </c>
      <c r="P47" s="11" t="n">
        <v>0.84</v>
      </c>
      <c r="Q47" s="11" t="n">
        <v>-1.64</v>
      </c>
      <c r="R47" s="11" t="n">
        <v>0.37</v>
      </c>
      <c r="S47" s="11" t="n">
        <v>-0.97</v>
      </c>
      <c r="T47" s="11" t="n">
        <v>0.86</v>
      </c>
      <c r="U47" s="11" t="n">
        <v>-0.95</v>
      </c>
      <c r="V47" s="11" t="n">
        <v>1</v>
      </c>
      <c r="W47" s="11" t="n">
        <v>-1.0176</v>
      </c>
      <c r="X47" s="11" t="n">
        <v>0.3309</v>
      </c>
      <c r="Y47" s="11" t="n">
        <v>-0.8249</v>
      </c>
      <c r="Z47" s="11" t="n">
        <v>0.0683</v>
      </c>
      <c r="AA47" s="11" t="n">
        <v>-0.6</v>
      </c>
      <c r="AB47" s="11" t="n">
        <v>-0.6899999999999999</v>
      </c>
    </row>
    <row r="48">
      <c r="A48" s="10" t="inlineStr">
        <is>
          <t>법인세 등 합계</t>
        </is>
      </c>
      <c r="D48" s="11" t="n">
        <v>2.2258</v>
      </c>
      <c r="E48" s="11" t="n">
        <v>1.4131</v>
      </c>
      <c r="F48" s="11" t="n">
        <v>0.7735</v>
      </c>
      <c r="G48" s="11" t="n">
        <v>1.9086</v>
      </c>
      <c r="H48" s="11" t="n">
        <v>2.3732</v>
      </c>
      <c r="I48" s="11" t="n">
        <v>0.8517</v>
      </c>
      <c r="J48" s="11" t="n">
        <v>2.0613</v>
      </c>
      <c r="K48" s="11" t="n">
        <v>2.4187</v>
      </c>
      <c r="L48" s="11" t="n">
        <v>1.9739</v>
      </c>
      <c r="M48" s="11" t="n">
        <v>0.5881999999999999</v>
      </c>
      <c r="N48" s="11" t="n">
        <v>1.23</v>
      </c>
      <c r="O48" s="11" t="n">
        <v>1.63</v>
      </c>
      <c r="P48" s="11" t="n">
        <v>1.02</v>
      </c>
      <c r="Q48" s="11" t="n">
        <v>-0.16</v>
      </c>
      <c r="R48" s="11" t="n">
        <v>0.45</v>
      </c>
      <c r="S48" s="11" t="n">
        <v>0.9</v>
      </c>
      <c r="T48" s="11" t="n">
        <v>1.46</v>
      </c>
      <c r="U48" s="11" t="n">
        <v>1.57</v>
      </c>
      <c r="V48" s="11" t="n">
        <v>1.62</v>
      </c>
      <c r="W48" s="11" t="n">
        <v>5.0209</v>
      </c>
      <c r="X48" s="11" t="n">
        <v>8.1317</v>
      </c>
      <c r="Y48" s="11" t="n">
        <v>5.9071</v>
      </c>
      <c r="Z48" s="11" t="n">
        <v>7.0421</v>
      </c>
      <c r="AA48" s="11" t="n">
        <v>3.72</v>
      </c>
      <c r="AB48" s="11" t="n">
        <v>4.38</v>
      </c>
    </row>
    <row r="49">
      <c r="A49" s="5" t="inlineStr">
        <is>
          <t>순이익</t>
        </is>
      </c>
      <c r="D49" s="6" t="n">
        <v>5.9019</v>
      </c>
      <c r="E49" s="6" t="n">
        <v>3.3776</v>
      </c>
      <c r="F49" s="6" t="n">
        <v>1.2484</v>
      </c>
      <c r="G49" s="6" t="n">
        <v>3.9911</v>
      </c>
      <c r="H49" s="6" t="n">
        <v>5.0188</v>
      </c>
      <c r="I49" s="6" t="n">
        <v>6.5235</v>
      </c>
      <c r="J49" s="6" t="n">
        <v>4.4097</v>
      </c>
      <c r="K49" s="6" t="n">
        <v>5.1722</v>
      </c>
      <c r="L49" s="6" t="n">
        <v>4.1847</v>
      </c>
      <c r="M49" s="6" t="n">
        <v>4.5657</v>
      </c>
      <c r="N49" s="6" t="n">
        <v>2.57</v>
      </c>
      <c r="O49" s="6" t="n">
        <v>3.03</v>
      </c>
      <c r="P49" s="6" t="n">
        <v>1.93</v>
      </c>
      <c r="Q49" s="6" t="n">
        <v>-2.92</v>
      </c>
      <c r="R49" s="6" t="n">
        <v>0.88</v>
      </c>
      <c r="S49" s="6" t="n">
        <v>1.47</v>
      </c>
      <c r="T49" s="6" t="n">
        <v>2.93</v>
      </c>
      <c r="U49" s="6" t="n">
        <v>0.46</v>
      </c>
      <c r="V49" s="6" t="n">
        <v>3.07</v>
      </c>
      <c r="W49" s="6" t="n">
        <v>16.622</v>
      </c>
      <c r="X49" s="6" t="n">
        <v>17.7689</v>
      </c>
      <c r="Y49" s="6" t="n">
        <v>16.7818</v>
      </c>
      <c r="Z49" s="6" t="n">
        <v>18.3323</v>
      </c>
      <c r="AA49" s="6" t="n">
        <v>4.61</v>
      </c>
      <c r="AB49" s="6" t="n">
        <v>5.74</v>
      </c>
    </row>
    <row r="50">
      <c r="A50" s="5" t="inlineStr">
        <is>
          <t>비지배주주 순손익</t>
        </is>
      </c>
      <c r="M50" s="6" t="n">
        <v>0</v>
      </c>
      <c r="N50" s="6" t="n">
        <v>0</v>
      </c>
      <c r="O50" s="6" t="n">
        <v>0</v>
      </c>
      <c r="P50" s="6" t="n">
        <v>0.05</v>
      </c>
      <c r="Q50" s="6" t="n">
        <v>0.04</v>
      </c>
      <c r="R50" s="6" t="n">
        <v>-0.08</v>
      </c>
      <c r="S50" s="6" t="n">
        <v>-0.01</v>
      </c>
      <c r="T50" s="6" t="n">
        <v>0.01</v>
      </c>
      <c r="U50" s="6" t="n">
        <v>0.04</v>
      </c>
      <c r="V50" s="6" t="n">
        <v>0.08</v>
      </c>
      <c r="W50" s="6" t="n">
        <v>0.068</v>
      </c>
      <c r="X50" s="6" t="n">
        <v>0</v>
      </c>
      <c r="Z50" s="6" t="n">
        <v>0</v>
      </c>
      <c r="AA50" s="6" t="n">
        <v>0.09</v>
      </c>
      <c r="AB50" s="6" t="n">
        <v>-0.04</v>
      </c>
    </row>
    <row r="51">
      <c r="A51" s="5" t="inlineStr">
        <is>
          <t>지배주주 순이익</t>
        </is>
      </c>
      <c r="D51" s="6" t="n">
        <v>5.9019</v>
      </c>
      <c r="E51" s="6" t="n">
        <v>3.3776</v>
      </c>
      <c r="F51" s="6" t="n">
        <v>1.2484</v>
      </c>
      <c r="G51" s="6" t="n">
        <v>3.9911</v>
      </c>
      <c r="H51" s="6" t="n">
        <v>5.0188</v>
      </c>
      <c r="I51" s="6" t="n">
        <v>6.5235</v>
      </c>
      <c r="J51" s="6" t="n">
        <v>4.4097</v>
      </c>
      <c r="K51" s="6" t="n">
        <v>5.1722</v>
      </c>
      <c r="L51" s="6" t="n">
        <v>4.1847</v>
      </c>
      <c r="M51" s="6" t="n">
        <v>4.5657</v>
      </c>
      <c r="N51" s="6" t="n">
        <v>2.57</v>
      </c>
      <c r="O51" s="6" t="n">
        <v>3.03</v>
      </c>
      <c r="P51" s="6" t="n">
        <v>1.88</v>
      </c>
      <c r="Q51" s="6" t="n">
        <v>-2.96</v>
      </c>
      <c r="R51" s="6" t="n">
        <v>0.97</v>
      </c>
      <c r="S51" s="6" t="n">
        <v>1.48</v>
      </c>
      <c r="T51" s="6" t="n">
        <v>2.92</v>
      </c>
      <c r="U51" s="6" t="n">
        <v>0.42</v>
      </c>
      <c r="V51" s="6" t="n">
        <v>2.99</v>
      </c>
      <c r="W51" s="6" t="n">
        <v>16.554</v>
      </c>
      <c r="X51" s="6" t="n">
        <v>17.7689</v>
      </c>
      <c r="Y51" s="6" t="n">
        <v>16.7818</v>
      </c>
      <c r="Z51" s="6" t="n">
        <v>18.3323</v>
      </c>
      <c r="AA51" s="6" t="n">
        <v>4.52</v>
      </c>
      <c r="AB51" s="6" t="n">
        <v>5.79</v>
      </c>
    </row>
    <row r="52">
      <c r="A52" s="8" t="inlineStr">
        <is>
          <t>순이익률</t>
        </is>
      </c>
      <c r="C52" s="9">
        <f>IF(OR(C51="",C4=""),"",IFERROR(C51/C4,""))</f>
        <v/>
      </c>
      <c r="D52" s="9">
        <f>IF(OR(D51="",D4=""),"",IFERROR(D51/D4,""))</f>
        <v/>
      </c>
      <c r="E52" s="9">
        <f>IF(OR(E51="",E4=""),"",IFERROR(E51/E4,""))</f>
        <v/>
      </c>
      <c r="F52" s="9">
        <f>IF(OR(F51="",F4=""),"",IFERROR(F51/F4,""))</f>
        <v/>
      </c>
      <c r="G52" s="9">
        <f>IF(OR(G51="",G4=""),"",IFERROR(G51/G4,""))</f>
        <v/>
      </c>
      <c r="H52" s="9">
        <f>IF(OR(H51="",H4=""),"",IFERROR(H51/H4,""))</f>
        <v/>
      </c>
      <c r="I52" s="9">
        <f>IF(OR(I51="",I4=""),"",IFERROR(I51/I4,""))</f>
        <v/>
      </c>
      <c r="J52" s="9">
        <f>IF(OR(J51="",J4=""),"",IFERROR(J51/J4,""))</f>
        <v/>
      </c>
      <c r="K52" s="9">
        <f>IF(OR(K51="",K4=""),"",IFERROR(K51/K4,""))</f>
        <v/>
      </c>
      <c r="L52" s="9">
        <f>IF(OR(L51="",L4=""),"",IFERROR(L51/L4,""))</f>
        <v/>
      </c>
      <c r="M52" s="9">
        <f>IF(OR(M51="",M4=""),"",IFERROR(M51/M4,""))</f>
        <v/>
      </c>
      <c r="N52" s="9">
        <f>IF(OR(N51="",N4=""),"",IFERROR(N51/N4,""))</f>
        <v/>
      </c>
      <c r="O52" s="9">
        <f>IF(OR(O51="",O4=""),"",IFERROR(O51/O4,""))</f>
        <v/>
      </c>
      <c r="P52" s="9">
        <f>IF(OR(P51="",P4=""),"",IFERROR(P51/P4,""))</f>
        <v/>
      </c>
      <c r="Q52" s="9">
        <f>IF(OR(Q51="",Q4=""),"",IFERROR(Q51/Q4,""))</f>
        <v/>
      </c>
      <c r="R52" s="9">
        <f>IF(OR(R51="",R4=""),"",IFERROR(R51/R4,""))</f>
        <v/>
      </c>
      <c r="S52" s="9">
        <f>IF(OR(S51="",S4=""),"",IFERROR(S51/S4,""))</f>
        <v/>
      </c>
      <c r="T52" s="9">
        <f>IF(OR(T51="",T4=""),"",IFERROR(T51/T4,""))</f>
        <v/>
      </c>
      <c r="U52" s="9">
        <f>IF(OR(U51="",U4=""),"",IFERROR(U51/U4,""))</f>
        <v/>
      </c>
      <c r="V52" s="9">
        <f>IF(OR(V51="",V4=""),"",IFERROR(V51/V4,""))</f>
        <v/>
      </c>
      <c r="W52" s="9">
        <f>IF(OR(W51="",W4=""),"",IFERROR(W51/W4,""))</f>
        <v/>
      </c>
      <c r="X52" s="9">
        <f>IF(OR(X51="",X4=""),"",IFERROR(X51/X4,""))</f>
        <v/>
      </c>
      <c r="Y52" s="9">
        <f>IF(OR(Y51="",Y4=""),"",IFERROR(Y51/Y4,""))</f>
        <v/>
      </c>
      <c r="Z52" s="9">
        <f>IF(OR(Z51="",Z4=""),"",IFERROR(Z51/Z4,""))</f>
        <v/>
      </c>
      <c r="AA52" s="9">
        <f>IF(OR(AA51="",AA4=""),"",IFERROR(AA51/AA4,""))</f>
        <v/>
      </c>
      <c r="AB52" s="9">
        <f>IF(OR(AB51="",AB4=""),"",IFERROR(AB51/AB4,""))</f>
        <v/>
      </c>
    </row>
    <row r="53">
      <c r="A53" s="8" t="inlineStr">
        <is>
          <t>YoY</t>
        </is>
      </c>
      <c r="G53" s="9">
        <f>IF(OR(G51="",C51=""),"",IFERROR(G51/C51-1,""))</f>
        <v/>
      </c>
      <c r="H53" s="9">
        <f>IF(OR(H51="",D51=""),"",IFERROR(H51/D51-1,""))</f>
        <v/>
      </c>
      <c r="I53" s="9">
        <f>IF(OR(I51="",E51=""),"",IFERROR(I51/E51-1,""))</f>
        <v/>
      </c>
      <c r="J53" s="9">
        <f>IF(OR(J51="",F51=""),"",IFERROR(J51/F51-1,""))</f>
        <v/>
      </c>
      <c r="K53" s="9">
        <f>IF(OR(K51="",G51=""),"",IFERROR(K51/G51-1,""))</f>
        <v/>
      </c>
      <c r="L53" s="9">
        <f>IF(OR(L51="",H51=""),"",IFERROR(L51/H51-1,""))</f>
        <v/>
      </c>
      <c r="M53" s="9">
        <f>IF(OR(M51="",I51=""),"",IFERROR(M51/I51-1,""))</f>
        <v/>
      </c>
      <c r="N53" s="9">
        <f>IF(OR(N51="",J51=""),"",IFERROR(N51/J51-1,""))</f>
        <v/>
      </c>
      <c r="O53" s="9">
        <f>IF(OR(O51="",K51=""),"",IFERROR(O51/K51-1,""))</f>
        <v/>
      </c>
      <c r="P53" s="9">
        <f>IF(OR(P51="",L51=""),"",IFERROR(P51/L51-1,""))</f>
        <v/>
      </c>
      <c r="Q53" s="9">
        <f>IF(OR(Q51="",M51=""),"",IFERROR(Q51/M51-1,""))</f>
        <v/>
      </c>
      <c r="R53" s="9">
        <f>IF(OR(R51="",N51=""),"",IFERROR(R51/N51-1,""))</f>
        <v/>
      </c>
      <c r="S53" s="9">
        <f>IF(OR(S51="",O51=""),"",IFERROR(S51/O51-1,""))</f>
        <v/>
      </c>
      <c r="T53" s="9">
        <f>IF(OR(T51="",P51=""),"",IFERROR(T51/P51-1,""))</f>
        <v/>
      </c>
      <c r="U53" s="9">
        <f>IF(OR(U51="",Q51=""),"",IFERROR(U51/Q51-1,""))</f>
        <v/>
      </c>
      <c r="V53" s="9">
        <f>IF(OR(V51="",R51=""),"",IFERROR(V51/R51-1,""))</f>
        <v/>
      </c>
      <c r="X53" s="9">
        <f>IF(OR(X51="",W51=""),"",IFERROR(X51/W51-1,""))</f>
        <v/>
      </c>
      <c r="Y53" s="9">
        <f>IF(OR(Y51="",X51=""),"",IFERROR(Y51/X51-1,""))</f>
        <v/>
      </c>
      <c r="Z53" s="9">
        <f>IF(OR(Z51="",Y51=""),"",IFERROR(Z51/Y51-1,""))</f>
        <v/>
      </c>
      <c r="AA53" s="9">
        <f>IF(OR(AA51="",Z51=""),"",IFERROR(AA51/Z51-1,""))</f>
        <v/>
      </c>
      <c r="AB53" s="9">
        <f>IF(OR(AB51="",AA51=""),"",IFERROR(AB51/AA51-1,""))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9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40" customWidth="1" min="29" max="29"/>
  </cols>
  <sheetData>
    <row r="1">
      <c r="A1" s="1" t="inlineStr">
        <is>
          <t>비위드 포괄손익</t>
        </is>
      </c>
    </row>
    <row r="2">
      <c r="A2" s="2" t="inlineStr">
        <is>
          <t>결산기 기준(27.2Q = 2027년 결산기 2분기) · 5월 결산 · 연결 · 분기 단독(누계 차분) · 오른쪽 FY = 연간</t>
        </is>
      </c>
      <c r="B2" s="3" t="inlineStr">
        <is>
          <t>(단위: 억엔)</t>
        </is>
      </c>
    </row>
    <row r="3">
      <c r="A3" s="4" t="inlineStr">
        <is>
          <t>항목</t>
        </is>
      </c>
      <c r="B3" s="4" t="inlineStr">
        <is>
          <t>참고</t>
        </is>
      </c>
      <c r="C3" s="4" t="inlineStr">
        <is>
          <t>22.2Q</t>
        </is>
      </c>
      <c r="D3" s="4" t="inlineStr">
        <is>
          <t>22.3Q</t>
        </is>
      </c>
      <c r="E3" s="4" t="inlineStr">
        <is>
          <t>22.4Q</t>
        </is>
      </c>
      <c r="F3" s="4" t="inlineStr">
        <is>
          <t>23.1Q</t>
        </is>
      </c>
      <c r="G3" s="4" t="inlineStr">
        <is>
          <t>23.2Q</t>
        </is>
      </c>
      <c r="H3" s="4" t="inlineStr">
        <is>
          <t>23.3Q</t>
        </is>
      </c>
      <c r="I3" s="4" t="inlineStr">
        <is>
          <t>23.4Q</t>
        </is>
      </c>
      <c r="J3" s="4" t="inlineStr">
        <is>
          <t>24.1Q</t>
        </is>
      </c>
      <c r="K3" s="4" t="inlineStr">
        <is>
          <t>24.2Q</t>
        </is>
      </c>
      <c r="L3" s="4" t="inlineStr">
        <is>
          <t>24.3Q</t>
        </is>
      </c>
      <c r="M3" s="4" t="inlineStr">
        <is>
          <t>24.4Q</t>
        </is>
      </c>
      <c r="N3" s="4" t="inlineStr">
        <is>
          <t>25.1Q</t>
        </is>
      </c>
      <c r="O3" s="4" t="inlineStr">
        <is>
          <t>25.2Q</t>
        </is>
      </c>
      <c r="P3" s="4" t="inlineStr">
        <is>
          <t>25.3Q</t>
        </is>
      </c>
      <c r="Q3" s="4" t="inlineStr">
        <is>
          <t>25.4Q</t>
        </is>
      </c>
      <c r="R3" s="4" t="inlineStr">
        <is>
          <t>26.1Q</t>
        </is>
      </c>
      <c r="S3" s="4" t="inlineStr">
        <is>
          <t>26.2Q</t>
        </is>
      </c>
      <c r="T3" s="4" t="inlineStr">
        <is>
          <t>26.3Q</t>
        </is>
      </c>
      <c r="U3" s="4" t="inlineStr">
        <is>
          <t>26.4Q</t>
        </is>
      </c>
      <c r="V3" s="4" t="inlineStr">
        <is>
          <t>27.1Q</t>
        </is>
      </c>
      <c r="W3" s="4" t="inlineStr">
        <is>
          <t>FY21</t>
        </is>
      </c>
      <c r="X3" s="4" t="inlineStr">
        <is>
          <t>FY22</t>
        </is>
      </c>
      <c r="Y3" s="4" t="inlineStr">
        <is>
          <t>FY23</t>
        </is>
      </c>
      <c r="Z3" s="4" t="inlineStr">
        <is>
          <t>FY24</t>
        </is>
      </c>
      <c r="AA3" s="4" t="inlineStr">
        <is>
          <t>FY25</t>
        </is>
      </c>
      <c r="AB3" s="4" t="inlineStr">
        <is>
          <t>FY26</t>
        </is>
      </c>
      <c r="AC3" s="4" t="inlineStr">
        <is>
          <t>출처</t>
        </is>
      </c>
    </row>
    <row r="4">
      <c r="A4" s="5" t="inlineStr">
        <is>
          <t>순이익</t>
        </is>
      </c>
      <c r="D4" s="6" t="n">
        <v>5.9019</v>
      </c>
      <c r="E4" s="6" t="n">
        <v>3.3776</v>
      </c>
      <c r="F4" s="6" t="n">
        <v>1.2484</v>
      </c>
      <c r="G4" s="6" t="n">
        <v>3.9911</v>
      </c>
      <c r="H4" s="6" t="n">
        <v>5.0188</v>
      </c>
      <c r="I4" s="6" t="n">
        <v>6.5235</v>
      </c>
      <c r="J4" s="6" t="n">
        <v>4.4097</v>
      </c>
      <c r="K4" s="6" t="n">
        <v>5.1722</v>
      </c>
      <c r="L4" s="6" t="n">
        <v>4.1847</v>
      </c>
      <c r="M4" s="6" t="n">
        <v>4.5657</v>
      </c>
      <c r="N4" s="6" t="n">
        <v>2.57</v>
      </c>
      <c r="O4" s="6" t="n">
        <v>3.03</v>
      </c>
      <c r="P4" s="6" t="n">
        <v>1.93</v>
      </c>
      <c r="Q4" s="6" t="n">
        <v>-2.92</v>
      </c>
      <c r="R4" s="6" t="n">
        <v>0.88</v>
      </c>
      <c r="S4" s="6" t="n">
        <v>1.47</v>
      </c>
      <c r="T4" s="6" t="n">
        <v>2.93</v>
      </c>
      <c r="U4" s="6" t="n">
        <v>0.46</v>
      </c>
      <c r="V4" s="6" t="n">
        <v>3.07</v>
      </c>
      <c r="W4" s="6" t="n">
        <v>16.622</v>
      </c>
      <c r="X4" s="6" t="n">
        <v>17.7689</v>
      </c>
      <c r="Y4" s="6" t="n">
        <v>16.7818</v>
      </c>
      <c r="Z4" s="6" t="n">
        <v>18.3323</v>
      </c>
      <c r="AA4" s="6" t="n">
        <v>4.61</v>
      </c>
      <c r="AB4" s="6" t="n">
        <v>5.74</v>
      </c>
      <c r="AC4" s="7" t="inlineStr">
        <is>
          <t>결산단신 XBRL(거래소 공시, TDnet·JPX 보관소). 쓴 문서: 2026-10-13, 2026-07-13, 2026-04-10, 2026-01-09 외 15건 — '출처' 시트에 전부</t>
        </is>
      </c>
    </row>
    <row r="5">
      <c r="A5" s="10" t="inlineStr">
        <is>
          <t>해외사업환산조정</t>
        </is>
      </c>
      <c r="R5" s="11" t="n">
        <v>0</v>
      </c>
      <c r="V5" s="11" t="n">
        <v>0.19</v>
      </c>
    </row>
    <row r="6">
      <c r="A6" s="10" t="inlineStr">
        <is>
          <t>기타포괄손익 합계</t>
        </is>
      </c>
      <c r="R6" s="11" t="n">
        <v>0</v>
      </c>
      <c r="V6" s="11" t="n">
        <v>0.19</v>
      </c>
    </row>
    <row r="7">
      <c r="A7" s="10" t="inlineStr">
        <is>
          <t>포괄이익</t>
        </is>
      </c>
      <c r="D7" s="11" t="n">
        <v>5.9019</v>
      </c>
      <c r="E7" s="11" t="n">
        <v>3.3776</v>
      </c>
      <c r="F7" s="11" t="n">
        <v>1.2484</v>
      </c>
      <c r="G7" s="11" t="n">
        <v>3.9911</v>
      </c>
      <c r="H7" s="11" t="n">
        <v>5.0188</v>
      </c>
      <c r="I7" s="11" t="n">
        <v>6.5235</v>
      </c>
      <c r="J7" s="11" t="n">
        <v>4.4097</v>
      </c>
      <c r="K7" s="11" t="n">
        <v>5.1722</v>
      </c>
      <c r="L7" s="11" t="n">
        <v>4.1847</v>
      </c>
      <c r="M7" s="11" t="n">
        <v>4.5657</v>
      </c>
      <c r="N7" s="11" t="n">
        <v>2.57</v>
      </c>
      <c r="O7" s="11" t="n">
        <v>3.03</v>
      </c>
      <c r="P7" s="11" t="n">
        <v>1.93</v>
      </c>
      <c r="Q7" s="11" t="n">
        <v>-2.92</v>
      </c>
      <c r="R7" s="11" t="n">
        <v>0.88</v>
      </c>
      <c r="S7" s="11" t="n">
        <v>1.47</v>
      </c>
      <c r="T7" s="11" t="n">
        <v>2.93</v>
      </c>
      <c r="U7" s="11" t="n">
        <v>0.46</v>
      </c>
      <c r="V7" s="11" t="n">
        <v>3.27</v>
      </c>
      <c r="W7" s="11" t="n">
        <v>16.622</v>
      </c>
      <c r="X7" s="11" t="n">
        <v>17.7689</v>
      </c>
      <c r="Y7" s="11" t="n">
        <v>16.7818</v>
      </c>
      <c r="Z7" s="11" t="n">
        <v>18.3323</v>
      </c>
      <c r="AA7" s="11" t="n">
        <v>4.61</v>
      </c>
      <c r="AB7" s="11" t="n">
        <v>5.74</v>
      </c>
    </row>
    <row r="8">
      <c r="A8" s="10" t="inlineStr">
        <is>
          <t>지배주주 포괄이익</t>
        </is>
      </c>
      <c r="D8" s="11" t="n">
        <v>5.9019</v>
      </c>
      <c r="E8" s="11" t="n">
        <v>3.3776</v>
      </c>
      <c r="F8" s="11" t="n">
        <v>1.2484</v>
      </c>
      <c r="G8" s="11" t="n">
        <v>3.9911</v>
      </c>
      <c r="H8" s="11" t="n">
        <v>5.0188</v>
      </c>
      <c r="I8" s="11" t="n">
        <v>6.5235</v>
      </c>
      <c r="J8" s="11" t="n">
        <v>4.4097</v>
      </c>
      <c r="K8" s="11" t="n">
        <v>5.1722</v>
      </c>
      <c r="L8" s="11" t="n">
        <v>4.1847</v>
      </c>
      <c r="M8" s="11" t="n">
        <v>4.5657</v>
      </c>
      <c r="N8" s="11" t="n">
        <v>2.57</v>
      </c>
      <c r="O8" s="11" t="n">
        <v>3.03</v>
      </c>
      <c r="P8" s="11" t="n">
        <v>1.88</v>
      </c>
      <c r="Q8" s="11" t="n">
        <v>-2.96</v>
      </c>
      <c r="R8" s="11" t="n">
        <v>0.97</v>
      </c>
      <c r="S8" s="11" t="n">
        <v>1.48</v>
      </c>
      <c r="T8" s="11" t="n">
        <v>2.92</v>
      </c>
      <c r="U8" s="11" t="n">
        <v>0.42</v>
      </c>
      <c r="V8" s="11" t="n">
        <v>3.17</v>
      </c>
      <c r="W8" s="11" t="n">
        <v>16.554</v>
      </c>
      <c r="X8" s="11" t="n">
        <v>17.7689</v>
      </c>
      <c r="Y8" s="11" t="n">
        <v>16.7818</v>
      </c>
      <c r="Z8" s="11" t="n">
        <v>18.3323</v>
      </c>
      <c r="AA8" s="11" t="n">
        <v>4.52</v>
      </c>
      <c r="AB8" s="11" t="n">
        <v>5.79</v>
      </c>
    </row>
    <row r="9">
      <c r="A9" s="10" t="inlineStr">
        <is>
          <t>비지배주주 포괄이익</t>
        </is>
      </c>
      <c r="M9" s="11" t="n">
        <v>0</v>
      </c>
      <c r="N9" s="11" t="n">
        <v>0</v>
      </c>
      <c r="O9" s="11" t="n">
        <v>0</v>
      </c>
      <c r="P9" s="11" t="n">
        <v>0.05</v>
      </c>
      <c r="Q9" s="11" t="n">
        <v>0.04</v>
      </c>
      <c r="R9" s="11" t="n">
        <v>-0.08</v>
      </c>
      <c r="S9" s="11" t="n">
        <v>-0.01</v>
      </c>
      <c r="T9" s="11" t="n">
        <v>0.01</v>
      </c>
      <c r="U9" s="11" t="n">
        <v>0.04</v>
      </c>
      <c r="V9" s="11" t="n">
        <v>0.1</v>
      </c>
      <c r="W9" s="11" t="n">
        <v>0.068</v>
      </c>
      <c r="X9" s="11" t="n">
        <v>0</v>
      </c>
      <c r="Z9" s="11" t="n">
        <v>0</v>
      </c>
      <c r="AA9" s="11" t="n">
        <v>0.09</v>
      </c>
      <c r="AB9" s="11" t="n">
        <v>-0.04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C67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40" customWidth="1" min="29" max="29"/>
  </cols>
  <sheetData>
    <row r="1">
      <c r="A1" s="1" t="inlineStr">
        <is>
          <t>비위드 재무상태표</t>
        </is>
      </c>
    </row>
    <row r="2">
      <c r="A2" s="2" t="inlineStr">
        <is>
          <t>결산기 기준(27.2Q = 2027년 결산기 2분기) · 5월 결산 · 연결 · 분기 말 잔액 · 오른쪽 FY = 연간</t>
        </is>
      </c>
      <c r="B2" s="3" t="inlineStr">
        <is>
          <t>(단위: 억엔)</t>
        </is>
      </c>
    </row>
    <row r="3">
      <c r="A3" s="4" t="inlineStr">
        <is>
          <t>항목</t>
        </is>
      </c>
      <c r="B3" s="4" t="inlineStr">
        <is>
          <t>참고</t>
        </is>
      </c>
      <c r="C3" s="4" t="inlineStr">
        <is>
          <t>22.2Q</t>
        </is>
      </c>
      <c r="D3" s="4" t="inlineStr">
        <is>
          <t>22.3Q</t>
        </is>
      </c>
      <c r="E3" s="4" t="inlineStr">
        <is>
          <t>22.4Q</t>
        </is>
      </c>
      <c r="F3" s="4" t="inlineStr">
        <is>
          <t>23.1Q</t>
        </is>
      </c>
      <c r="G3" s="4" t="inlineStr">
        <is>
          <t>23.2Q</t>
        </is>
      </c>
      <c r="H3" s="4" t="inlineStr">
        <is>
          <t>23.3Q</t>
        </is>
      </c>
      <c r="I3" s="4" t="inlineStr">
        <is>
          <t>23.4Q</t>
        </is>
      </c>
      <c r="J3" s="4" t="inlineStr">
        <is>
          <t>24.1Q</t>
        </is>
      </c>
      <c r="K3" s="4" t="inlineStr">
        <is>
          <t>24.2Q</t>
        </is>
      </c>
      <c r="L3" s="4" t="inlineStr">
        <is>
          <t>24.3Q</t>
        </is>
      </c>
      <c r="M3" s="4" t="inlineStr">
        <is>
          <t>24.4Q</t>
        </is>
      </c>
      <c r="N3" s="4" t="inlineStr">
        <is>
          <t>25.1Q</t>
        </is>
      </c>
      <c r="O3" s="4" t="inlineStr">
        <is>
          <t>25.2Q</t>
        </is>
      </c>
      <c r="P3" s="4" t="inlineStr">
        <is>
          <t>25.3Q</t>
        </is>
      </c>
      <c r="Q3" s="4" t="inlineStr">
        <is>
          <t>25.4Q</t>
        </is>
      </c>
      <c r="R3" s="4" t="inlineStr">
        <is>
          <t>26.1Q</t>
        </is>
      </c>
      <c r="S3" s="4" t="inlineStr">
        <is>
          <t>26.2Q</t>
        </is>
      </c>
      <c r="T3" s="4" t="inlineStr">
        <is>
          <t>26.3Q</t>
        </is>
      </c>
      <c r="U3" s="4" t="inlineStr">
        <is>
          <t>26.4Q</t>
        </is>
      </c>
      <c r="V3" s="4" t="inlineStr">
        <is>
          <t>27.1Q</t>
        </is>
      </c>
      <c r="W3" s="4" t="inlineStr">
        <is>
          <t>FY21</t>
        </is>
      </c>
      <c r="X3" s="4" t="inlineStr">
        <is>
          <t>FY22</t>
        </is>
      </c>
      <c r="Y3" s="4" t="inlineStr">
        <is>
          <t>FY23</t>
        </is>
      </c>
      <c r="Z3" s="4" t="inlineStr">
        <is>
          <t>FY24</t>
        </is>
      </c>
      <c r="AA3" s="4" t="inlineStr">
        <is>
          <t>FY25</t>
        </is>
      </c>
      <c r="AB3" s="4" t="inlineStr">
        <is>
          <t>FY26</t>
        </is>
      </c>
      <c r="AC3" s="4" t="inlineStr">
        <is>
          <t>출처</t>
        </is>
      </c>
    </row>
    <row r="4">
      <c r="A4" s="10" t="inlineStr">
        <is>
          <t>현금 및 예금</t>
        </is>
      </c>
      <c r="D4" s="11" t="n">
        <v>25.625</v>
      </c>
      <c r="E4" s="11" t="n">
        <v>44.2971</v>
      </c>
      <c r="F4" s="11" t="n">
        <v>33.5809</v>
      </c>
      <c r="G4" s="11" t="n">
        <v>37.2469</v>
      </c>
      <c r="H4" s="11" t="n">
        <v>39.3057</v>
      </c>
      <c r="I4" s="11" t="n">
        <v>49.1371</v>
      </c>
      <c r="J4" s="11" t="n">
        <v>42.5167</v>
      </c>
      <c r="K4" s="11" t="n">
        <v>49.5283</v>
      </c>
      <c r="L4" s="11" t="n">
        <v>53.1144</v>
      </c>
      <c r="M4" s="11" t="n">
        <v>60.9971</v>
      </c>
      <c r="N4" s="11" t="n">
        <v>51.807</v>
      </c>
      <c r="O4" s="11" t="n">
        <v>57.0789</v>
      </c>
      <c r="P4" s="11" t="n">
        <v>49.4155</v>
      </c>
      <c r="Q4" s="11" t="n">
        <v>60.88</v>
      </c>
      <c r="R4" s="11" t="n">
        <v>45.56</v>
      </c>
      <c r="S4" s="11" t="n">
        <v>49.87</v>
      </c>
      <c r="T4" s="11" t="n">
        <v>52.2</v>
      </c>
      <c r="U4" s="11" t="n">
        <v>64.92</v>
      </c>
      <c r="V4" s="11" t="n">
        <v>45.44</v>
      </c>
      <c r="W4" s="11" t="n">
        <v>26.2861</v>
      </c>
      <c r="X4" s="11" t="n">
        <v>44.2971</v>
      </c>
      <c r="Y4" s="11" t="n">
        <v>49.1371</v>
      </c>
      <c r="Z4" s="11" t="n">
        <v>60.9971</v>
      </c>
      <c r="AA4" s="11" t="n">
        <v>60.88</v>
      </c>
      <c r="AB4" s="11" t="n">
        <v>64.92</v>
      </c>
      <c r="AC4" s="7" t="inlineStr">
        <is>
          <t>결산단신 XBRL(거래소 공시, TDnet·JPX 보관소). 쓴 문서: 2026-10-13, 2026-07-13, 2026-04-10, 2026-01-09 외 15건 — '출처' 시트에 전부</t>
        </is>
      </c>
    </row>
    <row r="5">
      <c r="A5" s="10" t="inlineStr">
        <is>
          <t>매출채권</t>
        </is>
      </c>
      <c r="D5" s="11" t="n">
        <v>39.5365</v>
      </c>
      <c r="E5" s="11" t="n">
        <v>34.0092</v>
      </c>
      <c r="F5" s="11" t="n">
        <v>36.0977</v>
      </c>
      <c r="G5" s="11" t="n">
        <v>39.9997</v>
      </c>
      <c r="H5" s="11" t="n">
        <v>40.9085</v>
      </c>
      <c r="I5" s="11" t="n">
        <v>40.5046</v>
      </c>
      <c r="J5" s="11" t="n">
        <v>42.7929</v>
      </c>
      <c r="K5" s="11" t="n">
        <v>44.2745</v>
      </c>
      <c r="L5" s="11" t="n">
        <v>40.9507</v>
      </c>
      <c r="M5" s="11" t="n">
        <v>41.7427</v>
      </c>
      <c r="N5" s="11" t="n">
        <v>41.4973</v>
      </c>
      <c r="O5" s="11" t="n">
        <v>43.4893</v>
      </c>
      <c r="P5" s="11" t="n">
        <v>39.3882</v>
      </c>
      <c r="Q5" s="11" t="n">
        <v>40.89</v>
      </c>
      <c r="R5" s="11" t="n">
        <v>40.56</v>
      </c>
      <c r="S5" s="11" t="n">
        <v>42.01</v>
      </c>
      <c r="T5" s="11" t="n">
        <v>40.78</v>
      </c>
      <c r="U5" s="11" t="n">
        <v>45.66</v>
      </c>
      <c r="V5" s="11" t="n">
        <v>43.92</v>
      </c>
      <c r="W5" s="11" t="n">
        <v>33.5329</v>
      </c>
      <c r="X5" s="11" t="n">
        <v>34.0092</v>
      </c>
      <c r="Y5" s="11" t="n">
        <v>40.5046</v>
      </c>
      <c r="Z5" s="11" t="n">
        <v>41.7427</v>
      </c>
      <c r="AA5" s="11" t="n">
        <v>40.89</v>
      </c>
      <c r="AB5" s="11" t="n">
        <v>45.66</v>
      </c>
    </row>
    <row r="6">
      <c r="A6" s="10" t="inlineStr">
        <is>
          <t>전자기록채권</t>
        </is>
      </c>
      <c r="D6" s="11" t="n">
        <v>0.3439</v>
      </c>
      <c r="E6" s="11" t="n">
        <v>0.3323</v>
      </c>
      <c r="F6" s="11" t="n">
        <v>0.3561</v>
      </c>
      <c r="G6" s="11" t="n">
        <v>0.3722</v>
      </c>
      <c r="H6" s="11" t="n">
        <v>0.3302</v>
      </c>
      <c r="I6" s="11" t="n">
        <v>0.3041</v>
      </c>
      <c r="J6" s="11" t="n">
        <v>0.3088</v>
      </c>
      <c r="K6" s="11" t="n">
        <v>0.2618</v>
      </c>
      <c r="L6" s="11" t="n">
        <v>0.0641</v>
      </c>
      <c r="M6" s="11" t="n">
        <v>0</v>
      </c>
      <c r="W6" s="11" t="n">
        <v>0.3712</v>
      </c>
      <c r="X6" s="11" t="n">
        <v>0.3323</v>
      </c>
      <c r="Y6" s="11" t="n">
        <v>0.3041</v>
      </c>
      <c r="Z6" s="11" t="n">
        <v>0</v>
      </c>
    </row>
    <row r="7">
      <c r="A7" s="10" t="inlineStr">
        <is>
          <t>계약자산</t>
        </is>
      </c>
      <c r="Q7" s="11" t="n">
        <v>0</v>
      </c>
      <c r="U7" s="11" t="n">
        <v>0.6899999999999999</v>
      </c>
      <c r="V7" s="11" t="n">
        <v>0.83</v>
      </c>
      <c r="AA7" s="11" t="n">
        <v>0</v>
      </c>
      <c r="AB7" s="11" t="n">
        <v>0.6899999999999999</v>
      </c>
    </row>
    <row r="8">
      <c r="A8" s="10" t="inlineStr">
        <is>
          <t>상품</t>
        </is>
      </c>
      <c r="D8" s="11" t="n">
        <v>0.0179</v>
      </c>
      <c r="E8" s="11" t="n">
        <v>0.0179</v>
      </c>
      <c r="F8" s="11" t="n">
        <v>0.06519999999999999</v>
      </c>
      <c r="G8" s="11" t="n">
        <v>0.0442</v>
      </c>
      <c r="H8" s="11" t="n">
        <v>0.0796</v>
      </c>
      <c r="I8" s="11" t="n">
        <v>0.3038</v>
      </c>
      <c r="J8" s="11" t="n">
        <v>0.1041</v>
      </c>
      <c r="K8" s="11" t="n">
        <v>0.0482</v>
      </c>
      <c r="L8" s="11" t="n">
        <v>0.0856</v>
      </c>
      <c r="M8" s="11" t="n">
        <v>0.0594</v>
      </c>
      <c r="N8" s="11" t="n">
        <v>0.07290000000000001</v>
      </c>
      <c r="O8" s="11" t="n">
        <v>0.1144</v>
      </c>
      <c r="P8" s="11" t="n">
        <v>0.0843</v>
      </c>
      <c r="Q8" s="11" t="n">
        <v>0.02</v>
      </c>
      <c r="R8" s="11" t="n">
        <v>0.06</v>
      </c>
      <c r="S8" s="11" t="n">
        <v>0.01</v>
      </c>
      <c r="T8" s="11" t="n">
        <v>0.01</v>
      </c>
      <c r="U8" s="11" t="n">
        <v>0.37</v>
      </c>
      <c r="V8" s="11" t="n">
        <v>0.52</v>
      </c>
      <c r="W8" s="11" t="n">
        <v>0.0343</v>
      </c>
      <c r="X8" s="11" t="n">
        <v>0.0179</v>
      </c>
      <c r="Y8" s="11" t="n">
        <v>0.3038</v>
      </c>
      <c r="Z8" s="11" t="n">
        <v>0.0594</v>
      </c>
      <c r="AA8" s="11" t="n">
        <v>0.02</v>
      </c>
      <c r="AB8" s="11" t="n">
        <v>0.37</v>
      </c>
    </row>
    <row r="9">
      <c r="A9" s="10" t="inlineStr">
        <is>
          <t>재공품</t>
        </is>
      </c>
      <c r="E9" s="11" t="n">
        <v>0</v>
      </c>
      <c r="F9" s="11" t="n">
        <v>0.0522</v>
      </c>
      <c r="H9" s="11" t="n">
        <v>0.0279</v>
      </c>
      <c r="I9" s="11" t="n">
        <v>0.0117</v>
      </c>
      <c r="J9" s="11" t="n">
        <v>0.09320000000000001</v>
      </c>
      <c r="K9" s="11" t="n">
        <v>0.0107</v>
      </c>
      <c r="L9" s="11" t="n">
        <v>0.0474</v>
      </c>
      <c r="M9" s="11" t="n">
        <v>0.013</v>
      </c>
      <c r="N9" s="11" t="n">
        <v>0.1804</v>
      </c>
      <c r="O9" s="11" t="n">
        <v>0.3676</v>
      </c>
      <c r="P9" s="11" t="n">
        <v>0.6099</v>
      </c>
      <c r="Q9" s="11" t="n">
        <v>0.61</v>
      </c>
      <c r="R9" s="11" t="n">
        <v>0.84</v>
      </c>
      <c r="S9" s="11" t="n">
        <v>1.01</v>
      </c>
      <c r="T9" s="11" t="n">
        <v>0.27</v>
      </c>
      <c r="U9" s="11" t="n">
        <v>0.02</v>
      </c>
      <c r="V9" s="11" t="n">
        <v>0.13</v>
      </c>
      <c r="X9" s="11" t="n">
        <v>0</v>
      </c>
      <c r="Y9" s="11" t="n">
        <v>0.0117</v>
      </c>
      <c r="Z9" s="11" t="n">
        <v>0.013</v>
      </c>
      <c r="AA9" s="11" t="n">
        <v>0.61</v>
      </c>
      <c r="AB9" s="11" t="n">
        <v>0.02</v>
      </c>
    </row>
    <row r="10">
      <c r="A10" s="10" t="inlineStr">
        <is>
          <t>저장품</t>
        </is>
      </c>
      <c r="D10" s="11" t="n">
        <v>0.0206</v>
      </c>
      <c r="E10" s="11" t="n">
        <v>0.0604</v>
      </c>
      <c r="F10" s="11" t="n">
        <v>0.038</v>
      </c>
      <c r="G10" s="11" t="n">
        <v>0.038</v>
      </c>
      <c r="H10" s="11" t="n">
        <v>0.0331</v>
      </c>
      <c r="I10" s="11" t="n">
        <v>0.039</v>
      </c>
      <c r="J10" s="11" t="n">
        <v>0.039</v>
      </c>
      <c r="K10" s="11" t="n">
        <v>0.0341</v>
      </c>
      <c r="L10" s="11" t="n">
        <v>0.0316</v>
      </c>
      <c r="M10" s="11" t="n">
        <v>0.018</v>
      </c>
      <c r="N10" s="11" t="n">
        <v>0.018</v>
      </c>
      <c r="O10" s="11" t="n">
        <v>0.018</v>
      </c>
      <c r="P10" s="11" t="n">
        <v>0.018</v>
      </c>
      <c r="Q10" s="11" t="n">
        <v>0.04</v>
      </c>
      <c r="R10" s="11" t="n">
        <v>0.02</v>
      </c>
      <c r="S10" s="11" t="n">
        <v>0.02</v>
      </c>
      <c r="T10" s="11" t="n">
        <v>0.02</v>
      </c>
      <c r="U10" s="11" t="n">
        <v>0.04</v>
      </c>
      <c r="V10" s="11" t="n">
        <v>0.01</v>
      </c>
      <c r="W10" s="11" t="n">
        <v>0.0289</v>
      </c>
      <c r="X10" s="11" t="n">
        <v>0.0604</v>
      </c>
      <c r="Y10" s="11" t="n">
        <v>0.039</v>
      </c>
      <c r="Z10" s="11" t="n">
        <v>0.018</v>
      </c>
      <c r="AA10" s="11" t="n">
        <v>0.04</v>
      </c>
      <c r="AB10" s="11" t="n">
        <v>0.04</v>
      </c>
    </row>
    <row r="11">
      <c r="A11" s="10" t="inlineStr">
        <is>
          <t>기타</t>
        </is>
      </c>
      <c r="D11" s="11" t="n">
        <v>2.2116</v>
      </c>
      <c r="E11" s="11" t="n">
        <v>2.9921</v>
      </c>
      <c r="F11" s="11" t="n">
        <v>3.2182</v>
      </c>
      <c r="G11" s="11" t="n">
        <v>3.0191</v>
      </c>
      <c r="H11" s="11" t="n">
        <v>2.7393</v>
      </c>
      <c r="I11" s="11" t="n">
        <v>3.4082</v>
      </c>
      <c r="J11" s="11" t="n">
        <v>3.5298</v>
      </c>
      <c r="K11" s="11" t="n">
        <v>3.0442</v>
      </c>
      <c r="L11" s="11" t="n">
        <v>3.0087</v>
      </c>
      <c r="M11" s="11" t="n">
        <v>3.7022</v>
      </c>
      <c r="N11" s="11" t="n">
        <v>4.4615</v>
      </c>
      <c r="O11" s="11" t="n">
        <v>3.6119</v>
      </c>
      <c r="P11" s="11" t="n">
        <v>4.3079</v>
      </c>
      <c r="Q11" s="11" t="n">
        <v>3.6</v>
      </c>
      <c r="R11" s="11" t="n">
        <v>4.12</v>
      </c>
      <c r="S11" s="11" t="n">
        <v>3.68</v>
      </c>
      <c r="T11" s="11" t="n">
        <v>4.02</v>
      </c>
      <c r="U11" s="11" t="n">
        <v>4.54</v>
      </c>
      <c r="V11" s="11" t="n">
        <v>5.11</v>
      </c>
      <c r="W11" s="11" t="n">
        <v>2.4432</v>
      </c>
      <c r="X11" s="11" t="n">
        <v>2.9921</v>
      </c>
      <c r="Y11" s="11" t="n">
        <v>3.4082</v>
      </c>
      <c r="Z11" s="11" t="n">
        <v>3.7022</v>
      </c>
      <c r="AA11" s="11" t="n">
        <v>3.6</v>
      </c>
      <c r="AB11" s="11" t="n">
        <v>4.54</v>
      </c>
    </row>
    <row r="12">
      <c r="A12" s="10" t="inlineStr">
        <is>
          <t>대손충당금</t>
        </is>
      </c>
      <c r="M12" s="11" t="n">
        <v>0</v>
      </c>
      <c r="Q12" s="11" t="n">
        <v>-0.03</v>
      </c>
      <c r="R12" s="11" t="n">
        <v>-0.03</v>
      </c>
      <c r="S12" s="11" t="n">
        <v>-0.02</v>
      </c>
      <c r="T12" s="11" t="n">
        <v>-0.02</v>
      </c>
      <c r="U12" s="11" t="n">
        <v>-0.07000000000000001</v>
      </c>
      <c r="V12" s="11" t="n">
        <v>-0.05</v>
      </c>
      <c r="Z12" s="11" t="n">
        <v>0</v>
      </c>
      <c r="AA12" s="11" t="n">
        <v>-0.03</v>
      </c>
      <c r="AB12" s="11" t="n">
        <v>-0.07000000000000001</v>
      </c>
    </row>
    <row r="13">
      <c r="A13" s="10" t="inlineStr">
        <is>
          <t>유동자산 합계</t>
        </is>
      </c>
      <c r="D13" s="11" t="n">
        <v>67.7555</v>
      </c>
      <c r="E13" s="11" t="n">
        <v>81.709</v>
      </c>
      <c r="F13" s="11" t="n">
        <v>73.4083</v>
      </c>
      <c r="G13" s="11" t="n">
        <v>80.72020000000001</v>
      </c>
      <c r="H13" s="11" t="n">
        <v>83.4242</v>
      </c>
      <c r="I13" s="11" t="n">
        <v>93.7085</v>
      </c>
      <c r="J13" s="11" t="n">
        <v>89.38460000000001</v>
      </c>
      <c r="K13" s="11" t="n">
        <v>97.20180000000001</v>
      </c>
      <c r="L13" s="11" t="n">
        <v>97.3023</v>
      </c>
      <c r="M13" s="11" t="n">
        <v>106.5324</v>
      </c>
      <c r="N13" s="11" t="n">
        <v>98.0371</v>
      </c>
      <c r="O13" s="11" t="n">
        <v>104.6801</v>
      </c>
      <c r="P13" s="11" t="n">
        <v>93.82389999999999</v>
      </c>
      <c r="Q13" s="11" t="n">
        <v>106.03</v>
      </c>
      <c r="R13" s="11" t="n">
        <v>91.16</v>
      </c>
      <c r="S13" s="11" t="n">
        <v>96.61</v>
      </c>
      <c r="T13" s="11" t="n">
        <v>97.3</v>
      </c>
      <c r="U13" s="11" t="n">
        <v>116.18</v>
      </c>
      <c r="V13" s="11" t="n">
        <v>95.94</v>
      </c>
      <c r="W13" s="11" t="n">
        <v>62.6967</v>
      </c>
      <c r="X13" s="11" t="n">
        <v>81.709</v>
      </c>
      <c r="Y13" s="11" t="n">
        <v>93.7085</v>
      </c>
      <c r="Z13" s="11" t="n">
        <v>106.5324</v>
      </c>
      <c r="AA13" s="11" t="n">
        <v>106.03</v>
      </c>
      <c r="AB13" s="11" t="n">
        <v>116.18</v>
      </c>
    </row>
    <row r="14">
      <c r="A14" s="10" t="inlineStr">
        <is>
          <t>건물</t>
        </is>
      </c>
      <c r="E14" s="11" t="n">
        <v>12.6883</v>
      </c>
      <c r="I14" s="11" t="n">
        <v>13.8377</v>
      </c>
      <c r="M14" s="11" t="n">
        <v>15.2493</v>
      </c>
      <c r="Q14" s="11" t="n">
        <v>21.71</v>
      </c>
      <c r="U14" s="11" t="n">
        <v>20.69</v>
      </c>
      <c r="W14" s="11" t="n">
        <v>11.9774</v>
      </c>
      <c r="X14" s="11" t="n">
        <v>12.6883</v>
      </c>
      <c r="Y14" s="11" t="n">
        <v>13.8377</v>
      </c>
      <c r="Z14" s="11" t="n">
        <v>15.2493</v>
      </c>
      <c r="AA14" s="11" t="n">
        <v>21.71</v>
      </c>
      <c r="AB14" s="11" t="n">
        <v>20.69</v>
      </c>
    </row>
    <row r="15">
      <c r="A15" s="10" t="inlineStr">
        <is>
          <t>감가상각누계액</t>
        </is>
      </c>
      <c r="E15" s="11" t="n">
        <v>-6.5996</v>
      </c>
      <c r="I15" s="11" t="n">
        <v>-7.3561</v>
      </c>
      <c r="M15" s="11" t="n">
        <v>-8.0862</v>
      </c>
      <c r="Q15" s="11" t="n">
        <v>-10.87</v>
      </c>
      <c r="U15" s="11" t="n">
        <v>-10.77</v>
      </c>
      <c r="W15" s="11" t="n">
        <v>-5.9202</v>
      </c>
      <c r="X15" s="11" t="n">
        <v>-6.5996</v>
      </c>
      <c r="Y15" s="11" t="n">
        <v>-7.3561</v>
      </c>
      <c r="Z15" s="11" t="n">
        <v>-8.0862</v>
      </c>
      <c r="AA15" s="11" t="n">
        <v>-10.87</v>
      </c>
      <c r="AB15" s="11" t="n">
        <v>-10.77</v>
      </c>
    </row>
    <row r="16">
      <c r="A16" s="10" t="inlineStr">
        <is>
          <t>건물(순액)</t>
        </is>
      </c>
      <c r="E16" s="11" t="n">
        <v>6.0887</v>
      </c>
      <c r="I16" s="11" t="n">
        <v>6.4816</v>
      </c>
      <c r="M16" s="11" t="n">
        <v>7.1631</v>
      </c>
      <c r="Q16" s="11" t="n">
        <v>10.83</v>
      </c>
      <c r="U16" s="11" t="n">
        <v>9.91</v>
      </c>
      <c r="W16" s="11" t="n">
        <v>6.0572</v>
      </c>
      <c r="X16" s="11" t="n">
        <v>6.0887</v>
      </c>
      <c r="Y16" s="11" t="n">
        <v>6.4816</v>
      </c>
      <c r="Z16" s="11" t="n">
        <v>7.1631</v>
      </c>
      <c r="AA16" s="11" t="n">
        <v>10.83</v>
      </c>
      <c r="AB16" s="11" t="n">
        <v>9.91</v>
      </c>
    </row>
    <row r="17">
      <c r="A17" s="10" t="inlineStr">
        <is>
          <t>공구·기구·비품</t>
        </is>
      </c>
      <c r="E17" s="11" t="n">
        <v>9.974500000000001</v>
      </c>
      <c r="I17" s="11" t="n">
        <v>10.4572</v>
      </c>
      <c r="M17" s="11" t="n">
        <v>10.3352</v>
      </c>
      <c r="Q17" s="11" t="n">
        <v>11.26</v>
      </c>
      <c r="U17" s="11" t="n">
        <v>14.64</v>
      </c>
      <c r="W17" s="11" t="n">
        <v>9.5184</v>
      </c>
      <c r="X17" s="11" t="n">
        <v>9.974500000000001</v>
      </c>
      <c r="Y17" s="11" t="n">
        <v>10.4572</v>
      </c>
      <c r="Z17" s="11" t="n">
        <v>10.3352</v>
      </c>
      <c r="AA17" s="11" t="n">
        <v>11.26</v>
      </c>
      <c r="AB17" s="11" t="n">
        <v>14.64</v>
      </c>
    </row>
    <row r="18">
      <c r="A18" s="10" t="inlineStr">
        <is>
          <t>감가상각누계액</t>
        </is>
      </c>
      <c r="E18" s="11" t="n">
        <v>-7.917</v>
      </c>
      <c r="I18" s="11" t="n">
        <v>-8.060600000000001</v>
      </c>
      <c r="M18" s="11" t="n">
        <v>-6.5095</v>
      </c>
      <c r="Q18" s="11" t="n">
        <v>-7.59</v>
      </c>
      <c r="U18" s="11" t="n">
        <v>-8.970000000000001</v>
      </c>
      <c r="W18" s="11" t="n">
        <v>-7.3089</v>
      </c>
      <c r="X18" s="11" t="n">
        <v>-7.917</v>
      </c>
      <c r="Y18" s="11" t="n">
        <v>-8.060600000000001</v>
      </c>
      <c r="Z18" s="11" t="n">
        <v>-6.5095</v>
      </c>
      <c r="AA18" s="11" t="n">
        <v>-7.59</v>
      </c>
      <c r="AB18" s="11" t="n">
        <v>-8.970000000000001</v>
      </c>
    </row>
    <row r="19">
      <c r="A19" s="10" t="inlineStr">
        <is>
          <t>공구·기구·비품(순액)</t>
        </is>
      </c>
      <c r="E19" s="11" t="n">
        <v>2.0576</v>
      </c>
      <c r="I19" s="11" t="n">
        <v>2.3967</v>
      </c>
      <c r="M19" s="11" t="n">
        <v>3.8257</v>
      </c>
      <c r="Q19" s="11" t="n">
        <v>3.67</v>
      </c>
      <c r="U19" s="11" t="n">
        <v>5.66</v>
      </c>
      <c r="W19" s="11" t="n">
        <v>2.2096</v>
      </c>
      <c r="X19" s="11" t="n">
        <v>2.0576</v>
      </c>
      <c r="Y19" s="11" t="n">
        <v>2.3967</v>
      </c>
      <c r="Z19" s="11" t="n">
        <v>3.8257</v>
      </c>
      <c r="AA19" s="11" t="n">
        <v>3.67</v>
      </c>
      <c r="AB19" s="11" t="n">
        <v>5.66</v>
      </c>
    </row>
    <row r="20">
      <c r="A20" s="10" t="inlineStr">
        <is>
          <t>건설중인자산</t>
        </is>
      </c>
      <c r="E20" s="11" t="n">
        <v>0</v>
      </c>
      <c r="I20" s="11" t="n">
        <v>0.1177</v>
      </c>
      <c r="M20" s="11" t="n">
        <v>0.0026</v>
      </c>
      <c r="Q20" s="11" t="n">
        <v>0.08</v>
      </c>
      <c r="U20" s="11" t="n">
        <v>4.76</v>
      </c>
      <c r="X20" s="11" t="n">
        <v>0</v>
      </c>
      <c r="Y20" s="11" t="n">
        <v>0.1177</v>
      </c>
      <c r="Z20" s="11" t="n">
        <v>0.0026</v>
      </c>
      <c r="AA20" s="11" t="n">
        <v>0.08</v>
      </c>
      <c r="AB20" s="11" t="n">
        <v>4.76</v>
      </c>
    </row>
    <row r="21">
      <c r="A21" s="10" t="inlineStr">
        <is>
          <t>기타</t>
        </is>
      </c>
      <c r="I21" s="11" t="n">
        <v>0</v>
      </c>
      <c r="M21" s="11" t="n">
        <v>0.0586</v>
      </c>
      <c r="Q21" s="11" t="n">
        <v>0.05</v>
      </c>
      <c r="U21" s="11" t="n">
        <v>0.44</v>
      </c>
      <c r="Y21" s="11" t="n">
        <v>0</v>
      </c>
      <c r="Z21" s="11" t="n">
        <v>0.0586</v>
      </c>
      <c r="AA21" s="11" t="n">
        <v>0.05</v>
      </c>
      <c r="AB21" s="11" t="n">
        <v>0.44</v>
      </c>
    </row>
    <row r="22">
      <c r="A22" s="10" t="inlineStr">
        <is>
          <t>감가상각누계액</t>
        </is>
      </c>
      <c r="I22" s="11" t="n">
        <v>0</v>
      </c>
      <c r="M22" s="11" t="n">
        <v>-0.007900000000000001</v>
      </c>
      <c r="Q22" s="11" t="n">
        <v>-0.01</v>
      </c>
      <c r="U22" s="11" t="n">
        <v>-0.19</v>
      </c>
      <c r="Y22" s="11" t="n">
        <v>0</v>
      </c>
      <c r="Z22" s="11" t="n">
        <v>-0.007900000000000001</v>
      </c>
      <c r="AA22" s="11" t="n">
        <v>-0.01</v>
      </c>
      <c r="AB22" s="11" t="n">
        <v>-0.19</v>
      </c>
    </row>
    <row r="23">
      <c r="A23" s="10" t="inlineStr">
        <is>
          <t>기타(순액)</t>
        </is>
      </c>
      <c r="I23" s="11" t="n">
        <v>0</v>
      </c>
      <c r="M23" s="11" t="n">
        <v>0.0507</v>
      </c>
      <c r="Q23" s="11" t="n">
        <v>0.04</v>
      </c>
      <c r="U23" s="11" t="n">
        <v>0.25</v>
      </c>
      <c r="Y23" s="11" t="n">
        <v>0</v>
      </c>
      <c r="Z23" s="11" t="n">
        <v>0.0507</v>
      </c>
      <c r="AA23" s="11" t="n">
        <v>0.04</v>
      </c>
      <c r="AB23" s="11" t="n">
        <v>0.25</v>
      </c>
    </row>
    <row r="24">
      <c r="A24" s="10" t="inlineStr">
        <is>
          <t>유형자산</t>
        </is>
      </c>
      <c r="D24" s="11" t="n">
        <v>7.8318</v>
      </c>
      <c r="E24" s="11" t="n">
        <v>8.1463</v>
      </c>
      <c r="F24" s="11" t="n">
        <v>9.213699999999999</v>
      </c>
      <c r="G24" s="11" t="n">
        <v>8.896599999999999</v>
      </c>
      <c r="H24" s="11" t="n">
        <v>8.742100000000001</v>
      </c>
      <c r="I24" s="11" t="n">
        <v>8.995900000000001</v>
      </c>
      <c r="J24" s="11" t="n">
        <v>10.1588</v>
      </c>
      <c r="K24" s="11" t="n">
        <v>10.1535</v>
      </c>
      <c r="L24" s="11" t="n">
        <v>10.217</v>
      </c>
      <c r="M24" s="11" t="n">
        <v>11.042</v>
      </c>
      <c r="N24" s="11" t="n">
        <v>10.7227</v>
      </c>
      <c r="O24" s="11" t="n">
        <v>10.6522</v>
      </c>
      <c r="P24" s="11" t="n">
        <v>10.8136</v>
      </c>
      <c r="Q24" s="11" t="n">
        <v>14.63</v>
      </c>
      <c r="R24" s="11" t="n">
        <v>14.93</v>
      </c>
      <c r="S24" s="11" t="n">
        <v>14.44</v>
      </c>
      <c r="T24" s="11" t="n">
        <v>14</v>
      </c>
      <c r="U24" s="11" t="n">
        <v>20.6</v>
      </c>
      <c r="V24" s="11" t="n">
        <v>20.21</v>
      </c>
      <c r="W24" s="11" t="n">
        <v>8.2668</v>
      </c>
      <c r="X24" s="11" t="n">
        <v>8.1463</v>
      </c>
      <c r="Y24" s="11" t="n">
        <v>8.995900000000001</v>
      </c>
      <c r="Z24" s="11" t="n">
        <v>11.042</v>
      </c>
      <c r="AA24" s="11" t="n">
        <v>14.63</v>
      </c>
      <c r="AB24" s="11" t="n">
        <v>20.6</v>
      </c>
    </row>
    <row r="25">
      <c r="A25" s="10" t="inlineStr">
        <is>
          <t>영업권</t>
        </is>
      </c>
      <c r="D25" s="11" t="n">
        <v>0.0847</v>
      </c>
      <c r="E25" s="11" t="n">
        <v>0.0706</v>
      </c>
      <c r="F25" s="11" t="n">
        <v>0.0565</v>
      </c>
      <c r="G25" s="11" t="n">
        <v>0.1936</v>
      </c>
      <c r="H25" s="11" t="n">
        <v>0.1668</v>
      </c>
      <c r="I25" s="11" t="n">
        <v>0.1401</v>
      </c>
      <c r="J25" s="11" t="n">
        <v>0.2256</v>
      </c>
      <c r="K25" s="11" t="n">
        <v>0.1756</v>
      </c>
      <c r="L25" s="11" t="n">
        <v>0.1536</v>
      </c>
      <c r="M25" s="11" t="n">
        <v>0.1317</v>
      </c>
      <c r="N25" s="11" t="n">
        <v>0.1098</v>
      </c>
      <c r="O25" s="11" t="n">
        <v>0.0878</v>
      </c>
      <c r="P25" s="11" t="n">
        <v>0.0658</v>
      </c>
      <c r="Q25" s="11" t="n">
        <v>0.04</v>
      </c>
      <c r="R25" s="11" t="n">
        <v>0.02</v>
      </c>
      <c r="S25" s="11" t="n">
        <v>0</v>
      </c>
      <c r="T25" s="11" t="n">
        <v>0</v>
      </c>
      <c r="U25" s="11" t="n">
        <v>6.84</v>
      </c>
      <c r="V25" s="11" t="n">
        <v>6.58</v>
      </c>
      <c r="W25" s="11" t="n">
        <v>0.1271</v>
      </c>
      <c r="X25" s="11" t="n">
        <v>0.0706</v>
      </c>
      <c r="Y25" s="11" t="n">
        <v>0.1401</v>
      </c>
      <c r="Z25" s="11" t="n">
        <v>0.1317</v>
      </c>
      <c r="AA25" s="11" t="n">
        <v>0.04</v>
      </c>
      <c r="AB25" s="11" t="n">
        <v>6.84</v>
      </c>
    </row>
    <row r="26">
      <c r="A26" s="10" t="inlineStr">
        <is>
          <t>소프트웨어</t>
        </is>
      </c>
      <c r="E26" s="11" t="n">
        <v>1.1405</v>
      </c>
      <c r="I26" s="11" t="n">
        <v>1.9067</v>
      </c>
      <c r="M26" s="11" t="n">
        <v>4.0712</v>
      </c>
      <c r="Q26" s="11" t="n">
        <v>5.41</v>
      </c>
      <c r="U26" s="11" t="n">
        <v>3.03</v>
      </c>
      <c r="W26" s="11" t="n">
        <v>0.9285</v>
      </c>
      <c r="X26" s="11" t="n">
        <v>1.1405</v>
      </c>
      <c r="Y26" s="11" t="n">
        <v>1.9067</v>
      </c>
      <c r="Z26" s="11" t="n">
        <v>4.0712</v>
      </c>
      <c r="AA26" s="11" t="n">
        <v>5.41</v>
      </c>
      <c r="AB26" s="11" t="n">
        <v>3.03</v>
      </c>
    </row>
    <row r="27">
      <c r="A27" s="10" t="inlineStr">
        <is>
          <t>개발 중 소프트웨어</t>
        </is>
      </c>
      <c r="I27" s="11" t="n">
        <v>1.1255</v>
      </c>
      <c r="M27" s="11" t="n">
        <v>1.0692</v>
      </c>
      <c r="Q27" s="11" t="n">
        <v>0.3519</v>
      </c>
      <c r="Y27" s="11" t="n">
        <v>1.1255</v>
      </c>
      <c r="Z27" s="11" t="n">
        <v>1.0692</v>
      </c>
      <c r="AA27" s="11" t="n">
        <v>0.3519</v>
      </c>
    </row>
    <row r="28">
      <c r="A28" s="10" t="inlineStr">
        <is>
          <t>기타</t>
        </is>
      </c>
      <c r="D28" s="11" t="n">
        <v>1.2449</v>
      </c>
      <c r="E28" s="11" t="n">
        <v>0.4596</v>
      </c>
      <c r="F28" s="11" t="n">
        <v>2.0752</v>
      </c>
      <c r="G28" s="11" t="n">
        <v>2.1715</v>
      </c>
      <c r="H28" s="11" t="n">
        <v>2.2816</v>
      </c>
      <c r="I28" s="11" t="n">
        <v>0.0649</v>
      </c>
      <c r="J28" s="11" t="n">
        <v>3.8288</v>
      </c>
      <c r="K28" s="11" t="n">
        <v>4.0222</v>
      </c>
      <c r="L28" s="11" t="n">
        <v>4.3442</v>
      </c>
      <c r="M28" s="11" t="n">
        <v>0.064</v>
      </c>
      <c r="N28" s="11" t="n">
        <v>5.3975</v>
      </c>
      <c r="O28" s="11" t="n">
        <v>5.7951</v>
      </c>
      <c r="P28" s="11" t="n">
        <v>5.8581</v>
      </c>
      <c r="Q28" s="11" t="n">
        <v>0.41</v>
      </c>
      <c r="R28" s="11" t="n">
        <v>5.63</v>
      </c>
      <c r="S28" s="11" t="n">
        <v>4.09</v>
      </c>
      <c r="T28" s="11" t="n">
        <v>3.4</v>
      </c>
      <c r="U28" s="11" t="n">
        <v>3.13</v>
      </c>
      <c r="V28" s="11" t="n">
        <v>2.98</v>
      </c>
      <c r="W28" s="11" t="n">
        <v>0.0672</v>
      </c>
      <c r="X28" s="11" t="n">
        <v>0.4596</v>
      </c>
      <c r="Y28" s="11" t="n">
        <v>0.0649</v>
      </c>
      <c r="Z28" s="11" t="n">
        <v>0.064</v>
      </c>
      <c r="AA28" s="11" t="n">
        <v>0.41</v>
      </c>
      <c r="AB28" s="11" t="n">
        <v>3.13</v>
      </c>
    </row>
    <row r="29">
      <c r="A29" s="10" t="inlineStr">
        <is>
          <t>무형자산 합계</t>
        </is>
      </c>
      <c r="D29" s="11" t="n">
        <v>1.3296</v>
      </c>
      <c r="E29" s="11" t="n">
        <v>1.6707</v>
      </c>
      <c r="F29" s="11" t="n">
        <v>2.1317</v>
      </c>
      <c r="G29" s="11" t="n">
        <v>2.3651</v>
      </c>
      <c r="H29" s="11" t="n">
        <v>2.4484</v>
      </c>
      <c r="I29" s="11" t="n">
        <v>3.2373</v>
      </c>
      <c r="J29" s="11" t="n">
        <v>4.0543</v>
      </c>
      <c r="K29" s="11" t="n">
        <v>4.1978</v>
      </c>
      <c r="L29" s="11" t="n">
        <v>4.4978</v>
      </c>
      <c r="M29" s="11" t="n">
        <v>5.3361</v>
      </c>
      <c r="N29" s="11" t="n">
        <v>5.5072</v>
      </c>
      <c r="O29" s="11" t="n">
        <v>5.8829</v>
      </c>
      <c r="P29" s="11" t="n">
        <v>5.9239</v>
      </c>
      <c r="Q29" s="11" t="n">
        <v>5.87</v>
      </c>
      <c r="R29" s="11" t="n">
        <v>5.65</v>
      </c>
      <c r="S29" s="11" t="n">
        <v>4.09</v>
      </c>
      <c r="T29" s="11" t="n">
        <v>3.4</v>
      </c>
      <c r="U29" s="11" t="n">
        <v>9.970000000000001</v>
      </c>
      <c r="V29" s="11" t="n">
        <v>9.56</v>
      </c>
      <c r="W29" s="11" t="n">
        <v>1.1227</v>
      </c>
      <c r="X29" s="11" t="n">
        <v>1.6707</v>
      </c>
      <c r="Y29" s="11" t="n">
        <v>3.2373</v>
      </c>
      <c r="Z29" s="11" t="n">
        <v>5.3361</v>
      </c>
      <c r="AA29" s="11" t="n">
        <v>5.87</v>
      </c>
      <c r="AB29" s="11" t="n">
        <v>9.970000000000001</v>
      </c>
    </row>
    <row r="30">
      <c r="A30" s="10" t="inlineStr">
        <is>
          <t>투자유가증권</t>
        </is>
      </c>
      <c r="E30" s="11" t="n">
        <v>0</v>
      </c>
      <c r="H30" s="11" t="n">
        <v>1.68</v>
      </c>
      <c r="I30" s="11" t="n">
        <v>1.68</v>
      </c>
      <c r="J30" s="11" t="n">
        <v>2.7064</v>
      </c>
      <c r="K30" s="11" t="n">
        <v>2.7041</v>
      </c>
      <c r="L30" s="11" t="n">
        <v>2.5809</v>
      </c>
      <c r="M30" s="11" t="n">
        <v>2.5333</v>
      </c>
      <c r="N30" s="11" t="n">
        <v>3.8171</v>
      </c>
      <c r="O30" s="11" t="n">
        <v>3.7554</v>
      </c>
      <c r="P30" s="11" t="n">
        <v>2.0243</v>
      </c>
      <c r="Q30" s="11" t="n">
        <v>1.47</v>
      </c>
      <c r="R30" s="11" t="n">
        <v>1.45</v>
      </c>
      <c r="S30" s="11" t="n">
        <v>1.47</v>
      </c>
      <c r="T30" s="11" t="n">
        <v>1.35</v>
      </c>
      <c r="U30" s="11" t="n">
        <v>1.35</v>
      </c>
      <c r="V30" s="11" t="n">
        <v>1.35</v>
      </c>
      <c r="X30" s="11" t="n">
        <v>0</v>
      </c>
      <c r="Y30" s="11" t="n">
        <v>1.68</v>
      </c>
      <c r="Z30" s="11" t="n">
        <v>2.5333</v>
      </c>
      <c r="AA30" s="11" t="n">
        <v>1.47</v>
      </c>
      <c r="AB30" s="11" t="n">
        <v>1.35</v>
      </c>
    </row>
    <row r="31">
      <c r="A31" s="10" t="inlineStr">
        <is>
          <t>임차보증금·보증금</t>
        </is>
      </c>
      <c r="D31" s="11" t="n">
        <v>9.5947</v>
      </c>
      <c r="E31" s="11" t="n">
        <v>10.3813</v>
      </c>
      <c r="F31" s="11" t="n">
        <v>10.3809</v>
      </c>
      <c r="G31" s="11" t="n">
        <v>10.4062</v>
      </c>
      <c r="H31" s="11" t="n">
        <v>10.4515</v>
      </c>
      <c r="I31" s="11" t="n">
        <v>10.5247</v>
      </c>
      <c r="J31" s="11" t="n">
        <v>11.2666</v>
      </c>
      <c r="K31" s="11" t="n">
        <v>11.4526</v>
      </c>
      <c r="L31" s="11" t="n">
        <v>11.6418</v>
      </c>
      <c r="M31" s="11" t="n">
        <v>11.7576</v>
      </c>
      <c r="N31" s="11" t="n">
        <v>11.756</v>
      </c>
      <c r="O31" s="11" t="n">
        <v>11.7551</v>
      </c>
      <c r="P31" s="11" t="n">
        <v>12.522</v>
      </c>
      <c r="Q31" s="11" t="n">
        <v>12.56</v>
      </c>
      <c r="R31" s="11" t="n">
        <v>12.56</v>
      </c>
      <c r="S31" s="11" t="n">
        <v>12.53</v>
      </c>
      <c r="T31" s="11" t="n">
        <v>11.53</v>
      </c>
      <c r="U31" s="11" t="n">
        <v>11.65</v>
      </c>
      <c r="V31" s="11" t="n">
        <v>11.67</v>
      </c>
      <c r="W31" s="11" t="n">
        <v>9.4621</v>
      </c>
      <c r="X31" s="11" t="n">
        <v>10.3813</v>
      </c>
      <c r="Y31" s="11" t="n">
        <v>10.5247</v>
      </c>
      <c r="Z31" s="11" t="n">
        <v>11.7576</v>
      </c>
      <c r="AA31" s="11" t="n">
        <v>12.56</v>
      </c>
      <c r="AB31" s="11" t="n">
        <v>11.65</v>
      </c>
    </row>
    <row r="32">
      <c r="A32" s="10" t="inlineStr">
        <is>
          <t>이연법인세자산</t>
        </is>
      </c>
      <c r="E32" s="11" t="n">
        <v>2.6365</v>
      </c>
      <c r="I32" s="11" t="n">
        <v>3.4807</v>
      </c>
      <c r="M32" s="11" t="n">
        <v>3.4124</v>
      </c>
      <c r="Q32" s="11" t="n">
        <v>4.01</v>
      </c>
      <c r="U32" s="11" t="n">
        <v>4.7</v>
      </c>
      <c r="W32" s="11" t="n">
        <v>2.9674</v>
      </c>
      <c r="X32" s="11" t="n">
        <v>2.6365</v>
      </c>
      <c r="Y32" s="11" t="n">
        <v>3.4807</v>
      </c>
      <c r="Z32" s="11" t="n">
        <v>3.4124</v>
      </c>
      <c r="AA32" s="11" t="n">
        <v>4.01</v>
      </c>
      <c r="AB32" s="11" t="n">
        <v>4.7</v>
      </c>
    </row>
    <row r="33">
      <c r="A33" s="10" t="inlineStr">
        <is>
          <t>기타</t>
        </is>
      </c>
      <c r="D33" s="11" t="n">
        <v>2.5208</v>
      </c>
      <c r="E33" s="11" t="n">
        <v>0.3631</v>
      </c>
      <c r="F33" s="11" t="n">
        <v>2.5715</v>
      </c>
      <c r="G33" s="11" t="n">
        <v>3.4688</v>
      </c>
      <c r="H33" s="11" t="n">
        <v>3.0328</v>
      </c>
      <c r="I33" s="11" t="n">
        <v>0.4434</v>
      </c>
      <c r="J33" s="11" t="n">
        <v>3.01</v>
      </c>
      <c r="K33" s="11" t="n">
        <v>4.0176</v>
      </c>
      <c r="L33" s="11" t="n">
        <v>3.1409</v>
      </c>
      <c r="M33" s="11" t="n">
        <v>0.3547</v>
      </c>
      <c r="N33" s="11" t="n">
        <v>2.7919</v>
      </c>
      <c r="O33" s="11" t="n">
        <v>3.5692</v>
      </c>
      <c r="P33" s="11" t="n">
        <v>2.7225</v>
      </c>
      <c r="Q33" s="11" t="n">
        <v>0.35</v>
      </c>
      <c r="R33" s="11" t="n">
        <v>4.02</v>
      </c>
      <c r="S33" s="11" t="n">
        <v>5</v>
      </c>
      <c r="T33" s="11" t="n">
        <v>4.13</v>
      </c>
      <c r="U33" s="11" t="n">
        <v>5.06</v>
      </c>
      <c r="V33" s="11" t="n">
        <v>4.24</v>
      </c>
      <c r="W33" s="11" t="n">
        <v>0.3566</v>
      </c>
      <c r="X33" s="11" t="n">
        <v>0.3631</v>
      </c>
      <c r="Y33" s="11" t="n">
        <v>0.4434</v>
      </c>
      <c r="Z33" s="11" t="n">
        <v>0.3547</v>
      </c>
      <c r="AA33" s="11" t="n">
        <v>0.35</v>
      </c>
      <c r="AB33" s="11" t="n">
        <v>5.06</v>
      </c>
    </row>
    <row r="34">
      <c r="A34" s="10" t="inlineStr">
        <is>
          <t>투자 및 기타자산 합계</t>
        </is>
      </c>
      <c r="D34" s="11" t="n">
        <v>12.1155</v>
      </c>
      <c r="E34" s="11" t="n">
        <v>13.3809</v>
      </c>
      <c r="F34" s="11" t="n">
        <v>12.9524</v>
      </c>
      <c r="G34" s="11" t="n">
        <v>13.8751</v>
      </c>
      <c r="H34" s="11" t="n">
        <v>15.1643</v>
      </c>
      <c r="I34" s="11" t="n">
        <v>16.1287</v>
      </c>
      <c r="J34" s="11" t="n">
        <v>16.9829</v>
      </c>
      <c r="K34" s="11" t="n">
        <v>18.1743</v>
      </c>
      <c r="L34" s="11" t="n">
        <v>17.3635</v>
      </c>
      <c r="M34" s="11" t="n">
        <v>18.058</v>
      </c>
      <c r="N34" s="11" t="n">
        <v>18.365</v>
      </c>
      <c r="O34" s="11" t="n">
        <v>19.0797</v>
      </c>
      <c r="P34" s="11" t="n">
        <v>17.2688</v>
      </c>
      <c r="Q34" s="11" t="n">
        <v>18.4</v>
      </c>
      <c r="R34" s="11" t="n">
        <v>18.04</v>
      </c>
      <c r="S34" s="11" t="n">
        <v>19.01</v>
      </c>
      <c r="T34" s="11" t="n">
        <v>17.01</v>
      </c>
      <c r="U34" s="11" t="n">
        <v>18.07</v>
      </c>
      <c r="V34" s="11" t="n">
        <v>17.26</v>
      </c>
      <c r="W34" s="11" t="n">
        <v>12.7861</v>
      </c>
      <c r="X34" s="11" t="n">
        <v>13.3809</v>
      </c>
      <c r="Y34" s="11" t="n">
        <v>16.1287</v>
      </c>
      <c r="Z34" s="11" t="n">
        <v>18.058</v>
      </c>
      <c r="AA34" s="11" t="n">
        <v>18.4</v>
      </c>
      <c r="AB34" s="11" t="n">
        <v>18.07</v>
      </c>
    </row>
    <row r="35">
      <c r="A35" s="10" t="inlineStr">
        <is>
          <t>비유동자산 합계</t>
        </is>
      </c>
      <c r="D35" s="11" t="n">
        <v>21.2769</v>
      </c>
      <c r="E35" s="11" t="n">
        <v>23.1979</v>
      </c>
      <c r="F35" s="11" t="n">
        <v>24.2978</v>
      </c>
      <c r="G35" s="11" t="n">
        <v>25.1368</v>
      </c>
      <c r="H35" s="11" t="n">
        <v>26.3548</v>
      </c>
      <c r="I35" s="11" t="n">
        <v>28.362</v>
      </c>
      <c r="J35" s="11" t="n">
        <v>31.1961</v>
      </c>
      <c r="K35" s="11" t="n">
        <v>32.5255</v>
      </c>
      <c r="L35" s="11" t="n">
        <v>32.0784</v>
      </c>
      <c r="M35" s="11" t="n">
        <v>34.4361</v>
      </c>
      <c r="N35" s="11" t="n">
        <v>34.595</v>
      </c>
      <c r="O35" s="11" t="n">
        <v>35.6148</v>
      </c>
      <c r="P35" s="11" t="n">
        <v>34.0063</v>
      </c>
      <c r="Q35" s="11" t="n">
        <v>38.9</v>
      </c>
      <c r="R35" s="11" t="n">
        <v>38.63</v>
      </c>
      <c r="S35" s="11" t="n">
        <v>37.56</v>
      </c>
      <c r="T35" s="11" t="n">
        <v>34.42</v>
      </c>
      <c r="U35" s="11" t="n">
        <v>48.66</v>
      </c>
      <c r="V35" s="11" t="n">
        <v>47.05</v>
      </c>
      <c r="W35" s="11" t="n">
        <v>22.1756</v>
      </c>
      <c r="X35" s="11" t="n">
        <v>23.1979</v>
      </c>
      <c r="Y35" s="11" t="n">
        <v>28.362</v>
      </c>
      <c r="Z35" s="11" t="n">
        <v>34.4361</v>
      </c>
      <c r="AA35" s="11" t="n">
        <v>38.9</v>
      </c>
      <c r="AB35" s="11" t="n">
        <v>48.66</v>
      </c>
    </row>
    <row r="36">
      <c r="A36" s="10" t="inlineStr">
        <is>
          <t>자산 합계</t>
        </is>
      </c>
      <c r="D36" s="11" t="n">
        <v>89.0324</v>
      </c>
      <c r="E36" s="11" t="n">
        <v>104.9069</v>
      </c>
      <c r="F36" s="11" t="n">
        <v>97.70610000000001</v>
      </c>
      <c r="G36" s="11" t="n">
        <v>105.8569</v>
      </c>
      <c r="H36" s="11" t="n">
        <v>109.7791</v>
      </c>
      <c r="I36" s="11" t="n">
        <v>122.0704</v>
      </c>
      <c r="J36" s="11" t="n">
        <v>120.5807</v>
      </c>
      <c r="K36" s="11" t="n">
        <v>129.7274</v>
      </c>
      <c r="L36" s="11" t="n">
        <v>129.3807</v>
      </c>
      <c r="M36" s="11" t="n">
        <v>140.9685</v>
      </c>
      <c r="N36" s="11" t="n">
        <v>132.6321</v>
      </c>
      <c r="O36" s="11" t="n">
        <v>140.2949</v>
      </c>
      <c r="P36" s="11" t="n">
        <v>127.8302</v>
      </c>
      <c r="Q36" s="11" t="n">
        <v>144.94</v>
      </c>
      <c r="R36" s="11" t="n">
        <v>129.8</v>
      </c>
      <c r="S36" s="11" t="n">
        <v>134.17</v>
      </c>
      <c r="T36" s="11" t="n">
        <v>131.73</v>
      </c>
      <c r="U36" s="11" t="n">
        <v>164.84</v>
      </c>
      <c r="V36" s="11" t="n">
        <v>142.99</v>
      </c>
      <c r="W36" s="11" t="n">
        <v>84.87220000000001</v>
      </c>
      <c r="X36" s="11" t="n">
        <v>104.9069</v>
      </c>
      <c r="Y36" s="11" t="n">
        <v>122.0704</v>
      </c>
      <c r="Z36" s="11" t="n">
        <v>140.9685</v>
      </c>
      <c r="AA36" s="11" t="n">
        <v>144.94</v>
      </c>
      <c r="AB36" s="11" t="n">
        <v>164.84</v>
      </c>
    </row>
    <row r="37">
      <c r="A37" s="10" t="inlineStr">
        <is>
          <t>단기차입금</t>
        </is>
      </c>
      <c r="E37" s="11" t="n">
        <v>0</v>
      </c>
      <c r="I37" s="11" t="n">
        <v>0.05</v>
      </c>
      <c r="J37" s="11" t="n">
        <v>0</v>
      </c>
      <c r="K37" s="11" t="n">
        <v>0</v>
      </c>
      <c r="L37" s="11" t="n">
        <v>0</v>
      </c>
      <c r="M37" s="11" t="n">
        <v>0</v>
      </c>
      <c r="Q37" s="11" t="n">
        <v>0</v>
      </c>
      <c r="U37" s="11" t="n">
        <v>1.04</v>
      </c>
      <c r="V37" s="11" t="n">
        <v>0.72</v>
      </c>
      <c r="X37" s="11" t="n">
        <v>0</v>
      </c>
      <c r="Y37" s="11" t="n">
        <v>0.05</v>
      </c>
      <c r="Z37" s="11" t="n">
        <v>0</v>
      </c>
      <c r="AA37" s="11" t="n">
        <v>0</v>
      </c>
      <c r="AB37" s="11" t="n">
        <v>1.04</v>
      </c>
    </row>
    <row r="38">
      <c r="A38" s="10" t="inlineStr">
        <is>
          <t>1년 내 상환 장기차입금</t>
        </is>
      </c>
      <c r="E38" s="11" t="n">
        <v>0</v>
      </c>
      <c r="G38" s="11" t="n">
        <v>0.0478</v>
      </c>
      <c r="H38" s="11" t="n">
        <v>0.0478</v>
      </c>
      <c r="I38" s="11" t="n">
        <v>0.0478</v>
      </c>
      <c r="J38" s="11" t="n">
        <v>0.0478</v>
      </c>
      <c r="K38" s="11" t="n">
        <v>0.0478</v>
      </c>
      <c r="L38" s="11" t="n">
        <v>0.0443</v>
      </c>
      <c r="M38" s="11" t="n">
        <v>0.0391</v>
      </c>
      <c r="N38" s="11" t="n">
        <v>0.0339</v>
      </c>
      <c r="O38" s="11" t="n">
        <v>0.0287</v>
      </c>
      <c r="P38" s="11" t="n">
        <v>0.027</v>
      </c>
      <c r="Q38" s="11" t="n">
        <v>0.02</v>
      </c>
      <c r="R38" s="11" t="n">
        <v>0.02</v>
      </c>
      <c r="S38" s="11" t="n">
        <v>0.02</v>
      </c>
      <c r="T38" s="11" t="n">
        <v>0.02</v>
      </c>
      <c r="U38" s="11" t="n">
        <v>2.67</v>
      </c>
      <c r="V38" s="11" t="n">
        <v>2.72</v>
      </c>
      <c r="X38" s="11" t="n">
        <v>0</v>
      </c>
      <c r="Y38" s="11" t="n">
        <v>0.0478</v>
      </c>
      <c r="Z38" s="11" t="n">
        <v>0.0391</v>
      </c>
      <c r="AA38" s="11" t="n">
        <v>0.02</v>
      </c>
      <c r="AB38" s="11" t="n">
        <v>2.67</v>
      </c>
    </row>
    <row r="39">
      <c r="A39" s="10" t="inlineStr">
        <is>
          <t>미지급금</t>
        </is>
      </c>
      <c r="D39" s="11" t="n">
        <v>7.6424</v>
      </c>
      <c r="E39" s="11" t="n">
        <v>7.9259</v>
      </c>
      <c r="F39" s="11" t="n">
        <v>8.158099999999999</v>
      </c>
      <c r="G39" s="11" t="n">
        <v>8.8035</v>
      </c>
      <c r="H39" s="11" t="n">
        <v>10.3693</v>
      </c>
      <c r="I39" s="11" t="n">
        <v>8.434200000000001</v>
      </c>
      <c r="J39" s="11" t="n">
        <v>8.034800000000001</v>
      </c>
      <c r="K39" s="11" t="n">
        <v>7.0647</v>
      </c>
      <c r="L39" s="11" t="n">
        <v>6.9729</v>
      </c>
      <c r="M39" s="11" t="n">
        <v>6.4163</v>
      </c>
      <c r="N39" s="11" t="n">
        <v>6.3578</v>
      </c>
      <c r="O39" s="11" t="n">
        <v>6.7945</v>
      </c>
      <c r="P39" s="11" t="n">
        <v>6.6249</v>
      </c>
      <c r="Q39" s="11" t="n">
        <v>6.92</v>
      </c>
      <c r="R39" s="11" t="n">
        <v>6.92</v>
      </c>
      <c r="S39" s="11" t="n">
        <v>7.38</v>
      </c>
      <c r="T39" s="11" t="n">
        <v>7.23</v>
      </c>
      <c r="U39" s="11" t="n">
        <v>9.5</v>
      </c>
      <c r="V39" s="11" t="n">
        <v>6.93</v>
      </c>
      <c r="W39" s="11" t="n">
        <v>13.7615</v>
      </c>
      <c r="X39" s="11" t="n">
        <v>7.9259</v>
      </c>
      <c r="Y39" s="11" t="n">
        <v>8.434200000000001</v>
      </c>
      <c r="Z39" s="11" t="n">
        <v>6.4163</v>
      </c>
      <c r="AA39" s="11" t="n">
        <v>6.92</v>
      </c>
      <c r="AB39" s="11" t="n">
        <v>9.5</v>
      </c>
    </row>
    <row r="40">
      <c r="A40" s="10" t="inlineStr">
        <is>
          <t>미지급비용</t>
        </is>
      </c>
      <c r="D40" s="11" t="n">
        <v>12.2733</v>
      </c>
      <c r="E40" s="11" t="n">
        <v>13.4037</v>
      </c>
      <c r="F40" s="11" t="n">
        <v>14.0247</v>
      </c>
      <c r="G40" s="11" t="n">
        <v>15.1549</v>
      </c>
      <c r="H40" s="11" t="n">
        <v>14.2151</v>
      </c>
      <c r="I40" s="11" t="n">
        <v>16.2318</v>
      </c>
      <c r="J40" s="11" t="n">
        <v>17.7199</v>
      </c>
      <c r="K40" s="11" t="n">
        <v>18.3774</v>
      </c>
      <c r="L40" s="11" t="n">
        <v>16.436</v>
      </c>
      <c r="M40" s="11" t="n">
        <v>18.2343</v>
      </c>
      <c r="N40" s="11" t="n">
        <v>19.6246</v>
      </c>
      <c r="O40" s="11" t="n">
        <v>20.5012</v>
      </c>
      <c r="P40" s="11" t="n">
        <v>15.3805</v>
      </c>
      <c r="Q40" s="11" t="n">
        <v>19.52</v>
      </c>
      <c r="R40" s="11" t="n">
        <v>18.32</v>
      </c>
      <c r="S40" s="11" t="n">
        <v>19.24</v>
      </c>
      <c r="T40" s="11" t="n">
        <v>17.16</v>
      </c>
      <c r="U40" s="11" t="n">
        <v>17.83</v>
      </c>
      <c r="V40" s="11" t="n">
        <v>15.55</v>
      </c>
      <c r="W40" s="11" t="n">
        <v>12.2055</v>
      </c>
      <c r="X40" s="11" t="n">
        <v>13.4037</v>
      </c>
      <c r="Y40" s="11" t="n">
        <v>16.2318</v>
      </c>
      <c r="Z40" s="11" t="n">
        <v>18.2343</v>
      </c>
      <c r="AA40" s="11" t="n">
        <v>19.52</v>
      </c>
      <c r="AB40" s="11" t="n">
        <v>17.83</v>
      </c>
    </row>
    <row r="41">
      <c r="A41" s="10" t="inlineStr">
        <is>
          <t>미지급법인세</t>
        </is>
      </c>
      <c r="D41" s="11" t="n">
        <v>4.7529</v>
      </c>
      <c r="E41" s="11" t="n">
        <v>2.6685</v>
      </c>
      <c r="F41" s="11" t="n">
        <v>0.8068</v>
      </c>
      <c r="G41" s="11" t="n">
        <v>4.1219</v>
      </c>
      <c r="H41" s="11" t="n">
        <v>1.694</v>
      </c>
      <c r="I41" s="11" t="n">
        <v>3.6825</v>
      </c>
      <c r="J41" s="11" t="n">
        <v>1.7848</v>
      </c>
      <c r="K41" s="11" t="n">
        <v>5.8037</v>
      </c>
      <c r="L41" s="11" t="n">
        <v>3.3047</v>
      </c>
      <c r="M41" s="11" t="n">
        <v>4.9205</v>
      </c>
      <c r="N41" s="11" t="n">
        <v>0.8267</v>
      </c>
      <c r="O41" s="11" t="n">
        <v>3.7845</v>
      </c>
      <c r="P41" s="11" t="n">
        <v>0.7457</v>
      </c>
      <c r="Q41" s="11" t="n">
        <v>1.99</v>
      </c>
      <c r="R41" s="11" t="n">
        <v>0.61</v>
      </c>
      <c r="S41" s="11" t="n">
        <v>3.05</v>
      </c>
      <c r="T41" s="11" t="n">
        <v>0.99</v>
      </c>
      <c r="U41" s="11" t="n">
        <v>4.45</v>
      </c>
      <c r="V41" s="11" t="n">
        <v>1.42</v>
      </c>
      <c r="W41" s="11" t="n">
        <v>1.6165</v>
      </c>
      <c r="X41" s="11" t="n">
        <v>2.6685</v>
      </c>
      <c r="Y41" s="11" t="n">
        <v>3.6825</v>
      </c>
      <c r="Z41" s="11" t="n">
        <v>4.9205</v>
      </c>
      <c r="AA41" s="11" t="n">
        <v>1.99</v>
      </c>
      <c r="AB41" s="11" t="n">
        <v>4.45</v>
      </c>
    </row>
    <row r="42">
      <c r="A42" s="10" t="inlineStr">
        <is>
          <t>미지급 소비세</t>
        </is>
      </c>
      <c r="D42" s="11" t="n">
        <v>5.6082</v>
      </c>
      <c r="E42" s="11" t="n">
        <v>5.665</v>
      </c>
      <c r="F42" s="11" t="n">
        <v>5.435</v>
      </c>
      <c r="G42" s="11" t="n">
        <v>3.9312</v>
      </c>
      <c r="H42" s="11" t="n">
        <v>4.5185</v>
      </c>
      <c r="I42" s="11" t="n">
        <v>5.194</v>
      </c>
      <c r="J42" s="11" t="n">
        <v>6.7588</v>
      </c>
      <c r="K42" s="11" t="n">
        <v>5.9898</v>
      </c>
      <c r="L42" s="11" t="n">
        <v>6.9107</v>
      </c>
      <c r="M42" s="11" t="n">
        <v>7.8241</v>
      </c>
      <c r="N42" s="11" t="n">
        <v>6.7717</v>
      </c>
      <c r="O42" s="11" t="n">
        <v>6.6499</v>
      </c>
      <c r="P42" s="11" t="n">
        <v>3.8586</v>
      </c>
      <c r="Q42" s="11" t="n">
        <v>5.83</v>
      </c>
      <c r="R42" s="11" t="n">
        <v>6.29</v>
      </c>
      <c r="S42" s="11" t="n">
        <v>6.12</v>
      </c>
      <c r="T42" s="11" t="n">
        <v>6.1</v>
      </c>
      <c r="U42" s="11" t="n">
        <v>6.22</v>
      </c>
      <c r="V42" s="11" t="n">
        <v>6.6</v>
      </c>
      <c r="W42" s="11" t="n">
        <v>6.6151</v>
      </c>
      <c r="X42" s="11" t="n">
        <v>5.665</v>
      </c>
      <c r="Y42" s="11" t="n">
        <v>5.194</v>
      </c>
      <c r="Z42" s="11" t="n">
        <v>7.8241</v>
      </c>
      <c r="AA42" s="11" t="n">
        <v>5.83</v>
      </c>
      <c r="AB42" s="11" t="n">
        <v>6.22</v>
      </c>
    </row>
    <row r="43">
      <c r="A43" s="10" t="inlineStr">
        <is>
          <t>계약부채</t>
        </is>
      </c>
      <c r="E43" s="11" t="n">
        <v>0.1587</v>
      </c>
      <c r="I43" s="11" t="n">
        <v>0.3345</v>
      </c>
      <c r="M43" s="11" t="n">
        <v>0.3627</v>
      </c>
      <c r="Q43" s="11" t="n">
        <v>0.14</v>
      </c>
      <c r="U43" s="11" t="n">
        <v>1.47</v>
      </c>
      <c r="W43" s="11" t="n">
        <v>0</v>
      </c>
      <c r="X43" s="11" t="n">
        <v>0.1587</v>
      </c>
      <c r="Y43" s="11" t="n">
        <v>0.3345</v>
      </c>
      <c r="Z43" s="11" t="n">
        <v>0.3627</v>
      </c>
      <c r="AA43" s="11" t="n">
        <v>0.14</v>
      </c>
      <c r="AB43" s="11" t="n">
        <v>1.47</v>
      </c>
    </row>
    <row r="44">
      <c r="A44" s="10" t="inlineStr">
        <is>
          <t>상여충당금</t>
        </is>
      </c>
      <c r="D44" s="11" t="n">
        <v>2.29</v>
      </c>
      <c r="E44" s="11" t="n">
        <v>3.5198</v>
      </c>
      <c r="F44" s="11" t="n">
        <v>1.5823</v>
      </c>
      <c r="G44" s="11" t="n">
        <v>2.6662</v>
      </c>
      <c r="H44" s="11" t="n">
        <v>1.5915</v>
      </c>
      <c r="I44" s="11" t="n">
        <v>3.0457</v>
      </c>
      <c r="J44" s="11" t="n">
        <v>1.6899</v>
      </c>
      <c r="K44" s="11" t="n">
        <v>3.5571</v>
      </c>
      <c r="L44" s="11" t="n">
        <v>1.6978</v>
      </c>
      <c r="M44" s="11" t="n">
        <v>3.2841</v>
      </c>
      <c r="N44" s="11" t="n">
        <v>1.8629</v>
      </c>
      <c r="O44" s="11" t="n">
        <v>3.3695</v>
      </c>
      <c r="P44" s="11" t="n">
        <v>1.801</v>
      </c>
      <c r="Q44" s="11" t="n">
        <v>3.41</v>
      </c>
      <c r="R44" s="11" t="n">
        <v>1.9</v>
      </c>
      <c r="S44" s="11" t="n">
        <v>3.71</v>
      </c>
      <c r="T44" s="11" t="n">
        <v>1.82</v>
      </c>
      <c r="U44" s="11" t="n">
        <v>3.64</v>
      </c>
      <c r="V44" s="11" t="n">
        <v>1.97</v>
      </c>
      <c r="W44" s="11" t="n">
        <v>3.1727</v>
      </c>
      <c r="X44" s="11" t="n">
        <v>3.5198</v>
      </c>
      <c r="Y44" s="11" t="n">
        <v>3.0457</v>
      </c>
      <c r="Z44" s="11" t="n">
        <v>3.2841</v>
      </c>
      <c r="AA44" s="11" t="n">
        <v>3.41</v>
      </c>
      <c r="AB44" s="11" t="n">
        <v>3.64</v>
      </c>
    </row>
    <row r="45">
      <c r="A45" s="10" t="inlineStr">
        <is>
          <t>주주우대 충당금</t>
        </is>
      </c>
      <c r="I45" s="11" t="n">
        <v>0</v>
      </c>
      <c r="M45" s="11" t="n">
        <v>0.7462</v>
      </c>
      <c r="N45" s="11" t="n">
        <v>0.1553</v>
      </c>
      <c r="O45" s="11" t="n">
        <v>0</v>
      </c>
      <c r="P45" s="11" t="n">
        <v>0</v>
      </c>
      <c r="Q45" s="11" t="n">
        <v>1.97</v>
      </c>
      <c r="R45" s="11" t="n">
        <v>0.4</v>
      </c>
      <c r="S45" s="11" t="n">
        <v>0</v>
      </c>
      <c r="T45" s="11" t="n">
        <v>0</v>
      </c>
      <c r="U45" s="11" t="n">
        <v>2.38</v>
      </c>
      <c r="V45" s="11" t="n">
        <v>0.51</v>
      </c>
      <c r="Y45" s="11" t="n">
        <v>0</v>
      </c>
      <c r="Z45" s="11" t="n">
        <v>0.7462</v>
      </c>
      <c r="AA45" s="11" t="n">
        <v>1.97</v>
      </c>
      <c r="AB45" s="11" t="n">
        <v>2.38</v>
      </c>
    </row>
    <row r="46">
      <c r="A46" s="10" t="inlineStr">
        <is>
          <t>자산복구부채</t>
        </is>
      </c>
      <c r="M46" s="11" t="n">
        <v>0</v>
      </c>
      <c r="Q46" s="11" t="n">
        <v>0.66</v>
      </c>
      <c r="R46" s="11" t="n">
        <v>0.6</v>
      </c>
      <c r="S46" s="11" t="n">
        <v>0</v>
      </c>
      <c r="T46" s="11" t="n">
        <v>0</v>
      </c>
      <c r="U46" s="11" t="n">
        <v>0</v>
      </c>
      <c r="Z46" s="11" t="n">
        <v>0</v>
      </c>
      <c r="AA46" s="11" t="n">
        <v>0.66</v>
      </c>
      <c r="AB46" s="11" t="n">
        <v>0</v>
      </c>
    </row>
    <row r="47">
      <c r="A47" s="10" t="inlineStr">
        <is>
          <t>기타</t>
        </is>
      </c>
      <c r="D47" s="11" t="n">
        <v>2.5281</v>
      </c>
      <c r="E47" s="11" t="n">
        <v>2.3592</v>
      </c>
      <c r="F47" s="11" t="n">
        <v>3.3556</v>
      </c>
      <c r="G47" s="11" t="n">
        <v>2.225</v>
      </c>
      <c r="H47" s="11" t="n">
        <v>2.9247</v>
      </c>
      <c r="I47" s="11" t="n">
        <v>2.8118</v>
      </c>
      <c r="J47" s="11" t="n">
        <v>3.9271</v>
      </c>
      <c r="K47" s="11" t="n">
        <v>2.881</v>
      </c>
      <c r="L47" s="11" t="n">
        <v>3.3599</v>
      </c>
      <c r="M47" s="11" t="n">
        <v>3.0672</v>
      </c>
      <c r="N47" s="11" t="n">
        <v>5.6868</v>
      </c>
      <c r="O47" s="11" t="n">
        <v>4.8225</v>
      </c>
      <c r="P47" s="11" t="n">
        <v>3.0968</v>
      </c>
      <c r="Q47" s="11" t="n">
        <v>5.75</v>
      </c>
      <c r="R47" s="11" t="n">
        <v>5.82</v>
      </c>
      <c r="S47" s="11" t="n">
        <v>4.18</v>
      </c>
      <c r="T47" s="11" t="n">
        <v>4.49</v>
      </c>
      <c r="U47" s="11" t="n">
        <v>6.95</v>
      </c>
      <c r="V47" s="11" t="n">
        <v>4.76</v>
      </c>
      <c r="W47" s="11" t="n">
        <v>2.3289</v>
      </c>
      <c r="X47" s="11" t="n">
        <v>2.3592</v>
      </c>
      <c r="Y47" s="11" t="n">
        <v>2.8118</v>
      </c>
      <c r="Z47" s="11" t="n">
        <v>3.0672</v>
      </c>
      <c r="AA47" s="11" t="n">
        <v>5.75</v>
      </c>
      <c r="AB47" s="11" t="n">
        <v>6.95</v>
      </c>
    </row>
    <row r="48">
      <c r="A48" s="10" t="inlineStr">
        <is>
          <t>유동부채 합계</t>
        </is>
      </c>
      <c r="D48" s="11" t="n">
        <v>35.0949</v>
      </c>
      <c r="E48" s="11" t="n">
        <v>35.7008</v>
      </c>
      <c r="F48" s="11" t="n">
        <v>33.3624</v>
      </c>
      <c r="G48" s="11" t="n">
        <v>36.9504</v>
      </c>
      <c r="H48" s="11" t="n">
        <v>35.3608</v>
      </c>
      <c r="I48" s="11" t="n">
        <v>39.8322</v>
      </c>
      <c r="J48" s="11" t="n">
        <v>39.963</v>
      </c>
      <c r="K48" s="11" t="n">
        <v>43.7214</v>
      </c>
      <c r="L48" s="11" t="n">
        <v>38.7263</v>
      </c>
      <c r="M48" s="11" t="n">
        <v>44.8947</v>
      </c>
      <c r="N48" s="11" t="n">
        <v>41.3199</v>
      </c>
      <c r="O48" s="11" t="n">
        <v>45.9509</v>
      </c>
      <c r="P48" s="11" t="n">
        <v>31.5345</v>
      </c>
      <c r="Q48" s="11" t="n">
        <v>46.25</v>
      </c>
      <c r="R48" s="11" t="n">
        <v>40.92</v>
      </c>
      <c r="S48" s="11" t="n">
        <v>43.73</v>
      </c>
      <c r="T48" s="11" t="n">
        <v>37.83</v>
      </c>
      <c r="U48" s="11" t="n">
        <v>54.72</v>
      </c>
      <c r="V48" s="11" t="n">
        <v>41.22</v>
      </c>
      <c r="W48" s="11" t="n">
        <v>39.7002</v>
      </c>
      <c r="X48" s="11" t="n">
        <v>35.7008</v>
      </c>
      <c r="Y48" s="11" t="n">
        <v>39.8322</v>
      </c>
      <c r="Z48" s="11" t="n">
        <v>44.8947</v>
      </c>
      <c r="AA48" s="11" t="n">
        <v>46.25</v>
      </c>
      <c r="AB48" s="11" t="n">
        <v>54.72</v>
      </c>
    </row>
    <row r="49">
      <c r="A49" s="10" t="inlineStr">
        <is>
          <t>장기차입금</t>
        </is>
      </c>
      <c r="E49" s="11" t="n">
        <v>0</v>
      </c>
      <c r="G49" s="11" t="n">
        <v>0.274</v>
      </c>
      <c r="H49" s="11" t="n">
        <v>0.2621</v>
      </c>
      <c r="I49" s="11" t="n">
        <v>0.2551</v>
      </c>
      <c r="J49" s="11" t="n">
        <v>0.2432</v>
      </c>
      <c r="K49" s="11" t="n">
        <v>0.2312</v>
      </c>
      <c r="L49" s="11" t="n">
        <v>0.2228</v>
      </c>
      <c r="M49" s="11" t="n">
        <v>0.216</v>
      </c>
      <c r="N49" s="11" t="n">
        <v>0.2092</v>
      </c>
      <c r="O49" s="11" t="n">
        <v>0.2025</v>
      </c>
      <c r="P49" s="11" t="n">
        <v>0.1958</v>
      </c>
      <c r="Q49" s="11" t="n">
        <v>0.18</v>
      </c>
      <c r="R49" s="11" t="n">
        <v>0.18</v>
      </c>
      <c r="S49" s="11" t="n">
        <v>0.17</v>
      </c>
      <c r="T49" s="11" t="n">
        <v>0.16</v>
      </c>
      <c r="U49" s="11" t="n">
        <v>12.5</v>
      </c>
      <c r="V49" s="11" t="n">
        <v>11.82</v>
      </c>
      <c r="X49" s="11" t="n">
        <v>0</v>
      </c>
      <c r="Y49" s="11" t="n">
        <v>0.2551</v>
      </c>
      <c r="Z49" s="11" t="n">
        <v>0.216</v>
      </c>
      <c r="AA49" s="11" t="n">
        <v>0.18</v>
      </c>
      <c r="AB49" s="11" t="n">
        <v>12.5</v>
      </c>
    </row>
    <row r="50">
      <c r="A50" s="10" t="inlineStr">
        <is>
          <t>임원 퇴직위로 충당금</t>
        </is>
      </c>
      <c r="E50" s="11" t="n">
        <v>0</v>
      </c>
      <c r="G50" s="11" t="n">
        <v>0.0273</v>
      </c>
      <c r="X50" s="11" t="n">
        <v>0</v>
      </c>
    </row>
    <row r="51">
      <c r="A51" s="10" t="inlineStr">
        <is>
          <t>이연법인세부채</t>
        </is>
      </c>
      <c r="Q51" s="11" t="n">
        <v>0</v>
      </c>
      <c r="U51" s="11" t="n">
        <v>0.18</v>
      </c>
      <c r="AA51" s="11" t="n">
        <v>0</v>
      </c>
      <c r="AB51" s="11" t="n">
        <v>0.18</v>
      </c>
    </row>
    <row r="52">
      <c r="A52" s="10" t="inlineStr">
        <is>
          <t>퇴직급여부채</t>
        </is>
      </c>
      <c r="E52" s="11" t="n">
        <v>0</v>
      </c>
      <c r="G52" s="11" t="n">
        <v>0.0556</v>
      </c>
      <c r="H52" s="11" t="n">
        <v>0.0556</v>
      </c>
      <c r="I52" s="11" t="n">
        <v>0.0525</v>
      </c>
      <c r="J52" s="11" t="n">
        <v>0.0538</v>
      </c>
      <c r="K52" s="11" t="n">
        <v>0.0554</v>
      </c>
      <c r="L52" s="11" t="n">
        <v>0.0569</v>
      </c>
      <c r="M52" s="11" t="n">
        <v>0.0587</v>
      </c>
      <c r="N52" s="11" t="n">
        <v>0.062</v>
      </c>
      <c r="O52" s="11" t="n">
        <v>0.0631</v>
      </c>
      <c r="P52" s="11" t="n">
        <v>0.0654</v>
      </c>
      <c r="Q52" s="11" t="n">
        <v>0.06</v>
      </c>
      <c r="R52" s="11" t="n">
        <v>0.06</v>
      </c>
      <c r="S52" s="11" t="n">
        <v>0.06</v>
      </c>
      <c r="T52" s="11" t="n">
        <v>0.07000000000000001</v>
      </c>
      <c r="U52" s="11" t="n">
        <v>0.07000000000000001</v>
      </c>
      <c r="V52" s="11" t="n">
        <v>0.07000000000000001</v>
      </c>
      <c r="X52" s="11" t="n">
        <v>0</v>
      </c>
      <c r="Y52" s="11" t="n">
        <v>0.0525</v>
      </c>
      <c r="Z52" s="11" t="n">
        <v>0.0587</v>
      </c>
      <c r="AA52" s="11" t="n">
        <v>0.06</v>
      </c>
      <c r="AB52" s="11" t="n">
        <v>0.07000000000000001</v>
      </c>
    </row>
    <row r="53">
      <c r="A53" s="10" t="inlineStr">
        <is>
          <t>자산복구부채</t>
        </is>
      </c>
      <c r="D53" s="11" t="n">
        <v>3.1014</v>
      </c>
      <c r="E53" s="11" t="n">
        <v>3.1484</v>
      </c>
      <c r="F53" s="11" t="n">
        <v>3.4765</v>
      </c>
      <c r="G53" s="11" t="n">
        <v>3.4821</v>
      </c>
      <c r="H53" s="11" t="n">
        <v>3.5067</v>
      </c>
      <c r="I53" s="11" t="n">
        <v>3.5117</v>
      </c>
      <c r="J53" s="11" t="n">
        <v>3.722</v>
      </c>
      <c r="K53" s="11" t="n">
        <v>3.7272</v>
      </c>
      <c r="L53" s="11" t="n">
        <v>3.7313</v>
      </c>
      <c r="M53" s="11" t="n">
        <v>3.8254</v>
      </c>
      <c r="N53" s="11" t="n">
        <v>3.8297</v>
      </c>
      <c r="O53" s="11" t="n">
        <v>3.8447</v>
      </c>
      <c r="P53" s="11" t="n">
        <v>3.867</v>
      </c>
      <c r="Q53" s="11" t="n">
        <v>8.869999999999999</v>
      </c>
      <c r="R53" s="11" t="n">
        <v>9.050000000000001</v>
      </c>
      <c r="S53" s="11" t="n">
        <v>9.07</v>
      </c>
      <c r="T53" s="11" t="n">
        <v>9.09</v>
      </c>
      <c r="U53" s="11" t="n">
        <v>9.1</v>
      </c>
      <c r="V53" s="11" t="n">
        <v>9.119999999999999</v>
      </c>
      <c r="W53" s="11" t="n">
        <v>3.0311</v>
      </c>
      <c r="X53" s="11" t="n">
        <v>3.1484</v>
      </c>
      <c r="Y53" s="11" t="n">
        <v>3.5117</v>
      </c>
      <c r="Z53" s="11" t="n">
        <v>3.8254</v>
      </c>
      <c r="AA53" s="11" t="n">
        <v>8.869999999999999</v>
      </c>
      <c r="AB53" s="11" t="n">
        <v>9.1</v>
      </c>
    </row>
    <row r="54">
      <c r="A54" s="10" t="inlineStr">
        <is>
          <t>기타</t>
        </is>
      </c>
      <c r="E54" s="11" t="n">
        <v>0</v>
      </c>
      <c r="G54" s="11" t="n">
        <v>0.0003</v>
      </c>
      <c r="I54" s="11" t="n">
        <v>0</v>
      </c>
      <c r="J54" s="11" t="n">
        <v>0.0364</v>
      </c>
      <c r="K54" s="11" t="n">
        <v>0.0341</v>
      </c>
      <c r="L54" s="11" t="n">
        <v>0.0471</v>
      </c>
      <c r="M54" s="11" t="n">
        <v>0.0447</v>
      </c>
      <c r="N54" s="11" t="n">
        <v>0.0423</v>
      </c>
      <c r="O54" s="11" t="n">
        <v>0.0399</v>
      </c>
      <c r="P54" s="11" t="n">
        <v>0.0376</v>
      </c>
      <c r="Q54" s="11" t="n">
        <v>0.03</v>
      </c>
      <c r="R54" s="11" t="n">
        <v>0.03</v>
      </c>
      <c r="S54" s="11" t="n">
        <v>0.03</v>
      </c>
      <c r="T54" s="11" t="n">
        <v>0.02</v>
      </c>
      <c r="U54" s="11" t="n">
        <v>0.28</v>
      </c>
      <c r="V54" s="11" t="n">
        <v>0.28</v>
      </c>
      <c r="X54" s="11" t="n">
        <v>0</v>
      </c>
      <c r="Y54" s="11" t="n">
        <v>0</v>
      </c>
      <c r="Z54" s="11" t="n">
        <v>0.0447</v>
      </c>
      <c r="AA54" s="11" t="n">
        <v>0.03</v>
      </c>
      <c r="AB54" s="11" t="n">
        <v>0.28</v>
      </c>
    </row>
    <row r="55">
      <c r="A55" s="10" t="inlineStr">
        <is>
          <t>비유동부채 합계</t>
        </is>
      </c>
      <c r="D55" s="11" t="n">
        <v>3.1014</v>
      </c>
      <c r="E55" s="11" t="n">
        <v>3.1484</v>
      </c>
      <c r="F55" s="11" t="n">
        <v>3.4765</v>
      </c>
      <c r="G55" s="11" t="n">
        <v>3.8392</v>
      </c>
      <c r="H55" s="11" t="n">
        <v>3.8243</v>
      </c>
      <c r="I55" s="11" t="n">
        <v>3.8193</v>
      </c>
      <c r="J55" s="11" t="n">
        <v>4.0554</v>
      </c>
      <c r="K55" s="11" t="n">
        <v>4.0479</v>
      </c>
      <c r="L55" s="11" t="n">
        <v>4.058</v>
      </c>
      <c r="M55" s="11" t="n">
        <v>4.1448</v>
      </c>
      <c r="N55" s="11" t="n">
        <v>4.1432</v>
      </c>
      <c r="O55" s="11" t="n">
        <v>4.1502</v>
      </c>
      <c r="P55" s="11" t="n">
        <v>4.1657</v>
      </c>
      <c r="Q55" s="11" t="n">
        <v>9.16</v>
      </c>
      <c r="R55" s="11" t="n">
        <v>9.33</v>
      </c>
      <c r="S55" s="11" t="n">
        <v>9.34</v>
      </c>
      <c r="T55" s="11" t="n">
        <v>9.35</v>
      </c>
      <c r="U55" s="11" t="n">
        <v>21.96</v>
      </c>
      <c r="V55" s="11" t="n">
        <v>21.3</v>
      </c>
      <c r="W55" s="11" t="n">
        <v>3.0311</v>
      </c>
      <c r="X55" s="11" t="n">
        <v>3.1484</v>
      </c>
      <c r="Y55" s="11" t="n">
        <v>3.8193</v>
      </c>
      <c r="Z55" s="11" t="n">
        <v>4.1448</v>
      </c>
      <c r="AA55" s="11" t="n">
        <v>9.16</v>
      </c>
      <c r="AB55" s="11" t="n">
        <v>21.96</v>
      </c>
    </row>
    <row r="56">
      <c r="A56" s="10" t="inlineStr">
        <is>
          <t>부채 합계</t>
        </is>
      </c>
      <c r="D56" s="11" t="n">
        <v>38.1962</v>
      </c>
      <c r="E56" s="11" t="n">
        <v>38.8492</v>
      </c>
      <c r="F56" s="11" t="n">
        <v>36.839</v>
      </c>
      <c r="G56" s="11" t="n">
        <v>40.7897</v>
      </c>
      <c r="H56" s="11" t="n">
        <v>39.1852</v>
      </c>
      <c r="I56" s="11" t="n">
        <v>43.6515</v>
      </c>
      <c r="J56" s="11" t="n">
        <v>44.0184</v>
      </c>
      <c r="K56" s="11" t="n">
        <v>47.7693</v>
      </c>
      <c r="L56" s="11" t="n">
        <v>42.7844</v>
      </c>
      <c r="M56" s="11" t="n">
        <v>49.0395</v>
      </c>
      <c r="N56" s="11" t="n">
        <v>45.4631</v>
      </c>
      <c r="O56" s="11" t="n">
        <v>50.1011</v>
      </c>
      <c r="P56" s="11" t="n">
        <v>35.7001</v>
      </c>
      <c r="Q56" s="11" t="n">
        <v>55.41</v>
      </c>
      <c r="R56" s="11" t="n">
        <v>50.25</v>
      </c>
      <c r="S56" s="11" t="n">
        <v>53.07</v>
      </c>
      <c r="T56" s="11" t="n">
        <v>47.19</v>
      </c>
      <c r="U56" s="11" t="n">
        <v>76.69</v>
      </c>
      <c r="V56" s="11" t="n">
        <v>62.53</v>
      </c>
      <c r="W56" s="11" t="n">
        <v>42.7314</v>
      </c>
      <c r="X56" s="11" t="n">
        <v>38.8492</v>
      </c>
      <c r="Y56" s="11" t="n">
        <v>43.6515</v>
      </c>
      <c r="Z56" s="11" t="n">
        <v>49.0395</v>
      </c>
      <c r="AA56" s="11" t="n">
        <v>55.41</v>
      </c>
      <c r="AB56" s="11" t="n">
        <v>76.69</v>
      </c>
    </row>
    <row r="57">
      <c r="A57" s="10" t="inlineStr">
        <is>
          <t>자본금</t>
        </is>
      </c>
      <c r="D57" s="11" t="n">
        <v>1</v>
      </c>
      <c r="E57" s="11" t="n">
        <v>6.922</v>
      </c>
      <c r="F57" s="11" t="n">
        <v>6.922</v>
      </c>
      <c r="G57" s="11" t="n">
        <v>7.0285</v>
      </c>
      <c r="H57" s="11" t="n">
        <v>7.2873</v>
      </c>
      <c r="I57" s="11" t="n">
        <v>7.9413</v>
      </c>
      <c r="J57" s="11" t="n">
        <v>8.213900000000001</v>
      </c>
      <c r="K57" s="11" t="n">
        <v>8.325699999999999</v>
      </c>
      <c r="L57" s="11" t="n">
        <v>8.5525</v>
      </c>
      <c r="M57" s="11" t="n">
        <v>8.936</v>
      </c>
      <c r="N57" s="11" t="n">
        <v>8.999700000000001</v>
      </c>
      <c r="O57" s="11" t="n">
        <v>8.999700000000001</v>
      </c>
      <c r="P57" s="11" t="n">
        <v>8.999700000000001</v>
      </c>
      <c r="Q57" s="11" t="n">
        <v>9.15</v>
      </c>
      <c r="R57" s="11" t="n">
        <v>9.16</v>
      </c>
      <c r="S57" s="11" t="n">
        <v>9.199999999999999</v>
      </c>
      <c r="T57" s="11" t="n">
        <v>9.449999999999999</v>
      </c>
      <c r="U57" s="11" t="n">
        <v>10.44</v>
      </c>
      <c r="V57" s="11" t="n">
        <v>10.48</v>
      </c>
      <c r="W57" s="11" t="n">
        <v>1</v>
      </c>
      <c r="X57" s="11" t="n">
        <v>6.922</v>
      </c>
      <c r="Y57" s="11" t="n">
        <v>7.9413</v>
      </c>
      <c r="Z57" s="11" t="n">
        <v>8.936</v>
      </c>
      <c r="AA57" s="11" t="n">
        <v>9.15</v>
      </c>
      <c r="AB57" s="11" t="n">
        <v>10.44</v>
      </c>
    </row>
    <row r="58">
      <c r="A58" s="10" t="inlineStr">
        <is>
          <t>자본잉여금</t>
        </is>
      </c>
      <c r="D58" s="11" t="n">
        <v>2.0318</v>
      </c>
      <c r="E58" s="11" t="n">
        <v>7.9538</v>
      </c>
      <c r="F58" s="11" t="n">
        <v>7.9538</v>
      </c>
      <c r="G58" s="11" t="n">
        <v>8.0603</v>
      </c>
      <c r="H58" s="11" t="n">
        <v>8.319100000000001</v>
      </c>
      <c r="I58" s="11" t="n">
        <v>8.9732</v>
      </c>
      <c r="J58" s="11" t="n">
        <v>9.245699999999999</v>
      </c>
      <c r="K58" s="11" t="n">
        <v>9.3575</v>
      </c>
      <c r="L58" s="11" t="n">
        <v>9.584300000000001</v>
      </c>
      <c r="M58" s="11" t="n">
        <v>9.9678</v>
      </c>
      <c r="N58" s="11" t="n">
        <v>10.0315</v>
      </c>
      <c r="O58" s="11" t="n">
        <v>10.0315</v>
      </c>
      <c r="P58" s="11" t="n">
        <v>10.0315</v>
      </c>
      <c r="Q58" s="11" t="n">
        <v>10.18</v>
      </c>
      <c r="R58" s="11" t="n">
        <v>10.19</v>
      </c>
      <c r="S58" s="11" t="n">
        <v>10.23</v>
      </c>
      <c r="T58" s="11" t="n">
        <v>10.49</v>
      </c>
      <c r="U58" s="11" t="n">
        <v>11.47</v>
      </c>
      <c r="V58" s="11" t="n">
        <v>11.52</v>
      </c>
      <c r="W58" s="11" t="n">
        <v>2.0318</v>
      </c>
      <c r="X58" s="11" t="n">
        <v>7.9538</v>
      </c>
      <c r="Y58" s="11" t="n">
        <v>8.9732</v>
      </c>
      <c r="Z58" s="11" t="n">
        <v>9.9678</v>
      </c>
      <c r="AA58" s="11" t="n">
        <v>10.18</v>
      </c>
      <c r="AB58" s="11" t="n">
        <v>11.47</v>
      </c>
    </row>
    <row r="59">
      <c r="A59" s="10" t="inlineStr">
        <is>
          <t>이익잉여금</t>
        </is>
      </c>
      <c r="D59" s="11" t="n">
        <v>47.7563</v>
      </c>
      <c r="E59" s="11" t="n">
        <v>51.1339</v>
      </c>
      <c r="F59" s="11" t="n">
        <v>45.9433</v>
      </c>
      <c r="G59" s="11" t="n">
        <v>49.9344</v>
      </c>
      <c r="H59" s="11" t="n">
        <v>54.9532</v>
      </c>
      <c r="I59" s="11" t="n">
        <v>61.4767</v>
      </c>
      <c r="J59" s="11" t="n">
        <v>59.0787</v>
      </c>
      <c r="K59" s="11" t="n">
        <v>64.2509</v>
      </c>
      <c r="L59" s="11" t="n">
        <v>68.43559999999999</v>
      </c>
      <c r="M59" s="11" t="n">
        <v>73.0013</v>
      </c>
      <c r="N59" s="11" t="n">
        <v>68.1143</v>
      </c>
      <c r="O59" s="11" t="n">
        <v>71.139</v>
      </c>
      <c r="P59" s="11" t="n">
        <v>73.0188</v>
      </c>
      <c r="Q59" s="11" t="n">
        <v>70.06</v>
      </c>
      <c r="R59" s="11" t="n">
        <v>60.16</v>
      </c>
      <c r="S59" s="11" t="n">
        <v>61.63</v>
      </c>
      <c r="T59" s="11" t="n">
        <v>64.56</v>
      </c>
      <c r="U59" s="11" t="n">
        <v>64.97</v>
      </c>
      <c r="V59" s="11" t="n">
        <v>56.9</v>
      </c>
      <c r="W59" s="11" t="n">
        <v>39.061</v>
      </c>
      <c r="X59" s="11" t="n">
        <v>51.1339</v>
      </c>
      <c r="Y59" s="11" t="n">
        <v>61.4767</v>
      </c>
      <c r="Z59" s="11" t="n">
        <v>73.0013</v>
      </c>
      <c r="AA59" s="11" t="n">
        <v>70.06</v>
      </c>
      <c r="AB59" s="11" t="n">
        <v>64.97</v>
      </c>
    </row>
    <row r="60">
      <c r="A60" s="10" t="inlineStr">
        <is>
          <t>자기주식</t>
        </is>
      </c>
      <c r="E60" s="11" t="n">
        <v>0</v>
      </c>
      <c r="I60" s="11" t="n">
        <v>-0.0005</v>
      </c>
      <c r="J60" s="11" t="n">
        <v>-0.0005</v>
      </c>
      <c r="K60" s="11" t="n">
        <v>-0.0005</v>
      </c>
      <c r="L60" s="11" t="n">
        <v>-0.0005</v>
      </c>
      <c r="M60" s="11" t="n">
        <v>-0.0005</v>
      </c>
      <c r="N60" s="11" t="n">
        <v>-0.001</v>
      </c>
      <c r="O60" s="11" t="n">
        <v>-0.001</v>
      </c>
      <c r="P60" s="11" t="n">
        <v>-0.001</v>
      </c>
      <c r="Q60" s="11" t="n">
        <v>-0</v>
      </c>
      <c r="R60" s="11" t="n">
        <v>-0</v>
      </c>
      <c r="S60" s="11" t="n">
        <v>-0</v>
      </c>
      <c r="T60" s="11" t="n">
        <v>-0</v>
      </c>
      <c r="U60" s="11" t="n">
        <v>-0</v>
      </c>
      <c r="V60" s="11" t="n">
        <v>-0</v>
      </c>
      <c r="X60" s="11" t="n">
        <v>0</v>
      </c>
      <c r="Y60" s="11" t="n">
        <v>-0.0005</v>
      </c>
      <c r="Z60" s="11" t="n">
        <v>-0.0005</v>
      </c>
      <c r="AA60" s="11" t="n">
        <v>-0</v>
      </c>
      <c r="AB60" s="11" t="n">
        <v>-0</v>
      </c>
    </row>
    <row r="61">
      <c r="A61" s="10" t="inlineStr">
        <is>
          <t>주주자본 합계</t>
        </is>
      </c>
      <c r="D61" s="11" t="n">
        <v>50.7882</v>
      </c>
      <c r="E61" s="11" t="n">
        <v>66.0097</v>
      </c>
      <c r="F61" s="11" t="n">
        <v>60.8191</v>
      </c>
      <c r="G61" s="11" t="n">
        <v>65.0232</v>
      </c>
      <c r="H61" s="11" t="n">
        <v>70.5596</v>
      </c>
      <c r="I61" s="11" t="n">
        <v>78.3907</v>
      </c>
      <c r="J61" s="11" t="n">
        <v>76.5378</v>
      </c>
      <c r="K61" s="11" t="n">
        <v>81.9336</v>
      </c>
      <c r="L61" s="11" t="n">
        <v>86.5718</v>
      </c>
      <c r="M61" s="11" t="n">
        <v>91.9046</v>
      </c>
      <c r="N61" s="11" t="n">
        <v>87.1446</v>
      </c>
      <c r="O61" s="11" t="n">
        <v>90.16930000000001</v>
      </c>
      <c r="P61" s="11" t="n">
        <v>92.0491</v>
      </c>
      <c r="Q61" s="11" t="n">
        <v>89.41</v>
      </c>
      <c r="R61" s="11" t="n">
        <v>79.51000000000001</v>
      </c>
      <c r="S61" s="11" t="n">
        <v>81.06999999999999</v>
      </c>
      <c r="T61" s="11" t="n">
        <v>84.51000000000001</v>
      </c>
      <c r="U61" s="11" t="n">
        <v>86.89</v>
      </c>
      <c r="V61" s="11" t="n">
        <v>78.91</v>
      </c>
      <c r="W61" s="11" t="n">
        <v>42.0928</v>
      </c>
      <c r="X61" s="11" t="n">
        <v>66.0097</v>
      </c>
      <c r="Y61" s="11" t="n">
        <v>78.3907</v>
      </c>
      <c r="Z61" s="11" t="n">
        <v>91.9046</v>
      </c>
      <c r="AA61" s="11" t="n">
        <v>89.41</v>
      </c>
      <c r="AB61" s="11" t="n">
        <v>86.89</v>
      </c>
    </row>
    <row r="62">
      <c r="A62" s="10" t="inlineStr">
        <is>
          <t>해외사업환산조정</t>
        </is>
      </c>
      <c r="U62" s="11" t="n">
        <v>0</v>
      </c>
      <c r="V62" s="11" t="n">
        <v>0.17</v>
      </c>
      <c r="AB62" s="11" t="n">
        <v>0</v>
      </c>
    </row>
    <row r="63">
      <c r="A63" s="10" t="inlineStr">
        <is>
          <t>기타포괄손익누계액 합계</t>
        </is>
      </c>
      <c r="U63" s="11" t="n">
        <v>0</v>
      </c>
      <c r="V63" s="11" t="n">
        <v>0.17</v>
      </c>
      <c r="AB63" s="11" t="n">
        <v>0</v>
      </c>
    </row>
    <row r="64">
      <c r="A64" s="10" t="inlineStr">
        <is>
          <t>신주예약권</t>
        </is>
      </c>
      <c r="D64" s="11" t="n">
        <v>0.048</v>
      </c>
      <c r="E64" s="11" t="n">
        <v>0.048</v>
      </c>
      <c r="F64" s="11" t="n">
        <v>0.048</v>
      </c>
      <c r="G64" s="11" t="n">
        <v>0.044</v>
      </c>
      <c r="H64" s="11" t="n">
        <v>0.0343</v>
      </c>
      <c r="I64" s="11" t="n">
        <v>0.0283</v>
      </c>
      <c r="J64" s="11" t="n">
        <v>0.0245</v>
      </c>
      <c r="K64" s="11" t="n">
        <v>0.0245</v>
      </c>
      <c r="L64" s="11" t="n">
        <v>0.0245</v>
      </c>
      <c r="M64" s="11" t="n">
        <v>0.0245</v>
      </c>
      <c r="N64" s="11" t="n">
        <v>0.0245</v>
      </c>
      <c r="O64" s="11" t="n">
        <v>0.0245</v>
      </c>
      <c r="P64" s="11" t="n">
        <v>0.0245</v>
      </c>
      <c r="Q64" s="11" t="n">
        <v>0.02</v>
      </c>
      <c r="R64" s="11" t="n">
        <v>0.02</v>
      </c>
      <c r="S64" s="11" t="n">
        <v>0.02</v>
      </c>
      <c r="T64" s="11" t="n">
        <v>0.02</v>
      </c>
      <c r="U64" s="11" t="n">
        <v>0</v>
      </c>
      <c r="V64" s="11" t="n">
        <v>0</v>
      </c>
      <c r="W64" s="11" t="n">
        <v>0.048</v>
      </c>
      <c r="X64" s="11" t="n">
        <v>0.048</v>
      </c>
      <c r="Y64" s="11" t="n">
        <v>0.0283</v>
      </c>
      <c r="Z64" s="11" t="n">
        <v>0.0245</v>
      </c>
      <c r="AA64" s="11" t="n">
        <v>0.02</v>
      </c>
      <c r="AB64" s="11" t="n">
        <v>0</v>
      </c>
    </row>
    <row r="65">
      <c r="A65" s="10" t="inlineStr">
        <is>
          <t>비지배지분</t>
        </is>
      </c>
      <c r="M65" s="11" t="n">
        <v>0</v>
      </c>
      <c r="P65" s="11" t="n">
        <v>0.0565</v>
      </c>
      <c r="Q65" s="11" t="n">
        <v>0.09</v>
      </c>
      <c r="R65" s="11" t="n">
        <v>0</v>
      </c>
      <c r="S65" s="11" t="n">
        <v>0</v>
      </c>
      <c r="T65" s="11" t="n">
        <v>0</v>
      </c>
      <c r="U65" s="11" t="n">
        <v>1.26</v>
      </c>
      <c r="V65" s="11" t="n">
        <v>1.36</v>
      </c>
      <c r="Z65" s="11" t="n">
        <v>0</v>
      </c>
      <c r="AA65" s="11" t="n">
        <v>0.09</v>
      </c>
      <c r="AB65" s="11" t="n">
        <v>1.26</v>
      </c>
    </row>
    <row r="66">
      <c r="A66" s="10" t="inlineStr">
        <is>
          <t>순자산 합계</t>
        </is>
      </c>
      <c r="D66" s="11" t="n">
        <v>50.8362</v>
      </c>
      <c r="E66" s="11" t="n">
        <v>66.0577</v>
      </c>
      <c r="F66" s="11" t="n">
        <v>60.8671</v>
      </c>
      <c r="G66" s="11" t="n">
        <v>65.0672</v>
      </c>
      <c r="H66" s="11" t="n">
        <v>70.5939</v>
      </c>
      <c r="I66" s="11" t="n">
        <v>78.41889999999999</v>
      </c>
      <c r="J66" s="11" t="n">
        <v>76.56229999999999</v>
      </c>
      <c r="K66" s="11" t="n">
        <v>81.9581</v>
      </c>
      <c r="L66" s="11" t="n">
        <v>86.5963</v>
      </c>
      <c r="M66" s="11" t="n">
        <v>91.929</v>
      </c>
      <c r="N66" s="11" t="n">
        <v>87.169</v>
      </c>
      <c r="O66" s="11" t="n">
        <v>90.19370000000001</v>
      </c>
      <c r="P66" s="11" t="n">
        <v>92.13</v>
      </c>
      <c r="Q66" s="11" t="n">
        <v>89.52</v>
      </c>
      <c r="R66" s="11" t="n">
        <v>79.54000000000001</v>
      </c>
      <c r="S66" s="11" t="n">
        <v>81.09999999999999</v>
      </c>
      <c r="T66" s="11" t="n">
        <v>84.54000000000001</v>
      </c>
      <c r="U66" s="11" t="n">
        <v>88.15000000000001</v>
      </c>
      <c r="V66" s="11" t="n">
        <v>80.45</v>
      </c>
      <c r="W66" s="11" t="n">
        <v>42.1408</v>
      </c>
      <c r="X66" s="11" t="n">
        <v>66.0577</v>
      </c>
      <c r="Y66" s="11" t="n">
        <v>78.41889999999999</v>
      </c>
      <c r="Z66" s="11" t="n">
        <v>91.929</v>
      </c>
      <c r="AA66" s="11" t="n">
        <v>89.52</v>
      </c>
      <c r="AB66" s="11" t="n">
        <v>88.15000000000001</v>
      </c>
    </row>
    <row r="67">
      <c r="A67" s="10" t="inlineStr">
        <is>
          <t>부채·순자산 합계</t>
        </is>
      </c>
      <c r="D67" s="11" t="n">
        <v>89.0324</v>
      </c>
      <c r="E67" s="11" t="n">
        <v>104.9069</v>
      </c>
      <c r="F67" s="11" t="n">
        <v>97.70610000000001</v>
      </c>
      <c r="G67" s="11" t="n">
        <v>105.8569</v>
      </c>
      <c r="H67" s="11" t="n">
        <v>109.7791</v>
      </c>
      <c r="I67" s="11" t="n">
        <v>122.0704</v>
      </c>
      <c r="J67" s="11" t="n">
        <v>120.5807</v>
      </c>
      <c r="K67" s="11" t="n">
        <v>129.7274</v>
      </c>
      <c r="L67" s="11" t="n">
        <v>129.3807</v>
      </c>
      <c r="M67" s="11" t="n">
        <v>140.9685</v>
      </c>
      <c r="N67" s="11" t="n">
        <v>132.6321</v>
      </c>
      <c r="O67" s="11" t="n">
        <v>140.2949</v>
      </c>
      <c r="P67" s="11" t="n">
        <v>127.8302</v>
      </c>
      <c r="Q67" s="11" t="n">
        <v>144.94</v>
      </c>
      <c r="R67" s="11" t="n">
        <v>129.8</v>
      </c>
      <c r="S67" s="11" t="n">
        <v>134.17</v>
      </c>
      <c r="T67" s="11" t="n">
        <v>131.73</v>
      </c>
      <c r="U67" s="11" t="n">
        <v>164.84</v>
      </c>
      <c r="V67" s="11" t="n">
        <v>142.99</v>
      </c>
      <c r="W67" s="11" t="n">
        <v>84.87220000000001</v>
      </c>
      <c r="X67" s="11" t="n">
        <v>104.9069</v>
      </c>
      <c r="Y67" s="11" t="n">
        <v>122.0704</v>
      </c>
      <c r="Z67" s="11" t="n">
        <v>140.9685</v>
      </c>
      <c r="AA67" s="11" t="n">
        <v>144.94</v>
      </c>
      <c r="AB67" s="11" t="n">
        <v>164.84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C70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40" customWidth="1" min="29" max="29"/>
  </cols>
  <sheetData>
    <row r="1">
      <c r="A1" s="1" t="inlineStr">
        <is>
          <t>비위드 현금흐름표</t>
        </is>
      </c>
    </row>
    <row r="2">
      <c r="A2" s="2" t="inlineStr">
        <is>
          <t>결산기 기준(27.2Q = 2027년 결산기 2분기) · 5월 결산 · 연결 · 누계(그 분기까지) · 오른쪽 FY = 연간</t>
        </is>
      </c>
      <c r="B2" s="3" t="inlineStr">
        <is>
          <t>(단위: 억엔)</t>
        </is>
      </c>
    </row>
    <row r="3">
      <c r="A3" s="4" t="inlineStr">
        <is>
          <t>항목</t>
        </is>
      </c>
      <c r="B3" s="4" t="inlineStr">
        <is>
          <t>참고</t>
        </is>
      </c>
      <c r="C3" s="4" t="inlineStr">
        <is>
          <t>22.2Q</t>
        </is>
      </c>
      <c r="D3" s="4" t="inlineStr">
        <is>
          <t>22.3Q</t>
        </is>
      </c>
      <c r="E3" s="4" t="inlineStr">
        <is>
          <t>22.4Q</t>
        </is>
      </c>
      <c r="F3" s="4" t="inlineStr">
        <is>
          <t>23.1Q</t>
        </is>
      </c>
      <c r="G3" s="4" t="inlineStr">
        <is>
          <t>23.2Q</t>
        </is>
      </c>
      <c r="H3" s="4" t="inlineStr">
        <is>
          <t>23.3Q</t>
        </is>
      </c>
      <c r="I3" s="4" t="inlineStr">
        <is>
          <t>23.4Q</t>
        </is>
      </c>
      <c r="J3" s="4" t="inlineStr">
        <is>
          <t>24.1Q</t>
        </is>
      </c>
      <c r="K3" s="4" t="inlineStr">
        <is>
          <t>24.2Q</t>
        </is>
      </c>
      <c r="L3" s="4" t="inlineStr">
        <is>
          <t>24.3Q</t>
        </is>
      </c>
      <c r="M3" s="4" t="inlineStr">
        <is>
          <t>24.4Q</t>
        </is>
      </c>
      <c r="N3" s="4" t="inlineStr">
        <is>
          <t>25.1Q</t>
        </is>
      </c>
      <c r="O3" s="4" t="inlineStr">
        <is>
          <t>25.2Q</t>
        </is>
      </c>
      <c r="P3" s="4" t="inlineStr">
        <is>
          <t>25.3Q</t>
        </is>
      </c>
      <c r="Q3" s="4" t="inlineStr">
        <is>
          <t>25.4Q</t>
        </is>
      </c>
      <c r="R3" s="4" t="inlineStr">
        <is>
          <t>26.1Q</t>
        </is>
      </c>
      <c r="S3" s="4" t="inlineStr">
        <is>
          <t>26.2Q</t>
        </is>
      </c>
      <c r="T3" s="4" t="inlineStr">
        <is>
          <t>26.3Q</t>
        </is>
      </c>
      <c r="U3" s="4" t="inlineStr">
        <is>
          <t>26.4Q</t>
        </is>
      </c>
      <c r="V3" s="4" t="inlineStr">
        <is>
          <t>27.1Q</t>
        </is>
      </c>
      <c r="W3" s="4" t="inlineStr">
        <is>
          <t>FY21</t>
        </is>
      </c>
      <c r="X3" s="4" t="inlineStr">
        <is>
          <t>FY22</t>
        </is>
      </c>
      <c r="Y3" s="4" t="inlineStr">
        <is>
          <t>FY23</t>
        </is>
      </c>
      <c r="Z3" s="4" t="inlineStr">
        <is>
          <t>FY24</t>
        </is>
      </c>
      <c r="AA3" s="4" t="inlineStr">
        <is>
          <t>FY25</t>
        </is>
      </c>
      <c r="AB3" s="4" t="inlineStr">
        <is>
          <t>FY26</t>
        </is>
      </c>
      <c r="AC3" s="4" t="inlineStr">
        <is>
          <t>출처</t>
        </is>
      </c>
    </row>
    <row r="4">
      <c r="A4" s="10" t="inlineStr">
        <is>
          <t>법인세차감전 순이익</t>
        </is>
      </c>
      <c r="C4" s="11" t="n">
        <v>12.9822</v>
      </c>
      <c r="E4" s="11" t="n">
        <v>25.9006</v>
      </c>
      <c r="G4" s="11" t="n">
        <v>7.9216</v>
      </c>
      <c r="I4" s="11" t="n">
        <v>22.6889</v>
      </c>
      <c r="K4" s="11" t="n">
        <v>14.0619</v>
      </c>
      <c r="M4" s="11" t="n">
        <v>25.3743</v>
      </c>
      <c r="O4" s="11" t="n">
        <v>8.460000000000001</v>
      </c>
      <c r="Q4" s="11" t="n">
        <v>8.34</v>
      </c>
      <c r="S4" s="11" t="n">
        <v>3.71</v>
      </c>
      <c r="U4" s="11" t="n">
        <v>10.13</v>
      </c>
      <c r="W4" s="11" t="n">
        <v>21.6429</v>
      </c>
      <c r="X4" s="11" t="n">
        <v>25.9006</v>
      </c>
      <c r="Y4" s="11" t="n">
        <v>22.6889</v>
      </c>
      <c r="Z4" s="11" t="n">
        <v>25.3743</v>
      </c>
      <c r="AA4" s="11" t="n">
        <v>8.34</v>
      </c>
      <c r="AB4" s="11" t="n">
        <v>10.13</v>
      </c>
      <c r="AC4" s="7" t="inlineStr">
        <is>
          <t>결산단신 XBRL(거래소 공시, TDnet·JPX 보관소). 쓴 문서: 2026-10-13, 2026-07-13, 2026-04-10, 2026-01-09 외 15건 — '출처' 시트에 전부</t>
        </is>
      </c>
    </row>
    <row r="5">
      <c r="A5" s="10" t="inlineStr">
        <is>
          <t>감가상각비</t>
        </is>
      </c>
      <c r="C5" s="11" t="n">
        <v>0.9601</v>
      </c>
      <c r="E5" s="11" t="n">
        <v>1.9521</v>
      </c>
      <c r="G5" s="11" t="n">
        <v>1.0528</v>
      </c>
      <c r="I5" s="11" t="n">
        <v>2.2367</v>
      </c>
      <c r="K5" s="11" t="n">
        <v>1.3627</v>
      </c>
      <c r="M5" s="11" t="n">
        <v>2.9636</v>
      </c>
      <c r="O5" s="11" t="n">
        <v>1.64</v>
      </c>
      <c r="Q5" s="11" t="n">
        <v>3.9</v>
      </c>
      <c r="S5" s="11" t="n">
        <v>2.76</v>
      </c>
      <c r="U5" s="11" t="n">
        <v>4.92</v>
      </c>
      <c r="W5" s="11" t="n">
        <v>1.7289</v>
      </c>
      <c r="X5" s="11" t="n">
        <v>1.9521</v>
      </c>
      <c r="Y5" s="11" t="n">
        <v>2.2367</v>
      </c>
      <c r="Z5" s="11" t="n">
        <v>2.9636</v>
      </c>
      <c r="AA5" s="11" t="n">
        <v>3.9</v>
      </c>
      <c r="AB5" s="11" t="n">
        <v>4.92</v>
      </c>
    </row>
    <row r="6">
      <c r="A6" s="10" t="inlineStr">
        <is>
          <t>영업권 상각</t>
        </is>
      </c>
      <c r="C6" s="11" t="n">
        <v>0.0283</v>
      </c>
      <c r="E6" s="11" t="n">
        <v>0.0565</v>
      </c>
      <c r="G6" s="11" t="n">
        <v>0.0283</v>
      </c>
      <c r="I6" s="11" t="n">
        <v>0.08169999999999999</v>
      </c>
      <c r="K6" s="11" t="n">
        <v>0.0767</v>
      </c>
      <c r="M6" s="11" t="n">
        <v>0.1206</v>
      </c>
      <c r="O6" s="11" t="n">
        <v>0.04</v>
      </c>
      <c r="Q6" s="11" t="n">
        <v>0.08</v>
      </c>
      <c r="S6" s="11" t="n">
        <v>0.04</v>
      </c>
      <c r="U6" s="11" t="n">
        <v>0.04</v>
      </c>
      <c r="W6" s="11" t="n">
        <v>0.1272</v>
      </c>
      <c r="X6" s="11" t="n">
        <v>0.0565</v>
      </c>
      <c r="Y6" s="11" t="n">
        <v>0.08169999999999999</v>
      </c>
      <c r="Z6" s="11" t="n">
        <v>0.1206</v>
      </c>
      <c r="AA6" s="11" t="n">
        <v>0.08</v>
      </c>
      <c r="AB6" s="11" t="n">
        <v>0.04</v>
      </c>
    </row>
    <row r="7">
      <c r="A7" s="10" t="inlineStr">
        <is>
          <t>대손충당금 증감</t>
        </is>
      </c>
      <c r="M7" s="11" t="n">
        <v>0</v>
      </c>
      <c r="O7" s="11" t="n">
        <v>0</v>
      </c>
      <c r="Q7" s="11" t="n">
        <v>0.03</v>
      </c>
      <c r="S7" s="11" t="n">
        <v>-0.01</v>
      </c>
      <c r="U7" s="11" t="n">
        <v>-0</v>
      </c>
      <c r="Z7" s="11" t="n">
        <v>0</v>
      </c>
      <c r="AA7" s="11" t="n">
        <v>0.03</v>
      </c>
      <c r="AB7" s="11" t="n">
        <v>-0</v>
      </c>
    </row>
    <row r="8">
      <c r="A8" s="10" t="inlineStr">
        <is>
          <t>상여충당금 증감</t>
        </is>
      </c>
      <c r="C8" s="11" t="n">
        <v>0.09660000000000001</v>
      </c>
      <c r="E8" s="11" t="n">
        <v>0.3471</v>
      </c>
      <c r="G8" s="11" t="n">
        <v>-0.8656</v>
      </c>
      <c r="I8" s="11" t="n">
        <v>-0.4861</v>
      </c>
      <c r="K8" s="11" t="n">
        <v>0.5114</v>
      </c>
      <c r="M8" s="11" t="n">
        <v>0.2385</v>
      </c>
      <c r="O8" s="11" t="n">
        <v>0.08</v>
      </c>
      <c r="Q8" s="11" t="n">
        <v>0.12</v>
      </c>
      <c r="S8" s="11" t="n">
        <v>0.3</v>
      </c>
      <c r="U8" s="11" t="n">
        <v>0.22</v>
      </c>
      <c r="W8" s="11" t="n">
        <v>-0.2228</v>
      </c>
      <c r="X8" s="11" t="n">
        <v>0.3471</v>
      </c>
      <c r="Y8" s="11" t="n">
        <v>-0.4861</v>
      </c>
      <c r="Z8" s="11" t="n">
        <v>0.2385</v>
      </c>
      <c r="AA8" s="11" t="n">
        <v>0.12</v>
      </c>
      <c r="AB8" s="11" t="n">
        <v>0.22</v>
      </c>
    </row>
    <row r="9">
      <c r="A9" s="10" t="inlineStr">
        <is>
          <t>임원 주식급여 충당금 증감</t>
        </is>
      </c>
      <c r="E9" s="11" t="n">
        <v>0</v>
      </c>
      <c r="W9" s="11" t="n">
        <v>-0.0408</v>
      </c>
      <c r="X9" s="11" t="n">
        <v>0</v>
      </c>
    </row>
    <row r="10">
      <c r="A10" s="10" t="inlineStr">
        <is>
          <t>주주우대 충당금 증감</t>
        </is>
      </c>
      <c r="I10" s="11" t="n">
        <v>0</v>
      </c>
      <c r="K10" s="11" t="n">
        <v>0</v>
      </c>
      <c r="M10" s="11" t="n">
        <v>0.7462</v>
      </c>
      <c r="O10" s="11" t="n">
        <v>-0.74</v>
      </c>
      <c r="Q10" s="11" t="n">
        <v>1.22</v>
      </c>
      <c r="S10" s="11" t="n">
        <v>-1.97</v>
      </c>
      <c r="U10" s="11" t="n">
        <v>0.41</v>
      </c>
      <c r="Y10" s="11" t="n">
        <v>0</v>
      </c>
      <c r="Z10" s="11" t="n">
        <v>0.7462</v>
      </c>
      <c r="AA10" s="11" t="n">
        <v>1.22</v>
      </c>
      <c r="AB10" s="11" t="n">
        <v>0.41</v>
      </c>
    </row>
    <row r="11">
      <c r="A11" s="10" t="inlineStr">
        <is>
          <t>이자·배당금 수익</t>
        </is>
      </c>
      <c r="C11" s="11" t="n">
        <v>-0</v>
      </c>
      <c r="E11" s="11" t="n">
        <v>-0</v>
      </c>
      <c r="G11" s="11" t="n">
        <v>-0</v>
      </c>
      <c r="I11" s="11" t="n">
        <v>-0</v>
      </c>
      <c r="K11" s="11" t="n">
        <v>-0</v>
      </c>
      <c r="M11" s="11" t="n">
        <v>-0</v>
      </c>
      <c r="O11" s="11" t="n">
        <v>-0</v>
      </c>
      <c r="Q11" s="11" t="n">
        <v>-0</v>
      </c>
      <c r="S11" s="11" t="n">
        <v>-0</v>
      </c>
      <c r="U11" s="11" t="n">
        <v>-0</v>
      </c>
      <c r="W11" s="11" t="n">
        <v>-0</v>
      </c>
      <c r="X11" s="11" t="n">
        <v>-0</v>
      </c>
      <c r="Y11" s="11" t="n">
        <v>-0</v>
      </c>
      <c r="Z11" s="11" t="n">
        <v>-0</v>
      </c>
      <c r="AA11" s="11" t="n">
        <v>-0</v>
      </c>
      <c r="AB11" s="11" t="n">
        <v>-0</v>
      </c>
    </row>
    <row r="12">
      <c r="A12" s="10" t="inlineStr">
        <is>
          <t>보험금 수익</t>
        </is>
      </c>
      <c r="E12" s="11" t="n">
        <v>-0.0565</v>
      </c>
      <c r="I12" s="11" t="n">
        <v>0</v>
      </c>
      <c r="M12" s="11" t="n">
        <v>-0.0214</v>
      </c>
      <c r="Q12" s="11" t="n">
        <v>0</v>
      </c>
      <c r="U12" s="11" t="n">
        <v>-0.06</v>
      </c>
      <c r="W12" s="11" t="n">
        <v>0</v>
      </c>
      <c r="X12" s="11" t="n">
        <v>-0.0565</v>
      </c>
      <c r="Y12" s="11" t="n">
        <v>0</v>
      </c>
      <c r="Z12" s="11" t="n">
        <v>-0.0214</v>
      </c>
      <c r="AA12" s="11" t="n">
        <v>0</v>
      </c>
      <c r="AB12" s="11" t="n">
        <v>-0.06</v>
      </c>
    </row>
    <row r="13">
      <c r="A13" s="10" t="inlineStr">
        <is>
          <t>보상금 수취</t>
        </is>
      </c>
      <c r="M13" s="11" t="n">
        <v>0</v>
      </c>
      <c r="Q13" s="11" t="n">
        <v>-0.01</v>
      </c>
      <c r="U13" s="11" t="n">
        <v>0</v>
      </c>
      <c r="Z13" s="11" t="n">
        <v>0</v>
      </c>
      <c r="AA13" s="11" t="n">
        <v>-0.01</v>
      </c>
      <c r="AB13" s="11" t="n">
        <v>0</v>
      </c>
    </row>
    <row r="14">
      <c r="A14" s="10" t="inlineStr">
        <is>
          <t>보조금 수입</t>
        </is>
      </c>
      <c r="C14" s="11" t="n">
        <v>-0.2161</v>
      </c>
      <c r="E14" s="11" t="n">
        <v>-0.5391</v>
      </c>
      <c r="G14" s="11" t="n">
        <v>-0.2585</v>
      </c>
      <c r="I14" s="11" t="n">
        <v>-0.4268</v>
      </c>
      <c r="K14" s="11" t="n">
        <v>-0.0456</v>
      </c>
      <c r="M14" s="11" t="n">
        <v>-0.1117</v>
      </c>
      <c r="O14" s="11" t="n">
        <v>-0.05</v>
      </c>
      <c r="Q14" s="11" t="n">
        <v>-0.05</v>
      </c>
      <c r="S14" s="11" t="n">
        <v>-0.05</v>
      </c>
      <c r="U14" s="11" t="n">
        <v>-0.13</v>
      </c>
      <c r="W14" s="11" t="n">
        <v>-0.3704</v>
      </c>
      <c r="X14" s="11" t="n">
        <v>-0.5391</v>
      </c>
      <c r="Y14" s="11" t="n">
        <v>-0.4268</v>
      </c>
      <c r="Z14" s="11" t="n">
        <v>-0.1117</v>
      </c>
      <c r="AA14" s="11" t="n">
        <v>-0.05</v>
      </c>
      <c r="AB14" s="11" t="n">
        <v>-0.13</v>
      </c>
    </row>
    <row r="15">
      <c r="A15" s="10" t="inlineStr">
        <is>
          <t>보전금 수익</t>
        </is>
      </c>
      <c r="E15" s="11" t="n">
        <v>0</v>
      </c>
      <c r="I15" s="11" t="n">
        <v>-0.1714</v>
      </c>
      <c r="M15" s="11" t="n">
        <v>0</v>
      </c>
      <c r="X15" s="11" t="n">
        <v>0</v>
      </c>
      <c r="Y15" s="11" t="n">
        <v>-0.1714</v>
      </c>
      <c r="Z15" s="11" t="n">
        <v>0</v>
      </c>
    </row>
    <row r="16">
      <c r="A16" s="10" t="inlineStr">
        <is>
          <t>리스해약 손실</t>
        </is>
      </c>
      <c r="E16" s="11" t="n">
        <v>0</v>
      </c>
      <c r="I16" s="11" t="n">
        <v>0.1714</v>
      </c>
      <c r="M16" s="11" t="n">
        <v>0</v>
      </c>
      <c r="X16" s="11" t="n">
        <v>0</v>
      </c>
      <c r="Y16" s="11" t="n">
        <v>0.1714</v>
      </c>
      <c r="Z16" s="11" t="n">
        <v>0</v>
      </c>
    </row>
    <row r="17">
      <c r="A17" s="10" t="inlineStr">
        <is>
          <t>이자비용</t>
        </is>
      </c>
      <c r="E17" s="11" t="n">
        <v>0</v>
      </c>
      <c r="G17" s="11" t="n">
        <v>0</v>
      </c>
      <c r="I17" s="11" t="n">
        <v>0.0024</v>
      </c>
      <c r="K17" s="11" t="n">
        <v>0.002</v>
      </c>
      <c r="M17" s="11" t="n">
        <v>0.0037</v>
      </c>
      <c r="O17" s="11" t="n">
        <v>0</v>
      </c>
      <c r="Q17" s="11" t="n">
        <v>0</v>
      </c>
      <c r="S17" s="11" t="n">
        <v>0</v>
      </c>
      <c r="U17" s="11" t="n">
        <v>0</v>
      </c>
      <c r="W17" s="11" t="n">
        <v>0.0091</v>
      </c>
      <c r="X17" s="11" t="n">
        <v>0</v>
      </c>
      <c r="Y17" s="11" t="n">
        <v>0.0024</v>
      </c>
      <c r="Z17" s="11" t="n">
        <v>0.0037</v>
      </c>
      <c r="AA17" s="11" t="n">
        <v>0</v>
      </c>
      <c r="AB17" s="11" t="n">
        <v>0</v>
      </c>
    </row>
    <row r="18">
      <c r="A18" s="10" t="inlineStr">
        <is>
          <t>상장 관련 비용</t>
        </is>
      </c>
      <c r="E18" s="11" t="n">
        <v>0.2086</v>
      </c>
      <c r="W18" s="11" t="n">
        <v>0</v>
      </c>
      <c r="X18" s="11" t="n">
        <v>0.2086</v>
      </c>
    </row>
    <row r="19">
      <c r="A19" s="10" t="inlineStr">
        <is>
          <t>상장 관련 비용</t>
        </is>
      </c>
      <c r="E19" s="11" t="n">
        <v>0.2086</v>
      </c>
      <c r="I19" s="11" t="n">
        <v>0</v>
      </c>
      <c r="X19" s="11" t="n">
        <v>0.2086</v>
      </c>
      <c r="Y19" s="11" t="n">
        <v>0</v>
      </c>
    </row>
    <row r="20">
      <c r="A20" s="10" t="inlineStr">
        <is>
          <t>주식교부비</t>
        </is>
      </c>
      <c r="E20" s="11" t="n">
        <v>0.1325</v>
      </c>
      <c r="I20" s="11" t="n">
        <v>0</v>
      </c>
      <c r="W20" s="11" t="n">
        <v>0</v>
      </c>
      <c r="X20" s="11" t="n">
        <v>0.1325</v>
      </c>
      <c r="Y20" s="11" t="n">
        <v>0</v>
      </c>
    </row>
    <row r="21">
      <c r="A21" s="10" t="inlineStr">
        <is>
          <t>지분법손익</t>
        </is>
      </c>
      <c r="G21" s="11" t="n">
        <v>0</v>
      </c>
      <c r="I21" s="11" t="n">
        <v>0</v>
      </c>
      <c r="K21" s="11" t="n">
        <v>0.139</v>
      </c>
      <c r="M21" s="11" t="n">
        <v>0.3098</v>
      </c>
      <c r="O21" s="11" t="n">
        <v>0.12</v>
      </c>
      <c r="Q21" s="11" t="n">
        <v>0.73</v>
      </c>
      <c r="S21" s="11" t="n">
        <v>-0</v>
      </c>
      <c r="U21" s="11" t="n">
        <v>0.12</v>
      </c>
      <c r="Y21" s="11" t="n">
        <v>0</v>
      </c>
      <c r="Z21" s="11" t="n">
        <v>0.3098</v>
      </c>
      <c r="AA21" s="11" t="n">
        <v>0.73</v>
      </c>
      <c r="AB21" s="11" t="n">
        <v>0.12</v>
      </c>
    </row>
    <row r="22">
      <c r="A22" s="10" t="inlineStr">
        <is>
          <t>투자유가증권 매각손익</t>
        </is>
      </c>
      <c r="M22" s="11" t="n">
        <v>0</v>
      </c>
      <c r="Q22" s="11" t="n">
        <v>-0.75</v>
      </c>
      <c r="U22" s="11" t="n">
        <v>0</v>
      </c>
      <c r="Z22" s="11" t="n">
        <v>0</v>
      </c>
      <c r="AA22" s="11" t="n">
        <v>-0.75</v>
      </c>
      <c r="AB22" s="11" t="n">
        <v>0</v>
      </c>
    </row>
    <row r="23">
      <c r="A23" s="10" t="inlineStr">
        <is>
          <t>지분변동손익</t>
        </is>
      </c>
      <c r="G23" s="11" t="n">
        <v>0</v>
      </c>
      <c r="I23" s="11" t="n">
        <v>0</v>
      </c>
      <c r="K23" s="11" t="n">
        <v>-0.1367</v>
      </c>
      <c r="M23" s="11" t="n">
        <v>-0.1367</v>
      </c>
      <c r="O23" s="11" t="n">
        <v>0</v>
      </c>
      <c r="Q23" s="11" t="n">
        <v>0</v>
      </c>
      <c r="Y23" s="11" t="n">
        <v>0</v>
      </c>
      <c r="Z23" s="11" t="n">
        <v>-0.1367</v>
      </c>
      <c r="AA23" s="11" t="n">
        <v>0</v>
      </c>
    </row>
    <row r="24">
      <c r="A24" s="10" t="inlineStr">
        <is>
          <t>손상차손</t>
        </is>
      </c>
      <c r="M24" s="11" t="n">
        <v>0</v>
      </c>
      <c r="O24" s="11" t="n">
        <v>0</v>
      </c>
      <c r="Q24" s="11" t="n">
        <v>2.32</v>
      </c>
      <c r="S24" s="11" t="n">
        <v>1.61</v>
      </c>
      <c r="U24" s="11" t="n">
        <v>1.61</v>
      </c>
      <c r="Z24" s="11" t="n">
        <v>0</v>
      </c>
      <c r="AA24" s="11" t="n">
        <v>2.32</v>
      </c>
      <c r="AB24" s="11" t="n">
        <v>1.61</v>
      </c>
    </row>
    <row r="25">
      <c r="A25" s="10" t="inlineStr">
        <is>
          <t>고정자산 제각·매각손익</t>
        </is>
      </c>
      <c r="C25" s="11" t="n">
        <v>0.0041</v>
      </c>
      <c r="E25" s="11" t="n">
        <v>0.0143</v>
      </c>
      <c r="G25" s="11" t="n">
        <v>0.0016</v>
      </c>
      <c r="I25" s="11" t="n">
        <v>0.0043</v>
      </c>
      <c r="K25" s="11" t="n">
        <v>0.0307</v>
      </c>
      <c r="M25" s="11" t="n">
        <v>0.0366</v>
      </c>
      <c r="O25" s="11" t="n">
        <v>0.02</v>
      </c>
      <c r="Q25" s="11" t="n">
        <v>0.13</v>
      </c>
      <c r="S25" s="11" t="n">
        <v>0.02</v>
      </c>
      <c r="U25" s="11" t="n">
        <v>0.05</v>
      </c>
      <c r="W25" s="11" t="n">
        <v>0.0299</v>
      </c>
      <c r="X25" s="11" t="n">
        <v>0.0143</v>
      </c>
      <c r="Y25" s="11" t="n">
        <v>0.0043</v>
      </c>
      <c r="Z25" s="11" t="n">
        <v>0.0366</v>
      </c>
      <c r="AA25" s="11" t="n">
        <v>0.13</v>
      </c>
      <c r="AB25" s="11" t="n">
        <v>0.05</v>
      </c>
    </row>
    <row r="26">
      <c r="A26" s="10" t="inlineStr">
        <is>
          <t>매출채권 증감</t>
        </is>
      </c>
      <c r="C26" s="11" t="n">
        <v>-4.713</v>
      </c>
      <c r="E26" s="11" t="n">
        <v>-0.4374</v>
      </c>
      <c r="G26" s="11" t="n">
        <v>-5.8623</v>
      </c>
      <c r="I26" s="11" t="n">
        <v>-6.2991</v>
      </c>
      <c r="K26" s="11" t="n">
        <v>-3.7276</v>
      </c>
      <c r="M26" s="11" t="n">
        <v>-0.9340000000000001</v>
      </c>
      <c r="O26" s="11" t="n">
        <v>-1.74</v>
      </c>
      <c r="Q26" s="11" t="n">
        <v>0.84</v>
      </c>
      <c r="S26" s="11" t="n">
        <v>-1.12</v>
      </c>
      <c r="U26" s="11" t="n">
        <v>-2.4</v>
      </c>
      <c r="W26" s="11" t="n">
        <v>-2.5106</v>
      </c>
      <c r="X26" s="11" t="n">
        <v>-0.4374</v>
      </c>
      <c r="Y26" s="11" t="n">
        <v>-6.2991</v>
      </c>
      <c r="Z26" s="11" t="n">
        <v>-0.9340000000000001</v>
      </c>
      <c r="AA26" s="11" t="n">
        <v>0.84</v>
      </c>
      <c r="AB26" s="11" t="n">
        <v>-2.4</v>
      </c>
    </row>
    <row r="27">
      <c r="A27" s="10" t="inlineStr">
        <is>
          <t>재고자산 증감</t>
        </is>
      </c>
      <c r="C27" s="11" t="n">
        <v>0.0137</v>
      </c>
      <c r="E27" s="11" t="n">
        <v>-0.015</v>
      </c>
      <c r="G27" s="11" t="n">
        <v>-0.004</v>
      </c>
      <c r="I27" s="11" t="n">
        <v>-0.2763</v>
      </c>
      <c r="K27" s="11" t="n">
        <v>0.2616</v>
      </c>
      <c r="M27" s="11" t="n">
        <v>0.2641</v>
      </c>
      <c r="O27" s="11" t="n">
        <v>-0.4</v>
      </c>
      <c r="Q27" s="11" t="n">
        <v>-0.59</v>
      </c>
      <c r="S27" s="11" t="n">
        <v>-0.36</v>
      </c>
      <c r="U27" s="11" t="n">
        <v>0.59</v>
      </c>
      <c r="W27" s="11" t="n">
        <v>-0.0292</v>
      </c>
      <c r="X27" s="11" t="n">
        <v>-0.015</v>
      </c>
      <c r="Y27" s="11" t="n">
        <v>-0.2763</v>
      </c>
      <c r="Z27" s="11" t="n">
        <v>0.2641</v>
      </c>
      <c r="AA27" s="11" t="n">
        <v>-0.59</v>
      </c>
      <c r="AB27" s="11" t="n">
        <v>0.59</v>
      </c>
    </row>
    <row r="28">
      <c r="A28" s="10" t="inlineStr">
        <is>
          <t>퇴직급여부채 증감</t>
        </is>
      </c>
      <c r="E28" s="11" t="n">
        <v>0</v>
      </c>
      <c r="G28" s="11" t="n">
        <v>0</v>
      </c>
      <c r="I28" s="11" t="n">
        <v>-0.0031</v>
      </c>
      <c r="K28" s="11" t="n">
        <v>0.0029</v>
      </c>
      <c r="M28" s="11" t="n">
        <v>0.0062</v>
      </c>
      <c r="O28" s="11" t="n">
        <v>0</v>
      </c>
      <c r="Q28" s="11" t="n">
        <v>0</v>
      </c>
      <c r="S28" s="11" t="n">
        <v>0</v>
      </c>
      <c r="U28" s="11" t="n">
        <v>0</v>
      </c>
      <c r="X28" s="11" t="n">
        <v>0</v>
      </c>
      <c r="Y28" s="11" t="n">
        <v>-0.0031</v>
      </c>
      <c r="Z28" s="11" t="n">
        <v>0.0062</v>
      </c>
      <c r="AA28" s="11" t="n">
        <v>0</v>
      </c>
      <c r="AB28" s="11" t="n">
        <v>0</v>
      </c>
    </row>
    <row r="29">
      <c r="A29" s="10" t="inlineStr">
        <is>
          <t>기타 자산 증감</t>
        </is>
      </c>
      <c r="C29" s="11" t="n">
        <v>0.2122</v>
      </c>
      <c r="E29" s="11" t="n">
        <v>-0.3188</v>
      </c>
      <c r="G29" s="11" t="n">
        <v>0.0635</v>
      </c>
      <c r="I29" s="11" t="n">
        <v>-0.5742</v>
      </c>
      <c r="K29" s="11" t="n">
        <v>0.1988</v>
      </c>
      <c r="M29" s="11" t="n">
        <v>-0.1534</v>
      </c>
      <c r="O29" s="11" t="n">
        <v>-0.12</v>
      </c>
      <c r="Q29" s="11" t="n">
        <v>-0.12</v>
      </c>
      <c r="S29" s="11" t="n">
        <v>-0.09</v>
      </c>
      <c r="U29" s="11" t="n">
        <v>0.16</v>
      </c>
      <c r="W29" s="11" t="n">
        <v>-0.6783</v>
      </c>
      <c r="X29" s="11" t="n">
        <v>-0.3188</v>
      </c>
      <c r="Y29" s="11" t="n">
        <v>-0.5742</v>
      </c>
      <c r="Z29" s="11" t="n">
        <v>-0.1534</v>
      </c>
      <c r="AA29" s="11" t="n">
        <v>-0.12</v>
      </c>
      <c r="AB29" s="11" t="n">
        <v>0.16</v>
      </c>
    </row>
    <row r="30">
      <c r="A30" s="10" t="inlineStr">
        <is>
          <t>영업채무 증감</t>
        </is>
      </c>
      <c r="C30" s="11" t="n">
        <v>-0.9078000000000001</v>
      </c>
      <c r="E30" s="11" t="n">
        <v>-0.8496</v>
      </c>
      <c r="G30" s="11" t="n">
        <v>2.8021</v>
      </c>
      <c r="I30" s="11" t="n">
        <v>3.3246</v>
      </c>
      <c r="K30" s="11" t="n">
        <v>0.3604</v>
      </c>
      <c r="M30" s="11" t="n">
        <v>-0.2234</v>
      </c>
      <c r="O30" s="11" t="n">
        <v>0.11</v>
      </c>
      <c r="Q30" s="11" t="n">
        <v>-0.62</v>
      </c>
      <c r="S30" s="11" t="n">
        <v>-0.32</v>
      </c>
      <c r="U30" s="11" t="n">
        <v>0.66</v>
      </c>
      <c r="W30" s="11" t="n">
        <v>3.3127</v>
      </c>
      <c r="X30" s="11" t="n">
        <v>-0.8496</v>
      </c>
      <c r="Y30" s="11" t="n">
        <v>3.3246</v>
      </c>
      <c r="Z30" s="11" t="n">
        <v>-0.2234</v>
      </c>
      <c r="AA30" s="11" t="n">
        <v>-0.62</v>
      </c>
      <c r="AB30" s="11" t="n">
        <v>0.66</v>
      </c>
    </row>
    <row r="31">
      <c r="A31" s="10" t="inlineStr">
        <is>
          <t>미지급 소비세 증감</t>
        </is>
      </c>
      <c r="C31" s="11" t="n">
        <v>-1.9808</v>
      </c>
      <c r="E31" s="11" t="n">
        <v>-0.9923999999999999</v>
      </c>
      <c r="G31" s="11" t="n">
        <v>-1.7693</v>
      </c>
      <c r="I31" s="11" t="n">
        <v>-0.505</v>
      </c>
      <c r="K31" s="11" t="n">
        <v>0.8321</v>
      </c>
      <c r="M31" s="11" t="n">
        <v>2.661</v>
      </c>
      <c r="O31" s="11" t="n">
        <v>-1.18</v>
      </c>
      <c r="Q31" s="11" t="n">
        <v>-2</v>
      </c>
      <c r="S31" s="11" t="n">
        <v>0.27</v>
      </c>
      <c r="U31" s="11" t="n">
        <v>0.38</v>
      </c>
      <c r="W31" s="11" t="n">
        <v>-0.0033</v>
      </c>
      <c r="X31" s="11" t="n">
        <v>-0.9923999999999999</v>
      </c>
      <c r="Y31" s="11" t="n">
        <v>-0.505</v>
      </c>
      <c r="Z31" s="11" t="n">
        <v>2.661</v>
      </c>
      <c r="AA31" s="11" t="n">
        <v>-2</v>
      </c>
      <c r="AB31" s="11" t="n">
        <v>0.38</v>
      </c>
    </row>
    <row r="32">
      <c r="A32" s="10" t="inlineStr">
        <is>
          <t>기타 부채 증감</t>
        </is>
      </c>
      <c r="C32" s="11" t="n">
        <v>-0.2808</v>
      </c>
      <c r="E32" s="11" t="n">
        <v>0.8048999999999999</v>
      </c>
      <c r="G32" s="11" t="n">
        <v>0.33</v>
      </c>
      <c r="I32" s="11" t="n">
        <v>1.2448</v>
      </c>
      <c r="K32" s="11" t="n">
        <v>-0.1137</v>
      </c>
      <c r="M32" s="11" t="n">
        <v>0.2335</v>
      </c>
      <c r="O32" s="11" t="n">
        <v>4.1</v>
      </c>
      <c r="Q32" s="11" t="n">
        <v>5.16</v>
      </c>
      <c r="S32" s="11" t="n">
        <v>-1.7</v>
      </c>
      <c r="U32" s="11" t="n">
        <v>-1.09</v>
      </c>
      <c r="W32" s="11" t="n">
        <v>-3.147</v>
      </c>
      <c r="X32" s="11" t="n">
        <v>0.8048999999999999</v>
      </c>
      <c r="Y32" s="11" t="n">
        <v>1.2448</v>
      </c>
      <c r="Z32" s="11" t="n">
        <v>0.2335</v>
      </c>
      <c r="AA32" s="11" t="n">
        <v>5.16</v>
      </c>
      <c r="AB32" s="11" t="n">
        <v>-1.09</v>
      </c>
    </row>
    <row r="33">
      <c r="A33" s="10" t="inlineStr">
        <is>
          <t>기타</t>
        </is>
      </c>
      <c r="C33" s="11" t="n">
        <v>0.0174</v>
      </c>
      <c r="E33" s="11" t="n">
        <v>0.0274</v>
      </c>
      <c r="G33" s="11" t="n">
        <v>0.0111</v>
      </c>
      <c r="I33" s="11" t="n">
        <v>-0.0057</v>
      </c>
      <c r="K33" s="11" t="n">
        <v>0.0105</v>
      </c>
      <c r="M33" s="11" t="n">
        <v>-0.09329999999999999</v>
      </c>
      <c r="O33" s="11" t="n">
        <v>0.03</v>
      </c>
      <c r="Q33" s="11" t="n">
        <v>0.06</v>
      </c>
      <c r="S33" s="11" t="n">
        <v>0.24</v>
      </c>
      <c r="U33" s="11" t="n">
        <v>0.28</v>
      </c>
      <c r="W33" s="11" t="n">
        <v>0.0214</v>
      </c>
      <c r="X33" s="11" t="n">
        <v>0.0274</v>
      </c>
      <c r="Y33" s="11" t="n">
        <v>-0.0057</v>
      </c>
      <c r="Z33" s="11" t="n">
        <v>-0.09329999999999999</v>
      </c>
      <c r="AA33" s="11" t="n">
        <v>0.06</v>
      </c>
      <c r="AB33" s="11" t="n">
        <v>0.28</v>
      </c>
    </row>
    <row r="34">
      <c r="A34" s="10" t="inlineStr">
        <is>
          <t>소계</t>
        </is>
      </c>
      <c r="C34" s="11" t="n">
        <v>6.2162</v>
      </c>
      <c r="E34" s="11" t="n">
        <v>26.2351</v>
      </c>
      <c r="G34" s="11" t="n">
        <v>3.4514</v>
      </c>
      <c r="I34" s="11" t="n">
        <v>21.0071</v>
      </c>
      <c r="K34" s="11" t="n">
        <v>13.8269</v>
      </c>
      <c r="M34" s="11" t="n">
        <v>31.2841</v>
      </c>
      <c r="O34" s="11" t="n">
        <v>10.38</v>
      </c>
      <c r="Q34" s="11" t="n">
        <v>18.83</v>
      </c>
      <c r="S34" s="11" t="n">
        <v>3.32</v>
      </c>
      <c r="U34" s="11" t="n">
        <v>15.92</v>
      </c>
      <c r="W34" s="11" t="n">
        <v>19.8697</v>
      </c>
      <c r="X34" s="11" t="n">
        <v>26.2351</v>
      </c>
      <c r="Y34" s="11" t="n">
        <v>21.0071</v>
      </c>
      <c r="Z34" s="11" t="n">
        <v>31.2841</v>
      </c>
      <c r="AA34" s="11" t="n">
        <v>18.83</v>
      </c>
      <c r="AB34" s="11" t="n">
        <v>15.92</v>
      </c>
    </row>
    <row r="35">
      <c r="A35" s="10" t="inlineStr">
        <is>
          <t>이자·배당금 수취</t>
        </is>
      </c>
      <c r="C35" s="11" t="n">
        <v>0</v>
      </c>
      <c r="E35" s="11" t="n">
        <v>0</v>
      </c>
      <c r="G35" s="11" t="n">
        <v>0</v>
      </c>
      <c r="I35" s="11" t="n">
        <v>0</v>
      </c>
      <c r="K35" s="11" t="n">
        <v>0</v>
      </c>
      <c r="M35" s="11" t="n">
        <v>0</v>
      </c>
      <c r="O35" s="11" t="n">
        <v>0</v>
      </c>
      <c r="Q35" s="11" t="n">
        <v>0</v>
      </c>
      <c r="S35" s="11" t="n">
        <v>0</v>
      </c>
      <c r="U35" s="11" t="n">
        <v>0</v>
      </c>
      <c r="W35" s="11" t="n">
        <v>0</v>
      </c>
      <c r="X35" s="11" t="n">
        <v>0</v>
      </c>
      <c r="Y35" s="11" t="n">
        <v>0</v>
      </c>
      <c r="Z35" s="11" t="n">
        <v>0</v>
      </c>
      <c r="AA35" s="11" t="n">
        <v>0</v>
      </c>
      <c r="AB35" s="11" t="n">
        <v>0</v>
      </c>
    </row>
    <row r="36">
      <c r="A36" s="10" t="inlineStr">
        <is>
          <t>이자 지급</t>
        </is>
      </c>
      <c r="E36" s="11" t="n">
        <v>0</v>
      </c>
      <c r="G36" s="11" t="n">
        <v>0</v>
      </c>
      <c r="I36" s="11" t="n">
        <v>-0.0024</v>
      </c>
      <c r="K36" s="11" t="n">
        <v>-0.002</v>
      </c>
      <c r="M36" s="11" t="n">
        <v>-0.0037</v>
      </c>
      <c r="O36" s="11" t="n">
        <v>-0</v>
      </c>
      <c r="Q36" s="11" t="n">
        <v>-0</v>
      </c>
      <c r="S36" s="11" t="n">
        <v>-0</v>
      </c>
      <c r="U36" s="11" t="n">
        <v>-0.06</v>
      </c>
      <c r="W36" s="11" t="n">
        <v>-0.0117</v>
      </c>
      <c r="X36" s="11" t="n">
        <v>0</v>
      </c>
      <c r="Y36" s="11" t="n">
        <v>-0.0024</v>
      </c>
      <c r="Z36" s="11" t="n">
        <v>-0.0037</v>
      </c>
      <c r="AA36" s="11" t="n">
        <v>-0</v>
      </c>
      <c r="AB36" s="11" t="n">
        <v>-0.06</v>
      </c>
    </row>
    <row r="37">
      <c r="A37" s="10" t="inlineStr">
        <is>
          <t>리스해약 손실 지급</t>
        </is>
      </c>
      <c r="E37" s="11" t="n">
        <v>0</v>
      </c>
      <c r="I37" s="11" t="n">
        <v>-0.1714</v>
      </c>
      <c r="M37" s="11" t="n">
        <v>0</v>
      </c>
      <c r="X37" s="11" t="n">
        <v>0</v>
      </c>
      <c r="Y37" s="11" t="n">
        <v>-0.1714</v>
      </c>
      <c r="Z37" s="11" t="n">
        <v>0</v>
      </c>
    </row>
    <row r="38">
      <c r="A38" s="10" t="inlineStr">
        <is>
          <t>보험금 수취</t>
        </is>
      </c>
      <c r="E38" s="11" t="n">
        <v>0.0565</v>
      </c>
      <c r="I38" s="11" t="n">
        <v>0</v>
      </c>
      <c r="M38" s="11" t="n">
        <v>0.0214</v>
      </c>
      <c r="Q38" s="11" t="n">
        <v>0</v>
      </c>
      <c r="U38" s="11" t="n">
        <v>0.06</v>
      </c>
      <c r="W38" s="11" t="n">
        <v>0</v>
      </c>
      <c r="X38" s="11" t="n">
        <v>0.0565</v>
      </c>
      <c r="Y38" s="11" t="n">
        <v>0</v>
      </c>
      <c r="Z38" s="11" t="n">
        <v>0.0214</v>
      </c>
      <c r="AA38" s="11" t="n">
        <v>0</v>
      </c>
      <c r="AB38" s="11" t="n">
        <v>0.06</v>
      </c>
    </row>
    <row r="39">
      <c r="A39" s="10" t="inlineStr">
        <is>
          <t>보상금 수취</t>
        </is>
      </c>
      <c r="M39" s="11" t="n">
        <v>0</v>
      </c>
      <c r="Q39" s="11" t="n">
        <v>0.01</v>
      </c>
      <c r="U39" s="11" t="n">
        <v>0</v>
      </c>
      <c r="Z39" s="11" t="n">
        <v>0</v>
      </c>
      <c r="AA39" s="11" t="n">
        <v>0.01</v>
      </c>
      <c r="AB39" s="11" t="n">
        <v>0</v>
      </c>
    </row>
    <row r="40">
      <c r="A40" s="10" t="inlineStr">
        <is>
          <t>보조금 수취</t>
        </is>
      </c>
      <c r="C40" s="11" t="n">
        <v>0.2412</v>
      </c>
      <c r="E40" s="11" t="n">
        <v>0.3177</v>
      </c>
      <c r="G40" s="11" t="n">
        <v>0.2289</v>
      </c>
      <c r="I40" s="11" t="n">
        <v>0.5701000000000001</v>
      </c>
      <c r="K40" s="11" t="n">
        <v>0.2003</v>
      </c>
      <c r="M40" s="11" t="n">
        <v>0.2498</v>
      </c>
      <c r="O40" s="11" t="n">
        <v>0.05</v>
      </c>
      <c r="Q40" s="11" t="n">
        <v>0.06</v>
      </c>
      <c r="S40" s="11" t="n">
        <v>0.05</v>
      </c>
      <c r="U40" s="11" t="n">
        <v>0.07000000000000001</v>
      </c>
      <c r="W40" s="11" t="n">
        <v>0.9819</v>
      </c>
      <c r="X40" s="11" t="n">
        <v>0.3177</v>
      </c>
      <c r="Y40" s="11" t="n">
        <v>0.5701000000000001</v>
      </c>
      <c r="Z40" s="11" t="n">
        <v>0.2498</v>
      </c>
      <c r="AA40" s="11" t="n">
        <v>0.06</v>
      </c>
      <c r="AB40" s="11" t="n">
        <v>0.07000000000000001</v>
      </c>
    </row>
    <row r="41">
      <c r="A41" s="10" t="inlineStr">
        <is>
          <t>보전금 수취</t>
        </is>
      </c>
      <c r="E41" s="11" t="n">
        <v>0</v>
      </c>
      <c r="I41" s="11" t="n">
        <v>0.1714</v>
      </c>
      <c r="X41" s="11" t="n">
        <v>0</v>
      </c>
      <c r="Y41" s="11" t="n">
        <v>0.1714</v>
      </c>
    </row>
    <row r="42">
      <c r="A42" s="10" t="inlineStr">
        <is>
          <t>보전금 수취</t>
        </is>
      </c>
      <c r="I42" s="11" t="n">
        <v>0.1714</v>
      </c>
      <c r="M42" s="11" t="n">
        <v>0</v>
      </c>
      <c r="Y42" s="11" t="n">
        <v>0.1714</v>
      </c>
      <c r="Z42" s="11" t="n">
        <v>0</v>
      </c>
    </row>
    <row r="43">
      <c r="A43" s="10" t="inlineStr">
        <is>
          <t>법인세 납부</t>
        </is>
      </c>
      <c r="C43" s="11" t="n">
        <v>-4.9913</v>
      </c>
      <c r="E43" s="11" t="n">
        <v>-10.7425</v>
      </c>
      <c r="G43" s="11" t="n">
        <v>-2.245</v>
      </c>
      <c r="I43" s="11" t="n">
        <v>-6.2398</v>
      </c>
      <c r="K43" s="11" t="n">
        <v>-2.5412</v>
      </c>
      <c r="M43" s="11" t="n">
        <v>-5.857</v>
      </c>
      <c r="O43" s="11" t="n">
        <v>-3.65</v>
      </c>
      <c r="Q43" s="11" t="n">
        <v>-7.14</v>
      </c>
      <c r="S43" s="11" t="n">
        <v>-0.86</v>
      </c>
      <c r="U43" s="11" t="n">
        <v>-3.01</v>
      </c>
      <c r="W43" s="11" t="n">
        <v>-6.0755</v>
      </c>
      <c r="X43" s="11" t="n">
        <v>-10.7425</v>
      </c>
      <c r="Y43" s="11" t="n">
        <v>-6.2398</v>
      </c>
      <c r="Z43" s="11" t="n">
        <v>-5.857</v>
      </c>
      <c r="AA43" s="11" t="n">
        <v>-7.14</v>
      </c>
      <c r="AB43" s="11" t="n">
        <v>-3.01</v>
      </c>
    </row>
    <row r="44">
      <c r="A44" s="10" t="inlineStr">
        <is>
          <t>영업활동 현금흐름</t>
        </is>
      </c>
      <c r="C44" s="11" t="n">
        <v>1.4661</v>
      </c>
      <c r="E44" s="11" t="n">
        <v>15.8667</v>
      </c>
      <c r="G44" s="11" t="n">
        <v>1.4353</v>
      </c>
      <c r="I44" s="11" t="n">
        <v>15.335</v>
      </c>
      <c r="K44" s="11" t="n">
        <v>11.484</v>
      </c>
      <c r="M44" s="11" t="n">
        <v>25.6947</v>
      </c>
      <c r="O44" s="11" t="n">
        <v>6.77</v>
      </c>
      <c r="Q44" s="11" t="n">
        <v>11.76</v>
      </c>
      <c r="S44" s="11" t="n">
        <v>2.51</v>
      </c>
      <c r="U44" s="11" t="n">
        <v>12.99</v>
      </c>
      <c r="W44" s="11" t="n">
        <v>14.7645</v>
      </c>
      <c r="X44" s="11" t="n">
        <v>15.8667</v>
      </c>
      <c r="Y44" s="11" t="n">
        <v>15.335</v>
      </c>
      <c r="Z44" s="11" t="n">
        <v>25.6947</v>
      </c>
      <c r="AA44" s="11" t="n">
        <v>11.76</v>
      </c>
      <c r="AB44" s="11" t="n">
        <v>12.99</v>
      </c>
    </row>
    <row r="45">
      <c r="A45" s="10" t="inlineStr">
        <is>
          <t>유형자산 취득(설비투자)</t>
        </is>
      </c>
      <c r="C45" s="11" t="n">
        <v>-1.1623</v>
      </c>
      <c r="E45" s="11" t="n">
        <v>-1.8484</v>
      </c>
      <c r="G45" s="11" t="n">
        <v>-1.3836</v>
      </c>
      <c r="I45" s="11" t="n">
        <v>-2.1876</v>
      </c>
      <c r="K45" s="11" t="n">
        <v>-1.6401</v>
      </c>
      <c r="M45" s="11" t="n">
        <v>-3.6075</v>
      </c>
      <c r="O45" s="11" t="n">
        <v>-0.6899999999999999</v>
      </c>
      <c r="Q45" s="11" t="n">
        <v>-2.34</v>
      </c>
      <c r="S45" s="11" t="n">
        <v>-1.67</v>
      </c>
      <c r="U45" s="11" t="n">
        <v>-2.11</v>
      </c>
      <c r="W45" s="11" t="n">
        <v>-1.7417</v>
      </c>
      <c r="X45" s="11" t="n">
        <v>-1.8484</v>
      </c>
      <c r="Y45" s="11" t="n">
        <v>-2.1876</v>
      </c>
      <c r="Z45" s="11" t="n">
        <v>-3.6075</v>
      </c>
      <c r="AA45" s="11" t="n">
        <v>-2.34</v>
      </c>
      <c r="AB45" s="11" t="n">
        <v>-2.11</v>
      </c>
    </row>
    <row r="46">
      <c r="A46" s="10" t="inlineStr">
        <is>
          <t>무형자산 취득</t>
        </is>
      </c>
      <c r="C46" s="11" t="n">
        <v>-0.3299</v>
      </c>
      <c r="E46" s="11" t="n">
        <v>-0.8798</v>
      </c>
      <c r="G46" s="11" t="n">
        <v>-0.9446</v>
      </c>
      <c r="I46" s="11" t="n">
        <v>-2.1871</v>
      </c>
      <c r="K46" s="11" t="n">
        <v>-1.3982</v>
      </c>
      <c r="M46" s="11" t="n">
        <v>-3.0575</v>
      </c>
      <c r="O46" s="11" t="n">
        <v>-1.27</v>
      </c>
      <c r="Q46" s="11" t="n">
        <v>-2.69</v>
      </c>
      <c r="S46" s="11" t="n">
        <v>-0.74</v>
      </c>
      <c r="U46" s="11" t="n">
        <v>-0.92</v>
      </c>
      <c r="W46" s="11" t="n">
        <v>-0.3156</v>
      </c>
      <c r="X46" s="11" t="n">
        <v>-0.8798</v>
      </c>
      <c r="Y46" s="11" t="n">
        <v>-2.1871</v>
      </c>
      <c r="Z46" s="11" t="n">
        <v>-3.0575</v>
      </c>
      <c r="AA46" s="11" t="n">
        <v>-2.69</v>
      </c>
      <c r="AB46" s="11" t="n">
        <v>-0.92</v>
      </c>
    </row>
    <row r="47">
      <c r="A47" s="10" t="inlineStr">
        <is>
          <t>투자유가증권 취득</t>
        </is>
      </c>
      <c r="E47" s="11" t="n">
        <v>0</v>
      </c>
      <c r="G47" s="11" t="n">
        <v>0</v>
      </c>
      <c r="I47" s="11" t="n">
        <v>-1.68</v>
      </c>
      <c r="K47" s="11" t="n">
        <v>-1</v>
      </c>
      <c r="M47" s="11" t="n">
        <v>-1</v>
      </c>
      <c r="O47" s="11" t="n">
        <v>-1.35</v>
      </c>
      <c r="Q47" s="11" t="n">
        <v>-1.35</v>
      </c>
      <c r="S47" s="11" t="n">
        <v>0</v>
      </c>
      <c r="U47" s="11" t="n">
        <v>0</v>
      </c>
      <c r="X47" s="11" t="n">
        <v>0</v>
      </c>
      <c r="Y47" s="11" t="n">
        <v>-1.68</v>
      </c>
      <c r="Z47" s="11" t="n">
        <v>-1</v>
      </c>
      <c r="AA47" s="11" t="n">
        <v>-1.35</v>
      </c>
      <c r="AB47" s="11" t="n">
        <v>0</v>
      </c>
    </row>
    <row r="48">
      <c r="A48" s="10" t="inlineStr">
        <is>
          <t>투자유가증권 매각</t>
        </is>
      </c>
      <c r="M48" s="11" t="n">
        <v>0</v>
      </c>
      <c r="Q48" s="11" t="n">
        <v>2.43</v>
      </c>
      <c r="U48" s="11" t="n">
        <v>0</v>
      </c>
      <c r="Z48" s="11" t="n">
        <v>0</v>
      </c>
      <c r="AA48" s="11" t="n">
        <v>2.43</v>
      </c>
      <c r="AB48" s="11" t="n">
        <v>0</v>
      </c>
    </row>
    <row r="49">
      <c r="A49" s="10" t="inlineStr">
        <is>
          <t>자산복구부채 이행 지출</t>
        </is>
      </c>
      <c r="M49" s="11" t="n">
        <v>0</v>
      </c>
      <c r="O49" s="11" t="n">
        <v>0</v>
      </c>
      <c r="Q49" s="11" t="n">
        <v>-0.03</v>
      </c>
      <c r="S49" s="11" t="n">
        <v>-0.31</v>
      </c>
      <c r="U49" s="11" t="n">
        <v>-0.86</v>
      </c>
      <c r="Z49" s="11" t="n">
        <v>0</v>
      </c>
      <c r="AA49" s="11" t="n">
        <v>-0.03</v>
      </c>
      <c r="AB49" s="11" t="n">
        <v>-0.86</v>
      </c>
    </row>
    <row r="50">
      <c r="A50" s="10" t="inlineStr">
        <is>
          <t>정기예금 증감</t>
        </is>
      </c>
      <c r="G50" s="11" t="n">
        <v>0</v>
      </c>
      <c r="I50" s="11" t="n">
        <v>0</v>
      </c>
      <c r="K50" s="11" t="n">
        <v>-0.018</v>
      </c>
      <c r="M50" s="11" t="n">
        <v>-0.036</v>
      </c>
      <c r="O50" s="11" t="n">
        <v>-0.01</v>
      </c>
      <c r="Q50" s="11" t="n">
        <v>0.01</v>
      </c>
      <c r="S50" s="11" t="n">
        <v>0.02</v>
      </c>
      <c r="U50" s="11" t="n">
        <v>0</v>
      </c>
      <c r="Y50" s="11" t="n">
        <v>0</v>
      </c>
      <c r="Z50" s="11" t="n">
        <v>-0.036</v>
      </c>
      <c r="AA50" s="11" t="n">
        <v>0.01</v>
      </c>
      <c r="AB50" s="11" t="n">
        <v>0</v>
      </c>
    </row>
    <row r="51">
      <c r="A51" s="10" t="inlineStr">
        <is>
          <t>임차보증금·보증금 납입</t>
        </is>
      </c>
      <c r="C51" s="11" t="n">
        <v>-0.062</v>
      </c>
      <c r="E51" s="11" t="n">
        <v>-0.9401</v>
      </c>
      <c r="G51" s="11" t="n">
        <v>-0.0074</v>
      </c>
      <c r="I51" s="11" t="n">
        <v>-0.1283</v>
      </c>
      <c r="K51" s="11" t="n">
        <v>-0.959</v>
      </c>
      <c r="M51" s="11" t="n">
        <v>-1.2667</v>
      </c>
      <c r="O51" s="11" t="n">
        <v>-0</v>
      </c>
      <c r="Q51" s="11" t="n">
        <v>-1.38</v>
      </c>
      <c r="S51" s="11" t="n">
        <v>-0.16</v>
      </c>
      <c r="U51" s="11" t="n">
        <v>-0.24</v>
      </c>
      <c r="W51" s="11" t="n">
        <v>-0.9625</v>
      </c>
      <c r="X51" s="11" t="n">
        <v>-0.9401</v>
      </c>
      <c r="Y51" s="11" t="n">
        <v>-0.1283</v>
      </c>
      <c r="Z51" s="11" t="n">
        <v>-1.2667</v>
      </c>
      <c r="AA51" s="11" t="n">
        <v>-1.38</v>
      </c>
      <c r="AB51" s="11" t="n">
        <v>-0.24</v>
      </c>
    </row>
    <row r="52">
      <c r="A52" s="10" t="inlineStr">
        <is>
          <t>임차보증금·보증금 회수</t>
        </is>
      </c>
      <c r="C52" s="11" t="n">
        <v>0.0158</v>
      </c>
      <c r="E52" s="11" t="n">
        <v>0.0209</v>
      </c>
      <c r="G52" s="11" t="n">
        <v>0.0104</v>
      </c>
      <c r="I52" s="11" t="n">
        <v>0.0129</v>
      </c>
      <c r="K52" s="11" t="n">
        <v>0.031</v>
      </c>
      <c r="M52" s="11" t="n">
        <v>0.0338</v>
      </c>
      <c r="O52" s="11" t="n">
        <v>0</v>
      </c>
      <c r="Q52" s="11" t="n">
        <v>0.58</v>
      </c>
      <c r="S52" s="11" t="n">
        <v>0.19</v>
      </c>
      <c r="U52" s="11" t="n">
        <v>1.19</v>
      </c>
      <c r="W52" s="11" t="n">
        <v>0.0092</v>
      </c>
      <c r="X52" s="11" t="n">
        <v>0.0209</v>
      </c>
      <c r="Y52" s="11" t="n">
        <v>0.0129</v>
      </c>
      <c r="Z52" s="11" t="n">
        <v>0.0338</v>
      </c>
      <c r="AA52" s="11" t="n">
        <v>0.58</v>
      </c>
      <c r="AB52" s="11" t="n">
        <v>1.19</v>
      </c>
    </row>
    <row r="53">
      <c r="A53" s="10" t="inlineStr">
        <is>
          <t>연결범위 변경 자회사 주식 취득(수입)</t>
        </is>
      </c>
      <c r="C53" s="11" t="n">
        <v>0</v>
      </c>
      <c r="E53" s="11" t="n">
        <v>0</v>
      </c>
      <c r="G53" s="11" t="n">
        <v>0.0653</v>
      </c>
      <c r="I53" s="11" t="n">
        <v>0.0653</v>
      </c>
      <c r="K53" s="11" t="n">
        <v>0</v>
      </c>
      <c r="M53" s="11" t="n">
        <v>0</v>
      </c>
      <c r="X53" s="11" t="n">
        <v>0</v>
      </c>
      <c r="Y53" s="11" t="n">
        <v>0.0653</v>
      </c>
      <c r="Z53" s="11" t="n">
        <v>0</v>
      </c>
    </row>
    <row r="54">
      <c r="A54" s="10" t="inlineStr">
        <is>
          <t>연결범위 변경 자회사 주식 취득</t>
        </is>
      </c>
      <c r="Q54" s="11" t="n">
        <v>0</v>
      </c>
      <c r="U54" s="11" t="n">
        <v>-12.45</v>
      </c>
      <c r="AA54" s="11" t="n">
        <v>0</v>
      </c>
      <c r="AB54" s="11" t="n">
        <v>-12.45</v>
      </c>
    </row>
    <row r="55">
      <c r="A55" s="10" t="inlineStr">
        <is>
          <t>기타</t>
        </is>
      </c>
      <c r="C55" s="11" t="n">
        <v>-0.0153</v>
      </c>
      <c r="E55" s="11" t="n">
        <v>-0.0153</v>
      </c>
      <c r="G55" s="11" t="n">
        <v>-0.0153</v>
      </c>
      <c r="I55" s="11" t="n">
        <v>-0.0153</v>
      </c>
      <c r="K55" s="11" t="n">
        <v>-0.008200000000000001</v>
      </c>
      <c r="M55" s="11" t="n">
        <v>-0.008200000000000001</v>
      </c>
      <c r="O55" s="11" t="n">
        <v>-0.01</v>
      </c>
      <c r="Q55" s="11" t="n">
        <v>-0.01</v>
      </c>
      <c r="S55" s="11" t="n">
        <v>-0.01</v>
      </c>
      <c r="U55" s="11" t="n">
        <v>0.48</v>
      </c>
      <c r="W55" s="11" t="n">
        <v>-0.0134</v>
      </c>
      <c r="X55" s="11" t="n">
        <v>-0.0153</v>
      </c>
      <c r="Y55" s="11" t="n">
        <v>-0.0153</v>
      </c>
      <c r="Z55" s="11" t="n">
        <v>-0.008200000000000001</v>
      </c>
      <c r="AA55" s="11" t="n">
        <v>-0.01</v>
      </c>
      <c r="AB55" s="11" t="n">
        <v>0.48</v>
      </c>
    </row>
    <row r="56">
      <c r="A56" s="10" t="inlineStr">
        <is>
          <t>투자활동 현금흐름</t>
        </is>
      </c>
      <c r="C56" s="11" t="n">
        <v>-1.5536</v>
      </c>
      <c r="E56" s="11" t="n">
        <v>-3.6627</v>
      </c>
      <c r="G56" s="11" t="n">
        <v>-2.2751</v>
      </c>
      <c r="I56" s="11" t="n">
        <v>-6.12</v>
      </c>
      <c r="K56" s="11" t="n">
        <v>-4.9925</v>
      </c>
      <c r="M56" s="11" t="n">
        <v>-8.9421</v>
      </c>
      <c r="O56" s="11" t="n">
        <v>-3.35</v>
      </c>
      <c r="Q56" s="11" t="n">
        <v>-4.79</v>
      </c>
      <c r="S56" s="11" t="n">
        <v>-2.7</v>
      </c>
      <c r="U56" s="11" t="n">
        <v>-14.9</v>
      </c>
      <c r="W56" s="11" t="n">
        <v>-3.024</v>
      </c>
      <c r="X56" s="11" t="n">
        <v>-3.6627</v>
      </c>
      <c r="Y56" s="11" t="n">
        <v>-6.12</v>
      </c>
      <c r="Z56" s="11" t="n">
        <v>-8.9421</v>
      </c>
      <c r="AA56" s="11" t="n">
        <v>-4.79</v>
      </c>
      <c r="AB56" s="11" t="n">
        <v>-14.9</v>
      </c>
    </row>
    <row r="57">
      <c r="A57" s="10" t="inlineStr">
        <is>
          <t>단기차입금 순증감</t>
        </is>
      </c>
      <c r="E57" s="11" t="n">
        <v>0</v>
      </c>
      <c r="G57" s="11" t="n">
        <v>0</v>
      </c>
      <c r="I57" s="11" t="n">
        <v>0.05</v>
      </c>
      <c r="K57" s="11" t="n">
        <v>-0.05</v>
      </c>
      <c r="M57" s="11" t="n">
        <v>-0.05</v>
      </c>
      <c r="O57" s="11" t="n">
        <v>0</v>
      </c>
      <c r="Q57" s="11" t="n">
        <v>0</v>
      </c>
      <c r="W57" s="11" t="n">
        <v>-0.1378</v>
      </c>
      <c r="X57" s="11" t="n">
        <v>0</v>
      </c>
      <c r="Y57" s="11" t="n">
        <v>0.05</v>
      </c>
      <c r="Z57" s="11" t="n">
        <v>-0.05</v>
      </c>
      <c r="AA57" s="11" t="n">
        <v>0</v>
      </c>
    </row>
    <row r="58">
      <c r="A58" s="10" t="inlineStr">
        <is>
          <t>장기차입</t>
        </is>
      </c>
      <c r="E58" s="11" t="n">
        <v>0</v>
      </c>
      <c r="I58" s="11" t="n">
        <v>0.27</v>
      </c>
      <c r="M58" s="11" t="n">
        <v>0</v>
      </c>
      <c r="Q58" s="11" t="n">
        <v>0</v>
      </c>
      <c r="U58" s="11" t="n">
        <v>13</v>
      </c>
      <c r="X58" s="11" t="n">
        <v>0</v>
      </c>
      <c r="Y58" s="11" t="n">
        <v>0.27</v>
      </c>
      <c r="Z58" s="11" t="n">
        <v>0</v>
      </c>
      <c r="AA58" s="11" t="n">
        <v>0</v>
      </c>
      <c r="AB58" s="11" t="n">
        <v>13</v>
      </c>
    </row>
    <row r="59">
      <c r="A59" s="10" t="inlineStr">
        <is>
          <t>장기차입금 상환</t>
        </is>
      </c>
      <c r="E59" s="11" t="n">
        <v>0</v>
      </c>
      <c r="G59" s="11" t="n">
        <v>0</v>
      </c>
      <c r="I59" s="11" t="n">
        <v>-0.2889</v>
      </c>
      <c r="K59" s="11" t="n">
        <v>-0.0239</v>
      </c>
      <c r="M59" s="11" t="n">
        <v>-0.0478</v>
      </c>
      <c r="O59" s="11" t="n">
        <v>-0.02</v>
      </c>
      <c r="Q59" s="11" t="n">
        <v>-0.03</v>
      </c>
      <c r="S59" s="11" t="n">
        <v>-0.01</v>
      </c>
      <c r="U59" s="11" t="n">
        <v>-0.02</v>
      </c>
      <c r="W59" s="11" t="n">
        <v>-2.26</v>
      </c>
      <c r="X59" s="11" t="n">
        <v>0</v>
      </c>
      <c r="Y59" s="11" t="n">
        <v>-0.2889</v>
      </c>
      <c r="Z59" s="11" t="n">
        <v>-0.0478</v>
      </c>
      <c r="AA59" s="11" t="n">
        <v>-0.03</v>
      </c>
      <c r="AB59" s="11" t="n">
        <v>-0.02</v>
      </c>
    </row>
    <row r="60">
      <c r="A60" s="10" t="inlineStr">
        <is>
          <t>주식 발행</t>
        </is>
      </c>
      <c r="E60" s="11" t="n">
        <v>11.7115</v>
      </c>
      <c r="I60" s="11" t="n">
        <v>0</v>
      </c>
      <c r="W60" s="11" t="n">
        <v>0</v>
      </c>
      <c r="X60" s="11" t="n">
        <v>11.7115</v>
      </c>
      <c r="Y60" s="11" t="n">
        <v>0</v>
      </c>
    </row>
    <row r="61">
      <c r="A61" s="10" t="inlineStr">
        <is>
          <t>신주예약권 행사에 따른 주식 발행</t>
        </is>
      </c>
      <c r="C61" s="11" t="n">
        <v>0</v>
      </c>
      <c r="E61" s="11" t="n">
        <v>0</v>
      </c>
      <c r="G61" s="11" t="n">
        <v>0.209</v>
      </c>
      <c r="I61" s="11" t="n">
        <v>2.0189</v>
      </c>
      <c r="K61" s="11" t="n">
        <v>0.7649</v>
      </c>
      <c r="M61" s="11" t="n">
        <v>1.9855</v>
      </c>
      <c r="O61" s="11" t="n">
        <v>0.12</v>
      </c>
      <c r="Q61" s="11" t="n">
        <v>0.44</v>
      </c>
      <c r="S61" s="11" t="n">
        <v>0.09</v>
      </c>
      <c r="U61" s="11" t="n">
        <v>2.54</v>
      </c>
      <c r="X61" s="11" t="n">
        <v>0</v>
      </c>
      <c r="Y61" s="11" t="n">
        <v>2.0189</v>
      </c>
      <c r="Z61" s="11" t="n">
        <v>1.9855</v>
      </c>
      <c r="AA61" s="11" t="n">
        <v>0.44</v>
      </c>
      <c r="AB61" s="11" t="n">
        <v>2.54</v>
      </c>
    </row>
    <row r="62">
      <c r="A62" s="10" t="inlineStr">
        <is>
          <t>자기주식 취득</t>
        </is>
      </c>
      <c r="E62" s="11" t="n">
        <v>0</v>
      </c>
      <c r="I62" s="11" t="n">
        <v>-0.0005</v>
      </c>
      <c r="K62" s="11" t="n">
        <v>0</v>
      </c>
      <c r="M62" s="11" t="n">
        <v>0</v>
      </c>
      <c r="O62" s="11" t="n">
        <v>-0</v>
      </c>
      <c r="Q62" s="11" t="n">
        <v>-0</v>
      </c>
      <c r="S62" s="11" t="n">
        <v>0</v>
      </c>
      <c r="U62" s="11" t="n">
        <v>0</v>
      </c>
      <c r="X62" s="11" t="n">
        <v>0</v>
      </c>
      <c r="Y62" s="11" t="n">
        <v>-0.0005</v>
      </c>
      <c r="Z62" s="11" t="n">
        <v>0</v>
      </c>
      <c r="AA62" s="11" t="n">
        <v>-0</v>
      </c>
      <c r="AB62" s="11" t="n">
        <v>0</v>
      </c>
    </row>
    <row r="63">
      <c r="A63" s="10" t="inlineStr">
        <is>
          <t>배당금 지급</t>
        </is>
      </c>
      <c r="C63" s="11" t="n">
        <v>-5.696</v>
      </c>
      <c r="E63" s="11" t="n">
        <v>-5.696</v>
      </c>
      <c r="G63" s="11" t="n">
        <v>-6.4264</v>
      </c>
      <c r="I63" s="11" t="n">
        <v>-6.4308</v>
      </c>
      <c r="K63" s="11" t="n">
        <v>-6.8046</v>
      </c>
      <c r="M63" s="11" t="n">
        <v>-6.8065</v>
      </c>
      <c r="O63" s="11" t="n">
        <v>-7.46</v>
      </c>
      <c r="Q63" s="11" t="n">
        <v>-7.46</v>
      </c>
      <c r="S63" s="11" t="n">
        <v>-10.87</v>
      </c>
      <c r="U63" s="11" t="n">
        <v>-10.87</v>
      </c>
      <c r="W63" s="11" t="n">
        <v>-4.608</v>
      </c>
      <c r="X63" s="11" t="n">
        <v>-5.696</v>
      </c>
      <c r="Y63" s="11" t="n">
        <v>-6.4308</v>
      </c>
      <c r="Z63" s="11" t="n">
        <v>-6.8065</v>
      </c>
      <c r="AA63" s="11" t="n">
        <v>-7.46</v>
      </c>
      <c r="AB63" s="11" t="n">
        <v>-10.87</v>
      </c>
    </row>
    <row r="64">
      <c r="A64" s="10" t="inlineStr">
        <is>
          <t>연결범위 변경 없는 자회사 주식 취득</t>
        </is>
      </c>
      <c r="E64" s="11" t="n">
        <v>0</v>
      </c>
      <c r="W64" s="11" t="n">
        <v>-0.1808</v>
      </c>
      <c r="X64" s="11" t="n">
        <v>0</v>
      </c>
    </row>
    <row r="65">
      <c r="A65" s="10" t="inlineStr">
        <is>
          <t>신주예약권 발행</t>
        </is>
      </c>
      <c r="E65" s="11" t="n">
        <v>0</v>
      </c>
      <c r="W65" s="11" t="n">
        <v>0.048</v>
      </c>
      <c r="X65" s="11" t="n">
        <v>0</v>
      </c>
    </row>
    <row r="66">
      <c r="A66" s="10" t="inlineStr">
        <is>
          <t>상장 관련 비용 지출</t>
        </is>
      </c>
      <c r="E66" s="11" t="n">
        <v>-0.2086</v>
      </c>
      <c r="W66" s="11" t="n">
        <v>0</v>
      </c>
      <c r="X66" s="11" t="n">
        <v>-0.2086</v>
      </c>
    </row>
    <row r="67">
      <c r="A67" s="10" t="inlineStr">
        <is>
          <t>상장 관련 비용 지출</t>
        </is>
      </c>
      <c r="E67" s="11" t="n">
        <v>-0.2086</v>
      </c>
      <c r="I67" s="11" t="n">
        <v>0</v>
      </c>
      <c r="X67" s="11" t="n">
        <v>-0.2086</v>
      </c>
      <c r="Y67" s="11" t="n">
        <v>0</v>
      </c>
    </row>
    <row r="68">
      <c r="A68" s="10" t="inlineStr">
        <is>
          <t>기타</t>
        </is>
      </c>
      <c r="E68" s="11" t="n">
        <v>0</v>
      </c>
      <c r="G68" s="11" t="n">
        <v>0</v>
      </c>
      <c r="I68" s="11" t="n">
        <v>-0.0008</v>
      </c>
      <c r="K68" s="11" t="n">
        <v>-0.0048</v>
      </c>
      <c r="M68" s="11" t="n">
        <v>-0.0098</v>
      </c>
      <c r="O68" s="11" t="n">
        <v>-0</v>
      </c>
      <c r="Q68" s="11" t="n">
        <v>-0</v>
      </c>
      <c r="S68" s="11" t="n">
        <v>-0</v>
      </c>
      <c r="U68" s="11" t="n">
        <v>-0</v>
      </c>
      <c r="X68" s="11" t="n">
        <v>0</v>
      </c>
      <c r="Y68" s="11" t="n">
        <v>-0.0008</v>
      </c>
      <c r="Z68" s="11" t="n">
        <v>-0.0098</v>
      </c>
      <c r="AA68" s="11" t="n">
        <v>-0</v>
      </c>
      <c r="AB68" s="11" t="n">
        <v>-0</v>
      </c>
    </row>
    <row r="69">
      <c r="A69" s="10" t="inlineStr">
        <is>
          <t>재무활동 현금흐름</t>
        </is>
      </c>
      <c r="C69" s="11" t="n">
        <v>-5.696</v>
      </c>
      <c r="E69" s="11" t="n">
        <v>5.8069</v>
      </c>
      <c r="G69" s="11" t="n">
        <v>-6.2174</v>
      </c>
      <c r="I69" s="11" t="n">
        <v>-4.382</v>
      </c>
      <c r="K69" s="11" t="n">
        <v>-6.1183</v>
      </c>
      <c r="M69" s="11" t="n">
        <v>-4.9285</v>
      </c>
      <c r="O69" s="11" t="n">
        <v>-7.36</v>
      </c>
      <c r="Q69" s="11" t="n">
        <v>-7.06</v>
      </c>
      <c r="S69" s="11" t="n">
        <v>-10.79</v>
      </c>
      <c r="U69" s="11" t="n">
        <v>4.63</v>
      </c>
      <c r="W69" s="11" t="n">
        <v>-7.1386</v>
      </c>
      <c r="X69" s="11" t="n">
        <v>5.8069</v>
      </c>
      <c r="Y69" s="11" t="n">
        <v>-4.382</v>
      </c>
      <c r="Z69" s="11" t="n">
        <v>-4.9285</v>
      </c>
      <c r="AA69" s="11" t="n">
        <v>-7.06</v>
      </c>
      <c r="AB69" s="11" t="n">
        <v>4.63</v>
      </c>
    </row>
    <row r="70">
      <c r="A70" s="10" t="inlineStr">
        <is>
          <t>현금성자산 증감</t>
        </is>
      </c>
      <c r="C70" s="11" t="n">
        <v>-5.7835</v>
      </c>
      <c r="E70" s="11" t="n">
        <v>18.011</v>
      </c>
      <c r="G70" s="11" t="n">
        <v>-7.0572</v>
      </c>
      <c r="I70" s="11" t="n">
        <v>4.8329</v>
      </c>
      <c r="K70" s="11" t="n">
        <v>0.3732</v>
      </c>
      <c r="M70" s="11" t="n">
        <v>11.824</v>
      </c>
      <c r="O70" s="11" t="n">
        <v>-3.93</v>
      </c>
      <c r="Q70" s="11" t="n">
        <v>-0.1</v>
      </c>
      <c r="S70" s="11" t="n">
        <v>-10.98</v>
      </c>
      <c r="U70" s="11" t="n">
        <v>2.71</v>
      </c>
      <c r="W70" s="11" t="n">
        <v>4.6019</v>
      </c>
      <c r="X70" s="11" t="n">
        <v>18.011</v>
      </c>
      <c r="Y70" s="11" t="n">
        <v>4.8329</v>
      </c>
      <c r="Z70" s="11" t="n">
        <v>11.824</v>
      </c>
      <c r="AA70" s="11" t="n">
        <v>-0.1</v>
      </c>
      <c r="AB70" s="11" t="n">
        <v>2.71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44" customWidth="1" min="4" max="4"/>
  </cols>
  <sheetData>
    <row r="1">
      <c r="A1" s="1" t="inlineStr">
        <is>
          <t>비위드 섹터·사업 데이터</t>
        </is>
      </c>
    </row>
    <row r="2">
      <c r="A2" s="2" t="inlineStr">
        <is>
          <t>2단계 보고서를 만들 때 모은 자료 · 월차 · 출처는 맨 오른쪽</t>
        </is>
      </c>
    </row>
    <row r="4">
      <c r="A4" s="12" t="inlineStr">
        <is>
          <t>컨센서스</t>
        </is>
      </c>
      <c r="B4" s="12" t="n"/>
      <c r="C4" s="12" t="n"/>
      <c r="D4" s="12" t="n"/>
    </row>
    <row r="5">
      <c r="A5" s="13" t="inlineStr">
        <is>
          <t>항목</t>
        </is>
      </c>
      <c r="B5" s="13" t="inlineStr">
        <is>
          <t>값</t>
        </is>
      </c>
      <c r="D5" s="13" t="inlineStr">
        <is>
          <t>출처</t>
        </is>
      </c>
    </row>
    <row r="6">
      <c r="A6" s="14" t="inlineStr">
        <is>
          <t>2Q 매출</t>
        </is>
      </c>
      <c r="B6" s="11" t="n">
        <v>93.09</v>
      </c>
      <c r="D6" s="3" t="inlineStr">
        <is>
          <t>야후 파이낸스, 애널리스트 1명</t>
        </is>
      </c>
    </row>
    <row r="7">
      <c r="A7" s="14" t="inlineStr">
        <is>
          <t>fy27 매출</t>
        </is>
      </c>
      <c r="B7" s="11" t="n">
        <v>380</v>
      </c>
    </row>
    <row r="8">
      <c r="A8" s="14" t="inlineStr">
        <is>
          <t>fy27 EPS</t>
        </is>
      </c>
      <c r="B8" s="11" t="n">
        <v>68.2</v>
      </c>
    </row>
    <row r="9">
      <c r="A9" s="14" t="inlineStr">
        <is>
          <t>fy27 EPS 90d</t>
        </is>
      </c>
      <c r="B9" s="11" t="n">
        <v>58.5</v>
      </c>
    </row>
    <row r="10">
      <c r="A10" s="14" t="inlineStr">
        <is>
          <t>fy28 매출</t>
        </is>
      </c>
      <c r="B10" s="11" t="n">
        <v>395</v>
      </c>
    </row>
    <row r="11">
      <c r="A11" s="14" t="inlineStr">
        <is>
          <t>fy28 EPS</t>
        </is>
      </c>
      <c r="B11" s="11" t="n">
        <v>76.5</v>
      </c>
    </row>
    <row r="13">
      <c r="A13" s="12" t="inlineStr">
        <is>
          <t>핵심 지표</t>
        </is>
      </c>
      <c r="B13" s="12" t="n"/>
      <c r="C13" s="12" t="n"/>
      <c r="D13" s="12" t="n"/>
    </row>
    <row r="14">
      <c r="A14" s="13" t="inlineStr">
        <is>
          <t>항목</t>
        </is>
      </c>
      <c r="B14" s="13" t="inlineStr">
        <is>
          <t>값</t>
        </is>
      </c>
      <c r="D14" s="13" t="inlineStr">
        <is>
          <t>출처</t>
        </is>
      </c>
    </row>
    <row r="15">
      <c r="A15" s="14" t="inlineStr">
        <is>
          <t>omnia licenses 1q</t>
        </is>
      </c>
      <c r="B15" s="15" t="n">
        <v>5851</v>
      </c>
      <c r="D15" s="3" t="inlineStr">
        <is>
          <t>2단계 보고서 자료(회사 설명회 자료·공시)</t>
        </is>
      </c>
    </row>
    <row r="16">
      <c r="A16" s="14" t="inlineStr">
        <is>
          <t>licenses YoY</t>
        </is>
      </c>
      <c r="B16" s="11" t="n">
        <v>22.2</v>
      </c>
    </row>
    <row r="17">
      <c r="A17" s="14" t="inlineStr">
        <is>
          <t>arr 1q</t>
        </is>
      </c>
      <c r="B17" s="11" t="n">
        <v>16</v>
      </c>
    </row>
    <row r="18">
      <c r="A18" s="14" t="inlineStr">
        <is>
          <t>arr YoY</t>
        </is>
      </c>
      <c r="B18" s="11" t="n">
        <v>37.8</v>
      </c>
    </row>
    <row r="19">
      <c r="A19" s="14" t="inlineStr">
        <is>
          <t>arr fy26end</t>
        </is>
      </c>
      <c r="B19" s="11" t="n">
        <v>14.7</v>
      </c>
    </row>
    <row r="20">
      <c r="A20" s="14" t="inlineStr">
        <is>
          <t>licenses fy26end</t>
        </is>
      </c>
      <c r="B20" s="15" t="n">
        <v>5721</v>
      </c>
    </row>
    <row r="21">
      <c r="A21" s="14" t="inlineStr">
        <is>
          <t>booths 1q</t>
        </is>
      </c>
      <c r="B21" s="15" t="n">
        <v>6678</v>
      </c>
    </row>
    <row r="22">
      <c r="A22" s="14" t="inlineStr">
        <is>
          <t>booths fy26end</t>
        </is>
      </c>
      <c r="B22" s="15" t="n">
        <v>6660</v>
      </c>
    </row>
    <row r="23">
      <c r="A23" s="14" t="inlineStr">
        <is>
          <t>sites</t>
        </is>
      </c>
      <c r="B23" s="15" t="n">
        <v>16</v>
      </c>
    </row>
    <row r="25">
      <c r="A25" s="12" t="inlineStr">
        <is>
          <t>radiant</t>
        </is>
      </c>
      <c r="B25" s="12" t="n"/>
      <c r="C25" s="12" t="n"/>
      <c r="D25" s="12" t="n"/>
    </row>
    <row r="26">
      <c r="A26" s="13" t="inlineStr">
        <is>
          <t>항목</t>
        </is>
      </c>
      <c r="B26" s="13" t="inlineStr">
        <is>
          <t>값</t>
        </is>
      </c>
      <c r="D26" s="13" t="inlineStr">
        <is>
          <t>출처</t>
        </is>
      </c>
    </row>
    <row r="27">
      <c r="A27" s="14" t="inlineStr">
        <is>
          <t>cy25 매출</t>
        </is>
      </c>
      <c r="B27" s="11" t="n">
        <v>9.4</v>
      </c>
      <c r="D27" s="3" t="inlineStr">
        <is>
          <t>2단계 보고서 자료(회사 설명회 자료·공시)</t>
        </is>
      </c>
    </row>
    <row r="28">
      <c r="A28" s="14" t="inlineStr">
        <is>
          <t>cy25 영업이익</t>
        </is>
      </c>
      <c r="B28" s="11" t="n">
        <v>2.62</v>
      </c>
    </row>
    <row r="29">
      <c r="A29" s="14" t="inlineStr">
        <is>
          <t>cy25 순이익</t>
        </is>
      </c>
      <c r="B29" s="11" t="n">
        <v>1.95</v>
      </c>
    </row>
    <row r="31">
      <c r="A31" s="12" t="inlineStr">
        <is>
          <t>pl 1q</t>
        </is>
      </c>
      <c r="B31" s="12" t="n"/>
      <c r="C31" s="12" t="n"/>
      <c r="D31" s="12" t="n"/>
    </row>
    <row r="32">
      <c r="A32" s="13" t="inlineStr">
        <is>
          <t>항목</t>
        </is>
      </c>
      <c r="B32" s="13" t="inlineStr">
        <is>
          <t>값</t>
        </is>
      </c>
      <c r="D32" s="13" t="inlineStr">
        <is>
          <t>출처</t>
        </is>
      </c>
    </row>
    <row r="33">
      <c r="A33" s="14" t="inlineStr">
        <is>
          <t>매출</t>
        </is>
      </c>
      <c r="B33" s="11" t="n">
        <v>94.11</v>
      </c>
      <c r="D33" s="3" t="inlineStr">
        <is>
          <t>2단계 보고서 자료(회사 설명회 자료·공시)</t>
        </is>
      </c>
    </row>
    <row r="34">
      <c r="A34" s="14" t="inlineStr">
        <is>
          <t>cogs</t>
        </is>
      </c>
      <c r="B34" s="11" t="n">
        <v>79.06</v>
      </c>
    </row>
    <row r="35">
      <c r="A35" s="14" t="inlineStr">
        <is>
          <t>gp</t>
        </is>
      </c>
      <c r="B35" s="11" t="n">
        <v>15.05</v>
      </c>
    </row>
    <row r="36">
      <c r="A36" s="14" t="inlineStr">
        <is>
          <t>sga</t>
        </is>
      </c>
      <c r="B36" s="11" t="n">
        <v>10.25</v>
      </c>
    </row>
    <row r="37">
      <c r="A37" s="14" t="inlineStr">
        <is>
          <t>영업이익</t>
        </is>
      </c>
      <c r="B37" s="11" t="n">
        <v>4.79</v>
      </c>
    </row>
    <row r="38">
      <c r="A38" s="14" t="inlineStr">
        <is>
          <t>dep</t>
        </is>
      </c>
      <c r="B38" s="11" t="n">
        <v>1.18</v>
      </c>
    </row>
    <row r="39">
      <c r="A39" s="14" t="inlineStr">
        <is>
          <t>dep 직전</t>
        </is>
      </c>
      <c r="B39" s="11" t="n">
        <v>1.4</v>
      </c>
    </row>
    <row r="40">
      <c r="A40" s="14" t="inlineStr">
        <is>
          <t>goodwill</t>
        </is>
      </c>
      <c r="B40" s="11" t="n">
        <v>0.34</v>
      </c>
    </row>
    <row r="41">
      <c r="A41" s="14" t="inlineStr">
        <is>
          <t>goodwill 직전</t>
        </is>
      </c>
      <c r="B41" s="11" t="n">
        <v>0.02</v>
      </c>
    </row>
    <row r="42">
      <c r="A42" s="14" t="inlineStr">
        <is>
          <t>interest</t>
        </is>
      </c>
      <c r="B42" s="11" t="n">
        <v>0.1</v>
      </c>
    </row>
    <row r="44">
      <c r="A44" s="12" t="inlineStr">
        <is>
          <t>pl 1q · 직전</t>
        </is>
      </c>
      <c r="B44" s="12" t="n"/>
      <c r="C44" s="12" t="n"/>
      <c r="D44" s="12" t="n"/>
    </row>
    <row r="45">
      <c r="A45" s="13" t="inlineStr">
        <is>
          <t>항목</t>
        </is>
      </c>
      <c r="B45" s="13" t="inlineStr">
        <is>
          <t>값</t>
        </is>
      </c>
      <c r="D45" s="13" t="inlineStr">
        <is>
          <t>출처</t>
        </is>
      </c>
    </row>
    <row r="46">
      <c r="A46" s="14" t="inlineStr">
        <is>
          <t>매출</t>
        </is>
      </c>
      <c r="B46" s="11" t="n">
        <v>89.3</v>
      </c>
      <c r="D46" s="3" t="inlineStr">
        <is>
          <t>2단계 보고서 자료(회사 설명회 자료·공시)</t>
        </is>
      </c>
    </row>
    <row r="47">
      <c r="A47" s="14" t="inlineStr">
        <is>
          <t>cogs</t>
        </is>
      </c>
      <c r="B47" s="11" t="n">
        <v>77.91</v>
      </c>
    </row>
    <row r="48">
      <c r="A48" s="14" t="inlineStr">
        <is>
          <t>gp</t>
        </is>
      </c>
      <c r="B48" s="11" t="n">
        <v>11.39</v>
      </c>
    </row>
    <row r="49">
      <c r="A49" s="14" t="inlineStr">
        <is>
          <t>sga</t>
        </is>
      </c>
      <c r="B49" s="11" t="n">
        <v>10.05</v>
      </c>
    </row>
    <row r="50">
      <c r="A50" s="14" t="inlineStr">
        <is>
          <t>영업이익</t>
        </is>
      </c>
      <c r="B50" s="11" t="n">
        <v>1.34</v>
      </c>
    </row>
    <row r="52">
      <c r="A52" s="12" t="inlineStr">
        <is>
          <t>bs 1q</t>
        </is>
      </c>
      <c r="B52" s="12" t="n"/>
      <c r="C52" s="12" t="n"/>
      <c r="D52" s="12" t="n"/>
    </row>
    <row r="53">
      <c r="A53" s="13" t="inlineStr">
        <is>
          <t>항목</t>
        </is>
      </c>
      <c r="B53" s="13" t="inlineStr">
        <is>
          <t>값</t>
        </is>
      </c>
      <c r="D53" s="13" t="inlineStr">
        <is>
          <t>출처</t>
        </is>
      </c>
    </row>
    <row r="54">
      <c r="A54" s="14" t="inlineStr">
        <is>
          <t>cash</t>
        </is>
      </c>
      <c r="B54" s="11" t="n">
        <v>45.44</v>
      </c>
      <c r="D54" s="3" t="inlineStr">
        <is>
          <t>2단계 보고서 자료(회사 설명회 자료·공시)</t>
        </is>
      </c>
    </row>
    <row r="55">
      <c r="A55" s="14" t="inlineStr">
        <is>
          <t>cash fy26end</t>
        </is>
      </c>
      <c r="B55" s="11" t="n">
        <v>64.92</v>
      </c>
    </row>
    <row r="56">
      <c r="A56" s="14" t="inlineStr">
        <is>
          <t>합계 assets</t>
        </is>
      </c>
      <c r="B56" s="11" t="n">
        <v>142.99</v>
      </c>
    </row>
    <row r="57">
      <c r="A57" s="14" t="inlineStr">
        <is>
          <t>net assets</t>
        </is>
      </c>
      <c r="B57" s="11" t="n">
        <v>80.45</v>
      </c>
    </row>
    <row r="58">
      <c r="A58" s="14" t="inlineStr">
        <is>
          <t>dividend paid</t>
        </is>
      </c>
      <c r="B58" s="11" t="n">
        <v>11.06</v>
      </c>
    </row>
    <row r="60">
      <c r="A60" s="12" t="inlineStr">
        <is>
          <t>peers · 9715 트랜스코스모스 (3월 결산, 10/30 발표)</t>
        </is>
      </c>
      <c r="B60" s="12" t="n"/>
      <c r="C60" s="12" t="n"/>
      <c r="D60" s="12" t="n"/>
    </row>
    <row r="61">
      <c r="A61" s="13" t="inlineStr">
        <is>
          <t>항목</t>
        </is>
      </c>
      <c r="B61" s="13" t="inlineStr">
        <is>
          <t>값</t>
        </is>
      </c>
      <c r="D61" s="13" t="inlineStr">
        <is>
          <t>출처</t>
        </is>
      </c>
    </row>
    <row r="62">
      <c r="A62" s="14" t="inlineStr">
        <is>
          <t>fc fy27 영업이익</t>
        </is>
      </c>
      <c r="B62" s="15" t="n">
        <v>168</v>
      </c>
      <c r="D62" s="3" t="inlineStr">
        <is>
          <t>2단계 보고서 자료(회사 설명회 자료·공시)</t>
        </is>
      </c>
    </row>
    <row r="63">
      <c r="A63" s="14" t="inlineStr">
        <is>
          <t>fc fy27 EPS</t>
        </is>
      </c>
      <c r="B63" s="11" t="n">
        <v>360.26</v>
      </c>
    </row>
    <row r="64">
      <c r="A64" s="14" t="inlineStr">
        <is>
          <t>가격</t>
        </is>
      </c>
      <c r="B64" s="15" t="n">
        <v>3745</v>
      </c>
    </row>
    <row r="65">
      <c r="A65" s="14" t="inlineStr">
        <is>
          <t>y1</t>
        </is>
      </c>
      <c r="B65" s="11" t="n">
        <v>7.2</v>
      </c>
    </row>
    <row r="67">
      <c r="A67" s="12" t="inlineStr">
        <is>
          <t>peers · 4290 프레스티지 인터내셔널 (3월 결산, 10/29 발표)</t>
        </is>
      </c>
      <c r="B67" s="12" t="n"/>
      <c r="C67" s="12" t="n"/>
      <c r="D67" s="12" t="n"/>
    </row>
    <row r="68">
      <c r="A68" s="13" t="inlineStr">
        <is>
          <t>항목</t>
        </is>
      </c>
      <c r="B68" s="13" t="inlineStr">
        <is>
          <t>값</t>
        </is>
      </c>
      <c r="D68" s="13" t="inlineStr">
        <is>
          <t>출처</t>
        </is>
      </c>
    </row>
    <row r="69">
      <c r="A69" s="14" t="inlineStr">
        <is>
          <t>fc fy27 EPS</t>
        </is>
      </c>
      <c r="B69" s="11" t="n">
        <v>47.46</v>
      </c>
      <c r="D69" s="3" t="inlineStr">
        <is>
          <t>2단계 보고서 자료(회사 설명회 자료·공시)</t>
        </is>
      </c>
    </row>
    <row r="70">
      <c r="A70" s="14" t="inlineStr">
        <is>
          <t>가격</t>
        </is>
      </c>
      <c r="B70" s="15" t="n">
        <v>721</v>
      </c>
    </row>
    <row r="71">
      <c r="A71" s="14" t="inlineStr">
        <is>
          <t>y1</t>
        </is>
      </c>
      <c r="B71" s="11" t="n">
        <v>17.3</v>
      </c>
    </row>
    <row r="73">
      <c r="A73" s="12" t="inlineStr">
        <is>
          <t>peers · 6183 벨시스템24 (2월 결산, IFRS)</t>
        </is>
      </c>
      <c r="B73" s="12" t="n"/>
      <c r="C73" s="12" t="n"/>
      <c r="D73" s="12" t="n"/>
    </row>
    <row r="74">
      <c r="A74" s="13" t="inlineStr">
        <is>
          <t>항목</t>
        </is>
      </c>
      <c r="B74" s="13" t="inlineStr">
        <is>
          <t>값</t>
        </is>
      </c>
      <c r="D74" s="13" t="inlineStr">
        <is>
          <t>출처</t>
        </is>
      </c>
    </row>
    <row r="75">
      <c r="A75" s="14" t="inlineStr">
        <is>
          <t>fc fy27 EPS</t>
        </is>
      </c>
      <c r="B75" s="11" t="n">
        <v>114.33</v>
      </c>
      <c r="D75" s="3" t="inlineStr">
        <is>
          <t>2단계 보고서 자료(회사 설명회 자료·공시)</t>
        </is>
      </c>
    </row>
    <row r="76">
      <c r="A76" s="14" t="inlineStr">
        <is>
          <t>가격</t>
        </is>
      </c>
      <c r="B76" s="15" t="n">
        <v>1374</v>
      </c>
    </row>
    <row r="77">
      <c r="A77" s="14" t="inlineStr">
        <is>
          <t>y1</t>
        </is>
      </c>
      <c r="B77" s="11" t="n">
        <v>9.1</v>
      </c>
    </row>
    <row r="79">
      <c r="A79" s="12" t="inlineStr">
        <is>
          <t>가이던스 history</t>
        </is>
      </c>
      <c r="B79" s="12" t="n"/>
      <c r="C79" s="12" t="n"/>
      <c r="D79" s="12" t="n"/>
    </row>
    <row r="80">
      <c r="A80" s="13" t="inlineStr">
        <is>
          <t>항목</t>
        </is>
      </c>
      <c r="B80" s="13" t="inlineStr">
        <is>
          <t>initial 영업이익</t>
        </is>
      </c>
      <c r="C80" s="13" t="inlineStr">
        <is>
          <t>실적 영업이익</t>
        </is>
      </c>
      <c r="D80" s="13" t="inlineStr">
        <is>
          <t>출처</t>
        </is>
      </c>
    </row>
    <row r="81">
      <c r="A81" s="14" t="inlineStr">
        <is>
          <t>FY5/24</t>
        </is>
      </c>
      <c r="B81" s="11" t="n">
        <v>29</v>
      </c>
      <c r="C81" s="11" t="n">
        <v>25.43</v>
      </c>
      <c r="D81" s="3" t="inlineStr">
        <is>
          <t>2단계 보고서 자료(회사 설명회 자료·공시)</t>
        </is>
      </c>
    </row>
    <row r="82">
      <c r="A82" s="14" t="inlineStr">
        <is>
          <t>FY5/25</t>
        </is>
      </c>
      <c r="B82" s="11" t="n">
        <v>32</v>
      </c>
      <c r="C82" s="11" t="n">
        <v>10.69</v>
      </c>
    </row>
    <row r="83">
      <c r="A83" s="14" t="inlineStr">
        <is>
          <t>FY5/26</t>
        </is>
      </c>
      <c r="B83" s="11" t="n">
        <v>11.5</v>
      </c>
      <c r="C83" s="11" t="n">
        <v>11.67</v>
      </c>
    </row>
    <row r="84">
      <c r="A84" s="14" t="inlineStr">
        <is>
          <t>FY5/27</t>
        </is>
      </c>
      <c r="B84" s="11" t="n">
        <v>16</v>
      </c>
      <c r="C84" s="16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1" t="inlineStr">
        <is>
          <t>출처 · 쓴 결산단신</t>
        </is>
      </c>
    </row>
    <row r="3">
      <c r="A3" s="17" t="inlineStr">
        <is>
          <t>공시일</t>
        </is>
      </c>
      <c r="B3" s="17" t="inlineStr">
        <is>
          <t>문서</t>
        </is>
      </c>
      <c r="C3" s="17" t="inlineStr">
        <is>
          <t>PDF</t>
        </is>
      </c>
    </row>
    <row r="4">
      <c r="A4" t="inlineStr">
        <is>
          <t>2026-10-13</t>
        </is>
      </c>
      <c r="B4" t="inlineStr">
        <is>
          <t>2027년 5월 결산기 1분기 결산단신</t>
        </is>
      </c>
      <c r="C4" t="inlineStr">
        <is>
          <t>https://www2.jpx.co.jp/disc/92160/140120261013549475.pdf</t>
        </is>
      </c>
    </row>
    <row r="5">
      <c r="A5" t="inlineStr">
        <is>
          <t>2026-07-13</t>
        </is>
      </c>
      <c r="B5" t="inlineStr">
        <is>
          <t>2026년 5월 결산기 연간 결산단신</t>
        </is>
      </c>
      <c r="C5" t="inlineStr">
        <is>
          <t>https://www2.jpx.co.jp/disc/92160/140120260713592010.pdf</t>
        </is>
      </c>
    </row>
    <row r="6">
      <c r="A6" t="inlineStr">
        <is>
          <t>2026-04-10</t>
        </is>
      </c>
      <c r="B6" t="inlineStr">
        <is>
          <t>2026년 5월 결산기 3분기 결산단신</t>
        </is>
      </c>
      <c r="C6" t="inlineStr">
        <is>
          <t>https://www2.jpx.co.jp/disc/92160/140120260409501122.pdf</t>
        </is>
      </c>
    </row>
    <row r="7">
      <c r="A7" t="inlineStr">
        <is>
          <t>2026-01-09</t>
        </is>
      </c>
      <c r="B7" t="inlineStr">
        <is>
          <t>2026년 5월 결산기 2분기 결산단신</t>
        </is>
      </c>
      <c r="C7" t="inlineStr">
        <is>
          <t>https://www2.jpx.co.jp/disc/92160/140120260108531108.pdf</t>
        </is>
      </c>
    </row>
    <row r="8">
      <c r="A8" t="inlineStr">
        <is>
          <t>2025-10-10</t>
        </is>
      </c>
      <c r="B8" t="inlineStr">
        <is>
          <t>2026년 5월 결산기 1분기 결산단신</t>
        </is>
      </c>
      <c r="C8" t="inlineStr">
        <is>
          <t>https://www2.jpx.co.jp/disc/92160/140120251010571431.pdf</t>
        </is>
      </c>
    </row>
    <row r="9">
      <c r="A9" t="inlineStr">
        <is>
          <t>2025-07-11</t>
        </is>
      </c>
      <c r="B9" t="inlineStr">
        <is>
          <t>2025년 5월 결산기 연간 결산단신</t>
        </is>
      </c>
      <c r="C9" t="inlineStr">
        <is>
          <t>https://www2.jpx.co.jp/disc/92160/140120250709510716.pdf</t>
        </is>
      </c>
    </row>
    <row r="10">
      <c r="A10" t="inlineStr">
        <is>
          <t>2025-04-11</t>
        </is>
      </c>
      <c r="B10" t="inlineStr">
        <is>
          <t>2025년 5월 결산기 3분기 결산단신</t>
        </is>
      </c>
      <c r="C10" t="inlineStr">
        <is>
          <t>https://www2.jpx.co.jp/disc/92160/140120250410511981.pdf</t>
        </is>
      </c>
    </row>
    <row r="11">
      <c r="A11" t="inlineStr">
        <is>
          <t>2025-01-10</t>
        </is>
      </c>
      <c r="B11" t="inlineStr">
        <is>
          <t>2025년 5월 결산기 2분기 결산단신</t>
        </is>
      </c>
      <c r="C11" t="inlineStr">
        <is>
          <t>https://www2.jpx.co.jp/disc/92160/140120250109548190.pdf</t>
        </is>
      </c>
    </row>
    <row r="12">
      <c r="A12" t="inlineStr">
        <is>
          <t>2024-10-11</t>
        </is>
      </c>
      <c r="B12" t="inlineStr">
        <is>
          <t>2025년 5월 결산기 1분기 결산단신</t>
        </is>
      </c>
      <c r="C12" t="inlineStr">
        <is>
          <t>https://www2.jpx.co.jp/disc/92160/140120241009595790.pdf</t>
        </is>
      </c>
    </row>
    <row r="13">
      <c r="A13" t="inlineStr">
        <is>
          <t>2024-07-11</t>
        </is>
      </c>
      <c r="B13" t="inlineStr">
        <is>
          <t>2024년 5월 결산기 연간 결산단신</t>
        </is>
      </c>
      <c r="C13" t="inlineStr">
        <is>
          <t>https://www2.jpx.co.jp/disc/92160/140120240710547090.pdf</t>
        </is>
      </c>
    </row>
    <row r="14">
      <c r="A14" t="inlineStr">
        <is>
          <t>2024-04-11</t>
        </is>
      </c>
      <c r="B14" t="inlineStr">
        <is>
          <t>2024년 5월 결산기 3분기 결산단신</t>
        </is>
      </c>
      <c r="C14" t="inlineStr">
        <is>
          <t>https://www2.jpx.co.jp/disc/92160/140120240410568411.pdf</t>
        </is>
      </c>
    </row>
    <row r="15">
      <c r="A15" t="inlineStr">
        <is>
          <t>2024-01-11</t>
        </is>
      </c>
      <c r="B15" t="inlineStr">
        <is>
          <t>2024년 5월 결산기 2분기 결산단신</t>
        </is>
      </c>
      <c r="C15" t="inlineStr">
        <is>
          <t>https://www2.jpx.co.jp/disc/92160/140120240110512511.pdf</t>
        </is>
      </c>
    </row>
    <row r="16">
      <c r="A16" t="inlineStr">
        <is>
          <t>2023-10-12</t>
        </is>
      </c>
      <c r="B16" t="inlineStr">
        <is>
          <t>2024년 5월 결산기 1분기 결산단신</t>
        </is>
      </c>
      <c r="C16" t="inlineStr">
        <is>
          <t>https://www2.jpx.co.jp/disc/92160/140120231010564552.pdf</t>
        </is>
      </c>
    </row>
    <row r="17">
      <c r="A17" t="inlineStr">
        <is>
          <t>2023-07-13</t>
        </is>
      </c>
      <c r="B17" t="inlineStr">
        <is>
          <t>2023년 5월 결산기 연간 결산단신</t>
        </is>
      </c>
      <c r="C17" t="inlineStr">
        <is>
          <t>https://www2.jpx.co.jp/disc/92160/140120230713521628.pdf</t>
        </is>
      </c>
    </row>
    <row r="18">
      <c r="A18" t="inlineStr">
        <is>
          <t>2023-04-13</t>
        </is>
      </c>
      <c r="B18" t="inlineStr">
        <is>
          <t>2023년 5월 결산기 3분기 결산단신</t>
        </is>
      </c>
      <c r="C18" t="inlineStr">
        <is>
          <t>https://www2.jpx.co.jp/disc/92160/140120230412546229.pdf</t>
        </is>
      </c>
    </row>
    <row r="19">
      <c r="A19" t="inlineStr">
        <is>
          <t>2023-01-12</t>
        </is>
      </c>
      <c r="B19" t="inlineStr">
        <is>
          <t>2023년 5월 결산기 2분기 결산단신</t>
        </is>
      </c>
      <c r="C19" t="inlineStr">
        <is>
          <t>https://www2.jpx.co.jp/disc/92160/140120230110587080.pdf</t>
        </is>
      </c>
    </row>
    <row r="20">
      <c r="A20" t="inlineStr">
        <is>
          <t>2022-10-13</t>
        </is>
      </c>
      <c r="B20" t="inlineStr">
        <is>
          <t>2023년 5월 결산기 1분기 결산단신</t>
        </is>
      </c>
      <c r="C20" t="inlineStr">
        <is>
          <t>https://www2.jpx.co.jp/disc/92160/140120221012543262.pdf</t>
        </is>
      </c>
    </row>
    <row r="21">
      <c r="A21" t="inlineStr">
        <is>
          <t>2022-07-14</t>
        </is>
      </c>
      <c r="B21" t="inlineStr">
        <is>
          <t>2022년 5월 결산기 연간 결산단신</t>
        </is>
      </c>
      <c r="C21" t="inlineStr">
        <is>
          <t>https://www2.jpx.co.jp/disc/92160/140120220712598751.pdf</t>
        </is>
      </c>
    </row>
    <row r="22">
      <c r="A22" t="inlineStr">
        <is>
          <t>2022-04-13</t>
        </is>
      </c>
      <c r="B22" t="inlineStr">
        <is>
          <t>2022년 5월 결산기 3분기 결산단신</t>
        </is>
      </c>
      <c r="C22" t="inlineStr">
        <is>
          <t>https://www2.jpx.co.jp/disc/92160/140120220412520559.pdf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2026-10-25T06:59:30Z</dcterms:created>
  <dcterms:modified xmlns:dcterms="http://purl.org/dc/terms/" xmlns:xsi="http://www.w3.org/2001/XMLSchema-instance" xsi:type="dcterms:W3CDTF">2026-10-25T06:59:30Z</dcterms:modified>
</cp:coreProperties>
</file>