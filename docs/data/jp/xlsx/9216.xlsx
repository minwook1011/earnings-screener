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</numFmts>
  <fonts count="22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6" borderId="0" applyAlignment="1" pivotButton="0" quotePrefix="0" xfId="0">
      <alignment horizontal="center" vertical="center"/>
    </xf>
    <xf numFmtId="0" fontId="19" fillId="7" borderId="0" applyAlignment="1" pivotButton="0" quotePrefix="0" xfId="0">
      <alignment horizontal="center" vertical="center"/>
    </xf>
    <xf numFmtId="0" fontId="20" fillId="0" borderId="0" pivotButton="0" quotePrefix="0" xfId="0"/>
    <xf numFmtId="169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3" fontId="20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19" fillId="7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14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비위드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5월 결산 · 일본 기준 · 2027.1Q = 2027년 5월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>
        <v>9689.075000000001</v>
      </c>
      <c r="D4" s="12" t="n">
        <v>9381.916999999999</v>
      </c>
      <c r="E4" s="12" t="n">
        <v>9531.791999999999</v>
      </c>
      <c r="F4" s="12" t="n">
        <v>9093</v>
      </c>
      <c r="G4" s="12" t="n">
        <v>9297</v>
      </c>
      <c r="H4" s="12" t="n">
        <v>8815</v>
      </c>
      <c r="I4" s="12" t="n">
        <v>9219</v>
      </c>
      <c r="J4" s="12" t="n">
        <v>8930</v>
      </c>
      <c r="K4" s="12" t="n">
        <v>9009</v>
      </c>
      <c r="L4" s="12" t="n">
        <v>8980</v>
      </c>
      <c r="M4" s="12" t="n">
        <v>9403</v>
      </c>
      <c r="N4" s="12" t="n">
        <v>9411</v>
      </c>
      <c r="O4" s="11" t="n"/>
      <c r="P4" s="12" t="n"/>
      <c r="Q4" s="12" t="n"/>
      <c r="R4" s="12" t="n"/>
      <c r="S4" s="12" t="n">
        <v>28845.675</v>
      </c>
      <c r="T4" s="12" t="n">
        <v>32405.568</v>
      </c>
      <c r="U4" s="12" t="n">
        <v>35158.816</v>
      </c>
      <c r="V4" s="12" t="n">
        <v>38253.042</v>
      </c>
      <c r="W4" s="12" t="n">
        <v>36424</v>
      </c>
      <c r="X4" s="12" t="n">
        <v>36322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>
        <v>8094.089</v>
      </c>
      <c r="D11" s="22" t="n">
        <v>7889.266</v>
      </c>
      <c r="E11" s="22" t="n">
        <v>8059.288</v>
      </c>
      <c r="F11" s="22" t="n">
        <v>7756</v>
      </c>
      <c r="G11" s="22" t="n">
        <v>7875</v>
      </c>
      <c r="H11" s="22" t="n">
        <v>7652</v>
      </c>
      <c r="I11" s="22" t="n">
        <v>7953</v>
      </c>
      <c r="J11" s="22" t="n">
        <v>7791</v>
      </c>
      <c r="K11" s="22" t="n">
        <v>7668</v>
      </c>
      <c r="L11" s="22" t="n">
        <v>7625</v>
      </c>
      <c r="M11" s="22" t="n">
        <v>7880</v>
      </c>
      <c r="N11" s="22" t="n">
        <v>7906</v>
      </c>
      <c r="O11" s="21" t="n"/>
      <c r="P11" s="22" t="n"/>
      <c r="Q11" s="22" t="n"/>
      <c r="R11" s="22" t="n"/>
      <c r="S11" s="22" t="n">
        <v>24073.506</v>
      </c>
      <c r="T11" s="22" t="n">
        <v>27048.658</v>
      </c>
      <c r="U11" s="22" t="n">
        <v>29763.041</v>
      </c>
      <c r="V11" s="22" t="n">
        <v>32186.055</v>
      </c>
      <c r="W11" s="22" t="n">
        <v>31236</v>
      </c>
      <c r="X11" s="22" t="n">
        <v>30964</v>
      </c>
      <c r="Y11" s="21" t="n"/>
      <c r="Z11" s="22" t="n"/>
      <c r="AA11" s="22" t="n"/>
      <c r="AB11" s="22" t="n"/>
      <c r="AC11" s="22" t="n"/>
    </row>
    <row r="12">
      <c r="A12" s="15" t="inlineStr">
        <is>
          <t>YoY</t>
        </is>
      </c>
      <c r="B12" s="10" t="n"/>
      <c r="C12" s="16" t="n"/>
      <c r="D12" s="17" t="n"/>
      <c r="E12" s="17" t="n"/>
      <c r="F12" s="17" t="n"/>
      <c r="G12" s="17">
        <f>IF(OR(G11="",C11=""),"",IF(C11&lt;=0,"",IFERROR(G11/C11-1,"")))</f>
        <v/>
      </c>
      <c r="H12" s="17">
        <f>IF(OR(H11="",D11=""),"",IF(D11&lt;=0,"",IFERROR(H11/D11-1,"")))</f>
        <v/>
      </c>
      <c r="I12" s="17">
        <f>IF(OR(I11="",E11=""),"",IF(E11&lt;=0,"",IFERROR(I11/E11-1,"")))</f>
        <v/>
      </c>
      <c r="J12" s="17">
        <f>IF(OR(J11="",F11=""),"",IF(F11&lt;=0,"",IFERROR(J11/F11-1,"")))</f>
        <v/>
      </c>
      <c r="K12" s="17">
        <f>IF(OR(K11="",G11=""),"",IF(G11&lt;=0,"",IFERROR(K11/G11-1,"")))</f>
        <v/>
      </c>
      <c r="L12" s="17">
        <f>IF(OR(L11="",H11=""),"",IF(H11&lt;=0,"",IFERROR(L11/H11-1,"")))</f>
        <v/>
      </c>
      <c r="M12" s="17">
        <f>IF(OR(M11="",I11=""),"",IF(I11&lt;=0,"",IFERROR(M11/I11-1,"")))</f>
        <v/>
      </c>
      <c r="N12" s="17">
        <f>IF(OR(N11="",J11=""),"",IF(J11&lt;=0,"",IFERROR(N11/J11-1,"")))</f>
        <v/>
      </c>
      <c r="O12" s="16" t="n"/>
      <c r="P12" s="17">
        <f>IF(OR(P11="",O11=""),"",IF(O11&lt;=0,"",IFERROR(P11/O11-1,"")))</f>
        <v/>
      </c>
      <c r="Q12" s="17">
        <f>IF(OR(Q11="",P11=""),"",IF(P11&lt;=0,"",IFERROR(Q11/P11-1,"")))</f>
        <v/>
      </c>
      <c r="R12" s="17">
        <f>IF(OR(R11="",Q11=""),"",IF(Q11&lt;=0,"",IFERROR(R11/Q11-1,"")))</f>
        <v/>
      </c>
      <c r="S12" s="17">
        <f>IF(OR(S11="",R11=""),"",IF(R11&lt;=0,"",IFERROR(S11/R11-1,"")))</f>
        <v/>
      </c>
      <c r="T12" s="17">
        <f>IF(OR(T11="",S11=""),"",IF(S11&lt;=0,"",IFERROR(T11/S11-1,"")))</f>
        <v/>
      </c>
      <c r="U12" s="17">
        <f>IF(OR(U11="",T11=""),"",IF(T11&lt;=0,"",IFERROR(U11/T11-1,"")))</f>
        <v/>
      </c>
      <c r="V12" s="17">
        <f>IF(OR(V11="",U11=""),"",IF(U11&lt;=0,"",IFERROR(V11/U11-1,"")))</f>
        <v/>
      </c>
      <c r="W12" s="17">
        <f>IF(OR(W11="",V11=""),"",IF(V11&lt;=0,"",IFERROR(W11/V11-1,"")))</f>
        <v/>
      </c>
      <c r="X12" s="17">
        <f>IF(OR(X11="",W11=""),"",IF(W11&lt;=0,"",IFERROR(X11/W11-1,"")))</f>
        <v/>
      </c>
      <c r="Y12" s="16">
        <f>IF(OR(Y11="",X11=""),"",IF(X11&lt;=0,"",IFERROR(Y11/X11-1,"")))</f>
        <v/>
      </c>
      <c r="Z12" s="17">
        <f>IF(OR(Z11="",Y11=""),"",IF(Y11&lt;=0,"",IFERROR(Z11/Y11-1,"")))</f>
        <v/>
      </c>
      <c r="AA12" s="17">
        <f>IF(OR(AA11="",Z11=""),"",IF(Z11&lt;=0,"",IFERROR(AA11/Z11-1,"")))</f>
        <v/>
      </c>
      <c r="AB12" s="17">
        <f>IF(OR(AB11="",AA11=""),"",IF(AA11&lt;=0,"",IFERROR(AB11/AA11-1,"")))</f>
        <v/>
      </c>
      <c r="AC12" s="17">
        <f>IF(OR(AC11="",AB11=""),"",IF(AB11&lt;=0,"",IFERROR(AC11/AB11-1,"")))</f>
        <v/>
      </c>
    </row>
    <row r="13">
      <c r="A13" s="20" t="inlineStr">
        <is>
          <t>매출총이익</t>
        </is>
      </c>
      <c r="B13" s="10" t="n"/>
      <c r="C13" s="21">
        <f>IF(OR(C4="",C11=""),"",IFERROR(C4-C11,""))</f>
        <v/>
      </c>
      <c r="D13" s="22">
        <f>IF(OR(D4="",D11=""),"",IFERROR(D4-D11,""))</f>
        <v/>
      </c>
      <c r="E13" s="22">
        <f>IF(OR(E4="",E11=""),"",IFERROR(E4-E11,""))</f>
        <v/>
      </c>
      <c r="F13" s="22">
        <f>IF(OR(F4="",F11=""),"",IFERROR(F4-F11,""))</f>
        <v/>
      </c>
      <c r="G13" s="22">
        <f>IF(OR(G4="",G11=""),"",IFERROR(G4-G11,""))</f>
        <v/>
      </c>
      <c r="H13" s="22">
        <f>IF(OR(H4="",H11=""),"",IFERROR(H4-H11,""))</f>
        <v/>
      </c>
      <c r="I13" s="22">
        <f>IF(OR(I4="",I11=""),"",IFERROR(I4-I11,""))</f>
        <v/>
      </c>
      <c r="J13" s="22">
        <f>IF(OR(J4="",J11=""),"",IFERROR(J4-J11,""))</f>
        <v/>
      </c>
      <c r="K13" s="22">
        <f>IF(OR(K4="",K11=""),"",IFERROR(K4-K11,""))</f>
        <v/>
      </c>
      <c r="L13" s="22">
        <f>IF(OR(L4="",L11=""),"",IFERROR(L4-L11,""))</f>
        <v/>
      </c>
      <c r="M13" s="22">
        <f>IF(OR(M4="",M11=""),"",IFERROR(M4-M11,""))</f>
        <v/>
      </c>
      <c r="N13" s="22">
        <f>IF(OR(N4="",N11=""),"",IFERROR(N4-N11,""))</f>
        <v/>
      </c>
      <c r="O13" s="21">
        <f>IF(OR(O4="",O11=""),"",IFERROR(O4-O11,""))</f>
        <v/>
      </c>
      <c r="P13" s="22">
        <f>IF(OR(P4="",P11=""),"",IFERROR(P4-P11,""))</f>
        <v/>
      </c>
      <c r="Q13" s="22">
        <f>IF(OR(Q4="",Q11=""),"",IFERROR(Q4-Q11,""))</f>
        <v/>
      </c>
      <c r="R13" s="22">
        <f>IF(OR(R4="",R11=""),"",IFERROR(R4-R11,""))</f>
        <v/>
      </c>
      <c r="S13" s="22">
        <f>IF(OR(S4="",S11=""),"",IFERROR(S4-S11,""))</f>
        <v/>
      </c>
      <c r="T13" s="22">
        <f>IF(OR(T4="",T11=""),"",IFERROR(T4-T11,""))</f>
        <v/>
      </c>
      <c r="U13" s="22">
        <f>IF(OR(U4="",U11=""),"",IFERROR(U4-U11,""))</f>
        <v/>
      </c>
      <c r="V13" s="22">
        <f>IF(OR(V4="",V11=""),"",IFERROR(V4-V11,""))</f>
        <v/>
      </c>
      <c r="W13" s="22">
        <f>IF(OR(W4="",W11=""),"",IFERROR(W4-W11,""))</f>
        <v/>
      </c>
      <c r="X13" s="22">
        <f>IF(OR(X4="",X11=""),"",IFERROR(X4-X11,""))</f>
        <v/>
      </c>
      <c r="Y13" s="21" t="n"/>
      <c r="Z13" s="22" t="n"/>
      <c r="AA13" s="22" t="n"/>
      <c r="AB13" s="22" t="n"/>
      <c r="AC13" s="22" t="n"/>
    </row>
    <row r="14">
      <c r="A14" s="15" t="inlineStr">
        <is>
          <t>GPM</t>
        </is>
      </c>
      <c r="B14" s="10" t="n"/>
      <c r="C14" s="16">
        <f>IF(OR(C13="",C4=""),"",IFERROR(C13/C4,""))</f>
        <v/>
      </c>
      <c r="D14" s="17">
        <f>IF(OR(D13="",D4=""),"",IFERROR(D13/D4,""))</f>
        <v/>
      </c>
      <c r="E14" s="17">
        <f>IF(OR(E13="",E4=""),"",IFERROR(E13/E4,""))</f>
        <v/>
      </c>
      <c r="F14" s="17">
        <f>IF(OR(F13="",F4=""),"",IFERROR(F13/F4,""))</f>
        <v/>
      </c>
      <c r="G14" s="17">
        <f>IF(OR(G13="",G4=""),"",IFERROR(G13/G4,""))</f>
        <v/>
      </c>
      <c r="H14" s="17">
        <f>IF(OR(H13="",H4=""),"",IFERROR(H13/H4,""))</f>
        <v/>
      </c>
      <c r="I14" s="17">
        <f>IF(OR(I13="",I4=""),"",IFERROR(I13/I4,""))</f>
        <v/>
      </c>
      <c r="J14" s="17">
        <f>IF(OR(J13="",J4=""),"",IFERROR(J13/J4,""))</f>
        <v/>
      </c>
      <c r="K14" s="17">
        <f>IF(OR(K13="",K4=""),"",IFERROR(K13/K4,""))</f>
        <v/>
      </c>
      <c r="L14" s="17">
        <f>IF(OR(L13="",L4=""),"",IFERROR(L13/L4,""))</f>
        <v/>
      </c>
      <c r="M14" s="17">
        <f>IF(OR(M13="",M4=""),"",IFERROR(M13/M4,""))</f>
        <v/>
      </c>
      <c r="N14" s="17">
        <f>IF(OR(N13="",N4=""),"",IFERROR(N13/N4,""))</f>
        <v/>
      </c>
      <c r="O14" s="16">
        <f>IF(OR(O13="",O4=""),"",IFERROR(O13/O4,""))</f>
        <v/>
      </c>
      <c r="P14" s="17">
        <f>IF(OR(P13="",P4=""),"",IFERROR(P13/P4,""))</f>
        <v/>
      </c>
      <c r="Q14" s="17">
        <f>IF(OR(Q13="",Q4=""),"",IFERROR(Q13/Q4,""))</f>
        <v/>
      </c>
      <c r="R14" s="17">
        <f>IF(OR(R13="",R4=""),"",IFERROR(R13/R4,""))</f>
        <v/>
      </c>
      <c r="S14" s="17">
        <f>IF(OR(S13="",S4=""),"",IFERROR(S13/S4,""))</f>
        <v/>
      </c>
      <c r="T14" s="17">
        <f>IF(OR(T13="",T4=""),"",IFERROR(T13/T4,""))</f>
        <v/>
      </c>
      <c r="U14" s="17">
        <f>IF(OR(U13="",U4=""),"",IFERROR(U13/U4,""))</f>
        <v/>
      </c>
      <c r="V14" s="17">
        <f>IF(OR(V13="",V4=""),"",IFERROR(V13/V4,""))</f>
        <v/>
      </c>
      <c r="W14" s="17">
        <f>IF(OR(W13="",W4=""),"",IFERROR(W13/W4,""))</f>
        <v/>
      </c>
      <c r="X14" s="17">
        <f>IF(OR(X13="",X4=""),"",IFERROR(X13/X4,""))</f>
        <v/>
      </c>
      <c r="Y14" s="16">
        <f>IF(OR(Y13="",Y4=""),"",IFERROR(Y13/Y4,""))</f>
        <v/>
      </c>
      <c r="Z14" s="17">
        <f>IF(OR(Z13="",Z4=""),"",IFERROR(Z13/Z4,""))</f>
        <v/>
      </c>
      <c r="AA14" s="17">
        <f>IF(OR(AA13="",AA4=""),"",IFERROR(AA13/AA4,""))</f>
        <v/>
      </c>
      <c r="AB14" s="17">
        <f>IF(OR(AB13="",AB4=""),"",IFERROR(AB13/AB4,""))</f>
        <v/>
      </c>
      <c r="AC14" s="17">
        <f>IF(OR(AC13="",AC4=""),"",IFERROR(AC13/AC4,""))</f>
        <v/>
      </c>
    </row>
    <row r="15">
      <c r="A15" s="15" t="inlineStr">
        <is>
          <t>YoY</t>
        </is>
      </c>
      <c r="B15" s="10" t="n"/>
      <c r="C15" s="16" t="n"/>
      <c r="D15" s="17" t="n"/>
      <c r="E15" s="17" t="n"/>
      <c r="F15" s="17" t="n"/>
      <c r="G15" s="17">
        <f>IF(OR(G13="",C13=""),"",IF(C13&lt;=0,"",IFERROR(G13/C13-1,"")))</f>
        <v/>
      </c>
      <c r="H15" s="17">
        <f>IF(OR(H13="",D13=""),"",IF(D13&lt;=0,"",IFERROR(H13/D13-1,"")))</f>
        <v/>
      </c>
      <c r="I15" s="17">
        <f>IF(OR(I13="",E13=""),"",IF(E13&lt;=0,"",IFERROR(I13/E13-1,"")))</f>
        <v/>
      </c>
      <c r="J15" s="17">
        <f>IF(OR(J13="",F13=""),"",IF(F13&lt;=0,"",IFERROR(J13/F13-1,"")))</f>
        <v/>
      </c>
      <c r="K15" s="17">
        <f>IF(OR(K13="",G13=""),"",IF(G13&lt;=0,"",IFERROR(K13/G13-1,"")))</f>
        <v/>
      </c>
      <c r="L15" s="17">
        <f>IF(OR(L13="",H13=""),"",IF(H13&lt;=0,"",IFERROR(L13/H13-1,"")))</f>
        <v/>
      </c>
      <c r="M15" s="17">
        <f>IF(OR(M13="",I13=""),"",IF(I13&lt;=0,"",IFERROR(M13/I13-1,"")))</f>
        <v/>
      </c>
      <c r="N15" s="17">
        <f>IF(OR(N13="",J13=""),"",IF(J13&lt;=0,"",IFERROR(N13/J13-1,"")))</f>
        <v/>
      </c>
      <c r="O15" s="16" t="n"/>
      <c r="P15" s="17">
        <f>IF(OR(P13="",O13=""),"",IF(O13&lt;=0,"",IFERROR(P13/O13-1,"")))</f>
        <v/>
      </c>
      <c r="Q15" s="17">
        <f>IF(OR(Q13="",P13=""),"",IF(P13&lt;=0,"",IFERROR(Q13/P13-1,"")))</f>
        <v/>
      </c>
      <c r="R15" s="17">
        <f>IF(OR(R13="",Q13=""),"",IF(Q13&lt;=0,"",IFERROR(R13/Q13-1,"")))</f>
        <v/>
      </c>
      <c r="S15" s="17">
        <f>IF(OR(S13="",R13=""),"",IF(R13&lt;=0,"",IFERROR(S13/R13-1,"")))</f>
        <v/>
      </c>
      <c r="T15" s="17">
        <f>IF(OR(T13="",S13=""),"",IF(S13&lt;=0,"",IFERROR(T13/S13-1,"")))</f>
        <v/>
      </c>
      <c r="U15" s="17">
        <f>IF(OR(U13="",T13=""),"",IF(T13&lt;=0,"",IFERROR(U13/T13-1,"")))</f>
        <v/>
      </c>
      <c r="V15" s="17">
        <f>IF(OR(V13="",U13=""),"",IF(U13&lt;=0,"",IFERROR(V13/U13-1,"")))</f>
        <v/>
      </c>
      <c r="W15" s="17">
        <f>IF(OR(W13="",V13=""),"",IF(V13&lt;=0,"",IFERROR(W13/V13-1,"")))</f>
        <v/>
      </c>
      <c r="X15" s="17">
        <f>IF(OR(X13="",W13=""),"",IF(W13&lt;=0,"",IFERROR(X13/W13-1,"")))</f>
        <v/>
      </c>
      <c r="Y15" s="16">
        <f>IF(OR(Y13="",X13=""),"",IF(X13&lt;=0,"",IFERROR(Y13/X13-1,"")))</f>
        <v/>
      </c>
      <c r="Z15" s="17">
        <f>IF(OR(Z13="",Y13=""),"",IF(Y13&lt;=0,"",IFERROR(Z13/Y13-1,"")))</f>
        <v/>
      </c>
      <c r="AA15" s="17">
        <f>IF(OR(AA13="",Z13=""),"",IF(Z13&lt;=0,"",IFERROR(AA13/Z13-1,"")))</f>
        <v/>
      </c>
      <c r="AB15" s="17">
        <f>IF(OR(AB13="",AA13=""),"",IF(AA13&lt;=0,"",IFERROR(AB13/AA13-1,"")))</f>
        <v/>
      </c>
      <c r="AC15" s="17">
        <f>IF(OR(AC13="",AB13=""),"",IF(AB13&lt;=0,"",IFERROR(AC13/AB13-1,"")))</f>
        <v/>
      </c>
    </row>
    <row r="16">
      <c r="A16" s="25" t="inlineStr">
        <is>
          <t>판매관리비</t>
        </is>
      </c>
      <c r="B16" s="25" t="n"/>
      <c r="C16" s="26" t="n"/>
      <c r="D16" s="25" t="n"/>
      <c r="E16" s="25" t="n"/>
      <c r="F16" s="25" t="n"/>
      <c r="G16" s="25" t="n"/>
      <c r="H16" s="25" t="n"/>
      <c r="I16" s="25" t="n"/>
      <c r="J16" s="25" t="n"/>
      <c r="K16" s="25" t="n"/>
      <c r="L16" s="25" t="n"/>
      <c r="M16" s="25" t="n"/>
      <c r="N16" s="25" t="n"/>
      <c r="O16" s="26" t="n"/>
      <c r="P16" s="25" t="n"/>
      <c r="Q16" s="25" t="n"/>
      <c r="R16" s="25" t="n"/>
      <c r="S16" s="25" t="n"/>
      <c r="T16" s="25" t="n"/>
      <c r="U16" s="25" t="n"/>
      <c r="V16" s="25" t="n"/>
      <c r="W16" s="25" t="n"/>
      <c r="X16" s="25" t="n"/>
      <c r="Y16" s="26" t="n"/>
      <c r="Z16" s="25" t="n"/>
      <c r="AA16" s="25" t="n"/>
      <c r="AB16" s="25" t="n"/>
      <c r="AC16" s="25" t="n"/>
    </row>
    <row r="17">
      <c r="A17" s="20" t="inlineStr">
        <is>
          <t>전체 판관비</t>
        </is>
      </c>
      <c r="B17" s="10" t="n"/>
      <c r="C17" s="21" t="n">
        <v>837.191</v>
      </c>
      <c r="D17" s="22" t="n">
        <v>866.698</v>
      </c>
      <c r="E17" s="22" t="n">
        <v>959.136</v>
      </c>
      <c r="F17" s="22" t="n">
        <v>953</v>
      </c>
      <c r="G17" s="22" t="n">
        <v>950</v>
      </c>
      <c r="H17" s="22" t="n">
        <v>938</v>
      </c>
      <c r="I17" s="22" t="n">
        <v>1276</v>
      </c>
      <c r="J17" s="22" t="n">
        <v>1005</v>
      </c>
      <c r="K17" s="22" t="n">
        <v>947</v>
      </c>
      <c r="L17" s="22" t="n">
        <v>905</v>
      </c>
      <c r="M17" s="22" t="n">
        <v>1334</v>
      </c>
      <c r="N17" s="22" t="n">
        <v>1025</v>
      </c>
      <c r="O17" s="21" t="n"/>
      <c r="P17" s="22" t="n"/>
      <c r="Q17" s="22" t="n"/>
      <c r="R17" s="22" t="n"/>
      <c r="S17" s="22" t="n">
        <v>2640.637</v>
      </c>
      <c r="T17" s="22" t="n">
        <v>2791.66</v>
      </c>
      <c r="U17" s="22" t="n">
        <v>3170.649</v>
      </c>
      <c r="V17" s="22" t="n">
        <v>3523.948</v>
      </c>
      <c r="W17" s="22" t="n">
        <v>4117</v>
      </c>
      <c r="X17" s="22" t="n">
        <v>4191</v>
      </c>
      <c r="Y17" s="21" t="n"/>
      <c r="Z17" s="22" t="n"/>
      <c r="AA17" s="22" t="n"/>
      <c r="AB17" s="22" t="n"/>
      <c r="AC17" s="22" t="n"/>
    </row>
    <row r="18">
      <c r="A18" s="15" t="inlineStr">
        <is>
          <t>YoY</t>
        </is>
      </c>
      <c r="B18" s="10" t="n"/>
      <c r="C18" s="16" t="n"/>
      <c r="D18" s="17" t="n"/>
      <c r="E18" s="17" t="n"/>
      <c r="F18" s="17" t="n"/>
      <c r="G18" s="17">
        <f>IF(OR(G17="",C17=""),"",IF(C17&lt;=0,"",IFERROR(G17/C17-1,"")))</f>
        <v/>
      </c>
      <c r="H18" s="17">
        <f>IF(OR(H17="",D17=""),"",IF(D17&lt;=0,"",IFERROR(H17/D17-1,"")))</f>
        <v/>
      </c>
      <c r="I18" s="17">
        <f>IF(OR(I17="",E17=""),"",IF(E17&lt;=0,"",IFERROR(I17/E17-1,"")))</f>
        <v/>
      </c>
      <c r="J18" s="17">
        <f>IF(OR(J17="",F17=""),"",IF(F17&lt;=0,"",IFERROR(J17/F17-1,"")))</f>
        <v/>
      </c>
      <c r="K18" s="17">
        <f>IF(OR(K17="",G17=""),"",IF(G17&lt;=0,"",IFERROR(K17/G17-1,"")))</f>
        <v/>
      </c>
      <c r="L18" s="17">
        <f>IF(OR(L17="",H17=""),"",IF(H17&lt;=0,"",IFERROR(L17/H17-1,"")))</f>
        <v/>
      </c>
      <c r="M18" s="17">
        <f>IF(OR(M17="",I17=""),"",IF(I17&lt;=0,"",IFERROR(M17/I17-1,"")))</f>
        <v/>
      </c>
      <c r="N18" s="17">
        <f>IF(OR(N17="",J17=""),"",IF(J17&lt;=0,"",IFERROR(N17/J17-1,"")))</f>
        <v/>
      </c>
      <c r="O18" s="16" t="n"/>
      <c r="P18" s="17">
        <f>IF(OR(P17="",O17=""),"",IF(O17&lt;=0,"",IFERROR(P17/O17-1,"")))</f>
        <v/>
      </c>
      <c r="Q18" s="17">
        <f>IF(OR(Q17="",P17=""),"",IF(P17&lt;=0,"",IFERROR(Q17/P17-1,"")))</f>
        <v/>
      </c>
      <c r="R18" s="17">
        <f>IF(OR(R17="",Q17=""),"",IF(Q17&lt;=0,"",IFERROR(R17/Q17-1,"")))</f>
        <v/>
      </c>
      <c r="S18" s="17">
        <f>IF(OR(S17="",R17=""),"",IF(R17&lt;=0,"",IFERROR(S17/R17-1,"")))</f>
        <v/>
      </c>
      <c r="T18" s="17">
        <f>IF(OR(T17="",S17=""),"",IF(S17&lt;=0,"",IFERROR(T17/S17-1,"")))</f>
        <v/>
      </c>
      <c r="U18" s="17">
        <f>IF(OR(U17="",T17=""),"",IF(T17&lt;=0,"",IFERROR(U17/T17-1,"")))</f>
        <v/>
      </c>
      <c r="V18" s="17">
        <f>IF(OR(V17="",U17=""),"",IF(U17&lt;=0,"",IFERROR(V17/U17-1,"")))</f>
        <v/>
      </c>
      <c r="W18" s="17">
        <f>IF(OR(W17="",V17=""),"",IF(V17&lt;=0,"",IFERROR(W17/V17-1,"")))</f>
        <v/>
      </c>
      <c r="X18" s="17">
        <f>IF(OR(X17="",W17=""),"",IF(W17&lt;=0,"",IFERROR(X17/W17-1,"")))</f>
        <v/>
      </c>
      <c r="Y18" s="16">
        <f>IF(OR(Y17="",X17=""),"",IF(X17&lt;=0,"",IFERROR(Y17/X17-1,"")))</f>
        <v/>
      </c>
      <c r="Z18" s="17">
        <f>IF(OR(Z17="",Y17=""),"",IF(Y17&lt;=0,"",IFERROR(Z17/Y17-1,"")))</f>
        <v/>
      </c>
      <c r="AA18" s="17">
        <f>IF(OR(AA17="",Z17=""),"",IF(Z17&lt;=0,"",IFERROR(AA17/Z17-1,"")))</f>
        <v/>
      </c>
      <c r="AB18" s="17">
        <f>IF(OR(AB17="",AA17=""),"",IF(AA17&lt;=0,"",IFERROR(AB17/AA17-1,"")))</f>
        <v/>
      </c>
      <c r="AC18" s="17">
        <f>IF(OR(AC17="",AB17=""),"",IF(AB17&lt;=0,"",IFERROR(AC17/AB17-1,"")))</f>
        <v/>
      </c>
    </row>
    <row r="19">
      <c r="A19" s="9" t="inlineStr">
        <is>
          <t>영업이익</t>
        </is>
      </c>
      <c r="B19" s="10" t="inlineStr">
        <is>
          <t>MW = 매출 × OPM</t>
        </is>
      </c>
      <c r="C19" s="11" t="n">
        <v>757.795</v>
      </c>
      <c r="D19" s="12" t="n">
        <v>625.953</v>
      </c>
      <c r="E19" s="12" t="n">
        <v>513.3680000000001</v>
      </c>
      <c r="F19" s="12" t="n">
        <v>382</v>
      </c>
      <c r="G19" s="12" t="n">
        <v>473</v>
      </c>
      <c r="H19" s="12" t="n">
        <v>225</v>
      </c>
      <c r="I19" s="12" t="n">
        <v>-11</v>
      </c>
      <c r="J19" s="12" t="n">
        <v>134</v>
      </c>
      <c r="K19" s="12" t="n">
        <v>393</v>
      </c>
      <c r="L19" s="12" t="n">
        <v>449</v>
      </c>
      <c r="M19" s="12" t="n">
        <v>191</v>
      </c>
      <c r="N19" s="12" t="n">
        <v>479</v>
      </c>
      <c r="O19" s="11" t="n"/>
      <c r="P19" s="12" t="n"/>
      <c r="Q19" s="12" t="n"/>
      <c r="R19" s="12" t="n"/>
      <c r="S19" s="12" t="n">
        <v>2131.532</v>
      </c>
      <c r="T19" s="12" t="n">
        <v>2565.25</v>
      </c>
      <c r="U19" s="12" t="n">
        <v>2225.126</v>
      </c>
      <c r="V19" s="12" t="n">
        <v>2543.039</v>
      </c>
      <c r="W19" s="12" t="n">
        <v>1069</v>
      </c>
      <c r="X19" s="12" t="n">
        <v>1167</v>
      </c>
      <c r="Y19" s="11">
        <f>IF(OR(Y4="",Y20=""),"",IFERROR(Y4*Y20,""))</f>
        <v/>
      </c>
      <c r="Z19" s="12">
        <f>IF(OR(Z4="",Z20=""),"",IFERROR(Z4*Z20,""))</f>
        <v/>
      </c>
      <c r="AA19" s="12">
        <f>IF(OR(AA4="",AA20=""),"",IFERROR(AA4*AA20,""))</f>
        <v/>
      </c>
      <c r="AB19" s="12">
        <f>IF(OR(AB4="",AB20=""),"",IFERROR(AB4*AB20,""))</f>
        <v/>
      </c>
      <c r="AC19" s="12">
        <f>IF(OR(AC4="",AC20=""),"",IFERROR(AC4*AC20,""))</f>
        <v/>
      </c>
    </row>
    <row r="20">
      <c r="A20" s="15" t="inlineStr">
        <is>
          <t>OPM</t>
        </is>
      </c>
      <c r="B20" s="10" t="inlineStr">
        <is>
          <t>MW 입력</t>
        </is>
      </c>
      <c r="C20" s="16">
        <f>IF(OR(C19="",C4=""),"",IFERROR(C19/C4,""))</f>
        <v/>
      </c>
      <c r="D20" s="17">
        <f>IF(OR(D19="",D4=""),"",IFERROR(D19/D4,""))</f>
        <v/>
      </c>
      <c r="E20" s="17">
        <f>IF(OR(E19="",E4=""),"",IFERROR(E19/E4,""))</f>
        <v/>
      </c>
      <c r="F20" s="17">
        <f>IF(OR(F19="",F4=""),"",IFERROR(F19/F4,""))</f>
        <v/>
      </c>
      <c r="G20" s="17">
        <f>IF(OR(G19="",G4=""),"",IFERROR(G19/G4,""))</f>
        <v/>
      </c>
      <c r="H20" s="17">
        <f>IF(OR(H19="",H4=""),"",IFERROR(H19/H4,""))</f>
        <v/>
      </c>
      <c r="I20" s="17">
        <f>IF(OR(I19="",I4=""),"",IFERROR(I19/I4,""))</f>
        <v/>
      </c>
      <c r="J20" s="17">
        <f>IF(OR(J19="",J4=""),"",IFERROR(J19/J4,""))</f>
        <v/>
      </c>
      <c r="K20" s="17">
        <f>IF(OR(K19="",K4=""),"",IFERROR(K19/K4,""))</f>
        <v/>
      </c>
      <c r="L20" s="17">
        <f>IF(OR(L19="",L4=""),"",IFERROR(L19/L4,""))</f>
        <v/>
      </c>
      <c r="M20" s="17">
        <f>IF(OR(M19="",M4=""),"",IFERROR(M19/M4,""))</f>
        <v/>
      </c>
      <c r="N20" s="17">
        <f>IF(OR(N19="",N4=""),"",IFERROR(N19/N4,""))</f>
        <v/>
      </c>
      <c r="O20" s="16">
        <f>IF(OR(O19="",O4=""),"",IFERROR(O19/O4,""))</f>
        <v/>
      </c>
      <c r="P20" s="17">
        <f>IF(OR(P19="",P4=""),"",IFERROR(P19/P4,""))</f>
        <v/>
      </c>
      <c r="Q20" s="17">
        <f>IF(OR(Q19="",Q4=""),"",IFERROR(Q19/Q4,""))</f>
        <v/>
      </c>
      <c r="R20" s="17">
        <f>IF(OR(R19="",R4=""),"",IFERROR(R19/R4,""))</f>
        <v/>
      </c>
      <c r="S20" s="17">
        <f>IF(OR(S19="",S4=""),"",IFERROR(S19/S4,""))</f>
        <v/>
      </c>
      <c r="T20" s="17">
        <f>IF(OR(T19="",T4=""),"",IFERROR(T19/T4,""))</f>
        <v/>
      </c>
      <c r="U20" s="17">
        <f>IF(OR(U19="",U4=""),"",IFERROR(U19/U4,""))</f>
        <v/>
      </c>
      <c r="V20" s="17">
        <f>IF(OR(V19="",V4=""),"",IFERROR(V19/V4,""))</f>
        <v/>
      </c>
      <c r="W20" s="17">
        <f>IF(OR(W19="",W4=""),"",IFERROR(W19/W4,""))</f>
        <v/>
      </c>
      <c r="X20" s="17">
        <f>IF(OR(X19="",X4=""),"",IFERROR(X19/X4,""))</f>
        <v/>
      </c>
      <c r="Y20" s="27" t="n"/>
      <c r="Z20" s="28" t="n"/>
      <c r="AA20" s="28" t="n"/>
      <c r="AB20" s="28" t="n"/>
      <c r="AC20" s="28" t="n"/>
    </row>
    <row r="21">
      <c r="A21" s="15" t="inlineStr">
        <is>
          <t>증가율</t>
        </is>
      </c>
      <c r="B21" s="10" t="n"/>
      <c r="C21" s="16" t="n"/>
      <c r="D21" s="17" t="n"/>
      <c r="E21" s="17" t="n"/>
      <c r="F21" s="17" t="n"/>
      <c r="G21" s="17">
        <f>IF(OR(G19="",C19=""),"",IFERROR(G19/C19-1,""))</f>
        <v/>
      </c>
      <c r="H21" s="17">
        <f>IF(OR(H19="",D19=""),"",IFERROR(H19/D19-1,""))</f>
        <v/>
      </c>
      <c r="I21" s="17">
        <f>IF(OR(I19="",E19=""),"",IFERROR(I19/E19-1,""))</f>
        <v/>
      </c>
      <c r="J21" s="17">
        <f>IF(OR(J19="",F19=""),"",IFERROR(J19/F19-1,""))</f>
        <v/>
      </c>
      <c r="K21" s="17">
        <f>IF(OR(K19="",G19=""),"",IFERROR(K19/G19-1,""))</f>
        <v/>
      </c>
      <c r="L21" s="17">
        <f>IF(OR(L19="",H19=""),"",IFERROR(L19/H19-1,""))</f>
        <v/>
      </c>
      <c r="M21" s="17">
        <f>IF(OR(M19="",I19=""),"",IFERROR(M19/I19-1,""))</f>
        <v/>
      </c>
      <c r="N21" s="17">
        <f>IF(OR(N19="",J19=""),"",IFERROR(N19/J19-1,""))</f>
        <v/>
      </c>
      <c r="O21" s="16" t="n"/>
      <c r="P21" s="17">
        <f>IF(OR(P19="",O19=""),"",IFERROR(P19/O19-1,""))</f>
        <v/>
      </c>
      <c r="Q21" s="17">
        <f>IF(OR(Q19="",P19=""),"",IFERROR(Q19/P19-1,""))</f>
        <v/>
      </c>
      <c r="R21" s="17">
        <f>IF(OR(R19="",Q19=""),"",IFERROR(R19/Q19-1,""))</f>
        <v/>
      </c>
      <c r="S21" s="17">
        <f>IF(OR(S19="",R19=""),"",IFERROR(S19/R19-1,""))</f>
        <v/>
      </c>
      <c r="T21" s="17">
        <f>IF(OR(T19="",S19=""),"",IFERROR(T19/S19-1,""))</f>
        <v/>
      </c>
      <c r="U21" s="17">
        <f>IF(OR(U19="",T19=""),"",IFERROR(U19/T19-1,""))</f>
        <v/>
      </c>
      <c r="V21" s="17">
        <f>IF(OR(V19="",U19=""),"",IFERROR(V19/U19-1,""))</f>
        <v/>
      </c>
      <c r="W21" s="17">
        <f>IF(OR(W19="",V19=""),"",IFERROR(W19/V19-1,""))</f>
        <v/>
      </c>
      <c r="X21" s="17">
        <f>IF(OR(X19="",W19=""),"",IFERROR(X19/W19-1,""))</f>
        <v/>
      </c>
      <c r="Y21" s="16">
        <f>IF(OR(Y19="",X19=""),"",IFERROR(Y19/X19-1,""))</f>
        <v/>
      </c>
      <c r="Z21" s="17">
        <f>IF(OR(Z19="",Y19=""),"",IFERROR(Z19/Y19-1,""))</f>
        <v/>
      </c>
      <c r="AA21" s="17">
        <f>IF(OR(AA19="",Z19=""),"",IFERROR(AA19/Z19-1,""))</f>
        <v/>
      </c>
      <c r="AB21" s="17">
        <f>IF(OR(AB19="",AA19=""),"",IFERROR(AB19/AA19-1,""))</f>
        <v/>
      </c>
      <c r="AC21" s="17">
        <f>IF(OR(AC19="",AB19=""),"",IFERROR(AC19/AB19-1,""))</f>
        <v/>
      </c>
    </row>
    <row r="22">
      <c r="A22" s="18" t="inlineStr">
        <is>
          <t>비용의 성격별 분류</t>
        </is>
      </c>
      <c r="B22" s="18" t="inlineStr">
        <is>
          <t>참고 데이터</t>
        </is>
      </c>
      <c r="C22" s="19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9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9" t="n"/>
      <c r="Z22" s="18" t="n"/>
      <c r="AA22" s="18" t="n"/>
      <c r="AB22" s="18" t="n"/>
      <c r="AC22" s="18" t="n"/>
    </row>
    <row r="23">
      <c r="A23" s="9" t="inlineStr">
        <is>
          <t>총 판관비</t>
        </is>
      </c>
      <c r="B23" s="10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1">
        <f>IF(O17="","",O17)</f>
        <v/>
      </c>
      <c r="P23" s="12">
        <f>IF(P17="","",P17)</f>
        <v/>
      </c>
      <c r="Q23" s="12">
        <f>IF(Q17="","",Q17)</f>
        <v/>
      </c>
      <c r="R23" s="12">
        <f>IF(R17="","",R17)</f>
        <v/>
      </c>
      <c r="S23" s="12">
        <f>IF(S17="","",S17)</f>
        <v/>
      </c>
      <c r="T23" s="12">
        <f>IF(T17="","",T17)</f>
        <v/>
      </c>
      <c r="U23" s="12">
        <f>IF(U17="","",U17)</f>
        <v/>
      </c>
      <c r="V23" s="12">
        <f>IF(V17="","",V17)</f>
        <v/>
      </c>
      <c r="W23" s="12">
        <f>IF(W17="","",W17)</f>
        <v/>
      </c>
      <c r="X23" s="12">
        <f>IF(X17="","",X17)</f>
        <v/>
      </c>
      <c r="Y23" s="11" t="n"/>
      <c r="Z23" s="12" t="n"/>
      <c r="AA23" s="12" t="n"/>
      <c r="AB23" s="12" t="n"/>
      <c r="AC23" s="12" t="n"/>
    </row>
    <row r="24">
      <c r="A24" s="20" t="inlineStr">
        <is>
          <t>급여</t>
        </is>
      </c>
      <c r="B24" s="10" t="inlineStr">
        <is>
          <t>고정비</t>
        </is>
      </c>
      <c r="C24" s="21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1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1" t="n"/>
      <c r="Z24" s="22" t="n"/>
      <c r="AA24" s="22" t="n"/>
      <c r="AB24" s="22" t="n"/>
      <c r="AC24" s="22" t="n"/>
    </row>
    <row r="25">
      <c r="A25" s="15" t="inlineStr">
        <is>
          <t>% of Sales</t>
        </is>
      </c>
      <c r="B25" s="10" t="n"/>
      <c r="C25" s="16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6">
        <f>IF(OR(O24="",O4=""),"",IFERROR(O24/O4,""))</f>
        <v/>
      </c>
      <c r="P25" s="17">
        <f>IF(OR(P24="",P4=""),"",IFERROR(P24/P4,""))</f>
        <v/>
      </c>
      <c r="Q25" s="17">
        <f>IF(OR(Q24="",Q4=""),"",IFERROR(Q24/Q4,""))</f>
        <v/>
      </c>
      <c r="R25" s="17">
        <f>IF(OR(R24="",R4=""),"",IFERROR(R24/R4,""))</f>
        <v/>
      </c>
      <c r="S25" s="17">
        <f>IF(OR(S24="",S4=""),"",IFERROR(S24/S4,""))</f>
        <v/>
      </c>
      <c r="T25" s="17">
        <f>IF(OR(T24="",T4=""),"",IFERROR(T24/T4,""))</f>
        <v/>
      </c>
      <c r="U25" s="17">
        <f>IF(OR(U24="",U4=""),"",IFERROR(U24/U4,""))</f>
        <v/>
      </c>
      <c r="V25" s="17">
        <f>IF(OR(V24="",V4=""),"",IFERROR(V24/V4,""))</f>
        <v/>
      </c>
      <c r="W25" s="17">
        <f>IF(OR(W24="",W4=""),"",IFERROR(W24/W4,""))</f>
        <v/>
      </c>
      <c r="X25" s="17">
        <f>IF(OR(X24="",X4=""),"",IFERROR(X24/X4,""))</f>
        <v/>
      </c>
      <c r="Y25" s="16" t="n"/>
      <c r="Z25" s="17" t="n"/>
      <c r="AA25" s="17" t="n"/>
      <c r="AB25" s="17" t="n"/>
      <c r="AC25" s="17" t="n"/>
    </row>
    <row r="26">
      <c r="A26" s="20" t="inlineStr">
        <is>
          <t>감가상각비</t>
        </is>
      </c>
      <c r="B26" s="10" t="inlineStr">
        <is>
          <t>고정비</t>
        </is>
      </c>
      <c r="C26" s="21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1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1" t="n"/>
      <c r="Z26" s="22" t="n"/>
      <c r="AA26" s="22" t="n"/>
      <c r="AB26" s="22" t="n"/>
      <c r="AC26" s="22" t="n"/>
    </row>
    <row r="27">
      <c r="A27" s="15" t="inlineStr">
        <is>
          <t>% of Sales</t>
        </is>
      </c>
      <c r="B27" s="10" t="n"/>
      <c r="C27" s="16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6">
        <f>IF(OR(O26="",O4=""),"",IFERROR(O26/O4,""))</f>
        <v/>
      </c>
      <c r="P27" s="17">
        <f>IF(OR(P26="",P4=""),"",IFERROR(P26/P4,""))</f>
        <v/>
      </c>
      <c r="Q27" s="17">
        <f>IF(OR(Q26="",Q4=""),"",IFERROR(Q26/Q4,""))</f>
        <v/>
      </c>
      <c r="R27" s="17">
        <f>IF(OR(R26="",R4=""),"",IFERROR(R26/R4,""))</f>
        <v/>
      </c>
      <c r="S27" s="17">
        <f>IF(OR(S26="",S4=""),"",IFERROR(S26/S4,""))</f>
        <v/>
      </c>
      <c r="T27" s="17">
        <f>IF(OR(T26="",T4=""),"",IFERROR(T26/T4,""))</f>
        <v/>
      </c>
      <c r="U27" s="17">
        <f>IF(OR(U26="",U4=""),"",IFERROR(U26/U4,""))</f>
        <v/>
      </c>
      <c r="V27" s="17">
        <f>IF(OR(V26="",V4=""),"",IFERROR(V26/V4,""))</f>
        <v/>
      </c>
      <c r="W27" s="17">
        <f>IF(OR(W26="",W4=""),"",IFERROR(W26/W4,""))</f>
        <v/>
      </c>
      <c r="X27" s="17">
        <f>IF(OR(X26="",X4=""),"",IFERROR(X26/X4,""))</f>
        <v/>
      </c>
      <c r="Y27" s="16" t="n"/>
      <c r="Z27" s="17" t="n"/>
      <c r="AA27" s="17" t="n"/>
      <c r="AB27" s="17" t="n"/>
      <c r="AC27" s="17" t="n"/>
    </row>
    <row r="28">
      <c r="A28" s="20" t="inlineStr">
        <is>
          <t>지급수수료</t>
        </is>
      </c>
      <c r="B28" s="10" t="inlineStr">
        <is>
          <t>고정비</t>
        </is>
      </c>
      <c r="C28" s="21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1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1" t="n"/>
      <c r="Z28" s="22" t="n"/>
      <c r="AA28" s="22" t="n"/>
      <c r="AB28" s="22" t="n"/>
      <c r="AC28" s="22" t="n"/>
    </row>
    <row r="29">
      <c r="A29" s="15" t="inlineStr">
        <is>
          <t>% of Sales</t>
        </is>
      </c>
      <c r="B29" s="10" t="n"/>
      <c r="C29" s="16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6">
        <f>IF(OR(O28="",O4=""),"",IFERROR(O28/O4,""))</f>
        <v/>
      </c>
      <c r="P29" s="17">
        <f>IF(OR(P28="",P4=""),"",IFERROR(P28/P4,""))</f>
        <v/>
      </c>
      <c r="Q29" s="17">
        <f>IF(OR(Q28="",Q4=""),"",IFERROR(Q28/Q4,""))</f>
        <v/>
      </c>
      <c r="R29" s="17">
        <f>IF(OR(R28="",R4=""),"",IFERROR(R28/R4,""))</f>
        <v/>
      </c>
      <c r="S29" s="17">
        <f>IF(OR(S28="",S4=""),"",IFERROR(S28/S4,""))</f>
        <v/>
      </c>
      <c r="T29" s="17">
        <f>IF(OR(T28="",T4=""),"",IFERROR(T28/T4,""))</f>
        <v/>
      </c>
      <c r="U29" s="17">
        <f>IF(OR(U28="",U4=""),"",IFERROR(U28/U4,""))</f>
        <v/>
      </c>
      <c r="V29" s="17">
        <f>IF(OR(V28="",V4=""),"",IFERROR(V28/V4,""))</f>
        <v/>
      </c>
      <c r="W29" s="17">
        <f>IF(OR(W28="",W4=""),"",IFERROR(W28/W4,""))</f>
        <v/>
      </c>
      <c r="X29" s="17">
        <f>IF(OR(X28="",X4=""),"",IFERROR(X28/X4,""))</f>
        <v/>
      </c>
      <c r="Y29" s="16" t="n"/>
      <c r="Z29" s="17" t="n"/>
      <c r="AA29" s="17" t="n"/>
      <c r="AB29" s="17" t="n"/>
      <c r="AC29" s="17" t="n"/>
    </row>
    <row r="30">
      <c r="A30" s="20" t="inlineStr">
        <is>
          <t>연구개발비</t>
        </is>
      </c>
      <c r="B30" s="10" t="inlineStr">
        <is>
          <t>변동비</t>
        </is>
      </c>
      <c r="C30" s="21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1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1" t="n"/>
      <c r="Z30" s="22" t="n"/>
      <c r="AA30" s="22" t="n"/>
      <c r="AB30" s="22" t="n"/>
      <c r="AC30" s="22" t="n"/>
    </row>
    <row r="31">
      <c r="A31" s="15" t="inlineStr">
        <is>
          <t>% of Sales</t>
        </is>
      </c>
      <c r="B31" s="10" t="n"/>
      <c r="C31" s="16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6">
        <f>IF(OR(O30="",O4=""),"",IFERROR(O30/O4,""))</f>
        <v/>
      </c>
      <c r="P31" s="17">
        <f>IF(OR(P30="",P4=""),"",IFERROR(P30/P4,""))</f>
        <v/>
      </c>
      <c r="Q31" s="17">
        <f>IF(OR(Q30="",Q4=""),"",IFERROR(Q30/Q4,""))</f>
        <v/>
      </c>
      <c r="R31" s="17">
        <f>IF(OR(R30="",R4=""),"",IFERROR(R30/R4,""))</f>
        <v/>
      </c>
      <c r="S31" s="17">
        <f>IF(OR(S30="",S4=""),"",IFERROR(S30/S4,""))</f>
        <v/>
      </c>
      <c r="T31" s="17">
        <f>IF(OR(T30="",T4=""),"",IFERROR(T30/T4,""))</f>
        <v/>
      </c>
      <c r="U31" s="17">
        <f>IF(OR(U30="",U4=""),"",IFERROR(U30/U4,""))</f>
        <v/>
      </c>
      <c r="V31" s="17">
        <f>IF(OR(V30="",V4=""),"",IFERROR(V30/V4,""))</f>
        <v/>
      </c>
      <c r="W31" s="17">
        <f>IF(OR(W30="",W4=""),"",IFERROR(W30/W4,""))</f>
        <v/>
      </c>
      <c r="X31" s="17">
        <f>IF(OR(X30="",X4=""),"",IFERROR(X30/X4,""))</f>
        <v/>
      </c>
      <c r="Y31" s="16" t="n"/>
      <c r="Z31" s="17" t="n"/>
      <c r="AA31" s="17" t="n"/>
      <c r="AB31" s="17" t="n"/>
      <c r="AC31" s="17" t="n"/>
    </row>
    <row r="32">
      <c r="A32" s="20" t="inlineStr">
        <is>
          <t>기타비용</t>
        </is>
      </c>
      <c r="B32" s="10" t="inlineStr">
        <is>
          <t>변동비</t>
        </is>
      </c>
      <c r="C32" s="21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1">
        <f>IF(OR(O23="",O24="",O26="",O28="",O30=""),"",IFERROR(O23-O24-O26-O28-O30,""))</f>
        <v/>
      </c>
      <c r="P32" s="22">
        <f>IF(OR(P23="",P24="",P26="",P28="",P30=""),"",IFERROR(P23-P24-P26-P28-P30,""))</f>
        <v/>
      </c>
      <c r="Q32" s="22">
        <f>IF(OR(Q23="",Q24="",Q26="",Q28="",Q30=""),"",IFERROR(Q23-Q24-Q26-Q28-Q30,""))</f>
        <v/>
      </c>
      <c r="R32" s="22">
        <f>IF(OR(R23="",R24="",R26="",R28="",R30=""),"",IFERROR(R23-R24-R26-R28-R30,""))</f>
        <v/>
      </c>
      <c r="S32" s="22">
        <f>IF(OR(S23="",S24="",S26="",S28="",S30=""),"",IFERROR(S23-S24-S26-S28-S30,""))</f>
        <v/>
      </c>
      <c r="T32" s="22">
        <f>IF(OR(T23="",T24="",T26="",T28="",T30=""),"",IFERROR(T23-T24-T26-T28-T30,""))</f>
        <v/>
      </c>
      <c r="U32" s="22">
        <f>IF(OR(U23="",U24="",U26="",U28="",U30=""),"",IFERROR(U23-U24-U26-U28-U30,""))</f>
        <v/>
      </c>
      <c r="V32" s="22">
        <f>IF(OR(V23="",V24="",V26="",V28="",V30=""),"",IFERROR(V23-V24-V26-V28-V30,""))</f>
        <v/>
      </c>
      <c r="W32" s="22">
        <f>IF(OR(W23="",W24="",W26="",W28="",W30=""),"",IFERROR(W23-W24-W26-W28-W30,""))</f>
        <v/>
      </c>
      <c r="X32" s="22">
        <f>IF(OR(X23="",X24="",X26="",X28="",X30=""),"",IFERROR(X23-X24-X26-X28-X30,""))</f>
        <v/>
      </c>
      <c r="Y32" s="21" t="n"/>
      <c r="Z32" s="22" t="n"/>
      <c r="AA32" s="22" t="n"/>
      <c r="AB32" s="22" t="n"/>
      <c r="AC32" s="22" t="n"/>
    </row>
    <row r="33">
      <c r="A33" s="15" t="inlineStr">
        <is>
          <t>% of Sales</t>
        </is>
      </c>
      <c r="B33" s="10" t="n"/>
      <c r="C33" s="16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16" t="n"/>
      <c r="Z33" s="17" t="n"/>
      <c r="AA33" s="17" t="n"/>
      <c r="AB33" s="17" t="n"/>
      <c r="AC33" s="17" t="n"/>
    </row>
    <row r="34">
      <c r="A34" s="18" t="inlineStr">
        <is>
          <t>당기순이익 추정</t>
        </is>
      </c>
      <c r="B34" s="18" t="n"/>
      <c r="C34" s="19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9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9" t="n"/>
      <c r="Z34" s="18" t="n"/>
      <c r="AA34" s="18" t="n"/>
      <c r="AB34" s="18" t="n"/>
      <c r="AC34" s="18" t="n"/>
    </row>
    <row r="35">
      <c r="A35" s="20" t="inlineStr">
        <is>
          <t>특별이익</t>
        </is>
      </c>
      <c r="B35" s="10" t="n"/>
      <c r="C35" s="21" t="n"/>
      <c r="D35" s="22" t="n">
        <v>0</v>
      </c>
      <c r="E35" s="22" t="n">
        <v>0</v>
      </c>
      <c r="F35" s="22" t="n"/>
      <c r="G35" s="22" t="n"/>
      <c r="H35" s="22" t="n">
        <v>75</v>
      </c>
      <c r="I35" s="22" t="n">
        <v>0</v>
      </c>
      <c r="J35" s="22" t="n"/>
      <c r="K35" s="22" t="n"/>
      <c r="L35" s="22" t="n"/>
      <c r="M35" s="22" t="n">
        <v>0</v>
      </c>
      <c r="N35" s="22" t="n"/>
      <c r="O35" s="21" t="n"/>
      <c r="P35" s="22" t="n"/>
      <c r="Q35" s="22" t="n"/>
      <c r="R35" s="22" t="n"/>
      <c r="S35" s="22" t="n"/>
      <c r="T35" s="22" t="n"/>
      <c r="U35" s="22" t="n">
        <v>0</v>
      </c>
      <c r="V35" s="22" t="n">
        <v>13.671</v>
      </c>
      <c r="W35" s="22" t="n">
        <v>75</v>
      </c>
      <c r="X35" s="22" t="n">
        <v>0</v>
      </c>
      <c r="Y35" s="21">
        <f>IF(OR(Y4="",Y36=""),"",IFERROR(Y4*Y36,""))</f>
        <v/>
      </c>
      <c r="Z35" s="22">
        <f>IF(OR(Z4="",Z36=""),"",IFERROR(Z4*Z36,""))</f>
        <v/>
      </c>
      <c r="AA35" s="22">
        <f>IF(OR(AA4="",AA36=""),"",IFERROR(AA4*AA36,""))</f>
        <v/>
      </c>
      <c r="AB35" s="22">
        <f>IF(OR(AB4="",AB36=""),"",IFERROR(AB4*AB36,""))</f>
        <v/>
      </c>
      <c r="AC35" s="22">
        <f>IF(OR(AC4="",AC36=""),"",IFERROR(AC4*AC36,""))</f>
        <v/>
      </c>
    </row>
    <row r="36">
      <c r="A36" s="15" t="inlineStr">
        <is>
          <t>% of Sales</t>
        </is>
      </c>
      <c r="B36" s="10" t="inlineStr">
        <is>
          <t>MW = 최근 3년 평균</t>
        </is>
      </c>
      <c r="C36" s="16">
        <f>IF(OR(C35="",C4=""),"",IFERROR(C35/C4,""))</f>
        <v/>
      </c>
      <c r="D36" s="17">
        <f>IF(OR(D35="",D4=""),"",IFERROR(D35/D4,""))</f>
        <v/>
      </c>
      <c r="E36" s="17">
        <f>IF(OR(E35="",E4=""),"",IFERROR(E35/E4,""))</f>
        <v/>
      </c>
      <c r="F36" s="17">
        <f>IF(OR(F35="",F4=""),"",IFERROR(F35/F4,""))</f>
        <v/>
      </c>
      <c r="G36" s="17">
        <f>IF(OR(G35="",G4=""),"",IFERROR(G35/G4,""))</f>
        <v/>
      </c>
      <c r="H36" s="17">
        <f>IF(OR(H35="",H4=""),"",IFERROR(H35/H4,""))</f>
        <v/>
      </c>
      <c r="I36" s="17">
        <f>IF(OR(I35="",I4=""),"",IFERROR(I35/I4,""))</f>
        <v/>
      </c>
      <c r="J36" s="17">
        <f>IF(OR(J35="",J4=""),"",IFERROR(J35/J4,""))</f>
        <v/>
      </c>
      <c r="K36" s="17">
        <f>IF(OR(K35="",K4=""),"",IFERROR(K35/K4,""))</f>
        <v/>
      </c>
      <c r="L36" s="17">
        <f>IF(OR(L35="",L4=""),"",IFERROR(L35/L4,""))</f>
        <v/>
      </c>
      <c r="M36" s="17">
        <f>IF(OR(M35="",M4=""),"",IFERROR(M35/M4,""))</f>
        <v/>
      </c>
      <c r="N36" s="17">
        <f>IF(OR(N35="",N4=""),"",IFERROR(N35/N4,""))</f>
        <v/>
      </c>
      <c r="O36" s="16">
        <f>IF(OR(O35="",O4=""),"",IFERROR(O35/O4,""))</f>
        <v/>
      </c>
      <c r="P36" s="17">
        <f>IF(OR(P35="",P4=""),"",IFERROR(P35/P4,""))</f>
        <v/>
      </c>
      <c r="Q36" s="17">
        <f>IF(OR(Q35="",Q4=""),"",IFERROR(Q35/Q4,""))</f>
        <v/>
      </c>
      <c r="R36" s="17">
        <f>IF(OR(R35="",R4=""),"",IFERROR(R35/R4,""))</f>
        <v/>
      </c>
      <c r="S36" s="17">
        <f>IF(OR(S35="",S4=""),"",IFERROR(S35/S4,""))</f>
        <v/>
      </c>
      <c r="T36" s="17">
        <f>IF(OR(T35="",T4=""),"",IFERROR(T35/T4,""))</f>
        <v/>
      </c>
      <c r="U36" s="17">
        <f>IF(OR(U35="",U4=""),"",IFERROR(U35/U4,""))</f>
        <v/>
      </c>
      <c r="V36" s="17">
        <f>IF(OR(V35="",V4=""),"",IFERROR(V35/V4,""))</f>
        <v/>
      </c>
      <c r="W36" s="17">
        <f>IF(OR(W35="",W4=""),"",IFERROR(W35/W4,""))</f>
        <v/>
      </c>
      <c r="X36" s="17">
        <f>IF(OR(X35="",X4=""),"",IFERROR(X35/X4,""))</f>
        <v/>
      </c>
      <c r="Y36" s="27">
        <f>IFERROR(AVERAGE(V36,W36,X36),"")</f>
        <v/>
      </c>
      <c r="Z36" s="28">
        <f>Y36</f>
        <v/>
      </c>
      <c r="AA36" s="28">
        <f>Z36</f>
        <v/>
      </c>
      <c r="AB36" s="28">
        <f>AA36</f>
        <v/>
      </c>
      <c r="AC36" s="28">
        <f>AB36</f>
        <v/>
      </c>
    </row>
    <row r="37">
      <c r="A37" s="20" t="inlineStr">
        <is>
          <t>특별손실</t>
        </is>
      </c>
      <c r="B37" s="10" t="n"/>
      <c r="C37" s="21" t="n">
        <v>2.727</v>
      </c>
      <c r="D37" s="22" t="n">
        <v>0</v>
      </c>
      <c r="E37" s="22" t="n">
        <v>0.592</v>
      </c>
      <c r="F37" s="22" t="n">
        <v>0</v>
      </c>
      <c r="G37" s="22" t="n">
        <v>2</v>
      </c>
      <c r="H37" s="22" t="n">
        <v>0</v>
      </c>
      <c r="I37" s="22" t="n">
        <v>243</v>
      </c>
      <c r="J37" s="22" t="n">
        <v>1</v>
      </c>
      <c r="K37" s="22" t="n">
        <v>163</v>
      </c>
      <c r="L37" s="22" t="n">
        <v>2</v>
      </c>
      <c r="M37" s="22" t="n">
        <v>1</v>
      </c>
      <c r="N37" s="22" t="n">
        <v>1</v>
      </c>
      <c r="O37" s="21" t="n"/>
      <c r="P37" s="22" t="n"/>
      <c r="Q37" s="22" t="n"/>
      <c r="R37" s="22" t="n"/>
      <c r="S37" s="22" t="n">
        <v>2.992</v>
      </c>
      <c r="T37" s="22" t="n">
        <v>1.431</v>
      </c>
      <c r="U37" s="22" t="n">
        <v>0.433</v>
      </c>
      <c r="V37" s="22" t="n">
        <v>3.662</v>
      </c>
      <c r="W37" s="22" t="n">
        <v>245</v>
      </c>
      <c r="X37" s="22" t="n">
        <v>167</v>
      </c>
      <c r="Y37" s="21">
        <f>IF(OR(Y4="",Y38=""),"",IFERROR(Y4*Y38,""))</f>
        <v/>
      </c>
      <c r="Z37" s="22">
        <f>IF(OR(Z4="",Z38=""),"",IFERROR(Z4*Z38,""))</f>
        <v/>
      </c>
      <c r="AA37" s="22">
        <f>IF(OR(AA4="",AA38=""),"",IFERROR(AA4*AA38,""))</f>
        <v/>
      </c>
      <c r="AB37" s="22">
        <f>IF(OR(AB4="",AB38=""),"",IFERROR(AB4*AB38,""))</f>
        <v/>
      </c>
      <c r="AC37" s="22">
        <f>IF(OR(AC4="",AC38=""),"",IFERROR(AC4*AC38,""))</f>
        <v/>
      </c>
    </row>
    <row r="38">
      <c r="A38" s="15" t="inlineStr">
        <is>
          <t>% of Sales</t>
        </is>
      </c>
      <c r="B38" s="10" t="n"/>
      <c r="C38" s="16">
        <f>IF(OR(C37="",C4=""),"",IFERROR(C37/C4,""))</f>
        <v/>
      </c>
      <c r="D38" s="17">
        <f>IF(OR(D37="",D4=""),"",IFERROR(D37/D4,""))</f>
        <v/>
      </c>
      <c r="E38" s="17">
        <f>IF(OR(E37="",E4=""),"",IFERROR(E37/E4,""))</f>
        <v/>
      </c>
      <c r="F38" s="17">
        <f>IF(OR(F37="",F4=""),"",IFERROR(F37/F4,""))</f>
        <v/>
      </c>
      <c r="G38" s="17">
        <f>IF(OR(G37="",G4=""),"",IFERROR(G37/G4,""))</f>
        <v/>
      </c>
      <c r="H38" s="17">
        <f>IF(OR(H37="",H4=""),"",IFERROR(H37/H4,""))</f>
        <v/>
      </c>
      <c r="I38" s="17">
        <f>IF(OR(I37="",I4=""),"",IFERROR(I37/I4,""))</f>
        <v/>
      </c>
      <c r="J38" s="17">
        <f>IF(OR(J37="",J4=""),"",IFERROR(J37/J4,""))</f>
        <v/>
      </c>
      <c r="K38" s="17">
        <f>IF(OR(K37="",K4=""),"",IFERROR(K37/K4,""))</f>
        <v/>
      </c>
      <c r="L38" s="17">
        <f>IF(OR(L37="",L4=""),"",IFERROR(L37/L4,""))</f>
        <v/>
      </c>
      <c r="M38" s="17">
        <f>IF(OR(M37="",M4=""),"",IFERROR(M37/M4,""))</f>
        <v/>
      </c>
      <c r="N38" s="17">
        <f>IF(OR(N37="",N4=""),"",IFERROR(N37/N4,""))</f>
        <v/>
      </c>
      <c r="O38" s="16">
        <f>IF(OR(O37="",O4=""),"",IFERROR(O37/O4,""))</f>
        <v/>
      </c>
      <c r="P38" s="17">
        <f>IF(OR(P37="",P4=""),"",IFERROR(P37/P4,""))</f>
        <v/>
      </c>
      <c r="Q38" s="17">
        <f>IF(OR(Q37="",Q4=""),"",IFERROR(Q37/Q4,""))</f>
        <v/>
      </c>
      <c r="R38" s="17">
        <f>IF(OR(R37="",R4=""),"",IFERROR(R37/R4,""))</f>
        <v/>
      </c>
      <c r="S38" s="17">
        <f>IF(OR(S37="",S4=""),"",IFERROR(S37/S4,""))</f>
        <v/>
      </c>
      <c r="T38" s="17">
        <f>IF(OR(T37="",T4=""),"",IFERROR(T37/T4,""))</f>
        <v/>
      </c>
      <c r="U38" s="17">
        <f>IF(OR(U37="",U4=""),"",IFERROR(U37/U4,""))</f>
        <v/>
      </c>
      <c r="V38" s="17">
        <f>IF(OR(V37="",V4=""),"",IFERROR(V37/V4,""))</f>
        <v/>
      </c>
      <c r="W38" s="17">
        <f>IF(OR(W37="",W4=""),"",IFERROR(W37/W4,""))</f>
        <v/>
      </c>
      <c r="X38" s="17">
        <f>IF(OR(X37="",X4=""),"",IFERROR(X37/X4,""))</f>
        <v/>
      </c>
      <c r="Y38" s="27">
        <f>IFERROR(AVERAGE(V38,W38,X38),"")</f>
        <v/>
      </c>
      <c r="Z38" s="28">
        <f>Y38</f>
        <v/>
      </c>
      <c r="AA38" s="28">
        <f>Z38</f>
        <v/>
      </c>
      <c r="AB38" s="28">
        <f>AA38</f>
        <v/>
      </c>
      <c r="AC38" s="28">
        <f>AB38</f>
        <v/>
      </c>
    </row>
    <row r="39">
      <c r="A39" s="20" t="inlineStr">
        <is>
          <t>영업외수익</t>
        </is>
      </c>
      <c r="B39" s="10" t="n"/>
      <c r="C39" s="21" t="n">
        <v>4.409</v>
      </c>
      <c r="D39" s="22" t="n">
        <v>2.387</v>
      </c>
      <c r="E39" s="22" t="n">
        <v>7.567</v>
      </c>
      <c r="F39" s="22" t="n">
        <v>5</v>
      </c>
      <c r="G39" s="22" t="n">
        <v>1</v>
      </c>
      <c r="H39" s="22" t="n">
        <v>1</v>
      </c>
      <c r="I39" s="22" t="n">
        <v>1</v>
      </c>
      <c r="J39" s="22" t="n">
        <v>2</v>
      </c>
      <c r="K39" s="22" t="n">
        <v>7</v>
      </c>
      <c r="L39" s="22" t="n">
        <v>4</v>
      </c>
      <c r="M39" s="22" t="n">
        <v>15</v>
      </c>
      <c r="N39" s="22" t="n">
        <v>3</v>
      </c>
      <c r="O39" s="21" t="n"/>
      <c r="P39" s="22" t="n"/>
      <c r="Q39" s="22" t="n"/>
      <c r="R39" s="22" t="n"/>
      <c r="S39" s="22" t="n">
        <v>39.915</v>
      </c>
      <c r="T39" s="22" t="n">
        <v>61.263</v>
      </c>
      <c r="U39" s="22" t="n">
        <v>61.832</v>
      </c>
      <c r="V39" s="22" t="n">
        <v>16.036</v>
      </c>
      <c r="W39" s="22" t="n">
        <v>8</v>
      </c>
      <c r="X39" s="22" t="n">
        <v>28</v>
      </c>
      <c r="Y39" s="21">
        <f>IF(OR(Y4="",Y40=""),"",IFERROR(Y4*Y40,""))</f>
        <v/>
      </c>
      <c r="Z39" s="22">
        <f>IF(OR(Z4="",Z40=""),"",IFERROR(Z4*Z40,""))</f>
        <v/>
      </c>
      <c r="AA39" s="22">
        <f>IF(OR(AA4="",AA40=""),"",IFERROR(AA4*AA40,""))</f>
        <v/>
      </c>
      <c r="AB39" s="22">
        <f>IF(OR(AB4="",AB40=""),"",IFERROR(AB4*AB40,""))</f>
        <v/>
      </c>
      <c r="AC39" s="22">
        <f>IF(OR(AC4="",AC40=""),"",IFERROR(AC4*AC40,""))</f>
        <v/>
      </c>
    </row>
    <row r="40">
      <c r="A40" s="15" t="inlineStr">
        <is>
          <t>% of Sales</t>
        </is>
      </c>
      <c r="B40" s="10" t="n"/>
      <c r="C40" s="16">
        <f>IF(OR(C39="",C4=""),"",IFERROR(C39/C4,""))</f>
        <v/>
      </c>
      <c r="D40" s="17">
        <f>IF(OR(D39="",D4=""),"",IFERROR(D39/D4,""))</f>
        <v/>
      </c>
      <c r="E40" s="17">
        <f>IF(OR(E39="",E4=""),"",IFERROR(E39/E4,""))</f>
        <v/>
      </c>
      <c r="F40" s="17">
        <f>IF(OR(F39="",F4=""),"",IFERROR(F39/F4,""))</f>
        <v/>
      </c>
      <c r="G40" s="17">
        <f>IF(OR(G39="",G4=""),"",IFERROR(G39/G4,""))</f>
        <v/>
      </c>
      <c r="H40" s="17">
        <f>IF(OR(H39="",H4=""),"",IFERROR(H39/H4,""))</f>
        <v/>
      </c>
      <c r="I40" s="17">
        <f>IF(OR(I39="",I4=""),"",IFERROR(I39/I4,""))</f>
        <v/>
      </c>
      <c r="J40" s="17">
        <f>IF(OR(J39="",J4=""),"",IFERROR(J39/J4,""))</f>
        <v/>
      </c>
      <c r="K40" s="17">
        <f>IF(OR(K39="",K4=""),"",IFERROR(K39/K4,""))</f>
        <v/>
      </c>
      <c r="L40" s="17">
        <f>IF(OR(L39="",L4=""),"",IFERROR(L39/L4,""))</f>
        <v/>
      </c>
      <c r="M40" s="17">
        <f>IF(OR(M39="",M4=""),"",IFERROR(M39/M4,""))</f>
        <v/>
      </c>
      <c r="N40" s="17">
        <f>IF(OR(N39="",N4=""),"",IFERROR(N39/N4,""))</f>
        <v/>
      </c>
      <c r="O40" s="16">
        <f>IF(OR(O39="",O4=""),"",IFERROR(O39/O4,""))</f>
        <v/>
      </c>
      <c r="P40" s="17">
        <f>IF(OR(P39="",P4=""),"",IFERROR(P39/P4,""))</f>
        <v/>
      </c>
      <c r="Q40" s="17">
        <f>IF(OR(Q39="",Q4=""),"",IFERROR(Q39/Q4,""))</f>
        <v/>
      </c>
      <c r="R40" s="17">
        <f>IF(OR(R39="",R4=""),"",IFERROR(R39/R4,""))</f>
        <v/>
      </c>
      <c r="S40" s="17">
        <f>IF(OR(S39="",S4=""),"",IFERROR(S39/S4,""))</f>
        <v/>
      </c>
      <c r="T40" s="17">
        <f>IF(OR(T39="",T4=""),"",IFERROR(T39/T4,""))</f>
        <v/>
      </c>
      <c r="U40" s="17">
        <f>IF(OR(U39="",U4=""),"",IFERROR(U39/U4,""))</f>
        <v/>
      </c>
      <c r="V40" s="17">
        <f>IF(OR(V39="",V4=""),"",IFERROR(V39/V4,""))</f>
        <v/>
      </c>
      <c r="W40" s="17">
        <f>IF(OR(W39="",W4=""),"",IFERROR(W39/W4,""))</f>
        <v/>
      </c>
      <c r="X40" s="17">
        <f>IF(OR(X39="",X4=""),"",IFERROR(X39/X4,""))</f>
        <v/>
      </c>
      <c r="Y40" s="27">
        <f>IFERROR(AVERAGE(V40,W40,X40),"")</f>
        <v/>
      </c>
      <c r="Z40" s="28">
        <f>Y40</f>
        <v/>
      </c>
      <c r="AA40" s="28">
        <f>Z40</f>
        <v/>
      </c>
      <c r="AB40" s="28">
        <f>AA40</f>
        <v/>
      </c>
      <c r="AC40" s="28">
        <f>AB40</f>
        <v/>
      </c>
    </row>
    <row r="41">
      <c r="A41" s="20" t="inlineStr">
        <is>
          <t>영업외비용</t>
        </is>
      </c>
      <c r="B41" s="10" t="n"/>
      <c r="C41" s="21" t="n">
        <v>14.056</v>
      </c>
      <c r="D41" s="22" t="n">
        <v>12.483</v>
      </c>
      <c r="E41" s="22" t="n">
        <v>4.955</v>
      </c>
      <c r="F41" s="22" t="n">
        <v>6</v>
      </c>
      <c r="G41" s="22" t="n">
        <v>7</v>
      </c>
      <c r="H41" s="22" t="n">
        <v>5</v>
      </c>
      <c r="I41" s="22" t="n">
        <v>56</v>
      </c>
      <c r="J41" s="22" t="n">
        <v>1</v>
      </c>
      <c r="K41" s="22" t="n">
        <v>-1</v>
      </c>
      <c r="L41" s="22" t="n">
        <v>13</v>
      </c>
      <c r="M41" s="22" t="n">
        <v>0</v>
      </c>
      <c r="N41" s="22" t="n">
        <v>11</v>
      </c>
      <c r="O41" s="21" t="n"/>
      <c r="P41" s="22" t="n"/>
      <c r="Q41" s="22" t="n"/>
      <c r="R41" s="22" t="n"/>
      <c r="S41" s="22" t="n">
        <v>4.164</v>
      </c>
      <c r="T41" s="22" t="n">
        <v>35.026</v>
      </c>
      <c r="U41" s="22" t="n">
        <v>17.632</v>
      </c>
      <c r="V41" s="22" t="n">
        <v>31.651</v>
      </c>
      <c r="W41" s="22" t="n">
        <v>74</v>
      </c>
      <c r="X41" s="22" t="n">
        <v>13</v>
      </c>
      <c r="Y41" s="21">
        <f>IF(OR(Y4="",Y42=""),"",IFERROR(Y4*Y42,""))</f>
        <v/>
      </c>
      <c r="Z41" s="22">
        <f>IF(OR(Z4="",Z42=""),"",IFERROR(Z4*Z42,""))</f>
        <v/>
      </c>
      <c r="AA41" s="22">
        <f>IF(OR(AA4="",AA42=""),"",IFERROR(AA4*AA42,""))</f>
        <v/>
      </c>
      <c r="AB41" s="22">
        <f>IF(OR(AB4="",AB42=""),"",IFERROR(AB4*AB42,""))</f>
        <v/>
      </c>
      <c r="AC41" s="22">
        <f>IF(OR(AC4="",AC42=""),"",IFERROR(AC4*AC42,""))</f>
        <v/>
      </c>
    </row>
    <row r="42">
      <c r="A42" s="15" t="inlineStr">
        <is>
          <t>% of Sales</t>
        </is>
      </c>
      <c r="B42" s="10" t="n"/>
      <c r="C42" s="16">
        <f>IF(OR(C41="",C4=""),"",IFERROR(C41/C4,""))</f>
        <v/>
      </c>
      <c r="D42" s="17">
        <f>IF(OR(D41="",D4=""),"",IFERROR(D41/D4,""))</f>
        <v/>
      </c>
      <c r="E42" s="17">
        <f>IF(OR(E41="",E4=""),"",IFERROR(E41/E4,""))</f>
        <v/>
      </c>
      <c r="F42" s="17">
        <f>IF(OR(F41="",F4=""),"",IFERROR(F41/F4,""))</f>
        <v/>
      </c>
      <c r="G42" s="17">
        <f>IF(OR(G41="",G4=""),"",IFERROR(G41/G4,""))</f>
        <v/>
      </c>
      <c r="H42" s="17">
        <f>IF(OR(H41="",H4=""),"",IFERROR(H41/H4,""))</f>
        <v/>
      </c>
      <c r="I42" s="17">
        <f>IF(OR(I41="",I4=""),"",IFERROR(I41/I4,""))</f>
        <v/>
      </c>
      <c r="J42" s="17">
        <f>IF(OR(J41="",J4=""),"",IFERROR(J41/J4,""))</f>
        <v/>
      </c>
      <c r="K42" s="17">
        <f>IF(OR(K41="",K4=""),"",IFERROR(K41/K4,""))</f>
        <v/>
      </c>
      <c r="L42" s="17">
        <f>IF(OR(L41="",L4=""),"",IFERROR(L41/L4,""))</f>
        <v/>
      </c>
      <c r="M42" s="17">
        <f>IF(OR(M41="",M4=""),"",IFERROR(M41/M4,""))</f>
        <v/>
      </c>
      <c r="N42" s="17">
        <f>IF(OR(N41="",N4=""),"",IFERROR(N41/N4,""))</f>
        <v/>
      </c>
      <c r="O42" s="16">
        <f>IF(OR(O41="",O4=""),"",IFERROR(O41/O4,""))</f>
        <v/>
      </c>
      <c r="P42" s="17">
        <f>IF(OR(P41="",P4=""),"",IFERROR(P41/P4,""))</f>
        <v/>
      </c>
      <c r="Q42" s="17">
        <f>IF(OR(Q41="",Q4=""),"",IFERROR(Q41/Q4,""))</f>
        <v/>
      </c>
      <c r="R42" s="17">
        <f>IF(OR(R41="",R4=""),"",IFERROR(R41/R4,""))</f>
        <v/>
      </c>
      <c r="S42" s="17">
        <f>IF(OR(S41="",S4=""),"",IFERROR(S41/S4,""))</f>
        <v/>
      </c>
      <c r="T42" s="17">
        <f>IF(OR(T41="",T4=""),"",IFERROR(T41/T4,""))</f>
        <v/>
      </c>
      <c r="U42" s="17">
        <f>IF(OR(U41="",U4=""),"",IFERROR(U41/U4,""))</f>
        <v/>
      </c>
      <c r="V42" s="17">
        <f>IF(OR(V41="",V4=""),"",IFERROR(V41/V4,""))</f>
        <v/>
      </c>
      <c r="W42" s="17">
        <f>IF(OR(W41="",W4=""),"",IFERROR(W41/W4,""))</f>
        <v/>
      </c>
      <c r="X42" s="17">
        <f>IF(OR(X41="",X4=""),"",IFERROR(X41/X4,""))</f>
        <v/>
      </c>
      <c r="Y42" s="27">
        <f>IFERROR(AVERAGE(V42,W42,X42),"")</f>
        <v/>
      </c>
      <c r="Z42" s="28">
        <f>Y42</f>
        <v/>
      </c>
      <c r="AA42" s="28">
        <f>Z42</f>
        <v/>
      </c>
      <c r="AB42" s="28">
        <f>AA42</f>
        <v/>
      </c>
      <c r="AC42" s="28">
        <f>AB42</f>
        <v/>
      </c>
    </row>
    <row r="43">
      <c r="A43" s="9" t="inlineStr">
        <is>
          <t>법인세비용차감전순이익(손실)</t>
        </is>
      </c>
      <c r="B43" s="10" t="n"/>
      <c r="C43" s="11" t="n">
        <v>759.092</v>
      </c>
      <c r="D43" s="12" t="n">
        <v>615.857</v>
      </c>
      <c r="E43" s="12" t="n">
        <v>515.388</v>
      </c>
      <c r="F43" s="12" t="n">
        <v>381</v>
      </c>
      <c r="G43" s="12" t="n">
        <v>465</v>
      </c>
      <c r="H43" s="12" t="n">
        <v>296</v>
      </c>
      <c r="I43" s="12" t="n">
        <v>-308</v>
      </c>
      <c r="J43" s="12" t="n">
        <v>134</v>
      </c>
      <c r="K43" s="12" t="n">
        <v>237</v>
      </c>
      <c r="L43" s="12" t="n">
        <v>439</v>
      </c>
      <c r="M43" s="12" t="n">
        <v>203</v>
      </c>
      <c r="N43" s="12" t="n">
        <v>470</v>
      </c>
      <c r="O43" s="11" t="n"/>
      <c r="P43" s="12" t="n"/>
      <c r="Q43" s="12" t="n"/>
      <c r="R43" s="12" t="n"/>
      <c r="S43" s="12" t="n">
        <v>2164.291</v>
      </c>
      <c r="T43" s="12" t="n">
        <v>2590.056</v>
      </c>
      <c r="U43" s="12" t="n">
        <v>2268.893</v>
      </c>
      <c r="V43" s="12" t="n">
        <v>2537.433</v>
      </c>
      <c r="W43" s="12" t="n">
        <v>834</v>
      </c>
      <c r="X43" s="12" t="n">
        <v>1013</v>
      </c>
      <c r="Y43" s="11">
        <f>IF(OR(Y19=""),"",IFERROR(Y19+N(Y35)-N(Y37)+N(Y39)-N(Y41),""))</f>
        <v/>
      </c>
      <c r="Z43" s="12">
        <f>IF(OR(Z19=""),"",IFERROR(Z19+N(Z35)-N(Z37)+N(Z39)-N(Z41),""))</f>
        <v/>
      </c>
      <c r="AA43" s="12">
        <f>IF(OR(AA19=""),"",IFERROR(AA19+N(AA35)-N(AA37)+N(AA39)-N(AA41),""))</f>
        <v/>
      </c>
      <c r="AB43" s="12">
        <f>IF(OR(AB19=""),"",IFERROR(AB19+N(AB35)-N(AB37)+N(AB39)-N(AB41),""))</f>
        <v/>
      </c>
      <c r="AC43" s="12">
        <f>IF(OR(AC19=""),"",IFERROR(AC19+N(AC35)-N(AC37)+N(AC39)-N(AC41),""))</f>
        <v/>
      </c>
    </row>
    <row r="44">
      <c r="A44" s="15" t="inlineStr">
        <is>
          <t>YoY</t>
        </is>
      </c>
      <c r="B44" s="10" t="n"/>
      <c r="C44" s="16" t="n"/>
      <c r="D44" s="17" t="n"/>
      <c r="E44" s="17" t="n"/>
      <c r="F44" s="17" t="n"/>
      <c r="G44" s="17">
        <f>IF(OR(G43="",C43=""),"",IF(C43&lt;=0,"",IFERROR(G43/C43-1,"")))</f>
        <v/>
      </c>
      <c r="H44" s="17">
        <f>IF(OR(H43="",D43=""),"",IF(D43&lt;=0,"",IFERROR(H43/D43-1,"")))</f>
        <v/>
      </c>
      <c r="I44" s="17">
        <f>IF(OR(I43="",E43=""),"",IF(E43&lt;=0,"",IFERROR(I43/E43-1,"")))</f>
        <v/>
      </c>
      <c r="J44" s="17">
        <f>IF(OR(J43="",F43=""),"",IF(F43&lt;=0,"",IFERROR(J43/F43-1,"")))</f>
        <v/>
      </c>
      <c r="K44" s="17">
        <f>IF(OR(K43="",G43=""),"",IF(G43&lt;=0,"",IFERROR(K43/G43-1,"")))</f>
        <v/>
      </c>
      <c r="L44" s="17">
        <f>IF(OR(L43="",H43=""),"",IF(H43&lt;=0,"",IFERROR(L43/H43-1,"")))</f>
        <v/>
      </c>
      <c r="M44" s="17">
        <f>IF(OR(M43="",I43=""),"",IF(I43&lt;=0,"",IFERROR(M43/I43-1,"")))</f>
        <v/>
      </c>
      <c r="N44" s="17">
        <f>IF(OR(N43="",J43=""),"",IF(J43&lt;=0,"",IFERROR(N43/J43-1,"")))</f>
        <v/>
      </c>
      <c r="O44" s="16" t="n"/>
      <c r="P44" s="17">
        <f>IF(OR(P43="",O43=""),"",IF(O43&lt;=0,"",IFERROR(P43/O43-1,"")))</f>
        <v/>
      </c>
      <c r="Q44" s="17">
        <f>IF(OR(Q43="",P43=""),"",IF(P43&lt;=0,"",IFERROR(Q43/P43-1,"")))</f>
        <v/>
      </c>
      <c r="R44" s="17">
        <f>IF(OR(R43="",Q43=""),"",IF(Q43&lt;=0,"",IFERROR(R43/Q43-1,"")))</f>
        <v/>
      </c>
      <c r="S44" s="17">
        <f>IF(OR(S43="",R43=""),"",IF(R43&lt;=0,"",IFERROR(S43/R43-1,"")))</f>
        <v/>
      </c>
      <c r="T44" s="17">
        <f>IF(OR(T43="",S43=""),"",IF(S43&lt;=0,"",IFERROR(T43/S43-1,"")))</f>
        <v/>
      </c>
      <c r="U44" s="17">
        <f>IF(OR(U43="",T43=""),"",IF(T43&lt;=0,"",IFERROR(U43/T43-1,"")))</f>
        <v/>
      </c>
      <c r="V44" s="17">
        <f>IF(OR(V43="",U43=""),"",IF(U43&lt;=0,"",IFERROR(V43/U43-1,"")))</f>
        <v/>
      </c>
      <c r="W44" s="17">
        <f>IF(OR(W43="",V43=""),"",IF(V43&lt;=0,"",IFERROR(W43/V43-1,"")))</f>
        <v/>
      </c>
      <c r="X44" s="17">
        <f>IF(OR(X43="",W43=""),"",IF(W43&lt;=0,"",IFERROR(X43/W43-1,"")))</f>
        <v/>
      </c>
      <c r="Y44" s="16">
        <f>IF(OR(Y43="",X43=""),"",IF(X43&lt;=0,"",IFERROR(Y43/X43-1,"")))</f>
        <v/>
      </c>
      <c r="Z44" s="17">
        <f>IF(OR(Z43="",Y43=""),"",IF(Y43&lt;=0,"",IFERROR(Z43/Y43-1,"")))</f>
        <v/>
      </c>
      <c r="AA44" s="17">
        <f>IF(OR(AA43="",Z43=""),"",IF(Z43&lt;=0,"",IFERROR(AA43/Z43-1,"")))</f>
        <v/>
      </c>
      <c r="AB44" s="17">
        <f>IF(OR(AB43="",AA43=""),"",IF(AA43&lt;=0,"",IFERROR(AB43/AA43-1,"")))</f>
        <v/>
      </c>
      <c r="AC44" s="17">
        <f>IF(OR(AC43="",AB43=""),"",IF(AB43&lt;=0,"",IFERROR(AC43/AB43-1,"")))</f>
        <v/>
      </c>
    </row>
    <row r="45">
      <c r="A45" s="20" t="inlineStr">
        <is>
          <t>법인세비용(수익)</t>
        </is>
      </c>
      <c r="B45" s="10" t="n"/>
      <c r="C45" s="21" t="n">
        <v>241.873</v>
      </c>
      <c r="D45" s="22" t="n">
        <v>197.387</v>
      </c>
      <c r="E45" s="22" t="n">
        <v>58.819</v>
      </c>
      <c r="F45" s="22" t="n">
        <v>123</v>
      </c>
      <c r="G45" s="22" t="n">
        <v>163</v>
      </c>
      <c r="H45" s="22" t="n">
        <v>102</v>
      </c>
      <c r="I45" s="22" t="n">
        <v>-16</v>
      </c>
      <c r="J45" s="22" t="n">
        <v>45</v>
      </c>
      <c r="K45" s="22" t="n">
        <v>90</v>
      </c>
      <c r="L45" s="22" t="n">
        <v>146</v>
      </c>
      <c r="M45" s="22" t="n">
        <v>157</v>
      </c>
      <c r="N45" s="22" t="n">
        <v>162</v>
      </c>
      <c r="O45" s="21" t="n"/>
      <c r="P45" s="22" t="n"/>
      <c r="Q45" s="22" t="n"/>
      <c r="R45" s="22" t="n"/>
      <c r="S45" s="22" t="n">
        <v>502.088</v>
      </c>
      <c r="T45" s="22" t="n">
        <v>813.165</v>
      </c>
      <c r="U45" s="22" t="n">
        <v>590.713</v>
      </c>
      <c r="V45" s="22" t="n">
        <v>704.206</v>
      </c>
      <c r="W45" s="22" t="n">
        <v>372</v>
      </c>
      <c r="X45" s="22" t="n">
        <v>438</v>
      </c>
      <c r="Y45" s="21">
        <f>IF(OR(Y43="",Y46=""),"",IFERROR(MAX(Y43,0)*Y46,""))</f>
        <v/>
      </c>
      <c r="Z45" s="22">
        <f>IF(OR(Z43="",Z46=""),"",IFERROR(MAX(Z43,0)*Z46,""))</f>
        <v/>
      </c>
      <c r="AA45" s="22">
        <f>IF(OR(AA43="",AA46=""),"",IFERROR(MAX(AA43,0)*AA46,""))</f>
        <v/>
      </c>
      <c r="AB45" s="22">
        <f>IF(OR(AB43="",AB46=""),"",IFERROR(MAX(AB43,0)*AB46,""))</f>
        <v/>
      </c>
      <c r="AC45" s="22">
        <f>IF(OR(AC43="",AC46=""),"",IFERROR(MAX(AC43,0)*AC46,""))</f>
        <v/>
      </c>
    </row>
    <row r="46">
      <c r="A46" s="15" t="inlineStr">
        <is>
          <t>법인세율</t>
        </is>
      </c>
      <c r="B46" s="10" t="inlineStr">
        <is>
          <t>MW 기본 30%</t>
        </is>
      </c>
      <c r="C46" s="16">
        <f>IF(OR(C45="",C43=""),"",IFERROR(C45/C43,""))</f>
        <v/>
      </c>
      <c r="D46" s="17">
        <f>IF(OR(D45="",D43=""),"",IFERROR(D45/D43,""))</f>
        <v/>
      </c>
      <c r="E46" s="17">
        <f>IF(OR(E45="",E43=""),"",IFERROR(E45/E43,""))</f>
        <v/>
      </c>
      <c r="F46" s="17">
        <f>IF(OR(F45="",F43=""),"",IFERROR(F45/F43,""))</f>
        <v/>
      </c>
      <c r="G46" s="17">
        <f>IF(OR(G45="",G43=""),"",IFERROR(G45/G43,""))</f>
        <v/>
      </c>
      <c r="H46" s="17">
        <f>IF(OR(H45="",H43=""),"",IFERROR(H45/H43,""))</f>
        <v/>
      </c>
      <c r="I46" s="17">
        <f>IF(OR(I45="",I43=""),"",IFERROR(I45/I43,""))</f>
        <v/>
      </c>
      <c r="J46" s="17">
        <f>IF(OR(J45="",J43=""),"",IFERROR(J45/J43,""))</f>
        <v/>
      </c>
      <c r="K46" s="17">
        <f>IF(OR(K45="",K43=""),"",IFERROR(K45/K43,""))</f>
        <v/>
      </c>
      <c r="L46" s="17">
        <f>IF(OR(L45="",L43=""),"",IFERROR(L45/L43,""))</f>
        <v/>
      </c>
      <c r="M46" s="17">
        <f>IF(OR(M45="",M43=""),"",IFERROR(M45/M43,""))</f>
        <v/>
      </c>
      <c r="N46" s="17">
        <f>IF(OR(N45="",N43=""),"",IFERROR(N45/N43,""))</f>
        <v/>
      </c>
      <c r="O46" s="16">
        <f>IF(OR(O45="",O43=""),"",IFERROR(O45/O43,""))</f>
        <v/>
      </c>
      <c r="P46" s="17">
        <f>IF(OR(P45="",P43=""),"",IFERROR(P45/P43,""))</f>
        <v/>
      </c>
      <c r="Q46" s="17">
        <f>IF(OR(Q45="",Q43=""),"",IFERROR(Q45/Q43,""))</f>
        <v/>
      </c>
      <c r="R46" s="17">
        <f>IF(OR(R45="",R43=""),"",IFERROR(R45/R43,""))</f>
        <v/>
      </c>
      <c r="S46" s="17">
        <f>IF(OR(S45="",S43=""),"",IFERROR(S45/S43,""))</f>
        <v/>
      </c>
      <c r="T46" s="17">
        <f>IF(OR(T45="",T43=""),"",IFERROR(T45/T43,""))</f>
        <v/>
      </c>
      <c r="U46" s="17">
        <f>IF(OR(U45="",U43=""),"",IFERROR(U45/U43,""))</f>
        <v/>
      </c>
      <c r="V46" s="17">
        <f>IF(OR(V45="",V43=""),"",IFERROR(V45/V43,""))</f>
        <v/>
      </c>
      <c r="W46" s="17">
        <f>IF(OR(W45="",W43=""),"",IFERROR(W45/W43,""))</f>
        <v/>
      </c>
      <c r="X46" s="17">
        <f>IF(OR(X45="",X43=""),"",IFERROR(X45/X43,""))</f>
        <v/>
      </c>
      <c r="Y46" s="27" t="n">
        <v>0.3</v>
      </c>
      <c r="Z46" s="28" t="n">
        <v>0.3</v>
      </c>
      <c r="AA46" s="28" t="n">
        <v>0.3</v>
      </c>
      <c r="AB46" s="28" t="n">
        <v>0.3</v>
      </c>
      <c r="AC46" s="28" t="n">
        <v>0.3</v>
      </c>
    </row>
    <row r="47">
      <c r="A47" s="9" t="inlineStr">
        <is>
          <t>당기순이익(손실)</t>
        </is>
      </c>
      <c r="B47" s="10" t="n"/>
      <c r="C47" s="11" t="n">
        <v>517.2190000000001</v>
      </c>
      <c r="D47" s="12" t="n">
        <v>418.47</v>
      </c>
      <c r="E47" s="12" t="n">
        <v>456.569</v>
      </c>
      <c r="F47" s="12" t="n">
        <v>257</v>
      </c>
      <c r="G47" s="12" t="n">
        <v>303</v>
      </c>
      <c r="H47" s="12" t="n">
        <v>193</v>
      </c>
      <c r="I47" s="12" t="n">
        <v>-292</v>
      </c>
      <c r="J47" s="12" t="n">
        <v>88</v>
      </c>
      <c r="K47" s="12" t="n">
        <v>147</v>
      </c>
      <c r="L47" s="12" t="n">
        <v>293</v>
      </c>
      <c r="M47" s="12" t="n">
        <v>46</v>
      </c>
      <c r="N47" s="12" t="n">
        <v>307</v>
      </c>
      <c r="O47" s="11" t="n"/>
      <c r="P47" s="12" t="n"/>
      <c r="Q47" s="12" t="n"/>
      <c r="R47" s="12" t="n"/>
      <c r="S47" s="12" t="n">
        <v>1662.203</v>
      </c>
      <c r="T47" s="12" t="n">
        <v>1776.891</v>
      </c>
      <c r="U47" s="12" t="n">
        <v>1678.18</v>
      </c>
      <c r="V47" s="12" t="n">
        <v>1833.227</v>
      </c>
      <c r="W47" s="12" t="n">
        <v>461</v>
      </c>
      <c r="X47" s="12" t="n">
        <v>574</v>
      </c>
      <c r="Y47" s="11">
        <f>IF(OR(Y43=""),"",IFERROR(Y43-Y45,""))</f>
        <v/>
      </c>
      <c r="Z47" s="12">
        <f>IF(OR(Z43=""),"",IFERROR(Z43-Z45,""))</f>
        <v/>
      </c>
      <c r="AA47" s="12">
        <f>IF(OR(AA43=""),"",IFERROR(AA43-AA45,""))</f>
        <v/>
      </c>
      <c r="AB47" s="12">
        <f>IF(OR(AB43=""),"",IFERROR(AB43-AB45,""))</f>
        <v/>
      </c>
      <c r="AC47" s="12">
        <f>IF(OR(AC43=""),"",IFERROR(AC43-AC45,""))</f>
        <v/>
      </c>
    </row>
    <row r="48">
      <c r="A48" s="15" t="inlineStr">
        <is>
          <t>YoY</t>
        </is>
      </c>
      <c r="B48" s="10" t="n"/>
      <c r="C48" s="16" t="n"/>
      <c r="D48" s="17" t="n"/>
      <c r="E48" s="17" t="n"/>
      <c r="F48" s="17" t="n"/>
      <c r="G48" s="17">
        <f>IF(OR(G47="",C47=""),"",IF(C47&lt;=0,"",IFERROR(G47/C47-1,"")))</f>
        <v/>
      </c>
      <c r="H48" s="17">
        <f>IF(OR(H47="",D47=""),"",IF(D47&lt;=0,"",IFERROR(H47/D47-1,"")))</f>
        <v/>
      </c>
      <c r="I48" s="17">
        <f>IF(OR(I47="",E47=""),"",IF(E47&lt;=0,"",IFERROR(I47/E47-1,"")))</f>
        <v/>
      </c>
      <c r="J48" s="17">
        <f>IF(OR(J47="",F47=""),"",IF(F47&lt;=0,"",IFERROR(J47/F47-1,"")))</f>
        <v/>
      </c>
      <c r="K48" s="17">
        <f>IF(OR(K47="",G47=""),"",IF(G47&lt;=0,"",IFERROR(K47/G47-1,"")))</f>
        <v/>
      </c>
      <c r="L48" s="17">
        <f>IF(OR(L47="",H47=""),"",IF(H47&lt;=0,"",IFERROR(L47/H47-1,"")))</f>
        <v/>
      </c>
      <c r="M48" s="17">
        <f>IF(OR(M47="",I47=""),"",IF(I47&lt;=0,"",IFERROR(M47/I47-1,"")))</f>
        <v/>
      </c>
      <c r="N48" s="17">
        <f>IF(OR(N47="",J47=""),"",IF(J47&lt;=0,"",IFERROR(N47/J47-1,"")))</f>
        <v/>
      </c>
      <c r="O48" s="16" t="n"/>
      <c r="P48" s="17">
        <f>IF(OR(P47="",O47=""),"",IF(O47&lt;=0,"",IFERROR(P47/O47-1,"")))</f>
        <v/>
      </c>
      <c r="Q48" s="17">
        <f>IF(OR(Q47="",P47=""),"",IF(P47&lt;=0,"",IFERROR(Q47/P47-1,"")))</f>
        <v/>
      </c>
      <c r="R48" s="17">
        <f>IF(OR(R47="",Q47=""),"",IF(Q47&lt;=0,"",IFERROR(R47/Q47-1,"")))</f>
        <v/>
      </c>
      <c r="S48" s="17">
        <f>IF(OR(S47="",R47=""),"",IF(R47&lt;=0,"",IFERROR(S47/R47-1,"")))</f>
        <v/>
      </c>
      <c r="T48" s="17">
        <f>IF(OR(T47="",S47=""),"",IF(S47&lt;=0,"",IFERROR(T47/S47-1,"")))</f>
        <v/>
      </c>
      <c r="U48" s="17">
        <f>IF(OR(U47="",T47=""),"",IF(T47&lt;=0,"",IFERROR(U47/T47-1,"")))</f>
        <v/>
      </c>
      <c r="V48" s="17">
        <f>IF(OR(V47="",U47=""),"",IF(U47&lt;=0,"",IFERROR(V47/U47-1,"")))</f>
        <v/>
      </c>
      <c r="W48" s="17">
        <f>IF(OR(W47="",V47=""),"",IF(V47&lt;=0,"",IFERROR(W47/V47-1,"")))</f>
        <v/>
      </c>
      <c r="X48" s="17">
        <f>IF(OR(X47="",W47=""),"",IF(W47&lt;=0,"",IFERROR(X47/W47-1,"")))</f>
        <v/>
      </c>
      <c r="Y48" s="16">
        <f>IF(OR(Y47="",X47=""),"",IF(X47&lt;=0,"",IFERROR(Y47/X47-1,"")))</f>
        <v/>
      </c>
      <c r="Z48" s="17">
        <f>IF(OR(Z47="",Y47=""),"",IF(Y47&lt;=0,"",IFERROR(Z47/Y47-1,"")))</f>
        <v/>
      </c>
      <c r="AA48" s="17">
        <f>IF(OR(AA47="",Z47=""),"",IF(Z47&lt;=0,"",IFERROR(AA47/Z47-1,"")))</f>
        <v/>
      </c>
      <c r="AB48" s="17">
        <f>IF(OR(AB47="",AA47=""),"",IF(AA47&lt;=0,"",IFERROR(AB47/AA47-1,"")))</f>
        <v/>
      </c>
      <c r="AC48" s="17">
        <f>IF(OR(AC47="",AB47=""),"",IF(AB47&lt;=0,"",IFERROR(AC47/AB47-1,"")))</f>
        <v/>
      </c>
    </row>
    <row r="49">
      <c r="A49" s="9" t="inlineStr">
        <is>
          <t>지배주주 순이익</t>
        </is>
      </c>
      <c r="B49" s="10" t="n"/>
      <c r="C49" s="11" t="n">
        <v>517.2190000000001</v>
      </c>
      <c r="D49" s="12" t="n">
        <v>418.47</v>
      </c>
      <c r="E49" s="12" t="n">
        <v>456.569</v>
      </c>
      <c r="F49" s="12" t="n">
        <v>257</v>
      </c>
      <c r="G49" s="12" t="n">
        <v>303</v>
      </c>
      <c r="H49" s="12" t="n">
        <v>188</v>
      </c>
      <c r="I49" s="12" t="n">
        <v>-296</v>
      </c>
      <c r="J49" s="12" t="n">
        <v>97</v>
      </c>
      <c r="K49" s="12" t="n">
        <v>148</v>
      </c>
      <c r="L49" s="12" t="n">
        <v>292</v>
      </c>
      <c r="M49" s="12" t="n">
        <v>42</v>
      </c>
      <c r="N49" s="12" t="n">
        <v>299</v>
      </c>
      <c r="O49" s="11" t="n"/>
      <c r="P49" s="12" t="n"/>
      <c r="Q49" s="12" t="n"/>
      <c r="R49" s="12" t="n"/>
      <c r="S49" s="12" t="n">
        <v>1655.401</v>
      </c>
      <c r="T49" s="12" t="n">
        <v>1776.891</v>
      </c>
      <c r="U49" s="12" t="n">
        <v>1678.18</v>
      </c>
      <c r="V49" s="12" t="n">
        <v>1833.227</v>
      </c>
      <c r="W49" s="12" t="n">
        <v>452</v>
      </c>
      <c r="X49" s="12" t="n">
        <v>579</v>
      </c>
      <c r="Y49" s="11">
        <f>IF(OR(Y47="",Y50=""),"",IFERROR(Y47*Y50,""))</f>
        <v/>
      </c>
      <c r="Z49" s="12">
        <f>IF(OR(Z47="",Z50=""),"",IFERROR(Z47*Z50,""))</f>
        <v/>
      </c>
      <c r="AA49" s="12">
        <f>IF(OR(AA47="",AA50=""),"",IFERROR(AA47*AA50,""))</f>
        <v/>
      </c>
      <c r="AB49" s="12">
        <f>IF(OR(AB47="",AB50=""),"",IFERROR(AB47*AB50,""))</f>
        <v/>
      </c>
      <c r="AC49" s="12">
        <f>IF(OR(AC47="",AC50=""),"",IFERROR(AC47*AC50,""))</f>
        <v/>
      </c>
    </row>
    <row r="50">
      <c r="A50" s="15" t="inlineStr">
        <is>
          <t>지배주주 순이익률</t>
        </is>
      </c>
      <c r="B50" s="10" t="inlineStr">
        <is>
          <t>MW 기본 100%</t>
        </is>
      </c>
      <c r="C50" s="16">
        <f>IF(OR(C49="",C47=""),"",IFERROR(C49/C47,""))</f>
        <v/>
      </c>
      <c r="D50" s="17">
        <f>IF(OR(D49="",D47=""),"",IFERROR(D49/D47,""))</f>
        <v/>
      </c>
      <c r="E50" s="17">
        <f>IF(OR(E49="",E47=""),"",IFERROR(E49/E47,""))</f>
        <v/>
      </c>
      <c r="F50" s="17">
        <f>IF(OR(F49="",F47=""),"",IFERROR(F49/F47,""))</f>
        <v/>
      </c>
      <c r="G50" s="17">
        <f>IF(OR(G49="",G47=""),"",IFERROR(G49/G47,""))</f>
        <v/>
      </c>
      <c r="H50" s="17">
        <f>IF(OR(H49="",H47=""),"",IFERROR(H49/H47,""))</f>
        <v/>
      </c>
      <c r="I50" s="17">
        <f>IF(OR(I49="",I47=""),"",IFERROR(I49/I47,""))</f>
        <v/>
      </c>
      <c r="J50" s="17">
        <f>IF(OR(J49="",J47=""),"",IFERROR(J49/J47,""))</f>
        <v/>
      </c>
      <c r="K50" s="17">
        <f>IF(OR(K49="",K47=""),"",IFERROR(K49/K47,""))</f>
        <v/>
      </c>
      <c r="L50" s="17">
        <f>IF(OR(L49="",L47=""),"",IFERROR(L49/L47,""))</f>
        <v/>
      </c>
      <c r="M50" s="17">
        <f>IF(OR(M49="",M47=""),"",IFERROR(M49/M47,""))</f>
        <v/>
      </c>
      <c r="N50" s="17">
        <f>IF(OR(N49="",N47=""),"",IFERROR(N49/N47,""))</f>
        <v/>
      </c>
      <c r="O50" s="16">
        <f>IF(OR(O49="",O47=""),"",IFERROR(O49/O47,""))</f>
        <v/>
      </c>
      <c r="P50" s="17">
        <f>IF(OR(P49="",P47=""),"",IFERROR(P49/P47,""))</f>
        <v/>
      </c>
      <c r="Q50" s="17">
        <f>IF(OR(Q49="",Q47=""),"",IFERROR(Q49/Q47,""))</f>
        <v/>
      </c>
      <c r="R50" s="17">
        <f>IF(OR(R49="",R47=""),"",IFERROR(R49/R47,""))</f>
        <v/>
      </c>
      <c r="S50" s="17">
        <f>IF(OR(S49="",S47=""),"",IFERROR(S49/S47,""))</f>
        <v/>
      </c>
      <c r="T50" s="17">
        <f>IF(OR(T49="",T47=""),"",IFERROR(T49/T47,""))</f>
        <v/>
      </c>
      <c r="U50" s="17">
        <f>IF(OR(U49="",U47=""),"",IFERROR(U49/U47,""))</f>
        <v/>
      </c>
      <c r="V50" s="17">
        <f>IF(OR(V49="",V47=""),"",IFERROR(V49/V47,""))</f>
        <v/>
      </c>
      <c r="W50" s="17">
        <f>IF(OR(W49="",W47=""),"",IFERROR(W49/W47,""))</f>
        <v/>
      </c>
      <c r="X50" s="17">
        <f>IF(OR(X49="",X47=""),"",IFERROR(X49/X47,""))</f>
        <v/>
      </c>
      <c r="Y50" s="27" t="n">
        <v>1</v>
      </c>
      <c r="Z50" s="28" t="n">
        <v>1</v>
      </c>
      <c r="AA50" s="28" t="n">
        <v>1</v>
      </c>
      <c r="AB50" s="28" t="n">
        <v>1</v>
      </c>
      <c r="AC50" s="28" t="n">
        <v>1</v>
      </c>
    </row>
    <row r="51">
      <c r="A51" s="15" t="inlineStr">
        <is>
          <t>지배주주 순이익 YoY</t>
        </is>
      </c>
      <c r="B51" s="10" t="n"/>
      <c r="C51" s="16" t="n"/>
      <c r="D51" s="17" t="n"/>
      <c r="E51" s="17" t="n"/>
      <c r="F51" s="17" t="n"/>
      <c r="G51" s="17">
        <f>IF(OR(G49="",C49=""),"",IF(C49&lt;=0,"",IFERROR(G49/C49-1,"")))</f>
        <v/>
      </c>
      <c r="H51" s="17">
        <f>IF(OR(H49="",D49=""),"",IF(D49&lt;=0,"",IFERROR(H49/D49-1,"")))</f>
        <v/>
      </c>
      <c r="I51" s="17">
        <f>IF(OR(I49="",E49=""),"",IF(E49&lt;=0,"",IFERROR(I49/E49-1,"")))</f>
        <v/>
      </c>
      <c r="J51" s="17">
        <f>IF(OR(J49="",F49=""),"",IF(F49&lt;=0,"",IFERROR(J49/F49-1,"")))</f>
        <v/>
      </c>
      <c r="K51" s="17">
        <f>IF(OR(K49="",G49=""),"",IF(G49&lt;=0,"",IFERROR(K49/G49-1,"")))</f>
        <v/>
      </c>
      <c r="L51" s="17">
        <f>IF(OR(L49="",H49=""),"",IF(H49&lt;=0,"",IFERROR(L49/H49-1,"")))</f>
        <v/>
      </c>
      <c r="M51" s="17">
        <f>IF(OR(M49="",I49=""),"",IF(I49&lt;=0,"",IFERROR(M49/I49-1,"")))</f>
        <v/>
      </c>
      <c r="N51" s="17">
        <f>IF(OR(N49="",J49=""),"",IF(J49&lt;=0,"",IFERROR(N49/J49-1,"")))</f>
        <v/>
      </c>
      <c r="O51" s="16" t="n"/>
      <c r="P51" s="17">
        <f>IF(OR(P49="",O49=""),"",IF(O49&lt;=0,"",IFERROR(P49/O49-1,"")))</f>
        <v/>
      </c>
      <c r="Q51" s="17">
        <f>IF(OR(Q49="",P49=""),"",IF(P49&lt;=0,"",IFERROR(Q49/P49-1,"")))</f>
        <v/>
      </c>
      <c r="R51" s="17">
        <f>IF(OR(R49="",Q49=""),"",IF(Q49&lt;=0,"",IFERROR(R49/Q49-1,"")))</f>
        <v/>
      </c>
      <c r="S51" s="17">
        <f>IF(OR(S49="",R49=""),"",IF(R49&lt;=0,"",IFERROR(S49/R49-1,"")))</f>
        <v/>
      </c>
      <c r="T51" s="17">
        <f>IF(OR(T49="",S49=""),"",IF(S49&lt;=0,"",IFERROR(T49/S49-1,"")))</f>
        <v/>
      </c>
      <c r="U51" s="17">
        <f>IF(OR(U49="",T49=""),"",IF(T49&lt;=0,"",IFERROR(U49/T49-1,"")))</f>
        <v/>
      </c>
      <c r="V51" s="17">
        <f>IF(OR(V49="",U49=""),"",IF(U49&lt;=0,"",IFERROR(V49/U49-1,"")))</f>
        <v/>
      </c>
      <c r="W51" s="17">
        <f>IF(OR(W49="",V49=""),"",IF(V49&lt;=0,"",IFERROR(W49/V49-1,"")))</f>
        <v/>
      </c>
      <c r="X51" s="17">
        <f>IF(OR(X49="",W49=""),"",IF(W49&lt;=0,"",IFERROR(X49/W49-1,"")))</f>
        <v/>
      </c>
      <c r="Y51" s="16">
        <f>IF(OR(Y49="",X49=""),"",IF(X49&lt;=0,"",IFERROR(Y49/X49-1,"")))</f>
        <v/>
      </c>
      <c r="Z51" s="17">
        <f>IF(OR(Z49="",Y49=""),"",IF(Y49&lt;=0,"",IFERROR(Z49/Y49-1,"")))</f>
        <v/>
      </c>
      <c r="AA51" s="17">
        <f>IF(OR(AA49="",Z49=""),"",IF(Z49&lt;=0,"",IFERROR(AA49/Z49-1,"")))</f>
        <v/>
      </c>
      <c r="AB51" s="17">
        <f>IF(OR(AB49="",AA49=""),"",IF(AA49&lt;=0,"",IFERROR(AB49/AA49-1,"")))</f>
        <v/>
      </c>
      <c r="AC51" s="17">
        <f>IF(OR(AC49="",AB49=""),"",IF(AB49&lt;=0,"",IFERROR(AC49/AB49-1,"")))</f>
        <v/>
      </c>
    </row>
    <row r="52">
      <c r="A52" s="18" t="inlineStr">
        <is>
          <t>목표주가 산출</t>
        </is>
      </c>
      <c r="B52" s="18" t="n"/>
      <c r="C52" s="19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9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9" t="n"/>
      <c r="Z52" s="18" t="n"/>
      <c r="AA52" s="18" t="n"/>
      <c r="AB52" s="18" t="n"/>
      <c r="AC52" s="18" t="n"/>
    </row>
    <row r="53">
      <c r="A53" s="20" t="inlineStr">
        <is>
          <t>현재 주가 (2026.10.28)</t>
        </is>
      </c>
      <c r="B53" s="29" t="n">
        <v>1611</v>
      </c>
      <c r="C53" s="30" t="n"/>
      <c r="D53" s="31" t="n"/>
      <c r="E53" s="31" t="n"/>
      <c r="F53" s="31" t="n"/>
      <c r="G53" s="31" t="n"/>
      <c r="H53" s="31" t="n"/>
      <c r="I53" s="31" t="n"/>
      <c r="J53" s="31" t="n"/>
      <c r="K53" s="31" t="n"/>
      <c r="L53" s="31" t="n"/>
      <c r="M53" s="31" t="n"/>
      <c r="N53" s="31" t="n"/>
      <c r="O53" s="30" t="n"/>
      <c r="P53" s="31" t="n"/>
      <c r="Q53" s="31" t="n"/>
      <c r="R53" s="31" t="n"/>
      <c r="S53" s="31" t="n"/>
      <c r="T53" s="31" t="n"/>
      <c r="U53" s="31" t="n"/>
      <c r="V53" s="31" t="n"/>
      <c r="W53" s="31" t="n"/>
      <c r="X53" s="31" t="n"/>
      <c r="Y53" s="30" t="n"/>
      <c r="Z53" s="31" t="n"/>
      <c r="AA53" s="31" t="n"/>
      <c r="AB53" s="31" t="n"/>
      <c r="AC53" s="31" t="n"/>
    </row>
    <row r="54">
      <c r="A54" s="20" t="inlineStr">
        <is>
          <t>발행주식수 (보통주)</t>
        </is>
      </c>
      <c r="B54" s="29" t="n">
        <v>14378200</v>
      </c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 t="n"/>
      <c r="P54" s="31" t="n"/>
      <c r="Q54" s="31" t="n"/>
      <c r="R54" s="31" t="n"/>
      <c r="S54" s="31" t="n"/>
      <c r="T54" s="31" t="n"/>
      <c r="U54" s="31" t="n"/>
      <c r="V54" s="31" t="n"/>
      <c r="W54" s="31" t="n"/>
      <c r="X54" s="31" t="n"/>
      <c r="Y54" s="30" t="n"/>
      <c r="Z54" s="31" t="n"/>
      <c r="AA54" s="31" t="n"/>
      <c r="AB54" s="31" t="n"/>
      <c r="AC54" s="31" t="n"/>
    </row>
    <row r="55">
      <c r="A55" s="20" t="inlineStr">
        <is>
          <t>시가총액 (백만엔)</t>
        </is>
      </c>
      <c r="B55" s="12">
        <f>IF(OR(B53="",B54=""),"",B53*B54/1000000.0)</f>
        <v/>
      </c>
      <c r="C55" s="21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1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1" t="n"/>
      <c r="Z55" s="22" t="n"/>
      <c r="AA55" s="22" t="n"/>
      <c r="AB55" s="22" t="n"/>
      <c r="AC55" s="22" t="n"/>
    </row>
    <row r="56">
      <c r="A56" s="15" t="inlineStr">
        <is>
          <t>OPM</t>
        </is>
      </c>
      <c r="B56" s="10" t="n"/>
      <c r="C56" s="16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6">
        <f>IF(O20="","",O20)</f>
        <v/>
      </c>
      <c r="P56" s="17">
        <f>IF(P20="","",P20)</f>
        <v/>
      </c>
      <c r="Q56" s="17">
        <f>IF(Q20="","",Q20)</f>
        <v/>
      </c>
      <c r="R56" s="17">
        <f>IF(R20="","",R20)</f>
        <v/>
      </c>
      <c r="S56" s="17">
        <f>IF(S20="","",S20)</f>
        <v/>
      </c>
      <c r="T56" s="17">
        <f>IF(T20="","",T20)</f>
        <v/>
      </c>
      <c r="U56" s="17">
        <f>IF(U20="","",U20)</f>
        <v/>
      </c>
      <c r="V56" s="17">
        <f>IF(V20="","",V20)</f>
        <v/>
      </c>
      <c r="W56" s="17">
        <f>IF(W20="","",W20)</f>
        <v/>
      </c>
      <c r="X56" s="17">
        <f>IF(X20="","",X20)</f>
        <v/>
      </c>
      <c r="Y56" s="16">
        <f>IF(Y20="","",Y20)</f>
        <v/>
      </c>
      <c r="Z56" s="17">
        <f>IF(Z20="","",Z20)</f>
        <v/>
      </c>
      <c r="AA56" s="17">
        <f>IF(AA20="","",AA20)</f>
        <v/>
      </c>
      <c r="AB56" s="17">
        <f>IF(AB20="","",AB20)</f>
        <v/>
      </c>
      <c r="AC56" s="17">
        <f>IF(AC20="","",AC20)</f>
        <v/>
      </c>
    </row>
    <row r="57">
      <c r="A57" s="15" t="inlineStr">
        <is>
          <t>지배주주 순이익 증가율</t>
        </is>
      </c>
      <c r="B57" s="10" t="n"/>
      <c r="C57" s="16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6" t="n"/>
      <c r="P57" s="17">
        <f>IF(OR(P49="",O49=""),"",IFERROR(P49/O49-1,""))</f>
        <v/>
      </c>
      <c r="Q57" s="17">
        <f>IF(OR(Q49="",P49=""),"",IFERROR(Q49/P49-1,""))</f>
        <v/>
      </c>
      <c r="R57" s="17">
        <f>IF(OR(R49="",Q49=""),"",IFERROR(R49/Q49-1,""))</f>
        <v/>
      </c>
      <c r="S57" s="17">
        <f>IF(OR(S49="",R49=""),"",IFERROR(S49/R49-1,""))</f>
        <v/>
      </c>
      <c r="T57" s="17">
        <f>IF(OR(T49="",S49=""),"",IFERROR(T49/S49-1,""))</f>
        <v/>
      </c>
      <c r="U57" s="17">
        <f>IF(OR(U49="",T49=""),"",IFERROR(U49/T49-1,""))</f>
        <v/>
      </c>
      <c r="V57" s="17">
        <f>IF(OR(V49="",U49=""),"",IFERROR(V49/U49-1,""))</f>
        <v/>
      </c>
      <c r="W57" s="17">
        <f>IF(OR(W49="",V49=""),"",IFERROR(W49/V49-1,""))</f>
        <v/>
      </c>
      <c r="X57" s="17">
        <f>IF(OR(X49="",W49=""),"",IFERROR(X49/W49-1,""))</f>
        <v/>
      </c>
      <c r="Y57" s="16">
        <f>IF(OR(Y49="",X49=""),"",IFERROR(Y49/X49-1,""))</f>
        <v/>
      </c>
      <c r="Z57" s="17">
        <f>IF(OR(Z49="",Y49=""),"",IFERROR(Z49/Y49-1,""))</f>
        <v/>
      </c>
      <c r="AA57" s="17">
        <f>IF(OR(AA49="",Z49=""),"",IFERROR(AA49/Z49-1,""))</f>
        <v/>
      </c>
      <c r="AB57" s="17">
        <f>IF(OR(AB49="",AA49=""),"",IFERROR(AB49/AA49-1,""))</f>
        <v/>
      </c>
      <c r="AC57" s="17">
        <f>IF(OR(AC49="",AB49=""),"",IFERROR(AC49/AB49-1,""))</f>
        <v/>
      </c>
    </row>
    <row r="58">
      <c r="A58" s="20" t="inlineStr">
        <is>
          <t>P/E (현재 주가)</t>
        </is>
      </c>
      <c r="B58" s="10" t="inlineStr">
        <is>
          <t>시총 ÷ 지배순이익</t>
        </is>
      </c>
      <c r="C58" s="32" t="n"/>
      <c r="D58" s="33" t="n"/>
      <c r="E58" s="33" t="n"/>
      <c r="F58" s="33" t="n"/>
      <c r="G58" s="33" t="n"/>
      <c r="H58" s="33" t="n"/>
      <c r="I58" s="33" t="n"/>
      <c r="J58" s="33" t="n"/>
      <c r="K58" s="33" t="n"/>
      <c r="L58" s="33" t="n"/>
      <c r="M58" s="33" t="n"/>
      <c r="N58" s="33" t="n"/>
      <c r="O58" s="32" t="n"/>
      <c r="P58" s="33" t="n"/>
      <c r="Q58" s="33" t="n"/>
      <c r="R58" s="33" t="n"/>
      <c r="S58" s="33" t="n"/>
      <c r="T58" s="33" t="n"/>
      <c r="U58" s="33" t="n"/>
      <c r="V58" s="33" t="n"/>
      <c r="W58" s="33" t="n"/>
      <c r="X58" s="33">
        <f>IF(OR($B$55="",X49=""),"",IFERROR($B$55/X49,""))</f>
        <v/>
      </c>
      <c r="Y58" s="32">
        <f>IF(OR($B$55="",Y49=""),"",IFERROR($B$55/Y49,""))</f>
        <v/>
      </c>
      <c r="Z58" s="33">
        <f>IF(OR($B$55="",Z49=""),"",IFERROR($B$55/Z49,""))</f>
        <v/>
      </c>
      <c r="AA58" s="33">
        <f>IF(OR($B$55="",AA49=""),"",IFERROR($B$55/AA49,""))</f>
        <v/>
      </c>
      <c r="AB58" s="33">
        <f>IF(OR($B$55="",AB49=""),"",IFERROR($B$55/AB49,""))</f>
        <v/>
      </c>
      <c r="AC58" s="33">
        <f>IF(OR($B$55="",AC49=""),"",IFERROR($B$55/AC49,""))</f>
        <v/>
      </c>
    </row>
    <row r="59">
      <c r="A59" s="20" t="inlineStr">
        <is>
          <t>Target P/E</t>
        </is>
      </c>
      <c r="B59" s="10" t="inlineStr">
        <is>
          <t>직접 입력</t>
        </is>
      </c>
      <c r="C59" s="32" t="n"/>
      <c r="D59" s="33" t="n"/>
      <c r="E59" s="33" t="n"/>
      <c r="F59" s="33" t="n"/>
      <c r="G59" s="33" t="n"/>
      <c r="H59" s="33" t="n"/>
      <c r="I59" s="33" t="n"/>
      <c r="J59" s="33" t="n"/>
      <c r="K59" s="33" t="n"/>
      <c r="L59" s="33" t="n"/>
      <c r="M59" s="33" t="n"/>
      <c r="N59" s="33" t="n"/>
      <c r="O59" s="32" t="n"/>
      <c r="P59" s="33" t="n"/>
      <c r="Q59" s="33" t="n"/>
      <c r="R59" s="33" t="n"/>
      <c r="S59" s="33" t="n"/>
      <c r="T59" s="33" t="n"/>
      <c r="U59" s="33" t="n"/>
      <c r="V59" s="33" t="n"/>
      <c r="W59" s="33" t="n"/>
      <c r="X59" s="33" t="n"/>
      <c r="Y59" s="34" t="n"/>
      <c r="Z59" s="35" t="n"/>
      <c r="AA59" s="35" t="n"/>
      <c r="AB59" s="35" t="n"/>
      <c r="AC59" s="35" t="n"/>
    </row>
    <row r="60">
      <c r="A60" s="20" t="inlineStr">
        <is>
          <t>EPS</t>
        </is>
      </c>
      <c r="B60" s="10" t="inlineStr">
        <is>
          <t>지배순이익 ÷ 주식수</t>
        </is>
      </c>
      <c r="C60" s="30" t="n"/>
      <c r="D60" s="31" t="n"/>
      <c r="E60" s="31" t="n"/>
      <c r="F60" s="31" t="n"/>
      <c r="G60" s="31" t="n"/>
      <c r="H60" s="31" t="n"/>
      <c r="I60" s="31" t="n"/>
      <c r="J60" s="31" t="n"/>
      <c r="K60" s="31" t="n"/>
      <c r="L60" s="31" t="n"/>
      <c r="M60" s="31" t="n"/>
      <c r="N60" s="31" t="n"/>
      <c r="O60" s="30">
        <f>IF(OR(O49="",$B$54=""),"",IFERROR(O49*1000000.0/$B$54,""))</f>
        <v/>
      </c>
      <c r="P60" s="31">
        <f>IF(OR(P49="",$B$54=""),"",IFERROR(P49*1000000.0/$B$54,""))</f>
        <v/>
      </c>
      <c r="Q60" s="31">
        <f>IF(OR(Q49="",$B$54=""),"",IFERROR(Q49*1000000.0/$B$54,""))</f>
        <v/>
      </c>
      <c r="R60" s="31">
        <f>IF(OR(R49="",$B$54=""),"",IFERROR(R49*1000000.0/$B$54,""))</f>
        <v/>
      </c>
      <c r="S60" s="31">
        <f>IF(OR(S49="",$B$54=""),"",IFERROR(S49*1000000.0/$B$54,""))</f>
        <v/>
      </c>
      <c r="T60" s="31">
        <f>IF(OR(T49="",$B$54=""),"",IFERROR(T49*1000000.0/$B$54,""))</f>
        <v/>
      </c>
      <c r="U60" s="31">
        <f>IF(OR(U49="",$B$54=""),"",IFERROR(U49*1000000.0/$B$54,""))</f>
        <v/>
      </c>
      <c r="V60" s="31">
        <f>IF(OR(V49="",$B$54=""),"",IFERROR(V49*1000000.0/$B$54,""))</f>
        <v/>
      </c>
      <c r="W60" s="31">
        <f>IF(OR(W49="",$B$54=""),"",IFERROR(W49*1000000.0/$B$54,""))</f>
        <v/>
      </c>
      <c r="X60" s="31">
        <f>IF(OR(X49="",$B$54=""),"",IFERROR(X49*1000000.0/$B$54,""))</f>
        <v/>
      </c>
      <c r="Y60" s="30">
        <f>IF(OR(Y49="",$B$54=""),"",IFERROR(Y49*1000000.0/$B$54,""))</f>
        <v/>
      </c>
      <c r="Z60" s="31">
        <f>IF(OR(Z49="",$B$54=""),"",IFERROR(Z49*1000000.0/$B$54,""))</f>
        <v/>
      </c>
      <c r="AA60" s="31">
        <f>IF(OR(AA49="",$B$54=""),"",IFERROR(AA49*1000000.0/$B$54,""))</f>
        <v/>
      </c>
      <c r="AB60" s="31">
        <f>IF(OR(AB49="",$B$54=""),"",IFERROR(AB49*1000000.0/$B$54,""))</f>
        <v/>
      </c>
      <c r="AC60" s="31">
        <f>IF(OR(AC49="",$B$54=""),"",IFERROR(AC49*1000000.0/$B$54,""))</f>
        <v/>
      </c>
    </row>
    <row r="61">
      <c r="A61" s="9" t="inlineStr">
        <is>
          <t>목표주가</t>
        </is>
      </c>
      <c r="B61" s="10" t="n"/>
      <c r="C61" s="36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36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36">
        <f>IF(OR(Y60="",Y59=""),"",IFERROR(Y60*Y59,""))</f>
        <v/>
      </c>
      <c r="Z61" s="29">
        <f>IF(OR(Z60="",Z59=""),"",IFERROR(Z60*Z59,""))</f>
        <v/>
      </c>
      <c r="AA61" s="29">
        <f>IF(OR(AA60="",AA59=""),"",IFERROR(AA60*AA59,""))</f>
        <v/>
      </c>
      <c r="AB61" s="29">
        <f>IF(OR(AB60="",AB59=""),"",IFERROR(AB60*AB59,""))</f>
        <v/>
      </c>
      <c r="AC61" s="29">
        <f>IF(OR(AC60="",AC59=""),"",IFERROR(AC60*AC59,""))</f>
        <v/>
      </c>
    </row>
    <row r="62">
      <c r="A62" s="20" t="inlineStr">
        <is>
          <t>상승여력</t>
        </is>
      </c>
      <c r="B62" s="10" t="n"/>
      <c r="C62" s="37" t="n"/>
      <c r="D62" s="38" t="n"/>
      <c r="E62" s="38" t="n"/>
      <c r="F62" s="38" t="n"/>
      <c r="G62" s="38" t="n"/>
      <c r="H62" s="38" t="n"/>
      <c r="I62" s="38" t="n"/>
      <c r="J62" s="38" t="n"/>
      <c r="K62" s="38" t="n"/>
      <c r="L62" s="38" t="n"/>
      <c r="M62" s="38" t="n"/>
      <c r="N62" s="38" t="n"/>
      <c r="O62" s="37" t="n"/>
      <c r="P62" s="38" t="n"/>
      <c r="Q62" s="38" t="n"/>
      <c r="R62" s="38" t="n"/>
      <c r="S62" s="38" t="n"/>
      <c r="T62" s="38" t="n"/>
      <c r="U62" s="38" t="n"/>
      <c r="V62" s="38" t="n"/>
      <c r="W62" s="38" t="n"/>
      <c r="X62" s="38" t="n"/>
      <c r="Y62" s="39">
        <f>IF(OR(Y61="",$B$53=""),"",IFERROR(Y61/$B$53-1,""))</f>
        <v/>
      </c>
      <c r="Z62" s="40">
        <f>IF(OR(Z61="",$B$53=""),"",IFERROR(Z61/$B$53-1,""))</f>
        <v/>
      </c>
      <c r="AA62" s="40">
        <f>IF(OR(AA61="",$B$53=""),"",IFERROR(AA61/$B$53-1,""))</f>
        <v/>
      </c>
      <c r="AB62" s="40">
        <f>IF(OR(AB61="",$B$53=""),"",IFERROR(AB61/$B$53-1,""))</f>
        <v/>
      </c>
      <c r="AC62" s="40">
        <f>IF(OR(AC61="",$B$53=""),"",IFERROR(AC61/$B$53-1,""))</f>
        <v/>
      </c>
    </row>
    <row r="63">
      <c r="A63" s="18" t="inlineStr">
        <is>
          <t>자산가치 산출</t>
        </is>
      </c>
      <c r="B63" s="18" t="inlineStr">
        <is>
          <t>최신 분기 BS</t>
        </is>
      </c>
      <c r="C63" s="19" t="n"/>
      <c r="D63" s="18" t="n"/>
      <c r="E63" s="18" t="n"/>
      <c r="F63" s="18" t="n"/>
      <c r="G63" s="18" t="n"/>
      <c r="H63" s="18" t="n"/>
      <c r="I63" s="18" t="n"/>
      <c r="J63" s="18" t="n"/>
      <c r="K63" s="18" t="n"/>
      <c r="L63" s="18" t="n"/>
      <c r="M63" s="18" t="n"/>
      <c r="N63" s="18" t="n"/>
      <c r="O63" s="19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9" t="n"/>
      <c r="Z63" s="18" t="n"/>
      <c r="AA63" s="18" t="n"/>
      <c r="AB63" s="18" t="n"/>
      <c r="AC63" s="18" t="n"/>
    </row>
    <row r="64">
      <c r="A64" s="20" t="inlineStr">
        <is>
          <t>현금및현금성자산</t>
        </is>
      </c>
      <c r="B64" s="10" t="n"/>
      <c r="C64" s="21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1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>
        <f>'재무상태표'!G6</f>
        <v/>
      </c>
      <c r="Y64" s="21">
        <f>'재무상태표'!G6</f>
        <v/>
      </c>
      <c r="Z64" s="22">
        <f>'재무상태표'!G6</f>
        <v/>
      </c>
      <c r="AA64" s="22">
        <f>'재무상태표'!G6</f>
        <v/>
      </c>
      <c r="AB64" s="22">
        <f>'재무상태표'!G6</f>
        <v/>
      </c>
      <c r="AC64" s="22">
        <f>'재무상태표'!G6</f>
        <v/>
      </c>
    </row>
    <row r="65">
      <c r="A65" s="20" t="inlineStr">
        <is>
          <t>단기금융상품</t>
        </is>
      </c>
      <c r="B65" s="10" t="n"/>
      <c r="C65" s="21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1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>
        <f>'재무상태표'!G7</f>
        <v/>
      </c>
      <c r="Y65" s="21">
        <f>'재무상태표'!G7</f>
        <v/>
      </c>
      <c r="Z65" s="22">
        <f>'재무상태표'!G7</f>
        <v/>
      </c>
      <c r="AA65" s="22">
        <f>'재무상태표'!G7</f>
        <v/>
      </c>
      <c r="AB65" s="22">
        <f>'재무상태표'!G7</f>
        <v/>
      </c>
      <c r="AC65" s="22">
        <f>'재무상태표'!G7</f>
        <v/>
      </c>
    </row>
    <row r="66">
      <c r="A66" s="20" t="inlineStr">
        <is>
          <t>투자부동산</t>
        </is>
      </c>
      <c r="B66" s="10" t="n"/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>
        <f>'재무상태표'!G14</f>
        <v/>
      </c>
      <c r="Y66" s="21">
        <f>'재무상태표'!G14</f>
        <v/>
      </c>
      <c r="Z66" s="22">
        <f>'재무상태표'!G14</f>
        <v/>
      </c>
      <c r="AA66" s="22">
        <f>'재무상태표'!G14</f>
        <v/>
      </c>
      <c r="AB66" s="22">
        <f>'재무상태표'!G14</f>
        <v/>
      </c>
      <c r="AC66" s="22">
        <f>'재무상태표'!G14</f>
        <v/>
      </c>
    </row>
    <row r="67">
      <c r="A67" s="20" t="inlineStr">
        <is>
          <t>지배자본</t>
        </is>
      </c>
      <c r="B67" s="10" t="n"/>
      <c r="C67" s="21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1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>
        <f>'재무상태표'!G31</f>
        <v/>
      </c>
      <c r="Y67" s="21">
        <f>'재무상태표'!G31</f>
        <v/>
      </c>
      <c r="Z67" s="22">
        <f>'재무상태표'!G31</f>
        <v/>
      </c>
      <c r="AA67" s="22">
        <f>'재무상태표'!G31</f>
        <v/>
      </c>
      <c r="AB67" s="22">
        <f>'재무상태표'!G31</f>
        <v/>
      </c>
      <c r="AC67" s="22">
        <f>'재무상태표'!G31</f>
        <v/>
      </c>
    </row>
    <row r="68">
      <c r="A68" s="20" t="inlineStr">
        <is>
          <t>부채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>
        <f>'재무상태표'!G27</f>
        <v/>
      </c>
      <c r="Y68" s="21">
        <f>'재무상태표'!G27</f>
        <v/>
      </c>
      <c r="Z68" s="22">
        <f>'재무상태표'!G27</f>
        <v/>
      </c>
      <c r="AA68" s="22">
        <f>'재무상태표'!G27</f>
        <v/>
      </c>
      <c r="AB68" s="22">
        <f>'재무상태표'!G27</f>
        <v/>
      </c>
      <c r="AC68" s="22">
        <f>'재무상태표'!G27</f>
        <v/>
      </c>
    </row>
    <row r="69">
      <c r="A69" s="15" t="inlineStr">
        <is>
          <t>부채비율</t>
        </is>
      </c>
      <c r="B69" s="10" t="n"/>
      <c r="C69" s="16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6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>
        <f>IF(OR(X68="",X67=""),"",IFERROR(X68/X67,""))</f>
        <v/>
      </c>
      <c r="Y69" s="16">
        <f>IF(OR(Y68="",Y67=""),"",IFERROR(Y68/Y67,""))</f>
        <v/>
      </c>
      <c r="Z69" s="17">
        <f>IF(OR(Z68="",Z67=""),"",IFERROR(Z68/Z67,""))</f>
        <v/>
      </c>
      <c r="AA69" s="17">
        <f>IF(OR(AA68="",AA67=""),"",IFERROR(AA68/AA67,""))</f>
        <v/>
      </c>
      <c r="AB69" s="17">
        <f>IF(OR(AB68="",AB67=""),"",IFERROR(AB68/AB67,""))</f>
        <v/>
      </c>
      <c r="AC69" s="17">
        <f>IF(OR(AC68="",AC67=""),"",IFERROR(AC68/AC67,""))</f>
        <v/>
      </c>
    </row>
    <row r="70">
      <c r="A70" s="9" t="inlineStr">
        <is>
          <t>자산가치</t>
        </is>
      </c>
      <c r="B70" s="10" t="inlineStr">
        <is>
          <t>현금+단기금융+투자부동산</t>
        </is>
      </c>
      <c r="C70" s="11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1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>
        <f>SUM(X64,X65,X66)</f>
        <v/>
      </c>
      <c r="Y70" s="11">
        <f>SUM(Y64,Y65,Y66)</f>
        <v/>
      </c>
      <c r="Z70" s="12">
        <f>SUM(Z64,Z65,Z66)</f>
        <v/>
      </c>
      <c r="AA70" s="12">
        <f>SUM(AA64,AA65,AA66)</f>
        <v/>
      </c>
      <c r="AB70" s="12">
        <f>SUM(AB64,AB65,AB66)</f>
        <v/>
      </c>
      <c r="AC70" s="12">
        <f>SUM(AC64,AC65,AC66)</f>
        <v/>
      </c>
    </row>
    <row r="71">
      <c r="A71" s="18" t="inlineStr">
        <is>
          <t>기업가치 산출</t>
        </is>
      </c>
      <c r="B71" s="18" t="n"/>
      <c r="C71" s="19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9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9" t="n"/>
      <c r="Z71" s="18" t="n"/>
      <c r="AA71" s="18" t="n"/>
      <c r="AB71" s="18" t="n"/>
      <c r="AC71" s="18" t="n"/>
    </row>
    <row r="72">
      <c r="A72" s="20" t="inlineStr">
        <is>
          <t>목표 시가총액 (P/E)</t>
        </is>
      </c>
      <c r="B72" s="10" t="inlineStr">
        <is>
          <t>지배순이익 × Target P/E</t>
        </is>
      </c>
      <c r="C72" s="21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1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  <c r="Y72" s="21">
        <f>IF(OR(Y49="",Y59=""),"",IFERROR(Y49*Y59,""))</f>
        <v/>
      </c>
      <c r="Z72" s="22">
        <f>IF(OR(Z49="",Z59=""),"",IFERROR(Z49*Z59,""))</f>
        <v/>
      </c>
      <c r="AA72" s="22">
        <f>IF(OR(AA49="",AA59=""),"",IFERROR(AA49*AA59,""))</f>
        <v/>
      </c>
      <c r="AB72" s="22">
        <f>IF(OR(AB49="",AB59=""),"",IFERROR(AB49*AB59,""))</f>
        <v/>
      </c>
      <c r="AC72" s="22">
        <f>IF(OR(AC49="",AC59=""),"",IFERROR(AC49*AC59,""))</f>
        <v/>
      </c>
    </row>
    <row r="73">
      <c r="A73" s="9" t="inlineStr">
        <is>
          <t>기업가치</t>
        </is>
      </c>
      <c r="B73" s="10" t="inlineStr">
        <is>
          <t>목표시총 + 자산가치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1">
        <f>IF(OR(Y72=""),"",IFERROR(Y72+Y70,""))</f>
        <v/>
      </c>
      <c r="Z73" s="12">
        <f>IF(OR(Z72=""),"",IFERROR(Z72+Z70,""))</f>
        <v/>
      </c>
      <c r="AA73" s="12">
        <f>IF(OR(AA72=""),"",IFERROR(AA72+AA70,""))</f>
        <v/>
      </c>
      <c r="AB73" s="12">
        <f>IF(OR(AB72=""),"",IFERROR(AB72+AB70,""))</f>
        <v/>
      </c>
      <c r="AC73" s="12">
        <f>IF(OR(AC72=""),"",IFERROR(AC72+AC70,""))</f>
        <v/>
      </c>
    </row>
    <row r="74">
      <c r="A74" s="20" t="inlineStr">
        <is>
          <t>현재 시가총액</t>
        </is>
      </c>
      <c r="B74" s="10" t="n"/>
      <c r="C74" s="21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1" t="n"/>
      <c r="P74" s="22" t="n"/>
      <c r="Q74" s="22" t="n"/>
      <c r="R74" s="22" t="n"/>
      <c r="S74" s="22" t="n"/>
      <c r="T74" s="22" t="n"/>
      <c r="U74" s="22" t="n"/>
      <c r="V74" s="22" t="n"/>
      <c r="W74" s="22" t="n"/>
      <c r="X74" s="22" t="n"/>
      <c r="Y74" s="21">
        <f>$B$55</f>
        <v/>
      </c>
      <c r="Z74" s="22">
        <f>$B$55</f>
        <v/>
      </c>
      <c r="AA74" s="22">
        <f>$B$55</f>
        <v/>
      </c>
      <c r="AB74" s="22">
        <f>$B$55</f>
        <v/>
      </c>
      <c r="AC74" s="22">
        <f>$B$55</f>
        <v/>
      </c>
    </row>
    <row r="75">
      <c r="A75" s="20" t="inlineStr">
        <is>
          <t>상승여력</t>
        </is>
      </c>
      <c r="B75" s="10" t="n"/>
      <c r="C75" s="37" t="n"/>
      <c r="D75" s="38" t="n"/>
      <c r="E75" s="38" t="n"/>
      <c r="F75" s="38" t="n"/>
      <c r="G75" s="38" t="n"/>
      <c r="H75" s="38" t="n"/>
      <c r="I75" s="38" t="n"/>
      <c r="J75" s="38" t="n"/>
      <c r="K75" s="38" t="n"/>
      <c r="L75" s="38" t="n"/>
      <c r="M75" s="38" t="n"/>
      <c r="N75" s="38" t="n"/>
      <c r="O75" s="37" t="n"/>
      <c r="P75" s="38" t="n"/>
      <c r="Q75" s="38" t="n"/>
      <c r="R75" s="38" t="n"/>
      <c r="S75" s="38" t="n"/>
      <c r="T75" s="38" t="n"/>
      <c r="U75" s="38" t="n"/>
      <c r="V75" s="38" t="n"/>
      <c r="W75" s="38" t="n"/>
      <c r="X75" s="38" t="n"/>
      <c r="Y75" s="39">
        <f>IF(OR(Y73="",Y74=""),"",IFERROR(Y73/Y74-1,""))</f>
        <v/>
      </c>
      <c r="Z75" s="40">
        <f>IF(OR(Z73="",Z74=""),"",IFERROR(Z73/Z74-1,""))</f>
        <v/>
      </c>
      <c r="AA75" s="40">
        <f>IF(OR(AA73="",AA74=""),"",IFERROR(AA73/AA74-1,""))</f>
        <v/>
      </c>
      <c r="AB75" s="40">
        <f>IF(OR(AB73="",AB74=""),"",IFERROR(AB73/AB74-1,""))</f>
        <v/>
      </c>
      <c r="AC75" s="40">
        <f>IF(OR(AC73="",AC74=""),"",IFERROR(AC73/AC74-1,""))</f>
        <v/>
      </c>
    </row>
    <row r="76">
      <c r="C76" s="41" t="n"/>
      <c r="O76" s="41" t="n"/>
      <c r="Y76" s="41" t="n"/>
    </row>
    <row r="77">
      <c r="A77" s="42" t="inlineStr">
        <is>
          <t>출처</t>
        </is>
      </c>
      <c r="C77" s="41" t="n"/>
      <c r="O77" s="41" t="n"/>
      <c r="Y77" s="41" t="n"/>
    </row>
    <row r="78">
      <c r="A78" s="43" t="inlineStr">
        <is>
          <t>결산단신 XBRL(TDnet·JPX 보관소) — 쓴 문서는 '출처' 시트</t>
        </is>
      </c>
      <c r="C78" s="41" t="n"/>
      <c r="O78" s="41" t="n"/>
      <c r="Y78" s="41" t="n"/>
    </row>
    <row r="79">
      <c r="A79" s="43" t="inlineStr">
        <is>
          <t>분기 = 누계에서 앞 분기를 뺀 3개월 값</t>
        </is>
      </c>
      <c r="C79" s="41" t="n"/>
      <c r="O79" s="41" t="n"/>
      <c r="Y79" s="41" t="n"/>
    </row>
    <row r="80">
      <c r="A80" s="43" t="inlineStr">
        <is>
          <t>주가: 야후 파이낸스 일봉 2026.10.28</t>
        </is>
      </c>
      <c r="C80" s="41" t="n"/>
      <c r="O80" s="41" t="n"/>
      <c r="Y80" s="41" t="n"/>
    </row>
    <row r="82">
      <c r="A82" s="18" t="inlineStr">
        <is>
          <t>손익계산서 · 전 항목</t>
        </is>
      </c>
      <c r="B82" s="44" t="inlineStr">
        <is>
          <t>분기 = 3개월 단독</t>
        </is>
      </c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/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8" t="n"/>
      <c r="Z82" s="18" t="n"/>
      <c r="AA82" s="18" t="n"/>
      <c r="AB82" s="18" t="n"/>
      <c r="AC82" s="18" t="n"/>
    </row>
    <row r="83">
      <c r="A83" s="5" t="inlineStr">
        <is>
          <t>항목</t>
        </is>
      </c>
      <c r="B83" s="5" t="inlineStr">
        <is>
          <t>참고</t>
        </is>
      </c>
      <c r="C83" s="5" t="inlineStr">
        <is>
          <t>2024.2Q</t>
        </is>
      </c>
      <c r="D83" s="5" t="inlineStr">
        <is>
          <t>2024.3Q</t>
        </is>
      </c>
      <c r="E83" s="5" t="inlineStr">
        <is>
          <t>2024.4Q</t>
        </is>
      </c>
      <c r="F83" s="5" t="inlineStr">
        <is>
          <t>2025.1Q</t>
        </is>
      </c>
      <c r="G83" s="5" t="inlineStr">
        <is>
          <t>2025.2Q</t>
        </is>
      </c>
      <c r="H83" s="5" t="inlineStr">
        <is>
          <t>2025.3Q</t>
        </is>
      </c>
      <c r="I83" s="5" t="inlineStr">
        <is>
          <t>2025.4Q</t>
        </is>
      </c>
      <c r="J83" s="5" t="inlineStr">
        <is>
          <t>2026.1Q</t>
        </is>
      </c>
      <c r="K83" s="5" t="inlineStr">
        <is>
          <t>2026.2Q</t>
        </is>
      </c>
      <c r="L83" s="5" t="inlineStr">
        <is>
          <t>2026.3Q</t>
        </is>
      </c>
      <c r="M83" s="5" t="inlineStr">
        <is>
          <t>2026.4Q</t>
        </is>
      </c>
      <c r="N83" s="5" t="inlineStr">
        <is>
          <t>2027.1Q</t>
        </is>
      </c>
      <c r="O83" s="5" t="inlineStr">
        <is>
          <t>2017</t>
        </is>
      </c>
      <c r="P83" s="5" t="inlineStr">
        <is>
          <t>2018</t>
        </is>
      </c>
      <c r="Q83" s="5" t="inlineStr">
        <is>
          <t>2019</t>
        </is>
      </c>
      <c r="R83" s="5" t="inlineStr">
        <is>
          <t>2020</t>
        </is>
      </c>
      <c r="S83" s="5" t="inlineStr">
        <is>
          <t>2021</t>
        </is>
      </c>
      <c r="T83" s="5" t="inlineStr">
        <is>
          <t>2022</t>
        </is>
      </c>
      <c r="U83" s="5" t="inlineStr">
        <is>
          <t>2023</t>
        </is>
      </c>
      <c r="V83" s="5" t="inlineStr">
        <is>
          <t>2024</t>
        </is>
      </c>
      <c r="W83" s="5" t="inlineStr">
        <is>
          <t>2025</t>
        </is>
      </c>
      <c r="X83" s="5" t="inlineStr">
        <is>
          <t>2026</t>
        </is>
      </c>
      <c r="Y83" s="5" t="inlineStr">
        <is>
          <t>2027(MW)</t>
        </is>
      </c>
      <c r="Z83" s="5" t="inlineStr">
        <is>
          <t>2028(MW)</t>
        </is>
      </c>
      <c r="AA83" s="5" t="inlineStr">
        <is>
          <t>2029(MW)</t>
        </is>
      </c>
      <c r="AB83" s="5" t="inlineStr">
        <is>
          <t>2030(MW)</t>
        </is>
      </c>
      <c r="AC83" s="5" t="inlineStr">
        <is>
          <t>2031(MW)</t>
        </is>
      </c>
    </row>
    <row r="84">
      <c r="A84" s="9" t="inlineStr">
        <is>
          <t>매출액</t>
        </is>
      </c>
      <c r="C84" s="12" t="n">
        <v>9689.075000000001</v>
      </c>
      <c r="D84" s="12" t="n">
        <v>9381.916999999999</v>
      </c>
      <c r="E84" s="12" t="n">
        <v>9531.791999999999</v>
      </c>
      <c r="F84" s="12" t="n">
        <v>9093</v>
      </c>
      <c r="G84" s="12" t="n">
        <v>9297</v>
      </c>
      <c r="H84" s="12" t="n">
        <v>8815</v>
      </c>
      <c r="I84" s="12" t="n">
        <v>9219</v>
      </c>
      <c r="J84" s="12" t="n">
        <v>8930</v>
      </c>
      <c r="K84" s="12" t="n">
        <v>9009</v>
      </c>
      <c r="L84" s="12" t="n">
        <v>8980</v>
      </c>
      <c r="M84" s="12" t="n">
        <v>9403</v>
      </c>
      <c r="N84" s="12" t="n">
        <v>9411</v>
      </c>
      <c r="T84" s="12" t="n">
        <v>8353.978999999999</v>
      </c>
      <c r="U84" s="12" t="n">
        <v>9471.272999999999</v>
      </c>
      <c r="V84" s="12" t="n">
        <v>9531.791999999999</v>
      </c>
      <c r="W84" s="12" t="n">
        <v>9219</v>
      </c>
      <c r="X84" s="12" t="n">
        <v>9403</v>
      </c>
    </row>
    <row r="85">
      <c r="A85" s="45" t="inlineStr">
        <is>
          <t>YoY</t>
        </is>
      </c>
      <c r="B85" s="3" t="inlineStr">
        <is>
          <t>전년 같은 분기·전년 대비</t>
        </is>
      </c>
      <c r="G85" s="17">
        <f>IF(OR(G84="",C84=""),"",IF(C84&lt;=0,"",IFERROR(G84/C84-1,"")))</f>
        <v/>
      </c>
      <c r="H85" s="17">
        <f>IF(OR(H84="",D84=""),"",IF(D84&lt;=0,"",IFERROR(H84/D84-1,"")))</f>
        <v/>
      </c>
      <c r="I85" s="17">
        <f>IF(OR(I84="",E84=""),"",IF(E84&lt;=0,"",IFERROR(I84/E84-1,"")))</f>
        <v/>
      </c>
      <c r="J85" s="17">
        <f>IF(OR(J84="",F84=""),"",IF(F84&lt;=0,"",IFERROR(J84/F84-1,"")))</f>
        <v/>
      </c>
      <c r="K85" s="17">
        <f>IF(OR(K84="",G84=""),"",IF(G84&lt;=0,"",IFERROR(K84/G84-1,"")))</f>
        <v/>
      </c>
      <c r="L85" s="17">
        <f>IF(OR(L84="",H84=""),"",IF(H84&lt;=0,"",IFERROR(L84/H84-1,"")))</f>
        <v/>
      </c>
      <c r="M85" s="17">
        <f>IF(OR(M84="",I84=""),"",IF(I84&lt;=0,"",IFERROR(M84/I84-1,"")))</f>
        <v/>
      </c>
      <c r="N85" s="17">
        <f>IF(OR(N84="",J84=""),"",IF(J84&lt;=0,"",IFERROR(N84/J84-1,"")))</f>
        <v/>
      </c>
      <c r="T85" s="17">
        <f>IF(OR(T84="",S84=""),"",IF(S84&lt;=0,"",IFERROR(T84/S84-1,"")))</f>
        <v/>
      </c>
      <c r="U85" s="17">
        <f>IF(OR(U84="",T84=""),"",IF(T84&lt;=0,"",IFERROR(U84/T84-1,"")))</f>
        <v/>
      </c>
      <c r="V85" s="17">
        <f>IF(OR(V84="",U84=""),"",IF(U84&lt;=0,"",IFERROR(V84/U84-1,"")))</f>
        <v/>
      </c>
      <c r="W85" s="17">
        <f>IF(OR(W84="",V84=""),"",IF(V84&lt;=0,"",IFERROR(W84/V84-1,"")))</f>
        <v/>
      </c>
      <c r="X85" s="17">
        <f>IF(OR(X84="",W84=""),"",IF(W84&lt;=0,"",IFERROR(X84/W84-1,"")))</f>
        <v/>
      </c>
    </row>
    <row r="86">
      <c r="A86" s="20" t="inlineStr">
        <is>
          <t>매출원가</t>
        </is>
      </c>
      <c r="C86" s="22" t="n">
        <v>8094.089</v>
      </c>
      <c r="D86" s="22" t="n">
        <v>7889.266</v>
      </c>
      <c r="E86" s="22" t="n">
        <v>8059.288</v>
      </c>
      <c r="F86" s="22" t="n">
        <v>7756</v>
      </c>
      <c r="G86" s="22" t="n">
        <v>7875</v>
      </c>
      <c r="H86" s="22" t="n">
        <v>7652</v>
      </c>
      <c r="I86" s="22" t="n">
        <v>7953</v>
      </c>
      <c r="J86" s="22" t="n">
        <v>7791</v>
      </c>
      <c r="K86" s="22" t="n">
        <v>7668</v>
      </c>
      <c r="L86" s="22" t="n">
        <v>7625</v>
      </c>
      <c r="M86" s="22" t="n">
        <v>7880</v>
      </c>
      <c r="N86" s="22" t="n">
        <v>7906</v>
      </c>
      <c r="T86" s="22" t="n">
        <v>7073.522</v>
      </c>
      <c r="U86" s="22" t="n">
        <v>7976.884</v>
      </c>
      <c r="V86" s="22" t="n">
        <v>8059.288</v>
      </c>
      <c r="W86" s="22" t="n">
        <v>7953</v>
      </c>
      <c r="X86" s="22" t="n">
        <v>7880</v>
      </c>
    </row>
    <row r="87">
      <c r="A87" s="45" t="inlineStr">
        <is>
          <t>YoY</t>
        </is>
      </c>
      <c r="B87" s="3" t="inlineStr">
        <is>
          <t>전년 같은 분기·전년 대비</t>
        </is>
      </c>
      <c r="G87" s="17">
        <f>IF(OR(G86="",C86=""),"",IF(G86*C86&lt;=0,"",IFERROR(G86/C86-1,"")))</f>
        <v/>
      </c>
      <c r="H87" s="17">
        <f>IF(OR(H86="",D86=""),"",IF(H86*D86&lt;=0,"",IFERROR(H86/D86-1,"")))</f>
        <v/>
      </c>
      <c r="I87" s="17">
        <f>IF(OR(I86="",E86=""),"",IF(I86*E86&lt;=0,"",IFERROR(I86/E86-1,"")))</f>
        <v/>
      </c>
      <c r="J87" s="17">
        <f>IF(OR(J86="",F86=""),"",IF(J86*F86&lt;=0,"",IFERROR(J86/F86-1,"")))</f>
        <v/>
      </c>
      <c r="K87" s="17">
        <f>IF(OR(K86="",G86=""),"",IF(K86*G86&lt;=0,"",IFERROR(K86/G86-1,"")))</f>
        <v/>
      </c>
      <c r="L87" s="17">
        <f>IF(OR(L86="",H86=""),"",IF(L86*H86&lt;=0,"",IFERROR(L86/H86-1,"")))</f>
        <v/>
      </c>
      <c r="M87" s="17">
        <f>IF(OR(M86="",I86=""),"",IF(M86*I86&lt;=0,"",IFERROR(M86/I86-1,"")))</f>
        <v/>
      </c>
      <c r="N87" s="17">
        <f>IF(OR(N86="",J86=""),"",IF(N86*J86&lt;=0,"",IFERROR(N86/J86-1,"")))</f>
        <v/>
      </c>
      <c r="T87" s="17">
        <f>IF(OR(T86="",S86=""),"",IF(T86*S86&lt;=0,"",IFERROR(T86/S86-1,"")))</f>
        <v/>
      </c>
      <c r="U87" s="17">
        <f>IF(OR(U86="",T86=""),"",IF(U86*T86&lt;=0,"",IFERROR(U86/T86-1,"")))</f>
        <v/>
      </c>
      <c r="V87" s="17">
        <f>IF(OR(V86="",U86=""),"",IF(V86*U86&lt;=0,"",IFERROR(V86/U86-1,"")))</f>
        <v/>
      </c>
      <c r="W87" s="17">
        <f>IF(OR(W86="",V86=""),"",IF(W86*V86&lt;=0,"",IFERROR(W86/V86-1,"")))</f>
        <v/>
      </c>
      <c r="X87" s="17">
        <f>IF(OR(X86="",W86=""),"",IF(X86*W86&lt;=0,"",IFERROR(X86/W86-1,"")))</f>
        <v/>
      </c>
    </row>
    <row r="88">
      <c r="A88" s="9" t="inlineStr">
        <is>
          <t>매출총이익</t>
        </is>
      </c>
      <c r="C88" s="12" t="n">
        <v>1594.986</v>
      </c>
      <c r="D88" s="12" t="n">
        <v>1492.651</v>
      </c>
      <c r="E88" s="12" t="n">
        <v>1472.504</v>
      </c>
      <c r="F88" s="12" t="n">
        <v>1336</v>
      </c>
      <c r="G88" s="12" t="n">
        <v>1422</v>
      </c>
      <c r="H88" s="12" t="n">
        <v>1164</v>
      </c>
      <c r="I88" s="12" t="n">
        <v>1265</v>
      </c>
      <c r="J88" s="12" t="n">
        <v>1139</v>
      </c>
      <c r="K88" s="12" t="n">
        <v>1341</v>
      </c>
      <c r="L88" s="12" t="n">
        <v>1354</v>
      </c>
      <c r="M88" s="12" t="n">
        <v>1524</v>
      </c>
      <c r="N88" s="12" t="n">
        <v>1505</v>
      </c>
      <c r="T88" s="12" t="n">
        <v>1280.457</v>
      </c>
      <c r="U88" s="12" t="n">
        <v>1494.389</v>
      </c>
      <c r="V88" s="12" t="n">
        <v>1472.504</v>
      </c>
      <c r="W88" s="12" t="n">
        <v>1265</v>
      </c>
      <c r="X88" s="12" t="n">
        <v>1524</v>
      </c>
    </row>
    <row r="89">
      <c r="A89" s="45" t="inlineStr">
        <is>
          <t>YoY</t>
        </is>
      </c>
      <c r="B89" s="3" t="inlineStr">
        <is>
          <t>전년 같은 분기·전년 대비</t>
        </is>
      </c>
      <c r="G89" s="17">
        <f>IF(OR(G88="",C88=""),"",IF(C88&lt;=0,"",IFERROR(G88/C88-1,"")))</f>
        <v/>
      </c>
      <c r="H89" s="17">
        <f>IF(OR(H88="",D88=""),"",IF(D88&lt;=0,"",IFERROR(H88/D88-1,"")))</f>
        <v/>
      </c>
      <c r="I89" s="17">
        <f>IF(OR(I88="",E88=""),"",IF(E88&lt;=0,"",IFERROR(I88/E88-1,"")))</f>
        <v/>
      </c>
      <c r="J89" s="17">
        <f>IF(OR(J88="",F88=""),"",IF(F88&lt;=0,"",IFERROR(J88/F88-1,"")))</f>
        <v/>
      </c>
      <c r="K89" s="17">
        <f>IF(OR(K88="",G88=""),"",IF(G88&lt;=0,"",IFERROR(K88/G88-1,"")))</f>
        <v/>
      </c>
      <c r="L89" s="17">
        <f>IF(OR(L88="",H88=""),"",IF(H88&lt;=0,"",IFERROR(L88/H88-1,"")))</f>
        <v/>
      </c>
      <c r="M89" s="17">
        <f>IF(OR(M88="",I88=""),"",IF(I88&lt;=0,"",IFERROR(M88/I88-1,"")))</f>
        <v/>
      </c>
      <c r="N89" s="17">
        <f>IF(OR(N88="",J88=""),"",IF(J88&lt;=0,"",IFERROR(N88/J88-1,"")))</f>
        <v/>
      </c>
      <c r="T89" s="17">
        <f>IF(OR(T88="",S88=""),"",IF(S88&lt;=0,"",IFERROR(T88/S88-1,"")))</f>
        <v/>
      </c>
      <c r="U89" s="17">
        <f>IF(OR(U88="",T88=""),"",IF(T88&lt;=0,"",IFERROR(U88/T88-1,"")))</f>
        <v/>
      </c>
      <c r="V89" s="17">
        <f>IF(OR(V88="",U88=""),"",IF(U88&lt;=0,"",IFERROR(V88/U88-1,"")))</f>
        <v/>
      </c>
      <c r="W89" s="17">
        <f>IF(OR(W88="",V88=""),"",IF(V88&lt;=0,"",IFERROR(W88/V88-1,"")))</f>
        <v/>
      </c>
      <c r="X89" s="17">
        <f>IF(OR(X88="",W88=""),"",IF(W88&lt;=0,"",IFERROR(X88/W88-1,"")))</f>
        <v/>
      </c>
    </row>
    <row r="90">
      <c r="A90" s="20" t="inlineStr">
        <is>
          <t>판매비와 관리비</t>
        </is>
      </c>
      <c r="C90" s="22" t="n">
        <v>837.191</v>
      </c>
      <c r="D90" s="22" t="n">
        <v>866.698</v>
      </c>
      <c r="E90" s="22" t="n">
        <v>959.136</v>
      </c>
      <c r="F90" s="22" t="n">
        <v>953</v>
      </c>
      <c r="G90" s="22" t="n">
        <v>950</v>
      </c>
      <c r="H90" s="22" t="n">
        <v>938</v>
      </c>
      <c r="I90" s="22" t="n">
        <v>1276</v>
      </c>
      <c r="J90" s="22" t="n">
        <v>1005</v>
      </c>
      <c r="K90" s="22" t="n">
        <v>947</v>
      </c>
      <c r="L90" s="22" t="n">
        <v>905</v>
      </c>
      <c r="M90" s="22" t="n">
        <v>1334</v>
      </c>
      <c r="N90" s="22" t="n">
        <v>1025</v>
      </c>
      <c r="T90" s="22" t="n">
        <v>797.853</v>
      </c>
      <c r="U90" s="22" t="n">
        <v>773.228</v>
      </c>
      <c r="V90" s="22" t="n">
        <v>959.136</v>
      </c>
      <c r="W90" s="22" t="n">
        <v>1276</v>
      </c>
      <c r="X90" s="22" t="n">
        <v>1334</v>
      </c>
    </row>
    <row r="91">
      <c r="A91" s="45" t="inlineStr">
        <is>
          <t>YoY</t>
        </is>
      </c>
      <c r="B91" s="3" t="inlineStr">
        <is>
          <t>전년 같은 분기·전년 대비</t>
        </is>
      </c>
      <c r="G91" s="17">
        <f>IF(OR(G90="",C90=""),"",IF(G90*C90&lt;=0,"",IFERROR(G90/C90-1,"")))</f>
        <v/>
      </c>
      <c r="H91" s="17">
        <f>IF(OR(H90="",D90=""),"",IF(H90*D90&lt;=0,"",IFERROR(H90/D90-1,"")))</f>
        <v/>
      </c>
      <c r="I91" s="17">
        <f>IF(OR(I90="",E90=""),"",IF(I90*E90&lt;=0,"",IFERROR(I90/E90-1,"")))</f>
        <v/>
      </c>
      <c r="J91" s="17">
        <f>IF(OR(J90="",F90=""),"",IF(J90*F90&lt;=0,"",IFERROR(J90/F90-1,"")))</f>
        <v/>
      </c>
      <c r="K91" s="17">
        <f>IF(OR(K90="",G90=""),"",IF(K90*G90&lt;=0,"",IFERROR(K90/G90-1,"")))</f>
        <v/>
      </c>
      <c r="L91" s="17">
        <f>IF(OR(L90="",H90=""),"",IF(L90*H90&lt;=0,"",IFERROR(L90/H90-1,"")))</f>
        <v/>
      </c>
      <c r="M91" s="17">
        <f>IF(OR(M90="",I90=""),"",IF(M90*I90&lt;=0,"",IFERROR(M90/I90-1,"")))</f>
        <v/>
      </c>
      <c r="N91" s="17">
        <f>IF(OR(N90="",J90=""),"",IF(N90*J90&lt;=0,"",IFERROR(N90/J90-1,"")))</f>
        <v/>
      </c>
      <c r="T91" s="17">
        <f>IF(OR(T90="",S90=""),"",IF(T90*S90&lt;=0,"",IFERROR(T90/S90-1,"")))</f>
        <v/>
      </c>
      <c r="U91" s="17">
        <f>IF(OR(U90="",T90=""),"",IF(U90*T90&lt;=0,"",IFERROR(U90/T90-1,"")))</f>
        <v/>
      </c>
      <c r="V91" s="17">
        <f>IF(OR(V90="",U90=""),"",IF(V90*U90&lt;=0,"",IFERROR(V90/U90-1,"")))</f>
        <v/>
      </c>
      <c r="W91" s="17">
        <f>IF(OR(W90="",V90=""),"",IF(W90*V90&lt;=0,"",IFERROR(W90/V90-1,"")))</f>
        <v/>
      </c>
      <c r="X91" s="17">
        <f>IF(OR(X90="",W90=""),"",IF(X90*W90&lt;=0,"",IFERROR(X90/W90-1,"")))</f>
        <v/>
      </c>
    </row>
    <row r="92">
      <c r="A92" s="9" t="inlineStr">
        <is>
          <t>영업이익</t>
        </is>
      </c>
      <c r="C92" s="12" t="n">
        <v>757.795</v>
      </c>
      <c r="D92" s="12" t="n">
        <v>625.953</v>
      </c>
      <c r="E92" s="12" t="n">
        <v>513.3680000000001</v>
      </c>
      <c r="F92" s="12" t="n">
        <v>382</v>
      </c>
      <c r="G92" s="12" t="n">
        <v>473</v>
      </c>
      <c r="H92" s="12" t="n">
        <v>225</v>
      </c>
      <c r="I92" s="12" t="n">
        <v>-11</v>
      </c>
      <c r="J92" s="12" t="n">
        <v>134</v>
      </c>
      <c r="K92" s="12" t="n">
        <v>393</v>
      </c>
      <c r="L92" s="12" t="n">
        <v>449</v>
      </c>
      <c r="M92" s="12" t="n">
        <v>191</v>
      </c>
      <c r="N92" s="12" t="n">
        <v>479</v>
      </c>
      <c r="T92" s="12" t="n">
        <v>482.604</v>
      </c>
      <c r="U92" s="12" t="n">
        <v>721.1609999999999</v>
      </c>
      <c r="V92" s="12" t="n">
        <v>513.3680000000001</v>
      </c>
      <c r="W92" s="12" t="n">
        <v>-11</v>
      </c>
      <c r="X92" s="12" t="n">
        <v>191</v>
      </c>
    </row>
    <row r="93">
      <c r="A93" s="45" t="inlineStr">
        <is>
          <t>OPM</t>
        </is>
      </c>
      <c r="B93" s="3" t="inlineStr">
        <is>
          <t>영업이익 ÷ 매출</t>
        </is>
      </c>
      <c r="C93" s="17">
        <f>IF(OR(C92="",C84=""),"",IF(C84&lt;=0,"",IFERROR(C92/C84,"")))</f>
        <v/>
      </c>
      <c r="D93" s="17">
        <f>IF(OR(D92="",D84=""),"",IF(D84&lt;=0,"",IFERROR(D92/D84,"")))</f>
        <v/>
      </c>
      <c r="E93" s="17">
        <f>IF(OR(E92="",E84=""),"",IF(E84&lt;=0,"",IFERROR(E92/E84,"")))</f>
        <v/>
      </c>
      <c r="F93" s="17">
        <f>IF(OR(F92="",F84=""),"",IF(F84&lt;=0,"",IFERROR(F92/F84,"")))</f>
        <v/>
      </c>
      <c r="G93" s="17">
        <f>IF(OR(G92="",G84=""),"",IF(G84&lt;=0,"",IFERROR(G92/G84,"")))</f>
        <v/>
      </c>
      <c r="H93" s="17">
        <f>IF(OR(H92="",H84=""),"",IF(H84&lt;=0,"",IFERROR(H92/H84,"")))</f>
        <v/>
      </c>
      <c r="I93" s="17">
        <f>IF(OR(I92="",I84=""),"",IF(I84&lt;=0,"",IFERROR(I92/I84,"")))</f>
        <v/>
      </c>
      <c r="J93" s="17">
        <f>IF(OR(J92="",J84=""),"",IF(J84&lt;=0,"",IFERROR(J92/J84,"")))</f>
        <v/>
      </c>
      <c r="K93" s="17">
        <f>IF(OR(K92="",K84=""),"",IF(K84&lt;=0,"",IFERROR(K92/K84,"")))</f>
        <v/>
      </c>
      <c r="L93" s="17">
        <f>IF(OR(L92="",L84=""),"",IF(L84&lt;=0,"",IFERROR(L92/L84,"")))</f>
        <v/>
      </c>
      <c r="M93" s="17">
        <f>IF(OR(M92="",M84=""),"",IF(M84&lt;=0,"",IFERROR(M92/M84,"")))</f>
        <v/>
      </c>
      <c r="N93" s="17">
        <f>IF(OR(N92="",N84=""),"",IF(N84&lt;=0,"",IFERROR(N92/N84,"")))</f>
        <v/>
      </c>
      <c r="T93" s="17">
        <f>IF(OR(T92="",T84=""),"",IF(T84&lt;=0,"",IFERROR(T92/T84,"")))</f>
        <v/>
      </c>
      <c r="U93" s="17">
        <f>IF(OR(U92="",U84=""),"",IF(U84&lt;=0,"",IFERROR(U92/U84,"")))</f>
        <v/>
      </c>
      <c r="V93" s="17">
        <f>IF(OR(V92="",V84=""),"",IF(V84&lt;=0,"",IFERROR(V92/V84,"")))</f>
        <v/>
      </c>
      <c r="W93" s="17">
        <f>IF(OR(W92="",W84=""),"",IF(W84&lt;=0,"",IFERROR(W92/W84,"")))</f>
        <v/>
      </c>
      <c r="X93" s="17">
        <f>IF(OR(X92="",X84=""),"",IF(X84&lt;=0,"",IFERROR(X92/X84,"")))</f>
        <v/>
      </c>
    </row>
    <row r="94">
      <c r="A94" s="45" t="inlineStr">
        <is>
          <t>YoY</t>
        </is>
      </c>
      <c r="B94" s="3" t="inlineStr">
        <is>
          <t>전년 같은 분기·전년 대비</t>
        </is>
      </c>
      <c r="G94" s="17">
        <f>IF(OR(G92="",C92=""),"",IF(C92&lt;=0,"",IFERROR(G92/C92-1,"")))</f>
        <v/>
      </c>
      <c r="H94" s="17">
        <f>IF(OR(H92="",D92=""),"",IF(D92&lt;=0,"",IFERROR(H92/D92-1,"")))</f>
        <v/>
      </c>
      <c r="I94" s="17">
        <f>IF(OR(I92="",E92=""),"",IF(E92&lt;=0,"",IFERROR(I92/E92-1,"")))</f>
        <v/>
      </c>
      <c r="J94" s="17">
        <f>IF(OR(J92="",F92=""),"",IF(F92&lt;=0,"",IFERROR(J92/F92-1,"")))</f>
        <v/>
      </c>
      <c r="K94" s="17">
        <f>IF(OR(K92="",G92=""),"",IF(G92&lt;=0,"",IFERROR(K92/G92-1,"")))</f>
        <v/>
      </c>
      <c r="L94" s="17">
        <f>IF(OR(L92="",H92=""),"",IF(H92&lt;=0,"",IFERROR(L92/H92-1,"")))</f>
        <v/>
      </c>
      <c r="M94" s="17">
        <f>IF(OR(M92="",I92=""),"",IF(I92&lt;=0,"",IFERROR(M92/I92-1,"")))</f>
        <v/>
      </c>
      <c r="N94" s="17">
        <f>IF(OR(N92="",J92=""),"",IF(J92&lt;=0,"",IFERROR(N92/J92-1,"")))</f>
        <v/>
      </c>
      <c r="T94" s="17">
        <f>IF(OR(T92="",S92=""),"",IF(S92&lt;=0,"",IFERROR(T92/S92-1,"")))</f>
        <v/>
      </c>
      <c r="U94" s="17">
        <f>IF(OR(U92="",T92=""),"",IF(T92&lt;=0,"",IFERROR(U92/T92-1,"")))</f>
        <v/>
      </c>
      <c r="V94" s="17">
        <f>IF(OR(V92="",U92=""),"",IF(U92&lt;=0,"",IFERROR(V92/U92-1,"")))</f>
        <v/>
      </c>
      <c r="W94" s="17">
        <f>IF(OR(W92="",V92=""),"",IF(V92&lt;=0,"",IFERROR(W92/V92-1,"")))</f>
        <v/>
      </c>
      <c r="X94" s="17">
        <f>IF(OR(X92="",W92=""),"",IF(W92&lt;=0,"",IFERROR(X92/W92-1,"")))</f>
        <v/>
      </c>
    </row>
    <row r="95">
      <c r="A95" s="20" t="inlineStr">
        <is>
          <t>이자수익</t>
        </is>
      </c>
      <c r="C95" s="22" t="n">
        <v>0</v>
      </c>
      <c r="D95" s="22" t="n">
        <v>0</v>
      </c>
      <c r="E95" s="22" t="n">
        <v>0.001</v>
      </c>
      <c r="F95" s="22" t="n">
        <v>0</v>
      </c>
      <c r="G95" s="22" t="n">
        <v>0</v>
      </c>
      <c r="H95" s="22" t="n">
        <v>0</v>
      </c>
      <c r="I95" s="22" t="n">
        <v>0</v>
      </c>
      <c r="J95" s="22" t="n">
        <v>0</v>
      </c>
      <c r="K95" s="22" t="n">
        <v>0</v>
      </c>
      <c r="L95" s="22" t="n">
        <v>0</v>
      </c>
      <c r="M95" s="22" t="n">
        <v>0</v>
      </c>
      <c r="T95" s="22" t="n">
        <v>0.001</v>
      </c>
      <c r="U95" s="22" t="n">
        <v>0.001</v>
      </c>
      <c r="V95" s="22" t="n">
        <v>0.001</v>
      </c>
      <c r="W95" s="22" t="n">
        <v>0</v>
      </c>
      <c r="X95" s="22" t="n">
        <v>0</v>
      </c>
    </row>
    <row r="96">
      <c r="A96" s="20" t="inlineStr">
        <is>
          <t>배당금수익</t>
        </is>
      </c>
      <c r="C96" s="22" t="n">
        <v>0</v>
      </c>
      <c r="D96" s="22" t="n">
        <v>0</v>
      </c>
      <c r="E96" s="22" t="n">
        <v>0</v>
      </c>
      <c r="F96" s="22" t="n">
        <v>0</v>
      </c>
      <c r="G96" s="22" t="n">
        <v>0</v>
      </c>
      <c r="H96" s="22" t="n">
        <v>0</v>
      </c>
      <c r="I96" s="22" t="n">
        <v>0</v>
      </c>
      <c r="J96" s="22" t="n">
        <v>0</v>
      </c>
      <c r="K96" s="22" t="n">
        <v>0</v>
      </c>
      <c r="L96" s="22" t="n">
        <v>0</v>
      </c>
      <c r="M96" s="22" t="n">
        <v>0</v>
      </c>
      <c r="U96" s="22" t="n">
        <v>0</v>
      </c>
      <c r="V96" s="22" t="n">
        <v>0</v>
      </c>
      <c r="W96" s="22" t="n">
        <v>0</v>
      </c>
      <c r="X96" s="22" t="n">
        <v>0</v>
      </c>
    </row>
    <row r="97">
      <c r="A97" s="20" t="inlineStr">
        <is>
          <t>보험금 수익</t>
        </is>
      </c>
      <c r="E97" s="22" t="n">
        <v>0.024</v>
      </c>
      <c r="I97" s="22" t="n">
        <v>0</v>
      </c>
      <c r="T97" s="22" t="n">
        <v>0</v>
      </c>
      <c r="U97" s="22" t="n">
        <v>0</v>
      </c>
      <c r="V97" s="22" t="n">
        <v>0.024</v>
      </c>
      <c r="W97" s="22" t="n">
        <v>0</v>
      </c>
    </row>
    <row r="98">
      <c r="A98" s="20" t="inlineStr">
        <is>
          <t>이자·배당금 수익</t>
        </is>
      </c>
      <c r="J98" s="22" t="n">
        <v>0</v>
      </c>
      <c r="N98" s="22" t="n">
        <v>1</v>
      </c>
    </row>
    <row r="99">
      <c r="A99" s="20" t="inlineStr">
        <is>
          <t>보조금 수입</t>
        </is>
      </c>
      <c r="C99" s="22" t="n">
        <v>3.667</v>
      </c>
      <c r="D99" s="22" t="n">
        <v>0</v>
      </c>
      <c r="E99" s="22" t="n">
        <v>6.603</v>
      </c>
      <c r="F99" s="22" t="n">
        <v>4</v>
      </c>
      <c r="G99" s="22" t="n">
        <v>1</v>
      </c>
      <c r="H99" s="22" t="n">
        <v>0</v>
      </c>
      <c r="I99" s="22" t="n">
        <v>0</v>
      </c>
      <c r="J99" s="22" t="n">
        <v>0</v>
      </c>
      <c r="K99" s="22" t="n">
        <v>5</v>
      </c>
      <c r="L99" s="22" t="n">
        <v>2</v>
      </c>
      <c r="M99" s="22" t="n">
        <v>6</v>
      </c>
      <c r="N99" s="22" t="n">
        <v>0</v>
      </c>
      <c r="T99" s="22" t="n">
        <v>15.315</v>
      </c>
      <c r="U99" s="22" t="n">
        <v>5.906</v>
      </c>
      <c r="V99" s="22" t="n">
        <v>6.603</v>
      </c>
      <c r="W99" s="22" t="n">
        <v>0</v>
      </c>
      <c r="X99" s="22" t="n">
        <v>6</v>
      </c>
    </row>
    <row r="100">
      <c r="A100" s="20" t="inlineStr">
        <is>
          <t>자판기 설치료 수입</t>
        </is>
      </c>
      <c r="F100" s="22" t="n">
        <v>0</v>
      </c>
      <c r="G100" s="22" t="n">
        <v>0</v>
      </c>
      <c r="H100" s="22" t="n">
        <v>1</v>
      </c>
      <c r="J100" s="22" t="n">
        <v>0</v>
      </c>
      <c r="K100" s="22" t="n">
        <v>0</v>
      </c>
      <c r="L100" s="22" t="n">
        <v>1</v>
      </c>
    </row>
    <row r="101">
      <c r="A101" s="20" t="inlineStr">
        <is>
          <t>기타</t>
        </is>
      </c>
      <c r="C101" s="22" t="n">
        <v>0.742</v>
      </c>
      <c r="D101" s="22" t="n">
        <v>0.267</v>
      </c>
      <c r="E101" s="22" t="n">
        <v>-0.65</v>
      </c>
      <c r="F101" s="22" t="n">
        <v>0</v>
      </c>
      <c r="G101" s="22" t="n">
        <v>0</v>
      </c>
      <c r="H101" s="22" t="n">
        <v>0</v>
      </c>
      <c r="I101" s="22" t="n">
        <v>2</v>
      </c>
      <c r="J101" s="22" t="n">
        <v>2</v>
      </c>
      <c r="K101" s="22" t="n">
        <v>0</v>
      </c>
      <c r="L101" s="22" t="n">
        <v>2</v>
      </c>
      <c r="M101" s="22" t="n">
        <v>2</v>
      </c>
      <c r="N101" s="22" t="n">
        <v>1</v>
      </c>
      <c r="T101" s="22" t="n">
        <v>0.368</v>
      </c>
      <c r="U101" s="22" t="n">
        <v>0.431</v>
      </c>
      <c r="V101" s="22" t="n">
        <v>-0.65</v>
      </c>
      <c r="W101" s="22" t="n">
        <v>2</v>
      </c>
      <c r="X101" s="22" t="n">
        <v>2</v>
      </c>
    </row>
    <row r="102">
      <c r="A102" s="20" t="inlineStr">
        <is>
          <t>영업외수익 합계</t>
        </is>
      </c>
      <c r="C102" s="22" t="n">
        <v>4.409</v>
      </c>
      <c r="D102" s="22" t="n">
        <v>2.387</v>
      </c>
      <c r="E102" s="22" t="n">
        <v>7.567</v>
      </c>
      <c r="F102" s="22" t="n">
        <v>5</v>
      </c>
      <c r="G102" s="22" t="n">
        <v>1</v>
      </c>
      <c r="H102" s="22" t="n">
        <v>1</v>
      </c>
      <c r="I102" s="22" t="n">
        <v>1</v>
      </c>
      <c r="J102" s="22" t="n">
        <v>2</v>
      </c>
      <c r="K102" s="22" t="n">
        <v>7</v>
      </c>
      <c r="L102" s="22" t="n">
        <v>4</v>
      </c>
      <c r="M102" s="22" t="n">
        <v>15</v>
      </c>
      <c r="N102" s="22" t="n">
        <v>3</v>
      </c>
      <c r="T102" s="22" t="n">
        <v>15.683</v>
      </c>
      <c r="U102" s="22" t="n">
        <v>23.474</v>
      </c>
      <c r="V102" s="22" t="n">
        <v>7.567</v>
      </c>
      <c r="W102" s="22" t="n">
        <v>1</v>
      </c>
      <c r="X102" s="22" t="n">
        <v>15</v>
      </c>
    </row>
    <row r="103">
      <c r="A103" s="45" t="inlineStr">
        <is>
          <t>YoY</t>
        </is>
      </c>
      <c r="B103" s="3" t="inlineStr">
        <is>
          <t>전년 같은 분기·전년 대비</t>
        </is>
      </c>
      <c r="G103" s="17">
        <f>IF(OR(G102="",C102=""),"",IF(G102*C102&lt;=0,"",IFERROR(G102/C102-1,"")))</f>
        <v/>
      </c>
      <c r="H103" s="17">
        <f>IF(OR(H102="",D102=""),"",IF(H102*D102&lt;=0,"",IFERROR(H102/D102-1,"")))</f>
        <v/>
      </c>
      <c r="I103" s="17">
        <f>IF(OR(I102="",E102=""),"",IF(I102*E102&lt;=0,"",IFERROR(I102/E102-1,"")))</f>
        <v/>
      </c>
      <c r="J103" s="17">
        <f>IF(OR(J102="",F102=""),"",IF(J102*F102&lt;=0,"",IFERROR(J102/F102-1,"")))</f>
        <v/>
      </c>
      <c r="K103" s="17">
        <f>IF(OR(K102="",G102=""),"",IF(K102*G102&lt;=0,"",IFERROR(K102/G102-1,"")))</f>
        <v/>
      </c>
      <c r="L103" s="17">
        <f>IF(OR(L102="",H102=""),"",IF(L102*H102&lt;=0,"",IFERROR(L102/H102-1,"")))</f>
        <v/>
      </c>
      <c r="M103" s="17">
        <f>IF(OR(M102="",I102=""),"",IF(M102*I102&lt;=0,"",IFERROR(M102/I102-1,"")))</f>
        <v/>
      </c>
      <c r="N103" s="17">
        <f>IF(OR(N102="",J102=""),"",IF(N102*J102&lt;=0,"",IFERROR(N102/J102-1,"")))</f>
        <v/>
      </c>
      <c r="T103" s="17">
        <f>IF(OR(T102="",S102=""),"",IF(T102*S102&lt;=0,"",IFERROR(T102/S102-1,"")))</f>
        <v/>
      </c>
      <c r="U103" s="17">
        <f>IF(OR(U102="",T102=""),"",IF(U102*T102&lt;=0,"",IFERROR(U102/T102-1,"")))</f>
        <v/>
      </c>
      <c r="V103" s="17">
        <f>IF(OR(V102="",U102=""),"",IF(V102*U102&lt;=0,"",IFERROR(V102/U102-1,"")))</f>
        <v/>
      </c>
      <c r="W103" s="17">
        <f>IF(OR(W102="",V102=""),"",IF(W102*V102&lt;=0,"",IFERROR(W102/V102-1,"")))</f>
        <v/>
      </c>
      <c r="X103" s="17">
        <f>IF(OR(X102="",W102=""),"",IF(X102*W102&lt;=0,"",IFERROR(X102/W102-1,"")))</f>
        <v/>
      </c>
    </row>
    <row r="104">
      <c r="A104" s="20" t="inlineStr">
        <is>
          <t>이자비용</t>
        </is>
      </c>
      <c r="C104" s="22" t="n">
        <v>0.1</v>
      </c>
      <c r="D104" s="22" t="n">
        <v>0.075</v>
      </c>
      <c r="E104" s="22" t="n">
        <v>0.094</v>
      </c>
      <c r="F104" s="22" t="n">
        <v>0</v>
      </c>
      <c r="G104" s="22" t="n">
        <v>0</v>
      </c>
      <c r="H104" s="22" t="n">
        <v>0</v>
      </c>
      <c r="I104" s="22" t="n">
        <v>0</v>
      </c>
      <c r="J104" s="22" t="n">
        <v>0</v>
      </c>
      <c r="K104" s="22" t="n">
        <v>0</v>
      </c>
      <c r="L104" s="22" t="n">
        <v>0</v>
      </c>
      <c r="M104" s="22" t="n">
        <v>0</v>
      </c>
      <c r="N104" s="22" t="n">
        <v>10</v>
      </c>
      <c r="T104" s="22" t="n">
        <v>0</v>
      </c>
      <c r="U104" s="22" t="n">
        <v>0.14</v>
      </c>
      <c r="V104" s="22" t="n">
        <v>0.094</v>
      </c>
      <c r="W104" s="22" t="n">
        <v>0</v>
      </c>
      <c r="X104" s="22" t="n">
        <v>0</v>
      </c>
    </row>
    <row r="105">
      <c r="A105" s="20" t="inlineStr">
        <is>
          <t>전자기록채권 매각손실</t>
        </is>
      </c>
      <c r="H105" s="22" t="n">
        <v>0</v>
      </c>
      <c r="L105" s="22" t="n">
        <v>0</v>
      </c>
    </row>
    <row r="106">
      <c r="A106" s="20" t="inlineStr">
        <is>
          <t>지분법손실</t>
        </is>
      </c>
      <c r="C106" s="22" t="n">
        <v>13.896</v>
      </c>
      <c r="D106" s="22" t="n">
        <v>12.321</v>
      </c>
      <c r="E106" s="22" t="n">
        <v>4.761</v>
      </c>
      <c r="F106" s="22" t="n">
        <v>6</v>
      </c>
      <c r="G106" s="22" t="n">
        <v>6</v>
      </c>
      <c r="H106" s="22" t="n">
        <v>5</v>
      </c>
      <c r="I106" s="22" t="n">
        <v>56</v>
      </c>
      <c r="J106" s="22" t="n">
        <v>1</v>
      </c>
      <c r="K106" s="22" t="n">
        <v>-1</v>
      </c>
      <c r="L106" s="22" t="n">
        <v>12</v>
      </c>
      <c r="M106" s="22" t="n">
        <v>0</v>
      </c>
      <c r="N106" s="22" t="n">
        <v>0</v>
      </c>
      <c r="U106" s="22" t="n">
        <v>0</v>
      </c>
      <c r="V106" s="22" t="n">
        <v>4.761</v>
      </c>
      <c r="W106" s="22" t="n">
        <v>56</v>
      </c>
      <c r="X106" s="22" t="n">
        <v>0</v>
      </c>
    </row>
    <row r="107">
      <c r="A107" s="20" t="inlineStr">
        <is>
          <t>리스해약 손실</t>
        </is>
      </c>
      <c r="E107" s="22" t="n">
        <v>0</v>
      </c>
      <c r="T107" s="22" t="n">
        <v>0</v>
      </c>
      <c r="U107" s="22" t="n">
        <v>6.736</v>
      </c>
      <c r="V107" s="22" t="n">
        <v>0</v>
      </c>
    </row>
    <row r="108">
      <c r="A108" s="20" t="inlineStr">
        <is>
          <t>상장 관련 비용</t>
        </is>
      </c>
      <c r="T108" s="22" t="n">
        <v>16.861</v>
      </c>
      <c r="U108" s="22" t="n">
        <v>0</v>
      </c>
    </row>
    <row r="109">
      <c r="A109" s="20" t="inlineStr">
        <is>
          <t>주식교부비</t>
        </is>
      </c>
      <c r="T109" s="22" t="n">
        <v>1.714</v>
      </c>
      <c r="U109" s="22" t="n">
        <v>0</v>
      </c>
    </row>
    <row r="110">
      <c r="A110" s="20" t="inlineStr">
        <is>
          <t>세액공제 외 원천소득세</t>
        </is>
      </c>
      <c r="T110" s="22" t="n">
        <v>0</v>
      </c>
      <c r="U110" s="22" t="n">
        <v>0</v>
      </c>
    </row>
    <row r="111">
      <c r="A111" s="20" t="inlineStr">
        <is>
          <t>기타</t>
        </is>
      </c>
      <c r="C111" s="22" t="n">
        <v>0.06</v>
      </c>
      <c r="D111" s="22" t="n">
        <v>0.08699999999999999</v>
      </c>
      <c r="E111" s="22" t="n">
        <v>0.1</v>
      </c>
      <c r="F111" s="22" t="n">
        <v>0</v>
      </c>
      <c r="G111" s="22" t="n">
        <v>0</v>
      </c>
      <c r="H111" s="22" t="n">
        <v>0</v>
      </c>
      <c r="I111" s="22" t="n">
        <v>0</v>
      </c>
      <c r="J111" s="22" t="n">
        <v>0</v>
      </c>
      <c r="K111" s="22" t="n">
        <v>0</v>
      </c>
      <c r="L111" s="22" t="n">
        <v>0</v>
      </c>
      <c r="M111" s="22" t="n">
        <v>1</v>
      </c>
      <c r="N111" s="22" t="n">
        <v>0</v>
      </c>
      <c r="T111" s="22" t="n">
        <v>0.062</v>
      </c>
      <c r="U111" s="22" t="n">
        <v>0.065</v>
      </c>
      <c r="V111" s="22" t="n">
        <v>0.1</v>
      </c>
      <c r="W111" s="22" t="n">
        <v>0</v>
      </c>
      <c r="X111" s="22" t="n">
        <v>1</v>
      </c>
    </row>
    <row r="112">
      <c r="A112" s="20" t="inlineStr">
        <is>
          <t>영업외비용 합계</t>
        </is>
      </c>
      <c r="C112" s="22" t="n">
        <v>14.056</v>
      </c>
      <c r="D112" s="22" t="n">
        <v>12.483</v>
      </c>
      <c r="E112" s="22" t="n">
        <v>4.955</v>
      </c>
      <c r="F112" s="22" t="n">
        <v>6</v>
      </c>
      <c r="G112" s="22" t="n">
        <v>7</v>
      </c>
      <c r="H112" s="22" t="n">
        <v>5</v>
      </c>
      <c r="I112" s="22" t="n">
        <v>56</v>
      </c>
      <c r="J112" s="22" t="n">
        <v>1</v>
      </c>
      <c r="K112" s="22" t="n">
        <v>-1</v>
      </c>
      <c r="L112" s="22" t="n">
        <v>13</v>
      </c>
      <c r="M112" s="22" t="n">
        <v>0</v>
      </c>
      <c r="N112" s="22" t="n">
        <v>11</v>
      </c>
      <c r="T112" s="22" t="n">
        <v>18.636</v>
      </c>
      <c r="U112" s="22" t="n">
        <v>6.941</v>
      </c>
      <c r="V112" s="22" t="n">
        <v>4.955</v>
      </c>
      <c r="W112" s="22" t="n">
        <v>56</v>
      </c>
      <c r="X112" s="22" t="n">
        <v>0</v>
      </c>
    </row>
    <row r="113">
      <c r="A113" s="45" t="inlineStr">
        <is>
          <t>YoY</t>
        </is>
      </c>
      <c r="B113" s="3" t="inlineStr">
        <is>
          <t>전년 같은 분기·전년 대비</t>
        </is>
      </c>
      <c r="G113" s="17">
        <f>IF(OR(G112="",C112=""),"",IF(G112*C112&lt;=0,"",IFERROR(G112/C112-1,"")))</f>
        <v/>
      </c>
      <c r="H113" s="17">
        <f>IF(OR(H112="",D112=""),"",IF(H112*D112&lt;=0,"",IFERROR(H112/D112-1,"")))</f>
        <v/>
      </c>
      <c r="I113" s="17">
        <f>IF(OR(I112="",E112=""),"",IF(I112*E112&lt;=0,"",IFERROR(I112/E112-1,"")))</f>
        <v/>
      </c>
      <c r="J113" s="17">
        <f>IF(OR(J112="",F112=""),"",IF(J112*F112&lt;=0,"",IFERROR(J112/F112-1,"")))</f>
        <v/>
      </c>
      <c r="K113" s="17">
        <f>IF(OR(K112="",G112=""),"",IF(K112*G112&lt;=0,"",IFERROR(K112/G112-1,"")))</f>
        <v/>
      </c>
      <c r="L113" s="17">
        <f>IF(OR(L112="",H112=""),"",IF(L112*H112&lt;=0,"",IFERROR(L112/H112-1,"")))</f>
        <v/>
      </c>
      <c r="M113" s="17">
        <f>IF(OR(M112="",I112=""),"",IF(M112*I112&lt;=0,"",IFERROR(M112/I112-1,"")))</f>
        <v/>
      </c>
      <c r="N113" s="17">
        <f>IF(OR(N112="",J112=""),"",IF(N112*J112&lt;=0,"",IFERROR(N112/J112-1,"")))</f>
        <v/>
      </c>
      <c r="T113" s="17">
        <f>IF(OR(T112="",S112=""),"",IF(T112*S112&lt;=0,"",IFERROR(T112/S112-1,"")))</f>
        <v/>
      </c>
      <c r="U113" s="17">
        <f>IF(OR(U112="",T112=""),"",IF(U112*T112&lt;=0,"",IFERROR(U112/T112-1,"")))</f>
        <v/>
      </c>
      <c r="V113" s="17">
        <f>IF(OR(V112="",U112=""),"",IF(V112*U112&lt;=0,"",IFERROR(V112/U112-1,"")))</f>
        <v/>
      </c>
      <c r="W113" s="17">
        <f>IF(OR(W112="",V112=""),"",IF(W112*V112&lt;=0,"",IFERROR(W112/V112-1,"")))</f>
        <v/>
      </c>
      <c r="X113" s="17">
        <f>IF(OR(X112="",W112=""),"",IF(X112*W112&lt;=0,"",IFERROR(X112/W112-1,"")))</f>
        <v/>
      </c>
    </row>
    <row r="114">
      <c r="A114" s="9" t="inlineStr">
        <is>
          <t>경상이익</t>
        </is>
      </c>
      <c r="C114" s="12" t="n">
        <v>748.148</v>
      </c>
      <c r="D114" s="12" t="n">
        <v>615.857</v>
      </c>
      <c r="E114" s="12" t="n">
        <v>515.98</v>
      </c>
      <c r="F114" s="12" t="n">
        <v>381</v>
      </c>
      <c r="G114" s="12" t="n">
        <v>467</v>
      </c>
      <c r="H114" s="12" t="n">
        <v>220</v>
      </c>
      <c r="I114" s="12" t="n">
        <v>-64</v>
      </c>
      <c r="J114" s="12" t="n">
        <v>135</v>
      </c>
      <c r="K114" s="12" t="n">
        <v>401</v>
      </c>
      <c r="L114" s="12" t="n">
        <v>441</v>
      </c>
      <c r="M114" s="12" t="n">
        <v>204</v>
      </c>
      <c r="N114" s="12" t="n">
        <v>471</v>
      </c>
      <c r="T114" s="12" t="n">
        <v>479.651</v>
      </c>
      <c r="U114" s="12" t="n">
        <v>737.694</v>
      </c>
      <c r="V114" s="12" t="n">
        <v>515.98</v>
      </c>
      <c r="W114" s="12" t="n">
        <v>-64</v>
      </c>
      <c r="X114" s="12" t="n">
        <v>204</v>
      </c>
    </row>
    <row r="115">
      <c r="A115" s="45" t="inlineStr">
        <is>
          <t>YoY</t>
        </is>
      </c>
      <c r="B115" s="3" t="inlineStr">
        <is>
          <t>전년 같은 분기·전년 대비</t>
        </is>
      </c>
      <c r="G115" s="17">
        <f>IF(OR(G114="",C114=""),"",IF(C114&lt;=0,"",IFERROR(G114/C114-1,"")))</f>
        <v/>
      </c>
      <c r="H115" s="17">
        <f>IF(OR(H114="",D114=""),"",IF(D114&lt;=0,"",IFERROR(H114/D114-1,"")))</f>
        <v/>
      </c>
      <c r="I115" s="17">
        <f>IF(OR(I114="",E114=""),"",IF(E114&lt;=0,"",IFERROR(I114/E114-1,"")))</f>
        <v/>
      </c>
      <c r="J115" s="17">
        <f>IF(OR(J114="",F114=""),"",IF(F114&lt;=0,"",IFERROR(J114/F114-1,"")))</f>
        <v/>
      </c>
      <c r="K115" s="17">
        <f>IF(OR(K114="",G114=""),"",IF(G114&lt;=0,"",IFERROR(K114/G114-1,"")))</f>
        <v/>
      </c>
      <c r="L115" s="17">
        <f>IF(OR(L114="",H114=""),"",IF(H114&lt;=0,"",IFERROR(L114/H114-1,"")))</f>
        <v/>
      </c>
      <c r="M115" s="17">
        <f>IF(OR(M114="",I114=""),"",IF(I114&lt;=0,"",IFERROR(M114/I114-1,"")))</f>
        <v/>
      </c>
      <c r="N115" s="17">
        <f>IF(OR(N114="",J114=""),"",IF(J114&lt;=0,"",IFERROR(N114/J114-1,"")))</f>
        <v/>
      </c>
      <c r="T115" s="17">
        <f>IF(OR(T114="",S114=""),"",IF(S114&lt;=0,"",IFERROR(T114/S114-1,"")))</f>
        <v/>
      </c>
      <c r="U115" s="17">
        <f>IF(OR(U114="",T114=""),"",IF(T114&lt;=0,"",IFERROR(U114/T114-1,"")))</f>
        <v/>
      </c>
      <c r="V115" s="17">
        <f>IF(OR(V114="",U114=""),"",IF(U114&lt;=0,"",IFERROR(V114/U114-1,"")))</f>
        <v/>
      </c>
      <c r="W115" s="17">
        <f>IF(OR(W114="",V114=""),"",IF(V114&lt;=0,"",IFERROR(W114/V114-1,"")))</f>
        <v/>
      </c>
      <c r="X115" s="17">
        <f>IF(OR(X114="",W114=""),"",IF(W114&lt;=0,"",IFERROR(X114/W114-1,"")))</f>
        <v/>
      </c>
    </row>
    <row r="116">
      <c r="A116" s="20" t="inlineStr">
        <is>
          <t>고정자산 매각이익</t>
        </is>
      </c>
      <c r="I116" s="22" t="n">
        <v>0</v>
      </c>
      <c r="M116" s="22" t="n">
        <v>0</v>
      </c>
      <c r="W116" s="22" t="n">
        <v>0</v>
      </c>
      <c r="X116" s="22" t="n">
        <v>0</v>
      </c>
    </row>
    <row r="117">
      <c r="A117" s="20" t="inlineStr">
        <is>
          <t>투자유가증권 매각이익</t>
        </is>
      </c>
      <c r="E117" s="22" t="n">
        <v>0</v>
      </c>
      <c r="I117" s="22" t="n">
        <v>0</v>
      </c>
      <c r="M117" s="22" t="n">
        <v>0</v>
      </c>
      <c r="V117" s="22" t="n">
        <v>0</v>
      </c>
      <c r="W117" s="22" t="n">
        <v>0</v>
      </c>
      <c r="X117" s="22" t="n">
        <v>0</v>
      </c>
    </row>
    <row r="118">
      <c r="A118" s="20" t="inlineStr">
        <is>
          <t>지분변동이익</t>
        </is>
      </c>
      <c r="D118" s="22" t="n">
        <v>0</v>
      </c>
      <c r="E118" s="22" t="n">
        <v>0</v>
      </c>
      <c r="H118" s="22" t="n">
        <v>0</v>
      </c>
      <c r="I118" s="22" t="n">
        <v>0</v>
      </c>
      <c r="U118" s="22" t="n">
        <v>0</v>
      </c>
      <c r="V118" s="22" t="n">
        <v>0</v>
      </c>
      <c r="W118" s="22" t="n">
        <v>0</v>
      </c>
    </row>
    <row r="119">
      <c r="A119" s="20" t="inlineStr">
        <is>
          <t>특별이익 합계</t>
        </is>
      </c>
      <c r="D119" s="22" t="n">
        <v>0</v>
      </c>
      <c r="E119" s="22" t="n">
        <v>0</v>
      </c>
      <c r="H119" s="22" t="n">
        <v>75</v>
      </c>
      <c r="I119" s="22" t="n">
        <v>0</v>
      </c>
      <c r="M119" s="22" t="n">
        <v>0</v>
      </c>
      <c r="U119" s="22" t="n">
        <v>0</v>
      </c>
      <c r="V119" s="22" t="n">
        <v>0</v>
      </c>
      <c r="W119" s="22" t="n">
        <v>0</v>
      </c>
      <c r="X119" s="22" t="n">
        <v>0</v>
      </c>
    </row>
    <row r="120">
      <c r="A120" s="45" t="inlineStr">
        <is>
          <t>YoY</t>
        </is>
      </c>
      <c r="B120" s="3" t="inlineStr">
        <is>
          <t>전년 같은 분기·전년 대비</t>
        </is>
      </c>
      <c r="H120" s="17">
        <f>IF(OR(H119="",D119=""),"",IF(H119*D119&lt;=0,"",IFERROR(H119/D119-1,"")))</f>
        <v/>
      </c>
      <c r="I120" s="17">
        <f>IF(OR(I119="",E119=""),"",IF(I119*E119&lt;=0,"",IFERROR(I119/E119-1,"")))</f>
        <v/>
      </c>
      <c r="M120" s="17">
        <f>IF(OR(M119="",I119=""),"",IF(M119*I119&lt;=0,"",IFERROR(M119/I119-1,"")))</f>
        <v/>
      </c>
      <c r="U120" s="17">
        <f>IF(OR(U119="",T119=""),"",IF(U119*T119&lt;=0,"",IFERROR(U119/T119-1,"")))</f>
        <v/>
      </c>
      <c r="V120" s="17">
        <f>IF(OR(V119="",U119=""),"",IF(V119*U119&lt;=0,"",IFERROR(V119/U119-1,"")))</f>
        <v/>
      </c>
      <c r="W120" s="17">
        <f>IF(OR(W119="",V119=""),"",IF(W119*V119&lt;=0,"",IFERROR(W119/V119-1,"")))</f>
        <v/>
      </c>
      <c r="X120" s="17">
        <f>IF(OR(X119="",W119=""),"",IF(X119*W119&lt;=0,"",IFERROR(X119/W119-1,"")))</f>
        <v/>
      </c>
    </row>
    <row r="121">
      <c r="A121" s="20" t="inlineStr">
        <is>
          <t>손상차손</t>
        </is>
      </c>
      <c r="H121" s="22" t="n">
        <v>0</v>
      </c>
      <c r="I121" s="22" t="n">
        <v>232</v>
      </c>
      <c r="L121" s="22" t="n">
        <v>0</v>
      </c>
      <c r="M121" s="22" t="n">
        <v>0</v>
      </c>
      <c r="W121" s="22" t="n">
        <v>232</v>
      </c>
      <c r="X121" s="22" t="n">
        <v>0</v>
      </c>
    </row>
    <row r="122">
      <c r="A122" s="20" t="inlineStr">
        <is>
          <t>고정자산 제각손실</t>
        </is>
      </c>
      <c r="C122" s="22" t="n">
        <v>2.727</v>
      </c>
      <c r="D122" s="22" t="n">
        <v>0</v>
      </c>
      <c r="E122" s="22" t="n">
        <v>0.592</v>
      </c>
      <c r="F122" s="22" t="n">
        <v>0</v>
      </c>
      <c r="G122" s="22" t="n">
        <v>2</v>
      </c>
      <c r="H122" s="22" t="n">
        <v>0</v>
      </c>
      <c r="I122" s="22" t="n">
        <v>11</v>
      </c>
      <c r="J122" s="22" t="n">
        <v>1</v>
      </c>
      <c r="K122" s="22" t="n">
        <v>1</v>
      </c>
      <c r="L122" s="22" t="n">
        <v>2</v>
      </c>
      <c r="M122" s="22" t="n">
        <v>1</v>
      </c>
      <c r="N122" s="22" t="n">
        <v>1</v>
      </c>
      <c r="T122" s="22" t="n">
        <v>0.583</v>
      </c>
      <c r="U122" s="22" t="n">
        <v>0.168</v>
      </c>
      <c r="V122" s="22" t="n">
        <v>0.592</v>
      </c>
      <c r="W122" s="22" t="n">
        <v>11</v>
      </c>
      <c r="X122" s="22" t="n">
        <v>1</v>
      </c>
    </row>
    <row r="123">
      <c r="A123" s="20" t="inlineStr">
        <is>
          <t>특별손실 합계</t>
        </is>
      </c>
      <c r="C123" s="22" t="n">
        <v>2.727</v>
      </c>
      <c r="D123" s="22" t="n">
        <v>0</v>
      </c>
      <c r="E123" s="22" t="n">
        <v>0.592</v>
      </c>
      <c r="F123" s="22" t="n">
        <v>0</v>
      </c>
      <c r="G123" s="22" t="n">
        <v>2</v>
      </c>
      <c r="H123" s="22" t="n">
        <v>0</v>
      </c>
      <c r="I123" s="22" t="n">
        <v>243</v>
      </c>
      <c r="J123" s="22" t="n">
        <v>1</v>
      </c>
      <c r="K123" s="22" t="n">
        <v>163</v>
      </c>
      <c r="L123" s="22" t="n">
        <v>2</v>
      </c>
      <c r="M123" s="22" t="n">
        <v>1</v>
      </c>
      <c r="N123" s="22" t="n">
        <v>1</v>
      </c>
      <c r="T123" s="22" t="n">
        <v>0.583</v>
      </c>
      <c r="U123" s="22" t="n">
        <v>0.168</v>
      </c>
      <c r="V123" s="22" t="n">
        <v>0.592</v>
      </c>
      <c r="W123" s="22" t="n">
        <v>243</v>
      </c>
      <c r="X123" s="22" t="n">
        <v>1</v>
      </c>
    </row>
    <row r="124">
      <c r="A124" s="45" t="inlineStr">
        <is>
          <t>YoY</t>
        </is>
      </c>
      <c r="B124" s="3" t="inlineStr">
        <is>
          <t>전년 같은 분기·전년 대비</t>
        </is>
      </c>
      <c r="G124" s="17">
        <f>IF(OR(G123="",C123=""),"",IF(G123*C123&lt;=0,"",IFERROR(G123/C123-1,"")))</f>
        <v/>
      </c>
      <c r="H124" s="17">
        <f>IF(OR(H123="",D123=""),"",IF(H123*D123&lt;=0,"",IFERROR(H123/D123-1,"")))</f>
        <v/>
      </c>
      <c r="I124" s="17">
        <f>IF(OR(I123="",E123=""),"",IF(I123*E123&lt;=0,"",IFERROR(I123/E123-1,"")))</f>
        <v/>
      </c>
      <c r="J124" s="17">
        <f>IF(OR(J123="",F123=""),"",IF(J123*F123&lt;=0,"",IFERROR(J123/F123-1,"")))</f>
        <v/>
      </c>
      <c r="K124" s="17">
        <f>IF(OR(K123="",G123=""),"",IF(K123*G123&lt;=0,"",IFERROR(K123/G123-1,"")))</f>
        <v/>
      </c>
      <c r="L124" s="17">
        <f>IF(OR(L123="",H123=""),"",IF(L123*H123&lt;=0,"",IFERROR(L123/H123-1,"")))</f>
        <v/>
      </c>
      <c r="M124" s="17">
        <f>IF(OR(M123="",I123=""),"",IF(M123*I123&lt;=0,"",IFERROR(M123/I123-1,"")))</f>
        <v/>
      </c>
      <c r="N124" s="17">
        <f>IF(OR(N123="",J123=""),"",IF(N123*J123&lt;=0,"",IFERROR(N123/J123-1,"")))</f>
        <v/>
      </c>
      <c r="T124" s="17">
        <f>IF(OR(T123="",S123=""),"",IF(T123*S123&lt;=0,"",IFERROR(T123/S123-1,"")))</f>
        <v/>
      </c>
      <c r="U124" s="17">
        <f>IF(OR(U123="",T123=""),"",IF(U123*T123&lt;=0,"",IFERROR(U123/T123-1,"")))</f>
        <v/>
      </c>
      <c r="V124" s="17">
        <f>IF(OR(V123="",U123=""),"",IF(V123*U123&lt;=0,"",IFERROR(V123/U123-1,"")))</f>
        <v/>
      </c>
      <c r="W124" s="17">
        <f>IF(OR(W123="",V123=""),"",IF(W123*V123&lt;=0,"",IFERROR(W123/V123-1,"")))</f>
        <v/>
      </c>
      <c r="X124" s="17">
        <f>IF(OR(X123="",W123=""),"",IF(X123*W123&lt;=0,"",IFERROR(X123/W123-1,"")))</f>
        <v/>
      </c>
    </row>
    <row r="125">
      <c r="A125" s="9" t="inlineStr">
        <is>
          <t>법인세차감전 순이익</t>
        </is>
      </c>
      <c r="C125" s="12" t="n">
        <v>759.092</v>
      </c>
      <c r="D125" s="12" t="n">
        <v>615.857</v>
      </c>
      <c r="E125" s="12" t="n">
        <v>515.388</v>
      </c>
      <c r="F125" s="12" t="n">
        <v>381</v>
      </c>
      <c r="G125" s="12" t="n">
        <v>465</v>
      </c>
      <c r="H125" s="12" t="n">
        <v>296</v>
      </c>
      <c r="I125" s="12" t="n">
        <v>-308</v>
      </c>
      <c r="J125" s="12" t="n">
        <v>134</v>
      </c>
      <c r="K125" s="12" t="n">
        <v>237</v>
      </c>
      <c r="L125" s="12" t="n">
        <v>439</v>
      </c>
      <c r="M125" s="12" t="n">
        <v>203</v>
      </c>
      <c r="N125" s="12" t="n">
        <v>470</v>
      </c>
      <c r="T125" s="12" t="n">
        <v>479.068</v>
      </c>
      <c r="U125" s="12" t="n">
        <v>737.526</v>
      </c>
      <c r="V125" s="12" t="n">
        <v>515.388</v>
      </c>
      <c r="W125" s="12" t="n">
        <v>-308</v>
      </c>
      <c r="X125" s="12" t="n">
        <v>203</v>
      </c>
    </row>
    <row r="126">
      <c r="A126" s="45" t="inlineStr">
        <is>
          <t>YoY</t>
        </is>
      </c>
      <c r="B126" s="3" t="inlineStr">
        <is>
          <t>전년 같은 분기·전년 대비</t>
        </is>
      </c>
      <c r="G126" s="17">
        <f>IF(OR(G125="",C125=""),"",IF(C125&lt;=0,"",IFERROR(G125/C125-1,"")))</f>
        <v/>
      </c>
      <c r="H126" s="17">
        <f>IF(OR(H125="",D125=""),"",IF(D125&lt;=0,"",IFERROR(H125/D125-1,"")))</f>
        <v/>
      </c>
      <c r="I126" s="17">
        <f>IF(OR(I125="",E125=""),"",IF(E125&lt;=0,"",IFERROR(I125/E125-1,"")))</f>
        <v/>
      </c>
      <c r="J126" s="17">
        <f>IF(OR(J125="",F125=""),"",IF(F125&lt;=0,"",IFERROR(J125/F125-1,"")))</f>
        <v/>
      </c>
      <c r="K126" s="17">
        <f>IF(OR(K125="",G125=""),"",IF(G125&lt;=0,"",IFERROR(K125/G125-1,"")))</f>
        <v/>
      </c>
      <c r="L126" s="17">
        <f>IF(OR(L125="",H125=""),"",IF(H125&lt;=0,"",IFERROR(L125/H125-1,"")))</f>
        <v/>
      </c>
      <c r="M126" s="17">
        <f>IF(OR(M125="",I125=""),"",IF(I125&lt;=0,"",IFERROR(M125/I125-1,"")))</f>
        <v/>
      </c>
      <c r="N126" s="17">
        <f>IF(OR(N125="",J125=""),"",IF(J125&lt;=0,"",IFERROR(N125/J125-1,"")))</f>
        <v/>
      </c>
      <c r="T126" s="17">
        <f>IF(OR(T125="",S125=""),"",IF(S125&lt;=0,"",IFERROR(T125/S125-1,"")))</f>
        <v/>
      </c>
      <c r="U126" s="17">
        <f>IF(OR(U125="",T125=""),"",IF(T125&lt;=0,"",IFERROR(U125/T125-1,"")))</f>
        <v/>
      </c>
      <c r="V126" s="17">
        <f>IF(OR(V125="",U125=""),"",IF(U125&lt;=0,"",IFERROR(V125/U125-1,"")))</f>
        <v/>
      </c>
      <c r="W126" s="17">
        <f>IF(OR(W125="",V125=""),"",IF(V125&lt;=0,"",IFERROR(W125/V125-1,"")))</f>
        <v/>
      </c>
      <c r="X126" s="17">
        <f>IF(OR(X125="",W125=""),"",IF(W125&lt;=0,"",IFERROR(X125/W125-1,"")))</f>
        <v/>
      </c>
    </row>
    <row r="127">
      <c r="A127" s="20" t="inlineStr">
        <is>
          <t>법인세·주민세·사업세</t>
        </is>
      </c>
      <c r="C127" s="22" t="n">
        <v>341.903</v>
      </c>
      <c r="D127" s="22" t="n">
        <v>113.593</v>
      </c>
      <c r="E127" s="22" t="n">
        <v>124.363</v>
      </c>
      <c r="F127" s="22" t="n">
        <v>26</v>
      </c>
      <c r="G127" s="22" t="n">
        <v>240</v>
      </c>
      <c r="H127" s="22" t="n">
        <v>17</v>
      </c>
      <c r="I127" s="22" t="n">
        <v>149</v>
      </c>
      <c r="J127" s="22" t="n">
        <v>8</v>
      </c>
      <c r="K127" s="22" t="n">
        <v>187</v>
      </c>
      <c r="L127" s="22" t="n">
        <v>60</v>
      </c>
      <c r="M127" s="22" t="n">
        <v>253</v>
      </c>
      <c r="N127" s="22" t="n">
        <v>61</v>
      </c>
      <c r="T127" s="22" t="n">
        <v>186.775</v>
      </c>
      <c r="U127" s="22" t="n">
        <v>167.001</v>
      </c>
      <c r="V127" s="22" t="n">
        <v>124.363</v>
      </c>
      <c r="W127" s="22" t="n">
        <v>149</v>
      </c>
      <c r="X127" s="22" t="n">
        <v>253</v>
      </c>
    </row>
    <row r="128">
      <c r="A128" s="20" t="inlineStr">
        <is>
          <t>법인세 조정액</t>
        </is>
      </c>
      <c r="C128" s="22" t="n">
        <v>-100.03</v>
      </c>
      <c r="D128" s="22" t="n">
        <v>83.794</v>
      </c>
      <c r="E128" s="22" t="n">
        <v>-65.544</v>
      </c>
      <c r="F128" s="22" t="n">
        <v>97</v>
      </c>
      <c r="G128" s="22" t="n">
        <v>-77</v>
      </c>
      <c r="H128" s="22" t="n">
        <v>84</v>
      </c>
      <c r="I128" s="22" t="n">
        <v>-164</v>
      </c>
      <c r="J128" s="22" t="n">
        <v>37</v>
      </c>
      <c r="K128" s="22" t="n">
        <v>-97</v>
      </c>
      <c r="L128" s="22" t="n">
        <v>86</v>
      </c>
      <c r="M128" s="22" t="n">
        <v>-95</v>
      </c>
      <c r="N128" s="22" t="n">
        <v>100</v>
      </c>
      <c r="T128" s="22" t="n">
        <v>-45.466</v>
      </c>
      <c r="U128" s="22" t="n">
        <v>-81.827</v>
      </c>
      <c r="V128" s="22" t="n">
        <v>-65.544</v>
      </c>
      <c r="W128" s="22" t="n">
        <v>-164</v>
      </c>
      <c r="X128" s="22" t="n">
        <v>-95</v>
      </c>
    </row>
    <row r="129">
      <c r="A129" s="20" t="inlineStr">
        <is>
          <t>법인세 등 합계</t>
        </is>
      </c>
      <c r="C129" s="22" t="n">
        <v>241.873</v>
      </c>
      <c r="D129" s="22" t="n">
        <v>197.387</v>
      </c>
      <c r="E129" s="22" t="n">
        <v>58.819</v>
      </c>
      <c r="F129" s="22" t="n">
        <v>123</v>
      </c>
      <c r="G129" s="22" t="n">
        <v>163</v>
      </c>
      <c r="H129" s="22" t="n">
        <v>102</v>
      </c>
      <c r="I129" s="22" t="n">
        <v>-16</v>
      </c>
      <c r="J129" s="22" t="n">
        <v>45</v>
      </c>
      <c r="K129" s="22" t="n">
        <v>90</v>
      </c>
      <c r="L129" s="22" t="n">
        <v>146</v>
      </c>
      <c r="M129" s="22" t="n">
        <v>157</v>
      </c>
      <c r="N129" s="22" t="n">
        <v>162</v>
      </c>
      <c r="T129" s="22" t="n">
        <v>141.309</v>
      </c>
      <c r="U129" s="22" t="n">
        <v>85.17400000000001</v>
      </c>
      <c r="V129" s="22" t="n">
        <v>58.819</v>
      </c>
      <c r="W129" s="22" t="n">
        <v>-16</v>
      </c>
      <c r="X129" s="22" t="n">
        <v>157</v>
      </c>
    </row>
    <row r="130">
      <c r="A130" s="45" t="inlineStr">
        <is>
          <t>YoY</t>
        </is>
      </c>
      <c r="B130" s="3" t="inlineStr">
        <is>
          <t>전년 같은 분기·전년 대비</t>
        </is>
      </c>
      <c r="G130" s="17">
        <f>IF(OR(G129="",C129=""),"",IF(G129*C129&lt;=0,"",IFERROR(G129/C129-1,"")))</f>
        <v/>
      </c>
      <c r="H130" s="17">
        <f>IF(OR(H129="",D129=""),"",IF(H129*D129&lt;=0,"",IFERROR(H129/D129-1,"")))</f>
        <v/>
      </c>
      <c r="I130" s="17">
        <f>IF(OR(I129="",E129=""),"",IF(I129*E129&lt;=0,"",IFERROR(I129/E129-1,"")))</f>
        <v/>
      </c>
      <c r="J130" s="17">
        <f>IF(OR(J129="",F129=""),"",IF(J129*F129&lt;=0,"",IFERROR(J129/F129-1,"")))</f>
        <v/>
      </c>
      <c r="K130" s="17">
        <f>IF(OR(K129="",G129=""),"",IF(K129*G129&lt;=0,"",IFERROR(K129/G129-1,"")))</f>
        <v/>
      </c>
      <c r="L130" s="17">
        <f>IF(OR(L129="",H129=""),"",IF(L129*H129&lt;=0,"",IFERROR(L129/H129-1,"")))</f>
        <v/>
      </c>
      <c r="M130" s="17">
        <f>IF(OR(M129="",I129=""),"",IF(M129*I129&lt;=0,"",IFERROR(M129/I129-1,"")))</f>
        <v/>
      </c>
      <c r="N130" s="17">
        <f>IF(OR(N129="",J129=""),"",IF(N129*J129&lt;=0,"",IFERROR(N129/J129-1,"")))</f>
        <v/>
      </c>
      <c r="T130" s="17">
        <f>IF(OR(T129="",S129=""),"",IF(T129*S129&lt;=0,"",IFERROR(T129/S129-1,"")))</f>
        <v/>
      </c>
      <c r="U130" s="17">
        <f>IF(OR(U129="",T129=""),"",IF(U129*T129&lt;=0,"",IFERROR(U129/T129-1,"")))</f>
        <v/>
      </c>
      <c r="V130" s="17">
        <f>IF(OR(V129="",U129=""),"",IF(V129*U129&lt;=0,"",IFERROR(V129/U129-1,"")))</f>
        <v/>
      </c>
      <c r="W130" s="17">
        <f>IF(OR(W129="",V129=""),"",IF(W129*V129&lt;=0,"",IFERROR(W129/V129-1,"")))</f>
        <v/>
      </c>
      <c r="X130" s="17">
        <f>IF(OR(X129="",W129=""),"",IF(X129*W129&lt;=0,"",IFERROR(X129/W129-1,"")))</f>
        <v/>
      </c>
    </row>
    <row r="131">
      <c r="A131" s="9" t="inlineStr">
        <is>
          <t>순이익</t>
        </is>
      </c>
      <c r="C131" s="12" t="n">
        <v>517.2190000000001</v>
      </c>
      <c r="D131" s="12" t="n">
        <v>418.47</v>
      </c>
      <c r="E131" s="12" t="n">
        <v>456.569</v>
      </c>
      <c r="F131" s="12" t="n">
        <v>257</v>
      </c>
      <c r="G131" s="12" t="n">
        <v>303</v>
      </c>
      <c r="H131" s="12" t="n">
        <v>193</v>
      </c>
      <c r="I131" s="12" t="n">
        <v>-292</v>
      </c>
      <c r="J131" s="12" t="n">
        <v>88</v>
      </c>
      <c r="K131" s="12" t="n">
        <v>147</v>
      </c>
      <c r="L131" s="12" t="n">
        <v>293</v>
      </c>
      <c r="M131" s="12" t="n">
        <v>46</v>
      </c>
      <c r="N131" s="12" t="n">
        <v>307</v>
      </c>
      <c r="T131" s="12" t="n">
        <v>337.759</v>
      </c>
      <c r="U131" s="12" t="n">
        <v>652.352</v>
      </c>
      <c r="V131" s="12" t="n">
        <v>456.569</v>
      </c>
      <c r="W131" s="12" t="n">
        <v>-292</v>
      </c>
      <c r="X131" s="12" t="n">
        <v>46</v>
      </c>
    </row>
    <row r="132">
      <c r="A132" s="45" t="inlineStr">
        <is>
          <t>YoY</t>
        </is>
      </c>
      <c r="B132" s="3" t="inlineStr">
        <is>
          <t>전년 같은 분기·전년 대비</t>
        </is>
      </c>
      <c r="G132" s="17">
        <f>IF(OR(G131="",C131=""),"",IF(C131&lt;=0,"",IFERROR(G131/C131-1,"")))</f>
        <v/>
      </c>
      <c r="H132" s="17">
        <f>IF(OR(H131="",D131=""),"",IF(D131&lt;=0,"",IFERROR(H131/D131-1,"")))</f>
        <v/>
      </c>
      <c r="I132" s="17">
        <f>IF(OR(I131="",E131=""),"",IF(E131&lt;=0,"",IFERROR(I131/E131-1,"")))</f>
        <v/>
      </c>
      <c r="J132" s="17">
        <f>IF(OR(J131="",F131=""),"",IF(F131&lt;=0,"",IFERROR(J131/F131-1,"")))</f>
        <v/>
      </c>
      <c r="K132" s="17">
        <f>IF(OR(K131="",G131=""),"",IF(G131&lt;=0,"",IFERROR(K131/G131-1,"")))</f>
        <v/>
      </c>
      <c r="L132" s="17">
        <f>IF(OR(L131="",H131=""),"",IF(H131&lt;=0,"",IFERROR(L131/H131-1,"")))</f>
        <v/>
      </c>
      <c r="M132" s="17">
        <f>IF(OR(M131="",I131=""),"",IF(I131&lt;=0,"",IFERROR(M131/I131-1,"")))</f>
        <v/>
      </c>
      <c r="N132" s="17">
        <f>IF(OR(N131="",J131=""),"",IF(J131&lt;=0,"",IFERROR(N131/J131-1,"")))</f>
        <v/>
      </c>
      <c r="T132" s="17">
        <f>IF(OR(T131="",S131=""),"",IF(S131&lt;=0,"",IFERROR(T131/S131-1,"")))</f>
        <v/>
      </c>
      <c r="U132" s="17">
        <f>IF(OR(U131="",T131=""),"",IF(T131&lt;=0,"",IFERROR(U131/T131-1,"")))</f>
        <v/>
      </c>
      <c r="V132" s="17">
        <f>IF(OR(V131="",U131=""),"",IF(U131&lt;=0,"",IFERROR(V131/U131-1,"")))</f>
        <v/>
      </c>
      <c r="W132" s="17">
        <f>IF(OR(W131="",V131=""),"",IF(V131&lt;=0,"",IFERROR(W131/V131-1,"")))</f>
        <v/>
      </c>
      <c r="X132" s="17">
        <f>IF(OR(X131="",W131=""),"",IF(W131&lt;=0,"",IFERROR(X131/W131-1,"")))</f>
        <v/>
      </c>
    </row>
    <row r="133">
      <c r="A133" s="9" t="inlineStr">
        <is>
          <t>비지배주주 순손익</t>
        </is>
      </c>
      <c r="E133" s="12" t="n">
        <v>0</v>
      </c>
      <c r="F133" s="12" t="n">
        <v>0</v>
      </c>
      <c r="G133" s="12" t="n">
        <v>0</v>
      </c>
      <c r="H133" s="12" t="n">
        <v>5</v>
      </c>
      <c r="I133" s="12" t="n">
        <v>4</v>
      </c>
      <c r="J133" s="12" t="n">
        <v>-8</v>
      </c>
      <c r="K133" s="12" t="n">
        <v>-1</v>
      </c>
      <c r="L133" s="12" t="n">
        <v>1</v>
      </c>
      <c r="M133" s="12" t="n">
        <v>4</v>
      </c>
      <c r="N133" s="12" t="n">
        <v>8</v>
      </c>
      <c r="V133" s="12" t="n">
        <v>0</v>
      </c>
      <c r="W133" s="12" t="n">
        <v>4</v>
      </c>
      <c r="X133" s="12" t="n">
        <v>4</v>
      </c>
    </row>
    <row r="134">
      <c r="A134" s="9" t="inlineStr">
        <is>
          <t>지배주주 순이익</t>
        </is>
      </c>
      <c r="C134" s="12" t="n">
        <v>517.2190000000001</v>
      </c>
      <c r="D134" s="12" t="n">
        <v>418.47</v>
      </c>
      <c r="E134" s="12" t="n">
        <v>456.569</v>
      </c>
      <c r="F134" s="12" t="n">
        <v>257</v>
      </c>
      <c r="G134" s="12" t="n">
        <v>303</v>
      </c>
      <c r="H134" s="12" t="n">
        <v>188</v>
      </c>
      <c r="I134" s="12" t="n">
        <v>-296</v>
      </c>
      <c r="J134" s="12" t="n">
        <v>97</v>
      </c>
      <c r="K134" s="12" t="n">
        <v>148</v>
      </c>
      <c r="L134" s="12" t="n">
        <v>292</v>
      </c>
      <c r="M134" s="12" t="n">
        <v>42</v>
      </c>
      <c r="N134" s="12" t="n">
        <v>299</v>
      </c>
      <c r="T134" s="12" t="n">
        <v>337.759</v>
      </c>
      <c r="U134" s="12" t="n">
        <v>652.352</v>
      </c>
      <c r="V134" s="12" t="n">
        <v>456.569</v>
      </c>
      <c r="W134" s="12" t="n">
        <v>-296</v>
      </c>
      <c r="X134" s="12" t="n">
        <v>42</v>
      </c>
    </row>
    <row r="135">
      <c r="A135" s="45" t="inlineStr">
        <is>
          <t>YoY</t>
        </is>
      </c>
      <c r="B135" s="3" t="inlineStr">
        <is>
          <t>전년 같은 분기·전년 대비</t>
        </is>
      </c>
      <c r="G135" s="17">
        <f>IF(OR(G134="",C134=""),"",IF(C134&lt;=0,"",IFERROR(G134/C134-1,"")))</f>
        <v/>
      </c>
      <c r="H135" s="17">
        <f>IF(OR(H134="",D134=""),"",IF(D134&lt;=0,"",IFERROR(H134/D134-1,"")))</f>
        <v/>
      </c>
      <c r="I135" s="17">
        <f>IF(OR(I134="",E134=""),"",IF(E134&lt;=0,"",IFERROR(I134/E134-1,"")))</f>
        <v/>
      </c>
      <c r="J135" s="17">
        <f>IF(OR(J134="",F134=""),"",IF(F134&lt;=0,"",IFERROR(J134/F134-1,"")))</f>
        <v/>
      </c>
      <c r="K135" s="17">
        <f>IF(OR(K134="",G134=""),"",IF(G134&lt;=0,"",IFERROR(K134/G134-1,"")))</f>
        <v/>
      </c>
      <c r="L135" s="17">
        <f>IF(OR(L134="",H134=""),"",IF(H134&lt;=0,"",IFERROR(L134/H134-1,"")))</f>
        <v/>
      </c>
      <c r="M135" s="17">
        <f>IF(OR(M134="",I134=""),"",IF(I134&lt;=0,"",IFERROR(M134/I134-1,"")))</f>
        <v/>
      </c>
      <c r="N135" s="17">
        <f>IF(OR(N134="",J134=""),"",IF(J134&lt;=0,"",IFERROR(N134/J134-1,"")))</f>
        <v/>
      </c>
      <c r="T135" s="17">
        <f>IF(OR(T134="",S134=""),"",IF(S134&lt;=0,"",IFERROR(T134/S134-1,"")))</f>
        <v/>
      </c>
      <c r="U135" s="17">
        <f>IF(OR(U134="",T134=""),"",IF(T134&lt;=0,"",IFERROR(U134/T134-1,"")))</f>
        <v/>
      </c>
      <c r="V135" s="17">
        <f>IF(OR(V134="",U134=""),"",IF(U134&lt;=0,"",IFERROR(V134/U134-1,"")))</f>
        <v/>
      </c>
      <c r="W135" s="17">
        <f>IF(OR(W134="",V134=""),"",IF(V134&lt;=0,"",IFERROR(W134/V134-1,"")))</f>
        <v/>
      </c>
      <c r="X135" s="17">
        <f>IF(OR(X134="",W134=""),"",IF(W134&lt;=0,"",IFERROR(X134/W134-1,"")))</f>
        <v/>
      </c>
    </row>
    <row r="137">
      <c r="A137" s="18" t="inlineStr">
        <is>
          <t>포괄손익 · 전 항목</t>
        </is>
      </c>
      <c r="B137" s="44" t="inlineStr">
        <is>
          <t>분기 = 3개월 단독</t>
        </is>
      </c>
      <c r="C137" s="18" t="n"/>
      <c r="D137" s="18" t="n"/>
      <c r="E137" s="18" t="n"/>
      <c r="F137" s="18" t="n"/>
      <c r="G137" s="18" t="n"/>
      <c r="H137" s="18" t="n"/>
      <c r="I137" s="18" t="n"/>
      <c r="J137" s="18" t="n"/>
      <c r="K137" s="18" t="n"/>
      <c r="L137" s="18" t="n"/>
      <c r="M137" s="18" t="n"/>
      <c r="N137" s="18" t="n"/>
      <c r="O137" s="18" t="n"/>
      <c r="P137" s="18" t="n"/>
      <c r="Q137" s="18" t="n"/>
      <c r="R137" s="18" t="n"/>
      <c r="S137" s="18" t="n"/>
      <c r="T137" s="18" t="n"/>
      <c r="U137" s="18" t="n"/>
      <c r="V137" s="18" t="n"/>
      <c r="W137" s="18" t="n"/>
      <c r="X137" s="18" t="n"/>
      <c r="Y137" s="18" t="n"/>
      <c r="Z137" s="18" t="n"/>
      <c r="AA137" s="18" t="n"/>
      <c r="AB137" s="18" t="n"/>
      <c r="AC137" s="18" t="n"/>
    </row>
    <row r="138">
      <c r="A138" s="5" t="inlineStr">
        <is>
          <t>항목</t>
        </is>
      </c>
      <c r="B138" s="5" t="inlineStr">
        <is>
          <t>참고</t>
        </is>
      </c>
      <c r="C138" s="5" t="inlineStr">
        <is>
          <t>2024.2Q</t>
        </is>
      </c>
      <c r="D138" s="5" t="inlineStr">
        <is>
          <t>2024.3Q</t>
        </is>
      </c>
      <c r="E138" s="5" t="inlineStr">
        <is>
          <t>2024.4Q</t>
        </is>
      </c>
      <c r="F138" s="5" t="inlineStr">
        <is>
          <t>2025.1Q</t>
        </is>
      </c>
      <c r="G138" s="5" t="inlineStr">
        <is>
          <t>2025.2Q</t>
        </is>
      </c>
      <c r="H138" s="5" t="inlineStr">
        <is>
          <t>2025.3Q</t>
        </is>
      </c>
      <c r="I138" s="5" t="inlineStr">
        <is>
          <t>2025.4Q</t>
        </is>
      </c>
      <c r="J138" s="5" t="inlineStr">
        <is>
          <t>2026.1Q</t>
        </is>
      </c>
      <c r="K138" s="5" t="inlineStr">
        <is>
          <t>2026.2Q</t>
        </is>
      </c>
      <c r="L138" s="5" t="inlineStr">
        <is>
          <t>2026.3Q</t>
        </is>
      </c>
      <c r="M138" s="5" t="inlineStr">
        <is>
          <t>2026.4Q</t>
        </is>
      </c>
      <c r="N138" s="5" t="inlineStr">
        <is>
          <t>2027.1Q</t>
        </is>
      </c>
      <c r="O138" s="5" t="inlineStr">
        <is>
          <t>2017</t>
        </is>
      </c>
      <c r="P138" s="5" t="inlineStr">
        <is>
          <t>2018</t>
        </is>
      </c>
      <c r="Q138" s="5" t="inlineStr">
        <is>
          <t>2019</t>
        </is>
      </c>
      <c r="R138" s="5" t="inlineStr">
        <is>
          <t>2020</t>
        </is>
      </c>
      <c r="S138" s="5" t="inlineStr">
        <is>
          <t>2021</t>
        </is>
      </c>
      <c r="T138" s="5" t="inlineStr">
        <is>
          <t>2022</t>
        </is>
      </c>
      <c r="U138" s="5" t="inlineStr">
        <is>
          <t>2023</t>
        </is>
      </c>
      <c r="V138" s="5" t="inlineStr">
        <is>
          <t>2024</t>
        </is>
      </c>
      <c r="W138" s="5" t="inlineStr">
        <is>
          <t>2025</t>
        </is>
      </c>
      <c r="X138" s="5" t="inlineStr">
        <is>
          <t>2026</t>
        </is>
      </c>
      <c r="Y138" s="5" t="inlineStr">
        <is>
          <t>2027(MW)</t>
        </is>
      </c>
      <c r="Z138" s="5" t="inlineStr">
        <is>
          <t>2028(MW)</t>
        </is>
      </c>
      <c r="AA138" s="5" t="inlineStr">
        <is>
          <t>2029(MW)</t>
        </is>
      </c>
      <c r="AB138" s="5" t="inlineStr">
        <is>
          <t>2030(MW)</t>
        </is>
      </c>
      <c r="AC138" s="5" t="inlineStr">
        <is>
          <t>2031(MW)</t>
        </is>
      </c>
    </row>
    <row r="139">
      <c r="A139" s="9" t="inlineStr">
        <is>
          <t>순이익</t>
        </is>
      </c>
      <c r="C139" s="12" t="n">
        <v>517.2190000000001</v>
      </c>
      <c r="D139" s="12" t="n">
        <v>418.47</v>
      </c>
      <c r="E139" s="12" t="n">
        <v>456.569</v>
      </c>
      <c r="F139" s="12" t="n">
        <v>257</v>
      </c>
      <c r="G139" s="12" t="n">
        <v>303</v>
      </c>
      <c r="H139" s="12" t="n">
        <v>193</v>
      </c>
      <c r="I139" s="12" t="n">
        <v>-292</v>
      </c>
      <c r="J139" s="12" t="n">
        <v>88</v>
      </c>
      <c r="K139" s="12" t="n">
        <v>147</v>
      </c>
      <c r="L139" s="12" t="n">
        <v>293</v>
      </c>
      <c r="M139" s="12" t="n">
        <v>46</v>
      </c>
      <c r="N139" s="12" t="n">
        <v>307</v>
      </c>
      <c r="T139" s="12" t="n">
        <v>337.759</v>
      </c>
      <c r="U139" s="12" t="n">
        <v>652.352</v>
      </c>
      <c r="V139" s="12" t="n">
        <v>456.569</v>
      </c>
      <c r="W139" s="12" t="n">
        <v>-292</v>
      </c>
      <c r="X139" s="12" t="n">
        <v>46</v>
      </c>
    </row>
    <row r="140">
      <c r="A140" s="20" t="inlineStr">
        <is>
          <t>해외사업환산조정</t>
        </is>
      </c>
      <c r="J140" s="22" t="n">
        <v>0</v>
      </c>
      <c r="N140" s="22" t="n">
        <v>19</v>
      </c>
    </row>
    <row r="141">
      <c r="A141" s="20" t="inlineStr">
        <is>
          <t>기타포괄손익 합계</t>
        </is>
      </c>
      <c r="J141" s="22" t="n">
        <v>0</v>
      </c>
      <c r="N141" s="22" t="n">
        <v>19</v>
      </c>
    </row>
    <row r="142">
      <c r="A142" s="9" t="inlineStr">
        <is>
          <t>포괄이익</t>
        </is>
      </c>
      <c r="C142" s="12" t="n">
        <v>517.2190000000001</v>
      </c>
      <c r="D142" s="12" t="n">
        <v>418.47</v>
      </c>
      <c r="E142" s="12" t="n">
        <v>456.569</v>
      </c>
      <c r="F142" s="12" t="n">
        <v>257</v>
      </c>
      <c r="G142" s="12" t="n">
        <v>303</v>
      </c>
      <c r="H142" s="12" t="n">
        <v>193</v>
      </c>
      <c r="I142" s="12" t="n">
        <v>-292</v>
      </c>
      <c r="J142" s="12" t="n">
        <v>88</v>
      </c>
      <c r="K142" s="12" t="n">
        <v>147</v>
      </c>
      <c r="L142" s="12" t="n">
        <v>293</v>
      </c>
      <c r="M142" s="12" t="n">
        <v>46</v>
      </c>
      <c r="N142" s="12" t="n">
        <v>327</v>
      </c>
      <c r="T142" s="12" t="n">
        <v>337.759</v>
      </c>
      <c r="U142" s="12" t="n">
        <v>652.352</v>
      </c>
      <c r="V142" s="12" t="n">
        <v>456.569</v>
      </c>
      <c r="W142" s="12" t="n">
        <v>-292</v>
      </c>
      <c r="X142" s="12" t="n">
        <v>46</v>
      </c>
    </row>
    <row r="143">
      <c r="A143" s="9" t="inlineStr">
        <is>
          <t>지배주주 포괄이익</t>
        </is>
      </c>
      <c r="C143" s="12" t="n">
        <v>517.2190000000001</v>
      </c>
      <c r="D143" s="12" t="n">
        <v>418.47</v>
      </c>
      <c r="E143" s="12" t="n">
        <v>456.569</v>
      </c>
      <c r="F143" s="12" t="n">
        <v>257</v>
      </c>
      <c r="G143" s="12" t="n">
        <v>303</v>
      </c>
      <c r="H143" s="12" t="n">
        <v>188</v>
      </c>
      <c r="I143" s="12" t="n">
        <v>-296</v>
      </c>
      <c r="J143" s="12" t="n">
        <v>97</v>
      </c>
      <c r="K143" s="12" t="n">
        <v>148</v>
      </c>
      <c r="L143" s="12" t="n">
        <v>292</v>
      </c>
      <c r="M143" s="12" t="n">
        <v>42</v>
      </c>
      <c r="N143" s="12" t="n">
        <v>317</v>
      </c>
      <c r="T143" s="12" t="n">
        <v>337.759</v>
      </c>
      <c r="U143" s="12" t="n">
        <v>652.352</v>
      </c>
      <c r="V143" s="12" t="n">
        <v>456.569</v>
      </c>
      <c r="W143" s="12" t="n">
        <v>-296</v>
      </c>
      <c r="X143" s="12" t="n">
        <v>42</v>
      </c>
    </row>
    <row r="144">
      <c r="A144" s="9" t="inlineStr">
        <is>
          <t>비지배주주 포괄이익</t>
        </is>
      </c>
      <c r="E144" s="12" t="n">
        <v>0</v>
      </c>
      <c r="F144" s="12" t="n">
        <v>0</v>
      </c>
      <c r="G144" s="12" t="n">
        <v>0</v>
      </c>
      <c r="H144" s="12" t="n">
        <v>5</v>
      </c>
      <c r="I144" s="12" t="n">
        <v>4</v>
      </c>
      <c r="J144" s="12" t="n">
        <v>-8</v>
      </c>
      <c r="K144" s="12" t="n">
        <v>-1</v>
      </c>
      <c r="L144" s="12" t="n">
        <v>1</v>
      </c>
      <c r="M144" s="12" t="n">
        <v>4</v>
      </c>
      <c r="N144" s="12" t="n">
        <v>10</v>
      </c>
      <c r="V144" s="12" t="n">
        <v>0</v>
      </c>
      <c r="W144" s="12" t="n">
        <v>4</v>
      </c>
      <c r="X144" s="12" t="n">
        <v>4</v>
      </c>
    </row>
    <row r="146">
      <c r="A146" s="18" t="inlineStr">
        <is>
          <t>현금흐름표 · 전 항목</t>
        </is>
      </c>
      <c r="B146" s="44" t="inlineStr">
        <is>
          <t>분기 = 결산기 첫날부터 누계(공시 그대로)</t>
        </is>
      </c>
      <c r="C146" s="18" t="n"/>
      <c r="D146" s="18" t="n"/>
      <c r="E146" s="18" t="n"/>
      <c r="F146" s="18" t="n"/>
      <c r="G146" s="18" t="n"/>
      <c r="H146" s="18" t="n"/>
      <c r="I146" s="18" t="n"/>
      <c r="J146" s="18" t="n"/>
      <c r="K146" s="18" t="n"/>
      <c r="L146" s="18" t="n"/>
      <c r="M146" s="18" t="n"/>
      <c r="N146" s="18" t="n"/>
      <c r="O146" s="18" t="n"/>
      <c r="P146" s="18" t="n"/>
      <c r="Q146" s="18" t="n"/>
      <c r="R146" s="18" t="n"/>
      <c r="S146" s="18" t="n"/>
      <c r="T146" s="18" t="n"/>
      <c r="U146" s="18" t="n"/>
      <c r="V146" s="18" t="n"/>
      <c r="W146" s="18" t="n"/>
      <c r="X146" s="18" t="n"/>
      <c r="Y146" s="18" t="n"/>
      <c r="Z146" s="18" t="n"/>
      <c r="AA146" s="18" t="n"/>
      <c r="AB146" s="18" t="n"/>
      <c r="AC146" s="18" t="n"/>
    </row>
    <row r="147">
      <c r="A147" s="5" t="inlineStr">
        <is>
          <t>항목</t>
        </is>
      </c>
      <c r="B147" s="5" t="inlineStr">
        <is>
          <t>참고</t>
        </is>
      </c>
      <c r="C147" s="5" t="inlineStr">
        <is>
          <t>2024.2Q</t>
        </is>
      </c>
      <c r="D147" s="5" t="inlineStr">
        <is>
          <t>2024.3Q</t>
        </is>
      </c>
      <c r="E147" s="5" t="inlineStr">
        <is>
          <t>2024.4Q</t>
        </is>
      </c>
      <c r="F147" s="5" t="inlineStr">
        <is>
          <t>2025.1Q</t>
        </is>
      </c>
      <c r="G147" s="5" t="inlineStr">
        <is>
          <t>2025.2Q</t>
        </is>
      </c>
      <c r="H147" s="5" t="inlineStr">
        <is>
          <t>2025.3Q</t>
        </is>
      </c>
      <c r="I147" s="5" t="inlineStr">
        <is>
          <t>2025.4Q</t>
        </is>
      </c>
      <c r="J147" s="5" t="inlineStr">
        <is>
          <t>2026.1Q</t>
        </is>
      </c>
      <c r="K147" s="5" t="inlineStr">
        <is>
          <t>2026.2Q</t>
        </is>
      </c>
      <c r="L147" s="5" t="inlineStr">
        <is>
          <t>2026.3Q</t>
        </is>
      </c>
      <c r="M147" s="5" t="inlineStr">
        <is>
          <t>2026.4Q</t>
        </is>
      </c>
      <c r="N147" s="5" t="inlineStr">
        <is>
          <t>2027.1Q</t>
        </is>
      </c>
      <c r="O147" s="5" t="inlineStr">
        <is>
          <t>2017</t>
        </is>
      </c>
      <c r="P147" s="5" t="inlineStr">
        <is>
          <t>2018</t>
        </is>
      </c>
      <c r="Q147" s="5" t="inlineStr">
        <is>
          <t>2019</t>
        </is>
      </c>
      <c r="R147" s="5" t="inlineStr">
        <is>
          <t>2020</t>
        </is>
      </c>
      <c r="S147" s="5" t="inlineStr">
        <is>
          <t>2021</t>
        </is>
      </c>
      <c r="T147" s="5" t="inlineStr">
        <is>
          <t>2022</t>
        </is>
      </c>
      <c r="U147" s="5" t="inlineStr">
        <is>
          <t>2023</t>
        </is>
      </c>
      <c r="V147" s="5" t="inlineStr">
        <is>
          <t>2024</t>
        </is>
      </c>
      <c r="W147" s="5" t="inlineStr">
        <is>
          <t>2025</t>
        </is>
      </c>
      <c r="X147" s="5" t="inlineStr">
        <is>
          <t>2026</t>
        </is>
      </c>
      <c r="Y147" s="5" t="inlineStr">
        <is>
          <t>2027(MW)</t>
        </is>
      </c>
      <c r="Z147" s="5" t="inlineStr">
        <is>
          <t>2028(MW)</t>
        </is>
      </c>
      <c r="AA147" s="5" t="inlineStr">
        <is>
          <t>2029(MW)</t>
        </is>
      </c>
      <c r="AB147" s="5" t="inlineStr">
        <is>
          <t>2030(MW)</t>
        </is>
      </c>
      <c r="AC147" s="5" t="inlineStr">
        <is>
          <t>2031(MW)</t>
        </is>
      </c>
    </row>
    <row r="148">
      <c r="A148" s="9" t="inlineStr">
        <is>
          <t>법인세차감전 순이익</t>
        </is>
      </c>
      <c r="C148" s="12" t="n">
        <v>1406.188</v>
      </c>
      <c r="E148" s="12" t="n">
        <v>2537.433</v>
      </c>
      <c r="G148" s="12" t="n">
        <v>846</v>
      </c>
      <c r="I148" s="12" t="n">
        <v>834</v>
      </c>
      <c r="K148" s="12" t="n">
        <v>371</v>
      </c>
      <c r="M148" s="12" t="n">
        <v>1013</v>
      </c>
      <c r="S148" s="12" t="n">
        <v>2164.291</v>
      </c>
      <c r="T148" s="12" t="n">
        <v>2590.056</v>
      </c>
      <c r="U148" s="12" t="n">
        <v>2268.893</v>
      </c>
      <c r="V148" s="12" t="n">
        <v>2537.433</v>
      </c>
      <c r="W148" s="12" t="n">
        <v>834</v>
      </c>
      <c r="X148" s="12" t="n">
        <v>1013</v>
      </c>
    </row>
    <row r="149">
      <c r="A149" s="20" t="inlineStr">
        <is>
          <t>감가상각비</t>
        </is>
      </c>
      <c r="C149" s="22" t="n">
        <v>136.272</v>
      </c>
      <c r="E149" s="22" t="n">
        <v>296.356</v>
      </c>
      <c r="G149" s="22" t="n">
        <v>164</v>
      </c>
      <c r="I149" s="22" t="n">
        <v>390</v>
      </c>
      <c r="K149" s="22" t="n">
        <v>276</v>
      </c>
      <c r="M149" s="22" t="n">
        <v>492</v>
      </c>
      <c r="S149" s="22" t="n">
        <v>172.895</v>
      </c>
      <c r="T149" s="22" t="n">
        <v>195.208</v>
      </c>
      <c r="U149" s="22" t="n">
        <v>223.665</v>
      </c>
      <c r="V149" s="22" t="n">
        <v>296.356</v>
      </c>
      <c r="W149" s="22" t="n">
        <v>390</v>
      </c>
      <c r="X149" s="22" t="n">
        <v>492</v>
      </c>
    </row>
    <row r="150">
      <c r="A150" s="20" t="inlineStr">
        <is>
          <t>영업권 상각</t>
        </is>
      </c>
      <c r="C150" s="22" t="n">
        <v>7.671</v>
      </c>
      <c r="E150" s="22" t="n">
        <v>12.06</v>
      </c>
      <c r="G150" s="22" t="n">
        <v>4</v>
      </c>
      <c r="I150" s="22" t="n">
        <v>8</v>
      </c>
      <c r="K150" s="22" t="n">
        <v>4</v>
      </c>
      <c r="M150" s="22" t="n">
        <v>4</v>
      </c>
      <c r="S150" s="22" t="n">
        <v>12.718</v>
      </c>
      <c r="T150" s="22" t="n">
        <v>5.648</v>
      </c>
      <c r="U150" s="22" t="n">
        <v>8.169</v>
      </c>
      <c r="V150" s="22" t="n">
        <v>12.06</v>
      </c>
      <c r="W150" s="22" t="n">
        <v>8</v>
      </c>
      <c r="X150" s="22" t="n">
        <v>4</v>
      </c>
    </row>
    <row r="151">
      <c r="A151" s="20" t="inlineStr">
        <is>
          <t>대손충당금 증감</t>
        </is>
      </c>
      <c r="E151" s="22" t="n">
        <v>0</v>
      </c>
      <c r="G151" s="22" t="n">
        <v>0</v>
      </c>
      <c r="I151" s="22" t="n">
        <v>3</v>
      </c>
      <c r="K151" s="22" t="n">
        <v>-1</v>
      </c>
      <c r="M151" s="22" t="n">
        <v>-0</v>
      </c>
      <c r="V151" s="22" t="n">
        <v>0</v>
      </c>
      <c r="W151" s="22" t="n">
        <v>3</v>
      </c>
      <c r="X151" s="22" t="n">
        <v>-0</v>
      </c>
    </row>
    <row r="152">
      <c r="A152" s="20" t="inlineStr">
        <is>
          <t>상여충당금 증감</t>
        </is>
      </c>
      <c r="C152" s="22" t="n">
        <v>51.142</v>
      </c>
      <c r="E152" s="22" t="n">
        <v>23.846</v>
      </c>
      <c r="G152" s="22" t="n">
        <v>8</v>
      </c>
      <c r="I152" s="22" t="n">
        <v>12</v>
      </c>
      <c r="K152" s="22" t="n">
        <v>30</v>
      </c>
      <c r="M152" s="22" t="n">
        <v>22</v>
      </c>
      <c r="S152" s="22" t="n">
        <v>-22.282</v>
      </c>
      <c r="T152" s="22" t="n">
        <v>34.708</v>
      </c>
      <c r="U152" s="22" t="n">
        <v>-48.613</v>
      </c>
      <c r="V152" s="22" t="n">
        <v>23.846</v>
      </c>
      <c r="W152" s="22" t="n">
        <v>12</v>
      </c>
      <c r="X152" s="22" t="n">
        <v>22</v>
      </c>
    </row>
    <row r="153">
      <c r="A153" s="20" t="inlineStr">
        <is>
          <t>임원 주식급여 충당금 증감</t>
        </is>
      </c>
      <c r="S153" s="22" t="n">
        <v>-4.079</v>
      </c>
      <c r="T153" s="22" t="n">
        <v>0</v>
      </c>
    </row>
    <row r="154">
      <c r="A154" s="20" t="inlineStr">
        <is>
          <t>주주우대 충당금 증감</t>
        </is>
      </c>
      <c r="C154" s="22" t="n">
        <v>0</v>
      </c>
      <c r="E154" s="22" t="n">
        <v>74.625</v>
      </c>
      <c r="G154" s="22" t="n">
        <v>-74</v>
      </c>
      <c r="I154" s="22" t="n">
        <v>122</v>
      </c>
      <c r="K154" s="22" t="n">
        <v>-197</v>
      </c>
      <c r="M154" s="22" t="n">
        <v>41</v>
      </c>
      <c r="U154" s="22" t="n">
        <v>0</v>
      </c>
      <c r="V154" s="22" t="n">
        <v>74.625</v>
      </c>
      <c r="W154" s="22" t="n">
        <v>122</v>
      </c>
      <c r="X154" s="22" t="n">
        <v>41</v>
      </c>
    </row>
    <row r="155">
      <c r="A155" s="20" t="inlineStr">
        <is>
          <t>이자·배당금 수익</t>
        </is>
      </c>
      <c r="C155" s="22" t="n">
        <v>-0.002</v>
      </c>
      <c r="E155" s="22" t="n">
        <v>-0.003</v>
      </c>
      <c r="G155" s="22" t="n">
        <v>-0</v>
      </c>
      <c r="I155" s="22" t="n">
        <v>-0</v>
      </c>
      <c r="K155" s="22" t="n">
        <v>-0</v>
      </c>
      <c r="M155" s="22" t="n">
        <v>-0</v>
      </c>
      <c r="S155" s="22" t="n">
        <v>-0</v>
      </c>
      <c r="T155" s="22" t="n">
        <v>-0.001</v>
      </c>
      <c r="U155" s="22" t="n">
        <v>-0.002</v>
      </c>
      <c r="V155" s="22" t="n">
        <v>-0.003</v>
      </c>
      <c r="W155" s="22" t="n">
        <v>-0</v>
      </c>
      <c r="X155" s="22" t="n">
        <v>-0</v>
      </c>
    </row>
    <row r="156">
      <c r="A156" s="20" t="inlineStr">
        <is>
          <t>보험금 수익</t>
        </is>
      </c>
      <c r="E156" s="22" t="n">
        <v>-2.144</v>
      </c>
      <c r="I156" s="22" t="n">
        <v>0</v>
      </c>
      <c r="M156" s="22" t="n">
        <v>-6</v>
      </c>
      <c r="S156" s="22" t="n">
        <v>0</v>
      </c>
      <c r="T156" s="22" t="n">
        <v>-5.649</v>
      </c>
      <c r="U156" s="22" t="n">
        <v>0</v>
      </c>
      <c r="V156" s="22" t="n">
        <v>-2.144</v>
      </c>
      <c r="W156" s="22" t="n">
        <v>0</v>
      </c>
      <c r="X156" s="22" t="n">
        <v>-6</v>
      </c>
    </row>
    <row r="157">
      <c r="A157" s="20" t="inlineStr">
        <is>
          <t>보상금 수취</t>
        </is>
      </c>
      <c r="E157" s="22" t="n">
        <v>0</v>
      </c>
      <c r="I157" s="22" t="n">
        <v>-1</v>
      </c>
      <c r="M157" s="22" t="n">
        <v>0</v>
      </c>
      <c r="V157" s="22" t="n">
        <v>0</v>
      </c>
      <c r="W157" s="22" t="n">
        <v>-1</v>
      </c>
      <c r="X157" s="22" t="n">
        <v>0</v>
      </c>
    </row>
    <row r="158">
      <c r="A158" s="20" t="inlineStr">
        <is>
          <t>보조금 수입</t>
        </is>
      </c>
      <c r="C158" s="22" t="n">
        <v>-4.564</v>
      </c>
      <c r="E158" s="22" t="n">
        <v>-11.167</v>
      </c>
      <c r="G158" s="22" t="n">
        <v>-5</v>
      </c>
      <c r="I158" s="22" t="n">
        <v>-5</v>
      </c>
      <c r="K158" s="22" t="n">
        <v>-5</v>
      </c>
      <c r="M158" s="22" t="n">
        <v>-13</v>
      </c>
      <c r="S158" s="22" t="n">
        <v>-37.041</v>
      </c>
      <c r="T158" s="22" t="n">
        <v>-53.906</v>
      </c>
      <c r="U158" s="22" t="n">
        <v>-42.684</v>
      </c>
      <c r="V158" s="22" t="n">
        <v>-11.167</v>
      </c>
      <c r="W158" s="22" t="n">
        <v>-5</v>
      </c>
      <c r="X158" s="22" t="n">
        <v>-13</v>
      </c>
    </row>
    <row r="159">
      <c r="A159" s="20" t="inlineStr">
        <is>
          <t>보전금 수익</t>
        </is>
      </c>
      <c r="E159" s="22" t="n">
        <v>0</v>
      </c>
      <c r="T159" s="22" t="n">
        <v>0</v>
      </c>
      <c r="U159" s="22" t="n">
        <v>-17.136</v>
      </c>
      <c r="V159" s="22" t="n">
        <v>0</v>
      </c>
    </row>
    <row r="160">
      <c r="A160" s="20" t="inlineStr">
        <is>
          <t>리스해약 손실</t>
        </is>
      </c>
      <c r="E160" s="22" t="n">
        <v>0</v>
      </c>
      <c r="T160" s="22" t="n">
        <v>0</v>
      </c>
      <c r="U160" s="22" t="n">
        <v>17.136</v>
      </c>
      <c r="V160" s="22" t="n">
        <v>0</v>
      </c>
    </row>
    <row r="161">
      <c r="A161" s="20" t="inlineStr">
        <is>
          <t>이자비용</t>
        </is>
      </c>
      <c r="C161" s="22" t="n">
        <v>0.197</v>
      </c>
      <c r="E161" s="22" t="n">
        <v>0.366</v>
      </c>
      <c r="G161" s="22" t="n">
        <v>0</v>
      </c>
      <c r="I161" s="22" t="n">
        <v>0</v>
      </c>
      <c r="K161" s="22" t="n">
        <v>0</v>
      </c>
      <c r="M161" s="22" t="n">
        <v>0</v>
      </c>
      <c r="S161" s="22" t="n">
        <v>0.914</v>
      </c>
      <c r="T161" s="22" t="n">
        <v>0</v>
      </c>
      <c r="U161" s="22" t="n">
        <v>0.24</v>
      </c>
      <c r="V161" s="22" t="n">
        <v>0.366</v>
      </c>
      <c r="W161" s="22" t="n">
        <v>0</v>
      </c>
      <c r="X161" s="22" t="n">
        <v>0</v>
      </c>
    </row>
    <row r="162">
      <c r="A162" s="20" t="inlineStr">
        <is>
          <t>상장 관련 비용</t>
        </is>
      </c>
      <c r="S162" s="22" t="n">
        <v>0</v>
      </c>
      <c r="T162" s="22" t="n">
        <v>20.861</v>
      </c>
    </row>
    <row r="163">
      <c r="A163" s="20" t="inlineStr">
        <is>
          <t>상장 관련 비용</t>
        </is>
      </c>
      <c r="T163" s="22" t="n">
        <v>20.861</v>
      </c>
      <c r="U163" s="22" t="n">
        <v>0</v>
      </c>
    </row>
    <row r="164">
      <c r="A164" s="20" t="inlineStr">
        <is>
          <t>주식교부비</t>
        </is>
      </c>
      <c r="S164" s="22" t="n">
        <v>0</v>
      </c>
      <c r="T164" s="22" t="n">
        <v>13.246</v>
      </c>
      <c r="U164" s="22" t="n">
        <v>0</v>
      </c>
    </row>
    <row r="165">
      <c r="A165" s="20" t="inlineStr">
        <is>
          <t>지분법손익</t>
        </is>
      </c>
      <c r="C165" s="22" t="n">
        <v>13.896</v>
      </c>
      <c r="E165" s="22" t="n">
        <v>30.978</v>
      </c>
      <c r="G165" s="22" t="n">
        <v>12</v>
      </c>
      <c r="I165" s="22" t="n">
        <v>73</v>
      </c>
      <c r="K165" s="22" t="n">
        <v>-0</v>
      </c>
      <c r="M165" s="22" t="n">
        <v>12</v>
      </c>
      <c r="U165" s="22" t="n">
        <v>0</v>
      </c>
      <c r="V165" s="22" t="n">
        <v>30.978</v>
      </c>
      <c r="W165" s="22" t="n">
        <v>73</v>
      </c>
      <c r="X165" s="22" t="n">
        <v>12</v>
      </c>
    </row>
    <row r="166">
      <c r="A166" s="20" t="inlineStr">
        <is>
          <t>투자유가증권 매각손익</t>
        </is>
      </c>
      <c r="E166" s="22" t="n">
        <v>0</v>
      </c>
      <c r="I166" s="22" t="n">
        <v>-75</v>
      </c>
      <c r="M166" s="22" t="n">
        <v>0</v>
      </c>
      <c r="V166" s="22" t="n">
        <v>0</v>
      </c>
      <c r="W166" s="22" t="n">
        <v>-75</v>
      </c>
      <c r="X166" s="22" t="n">
        <v>0</v>
      </c>
    </row>
    <row r="167">
      <c r="A167" s="20" t="inlineStr">
        <is>
          <t>지분변동손익</t>
        </is>
      </c>
      <c r="C167" s="22" t="n">
        <v>-13.671</v>
      </c>
      <c r="E167" s="22" t="n">
        <v>-13.671</v>
      </c>
      <c r="G167" s="22" t="n">
        <v>0</v>
      </c>
      <c r="I167" s="22" t="n">
        <v>0</v>
      </c>
      <c r="U167" s="22" t="n">
        <v>0</v>
      </c>
      <c r="V167" s="22" t="n">
        <v>-13.671</v>
      </c>
      <c r="W167" s="22" t="n">
        <v>0</v>
      </c>
    </row>
    <row r="168">
      <c r="A168" s="20" t="inlineStr">
        <is>
          <t>손상차손</t>
        </is>
      </c>
      <c r="E168" s="22" t="n">
        <v>0</v>
      </c>
      <c r="G168" s="22" t="n">
        <v>0</v>
      </c>
      <c r="I168" s="22" t="n">
        <v>232</v>
      </c>
      <c r="K168" s="22" t="n">
        <v>161</v>
      </c>
      <c r="M168" s="22" t="n">
        <v>161</v>
      </c>
      <c r="V168" s="22" t="n">
        <v>0</v>
      </c>
      <c r="W168" s="22" t="n">
        <v>232</v>
      </c>
      <c r="X168" s="22" t="n">
        <v>161</v>
      </c>
    </row>
    <row r="169">
      <c r="A169" s="20" t="inlineStr">
        <is>
          <t>고정자산 제각·매각손익</t>
        </is>
      </c>
      <c r="C169" s="22" t="n">
        <v>3.07</v>
      </c>
      <c r="E169" s="22" t="n">
        <v>3.662</v>
      </c>
      <c r="G169" s="22" t="n">
        <v>2</v>
      </c>
      <c r="I169" s="22" t="n">
        <v>13</v>
      </c>
      <c r="K169" s="22" t="n">
        <v>2</v>
      </c>
      <c r="M169" s="22" t="n">
        <v>5</v>
      </c>
      <c r="S169" s="22" t="n">
        <v>2.992</v>
      </c>
      <c r="T169" s="22" t="n">
        <v>1.431</v>
      </c>
      <c r="U169" s="22" t="n">
        <v>0.433</v>
      </c>
      <c r="V169" s="22" t="n">
        <v>3.662</v>
      </c>
      <c r="W169" s="22" t="n">
        <v>13</v>
      </c>
      <c r="X169" s="22" t="n">
        <v>5</v>
      </c>
    </row>
    <row r="170">
      <c r="A170" s="20" t="inlineStr">
        <is>
          <t>매출채권 증감</t>
        </is>
      </c>
      <c r="C170" s="22" t="n">
        <v>-372.761</v>
      </c>
      <c r="E170" s="22" t="n">
        <v>-93.402</v>
      </c>
      <c r="G170" s="22" t="n">
        <v>-174</v>
      </c>
      <c r="I170" s="22" t="n">
        <v>84</v>
      </c>
      <c r="K170" s="22" t="n">
        <v>-112</v>
      </c>
      <c r="M170" s="22" t="n">
        <v>-240</v>
      </c>
      <c r="S170" s="22" t="n">
        <v>-251.056</v>
      </c>
      <c r="T170" s="22" t="n">
        <v>-43.738</v>
      </c>
      <c r="U170" s="22" t="n">
        <v>-629.905</v>
      </c>
      <c r="V170" s="22" t="n">
        <v>-93.402</v>
      </c>
      <c r="W170" s="22" t="n">
        <v>84</v>
      </c>
      <c r="X170" s="22" t="n">
        <v>-240</v>
      </c>
    </row>
    <row r="171">
      <c r="A171" s="20" t="inlineStr">
        <is>
          <t>재고자산 증감</t>
        </is>
      </c>
      <c r="C171" s="22" t="n">
        <v>26.155</v>
      </c>
      <c r="E171" s="22" t="n">
        <v>26.411</v>
      </c>
      <c r="G171" s="22" t="n">
        <v>-40</v>
      </c>
      <c r="I171" s="22" t="n">
        <v>-59</v>
      </c>
      <c r="K171" s="22" t="n">
        <v>-36</v>
      </c>
      <c r="M171" s="22" t="n">
        <v>59</v>
      </c>
      <c r="S171" s="22" t="n">
        <v>-2.921</v>
      </c>
      <c r="T171" s="22" t="n">
        <v>-1.503</v>
      </c>
      <c r="U171" s="22" t="n">
        <v>-27.628</v>
      </c>
      <c r="V171" s="22" t="n">
        <v>26.411</v>
      </c>
      <c r="W171" s="22" t="n">
        <v>-59</v>
      </c>
      <c r="X171" s="22" t="n">
        <v>59</v>
      </c>
    </row>
    <row r="172">
      <c r="A172" s="20" t="inlineStr">
        <is>
          <t>퇴직급여부채 증감</t>
        </is>
      </c>
      <c r="C172" s="22" t="n">
        <v>0.287</v>
      </c>
      <c r="E172" s="22" t="n">
        <v>0.623</v>
      </c>
      <c r="G172" s="22" t="n">
        <v>0</v>
      </c>
      <c r="I172" s="22" t="n">
        <v>0</v>
      </c>
      <c r="K172" s="22" t="n">
        <v>0</v>
      </c>
      <c r="M172" s="22" t="n">
        <v>0</v>
      </c>
      <c r="T172" s="22" t="n">
        <v>0</v>
      </c>
      <c r="U172" s="22" t="n">
        <v>-0.307</v>
      </c>
      <c r="V172" s="22" t="n">
        <v>0.623</v>
      </c>
      <c r="W172" s="22" t="n">
        <v>0</v>
      </c>
      <c r="X172" s="22" t="n">
        <v>0</v>
      </c>
    </row>
    <row r="173">
      <c r="A173" s="20" t="inlineStr">
        <is>
          <t>기타 자산 증감</t>
        </is>
      </c>
      <c r="C173" s="22" t="n">
        <v>19.879</v>
      </c>
      <c r="E173" s="22" t="n">
        <v>-15.344</v>
      </c>
      <c r="G173" s="22" t="n">
        <v>-12</v>
      </c>
      <c r="I173" s="22" t="n">
        <v>-12</v>
      </c>
      <c r="K173" s="22" t="n">
        <v>-9</v>
      </c>
      <c r="M173" s="22" t="n">
        <v>16</v>
      </c>
      <c r="S173" s="22" t="n">
        <v>-67.82599999999999</v>
      </c>
      <c r="T173" s="22" t="n">
        <v>-31.882</v>
      </c>
      <c r="U173" s="22" t="n">
        <v>-57.415</v>
      </c>
      <c r="V173" s="22" t="n">
        <v>-15.344</v>
      </c>
      <c r="W173" s="22" t="n">
        <v>-12</v>
      </c>
      <c r="X173" s="22" t="n">
        <v>16</v>
      </c>
    </row>
    <row r="174">
      <c r="A174" s="20" t="inlineStr">
        <is>
          <t>영업채무 증감</t>
        </is>
      </c>
      <c r="C174" s="22" t="n">
        <v>36.037</v>
      </c>
      <c r="E174" s="22" t="n">
        <v>-22.342</v>
      </c>
      <c r="G174" s="22" t="n">
        <v>11</v>
      </c>
      <c r="I174" s="22" t="n">
        <v>-62</v>
      </c>
      <c r="K174" s="22" t="n">
        <v>-32</v>
      </c>
      <c r="M174" s="22" t="n">
        <v>66</v>
      </c>
      <c r="S174" s="22" t="n">
        <v>331.266</v>
      </c>
      <c r="T174" s="22" t="n">
        <v>-84.955</v>
      </c>
      <c r="U174" s="22" t="n">
        <v>332.456</v>
      </c>
      <c r="V174" s="22" t="n">
        <v>-22.342</v>
      </c>
      <c r="W174" s="22" t="n">
        <v>-62</v>
      </c>
      <c r="X174" s="22" t="n">
        <v>66</v>
      </c>
    </row>
    <row r="175">
      <c r="A175" s="20" t="inlineStr">
        <is>
          <t>미지급 소비세 증감</t>
        </is>
      </c>
      <c r="C175" s="22" t="n">
        <v>83.214</v>
      </c>
      <c r="E175" s="22" t="n">
        <v>266.105</v>
      </c>
      <c r="G175" s="22" t="n">
        <v>-118</v>
      </c>
      <c r="I175" s="22" t="n">
        <v>-200</v>
      </c>
      <c r="K175" s="22" t="n">
        <v>27</v>
      </c>
      <c r="M175" s="22" t="n">
        <v>38</v>
      </c>
      <c r="S175" s="22" t="n">
        <v>-0.331</v>
      </c>
      <c r="T175" s="22" t="n">
        <v>-99.23999999999999</v>
      </c>
      <c r="U175" s="22" t="n">
        <v>-50.501</v>
      </c>
      <c r="V175" s="22" t="n">
        <v>266.105</v>
      </c>
      <c r="W175" s="22" t="n">
        <v>-200</v>
      </c>
      <c r="X175" s="22" t="n">
        <v>38</v>
      </c>
    </row>
    <row r="176">
      <c r="A176" s="20" t="inlineStr">
        <is>
          <t>기타 부채 증감</t>
        </is>
      </c>
      <c r="C176" s="22" t="n">
        <v>-11.374</v>
      </c>
      <c r="E176" s="22" t="n">
        <v>23.354</v>
      </c>
      <c r="G176" s="22" t="n">
        <v>410</v>
      </c>
      <c r="I176" s="22" t="n">
        <v>516</v>
      </c>
      <c r="K176" s="22" t="n">
        <v>-170</v>
      </c>
      <c r="M176" s="22" t="n">
        <v>-109</v>
      </c>
      <c r="S176" s="22" t="n">
        <v>-314.701</v>
      </c>
      <c r="T176" s="22" t="n">
        <v>80.486</v>
      </c>
      <c r="U176" s="22" t="n">
        <v>124.479</v>
      </c>
      <c r="V176" s="22" t="n">
        <v>23.354</v>
      </c>
      <c r="W176" s="22" t="n">
        <v>516</v>
      </c>
      <c r="X176" s="22" t="n">
        <v>-109</v>
      </c>
    </row>
    <row r="177">
      <c r="A177" s="20" t="inlineStr">
        <is>
          <t>기타</t>
        </is>
      </c>
      <c r="C177" s="22" t="n">
        <v>1.05</v>
      </c>
      <c r="E177" s="22" t="n">
        <v>-9.332000000000001</v>
      </c>
      <c r="G177" s="22" t="n">
        <v>3</v>
      </c>
      <c r="I177" s="22" t="n">
        <v>6</v>
      </c>
      <c r="K177" s="22" t="n">
        <v>24</v>
      </c>
      <c r="M177" s="22" t="n">
        <v>28</v>
      </c>
      <c r="S177" s="22" t="n">
        <v>2.137</v>
      </c>
      <c r="T177" s="22" t="n">
        <v>2.737</v>
      </c>
      <c r="U177" s="22" t="n">
        <v>-0.571</v>
      </c>
      <c r="V177" s="22" t="n">
        <v>-9.332000000000001</v>
      </c>
      <c r="W177" s="22" t="n">
        <v>6</v>
      </c>
      <c r="X177" s="22" t="n">
        <v>28</v>
      </c>
    </row>
    <row r="178">
      <c r="A178" s="20" t="inlineStr">
        <is>
          <t>소계</t>
        </is>
      </c>
      <c r="C178" s="22" t="n">
        <v>1382.686</v>
      </c>
      <c r="E178" s="22" t="n">
        <v>3128.412</v>
      </c>
      <c r="G178" s="22" t="n">
        <v>1038</v>
      </c>
      <c r="I178" s="22" t="n">
        <v>1883</v>
      </c>
      <c r="K178" s="22" t="n">
        <v>332</v>
      </c>
      <c r="M178" s="22" t="n">
        <v>1592</v>
      </c>
      <c r="S178" s="22" t="n">
        <v>1986.975</v>
      </c>
      <c r="T178" s="22" t="n">
        <v>2623.507</v>
      </c>
      <c r="U178" s="22" t="n">
        <v>2100.709</v>
      </c>
      <c r="V178" s="22" t="n">
        <v>3128.412</v>
      </c>
      <c r="W178" s="22" t="n">
        <v>1883</v>
      </c>
      <c r="X178" s="22" t="n">
        <v>1592</v>
      </c>
    </row>
    <row r="179">
      <c r="A179" s="20" t="inlineStr">
        <is>
          <t>이자·배당금 수취</t>
        </is>
      </c>
      <c r="C179" s="22" t="n">
        <v>0.002</v>
      </c>
      <c r="E179" s="22" t="n">
        <v>0.003</v>
      </c>
      <c r="G179" s="22" t="n">
        <v>0</v>
      </c>
      <c r="I179" s="22" t="n">
        <v>0</v>
      </c>
      <c r="K179" s="22" t="n">
        <v>0</v>
      </c>
      <c r="M179" s="22" t="n">
        <v>0</v>
      </c>
      <c r="S179" s="22" t="n">
        <v>0</v>
      </c>
      <c r="T179" s="22" t="n">
        <v>0.001</v>
      </c>
      <c r="U179" s="22" t="n">
        <v>0.002</v>
      </c>
      <c r="V179" s="22" t="n">
        <v>0.003</v>
      </c>
      <c r="W179" s="22" t="n">
        <v>0</v>
      </c>
      <c r="X179" s="22" t="n">
        <v>0</v>
      </c>
    </row>
    <row r="180">
      <c r="A180" s="20" t="inlineStr">
        <is>
          <t>이자 지급</t>
        </is>
      </c>
      <c r="C180" s="22" t="n">
        <v>-0.197</v>
      </c>
      <c r="E180" s="22" t="n">
        <v>-0.366</v>
      </c>
      <c r="G180" s="22" t="n">
        <v>-0</v>
      </c>
      <c r="I180" s="22" t="n">
        <v>-0</v>
      </c>
      <c r="K180" s="22" t="n">
        <v>-0</v>
      </c>
      <c r="M180" s="22" t="n">
        <v>-6</v>
      </c>
      <c r="S180" s="22" t="n">
        <v>-1.166</v>
      </c>
      <c r="T180" s="22" t="n">
        <v>0</v>
      </c>
      <c r="U180" s="22" t="n">
        <v>-0.24</v>
      </c>
      <c r="V180" s="22" t="n">
        <v>-0.366</v>
      </c>
      <c r="W180" s="22" t="n">
        <v>-0</v>
      </c>
      <c r="X180" s="22" t="n">
        <v>-6</v>
      </c>
    </row>
    <row r="181">
      <c r="A181" s="20" t="inlineStr">
        <is>
          <t>리스해약 손실 지급</t>
        </is>
      </c>
      <c r="E181" s="22" t="n">
        <v>0</v>
      </c>
      <c r="T181" s="22" t="n">
        <v>0</v>
      </c>
      <c r="U181" s="22" t="n">
        <v>-17.136</v>
      </c>
      <c r="V181" s="22" t="n">
        <v>0</v>
      </c>
    </row>
    <row r="182">
      <c r="A182" s="20" t="inlineStr">
        <is>
          <t>보험금 수취</t>
        </is>
      </c>
      <c r="E182" s="22" t="n">
        <v>2.144</v>
      </c>
      <c r="I182" s="22" t="n">
        <v>0</v>
      </c>
      <c r="M182" s="22" t="n">
        <v>6</v>
      </c>
      <c r="S182" s="22" t="n">
        <v>0</v>
      </c>
      <c r="T182" s="22" t="n">
        <v>5.649</v>
      </c>
      <c r="U182" s="22" t="n">
        <v>0</v>
      </c>
      <c r="V182" s="22" t="n">
        <v>2.144</v>
      </c>
      <c r="W182" s="22" t="n">
        <v>0</v>
      </c>
      <c r="X182" s="22" t="n">
        <v>6</v>
      </c>
    </row>
    <row r="183">
      <c r="A183" s="20" t="inlineStr">
        <is>
          <t>보상금 수취</t>
        </is>
      </c>
      <c r="E183" s="22" t="n">
        <v>0</v>
      </c>
      <c r="I183" s="22" t="n">
        <v>1</v>
      </c>
      <c r="M183" s="22" t="n">
        <v>0</v>
      </c>
      <c r="V183" s="22" t="n">
        <v>0</v>
      </c>
      <c r="W183" s="22" t="n">
        <v>1</v>
      </c>
      <c r="X183" s="22" t="n">
        <v>0</v>
      </c>
    </row>
    <row r="184">
      <c r="A184" s="20" t="inlineStr">
        <is>
          <t>보조금 수취</t>
        </is>
      </c>
      <c r="C184" s="22" t="n">
        <v>20.031</v>
      </c>
      <c r="E184" s="22" t="n">
        <v>24.981</v>
      </c>
      <c r="G184" s="22" t="n">
        <v>5</v>
      </c>
      <c r="I184" s="22" t="n">
        <v>6</v>
      </c>
      <c r="K184" s="22" t="n">
        <v>5</v>
      </c>
      <c r="M184" s="22" t="n">
        <v>7</v>
      </c>
      <c r="S184" s="22" t="n">
        <v>98.188</v>
      </c>
      <c r="T184" s="22" t="n">
        <v>31.77</v>
      </c>
      <c r="U184" s="22" t="n">
        <v>57.009</v>
      </c>
      <c r="V184" s="22" t="n">
        <v>24.981</v>
      </c>
      <c r="W184" s="22" t="n">
        <v>6</v>
      </c>
      <c r="X184" s="22" t="n">
        <v>7</v>
      </c>
    </row>
    <row r="185">
      <c r="A185" s="20" t="inlineStr">
        <is>
          <t>보전금 수취</t>
        </is>
      </c>
      <c r="T185" s="22" t="n">
        <v>0</v>
      </c>
      <c r="U185" s="22" t="n">
        <v>17.136</v>
      </c>
    </row>
    <row r="186">
      <c r="A186" s="20" t="inlineStr">
        <is>
          <t>보전금 수취</t>
        </is>
      </c>
      <c r="E186" s="22" t="n">
        <v>0</v>
      </c>
      <c r="U186" s="22" t="n">
        <v>17.136</v>
      </c>
      <c r="V186" s="22" t="n">
        <v>0</v>
      </c>
    </row>
    <row r="187">
      <c r="A187" s="20" t="inlineStr">
        <is>
          <t>법인세 납부</t>
        </is>
      </c>
      <c r="C187" s="22" t="n">
        <v>-254.118</v>
      </c>
      <c r="E187" s="22" t="n">
        <v>-585.701</v>
      </c>
      <c r="G187" s="22" t="n">
        <v>-365</v>
      </c>
      <c r="I187" s="22" t="n">
        <v>-714</v>
      </c>
      <c r="K187" s="22" t="n">
        <v>-86</v>
      </c>
      <c r="M187" s="22" t="n">
        <v>-301</v>
      </c>
      <c r="S187" s="22" t="n">
        <v>-607.545</v>
      </c>
      <c r="T187" s="22" t="n">
        <v>-1074.254</v>
      </c>
      <c r="U187" s="22" t="n">
        <v>-623.9829999999999</v>
      </c>
      <c r="V187" s="22" t="n">
        <v>-585.701</v>
      </c>
      <c r="W187" s="22" t="n">
        <v>-714</v>
      </c>
      <c r="X187" s="22" t="n">
        <v>-301</v>
      </c>
    </row>
    <row r="188">
      <c r="A188" s="9" t="inlineStr">
        <is>
          <t>영업활동 현금흐름</t>
        </is>
      </c>
      <c r="C188" s="12" t="n">
        <v>1148.404</v>
      </c>
      <c r="E188" s="12" t="n">
        <v>2569.473</v>
      </c>
      <c r="G188" s="12" t="n">
        <v>677</v>
      </c>
      <c r="I188" s="12" t="n">
        <v>1176</v>
      </c>
      <c r="K188" s="12" t="n">
        <v>251</v>
      </c>
      <c r="M188" s="12" t="n">
        <v>1299</v>
      </c>
      <c r="S188" s="12" t="n">
        <v>1476.453</v>
      </c>
      <c r="T188" s="12" t="n">
        <v>1586.673</v>
      </c>
      <c r="U188" s="12" t="n">
        <v>1533.497</v>
      </c>
      <c r="V188" s="12" t="n">
        <v>2569.473</v>
      </c>
      <c r="W188" s="12" t="n">
        <v>1176</v>
      </c>
      <c r="X188" s="12" t="n">
        <v>1299</v>
      </c>
    </row>
    <row r="189">
      <c r="A189" s="20" t="inlineStr">
        <is>
          <t>유형자산 취득(설비투자)</t>
        </is>
      </c>
      <c r="C189" s="22" t="n">
        <v>-164.014</v>
      </c>
      <c r="E189" s="22" t="n">
        <v>-360.748</v>
      </c>
      <c r="G189" s="22" t="n">
        <v>-69</v>
      </c>
      <c r="I189" s="22" t="n">
        <v>-234</v>
      </c>
      <c r="K189" s="22" t="n">
        <v>-167</v>
      </c>
      <c r="M189" s="22" t="n">
        <v>-211</v>
      </c>
      <c r="S189" s="22" t="n">
        <v>-174.167</v>
      </c>
      <c r="T189" s="22" t="n">
        <v>-184.843</v>
      </c>
      <c r="U189" s="22" t="n">
        <v>-218.757</v>
      </c>
      <c r="V189" s="22" t="n">
        <v>-360.748</v>
      </c>
      <c r="W189" s="22" t="n">
        <v>-234</v>
      </c>
      <c r="X189" s="22" t="n">
        <v>-211</v>
      </c>
    </row>
    <row r="190">
      <c r="A190" s="20" t="inlineStr">
        <is>
          <t>무형자산 취득</t>
        </is>
      </c>
      <c r="C190" s="22" t="n">
        <v>-139.821</v>
      </c>
      <c r="E190" s="22" t="n">
        <v>-305.755</v>
      </c>
      <c r="G190" s="22" t="n">
        <v>-127</v>
      </c>
      <c r="I190" s="22" t="n">
        <v>-269</v>
      </c>
      <c r="K190" s="22" t="n">
        <v>-74</v>
      </c>
      <c r="M190" s="22" t="n">
        <v>-92</v>
      </c>
      <c r="S190" s="22" t="n">
        <v>-31.556</v>
      </c>
      <c r="T190" s="22" t="n">
        <v>-87.977</v>
      </c>
      <c r="U190" s="22" t="n">
        <v>-218.71</v>
      </c>
      <c r="V190" s="22" t="n">
        <v>-305.755</v>
      </c>
      <c r="W190" s="22" t="n">
        <v>-269</v>
      </c>
      <c r="X190" s="22" t="n">
        <v>-92</v>
      </c>
    </row>
    <row r="191">
      <c r="A191" s="20" t="inlineStr">
        <is>
          <t>투자유가증권 취득</t>
        </is>
      </c>
      <c r="C191" s="22" t="n">
        <v>-99.999</v>
      </c>
      <c r="E191" s="22" t="n">
        <v>-99.999</v>
      </c>
      <c r="G191" s="22" t="n">
        <v>-135</v>
      </c>
      <c r="I191" s="22" t="n">
        <v>-135</v>
      </c>
      <c r="K191" s="22" t="n">
        <v>0</v>
      </c>
      <c r="M191" s="22" t="n">
        <v>0</v>
      </c>
      <c r="T191" s="22" t="n">
        <v>0</v>
      </c>
      <c r="U191" s="22" t="n">
        <v>-168</v>
      </c>
      <c r="V191" s="22" t="n">
        <v>-99.999</v>
      </c>
      <c r="W191" s="22" t="n">
        <v>-135</v>
      </c>
      <c r="X191" s="22" t="n">
        <v>0</v>
      </c>
    </row>
    <row r="192">
      <c r="A192" s="20" t="inlineStr">
        <is>
          <t>투자유가증권 매각</t>
        </is>
      </c>
      <c r="E192" s="22" t="n">
        <v>0</v>
      </c>
      <c r="I192" s="22" t="n">
        <v>243</v>
      </c>
      <c r="M192" s="22" t="n">
        <v>0</v>
      </c>
      <c r="V192" s="22" t="n">
        <v>0</v>
      </c>
      <c r="W192" s="22" t="n">
        <v>243</v>
      </c>
      <c r="X192" s="22" t="n">
        <v>0</v>
      </c>
    </row>
    <row r="193">
      <c r="A193" s="20" t="inlineStr">
        <is>
          <t>자산복구부채 이행 지출</t>
        </is>
      </c>
      <c r="E193" s="22" t="n">
        <v>0</v>
      </c>
      <c r="G193" s="22" t="n">
        <v>0</v>
      </c>
      <c r="I193" s="22" t="n">
        <v>-3</v>
      </c>
      <c r="K193" s="22" t="n">
        <v>-31</v>
      </c>
      <c r="M193" s="22" t="n">
        <v>-86</v>
      </c>
      <c r="V193" s="22" t="n">
        <v>0</v>
      </c>
      <c r="W193" s="22" t="n">
        <v>-3</v>
      </c>
      <c r="X193" s="22" t="n">
        <v>-86</v>
      </c>
    </row>
    <row r="194">
      <c r="A194" s="20" t="inlineStr">
        <is>
          <t>정기예금 증감</t>
        </is>
      </c>
      <c r="C194" s="22" t="n">
        <v>-1.8</v>
      </c>
      <c r="E194" s="22" t="n">
        <v>-3.6</v>
      </c>
      <c r="G194" s="22" t="n">
        <v>-1</v>
      </c>
      <c r="I194" s="22" t="n">
        <v>1</v>
      </c>
      <c r="K194" s="22" t="n">
        <v>2</v>
      </c>
      <c r="M194" s="22" t="n">
        <v>0</v>
      </c>
      <c r="U194" s="22" t="n">
        <v>0</v>
      </c>
      <c r="V194" s="22" t="n">
        <v>-3.6</v>
      </c>
      <c r="W194" s="22" t="n">
        <v>1</v>
      </c>
      <c r="X194" s="22" t="n">
        <v>0</v>
      </c>
    </row>
    <row r="195">
      <c r="A195" s="20" t="inlineStr">
        <is>
          <t>임차보증금·보증금 납입</t>
        </is>
      </c>
      <c r="C195" s="22" t="n">
        <v>-95.89700000000001</v>
      </c>
      <c r="E195" s="22" t="n">
        <v>-126.666</v>
      </c>
      <c r="G195" s="22" t="n">
        <v>-0</v>
      </c>
      <c r="I195" s="22" t="n">
        <v>-138</v>
      </c>
      <c r="K195" s="22" t="n">
        <v>-16</v>
      </c>
      <c r="M195" s="22" t="n">
        <v>-24</v>
      </c>
      <c r="S195" s="22" t="n">
        <v>-96.251</v>
      </c>
      <c r="T195" s="22" t="n">
        <v>-94.01300000000001</v>
      </c>
      <c r="U195" s="22" t="n">
        <v>-12.833</v>
      </c>
      <c r="V195" s="22" t="n">
        <v>-126.666</v>
      </c>
      <c r="W195" s="22" t="n">
        <v>-138</v>
      </c>
      <c r="X195" s="22" t="n">
        <v>-24</v>
      </c>
    </row>
    <row r="196">
      <c r="A196" s="20" t="inlineStr">
        <is>
          <t>임차보증금·보증금 회수</t>
        </is>
      </c>
      <c r="C196" s="22" t="n">
        <v>3.103</v>
      </c>
      <c r="E196" s="22" t="n">
        <v>3.377</v>
      </c>
      <c r="G196" s="22" t="n">
        <v>0</v>
      </c>
      <c r="I196" s="22" t="n">
        <v>58</v>
      </c>
      <c r="K196" s="22" t="n">
        <v>19</v>
      </c>
      <c r="M196" s="22" t="n">
        <v>119</v>
      </c>
      <c r="S196" s="22" t="n">
        <v>0.919</v>
      </c>
      <c r="T196" s="22" t="n">
        <v>2.093</v>
      </c>
      <c r="U196" s="22" t="n">
        <v>1.293</v>
      </c>
      <c r="V196" s="22" t="n">
        <v>3.377</v>
      </c>
      <c r="W196" s="22" t="n">
        <v>58</v>
      </c>
      <c r="X196" s="22" t="n">
        <v>119</v>
      </c>
    </row>
    <row r="197">
      <c r="A197" s="20" t="inlineStr">
        <is>
          <t>연결범위 변경 자회사 주식 취득(수입)</t>
        </is>
      </c>
      <c r="C197" s="22" t="n">
        <v>0</v>
      </c>
      <c r="E197" s="22" t="n">
        <v>0</v>
      </c>
      <c r="T197" s="22" t="n">
        <v>0</v>
      </c>
      <c r="U197" s="22" t="n">
        <v>6.534</v>
      </c>
      <c r="V197" s="22" t="n">
        <v>0</v>
      </c>
    </row>
    <row r="198">
      <c r="A198" s="20" t="inlineStr">
        <is>
          <t>연결범위 변경 자회사 주식 취득</t>
        </is>
      </c>
      <c r="I198" s="22" t="n">
        <v>0</v>
      </c>
      <c r="M198" s="22" t="n">
        <v>-1245</v>
      </c>
      <c r="W198" s="22" t="n">
        <v>0</v>
      </c>
      <c r="X198" s="22" t="n">
        <v>-1245</v>
      </c>
    </row>
    <row r="199">
      <c r="A199" s="20" t="inlineStr">
        <is>
          <t>기타</t>
        </is>
      </c>
      <c r="C199" s="22" t="n">
        <v>-0.824</v>
      </c>
      <c r="E199" s="22" t="n">
        <v>-0.824</v>
      </c>
      <c r="G199" s="22" t="n">
        <v>-1</v>
      </c>
      <c r="I199" s="22" t="n">
        <v>-1</v>
      </c>
      <c r="K199" s="22" t="n">
        <v>-1</v>
      </c>
      <c r="M199" s="22" t="n">
        <v>48</v>
      </c>
      <c r="S199" s="22" t="n">
        <v>-1.341</v>
      </c>
      <c r="T199" s="22" t="n">
        <v>-1.526</v>
      </c>
      <c r="U199" s="22" t="n">
        <v>-1.526</v>
      </c>
      <c r="V199" s="22" t="n">
        <v>-0.824</v>
      </c>
      <c r="W199" s="22" t="n">
        <v>-1</v>
      </c>
      <c r="X199" s="22" t="n">
        <v>48</v>
      </c>
    </row>
    <row r="200">
      <c r="A200" s="9" t="inlineStr">
        <is>
          <t>투자활동 현금흐름</t>
        </is>
      </c>
      <c r="C200" s="12" t="n">
        <v>-499.252</v>
      </c>
      <c r="E200" s="12" t="n">
        <v>-894.215</v>
      </c>
      <c r="G200" s="12" t="n">
        <v>-335</v>
      </c>
      <c r="I200" s="12" t="n">
        <v>-479</v>
      </c>
      <c r="K200" s="12" t="n">
        <v>-270</v>
      </c>
      <c r="M200" s="12" t="n">
        <v>-1490</v>
      </c>
      <c r="S200" s="12" t="n">
        <v>-302.396</v>
      </c>
      <c r="T200" s="12" t="n">
        <v>-366.266</v>
      </c>
      <c r="U200" s="12" t="n">
        <v>-611.999</v>
      </c>
      <c r="V200" s="12" t="n">
        <v>-894.215</v>
      </c>
      <c r="W200" s="12" t="n">
        <v>-479</v>
      </c>
      <c r="X200" s="12" t="n">
        <v>-1490</v>
      </c>
    </row>
    <row r="201">
      <c r="A201" s="20" t="inlineStr">
        <is>
          <t>단기차입금 순증감</t>
        </is>
      </c>
      <c r="C201" s="22" t="n">
        <v>-5</v>
      </c>
      <c r="E201" s="22" t="n">
        <v>-5</v>
      </c>
      <c r="G201" s="22" t="n">
        <v>0</v>
      </c>
      <c r="I201" s="22" t="n">
        <v>0</v>
      </c>
      <c r="S201" s="22" t="n">
        <v>-13.78</v>
      </c>
      <c r="T201" s="22" t="n">
        <v>0</v>
      </c>
      <c r="U201" s="22" t="n">
        <v>5</v>
      </c>
      <c r="V201" s="22" t="n">
        <v>-5</v>
      </c>
      <c r="W201" s="22" t="n">
        <v>0</v>
      </c>
    </row>
    <row r="202">
      <c r="A202" s="20" t="inlineStr">
        <is>
          <t>장기차입</t>
        </is>
      </c>
      <c r="E202" s="22" t="n">
        <v>0</v>
      </c>
      <c r="I202" s="22" t="n">
        <v>0</v>
      </c>
      <c r="M202" s="22" t="n">
        <v>1300</v>
      </c>
      <c r="T202" s="22" t="n">
        <v>0</v>
      </c>
      <c r="U202" s="22" t="n">
        <v>27</v>
      </c>
      <c r="V202" s="22" t="n">
        <v>0</v>
      </c>
      <c r="W202" s="22" t="n">
        <v>0</v>
      </c>
      <c r="X202" s="22" t="n">
        <v>1300</v>
      </c>
    </row>
    <row r="203">
      <c r="A203" s="20" t="inlineStr">
        <is>
          <t>장기차입금 상환</t>
        </is>
      </c>
      <c r="C203" s="22" t="n">
        <v>-2.388</v>
      </c>
      <c r="E203" s="22" t="n">
        <v>-4.776</v>
      </c>
      <c r="G203" s="22" t="n">
        <v>-2</v>
      </c>
      <c r="I203" s="22" t="n">
        <v>-3</v>
      </c>
      <c r="K203" s="22" t="n">
        <v>-1</v>
      </c>
      <c r="M203" s="22" t="n">
        <v>-2</v>
      </c>
      <c r="S203" s="22" t="n">
        <v>-226</v>
      </c>
      <c r="T203" s="22" t="n">
        <v>0</v>
      </c>
      <c r="U203" s="22" t="n">
        <v>-28.888</v>
      </c>
      <c r="V203" s="22" t="n">
        <v>-4.776</v>
      </c>
      <c r="W203" s="22" t="n">
        <v>-3</v>
      </c>
      <c r="X203" s="22" t="n">
        <v>-2</v>
      </c>
    </row>
    <row r="204">
      <c r="A204" s="20" t="inlineStr">
        <is>
          <t>주식 발행</t>
        </is>
      </c>
      <c r="S204" s="22" t="n">
        <v>0</v>
      </c>
      <c r="T204" s="22" t="n">
        <v>1171.154</v>
      </c>
      <c r="U204" s="22" t="n">
        <v>0</v>
      </c>
    </row>
    <row r="205">
      <c r="A205" s="20" t="inlineStr">
        <is>
          <t>신주예약권 행사에 따른 주식 발행</t>
        </is>
      </c>
      <c r="C205" s="22" t="n">
        <v>76.494</v>
      </c>
      <c r="E205" s="22" t="n">
        <v>198.55</v>
      </c>
      <c r="G205" s="22" t="n">
        <v>12</v>
      </c>
      <c r="I205" s="22" t="n">
        <v>44</v>
      </c>
      <c r="K205" s="22" t="n">
        <v>9</v>
      </c>
      <c r="M205" s="22" t="n">
        <v>254</v>
      </c>
      <c r="T205" s="22" t="n">
        <v>0</v>
      </c>
      <c r="U205" s="22" t="n">
        <v>201.894</v>
      </c>
      <c r="V205" s="22" t="n">
        <v>198.55</v>
      </c>
      <c r="W205" s="22" t="n">
        <v>44</v>
      </c>
      <c r="X205" s="22" t="n">
        <v>254</v>
      </c>
    </row>
    <row r="206">
      <c r="A206" s="20" t="inlineStr">
        <is>
          <t>자기주식 취득</t>
        </is>
      </c>
      <c r="C206" s="22" t="n">
        <v>0</v>
      </c>
      <c r="E206" s="22" t="n">
        <v>0</v>
      </c>
      <c r="G206" s="22" t="n">
        <v>-0</v>
      </c>
      <c r="I206" s="22" t="n">
        <v>-0</v>
      </c>
      <c r="K206" s="22" t="n">
        <v>0</v>
      </c>
      <c r="M206" s="22" t="n">
        <v>0</v>
      </c>
      <c r="T206" s="22" t="n">
        <v>0</v>
      </c>
      <c r="U206" s="22" t="n">
        <v>-0.053</v>
      </c>
      <c r="V206" s="22" t="n">
        <v>0</v>
      </c>
      <c r="W206" s="22" t="n">
        <v>-0</v>
      </c>
      <c r="X206" s="22" t="n">
        <v>0</v>
      </c>
    </row>
    <row r="207">
      <c r="A207" s="20" t="inlineStr">
        <is>
          <t>배당금 지급</t>
        </is>
      </c>
      <c r="C207" s="22" t="n">
        <v>-680.458</v>
      </c>
      <c r="E207" s="22" t="n">
        <v>-680.647</v>
      </c>
      <c r="G207" s="22" t="n">
        <v>-746</v>
      </c>
      <c r="I207" s="22" t="n">
        <v>-746</v>
      </c>
      <c r="K207" s="22" t="n">
        <v>-1087</v>
      </c>
      <c r="M207" s="22" t="n">
        <v>-1087</v>
      </c>
      <c r="S207" s="22" t="n">
        <v>-460.8</v>
      </c>
      <c r="T207" s="22" t="n">
        <v>-569.6</v>
      </c>
      <c r="U207" s="22" t="n">
        <v>-643.077</v>
      </c>
      <c r="V207" s="22" t="n">
        <v>-680.647</v>
      </c>
      <c r="W207" s="22" t="n">
        <v>-746</v>
      </c>
      <c r="X207" s="22" t="n">
        <v>-1087</v>
      </c>
    </row>
    <row r="208">
      <c r="A208" s="20" t="inlineStr">
        <is>
          <t>연결범위 변경 없는 자회사 주식 취득</t>
        </is>
      </c>
      <c r="S208" s="22" t="n">
        <v>-18.084</v>
      </c>
      <c r="T208" s="22" t="n">
        <v>0</v>
      </c>
    </row>
    <row r="209">
      <c r="A209" s="20" t="inlineStr">
        <is>
          <t>신주예약권 발행</t>
        </is>
      </c>
      <c r="S209" s="22" t="n">
        <v>4.8</v>
      </c>
      <c r="T209" s="22" t="n">
        <v>0</v>
      </c>
    </row>
    <row r="210">
      <c r="A210" s="20" t="inlineStr">
        <is>
          <t>상장 관련 비용 지출</t>
        </is>
      </c>
      <c r="S210" s="22" t="n">
        <v>0</v>
      </c>
      <c r="T210" s="22" t="n">
        <v>-20.861</v>
      </c>
    </row>
    <row r="211">
      <c r="A211" s="20" t="inlineStr">
        <is>
          <t>상장 관련 비용 지출</t>
        </is>
      </c>
      <c r="T211" s="22" t="n">
        <v>-20.861</v>
      </c>
      <c r="U211" s="22" t="n">
        <v>0</v>
      </c>
    </row>
    <row r="212">
      <c r="A212" s="20" t="inlineStr">
        <is>
          <t>기타</t>
        </is>
      </c>
      <c r="C212" s="22" t="n">
        <v>-0.478</v>
      </c>
      <c r="E212" s="22" t="n">
        <v>-0.98</v>
      </c>
      <c r="G212" s="22" t="n">
        <v>-0</v>
      </c>
      <c r="I212" s="22" t="n">
        <v>-0</v>
      </c>
      <c r="K212" s="22" t="n">
        <v>-0</v>
      </c>
      <c r="M212" s="22" t="n">
        <v>-0</v>
      </c>
      <c r="T212" s="22" t="n">
        <v>0</v>
      </c>
      <c r="U212" s="22" t="n">
        <v>-0.081</v>
      </c>
      <c r="V212" s="22" t="n">
        <v>-0.98</v>
      </c>
      <c r="W212" s="22" t="n">
        <v>-0</v>
      </c>
      <c r="X212" s="22" t="n">
        <v>-0</v>
      </c>
    </row>
    <row r="213">
      <c r="A213" s="9" t="inlineStr">
        <is>
          <t>재무활동 현금흐름</t>
        </is>
      </c>
      <c r="C213" s="12" t="n">
        <v>-611.83</v>
      </c>
      <c r="E213" s="12" t="n">
        <v>-492.853</v>
      </c>
      <c r="G213" s="12" t="n">
        <v>-736</v>
      </c>
      <c r="I213" s="12" t="n">
        <v>-706</v>
      </c>
      <c r="K213" s="12" t="n">
        <v>-1079</v>
      </c>
      <c r="M213" s="12" t="n">
        <v>463</v>
      </c>
      <c r="S213" s="12" t="n">
        <v>-713.864</v>
      </c>
      <c r="T213" s="12" t="n">
        <v>580.693</v>
      </c>
      <c r="U213" s="12" t="n">
        <v>-438.205</v>
      </c>
      <c r="V213" s="12" t="n">
        <v>-492.853</v>
      </c>
      <c r="W213" s="12" t="n">
        <v>-706</v>
      </c>
      <c r="X213" s="12" t="n">
        <v>463</v>
      </c>
    </row>
    <row r="214">
      <c r="A214" s="20" t="inlineStr">
        <is>
          <t>현금성자산 증감</t>
        </is>
      </c>
      <c r="C214" s="22" t="n">
        <v>37.322</v>
      </c>
      <c r="E214" s="22" t="n">
        <v>1182.405</v>
      </c>
      <c r="G214" s="22" t="n">
        <v>-393</v>
      </c>
      <c r="I214" s="22" t="n">
        <v>-10</v>
      </c>
      <c r="K214" s="22" t="n">
        <v>-1098</v>
      </c>
      <c r="M214" s="22" t="n">
        <v>271</v>
      </c>
      <c r="S214" s="22" t="n">
        <v>460.193</v>
      </c>
      <c r="T214" s="22" t="n">
        <v>1801.1</v>
      </c>
      <c r="U214" s="22" t="n">
        <v>483.293</v>
      </c>
      <c r="V214" s="22" t="n">
        <v>1182.405</v>
      </c>
      <c r="W214" s="22" t="n">
        <v>-10</v>
      </c>
      <c r="X214" s="22" t="n">
        <v>271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34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비위드 재무상태표</t>
        </is>
      </c>
    </row>
    <row r="2">
      <c r="A2" s="46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  <c r="K4" s="18" t="n"/>
      <c r="L4" s="18" t="n"/>
    </row>
    <row r="5">
      <c r="A5" s="9" t="inlineStr">
        <is>
          <t>유동자산</t>
        </is>
      </c>
      <c r="B5" s="10" t="n"/>
      <c r="C5" s="11" t="n">
        <v>9116</v>
      </c>
      <c r="D5" s="12" t="n">
        <v>9661</v>
      </c>
      <c r="E5" s="12" t="n">
        <v>9730</v>
      </c>
      <c r="F5" s="12" t="n">
        <v>11618</v>
      </c>
      <c r="G5" s="12" t="n">
        <v>9594</v>
      </c>
      <c r="H5" s="11" t="n">
        <v>8170.902</v>
      </c>
      <c r="I5" s="12" t="n">
        <v>9370.848</v>
      </c>
      <c r="J5" s="12" t="n">
        <v>10653.243</v>
      </c>
      <c r="K5" s="12" t="n">
        <v>10603</v>
      </c>
      <c r="L5" s="12" t="n">
        <v>11618</v>
      </c>
    </row>
    <row r="6">
      <c r="A6" s="20" t="inlineStr">
        <is>
          <t>현금및현금성자산</t>
        </is>
      </c>
      <c r="B6" s="10" t="n"/>
      <c r="C6" s="21" t="n">
        <v>4556</v>
      </c>
      <c r="D6" s="22" t="n">
        <v>4987</v>
      </c>
      <c r="E6" s="22" t="n">
        <v>5220</v>
      </c>
      <c r="F6" s="22" t="n">
        <v>6492</v>
      </c>
      <c r="G6" s="22" t="n">
        <v>4544</v>
      </c>
      <c r="H6" s="21" t="n">
        <v>4429.714</v>
      </c>
      <c r="I6" s="22" t="n">
        <v>4913.708</v>
      </c>
      <c r="J6" s="22" t="n">
        <v>6099.713</v>
      </c>
      <c r="K6" s="22" t="n">
        <v>6088</v>
      </c>
      <c r="L6" s="22" t="n">
        <v>6492</v>
      </c>
    </row>
    <row r="7">
      <c r="A7" s="20" t="inlineStr">
        <is>
          <t>단기금융상품</t>
        </is>
      </c>
      <c r="B7" s="10" t="n"/>
      <c r="C7" s="21" t="n"/>
      <c r="D7" s="22" t="n"/>
      <c r="E7" s="22" t="n"/>
      <c r="F7" s="22" t="n"/>
      <c r="G7" s="22" t="n"/>
      <c r="H7" s="21" t="n"/>
      <c r="I7" s="22" t="n"/>
      <c r="J7" s="22" t="n"/>
      <c r="K7" s="22" t="n"/>
      <c r="L7" s="22" t="n"/>
    </row>
    <row r="8">
      <c r="A8" s="20" t="inlineStr">
        <is>
          <t>매출채권</t>
        </is>
      </c>
      <c r="B8" s="10" t="n"/>
      <c r="C8" s="21" t="n">
        <v>4056</v>
      </c>
      <c r="D8" s="22" t="n">
        <v>4201</v>
      </c>
      <c r="E8" s="22" t="n">
        <v>4078</v>
      </c>
      <c r="F8" s="22" t="n">
        <v>4566</v>
      </c>
      <c r="G8" s="22" t="n">
        <v>4392</v>
      </c>
      <c r="H8" s="21" t="n">
        <v>3400.917</v>
      </c>
      <c r="I8" s="22" t="n">
        <v>4050.458</v>
      </c>
      <c r="J8" s="22" t="n">
        <v>4174.273</v>
      </c>
      <c r="K8" s="22" t="n">
        <v>4089</v>
      </c>
      <c r="L8" s="22" t="n">
        <v>4566</v>
      </c>
    </row>
    <row r="9">
      <c r="A9" s="20" t="inlineStr">
        <is>
          <t>재고자산</t>
        </is>
      </c>
      <c r="B9" s="10" t="n"/>
      <c r="C9" s="21" t="n">
        <v>92</v>
      </c>
      <c r="D9" s="22" t="n">
        <v>104</v>
      </c>
      <c r="E9" s="22" t="n">
        <v>30</v>
      </c>
      <c r="F9" s="22" t="n">
        <v>43</v>
      </c>
      <c r="G9" s="22" t="n">
        <v>66</v>
      </c>
      <c r="H9" s="21" t="n">
        <v>7.824</v>
      </c>
      <c r="I9" s="22" t="n">
        <v>35.453</v>
      </c>
      <c r="J9" s="22" t="n">
        <v>9.042</v>
      </c>
      <c r="K9" s="22" t="n">
        <v>67</v>
      </c>
      <c r="L9" s="22" t="n">
        <v>43</v>
      </c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  <c r="K10" s="22">
        <f>IF(OR(K5=""),"",IFERROR(K5-SUM(K6,K7,K8,K9),""))</f>
        <v/>
      </c>
      <c r="L10" s="22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3863</v>
      </c>
      <c r="D11" s="12" t="n">
        <v>3756</v>
      </c>
      <c r="E11" s="12" t="n">
        <v>3442</v>
      </c>
      <c r="F11" s="12" t="n">
        <v>4866</v>
      </c>
      <c r="G11" s="12" t="n">
        <v>4705</v>
      </c>
      <c r="H11" s="11" t="n">
        <v>2319.79</v>
      </c>
      <c r="I11" s="12" t="n">
        <v>2836.196</v>
      </c>
      <c r="J11" s="12" t="n">
        <v>3443.608</v>
      </c>
      <c r="K11" s="12" t="n">
        <v>3890</v>
      </c>
      <c r="L11" s="12" t="n">
        <v>4866</v>
      </c>
    </row>
    <row r="12">
      <c r="A12" s="20" t="inlineStr">
        <is>
          <t>유형자산</t>
        </is>
      </c>
      <c r="B12" s="10" t="n"/>
      <c r="C12" s="21" t="n">
        <v>1493</v>
      </c>
      <c r="D12" s="22" t="n">
        <v>1444</v>
      </c>
      <c r="E12" s="22" t="n">
        <v>1400</v>
      </c>
      <c r="F12" s="22" t="n">
        <v>2060</v>
      </c>
      <c r="G12" s="22" t="n">
        <v>2021</v>
      </c>
      <c r="H12" s="21" t="n">
        <v>814.628</v>
      </c>
      <c r="I12" s="22" t="n">
        <v>899.593</v>
      </c>
      <c r="J12" s="22" t="n">
        <v>1104.199</v>
      </c>
      <c r="K12" s="22" t="n">
        <v>1463</v>
      </c>
      <c r="L12" s="22" t="n">
        <v>2060</v>
      </c>
    </row>
    <row r="13">
      <c r="A13" s="20" t="inlineStr">
        <is>
          <t>무형자산</t>
        </is>
      </c>
      <c r="B13" s="10" t="n"/>
      <c r="C13" s="21" t="n">
        <v>565</v>
      </c>
      <c r="D13" s="22" t="n">
        <v>409</v>
      </c>
      <c r="E13" s="22" t="n">
        <v>340</v>
      </c>
      <c r="F13" s="22" t="n">
        <v>997</v>
      </c>
      <c r="G13" s="22" t="n">
        <v>956</v>
      </c>
      <c r="H13" s="21" t="n">
        <v>167.074</v>
      </c>
      <c r="I13" s="22" t="n">
        <v>323.73</v>
      </c>
      <c r="J13" s="22" t="n">
        <v>533.6130000000001</v>
      </c>
      <c r="K13" s="22" t="n">
        <v>587</v>
      </c>
      <c r="L13" s="22" t="n">
        <v>997</v>
      </c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  <c r="K14" s="22" t="n"/>
      <c r="L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  <c r="K15" s="22">
        <f>IF(OR(K11=""),"",IFERROR(K11-SUM(K12,K13,K14),""))</f>
        <v/>
      </c>
      <c r="L15" s="22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12980</v>
      </c>
      <c r="D16" s="12" t="n">
        <v>13417</v>
      </c>
      <c r="E16" s="12" t="n">
        <v>13173</v>
      </c>
      <c r="F16" s="12" t="n">
        <v>16484</v>
      </c>
      <c r="G16" s="12" t="n">
        <v>14299</v>
      </c>
      <c r="H16" s="11" t="n">
        <v>10490.692</v>
      </c>
      <c r="I16" s="12" t="n">
        <v>12207.044</v>
      </c>
      <c r="J16" s="12" t="n">
        <v>14096.851</v>
      </c>
      <c r="K16" s="12" t="n">
        <v>14494</v>
      </c>
      <c r="L16" s="12" t="n">
        <v>16484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  <c r="K17" s="18" t="n"/>
      <c r="L17" s="18" t="n"/>
    </row>
    <row r="18">
      <c r="A18" s="9" t="inlineStr">
        <is>
          <t>유동부채</t>
        </is>
      </c>
      <c r="B18" s="10" t="n"/>
      <c r="C18" s="11" t="n">
        <v>4092</v>
      </c>
      <c r="D18" s="12" t="n">
        <v>4373</v>
      </c>
      <c r="E18" s="12" t="n">
        <v>3783</v>
      </c>
      <c r="F18" s="12" t="n">
        <v>5472</v>
      </c>
      <c r="G18" s="12" t="n">
        <v>4122</v>
      </c>
      <c r="H18" s="11" t="n">
        <v>3570.079</v>
      </c>
      <c r="I18" s="12" t="n">
        <v>3983.22</v>
      </c>
      <c r="J18" s="12" t="n">
        <v>4489.468</v>
      </c>
      <c r="K18" s="12" t="n">
        <v>4625</v>
      </c>
      <c r="L18" s="12" t="n">
        <v>5472</v>
      </c>
    </row>
    <row r="19">
      <c r="A19" s="20" t="inlineStr">
        <is>
          <t>매입채무</t>
        </is>
      </c>
      <c r="B19" s="10" t="n"/>
      <c r="C19" s="21" t="n"/>
      <c r="D19" s="22" t="n"/>
      <c r="E19" s="22" t="n"/>
      <c r="F19" s="22" t="n"/>
      <c r="G19" s="22" t="n"/>
      <c r="H19" s="21" t="n"/>
      <c r="I19" s="22" t="n"/>
      <c r="J19" s="22" t="n"/>
      <c r="K19" s="22" t="n"/>
      <c r="L19" s="22" t="n"/>
    </row>
    <row r="20">
      <c r="A20" s="20" t="inlineStr">
        <is>
          <t>단기차입금</t>
        </is>
      </c>
      <c r="B20" s="10" t="n"/>
      <c r="C20" s="21" t="n"/>
      <c r="D20" s="22" t="n"/>
      <c r="E20" s="22" t="n"/>
      <c r="F20" s="22" t="n">
        <v>104</v>
      </c>
      <c r="G20" s="22" t="n">
        <v>72</v>
      </c>
      <c r="H20" s="21" t="n">
        <v>0</v>
      </c>
      <c r="I20" s="22" t="n">
        <v>5</v>
      </c>
      <c r="J20" s="22" t="n">
        <v>0</v>
      </c>
      <c r="K20" s="22" t="n">
        <v>0</v>
      </c>
      <c r="L20" s="22" t="n">
        <v>104</v>
      </c>
    </row>
    <row r="21">
      <c r="A21" s="20" t="inlineStr">
        <is>
          <t>유동성장기부채</t>
        </is>
      </c>
      <c r="B21" s="10" t="n"/>
      <c r="C21" s="21" t="n">
        <v>2</v>
      </c>
      <c r="D21" s="22" t="n">
        <v>2</v>
      </c>
      <c r="E21" s="22" t="n">
        <v>2</v>
      </c>
      <c r="F21" s="22" t="n">
        <v>267</v>
      </c>
      <c r="G21" s="22" t="n">
        <v>272</v>
      </c>
      <c r="H21" s="21" t="n">
        <v>0</v>
      </c>
      <c r="I21" s="22" t="n">
        <v>4.776</v>
      </c>
      <c r="J21" s="22" t="n">
        <v>3.911</v>
      </c>
      <c r="K21" s="22" t="n">
        <v>2</v>
      </c>
      <c r="L21" s="22" t="n">
        <v>267</v>
      </c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  <c r="K22" s="22">
        <f>IF(OR(K18=""),"",IFERROR(K18-SUM(K19,K20,K21),""))</f>
        <v/>
      </c>
      <c r="L22" s="22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933</v>
      </c>
      <c r="D23" s="12" t="n">
        <v>934</v>
      </c>
      <c r="E23" s="12" t="n">
        <v>935</v>
      </c>
      <c r="F23" s="12" t="n">
        <v>2196</v>
      </c>
      <c r="G23" s="12" t="n">
        <v>2130</v>
      </c>
      <c r="H23" s="11" t="n">
        <v>314.839</v>
      </c>
      <c r="I23" s="12" t="n">
        <v>381.93</v>
      </c>
      <c r="J23" s="12" t="n">
        <v>414.479</v>
      </c>
      <c r="K23" s="12" t="n">
        <v>916</v>
      </c>
      <c r="L23" s="12" t="n">
        <v>2196</v>
      </c>
    </row>
    <row r="24">
      <c r="A24" s="20" t="inlineStr">
        <is>
          <t>장기차입금</t>
        </is>
      </c>
      <c r="B24" s="10" t="n"/>
      <c r="C24" s="21" t="n">
        <v>18</v>
      </c>
      <c r="D24" s="22" t="n">
        <v>17</v>
      </c>
      <c r="E24" s="22" t="n">
        <v>16</v>
      </c>
      <c r="F24" s="22" t="n">
        <v>1250</v>
      </c>
      <c r="G24" s="22" t="n">
        <v>1182</v>
      </c>
      <c r="H24" s="21" t="n">
        <v>0</v>
      </c>
      <c r="I24" s="22" t="n">
        <v>25.511</v>
      </c>
      <c r="J24" s="22" t="n">
        <v>21.6</v>
      </c>
      <c r="K24" s="22" t="n">
        <v>18</v>
      </c>
      <c r="L24" s="22" t="n">
        <v>1250</v>
      </c>
    </row>
    <row r="25">
      <c r="A25" s="20" t="inlineStr">
        <is>
          <t>사채</t>
        </is>
      </c>
      <c r="B25" s="10" t="n"/>
      <c r="C25" s="21" t="n"/>
      <c r="D25" s="22" t="n"/>
      <c r="E25" s="22" t="n"/>
      <c r="F25" s="22" t="n"/>
      <c r="G25" s="22" t="n"/>
      <c r="H25" s="21" t="n"/>
      <c r="I25" s="22" t="n"/>
      <c r="J25" s="22" t="n"/>
      <c r="K25" s="22" t="n"/>
      <c r="L25" s="22" t="n"/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  <c r="K26" s="22">
        <f>IF(OR(K23=""),"",IFERROR(K23-SUM(K24,K25),""))</f>
        <v/>
      </c>
      <c r="L26" s="22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5025</v>
      </c>
      <c r="D27" s="12" t="n">
        <v>5307</v>
      </c>
      <c r="E27" s="12" t="n">
        <v>4719</v>
      </c>
      <c r="F27" s="12" t="n">
        <v>7669</v>
      </c>
      <c r="G27" s="12" t="n">
        <v>6253</v>
      </c>
      <c r="H27" s="11" t="n">
        <v>3884.918</v>
      </c>
      <c r="I27" s="12" t="n">
        <v>4365.15</v>
      </c>
      <c r="J27" s="12" t="n">
        <v>4903.947</v>
      </c>
      <c r="K27" s="12" t="n">
        <v>5541</v>
      </c>
      <c r="L27" s="12" t="n">
        <v>7669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  <c r="K28" s="22">
        <f>SUM(K20,K21,K24,K25)</f>
        <v/>
      </c>
      <c r="L28" s="22">
        <f>SUM(L20,L21,L24,L25)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  <c r="K29" s="22">
        <f>K28-K6-N(K7)</f>
        <v/>
      </c>
      <c r="L29" s="22">
        <f>L28-L6-N(L7)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  <c r="K30" s="18" t="n"/>
      <c r="L30" s="18" t="n"/>
    </row>
    <row r="31">
      <c r="A31" s="9" t="inlineStr">
        <is>
          <t>지배주주지분</t>
        </is>
      </c>
      <c r="B31" s="10" t="n"/>
      <c r="C31" s="11" t="n">
        <v>7952</v>
      </c>
      <c r="D31" s="12" t="n">
        <v>8108</v>
      </c>
      <c r="E31" s="12" t="n">
        <v>8452</v>
      </c>
      <c r="F31" s="12" t="n">
        <v>8689</v>
      </c>
      <c r="G31" s="12" t="n">
        <v>7909</v>
      </c>
      <c r="H31" s="11" t="n">
        <v>6600.974</v>
      </c>
      <c r="I31" s="12" t="n">
        <v>7839.066</v>
      </c>
      <c r="J31" s="12" t="n">
        <v>9190.456</v>
      </c>
      <c r="K31" s="12" t="n">
        <v>8941</v>
      </c>
      <c r="L31" s="12" t="n">
        <v>8689</v>
      </c>
    </row>
    <row r="32">
      <c r="A32" s="20" t="inlineStr">
        <is>
          <t>자본금</t>
        </is>
      </c>
      <c r="B32" s="10" t="n"/>
      <c r="C32" s="21" t="n">
        <v>916</v>
      </c>
      <c r="D32" s="22" t="n">
        <v>920</v>
      </c>
      <c r="E32" s="22" t="n">
        <v>945</v>
      </c>
      <c r="F32" s="22" t="n">
        <v>1044</v>
      </c>
      <c r="G32" s="22" t="n">
        <v>1048</v>
      </c>
      <c r="H32" s="21" t="n">
        <v>692.2</v>
      </c>
      <c r="I32" s="22" t="n">
        <v>794.133</v>
      </c>
      <c r="J32" s="22" t="n">
        <v>893.598</v>
      </c>
      <c r="K32" s="22" t="n">
        <v>915</v>
      </c>
      <c r="L32" s="22" t="n">
        <v>1044</v>
      </c>
    </row>
    <row r="33">
      <c r="A33" s="20" t="inlineStr">
        <is>
          <t>이익잉여금</t>
        </is>
      </c>
      <c r="B33" s="10" t="n"/>
      <c r="C33" s="21" t="n">
        <v>6016</v>
      </c>
      <c r="D33" s="22" t="n">
        <v>6163</v>
      </c>
      <c r="E33" s="22" t="n">
        <v>6456</v>
      </c>
      <c r="F33" s="22" t="n">
        <v>6497</v>
      </c>
      <c r="G33" s="22" t="n">
        <v>5690</v>
      </c>
      <c r="H33" s="21" t="n">
        <v>5113.392</v>
      </c>
      <c r="I33" s="22" t="n">
        <v>6147.671</v>
      </c>
      <c r="J33" s="22" t="n">
        <v>7300.131</v>
      </c>
      <c r="K33" s="22" t="n">
        <v>7006</v>
      </c>
      <c r="L33" s="22" t="n">
        <v>6497</v>
      </c>
    </row>
    <row r="34">
      <c r="A34" s="20" t="inlineStr">
        <is>
          <t>비지배지분</t>
        </is>
      </c>
      <c r="B34" s="10" t="n"/>
      <c r="C34" s="21" t="n">
        <v>0</v>
      </c>
      <c r="D34" s="22" t="n">
        <v>0</v>
      </c>
      <c r="E34" s="22" t="n">
        <v>0</v>
      </c>
      <c r="F34" s="22" t="n">
        <v>126</v>
      </c>
      <c r="G34" s="22" t="n">
        <v>136</v>
      </c>
      <c r="H34" s="21" t="n"/>
      <c r="I34" s="22" t="n"/>
      <c r="J34" s="22" t="n">
        <v>0</v>
      </c>
      <c r="K34" s="22" t="n">
        <v>9</v>
      </c>
      <c r="L34" s="22" t="n">
        <v>126</v>
      </c>
    </row>
    <row r="35">
      <c r="A35" s="9" t="inlineStr">
        <is>
          <t>자본총계</t>
        </is>
      </c>
      <c r="B35" s="10" t="n"/>
      <c r="C35" s="11" t="n">
        <v>7954</v>
      </c>
      <c r="D35" s="12" t="n">
        <v>8110</v>
      </c>
      <c r="E35" s="12" t="n">
        <v>8454</v>
      </c>
      <c r="F35" s="12" t="n">
        <v>8815</v>
      </c>
      <c r="G35" s="12" t="n">
        <v>8045</v>
      </c>
      <c r="H35" s="11" t="n">
        <v>6605.774</v>
      </c>
      <c r="I35" s="12" t="n">
        <v>7841.894</v>
      </c>
      <c r="J35" s="12" t="n">
        <v>9192.904</v>
      </c>
      <c r="K35" s="12" t="n">
        <v>8952</v>
      </c>
      <c r="L35" s="12" t="n">
        <v>8815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  <c r="K36" s="18" t="n"/>
      <c r="L36" s="18" t="n"/>
    </row>
    <row r="37">
      <c r="A37" s="9" t="inlineStr">
        <is>
          <t>영업활동현금흐름</t>
        </is>
      </c>
      <c r="B37" s="10" t="n"/>
      <c r="C37" s="11" t="n"/>
      <c r="D37" s="12" t="n">
        <v>750</v>
      </c>
      <c r="E37" s="12" t="n"/>
      <c r="F37" s="12" t="n">
        <v>1299</v>
      </c>
      <c r="G37" s="12" t="n"/>
      <c r="H37" s="11" t="n">
        <v>1586.673</v>
      </c>
      <c r="I37" s="12" t="n">
        <v>1533.497</v>
      </c>
      <c r="J37" s="12" t="n">
        <v>2569.473</v>
      </c>
      <c r="K37" s="12" t="n">
        <v>1176</v>
      </c>
      <c r="L37" s="12" t="n">
        <v>1299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/>
      <c r="D38" s="22" t="n">
        <v>548</v>
      </c>
      <c r="E38" s="22" t="n"/>
      <c r="F38" s="22" t="n">
        <v>303</v>
      </c>
      <c r="G38" s="22" t="n"/>
      <c r="H38" s="21" t="n">
        <v>272.82</v>
      </c>
      <c r="I38" s="22" t="n">
        <v>437.467</v>
      </c>
      <c r="J38" s="22" t="n">
        <v>666.503</v>
      </c>
      <c r="K38" s="22" t="n">
        <v>503</v>
      </c>
      <c r="L38" s="22" t="n">
        <v>303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/>
      <c r="D40" s="22" t="n">
        <v>1087</v>
      </c>
      <c r="E40" s="22" t="n"/>
      <c r="F40" s="22" t="n">
        <v>1087</v>
      </c>
      <c r="G40" s="22" t="n"/>
      <c r="H40" s="21" t="n">
        <v>569.6</v>
      </c>
      <c r="I40" s="22" t="n">
        <v>643.077</v>
      </c>
      <c r="J40" s="22" t="n">
        <v>680.647</v>
      </c>
      <c r="K40" s="22" t="n">
        <v>746</v>
      </c>
      <c r="L40" s="22" t="n">
        <v>1087</v>
      </c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  <c r="K41" s="18" t="n"/>
      <c r="L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  <c r="K42" s="25" t="n"/>
      <c r="L42" s="25" t="n"/>
    </row>
    <row r="43">
      <c r="A43" s="47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  <c r="K43" s="38">
        <f>IF(OR(K27="",K35=""),"",IFERROR(K27/K35,""))</f>
        <v/>
      </c>
      <c r="L43" s="38">
        <f>IF(OR(L27="",L35=""),"",IFERROR(L27/L35,""))</f>
        <v/>
      </c>
    </row>
    <row r="44">
      <c r="A44" s="47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  <c r="K44" s="38">
        <f>IF(OR(K29="",K35=""),"",IFERROR(K29/K35,""))</f>
        <v/>
      </c>
      <c r="L44" s="38">
        <f>IF(OR(L29="",L35=""),"",IFERROR(L29/L35,""))</f>
        <v/>
      </c>
    </row>
    <row r="45">
      <c r="A45" s="47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  <c r="K45" s="38">
        <f>IF(OR(K35="",K16=""),"",IFERROR(K35/K16,""))</f>
        <v/>
      </c>
      <c r="L45" s="38">
        <f>IF(OR(L35="",L16=""),"",IFERROR(L35/L16,""))</f>
        <v/>
      </c>
    </row>
    <row r="46">
      <c r="A46" s="47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  <c r="K46" s="38">
        <f>IF(OR(K5="",K18=""),"",IFERROR(K5/K18,""))</f>
        <v/>
      </c>
      <c r="L46" s="38">
        <f>IF(OR(L5="",L18=""),"",IFERROR(L5/L18,""))</f>
        <v/>
      </c>
    </row>
    <row r="47">
      <c r="A47" s="47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  <c r="K47" s="38">
        <f>IF(OR(K5="",K18=""),"",IFERROR((K5-N(K9))/K18,""))</f>
        <v/>
      </c>
      <c r="L47" s="38">
        <f>IF(OR(L5="",L18=""),"",IFERROR((L5-N(L9))/L18,""))</f>
        <v/>
      </c>
    </row>
    <row r="48">
      <c r="A48" s="47" t="inlineStr">
        <is>
          <t>이자보상배율</t>
        </is>
      </c>
      <c r="B48" s="10" t="inlineStr">
        <is>
          <t>5x↑ (금융원가 기준)</t>
        </is>
      </c>
      <c r="C48" s="32">
        <f>IFERROR((IF(COUNT('연간'!G19:J19)&lt;4,"",SUM('연간'!G19:J19)))/(IF(COUNT('연간'!G41:J41)&lt;4,"",SUM('연간'!G41:J41))),"")</f>
        <v/>
      </c>
      <c r="D48" s="33">
        <f>IFERROR((IF(COUNT('연간'!H19:K19)&lt;4,"",SUM('연간'!H19:K19)))/(IF(COUNT('연간'!H41:K41)&lt;4,"",SUM('연간'!H41:K41))),"")</f>
        <v/>
      </c>
      <c r="E48" s="33">
        <f>IFERROR((IF(COUNT('연간'!I19:L19)&lt;4,"",SUM('연간'!I19:L19)))/(IF(COUNT('연간'!I41:L41)&lt;4,"",SUM('연간'!I41:L41))),"")</f>
        <v/>
      </c>
      <c r="F48" s="33">
        <f>IFERROR((IF(COUNT('연간'!J19:M19)&lt;4,"",SUM('연간'!J19:M19)))/(IF(COUNT('연간'!J41:M41)&lt;4,"",SUM('연간'!J41:M41))),"")</f>
        <v/>
      </c>
      <c r="G48" s="33">
        <f>IFERROR((IF(COUNT('연간'!K19:N19)&lt;4,"",SUM('연간'!K19:N19)))/(IF(COUNT('연간'!K41:N41)&lt;4,"",SUM('연간'!K41:N41))),"")</f>
        <v/>
      </c>
      <c r="H48" s="32">
        <f>IFERROR(('연간'!T19)/('연간'!T41),"")</f>
        <v/>
      </c>
      <c r="I48" s="33">
        <f>IFERROR(('연간'!U19)/('연간'!U41),"")</f>
        <v/>
      </c>
      <c r="J48" s="33">
        <f>IFERROR(('연간'!V19)/('연간'!V41),"")</f>
        <v/>
      </c>
      <c r="K48" s="33">
        <f>IFERROR(('연간'!W19)/('연간'!W41),"")</f>
        <v/>
      </c>
      <c r="L48" s="33">
        <f>IFERROR(('연간'!X19)/('연간'!X41),"")</f>
        <v/>
      </c>
    </row>
    <row r="49">
      <c r="A49" s="47" t="inlineStr">
        <is>
          <t>차입금 상환연수</t>
        </is>
      </c>
      <c r="B49" s="10" t="inlineStr">
        <is>
          <t>4년↓ (버핏)</t>
        </is>
      </c>
      <c r="C49" s="48">
        <f>IFERROR(IF((IF(COUNT('연간'!G49:J49)&lt;4,"",SUM('연간'!G49:J49)))&lt;=0,"적자",C28/(IF(COUNT('연간'!G49:J49)&lt;4,"",SUM('연간'!G49:J49)))),"")</f>
        <v/>
      </c>
      <c r="D49" s="49">
        <f>IFERROR(IF((IF(COUNT('연간'!H49:K49)&lt;4,"",SUM('연간'!H49:K49)))&lt;=0,"적자",D28/(IF(COUNT('연간'!H49:K49)&lt;4,"",SUM('연간'!H49:K49)))),"")</f>
        <v/>
      </c>
      <c r="E49" s="49">
        <f>IFERROR(IF((IF(COUNT('연간'!I49:L49)&lt;4,"",SUM('연간'!I49:L49)))&lt;=0,"적자",E28/(IF(COUNT('연간'!I49:L49)&lt;4,"",SUM('연간'!I49:L49)))),"")</f>
        <v/>
      </c>
      <c r="F49" s="49">
        <f>IFERROR(IF((IF(COUNT('연간'!J49:M49)&lt;4,"",SUM('연간'!J49:M49)))&lt;=0,"적자",F28/(IF(COUNT('연간'!J49:M49)&lt;4,"",SUM('연간'!J49:M49)))),"")</f>
        <v/>
      </c>
      <c r="G49" s="49">
        <f>IFERROR(IF((IF(COUNT('연간'!K49:N49)&lt;4,"",SUM('연간'!K49:N49)))&lt;=0,"적자",G28/(IF(COUNT('연간'!K49:N49)&lt;4,"",SUM('연간'!K49:N49)))),"")</f>
        <v/>
      </c>
      <c r="H49" s="48">
        <f>IFERROR(IF(('연간'!T49)&lt;=0,"적자",H28/('연간'!T49)),"")</f>
        <v/>
      </c>
      <c r="I49" s="49">
        <f>IFERROR(IF(('연간'!U49)&lt;=0,"적자",I28/('연간'!U49)),"")</f>
        <v/>
      </c>
      <c r="J49" s="49">
        <f>IFERROR(IF(('연간'!V49)&lt;=0,"적자",J28/('연간'!V49)),"")</f>
        <v/>
      </c>
      <c r="K49" s="49">
        <f>IFERROR(IF(('연간'!W49)&lt;=0,"적자",K28/('연간'!W49)),"")</f>
        <v/>
      </c>
      <c r="L49" s="49">
        <f>IFERROR(IF(('연간'!X49)&lt;=0,"적자",L28/('연간'!X49)),"")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  <c r="K50" s="25" t="n"/>
      <c r="L50" s="25" t="n"/>
    </row>
    <row r="51">
      <c r="A51" s="47" t="inlineStr">
        <is>
          <t>ROE</t>
        </is>
      </c>
      <c r="B51" s="10" t="inlineStr">
        <is>
          <t>15%↑ (버핏)</t>
        </is>
      </c>
      <c r="C51" s="37">
        <f>IFERROR((IF(COUNT('연간'!G49:J49)&lt;4,"",SUM('연간'!G49:J49)))/C31,"")</f>
        <v/>
      </c>
      <c r="D51" s="38">
        <f>IFERROR((IF(COUNT('연간'!H49:K49)&lt;4,"",SUM('연간'!H49:K49)))/D31,"")</f>
        <v/>
      </c>
      <c r="E51" s="38">
        <f>IFERROR((IF(COUNT('연간'!I49:L49)&lt;4,"",SUM('연간'!I49:L49)))/E31,"")</f>
        <v/>
      </c>
      <c r="F51" s="38">
        <f>IFERROR((IF(COUNT('연간'!J49:M49)&lt;4,"",SUM('연간'!J49:M49)))/F31,"")</f>
        <v/>
      </c>
      <c r="G51" s="38">
        <f>IFERROR((IF(COUNT('연간'!K49:N49)&lt;4,"",SUM('연간'!K49:N49)))/G31,"")</f>
        <v/>
      </c>
      <c r="H51" s="37">
        <f>IFERROR(('연간'!T49)/H31,"")</f>
        <v/>
      </c>
      <c r="I51" s="38">
        <f>IFERROR(('연간'!U49)/I31,"")</f>
        <v/>
      </c>
      <c r="J51" s="38">
        <f>IFERROR(('연간'!V49)/J31,"")</f>
        <v/>
      </c>
      <c r="K51" s="38">
        <f>IFERROR(('연간'!W49)/K31,"")</f>
        <v/>
      </c>
      <c r="L51" s="38">
        <f>IFERROR(('연간'!X49)/L31,"")</f>
        <v/>
      </c>
    </row>
    <row r="52">
      <c r="A52" s="47" t="inlineStr">
        <is>
          <t>ROA</t>
        </is>
      </c>
      <c r="B52" s="10" t="inlineStr">
        <is>
          <t>5%↑</t>
        </is>
      </c>
      <c r="C52" s="37">
        <f>IFERROR((IF(COUNT('연간'!G47:J47)&lt;4,"",SUM('연간'!G47:J47)))/C16,"")</f>
        <v/>
      </c>
      <c r="D52" s="38">
        <f>IFERROR((IF(COUNT('연간'!H47:K47)&lt;4,"",SUM('연간'!H47:K47)))/D16,"")</f>
        <v/>
      </c>
      <c r="E52" s="38">
        <f>IFERROR((IF(COUNT('연간'!I47:L47)&lt;4,"",SUM('연간'!I47:L47)))/E16,"")</f>
        <v/>
      </c>
      <c r="F52" s="38">
        <f>IFERROR((IF(COUNT('연간'!J47:M47)&lt;4,"",SUM('연간'!J47:M47)))/F16,"")</f>
        <v/>
      </c>
      <c r="G52" s="38">
        <f>IFERROR((IF(COUNT('연간'!K47:N47)&lt;4,"",SUM('연간'!K47:N47)))/G16,"")</f>
        <v/>
      </c>
      <c r="H52" s="37">
        <f>IFERROR(('연간'!T47)/H16,"")</f>
        <v/>
      </c>
      <c r="I52" s="38">
        <f>IFERROR(('연간'!U47)/I16,"")</f>
        <v/>
      </c>
      <c r="J52" s="38">
        <f>IFERROR(('연간'!V47)/J16,"")</f>
        <v/>
      </c>
      <c r="K52" s="38">
        <f>IFERROR(('연간'!W47)/K16,"")</f>
        <v/>
      </c>
      <c r="L52" s="38">
        <f>IFERROR(('연간'!X47)/L16,"")</f>
        <v/>
      </c>
    </row>
    <row r="53">
      <c r="A53" s="47" t="inlineStr">
        <is>
          <t>ROIC</t>
        </is>
      </c>
      <c r="B53" s="10" t="inlineStr">
        <is>
          <t>10%↑ (세후영업이익 기준)</t>
        </is>
      </c>
      <c r="C53" s="37">
        <f>IFERROR((IF(COUNT('연간'!G19:J19)&lt;4,"",SUM('연간'!G19:J19)))*(1-0.3)/(C35+C29),"")</f>
        <v/>
      </c>
      <c r="D53" s="38">
        <f>IFERROR((IF(COUNT('연간'!H19:K19)&lt;4,"",SUM('연간'!H19:K19)))*(1-0.3)/(D35+D29),"")</f>
        <v/>
      </c>
      <c r="E53" s="38">
        <f>IFERROR((IF(COUNT('연간'!I19:L19)&lt;4,"",SUM('연간'!I19:L19)))*(1-0.3)/(E35+E29),"")</f>
        <v/>
      </c>
      <c r="F53" s="38">
        <f>IFERROR((IF(COUNT('연간'!J19:M19)&lt;4,"",SUM('연간'!J19:M19)))*(1-0.3)/(F35+F29),"")</f>
        <v/>
      </c>
      <c r="G53" s="38">
        <f>IFERROR((IF(COUNT('연간'!K19:N19)&lt;4,"",SUM('연간'!K19:N19)))*(1-0.3)/(G35+G29),"")</f>
        <v/>
      </c>
      <c r="H53" s="37">
        <f>IFERROR(('연간'!T19)*(1-0.3)/(H35+H29),"")</f>
        <v/>
      </c>
      <c r="I53" s="38">
        <f>IFERROR(('연간'!U19)*(1-0.3)/(I35+I29),"")</f>
        <v/>
      </c>
      <c r="J53" s="38">
        <f>IFERROR(('연간'!V19)*(1-0.3)/(J35+J29),"")</f>
        <v/>
      </c>
      <c r="K53" s="38">
        <f>IFERROR(('연간'!W19)*(1-0.3)/(K35+K29),"")</f>
        <v/>
      </c>
      <c r="L53" s="38">
        <f>IFERROR(('연간'!X19)*(1-0.3)/(L35+L29),"")</f>
        <v/>
      </c>
    </row>
    <row r="54">
      <c r="A54" s="47" t="inlineStr">
        <is>
          <t>매출총이익률 (GPM)</t>
        </is>
      </c>
      <c r="B54" s="10" t="inlineStr">
        <is>
          <t>40%↑ (해자 신호)</t>
        </is>
      </c>
      <c r="C54" s="37">
        <f>IFERROR((IF(COUNT('연간'!G13:J13)&lt;4,"",SUM('연간'!G13:J13)))/(IF(COUNT('연간'!G4:J4)&lt;4,"",SUM('연간'!G4:J4))),"")</f>
        <v/>
      </c>
      <c r="D54" s="38">
        <f>IFERROR((IF(COUNT('연간'!H13:K13)&lt;4,"",SUM('연간'!H13:K13)))/(IF(COUNT('연간'!H4:K4)&lt;4,"",SUM('연간'!H4:K4))),"")</f>
        <v/>
      </c>
      <c r="E54" s="38">
        <f>IFERROR((IF(COUNT('연간'!I13:L13)&lt;4,"",SUM('연간'!I13:L13)))/(IF(COUNT('연간'!I4:L4)&lt;4,"",SUM('연간'!I4:L4))),"")</f>
        <v/>
      </c>
      <c r="F54" s="38">
        <f>IFERROR((IF(COUNT('연간'!J13:M13)&lt;4,"",SUM('연간'!J13:M13)))/(IF(COUNT('연간'!J4:M4)&lt;4,"",SUM('연간'!J4:M4))),"")</f>
        <v/>
      </c>
      <c r="G54" s="38">
        <f>IFERROR((IF(COUNT('연간'!K13:N13)&lt;4,"",SUM('연간'!K13:N13)))/(IF(COUNT('연간'!K4:N4)&lt;4,"",SUM('연간'!K4:N4))),"")</f>
        <v/>
      </c>
      <c r="H54" s="37">
        <f>IFERROR(('연간'!T13)/('연간'!T4),"")</f>
        <v/>
      </c>
      <c r="I54" s="38">
        <f>IFERROR(('연간'!U13)/('연간'!U4),"")</f>
        <v/>
      </c>
      <c r="J54" s="38">
        <f>IFERROR(('연간'!V13)/('연간'!V4),"")</f>
        <v/>
      </c>
      <c r="K54" s="38">
        <f>IFERROR(('연간'!W13)/('연간'!W4),"")</f>
        <v/>
      </c>
      <c r="L54" s="38">
        <f>IFERROR(('연간'!X13)/('연간'!X4),"")</f>
        <v/>
      </c>
    </row>
    <row r="55">
      <c r="A55" s="47" t="inlineStr">
        <is>
          <t>영업이익률 (OPM)</t>
        </is>
      </c>
      <c r="B55" s="10" t="inlineStr">
        <is>
          <t>15%↑</t>
        </is>
      </c>
      <c r="C55" s="37">
        <f>IFERROR((IF(COUNT('연간'!G19:J19)&lt;4,"",SUM('연간'!G19:J19)))/(IF(COUNT('연간'!G4:J4)&lt;4,"",SUM('연간'!G4:J4))),"")</f>
        <v/>
      </c>
      <c r="D55" s="38">
        <f>IFERROR((IF(COUNT('연간'!H19:K19)&lt;4,"",SUM('연간'!H19:K19)))/(IF(COUNT('연간'!H4:K4)&lt;4,"",SUM('연간'!H4:K4))),"")</f>
        <v/>
      </c>
      <c r="E55" s="38">
        <f>IFERROR((IF(COUNT('연간'!I19:L19)&lt;4,"",SUM('연간'!I19:L19)))/(IF(COUNT('연간'!I4:L4)&lt;4,"",SUM('연간'!I4:L4))),"")</f>
        <v/>
      </c>
      <c r="F55" s="38">
        <f>IFERROR((IF(COUNT('연간'!J19:M19)&lt;4,"",SUM('연간'!J19:M19)))/(IF(COUNT('연간'!J4:M4)&lt;4,"",SUM('연간'!J4:M4))),"")</f>
        <v/>
      </c>
      <c r="G55" s="38">
        <f>IFERROR((IF(COUNT('연간'!K19:N19)&lt;4,"",SUM('연간'!K19:N19)))/(IF(COUNT('연간'!K4:N4)&lt;4,"",SUM('연간'!K4:N4))),"")</f>
        <v/>
      </c>
      <c r="H55" s="37">
        <f>IFERROR(('연간'!T19)/('연간'!T4),"")</f>
        <v/>
      </c>
      <c r="I55" s="38">
        <f>IFERROR(('연간'!U19)/('연간'!U4),"")</f>
        <v/>
      </c>
      <c r="J55" s="38">
        <f>IFERROR(('연간'!V19)/('연간'!V4),"")</f>
        <v/>
      </c>
      <c r="K55" s="38">
        <f>IFERROR(('연간'!W19)/('연간'!W4),"")</f>
        <v/>
      </c>
      <c r="L55" s="38">
        <f>IFERROR(('연간'!X19)/('연간'!X4),"")</f>
        <v/>
      </c>
    </row>
    <row r="56">
      <c r="A56" s="47" t="inlineStr">
        <is>
          <t>순이익률</t>
        </is>
      </c>
      <c r="B56" s="10" t="inlineStr">
        <is>
          <t>10%↑</t>
        </is>
      </c>
      <c r="C56" s="37">
        <f>IFERROR((IF(COUNT('연간'!G47:J47)&lt;4,"",SUM('연간'!G47:J47)))/(IF(COUNT('연간'!G4:J4)&lt;4,"",SUM('연간'!G4:J4))),"")</f>
        <v/>
      </c>
      <c r="D56" s="38">
        <f>IFERROR((IF(COUNT('연간'!H47:K47)&lt;4,"",SUM('연간'!H47:K47)))/(IF(COUNT('연간'!H4:K4)&lt;4,"",SUM('연간'!H4:K4))),"")</f>
        <v/>
      </c>
      <c r="E56" s="38">
        <f>IFERROR((IF(COUNT('연간'!I47:L47)&lt;4,"",SUM('연간'!I47:L47)))/(IF(COUNT('연간'!I4:L4)&lt;4,"",SUM('연간'!I4:L4))),"")</f>
        <v/>
      </c>
      <c r="F56" s="38">
        <f>IFERROR((IF(COUNT('연간'!J47:M47)&lt;4,"",SUM('연간'!J47:M47)))/(IF(COUNT('연간'!J4:M4)&lt;4,"",SUM('연간'!J4:M4))),"")</f>
        <v/>
      </c>
      <c r="G56" s="38">
        <f>IFERROR((IF(COUNT('연간'!K47:N47)&lt;4,"",SUM('연간'!K47:N47)))/(IF(COUNT('연간'!K4:N4)&lt;4,"",SUM('연간'!K4:N4))),"")</f>
        <v/>
      </c>
      <c r="H56" s="37">
        <f>IFERROR(('연간'!T47)/('연간'!T4),"")</f>
        <v/>
      </c>
      <c r="I56" s="38">
        <f>IFERROR(('연간'!U47)/('연간'!U4),"")</f>
        <v/>
      </c>
      <c r="J56" s="38">
        <f>IFERROR(('연간'!V47)/('연간'!V4),"")</f>
        <v/>
      </c>
      <c r="K56" s="38">
        <f>IFERROR(('연간'!W47)/('연간'!W4),"")</f>
        <v/>
      </c>
      <c r="L56" s="38">
        <f>IFERROR(('연간'!X47)/('연간'!X4),"")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  <c r="K57" s="25" t="n"/>
      <c r="L57" s="25" t="n"/>
    </row>
    <row r="58">
      <c r="A58" s="47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IFERROR(('연간'!T4)/H16,"")</f>
        <v/>
      </c>
      <c r="I58" s="33">
        <f>IFERROR(('연간'!U4)/I16,"")</f>
        <v/>
      </c>
      <c r="J58" s="33">
        <f>IFERROR(('연간'!V4)/J16,"")</f>
        <v/>
      </c>
      <c r="K58" s="33">
        <f>IFERROR(('연간'!W4)/K16,"")</f>
        <v/>
      </c>
      <c r="L58" s="33">
        <f>IFERROR(('연간'!X4)/L16,"")</f>
        <v/>
      </c>
    </row>
    <row r="59">
      <c r="A59" s="47" t="inlineStr">
        <is>
          <t>매출채권회전일수</t>
        </is>
      </c>
      <c r="B59" s="10" t="inlineStr">
        <is>
          <t>짧을수록↑</t>
        </is>
      </c>
      <c r="C59" s="50">
        <f>IFERROR(C8/(IF(COUNT('연간'!G4:J4)&lt;4,"",SUM('연간'!G4:J4)))*365,"")</f>
        <v/>
      </c>
      <c r="D59" s="51">
        <f>IFERROR(D8/(IF(COUNT('연간'!H4:K4)&lt;4,"",SUM('연간'!H4:K4)))*365,"")</f>
        <v/>
      </c>
      <c r="E59" s="51">
        <f>IFERROR(E8/(IF(COUNT('연간'!I4:L4)&lt;4,"",SUM('연간'!I4:L4)))*365,"")</f>
        <v/>
      </c>
      <c r="F59" s="51">
        <f>IFERROR(F8/(IF(COUNT('연간'!J4:M4)&lt;4,"",SUM('연간'!J4:M4)))*365,"")</f>
        <v/>
      </c>
      <c r="G59" s="51">
        <f>IFERROR(G8/(IF(COUNT('연간'!K4:N4)&lt;4,"",SUM('연간'!K4:N4)))*365,"")</f>
        <v/>
      </c>
      <c r="H59" s="50">
        <f>IFERROR(H8/('연간'!T4)*365,"")</f>
        <v/>
      </c>
      <c r="I59" s="51">
        <f>IFERROR(I8/('연간'!U4)*365,"")</f>
        <v/>
      </c>
      <c r="J59" s="51">
        <f>IFERROR(J8/('연간'!V4)*365,"")</f>
        <v/>
      </c>
      <c r="K59" s="51">
        <f>IFERROR(K8/('연간'!W4)*365,"")</f>
        <v/>
      </c>
      <c r="L59" s="51">
        <f>IFERROR(L8/('연간'!X4)*365,"")</f>
        <v/>
      </c>
    </row>
    <row r="60">
      <c r="A60" s="47" t="inlineStr">
        <is>
          <t>재고자산회전일수</t>
        </is>
      </c>
      <c r="B60" s="10" t="inlineStr">
        <is>
          <t>짧을수록↑</t>
        </is>
      </c>
      <c r="C60" s="50">
        <f>IFERROR(C9/(IF(COUNT('연간'!G11:J11)&lt;4,"",SUM('연간'!G11:J11)))*365,"")</f>
        <v/>
      </c>
      <c r="D60" s="51">
        <f>IFERROR(D9/(IF(COUNT('연간'!H11:K11)&lt;4,"",SUM('연간'!H11:K11)))*365,"")</f>
        <v/>
      </c>
      <c r="E60" s="51">
        <f>IFERROR(E9/(IF(COUNT('연간'!I11:L11)&lt;4,"",SUM('연간'!I11:L11)))*365,"")</f>
        <v/>
      </c>
      <c r="F60" s="51">
        <f>IFERROR(F9/(IF(COUNT('연간'!J11:M11)&lt;4,"",SUM('연간'!J11:M11)))*365,"")</f>
        <v/>
      </c>
      <c r="G60" s="51">
        <f>IFERROR(G9/(IF(COUNT('연간'!K11:N11)&lt;4,"",SUM('연간'!K11:N11)))*365,"")</f>
        <v/>
      </c>
      <c r="H60" s="50">
        <f>IFERROR(H9/('연간'!T11)*365,"")</f>
        <v/>
      </c>
      <c r="I60" s="51">
        <f>IFERROR(I9/('연간'!U11)*365,"")</f>
        <v/>
      </c>
      <c r="J60" s="51">
        <f>IFERROR(J9/('연간'!V11)*365,"")</f>
        <v/>
      </c>
      <c r="K60" s="51">
        <f>IFERROR(K9/('연간'!W11)*365,"")</f>
        <v/>
      </c>
      <c r="L60" s="51">
        <f>IFERROR(L9/('연간'!X11)*365,"")</f>
        <v/>
      </c>
    </row>
    <row r="61">
      <c r="A61" s="47" t="inlineStr">
        <is>
          <t>매입채무회전일수</t>
        </is>
      </c>
      <c r="B61" s="10" t="inlineStr">
        <is>
          <t>길수록 유리</t>
        </is>
      </c>
      <c r="C61" s="50">
        <f>IFERROR(C19/(IF(COUNT('연간'!G11:J11)&lt;4,"",SUM('연간'!G11:J11)))*365,"")</f>
        <v/>
      </c>
      <c r="D61" s="51">
        <f>IFERROR(D19/(IF(COUNT('연간'!H11:K11)&lt;4,"",SUM('연간'!H11:K11)))*365,"")</f>
        <v/>
      </c>
      <c r="E61" s="51">
        <f>IFERROR(E19/(IF(COUNT('연간'!I11:L11)&lt;4,"",SUM('연간'!I11:L11)))*365,"")</f>
        <v/>
      </c>
      <c r="F61" s="51">
        <f>IFERROR(F19/(IF(COUNT('연간'!J11:M11)&lt;4,"",SUM('연간'!J11:M11)))*365,"")</f>
        <v/>
      </c>
      <c r="G61" s="51">
        <f>IFERROR(G19/(IF(COUNT('연간'!K11:N11)&lt;4,"",SUM('연간'!K11:N11)))*365,"")</f>
        <v/>
      </c>
      <c r="H61" s="50">
        <f>IFERROR(H19/('연간'!T11)*365,"")</f>
        <v/>
      </c>
      <c r="I61" s="51">
        <f>IFERROR(I19/('연간'!U11)*365,"")</f>
        <v/>
      </c>
      <c r="J61" s="51">
        <f>IFERROR(J19/('연간'!V11)*365,"")</f>
        <v/>
      </c>
      <c r="K61" s="51">
        <f>IFERROR(K19/('연간'!W11)*365,"")</f>
        <v/>
      </c>
      <c r="L61" s="51">
        <f>IFERROR(L19/('연간'!X11)*365,"")</f>
        <v/>
      </c>
    </row>
    <row r="62">
      <c r="A62" s="47" t="inlineStr">
        <is>
          <t>현금전환주기 (CCC)</t>
        </is>
      </c>
      <c r="B62" s="10" t="inlineStr">
        <is>
          <t>짧을수록↑</t>
        </is>
      </c>
      <c r="C62" s="50">
        <f>IF(OR(C59="",C60="",C61=""),"",IFERROR(C59+C60-C61,""))</f>
        <v/>
      </c>
      <c r="D62" s="51">
        <f>IF(OR(D59="",D60="",D61=""),"",IFERROR(D59+D60-D61,""))</f>
        <v/>
      </c>
      <c r="E62" s="51">
        <f>IF(OR(E59="",E60="",E61=""),"",IFERROR(E59+E60-E61,""))</f>
        <v/>
      </c>
      <c r="F62" s="51">
        <f>IF(OR(F59="",F60="",F61=""),"",IFERROR(F59+F60-F61,""))</f>
        <v/>
      </c>
      <c r="G62" s="51">
        <f>IF(OR(G59="",G60="",G61=""),"",IFERROR(G59+G60-G61,""))</f>
        <v/>
      </c>
      <c r="H62" s="50">
        <f>IF(OR(H59="",H60="",H61=""),"",IFERROR(H59+H60-H61,""))</f>
        <v/>
      </c>
      <c r="I62" s="51">
        <f>IF(OR(I59="",I60="",I61=""),"",IFERROR(I59+I60-I61,""))</f>
        <v/>
      </c>
      <c r="J62" s="51">
        <f>IF(OR(J59="",J60="",J61=""),"",IFERROR(J59+J60-J61,""))</f>
        <v/>
      </c>
      <c r="K62" s="51">
        <f>IF(OR(K59="",K60="",K61=""),"",IFERROR(K59+K60-K61,""))</f>
        <v/>
      </c>
      <c r="L62" s="51">
        <f>IF(OR(L59="",L60="",L61=""),"",IFERROR(L59+L60-L61,""))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  <c r="K63" s="25" t="n"/>
      <c r="L63" s="25" t="n"/>
    </row>
    <row r="64">
      <c r="A64" s="47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IF(C37="","",IFERROR(C37/(IF(COUNT('연간'!G47:J47)&lt;4,"",SUM('연간'!G47:J47))),""))</f>
        <v/>
      </c>
      <c r="D64" s="33">
        <f>IF(D37="","",IFERROR(D37/(IF(COUNT('연간'!H47:K47)&lt;4,"",SUM('연간'!H47:K47))),""))</f>
        <v/>
      </c>
      <c r="E64" s="33">
        <f>IF(E37="","",IFERROR(E37/(IF(COUNT('연간'!I47:L47)&lt;4,"",SUM('연간'!I47:L47))),""))</f>
        <v/>
      </c>
      <c r="F64" s="33">
        <f>IF(F37="","",IFERROR(F37/(IF(COUNT('연간'!J47:M47)&lt;4,"",SUM('연간'!J47:M47))),""))</f>
        <v/>
      </c>
      <c r="G64" s="33">
        <f>IF(G37="","",IFERROR(G37/(IF(COUNT('연간'!K47:N47)&lt;4,"",SUM('연간'!K47:N47))),""))</f>
        <v/>
      </c>
      <c r="H64" s="32">
        <f>IF(H37="","",IFERROR(H37/('연간'!T47),""))</f>
        <v/>
      </c>
      <c r="I64" s="33">
        <f>IF(I37="","",IFERROR(I37/('연간'!U47),""))</f>
        <v/>
      </c>
      <c r="J64" s="33">
        <f>IF(J37="","",IFERROR(J37/('연간'!V47),""))</f>
        <v/>
      </c>
      <c r="K64" s="33">
        <f>IF(K37="","",IFERROR(K37/('연간'!W47),""))</f>
        <v/>
      </c>
      <c r="L64" s="33">
        <f>IF(L37="","",IFERROR(L37/('연간'!X47),""))</f>
        <v/>
      </c>
    </row>
    <row r="65">
      <c r="A65" s="47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IF(H39="","",IFERROR(H39/('연간'!T4),""))</f>
        <v/>
      </c>
      <c r="I65" s="38">
        <f>IF(I39="","",IFERROR(I39/('연간'!U4),""))</f>
        <v/>
      </c>
      <c r="J65" s="38">
        <f>IF(J39="","",IFERROR(J39/('연간'!V4),""))</f>
        <v/>
      </c>
      <c r="K65" s="38">
        <f>IF(K39="","",IFERROR(K39/('연간'!W4),""))</f>
        <v/>
      </c>
      <c r="L65" s="38">
        <f>IF(L39="","",IFERROR(L39/('연간'!X4),""))</f>
        <v/>
      </c>
    </row>
    <row r="66">
      <c r="A66" s="47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IF(H38="","",IFERROR(H38/('연간'!T4),""))</f>
        <v/>
      </c>
      <c r="I66" s="38">
        <f>IF(I38="","",IFERROR(I38/('연간'!U4),""))</f>
        <v/>
      </c>
      <c r="J66" s="38">
        <f>IF(J38="","",IFERROR(J38/('연간'!V4),""))</f>
        <v/>
      </c>
      <c r="K66" s="38">
        <f>IF(K38="","",IFERROR(K38/('연간'!W4),""))</f>
        <v/>
      </c>
      <c r="L66" s="38">
        <f>IF(L38="","",IFERROR(L38/('연간'!X4),""))</f>
        <v/>
      </c>
    </row>
    <row r="67">
      <c r="A67" s="47" t="inlineStr">
        <is>
          <t>배당성향</t>
        </is>
      </c>
      <c r="B67" s="10" t="inlineStr">
        <is>
          <t>참고</t>
        </is>
      </c>
      <c r="C67" s="37">
        <f>IF(C40="","",IFERROR(C40/(IF(COUNT('연간'!G49:J49)&lt;4,"",SUM('연간'!G49:J49))),""))</f>
        <v/>
      </c>
      <c r="D67" s="38">
        <f>IF(D40="","",IFERROR(D40/(IF(COUNT('연간'!H49:K49)&lt;4,"",SUM('연간'!H49:K49))),""))</f>
        <v/>
      </c>
      <c r="E67" s="38">
        <f>IF(E40="","",IFERROR(E40/(IF(COUNT('연간'!I49:L49)&lt;4,"",SUM('연간'!I49:L49))),""))</f>
        <v/>
      </c>
      <c r="F67" s="38">
        <f>IF(F40="","",IFERROR(F40/(IF(COUNT('연간'!J49:M49)&lt;4,"",SUM('연간'!J49:M49))),""))</f>
        <v/>
      </c>
      <c r="G67" s="38">
        <f>IF(G40="","",IFERROR(G40/(IF(COUNT('연간'!K49:N49)&lt;4,"",SUM('연간'!K49:N49))),""))</f>
        <v/>
      </c>
      <c r="H67" s="37">
        <f>IF(H40="","",IFERROR(H40/('연간'!T49),""))</f>
        <v/>
      </c>
      <c r="I67" s="38">
        <f>IF(I40="","",IFERROR(I40/('연간'!U49),""))</f>
        <v/>
      </c>
      <c r="J67" s="38">
        <f>IF(J40="","",IFERROR(J40/('연간'!V49),""))</f>
        <v/>
      </c>
      <c r="K67" s="38">
        <f>IF(K40="","",IFERROR(K40/('연간'!W49),""))</f>
        <v/>
      </c>
      <c r="L67" s="38">
        <f>IF(L40="","",IFERROR(L40/('연간'!X49),""))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20" t="inlineStr">
        <is>
          <t>현금 및 예금</t>
        </is>
      </c>
      <c r="C71" s="22" t="n">
        <v>4556</v>
      </c>
      <c r="D71" s="22" t="n">
        <v>4987</v>
      </c>
      <c r="E71" s="22" t="n">
        <v>5220</v>
      </c>
      <c r="F71" s="22" t="n">
        <v>6492</v>
      </c>
      <c r="G71" s="22" t="n">
        <v>4544</v>
      </c>
      <c r="H71" s="22" t="n">
        <v>4429.714</v>
      </c>
      <c r="I71" s="22" t="n">
        <v>4913.708</v>
      </c>
      <c r="J71" s="22" t="n">
        <v>6099.713</v>
      </c>
      <c r="K71" s="22" t="n">
        <v>6088</v>
      </c>
      <c r="L71" s="22" t="n">
        <v>6492</v>
      </c>
    </row>
    <row r="72">
      <c r="A72" s="20" t="inlineStr">
        <is>
          <t>매출채권</t>
        </is>
      </c>
      <c r="C72" s="22" t="n">
        <v>4056</v>
      </c>
      <c r="D72" s="22" t="n">
        <v>4201</v>
      </c>
      <c r="E72" s="22" t="n">
        <v>4078</v>
      </c>
      <c r="F72" s="22" t="n">
        <v>4566</v>
      </c>
      <c r="G72" s="22" t="n">
        <v>4392</v>
      </c>
      <c r="H72" s="22" t="n">
        <v>3400.917</v>
      </c>
      <c r="I72" s="22" t="n">
        <v>4050.458</v>
      </c>
      <c r="J72" s="22" t="n">
        <v>4174.273</v>
      </c>
      <c r="K72" s="22" t="n">
        <v>4089</v>
      </c>
      <c r="L72" s="22" t="n">
        <v>4566</v>
      </c>
    </row>
    <row r="73">
      <c r="A73" s="20" t="inlineStr">
        <is>
          <t>전자기록채권</t>
        </is>
      </c>
      <c r="H73" s="22" t="n">
        <v>33.234</v>
      </c>
      <c r="I73" s="22" t="n">
        <v>30.413</v>
      </c>
      <c r="J73" s="22" t="n">
        <v>0</v>
      </c>
    </row>
    <row r="74">
      <c r="A74" s="20" t="inlineStr">
        <is>
          <t>계약자산</t>
        </is>
      </c>
      <c r="F74" s="22" t="n">
        <v>69</v>
      </c>
      <c r="G74" s="22" t="n">
        <v>83</v>
      </c>
      <c r="K74" s="22" t="n">
        <v>0</v>
      </c>
      <c r="L74" s="22" t="n">
        <v>69</v>
      </c>
    </row>
    <row r="75">
      <c r="A75" s="20" t="inlineStr">
        <is>
          <t>상품</t>
        </is>
      </c>
      <c r="C75" s="22" t="n">
        <v>6</v>
      </c>
      <c r="D75" s="22" t="n">
        <v>1</v>
      </c>
      <c r="E75" s="22" t="n">
        <v>1</v>
      </c>
      <c r="F75" s="22" t="n">
        <v>37</v>
      </c>
      <c r="G75" s="22" t="n">
        <v>52</v>
      </c>
      <c r="H75" s="22" t="n">
        <v>1.785</v>
      </c>
      <c r="I75" s="22" t="n">
        <v>30.384</v>
      </c>
      <c r="J75" s="22" t="n">
        <v>5.936</v>
      </c>
      <c r="K75" s="22" t="n">
        <v>2</v>
      </c>
      <c r="L75" s="22" t="n">
        <v>37</v>
      </c>
    </row>
    <row r="76">
      <c r="A76" s="20" t="inlineStr">
        <is>
          <t>재공품</t>
        </is>
      </c>
      <c r="C76" s="22" t="n">
        <v>84</v>
      </c>
      <c r="D76" s="22" t="n">
        <v>101</v>
      </c>
      <c r="E76" s="22" t="n">
        <v>27</v>
      </c>
      <c r="F76" s="22" t="n">
        <v>2</v>
      </c>
      <c r="G76" s="22" t="n">
        <v>13</v>
      </c>
      <c r="H76" s="22" t="n">
        <v>0</v>
      </c>
      <c r="I76" s="22" t="n">
        <v>1.166</v>
      </c>
      <c r="J76" s="22" t="n">
        <v>1.303</v>
      </c>
      <c r="K76" s="22" t="n">
        <v>61</v>
      </c>
      <c r="L76" s="22" t="n">
        <v>2</v>
      </c>
    </row>
    <row r="77">
      <c r="A77" s="20" t="inlineStr">
        <is>
          <t>저장품</t>
        </is>
      </c>
      <c r="C77" s="22" t="n">
        <v>2</v>
      </c>
      <c r="D77" s="22" t="n">
        <v>2</v>
      </c>
      <c r="E77" s="22" t="n">
        <v>2</v>
      </c>
      <c r="F77" s="22" t="n">
        <v>4</v>
      </c>
      <c r="G77" s="22" t="n">
        <v>1</v>
      </c>
      <c r="H77" s="22" t="n">
        <v>6.039</v>
      </c>
      <c r="I77" s="22" t="n">
        <v>3.903</v>
      </c>
      <c r="J77" s="22" t="n">
        <v>1.803</v>
      </c>
      <c r="K77" s="22" t="n">
        <v>4</v>
      </c>
      <c r="L77" s="22" t="n">
        <v>4</v>
      </c>
    </row>
    <row r="78">
      <c r="A78" s="20" t="inlineStr">
        <is>
          <t>기타</t>
        </is>
      </c>
      <c r="C78" s="22" t="n">
        <v>412</v>
      </c>
      <c r="D78" s="22" t="n">
        <v>368</v>
      </c>
      <c r="E78" s="22" t="n">
        <v>402</v>
      </c>
      <c r="F78" s="22" t="n">
        <v>454</v>
      </c>
      <c r="G78" s="22" t="n">
        <v>511</v>
      </c>
      <c r="H78" s="22" t="n">
        <v>299.213</v>
      </c>
      <c r="I78" s="22" t="n">
        <v>340.816</v>
      </c>
      <c r="J78" s="22" t="n">
        <v>370.215</v>
      </c>
      <c r="K78" s="22" t="n">
        <v>360</v>
      </c>
      <c r="L78" s="22" t="n">
        <v>454</v>
      </c>
    </row>
    <row r="79">
      <c r="A79" s="20" t="inlineStr">
        <is>
          <t>대손충당금</t>
        </is>
      </c>
      <c r="C79" s="22" t="n">
        <v>-3</v>
      </c>
      <c r="D79" s="22" t="n">
        <v>-2</v>
      </c>
      <c r="E79" s="22" t="n">
        <v>-2</v>
      </c>
      <c r="F79" s="22" t="n">
        <v>-7</v>
      </c>
      <c r="G79" s="22" t="n">
        <v>-5</v>
      </c>
      <c r="J79" s="22" t="n">
        <v>0</v>
      </c>
      <c r="K79" s="22" t="n">
        <v>-3</v>
      </c>
      <c r="L79" s="22" t="n">
        <v>-7</v>
      </c>
    </row>
    <row r="80">
      <c r="A80" s="9" t="inlineStr">
        <is>
          <t>유동자산 합계</t>
        </is>
      </c>
      <c r="C80" s="12" t="n">
        <v>9116</v>
      </c>
      <c r="D80" s="12" t="n">
        <v>9661</v>
      </c>
      <c r="E80" s="12" t="n">
        <v>9730</v>
      </c>
      <c r="F80" s="12" t="n">
        <v>11618</v>
      </c>
      <c r="G80" s="12" t="n">
        <v>9594</v>
      </c>
      <c r="H80" s="12" t="n">
        <v>8170.902</v>
      </c>
      <c r="I80" s="12" t="n">
        <v>9370.848</v>
      </c>
      <c r="J80" s="12" t="n">
        <v>10653.243</v>
      </c>
      <c r="K80" s="12" t="n">
        <v>10603</v>
      </c>
      <c r="L80" s="12" t="n">
        <v>11618</v>
      </c>
    </row>
    <row r="81">
      <c r="A81" s="20" t="inlineStr">
        <is>
          <t>건물</t>
        </is>
      </c>
      <c r="F81" s="22" t="n">
        <v>2069</v>
      </c>
      <c r="H81" s="22" t="n">
        <v>1268.834</v>
      </c>
      <c r="I81" s="22" t="n">
        <v>1383.768</v>
      </c>
      <c r="J81" s="22" t="n">
        <v>1524.928</v>
      </c>
      <c r="K81" s="22" t="n">
        <v>2171</v>
      </c>
      <c r="L81" s="22" t="n">
        <v>2069</v>
      </c>
    </row>
    <row r="82">
      <c r="A82" s="20" t="inlineStr">
        <is>
          <t>감가상각누계액</t>
        </is>
      </c>
      <c r="F82" s="22" t="n">
        <v>-1077</v>
      </c>
      <c r="H82" s="22" t="n">
        <v>-659.962</v>
      </c>
      <c r="I82" s="22" t="n">
        <v>-735.61</v>
      </c>
      <c r="J82" s="22" t="n">
        <v>-808.622</v>
      </c>
      <c r="K82" s="22" t="n">
        <v>-1087</v>
      </c>
      <c r="L82" s="22" t="n">
        <v>-1077</v>
      </c>
    </row>
    <row r="83">
      <c r="A83" s="20" t="inlineStr">
        <is>
          <t>건물(순액)</t>
        </is>
      </c>
      <c r="F83" s="22" t="n">
        <v>991</v>
      </c>
      <c r="H83" s="22" t="n">
        <v>608.872</v>
      </c>
      <c r="I83" s="22" t="n">
        <v>648.158</v>
      </c>
      <c r="J83" s="22" t="n">
        <v>716.306</v>
      </c>
      <c r="K83" s="22" t="n">
        <v>1083</v>
      </c>
      <c r="L83" s="22" t="n">
        <v>991</v>
      </c>
    </row>
    <row r="84">
      <c r="A84" s="20" t="inlineStr">
        <is>
          <t>공구·기구·비품</t>
        </is>
      </c>
      <c r="F84" s="22" t="n">
        <v>1464</v>
      </c>
      <c r="H84" s="22" t="n">
        <v>997.454</v>
      </c>
      <c r="I84" s="22" t="n">
        <v>1045.724</v>
      </c>
      <c r="J84" s="22" t="n">
        <v>1033.521</v>
      </c>
      <c r="K84" s="22" t="n">
        <v>1126</v>
      </c>
      <c r="L84" s="22" t="n">
        <v>1464</v>
      </c>
    </row>
    <row r="85">
      <c r="A85" s="20" t="inlineStr">
        <is>
          <t>감가상각누계액</t>
        </is>
      </c>
      <c r="F85" s="22" t="n">
        <v>-897</v>
      </c>
      <c r="H85" s="22" t="n">
        <v>-791.698</v>
      </c>
      <c r="I85" s="22" t="n">
        <v>-806.058</v>
      </c>
      <c r="J85" s="22" t="n">
        <v>-650.952</v>
      </c>
      <c r="K85" s="22" t="n">
        <v>-759</v>
      </c>
      <c r="L85" s="22" t="n">
        <v>-897</v>
      </c>
    </row>
    <row r="86">
      <c r="A86" s="20" t="inlineStr">
        <is>
          <t>공구·기구·비품(순액)</t>
        </is>
      </c>
      <c r="F86" s="22" t="n">
        <v>566</v>
      </c>
      <c r="H86" s="22" t="n">
        <v>205.756</v>
      </c>
      <c r="I86" s="22" t="n">
        <v>239.666</v>
      </c>
      <c r="J86" s="22" t="n">
        <v>382.569</v>
      </c>
      <c r="K86" s="22" t="n">
        <v>367</v>
      </c>
      <c r="L86" s="22" t="n">
        <v>566</v>
      </c>
    </row>
    <row r="87">
      <c r="A87" s="20" t="inlineStr">
        <is>
          <t>건설중인자산</t>
        </is>
      </c>
      <c r="F87" s="22" t="n">
        <v>476</v>
      </c>
      <c r="H87" s="22" t="n">
        <v>0</v>
      </c>
      <c r="I87" s="22" t="n">
        <v>11.769</v>
      </c>
      <c r="J87" s="22" t="n">
        <v>0.257</v>
      </c>
      <c r="K87" s="22" t="n">
        <v>8</v>
      </c>
      <c r="L87" s="22" t="n">
        <v>476</v>
      </c>
    </row>
    <row r="88">
      <c r="A88" s="20" t="inlineStr">
        <is>
          <t>기타</t>
        </is>
      </c>
      <c r="F88" s="22" t="n">
        <v>44</v>
      </c>
      <c r="I88" s="22" t="n">
        <v>0</v>
      </c>
      <c r="J88" s="22" t="n">
        <v>5.859</v>
      </c>
      <c r="K88" s="22" t="n">
        <v>5</v>
      </c>
      <c r="L88" s="22" t="n">
        <v>44</v>
      </c>
    </row>
    <row r="89">
      <c r="A89" s="20" t="inlineStr">
        <is>
          <t>감가상각누계액</t>
        </is>
      </c>
      <c r="F89" s="22" t="n">
        <v>-19</v>
      </c>
      <c r="I89" s="22" t="n">
        <v>0</v>
      </c>
      <c r="J89" s="22" t="n">
        <v>-0.792</v>
      </c>
      <c r="K89" s="22" t="n">
        <v>-1</v>
      </c>
      <c r="L89" s="22" t="n">
        <v>-19</v>
      </c>
    </row>
    <row r="90">
      <c r="A90" s="20" t="inlineStr">
        <is>
          <t>기타(순액)</t>
        </is>
      </c>
      <c r="F90" s="22" t="n">
        <v>25</v>
      </c>
      <c r="I90" s="22" t="n">
        <v>0</v>
      </c>
      <c r="J90" s="22" t="n">
        <v>5.067</v>
      </c>
      <c r="K90" s="22" t="n">
        <v>4</v>
      </c>
      <c r="L90" s="22" t="n">
        <v>25</v>
      </c>
    </row>
    <row r="91">
      <c r="A91" s="20" t="inlineStr">
        <is>
          <t>유형자산</t>
        </is>
      </c>
      <c r="C91" s="22" t="n">
        <v>1493</v>
      </c>
      <c r="D91" s="22" t="n">
        <v>1444</v>
      </c>
      <c r="E91" s="22" t="n">
        <v>1400</v>
      </c>
      <c r="F91" s="22" t="n">
        <v>2060</v>
      </c>
      <c r="G91" s="22" t="n">
        <v>2021</v>
      </c>
      <c r="H91" s="22" t="n">
        <v>814.628</v>
      </c>
      <c r="I91" s="22" t="n">
        <v>899.593</v>
      </c>
      <c r="J91" s="22" t="n">
        <v>1104.199</v>
      </c>
      <c r="K91" s="22" t="n">
        <v>1463</v>
      </c>
      <c r="L91" s="22" t="n">
        <v>2060</v>
      </c>
    </row>
    <row r="92">
      <c r="A92" s="20" t="inlineStr">
        <is>
          <t>영업권</t>
        </is>
      </c>
      <c r="C92" s="22" t="n">
        <v>2</v>
      </c>
      <c r="D92" s="22" t="n">
        <v>0</v>
      </c>
      <c r="E92" s="22" t="n">
        <v>0</v>
      </c>
      <c r="F92" s="22" t="n">
        <v>684</v>
      </c>
      <c r="G92" s="22" t="n">
        <v>658</v>
      </c>
      <c r="H92" s="22" t="n">
        <v>7.058</v>
      </c>
      <c r="I92" s="22" t="n">
        <v>14.015</v>
      </c>
      <c r="J92" s="22" t="n">
        <v>13.171</v>
      </c>
      <c r="K92" s="22" t="n">
        <v>4</v>
      </c>
      <c r="L92" s="22" t="n">
        <v>684</v>
      </c>
    </row>
    <row r="93">
      <c r="A93" s="20" t="inlineStr">
        <is>
          <t>소프트웨어</t>
        </is>
      </c>
      <c r="F93" s="22" t="n">
        <v>303</v>
      </c>
      <c r="H93" s="22" t="n">
        <v>114.054</v>
      </c>
      <c r="I93" s="22" t="n">
        <v>190.667</v>
      </c>
      <c r="J93" s="22" t="n">
        <v>407.117</v>
      </c>
      <c r="K93" s="22" t="n">
        <v>541</v>
      </c>
      <c r="L93" s="22" t="n">
        <v>303</v>
      </c>
    </row>
    <row r="94">
      <c r="A94" s="20" t="inlineStr">
        <is>
          <t>개발 중 소프트웨어</t>
        </is>
      </c>
      <c r="I94" s="22" t="n">
        <v>112.553</v>
      </c>
      <c r="J94" s="22" t="n">
        <v>106.921</v>
      </c>
      <c r="K94" s="22" t="n">
        <v>35.189</v>
      </c>
    </row>
    <row r="95">
      <c r="A95" s="20" t="inlineStr">
        <is>
          <t>기타</t>
        </is>
      </c>
      <c r="C95" s="22" t="n">
        <v>563</v>
      </c>
      <c r="D95" s="22" t="n">
        <v>409</v>
      </c>
      <c r="E95" s="22" t="n">
        <v>340</v>
      </c>
      <c r="F95" s="22" t="n">
        <v>313</v>
      </c>
      <c r="G95" s="22" t="n">
        <v>298</v>
      </c>
      <c r="H95" s="22" t="n">
        <v>45.962</v>
      </c>
      <c r="I95" s="22" t="n">
        <v>6.495</v>
      </c>
      <c r="J95" s="22" t="n">
        <v>6.404</v>
      </c>
      <c r="K95" s="22" t="n">
        <v>41</v>
      </c>
      <c r="L95" s="22" t="n">
        <v>313</v>
      </c>
    </row>
    <row r="96">
      <c r="A96" s="20" t="inlineStr">
        <is>
          <t>무형자산 합계</t>
        </is>
      </c>
      <c r="C96" s="22" t="n">
        <v>565</v>
      </c>
      <c r="D96" s="22" t="n">
        <v>409</v>
      </c>
      <c r="E96" s="22" t="n">
        <v>340</v>
      </c>
      <c r="F96" s="22" t="n">
        <v>997</v>
      </c>
      <c r="G96" s="22" t="n">
        <v>956</v>
      </c>
      <c r="H96" s="22" t="n">
        <v>167.074</v>
      </c>
      <c r="I96" s="22" t="n">
        <v>323.73</v>
      </c>
      <c r="J96" s="22" t="n">
        <v>533.6130000000001</v>
      </c>
      <c r="K96" s="22" t="n">
        <v>587</v>
      </c>
      <c r="L96" s="22" t="n">
        <v>997</v>
      </c>
    </row>
    <row r="97">
      <c r="A97" s="20" t="inlineStr">
        <is>
          <t>투자유가증권</t>
        </is>
      </c>
      <c r="C97" s="22" t="n">
        <v>145</v>
      </c>
      <c r="D97" s="22" t="n">
        <v>147</v>
      </c>
      <c r="E97" s="22" t="n">
        <v>135</v>
      </c>
      <c r="F97" s="22" t="n">
        <v>135</v>
      </c>
      <c r="G97" s="22" t="n">
        <v>135</v>
      </c>
      <c r="H97" s="22" t="n">
        <v>0</v>
      </c>
      <c r="I97" s="22" t="n">
        <v>168</v>
      </c>
      <c r="J97" s="22" t="n">
        <v>253.33</v>
      </c>
      <c r="K97" s="22" t="n">
        <v>147</v>
      </c>
      <c r="L97" s="22" t="n">
        <v>135</v>
      </c>
    </row>
    <row r="98">
      <c r="A98" s="20" t="inlineStr">
        <is>
          <t>임차보증금·보증금</t>
        </is>
      </c>
      <c r="C98" s="22" t="n">
        <v>1256</v>
      </c>
      <c r="D98" s="22" t="n">
        <v>1253</v>
      </c>
      <c r="E98" s="22" t="n">
        <v>1153</v>
      </c>
      <c r="F98" s="22" t="n">
        <v>1165</v>
      </c>
      <c r="G98" s="22" t="n">
        <v>1167</v>
      </c>
      <c r="H98" s="22" t="n">
        <v>1038.127</v>
      </c>
      <c r="I98" s="22" t="n">
        <v>1052.467</v>
      </c>
      <c r="J98" s="22" t="n">
        <v>1175.756</v>
      </c>
      <c r="K98" s="22" t="n">
        <v>1256</v>
      </c>
      <c r="L98" s="22" t="n">
        <v>1165</v>
      </c>
    </row>
    <row r="99">
      <c r="A99" s="20" t="inlineStr">
        <is>
          <t>이연법인세자산</t>
        </is>
      </c>
      <c r="F99" s="22" t="n">
        <v>470</v>
      </c>
      <c r="H99" s="22" t="n">
        <v>263.653</v>
      </c>
      <c r="I99" s="22" t="n">
        <v>348.066</v>
      </c>
      <c r="J99" s="22" t="n">
        <v>341.241</v>
      </c>
      <c r="K99" s="22" t="n">
        <v>401</v>
      </c>
      <c r="L99" s="22" t="n">
        <v>470</v>
      </c>
    </row>
    <row r="100">
      <c r="A100" s="20" t="inlineStr">
        <is>
          <t>기타</t>
        </is>
      </c>
      <c r="C100" s="22" t="n">
        <v>402</v>
      </c>
      <c r="D100" s="22" t="n">
        <v>500</v>
      </c>
      <c r="E100" s="22" t="n">
        <v>413</v>
      </c>
      <c r="F100" s="22" t="n">
        <v>506</v>
      </c>
      <c r="G100" s="22" t="n">
        <v>424</v>
      </c>
      <c r="H100" s="22" t="n">
        <v>36.308</v>
      </c>
      <c r="I100" s="22" t="n">
        <v>44.34</v>
      </c>
      <c r="J100" s="22" t="n">
        <v>35.469</v>
      </c>
      <c r="K100" s="22" t="n">
        <v>35</v>
      </c>
      <c r="L100" s="22" t="n">
        <v>506</v>
      </c>
    </row>
    <row r="101">
      <c r="A101" s="20" t="inlineStr">
        <is>
          <t>투자 및 기타자산 합계</t>
        </is>
      </c>
      <c r="C101" s="22" t="n">
        <v>1804</v>
      </c>
      <c r="D101" s="22" t="n">
        <v>1901</v>
      </c>
      <c r="E101" s="22" t="n">
        <v>1701</v>
      </c>
      <c r="F101" s="22" t="n">
        <v>1807</v>
      </c>
      <c r="G101" s="22" t="n">
        <v>1726</v>
      </c>
      <c r="H101" s="22" t="n">
        <v>1338.088</v>
      </c>
      <c r="I101" s="22" t="n">
        <v>1612.873</v>
      </c>
      <c r="J101" s="22" t="n">
        <v>1805.796</v>
      </c>
      <c r="K101" s="22" t="n">
        <v>1840</v>
      </c>
      <c r="L101" s="22" t="n">
        <v>1807</v>
      </c>
    </row>
    <row r="102">
      <c r="A102" s="9" t="inlineStr">
        <is>
          <t>비유동자산 합계</t>
        </is>
      </c>
      <c r="C102" s="12" t="n">
        <v>3863</v>
      </c>
      <c r="D102" s="12" t="n">
        <v>3756</v>
      </c>
      <c r="E102" s="12" t="n">
        <v>3442</v>
      </c>
      <c r="F102" s="12" t="n">
        <v>4866</v>
      </c>
      <c r="G102" s="12" t="n">
        <v>4705</v>
      </c>
      <c r="H102" s="12" t="n">
        <v>2319.79</v>
      </c>
      <c r="I102" s="12" t="n">
        <v>2836.196</v>
      </c>
      <c r="J102" s="12" t="n">
        <v>3443.608</v>
      </c>
      <c r="K102" s="12" t="n">
        <v>3890</v>
      </c>
      <c r="L102" s="12" t="n">
        <v>4866</v>
      </c>
    </row>
    <row r="103">
      <c r="A103" s="9" t="inlineStr">
        <is>
          <t>자산 합계</t>
        </is>
      </c>
      <c r="C103" s="12" t="n">
        <v>12980</v>
      </c>
      <c r="D103" s="12" t="n">
        <v>13417</v>
      </c>
      <c r="E103" s="12" t="n">
        <v>13173</v>
      </c>
      <c r="F103" s="12" t="n">
        <v>16484</v>
      </c>
      <c r="G103" s="12" t="n">
        <v>14299</v>
      </c>
      <c r="H103" s="12" t="n">
        <v>10490.692</v>
      </c>
      <c r="I103" s="12" t="n">
        <v>12207.044</v>
      </c>
      <c r="J103" s="12" t="n">
        <v>14096.851</v>
      </c>
      <c r="K103" s="12" t="n">
        <v>14494</v>
      </c>
      <c r="L103" s="12" t="n">
        <v>16484</v>
      </c>
    </row>
    <row r="104">
      <c r="A104" s="20" t="inlineStr">
        <is>
          <t>단기차입금</t>
        </is>
      </c>
      <c r="F104" s="22" t="n">
        <v>104</v>
      </c>
      <c r="G104" s="22" t="n">
        <v>72</v>
      </c>
      <c r="H104" s="22" t="n">
        <v>0</v>
      </c>
      <c r="I104" s="22" t="n">
        <v>5</v>
      </c>
      <c r="J104" s="22" t="n">
        <v>0</v>
      </c>
      <c r="K104" s="22" t="n">
        <v>0</v>
      </c>
      <c r="L104" s="22" t="n">
        <v>104</v>
      </c>
    </row>
    <row r="105">
      <c r="A105" s="20" t="inlineStr">
        <is>
          <t>1년 내 상환 장기차입금</t>
        </is>
      </c>
      <c r="C105" s="22" t="n">
        <v>2</v>
      </c>
      <c r="D105" s="22" t="n">
        <v>2</v>
      </c>
      <c r="E105" s="22" t="n">
        <v>2</v>
      </c>
      <c r="F105" s="22" t="n">
        <v>267</v>
      </c>
      <c r="G105" s="22" t="n">
        <v>272</v>
      </c>
      <c r="H105" s="22" t="n">
        <v>0</v>
      </c>
      <c r="I105" s="22" t="n">
        <v>4.776</v>
      </c>
      <c r="J105" s="22" t="n">
        <v>3.911</v>
      </c>
      <c r="K105" s="22" t="n">
        <v>2</v>
      </c>
      <c r="L105" s="22" t="n">
        <v>267</v>
      </c>
    </row>
    <row r="106">
      <c r="A106" s="20" t="inlineStr">
        <is>
          <t>미지급금</t>
        </is>
      </c>
      <c r="C106" s="22" t="n">
        <v>692</v>
      </c>
      <c r="D106" s="22" t="n">
        <v>738</v>
      </c>
      <c r="E106" s="22" t="n">
        <v>723</v>
      </c>
      <c r="F106" s="22" t="n">
        <v>950</v>
      </c>
      <c r="G106" s="22" t="n">
        <v>693</v>
      </c>
      <c r="H106" s="22" t="n">
        <v>792.586</v>
      </c>
      <c r="I106" s="22" t="n">
        <v>843.424</v>
      </c>
      <c r="J106" s="22" t="n">
        <v>641.63</v>
      </c>
      <c r="K106" s="22" t="n">
        <v>692</v>
      </c>
      <c r="L106" s="22" t="n">
        <v>950</v>
      </c>
    </row>
    <row r="107">
      <c r="A107" s="20" t="inlineStr">
        <is>
          <t>미지급비용</t>
        </is>
      </c>
      <c r="C107" s="22" t="n">
        <v>1832</v>
      </c>
      <c r="D107" s="22" t="n">
        <v>1924</v>
      </c>
      <c r="E107" s="22" t="n">
        <v>1716</v>
      </c>
      <c r="F107" s="22" t="n">
        <v>1783</v>
      </c>
      <c r="G107" s="22" t="n">
        <v>1555</v>
      </c>
      <c r="H107" s="22" t="n">
        <v>1340.371</v>
      </c>
      <c r="I107" s="22" t="n">
        <v>1623.176</v>
      </c>
      <c r="J107" s="22" t="n">
        <v>1823.435</v>
      </c>
      <c r="K107" s="22" t="n">
        <v>1952</v>
      </c>
      <c r="L107" s="22" t="n">
        <v>1783</v>
      </c>
    </row>
    <row r="108">
      <c r="A108" s="20" t="inlineStr">
        <is>
          <t>미지급법인세</t>
        </is>
      </c>
      <c r="C108" s="22" t="n">
        <v>61</v>
      </c>
      <c r="D108" s="22" t="n">
        <v>305</v>
      </c>
      <c r="E108" s="22" t="n">
        <v>99</v>
      </c>
      <c r="F108" s="22" t="n">
        <v>445</v>
      </c>
      <c r="G108" s="22" t="n">
        <v>142</v>
      </c>
      <c r="H108" s="22" t="n">
        <v>266.851</v>
      </c>
      <c r="I108" s="22" t="n">
        <v>368.251</v>
      </c>
      <c r="J108" s="22" t="n">
        <v>492.054</v>
      </c>
      <c r="K108" s="22" t="n">
        <v>199</v>
      </c>
      <c r="L108" s="22" t="n">
        <v>445</v>
      </c>
    </row>
    <row r="109">
      <c r="A109" s="20" t="inlineStr">
        <is>
          <t>미지급 소비세</t>
        </is>
      </c>
      <c r="C109" s="22" t="n">
        <v>629</v>
      </c>
      <c r="D109" s="22" t="n">
        <v>612</v>
      </c>
      <c r="E109" s="22" t="n">
        <v>610</v>
      </c>
      <c r="F109" s="22" t="n">
        <v>622</v>
      </c>
      <c r="G109" s="22" t="n">
        <v>660</v>
      </c>
      <c r="H109" s="22" t="n">
        <v>566.505</v>
      </c>
      <c r="I109" s="22" t="n">
        <v>519.397</v>
      </c>
      <c r="J109" s="22" t="n">
        <v>782.4109999999999</v>
      </c>
      <c r="K109" s="22" t="n">
        <v>583</v>
      </c>
      <c r="L109" s="22" t="n">
        <v>622</v>
      </c>
    </row>
    <row r="110">
      <c r="A110" s="20" t="inlineStr">
        <is>
          <t>계약부채</t>
        </is>
      </c>
      <c r="F110" s="22" t="n">
        <v>147</v>
      </c>
      <c r="H110" s="22" t="n">
        <v>15.87</v>
      </c>
      <c r="I110" s="22" t="n">
        <v>33.452</v>
      </c>
      <c r="J110" s="22" t="n">
        <v>36.27</v>
      </c>
      <c r="K110" s="22" t="n">
        <v>14</v>
      </c>
      <c r="L110" s="22" t="n">
        <v>147</v>
      </c>
    </row>
    <row r="111">
      <c r="A111" s="20" t="inlineStr">
        <is>
          <t>상여충당금</t>
        </is>
      </c>
      <c r="C111" s="22" t="n">
        <v>190</v>
      </c>
      <c r="D111" s="22" t="n">
        <v>371</v>
      </c>
      <c r="E111" s="22" t="n">
        <v>182</v>
      </c>
      <c r="F111" s="22" t="n">
        <v>364</v>
      </c>
      <c r="G111" s="22" t="n">
        <v>197</v>
      </c>
      <c r="H111" s="22" t="n">
        <v>351.979</v>
      </c>
      <c r="I111" s="22" t="n">
        <v>304.566</v>
      </c>
      <c r="J111" s="22" t="n">
        <v>328.412</v>
      </c>
      <c r="K111" s="22" t="n">
        <v>341</v>
      </c>
      <c r="L111" s="22" t="n">
        <v>364</v>
      </c>
    </row>
    <row r="112">
      <c r="A112" s="20" t="inlineStr">
        <is>
          <t>주주우대 충당금</t>
        </is>
      </c>
      <c r="C112" s="22" t="n">
        <v>40</v>
      </c>
      <c r="D112" s="22" t="n">
        <v>0</v>
      </c>
      <c r="E112" s="22" t="n">
        <v>0</v>
      </c>
      <c r="F112" s="22" t="n">
        <v>238</v>
      </c>
      <c r="G112" s="22" t="n">
        <v>51</v>
      </c>
      <c r="I112" s="22" t="n">
        <v>0</v>
      </c>
      <c r="J112" s="22" t="n">
        <v>74.625</v>
      </c>
      <c r="K112" s="22" t="n">
        <v>197</v>
      </c>
      <c r="L112" s="22" t="n">
        <v>238</v>
      </c>
    </row>
    <row r="113">
      <c r="A113" s="20" t="inlineStr">
        <is>
          <t>자산복구부채</t>
        </is>
      </c>
      <c r="C113" s="22" t="n">
        <v>60</v>
      </c>
      <c r="D113" s="22" t="n">
        <v>0</v>
      </c>
      <c r="E113" s="22" t="n">
        <v>0</v>
      </c>
      <c r="F113" s="22" t="n">
        <v>0</v>
      </c>
      <c r="J113" s="22" t="n">
        <v>0</v>
      </c>
      <c r="K113" s="22" t="n">
        <v>66</v>
      </c>
      <c r="L113" s="22" t="n">
        <v>0</v>
      </c>
    </row>
    <row r="114">
      <c r="A114" s="20" t="inlineStr">
        <is>
          <t>기타</t>
        </is>
      </c>
      <c r="C114" s="22" t="n">
        <v>582</v>
      </c>
      <c r="D114" s="22" t="n">
        <v>418</v>
      </c>
      <c r="E114" s="22" t="n">
        <v>449</v>
      </c>
      <c r="F114" s="22" t="n">
        <v>695</v>
      </c>
      <c r="G114" s="22" t="n">
        <v>476</v>
      </c>
      <c r="H114" s="22" t="n">
        <v>235.917</v>
      </c>
      <c r="I114" s="22" t="n">
        <v>281.178</v>
      </c>
      <c r="J114" s="22" t="n">
        <v>306.72</v>
      </c>
      <c r="K114" s="22" t="n">
        <v>575</v>
      </c>
      <c r="L114" s="22" t="n">
        <v>695</v>
      </c>
    </row>
    <row r="115">
      <c r="A115" s="9" t="inlineStr">
        <is>
          <t>유동부채 합계</t>
        </is>
      </c>
      <c r="C115" s="12" t="n">
        <v>4092</v>
      </c>
      <c r="D115" s="12" t="n">
        <v>4373</v>
      </c>
      <c r="E115" s="12" t="n">
        <v>3783</v>
      </c>
      <c r="F115" s="12" t="n">
        <v>5472</v>
      </c>
      <c r="G115" s="12" t="n">
        <v>4122</v>
      </c>
      <c r="H115" s="12" t="n">
        <v>3570.079</v>
      </c>
      <c r="I115" s="12" t="n">
        <v>3983.22</v>
      </c>
      <c r="J115" s="12" t="n">
        <v>4489.468</v>
      </c>
      <c r="K115" s="12" t="n">
        <v>4625</v>
      </c>
      <c r="L115" s="12" t="n">
        <v>5472</v>
      </c>
    </row>
    <row r="116">
      <c r="A116" s="20" t="inlineStr">
        <is>
          <t>장기차입금</t>
        </is>
      </c>
      <c r="C116" s="22" t="n">
        <v>18</v>
      </c>
      <c r="D116" s="22" t="n">
        <v>17</v>
      </c>
      <c r="E116" s="22" t="n">
        <v>16</v>
      </c>
      <c r="F116" s="22" t="n">
        <v>1250</v>
      </c>
      <c r="G116" s="22" t="n">
        <v>1182</v>
      </c>
      <c r="H116" s="22" t="n">
        <v>0</v>
      </c>
      <c r="I116" s="22" t="n">
        <v>25.511</v>
      </c>
      <c r="J116" s="22" t="n">
        <v>21.6</v>
      </c>
      <c r="K116" s="22" t="n">
        <v>18</v>
      </c>
      <c r="L116" s="22" t="n">
        <v>1250</v>
      </c>
    </row>
    <row r="117">
      <c r="A117" s="20" t="inlineStr">
        <is>
          <t>임원 퇴직위로 충당금</t>
        </is>
      </c>
      <c r="H117" s="22" t="n">
        <v>0</v>
      </c>
    </row>
    <row r="118">
      <c r="A118" s="20" t="inlineStr">
        <is>
          <t>이연법인세부채</t>
        </is>
      </c>
      <c r="F118" s="22" t="n">
        <v>18</v>
      </c>
      <c r="K118" s="22" t="n">
        <v>0</v>
      </c>
      <c r="L118" s="22" t="n">
        <v>18</v>
      </c>
    </row>
    <row r="119">
      <c r="A119" s="20" t="inlineStr">
        <is>
          <t>퇴직급여부채</t>
        </is>
      </c>
      <c r="C119" s="22" t="n">
        <v>6</v>
      </c>
      <c r="D119" s="22" t="n">
        <v>6</v>
      </c>
      <c r="E119" s="22" t="n">
        <v>7</v>
      </c>
      <c r="F119" s="22" t="n">
        <v>7</v>
      </c>
      <c r="G119" s="22" t="n">
        <v>7</v>
      </c>
      <c r="H119" s="22" t="n">
        <v>0</v>
      </c>
      <c r="I119" s="22" t="n">
        <v>5.248</v>
      </c>
      <c r="J119" s="22" t="n">
        <v>5.871</v>
      </c>
      <c r="K119" s="22" t="n">
        <v>6</v>
      </c>
      <c r="L119" s="22" t="n">
        <v>7</v>
      </c>
    </row>
    <row r="120">
      <c r="A120" s="20" t="inlineStr">
        <is>
          <t>자산복구부채</t>
        </is>
      </c>
      <c r="C120" s="22" t="n">
        <v>905</v>
      </c>
      <c r="D120" s="22" t="n">
        <v>907</v>
      </c>
      <c r="E120" s="22" t="n">
        <v>909</v>
      </c>
      <c r="F120" s="22" t="n">
        <v>910</v>
      </c>
      <c r="G120" s="22" t="n">
        <v>912</v>
      </c>
      <c r="H120" s="22" t="n">
        <v>314.839</v>
      </c>
      <c r="I120" s="22" t="n">
        <v>351.171</v>
      </c>
      <c r="J120" s="22" t="n">
        <v>382.539</v>
      </c>
      <c r="K120" s="22" t="n">
        <v>887</v>
      </c>
      <c r="L120" s="22" t="n">
        <v>910</v>
      </c>
    </row>
    <row r="121">
      <c r="A121" s="20" t="inlineStr">
        <is>
          <t>기타</t>
        </is>
      </c>
      <c r="C121" s="22" t="n">
        <v>3</v>
      </c>
      <c r="D121" s="22" t="n">
        <v>3</v>
      </c>
      <c r="E121" s="22" t="n">
        <v>2</v>
      </c>
      <c r="F121" s="22" t="n">
        <v>28</v>
      </c>
      <c r="G121" s="22" t="n">
        <v>28</v>
      </c>
      <c r="H121" s="22" t="n">
        <v>0</v>
      </c>
      <c r="I121" s="22" t="n">
        <v>0</v>
      </c>
      <c r="J121" s="22" t="n">
        <v>4.469</v>
      </c>
      <c r="K121" s="22" t="n">
        <v>3</v>
      </c>
      <c r="L121" s="22" t="n">
        <v>28</v>
      </c>
    </row>
    <row r="122">
      <c r="A122" s="9" t="inlineStr">
        <is>
          <t>비유동부채 합계</t>
        </is>
      </c>
      <c r="C122" s="12" t="n">
        <v>933</v>
      </c>
      <c r="D122" s="12" t="n">
        <v>934</v>
      </c>
      <c r="E122" s="12" t="n">
        <v>935</v>
      </c>
      <c r="F122" s="12" t="n">
        <v>2196</v>
      </c>
      <c r="G122" s="12" t="n">
        <v>2130</v>
      </c>
      <c r="H122" s="12" t="n">
        <v>314.839</v>
      </c>
      <c r="I122" s="12" t="n">
        <v>381.93</v>
      </c>
      <c r="J122" s="12" t="n">
        <v>414.479</v>
      </c>
      <c r="K122" s="12" t="n">
        <v>916</v>
      </c>
      <c r="L122" s="12" t="n">
        <v>2196</v>
      </c>
    </row>
    <row r="123">
      <c r="A123" s="9" t="inlineStr">
        <is>
          <t>부채 합계</t>
        </is>
      </c>
      <c r="C123" s="12" t="n">
        <v>5025</v>
      </c>
      <c r="D123" s="12" t="n">
        <v>5307</v>
      </c>
      <c r="E123" s="12" t="n">
        <v>4719</v>
      </c>
      <c r="F123" s="12" t="n">
        <v>7669</v>
      </c>
      <c r="G123" s="12" t="n">
        <v>6253</v>
      </c>
      <c r="H123" s="12" t="n">
        <v>3884.918</v>
      </c>
      <c r="I123" s="12" t="n">
        <v>4365.15</v>
      </c>
      <c r="J123" s="12" t="n">
        <v>4903.947</v>
      </c>
      <c r="K123" s="12" t="n">
        <v>5541</v>
      </c>
      <c r="L123" s="12" t="n">
        <v>7669</v>
      </c>
    </row>
    <row r="124">
      <c r="A124" s="20" t="inlineStr">
        <is>
          <t>자본금</t>
        </is>
      </c>
      <c r="C124" s="22" t="n">
        <v>916</v>
      </c>
      <c r="D124" s="22" t="n">
        <v>920</v>
      </c>
      <c r="E124" s="22" t="n">
        <v>945</v>
      </c>
      <c r="F124" s="22" t="n">
        <v>1044</v>
      </c>
      <c r="G124" s="22" t="n">
        <v>1048</v>
      </c>
      <c r="H124" s="22" t="n">
        <v>692.2</v>
      </c>
      <c r="I124" s="22" t="n">
        <v>794.133</v>
      </c>
      <c r="J124" s="22" t="n">
        <v>893.598</v>
      </c>
      <c r="K124" s="22" t="n">
        <v>915</v>
      </c>
      <c r="L124" s="22" t="n">
        <v>1044</v>
      </c>
    </row>
    <row r="125">
      <c r="A125" s="20" t="inlineStr">
        <is>
          <t>자본잉여금</t>
        </is>
      </c>
      <c r="C125" s="22" t="n">
        <v>1019</v>
      </c>
      <c r="D125" s="22" t="n">
        <v>1023</v>
      </c>
      <c r="E125" s="22" t="n">
        <v>1049</v>
      </c>
      <c r="F125" s="22" t="n">
        <v>1147</v>
      </c>
      <c r="G125" s="22" t="n">
        <v>1152</v>
      </c>
      <c r="H125" s="22" t="n">
        <v>795.3819999999999</v>
      </c>
      <c r="I125" s="22" t="n">
        <v>897.3150000000001</v>
      </c>
      <c r="J125" s="22" t="n">
        <v>996.78</v>
      </c>
      <c r="K125" s="22" t="n">
        <v>1018</v>
      </c>
      <c r="L125" s="22" t="n">
        <v>1147</v>
      </c>
    </row>
    <row r="126">
      <c r="A126" s="20" t="inlineStr">
        <is>
          <t>이익잉여금</t>
        </is>
      </c>
      <c r="C126" s="22" t="n">
        <v>6016</v>
      </c>
      <c r="D126" s="22" t="n">
        <v>6163</v>
      </c>
      <c r="E126" s="22" t="n">
        <v>6456</v>
      </c>
      <c r="F126" s="22" t="n">
        <v>6497</v>
      </c>
      <c r="G126" s="22" t="n">
        <v>5690</v>
      </c>
      <c r="H126" s="22" t="n">
        <v>5113.392</v>
      </c>
      <c r="I126" s="22" t="n">
        <v>6147.671</v>
      </c>
      <c r="J126" s="22" t="n">
        <v>7300.131</v>
      </c>
      <c r="K126" s="22" t="n">
        <v>7006</v>
      </c>
      <c r="L126" s="22" t="n">
        <v>6497</v>
      </c>
    </row>
    <row r="127">
      <c r="A127" s="20" t="inlineStr">
        <is>
          <t>자기주식</t>
        </is>
      </c>
      <c r="C127" s="22" t="n">
        <v>-0</v>
      </c>
      <c r="D127" s="22" t="n">
        <v>-0</v>
      </c>
      <c r="E127" s="22" t="n">
        <v>-0</v>
      </c>
      <c r="F127" s="22" t="n">
        <v>-0</v>
      </c>
      <c r="G127" s="22" t="n">
        <v>-0</v>
      </c>
      <c r="H127" s="22" t="n">
        <v>0</v>
      </c>
      <c r="I127" s="22" t="n">
        <v>-0.053</v>
      </c>
      <c r="J127" s="22" t="n">
        <v>-0.053</v>
      </c>
      <c r="K127" s="22" t="n">
        <v>-0</v>
      </c>
      <c r="L127" s="22" t="n">
        <v>-0</v>
      </c>
    </row>
    <row r="128">
      <c r="A128" s="9" t="inlineStr">
        <is>
          <t>주주자본 합계</t>
        </is>
      </c>
      <c r="C128" s="12" t="n">
        <v>7951</v>
      </c>
      <c r="D128" s="12" t="n">
        <v>8107</v>
      </c>
      <c r="E128" s="12" t="n">
        <v>8451</v>
      </c>
      <c r="F128" s="12" t="n">
        <v>8689</v>
      </c>
      <c r="G128" s="12" t="n">
        <v>7891</v>
      </c>
      <c r="H128" s="12" t="n">
        <v>6600.974</v>
      </c>
      <c r="I128" s="12" t="n">
        <v>7839.066</v>
      </c>
      <c r="J128" s="12" t="n">
        <v>9190.456</v>
      </c>
      <c r="K128" s="12" t="n">
        <v>8941</v>
      </c>
      <c r="L128" s="12" t="n">
        <v>8689</v>
      </c>
    </row>
    <row r="129">
      <c r="A129" s="20" t="inlineStr">
        <is>
          <t>해외사업환산조정</t>
        </is>
      </c>
      <c r="F129" s="22" t="n">
        <v>0</v>
      </c>
      <c r="G129" s="22" t="n">
        <v>17</v>
      </c>
      <c r="L129" s="22" t="n">
        <v>0</v>
      </c>
    </row>
    <row r="130">
      <c r="A130" s="20" t="inlineStr">
        <is>
          <t>기타포괄손익누계액 합계</t>
        </is>
      </c>
      <c r="F130" s="22" t="n">
        <v>0</v>
      </c>
      <c r="G130" s="22" t="n">
        <v>17</v>
      </c>
      <c r="L130" s="22" t="n">
        <v>0</v>
      </c>
    </row>
    <row r="131">
      <c r="A131" s="20" t="inlineStr">
        <is>
          <t>신주예약권</t>
        </is>
      </c>
      <c r="C131" s="22" t="n">
        <v>2</v>
      </c>
      <c r="D131" s="22" t="n">
        <v>2</v>
      </c>
      <c r="E131" s="22" t="n">
        <v>2</v>
      </c>
      <c r="F131" s="22" t="n">
        <v>0</v>
      </c>
      <c r="G131" s="22" t="n">
        <v>0</v>
      </c>
      <c r="H131" s="22" t="n">
        <v>4.8</v>
      </c>
      <c r="I131" s="22" t="n">
        <v>2.828</v>
      </c>
      <c r="J131" s="22" t="n">
        <v>2.448</v>
      </c>
      <c r="K131" s="22" t="n">
        <v>2</v>
      </c>
      <c r="L131" s="22" t="n">
        <v>0</v>
      </c>
    </row>
    <row r="132">
      <c r="A132" s="20" t="inlineStr">
        <is>
          <t>비지배지분</t>
        </is>
      </c>
      <c r="C132" s="22" t="n">
        <v>0</v>
      </c>
      <c r="D132" s="22" t="n">
        <v>0</v>
      </c>
      <c r="E132" s="22" t="n">
        <v>0</v>
      </c>
      <c r="F132" s="22" t="n">
        <v>126</v>
      </c>
      <c r="G132" s="22" t="n">
        <v>136</v>
      </c>
      <c r="J132" s="22" t="n">
        <v>0</v>
      </c>
      <c r="K132" s="22" t="n">
        <v>9</v>
      </c>
      <c r="L132" s="22" t="n">
        <v>126</v>
      </c>
    </row>
    <row r="133">
      <c r="A133" s="9" t="inlineStr">
        <is>
          <t>순자산 합계</t>
        </is>
      </c>
      <c r="C133" s="12" t="n">
        <v>7954</v>
      </c>
      <c r="D133" s="12" t="n">
        <v>8110</v>
      </c>
      <c r="E133" s="12" t="n">
        <v>8454</v>
      </c>
      <c r="F133" s="12" t="n">
        <v>8815</v>
      </c>
      <c r="G133" s="12" t="n">
        <v>8045</v>
      </c>
      <c r="H133" s="12" t="n">
        <v>6605.774</v>
      </c>
      <c r="I133" s="12" t="n">
        <v>7841.894</v>
      </c>
      <c r="J133" s="12" t="n">
        <v>9192.904</v>
      </c>
      <c r="K133" s="12" t="n">
        <v>8952</v>
      </c>
      <c r="L133" s="12" t="n">
        <v>8815</v>
      </c>
    </row>
    <row r="134">
      <c r="A134" s="9" t="inlineStr">
        <is>
          <t>부채·순자산 합계</t>
        </is>
      </c>
      <c r="C134" s="12" t="n">
        <v>12980</v>
      </c>
      <c r="D134" s="12" t="n">
        <v>13417</v>
      </c>
      <c r="E134" s="12" t="n">
        <v>13173</v>
      </c>
      <c r="F134" s="12" t="n">
        <v>16484</v>
      </c>
      <c r="G134" s="12" t="n">
        <v>14299</v>
      </c>
      <c r="H134" s="12" t="n">
        <v>10490.692</v>
      </c>
      <c r="I134" s="12" t="n">
        <v>12207.044</v>
      </c>
      <c r="J134" s="12" t="n">
        <v>14096.851</v>
      </c>
      <c r="K134" s="12" t="n">
        <v>14494</v>
      </c>
      <c r="L134" s="12" t="n">
        <v>16484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44" customWidth="1" min="4" max="4"/>
  </cols>
  <sheetData>
    <row r="1">
      <c r="A1" s="52" t="inlineStr">
        <is>
          <t>비위드 섹터·사업 데이터</t>
        </is>
      </c>
    </row>
    <row r="2">
      <c r="A2" s="53" t="inlineStr">
        <is>
          <t>2단계 보고서를 만들 때 모은 자료 · 월차 · 출처는 맨 오른쪽</t>
        </is>
      </c>
    </row>
    <row r="4">
      <c r="A4" s="54" t="inlineStr">
        <is>
          <t>컨센서스</t>
        </is>
      </c>
      <c r="B4" s="54" t="n"/>
      <c r="C4" s="54" t="n"/>
      <c r="D4" s="54" t="n"/>
    </row>
    <row r="5">
      <c r="A5" s="55" t="inlineStr">
        <is>
          <t>항목</t>
        </is>
      </c>
      <c r="B5" s="55" t="inlineStr">
        <is>
          <t>값</t>
        </is>
      </c>
      <c r="D5" s="55" t="inlineStr">
        <is>
          <t>출처</t>
        </is>
      </c>
    </row>
    <row r="6">
      <c r="A6" s="56" t="inlineStr">
        <is>
          <t>2Q 매출</t>
        </is>
      </c>
      <c r="B6" s="57" t="n">
        <v>93.09</v>
      </c>
      <c r="D6" s="58" t="inlineStr">
        <is>
          <t>야후 파이낸스, 애널리스트 1명</t>
        </is>
      </c>
    </row>
    <row r="7">
      <c r="A7" s="56" t="inlineStr">
        <is>
          <t>fy27 매출</t>
        </is>
      </c>
      <c r="B7" s="57" t="n">
        <v>380</v>
      </c>
    </row>
    <row r="8">
      <c r="A8" s="56" t="inlineStr">
        <is>
          <t>fy27 EPS</t>
        </is>
      </c>
      <c r="B8" s="57" t="n">
        <v>68.2</v>
      </c>
    </row>
    <row r="9">
      <c r="A9" s="56" t="inlineStr">
        <is>
          <t>fy27 EPS 90d</t>
        </is>
      </c>
      <c r="B9" s="57" t="n">
        <v>58.5</v>
      </c>
    </row>
    <row r="10">
      <c r="A10" s="56" t="inlineStr">
        <is>
          <t>fy28 매출</t>
        </is>
      </c>
      <c r="B10" s="57" t="n">
        <v>395</v>
      </c>
    </row>
    <row r="11">
      <c r="A11" s="56" t="inlineStr">
        <is>
          <t>fy28 EPS</t>
        </is>
      </c>
      <c r="B11" s="57" t="n">
        <v>76.5</v>
      </c>
    </row>
    <row r="13">
      <c r="A13" s="54" t="inlineStr">
        <is>
          <t>핵심 지표</t>
        </is>
      </c>
      <c r="B13" s="54" t="n"/>
      <c r="C13" s="54" t="n"/>
      <c r="D13" s="54" t="n"/>
    </row>
    <row r="14">
      <c r="A14" s="55" t="inlineStr">
        <is>
          <t>항목</t>
        </is>
      </c>
      <c r="B14" s="55" t="inlineStr">
        <is>
          <t>값</t>
        </is>
      </c>
      <c r="D14" s="55" t="inlineStr">
        <is>
          <t>출처</t>
        </is>
      </c>
    </row>
    <row r="15">
      <c r="A15" s="56" t="inlineStr">
        <is>
          <t>omnia licenses 1q</t>
        </is>
      </c>
      <c r="B15" s="59" t="n">
        <v>5851</v>
      </c>
      <c r="D15" s="58" t="inlineStr">
        <is>
          <t>2단계 보고서 자료(회사 설명회 자료·공시)</t>
        </is>
      </c>
    </row>
    <row r="16">
      <c r="A16" s="56" t="inlineStr">
        <is>
          <t>licenses YoY</t>
        </is>
      </c>
      <c r="B16" s="57" t="n">
        <v>22.2</v>
      </c>
    </row>
    <row r="17">
      <c r="A17" s="56" t="inlineStr">
        <is>
          <t>arr 1q</t>
        </is>
      </c>
      <c r="B17" s="57" t="n">
        <v>16</v>
      </c>
    </row>
    <row r="18">
      <c r="A18" s="56" t="inlineStr">
        <is>
          <t>arr YoY</t>
        </is>
      </c>
      <c r="B18" s="57" t="n">
        <v>37.8</v>
      </c>
    </row>
    <row r="19">
      <c r="A19" s="56" t="inlineStr">
        <is>
          <t>arr fy26end</t>
        </is>
      </c>
      <c r="B19" s="57" t="n">
        <v>14.7</v>
      </c>
    </row>
    <row r="20">
      <c r="A20" s="56" t="inlineStr">
        <is>
          <t>licenses fy26end</t>
        </is>
      </c>
      <c r="B20" s="59" t="n">
        <v>5721</v>
      </c>
    </row>
    <row r="21">
      <c r="A21" s="56" t="inlineStr">
        <is>
          <t>booths 1q</t>
        </is>
      </c>
      <c r="B21" s="59" t="n">
        <v>6678</v>
      </c>
    </row>
    <row r="22">
      <c r="A22" s="56" t="inlineStr">
        <is>
          <t>booths fy26end</t>
        </is>
      </c>
      <c r="B22" s="59" t="n">
        <v>6660</v>
      </c>
    </row>
    <row r="23">
      <c r="A23" s="56" t="inlineStr">
        <is>
          <t>sites</t>
        </is>
      </c>
      <c r="B23" s="59" t="n">
        <v>16</v>
      </c>
    </row>
    <row r="25">
      <c r="A25" s="54" t="inlineStr">
        <is>
          <t>radiant</t>
        </is>
      </c>
      <c r="B25" s="54" t="n"/>
      <c r="C25" s="54" t="n"/>
      <c r="D25" s="54" t="n"/>
    </row>
    <row r="26">
      <c r="A26" s="55" t="inlineStr">
        <is>
          <t>항목</t>
        </is>
      </c>
      <c r="B26" s="55" t="inlineStr">
        <is>
          <t>값</t>
        </is>
      </c>
      <c r="D26" s="55" t="inlineStr">
        <is>
          <t>출처</t>
        </is>
      </c>
    </row>
    <row r="27">
      <c r="A27" s="56" t="inlineStr">
        <is>
          <t>cy25 매출</t>
        </is>
      </c>
      <c r="B27" s="57" t="n">
        <v>9.4</v>
      </c>
      <c r="D27" s="58" t="inlineStr">
        <is>
          <t>2단계 보고서 자료(회사 설명회 자료·공시)</t>
        </is>
      </c>
    </row>
    <row r="28">
      <c r="A28" s="56" t="inlineStr">
        <is>
          <t>cy25 영업이익</t>
        </is>
      </c>
      <c r="B28" s="57" t="n">
        <v>2.62</v>
      </c>
    </row>
    <row r="29">
      <c r="A29" s="56" t="inlineStr">
        <is>
          <t>cy25 순이익</t>
        </is>
      </c>
      <c r="B29" s="57" t="n">
        <v>1.95</v>
      </c>
    </row>
    <row r="31">
      <c r="A31" s="54" t="inlineStr">
        <is>
          <t>pl 1q</t>
        </is>
      </c>
      <c r="B31" s="54" t="n"/>
      <c r="C31" s="54" t="n"/>
      <c r="D31" s="54" t="n"/>
    </row>
    <row r="32">
      <c r="A32" s="55" t="inlineStr">
        <is>
          <t>항목</t>
        </is>
      </c>
      <c r="B32" s="55" t="inlineStr">
        <is>
          <t>값</t>
        </is>
      </c>
      <c r="D32" s="55" t="inlineStr">
        <is>
          <t>출처</t>
        </is>
      </c>
    </row>
    <row r="33">
      <c r="A33" s="56" t="inlineStr">
        <is>
          <t>매출</t>
        </is>
      </c>
      <c r="B33" s="57" t="n">
        <v>94.11</v>
      </c>
      <c r="D33" s="58" t="inlineStr">
        <is>
          <t>2단계 보고서 자료(회사 설명회 자료·공시)</t>
        </is>
      </c>
    </row>
    <row r="34">
      <c r="A34" s="56" t="inlineStr">
        <is>
          <t>cogs</t>
        </is>
      </c>
      <c r="B34" s="57" t="n">
        <v>79.06</v>
      </c>
    </row>
    <row r="35">
      <c r="A35" s="56" t="inlineStr">
        <is>
          <t>gp</t>
        </is>
      </c>
      <c r="B35" s="57" t="n">
        <v>15.05</v>
      </c>
    </row>
    <row r="36">
      <c r="A36" s="56" t="inlineStr">
        <is>
          <t>sga</t>
        </is>
      </c>
      <c r="B36" s="57" t="n">
        <v>10.25</v>
      </c>
    </row>
    <row r="37">
      <c r="A37" s="56" t="inlineStr">
        <is>
          <t>영업이익</t>
        </is>
      </c>
      <c r="B37" s="57" t="n">
        <v>4.79</v>
      </c>
    </row>
    <row r="38">
      <c r="A38" s="56" t="inlineStr">
        <is>
          <t>dep</t>
        </is>
      </c>
      <c r="B38" s="57" t="n">
        <v>1.18</v>
      </c>
    </row>
    <row r="39">
      <c r="A39" s="56" t="inlineStr">
        <is>
          <t>dep 직전</t>
        </is>
      </c>
      <c r="B39" s="57" t="n">
        <v>1.4</v>
      </c>
    </row>
    <row r="40">
      <c r="A40" s="56" t="inlineStr">
        <is>
          <t>goodwill</t>
        </is>
      </c>
      <c r="B40" s="57" t="n">
        <v>0.34</v>
      </c>
    </row>
    <row r="41">
      <c r="A41" s="56" t="inlineStr">
        <is>
          <t>goodwill 직전</t>
        </is>
      </c>
      <c r="B41" s="57" t="n">
        <v>0.02</v>
      </c>
    </row>
    <row r="42">
      <c r="A42" s="56" t="inlineStr">
        <is>
          <t>interest</t>
        </is>
      </c>
      <c r="B42" s="57" t="n">
        <v>0.1</v>
      </c>
    </row>
    <row r="44">
      <c r="A44" s="54" t="inlineStr">
        <is>
          <t>pl 1q · 직전</t>
        </is>
      </c>
      <c r="B44" s="54" t="n"/>
      <c r="C44" s="54" t="n"/>
      <c r="D44" s="54" t="n"/>
    </row>
    <row r="45">
      <c r="A45" s="55" t="inlineStr">
        <is>
          <t>항목</t>
        </is>
      </c>
      <c r="B45" s="55" t="inlineStr">
        <is>
          <t>값</t>
        </is>
      </c>
      <c r="D45" s="55" t="inlineStr">
        <is>
          <t>출처</t>
        </is>
      </c>
    </row>
    <row r="46">
      <c r="A46" s="56" t="inlineStr">
        <is>
          <t>매출</t>
        </is>
      </c>
      <c r="B46" s="57" t="n">
        <v>89.3</v>
      </c>
      <c r="D46" s="58" t="inlineStr">
        <is>
          <t>2단계 보고서 자료(회사 설명회 자료·공시)</t>
        </is>
      </c>
    </row>
    <row r="47">
      <c r="A47" s="56" t="inlineStr">
        <is>
          <t>cogs</t>
        </is>
      </c>
      <c r="B47" s="57" t="n">
        <v>77.91</v>
      </c>
    </row>
    <row r="48">
      <c r="A48" s="56" t="inlineStr">
        <is>
          <t>gp</t>
        </is>
      </c>
      <c r="B48" s="57" t="n">
        <v>11.39</v>
      </c>
    </row>
    <row r="49">
      <c r="A49" s="56" t="inlineStr">
        <is>
          <t>sga</t>
        </is>
      </c>
      <c r="B49" s="57" t="n">
        <v>10.05</v>
      </c>
    </row>
    <row r="50">
      <c r="A50" s="56" t="inlineStr">
        <is>
          <t>영업이익</t>
        </is>
      </c>
      <c r="B50" s="57" t="n">
        <v>1.34</v>
      </c>
    </row>
    <row r="52">
      <c r="A52" s="54" t="inlineStr">
        <is>
          <t>bs 1q</t>
        </is>
      </c>
      <c r="B52" s="54" t="n"/>
      <c r="C52" s="54" t="n"/>
      <c r="D52" s="54" t="n"/>
    </row>
    <row r="53">
      <c r="A53" s="55" t="inlineStr">
        <is>
          <t>항목</t>
        </is>
      </c>
      <c r="B53" s="55" t="inlineStr">
        <is>
          <t>값</t>
        </is>
      </c>
      <c r="D53" s="55" t="inlineStr">
        <is>
          <t>출처</t>
        </is>
      </c>
    </row>
    <row r="54">
      <c r="A54" s="56" t="inlineStr">
        <is>
          <t>cash</t>
        </is>
      </c>
      <c r="B54" s="57" t="n">
        <v>45.44</v>
      </c>
      <c r="D54" s="58" t="inlineStr">
        <is>
          <t>2단계 보고서 자료(회사 설명회 자료·공시)</t>
        </is>
      </c>
    </row>
    <row r="55">
      <c r="A55" s="56" t="inlineStr">
        <is>
          <t>cash fy26end</t>
        </is>
      </c>
      <c r="B55" s="57" t="n">
        <v>64.92</v>
      </c>
    </row>
    <row r="56">
      <c r="A56" s="56" t="inlineStr">
        <is>
          <t>합계 assets</t>
        </is>
      </c>
      <c r="B56" s="57" t="n">
        <v>142.99</v>
      </c>
    </row>
    <row r="57">
      <c r="A57" s="56" t="inlineStr">
        <is>
          <t>net assets</t>
        </is>
      </c>
      <c r="B57" s="57" t="n">
        <v>80.45</v>
      </c>
    </row>
    <row r="58">
      <c r="A58" s="56" t="inlineStr">
        <is>
          <t>dividend paid</t>
        </is>
      </c>
      <c r="B58" s="57" t="n">
        <v>11.06</v>
      </c>
    </row>
    <row r="60">
      <c r="A60" s="54" t="inlineStr">
        <is>
          <t>peers · 9715 트랜스코스모스 (3월 결산, 10/30 발표)</t>
        </is>
      </c>
      <c r="B60" s="54" t="n"/>
      <c r="C60" s="54" t="n"/>
      <c r="D60" s="54" t="n"/>
    </row>
    <row r="61">
      <c r="A61" s="55" t="inlineStr">
        <is>
          <t>항목</t>
        </is>
      </c>
      <c r="B61" s="55" t="inlineStr">
        <is>
          <t>값</t>
        </is>
      </c>
      <c r="D61" s="55" t="inlineStr">
        <is>
          <t>출처</t>
        </is>
      </c>
    </row>
    <row r="62">
      <c r="A62" s="56" t="inlineStr">
        <is>
          <t>fc fy27 영업이익</t>
        </is>
      </c>
      <c r="B62" s="59" t="n">
        <v>168</v>
      </c>
      <c r="D62" s="58" t="inlineStr">
        <is>
          <t>2단계 보고서 자료(회사 설명회 자료·공시)</t>
        </is>
      </c>
    </row>
    <row r="63">
      <c r="A63" s="56" t="inlineStr">
        <is>
          <t>fc fy27 EPS</t>
        </is>
      </c>
      <c r="B63" s="57" t="n">
        <v>360.26</v>
      </c>
    </row>
    <row r="64">
      <c r="A64" s="56" t="inlineStr">
        <is>
          <t>가격</t>
        </is>
      </c>
      <c r="B64" s="59" t="n">
        <v>3745</v>
      </c>
    </row>
    <row r="65">
      <c r="A65" s="56" t="inlineStr">
        <is>
          <t>y1</t>
        </is>
      </c>
      <c r="B65" s="57" t="n">
        <v>7.2</v>
      </c>
    </row>
    <row r="67">
      <c r="A67" s="54" t="inlineStr">
        <is>
          <t>peers · 4290 프레스티지 인터내셔널 (3월 결산, 10/29 발표)</t>
        </is>
      </c>
      <c r="B67" s="54" t="n"/>
      <c r="C67" s="54" t="n"/>
      <c r="D67" s="54" t="n"/>
    </row>
    <row r="68">
      <c r="A68" s="55" t="inlineStr">
        <is>
          <t>항목</t>
        </is>
      </c>
      <c r="B68" s="55" t="inlineStr">
        <is>
          <t>값</t>
        </is>
      </c>
      <c r="D68" s="55" t="inlineStr">
        <is>
          <t>출처</t>
        </is>
      </c>
    </row>
    <row r="69">
      <c r="A69" s="56" t="inlineStr">
        <is>
          <t>fc fy27 EPS</t>
        </is>
      </c>
      <c r="B69" s="57" t="n">
        <v>47.46</v>
      </c>
      <c r="D69" s="58" t="inlineStr">
        <is>
          <t>2단계 보고서 자료(회사 설명회 자료·공시)</t>
        </is>
      </c>
    </row>
    <row r="70">
      <c r="A70" s="56" t="inlineStr">
        <is>
          <t>가격</t>
        </is>
      </c>
      <c r="B70" s="59" t="n">
        <v>721</v>
      </c>
    </row>
    <row r="71">
      <c r="A71" s="56" t="inlineStr">
        <is>
          <t>y1</t>
        </is>
      </c>
      <c r="B71" s="57" t="n">
        <v>17.3</v>
      </c>
    </row>
    <row r="73">
      <c r="A73" s="54" t="inlineStr">
        <is>
          <t>peers · 6183 벨시스템24 (2월 결산, IFRS)</t>
        </is>
      </c>
      <c r="B73" s="54" t="n"/>
      <c r="C73" s="54" t="n"/>
      <c r="D73" s="54" t="n"/>
    </row>
    <row r="74">
      <c r="A74" s="55" t="inlineStr">
        <is>
          <t>항목</t>
        </is>
      </c>
      <c r="B74" s="55" t="inlineStr">
        <is>
          <t>값</t>
        </is>
      </c>
      <c r="D74" s="55" t="inlineStr">
        <is>
          <t>출처</t>
        </is>
      </c>
    </row>
    <row r="75">
      <c r="A75" s="56" t="inlineStr">
        <is>
          <t>fc fy27 EPS</t>
        </is>
      </c>
      <c r="B75" s="57" t="n">
        <v>114.33</v>
      </c>
      <c r="D75" s="58" t="inlineStr">
        <is>
          <t>2단계 보고서 자료(회사 설명회 자료·공시)</t>
        </is>
      </c>
    </row>
    <row r="76">
      <c r="A76" s="56" t="inlineStr">
        <is>
          <t>가격</t>
        </is>
      </c>
      <c r="B76" s="59" t="n">
        <v>1374</v>
      </c>
    </row>
    <row r="77">
      <c r="A77" s="56" t="inlineStr">
        <is>
          <t>y1</t>
        </is>
      </c>
      <c r="B77" s="57" t="n">
        <v>9.1</v>
      </c>
    </row>
    <row r="79">
      <c r="A79" s="54" t="inlineStr">
        <is>
          <t>가이던스 history</t>
        </is>
      </c>
      <c r="B79" s="54" t="n"/>
      <c r="C79" s="54" t="n"/>
      <c r="D79" s="54" t="n"/>
    </row>
    <row r="80">
      <c r="A80" s="55" t="inlineStr">
        <is>
          <t>항목</t>
        </is>
      </c>
      <c r="B80" s="55" t="inlineStr">
        <is>
          <t>initial 영업이익</t>
        </is>
      </c>
      <c r="C80" s="55" t="inlineStr">
        <is>
          <t>실적 영업이익</t>
        </is>
      </c>
      <c r="D80" s="55" t="inlineStr">
        <is>
          <t>출처</t>
        </is>
      </c>
    </row>
    <row r="81">
      <c r="A81" s="56" t="inlineStr">
        <is>
          <t>FY5/24</t>
        </is>
      </c>
      <c r="B81" s="57" t="n">
        <v>29</v>
      </c>
      <c r="C81" s="57" t="n">
        <v>25.43</v>
      </c>
      <c r="D81" s="58" t="inlineStr">
        <is>
          <t>2단계 보고서 자료(회사 설명회 자료·공시)</t>
        </is>
      </c>
    </row>
    <row r="82">
      <c r="A82" s="56" t="inlineStr">
        <is>
          <t>FY5/25</t>
        </is>
      </c>
      <c r="B82" s="57" t="n">
        <v>32</v>
      </c>
      <c r="C82" s="57" t="n">
        <v>10.69</v>
      </c>
    </row>
    <row r="83">
      <c r="A83" s="56" t="inlineStr">
        <is>
          <t>FY5/26</t>
        </is>
      </c>
      <c r="B83" s="57" t="n">
        <v>11.5</v>
      </c>
      <c r="C83" s="57" t="n">
        <v>11.67</v>
      </c>
    </row>
    <row r="84">
      <c r="A84" s="56" t="inlineStr">
        <is>
          <t>FY5/27</t>
        </is>
      </c>
      <c r="B84" s="57" t="n">
        <v>16</v>
      </c>
      <c r="C84" s="6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2" t="inlineStr">
        <is>
          <t>출처 · 쓴 결산단신</t>
        </is>
      </c>
    </row>
    <row r="3">
      <c r="A3" s="61" t="inlineStr">
        <is>
          <t>공시일</t>
        </is>
      </c>
      <c r="B3" s="61" t="inlineStr">
        <is>
          <t>문서</t>
        </is>
      </c>
      <c r="C3" s="61" t="inlineStr">
        <is>
          <t>PDF</t>
        </is>
      </c>
    </row>
    <row r="4">
      <c r="A4" t="inlineStr">
        <is>
          <t>2026-10-13</t>
        </is>
      </c>
      <c r="B4" t="inlineStr">
        <is>
          <t>2027년 5월 결산기 1분기 결산단신</t>
        </is>
      </c>
      <c r="C4" t="inlineStr">
        <is>
          <t>https://www2.jpx.co.jp/disc/92160/140120261013549475.pdf</t>
        </is>
      </c>
    </row>
    <row r="5">
      <c r="A5" t="inlineStr">
        <is>
          <t>2026-07-13</t>
        </is>
      </c>
      <c r="B5" t="inlineStr">
        <is>
          <t>2026년 5월 결산기 연간 결산단신</t>
        </is>
      </c>
      <c r="C5" t="inlineStr">
        <is>
          <t>https://www2.jpx.co.jp/disc/92160/140120260713592010.pdf</t>
        </is>
      </c>
    </row>
    <row r="6">
      <c r="A6" t="inlineStr">
        <is>
          <t>2026-04-10</t>
        </is>
      </c>
      <c r="B6" t="inlineStr">
        <is>
          <t>2026년 5월 결산기 3분기 결산단신</t>
        </is>
      </c>
      <c r="C6" t="inlineStr">
        <is>
          <t>https://www2.jpx.co.jp/disc/92160/140120260409501122.pdf</t>
        </is>
      </c>
    </row>
    <row r="7">
      <c r="A7" t="inlineStr">
        <is>
          <t>2026-01-09</t>
        </is>
      </c>
      <c r="B7" t="inlineStr">
        <is>
          <t>2026년 5월 결산기 2분기 결산단신</t>
        </is>
      </c>
      <c r="C7" t="inlineStr">
        <is>
          <t>https://www2.jpx.co.jp/disc/92160/140120260108531108.pdf</t>
        </is>
      </c>
    </row>
    <row r="8">
      <c r="A8" t="inlineStr">
        <is>
          <t>2025-10-10</t>
        </is>
      </c>
      <c r="B8" t="inlineStr">
        <is>
          <t>2026년 5월 결산기 1분기 결산단신</t>
        </is>
      </c>
      <c r="C8" t="inlineStr">
        <is>
          <t>https://www2.jpx.co.jp/disc/92160/140120251010571431.pdf</t>
        </is>
      </c>
    </row>
    <row r="9">
      <c r="A9" t="inlineStr">
        <is>
          <t>2025-07-11</t>
        </is>
      </c>
      <c r="B9" t="inlineStr">
        <is>
          <t>2025년 5월 결산기 연간 결산단신</t>
        </is>
      </c>
      <c r="C9" t="inlineStr">
        <is>
          <t>https://www2.jpx.co.jp/disc/92160/140120250709510716.pdf</t>
        </is>
      </c>
    </row>
    <row r="10">
      <c r="A10" t="inlineStr">
        <is>
          <t>2025-04-11</t>
        </is>
      </c>
      <c r="B10" t="inlineStr">
        <is>
          <t>2025년 5월 결산기 3분기 결산단신</t>
        </is>
      </c>
      <c r="C10" t="inlineStr">
        <is>
          <t>https://www2.jpx.co.jp/disc/92160/140120250410511981.pdf</t>
        </is>
      </c>
    </row>
    <row r="11">
      <c r="A11" t="inlineStr">
        <is>
          <t>2025-01-10</t>
        </is>
      </c>
      <c r="B11" t="inlineStr">
        <is>
          <t>2025년 5월 결산기 2분기 결산단신</t>
        </is>
      </c>
      <c r="C11" t="inlineStr">
        <is>
          <t>https://www2.jpx.co.jp/disc/92160/140120250109548190.pdf</t>
        </is>
      </c>
    </row>
    <row r="12">
      <c r="A12" t="inlineStr">
        <is>
          <t>2024-10-11</t>
        </is>
      </c>
      <c r="B12" t="inlineStr">
        <is>
          <t>2025년 5월 결산기 1분기 결산단신</t>
        </is>
      </c>
      <c r="C12" t="inlineStr">
        <is>
          <t>https://www2.jpx.co.jp/disc/92160/140120241009595790.pdf</t>
        </is>
      </c>
    </row>
    <row r="13">
      <c r="A13" t="inlineStr">
        <is>
          <t>2024-07-11</t>
        </is>
      </c>
      <c r="B13" t="inlineStr">
        <is>
          <t>2024년 5월 결산기 연간 결산단신</t>
        </is>
      </c>
      <c r="C13" t="inlineStr">
        <is>
          <t>https://www2.jpx.co.jp/disc/92160/140120240710547090.pdf</t>
        </is>
      </c>
    </row>
    <row r="14">
      <c r="A14" t="inlineStr">
        <is>
          <t>2024-04-11</t>
        </is>
      </c>
      <c r="B14" t="inlineStr">
        <is>
          <t>2024년 5월 결산기 3분기 결산단신</t>
        </is>
      </c>
      <c r="C14" t="inlineStr">
        <is>
          <t>https://www2.jpx.co.jp/disc/92160/140120240410568411.pdf</t>
        </is>
      </c>
    </row>
    <row r="15">
      <c r="A15" t="inlineStr">
        <is>
          <t>2024-01-11</t>
        </is>
      </c>
      <c r="B15" t="inlineStr">
        <is>
          <t>2024년 5월 결산기 2분기 결산단신</t>
        </is>
      </c>
      <c r="C15" t="inlineStr">
        <is>
          <t>https://www2.jpx.co.jp/disc/92160/140120240110512511.pdf</t>
        </is>
      </c>
    </row>
    <row r="16">
      <c r="A16" t="inlineStr">
        <is>
          <t>2023-10-12</t>
        </is>
      </c>
      <c r="B16" t="inlineStr">
        <is>
          <t>2024년 5월 결산기 1분기 결산단신</t>
        </is>
      </c>
      <c r="C16" t="inlineStr">
        <is>
          <t>https://www2.jpx.co.jp/disc/92160/140120231010564552.pdf</t>
        </is>
      </c>
    </row>
    <row r="17">
      <c r="A17" t="inlineStr">
        <is>
          <t>2023-07-13</t>
        </is>
      </c>
      <c r="B17" t="inlineStr">
        <is>
          <t>2023년 5월 결산기 연간 결산단신</t>
        </is>
      </c>
      <c r="C17" t="inlineStr">
        <is>
          <t>https://www2.jpx.co.jp/disc/92160/140120230713521628.pdf</t>
        </is>
      </c>
    </row>
    <row r="18">
      <c r="A18" t="inlineStr">
        <is>
          <t>2023-04-13</t>
        </is>
      </c>
      <c r="B18" t="inlineStr">
        <is>
          <t>2023년 5월 결산기 3분기 결산단신</t>
        </is>
      </c>
      <c r="C18" t="inlineStr">
        <is>
          <t>https://www2.jpx.co.jp/disc/92160/140120230412546229.pdf</t>
        </is>
      </c>
    </row>
    <row r="19">
      <c r="A19" t="inlineStr">
        <is>
          <t>2023-01-12</t>
        </is>
      </c>
      <c r="B19" t="inlineStr">
        <is>
          <t>2023년 5월 결산기 2분기 결산단신</t>
        </is>
      </c>
      <c r="C19" t="inlineStr">
        <is>
          <t>https://www2.jpx.co.jp/disc/92160/140120230110587080.pdf</t>
        </is>
      </c>
    </row>
    <row r="20">
      <c r="A20" t="inlineStr">
        <is>
          <t>2022-07-14</t>
        </is>
      </c>
      <c r="B20" t="inlineStr">
        <is>
          <t>2022년 5월 결산기 연간 결산단신</t>
        </is>
      </c>
      <c r="C20" t="inlineStr">
        <is>
          <t>https://www2.jpx.co.jp/disc/92160/140120220712598751.pdf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2026-10-28T07:00:57Z</dcterms:created>
  <dcterms:modified xmlns:dcterms="http://purl.org/dc/terms/" xmlns:xsi="http://www.w3.org/2001/XMLSchema-instance" xsi:type="dcterms:W3CDTF">2026-10-28T07:00:57Z</dcterms:modified>
</cp:coreProperties>
</file>