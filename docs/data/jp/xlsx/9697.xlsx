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2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9697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31076</v>
      </c>
      <c r="D4" s="12" t="n">
        <v>31245</v>
      </c>
      <c r="E4" s="12" t="n">
        <v>46231</v>
      </c>
      <c r="F4" s="12" t="n">
        <v>29597</v>
      </c>
      <c r="G4" s="12" t="n">
        <v>26805</v>
      </c>
      <c r="H4" s="12" t="n">
        <v>32451</v>
      </c>
      <c r="I4" s="12" t="n">
        <v>80751</v>
      </c>
      <c r="J4" s="12" t="n">
        <v>45502</v>
      </c>
      <c r="K4" s="12" t="n">
        <v>35650</v>
      </c>
      <c r="L4" s="12" t="n">
        <v>34163</v>
      </c>
      <c r="M4" s="12" t="n">
        <v>80050</v>
      </c>
      <c r="N4" s="12" t="n">
        <v>70410</v>
      </c>
      <c r="O4" s="11" t="n">
        <v>87170</v>
      </c>
      <c r="P4" s="12" t="n">
        <v>94515</v>
      </c>
      <c r="Q4" s="12" t="n">
        <v>100031</v>
      </c>
      <c r="R4" s="12" t="n">
        <v>81591</v>
      </c>
      <c r="S4" s="12" t="n">
        <v>95308</v>
      </c>
      <c r="T4" s="12" t="n">
        <v>110054</v>
      </c>
      <c r="U4" s="12" t="n">
        <v>125930</v>
      </c>
      <c r="V4" s="12" t="n">
        <v>152410</v>
      </c>
      <c r="W4" s="12" t="n">
        <v>169604</v>
      </c>
      <c r="X4" s="12" t="n">
        <v>195365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DegitalContentsReportableSegmentMember</t>
        </is>
      </c>
      <c r="B7" s="10" t="n"/>
      <c r="C7" s="19" t="n">
        <v>23400</v>
      </c>
      <c r="D7" s="20" t="n">
        <v>20161</v>
      </c>
      <c r="E7" s="20" t="n">
        <v>38405</v>
      </c>
      <c r="F7" s="20" t="n">
        <v>21416</v>
      </c>
      <c r="G7" s="20" t="n">
        <v>18359</v>
      </c>
      <c r="H7" s="20" t="n">
        <v>18759</v>
      </c>
      <c r="I7" s="20" t="n">
        <v>66594</v>
      </c>
      <c r="J7" s="20" t="n">
        <v>29857</v>
      </c>
      <c r="K7" s="20" t="n">
        <v>19995</v>
      </c>
      <c r="L7" s="20" t="n">
        <v>23559</v>
      </c>
      <c r="M7" s="20" t="n">
        <v>70866</v>
      </c>
      <c r="N7" s="20" t="n">
        <v>54648</v>
      </c>
      <c r="O7" s="19" t="n"/>
      <c r="P7" s="20" t="n"/>
      <c r="Q7" s="20" t="n"/>
      <c r="R7" s="20" t="n"/>
      <c r="S7" s="20" t="n"/>
      <c r="T7" s="20" t="n"/>
      <c r="U7" s="20" t="n"/>
      <c r="V7" s="20" t="n">
        <v>119841</v>
      </c>
      <c r="W7" s="20" t="n">
        <v>125128</v>
      </c>
      <c r="X7" s="20" t="n">
        <v>144277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ArcadeOperationsReportableSegmentMember</t>
        </is>
      </c>
      <c r="B10" s="10" t="n"/>
      <c r="C10" s="19" t="n">
        <v>5052</v>
      </c>
      <c r="D10" s="20" t="n">
        <v>4678</v>
      </c>
      <c r="E10" s="20" t="n">
        <v>5496</v>
      </c>
      <c r="F10" s="20" t="n">
        <v>4864</v>
      </c>
      <c r="G10" s="20" t="n">
        <v>6127</v>
      </c>
      <c r="H10" s="20" t="n">
        <v>5561</v>
      </c>
      <c r="I10" s="20" t="n">
        <v>6198</v>
      </c>
      <c r="J10" s="20" t="n">
        <v>5606</v>
      </c>
      <c r="K10" s="20" t="n">
        <v>6844</v>
      </c>
      <c r="L10" s="20" t="n">
        <v>6131</v>
      </c>
      <c r="M10" s="20" t="n">
        <v>7075</v>
      </c>
      <c r="N10" s="20" t="n">
        <v>6762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19343</v>
      </c>
      <c r="W10" s="20" t="n">
        <v>22750</v>
      </c>
      <c r="X10" s="20" t="n">
        <v>25656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AmusementEquipmentsReportableSegmentMember</t>
        </is>
      </c>
      <c r="B13" s="10" t="n"/>
      <c r="C13" s="19" t="n">
        <v>1700</v>
      </c>
      <c r="D13" s="20" t="n">
        <v>5422</v>
      </c>
      <c r="E13" s="20" t="n">
        <v>1000</v>
      </c>
      <c r="F13" s="20" t="n">
        <v>2220</v>
      </c>
      <c r="G13" s="20" t="n">
        <v>956</v>
      </c>
      <c r="H13" s="20" t="n">
        <v>7066</v>
      </c>
      <c r="I13" s="20" t="n">
        <v>5371</v>
      </c>
      <c r="J13" s="20" t="n">
        <v>7812</v>
      </c>
      <c r="K13" s="20" t="n">
        <v>7379</v>
      </c>
      <c r="L13" s="20" t="n">
        <v>2575</v>
      </c>
      <c r="M13" s="20" t="n">
        <v>14</v>
      </c>
      <c r="N13" s="20" t="n">
        <v>7097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9020</v>
      </c>
      <c r="W13" s="20" t="n">
        <v>15613</v>
      </c>
      <c r="X13" s="20" t="n">
        <v>17780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923</v>
      </c>
      <c r="D16" s="20" t="n">
        <v>984</v>
      </c>
      <c r="E16" s="20" t="n">
        <v>1329</v>
      </c>
      <c r="F16" s="20" t="n">
        <v>1097</v>
      </c>
      <c r="G16" s="20" t="n">
        <v>1362</v>
      </c>
      <c r="H16" s="20" t="n">
        <v>1065</v>
      </c>
      <c r="I16" s="20" t="n">
        <v>2587</v>
      </c>
      <c r="J16" s="20" t="n">
        <v>2226</v>
      </c>
      <c r="K16" s="20" t="n">
        <v>1431</v>
      </c>
      <c r="L16" s="20" t="n">
        <v>1899</v>
      </c>
      <c r="M16" s="20" t="n">
        <v>2094</v>
      </c>
      <c r="N16" s="20" t="n">
        <v>1902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4204</v>
      </c>
      <c r="W16" s="20" t="n">
        <v>6111</v>
      </c>
      <c r="X16" s="20" t="n">
        <v>7650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/>
      <c r="F19" s="20" t="n">
        <v>29597</v>
      </c>
      <c r="G19" s="20" t="n"/>
      <c r="H19" s="20" t="n"/>
      <c r="I19" s="20" t="n"/>
      <c r="J19" s="20" t="n">
        <v>45502</v>
      </c>
      <c r="K19" s="20" t="n"/>
      <c r="L19" s="20" t="n"/>
      <c r="M19" s="20" t="n"/>
      <c r="N19" s="20" t="n">
        <v>70410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15491</v>
      </c>
      <c r="D23" s="20" t="n">
        <v>11050</v>
      </c>
      <c r="E23" s="20" t="n">
        <v>27627</v>
      </c>
      <c r="F23" s="20" t="n">
        <v>11099</v>
      </c>
      <c r="G23" s="20" t="n">
        <v>11958</v>
      </c>
      <c r="H23" s="20" t="n">
        <v>15256</v>
      </c>
      <c r="I23" s="20" t="n">
        <v>32533</v>
      </c>
      <c r="J23" s="20" t="n">
        <v>14495</v>
      </c>
      <c r="K23" s="20" t="n">
        <v>13788</v>
      </c>
      <c r="L23" s="20" t="n">
        <v>11485</v>
      </c>
      <c r="M23" s="20" t="n">
        <v>45379</v>
      </c>
      <c r="N23" s="20" t="n">
        <v>21628</v>
      </c>
      <c r="O23" s="19" t="n">
        <v>56438</v>
      </c>
      <c r="P23" s="20" t="n">
        <v>59895</v>
      </c>
      <c r="Q23" s="20" t="n">
        <v>62809</v>
      </c>
      <c r="R23" s="20" t="n">
        <v>40643</v>
      </c>
      <c r="S23" s="20" t="n">
        <v>42567</v>
      </c>
      <c r="T23" s="20" t="n">
        <v>48736</v>
      </c>
      <c r="U23" s="20" t="n">
        <v>52110</v>
      </c>
      <c r="V23" s="20" t="n">
        <v>67755</v>
      </c>
      <c r="W23" s="20" t="n">
        <v>70846</v>
      </c>
      <c r="X23" s="20" t="n">
        <v>85147</v>
      </c>
      <c r="Y23" s="19" t="n"/>
      <c r="Z23" s="20" t="n"/>
      <c r="AA23" s="20" t="n"/>
      <c r="AB23" s="20" t="n"/>
      <c r="AC23" s="20" t="n"/>
    </row>
    <row r="24">
      <c r="A24" s="18" t="inlineStr">
        <is>
          <t>매출총이익</t>
        </is>
      </c>
      <c r="B24" s="10" t="n"/>
      <c r="C24" s="19">
        <f>IF(OR(C4="",C23=""),"",IFERROR(C4-C23,""))</f>
        <v/>
      </c>
      <c r="D24" s="20">
        <f>IF(OR(D4="",D23=""),"",IFERROR(D4-D23,""))</f>
        <v/>
      </c>
      <c r="E24" s="20">
        <f>IF(OR(E4="",E23=""),"",IFERROR(E4-E23,""))</f>
        <v/>
      </c>
      <c r="F24" s="20">
        <f>IF(OR(F4="",F23=""),"",IFERROR(F4-F23,""))</f>
        <v/>
      </c>
      <c r="G24" s="20">
        <f>IF(OR(G4="",G23=""),"",IFERROR(G4-G23,""))</f>
        <v/>
      </c>
      <c r="H24" s="20">
        <f>IF(OR(H4="",H23=""),"",IFERROR(H4-H23,""))</f>
        <v/>
      </c>
      <c r="I24" s="20">
        <f>IF(OR(I4="",I23=""),"",IFERROR(I4-I23,""))</f>
        <v/>
      </c>
      <c r="J24" s="20">
        <f>IF(OR(J4="",J23=""),"",IFERROR(J4-J23,""))</f>
        <v/>
      </c>
      <c r="K24" s="20">
        <f>IF(OR(K4="",K23=""),"",IFERROR(K4-K23,""))</f>
        <v/>
      </c>
      <c r="L24" s="20">
        <f>IF(OR(L4="",L23=""),"",IFERROR(L4-L23,""))</f>
        <v/>
      </c>
      <c r="M24" s="20">
        <f>IF(OR(M4="",M23=""),"",IFERROR(M4-M23,""))</f>
        <v/>
      </c>
      <c r="N24" s="20">
        <f>IF(OR(N4="",N23=""),"",IFERROR(N4-N23,""))</f>
        <v/>
      </c>
      <c r="O24" s="19">
        <f>IF(OR(O4="",O23=""),"",IFERROR(O4-O23,""))</f>
        <v/>
      </c>
      <c r="P24" s="20">
        <f>IF(OR(P4="",P23=""),"",IFERROR(P4-P23,""))</f>
        <v/>
      </c>
      <c r="Q24" s="20">
        <f>IF(OR(Q4="",Q23=""),"",IFERROR(Q4-Q23,""))</f>
        <v/>
      </c>
      <c r="R24" s="20">
        <f>IF(OR(R4="",R23=""),"",IFERROR(R4-R23,""))</f>
        <v/>
      </c>
      <c r="S24" s="20">
        <f>IF(OR(S4="",S23=""),"",IFERROR(S4-S23,""))</f>
        <v/>
      </c>
      <c r="T24" s="20">
        <f>IF(OR(T4="",T23=""),"",IFERROR(T4-T23,""))</f>
        <v/>
      </c>
      <c r="U24" s="20">
        <f>IF(OR(U4="",U23=""),"",IFERROR(U4-U23,""))</f>
        <v/>
      </c>
      <c r="V24" s="20">
        <f>IF(OR(V4="",V23=""),"",IFERROR(V4-V23,""))</f>
        <v/>
      </c>
      <c r="W24" s="20">
        <f>IF(OR(W4="",W23=""),"",IFERROR(W4-W23,""))</f>
        <v/>
      </c>
      <c r="X24" s="20">
        <f>IF(OR(X4="",X23=""),"",IFERROR(X4-X23,""))</f>
        <v/>
      </c>
      <c r="Y24" s="19" t="n"/>
      <c r="Z24" s="20" t="n"/>
      <c r="AA24" s="20" t="n"/>
      <c r="AB24" s="20" t="n"/>
      <c r="AC24" s="20" t="n"/>
    </row>
    <row r="25">
      <c r="A25" s="13" t="inlineStr">
        <is>
          <t>GPM</t>
        </is>
      </c>
      <c r="B25" s="10" t="n"/>
      <c r="C25" s="14">
        <f>IF(OR(C24="",C4=""),"",IFERROR(C24/C4,""))</f>
        <v/>
      </c>
      <c r="D25" s="15">
        <f>IF(OR(D24="",D4=""),"",IFERROR(D24/D4,""))</f>
        <v/>
      </c>
      <c r="E25" s="15">
        <f>IF(OR(E24="",E4=""),"",IFERROR(E24/E4,""))</f>
        <v/>
      </c>
      <c r="F25" s="15">
        <f>IF(OR(F24="",F4=""),"",IFERROR(F24/F4,""))</f>
        <v/>
      </c>
      <c r="G25" s="15">
        <f>IF(OR(G24="",G4=""),"",IFERROR(G24/G4,""))</f>
        <v/>
      </c>
      <c r="H25" s="15">
        <f>IF(OR(H24="",H4=""),"",IFERROR(H24/H4,""))</f>
        <v/>
      </c>
      <c r="I25" s="15">
        <f>IF(OR(I24="",I4=""),"",IFERROR(I24/I4,""))</f>
        <v/>
      </c>
      <c r="J25" s="15">
        <f>IF(OR(J24="",J4=""),"",IFERROR(J24/J4,""))</f>
        <v/>
      </c>
      <c r="K25" s="15">
        <f>IF(OR(K24="",K4=""),"",IFERROR(K24/K4,""))</f>
        <v/>
      </c>
      <c r="L25" s="15">
        <f>IF(OR(L24="",L4=""),"",IFERROR(L24/L4,""))</f>
        <v/>
      </c>
      <c r="M25" s="15">
        <f>IF(OR(M24="",M4=""),"",IFERROR(M24/M4,""))</f>
        <v/>
      </c>
      <c r="N25" s="15">
        <f>IF(OR(N24="",N4=""),"",IFERROR(N24/N4,""))</f>
        <v/>
      </c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>
        <f>IF(OR(Y24="",Y4=""),"",IFERROR(Y24/Y4,""))</f>
        <v/>
      </c>
      <c r="Z25" s="15">
        <f>IF(OR(Z24="",Z4=""),"",IFERROR(Z24/Z4,""))</f>
        <v/>
      </c>
      <c r="AA25" s="15">
        <f>IF(OR(AA24="",AA4=""),"",IFERROR(AA24/AA4,""))</f>
        <v/>
      </c>
      <c r="AB25" s="15">
        <f>IF(OR(AB24="",AB4=""),"",IFERROR(AB24/AB4,""))</f>
        <v/>
      </c>
      <c r="AC25" s="15">
        <f>IF(OR(AC24="",AC4=""),"",IFERROR(AC24/AC4,""))</f>
        <v/>
      </c>
    </row>
    <row r="26">
      <c r="A26" s="23" t="inlineStr">
        <is>
          <t>판매관리비</t>
        </is>
      </c>
      <c r="B26" s="23" t="n"/>
      <c r="C26" s="24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4" t="n"/>
      <c r="Z26" s="23" t="n"/>
      <c r="AA26" s="23" t="n"/>
      <c r="AB26" s="23" t="n"/>
      <c r="AC26" s="23" t="n"/>
    </row>
    <row r="27">
      <c r="A27" s="18" t="inlineStr">
        <is>
          <t>전체 판관비</t>
        </is>
      </c>
      <c r="B27" s="10" t="n"/>
      <c r="C27" s="19" t="n">
        <v>5795</v>
      </c>
      <c r="D27" s="20" t="n">
        <v>6327</v>
      </c>
      <c r="E27" s="20" t="n">
        <v>9226</v>
      </c>
      <c r="F27" s="20" t="n">
        <v>5608</v>
      </c>
      <c r="G27" s="20" t="n">
        <v>7010</v>
      </c>
      <c r="H27" s="20" t="n">
        <v>6901</v>
      </c>
      <c r="I27" s="20" t="n">
        <v>13461</v>
      </c>
      <c r="J27" s="20" t="n">
        <v>6408</v>
      </c>
      <c r="K27" s="20" t="n">
        <v>7127</v>
      </c>
      <c r="L27" s="20" t="n">
        <v>7710</v>
      </c>
      <c r="M27" s="20" t="n">
        <v>13676</v>
      </c>
      <c r="N27" s="20" t="n">
        <v>7727</v>
      </c>
      <c r="O27" s="19" t="n">
        <v>17080</v>
      </c>
      <c r="P27" s="20" t="n">
        <v>18582</v>
      </c>
      <c r="Q27" s="20" t="n">
        <v>19078</v>
      </c>
      <c r="R27" s="20" t="n">
        <v>18119</v>
      </c>
      <c r="S27" s="20" t="n">
        <v>18145</v>
      </c>
      <c r="T27" s="20" t="n">
        <v>18408</v>
      </c>
      <c r="U27" s="20" t="n">
        <v>23006</v>
      </c>
      <c r="V27" s="20" t="n">
        <v>27572</v>
      </c>
      <c r="W27" s="20" t="n">
        <v>32980</v>
      </c>
      <c r="X27" s="20" t="n">
        <v>34921</v>
      </c>
      <c r="Y27" s="19" t="n"/>
      <c r="Z27" s="20" t="n"/>
      <c r="AA27" s="20" t="n"/>
      <c r="AB27" s="20" t="n"/>
      <c r="AC27" s="20" t="n"/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9788</v>
      </c>
      <c r="D28" s="12" t="n">
        <v>13869</v>
      </c>
      <c r="E28" s="12" t="n">
        <v>9377</v>
      </c>
      <c r="F28" s="12" t="n">
        <v>12889</v>
      </c>
      <c r="G28" s="12" t="n">
        <v>7837</v>
      </c>
      <c r="H28" s="12" t="n">
        <v>10294</v>
      </c>
      <c r="I28" s="12" t="n">
        <v>34757</v>
      </c>
      <c r="J28" s="12" t="n">
        <v>24597</v>
      </c>
      <c r="K28" s="12" t="n">
        <v>14736</v>
      </c>
      <c r="L28" s="12" t="n">
        <v>14969</v>
      </c>
      <c r="M28" s="12" t="n">
        <v>20993</v>
      </c>
      <c r="N28" s="12" t="n">
        <v>41054</v>
      </c>
      <c r="O28" s="11" t="n">
        <v>13650</v>
      </c>
      <c r="P28" s="12" t="n">
        <v>16037</v>
      </c>
      <c r="Q28" s="12" t="n">
        <v>18144</v>
      </c>
      <c r="R28" s="12" t="n">
        <v>22827</v>
      </c>
      <c r="S28" s="12" t="n">
        <v>34596</v>
      </c>
      <c r="T28" s="12" t="n">
        <v>42909</v>
      </c>
      <c r="U28" s="12" t="n">
        <v>50812</v>
      </c>
      <c r="V28" s="12" t="n">
        <v>57081</v>
      </c>
      <c r="W28" s="12" t="n">
        <v>65777</v>
      </c>
      <c r="X28" s="12" t="n">
        <v>75295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IF(O27="","",O27)</f>
        <v/>
      </c>
      <c r="P32" s="12">
        <f>IF(P27="","",P27)</f>
        <v/>
      </c>
      <c r="Q32" s="12">
        <f>IF(Q27="","",Q27)</f>
        <v/>
      </c>
      <c r="R32" s="12">
        <f>IF(R27="","",R27)</f>
        <v/>
      </c>
      <c r="S32" s="12">
        <f>IF(S27="","",S27)</f>
        <v/>
      </c>
      <c r="T32" s="12">
        <f>IF(T27="","",T27)</f>
        <v/>
      </c>
      <c r="U32" s="12">
        <f>IF(U27="","",U27)</f>
        <v/>
      </c>
      <c r="V32" s="12">
        <f>IF(V27="","",V27)</f>
        <v/>
      </c>
      <c r="W32" s="12">
        <f>IF(W27="","",W27)</f>
        <v/>
      </c>
      <c r="X32" s="12">
        <f>IF(X27="","",X27)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0</v>
      </c>
      <c r="D44" s="20" t="n">
        <v>434</v>
      </c>
      <c r="E44" s="20" t="n">
        <v>-25</v>
      </c>
      <c r="F44" s="20" t="n">
        <v>143</v>
      </c>
      <c r="G44" s="20" t="n">
        <v>0</v>
      </c>
      <c r="H44" s="20" t="n">
        <v>0</v>
      </c>
      <c r="I44" s="20" t="n">
        <v>1</v>
      </c>
      <c r="J44" s="20" t="n">
        <v>0</v>
      </c>
      <c r="K44" s="20" t="n">
        <v>0</v>
      </c>
      <c r="L44" s="20" t="n">
        <v>0</v>
      </c>
      <c r="M44" s="20" t="n">
        <v>0</v>
      </c>
      <c r="N44" s="20" t="n">
        <v>0</v>
      </c>
      <c r="O44" s="19" t="n"/>
      <c r="P44" s="20" t="n"/>
      <c r="Q44" s="20" t="n"/>
      <c r="R44" s="20" t="n"/>
      <c r="S44" s="20" t="n"/>
      <c r="T44" s="20" t="n"/>
      <c r="U44" s="20" t="n">
        <v>0</v>
      </c>
      <c r="V44" s="20" t="n">
        <v>410</v>
      </c>
      <c r="W44" s="20" t="n">
        <v>144</v>
      </c>
      <c r="X44" s="20" t="n">
        <v>0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>
        <v>0</v>
      </c>
      <c r="D46" s="20" t="n">
        <v>298</v>
      </c>
      <c r="E46" s="20" t="n">
        <v>251</v>
      </c>
      <c r="F46" s="20" t="n">
        <v>1</v>
      </c>
      <c r="G46" s="20" t="n">
        <v>1</v>
      </c>
      <c r="H46" s="20" t="n">
        <v>99</v>
      </c>
      <c r="I46" s="20" t="n">
        <v>27</v>
      </c>
      <c r="J46" s="20" t="n">
        <v>49</v>
      </c>
      <c r="K46" s="20" t="n">
        <v>127</v>
      </c>
      <c r="L46" s="20" t="n">
        <v>11</v>
      </c>
      <c r="M46" s="20" t="n">
        <v>13</v>
      </c>
      <c r="N46" s="20" t="n">
        <v>0</v>
      </c>
      <c r="O46" s="19" t="n">
        <v>99</v>
      </c>
      <c r="P46" s="20" t="n">
        <v>104</v>
      </c>
      <c r="Q46" s="20" t="n">
        <v>423</v>
      </c>
      <c r="R46" s="20" t="n">
        <v>67</v>
      </c>
      <c r="S46" s="20" t="n">
        <v>16</v>
      </c>
      <c r="T46" s="20" t="n">
        <v>8</v>
      </c>
      <c r="U46" s="20" t="n">
        <v>225</v>
      </c>
      <c r="V46" s="20" t="n">
        <v>549</v>
      </c>
      <c r="W46" s="20" t="n">
        <v>128</v>
      </c>
      <c r="X46" s="20" t="n">
        <v>200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560</v>
      </c>
      <c r="D48" s="20" t="n">
        <v>-541</v>
      </c>
      <c r="E48" s="20" t="n">
        <v>1717</v>
      </c>
      <c r="F48" s="20" t="n">
        <v>946</v>
      </c>
      <c r="G48" s="20" t="n">
        <v>76</v>
      </c>
      <c r="H48" s="20" t="n">
        <v>600</v>
      </c>
      <c r="I48" s="20" t="n">
        <v>139</v>
      </c>
      <c r="J48" s="20" t="n">
        <v>305</v>
      </c>
      <c r="K48" s="20" t="n">
        <v>405</v>
      </c>
      <c r="L48" s="20" t="n">
        <v>400</v>
      </c>
      <c r="M48" s="20" t="n">
        <v>1366</v>
      </c>
      <c r="N48" s="20" t="n">
        <v>557</v>
      </c>
      <c r="O48" s="19" t="n">
        <v>192</v>
      </c>
      <c r="P48" s="20" t="n">
        <v>219</v>
      </c>
      <c r="Q48" s="20" t="n">
        <v>974</v>
      </c>
      <c r="R48" s="20" t="n">
        <v>480</v>
      </c>
      <c r="S48" s="20" t="n">
        <v>1035</v>
      </c>
      <c r="T48" s="20" t="n">
        <v>1859</v>
      </c>
      <c r="U48" s="20" t="n">
        <v>864</v>
      </c>
      <c r="V48" s="20" t="n">
        <v>3606</v>
      </c>
      <c r="W48" s="20" t="n">
        <v>1761</v>
      </c>
      <c r="X48" s="20" t="n">
        <v>2476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48</v>
      </c>
      <c r="D50" s="20" t="n">
        <v>33</v>
      </c>
      <c r="E50" s="20" t="n">
        <v>1132</v>
      </c>
      <c r="F50" s="20" t="n">
        <v>348</v>
      </c>
      <c r="G50" s="20" t="n">
        <v>695</v>
      </c>
      <c r="H50" s="20" t="n">
        <v>183</v>
      </c>
      <c r="I50" s="20" t="n">
        <v>676</v>
      </c>
      <c r="J50" s="20" t="n">
        <v>2019</v>
      </c>
      <c r="K50" s="20" t="n">
        <v>1480</v>
      </c>
      <c r="L50" s="20" t="n">
        <v>211</v>
      </c>
      <c r="M50" s="20" t="n">
        <v>-73</v>
      </c>
      <c r="N50" s="20" t="n">
        <v>160</v>
      </c>
      <c r="O50" s="19" t="n">
        <v>1253</v>
      </c>
      <c r="P50" s="20" t="n">
        <v>1002</v>
      </c>
      <c r="Q50" s="20" t="n">
        <v>924</v>
      </c>
      <c r="R50" s="20" t="n">
        <v>350</v>
      </c>
      <c r="S50" s="20" t="n">
        <v>786</v>
      </c>
      <c r="T50" s="20" t="n">
        <v>439</v>
      </c>
      <c r="U50" s="20" t="n">
        <v>307</v>
      </c>
      <c r="V50" s="20" t="n">
        <v>1265</v>
      </c>
      <c r="W50" s="20" t="n">
        <v>1902</v>
      </c>
      <c r="X50" s="20" t="n">
        <v>3637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10299</v>
      </c>
      <c r="D52" s="12" t="n">
        <v>13433</v>
      </c>
      <c r="E52" s="12" t="n">
        <v>9684</v>
      </c>
      <c r="F52" s="12" t="n">
        <v>13629</v>
      </c>
      <c r="G52" s="12" t="n">
        <v>7218</v>
      </c>
      <c r="H52" s="12" t="n">
        <v>10612</v>
      </c>
      <c r="I52" s="12" t="n">
        <v>34192</v>
      </c>
      <c r="J52" s="12" t="n">
        <v>22834</v>
      </c>
      <c r="K52" s="12" t="n">
        <v>13533</v>
      </c>
      <c r="L52" s="12" t="n">
        <v>15148</v>
      </c>
      <c r="M52" s="12" t="n">
        <v>22419</v>
      </c>
      <c r="N52" s="12" t="n">
        <v>41452</v>
      </c>
      <c r="O52" s="11" t="n">
        <v>12489</v>
      </c>
      <c r="P52" s="12" t="n">
        <v>15149</v>
      </c>
      <c r="Q52" s="12" t="n">
        <v>17770</v>
      </c>
      <c r="R52" s="12" t="n">
        <v>22890</v>
      </c>
      <c r="S52" s="12" t="n">
        <v>34828</v>
      </c>
      <c r="T52" s="12" t="n">
        <v>44322</v>
      </c>
      <c r="U52" s="12" t="n">
        <v>51143</v>
      </c>
      <c r="V52" s="12" t="n">
        <v>59282</v>
      </c>
      <c r="W52" s="12" t="n">
        <v>65651</v>
      </c>
      <c r="X52" s="12" t="n">
        <v>73934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8" t="inlineStr">
        <is>
          <t>법인세비용(수익)</t>
        </is>
      </c>
      <c r="B53" s="10" t="n"/>
      <c r="C53" s="19" t="n">
        <v>3175</v>
      </c>
      <c r="D53" s="20" t="n">
        <v>4083</v>
      </c>
      <c r="E53" s="20" t="n">
        <v>947</v>
      </c>
      <c r="F53" s="20" t="n">
        <v>3653</v>
      </c>
      <c r="G53" s="20" t="n">
        <v>1918</v>
      </c>
      <c r="H53" s="20" t="n">
        <v>2825</v>
      </c>
      <c r="I53" s="20" t="n">
        <v>8809</v>
      </c>
      <c r="J53" s="20" t="n">
        <v>5602</v>
      </c>
      <c r="K53" s="20" t="n">
        <v>3251</v>
      </c>
      <c r="L53" s="20" t="n">
        <v>3777</v>
      </c>
      <c r="M53" s="20" t="n">
        <v>6684</v>
      </c>
      <c r="N53" s="20" t="n">
        <v>12273</v>
      </c>
      <c r="O53" s="19" t="n">
        <v>3610</v>
      </c>
      <c r="P53" s="20" t="n">
        <v>4212</v>
      </c>
      <c r="Q53" s="20" t="n">
        <v>5218</v>
      </c>
      <c r="R53" s="20" t="n">
        <v>6941</v>
      </c>
      <c r="S53" s="20" t="n">
        <v>9905</v>
      </c>
      <c r="T53" s="20" t="n">
        <v>11768</v>
      </c>
      <c r="U53" s="20" t="n">
        <v>14406</v>
      </c>
      <c r="V53" s="20" t="n">
        <v>15908</v>
      </c>
      <c r="W53" s="20" t="n">
        <v>17205</v>
      </c>
      <c r="X53" s="20" t="n">
        <v>19314</v>
      </c>
      <c r="Y53" s="19">
        <f>IF(OR(Y52="",Y54=""),"",IFERROR(MAX(Y52,0)*Y54,""))</f>
        <v/>
      </c>
      <c r="Z53" s="20">
        <f>IF(OR(Z52="",Z54=""),"",IFERROR(MAX(Z52,0)*Z54,""))</f>
        <v/>
      </c>
      <c r="AA53" s="20">
        <f>IF(OR(AA52="",AA54=""),"",IFERROR(MAX(AA52,0)*AA54,""))</f>
        <v/>
      </c>
      <c r="AB53" s="20">
        <f>IF(OR(AB52="",AB54=""),"",IFERROR(MAX(AB52,0)*AB54,""))</f>
        <v/>
      </c>
      <c r="AC53" s="20">
        <f>IF(OR(AC52="",AC54=""),"",IFERROR(MAX(AC52,0)*AC54,""))</f>
        <v/>
      </c>
    </row>
    <row r="54">
      <c r="A54" s="13" t="inlineStr">
        <is>
          <t>법인세율</t>
        </is>
      </c>
      <c r="B54" s="10" t="inlineStr">
        <is>
          <t>MW 기본 30%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0.3</v>
      </c>
      <c r="Z54" s="26" t="n">
        <v>0.3</v>
      </c>
      <c r="AA54" s="26" t="n">
        <v>0.3</v>
      </c>
      <c r="AB54" s="26" t="n">
        <v>0.3</v>
      </c>
      <c r="AC54" s="26" t="n">
        <v>0.3</v>
      </c>
    </row>
    <row r="55">
      <c r="A55" s="9" t="inlineStr">
        <is>
          <t>당기순이익(손실)</t>
        </is>
      </c>
      <c r="B55" s="10" t="n"/>
      <c r="C55" s="11" t="n">
        <v>7124</v>
      </c>
      <c r="D55" s="12" t="n">
        <v>9349</v>
      </c>
      <c r="E55" s="12" t="n">
        <v>8738</v>
      </c>
      <c r="F55" s="12" t="n">
        <v>9975</v>
      </c>
      <c r="G55" s="12" t="n">
        <v>5300</v>
      </c>
      <c r="H55" s="12" t="n">
        <v>7787</v>
      </c>
      <c r="I55" s="12" t="n">
        <v>25383</v>
      </c>
      <c r="J55" s="12" t="n">
        <v>17232</v>
      </c>
      <c r="K55" s="12" t="n">
        <v>10282</v>
      </c>
      <c r="L55" s="12" t="n">
        <v>11371</v>
      </c>
      <c r="M55" s="12" t="n">
        <v>15734</v>
      </c>
      <c r="N55" s="12" t="n">
        <v>29178</v>
      </c>
      <c r="O55" s="11" t="n">
        <v>8879</v>
      </c>
      <c r="P55" s="12" t="n">
        <v>10937</v>
      </c>
      <c r="Q55" s="12" t="n">
        <v>12551</v>
      </c>
      <c r="R55" s="12" t="n">
        <v>15949</v>
      </c>
      <c r="S55" s="12" t="n">
        <v>24923</v>
      </c>
      <c r="T55" s="12" t="n">
        <v>32553</v>
      </c>
      <c r="U55" s="12" t="n">
        <v>36737</v>
      </c>
      <c r="V55" s="12" t="n">
        <v>43374</v>
      </c>
      <c r="W55" s="12" t="n">
        <v>48445</v>
      </c>
      <c r="X55" s="12" t="n">
        <v>54619</v>
      </c>
      <c r="Y55" s="11">
        <f>IF(OR(Y52=""),"",IFERROR(Y52-Y53,""))</f>
        <v/>
      </c>
      <c r="Z55" s="12">
        <f>IF(OR(Z52=""),"",IFERROR(Z52-Z53,""))</f>
        <v/>
      </c>
      <c r="AA55" s="12">
        <f>IF(OR(AA52=""),"",IFERROR(AA52-AA53,""))</f>
        <v/>
      </c>
      <c r="AB55" s="12">
        <f>IF(OR(AB52=""),"",IFERROR(AB52-AB53,""))</f>
        <v/>
      </c>
      <c r="AC55" s="12">
        <f>IF(OR(AC52=""),"",IFERROR(AC52-AC53,""))</f>
        <v/>
      </c>
    </row>
    <row r="56">
      <c r="A56" s="9" t="inlineStr">
        <is>
          <t>지배주주 순이익</t>
        </is>
      </c>
      <c r="B56" s="10" t="n"/>
      <c r="C56" s="11" t="n">
        <v>7124</v>
      </c>
      <c r="D56" s="12" t="n">
        <v>9349</v>
      </c>
      <c r="E56" s="12" t="n">
        <v>8738</v>
      </c>
      <c r="F56" s="12" t="n">
        <v>9975</v>
      </c>
      <c r="G56" s="12" t="n">
        <v>5300</v>
      </c>
      <c r="H56" s="12" t="n">
        <v>7791</v>
      </c>
      <c r="I56" s="12" t="n">
        <v>25387</v>
      </c>
      <c r="J56" s="12" t="n">
        <v>17238</v>
      </c>
      <c r="K56" s="12" t="n">
        <v>10276</v>
      </c>
      <c r="L56" s="12" t="n">
        <v>11371</v>
      </c>
      <c r="M56" s="12" t="n">
        <v>15702</v>
      </c>
      <c r="N56" s="12" t="n">
        <v>29159</v>
      </c>
      <c r="O56" s="11" t="n">
        <v>8879</v>
      </c>
      <c r="P56" s="12" t="n">
        <v>10937</v>
      </c>
      <c r="Q56" s="12" t="n">
        <v>12551</v>
      </c>
      <c r="R56" s="12" t="n">
        <v>15949</v>
      </c>
      <c r="S56" s="12" t="n">
        <v>24923</v>
      </c>
      <c r="T56" s="12" t="n">
        <v>32553</v>
      </c>
      <c r="U56" s="12" t="n">
        <v>36737</v>
      </c>
      <c r="V56" s="12" t="n">
        <v>43374</v>
      </c>
      <c r="W56" s="12" t="n">
        <v>48453</v>
      </c>
      <c r="X56" s="12" t="n">
        <v>54587</v>
      </c>
      <c r="Y56" s="11">
        <f>IF(OR(Y55="",Y57=""),"",IFERROR(Y55*Y57,""))</f>
        <v/>
      </c>
      <c r="Z56" s="12">
        <f>IF(OR(Z55="",Z57=""),"",IFERROR(Z55*Z57,""))</f>
        <v/>
      </c>
      <c r="AA56" s="12">
        <f>IF(OR(AA55="",AA57=""),"",IFERROR(AA55*AA57,""))</f>
        <v/>
      </c>
      <c r="AB56" s="12">
        <f>IF(OR(AB55="",AB57=""),"",IFERROR(AB55*AB57,""))</f>
        <v/>
      </c>
      <c r="AC56" s="12">
        <f>IF(OR(AC55="",AC57=""),"",IFERROR(AC55*AC57,""))</f>
        <v/>
      </c>
    </row>
    <row r="57">
      <c r="A57" s="13" t="inlineStr">
        <is>
          <t>지배주주 순이익률</t>
        </is>
      </c>
      <c r="B57" s="10" t="inlineStr">
        <is>
          <t>MW 기본 100%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1</v>
      </c>
      <c r="Z57" s="26" t="n">
        <v>1</v>
      </c>
      <c r="AA57" s="26" t="n">
        <v>1</v>
      </c>
      <c r="AB57" s="26" t="n">
        <v>1</v>
      </c>
      <c r="AC57" s="26" t="n">
        <v>1</v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()</t>
        </is>
      </c>
      <c r="B59" s="27" t="n"/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/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IF(O29="","",O29)</f>
        <v/>
      </c>
      <c r="P62" s="15">
        <f>IF(P29="","",P29)</f>
        <v/>
      </c>
      <c r="Q62" s="15">
        <f>IF(Q29="","",Q29)</f>
        <v/>
      </c>
      <c r="R62" s="15">
        <f>IF(R29="","",R29)</f>
        <v/>
      </c>
      <c r="S62" s="15">
        <f>IF(S29="","",S29)</f>
        <v/>
      </c>
      <c r="T62" s="15">
        <f>IF(T29="","",T29)</f>
        <v/>
      </c>
      <c r="U62" s="15">
        <f>IF(U29="","",U29)</f>
        <v/>
      </c>
      <c r="V62" s="15">
        <f>IF(V29="","",V29)</f>
        <v/>
      </c>
      <c r="W62" s="15">
        <f>IF(W29="","",W29)</f>
        <v/>
      </c>
      <c r="X62" s="15">
        <f>IF(X29="","",X29)</f>
        <v/>
      </c>
      <c r="Y62" s="14">
        <f>IF(Y29="","",Y29)</f>
        <v/>
      </c>
      <c r="Z62" s="15">
        <f>IF(Z29="","",Z29)</f>
        <v/>
      </c>
      <c r="AA62" s="15">
        <f>IF(AA29="","",AA29)</f>
        <v/>
      </c>
      <c r="AB62" s="15">
        <f>IF(AB29="","",AB29)</f>
        <v/>
      </c>
      <c r="AC62" s="15">
        <f>IF(AC29="","",AC29)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IF(OR(P56="",O56=""),"",IFERROR(P56/O56-1,""))</f>
        <v/>
      </c>
      <c r="Q63" s="15">
        <f>IF(OR(Q56="",P56=""),"",IFERROR(Q56/P56-1,""))</f>
        <v/>
      </c>
      <c r="R63" s="15">
        <f>IF(OR(R56="",Q56=""),"",IFERROR(R56/Q56-1,""))</f>
        <v/>
      </c>
      <c r="S63" s="15">
        <f>IF(OR(S56="",R56=""),"",IFERROR(S56/R56-1,""))</f>
        <v/>
      </c>
      <c r="T63" s="15">
        <f>IF(OR(T56="",S56=""),"",IFERROR(T56/S56-1,""))</f>
        <v/>
      </c>
      <c r="U63" s="15">
        <f>IF(OR(U56="",T56=""),"",IFERROR(U56/T56-1,""))</f>
        <v/>
      </c>
      <c r="V63" s="15">
        <f>IF(OR(V56="",U56=""),"",IFERROR(V56/U56-1,""))</f>
        <v/>
      </c>
      <c r="W63" s="15">
        <f>IF(OR(W56="",V56=""),"",IFERROR(W56/V56-1,""))</f>
        <v/>
      </c>
      <c r="X63" s="15">
        <f>IF(OR(X56="",W56=""),"",IFERROR(X56/W56-1,""))</f>
        <v/>
      </c>
      <c r="Y63" s="14">
        <f>IF(OR(Y56="",X56=""),"",IFERROR(Y56/X56-1,""))</f>
        <v/>
      </c>
      <c r="Z63" s="15">
        <f>IF(OR(Z56="",Y56=""),"",IFERROR(Z56/Y56-1,""))</f>
        <v/>
      </c>
      <c r="AA63" s="15">
        <f>IF(OR(AA56="",Z56=""),"",IFERROR(AA56/Z56-1,""))</f>
        <v/>
      </c>
      <c r="AB63" s="15">
        <f>IF(OR(AB56="",AA56=""),"",IFERROR(AB56/AA56-1,""))</f>
        <v/>
      </c>
      <c r="AC63" s="15">
        <f>IF(OR(AC56="",AB56=""),"",IFERROR(AC56/AB56-1,""))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IF(OR($B$61="",X56=""),"",IFERROR($B$61/X56,""))</f>
        <v/>
      </c>
      <c r="Y64" s="30">
        <f>IF(OR($B$61="",Y56=""),"",IFERROR($B$61/Y56,""))</f>
        <v/>
      </c>
      <c r="Z64" s="31">
        <f>IF(OR($B$61="",Z56=""),"",IFERROR($B$61/Z56,""))</f>
        <v/>
      </c>
      <c r="AA64" s="31">
        <f>IF(OR($B$61="",AA56=""),"",IFERROR($B$61/AA56,""))</f>
        <v/>
      </c>
      <c r="AB64" s="31">
        <f>IF(OR($B$61="",AB56=""),"",IFERROR($B$61/AB56,""))</f>
        <v/>
      </c>
      <c r="AC64" s="31">
        <f>IF(OR($B$61="",AC56=""),"",IFERROR($B$61/AC56,""))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IF(OR(O56="",$B$60=""),"",IFERROR(O56*1000000.0/$B$60,""))</f>
        <v/>
      </c>
      <c r="P66" s="29">
        <f>IF(OR(P56="",$B$60=""),"",IFERROR(P56*1000000.0/$B$60,""))</f>
        <v/>
      </c>
      <c r="Q66" s="29">
        <f>IF(OR(Q56="",$B$60=""),"",IFERROR(Q56*1000000.0/$B$60,""))</f>
        <v/>
      </c>
      <c r="R66" s="29">
        <f>IF(OR(R56="",$B$60=""),"",IFERROR(R56*1000000.0/$B$60,""))</f>
        <v/>
      </c>
      <c r="S66" s="29">
        <f>IF(OR(S56="",$B$60=""),"",IFERROR(S56*1000000.0/$B$60,""))</f>
        <v/>
      </c>
      <c r="T66" s="29">
        <f>IF(OR(T56="",$B$60=""),"",IFERROR(T56*1000000.0/$B$60,""))</f>
        <v/>
      </c>
      <c r="U66" s="29">
        <f>IF(OR(U56="",$B$60=""),"",IFERROR(U56*1000000.0/$B$60,""))</f>
        <v/>
      </c>
      <c r="V66" s="29">
        <f>IF(OR(V56="",$B$60=""),"",IFERROR(V56*1000000.0/$B$60,""))</f>
        <v/>
      </c>
      <c r="W66" s="29">
        <f>IF(OR(W56="",$B$60=""),"",IFERROR(W56*1000000.0/$B$60,""))</f>
        <v/>
      </c>
      <c r="X66" s="29">
        <f>IF(OR(X56="",$B$60=""),"",IFERROR(X56*1000000.0/$B$60,""))</f>
        <v/>
      </c>
      <c r="Y66" s="28">
        <f>IF(OR(Y56="",$B$60=""),"",IFERROR(Y56*1000000.0/$B$60,""))</f>
        <v/>
      </c>
      <c r="Z66" s="29">
        <f>IF(OR(Z56="",$B$60=""),"",IFERROR(Z56*1000000.0/$B$60,""))</f>
        <v/>
      </c>
      <c r="AA66" s="29">
        <f>IF(OR(AA56="",$B$60=""),"",IFERROR(AA56*1000000.0/$B$60,""))</f>
        <v/>
      </c>
      <c r="AB66" s="29">
        <f>IF(OR(AB56="",$B$60=""),"",IFERROR(AB56*1000000.0/$B$60,""))</f>
        <v/>
      </c>
      <c r="AC66" s="29">
        <f>IF(OR(AC56="",$B$60=""),"",IFERROR(AC56*1000000.0/$B$60,""))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IF(OR(Y56="",Y65=""),"",IFERROR(Y56*Y65,""))</f>
        <v/>
      </c>
      <c r="Z78" s="20">
        <f>IF(OR(Z56="",Z65=""),"",IFERROR(Z56*Z65,""))</f>
        <v/>
      </c>
      <c r="AA78" s="20">
        <f>IF(OR(AA56="",AA65=""),"",IFERROR(AA56*AA65,""))</f>
        <v/>
      </c>
      <c r="AB78" s="20">
        <f>IF(OR(AB56="",AB65=""),"",IFERROR(AB56*AB65,""))</f>
        <v/>
      </c>
      <c r="AC78" s="20">
        <f>IF(OR(AC56="",AC65=""),"",IFERROR(AC56*AC65,""))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2024.2Q</t>
        </is>
      </c>
      <c r="D89" s="5" t="inlineStr">
        <is>
          <t>2024.3Q</t>
        </is>
      </c>
      <c r="E89" s="5" t="inlineStr">
        <is>
          <t>2024.4Q</t>
        </is>
      </c>
      <c r="F89" s="5" t="inlineStr">
        <is>
          <t>2025.1Q</t>
        </is>
      </c>
      <c r="G89" s="5" t="inlineStr">
        <is>
          <t>2025.2Q</t>
        </is>
      </c>
      <c r="H89" s="5" t="inlineStr">
        <is>
          <t>2025.3Q</t>
        </is>
      </c>
      <c r="I89" s="5" t="inlineStr">
        <is>
          <t>2025.4Q</t>
        </is>
      </c>
      <c r="J89" s="5" t="inlineStr">
        <is>
          <t>2026.1Q</t>
        </is>
      </c>
      <c r="K89" s="5" t="inlineStr">
        <is>
          <t>2026.2Q</t>
        </is>
      </c>
      <c r="L89" s="5" t="inlineStr">
        <is>
          <t>2026.3Q</t>
        </is>
      </c>
      <c r="M89" s="5" t="inlineStr">
        <is>
          <t>2026.4Q</t>
        </is>
      </c>
      <c r="N89" s="5" t="inlineStr">
        <is>
          <t>2027.1Q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31076</v>
      </c>
      <c r="D90" s="12" t="n">
        <v>31245</v>
      </c>
      <c r="E90" s="12" t="n">
        <v>46231</v>
      </c>
      <c r="F90" s="12" t="n">
        <v>29597</v>
      </c>
      <c r="G90" s="12" t="n">
        <v>26805</v>
      </c>
      <c r="H90" s="12" t="n">
        <v>32451</v>
      </c>
      <c r="I90" s="12" t="n">
        <v>80751</v>
      </c>
      <c r="J90" s="12" t="n">
        <v>45502</v>
      </c>
      <c r="K90" s="12" t="n">
        <v>35650</v>
      </c>
      <c r="L90" s="12" t="n">
        <v>34163</v>
      </c>
      <c r="M90" s="12" t="n">
        <v>80050</v>
      </c>
      <c r="N90" s="12" t="n">
        <v>70410</v>
      </c>
      <c r="T90" s="12" t="n">
        <v>21891</v>
      </c>
      <c r="U90" s="12" t="n">
        <v>46259</v>
      </c>
      <c r="V90" s="12" t="n">
        <v>46231</v>
      </c>
      <c r="W90" s="12" t="n">
        <v>80751</v>
      </c>
      <c r="X90" s="12" t="n">
        <v>80050</v>
      </c>
    </row>
    <row r="91">
      <c r="A91" s="18" t="inlineStr">
        <is>
          <t>매출원가</t>
        </is>
      </c>
      <c r="C91" s="20" t="n">
        <v>15491</v>
      </c>
      <c r="D91" s="20" t="n">
        <v>11050</v>
      </c>
      <c r="E91" s="20" t="n">
        <v>27627</v>
      </c>
      <c r="F91" s="20" t="n">
        <v>11099</v>
      </c>
      <c r="G91" s="20" t="n">
        <v>11958</v>
      </c>
      <c r="H91" s="20" t="n">
        <v>15256</v>
      </c>
      <c r="I91" s="20" t="n">
        <v>32533</v>
      </c>
      <c r="J91" s="20" t="n">
        <v>14495</v>
      </c>
      <c r="K91" s="20" t="n">
        <v>13788</v>
      </c>
      <c r="L91" s="20" t="n">
        <v>11485</v>
      </c>
      <c r="M91" s="20" t="n">
        <v>45379</v>
      </c>
      <c r="N91" s="20" t="n">
        <v>21628</v>
      </c>
      <c r="T91" s="20" t="n">
        <v>8823</v>
      </c>
      <c r="U91" s="20" t="n">
        <v>20366</v>
      </c>
      <c r="V91" s="20" t="n">
        <v>27627</v>
      </c>
      <c r="W91" s="20" t="n">
        <v>32533</v>
      </c>
      <c r="X91" s="20" t="n">
        <v>45379</v>
      </c>
    </row>
    <row r="92">
      <c r="A92" s="9" t="inlineStr">
        <is>
          <t>매출총이익</t>
        </is>
      </c>
      <c r="C92" s="12" t="n">
        <v>15584</v>
      </c>
      <c r="D92" s="12" t="n">
        <v>20196</v>
      </c>
      <c r="E92" s="12" t="n">
        <v>18603</v>
      </c>
      <c r="F92" s="12" t="n">
        <v>18497</v>
      </c>
      <c r="G92" s="12" t="n">
        <v>14848</v>
      </c>
      <c r="H92" s="12" t="n">
        <v>17195</v>
      </c>
      <c r="I92" s="12" t="n">
        <v>48217</v>
      </c>
      <c r="J92" s="12" t="n">
        <v>31006</v>
      </c>
      <c r="K92" s="12" t="n">
        <v>21862</v>
      </c>
      <c r="L92" s="12" t="n">
        <v>22679</v>
      </c>
      <c r="M92" s="12" t="n">
        <v>34670</v>
      </c>
      <c r="N92" s="12" t="n">
        <v>48782</v>
      </c>
      <c r="T92" s="12" t="n">
        <v>13067</v>
      </c>
      <c r="U92" s="12" t="n">
        <v>25893</v>
      </c>
      <c r="V92" s="12" t="n">
        <v>18603</v>
      </c>
      <c r="W92" s="12" t="n">
        <v>48217</v>
      </c>
      <c r="X92" s="12" t="n">
        <v>34670</v>
      </c>
    </row>
    <row r="93">
      <c r="A93" s="18" t="inlineStr">
        <is>
          <t>판매비와 관리비</t>
        </is>
      </c>
      <c r="C93" s="20" t="n">
        <v>5795</v>
      </c>
      <c r="D93" s="20" t="n">
        <v>6327</v>
      </c>
      <c r="E93" s="20" t="n">
        <v>9226</v>
      </c>
      <c r="F93" s="20" t="n">
        <v>5608</v>
      </c>
      <c r="G93" s="20" t="n">
        <v>7010</v>
      </c>
      <c r="H93" s="20" t="n">
        <v>6901</v>
      </c>
      <c r="I93" s="20" t="n">
        <v>13461</v>
      </c>
      <c r="J93" s="20" t="n">
        <v>6408</v>
      </c>
      <c r="K93" s="20" t="n">
        <v>7127</v>
      </c>
      <c r="L93" s="20" t="n">
        <v>7710</v>
      </c>
      <c r="M93" s="20" t="n">
        <v>13676</v>
      </c>
      <c r="N93" s="20" t="n">
        <v>7727</v>
      </c>
      <c r="T93" s="20" t="n">
        <v>5254</v>
      </c>
      <c r="U93" s="20" t="n">
        <v>8412</v>
      </c>
      <c r="V93" s="20" t="n">
        <v>9226</v>
      </c>
      <c r="W93" s="20" t="n">
        <v>13461</v>
      </c>
      <c r="X93" s="20" t="n">
        <v>13676</v>
      </c>
    </row>
    <row r="94">
      <c r="A94" s="9" t="inlineStr">
        <is>
          <t>영업이익</t>
        </is>
      </c>
      <c r="C94" s="12" t="n">
        <v>9788</v>
      </c>
      <c r="D94" s="12" t="n">
        <v>13869</v>
      </c>
      <c r="E94" s="12" t="n">
        <v>9377</v>
      </c>
      <c r="F94" s="12" t="n">
        <v>12889</v>
      </c>
      <c r="G94" s="12" t="n">
        <v>7837</v>
      </c>
      <c r="H94" s="12" t="n">
        <v>10294</v>
      </c>
      <c r="I94" s="12" t="n">
        <v>34757</v>
      </c>
      <c r="J94" s="12" t="n">
        <v>24597</v>
      </c>
      <c r="K94" s="12" t="n">
        <v>14736</v>
      </c>
      <c r="L94" s="12" t="n">
        <v>14969</v>
      </c>
      <c r="M94" s="12" t="n">
        <v>20993</v>
      </c>
      <c r="N94" s="12" t="n">
        <v>41054</v>
      </c>
      <c r="T94" s="12" t="n">
        <v>7813</v>
      </c>
      <c r="U94" s="12" t="n">
        <v>17480</v>
      </c>
      <c r="V94" s="12" t="n">
        <v>9377</v>
      </c>
      <c r="W94" s="12" t="n">
        <v>34757</v>
      </c>
      <c r="X94" s="12" t="n">
        <v>20993</v>
      </c>
    </row>
    <row r="95">
      <c r="A95" s="18" t="inlineStr">
        <is>
          <t>이자수익</t>
        </is>
      </c>
      <c r="C95" s="20" t="n">
        <v>336</v>
      </c>
      <c r="D95" s="20" t="n">
        <v>242</v>
      </c>
      <c r="E95" s="20" t="n">
        <v>380</v>
      </c>
      <c r="F95" s="20" t="n">
        <v>272</v>
      </c>
      <c r="G95" s="20" t="n">
        <v>302</v>
      </c>
      <c r="H95" s="20" t="n">
        <v>262</v>
      </c>
      <c r="I95" s="20" t="n">
        <v>282</v>
      </c>
      <c r="J95" s="20" t="n">
        <v>276</v>
      </c>
      <c r="K95" s="20" t="n">
        <v>384</v>
      </c>
      <c r="L95" s="20" t="n">
        <v>384</v>
      </c>
      <c r="M95" s="20" t="n">
        <v>503</v>
      </c>
      <c r="N95" s="20" t="n">
        <v>513</v>
      </c>
      <c r="T95" s="20" t="n">
        <v>18</v>
      </c>
      <c r="U95" s="20" t="n">
        <v>202</v>
      </c>
      <c r="V95" s="20" t="n">
        <v>380</v>
      </c>
      <c r="W95" s="20" t="n">
        <v>282</v>
      </c>
      <c r="X95" s="20" t="n">
        <v>503</v>
      </c>
    </row>
    <row r="96">
      <c r="A96" s="18" t="inlineStr">
        <is>
          <t>배당금수익</t>
        </is>
      </c>
      <c r="C96" s="20" t="n">
        <v>0</v>
      </c>
      <c r="D96" s="20" t="n">
        <v>15</v>
      </c>
      <c r="E96" s="20" t="n">
        <v>0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0</v>
      </c>
      <c r="K96" s="20" t="n">
        <v>0</v>
      </c>
      <c r="L96" s="20" t="n">
        <v>0</v>
      </c>
      <c r="M96" s="20" t="n">
        <v>0</v>
      </c>
      <c r="T96" s="20" t="n">
        <v>0</v>
      </c>
      <c r="U96" s="20" t="n">
        <v>0</v>
      </c>
      <c r="V96" s="20" t="n">
        <v>0</v>
      </c>
      <c r="W96" s="20" t="n">
        <v>0</v>
      </c>
      <c r="X96" s="20" t="n">
        <v>0</v>
      </c>
    </row>
    <row r="97">
      <c r="A97" s="18" t="inlineStr">
        <is>
          <t>외환차익</t>
        </is>
      </c>
      <c r="C97" s="20" t="n">
        <v>202</v>
      </c>
      <c r="D97" s="20" t="n">
        <v>-814</v>
      </c>
      <c r="E97" s="20" t="n">
        <v>1285</v>
      </c>
      <c r="F97" s="20" t="n">
        <v>620</v>
      </c>
      <c r="G97" s="20" t="n">
        <v>-244</v>
      </c>
      <c r="H97" s="20" t="n">
        <v>321</v>
      </c>
      <c r="I97" s="20" t="n">
        <v>-186</v>
      </c>
      <c r="J97" s="20" t="n">
        <v>0</v>
      </c>
      <c r="K97" s="20" t="n">
        <v>0</v>
      </c>
      <c r="L97" s="20" t="n">
        <v>0</v>
      </c>
      <c r="M97" s="20" t="n">
        <v>794</v>
      </c>
      <c r="T97" s="20" t="n">
        <v>620</v>
      </c>
      <c r="U97" s="20" t="n">
        <v>178</v>
      </c>
      <c r="V97" s="20" t="n">
        <v>1285</v>
      </c>
      <c r="W97" s="20" t="n">
        <v>-186</v>
      </c>
      <c r="X97" s="20" t="n">
        <v>794</v>
      </c>
    </row>
    <row r="98">
      <c r="A98" s="18" t="inlineStr">
        <is>
          <t>관계회사 정리이익</t>
        </is>
      </c>
      <c r="T98" s="20" t="n">
        <v>0</v>
      </c>
      <c r="U98" s="20" t="n">
        <v>0</v>
      </c>
    </row>
    <row r="99">
      <c r="A99" s="18" t="inlineStr">
        <is>
          <t>기타</t>
        </is>
      </c>
      <c r="C99" s="20" t="n">
        <v>21</v>
      </c>
      <c r="D99" s="20" t="n">
        <v>18</v>
      </c>
      <c r="E99" s="20" t="n">
        <v>52</v>
      </c>
      <c r="F99" s="20" t="n">
        <v>53</v>
      </c>
      <c r="G99" s="20" t="n">
        <v>18</v>
      </c>
      <c r="H99" s="20" t="n">
        <v>16</v>
      </c>
      <c r="I99" s="20" t="n">
        <v>43</v>
      </c>
      <c r="J99" s="20" t="n">
        <v>29</v>
      </c>
      <c r="K99" s="20" t="n">
        <v>21</v>
      </c>
      <c r="L99" s="20" t="n">
        <v>16</v>
      </c>
      <c r="M99" s="20" t="n">
        <v>68</v>
      </c>
      <c r="N99" s="20" t="n">
        <v>44</v>
      </c>
      <c r="T99" s="20" t="n">
        <v>66</v>
      </c>
      <c r="U99" s="20" t="n">
        <v>52</v>
      </c>
      <c r="V99" s="20" t="n">
        <v>52</v>
      </c>
      <c r="W99" s="20" t="n">
        <v>43</v>
      </c>
      <c r="X99" s="20" t="n">
        <v>68</v>
      </c>
    </row>
    <row r="100">
      <c r="A100" s="18" t="inlineStr">
        <is>
          <t>영업외수익 합계</t>
        </is>
      </c>
      <c r="C100" s="20" t="n">
        <v>560</v>
      </c>
      <c r="D100" s="20" t="n">
        <v>-541</v>
      </c>
      <c r="E100" s="20" t="n">
        <v>1717</v>
      </c>
      <c r="F100" s="20" t="n">
        <v>946</v>
      </c>
      <c r="G100" s="20" t="n">
        <v>76</v>
      </c>
      <c r="H100" s="20" t="n">
        <v>600</v>
      </c>
      <c r="I100" s="20" t="n">
        <v>139</v>
      </c>
      <c r="J100" s="20" t="n">
        <v>305</v>
      </c>
      <c r="K100" s="20" t="n">
        <v>405</v>
      </c>
      <c r="L100" s="20" t="n">
        <v>400</v>
      </c>
      <c r="M100" s="20" t="n">
        <v>1366</v>
      </c>
      <c r="N100" s="20" t="n">
        <v>557</v>
      </c>
      <c r="T100" s="20" t="n">
        <v>704</v>
      </c>
      <c r="U100" s="20" t="n">
        <v>432</v>
      </c>
      <c r="V100" s="20" t="n">
        <v>1717</v>
      </c>
      <c r="W100" s="20" t="n">
        <v>139</v>
      </c>
      <c r="X100" s="20" t="n">
        <v>1366</v>
      </c>
    </row>
    <row r="101">
      <c r="A101" s="18" t="inlineStr">
        <is>
          <t>이자비용</t>
        </is>
      </c>
      <c r="C101" s="20" t="n">
        <v>14</v>
      </c>
      <c r="D101" s="20" t="n">
        <v>15</v>
      </c>
      <c r="E101" s="20" t="n">
        <v>16</v>
      </c>
      <c r="F101" s="20" t="n">
        <v>17</v>
      </c>
      <c r="G101" s="20" t="n">
        <v>20</v>
      </c>
      <c r="H101" s="20" t="n">
        <v>24</v>
      </c>
      <c r="I101" s="20" t="n">
        <v>19</v>
      </c>
      <c r="J101" s="20" t="n">
        <v>22</v>
      </c>
      <c r="K101" s="20" t="n">
        <v>15</v>
      </c>
      <c r="L101" s="20" t="n">
        <v>11</v>
      </c>
      <c r="M101" s="20" t="n">
        <v>10</v>
      </c>
      <c r="N101" s="20" t="n">
        <v>8</v>
      </c>
      <c r="T101" s="20" t="n">
        <v>12</v>
      </c>
      <c r="U101" s="20" t="n">
        <v>14</v>
      </c>
      <c r="V101" s="20" t="n">
        <v>16</v>
      </c>
      <c r="W101" s="20" t="n">
        <v>19</v>
      </c>
      <c r="X101" s="20" t="n">
        <v>10</v>
      </c>
    </row>
    <row r="102">
      <c r="A102" s="18" t="inlineStr">
        <is>
          <t>소송 관련 비용</t>
        </is>
      </c>
      <c r="D102" s="20" t="n">
        <v>0</v>
      </c>
      <c r="E102" s="20" t="n">
        <v>0</v>
      </c>
      <c r="T102" s="20" t="n">
        <v>92</v>
      </c>
      <c r="U102" s="20" t="n">
        <v>0</v>
      </c>
      <c r="V102" s="20" t="n">
        <v>0</v>
      </c>
    </row>
    <row r="103">
      <c r="A103" s="18" t="inlineStr">
        <is>
          <t>자기주식 취득비용</t>
        </is>
      </c>
      <c r="D103" s="20" t="n">
        <v>0</v>
      </c>
      <c r="E103" s="20" t="n">
        <v>0</v>
      </c>
      <c r="T103" s="20" t="n">
        <v>0</v>
      </c>
      <c r="U103" s="20" t="n">
        <v>0</v>
      </c>
      <c r="V103" s="20" t="n">
        <v>0</v>
      </c>
    </row>
    <row r="104">
      <c r="A104" s="18" t="inlineStr">
        <is>
          <t>사회공헌 관련 비용</t>
        </is>
      </c>
      <c r="C104" s="20" t="n">
        <v>0</v>
      </c>
      <c r="D104" s="20" t="n">
        <v>0</v>
      </c>
      <c r="E104" s="20" t="n">
        <v>1029</v>
      </c>
      <c r="F104" s="20" t="n">
        <v>291</v>
      </c>
      <c r="G104" s="20" t="n">
        <v>649</v>
      </c>
      <c r="H104" s="20" t="n">
        <v>113</v>
      </c>
      <c r="I104" s="20" t="n">
        <v>610</v>
      </c>
      <c r="L104" s="20" t="n">
        <v>481</v>
      </c>
      <c r="M104" s="20" t="n">
        <v>139</v>
      </c>
      <c r="V104" s="20" t="n">
        <v>1029</v>
      </c>
      <c r="W104" s="20" t="n">
        <v>610</v>
      </c>
      <c r="X104" s="20" t="n">
        <v>139</v>
      </c>
    </row>
    <row r="105">
      <c r="A105" s="18" t="inlineStr">
        <is>
          <t>외환차손</t>
        </is>
      </c>
      <c r="F105" s="20" t="n">
        <v>0</v>
      </c>
      <c r="G105" s="20" t="n">
        <v>0</v>
      </c>
      <c r="H105" s="20" t="n">
        <v>0</v>
      </c>
      <c r="J105" s="20" t="n">
        <v>733</v>
      </c>
      <c r="K105" s="20" t="n">
        <v>-6</v>
      </c>
      <c r="L105" s="20" t="n">
        <v>-327</v>
      </c>
      <c r="N105" s="20" t="n">
        <v>123</v>
      </c>
    </row>
    <row r="106">
      <c r="A106" s="18" t="inlineStr">
        <is>
          <t>사회공헌 관련 비용</t>
        </is>
      </c>
      <c r="F106" s="20" t="n">
        <v>291</v>
      </c>
      <c r="J106" s="20" t="n">
        <v>1223</v>
      </c>
      <c r="N106" s="20" t="n">
        <v>8</v>
      </c>
    </row>
    <row r="107">
      <c r="A107" s="18" t="inlineStr">
        <is>
          <t>기타</t>
        </is>
      </c>
      <c r="C107" s="20" t="n">
        <v>33</v>
      </c>
      <c r="D107" s="20" t="n">
        <v>19</v>
      </c>
      <c r="E107" s="20" t="n">
        <v>87</v>
      </c>
      <c r="F107" s="20" t="n">
        <v>39</v>
      </c>
      <c r="G107" s="20" t="n">
        <v>26</v>
      </c>
      <c r="H107" s="20" t="n">
        <v>46</v>
      </c>
      <c r="I107" s="20" t="n">
        <v>47</v>
      </c>
      <c r="J107" s="20" t="n">
        <v>39</v>
      </c>
      <c r="K107" s="20" t="n">
        <v>244</v>
      </c>
      <c r="L107" s="20" t="n">
        <v>46</v>
      </c>
      <c r="M107" s="20" t="n">
        <v>179</v>
      </c>
      <c r="N107" s="20" t="n">
        <v>20</v>
      </c>
      <c r="T107" s="20" t="n">
        <v>36</v>
      </c>
      <c r="U107" s="20" t="n">
        <v>93</v>
      </c>
      <c r="V107" s="20" t="n">
        <v>87</v>
      </c>
      <c r="W107" s="20" t="n">
        <v>47</v>
      </c>
      <c r="X107" s="20" t="n">
        <v>179</v>
      </c>
    </row>
    <row r="108">
      <c r="A108" s="18" t="inlineStr">
        <is>
          <t>영업외비용 합계</t>
        </is>
      </c>
      <c r="C108" s="20" t="n">
        <v>48</v>
      </c>
      <c r="D108" s="20" t="n">
        <v>33</v>
      </c>
      <c r="E108" s="20" t="n">
        <v>1132</v>
      </c>
      <c r="F108" s="20" t="n">
        <v>348</v>
      </c>
      <c r="G108" s="20" t="n">
        <v>695</v>
      </c>
      <c r="H108" s="20" t="n">
        <v>183</v>
      </c>
      <c r="I108" s="20" t="n">
        <v>676</v>
      </c>
      <c r="J108" s="20" t="n">
        <v>2019</v>
      </c>
      <c r="K108" s="20" t="n">
        <v>1480</v>
      </c>
      <c r="L108" s="20" t="n">
        <v>211</v>
      </c>
      <c r="M108" s="20" t="n">
        <v>-73</v>
      </c>
      <c r="N108" s="20" t="n">
        <v>160</v>
      </c>
      <c r="T108" s="20" t="n">
        <v>337</v>
      </c>
      <c r="U108" s="20" t="n">
        <v>107</v>
      </c>
      <c r="V108" s="20" t="n">
        <v>1132</v>
      </c>
      <c r="W108" s="20" t="n">
        <v>676</v>
      </c>
      <c r="X108" s="20" t="n">
        <v>-73</v>
      </c>
    </row>
    <row r="109">
      <c r="A109" s="9" t="inlineStr">
        <is>
          <t>경상이익</t>
        </is>
      </c>
      <c r="C109" s="12" t="n">
        <v>10299</v>
      </c>
      <c r="D109" s="12" t="n">
        <v>13296</v>
      </c>
      <c r="E109" s="12" t="n">
        <v>9962</v>
      </c>
      <c r="F109" s="12" t="n">
        <v>13487</v>
      </c>
      <c r="G109" s="12" t="n">
        <v>7219</v>
      </c>
      <c r="H109" s="12" t="n">
        <v>10711</v>
      </c>
      <c r="I109" s="12" t="n">
        <v>34218</v>
      </c>
      <c r="J109" s="12" t="n">
        <v>22883</v>
      </c>
      <c r="K109" s="12" t="n">
        <v>13660</v>
      </c>
      <c r="L109" s="12" t="n">
        <v>15160</v>
      </c>
      <c r="M109" s="12" t="n">
        <v>22431</v>
      </c>
      <c r="N109" s="12" t="n">
        <v>41452</v>
      </c>
      <c r="T109" s="12" t="n">
        <v>8182</v>
      </c>
      <c r="U109" s="12" t="n">
        <v>17805</v>
      </c>
      <c r="V109" s="12" t="n">
        <v>9962</v>
      </c>
      <c r="W109" s="12" t="n">
        <v>34218</v>
      </c>
      <c r="X109" s="12" t="n">
        <v>22431</v>
      </c>
    </row>
    <row r="110">
      <c r="A110" s="18" t="inlineStr">
        <is>
          <t>고정자산 매각이익</t>
        </is>
      </c>
      <c r="C110" s="20" t="n">
        <v>0</v>
      </c>
      <c r="D110" s="20" t="n">
        <v>0</v>
      </c>
      <c r="E110" s="20" t="n">
        <v>0</v>
      </c>
      <c r="F110" s="20" t="n">
        <v>143</v>
      </c>
      <c r="G110" s="20" t="n">
        <v>0</v>
      </c>
      <c r="H110" s="20" t="n">
        <v>0</v>
      </c>
      <c r="I110" s="20" t="n">
        <v>1</v>
      </c>
      <c r="J110" s="20" t="n">
        <v>0</v>
      </c>
      <c r="K110" s="20" t="n">
        <v>0</v>
      </c>
      <c r="L110" s="20" t="n">
        <v>0</v>
      </c>
      <c r="M110" s="20" t="n">
        <v>0</v>
      </c>
      <c r="N110" s="20" t="n">
        <v>0</v>
      </c>
      <c r="U110" s="20" t="n">
        <v>0</v>
      </c>
      <c r="V110" s="20" t="n">
        <v>0</v>
      </c>
      <c r="W110" s="20" t="n">
        <v>1</v>
      </c>
      <c r="X110" s="20" t="n">
        <v>0</v>
      </c>
    </row>
    <row r="111">
      <c r="A111" s="18" t="inlineStr">
        <is>
          <t>투자유가증권 매각이익</t>
        </is>
      </c>
      <c r="E111" s="20" t="n">
        <v>-26</v>
      </c>
      <c r="I111" s="20" t="n">
        <v>0</v>
      </c>
      <c r="U111" s="20" t="n">
        <v>0</v>
      </c>
      <c r="V111" s="20" t="n">
        <v>-26</v>
      </c>
      <c r="W111" s="20" t="n">
        <v>0</v>
      </c>
    </row>
    <row r="112">
      <c r="A112" s="18" t="inlineStr">
        <is>
          <t>특별이익 합계</t>
        </is>
      </c>
      <c r="C112" s="20" t="n">
        <v>0</v>
      </c>
      <c r="D112" s="20" t="n">
        <v>434</v>
      </c>
      <c r="E112" s="20" t="n">
        <v>-25</v>
      </c>
      <c r="F112" s="20" t="n">
        <v>143</v>
      </c>
      <c r="G112" s="20" t="n">
        <v>0</v>
      </c>
      <c r="H112" s="20" t="n">
        <v>0</v>
      </c>
      <c r="I112" s="20" t="n">
        <v>1</v>
      </c>
      <c r="J112" s="20" t="n">
        <v>0</v>
      </c>
      <c r="K112" s="20" t="n">
        <v>0</v>
      </c>
      <c r="L112" s="20" t="n">
        <v>0</v>
      </c>
      <c r="M112" s="20" t="n">
        <v>0</v>
      </c>
      <c r="N112" s="20" t="n">
        <v>0</v>
      </c>
      <c r="U112" s="20" t="n">
        <v>0</v>
      </c>
      <c r="V112" s="20" t="n">
        <v>-25</v>
      </c>
      <c r="W112" s="20" t="n">
        <v>1</v>
      </c>
      <c r="X112" s="20" t="n">
        <v>0</v>
      </c>
    </row>
    <row r="113">
      <c r="A113" s="18" t="inlineStr">
        <is>
          <t>고정자산 제각·매각손실</t>
        </is>
      </c>
      <c r="C113" s="20" t="n">
        <v>0</v>
      </c>
      <c r="D113" s="20" t="n">
        <v>23</v>
      </c>
      <c r="E113" s="20" t="n">
        <v>12</v>
      </c>
      <c r="F113" s="20" t="n">
        <v>1</v>
      </c>
      <c r="G113" s="20" t="n">
        <v>1</v>
      </c>
      <c r="H113" s="20" t="n">
        <v>99</v>
      </c>
      <c r="I113" s="20" t="n">
        <v>27</v>
      </c>
      <c r="J113" s="20" t="n">
        <v>49</v>
      </c>
      <c r="K113" s="20" t="n">
        <v>127</v>
      </c>
      <c r="L113" s="20" t="n">
        <v>11</v>
      </c>
      <c r="M113" s="20" t="n">
        <v>13</v>
      </c>
      <c r="N113" s="20" t="n">
        <v>0</v>
      </c>
      <c r="T113" s="20" t="n">
        <v>2</v>
      </c>
      <c r="U113" s="20" t="n">
        <v>23</v>
      </c>
      <c r="V113" s="20" t="n">
        <v>12</v>
      </c>
      <c r="W113" s="20" t="n">
        <v>27</v>
      </c>
      <c r="X113" s="20" t="n">
        <v>13</v>
      </c>
    </row>
    <row r="114">
      <c r="A114" s="18" t="inlineStr">
        <is>
          <t>사업구조개선비용</t>
        </is>
      </c>
      <c r="E114" s="20" t="n">
        <v>226</v>
      </c>
      <c r="I114" s="20" t="n">
        <v>0</v>
      </c>
      <c r="U114" s="20" t="n">
        <v>0</v>
      </c>
      <c r="V114" s="20" t="n">
        <v>226</v>
      </c>
      <c r="W114" s="20" t="n">
        <v>0</v>
      </c>
    </row>
    <row r="115">
      <c r="A115" s="18" t="inlineStr">
        <is>
          <t>특별손실 합계</t>
        </is>
      </c>
      <c r="C115" s="20" t="n">
        <v>0</v>
      </c>
      <c r="D115" s="20" t="n">
        <v>298</v>
      </c>
      <c r="E115" s="20" t="n">
        <v>251</v>
      </c>
      <c r="F115" s="20" t="n">
        <v>1</v>
      </c>
      <c r="G115" s="20" t="n">
        <v>1</v>
      </c>
      <c r="H115" s="20" t="n">
        <v>99</v>
      </c>
      <c r="I115" s="20" t="n">
        <v>27</v>
      </c>
      <c r="J115" s="20" t="n">
        <v>49</v>
      </c>
      <c r="K115" s="20" t="n">
        <v>127</v>
      </c>
      <c r="L115" s="20" t="n">
        <v>11</v>
      </c>
      <c r="M115" s="20" t="n">
        <v>13</v>
      </c>
      <c r="N115" s="20" t="n">
        <v>0</v>
      </c>
      <c r="T115" s="20" t="n">
        <v>2</v>
      </c>
      <c r="U115" s="20" t="n">
        <v>213</v>
      </c>
      <c r="V115" s="20" t="n">
        <v>251</v>
      </c>
      <c r="W115" s="20" t="n">
        <v>27</v>
      </c>
      <c r="X115" s="20" t="n">
        <v>13</v>
      </c>
    </row>
    <row r="116">
      <c r="A116" s="9" t="inlineStr">
        <is>
          <t>법인세차감전 순이익</t>
        </is>
      </c>
      <c r="C116" s="12" t="n">
        <v>10299</v>
      </c>
      <c r="D116" s="12" t="n">
        <v>13433</v>
      </c>
      <c r="E116" s="12" t="n">
        <v>9684</v>
      </c>
      <c r="F116" s="12" t="n">
        <v>13629</v>
      </c>
      <c r="G116" s="12" t="n">
        <v>7218</v>
      </c>
      <c r="H116" s="12" t="n">
        <v>10612</v>
      </c>
      <c r="I116" s="12" t="n">
        <v>34192</v>
      </c>
      <c r="J116" s="12" t="n">
        <v>22834</v>
      </c>
      <c r="K116" s="12" t="n">
        <v>13533</v>
      </c>
      <c r="L116" s="12" t="n">
        <v>15148</v>
      </c>
      <c r="M116" s="12" t="n">
        <v>22419</v>
      </c>
      <c r="N116" s="12" t="n">
        <v>41452</v>
      </c>
      <c r="T116" s="12" t="n">
        <v>8180</v>
      </c>
      <c r="U116" s="12" t="n">
        <v>17592</v>
      </c>
      <c r="V116" s="12" t="n">
        <v>9684</v>
      </c>
      <c r="W116" s="12" t="n">
        <v>34192</v>
      </c>
      <c r="X116" s="12" t="n">
        <v>22419</v>
      </c>
    </row>
    <row r="117">
      <c r="A117" s="18" t="inlineStr">
        <is>
          <t>법인세·주민세·사업세</t>
        </is>
      </c>
      <c r="C117" s="20" t="n">
        <v>2776</v>
      </c>
      <c r="D117" s="20" t="n">
        <v>3019</v>
      </c>
      <c r="E117" s="20" t="n">
        <v>3967</v>
      </c>
      <c r="T117" s="20" t="n">
        <v>3097</v>
      </c>
      <c r="U117" s="20" t="n">
        <v>6648</v>
      </c>
      <c r="V117" s="20" t="n">
        <v>3967</v>
      </c>
    </row>
    <row r="118">
      <c r="A118" s="18" t="inlineStr">
        <is>
          <t>법인세 조정액</t>
        </is>
      </c>
      <c r="C118" s="20" t="n">
        <v>399</v>
      </c>
      <c r="D118" s="20" t="n">
        <v>1065</v>
      </c>
      <c r="E118" s="20" t="n">
        <v>-3021</v>
      </c>
      <c r="T118" s="20" t="n">
        <v>-764</v>
      </c>
      <c r="U118" s="20" t="n">
        <v>-2182</v>
      </c>
      <c r="V118" s="20" t="n">
        <v>-3021</v>
      </c>
    </row>
    <row r="119">
      <c r="A119" s="18" t="inlineStr">
        <is>
          <t>법인세 등</t>
        </is>
      </c>
      <c r="C119" s="20" t="n">
        <v>3175</v>
      </c>
      <c r="D119" s="20" t="n">
        <v>4083</v>
      </c>
      <c r="E119" s="20" t="n">
        <v>947</v>
      </c>
      <c r="F119" s="20" t="n">
        <v>3653</v>
      </c>
      <c r="G119" s="20" t="n">
        <v>1918</v>
      </c>
      <c r="H119" s="20" t="n">
        <v>2825</v>
      </c>
      <c r="I119" s="20" t="n">
        <v>8809</v>
      </c>
      <c r="J119" s="20" t="n">
        <v>5602</v>
      </c>
      <c r="K119" s="20" t="n">
        <v>3251</v>
      </c>
      <c r="L119" s="20" t="n">
        <v>3777</v>
      </c>
      <c r="M119" s="20" t="n">
        <v>6684</v>
      </c>
      <c r="N119" s="20" t="n">
        <v>12273</v>
      </c>
      <c r="T119" s="20" t="n">
        <v>2334</v>
      </c>
      <c r="U119" s="20" t="n">
        <v>4465</v>
      </c>
      <c r="V119" s="20" t="n">
        <v>947</v>
      </c>
      <c r="W119" s="20" t="n">
        <v>8809</v>
      </c>
      <c r="X119" s="20" t="n">
        <v>6684</v>
      </c>
    </row>
    <row r="120">
      <c r="A120" s="9" t="inlineStr">
        <is>
          <t>순이익</t>
        </is>
      </c>
      <c r="C120" s="12" t="n">
        <v>7124</v>
      </c>
      <c r="D120" s="12" t="n">
        <v>9349</v>
      </c>
      <c r="E120" s="12" t="n">
        <v>8738</v>
      </c>
      <c r="F120" s="12" t="n">
        <v>9975</v>
      </c>
      <c r="G120" s="12" t="n">
        <v>5300</v>
      </c>
      <c r="H120" s="12" t="n">
        <v>7787</v>
      </c>
      <c r="I120" s="12" t="n">
        <v>25383</v>
      </c>
      <c r="J120" s="12" t="n">
        <v>17232</v>
      </c>
      <c r="K120" s="12" t="n">
        <v>10282</v>
      </c>
      <c r="L120" s="12" t="n">
        <v>11371</v>
      </c>
      <c r="M120" s="12" t="n">
        <v>15734</v>
      </c>
      <c r="N120" s="12" t="n">
        <v>29178</v>
      </c>
      <c r="T120" s="12" t="n">
        <v>5845</v>
      </c>
      <c r="U120" s="12" t="n">
        <v>13127</v>
      </c>
      <c r="V120" s="12" t="n">
        <v>8738</v>
      </c>
      <c r="W120" s="12" t="n">
        <v>25383</v>
      </c>
      <c r="X120" s="12" t="n">
        <v>15734</v>
      </c>
    </row>
    <row r="121">
      <c r="A121" s="9" t="inlineStr">
        <is>
          <t>비지배주주 순손익</t>
        </is>
      </c>
      <c r="E121" s="12" t="n">
        <v>0</v>
      </c>
      <c r="F121" s="12" t="n">
        <v>0</v>
      </c>
      <c r="G121" s="12" t="n">
        <v>0</v>
      </c>
      <c r="H121" s="12" t="n">
        <v>-3</v>
      </c>
      <c r="I121" s="12" t="n">
        <v>-4</v>
      </c>
      <c r="J121" s="12" t="n">
        <v>-6</v>
      </c>
      <c r="K121" s="12" t="n">
        <v>6</v>
      </c>
      <c r="L121" s="12" t="n">
        <v>0</v>
      </c>
      <c r="M121" s="12" t="n">
        <v>31</v>
      </c>
      <c r="N121" s="12" t="n">
        <v>19</v>
      </c>
      <c r="V121" s="12" t="n">
        <v>0</v>
      </c>
      <c r="W121" s="12" t="n">
        <v>-4</v>
      </c>
      <c r="X121" s="12" t="n">
        <v>31</v>
      </c>
    </row>
    <row r="122">
      <c r="A122" s="9" t="inlineStr">
        <is>
          <t>지배주주 순이익</t>
        </is>
      </c>
      <c r="C122" s="12" t="n">
        <v>7124</v>
      </c>
      <c r="D122" s="12" t="n">
        <v>9349</v>
      </c>
      <c r="E122" s="12" t="n">
        <v>8738</v>
      </c>
      <c r="F122" s="12" t="n">
        <v>9975</v>
      </c>
      <c r="G122" s="12" t="n">
        <v>5300</v>
      </c>
      <c r="H122" s="12" t="n">
        <v>7791</v>
      </c>
      <c r="I122" s="12" t="n">
        <v>25387</v>
      </c>
      <c r="J122" s="12" t="n">
        <v>17238</v>
      </c>
      <c r="K122" s="12" t="n">
        <v>10276</v>
      </c>
      <c r="L122" s="12" t="n">
        <v>11371</v>
      </c>
      <c r="M122" s="12" t="n">
        <v>15702</v>
      </c>
      <c r="N122" s="12" t="n">
        <v>29159</v>
      </c>
      <c r="T122" s="12" t="n">
        <v>5845</v>
      </c>
      <c r="U122" s="12" t="n">
        <v>13127</v>
      </c>
      <c r="V122" s="12" t="n">
        <v>8738</v>
      </c>
      <c r="W122" s="12" t="n">
        <v>25387</v>
      </c>
      <c r="X122" s="12" t="n">
        <v>15702</v>
      </c>
    </row>
    <row r="124">
      <c r="A124" s="16" t="inlineStr">
        <is>
          <t>포괄손익 · 전 항목</t>
        </is>
      </c>
      <c r="B124" s="42" t="inlineStr">
        <is>
          <t>분기 = 3개월 단독</t>
        </is>
      </c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</row>
    <row r="125">
      <c r="A125" s="5" t="inlineStr">
        <is>
          <t>항목</t>
        </is>
      </c>
      <c r="B125" s="5" t="inlineStr">
        <is>
          <t>참고</t>
        </is>
      </c>
      <c r="C125" s="5" t="inlineStr">
        <is>
          <t>2024.2Q</t>
        </is>
      </c>
      <c r="D125" s="5" t="inlineStr">
        <is>
          <t>2024.3Q</t>
        </is>
      </c>
      <c r="E125" s="5" t="inlineStr">
        <is>
          <t>2024.4Q</t>
        </is>
      </c>
      <c r="F125" s="5" t="inlineStr">
        <is>
          <t>2025.1Q</t>
        </is>
      </c>
      <c r="G125" s="5" t="inlineStr">
        <is>
          <t>2025.2Q</t>
        </is>
      </c>
      <c r="H125" s="5" t="inlineStr">
        <is>
          <t>2025.3Q</t>
        </is>
      </c>
      <c r="I125" s="5" t="inlineStr">
        <is>
          <t>2025.4Q</t>
        </is>
      </c>
      <c r="J125" s="5" t="inlineStr">
        <is>
          <t>2026.1Q</t>
        </is>
      </c>
      <c r="K125" s="5" t="inlineStr">
        <is>
          <t>2026.2Q</t>
        </is>
      </c>
      <c r="L125" s="5" t="inlineStr">
        <is>
          <t>2026.3Q</t>
        </is>
      </c>
      <c r="M125" s="5" t="inlineStr">
        <is>
          <t>2026.4Q</t>
        </is>
      </c>
      <c r="N125" s="5" t="inlineStr">
        <is>
          <t>2027.1Q</t>
        </is>
      </c>
      <c r="O125" s="5" t="inlineStr">
        <is>
          <t>2017</t>
        </is>
      </c>
      <c r="P125" s="5" t="inlineStr">
        <is>
          <t>2018</t>
        </is>
      </c>
      <c r="Q125" s="5" t="inlineStr">
        <is>
          <t>2019</t>
        </is>
      </c>
      <c r="R125" s="5" t="inlineStr">
        <is>
          <t>2020</t>
        </is>
      </c>
      <c r="S125" s="5" t="inlineStr">
        <is>
          <t>2021</t>
        </is>
      </c>
      <c r="T125" s="5" t="inlineStr">
        <is>
          <t>2022</t>
        </is>
      </c>
      <c r="U125" s="5" t="inlineStr">
        <is>
          <t>2023</t>
        </is>
      </c>
      <c r="V125" s="5" t="inlineStr">
        <is>
          <t>2024</t>
        </is>
      </c>
      <c r="W125" s="5" t="inlineStr">
        <is>
          <t>2025</t>
        </is>
      </c>
      <c r="X125" s="5" t="inlineStr">
        <is>
          <t>2026</t>
        </is>
      </c>
      <c r="Y125" s="5" t="inlineStr">
        <is>
          <t>2027(MW)</t>
        </is>
      </c>
      <c r="Z125" s="5" t="inlineStr">
        <is>
          <t>2028(MW)</t>
        </is>
      </c>
      <c r="AA125" s="5" t="inlineStr">
        <is>
          <t>2029(MW)</t>
        </is>
      </c>
      <c r="AB125" s="5" t="inlineStr">
        <is>
          <t>2030(MW)</t>
        </is>
      </c>
      <c r="AC125" s="5" t="inlineStr">
        <is>
          <t>2031(MW)</t>
        </is>
      </c>
    </row>
    <row r="126">
      <c r="A126" s="9" t="inlineStr">
        <is>
          <t>순이익</t>
        </is>
      </c>
      <c r="C126" s="12" t="n">
        <v>7124</v>
      </c>
      <c r="D126" s="12" t="n">
        <v>9349</v>
      </c>
      <c r="E126" s="12" t="n">
        <v>8738</v>
      </c>
      <c r="F126" s="12" t="n">
        <v>9975</v>
      </c>
      <c r="G126" s="12" t="n">
        <v>5300</v>
      </c>
      <c r="H126" s="12" t="n">
        <v>7787</v>
      </c>
      <c r="I126" s="12" t="n">
        <v>25383</v>
      </c>
      <c r="J126" s="12" t="n">
        <v>17232</v>
      </c>
      <c r="K126" s="12" t="n">
        <v>10282</v>
      </c>
      <c r="L126" s="12" t="n">
        <v>11371</v>
      </c>
      <c r="M126" s="12" t="n">
        <v>15734</v>
      </c>
      <c r="N126" s="12" t="n">
        <v>29178</v>
      </c>
      <c r="T126" s="12" t="n">
        <v>5845</v>
      </c>
      <c r="U126" s="12" t="n">
        <v>13127</v>
      </c>
      <c r="V126" s="12" t="n">
        <v>8738</v>
      </c>
      <c r="W126" s="12" t="n">
        <v>25383</v>
      </c>
      <c r="X126" s="12" t="n">
        <v>15734</v>
      </c>
    </row>
    <row r="127">
      <c r="A127" s="18" t="inlineStr">
        <is>
          <t>기타유가증권 평가차액</t>
        </is>
      </c>
      <c r="C127" s="20" t="n">
        <v>30</v>
      </c>
      <c r="D127" s="20" t="n">
        <v>-370</v>
      </c>
      <c r="E127" s="20" t="n">
        <v>42</v>
      </c>
      <c r="F127" s="20" t="n">
        <v>0</v>
      </c>
      <c r="G127" s="20" t="n">
        <v>0</v>
      </c>
      <c r="H127" s="20" t="n">
        <v>0</v>
      </c>
      <c r="I127" s="20" t="n">
        <v>0</v>
      </c>
      <c r="T127" s="20" t="n">
        <v>64</v>
      </c>
      <c r="U127" s="20" t="n">
        <v>-80</v>
      </c>
      <c r="V127" s="20" t="n">
        <v>42</v>
      </c>
      <c r="W127" s="20" t="n">
        <v>0</v>
      </c>
    </row>
    <row r="128">
      <c r="A128" s="18" t="inlineStr">
        <is>
          <t>이연헤지손익</t>
        </is>
      </c>
      <c r="J128" s="20" t="n">
        <v>0</v>
      </c>
      <c r="N128" s="20" t="n">
        <v>-269</v>
      </c>
    </row>
    <row r="129">
      <c r="A129" s="18" t="inlineStr">
        <is>
          <t>해외사업환산조정</t>
        </is>
      </c>
      <c r="C129" s="20" t="n">
        <v>1020</v>
      </c>
      <c r="D129" s="20" t="n">
        <v>-1864</v>
      </c>
      <c r="E129" s="20" t="n">
        <v>2513</v>
      </c>
      <c r="F129" s="20" t="n">
        <v>2729</v>
      </c>
      <c r="G129" s="20" t="n">
        <v>-5038</v>
      </c>
      <c r="H129" s="20" t="n">
        <v>4026</v>
      </c>
      <c r="I129" s="20" t="n">
        <v>-2313</v>
      </c>
      <c r="J129" s="20" t="n">
        <v>-646</v>
      </c>
      <c r="K129" s="20" t="n">
        <v>1263</v>
      </c>
      <c r="L129" s="20" t="n">
        <v>2530</v>
      </c>
      <c r="M129" s="20" t="n">
        <v>736</v>
      </c>
      <c r="N129" s="20" t="n">
        <v>787</v>
      </c>
      <c r="T129" s="20" t="n">
        <v>1631</v>
      </c>
      <c r="U129" s="20" t="n">
        <v>353</v>
      </c>
      <c r="V129" s="20" t="n">
        <v>2513</v>
      </c>
      <c r="W129" s="20" t="n">
        <v>-2313</v>
      </c>
      <c r="X129" s="20" t="n">
        <v>736</v>
      </c>
    </row>
    <row r="130">
      <c r="A130" s="18" t="inlineStr">
        <is>
          <t>퇴직급여 조정액</t>
        </is>
      </c>
      <c r="C130" s="20" t="n">
        <v>11</v>
      </c>
      <c r="D130" s="20" t="n">
        <v>11</v>
      </c>
      <c r="E130" s="20" t="n">
        <v>36</v>
      </c>
      <c r="F130" s="20" t="n">
        <v>-24</v>
      </c>
      <c r="G130" s="20" t="n">
        <v>10</v>
      </c>
      <c r="H130" s="20" t="n">
        <v>11</v>
      </c>
      <c r="I130" s="20" t="n">
        <v>-3</v>
      </c>
      <c r="J130" s="20" t="n">
        <v>10</v>
      </c>
      <c r="K130" s="20" t="n">
        <v>10</v>
      </c>
      <c r="L130" s="20" t="n">
        <v>11</v>
      </c>
      <c r="M130" s="20" t="n">
        <v>498</v>
      </c>
      <c r="N130" s="20" t="n">
        <v>-1</v>
      </c>
      <c r="T130" s="20" t="n">
        <v>-83</v>
      </c>
      <c r="U130" s="20" t="n">
        <v>4</v>
      </c>
      <c r="V130" s="20" t="n">
        <v>36</v>
      </c>
      <c r="W130" s="20" t="n">
        <v>-3</v>
      </c>
      <c r="X130" s="20" t="n">
        <v>498</v>
      </c>
    </row>
    <row r="131">
      <c r="A131" s="18" t="inlineStr">
        <is>
          <t>기타포괄손익 합계</t>
        </is>
      </c>
      <c r="C131" s="20" t="n">
        <v>1061</v>
      </c>
      <c r="D131" s="20" t="n">
        <v>-2224</v>
      </c>
      <c r="E131" s="20" t="n">
        <v>2591</v>
      </c>
      <c r="F131" s="20" t="n">
        <v>2705</v>
      </c>
      <c r="G131" s="20" t="n">
        <v>-5028</v>
      </c>
      <c r="H131" s="20" t="n">
        <v>4036</v>
      </c>
      <c r="I131" s="20" t="n">
        <v>-2315</v>
      </c>
      <c r="J131" s="20" t="n">
        <v>-635</v>
      </c>
      <c r="K131" s="20" t="n">
        <v>1273</v>
      </c>
      <c r="L131" s="20" t="n">
        <v>2122</v>
      </c>
      <c r="M131" s="20" t="n">
        <v>1652</v>
      </c>
      <c r="N131" s="20" t="n">
        <v>516</v>
      </c>
      <c r="T131" s="20" t="n">
        <v>1613</v>
      </c>
      <c r="U131" s="20" t="n">
        <v>285</v>
      </c>
      <c r="V131" s="20" t="n">
        <v>2591</v>
      </c>
      <c r="W131" s="20" t="n">
        <v>-2315</v>
      </c>
      <c r="X131" s="20" t="n">
        <v>1652</v>
      </c>
    </row>
    <row r="132">
      <c r="A132" s="9" t="inlineStr">
        <is>
          <t>포괄이익</t>
        </is>
      </c>
      <c r="C132" s="12" t="n">
        <v>8186</v>
      </c>
      <c r="D132" s="12" t="n">
        <v>7124</v>
      </c>
      <c r="E132" s="12" t="n">
        <v>11330</v>
      </c>
      <c r="F132" s="12" t="n">
        <v>12680</v>
      </c>
      <c r="G132" s="12" t="n">
        <v>272</v>
      </c>
      <c r="H132" s="12" t="n">
        <v>11824</v>
      </c>
      <c r="I132" s="12" t="n">
        <v>23067</v>
      </c>
      <c r="J132" s="12" t="n">
        <v>16596</v>
      </c>
      <c r="K132" s="12" t="n">
        <v>11556</v>
      </c>
      <c r="L132" s="12" t="n">
        <v>13494</v>
      </c>
      <c r="M132" s="12" t="n">
        <v>17386</v>
      </c>
      <c r="N132" s="12" t="n">
        <v>29694</v>
      </c>
      <c r="T132" s="12" t="n">
        <v>7459</v>
      </c>
      <c r="U132" s="12" t="n">
        <v>13412</v>
      </c>
      <c r="V132" s="12" t="n">
        <v>11330</v>
      </c>
      <c r="W132" s="12" t="n">
        <v>23067</v>
      </c>
      <c r="X132" s="12" t="n">
        <v>17386</v>
      </c>
    </row>
    <row r="133">
      <c r="A133" s="9" t="inlineStr">
        <is>
          <t>지배주주 포괄이익</t>
        </is>
      </c>
      <c r="C133" s="12" t="n">
        <v>8186</v>
      </c>
      <c r="D133" s="12" t="n">
        <v>7124</v>
      </c>
      <c r="E133" s="12" t="n">
        <v>11330</v>
      </c>
      <c r="F133" s="12" t="n">
        <v>12680</v>
      </c>
      <c r="G133" s="12" t="n">
        <v>272</v>
      </c>
      <c r="H133" s="12" t="n">
        <v>11828</v>
      </c>
      <c r="I133" s="12" t="n">
        <v>23073</v>
      </c>
      <c r="J133" s="12" t="n">
        <v>16596</v>
      </c>
      <c r="K133" s="12" t="n">
        <v>11556</v>
      </c>
      <c r="L133" s="12" t="n">
        <v>13494</v>
      </c>
      <c r="M133" s="12" t="n">
        <v>17350</v>
      </c>
      <c r="N133" s="12" t="n">
        <v>29673</v>
      </c>
      <c r="T133" s="12" t="n">
        <v>7459</v>
      </c>
      <c r="U133" s="12" t="n">
        <v>13412</v>
      </c>
      <c r="V133" s="12" t="n">
        <v>11330</v>
      </c>
      <c r="W133" s="12" t="n">
        <v>23073</v>
      </c>
      <c r="X133" s="12" t="n">
        <v>17350</v>
      </c>
    </row>
    <row r="134">
      <c r="A134" s="9" t="inlineStr">
        <is>
          <t>비지배주주 포괄이익</t>
        </is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-4</v>
      </c>
      <c r="I134" s="12" t="n">
        <v>-5</v>
      </c>
      <c r="J134" s="12" t="n">
        <v>0</v>
      </c>
      <c r="K134" s="12" t="n">
        <v>0</v>
      </c>
      <c r="L134" s="12" t="n">
        <v>0</v>
      </c>
      <c r="M134" s="12" t="n">
        <v>36</v>
      </c>
      <c r="N134" s="12" t="n">
        <v>21</v>
      </c>
      <c r="T134" s="12" t="n">
        <v>0</v>
      </c>
      <c r="U134" s="12" t="n">
        <v>0</v>
      </c>
      <c r="V134" s="12" t="n">
        <v>0</v>
      </c>
      <c r="W134" s="12" t="n">
        <v>-5</v>
      </c>
      <c r="X134" s="12" t="n">
        <v>36</v>
      </c>
    </row>
    <row r="136">
      <c r="A136" s="16" t="inlineStr">
        <is>
          <t>부문 · 전 항목</t>
        </is>
      </c>
      <c r="B136" s="42" t="inlineStr">
        <is>
          <t>부문 · 항목</t>
        </is>
      </c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</row>
    <row r="137">
      <c r="A137" s="5" t="inlineStr">
        <is>
          <t>항목</t>
        </is>
      </c>
      <c r="B137" s="5" t="inlineStr">
        <is>
          <t>참고</t>
        </is>
      </c>
      <c r="C137" s="5" t="inlineStr">
        <is>
          <t>2024.2Q</t>
        </is>
      </c>
      <c r="D137" s="5" t="inlineStr">
        <is>
          <t>2024.3Q</t>
        </is>
      </c>
      <c r="E137" s="5" t="inlineStr">
        <is>
          <t>2024.4Q</t>
        </is>
      </c>
      <c r="F137" s="5" t="inlineStr">
        <is>
          <t>2025.1Q</t>
        </is>
      </c>
      <c r="G137" s="5" t="inlineStr">
        <is>
          <t>2025.2Q</t>
        </is>
      </c>
      <c r="H137" s="5" t="inlineStr">
        <is>
          <t>2025.3Q</t>
        </is>
      </c>
      <c r="I137" s="5" t="inlineStr">
        <is>
          <t>2025.4Q</t>
        </is>
      </c>
      <c r="J137" s="5" t="inlineStr">
        <is>
          <t>2026.1Q</t>
        </is>
      </c>
      <c r="K137" s="5" t="inlineStr">
        <is>
          <t>2026.2Q</t>
        </is>
      </c>
      <c r="L137" s="5" t="inlineStr">
        <is>
          <t>2026.3Q</t>
        </is>
      </c>
      <c r="M137" s="5" t="inlineStr">
        <is>
          <t>2026.4Q</t>
        </is>
      </c>
      <c r="N137" s="5" t="inlineStr">
        <is>
          <t>2027.1Q</t>
        </is>
      </c>
      <c r="O137" s="5" t="inlineStr">
        <is>
          <t>2017</t>
        </is>
      </c>
      <c r="P137" s="5" t="inlineStr">
        <is>
          <t>2018</t>
        </is>
      </c>
      <c r="Q137" s="5" t="inlineStr">
        <is>
          <t>2019</t>
        </is>
      </c>
      <c r="R137" s="5" t="inlineStr">
        <is>
          <t>2020</t>
        </is>
      </c>
      <c r="S137" s="5" t="inlineStr">
        <is>
          <t>2021</t>
        </is>
      </c>
      <c r="T137" s="5" t="inlineStr">
        <is>
          <t>2022</t>
        </is>
      </c>
      <c r="U137" s="5" t="inlineStr">
        <is>
          <t>2023</t>
        </is>
      </c>
      <c r="V137" s="5" t="inlineStr">
        <is>
          <t>2024</t>
        </is>
      </c>
      <c r="W137" s="5" t="inlineStr">
        <is>
          <t>2025</t>
        </is>
      </c>
      <c r="X137" s="5" t="inlineStr">
        <is>
          <t>2026</t>
        </is>
      </c>
      <c r="Y137" s="5" t="inlineStr">
        <is>
          <t>2027(MW)</t>
        </is>
      </c>
      <c r="Z137" s="5" t="inlineStr">
        <is>
          <t>2028(MW)</t>
        </is>
      </c>
      <c r="AA137" s="5" t="inlineStr">
        <is>
          <t>2029(MW)</t>
        </is>
      </c>
      <c r="AB137" s="5" t="inlineStr">
        <is>
          <t>2030(MW)</t>
        </is>
      </c>
      <c r="AC137" s="5" t="inlineStr">
        <is>
          <t>2031(MW)</t>
        </is>
      </c>
    </row>
    <row r="138">
      <c r="A138" s="18" t="inlineStr">
        <is>
          <t>DegitalContentsReportableSegmentMember · 외부 고객 매출</t>
        </is>
      </c>
      <c r="C138" s="20" t="n">
        <v>23400</v>
      </c>
      <c r="D138" s="20" t="n">
        <v>20161</v>
      </c>
      <c r="E138" s="20" t="n">
        <v>38405</v>
      </c>
      <c r="F138" s="20" t="n">
        <v>21416</v>
      </c>
      <c r="G138" s="20" t="n">
        <v>18359</v>
      </c>
      <c r="H138" s="20" t="n">
        <v>18759</v>
      </c>
      <c r="I138" s="20" t="n">
        <v>66594</v>
      </c>
      <c r="J138" s="20" t="n">
        <v>29857</v>
      </c>
      <c r="K138" s="20" t="n">
        <v>19995</v>
      </c>
      <c r="L138" s="20" t="n">
        <v>23559</v>
      </c>
      <c r="M138" s="20" t="n">
        <v>70866</v>
      </c>
      <c r="N138" s="20" t="n">
        <v>54648</v>
      </c>
      <c r="V138" s="20" t="n">
        <v>38405</v>
      </c>
      <c r="W138" s="20" t="n">
        <v>66594</v>
      </c>
      <c r="X138" s="20" t="n">
        <v>70866</v>
      </c>
    </row>
    <row r="139">
      <c r="A139" s="18" t="inlineStr">
        <is>
          <t>ArcadeOperationsReportableSegmentMember · 외부 고객 매출</t>
        </is>
      </c>
      <c r="C139" s="20" t="n">
        <v>5052</v>
      </c>
      <c r="D139" s="20" t="n">
        <v>4678</v>
      </c>
      <c r="E139" s="20" t="n">
        <v>5496</v>
      </c>
      <c r="F139" s="20" t="n">
        <v>4864</v>
      </c>
      <c r="G139" s="20" t="n">
        <v>6127</v>
      </c>
      <c r="H139" s="20" t="n">
        <v>5561</v>
      </c>
      <c r="I139" s="20" t="n">
        <v>6198</v>
      </c>
      <c r="J139" s="20" t="n">
        <v>5606</v>
      </c>
      <c r="K139" s="20" t="n">
        <v>6844</v>
      </c>
      <c r="L139" s="20" t="n">
        <v>6131</v>
      </c>
      <c r="M139" s="20" t="n">
        <v>7075</v>
      </c>
      <c r="N139" s="20" t="n">
        <v>6762</v>
      </c>
      <c r="V139" s="20" t="n">
        <v>5496</v>
      </c>
      <c r="W139" s="20" t="n">
        <v>6198</v>
      </c>
      <c r="X139" s="20" t="n">
        <v>7075</v>
      </c>
    </row>
    <row r="140">
      <c r="A140" s="18" t="inlineStr">
        <is>
          <t>AmusementEquipmentsReportableSegmentMember · 외부 고객 매출</t>
        </is>
      </c>
      <c r="C140" s="20" t="n">
        <v>1700</v>
      </c>
      <c r="D140" s="20" t="n">
        <v>5422</v>
      </c>
      <c r="E140" s="20" t="n">
        <v>1000</v>
      </c>
      <c r="F140" s="20" t="n">
        <v>2220</v>
      </c>
      <c r="G140" s="20" t="n">
        <v>956</v>
      </c>
      <c r="H140" s="20" t="n">
        <v>7066</v>
      </c>
      <c r="I140" s="20" t="n">
        <v>5371</v>
      </c>
      <c r="J140" s="20" t="n">
        <v>7812</v>
      </c>
      <c r="K140" s="20" t="n">
        <v>7379</v>
      </c>
      <c r="L140" s="20" t="n">
        <v>2575</v>
      </c>
      <c r="M140" s="20" t="n">
        <v>14</v>
      </c>
      <c r="N140" s="20" t="n">
        <v>7097</v>
      </c>
      <c r="V140" s="20" t="n">
        <v>1000</v>
      </c>
      <c r="W140" s="20" t="n">
        <v>5371</v>
      </c>
      <c r="X140" s="20" t="n">
        <v>14</v>
      </c>
    </row>
    <row r="141">
      <c r="A141" s="18" t="inlineStr">
        <is>
          <t>보고부문 합계 · 외부 고객 매출</t>
        </is>
      </c>
      <c r="C141" s="20" t="n">
        <v>30152</v>
      </c>
      <c r="D141" s="20" t="n">
        <v>30261</v>
      </c>
      <c r="E141" s="20" t="n">
        <v>44902</v>
      </c>
      <c r="F141" s="20" t="n">
        <v>28500</v>
      </c>
      <c r="G141" s="20" t="n">
        <v>25443</v>
      </c>
      <c r="H141" s="20" t="n">
        <v>31386</v>
      </c>
      <c r="I141" s="20" t="n">
        <v>78163</v>
      </c>
      <c r="J141" s="20" t="n">
        <v>43276</v>
      </c>
      <c r="K141" s="20" t="n">
        <v>34218</v>
      </c>
      <c r="L141" s="20" t="n">
        <v>32265</v>
      </c>
      <c r="M141" s="20" t="n">
        <v>77955</v>
      </c>
      <c r="N141" s="20" t="n">
        <v>68508</v>
      </c>
      <c r="V141" s="20" t="n">
        <v>44902</v>
      </c>
      <c r="W141" s="20" t="n">
        <v>78163</v>
      </c>
      <c r="X141" s="20" t="n">
        <v>77955</v>
      </c>
    </row>
    <row r="142">
      <c r="A142" s="18" t="inlineStr">
        <is>
          <t>기타 · 외부 고객 매출</t>
        </is>
      </c>
      <c r="C142" s="20" t="n">
        <v>923</v>
      </c>
      <c r="D142" s="20" t="n">
        <v>984</v>
      </c>
      <c r="E142" s="20" t="n">
        <v>1329</v>
      </c>
      <c r="F142" s="20" t="n">
        <v>1097</v>
      </c>
      <c r="G142" s="20" t="n">
        <v>1362</v>
      </c>
      <c r="H142" s="20" t="n">
        <v>1065</v>
      </c>
      <c r="I142" s="20" t="n">
        <v>2587</v>
      </c>
      <c r="J142" s="20" t="n">
        <v>2226</v>
      </c>
      <c r="K142" s="20" t="n">
        <v>1431</v>
      </c>
      <c r="L142" s="20" t="n">
        <v>1899</v>
      </c>
      <c r="M142" s="20" t="n">
        <v>2094</v>
      </c>
      <c r="N142" s="20" t="n">
        <v>1902</v>
      </c>
      <c r="V142" s="20" t="n">
        <v>1329</v>
      </c>
      <c r="W142" s="20" t="n">
        <v>2587</v>
      </c>
      <c r="X142" s="20" t="n">
        <v>2094</v>
      </c>
    </row>
    <row r="143">
      <c r="A143" s="18" t="inlineStr">
        <is>
          <t>합계 · 외부 고객 매출</t>
        </is>
      </c>
      <c r="C143" s="20" t="n">
        <v>31076</v>
      </c>
      <c r="D143" s="20" t="n">
        <v>31245</v>
      </c>
      <c r="E143" s="20" t="n">
        <v>46231</v>
      </c>
      <c r="F143" s="20" t="n">
        <v>29597</v>
      </c>
      <c r="G143" s="20" t="n">
        <v>26805</v>
      </c>
      <c r="H143" s="20" t="n">
        <v>32451</v>
      </c>
      <c r="I143" s="20" t="n">
        <v>80751</v>
      </c>
      <c r="J143" s="20" t="n">
        <v>45502</v>
      </c>
      <c r="K143" s="20" t="n">
        <v>35650</v>
      </c>
      <c r="L143" s="20" t="n">
        <v>34163</v>
      </c>
      <c r="M143" s="20" t="n">
        <v>80050</v>
      </c>
      <c r="N143" s="20" t="n">
        <v>70410</v>
      </c>
      <c r="V143" s="20" t="n">
        <v>46231</v>
      </c>
      <c r="W143" s="20" t="n">
        <v>80751</v>
      </c>
      <c r="X143" s="20" t="n">
        <v>80050</v>
      </c>
    </row>
    <row r="144">
      <c r="A144" s="18" t="inlineStr">
        <is>
          <t>조정액 · 외부 고객 매출</t>
        </is>
      </c>
      <c r="C144" s="20" t="n">
        <v>0</v>
      </c>
      <c r="D144" s="20" t="n">
        <v>0</v>
      </c>
      <c r="E144" s="20" t="n">
        <v>0</v>
      </c>
      <c r="F144" s="20" t="n">
        <v>0</v>
      </c>
      <c r="G144" s="20" t="n">
        <v>0</v>
      </c>
      <c r="H144" s="20" t="n">
        <v>0</v>
      </c>
      <c r="I144" s="20" t="n">
        <v>0</v>
      </c>
      <c r="J144" s="20" t="n">
        <v>0</v>
      </c>
      <c r="K144" s="20" t="n">
        <v>0</v>
      </c>
      <c r="L144" s="20" t="n">
        <v>0</v>
      </c>
      <c r="M144" s="20" t="n">
        <v>0</v>
      </c>
      <c r="N144" s="20" t="n">
        <v>0</v>
      </c>
      <c r="V144" s="20" t="n">
        <v>0</v>
      </c>
      <c r="W144" s="20" t="n">
        <v>0</v>
      </c>
      <c r="X144" s="20" t="n">
        <v>0</v>
      </c>
    </row>
    <row r="145">
      <c r="A145" s="9" t="inlineStr">
        <is>
          <t>외부 고객 매출</t>
        </is>
      </c>
      <c r="C145" s="12" t="n">
        <v>31076</v>
      </c>
      <c r="D145" s="12" t="n">
        <v>31245</v>
      </c>
      <c r="E145" s="12" t="n">
        <v>46231</v>
      </c>
      <c r="F145" s="12" t="n">
        <v>29597</v>
      </c>
      <c r="G145" s="12" t="n">
        <v>26805</v>
      </c>
      <c r="H145" s="12" t="n">
        <v>32451</v>
      </c>
      <c r="I145" s="12" t="n">
        <v>80751</v>
      </c>
      <c r="V145" s="12" t="n">
        <v>46231</v>
      </c>
      <c r="W145" s="12" t="n">
        <v>80751</v>
      </c>
    </row>
    <row r="146">
      <c r="A146" s="18" t="inlineStr">
        <is>
          <t>EntityTotalMember · 외부 고객 매출</t>
        </is>
      </c>
      <c r="F146" s="20" t="n">
        <v>29597</v>
      </c>
      <c r="J146" s="20" t="n">
        <v>45502</v>
      </c>
      <c r="N146" s="20" t="n">
        <v>70410</v>
      </c>
    </row>
    <row r="147">
      <c r="A147" s="18" t="inlineStr">
        <is>
          <t>DegitalContentsReportableSegmentMember · 부문 간 내부매출·대체</t>
        </is>
      </c>
      <c r="C147" s="20" t="n">
        <v>0</v>
      </c>
      <c r="D147" s="20" t="n">
        <v>0</v>
      </c>
      <c r="E147" s="20" t="n">
        <v>0</v>
      </c>
      <c r="F147" s="20" t="n">
        <v>0</v>
      </c>
      <c r="G147" s="20" t="n">
        <v>0</v>
      </c>
      <c r="H147" s="20" t="n">
        <v>0</v>
      </c>
      <c r="I147" s="20" t="n">
        <v>0</v>
      </c>
      <c r="J147" s="20" t="n">
        <v>0</v>
      </c>
      <c r="K147" s="20" t="n">
        <v>0</v>
      </c>
      <c r="L147" s="20" t="n">
        <v>0</v>
      </c>
      <c r="M147" s="20" t="n">
        <v>0</v>
      </c>
      <c r="N147" s="20" t="n">
        <v>0</v>
      </c>
      <c r="V147" s="20" t="n">
        <v>0</v>
      </c>
      <c r="W147" s="20" t="n">
        <v>0</v>
      </c>
      <c r="X147" s="20" t="n">
        <v>0</v>
      </c>
    </row>
    <row r="148">
      <c r="A148" s="18" t="inlineStr">
        <is>
          <t>ArcadeOperationsReportableSegmentMember · 부문 간 내부매출·대체</t>
        </is>
      </c>
      <c r="C148" s="20" t="n">
        <v>0</v>
      </c>
      <c r="D148" s="20" t="n">
        <v>0</v>
      </c>
      <c r="E148" s="20" t="n">
        <v>0</v>
      </c>
      <c r="F148" s="20" t="n">
        <v>0</v>
      </c>
      <c r="G148" s="20" t="n">
        <v>0</v>
      </c>
      <c r="H148" s="20" t="n">
        <v>0</v>
      </c>
      <c r="I148" s="20" t="n">
        <v>0</v>
      </c>
      <c r="J148" s="20" t="n">
        <v>0</v>
      </c>
      <c r="K148" s="20" t="n">
        <v>0</v>
      </c>
      <c r="L148" s="20" t="n">
        <v>0</v>
      </c>
      <c r="M148" s="20" t="n">
        <v>0</v>
      </c>
      <c r="N148" s="20" t="n">
        <v>0</v>
      </c>
      <c r="V148" s="20" t="n">
        <v>0</v>
      </c>
      <c r="W148" s="20" t="n">
        <v>0</v>
      </c>
      <c r="X148" s="20" t="n">
        <v>0</v>
      </c>
    </row>
    <row r="149">
      <c r="A149" s="18" t="inlineStr">
        <is>
          <t>AmusementEquipmentsReportableSegmentMember · 부문 간 내부매출·대체</t>
        </is>
      </c>
      <c r="C149" s="20" t="n">
        <v>0</v>
      </c>
      <c r="D149" s="20" t="n">
        <v>0</v>
      </c>
      <c r="E149" s="20" t="n">
        <v>0</v>
      </c>
      <c r="F149" s="20" t="n">
        <v>0</v>
      </c>
      <c r="G149" s="20" t="n">
        <v>0</v>
      </c>
      <c r="H149" s="20" t="n">
        <v>0</v>
      </c>
      <c r="I149" s="20" t="n">
        <v>0</v>
      </c>
      <c r="J149" s="20" t="n">
        <v>0</v>
      </c>
      <c r="K149" s="20" t="n">
        <v>0</v>
      </c>
      <c r="L149" s="20" t="n">
        <v>0</v>
      </c>
      <c r="M149" s="20" t="n">
        <v>0</v>
      </c>
      <c r="N149" s="20" t="n">
        <v>0</v>
      </c>
      <c r="V149" s="20" t="n">
        <v>0</v>
      </c>
      <c r="W149" s="20" t="n">
        <v>0</v>
      </c>
      <c r="X149" s="20" t="n">
        <v>0</v>
      </c>
    </row>
    <row r="150">
      <c r="A150" s="18" t="inlineStr">
        <is>
          <t>보고부문 합계 · 부문 간 내부매출·대체</t>
        </is>
      </c>
      <c r="C150" s="20" t="n">
        <v>0</v>
      </c>
      <c r="D150" s="20" t="n">
        <v>0</v>
      </c>
      <c r="E150" s="20" t="n">
        <v>0</v>
      </c>
      <c r="F150" s="20" t="n">
        <v>0</v>
      </c>
      <c r="G150" s="20" t="n">
        <v>0</v>
      </c>
      <c r="H150" s="20" t="n">
        <v>0</v>
      </c>
      <c r="I150" s="20" t="n">
        <v>0</v>
      </c>
      <c r="J150" s="20" t="n">
        <v>0</v>
      </c>
      <c r="K150" s="20" t="n">
        <v>0</v>
      </c>
      <c r="L150" s="20" t="n">
        <v>0</v>
      </c>
      <c r="M150" s="20" t="n">
        <v>0</v>
      </c>
      <c r="N150" s="20" t="n">
        <v>0</v>
      </c>
      <c r="V150" s="20" t="n">
        <v>0</v>
      </c>
      <c r="W150" s="20" t="n">
        <v>0</v>
      </c>
      <c r="X150" s="20" t="n">
        <v>0</v>
      </c>
    </row>
    <row r="151">
      <c r="A151" s="18" t="inlineStr">
        <is>
          <t>기타 · 부문 간 내부매출·대체</t>
        </is>
      </c>
      <c r="C151" s="20" t="n">
        <v>0</v>
      </c>
      <c r="D151" s="20" t="n">
        <v>0</v>
      </c>
      <c r="E151" s="20" t="n">
        <v>0</v>
      </c>
      <c r="F151" s="20" t="n">
        <v>0</v>
      </c>
      <c r="G151" s="20" t="n">
        <v>0</v>
      </c>
      <c r="H151" s="20" t="n">
        <v>0</v>
      </c>
      <c r="I151" s="20" t="n">
        <v>0</v>
      </c>
      <c r="J151" s="20" t="n">
        <v>0</v>
      </c>
      <c r="K151" s="20" t="n">
        <v>0</v>
      </c>
      <c r="L151" s="20" t="n">
        <v>0</v>
      </c>
      <c r="M151" s="20" t="n">
        <v>0</v>
      </c>
      <c r="N151" s="20" t="n">
        <v>0</v>
      </c>
      <c r="V151" s="20" t="n">
        <v>0</v>
      </c>
      <c r="W151" s="20" t="n">
        <v>0</v>
      </c>
      <c r="X151" s="20" t="n">
        <v>0</v>
      </c>
    </row>
    <row r="152">
      <c r="A152" s="18" t="inlineStr">
        <is>
          <t>합계 · 부문 간 내부매출·대체</t>
        </is>
      </c>
      <c r="C152" s="20" t="n">
        <v>0</v>
      </c>
      <c r="D152" s="20" t="n">
        <v>0</v>
      </c>
      <c r="E152" s="20" t="n">
        <v>0</v>
      </c>
      <c r="F152" s="20" t="n">
        <v>0</v>
      </c>
      <c r="G152" s="20" t="n">
        <v>0</v>
      </c>
      <c r="H152" s="20" t="n">
        <v>0</v>
      </c>
      <c r="I152" s="20" t="n">
        <v>0</v>
      </c>
      <c r="J152" s="20" t="n">
        <v>0</v>
      </c>
      <c r="K152" s="20" t="n">
        <v>0</v>
      </c>
      <c r="L152" s="20" t="n">
        <v>0</v>
      </c>
      <c r="M152" s="20" t="n">
        <v>0</v>
      </c>
      <c r="N152" s="20" t="n">
        <v>0</v>
      </c>
      <c r="V152" s="20" t="n">
        <v>0</v>
      </c>
      <c r="W152" s="20" t="n">
        <v>0</v>
      </c>
      <c r="X152" s="20" t="n">
        <v>0</v>
      </c>
    </row>
    <row r="153">
      <c r="A153" s="18" t="inlineStr">
        <is>
          <t>조정액 · 부문 간 내부매출·대체</t>
        </is>
      </c>
      <c r="C153" s="20" t="n">
        <v>0</v>
      </c>
      <c r="D153" s="20" t="n">
        <v>0</v>
      </c>
      <c r="E153" s="20" t="n">
        <v>0</v>
      </c>
      <c r="F153" s="20" t="n">
        <v>0</v>
      </c>
      <c r="G153" s="20" t="n">
        <v>0</v>
      </c>
      <c r="H153" s="20" t="n">
        <v>0</v>
      </c>
      <c r="I153" s="20" t="n">
        <v>0</v>
      </c>
      <c r="J153" s="20" t="n">
        <v>0</v>
      </c>
      <c r="K153" s="20" t="n">
        <v>0</v>
      </c>
      <c r="L153" s="20" t="n">
        <v>0</v>
      </c>
      <c r="M153" s="20" t="n">
        <v>0</v>
      </c>
      <c r="N153" s="20" t="n">
        <v>0</v>
      </c>
      <c r="V153" s="20" t="n">
        <v>0</v>
      </c>
      <c r="W153" s="20" t="n">
        <v>0</v>
      </c>
      <c r="X153" s="20" t="n">
        <v>0</v>
      </c>
    </row>
    <row r="154">
      <c r="A154" s="18" t="inlineStr">
        <is>
          <t>부문 간 내부매출·대체</t>
        </is>
      </c>
      <c r="C154" s="20" t="n">
        <v>0</v>
      </c>
      <c r="D154" s="20" t="n">
        <v>0</v>
      </c>
      <c r="E154" s="20" t="n">
        <v>0</v>
      </c>
      <c r="F154" s="20" t="n">
        <v>0</v>
      </c>
      <c r="G154" s="20" t="n">
        <v>0</v>
      </c>
      <c r="H154" s="20" t="n">
        <v>0</v>
      </c>
      <c r="I154" s="20" t="n">
        <v>0</v>
      </c>
      <c r="V154" s="20" t="n">
        <v>0</v>
      </c>
      <c r="W154" s="20" t="n">
        <v>0</v>
      </c>
    </row>
    <row r="155">
      <c r="A155" s="18" t="inlineStr">
        <is>
          <t>EntityTotalMember · 부문 간 내부매출·대체</t>
        </is>
      </c>
      <c r="F155" s="20" t="n">
        <v>0</v>
      </c>
      <c r="J155" s="20" t="n">
        <v>0</v>
      </c>
      <c r="N155" s="20" t="n">
        <v>0</v>
      </c>
    </row>
    <row r="156">
      <c r="A156" s="18" t="inlineStr">
        <is>
          <t>DegitalContentsReportableSegmentMember · 계</t>
        </is>
      </c>
      <c r="C156" s="20" t="n">
        <v>23400</v>
      </c>
      <c r="D156" s="20" t="n">
        <v>20161</v>
      </c>
      <c r="E156" s="20" t="n">
        <v>38405</v>
      </c>
      <c r="F156" s="20" t="n">
        <v>21416</v>
      </c>
      <c r="G156" s="20" t="n">
        <v>18359</v>
      </c>
      <c r="H156" s="20" t="n">
        <v>18759</v>
      </c>
      <c r="I156" s="20" t="n">
        <v>66594</v>
      </c>
      <c r="J156" s="20" t="n">
        <v>29857</v>
      </c>
      <c r="K156" s="20" t="n">
        <v>19995</v>
      </c>
      <c r="L156" s="20" t="n">
        <v>23559</v>
      </c>
      <c r="M156" s="20" t="n">
        <v>70866</v>
      </c>
      <c r="N156" s="20" t="n">
        <v>54648</v>
      </c>
      <c r="V156" s="20" t="n">
        <v>38405</v>
      </c>
      <c r="W156" s="20" t="n">
        <v>66594</v>
      </c>
      <c r="X156" s="20" t="n">
        <v>70866</v>
      </c>
    </row>
    <row r="157">
      <c r="A157" s="18" t="inlineStr">
        <is>
          <t>ArcadeOperationsReportableSegmentMember · 계</t>
        </is>
      </c>
      <c r="C157" s="20" t="n">
        <v>5052</v>
      </c>
      <c r="D157" s="20" t="n">
        <v>4678</v>
      </c>
      <c r="E157" s="20" t="n">
        <v>5496</v>
      </c>
      <c r="F157" s="20" t="n">
        <v>4864</v>
      </c>
      <c r="G157" s="20" t="n">
        <v>6127</v>
      </c>
      <c r="H157" s="20" t="n">
        <v>5561</v>
      </c>
      <c r="I157" s="20" t="n">
        <v>6198</v>
      </c>
      <c r="J157" s="20" t="n">
        <v>5606</v>
      </c>
      <c r="K157" s="20" t="n">
        <v>6844</v>
      </c>
      <c r="L157" s="20" t="n">
        <v>6131</v>
      </c>
      <c r="M157" s="20" t="n">
        <v>7075</v>
      </c>
      <c r="N157" s="20" t="n">
        <v>6762</v>
      </c>
      <c r="V157" s="20" t="n">
        <v>5496</v>
      </c>
      <c r="W157" s="20" t="n">
        <v>6198</v>
      </c>
      <c r="X157" s="20" t="n">
        <v>7075</v>
      </c>
    </row>
    <row r="158">
      <c r="A158" s="18" t="inlineStr">
        <is>
          <t>AmusementEquipmentsReportableSegmentMember · 계</t>
        </is>
      </c>
      <c r="C158" s="20" t="n">
        <v>1700</v>
      </c>
      <c r="D158" s="20" t="n">
        <v>5422</v>
      </c>
      <c r="E158" s="20" t="n">
        <v>1000</v>
      </c>
      <c r="F158" s="20" t="n">
        <v>2220</v>
      </c>
      <c r="G158" s="20" t="n">
        <v>956</v>
      </c>
      <c r="H158" s="20" t="n">
        <v>7066</v>
      </c>
      <c r="I158" s="20" t="n">
        <v>5371</v>
      </c>
      <c r="J158" s="20" t="n">
        <v>7812</v>
      </c>
      <c r="K158" s="20" t="n">
        <v>7379</v>
      </c>
      <c r="L158" s="20" t="n">
        <v>2575</v>
      </c>
      <c r="M158" s="20" t="n">
        <v>14</v>
      </c>
      <c r="N158" s="20" t="n">
        <v>7097</v>
      </c>
      <c r="V158" s="20" t="n">
        <v>1000</v>
      </c>
      <c r="W158" s="20" t="n">
        <v>5371</v>
      </c>
      <c r="X158" s="20" t="n">
        <v>14</v>
      </c>
    </row>
    <row r="159">
      <c r="A159" s="18" t="inlineStr">
        <is>
          <t>보고부문 합계 · 계</t>
        </is>
      </c>
      <c r="C159" s="20" t="n">
        <v>30152</v>
      </c>
      <c r="D159" s="20" t="n">
        <v>30261</v>
      </c>
      <c r="E159" s="20" t="n">
        <v>44902</v>
      </c>
      <c r="F159" s="20" t="n">
        <v>28500</v>
      </c>
      <c r="G159" s="20" t="n">
        <v>25443</v>
      </c>
      <c r="H159" s="20" t="n">
        <v>31386</v>
      </c>
      <c r="I159" s="20" t="n">
        <v>78163</v>
      </c>
      <c r="J159" s="20" t="n">
        <v>43276</v>
      </c>
      <c r="K159" s="20" t="n">
        <v>34218</v>
      </c>
      <c r="L159" s="20" t="n">
        <v>32265</v>
      </c>
      <c r="M159" s="20" t="n">
        <v>77955</v>
      </c>
      <c r="N159" s="20" t="n">
        <v>68508</v>
      </c>
      <c r="V159" s="20" t="n">
        <v>44902</v>
      </c>
      <c r="W159" s="20" t="n">
        <v>78163</v>
      </c>
      <c r="X159" s="20" t="n">
        <v>77955</v>
      </c>
    </row>
    <row r="160">
      <c r="A160" s="18" t="inlineStr">
        <is>
          <t>기타 · 계</t>
        </is>
      </c>
      <c r="C160" s="20" t="n">
        <v>923</v>
      </c>
      <c r="D160" s="20" t="n">
        <v>984</v>
      </c>
      <c r="E160" s="20" t="n">
        <v>1329</v>
      </c>
      <c r="F160" s="20" t="n">
        <v>1097</v>
      </c>
      <c r="G160" s="20" t="n">
        <v>1362</v>
      </c>
      <c r="H160" s="20" t="n">
        <v>1065</v>
      </c>
      <c r="I160" s="20" t="n">
        <v>2587</v>
      </c>
      <c r="J160" s="20" t="n">
        <v>2226</v>
      </c>
      <c r="K160" s="20" t="n">
        <v>1431</v>
      </c>
      <c r="L160" s="20" t="n">
        <v>1899</v>
      </c>
      <c r="M160" s="20" t="n">
        <v>2094</v>
      </c>
      <c r="N160" s="20" t="n">
        <v>1902</v>
      </c>
      <c r="V160" s="20" t="n">
        <v>1329</v>
      </c>
      <c r="W160" s="20" t="n">
        <v>2587</v>
      </c>
      <c r="X160" s="20" t="n">
        <v>2094</v>
      </c>
    </row>
    <row r="161">
      <c r="A161" s="18" t="inlineStr">
        <is>
          <t>합계 · 계</t>
        </is>
      </c>
      <c r="C161" s="20" t="n">
        <v>31076</v>
      </c>
      <c r="D161" s="20" t="n">
        <v>31245</v>
      </c>
      <c r="E161" s="20" t="n">
        <v>46231</v>
      </c>
      <c r="F161" s="20" t="n">
        <v>29597</v>
      </c>
      <c r="G161" s="20" t="n">
        <v>26805</v>
      </c>
      <c r="H161" s="20" t="n">
        <v>32451</v>
      </c>
      <c r="I161" s="20" t="n">
        <v>80751</v>
      </c>
      <c r="J161" s="20" t="n">
        <v>45502</v>
      </c>
      <c r="K161" s="20" t="n">
        <v>35650</v>
      </c>
      <c r="L161" s="20" t="n">
        <v>34163</v>
      </c>
      <c r="M161" s="20" t="n">
        <v>80050</v>
      </c>
      <c r="N161" s="20" t="n">
        <v>70410</v>
      </c>
      <c r="V161" s="20" t="n">
        <v>46231</v>
      </c>
      <c r="W161" s="20" t="n">
        <v>80751</v>
      </c>
      <c r="X161" s="20" t="n">
        <v>80050</v>
      </c>
    </row>
    <row r="162">
      <c r="A162" s="18" t="inlineStr">
        <is>
          <t>조정액 · 계</t>
        </is>
      </c>
      <c r="C162" s="20" t="n">
        <v>0</v>
      </c>
      <c r="D162" s="20" t="n">
        <v>0</v>
      </c>
      <c r="E162" s="20" t="n">
        <v>0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0</v>
      </c>
      <c r="K162" s="20" t="n">
        <v>0</v>
      </c>
      <c r="L162" s="20" t="n">
        <v>0</v>
      </c>
      <c r="M162" s="20" t="n">
        <v>0</v>
      </c>
      <c r="N162" s="20" t="n">
        <v>0</v>
      </c>
      <c r="V162" s="20" t="n">
        <v>0</v>
      </c>
      <c r="W162" s="20" t="n">
        <v>0</v>
      </c>
      <c r="X162" s="20" t="n">
        <v>0</v>
      </c>
    </row>
    <row r="163">
      <c r="A163" s="9" t="inlineStr">
        <is>
          <t>계</t>
        </is>
      </c>
      <c r="C163" s="12" t="n">
        <v>31076</v>
      </c>
      <c r="D163" s="12" t="n">
        <v>31245</v>
      </c>
      <c r="E163" s="12" t="n">
        <v>46231</v>
      </c>
      <c r="F163" s="12" t="n">
        <v>29597</v>
      </c>
      <c r="G163" s="12" t="n">
        <v>26805</v>
      </c>
      <c r="H163" s="12" t="n">
        <v>32451</v>
      </c>
      <c r="I163" s="12" t="n">
        <v>80751</v>
      </c>
      <c r="V163" s="12" t="n">
        <v>46231</v>
      </c>
      <c r="W163" s="12" t="n">
        <v>80751</v>
      </c>
    </row>
    <row r="164">
      <c r="A164" s="18" t="inlineStr">
        <is>
          <t>EntityTotalMember · 계</t>
        </is>
      </c>
      <c r="F164" s="20" t="n">
        <v>29597</v>
      </c>
      <c r="J164" s="20" t="n">
        <v>45502</v>
      </c>
      <c r="N164" s="20" t="n">
        <v>70410</v>
      </c>
    </row>
    <row r="165">
      <c r="A165" s="18" t="inlineStr">
        <is>
          <t>DegitalContentsReportableSegmentMember · 부문 손익</t>
        </is>
      </c>
      <c r="C165" s="20" t="n">
        <v>9824</v>
      </c>
      <c r="D165" s="20" t="n">
        <v>12858</v>
      </c>
      <c r="E165" s="20" t="n">
        <v>12470</v>
      </c>
      <c r="F165" s="20" t="n">
        <v>12821</v>
      </c>
      <c r="G165" s="20" t="n">
        <v>7819</v>
      </c>
      <c r="H165" s="20" t="n">
        <v>8607</v>
      </c>
      <c r="I165" s="20" t="n">
        <v>35925</v>
      </c>
      <c r="J165" s="20" t="n">
        <v>20057</v>
      </c>
      <c r="K165" s="20" t="n">
        <v>11321</v>
      </c>
      <c r="L165" s="20" t="n">
        <v>14689</v>
      </c>
      <c r="M165" s="20" t="n">
        <v>24551</v>
      </c>
      <c r="N165" s="20" t="n">
        <v>37597</v>
      </c>
      <c r="V165" s="20" t="n">
        <v>12470</v>
      </c>
      <c r="W165" s="20" t="n">
        <v>35925</v>
      </c>
      <c r="X165" s="20" t="n">
        <v>24551</v>
      </c>
    </row>
    <row r="166">
      <c r="A166" s="18" t="inlineStr">
        <is>
          <t>ArcadeOperationsReportableSegmentMember · 부문 손익</t>
        </is>
      </c>
      <c r="C166" s="20" t="n">
        <v>753</v>
      </c>
      <c r="D166" s="20" t="n">
        <v>419</v>
      </c>
      <c r="E166" s="20" t="n">
        <v>321</v>
      </c>
      <c r="F166" s="20" t="n">
        <v>516</v>
      </c>
      <c r="G166" s="20" t="n">
        <v>1151</v>
      </c>
      <c r="H166" s="20" t="n">
        <v>591</v>
      </c>
      <c r="I166" s="20" t="n">
        <v>174</v>
      </c>
      <c r="J166" s="20" t="n">
        <v>941</v>
      </c>
      <c r="K166" s="20" t="n">
        <v>1078</v>
      </c>
      <c r="L166" s="20" t="n">
        <v>662</v>
      </c>
      <c r="M166" s="20" t="n">
        <v>520</v>
      </c>
      <c r="N166" s="20" t="n">
        <v>899</v>
      </c>
      <c r="V166" s="20" t="n">
        <v>321</v>
      </c>
      <c r="W166" s="20" t="n">
        <v>174</v>
      </c>
      <c r="X166" s="20" t="n">
        <v>520</v>
      </c>
    </row>
    <row r="167">
      <c r="A167" s="18" t="inlineStr">
        <is>
          <t>AmusementEquipmentsReportableSegmentMember · 부문 손익</t>
        </is>
      </c>
      <c r="C167" s="20" t="n">
        <v>1103</v>
      </c>
      <c r="D167" s="20" t="n">
        <v>2779</v>
      </c>
      <c r="E167" s="20" t="n">
        <v>-443</v>
      </c>
      <c r="F167" s="20" t="n">
        <v>1083</v>
      </c>
      <c r="G167" s="20" t="n">
        <v>504</v>
      </c>
      <c r="H167" s="20" t="n">
        <v>3496</v>
      </c>
      <c r="I167" s="20" t="n">
        <v>1618</v>
      </c>
      <c r="J167" s="20" t="n">
        <v>4910</v>
      </c>
      <c r="K167" s="20" t="n">
        <v>4168</v>
      </c>
      <c r="L167" s="20" t="n">
        <v>1467</v>
      </c>
      <c r="M167" s="20" t="n">
        <v>-512</v>
      </c>
      <c r="N167" s="20" t="n">
        <v>4045</v>
      </c>
      <c r="V167" s="20" t="n">
        <v>-443</v>
      </c>
      <c r="W167" s="20" t="n">
        <v>1618</v>
      </c>
      <c r="X167" s="20" t="n">
        <v>-512</v>
      </c>
    </row>
    <row r="168">
      <c r="A168" s="18" t="inlineStr">
        <is>
          <t>보고부문 합계 · 부문 손익</t>
        </is>
      </c>
      <c r="C168" s="20" t="n">
        <v>11680</v>
      </c>
      <c r="D168" s="20" t="n">
        <v>16056</v>
      </c>
      <c r="E168" s="20" t="n">
        <v>12348</v>
      </c>
      <c r="F168" s="20" t="n">
        <v>14421</v>
      </c>
      <c r="G168" s="20" t="n">
        <v>9474</v>
      </c>
      <c r="H168" s="20" t="n">
        <v>12693</v>
      </c>
      <c r="I168" s="20" t="n">
        <v>37718</v>
      </c>
      <c r="J168" s="20" t="n">
        <v>25909</v>
      </c>
      <c r="K168" s="20" t="n">
        <v>16566</v>
      </c>
      <c r="L168" s="20" t="n">
        <v>16819</v>
      </c>
      <c r="M168" s="20" t="n">
        <v>24559</v>
      </c>
      <c r="N168" s="20" t="n">
        <v>42543</v>
      </c>
      <c r="V168" s="20" t="n">
        <v>12348</v>
      </c>
      <c r="W168" s="20" t="n">
        <v>37718</v>
      </c>
      <c r="X168" s="20" t="n">
        <v>24559</v>
      </c>
    </row>
    <row r="169">
      <c r="A169" s="18" t="inlineStr">
        <is>
          <t>기타 · 부문 손익</t>
        </is>
      </c>
      <c r="C169" s="20" t="n">
        <v>120</v>
      </c>
      <c r="D169" s="20" t="n">
        <v>28</v>
      </c>
      <c r="E169" s="20" t="n">
        <v>241</v>
      </c>
      <c r="F169" s="20" t="n">
        <v>664</v>
      </c>
      <c r="G169" s="20" t="n">
        <v>531</v>
      </c>
      <c r="H169" s="20" t="n">
        <v>55</v>
      </c>
      <c r="I169" s="20" t="n">
        <v>1234</v>
      </c>
      <c r="J169" s="20" t="n">
        <v>1369</v>
      </c>
      <c r="K169" s="20" t="n">
        <v>711</v>
      </c>
      <c r="L169" s="20" t="n">
        <v>863</v>
      </c>
      <c r="M169" s="20" t="n">
        <v>702</v>
      </c>
      <c r="N169" s="20" t="n">
        <v>1266</v>
      </c>
      <c r="V169" s="20" t="n">
        <v>241</v>
      </c>
      <c r="W169" s="20" t="n">
        <v>1234</v>
      </c>
      <c r="X169" s="20" t="n">
        <v>702</v>
      </c>
    </row>
    <row r="170">
      <c r="A170" s="18" t="inlineStr">
        <is>
          <t>합계 · 부문 손익</t>
        </is>
      </c>
      <c r="C170" s="20" t="n">
        <v>11799</v>
      </c>
      <c r="D170" s="20" t="n">
        <v>16084</v>
      </c>
      <c r="E170" s="20" t="n">
        <v>12589</v>
      </c>
      <c r="F170" s="20" t="n">
        <v>15085</v>
      </c>
      <c r="G170" s="20" t="n">
        <v>10006</v>
      </c>
      <c r="H170" s="20" t="n">
        <v>12748</v>
      </c>
      <c r="I170" s="20" t="n">
        <v>38951</v>
      </c>
      <c r="J170" s="20" t="n">
        <v>27278</v>
      </c>
      <c r="K170" s="20" t="n">
        <v>17278</v>
      </c>
      <c r="L170" s="20" t="n">
        <v>17681</v>
      </c>
      <c r="M170" s="20" t="n">
        <v>25262</v>
      </c>
      <c r="N170" s="20" t="n">
        <v>43809</v>
      </c>
      <c r="V170" s="20" t="n">
        <v>12589</v>
      </c>
      <c r="W170" s="20" t="n">
        <v>38951</v>
      </c>
      <c r="X170" s="20" t="n">
        <v>25262</v>
      </c>
    </row>
    <row r="171">
      <c r="A171" s="18" t="inlineStr">
        <is>
          <t>조정액 · 부문 손익</t>
        </is>
      </c>
      <c r="C171" s="20" t="n">
        <v>-2011</v>
      </c>
      <c r="D171" s="20" t="n">
        <v>-2214</v>
      </c>
      <c r="E171" s="20" t="n">
        <v>-3213</v>
      </c>
      <c r="F171" s="20" t="n">
        <v>-2196</v>
      </c>
      <c r="G171" s="20" t="n">
        <v>-2168</v>
      </c>
      <c r="H171" s="20" t="n">
        <v>-2454</v>
      </c>
      <c r="I171" s="20" t="n">
        <v>-4195</v>
      </c>
      <c r="J171" s="20" t="n">
        <v>-2680</v>
      </c>
      <c r="K171" s="20" t="n">
        <v>-2543</v>
      </c>
      <c r="L171" s="20" t="n">
        <v>-2712</v>
      </c>
      <c r="M171" s="20" t="n">
        <v>-4268</v>
      </c>
      <c r="N171" s="20" t="n">
        <v>-2754</v>
      </c>
      <c r="V171" s="20" t="n">
        <v>-3213</v>
      </c>
      <c r="W171" s="20" t="n">
        <v>-4195</v>
      </c>
      <c r="X171" s="20" t="n">
        <v>-4268</v>
      </c>
    </row>
    <row r="172">
      <c r="A172" s="9" t="inlineStr">
        <is>
          <t>부문 손익</t>
        </is>
      </c>
      <c r="C172" s="12" t="n">
        <v>9788</v>
      </c>
      <c r="D172" s="12" t="n">
        <v>13869</v>
      </c>
      <c r="E172" s="12" t="n">
        <v>9377</v>
      </c>
      <c r="F172" s="12" t="n">
        <v>12889</v>
      </c>
      <c r="G172" s="12" t="n">
        <v>7837</v>
      </c>
      <c r="H172" s="12" t="n">
        <v>10294</v>
      </c>
      <c r="I172" s="12" t="n">
        <v>34757</v>
      </c>
      <c r="V172" s="12" t="n">
        <v>9377</v>
      </c>
      <c r="W172" s="12" t="n">
        <v>34757</v>
      </c>
    </row>
    <row r="173">
      <c r="A173" s="18" t="inlineStr">
        <is>
          <t>EntityTotalMember · 부문 손익</t>
        </is>
      </c>
      <c r="F173" s="20" t="n">
        <v>12889</v>
      </c>
      <c r="J173" s="20" t="n">
        <v>24597</v>
      </c>
      <c r="N173" s="20" t="n">
        <v>41054</v>
      </c>
    </row>
    <row r="175">
      <c r="A175" s="16" t="inlineStr">
        <is>
          <t>현금흐름표 · 전 항목</t>
        </is>
      </c>
      <c r="B175" s="42" t="inlineStr">
        <is>
          <t>분기 = 결산기 첫날부터 누계(공시 그대로)</t>
        </is>
      </c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</row>
    <row r="176">
      <c r="A176" s="5" t="inlineStr">
        <is>
          <t>항목</t>
        </is>
      </c>
      <c r="B176" s="5" t="inlineStr">
        <is>
          <t>참고</t>
        </is>
      </c>
      <c r="C176" s="5" t="inlineStr">
        <is>
          <t>2024.2Q</t>
        </is>
      </c>
      <c r="D176" s="5" t="inlineStr">
        <is>
          <t>2024.3Q</t>
        </is>
      </c>
      <c r="E176" s="5" t="inlineStr">
        <is>
          <t>2024.4Q</t>
        </is>
      </c>
      <c r="F176" s="5" t="inlineStr">
        <is>
          <t>2025.1Q</t>
        </is>
      </c>
      <c r="G176" s="5" t="inlineStr">
        <is>
          <t>2025.2Q</t>
        </is>
      </c>
      <c r="H176" s="5" t="inlineStr">
        <is>
          <t>2025.3Q</t>
        </is>
      </c>
      <c r="I176" s="5" t="inlineStr">
        <is>
          <t>2025.4Q</t>
        </is>
      </c>
      <c r="J176" s="5" t="inlineStr">
        <is>
          <t>2026.1Q</t>
        </is>
      </c>
      <c r="K176" s="5" t="inlineStr">
        <is>
          <t>2026.2Q</t>
        </is>
      </c>
      <c r="L176" s="5" t="inlineStr">
        <is>
          <t>2026.3Q</t>
        </is>
      </c>
      <c r="M176" s="5" t="inlineStr">
        <is>
          <t>2026.4Q</t>
        </is>
      </c>
      <c r="N176" s="5" t="inlineStr">
        <is>
          <t>2027.1Q</t>
        </is>
      </c>
      <c r="O176" s="5" t="inlineStr">
        <is>
          <t>2017</t>
        </is>
      </c>
      <c r="P176" s="5" t="inlineStr">
        <is>
          <t>2018</t>
        </is>
      </c>
      <c r="Q176" s="5" t="inlineStr">
        <is>
          <t>2019</t>
        </is>
      </c>
      <c r="R176" s="5" t="inlineStr">
        <is>
          <t>2020</t>
        </is>
      </c>
      <c r="S176" s="5" t="inlineStr">
        <is>
          <t>2021</t>
        </is>
      </c>
      <c r="T176" s="5" t="inlineStr">
        <is>
          <t>2022</t>
        </is>
      </c>
      <c r="U176" s="5" t="inlineStr">
        <is>
          <t>2023</t>
        </is>
      </c>
      <c r="V176" s="5" t="inlineStr">
        <is>
          <t>2024</t>
        </is>
      </c>
      <c r="W176" s="5" t="inlineStr">
        <is>
          <t>2025</t>
        </is>
      </c>
      <c r="X176" s="5" t="inlineStr">
        <is>
          <t>2026</t>
        </is>
      </c>
      <c r="Y176" s="5" t="inlineStr">
        <is>
          <t>2027(MW)</t>
        </is>
      </c>
      <c r="Z176" s="5" t="inlineStr">
        <is>
          <t>2028(MW)</t>
        </is>
      </c>
      <c r="AA176" s="5" t="inlineStr">
        <is>
          <t>2029(MW)</t>
        </is>
      </c>
      <c r="AB176" s="5" t="inlineStr">
        <is>
          <t>2030(MW)</t>
        </is>
      </c>
      <c r="AC176" s="5" t="inlineStr">
        <is>
          <t>2031(MW)</t>
        </is>
      </c>
    </row>
    <row r="177">
      <c r="A177" s="9" t="inlineStr">
        <is>
          <t>법인세차감전 순이익</t>
        </is>
      </c>
      <c r="C177" s="12" t="n">
        <v>36165</v>
      </c>
      <c r="D177" s="12" t="n">
        <v>49598</v>
      </c>
      <c r="E177" s="12" t="n">
        <v>59282</v>
      </c>
      <c r="F177" s="12" t="n">
        <v>13629</v>
      </c>
      <c r="G177" s="12" t="n">
        <v>20847</v>
      </c>
      <c r="H177" s="12" t="n">
        <v>31459</v>
      </c>
      <c r="I177" s="12" t="n">
        <v>65651</v>
      </c>
      <c r="J177" s="12" t="n">
        <v>22834</v>
      </c>
      <c r="K177" s="12" t="n">
        <v>36367</v>
      </c>
      <c r="L177" s="12" t="n">
        <v>51515</v>
      </c>
      <c r="M177" s="12" t="n">
        <v>73934</v>
      </c>
      <c r="N177" s="12" t="n">
        <v>41452</v>
      </c>
      <c r="O177" s="12" t="n">
        <v>12489</v>
      </c>
      <c r="P177" s="12" t="n">
        <v>15149</v>
      </c>
      <c r="Q177" s="12" t="n">
        <v>17770</v>
      </c>
      <c r="R177" s="12" t="n">
        <v>22890</v>
      </c>
      <c r="S177" s="12" t="n">
        <v>34828</v>
      </c>
      <c r="T177" s="12" t="n">
        <v>44322</v>
      </c>
      <c r="U177" s="12" t="n">
        <v>51143</v>
      </c>
      <c r="V177" s="12" t="n">
        <v>59282</v>
      </c>
      <c r="W177" s="12" t="n">
        <v>65651</v>
      </c>
      <c r="X177" s="12" t="n">
        <v>73934</v>
      </c>
    </row>
    <row r="178">
      <c r="A178" s="18" t="inlineStr">
        <is>
          <t>감가상각비</t>
        </is>
      </c>
      <c r="C178" s="20" t="n">
        <v>1905</v>
      </c>
      <c r="D178" s="20" t="n">
        <v>3032</v>
      </c>
      <c r="E178" s="20" t="n">
        <v>4221</v>
      </c>
      <c r="F178" s="20" t="n">
        <v>1062</v>
      </c>
      <c r="G178" s="20" t="n">
        <v>2143</v>
      </c>
      <c r="H178" s="20" t="n">
        <v>3371</v>
      </c>
      <c r="I178" s="20" t="n">
        <v>4675</v>
      </c>
      <c r="J178" s="20" t="n">
        <v>1144</v>
      </c>
      <c r="K178" s="20" t="n">
        <v>2406</v>
      </c>
      <c r="L178" s="20" t="n">
        <v>3759</v>
      </c>
      <c r="M178" s="20" t="n">
        <v>5200</v>
      </c>
      <c r="N178" s="20" t="n">
        <v>1179</v>
      </c>
      <c r="O178" s="20" t="n">
        <v>5980</v>
      </c>
      <c r="P178" s="20" t="n">
        <v>4706</v>
      </c>
      <c r="Q178" s="20" t="n">
        <v>3228</v>
      </c>
      <c r="R178" s="20" t="n">
        <v>2795</v>
      </c>
      <c r="S178" s="20" t="n">
        <v>2791</v>
      </c>
      <c r="T178" s="20" t="n">
        <v>3385</v>
      </c>
      <c r="U178" s="20" t="n">
        <v>3438</v>
      </c>
      <c r="V178" s="20" t="n">
        <v>4221</v>
      </c>
      <c r="W178" s="20" t="n">
        <v>4675</v>
      </c>
      <c r="X178" s="20" t="n">
        <v>5200</v>
      </c>
    </row>
    <row r="179">
      <c r="A179" s="18" t="inlineStr">
        <is>
          <t>손상차손</t>
        </is>
      </c>
      <c r="E179" s="20" t="n">
        <v>0</v>
      </c>
      <c r="P179" s="20" t="n">
        <v>0</v>
      </c>
      <c r="Q179" s="20" t="n">
        <v>393</v>
      </c>
      <c r="R179" s="20" t="n">
        <v>0</v>
      </c>
      <c r="T179" s="20" t="n">
        <v>0</v>
      </c>
      <c r="U179" s="20" t="n">
        <v>190</v>
      </c>
      <c r="V179" s="20" t="n">
        <v>0</v>
      </c>
    </row>
    <row r="180">
      <c r="A180" s="18" t="inlineStr">
        <is>
          <t>영업권 상각</t>
        </is>
      </c>
      <c r="C180" s="20" t="n">
        <v>0</v>
      </c>
      <c r="D180" s="20" t="n">
        <v>8</v>
      </c>
      <c r="F180" s="20" t="n">
        <v>8</v>
      </c>
      <c r="G180" s="20" t="n">
        <v>17</v>
      </c>
      <c r="H180" s="20" t="n">
        <v>38</v>
      </c>
      <c r="J180" s="20" t="n">
        <v>21</v>
      </c>
      <c r="K180" s="20" t="n">
        <v>45</v>
      </c>
      <c r="L180" s="20" t="n">
        <v>68</v>
      </c>
      <c r="N180" s="20" t="n">
        <v>22</v>
      </c>
    </row>
    <row r="181">
      <c r="A181" s="18" t="inlineStr">
        <is>
          <t>대손충당금 증감</t>
        </is>
      </c>
      <c r="C181" s="20" t="n">
        <v>1</v>
      </c>
      <c r="D181" s="20" t="n">
        <v>2</v>
      </c>
      <c r="E181" s="20" t="n">
        <v>1</v>
      </c>
      <c r="F181" s="20" t="n">
        <v>-0</v>
      </c>
      <c r="G181" s="20" t="n">
        <v>-0</v>
      </c>
      <c r="H181" s="20" t="n">
        <v>0</v>
      </c>
      <c r="I181" s="20" t="n">
        <v>-1</v>
      </c>
      <c r="J181" s="20" t="n">
        <v>2</v>
      </c>
      <c r="K181" s="20" t="n">
        <v>4</v>
      </c>
      <c r="L181" s="20" t="n">
        <v>1</v>
      </c>
      <c r="O181" s="20" t="n">
        <v>-1</v>
      </c>
      <c r="P181" s="20" t="n">
        <v>-36</v>
      </c>
      <c r="Q181" s="20" t="n">
        <v>32</v>
      </c>
      <c r="R181" s="20" t="n">
        <v>-25</v>
      </c>
      <c r="S181" s="20" t="n">
        <v>5</v>
      </c>
      <c r="T181" s="20" t="n">
        <v>-36</v>
      </c>
      <c r="U181" s="20" t="n">
        <v>-9</v>
      </c>
      <c r="V181" s="20" t="n">
        <v>1</v>
      </c>
      <c r="W181" s="20" t="n">
        <v>-1</v>
      </c>
    </row>
    <row r="182">
      <c r="A182" s="18" t="inlineStr">
        <is>
          <t>상여충당금 증감</t>
        </is>
      </c>
      <c r="C182" s="20" t="n">
        <v>-745</v>
      </c>
      <c r="D182" s="20" t="n">
        <v>-3337</v>
      </c>
      <c r="E182" s="20" t="n">
        <v>2610</v>
      </c>
      <c r="F182" s="20" t="n">
        <v>-4891</v>
      </c>
      <c r="G182" s="20" t="n">
        <v>-3180</v>
      </c>
      <c r="H182" s="20" t="n">
        <v>-5803</v>
      </c>
      <c r="I182" s="20" t="n">
        <v>1094</v>
      </c>
      <c r="J182" s="20" t="n">
        <v>-4962</v>
      </c>
      <c r="K182" s="20" t="n">
        <v>-3411</v>
      </c>
      <c r="L182" s="20" t="n">
        <v>-6945</v>
      </c>
      <c r="M182" s="20" t="n">
        <v>990</v>
      </c>
      <c r="N182" s="20" t="n">
        <v>-5551</v>
      </c>
      <c r="O182" s="20" t="n">
        <v>186</v>
      </c>
      <c r="P182" s="20" t="n">
        <v>604</v>
      </c>
      <c r="Q182" s="20" t="n">
        <v>223</v>
      </c>
      <c r="R182" s="20" t="n">
        <v>49</v>
      </c>
      <c r="S182" s="20" t="n">
        <v>912</v>
      </c>
      <c r="T182" s="20" t="n">
        <v>-68</v>
      </c>
      <c r="U182" s="20" t="n">
        <v>1690</v>
      </c>
      <c r="V182" s="20" t="n">
        <v>2610</v>
      </c>
      <c r="W182" s="20" t="n">
        <v>1094</v>
      </c>
      <c r="X182" s="20" t="n">
        <v>990</v>
      </c>
    </row>
    <row r="183">
      <c r="A183" s="18" t="inlineStr">
        <is>
          <t>퇴직급여부채 증감</t>
        </is>
      </c>
      <c r="E183" s="20" t="n">
        <v>339</v>
      </c>
      <c r="I183" s="20" t="n">
        <v>365</v>
      </c>
      <c r="M183" s="20" t="n">
        <v>317</v>
      </c>
      <c r="O183" s="20" t="n">
        <v>204</v>
      </c>
      <c r="P183" s="20" t="n">
        <v>253</v>
      </c>
      <c r="Q183" s="20" t="n">
        <v>214</v>
      </c>
      <c r="R183" s="20" t="n">
        <v>258</v>
      </c>
      <c r="S183" s="20" t="n">
        <v>281</v>
      </c>
      <c r="T183" s="20" t="n">
        <v>247</v>
      </c>
      <c r="U183" s="20" t="n">
        <v>328</v>
      </c>
      <c r="V183" s="20" t="n">
        <v>339</v>
      </c>
      <c r="W183" s="20" t="n">
        <v>365</v>
      </c>
      <c r="X183" s="20" t="n">
        <v>317</v>
      </c>
    </row>
    <row r="184">
      <c r="A184" s="18" t="inlineStr">
        <is>
          <t>주식급여 충당금 증감</t>
        </is>
      </c>
      <c r="C184" s="20" t="n">
        <v>533</v>
      </c>
      <c r="D184" s="20" t="n">
        <v>797</v>
      </c>
      <c r="E184" s="20" t="n">
        <v>1055</v>
      </c>
      <c r="F184" s="20" t="n">
        <v>282</v>
      </c>
      <c r="G184" s="20" t="n">
        <v>553</v>
      </c>
      <c r="H184" s="20" t="n">
        <v>826</v>
      </c>
      <c r="I184" s="20" t="n">
        <v>1095</v>
      </c>
      <c r="J184" s="20" t="n">
        <v>284</v>
      </c>
      <c r="K184" s="20" t="n">
        <v>581</v>
      </c>
      <c r="L184" s="20" t="n">
        <v>861</v>
      </c>
      <c r="M184" s="20" t="n">
        <v>1141</v>
      </c>
      <c r="N184" s="20" t="n">
        <v>307</v>
      </c>
      <c r="T184" s="20" t="n">
        <v>0</v>
      </c>
      <c r="U184" s="20" t="n">
        <v>1020</v>
      </c>
      <c r="V184" s="20" t="n">
        <v>1055</v>
      </c>
      <c r="W184" s="20" t="n">
        <v>1095</v>
      </c>
      <c r="X184" s="20" t="n">
        <v>1141</v>
      </c>
    </row>
    <row r="185">
      <c r="A185" s="18" t="inlineStr">
        <is>
          <t>주식보상 충당금 증감</t>
        </is>
      </c>
      <c r="E185" s="20" t="n">
        <v>0</v>
      </c>
      <c r="F185" s="20" t="n">
        <v>0</v>
      </c>
      <c r="G185" s="20" t="n">
        <v>0</v>
      </c>
      <c r="H185" s="20" t="n">
        <v>0</v>
      </c>
      <c r="I185" s="20" t="n">
        <v>49</v>
      </c>
      <c r="J185" s="20" t="n">
        <v>22</v>
      </c>
      <c r="K185" s="20" t="n">
        <v>44</v>
      </c>
      <c r="L185" s="20" t="n">
        <v>66</v>
      </c>
      <c r="M185" s="20" t="n">
        <v>88</v>
      </c>
      <c r="N185" s="20" t="n">
        <v>34</v>
      </c>
      <c r="V185" s="20" t="n">
        <v>0</v>
      </c>
      <c r="W185" s="20" t="n">
        <v>49</v>
      </c>
      <c r="X185" s="20" t="n">
        <v>88</v>
      </c>
    </row>
    <row r="186">
      <c r="A186" s="18" t="inlineStr">
        <is>
          <t>이자·배당금 수익</t>
        </is>
      </c>
      <c r="C186" s="20" t="n">
        <v>-550</v>
      </c>
      <c r="D186" s="20" t="n">
        <v>-807</v>
      </c>
      <c r="E186" s="20" t="n">
        <v>-1186</v>
      </c>
      <c r="F186" s="20" t="n">
        <v>-272</v>
      </c>
      <c r="G186" s="20" t="n">
        <v>-574</v>
      </c>
      <c r="H186" s="20" t="n">
        <v>-837</v>
      </c>
      <c r="I186" s="20" t="n">
        <v>-1119</v>
      </c>
      <c r="J186" s="20" t="n">
        <v>-276</v>
      </c>
      <c r="K186" s="20" t="n">
        <v>-660</v>
      </c>
      <c r="L186" s="20" t="n">
        <v>-1044</v>
      </c>
      <c r="M186" s="20" t="n">
        <v>-1547</v>
      </c>
      <c r="N186" s="20" t="n">
        <v>-513</v>
      </c>
      <c r="O186" s="20" t="n">
        <v>-61</v>
      </c>
      <c r="P186" s="20" t="n">
        <v>-71</v>
      </c>
      <c r="Q186" s="20" t="n">
        <v>-189</v>
      </c>
      <c r="R186" s="20" t="n">
        <v>-289</v>
      </c>
      <c r="S186" s="20" t="n">
        <v>-85</v>
      </c>
      <c r="T186" s="20" t="n">
        <v>-61</v>
      </c>
      <c r="U186" s="20" t="n">
        <v>-420</v>
      </c>
      <c r="V186" s="20" t="n">
        <v>-1186</v>
      </c>
      <c r="W186" s="20" t="n">
        <v>-1119</v>
      </c>
      <c r="X186" s="20" t="n">
        <v>-1547</v>
      </c>
    </row>
    <row r="187">
      <c r="A187" s="18" t="inlineStr">
        <is>
          <t>이자비용</t>
        </is>
      </c>
      <c r="C187" s="20" t="n">
        <v>29</v>
      </c>
      <c r="D187" s="20" t="n">
        <v>44</v>
      </c>
      <c r="E187" s="20" t="n">
        <v>60</v>
      </c>
      <c r="F187" s="20" t="n">
        <v>17</v>
      </c>
      <c r="G187" s="20" t="n">
        <v>37</v>
      </c>
      <c r="H187" s="20" t="n">
        <v>61</v>
      </c>
      <c r="I187" s="20" t="n">
        <v>80</v>
      </c>
      <c r="J187" s="20" t="n">
        <v>22</v>
      </c>
      <c r="K187" s="20" t="n">
        <v>37</v>
      </c>
      <c r="L187" s="20" t="n">
        <v>48</v>
      </c>
      <c r="M187" s="20" t="n">
        <v>58</v>
      </c>
      <c r="N187" s="20" t="n">
        <v>8</v>
      </c>
      <c r="O187" s="20" t="n">
        <v>141</v>
      </c>
      <c r="P187" s="20" t="n">
        <v>103</v>
      </c>
      <c r="Q187" s="20" t="n">
        <v>80</v>
      </c>
      <c r="R187" s="20" t="n">
        <v>74</v>
      </c>
      <c r="S187" s="20" t="n">
        <v>72</v>
      </c>
      <c r="T187" s="20" t="n">
        <v>49</v>
      </c>
      <c r="U187" s="20" t="n">
        <v>44</v>
      </c>
      <c r="V187" s="20" t="n">
        <v>60</v>
      </c>
      <c r="W187" s="20" t="n">
        <v>80</v>
      </c>
      <c r="X187" s="20" t="n">
        <v>58</v>
      </c>
    </row>
    <row r="188">
      <c r="A188" s="18" t="inlineStr">
        <is>
          <t>외환차손익</t>
        </is>
      </c>
      <c r="C188" s="20" t="n">
        <v>-884</v>
      </c>
      <c r="D188" s="20" t="n">
        <v>-664</v>
      </c>
      <c r="E188" s="20" t="n">
        <v>-1134</v>
      </c>
      <c r="F188" s="20" t="n">
        <v>-295</v>
      </c>
      <c r="G188" s="20" t="n">
        <v>-236</v>
      </c>
      <c r="H188" s="20" t="n">
        <v>-120</v>
      </c>
      <c r="I188" s="20" t="n">
        <v>-117</v>
      </c>
      <c r="J188" s="20" t="n">
        <v>-103</v>
      </c>
      <c r="K188" s="20" t="n">
        <v>-98</v>
      </c>
      <c r="L188" s="20" t="n">
        <v>-272</v>
      </c>
      <c r="M188" s="20" t="n">
        <v>-1022</v>
      </c>
      <c r="N188" s="20" t="n">
        <v>-28</v>
      </c>
      <c r="O188" s="20" t="n">
        <v>18</v>
      </c>
      <c r="P188" s="20" t="n">
        <v>134</v>
      </c>
      <c r="Q188" s="20" t="n">
        <v>-127</v>
      </c>
      <c r="R188" s="20" t="n">
        <v>180</v>
      </c>
      <c r="S188" s="20" t="n">
        <v>-37</v>
      </c>
      <c r="T188" s="20" t="n">
        <v>-265</v>
      </c>
      <c r="U188" s="20" t="n">
        <v>-477</v>
      </c>
      <c r="V188" s="20" t="n">
        <v>-1134</v>
      </c>
      <c r="W188" s="20" t="n">
        <v>-117</v>
      </c>
      <c r="X188" s="20" t="n">
        <v>-1022</v>
      </c>
    </row>
    <row r="189">
      <c r="A189" s="18" t="inlineStr">
        <is>
          <t>고정자산 제각·매각손익</t>
        </is>
      </c>
      <c r="C189" s="20" t="n">
        <v>-1</v>
      </c>
      <c r="D189" s="20" t="n">
        <v>22</v>
      </c>
      <c r="E189" s="20" t="n">
        <v>34</v>
      </c>
      <c r="F189" s="20" t="n">
        <v>-141</v>
      </c>
      <c r="G189" s="20" t="n">
        <v>-141</v>
      </c>
      <c r="H189" s="20" t="n">
        <v>-41</v>
      </c>
      <c r="I189" s="20" t="n">
        <v>-15</v>
      </c>
      <c r="J189" s="20" t="n">
        <v>49</v>
      </c>
      <c r="K189" s="20" t="n">
        <v>176</v>
      </c>
      <c r="L189" s="20" t="n">
        <v>187</v>
      </c>
      <c r="M189" s="20" t="n">
        <v>200</v>
      </c>
      <c r="N189" s="20" t="n">
        <v>0</v>
      </c>
      <c r="O189" s="20" t="n">
        <v>99</v>
      </c>
      <c r="P189" s="20" t="n">
        <v>104</v>
      </c>
      <c r="Q189" s="20" t="n">
        <v>30</v>
      </c>
      <c r="R189" s="20" t="n">
        <v>62</v>
      </c>
      <c r="S189" s="20" t="n">
        <v>16</v>
      </c>
      <c r="T189" s="20" t="n">
        <v>8</v>
      </c>
      <c r="U189" s="20" t="n">
        <v>35</v>
      </c>
      <c r="V189" s="20" t="n">
        <v>34</v>
      </c>
      <c r="W189" s="20" t="n">
        <v>-15</v>
      </c>
      <c r="X189" s="20" t="n">
        <v>200</v>
      </c>
    </row>
    <row r="190">
      <c r="A190" s="18" t="inlineStr">
        <is>
          <t>투자유가증권 매각손익</t>
        </is>
      </c>
      <c r="D190" s="20" t="n">
        <v>-434</v>
      </c>
      <c r="E190" s="20" t="n">
        <v>-395</v>
      </c>
      <c r="H190" s="20" t="n">
        <v>0</v>
      </c>
      <c r="I190" s="20" t="n">
        <v>0</v>
      </c>
      <c r="U190" s="20" t="n">
        <v>0</v>
      </c>
      <c r="V190" s="20" t="n">
        <v>-395</v>
      </c>
      <c r="W190" s="20" t="n">
        <v>0</v>
      </c>
    </row>
    <row r="191">
      <c r="A191" s="18" t="inlineStr">
        <is>
          <t>사업구조개선비용</t>
        </is>
      </c>
      <c r="D191" s="20" t="n">
        <v>274</v>
      </c>
      <c r="E191" s="20" t="n">
        <v>500</v>
      </c>
      <c r="H191" s="20" t="n">
        <v>0</v>
      </c>
      <c r="I191" s="20" t="n">
        <v>0</v>
      </c>
      <c r="U191" s="20" t="n">
        <v>0</v>
      </c>
      <c r="V191" s="20" t="n">
        <v>500</v>
      </c>
      <c r="W191" s="20" t="n">
        <v>0</v>
      </c>
    </row>
    <row r="192">
      <c r="A192" s="18" t="inlineStr">
        <is>
          <t>매출채권 증감</t>
        </is>
      </c>
      <c r="C192" s="20" t="n">
        <v>13448</v>
      </c>
      <c r="D192" s="20" t="n">
        <v>12787</v>
      </c>
      <c r="E192" s="20" t="n">
        <v>-71</v>
      </c>
      <c r="F192" s="20" t="n">
        <v>11811</v>
      </c>
      <c r="G192" s="20" t="n">
        <v>11350</v>
      </c>
      <c r="H192" s="20" t="n">
        <v>10141</v>
      </c>
      <c r="I192" s="20" t="n">
        <v>-7976</v>
      </c>
      <c r="J192" s="20" t="n">
        <v>18271</v>
      </c>
      <c r="K192" s="20" t="n">
        <v>18435</v>
      </c>
      <c r="L192" s="20" t="n">
        <v>20449</v>
      </c>
      <c r="M192" s="20" t="n">
        <v>222</v>
      </c>
      <c r="N192" s="20" t="n">
        <v>15798</v>
      </c>
      <c r="O192" s="20" t="n">
        <v>-10393</v>
      </c>
      <c r="P192" s="20" t="n">
        <v>7059</v>
      </c>
      <c r="Q192" s="20" t="n">
        <v>-858</v>
      </c>
      <c r="R192" s="20" t="n">
        <v>-2117</v>
      </c>
      <c r="S192" s="20" t="n">
        <v>-9028</v>
      </c>
      <c r="T192" s="20" t="n">
        <v>17208</v>
      </c>
      <c r="U192" s="20" t="n">
        <v>-17155</v>
      </c>
      <c r="V192" s="20" t="n">
        <v>-71</v>
      </c>
      <c r="W192" s="20" t="n">
        <v>-7976</v>
      </c>
      <c r="X192" s="20" t="n">
        <v>222</v>
      </c>
    </row>
    <row r="193">
      <c r="A193" s="18" t="inlineStr">
        <is>
          <t>재고자산 증감</t>
        </is>
      </c>
      <c r="C193" s="20" t="n">
        <v>-1127</v>
      </c>
      <c r="D193" s="20" t="n">
        <v>-1203</v>
      </c>
      <c r="E193" s="20" t="n">
        <v>-825</v>
      </c>
      <c r="F193" s="20" t="n">
        <v>-512</v>
      </c>
      <c r="G193" s="20" t="n">
        <v>-1845</v>
      </c>
      <c r="H193" s="20" t="n">
        <v>-1870</v>
      </c>
      <c r="I193" s="20" t="n">
        <v>-1073</v>
      </c>
      <c r="J193" s="20" t="n">
        <v>818</v>
      </c>
      <c r="K193" s="20" t="n">
        <v>-4778</v>
      </c>
      <c r="L193" s="20" t="n">
        <v>-9376</v>
      </c>
      <c r="M193" s="20" t="n">
        <v>-1481</v>
      </c>
      <c r="N193" s="20" t="n">
        <v>628</v>
      </c>
      <c r="O193" s="20" t="n">
        <v>158</v>
      </c>
      <c r="P193" s="20" t="n">
        <v>1588</v>
      </c>
      <c r="Q193" s="20" t="n">
        <v>1621</v>
      </c>
      <c r="R193" s="20" t="n">
        <v>-256</v>
      </c>
      <c r="S193" s="20" t="n">
        <v>-997</v>
      </c>
      <c r="T193" s="20" t="n">
        <v>1383</v>
      </c>
      <c r="U193" s="20" t="n">
        <v>-500</v>
      </c>
      <c r="V193" s="20" t="n">
        <v>-825</v>
      </c>
      <c r="W193" s="20" t="n">
        <v>-1073</v>
      </c>
      <c r="X193" s="20" t="n">
        <v>-1481</v>
      </c>
    </row>
    <row r="194">
      <c r="A194" s="18" t="inlineStr">
        <is>
          <t>영상자산 증감액</t>
        </is>
      </c>
      <c r="I194" s="20" t="n">
        <v>0</v>
      </c>
      <c r="J194" s="20" t="n">
        <v>0</v>
      </c>
      <c r="M194" s="20" t="n">
        <v>-9909</v>
      </c>
      <c r="N194" s="20" t="n">
        <v>-384</v>
      </c>
      <c r="W194" s="20" t="n">
        <v>0</v>
      </c>
      <c r="X194" s="20" t="n">
        <v>-9909</v>
      </c>
    </row>
    <row r="195">
      <c r="A195" s="18" t="inlineStr">
        <is>
          <t>게임소프트 재공품 증감액</t>
        </is>
      </c>
      <c r="C195" s="20" t="n">
        <v>-2123</v>
      </c>
      <c r="D195" s="20" t="n">
        <v>-7909</v>
      </c>
      <c r="E195" s="20" t="n">
        <v>-788</v>
      </c>
      <c r="F195" s="20" t="n">
        <v>-5886</v>
      </c>
      <c r="G195" s="20" t="n">
        <v>-10222</v>
      </c>
      <c r="H195" s="20" t="n">
        <v>-15518</v>
      </c>
      <c r="I195" s="20" t="n">
        <v>-10169</v>
      </c>
      <c r="J195" s="20" t="n">
        <v>-5271</v>
      </c>
      <c r="K195" s="20" t="n">
        <v>-13332</v>
      </c>
      <c r="L195" s="20" t="n">
        <v>-21951</v>
      </c>
      <c r="M195" s="20" t="n">
        <v>-5418</v>
      </c>
      <c r="N195" s="20" t="n">
        <v>-1881</v>
      </c>
      <c r="O195" s="20" t="n">
        <v>-2266</v>
      </c>
      <c r="P195" s="20" t="n">
        <v>4069</v>
      </c>
      <c r="Q195" s="20" t="n">
        <v>8876</v>
      </c>
      <c r="R195" s="20" t="n">
        <v>-4293</v>
      </c>
      <c r="S195" s="20" t="n">
        <v>-3213</v>
      </c>
      <c r="T195" s="20" t="n">
        <v>-6744</v>
      </c>
      <c r="U195" s="20" t="n">
        <v>-7320</v>
      </c>
      <c r="V195" s="20" t="n">
        <v>-788</v>
      </c>
      <c r="W195" s="20" t="n">
        <v>-10169</v>
      </c>
      <c r="X195" s="20" t="n">
        <v>-5418</v>
      </c>
    </row>
    <row r="196">
      <c r="A196" s="18" t="inlineStr">
        <is>
          <t>매입채무 증감</t>
        </is>
      </c>
      <c r="C196" s="20" t="n">
        <v>-1591</v>
      </c>
      <c r="D196" s="20" t="n">
        <v>-729</v>
      </c>
      <c r="E196" s="20" t="n">
        <v>-1438</v>
      </c>
      <c r="F196" s="20" t="n">
        <v>-532</v>
      </c>
      <c r="G196" s="20" t="n">
        <v>2221</v>
      </c>
      <c r="H196" s="20" t="n">
        <v>1400</v>
      </c>
      <c r="I196" s="20" t="n">
        <v>1299</v>
      </c>
      <c r="J196" s="20" t="n">
        <v>-833</v>
      </c>
      <c r="K196" s="20" t="n">
        <v>858</v>
      </c>
      <c r="L196" s="20" t="n">
        <v>-1026</v>
      </c>
      <c r="M196" s="20" t="n">
        <v>729</v>
      </c>
      <c r="N196" s="20" t="n">
        <v>-292</v>
      </c>
      <c r="O196" s="20" t="n">
        <v>2280</v>
      </c>
      <c r="P196" s="20" t="n">
        <v>-3690</v>
      </c>
      <c r="Q196" s="20" t="n">
        <v>1665</v>
      </c>
      <c r="R196" s="20" t="n">
        <v>749</v>
      </c>
      <c r="S196" s="20" t="n">
        <v>-2233</v>
      </c>
      <c r="T196" s="20" t="n">
        <v>-180</v>
      </c>
      <c r="U196" s="20" t="n">
        <v>1869</v>
      </c>
      <c r="V196" s="20" t="n">
        <v>-1438</v>
      </c>
      <c r="W196" s="20" t="n">
        <v>1299</v>
      </c>
      <c r="X196" s="20" t="n">
        <v>729</v>
      </c>
    </row>
    <row r="197">
      <c r="A197" s="18" t="inlineStr">
        <is>
          <t>이연수익 증감액</t>
        </is>
      </c>
      <c r="C197" s="20" t="n">
        <v>-4429</v>
      </c>
      <c r="D197" s="20" t="n">
        <v>-4502</v>
      </c>
      <c r="E197" s="20" t="n">
        <v>-4892</v>
      </c>
      <c r="F197" s="20" t="n">
        <v>-126</v>
      </c>
      <c r="G197" s="20" t="n">
        <v>-68</v>
      </c>
      <c r="H197" s="20" t="n">
        <v>71</v>
      </c>
      <c r="I197" s="20" t="n">
        <v>19932</v>
      </c>
      <c r="J197" s="20" t="n">
        <v>-9018</v>
      </c>
      <c r="K197" s="20" t="n">
        <v>-14113</v>
      </c>
      <c r="L197" s="20" t="n">
        <v>-19825</v>
      </c>
      <c r="M197" s="20" t="n">
        <v>-11697</v>
      </c>
      <c r="N197" s="20" t="n">
        <v>-8491</v>
      </c>
      <c r="R197" s="20" t="n">
        <v>6107</v>
      </c>
      <c r="S197" s="20" t="n">
        <v>-1077</v>
      </c>
      <c r="T197" s="20" t="n">
        <v>2008</v>
      </c>
      <c r="U197" s="20" t="n">
        <v>-3729</v>
      </c>
      <c r="V197" s="20" t="n">
        <v>-4892</v>
      </c>
      <c r="W197" s="20" t="n">
        <v>19932</v>
      </c>
      <c r="X197" s="20" t="n">
        <v>-11697</v>
      </c>
    </row>
    <row r="198">
      <c r="A198" s="18" t="inlineStr">
        <is>
          <t>기타</t>
        </is>
      </c>
      <c r="C198" s="20" t="n">
        <v>-2280</v>
      </c>
      <c r="D198" s="20" t="n">
        <v>-6494</v>
      </c>
      <c r="E198" s="20" t="n">
        <v>-1427</v>
      </c>
      <c r="F198" s="20" t="n">
        <v>-313</v>
      </c>
      <c r="G198" s="20" t="n">
        <v>-2433</v>
      </c>
      <c r="H198" s="20" t="n">
        <v>3109</v>
      </c>
      <c r="I198" s="20" t="n">
        <v>1370</v>
      </c>
      <c r="J198" s="20" t="n">
        <v>-4267</v>
      </c>
      <c r="K198" s="20" t="n">
        <v>-4541</v>
      </c>
      <c r="L198" s="20" t="n">
        <v>-2445</v>
      </c>
      <c r="M198" s="20" t="n">
        <v>292</v>
      </c>
      <c r="N198" s="20" t="n">
        <v>-1126</v>
      </c>
      <c r="O198" s="20" t="n">
        <v>956</v>
      </c>
      <c r="P198" s="20" t="n">
        <v>6320</v>
      </c>
      <c r="Q198" s="20" t="n">
        <v>-7286</v>
      </c>
      <c r="R198" s="20" t="n">
        <v>2418</v>
      </c>
      <c r="S198" s="20" t="n">
        <v>527</v>
      </c>
      <c r="T198" s="20" t="n">
        <v>-3160</v>
      </c>
      <c r="U198" s="20" t="n">
        <v>2104</v>
      </c>
      <c r="V198" s="20" t="n">
        <v>-1427</v>
      </c>
      <c r="W198" s="20" t="n">
        <v>1370</v>
      </c>
      <c r="X198" s="20" t="n">
        <v>292</v>
      </c>
    </row>
    <row r="199">
      <c r="A199" s="18" t="inlineStr">
        <is>
          <t>소계</t>
        </is>
      </c>
      <c r="C199" s="20" t="n">
        <v>38348</v>
      </c>
      <c r="D199" s="20" t="n">
        <v>40484</v>
      </c>
      <c r="E199" s="20" t="n">
        <v>55944</v>
      </c>
      <c r="F199" s="20" t="n">
        <v>13840</v>
      </c>
      <c r="G199" s="20" t="n">
        <v>18467</v>
      </c>
      <c r="H199" s="20" t="n">
        <v>26289</v>
      </c>
      <c r="I199" s="20" t="n">
        <v>75142</v>
      </c>
      <c r="J199" s="20" t="n">
        <v>18736</v>
      </c>
      <c r="K199" s="20" t="n">
        <v>18020</v>
      </c>
      <c r="L199" s="20" t="n">
        <v>14069</v>
      </c>
      <c r="M199" s="20" t="n">
        <v>52100</v>
      </c>
      <c r="N199" s="20" t="n">
        <v>41161</v>
      </c>
      <c r="O199" s="20" t="n">
        <v>9792</v>
      </c>
      <c r="P199" s="20" t="n">
        <v>36296</v>
      </c>
      <c r="Q199" s="20" t="n">
        <v>25675</v>
      </c>
      <c r="R199" s="20" t="n">
        <v>28605</v>
      </c>
      <c r="S199" s="20" t="n">
        <v>22761</v>
      </c>
      <c r="T199" s="20" t="n">
        <v>58094</v>
      </c>
      <c r="U199" s="20" t="n">
        <v>32252</v>
      </c>
      <c r="V199" s="20" t="n">
        <v>55944</v>
      </c>
      <c r="W199" s="20" t="n">
        <v>75142</v>
      </c>
      <c r="X199" s="20" t="n">
        <v>52100</v>
      </c>
    </row>
    <row r="200">
      <c r="A200" s="18" t="inlineStr">
        <is>
          <t>이자·배당금 수취</t>
        </is>
      </c>
      <c r="C200" s="20" t="n">
        <v>510</v>
      </c>
      <c r="D200" s="20" t="n">
        <v>838</v>
      </c>
      <c r="E200" s="20" t="n">
        <v>1130</v>
      </c>
      <c r="F200" s="20" t="n">
        <v>359</v>
      </c>
      <c r="G200" s="20" t="n">
        <v>586</v>
      </c>
      <c r="H200" s="20" t="n">
        <v>1030</v>
      </c>
      <c r="I200" s="20" t="n">
        <v>1131</v>
      </c>
      <c r="J200" s="20" t="n">
        <v>433</v>
      </c>
      <c r="K200" s="20" t="n">
        <v>607</v>
      </c>
      <c r="L200" s="20" t="n">
        <v>1089</v>
      </c>
      <c r="M200" s="20" t="n">
        <v>1457</v>
      </c>
      <c r="N200" s="20" t="n">
        <v>551</v>
      </c>
      <c r="O200" s="20" t="n">
        <v>62</v>
      </c>
      <c r="P200" s="20" t="n">
        <v>73</v>
      </c>
      <c r="Q200" s="20" t="n">
        <v>191</v>
      </c>
      <c r="R200" s="20" t="n">
        <v>265</v>
      </c>
      <c r="S200" s="20" t="n">
        <v>99</v>
      </c>
      <c r="T200" s="20" t="n">
        <v>58</v>
      </c>
      <c r="U200" s="20" t="n">
        <v>277</v>
      </c>
      <c r="V200" s="20" t="n">
        <v>1130</v>
      </c>
      <c r="W200" s="20" t="n">
        <v>1131</v>
      </c>
      <c r="X200" s="20" t="n">
        <v>1457</v>
      </c>
    </row>
    <row r="201">
      <c r="A201" s="18" t="inlineStr">
        <is>
          <t>이자 지급</t>
        </is>
      </c>
      <c r="C201" s="20" t="n">
        <v>-30</v>
      </c>
      <c r="D201" s="20" t="n">
        <v>-42</v>
      </c>
      <c r="E201" s="20" t="n">
        <v>-59</v>
      </c>
      <c r="F201" s="20" t="n">
        <v>-15</v>
      </c>
      <c r="G201" s="20" t="n">
        <v>-35</v>
      </c>
      <c r="H201" s="20" t="n">
        <v>-58</v>
      </c>
      <c r="I201" s="20" t="n">
        <v>-77</v>
      </c>
      <c r="J201" s="20" t="n">
        <v>-22</v>
      </c>
      <c r="K201" s="20" t="n">
        <v>-45</v>
      </c>
      <c r="L201" s="20" t="n">
        <v>-55</v>
      </c>
      <c r="M201" s="20" t="n">
        <v>-66</v>
      </c>
      <c r="N201" s="20" t="n">
        <v>-9</v>
      </c>
      <c r="O201" s="20" t="n">
        <v>-140</v>
      </c>
      <c r="P201" s="20" t="n">
        <v>-101</v>
      </c>
      <c r="Q201" s="20" t="n">
        <v>-81</v>
      </c>
      <c r="R201" s="20" t="n">
        <v>-75</v>
      </c>
      <c r="S201" s="20" t="n">
        <v>-72</v>
      </c>
      <c r="T201" s="20" t="n">
        <v>-49</v>
      </c>
      <c r="U201" s="20" t="n">
        <v>-41</v>
      </c>
      <c r="V201" s="20" t="n">
        <v>-59</v>
      </c>
      <c r="W201" s="20" t="n">
        <v>-77</v>
      </c>
      <c r="X201" s="20" t="n">
        <v>-66</v>
      </c>
    </row>
    <row r="202">
      <c r="A202" s="18" t="inlineStr">
        <is>
          <t>법인세 납부</t>
        </is>
      </c>
      <c r="C202" s="20" t="n">
        <v>-11601</v>
      </c>
      <c r="D202" s="20" t="n">
        <v>-19947</v>
      </c>
      <c r="E202" s="20" t="n">
        <v>-20094</v>
      </c>
      <c r="F202" s="20" t="n">
        <v>-4776</v>
      </c>
      <c r="G202" s="20" t="n">
        <v>-4923</v>
      </c>
      <c r="H202" s="20" t="n">
        <v>-8300</v>
      </c>
      <c r="I202" s="20" t="n">
        <v>-8578</v>
      </c>
      <c r="J202" s="20" t="n">
        <v>-13974</v>
      </c>
      <c r="K202" s="20" t="n">
        <v>-14057</v>
      </c>
      <c r="L202" s="20" t="n">
        <v>-21857</v>
      </c>
      <c r="M202" s="20" t="n">
        <v>-22111</v>
      </c>
      <c r="N202" s="20" t="n">
        <v>-14556</v>
      </c>
      <c r="O202" s="20" t="n">
        <v>-6513</v>
      </c>
      <c r="P202" s="20" t="n">
        <v>-1546</v>
      </c>
      <c r="Q202" s="20" t="n">
        <v>-5938</v>
      </c>
      <c r="R202" s="20" t="n">
        <v>-6515</v>
      </c>
      <c r="S202" s="20" t="n">
        <v>-8162</v>
      </c>
      <c r="T202" s="20" t="n">
        <v>-11155</v>
      </c>
      <c r="U202" s="20" t="n">
        <v>-10698</v>
      </c>
      <c r="V202" s="20" t="n">
        <v>-20094</v>
      </c>
      <c r="W202" s="20" t="n">
        <v>-8578</v>
      </c>
      <c r="X202" s="20" t="n">
        <v>-22111</v>
      </c>
    </row>
    <row r="203">
      <c r="A203" s="9" t="inlineStr">
        <is>
          <t>영업활동 현금흐름</t>
        </is>
      </c>
      <c r="C203" s="12" t="n">
        <v>27226</v>
      </c>
      <c r="D203" s="12" t="n">
        <v>21333</v>
      </c>
      <c r="E203" s="12" t="n">
        <v>36921</v>
      </c>
      <c r="F203" s="12" t="n">
        <v>9407</v>
      </c>
      <c r="G203" s="12" t="n">
        <v>14094</v>
      </c>
      <c r="H203" s="12" t="n">
        <v>18961</v>
      </c>
      <c r="I203" s="12" t="n">
        <v>67618</v>
      </c>
      <c r="J203" s="12" t="n">
        <v>5172</v>
      </c>
      <c r="K203" s="12" t="n">
        <v>4525</v>
      </c>
      <c r="L203" s="12" t="n">
        <v>-6754</v>
      </c>
      <c r="M203" s="12" t="n">
        <v>31380</v>
      </c>
      <c r="N203" s="12" t="n">
        <v>27148</v>
      </c>
      <c r="O203" s="12" t="n">
        <v>3200</v>
      </c>
      <c r="P203" s="12" t="n">
        <v>34721</v>
      </c>
      <c r="Q203" s="12" t="n">
        <v>19847</v>
      </c>
      <c r="R203" s="12" t="n">
        <v>22279</v>
      </c>
      <c r="S203" s="12" t="n">
        <v>14625</v>
      </c>
      <c r="T203" s="12" t="n">
        <v>46947</v>
      </c>
      <c r="U203" s="12" t="n">
        <v>21789</v>
      </c>
      <c r="V203" s="12" t="n">
        <v>36921</v>
      </c>
      <c r="W203" s="12" t="n">
        <v>67618</v>
      </c>
      <c r="X203" s="12" t="n">
        <v>31380</v>
      </c>
    </row>
    <row r="204">
      <c r="A204" s="18" t="inlineStr">
        <is>
          <t>정기예금 예입</t>
        </is>
      </c>
      <c r="C204" s="20" t="n">
        <v>-13294</v>
      </c>
      <c r="D204" s="20" t="n">
        <v>-24178</v>
      </c>
      <c r="E204" s="20" t="n">
        <v>-28433</v>
      </c>
      <c r="F204" s="20" t="n">
        <v>-11598</v>
      </c>
      <c r="G204" s="20" t="n">
        <v>-16430</v>
      </c>
      <c r="H204" s="20" t="n">
        <v>-32258</v>
      </c>
      <c r="I204" s="20" t="n">
        <v>-32258</v>
      </c>
      <c r="J204" s="20" t="n">
        <v>-17983</v>
      </c>
      <c r="K204" s="20" t="n">
        <v>-25448</v>
      </c>
      <c r="L204" s="20" t="n">
        <v>-50039</v>
      </c>
      <c r="M204" s="20" t="n">
        <v>-68833</v>
      </c>
      <c r="N204" s="20" t="n">
        <v>0</v>
      </c>
      <c r="O204" s="20" t="n">
        <v>-200</v>
      </c>
      <c r="P204" s="20" t="n">
        <v>0</v>
      </c>
      <c r="Q204" s="20" t="n">
        <v>0</v>
      </c>
      <c r="R204" s="20" t="n">
        <v>-6019</v>
      </c>
      <c r="S204" s="20" t="n">
        <v>-13742</v>
      </c>
      <c r="T204" s="20" t="n">
        <v>-21297</v>
      </c>
      <c r="U204" s="20" t="n">
        <v>-25302</v>
      </c>
      <c r="V204" s="20" t="n">
        <v>-28433</v>
      </c>
      <c r="W204" s="20" t="n">
        <v>-32258</v>
      </c>
      <c r="X204" s="20" t="n">
        <v>-68833</v>
      </c>
    </row>
    <row r="205">
      <c r="A205" s="18" t="inlineStr">
        <is>
          <t>정기예금 인출</t>
        </is>
      </c>
      <c r="C205" s="20" t="n">
        <v>13294</v>
      </c>
      <c r="D205" s="20" t="n">
        <v>22707</v>
      </c>
      <c r="E205" s="20" t="n">
        <v>26962</v>
      </c>
      <c r="F205" s="20" t="n">
        <v>11598</v>
      </c>
      <c r="G205" s="20" t="n">
        <v>16430</v>
      </c>
      <c r="H205" s="20" t="n">
        <v>32107</v>
      </c>
      <c r="I205" s="20" t="n">
        <v>32107</v>
      </c>
      <c r="J205" s="20" t="n">
        <v>15106</v>
      </c>
      <c r="K205" s="20" t="n">
        <v>15106</v>
      </c>
      <c r="L205" s="20" t="n">
        <v>34685</v>
      </c>
      <c r="M205" s="20" t="n">
        <v>42613</v>
      </c>
      <c r="N205" s="20" t="n">
        <v>25024</v>
      </c>
      <c r="R205" s="20" t="n">
        <v>0</v>
      </c>
      <c r="S205" s="20" t="n">
        <v>12660</v>
      </c>
      <c r="T205" s="20" t="n">
        <v>17980</v>
      </c>
      <c r="U205" s="20" t="n">
        <v>25441</v>
      </c>
      <c r="V205" s="20" t="n">
        <v>26962</v>
      </c>
      <c r="W205" s="20" t="n">
        <v>32107</v>
      </c>
      <c r="X205" s="20" t="n">
        <v>42613</v>
      </c>
    </row>
    <row r="206">
      <c r="A206" s="18" t="inlineStr">
        <is>
          <t>유형자산 취득(설비투자)</t>
        </is>
      </c>
      <c r="C206" s="20" t="n">
        <v>-2878</v>
      </c>
      <c r="D206" s="20" t="n">
        <v>-3822</v>
      </c>
      <c r="E206" s="20" t="n">
        <v>-4838</v>
      </c>
      <c r="F206" s="20" t="n">
        <v>-847</v>
      </c>
      <c r="G206" s="20" t="n">
        <v>-1178</v>
      </c>
      <c r="H206" s="20" t="n">
        <v>-3222</v>
      </c>
      <c r="I206" s="20" t="n">
        <v>-5846</v>
      </c>
      <c r="J206" s="20" t="n">
        <v>-8364</v>
      </c>
      <c r="K206" s="20" t="n">
        <v>-9234</v>
      </c>
      <c r="L206" s="20" t="n">
        <v>-10356</v>
      </c>
      <c r="M206" s="20" t="n">
        <v>-13593</v>
      </c>
      <c r="N206" s="20" t="n">
        <v>-3739</v>
      </c>
      <c r="O206" s="20" t="n">
        <v>-3074</v>
      </c>
      <c r="P206" s="20" t="n">
        <v>-2767</v>
      </c>
      <c r="Q206" s="20" t="n">
        <v>-2093</v>
      </c>
      <c r="R206" s="20" t="n">
        <v>-2273</v>
      </c>
      <c r="S206" s="20" t="n">
        <v>-2305</v>
      </c>
      <c r="T206" s="20" t="n">
        <v>-2950</v>
      </c>
      <c r="U206" s="20" t="n">
        <v>-7103</v>
      </c>
      <c r="V206" s="20" t="n">
        <v>-4838</v>
      </c>
      <c r="W206" s="20" t="n">
        <v>-5846</v>
      </c>
      <c r="X206" s="20" t="n">
        <v>-13593</v>
      </c>
    </row>
    <row r="207">
      <c r="A207" s="18" t="inlineStr">
        <is>
          <t>유형자산 매각</t>
        </is>
      </c>
      <c r="C207" s="20" t="n">
        <v>1</v>
      </c>
      <c r="D207" s="20" t="n">
        <v>1</v>
      </c>
      <c r="E207" s="20" t="n">
        <v>1</v>
      </c>
      <c r="F207" s="20" t="n">
        <v>338</v>
      </c>
      <c r="G207" s="20" t="n">
        <v>338</v>
      </c>
      <c r="H207" s="20" t="n">
        <v>338</v>
      </c>
      <c r="I207" s="20" t="n">
        <v>339</v>
      </c>
      <c r="J207" s="20" t="n">
        <v>0</v>
      </c>
      <c r="K207" s="20" t="n">
        <v>0</v>
      </c>
      <c r="L207" s="20" t="n">
        <v>2</v>
      </c>
      <c r="M207" s="20" t="n">
        <v>3</v>
      </c>
      <c r="N207" s="20" t="n">
        <v>0</v>
      </c>
      <c r="O207" s="20" t="n">
        <v>5</v>
      </c>
      <c r="P207" s="20" t="n">
        <v>0</v>
      </c>
      <c r="Q207" s="20" t="n">
        <v>4</v>
      </c>
      <c r="R207" s="20" t="n">
        <v>0</v>
      </c>
      <c r="S207" s="20" t="n">
        <v>1</v>
      </c>
      <c r="T207" s="20" t="n">
        <v>2</v>
      </c>
      <c r="U207" s="20" t="n">
        <v>4</v>
      </c>
      <c r="V207" s="20" t="n">
        <v>1</v>
      </c>
      <c r="W207" s="20" t="n">
        <v>339</v>
      </c>
      <c r="X207" s="20" t="n">
        <v>3</v>
      </c>
    </row>
    <row r="208">
      <c r="A208" s="18" t="inlineStr">
        <is>
          <t>무형자산 취득</t>
        </is>
      </c>
      <c r="C208" s="20" t="n">
        <v>-207</v>
      </c>
      <c r="D208" s="20" t="n">
        <v>-277</v>
      </c>
      <c r="E208" s="20" t="n">
        <v>-297</v>
      </c>
      <c r="F208" s="20" t="n">
        <v>-151</v>
      </c>
      <c r="G208" s="20" t="n">
        <v>-258</v>
      </c>
      <c r="H208" s="20" t="n">
        <v>-378</v>
      </c>
      <c r="I208" s="20" t="n">
        <v>-431</v>
      </c>
      <c r="J208" s="20" t="n">
        <v>-163</v>
      </c>
      <c r="K208" s="20" t="n">
        <v>-361</v>
      </c>
      <c r="L208" s="20" t="n">
        <v>-574</v>
      </c>
      <c r="M208" s="20" t="n">
        <v>-705</v>
      </c>
      <c r="N208" s="20" t="n">
        <v>-179</v>
      </c>
      <c r="O208" s="20" t="n">
        <v>-253</v>
      </c>
      <c r="P208" s="20" t="n">
        <v>-150</v>
      </c>
      <c r="Q208" s="20" t="n">
        <v>-112</v>
      </c>
      <c r="R208" s="20" t="n">
        <v>-65</v>
      </c>
      <c r="S208" s="20" t="n">
        <v>-817</v>
      </c>
      <c r="T208" s="20" t="n">
        <v>-1117</v>
      </c>
      <c r="U208" s="20" t="n">
        <v>-312</v>
      </c>
      <c r="V208" s="20" t="n">
        <v>-297</v>
      </c>
      <c r="W208" s="20" t="n">
        <v>-431</v>
      </c>
      <c r="X208" s="20" t="n">
        <v>-705</v>
      </c>
    </row>
    <row r="209">
      <c r="A209" s="18" t="inlineStr">
        <is>
          <t>투자유가증권 취득</t>
        </is>
      </c>
      <c r="E209" s="20" t="n">
        <v>-10</v>
      </c>
      <c r="G209" s="20" t="n">
        <v>0</v>
      </c>
      <c r="H209" s="20" t="n">
        <v>0</v>
      </c>
      <c r="I209" s="20" t="n">
        <v>0</v>
      </c>
      <c r="K209" s="20" t="n">
        <v>-15021</v>
      </c>
      <c r="L209" s="20" t="n">
        <v>-15021</v>
      </c>
      <c r="M209" s="20" t="n">
        <v>-15021</v>
      </c>
      <c r="O209" s="20" t="n">
        <v>-13</v>
      </c>
      <c r="P209" s="20" t="n">
        <v>-13</v>
      </c>
      <c r="Q209" s="20" t="n">
        <v>-14</v>
      </c>
      <c r="R209" s="20" t="n">
        <v>-10</v>
      </c>
      <c r="S209" s="20" t="n">
        <v>-15</v>
      </c>
      <c r="T209" s="20" t="n">
        <v>-16</v>
      </c>
      <c r="U209" s="20" t="n">
        <v>-17</v>
      </c>
      <c r="V209" s="20" t="n">
        <v>-10</v>
      </c>
      <c r="W209" s="20" t="n">
        <v>0</v>
      </c>
      <c r="X209" s="20" t="n">
        <v>-15021</v>
      </c>
    </row>
    <row r="210">
      <c r="A210" s="18" t="inlineStr">
        <is>
          <t>투자유가증권 매각</t>
        </is>
      </c>
      <c r="D210" s="20" t="n">
        <v>692</v>
      </c>
      <c r="E210" s="20" t="n">
        <v>936</v>
      </c>
      <c r="H210" s="20" t="n">
        <v>0</v>
      </c>
      <c r="I210" s="20" t="n">
        <v>0</v>
      </c>
      <c r="Q210" s="20" t="n">
        <v>0</v>
      </c>
      <c r="R210" s="20" t="n">
        <v>3</v>
      </c>
      <c r="S210" s="20" t="n">
        <v>0</v>
      </c>
      <c r="U210" s="20" t="n">
        <v>0</v>
      </c>
      <c r="V210" s="20" t="n">
        <v>936</v>
      </c>
      <c r="W210" s="20" t="n">
        <v>0</v>
      </c>
    </row>
    <row r="211">
      <c r="A211" s="18" t="inlineStr">
        <is>
          <t>연결범위 변경 자회사 주식 취득</t>
        </is>
      </c>
      <c r="C211" s="20" t="n">
        <v>-122</v>
      </c>
      <c r="D211" s="20" t="n">
        <v>-122</v>
      </c>
      <c r="E211" s="20" t="n">
        <v>-122</v>
      </c>
      <c r="G211" s="20" t="n">
        <v>-154</v>
      </c>
      <c r="H211" s="20" t="n">
        <v>-163</v>
      </c>
      <c r="I211" s="20" t="n">
        <v>-162</v>
      </c>
      <c r="K211" s="20" t="n">
        <v>0</v>
      </c>
      <c r="L211" s="20" t="n">
        <v>0</v>
      </c>
      <c r="M211" s="20" t="n">
        <v>0</v>
      </c>
      <c r="U211" s="20" t="n">
        <v>0</v>
      </c>
      <c r="V211" s="20" t="n">
        <v>-122</v>
      </c>
      <c r="W211" s="20" t="n">
        <v>-162</v>
      </c>
      <c r="X211" s="20" t="n">
        <v>0</v>
      </c>
    </row>
    <row r="212">
      <c r="A212" s="18" t="inlineStr">
        <is>
          <t>기타 지출</t>
        </is>
      </c>
      <c r="E212" s="20" t="n">
        <v>-164</v>
      </c>
      <c r="I212" s="20" t="n">
        <v>-1185</v>
      </c>
      <c r="M212" s="20" t="n">
        <v>-406</v>
      </c>
      <c r="O212" s="20" t="n">
        <v>-222</v>
      </c>
      <c r="P212" s="20" t="n">
        <v>-259</v>
      </c>
      <c r="Q212" s="20" t="n">
        <v>-182</v>
      </c>
      <c r="R212" s="20" t="n">
        <v>-213</v>
      </c>
      <c r="S212" s="20" t="n">
        <v>-51</v>
      </c>
      <c r="T212" s="20" t="n">
        <v>-240</v>
      </c>
      <c r="U212" s="20" t="n">
        <v>-427</v>
      </c>
      <c r="V212" s="20" t="n">
        <v>-164</v>
      </c>
      <c r="W212" s="20" t="n">
        <v>-1185</v>
      </c>
      <c r="X212" s="20" t="n">
        <v>-406</v>
      </c>
    </row>
    <row r="213">
      <c r="A213" s="18" t="inlineStr">
        <is>
          <t>기타 수입</t>
        </is>
      </c>
      <c r="E213" s="20" t="n">
        <v>4</v>
      </c>
      <c r="I213" s="20" t="n">
        <v>163</v>
      </c>
      <c r="M213" s="20" t="n">
        <v>80</v>
      </c>
      <c r="O213" s="20" t="n">
        <v>131</v>
      </c>
      <c r="P213" s="20" t="n">
        <v>343</v>
      </c>
      <c r="Q213" s="20" t="n">
        <v>138</v>
      </c>
      <c r="R213" s="20" t="n">
        <v>140</v>
      </c>
      <c r="S213" s="20" t="n">
        <v>37</v>
      </c>
      <c r="T213" s="20" t="n">
        <v>213</v>
      </c>
      <c r="U213" s="20" t="n">
        <v>37</v>
      </c>
      <c r="V213" s="20" t="n">
        <v>4</v>
      </c>
      <c r="W213" s="20" t="n">
        <v>163</v>
      </c>
      <c r="X213" s="20" t="n">
        <v>80</v>
      </c>
    </row>
    <row r="214">
      <c r="A214" s="18" t="inlineStr">
        <is>
          <t>기타</t>
        </is>
      </c>
      <c r="C214" s="20" t="n">
        <v>-43</v>
      </c>
      <c r="D214" s="20" t="n">
        <v>-97</v>
      </c>
      <c r="F214" s="20" t="n">
        <v>-139</v>
      </c>
      <c r="G214" s="20" t="n">
        <v>-240</v>
      </c>
      <c r="H214" s="20" t="n">
        <v>-201</v>
      </c>
      <c r="J214" s="20" t="n">
        <v>0</v>
      </c>
      <c r="K214" s="20" t="n">
        <v>-101</v>
      </c>
      <c r="L214" s="20" t="n">
        <v>-298</v>
      </c>
      <c r="N214" s="20" t="n">
        <v>-40</v>
      </c>
    </row>
    <row r="215">
      <c r="A215" s="9" t="inlineStr">
        <is>
          <t>투자활동 현금흐름</t>
        </is>
      </c>
      <c r="C215" s="12" t="n">
        <v>-3250</v>
      </c>
      <c r="D215" s="12" t="n">
        <v>-5097</v>
      </c>
      <c r="E215" s="12" t="n">
        <v>-5962</v>
      </c>
      <c r="F215" s="12" t="n">
        <v>-800</v>
      </c>
      <c r="G215" s="12" t="n">
        <v>-1493</v>
      </c>
      <c r="H215" s="12" t="n">
        <v>-3778</v>
      </c>
      <c r="I215" s="12" t="n">
        <v>-7273</v>
      </c>
      <c r="J215" s="12" t="n">
        <v>-11404</v>
      </c>
      <c r="K215" s="12" t="n">
        <v>-35061</v>
      </c>
      <c r="L215" s="12" t="n">
        <v>-41602</v>
      </c>
      <c r="M215" s="12" t="n">
        <v>-55862</v>
      </c>
      <c r="N215" s="12" t="n">
        <v>21064</v>
      </c>
      <c r="O215" s="12" t="n">
        <v>-3628</v>
      </c>
      <c r="P215" s="12" t="n">
        <v>-2847</v>
      </c>
      <c r="Q215" s="12" t="n">
        <v>-2261</v>
      </c>
      <c r="R215" s="12" t="n">
        <v>-8437</v>
      </c>
      <c r="S215" s="12" t="n">
        <v>-4233</v>
      </c>
      <c r="T215" s="12" t="n">
        <v>-7426</v>
      </c>
      <c r="U215" s="12" t="n">
        <v>-7679</v>
      </c>
      <c r="V215" s="12" t="n">
        <v>-5962</v>
      </c>
      <c r="W215" s="12" t="n">
        <v>-7273</v>
      </c>
      <c r="X215" s="12" t="n">
        <v>-55862</v>
      </c>
    </row>
    <row r="216">
      <c r="A216" s="18" t="inlineStr">
        <is>
          <t>단기차입</t>
        </is>
      </c>
      <c r="D216" s="20" t="n">
        <v>0</v>
      </c>
    </row>
    <row r="217">
      <c r="A217" s="18" t="inlineStr">
        <is>
          <t>장기차입</t>
        </is>
      </c>
      <c r="E217" s="20" t="n">
        <v>3000</v>
      </c>
      <c r="I217" s="20" t="n">
        <v>0</v>
      </c>
      <c r="R217" s="20" t="n">
        <v>0</v>
      </c>
      <c r="S217" s="20" t="n">
        <v>3000</v>
      </c>
      <c r="T217" s="20" t="n">
        <v>0</v>
      </c>
      <c r="U217" s="20" t="n">
        <v>0</v>
      </c>
      <c r="V217" s="20" t="n">
        <v>3000</v>
      </c>
      <c r="W217" s="20" t="n">
        <v>0</v>
      </c>
    </row>
    <row r="218">
      <c r="A218" s="18" t="inlineStr">
        <is>
          <t>단기차입금 상환</t>
        </is>
      </c>
      <c r="G218" s="20" t="n">
        <v>0</v>
      </c>
      <c r="H218" s="20" t="n">
        <v>0</v>
      </c>
      <c r="K218" s="20" t="n">
        <v>-3591</v>
      </c>
      <c r="L218" s="20" t="n">
        <v>-3591</v>
      </c>
    </row>
    <row r="219">
      <c r="A219" s="18" t="inlineStr">
        <is>
          <t>단기차입금 순증감</t>
        </is>
      </c>
      <c r="E219" s="20" t="n">
        <v>0</v>
      </c>
      <c r="I219" s="20" t="n">
        <v>0</v>
      </c>
      <c r="M219" s="20" t="n">
        <v>-3591</v>
      </c>
      <c r="O219" s="20" t="n">
        <v>5000</v>
      </c>
      <c r="P219" s="20" t="n">
        <v>-5000</v>
      </c>
      <c r="Q219" s="20" t="n">
        <v>0</v>
      </c>
      <c r="T219" s="20" t="n">
        <v>0</v>
      </c>
      <c r="U219" s="20" t="n">
        <v>3591</v>
      </c>
      <c r="V219" s="20" t="n">
        <v>0</v>
      </c>
      <c r="W219" s="20" t="n">
        <v>0</v>
      </c>
      <c r="X219" s="20" t="n">
        <v>-3591</v>
      </c>
    </row>
    <row r="220">
      <c r="A220" s="18" t="inlineStr">
        <is>
          <t>장기차입금 상환</t>
        </is>
      </c>
      <c r="C220" s="20" t="n">
        <v>-313</v>
      </c>
      <c r="D220" s="20" t="n">
        <v>-371</v>
      </c>
      <c r="E220" s="20" t="n">
        <v>-3685</v>
      </c>
      <c r="G220" s="20" t="n">
        <v>-313</v>
      </c>
      <c r="H220" s="20" t="n">
        <v>-316</v>
      </c>
      <c r="I220" s="20" t="n">
        <v>-688</v>
      </c>
      <c r="K220" s="20" t="n">
        <v>-3000</v>
      </c>
      <c r="L220" s="20" t="n">
        <v>-3000</v>
      </c>
      <c r="M220" s="20" t="n">
        <v>-3000</v>
      </c>
      <c r="O220" s="20" t="n">
        <v>-1497</v>
      </c>
      <c r="P220" s="20" t="n">
        <v>-1323</v>
      </c>
      <c r="Q220" s="20" t="n">
        <v>-1473</v>
      </c>
      <c r="R220" s="20" t="n">
        <v>-1579</v>
      </c>
      <c r="S220" s="20" t="n">
        <v>-4129</v>
      </c>
      <c r="T220" s="20" t="n">
        <v>-727</v>
      </c>
      <c r="U220" s="20" t="n">
        <v>-626</v>
      </c>
      <c r="V220" s="20" t="n">
        <v>-3685</v>
      </c>
      <c r="W220" s="20" t="n">
        <v>-688</v>
      </c>
      <c r="X220" s="20" t="n">
        <v>-3000</v>
      </c>
    </row>
    <row r="221">
      <c r="A221" s="18" t="inlineStr">
        <is>
          <t>리스부채 상환</t>
        </is>
      </c>
      <c r="E221" s="20" t="n">
        <v>-1017</v>
      </c>
      <c r="I221" s="20" t="n">
        <v>-1222</v>
      </c>
      <c r="M221" s="20" t="n">
        <v>-1567</v>
      </c>
      <c r="O221" s="20" t="n">
        <v>-535</v>
      </c>
      <c r="P221" s="20" t="n">
        <v>-509</v>
      </c>
      <c r="Q221" s="20" t="n">
        <v>-414</v>
      </c>
      <c r="R221" s="20" t="n">
        <v>-505</v>
      </c>
      <c r="S221" s="20" t="n">
        <v>-500</v>
      </c>
      <c r="T221" s="20" t="n">
        <v>-504</v>
      </c>
      <c r="U221" s="20" t="n">
        <v>-935</v>
      </c>
      <c r="V221" s="20" t="n">
        <v>-1017</v>
      </c>
      <c r="W221" s="20" t="n">
        <v>-1222</v>
      </c>
      <c r="X221" s="20" t="n">
        <v>-1567</v>
      </c>
    </row>
    <row r="222">
      <c r="A222" s="18" t="inlineStr">
        <is>
          <t>자기주식 취득</t>
        </is>
      </c>
      <c r="C222" s="20" t="n">
        <v>-0</v>
      </c>
      <c r="D222" s="20" t="n">
        <v>-0</v>
      </c>
      <c r="E222" s="20" t="n">
        <v>-1</v>
      </c>
      <c r="F222" s="20" t="n">
        <v>-1</v>
      </c>
      <c r="G222" s="20" t="n">
        <v>-2</v>
      </c>
      <c r="H222" s="20" t="n">
        <v>-2</v>
      </c>
      <c r="I222" s="20" t="n">
        <v>-2</v>
      </c>
      <c r="J222" s="20" t="n">
        <v>-0</v>
      </c>
      <c r="K222" s="20" t="n">
        <v>-0</v>
      </c>
      <c r="L222" s="20" t="n">
        <v>-0</v>
      </c>
      <c r="M222" s="20" t="n">
        <v>-1</v>
      </c>
      <c r="N222" s="20" t="n">
        <v>0</v>
      </c>
      <c r="O222" s="20" t="n">
        <v>-3302</v>
      </c>
      <c r="P222" s="20" t="n">
        <v>-5</v>
      </c>
      <c r="Q222" s="20" t="n">
        <v>-6001</v>
      </c>
      <c r="R222" s="20" t="n">
        <v>-1</v>
      </c>
      <c r="S222" s="20" t="n">
        <v>-3</v>
      </c>
      <c r="T222" s="20" t="n">
        <v>-2</v>
      </c>
      <c r="U222" s="20" t="n">
        <v>-13645</v>
      </c>
      <c r="V222" s="20" t="n">
        <v>-1</v>
      </c>
      <c r="W222" s="20" t="n">
        <v>-2</v>
      </c>
      <c r="X222" s="20" t="n">
        <v>-1</v>
      </c>
    </row>
    <row r="223">
      <c r="A223" s="18" t="inlineStr">
        <is>
          <t>배당금 지급</t>
        </is>
      </c>
      <c r="C223" s="20" t="n">
        <v>-8516</v>
      </c>
      <c r="D223" s="20" t="n">
        <v>-14271</v>
      </c>
      <c r="E223" s="20" t="n">
        <v>-14266</v>
      </c>
      <c r="F223" s="20" t="n">
        <v>-9164</v>
      </c>
      <c r="G223" s="20" t="n">
        <v>-9156</v>
      </c>
      <c r="H223" s="20" t="n">
        <v>-16829</v>
      </c>
      <c r="I223" s="20" t="n">
        <v>-16823</v>
      </c>
      <c r="J223" s="20" t="n">
        <v>-9378</v>
      </c>
      <c r="K223" s="20" t="n">
        <v>-9369</v>
      </c>
      <c r="L223" s="20" t="n">
        <v>-17894</v>
      </c>
      <c r="M223" s="20" t="n">
        <v>-17887</v>
      </c>
      <c r="N223" s="20" t="n">
        <v>-10655</v>
      </c>
      <c r="O223" s="20" t="n">
        <v>-2794</v>
      </c>
      <c r="P223" s="20" t="n">
        <v>-2738</v>
      </c>
      <c r="Q223" s="20" t="n">
        <v>-3554</v>
      </c>
      <c r="R223" s="20" t="n">
        <v>-4265</v>
      </c>
      <c r="S223" s="20" t="n">
        <v>-5331</v>
      </c>
      <c r="T223" s="20" t="n">
        <v>-8745</v>
      </c>
      <c r="U223" s="20" t="n">
        <v>-10868</v>
      </c>
      <c r="V223" s="20" t="n">
        <v>-14266</v>
      </c>
      <c r="W223" s="20" t="n">
        <v>-16823</v>
      </c>
      <c r="X223" s="20" t="n">
        <v>-17887</v>
      </c>
    </row>
    <row r="224">
      <c r="A224" s="18" t="inlineStr">
        <is>
          <t>비지배주주 배당금 지급</t>
        </is>
      </c>
      <c r="G224" s="20" t="n">
        <v>0</v>
      </c>
      <c r="H224" s="20" t="n">
        <v>0</v>
      </c>
      <c r="I224" s="20" t="n">
        <v>0</v>
      </c>
      <c r="K224" s="20" t="n">
        <v>-21</v>
      </c>
      <c r="L224" s="20" t="n">
        <v>-21</v>
      </c>
      <c r="M224" s="20" t="n">
        <v>-21</v>
      </c>
      <c r="W224" s="20" t="n">
        <v>0</v>
      </c>
      <c r="X224" s="20" t="n">
        <v>-21</v>
      </c>
    </row>
    <row r="225">
      <c r="A225" s="18" t="inlineStr">
        <is>
          <t>기타</t>
        </is>
      </c>
      <c r="C225" s="20" t="n">
        <v>-551</v>
      </c>
      <c r="D225" s="20" t="n">
        <v>-754</v>
      </c>
      <c r="F225" s="20" t="n">
        <v>-295</v>
      </c>
      <c r="G225" s="20" t="n">
        <v>-628</v>
      </c>
      <c r="H225" s="20" t="n">
        <v>-903</v>
      </c>
      <c r="J225" s="20" t="n">
        <v>-372</v>
      </c>
      <c r="K225" s="20" t="n">
        <v>-717</v>
      </c>
      <c r="L225" s="20" t="n">
        <v>-1124</v>
      </c>
      <c r="N225" s="20" t="n">
        <v>-399</v>
      </c>
    </row>
    <row r="226">
      <c r="A226" s="9" t="inlineStr">
        <is>
          <t>재무활동 현금흐름</t>
        </is>
      </c>
      <c r="C226" s="12" t="n">
        <v>-9380</v>
      </c>
      <c r="D226" s="12" t="n">
        <v>-15399</v>
      </c>
      <c r="E226" s="12" t="n">
        <v>-15969</v>
      </c>
      <c r="F226" s="12" t="n">
        <v>-9461</v>
      </c>
      <c r="G226" s="12" t="n">
        <v>-10099</v>
      </c>
      <c r="H226" s="12" t="n">
        <v>-18051</v>
      </c>
      <c r="I226" s="12" t="n">
        <v>-18735</v>
      </c>
      <c r="J226" s="12" t="n">
        <v>-9750</v>
      </c>
      <c r="K226" s="12" t="n">
        <v>-16700</v>
      </c>
      <c r="L226" s="12" t="n">
        <v>-25632</v>
      </c>
      <c r="M226" s="12" t="n">
        <v>-26069</v>
      </c>
      <c r="N226" s="12" t="n">
        <v>-11054</v>
      </c>
      <c r="O226" s="12" t="n">
        <v>-3130</v>
      </c>
      <c r="P226" s="12" t="n">
        <v>-9577</v>
      </c>
      <c r="Q226" s="12" t="n">
        <v>-11443</v>
      </c>
      <c r="R226" s="12" t="n">
        <v>-6351</v>
      </c>
      <c r="S226" s="12" t="n">
        <v>-6965</v>
      </c>
      <c r="T226" s="12" t="n">
        <v>-9980</v>
      </c>
      <c r="U226" s="12" t="n">
        <v>-22485</v>
      </c>
      <c r="V226" s="12" t="n">
        <v>-15969</v>
      </c>
      <c r="W226" s="12" t="n">
        <v>-18735</v>
      </c>
      <c r="X226" s="12" t="n">
        <v>-26069</v>
      </c>
    </row>
    <row r="227">
      <c r="A227" s="18" t="inlineStr">
        <is>
          <t>현금성자산 환산차이</t>
        </is>
      </c>
      <c r="C227" s="20" t="n">
        <v>3785</v>
      </c>
      <c r="D227" s="20" t="n">
        <v>2591</v>
      </c>
      <c r="E227" s="20" t="n">
        <v>4631</v>
      </c>
      <c r="F227" s="20" t="n">
        <v>2015</v>
      </c>
      <c r="G227" s="20" t="n">
        <v>-958</v>
      </c>
      <c r="H227" s="20" t="n">
        <v>1080</v>
      </c>
      <c r="I227" s="20" t="n">
        <v>-274</v>
      </c>
      <c r="J227" s="20" t="n">
        <v>-106</v>
      </c>
      <c r="K227" s="20" t="n">
        <v>537</v>
      </c>
      <c r="L227" s="20" t="n">
        <v>1799</v>
      </c>
      <c r="M227" s="20" t="n">
        <v>2958</v>
      </c>
      <c r="N227" s="20" t="n">
        <v>759</v>
      </c>
      <c r="O227" s="20" t="n">
        <v>-533</v>
      </c>
      <c r="P227" s="20" t="n">
        <v>-96</v>
      </c>
      <c r="Q227" s="20" t="n">
        <v>323</v>
      </c>
      <c r="R227" s="20" t="n">
        <v>-823</v>
      </c>
      <c r="S227" s="20" t="n">
        <v>944</v>
      </c>
      <c r="T227" s="20" t="n">
        <v>2050</v>
      </c>
      <c r="U227" s="20" t="n">
        <v>2209</v>
      </c>
      <c r="V227" s="20" t="n">
        <v>4631</v>
      </c>
      <c r="W227" s="20" t="n">
        <v>-274</v>
      </c>
      <c r="X227" s="20" t="n">
        <v>2958</v>
      </c>
    </row>
    <row r="228">
      <c r="A228" s="18" t="inlineStr">
        <is>
          <t>현금성자산 증감</t>
        </is>
      </c>
      <c r="C228" s="20" t="n">
        <v>18380</v>
      </c>
      <c r="D228" s="20" t="n">
        <v>3427</v>
      </c>
      <c r="E228" s="20" t="n">
        <v>19620</v>
      </c>
      <c r="F228" s="20" t="n">
        <v>1160</v>
      </c>
      <c r="G228" s="20" t="n">
        <v>1542</v>
      </c>
      <c r="H228" s="20" t="n">
        <v>-1788</v>
      </c>
      <c r="I228" s="20" t="n">
        <v>41334</v>
      </c>
      <c r="J228" s="20" t="n">
        <v>-16089</v>
      </c>
      <c r="K228" s="20" t="n">
        <v>-46699</v>
      </c>
      <c r="L228" s="20" t="n">
        <v>-72190</v>
      </c>
      <c r="M228" s="20" t="n">
        <v>-47593</v>
      </c>
      <c r="N228" s="20" t="n">
        <v>37917</v>
      </c>
      <c r="O228" s="20" t="n">
        <v>-4091</v>
      </c>
      <c r="P228" s="20" t="n">
        <v>22201</v>
      </c>
      <c r="Q228" s="20" t="n">
        <v>6464</v>
      </c>
      <c r="R228" s="20" t="n">
        <v>6667</v>
      </c>
      <c r="S228" s="20" t="n">
        <v>4371</v>
      </c>
      <c r="T228" s="20" t="n">
        <v>31592</v>
      </c>
      <c r="U228" s="20" t="n">
        <v>-6165</v>
      </c>
      <c r="V228" s="20" t="n">
        <v>19620</v>
      </c>
      <c r="W228" s="20" t="n">
        <v>41334</v>
      </c>
      <c r="X228" s="20" t="n">
        <v>-47593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9697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233356</v>
      </c>
      <c r="D5" s="12" t="n">
        <v>224219</v>
      </c>
      <c r="E5" s="12" t="n">
        <v>215839</v>
      </c>
      <c r="F5" s="12" t="n">
        <v>257940</v>
      </c>
      <c r="G5" s="12" t="n">
        <v>257723</v>
      </c>
      <c r="H5" s="11" t="n">
        <v>151312</v>
      </c>
      <c r="I5" s="12" t="n">
        <v>171402</v>
      </c>
      <c r="J5" s="12" t="n">
        <v>197826</v>
      </c>
      <c r="K5" s="12" t="n">
        <v>262082</v>
      </c>
      <c r="L5" s="12" t="n">
        <v>257940</v>
      </c>
    </row>
    <row r="6">
      <c r="A6" s="18" t="inlineStr">
        <is>
          <t>현금및현금성자산</t>
        </is>
      </c>
      <c r="B6" s="10" t="n"/>
      <c r="C6" s="19" t="n">
        <v>153269</v>
      </c>
      <c r="D6" s="20" t="n">
        <v>130735</v>
      </c>
      <c r="E6" s="20" t="n">
        <v>111767</v>
      </c>
      <c r="F6" s="20" t="n">
        <v>148002</v>
      </c>
      <c r="G6" s="20" t="n">
        <v>161208</v>
      </c>
      <c r="H6" s="19" t="n">
        <v>107262</v>
      </c>
      <c r="I6" s="20" t="n">
        <v>102116</v>
      </c>
      <c r="J6" s="20" t="n">
        <v>125191</v>
      </c>
      <c r="K6" s="20" t="n">
        <v>166783</v>
      </c>
      <c r="L6" s="20" t="n">
        <v>148002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15072</v>
      </c>
      <c r="D8" s="20" t="n">
        <v>14934</v>
      </c>
      <c r="E8" s="20" t="n">
        <v>12998</v>
      </c>
      <c r="F8" s="20" t="n">
        <v>33283</v>
      </c>
      <c r="G8" s="20" t="n">
        <v>17508</v>
      </c>
      <c r="H8" s="19" t="n">
        <v>7404</v>
      </c>
      <c r="I8" s="20" t="n">
        <v>24981</v>
      </c>
      <c r="J8" s="20" t="n">
        <v>25383</v>
      </c>
      <c r="K8" s="20" t="n">
        <v>33341</v>
      </c>
      <c r="L8" s="20" t="n">
        <v>33283</v>
      </c>
    </row>
    <row r="9">
      <c r="A9" s="18" t="inlineStr">
        <is>
          <t>재고자산</t>
        </is>
      </c>
      <c r="B9" s="10" t="n"/>
      <c r="C9" s="19" t="n">
        <v>4003</v>
      </c>
      <c r="D9" s="20" t="n">
        <v>9955</v>
      </c>
      <c r="E9" s="20" t="n">
        <v>14565</v>
      </c>
      <c r="F9" s="20" t="n">
        <v>6690</v>
      </c>
      <c r="G9" s="20" t="n">
        <v>6068</v>
      </c>
      <c r="H9" s="19" t="n">
        <v>2395</v>
      </c>
      <c r="I9" s="20" t="n">
        <v>2900</v>
      </c>
      <c r="J9" s="20" t="n">
        <v>3761</v>
      </c>
      <c r="K9" s="20" t="n">
        <v>4830</v>
      </c>
      <c r="L9" s="20" t="n">
        <v>6690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59884</v>
      </c>
      <c r="D11" s="12" t="n">
        <v>74632</v>
      </c>
      <c r="E11" s="12" t="n">
        <v>75029</v>
      </c>
      <c r="F11" s="12" t="n">
        <v>81367</v>
      </c>
      <c r="G11" s="12" t="n">
        <v>83588</v>
      </c>
      <c r="H11" s="11" t="n">
        <v>36053</v>
      </c>
      <c r="I11" s="12" t="n">
        <v>45963</v>
      </c>
      <c r="J11" s="12" t="n">
        <v>45650</v>
      </c>
      <c r="K11" s="12" t="n">
        <v>50899</v>
      </c>
      <c r="L11" s="12" t="n">
        <v>81367</v>
      </c>
    </row>
    <row r="12">
      <c r="A12" s="18" t="inlineStr">
        <is>
          <t>유형자산</t>
        </is>
      </c>
      <c r="B12" s="10" t="n"/>
      <c r="C12" s="19" t="n">
        <v>42195</v>
      </c>
      <c r="D12" s="20" t="n">
        <v>42431</v>
      </c>
      <c r="E12" s="20" t="n">
        <v>42853</v>
      </c>
      <c r="F12" s="20" t="n">
        <v>45305</v>
      </c>
      <c r="G12" s="20" t="n">
        <v>47452</v>
      </c>
      <c r="H12" s="19" t="n">
        <v>21206</v>
      </c>
      <c r="I12" s="20" t="n">
        <v>27945</v>
      </c>
      <c r="J12" s="20" t="n">
        <v>30468</v>
      </c>
      <c r="K12" s="20" t="n">
        <v>33554</v>
      </c>
      <c r="L12" s="20" t="n">
        <v>45305</v>
      </c>
    </row>
    <row r="13">
      <c r="A13" s="18" t="inlineStr">
        <is>
          <t>무형자산</t>
        </is>
      </c>
      <c r="B13" s="10" t="n"/>
      <c r="C13" s="19" t="n">
        <v>1459</v>
      </c>
      <c r="D13" s="20" t="n">
        <v>1502</v>
      </c>
      <c r="E13" s="20" t="n">
        <v>1549</v>
      </c>
      <c r="F13" s="20" t="n">
        <v>1600</v>
      </c>
      <c r="G13" s="20" t="n">
        <v>1513</v>
      </c>
      <c r="H13" s="19" t="n">
        <v>1747</v>
      </c>
      <c r="I13" s="20" t="n">
        <v>1630</v>
      </c>
      <c r="J13" s="20" t="n">
        <v>1444</v>
      </c>
      <c r="K13" s="20" t="n">
        <v>1436</v>
      </c>
      <c r="L13" s="20" t="n">
        <v>1600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293241</v>
      </c>
      <c r="D16" s="12" t="n">
        <v>298852</v>
      </c>
      <c r="E16" s="12" t="n">
        <v>290869</v>
      </c>
      <c r="F16" s="12" t="n">
        <v>339307</v>
      </c>
      <c r="G16" s="12" t="n">
        <v>341312</v>
      </c>
      <c r="H16" s="11" t="n">
        <v>187365</v>
      </c>
      <c r="I16" s="12" t="n">
        <v>217365</v>
      </c>
      <c r="J16" s="12" t="n">
        <v>243476</v>
      </c>
      <c r="K16" s="12" t="n">
        <v>312982</v>
      </c>
      <c r="L16" s="12" t="n">
        <v>339307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42151</v>
      </c>
      <c r="D18" s="12" t="n">
        <v>38642</v>
      </c>
      <c r="E18" s="12" t="n">
        <v>24987</v>
      </c>
      <c r="F18" s="12" t="n">
        <v>56257</v>
      </c>
      <c r="G18" s="12" t="n">
        <v>38712</v>
      </c>
      <c r="H18" s="11" t="n">
        <v>30742</v>
      </c>
      <c r="I18" s="12" t="n">
        <v>46043</v>
      </c>
      <c r="J18" s="12" t="n">
        <v>33213</v>
      </c>
      <c r="K18" s="12" t="n">
        <v>69478</v>
      </c>
      <c r="L18" s="12" t="n">
        <v>56257</v>
      </c>
    </row>
    <row r="19">
      <c r="A19" s="18" t="inlineStr">
        <is>
          <t>매입채무</t>
        </is>
      </c>
      <c r="B19" s="10" t="n"/>
      <c r="C19" s="19" t="n">
        <v>1880</v>
      </c>
      <c r="D19" s="20" t="n">
        <v>3161</v>
      </c>
      <c r="E19" s="20" t="n">
        <v>2695</v>
      </c>
      <c r="F19" s="20" t="n">
        <v>4082</v>
      </c>
      <c r="G19" s="20" t="n">
        <v>2840</v>
      </c>
      <c r="H19" s="19" t="n">
        <v>2325</v>
      </c>
      <c r="I19" s="20" t="n">
        <v>3357</v>
      </c>
      <c r="J19" s="20" t="n">
        <v>2603</v>
      </c>
      <c r="K19" s="20" t="n">
        <v>3117</v>
      </c>
      <c r="L19" s="20" t="n">
        <v>4082</v>
      </c>
    </row>
    <row r="20">
      <c r="A20" s="18" t="inlineStr">
        <is>
          <t>단기차입금</t>
        </is>
      </c>
      <c r="B20" s="10" t="n"/>
      <c r="C20" s="19" t="n">
        <v>3591</v>
      </c>
      <c r="D20" s="20" t="n">
        <v>0</v>
      </c>
      <c r="E20" s="20" t="n">
        <v>0</v>
      </c>
      <c r="F20" s="20" t="n">
        <v>0</v>
      </c>
      <c r="G20" s="20" t="n"/>
      <c r="H20" s="19" t="n">
        <v>0</v>
      </c>
      <c r="I20" s="20" t="n">
        <v>3591</v>
      </c>
      <c r="J20" s="20" t="n">
        <v>3591</v>
      </c>
      <c r="K20" s="20" t="n">
        <v>3591</v>
      </c>
      <c r="L20" s="20" t="n">
        <v>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>
        <v>626</v>
      </c>
      <c r="I21" s="20" t="n">
        <v>3626</v>
      </c>
      <c r="J21" s="20" t="n">
        <v>626</v>
      </c>
      <c r="K21" s="20" t="n">
        <v>0</v>
      </c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17509</v>
      </c>
      <c r="D23" s="12" t="n">
        <v>15021</v>
      </c>
      <c r="E23" s="12" t="n">
        <v>15636</v>
      </c>
      <c r="F23" s="12" t="n">
        <v>15334</v>
      </c>
      <c r="G23" s="12" t="n">
        <v>15675</v>
      </c>
      <c r="H23" s="11" t="n">
        <v>10147</v>
      </c>
      <c r="I23" s="12" t="n">
        <v>10193</v>
      </c>
      <c r="J23" s="12" t="n">
        <v>15181</v>
      </c>
      <c r="K23" s="12" t="n">
        <v>17200</v>
      </c>
      <c r="L23" s="12" t="n">
        <v>15334</v>
      </c>
    </row>
    <row r="24">
      <c r="A24" s="18" t="inlineStr">
        <is>
          <t>장기차입금</t>
        </is>
      </c>
      <c r="B24" s="10" t="n"/>
      <c r="C24" s="19" t="n">
        <v>3000</v>
      </c>
      <c r="D24" s="20" t="n">
        <v>0</v>
      </c>
      <c r="E24" s="20" t="n">
        <v>0</v>
      </c>
      <c r="F24" s="20" t="n">
        <v>0</v>
      </c>
      <c r="G24" s="20" t="n"/>
      <c r="H24" s="19" t="n">
        <v>4252</v>
      </c>
      <c r="I24" s="20" t="n">
        <v>626</v>
      </c>
      <c r="J24" s="20" t="n">
        <v>3000</v>
      </c>
      <c r="K24" s="20" t="n">
        <v>3000</v>
      </c>
      <c r="L24" s="20" t="n">
        <v>0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59661</v>
      </c>
      <c r="D27" s="12" t="n">
        <v>53664</v>
      </c>
      <c r="E27" s="12" t="n">
        <v>40623</v>
      </c>
      <c r="F27" s="12" t="n">
        <v>71591</v>
      </c>
      <c r="G27" s="12" t="n">
        <v>54387</v>
      </c>
      <c r="H27" s="11" t="n">
        <v>40890</v>
      </c>
      <c r="I27" s="12" t="n">
        <v>56236</v>
      </c>
      <c r="J27" s="12" t="n">
        <v>48394</v>
      </c>
      <c r="K27" s="12" t="n">
        <v>86678</v>
      </c>
      <c r="L27" s="12" t="n">
        <v>71591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233579</v>
      </c>
      <c r="D31" s="12" t="n">
        <v>245188</v>
      </c>
      <c r="E31" s="12" t="n">
        <v>250245</v>
      </c>
      <c r="F31" s="12" t="n">
        <v>267702</v>
      </c>
      <c r="G31" s="12" t="n">
        <v>286888</v>
      </c>
      <c r="H31" s="11" t="n">
        <v>146475</v>
      </c>
      <c r="I31" s="12" t="n">
        <v>161129</v>
      </c>
      <c r="J31" s="12" t="n">
        <v>195081</v>
      </c>
      <c r="K31" s="12" t="n">
        <v>226303</v>
      </c>
      <c r="L31" s="12" t="n">
        <v>267702</v>
      </c>
    </row>
    <row r="32">
      <c r="A32" s="18" t="inlineStr">
        <is>
          <t>자본금</t>
        </is>
      </c>
      <c r="B32" s="10" t="n"/>
      <c r="C32" s="19" t="n">
        <v>33239</v>
      </c>
      <c r="D32" s="20" t="n">
        <v>33239</v>
      </c>
      <c r="E32" s="20" t="n">
        <v>33239</v>
      </c>
      <c r="F32" s="20" t="n">
        <v>33239</v>
      </c>
      <c r="G32" s="20" t="n">
        <v>33239</v>
      </c>
      <c r="H32" s="19" t="n">
        <v>33239</v>
      </c>
      <c r="I32" s="20" t="n">
        <v>33239</v>
      </c>
      <c r="J32" s="20" t="n">
        <v>33239</v>
      </c>
      <c r="K32" s="20" t="n">
        <v>33239</v>
      </c>
      <c r="L32" s="20" t="n">
        <v>33239</v>
      </c>
    </row>
    <row r="33">
      <c r="A33" s="18" t="inlineStr">
        <is>
          <t>이익잉여금</t>
        </is>
      </c>
      <c r="B33" s="10" t="n"/>
      <c r="C33" s="19" t="n">
        <v>212094</v>
      </c>
      <c r="D33" s="20" t="n">
        <v>222348</v>
      </c>
      <c r="E33" s="20" t="n">
        <v>225195</v>
      </c>
      <c r="F33" s="20" t="n">
        <v>240919</v>
      </c>
      <c r="G33" s="20" t="n">
        <v>259423</v>
      </c>
      <c r="H33" s="19" t="n">
        <v>117661</v>
      </c>
      <c r="I33" s="20" t="n">
        <v>143519</v>
      </c>
      <c r="J33" s="20" t="n">
        <v>172615</v>
      </c>
      <c r="K33" s="20" t="n">
        <v>204233</v>
      </c>
      <c r="L33" s="20" t="n">
        <v>240919</v>
      </c>
    </row>
    <row r="34">
      <c r="A34" s="18" t="inlineStr">
        <is>
          <t>비지배지분</t>
        </is>
      </c>
      <c r="B34" s="10" t="n"/>
      <c r="C34" s="19" t="n">
        <v>0</v>
      </c>
      <c r="D34" s="20" t="n">
        <v>0</v>
      </c>
      <c r="E34" s="20" t="n">
        <v>0</v>
      </c>
      <c r="F34" s="20" t="n">
        <v>14</v>
      </c>
      <c r="G34" s="20" t="n">
        <v>36</v>
      </c>
      <c r="H34" s="19" t="n"/>
      <c r="I34" s="20" t="n"/>
      <c r="J34" s="20" t="n">
        <v>0</v>
      </c>
      <c r="K34" s="20" t="n">
        <v>0</v>
      </c>
      <c r="L34" s="20" t="n">
        <v>14</v>
      </c>
    </row>
    <row r="35">
      <c r="A35" s="9" t="inlineStr">
        <is>
          <t>자본총계</t>
        </is>
      </c>
      <c r="B35" s="10" t="n"/>
      <c r="C35" s="11" t="n">
        <v>233579</v>
      </c>
      <c r="D35" s="12" t="n">
        <v>245188</v>
      </c>
      <c r="E35" s="12" t="n">
        <v>250245</v>
      </c>
      <c r="F35" s="12" t="n">
        <v>267716</v>
      </c>
      <c r="G35" s="12" t="n">
        <v>286924</v>
      </c>
      <c r="H35" s="11" t="n">
        <v>146475</v>
      </c>
      <c r="I35" s="12" t="n">
        <v>161129</v>
      </c>
      <c r="J35" s="12" t="n">
        <v>195081</v>
      </c>
      <c r="K35" s="12" t="n">
        <v>226303</v>
      </c>
      <c r="L35" s="12" t="n">
        <v>267716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63383</v>
      </c>
      <c r="D37" s="12" t="n">
        <v>58049</v>
      </c>
      <c r="E37" s="12" t="n">
        <v>41903</v>
      </c>
      <c r="F37" s="12" t="n">
        <v>31380</v>
      </c>
      <c r="G37" s="12" t="n">
        <v>53356</v>
      </c>
      <c r="H37" s="11" t="n">
        <v>46947</v>
      </c>
      <c r="I37" s="12" t="n">
        <v>21789</v>
      </c>
      <c r="J37" s="12" t="n">
        <v>36921</v>
      </c>
      <c r="K37" s="12" t="n">
        <v>67618</v>
      </c>
      <c r="L37" s="12" t="n">
        <v>31380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13806</v>
      </c>
      <c r="D38" s="20" t="n">
        <v>14436</v>
      </c>
      <c r="E38" s="20" t="n">
        <v>13607</v>
      </c>
      <c r="F38" s="20" t="n">
        <v>14298</v>
      </c>
      <c r="G38" s="20" t="n">
        <v>9689</v>
      </c>
      <c r="H38" s="19" t="n">
        <v>4067</v>
      </c>
      <c r="I38" s="20" t="n">
        <v>7415</v>
      </c>
      <c r="J38" s="20" t="n">
        <v>5135</v>
      </c>
      <c r="K38" s="20" t="n">
        <v>6277</v>
      </c>
      <c r="L38" s="20" t="n">
        <v>14298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17037</v>
      </c>
      <c r="D40" s="20" t="n">
        <v>17036</v>
      </c>
      <c r="E40" s="20" t="n">
        <v>17888</v>
      </c>
      <c r="F40" s="20" t="n">
        <v>17887</v>
      </c>
      <c r="G40" s="20" t="n">
        <v>19164</v>
      </c>
      <c r="H40" s="19" t="n">
        <v>8745</v>
      </c>
      <c r="I40" s="20" t="n">
        <v>10868</v>
      </c>
      <c r="J40" s="20" t="n">
        <v>14266</v>
      </c>
      <c r="K40" s="20" t="n">
        <v>16823</v>
      </c>
      <c r="L40" s="20" t="n">
        <v>17887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IFERROR(IF((IF(COUNT('연간'!G56:J56)&lt;4,"",SUM('연간'!G56:J56)))&lt;=0,"적자",C28/(IF(COUNT('연간'!G56:J56)&lt;4,"",SUM('연간'!G56:J56)))),"")</f>
        <v/>
      </c>
      <c r="D49" s="46">
        <f>IFERROR(IF((IF(COUNT('연간'!H56:K56)&lt;4,"",SUM('연간'!H56:K56)))&lt;=0,"적자",D28/(IF(COUNT('연간'!H56:K56)&lt;4,"",SUM('연간'!H56:K56)))),"")</f>
        <v/>
      </c>
      <c r="E49" s="46">
        <f>IFERROR(IF((IF(COUNT('연간'!I56:L56)&lt;4,"",SUM('연간'!I56:L56)))&lt;=0,"적자",E28/(IF(COUNT('연간'!I56:L56)&lt;4,"",SUM('연간'!I56:L56)))),"")</f>
        <v/>
      </c>
      <c r="F49" s="46">
        <f>IFERROR(IF((IF(COUNT('연간'!J56:M56)&lt;4,"",SUM('연간'!J56:M56)))&lt;=0,"적자",F28/(IF(COUNT('연간'!J56:M56)&lt;4,"",SUM('연간'!J56:M56)))),"")</f>
        <v/>
      </c>
      <c r="G49" s="46">
        <f>IFERROR(IF((IF(COUNT('연간'!K56:N56)&lt;4,"",SUM('연간'!K56:N56)))&lt;=0,"적자",G28/(IF(COUNT('연간'!K56:N56)&lt;4,"",SUM('연간'!K56:N56)))),"")</f>
        <v/>
      </c>
      <c r="H49" s="45">
        <f>IFERROR(IF(('연간'!T56)&lt;=0,"적자",H28/('연간'!T56)),"")</f>
        <v/>
      </c>
      <c r="I49" s="46">
        <f>IFERROR(IF(('연간'!U56)&lt;=0,"적자",I28/('연간'!U56)),"")</f>
        <v/>
      </c>
      <c r="J49" s="46">
        <f>IFERROR(IF(('연간'!V56)&lt;=0,"적자",J28/('연간'!V56)),"")</f>
        <v/>
      </c>
      <c r="K49" s="46">
        <f>IFERROR(IF(('연간'!W56)&lt;=0,"적자",K28/('연간'!W56)),"")</f>
        <v/>
      </c>
      <c r="L49" s="46">
        <f>IFERROR(IF(('연간'!X56)&lt;=0,"적자",L28/('연간'!X56)),"")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IFERROR((IF(COUNT('연간'!G56:J56)&lt;4,"",SUM('연간'!G56:J56)))/C31,"")</f>
        <v/>
      </c>
      <c r="D51" s="36">
        <f>IFERROR((IF(COUNT('연간'!H56:K56)&lt;4,"",SUM('연간'!H56:K56)))/D31,"")</f>
        <v/>
      </c>
      <c r="E51" s="36">
        <f>IFERROR((IF(COUNT('연간'!I56:L56)&lt;4,"",SUM('연간'!I56:L56)))/E31,"")</f>
        <v/>
      </c>
      <c r="F51" s="36">
        <f>IFERROR((IF(COUNT('연간'!J56:M56)&lt;4,"",SUM('연간'!J56:M56)))/F31,"")</f>
        <v/>
      </c>
      <c r="G51" s="36">
        <f>IFERROR((IF(COUNT('연간'!K56:N56)&lt;4,"",SUM('연간'!K56:N56)))/G31,"")</f>
        <v/>
      </c>
      <c r="H51" s="35">
        <f>IFERROR(('연간'!T56)/H31,"")</f>
        <v/>
      </c>
      <c r="I51" s="36">
        <f>IFERROR(('연간'!U56)/I31,"")</f>
        <v/>
      </c>
      <c r="J51" s="36">
        <f>IFERROR(('연간'!V56)/J31,"")</f>
        <v/>
      </c>
      <c r="K51" s="36">
        <f>IFERROR(('연간'!W56)/K31,"")</f>
        <v/>
      </c>
      <c r="L51" s="36">
        <f>IFERROR(('연간'!X56)/L31,"")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IFERROR((IF(COUNT('연간'!G55:J55)&lt;4,"",SUM('연간'!G55:J55)))/C16,"")</f>
        <v/>
      </c>
      <c r="D52" s="36">
        <f>IFERROR((IF(COUNT('연간'!H55:K55)&lt;4,"",SUM('연간'!H55:K55)))/D16,"")</f>
        <v/>
      </c>
      <c r="E52" s="36">
        <f>IFERROR((IF(COUNT('연간'!I55:L55)&lt;4,"",SUM('연간'!I55:L55)))/E16,"")</f>
        <v/>
      </c>
      <c r="F52" s="36">
        <f>IFERROR((IF(COUNT('연간'!J55:M55)&lt;4,"",SUM('연간'!J55:M55)))/F16,"")</f>
        <v/>
      </c>
      <c r="G52" s="36">
        <f>IFERROR((IF(COUNT('연간'!K55:N55)&lt;4,"",SUM('연간'!K55:N55)))/G16,"")</f>
        <v/>
      </c>
      <c r="H52" s="35">
        <f>IFERROR(('연간'!T55)/H16,"")</f>
        <v/>
      </c>
      <c r="I52" s="36">
        <f>IFERROR(('연간'!U55)/I16,"")</f>
        <v/>
      </c>
      <c r="J52" s="36">
        <f>IFERROR(('연간'!V55)/J16,"")</f>
        <v/>
      </c>
      <c r="K52" s="36">
        <f>IFERROR(('연간'!W55)/K16,"")</f>
        <v/>
      </c>
      <c r="L52" s="36">
        <f>IFERROR(('연간'!X55)/L16,"")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IFERROR((IF(COUNT('연간'!G24:J24)&lt;4,"",SUM('연간'!G24:J24)))/(IF(COUNT('연간'!G4:J4)&lt;4,"",SUM('연간'!G4:J4))),"")</f>
        <v/>
      </c>
      <c r="D54" s="36">
        <f>IFERROR((IF(COUNT('연간'!H24:K24)&lt;4,"",SUM('연간'!H24:K24)))/(IF(COUNT('연간'!H4:K4)&lt;4,"",SUM('연간'!H4:K4))),"")</f>
        <v/>
      </c>
      <c r="E54" s="36">
        <f>IFERROR((IF(COUNT('연간'!I24:L24)&lt;4,"",SUM('연간'!I24:L24)))/(IF(COUNT('연간'!I4:L4)&lt;4,"",SUM('연간'!I4:L4))),"")</f>
        <v/>
      </c>
      <c r="F54" s="36">
        <f>IFERROR((IF(COUNT('연간'!J24:M24)&lt;4,"",SUM('연간'!J24:M24)))/(IF(COUNT('연간'!J4:M4)&lt;4,"",SUM('연간'!J4:M4))),"")</f>
        <v/>
      </c>
      <c r="G54" s="36">
        <f>IFERROR((IF(COUNT('연간'!K24:N24)&lt;4,"",SUM('연간'!K24:N24)))/(IF(COUNT('연간'!K4:N4)&lt;4,"",SUM('연간'!K4:N4))),"")</f>
        <v/>
      </c>
      <c r="H54" s="35">
        <f>IFERROR(('연간'!T24)/('연간'!T4),"")</f>
        <v/>
      </c>
      <c r="I54" s="36">
        <f>IFERROR(('연간'!U24)/('연간'!U4),"")</f>
        <v/>
      </c>
      <c r="J54" s="36">
        <f>IFERROR(('연간'!V24)/('연간'!V4),"")</f>
        <v/>
      </c>
      <c r="K54" s="36">
        <f>IFERROR(('연간'!W24)/('연간'!W4),"")</f>
        <v/>
      </c>
      <c r="L54" s="36">
        <f>IFERROR(('연간'!X24)/('연간'!X4),"")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IFERROR((IF(COUNT('연간'!G55:J55)&lt;4,"",SUM('연간'!G55:J55)))/(IF(COUNT('연간'!G4:J4)&lt;4,"",SUM('연간'!G4:J4))),"")</f>
        <v/>
      </c>
      <c r="D56" s="36">
        <f>IFERROR((IF(COUNT('연간'!H55:K55)&lt;4,"",SUM('연간'!H55:K55)))/(IF(COUNT('연간'!H4:K4)&lt;4,"",SUM('연간'!H4:K4))),"")</f>
        <v/>
      </c>
      <c r="E56" s="36">
        <f>IFERROR((IF(COUNT('연간'!I55:L55)&lt;4,"",SUM('연간'!I55:L55)))/(IF(COUNT('연간'!I4:L4)&lt;4,"",SUM('연간'!I4:L4))),"")</f>
        <v/>
      </c>
      <c r="F56" s="36">
        <f>IFERROR((IF(COUNT('연간'!J55:M55)&lt;4,"",SUM('연간'!J55:M55)))/(IF(COUNT('연간'!J4:M4)&lt;4,"",SUM('연간'!J4:M4))),"")</f>
        <v/>
      </c>
      <c r="G56" s="36">
        <f>IFERROR((IF(COUNT('연간'!K55:N55)&lt;4,"",SUM('연간'!K55:N55)))/(IF(COUNT('연간'!K4:N4)&lt;4,"",SUM('연간'!K4:N4))),"")</f>
        <v/>
      </c>
      <c r="H56" s="35">
        <f>IFERROR(('연간'!T55)/('연간'!T4),"")</f>
        <v/>
      </c>
      <c r="I56" s="36">
        <f>IFERROR(('연간'!U55)/('연간'!U4),"")</f>
        <v/>
      </c>
      <c r="J56" s="36">
        <f>IFERROR(('연간'!V55)/('연간'!V4),"")</f>
        <v/>
      </c>
      <c r="K56" s="36">
        <f>IFERROR(('연간'!W55)/('연간'!W4),"")</f>
        <v/>
      </c>
      <c r="L56" s="36">
        <f>IFERROR(('연간'!X55)/('연간'!X4),"")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IFERROR(C9/(IF(COUNT('연간'!G23:J23)&lt;4,"",SUM('연간'!G23:J23)))*365,"")</f>
        <v/>
      </c>
      <c r="D60" s="48">
        <f>IFERROR(D9/(IF(COUNT('연간'!H23:K23)&lt;4,"",SUM('연간'!H23:K23)))*365,"")</f>
        <v/>
      </c>
      <c r="E60" s="48">
        <f>IFERROR(E9/(IF(COUNT('연간'!I23:L23)&lt;4,"",SUM('연간'!I23:L23)))*365,"")</f>
        <v/>
      </c>
      <c r="F60" s="48">
        <f>IFERROR(F9/(IF(COUNT('연간'!J23:M23)&lt;4,"",SUM('연간'!J23:M23)))*365,"")</f>
        <v/>
      </c>
      <c r="G60" s="48">
        <f>IFERROR(G9/(IF(COUNT('연간'!K23:N23)&lt;4,"",SUM('연간'!K23:N23)))*365,"")</f>
        <v/>
      </c>
      <c r="H60" s="47">
        <f>IFERROR(H9/('연간'!T23)*365,"")</f>
        <v/>
      </c>
      <c r="I60" s="48">
        <f>IFERROR(I9/('연간'!U23)*365,"")</f>
        <v/>
      </c>
      <c r="J60" s="48">
        <f>IFERROR(J9/('연간'!V23)*365,"")</f>
        <v/>
      </c>
      <c r="K60" s="48">
        <f>IFERROR(K9/('연간'!W23)*365,"")</f>
        <v/>
      </c>
      <c r="L60" s="48">
        <f>IFERROR(L9/('연간'!X23)*365,"")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IFERROR(C19/(IF(COUNT('연간'!G23:J23)&lt;4,"",SUM('연간'!G23:J23)))*365,"")</f>
        <v/>
      </c>
      <c r="D61" s="48">
        <f>IFERROR(D19/(IF(COUNT('연간'!H23:K23)&lt;4,"",SUM('연간'!H23:K23)))*365,"")</f>
        <v/>
      </c>
      <c r="E61" s="48">
        <f>IFERROR(E19/(IF(COUNT('연간'!I23:L23)&lt;4,"",SUM('연간'!I23:L23)))*365,"")</f>
        <v/>
      </c>
      <c r="F61" s="48">
        <f>IFERROR(F19/(IF(COUNT('연간'!J23:M23)&lt;4,"",SUM('연간'!J23:M23)))*365,"")</f>
        <v/>
      </c>
      <c r="G61" s="48">
        <f>IFERROR(G19/(IF(COUNT('연간'!K23:N23)&lt;4,"",SUM('연간'!K23:N23)))*365,"")</f>
        <v/>
      </c>
      <c r="H61" s="47">
        <f>IFERROR(H19/('연간'!T23)*365,"")</f>
        <v/>
      </c>
      <c r="I61" s="48">
        <f>IFERROR(I19/('연간'!U23)*365,"")</f>
        <v/>
      </c>
      <c r="J61" s="48">
        <f>IFERROR(J19/('연간'!V23)*365,"")</f>
        <v/>
      </c>
      <c r="K61" s="48">
        <f>IFERROR(K19/('연간'!W23)*365,"")</f>
        <v/>
      </c>
      <c r="L61" s="48">
        <f>IFERROR(L19/('연간'!X23)*365,"")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IF(C37="","",IFERROR(C37/(IF(COUNT('연간'!G55:J55)&lt;4,"",SUM('연간'!G55:J55))),""))</f>
        <v/>
      </c>
      <c r="D64" s="31">
        <f>IF(D37="","",IFERROR(D37/(IF(COUNT('연간'!H55:K55)&lt;4,"",SUM('연간'!H55:K55))),""))</f>
        <v/>
      </c>
      <c r="E64" s="31">
        <f>IF(E37="","",IFERROR(E37/(IF(COUNT('연간'!I55:L55)&lt;4,"",SUM('연간'!I55:L55))),""))</f>
        <v/>
      </c>
      <c r="F64" s="31">
        <f>IF(F37="","",IFERROR(F37/(IF(COUNT('연간'!J55:M55)&lt;4,"",SUM('연간'!J55:M55))),""))</f>
        <v/>
      </c>
      <c r="G64" s="31">
        <f>IF(G37="","",IFERROR(G37/(IF(COUNT('연간'!K55:N55)&lt;4,"",SUM('연간'!K55:N55))),""))</f>
        <v/>
      </c>
      <c r="H64" s="30">
        <f>IF(H37="","",IFERROR(H37/('연간'!T55),""))</f>
        <v/>
      </c>
      <c r="I64" s="31">
        <f>IF(I37="","",IFERROR(I37/('연간'!U55),""))</f>
        <v/>
      </c>
      <c r="J64" s="31">
        <f>IF(J37="","",IFERROR(J37/('연간'!V55),""))</f>
        <v/>
      </c>
      <c r="K64" s="31">
        <f>IF(K37="","",IFERROR(K37/('연간'!W55),""))</f>
        <v/>
      </c>
      <c r="L64" s="31">
        <f>IF(L37="","",IFERROR(L37/('연간'!X55),""))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IF(C40="","",IFERROR(C40/(IF(COUNT('연간'!G56:J56)&lt;4,"",SUM('연간'!G56:J56))),""))</f>
        <v/>
      </c>
      <c r="D67" s="36">
        <f>IF(D40="","",IFERROR(D40/(IF(COUNT('연간'!H56:K56)&lt;4,"",SUM('연간'!H56:K56))),""))</f>
        <v/>
      </c>
      <c r="E67" s="36">
        <f>IF(E40="","",IFERROR(E40/(IF(COUNT('연간'!I56:L56)&lt;4,"",SUM('연간'!I56:L56))),""))</f>
        <v/>
      </c>
      <c r="F67" s="36">
        <f>IF(F40="","",IFERROR(F40/(IF(COUNT('연간'!J56:M56)&lt;4,"",SUM('연간'!J56:M56))),""))</f>
        <v/>
      </c>
      <c r="G67" s="36">
        <f>IF(G40="","",IFERROR(G40/(IF(COUNT('연간'!K56:N56)&lt;4,"",SUM('연간'!K56:N56))),""))</f>
        <v/>
      </c>
      <c r="H67" s="35">
        <f>IF(H40="","",IFERROR(H40/('연간'!T56),""))</f>
        <v/>
      </c>
      <c r="I67" s="36">
        <f>IF(I40="","",IFERROR(I40/('연간'!U56),""))</f>
        <v/>
      </c>
      <c r="J67" s="36">
        <f>IF(J40="","",IFERROR(J40/('연간'!V56),""))</f>
        <v/>
      </c>
      <c r="K67" s="36">
        <f>IF(K40="","",IFERROR(K40/('연간'!W56),""))</f>
        <v/>
      </c>
      <c r="L67" s="36">
        <f>IF(L40="","",IFERROR(L40/('연간'!X56),""))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153269</v>
      </c>
      <c r="D71" s="20" t="n">
        <v>130735</v>
      </c>
      <c r="E71" s="20" t="n">
        <v>111767</v>
      </c>
      <c r="F71" s="20" t="n">
        <v>148002</v>
      </c>
      <c r="G71" s="20" t="n">
        <v>161208</v>
      </c>
      <c r="H71" s="20" t="n">
        <v>107262</v>
      </c>
      <c r="I71" s="20" t="n">
        <v>102116</v>
      </c>
      <c r="J71" s="20" t="n">
        <v>125191</v>
      </c>
      <c r="K71" s="20" t="n">
        <v>166783</v>
      </c>
      <c r="L71" s="20" t="n">
        <v>148002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</t>
        </is>
      </c>
      <c r="H73" s="20" t="n">
        <v>528</v>
      </c>
      <c r="I73" s="20" t="n">
        <v>116</v>
      </c>
      <c r="J73" s="20" t="n">
        <v>0</v>
      </c>
    </row>
    <row r="74">
      <c r="A74" s="18" t="inlineStr">
        <is>
          <t>매출채권</t>
        </is>
      </c>
      <c r="C74" s="20" t="n">
        <v>15072</v>
      </c>
      <c r="D74" s="20" t="n">
        <v>14934</v>
      </c>
      <c r="E74" s="20" t="n">
        <v>12998</v>
      </c>
      <c r="F74" s="20" t="n">
        <v>33283</v>
      </c>
      <c r="G74" s="20" t="n">
        <v>17508</v>
      </c>
      <c r="H74" s="20" t="n">
        <v>7404</v>
      </c>
      <c r="I74" s="20" t="n">
        <v>24981</v>
      </c>
      <c r="J74" s="20" t="n">
        <v>25383</v>
      </c>
      <c r="K74" s="20" t="n">
        <v>33341</v>
      </c>
      <c r="L74" s="20" t="n">
        <v>33283</v>
      </c>
    </row>
    <row r="75">
      <c r="A75" s="18" t="inlineStr">
        <is>
          <t>상품·제품</t>
        </is>
      </c>
      <c r="C75" s="20" t="n">
        <v>2631</v>
      </c>
      <c r="D75" s="20" t="n">
        <v>3337</v>
      </c>
      <c r="E75" s="20" t="n">
        <v>2882</v>
      </c>
      <c r="F75" s="20" t="n">
        <v>2893</v>
      </c>
      <c r="G75" s="20" t="n">
        <v>3028</v>
      </c>
      <c r="H75" s="20" t="n">
        <v>1378</v>
      </c>
      <c r="I75" s="20" t="n">
        <v>1440</v>
      </c>
      <c r="J75" s="20" t="n">
        <v>1692</v>
      </c>
      <c r="K75" s="20" t="n">
        <v>2798</v>
      </c>
      <c r="L75" s="20" t="n">
        <v>2893</v>
      </c>
    </row>
    <row r="76">
      <c r="A76" s="18" t="inlineStr">
        <is>
          <t>재공품</t>
        </is>
      </c>
      <c r="C76" s="20" t="n">
        <v>866</v>
      </c>
      <c r="D76" s="20" t="n">
        <v>6142</v>
      </c>
      <c r="E76" s="20" t="n">
        <v>10993</v>
      </c>
      <c r="F76" s="20" t="n">
        <v>1561</v>
      </c>
      <c r="G76" s="20" t="n">
        <v>1986</v>
      </c>
      <c r="H76" s="20" t="n">
        <v>819</v>
      </c>
      <c r="I76" s="20" t="n">
        <v>1006</v>
      </c>
      <c r="J76" s="20" t="n">
        <v>1222</v>
      </c>
      <c r="K76" s="20" t="n">
        <v>917</v>
      </c>
      <c r="L76" s="20" t="n">
        <v>1561</v>
      </c>
    </row>
    <row r="77">
      <c r="A77" s="18" t="inlineStr">
        <is>
          <t>영상자산</t>
        </is>
      </c>
      <c r="F77" s="20" t="n">
        <v>9909</v>
      </c>
      <c r="G77" s="20" t="n">
        <v>10294</v>
      </c>
      <c r="K77" s="20" t="n">
        <v>0</v>
      </c>
      <c r="L77" s="20" t="n">
        <v>9909</v>
      </c>
    </row>
    <row r="78">
      <c r="A78" s="18" t="inlineStr">
        <is>
          <t>원재료·저장품</t>
        </is>
      </c>
      <c r="C78" s="20" t="n">
        <v>506</v>
      </c>
      <c r="D78" s="20" t="n">
        <v>476</v>
      </c>
      <c r="E78" s="20" t="n">
        <v>690</v>
      </c>
      <c r="F78" s="20" t="n">
        <v>2236</v>
      </c>
      <c r="G78" s="20" t="n">
        <v>1054</v>
      </c>
      <c r="H78" s="20" t="n">
        <v>198</v>
      </c>
      <c r="I78" s="20" t="n">
        <v>454</v>
      </c>
      <c r="J78" s="20" t="n">
        <v>847</v>
      </c>
      <c r="K78" s="20" t="n">
        <v>1115</v>
      </c>
      <c r="L78" s="20" t="n">
        <v>2236</v>
      </c>
    </row>
    <row r="79">
      <c r="A79" s="18" t="inlineStr">
        <is>
          <t>게임소프트 재공품</t>
        </is>
      </c>
      <c r="C79" s="20" t="n">
        <v>54484</v>
      </c>
      <c r="D79" s="20" t="n">
        <v>62542</v>
      </c>
      <c r="E79" s="20" t="n">
        <v>71161</v>
      </c>
      <c r="F79" s="20" t="n">
        <v>54628</v>
      </c>
      <c r="G79" s="20" t="n">
        <v>56510</v>
      </c>
      <c r="H79" s="20" t="n">
        <v>31192</v>
      </c>
      <c r="I79" s="20" t="n">
        <v>38510</v>
      </c>
      <c r="J79" s="20" t="n">
        <v>39035</v>
      </c>
      <c r="K79" s="20" t="n">
        <v>49209</v>
      </c>
      <c r="L79" s="20" t="n">
        <v>54628</v>
      </c>
    </row>
    <row r="80">
      <c r="A80" s="18" t="inlineStr">
        <is>
          <t>기타</t>
        </is>
      </c>
      <c r="C80" s="20" t="n">
        <v>6529</v>
      </c>
      <c r="D80" s="20" t="n">
        <v>6055</v>
      </c>
      <c r="E80" s="20" t="n">
        <v>5348</v>
      </c>
      <c r="F80" s="20" t="n">
        <v>5426</v>
      </c>
      <c r="G80" s="20" t="n">
        <v>6135</v>
      </c>
      <c r="H80" s="20" t="n">
        <v>2536</v>
      </c>
      <c r="I80" s="20" t="n">
        <v>2776</v>
      </c>
      <c r="J80" s="20" t="n">
        <v>4456</v>
      </c>
      <c r="K80" s="20" t="n">
        <v>7917</v>
      </c>
      <c r="L80" s="20" t="n">
        <v>5426</v>
      </c>
    </row>
    <row r="81">
      <c r="A81" s="18" t="inlineStr">
        <is>
          <t>대손충당금</t>
        </is>
      </c>
      <c r="C81" s="20" t="n">
        <v>-3</v>
      </c>
      <c r="D81" s="20" t="n">
        <v>-5</v>
      </c>
      <c r="E81" s="20" t="n">
        <v>-2</v>
      </c>
      <c r="F81" s="20" t="n">
        <v>-1</v>
      </c>
      <c r="G81" s="20" t="n">
        <v>-2</v>
      </c>
      <c r="H81" s="20" t="n">
        <v>-8</v>
      </c>
      <c r="I81" s="20" t="n">
        <v>-1</v>
      </c>
      <c r="J81" s="20" t="n">
        <v>-2</v>
      </c>
      <c r="K81" s="20" t="n">
        <v>-0</v>
      </c>
      <c r="L81" s="20" t="n">
        <v>-1</v>
      </c>
    </row>
    <row r="82">
      <c r="A82" s="9" t="inlineStr">
        <is>
          <t>유동자산 합계</t>
        </is>
      </c>
      <c r="C82" s="12" t="n">
        <v>233356</v>
      </c>
      <c r="D82" s="12" t="n">
        <v>224219</v>
      </c>
      <c r="E82" s="12" t="n">
        <v>215839</v>
      </c>
      <c r="F82" s="12" t="n">
        <v>257940</v>
      </c>
      <c r="G82" s="12" t="n">
        <v>257723</v>
      </c>
      <c r="H82" s="12" t="n">
        <v>151312</v>
      </c>
      <c r="I82" s="12" t="n">
        <v>171402</v>
      </c>
      <c r="J82" s="12" t="n">
        <v>197826</v>
      </c>
      <c r="K82" s="12" t="n">
        <v>262082</v>
      </c>
      <c r="L82" s="12" t="n">
        <v>257940</v>
      </c>
    </row>
    <row r="83">
      <c r="A83" s="18" t="inlineStr">
        <is>
          <t>건물·구축물(순액)</t>
        </is>
      </c>
      <c r="C83" s="20" t="n">
        <v>10556</v>
      </c>
      <c r="D83" s="20" t="n">
        <v>10676</v>
      </c>
      <c r="E83" s="20" t="n">
        <v>10994</v>
      </c>
      <c r="F83" s="20" t="n">
        <v>12124</v>
      </c>
      <c r="G83" s="20" t="n">
        <v>13306</v>
      </c>
      <c r="H83" s="20" t="n">
        <v>10485</v>
      </c>
      <c r="I83" s="20" t="n">
        <v>10423</v>
      </c>
      <c r="J83" s="20" t="n">
        <v>10938</v>
      </c>
      <c r="K83" s="20" t="n">
        <v>10745</v>
      </c>
      <c r="L83" s="20" t="n">
        <v>12124</v>
      </c>
    </row>
    <row r="84">
      <c r="A84" s="18" t="inlineStr">
        <is>
          <t>기계장치·운반구(순액)</t>
        </is>
      </c>
      <c r="F84" s="20" t="n">
        <v>49</v>
      </c>
      <c r="H84" s="20" t="n">
        <v>24</v>
      </c>
      <c r="I84" s="20" t="n">
        <v>21</v>
      </c>
      <c r="J84" s="20" t="n">
        <v>14</v>
      </c>
      <c r="K84" s="20" t="n">
        <v>41</v>
      </c>
      <c r="L84" s="20" t="n">
        <v>49</v>
      </c>
    </row>
    <row r="85">
      <c r="A85" s="18" t="inlineStr">
        <is>
          <t>공구·기구·비품(순액)</t>
        </is>
      </c>
      <c r="F85" s="20" t="n">
        <v>2074</v>
      </c>
      <c r="H85" s="20" t="n">
        <v>1977</v>
      </c>
      <c r="I85" s="20" t="n">
        <v>1715</v>
      </c>
      <c r="J85" s="20" t="n">
        <v>2198</v>
      </c>
      <c r="K85" s="20" t="n">
        <v>2090</v>
      </c>
      <c r="L85" s="20" t="n">
        <v>2074</v>
      </c>
    </row>
    <row r="86">
      <c r="A86" s="18" t="inlineStr">
        <is>
          <t>오락시설 기기(순액)</t>
        </is>
      </c>
      <c r="F86" s="20" t="n">
        <v>4112</v>
      </c>
      <c r="H86" s="20" t="n">
        <v>2213</v>
      </c>
      <c r="I86" s="20" t="n">
        <v>2973</v>
      </c>
      <c r="J86" s="20" t="n">
        <v>3375</v>
      </c>
      <c r="K86" s="20" t="n">
        <v>3556</v>
      </c>
      <c r="L86" s="20" t="n">
        <v>4112</v>
      </c>
    </row>
    <row r="87">
      <c r="A87" s="18" t="inlineStr">
        <is>
          <t>토지</t>
        </is>
      </c>
      <c r="F87" s="20" t="n">
        <v>20066</v>
      </c>
      <c r="H87" s="20" t="n">
        <v>5235</v>
      </c>
      <c r="I87" s="20" t="n">
        <v>8953</v>
      </c>
      <c r="J87" s="20" t="n">
        <v>8996</v>
      </c>
      <c r="K87" s="20" t="n">
        <v>10028</v>
      </c>
      <c r="L87" s="20" t="n">
        <v>20066</v>
      </c>
    </row>
    <row r="88">
      <c r="A88" s="18" t="inlineStr">
        <is>
          <t>리스자산(순액)</t>
        </is>
      </c>
      <c r="F88" s="20" t="n">
        <v>2583</v>
      </c>
      <c r="H88" s="20" t="n">
        <v>1112</v>
      </c>
      <c r="I88" s="20" t="n">
        <v>1399</v>
      </c>
      <c r="J88" s="20" t="n">
        <v>2142</v>
      </c>
      <c r="K88" s="20" t="n">
        <v>2773</v>
      </c>
      <c r="L88" s="20" t="n">
        <v>2583</v>
      </c>
    </row>
    <row r="89">
      <c r="A89" s="18" t="inlineStr">
        <is>
          <t>건설중인자산</t>
        </is>
      </c>
      <c r="F89" s="20" t="n">
        <v>2622</v>
      </c>
      <c r="H89" s="20" t="n">
        <v>157</v>
      </c>
      <c r="I89" s="20" t="n">
        <v>475</v>
      </c>
      <c r="J89" s="20" t="n">
        <v>647</v>
      </c>
      <c r="K89" s="20" t="n">
        <v>2598</v>
      </c>
      <c r="L89" s="20" t="n">
        <v>2622</v>
      </c>
    </row>
    <row r="90">
      <c r="A90" s="18" t="inlineStr">
        <is>
          <t>기타(순액)</t>
        </is>
      </c>
      <c r="C90" s="20" t="n">
        <v>31639</v>
      </c>
      <c r="D90" s="20" t="n">
        <v>31754</v>
      </c>
      <c r="E90" s="20" t="n">
        <v>31858</v>
      </c>
      <c r="F90" s="20" t="n">
        <v>33180</v>
      </c>
      <c r="G90" s="20" t="n">
        <v>34145</v>
      </c>
      <c r="H90" s="20" t="n">
        <v>0</v>
      </c>
      <c r="I90" s="20" t="n">
        <v>1982</v>
      </c>
      <c r="J90" s="20" t="n">
        <v>2154</v>
      </c>
      <c r="K90" s="20" t="n">
        <v>1720</v>
      </c>
      <c r="L90" s="20" t="n">
        <v>33180</v>
      </c>
    </row>
    <row r="91">
      <c r="A91" s="18" t="inlineStr">
        <is>
          <t>유형자산 합계</t>
        </is>
      </c>
      <c r="C91" s="20" t="n">
        <v>42195</v>
      </c>
      <c r="D91" s="20" t="n">
        <v>42431</v>
      </c>
      <c r="E91" s="20" t="n">
        <v>42853</v>
      </c>
      <c r="F91" s="20" t="n">
        <v>45305</v>
      </c>
      <c r="G91" s="20" t="n">
        <v>47452</v>
      </c>
      <c r="H91" s="20" t="n">
        <v>21206</v>
      </c>
      <c r="I91" s="20" t="n">
        <v>27945</v>
      </c>
      <c r="J91" s="20" t="n">
        <v>30468</v>
      </c>
      <c r="K91" s="20" t="n">
        <v>33554</v>
      </c>
      <c r="L91" s="20" t="n">
        <v>45305</v>
      </c>
    </row>
    <row r="92">
      <c r="A92" s="18" t="inlineStr">
        <is>
          <t>무형자산</t>
        </is>
      </c>
      <c r="C92" s="20" t="n">
        <v>1459</v>
      </c>
      <c r="D92" s="20" t="n">
        <v>1502</v>
      </c>
      <c r="E92" s="20" t="n">
        <v>1549</v>
      </c>
      <c r="F92" s="20" t="n">
        <v>1600</v>
      </c>
      <c r="G92" s="20" t="n">
        <v>1513</v>
      </c>
      <c r="H92" s="20" t="n">
        <v>1747</v>
      </c>
      <c r="I92" s="20" t="n">
        <v>1630</v>
      </c>
      <c r="J92" s="20" t="n">
        <v>1444</v>
      </c>
      <c r="K92" s="20" t="n">
        <v>1436</v>
      </c>
      <c r="L92" s="20" t="n">
        <v>1600</v>
      </c>
    </row>
    <row r="93">
      <c r="A93" s="18" t="inlineStr">
        <is>
          <t>투자유가증권</t>
        </is>
      </c>
      <c r="F93" s="20" t="n">
        <v>15053</v>
      </c>
      <c r="H93" s="20" t="n">
        <v>637</v>
      </c>
      <c r="I93" s="20" t="n">
        <v>735</v>
      </c>
      <c r="J93" s="20" t="n">
        <v>26</v>
      </c>
      <c r="K93" s="20" t="n">
        <v>15</v>
      </c>
      <c r="L93" s="20" t="n">
        <v>15053</v>
      </c>
    </row>
    <row r="94">
      <c r="A94" s="18" t="inlineStr">
        <is>
          <t>파산갱생채권 등</t>
        </is>
      </c>
      <c r="H94" s="20" t="n">
        <v>12</v>
      </c>
      <c r="I94" s="20" t="n">
        <v>12</v>
      </c>
      <c r="J94" s="20" t="n">
        <v>12</v>
      </c>
    </row>
    <row r="95">
      <c r="A95" s="18" t="inlineStr">
        <is>
          <t>보증금</t>
        </is>
      </c>
      <c r="H95" s="20" t="n">
        <v>4266</v>
      </c>
      <c r="I95" s="20" t="n">
        <v>4593</v>
      </c>
      <c r="J95" s="20" t="n">
        <v>4750</v>
      </c>
    </row>
    <row r="96">
      <c r="A96" s="18" t="inlineStr">
        <is>
          <t>이연법인세자산</t>
        </is>
      </c>
      <c r="F96" s="20" t="n">
        <v>12595</v>
      </c>
      <c r="H96" s="20" t="n">
        <v>7389</v>
      </c>
      <c r="I96" s="20" t="n">
        <v>9849</v>
      </c>
      <c r="J96" s="20" t="n">
        <v>7893</v>
      </c>
      <c r="K96" s="20" t="n">
        <v>8962</v>
      </c>
      <c r="L96" s="20" t="n">
        <v>12595</v>
      </c>
    </row>
    <row r="97">
      <c r="A97" s="18" t="inlineStr">
        <is>
          <t>기타</t>
        </is>
      </c>
      <c r="C97" s="20" t="n">
        <v>16252</v>
      </c>
      <c r="D97" s="20" t="n">
        <v>30721</v>
      </c>
      <c r="E97" s="20" t="n">
        <v>30649</v>
      </c>
      <c r="F97" s="20" t="n">
        <v>34484</v>
      </c>
      <c r="G97" s="20" t="n">
        <v>34645</v>
      </c>
      <c r="H97" s="20" t="n">
        <v>819</v>
      </c>
      <c r="I97" s="20" t="n">
        <v>1219</v>
      </c>
      <c r="J97" s="20" t="n">
        <v>5867</v>
      </c>
      <c r="K97" s="20" t="n">
        <v>6952</v>
      </c>
      <c r="L97" s="20" t="n">
        <v>34484</v>
      </c>
    </row>
    <row r="98">
      <c r="A98" s="18" t="inlineStr">
        <is>
          <t>대손충당금</t>
        </is>
      </c>
      <c r="C98" s="20" t="n">
        <v>-23</v>
      </c>
      <c r="D98" s="20" t="n">
        <v>-23</v>
      </c>
      <c r="E98" s="20" t="n">
        <v>-23</v>
      </c>
      <c r="F98" s="20" t="n">
        <v>-23</v>
      </c>
      <c r="G98" s="20" t="n">
        <v>-23</v>
      </c>
      <c r="H98" s="20" t="n">
        <v>-25</v>
      </c>
      <c r="I98" s="20" t="n">
        <v>-22</v>
      </c>
      <c r="J98" s="20" t="n">
        <v>-23</v>
      </c>
      <c r="K98" s="20" t="n">
        <v>-23</v>
      </c>
      <c r="L98" s="20" t="n">
        <v>-23</v>
      </c>
    </row>
    <row r="99">
      <c r="A99" s="18" t="inlineStr">
        <is>
          <t>투자 및 기타자산 합계</t>
        </is>
      </c>
      <c r="C99" s="20" t="n">
        <v>16229</v>
      </c>
      <c r="D99" s="20" t="n">
        <v>30698</v>
      </c>
      <c r="E99" s="20" t="n">
        <v>30626</v>
      </c>
      <c r="F99" s="20" t="n">
        <v>34461</v>
      </c>
      <c r="G99" s="20" t="n">
        <v>34622</v>
      </c>
      <c r="H99" s="20" t="n">
        <v>13099</v>
      </c>
      <c r="I99" s="20" t="n">
        <v>16387</v>
      </c>
      <c r="J99" s="20" t="n">
        <v>13737</v>
      </c>
      <c r="K99" s="20" t="n">
        <v>15907</v>
      </c>
      <c r="L99" s="20" t="n">
        <v>34461</v>
      </c>
    </row>
    <row r="100">
      <c r="A100" s="9" t="inlineStr">
        <is>
          <t>비유동자산 합계</t>
        </is>
      </c>
      <c r="C100" s="12" t="n">
        <v>59884</v>
      </c>
      <c r="D100" s="12" t="n">
        <v>74632</v>
      </c>
      <c r="E100" s="12" t="n">
        <v>75029</v>
      </c>
      <c r="F100" s="12" t="n">
        <v>81367</v>
      </c>
      <c r="G100" s="12" t="n">
        <v>83588</v>
      </c>
      <c r="H100" s="12" t="n">
        <v>36053</v>
      </c>
      <c r="I100" s="12" t="n">
        <v>45963</v>
      </c>
      <c r="J100" s="12" t="n">
        <v>45650</v>
      </c>
      <c r="K100" s="12" t="n">
        <v>50899</v>
      </c>
      <c r="L100" s="12" t="n">
        <v>81367</v>
      </c>
    </row>
    <row r="101">
      <c r="A101" s="9" t="inlineStr">
        <is>
          <t>자산 합계</t>
        </is>
      </c>
      <c r="C101" s="12" t="n">
        <v>293241</v>
      </c>
      <c r="D101" s="12" t="n">
        <v>298852</v>
      </c>
      <c r="E101" s="12" t="n">
        <v>290869</v>
      </c>
      <c r="F101" s="12" t="n">
        <v>339307</v>
      </c>
      <c r="G101" s="12" t="n">
        <v>341312</v>
      </c>
      <c r="H101" s="12" t="n">
        <v>187365</v>
      </c>
      <c r="I101" s="12" t="n">
        <v>217365</v>
      </c>
      <c r="J101" s="12" t="n">
        <v>243476</v>
      </c>
      <c r="K101" s="12" t="n">
        <v>312982</v>
      </c>
      <c r="L101" s="12" t="n">
        <v>339307</v>
      </c>
    </row>
    <row r="102">
      <c r="A102" s="18" t="inlineStr">
        <is>
          <t>지급어음·매입채무</t>
        </is>
      </c>
      <c r="C102" s="20" t="n">
        <v>1880</v>
      </c>
      <c r="D102" s="20" t="n">
        <v>3161</v>
      </c>
      <c r="E102" s="20" t="n">
        <v>2695</v>
      </c>
      <c r="F102" s="20" t="n">
        <v>4082</v>
      </c>
      <c r="G102" s="20" t="n">
        <v>2840</v>
      </c>
      <c r="H102" s="20" t="n">
        <v>2325</v>
      </c>
      <c r="I102" s="20" t="n">
        <v>3357</v>
      </c>
      <c r="J102" s="20" t="n">
        <v>2603</v>
      </c>
      <c r="K102" s="20" t="n">
        <v>3117</v>
      </c>
      <c r="L102" s="20" t="n">
        <v>4082</v>
      </c>
    </row>
    <row r="103">
      <c r="A103" s="18" t="inlineStr">
        <is>
          <t>전자기록채무</t>
        </is>
      </c>
      <c r="C103" s="20" t="n">
        <v>2894</v>
      </c>
      <c r="D103" s="20" t="n">
        <v>3333</v>
      </c>
      <c r="E103" s="20" t="n">
        <v>1956</v>
      </c>
      <c r="F103" s="20" t="n">
        <v>2409</v>
      </c>
      <c r="G103" s="20" t="n">
        <v>3384</v>
      </c>
      <c r="H103" s="20" t="n">
        <v>1276</v>
      </c>
      <c r="I103" s="20" t="n">
        <v>2172</v>
      </c>
      <c r="J103" s="20" t="n">
        <v>1730</v>
      </c>
      <c r="K103" s="20" t="n">
        <v>2505</v>
      </c>
      <c r="L103" s="20" t="n">
        <v>2409</v>
      </c>
    </row>
    <row r="104">
      <c r="A104" s="18" t="inlineStr">
        <is>
          <t>단기차입금</t>
        </is>
      </c>
      <c r="C104" s="20" t="n">
        <v>3591</v>
      </c>
      <c r="D104" s="20" t="n">
        <v>0</v>
      </c>
      <c r="E104" s="20" t="n">
        <v>0</v>
      </c>
      <c r="F104" s="20" t="n">
        <v>0</v>
      </c>
      <c r="H104" s="20" t="n">
        <v>0</v>
      </c>
      <c r="I104" s="20" t="n">
        <v>3591</v>
      </c>
      <c r="J104" s="20" t="n">
        <v>3591</v>
      </c>
      <c r="K104" s="20" t="n">
        <v>3591</v>
      </c>
      <c r="L104" s="20" t="n">
        <v>0</v>
      </c>
    </row>
    <row r="105">
      <c r="A105" s="18" t="inlineStr">
        <is>
          <t>1년 내 상환 장기차입금</t>
        </is>
      </c>
      <c r="H105" s="20" t="n">
        <v>626</v>
      </c>
      <c r="I105" s="20" t="n">
        <v>3626</v>
      </c>
      <c r="J105" s="20" t="n">
        <v>626</v>
      </c>
      <c r="K105" s="20" t="n">
        <v>0</v>
      </c>
    </row>
    <row r="106">
      <c r="A106" s="18" t="inlineStr">
        <is>
          <t>리스부채</t>
        </is>
      </c>
      <c r="F106" s="20" t="n">
        <v>1544</v>
      </c>
      <c r="H106" s="20" t="n">
        <v>501</v>
      </c>
      <c r="I106" s="20" t="n">
        <v>919</v>
      </c>
      <c r="J106" s="20" t="n">
        <v>1265</v>
      </c>
      <c r="K106" s="20" t="n">
        <v>1512</v>
      </c>
      <c r="L106" s="20" t="n">
        <v>1544</v>
      </c>
    </row>
    <row r="107">
      <c r="A107" s="18" t="inlineStr">
        <is>
          <t>미지급법인세</t>
        </is>
      </c>
      <c r="C107" s="20" t="n">
        <v>5868</v>
      </c>
      <c r="D107" s="20" t="n">
        <v>9717</v>
      </c>
      <c r="E107" s="20" t="n">
        <v>5125</v>
      </c>
      <c r="F107" s="20" t="n">
        <v>15650</v>
      </c>
      <c r="G107" s="20" t="n">
        <v>12555</v>
      </c>
      <c r="H107" s="20" t="n">
        <v>6010</v>
      </c>
      <c r="I107" s="20" t="n">
        <v>12145</v>
      </c>
      <c r="J107" s="20" t="n">
        <v>5454</v>
      </c>
      <c r="K107" s="20" t="n">
        <v>15053</v>
      </c>
      <c r="L107" s="20" t="n">
        <v>15650</v>
      </c>
    </row>
    <row r="108">
      <c r="A108" s="18" t="inlineStr">
        <is>
          <t>상여충당금</t>
        </is>
      </c>
      <c r="C108" s="20" t="n">
        <v>4515</v>
      </c>
      <c r="D108" s="20" t="n">
        <v>3472</v>
      </c>
      <c r="E108" s="20" t="n">
        <v>2541</v>
      </c>
      <c r="F108" s="20" t="n">
        <v>10517</v>
      </c>
      <c r="G108" s="20" t="n">
        <v>4972</v>
      </c>
      <c r="H108" s="20" t="n">
        <v>4014</v>
      </c>
      <c r="I108" s="20" t="n">
        <v>5727</v>
      </c>
      <c r="J108" s="20" t="n">
        <v>8388</v>
      </c>
      <c r="K108" s="20" t="n">
        <v>9480</v>
      </c>
      <c r="L108" s="20" t="n">
        <v>10517</v>
      </c>
    </row>
    <row r="109">
      <c r="A109" s="18" t="inlineStr">
        <is>
          <t>이연수익</t>
        </is>
      </c>
      <c r="C109" s="20" t="n">
        <v>11566</v>
      </c>
      <c r="D109" s="20" t="n">
        <v>6497</v>
      </c>
      <c r="E109" s="20" t="n">
        <v>807</v>
      </c>
      <c r="F109" s="20" t="n">
        <v>9065</v>
      </c>
      <c r="G109" s="20" t="n">
        <v>598</v>
      </c>
      <c r="H109" s="20" t="n">
        <v>8932</v>
      </c>
      <c r="I109" s="20" t="n">
        <v>5455</v>
      </c>
      <c r="J109" s="20" t="n">
        <v>683</v>
      </c>
      <c r="K109" s="20" t="n">
        <v>20590</v>
      </c>
      <c r="L109" s="20" t="n">
        <v>9065</v>
      </c>
    </row>
    <row r="110">
      <c r="A110" s="18" t="inlineStr">
        <is>
          <t>기타</t>
        </is>
      </c>
      <c r="C110" s="20" t="n">
        <v>11834</v>
      </c>
      <c r="D110" s="20" t="n">
        <v>12459</v>
      </c>
      <c r="E110" s="20" t="n">
        <v>11861</v>
      </c>
      <c r="F110" s="20" t="n">
        <v>14532</v>
      </c>
      <c r="G110" s="20" t="n">
        <v>14361</v>
      </c>
      <c r="H110" s="20" t="n">
        <v>7055</v>
      </c>
      <c r="I110" s="20" t="n">
        <v>9048</v>
      </c>
      <c r="J110" s="20" t="n">
        <v>8870</v>
      </c>
      <c r="K110" s="20" t="n">
        <v>13626</v>
      </c>
      <c r="L110" s="20" t="n">
        <v>14532</v>
      </c>
    </row>
    <row r="111">
      <c r="A111" s="9" t="inlineStr">
        <is>
          <t>유동부채 합계</t>
        </is>
      </c>
      <c r="C111" s="12" t="n">
        <v>42151</v>
      </c>
      <c r="D111" s="12" t="n">
        <v>38642</v>
      </c>
      <c r="E111" s="12" t="n">
        <v>24987</v>
      </c>
      <c r="F111" s="12" t="n">
        <v>56257</v>
      </c>
      <c r="G111" s="12" t="n">
        <v>38712</v>
      </c>
      <c r="H111" s="12" t="n">
        <v>30742</v>
      </c>
      <c r="I111" s="12" t="n">
        <v>46043</v>
      </c>
      <c r="J111" s="12" t="n">
        <v>33213</v>
      </c>
      <c r="K111" s="12" t="n">
        <v>69478</v>
      </c>
      <c r="L111" s="12" t="n">
        <v>56257</v>
      </c>
    </row>
    <row r="112">
      <c r="A112" s="18" t="inlineStr">
        <is>
          <t>장기차입금</t>
        </is>
      </c>
      <c r="C112" s="20" t="n">
        <v>3000</v>
      </c>
      <c r="D112" s="20" t="n">
        <v>0</v>
      </c>
      <c r="E112" s="20" t="n">
        <v>0</v>
      </c>
      <c r="F112" s="20" t="n">
        <v>0</v>
      </c>
      <c r="H112" s="20" t="n">
        <v>4252</v>
      </c>
      <c r="I112" s="20" t="n">
        <v>626</v>
      </c>
      <c r="J112" s="20" t="n">
        <v>3000</v>
      </c>
      <c r="K112" s="20" t="n">
        <v>3000</v>
      </c>
      <c r="L112" s="20" t="n">
        <v>0</v>
      </c>
    </row>
    <row r="113">
      <c r="A113" s="18" t="inlineStr">
        <is>
          <t>리스부채</t>
        </is>
      </c>
      <c r="F113" s="20" t="n">
        <v>3553</v>
      </c>
      <c r="H113" s="20" t="n">
        <v>718</v>
      </c>
      <c r="I113" s="20" t="n">
        <v>2992</v>
      </c>
      <c r="J113" s="20" t="n">
        <v>3676</v>
      </c>
      <c r="K113" s="20" t="n">
        <v>3813</v>
      </c>
      <c r="L113" s="20" t="n">
        <v>3553</v>
      </c>
    </row>
    <row r="114">
      <c r="A114" s="18" t="inlineStr">
        <is>
          <t>이연법인세부채</t>
        </is>
      </c>
      <c r="F114" s="20" t="n">
        <v>72</v>
      </c>
      <c r="H114" s="20" t="n">
        <v>20</v>
      </c>
      <c r="I114" s="20" t="n">
        <v>0</v>
      </c>
      <c r="J114" s="20" t="n">
        <v>22</v>
      </c>
      <c r="K114" s="20" t="n">
        <v>46</v>
      </c>
      <c r="L114" s="20" t="n">
        <v>72</v>
      </c>
    </row>
    <row r="115">
      <c r="A115" s="18" t="inlineStr">
        <is>
          <t>퇴직급여부채</t>
        </is>
      </c>
      <c r="C115" s="20" t="n">
        <v>4811</v>
      </c>
      <c r="D115" s="20" t="n">
        <v>4904</v>
      </c>
      <c r="E115" s="20" t="n">
        <v>4958</v>
      </c>
      <c r="F115" s="20" t="n">
        <v>4304</v>
      </c>
      <c r="G115" s="20" t="n">
        <v>4397</v>
      </c>
      <c r="H115" s="20" t="n">
        <v>3802</v>
      </c>
      <c r="I115" s="20" t="n">
        <v>4139</v>
      </c>
      <c r="J115" s="20" t="n">
        <v>4379</v>
      </c>
      <c r="K115" s="20" t="n">
        <v>4758</v>
      </c>
      <c r="L115" s="20" t="n">
        <v>4304</v>
      </c>
    </row>
    <row r="116">
      <c r="A116" s="18" t="inlineStr">
        <is>
          <t>주식급여 충당금</t>
        </is>
      </c>
      <c r="C116" s="20" t="n">
        <v>3454</v>
      </c>
      <c r="D116" s="20" t="n">
        <v>3751</v>
      </c>
      <c r="E116" s="20" t="n">
        <v>4031</v>
      </c>
      <c r="F116" s="20" t="n">
        <v>4311</v>
      </c>
      <c r="G116" s="20" t="n">
        <v>4619</v>
      </c>
      <c r="H116" s="20" t="n">
        <v>0</v>
      </c>
      <c r="I116" s="20" t="n">
        <v>1018</v>
      </c>
      <c r="J116" s="20" t="n">
        <v>2074</v>
      </c>
      <c r="K116" s="20" t="n">
        <v>3169</v>
      </c>
      <c r="L116" s="20" t="n">
        <v>4311</v>
      </c>
    </row>
    <row r="117">
      <c r="A117" s="18" t="inlineStr">
        <is>
          <t>자산복구부채</t>
        </is>
      </c>
      <c r="H117" s="20" t="n">
        <v>718</v>
      </c>
      <c r="I117" s="20" t="n">
        <v>885</v>
      </c>
      <c r="J117" s="20" t="n">
        <v>1095</v>
      </c>
    </row>
    <row r="118">
      <c r="A118" s="18" t="inlineStr">
        <is>
          <t>주식보상 충당금</t>
        </is>
      </c>
      <c r="C118" s="20" t="n">
        <v>72</v>
      </c>
      <c r="D118" s="20" t="n">
        <v>94</v>
      </c>
      <c r="E118" s="20" t="n">
        <v>116</v>
      </c>
      <c r="F118" s="20" t="n">
        <v>138</v>
      </c>
      <c r="G118" s="20" t="n">
        <v>173</v>
      </c>
      <c r="J118" s="20" t="n">
        <v>0</v>
      </c>
      <c r="K118" s="20" t="n">
        <v>49</v>
      </c>
      <c r="L118" s="20" t="n">
        <v>138</v>
      </c>
    </row>
    <row r="119">
      <c r="A119" s="18" t="inlineStr">
        <is>
          <t>기타</t>
        </is>
      </c>
      <c r="C119" s="20" t="n">
        <v>6172</v>
      </c>
      <c r="D119" s="20" t="n">
        <v>6271</v>
      </c>
      <c r="E119" s="20" t="n">
        <v>6530</v>
      </c>
      <c r="F119" s="20" t="n">
        <v>6579</v>
      </c>
      <c r="G119" s="20" t="n">
        <v>6485</v>
      </c>
      <c r="H119" s="20" t="n">
        <v>634</v>
      </c>
      <c r="I119" s="20" t="n">
        <v>529</v>
      </c>
      <c r="J119" s="20" t="n">
        <v>2028</v>
      </c>
      <c r="K119" s="20" t="n">
        <v>2361</v>
      </c>
      <c r="L119" s="20" t="n">
        <v>6579</v>
      </c>
    </row>
    <row r="120">
      <c r="A120" s="9" t="inlineStr">
        <is>
          <t>비유동부채 합계</t>
        </is>
      </c>
      <c r="C120" s="12" t="n">
        <v>17509</v>
      </c>
      <c r="D120" s="12" t="n">
        <v>15021</v>
      </c>
      <c r="E120" s="12" t="n">
        <v>15636</v>
      </c>
      <c r="F120" s="12" t="n">
        <v>15334</v>
      </c>
      <c r="G120" s="12" t="n">
        <v>15675</v>
      </c>
      <c r="H120" s="12" t="n">
        <v>10147</v>
      </c>
      <c r="I120" s="12" t="n">
        <v>10193</v>
      </c>
      <c r="J120" s="12" t="n">
        <v>15181</v>
      </c>
      <c r="K120" s="12" t="n">
        <v>17200</v>
      </c>
      <c r="L120" s="12" t="n">
        <v>15334</v>
      </c>
    </row>
    <row r="121">
      <c r="A121" s="9" t="inlineStr">
        <is>
          <t>부채 합계</t>
        </is>
      </c>
      <c r="C121" s="12" t="n">
        <v>59661</v>
      </c>
      <c r="D121" s="12" t="n">
        <v>53664</v>
      </c>
      <c r="E121" s="12" t="n">
        <v>40623</v>
      </c>
      <c r="F121" s="12" t="n">
        <v>71591</v>
      </c>
      <c r="G121" s="12" t="n">
        <v>54387</v>
      </c>
      <c r="H121" s="12" t="n">
        <v>40890</v>
      </c>
      <c r="I121" s="12" t="n">
        <v>56236</v>
      </c>
      <c r="J121" s="12" t="n">
        <v>48394</v>
      </c>
      <c r="K121" s="12" t="n">
        <v>86678</v>
      </c>
      <c r="L121" s="12" t="n">
        <v>71591</v>
      </c>
    </row>
    <row r="122">
      <c r="A122" s="18" t="inlineStr">
        <is>
          <t>자본금</t>
        </is>
      </c>
      <c r="C122" s="20" t="n">
        <v>33239</v>
      </c>
      <c r="D122" s="20" t="n">
        <v>33239</v>
      </c>
      <c r="E122" s="20" t="n">
        <v>33239</v>
      </c>
      <c r="F122" s="20" t="n">
        <v>33239</v>
      </c>
      <c r="G122" s="20" t="n">
        <v>33239</v>
      </c>
      <c r="H122" s="20" t="n">
        <v>33239</v>
      </c>
      <c r="I122" s="20" t="n">
        <v>33239</v>
      </c>
      <c r="J122" s="20" t="n">
        <v>33239</v>
      </c>
      <c r="K122" s="20" t="n">
        <v>33239</v>
      </c>
      <c r="L122" s="20" t="n">
        <v>33239</v>
      </c>
    </row>
    <row r="123">
      <c r="A123" s="18" t="inlineStr">
        <is>
          <t>자본잉여금</t>
        </is>
      </c>
      <c r="C123" s="20" t="n">
        <v>30259</v>
      </c>
      <c r="D123" s="20" t="n">
        <v>30259</v>
      </c>
      <c r="E123" s="20" t="n">
        <v>30259</v>
      </c>
      <c r="F123" s="20" t="n">
        <v>30259</v>
      </c>
      <c r="G123" s="20" t="n">
        <v>30259</v>
      </c>
      <c r="H123" s="20" t="n">
        <v>21329</v>
      </c>
      <c r="I123" s="20" t="n">
        <v>30259</v>
      </c>
      <c r="J123" s="20" t="n">
        <v>30259</v>
      </c>
      <c r="K123" s="20" t="n">
        <v>30259</v>
      </c>
      <c r="L123" s="20" t="n">
        <v>30259</v>
      </c>
    </row>
    <row r="124">
      <c r="A124" s="18" t="inlineStr">
        <is>
          <t>이익잉여금</t>
        </is>
      </c>
      <c r="C124" s="20" t="n">
        <v>212094</v>
      </c>
      <c r="D124" s="20" t="n">
        <v>222348</v>
      </c>
      <c r="E124" s="20" t="n">
        <v>225195</v>
      </c>
      <c r="F124" s="20" t="n">
        <v>240919</v>
      </c>
      <c r="G124" s="20" t="n">
        <v>259423</v>
      </c>
      <c r="H124" s="20" t="n">
        <v>117661</v>
      </c>
      <c r="I124" s="20" t="n">
        <v>143519</v>
      </c>
      <c r="J124" s="20" t="n">
        <v>172615</v>
      </c>
      <c r="K124" s="20" t="n">
        <v>204233</v>
      </c>
      <c r="L124" s="20" t="n">
        <v>240919</v>
      </c>
    </row>
    <row r="125">
      <c r="A125" s="18" t="inlineStr">
        <is>
          <t>자기주식</t>
        </is>
      </c>
      <c r="C125" s="20" t="n">
        <v>-49939</v>
      </c>
      <c r="D125" s="20" t="n">
        <v>-49932</v>
      </c>
      <c r="E125" s="20" t="n">
        <v>-49910</v>
      </c>
      <c r="F125" s="20" t="n">
        <v>-49893</v>
      </c>
      <c r="G125" s="20" t="n">
        <v>-49873</v>
      </c>
      <c r="H125" s="20" t="n">
        <v>-27464</v>
      </c>
      <c r="I125" s="20" t="n">
        <v>-50037</v>
      </c>
      <c r="J125" s="20" t="n">
        <v>-50012</v>
      </c>
      <c r="K125" s="20" t="n">
        <v>-49963</v>
      </c>
      <c r="L125" s="20" t="n">
        <v>-49893</v>
      </c>
    </row>
    <row r="126">
      <c r="A126" s="9" t="inlineStr">
        <is>
          <t>주주자본 합계</t>
        </is>
      </c>
      <c r="C126" s="12" t="n">
        <v>225653</v>
      </c>
      <c r="D126" s="12" t="n">
        <v>235914</v>
      </c>
      <c r="E126" s="12" t="n">
        <v>238782</v>
      </c>
      <c r="F126" s="12" t="n">
        <v>254524</v>
      </c>
      <c r="G126" s="12" t="n">
        <v>273048</v>
      </c>
      <c r="H126" s="12" t="n">
        <v>144765</v>
      </c>
      <c r="I126" s="12" t="n">
        <v>156979</v>
      </c>
      <c r="J126" s="12" t="n">
        <v>186100</v>
      </c>
      <c r="K126" s="12" t="n">
        <v>217768</v>
      </c>
      <c r="L126" s="12" t="n">
        <v>254524</v>
      </c>
    </row>
    <row r="127">
      <c r="A127" s="18" t="inlineStr">
        <is>
          <t>기타유가증권 평가차액</t>
        </is>
      </c>
      <c r="H127" s="20" t="n">
        <v>100</v>
      </c>
      <c r="I127" s="20" t="n">
        <v>102</v>
      </c>
      <c r="J127" s="20" t="n">
        <v>0</v>
      </c>
    </row>
    <row r="128">
      <c r="A128" s="18" t="inlineStr">
        <is>
          <t>이연헤지손익</t>
        </is>
      </c>
      <c r="E128" s="20" t="n">
        <v>-418</v>
      </c>
      <c r="F128" s="20" t="n">
        <v>0</v>
      </c>
      <c r="G128" s="20" t="n">
        <v>-269</v>
      </c>
      <c r="H128" s="20" t="n">
        <v>0</v>
      </c>
      <c r="K128" s="20" t="n">
        <v>0</v>
      </c>
      <c r="L128" s="20" t="n">
        <v>0</v>
      </c>
    </row>
    <row r="129">
      <c r="A129" s="18" t="inlineStr">
        <is>
          <t>해외사업환산조정</t>
        </is>
      </c>
      <c r="C129" s="20" t="n">
        <v>7950</v>
      </c>
      <c r="D129" s="20" t="n">
        <v>9220</v>
      </c>
      <c r="E129" s="20" t="n">
        <v>11750</v>
      </c>
      <c r="F129" s="20" t="n">
        <v>12481</v>
      </c>
      <c r="G129" s="20" t="n">
        <v>13266</v>
      </c>
      <c r="H129" s="20" t="n">
        <v>1889</v>
      </c>
      <c r="I129" s="20" t="n">
        <v>4332</v>
      </c>
      <c r="J129" s="20" t="n">
        <v>9197</v>
      </c>
      <c r="K129" s="20" t="n">
        <v>8602</v>
      </c>
      <c r="L129" s="20" t="n">
        <v>12481</v>
      </c>
    </row>
    <row r="130">
      <c r="A130" s="18" t="inlineStr">
        <is>
          <t>퇴직급여 조정누계액</t>
        </is>
      </c>
      <c r="C130" s="20" t="n">
        <v>-212</v>
      </c>
      <c r="D130" s="20" t="n">
        <v>-201</v>
      </c>
      <c r="E130" s="20" t="n">
        <v>-191</v>
      </c>
      <c r="F130" s="20" t="n">
        <v>306</v>
      </c>
      <c r="G130" s="20" t="n">
        <v>304</v>
      </c>
      <c r="H130" s="20" t="n">
        <v>-279</v>
      </c>
      <c r="I130" s="20" t="n">
        <v>-285</v>
      </c>
      <c r="J130" s="20" t="n">
        <v>-216</v>
      </c>
      <c r="K130" s="20" t="n">
        <v>-222</v>
      </c>
      <c r="L130" s="20" t="n">
        <v>306</v>
      </c>
    </row>
    <row r="131">
      <c r="A131" s="18" t="inlineStr">
        <is>
          <t>기타포괄손익누계액 합계</t>
        </is>
      </c>
      <c r="C131" s="20" t="n">
        <v>7738</v>
      </c>
      <c r="D131" s="20" t="n">
        <v>9018</v>
      </c>
      <c r="E131" s="20" t="n">
        <v>11141</v>
      </c>
      <c r="F131" s="20" t="n">
        <v>12788</v>
      </c>
      <c r="G131" s="20" t="n">
        <v>13302</v>
      </c>
      <c r="H131" s="20" t="n">
        <v>1710</v>
      </c>
      <c r="I131" s="20" t="n">
        <v>4149</v>
      </c>
      <c r="J131" s="20" t="n">
        <v>8980</v>
      </c>
      <c r="K131" s="20" t="n">
        <v>8380</v>
      </c>
      <c r="L131" s="20" t="n">
        <v>12788</v>
      </c>
    </row>
    <row r="132">
      <c r="A132" s="18" t="inlineStr">
        <is>
          <t>주식인수권</t>
        </is>
      </c>
      <c r="C132" s="20" t="n">
        <v>187</v>
      </c>
      <c r="D132" s="20" t="n">
        <v>254</v>
      </c>
      <c r="E132" s="20" t="n">
        <v>321</v>
      </c>
      <c r="F132" s="20" t="n">
        <v>388</v>
      </c>
      <c r="G132" s="20" t="n">
        <v>537</v>
      </c>
      <c r="J132" s="20" t="n">
        <v>0</v>
      </c>
      <c r="K132" s="20" t="n">
        <v>155</v>
      </c>
      <c r="L132" s="20" t="n">
        <v>388</v>
      </c>
    </row>
    <row r="133">
      <c r="A133" s="18" t="inlineStr">
        <is>
          <t>비지배지분</t>
        </is>
      </c>
      <c r="C133" s="20" t="n">
        <v>0</v>
      </c>
      <c r="D133" s="20" t="n">
        <v>0</v>
      </c>
      <c r="E133" s="20" t="n">
        <v>0</v>
      </c>
      <c r="F133" s="20" t="n">
        <v>14</v>
      </c>
      <c r="G133" s="20" t="n">
        <v>36</v>
      </c>
      <c r="J133" s="20" t="n">
        <v>0</v>
      </c>
      <c r="K133" s="20" t="n">
        <v>0</v>
      </c>
      <c r="L133" s="20" t="n">
        <v>14</v>
      </c>
    </row>
    <row r="134">
      <c r="A134" s="9" t="inlineStr">
        <is>
          <t>순자산 합계</t>
        </is>
      </c>
      <c r="C134" s="12" t="n">
        <v>233579</v>
      </c>
      <c r="D134" s="12" t="n">
        <v>245188</v>
      </c>
      <c r="E134" s="12" t="n">
        <v>250245</v>
      </c>
      <c r="F134" s="12" t="n">
        <v>267716</v>
      </c>
      <c r="G134" s="12" t="n">
        <v>286924</v>
      </c>
      <c r="H134" s="12" t="n">
        <v>146475</v>
      </c>
      <c r="I134" s="12" t="n">
        <v>161129</v>
      </c>
      <c r="J134" s="12" t="n">
        <v>195081</v>
      </c>
      <c r="K134" s="12" t="n">
        <v>226303</v>
      </c>
      <c r="L134" s="12" t="n">
        <v>267716</v>
      </c>
    </row>
    <row r="135">
      <c r="A135" s="9" t="inlineStr">
        <is>
          <t>부채·순자산 합계</t>
        </is>
      </c>
      <c r="C135" s="12" t="n">
        <v>293241</v>
      </c>
      <c r="D135" s="12" t="n">
        <v>298852</v>
      </c>
      <c r="E135" s="12" t="n">
        <v>290869</v>
      </c>
      <c r="F135" s="12" t="n">
        <v>339307</v>
      </c>
      <c r="G135" s="12" t="n">
        <v>341312</v>
      </c>
      <c r="H135" s="12" t="n">
        <v>187365</v>
      </c>
      <c r="I135" s="12" t="n">
        <v>217365</v>
      </c>
      <c r="J135" s="12" t="n">
        <v>243476</v>
      </c>
      <c r="K135" s="12" t="n">
        <v>312982</v>
      </c>
      <c r="L135" s="12" t="n">
        <v>339307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2026-07-28</t>
        </is>
      </c>
      <c r="B4" t="inlineStr">
        <is>
          <t>2027년 3월 결산기 1분기 결산단신</t>
        </is>
      </c>
      <c r="C4" t="inlineStr">
        <is>
          <t>https://www2.jpx.co.jp/disc/96970/140120260728500563.pdf</t>
        </is>
      </c>
    </row>
    <row r="5">
      <c r="A5" t="inlineStr">
        <is>
          <t>2026-05-13</t>
        </is>
      </c>
      <c r="B5" t="inlineStr">
        <is>
          <t>2026년 3월 결산기 연간 결산단신</t>
        </is>
      </c>
      <c r="C5" t="inlineStr">
        <is>
          <t>https://www2.jpx.co.jp/disc/96970/140120260513528020.pdf</t>
        </is>
      </c>
    </row>
    <row r="6">
      <c r="A6" t="inlineStr">
        <is>
          <t>2026-01-27</t>
        </is>
      </c>
      <c r="B6" t="inlineStr">
        <is>
          <t>2026년 3월 결산기 3분기 결산단신</t>
        </is>
      </c>
      <c r="C6" t="inlineStr">
        <is>
          <t>https://www2.jpx.co.jp/disc/96970/140120260127539114.pdf</t>
        </is>
      </c>
    </row>
    <row r="7">
      <c r="A7" t="inlineStr">
        <is>
          <t>2025-10-29</t>
        </is>
      </c>
      <c r="B7" t="inlineStr">
        <is>
          <t>2026년 3월 결산기 2분기 결산단신</t>
        </is>
      </c>
      <c r="C7" t="inlineStr">
        <is>
          <t>https://www2.jpx.co.jp/disc/96970/140120251029580987.pdf</t>
        </is>
      </c>
    </row>
    <row r="8">
      <c r="A8" t="inlineStr">
        <is>
          <t>2025-07-30</t>
        </is>
      </c>
      <c r="B8" t="inlineStr">
        <is>
          <t>2026년 3월 결산기 1분기 결산단신</t>
        </is>
      </c>
      <c r="C8" t="inlineStr">
        <is>
          <t>https://www2.jpx.co.jp/disc/96970/140120250730523490.pdf</t>
        </is>
      </c>
    </row>
    <row r="9">
      <c r="A9" t="inlineStr">
        <is>
          <t>2025-05-13</t>
        </is>
      </c>
      <c r="B9" t="inlineStr">
        <is>
          <t>2025년 3월 결산기 연간 결산단신</t>
        </is>
      </c>
      <c r="C9" t="inlineStr">
        <is>
          <t>https://www2.jpx.co.jp/disc/96970/140120250513544293.pdf</t>
        </is>
      </c>
    </row>
    <row r="10">
      <c r="A10" t="inlineStr">
        <is>
          <t>2025-01-29</t>
        </is>
      </c>
      <c r="B10" t="inlineStr">
        <is>
          <t>2025년 3월 결산기 3분기 결산단신</t>
        </is>
      </c>
      <c r="C10" t="inlineStr">
        <is>
          <t>https://www2.jpx.co.jp/disc/96970/140120250129556850.pdf</t>
        </is>
      </c>
    </row>
    <row r="11">
      <c r="A11" t="inlineStr">
        <is>
          <t>2024-10-29</t>
        </is>
      </c>
      <c r="B11" t="inlineStr">
        <is>
          <t>2025년 3월 결산기 2분기 결산단신</t>
        </is>
      </c>
      <c r="C11" t="inlineStr">
        <is>
          <t>https://www2.jpx.co.jp/disc/96970/140120241029504488.pdf</t>
        </is>
      </c>
    </row>
    <row r="12">
      <c r="A12" t="inlineStr">
        <is>
          <t>2024-07-29</t>
        </is>
      </c>
      <c r="B12" t="inlineStr">
        <is>
          <t>2025년 3월 결산기 1분기 결산단신</t>
        </is>
      </c>
      <c r="C12" t="inlineStr">
        <is>
          <t>https://www2.jpx.co.jp/disc/96970/140120240729556455.pdf</t>
        </is>
      </c>
    </row>
    <row r="13">
      <c r="A13" t="inlineStr">
        <is>
          <t>2024-05-09</t>
        </is>
      </c>
      <c r="B13" t="inlineStr">
        <is>
          <t>2024년 3월 결산기 연간 결산단신</t>
        </is>
      </c>
      <c r="C13" t="inlineStr">
        <is>
          <t>https://www2.jpx.co.jp/disc/96970/140120240509585892.pdf</t>
        </is>
      </c>
    </row>
    <row r="14">
      <c r="A14" t="inlineStr">
        <is>
          <t>2024-01-31</t>
        </is>
      </c>
      <c r="B14" t="inlineStr">
        <is>
          <t>2024년 3월 결산기 3분기 결산단신</t>
        </is>
      </c>
      <c r="C14" t="inlineStr">
        <is>
          <t>https://www2.jpx.co.jp/disc/96970/140120240131522647.pdf</t>
        </is>
      </c>
    </row>
    <row r="15">
      <c r="A15" t="inlineStr">
        <is>
          <t>2023-10-26</t>
        </is>
      </c>
      <c r="B15" t="inlineStr">
        <is>
          <t>2024년 3월 결산기 2분기 결산단신</t>
        </is>
      </c>
      <c r="C15" t="inlineStr">
        <is>
          <t>https://www2.jpx.co.jp/disc/96970/140120231026571830.pdf</t>
        </is>
      </c>
    </row>
    <row r="16">
      <c r="A16" t="inlineStr">
        <is>
          <t>2023-07-26</t>
        </is>
      </c>
      <c r="B16" t="inlineStr">
        <is>
          <t>2024년 3월 결산기 1분기 결산단신</t>
        </is>
      </c>
      <c r="C16" t="inlineStr">
        <is>
          <t>https://www2.jpx.co.jp/disc/96970/140120230726526952.pdf</t>
        </is>
      </c>
    </row>
    <row r="17">
      <c r="A17" t="inlineStr">
        <is>
          <t>2023-05-10</t>
        </is>
      </c>
      <c r="B17" t="inlineStr">
        <is>
          <t>2023년 3월 결산기 연간 결산단신</t>
        </is>
      </c>
      <c r="C17" t="inlineStr">
        <is>
          <t>https://www2.jpx.co.jp/disc/96970/140120230510562400.pdf</t>
        </is>
      </c>
    </row>
    <row r="18">
      <c r="A18" t="inlineStr">
        <is>
          <t>2023-01-30</t>
        </is>
      </c>
      <c r="B18" t="inlineStr">
        <is>
          <t>2023년 3월 결산기 3분기 결산단신</t>
        </is>
      </c>
      <c r="C18" t="inlineStr">
        <is>
          <t>https://www2.jpx.co.jp/disc/96970/140120230130595527.pdf</t>
        </is>
      </c>
    </row>
    <row r="19">
      <c r="A19" t="inlineStr">
        <is>
          <t>2022-10-26</t>
        </is>
      </c>
      <c r="B19" t="inlineStr">
        <is>
          <t>2023년 3월 결산기 2분기 결산단신</t>
        </is>
      </c>
      <c r="C19" t="inlineStr">
        <is>
          <t>https://www2.jpx.co.jp/disc/96970/140120221026549442.pdf</t>
        </is>
      </c>
    </row>
    <row r="20">
      <c r="A20" t="inlineStr">
        <is>
          <t>2022-05-11</t>
        </is>
      </c>
      <c r="B20" t="inlineStr">
        <is>
          <t>2022년 3월 결산기 연간 결산단신</t>
        </is>
      </c>
      <c r="C20" t="inlineStr">
        <is>
          <t>https://www2.jpx.co.jp/disc/96970/140120220511538745.pdf</t>
        </is>
      </c>
    </row>
    <row r="21">
      <c r="A21" t="inlineStr">
        <is>
          <t>2021-05-10</t>
        </is>
      </c>
      <c r="B21" t="inlineStr">
        <is>
          <t>2021년 3월 결산기 연간 결산단신</t>
        </is>
      </c>
      <c r="C21" t="inlineStr">
        <is>
          <t>https://www2.jpx.co.jp/disc/96970/140120210510408670.pdf</t>
        </is>
      </c>
    </row>
    <row r="22">
      <c r="A22" t="inlineStr">
        <is>
          <t>2020-05-08</t>
        </is>
      </c>
      <c r="B22" t="inlineStr">
        <is>
          <t>2020년 3월 결산기 연간 결산단신</t>
        </is>
      </c>
      <c r="C22" t="inlineStr">
        <is>
          <t>https://www2.jpx.co.jp/disc/96970/140120200430403332.pdf</t>
        </is>
      </c>
    </row>
    <row r="23">
      <c r="A23" t="inlineStr">
        <is>
          <t>2019-05-07</t>
        </is>
      </c>
      <c r="B23" t="inlineStr">
        <is>
          <t>2019년 3월 결산기 연간 결산단신</t>
        </is>
      </c>
      <c r="C23" t="inlineStr">
        <is>
          <t>https://www2.jpx.co.jp/disc/96970/140120190428413657.pdf</t>
        </is>
      </c>
    </row>
    <row r="24">
      <c r="A24" t="inlineStr">
        <is>
          <t>2018-05-08</t>
        </is>
      </c>
      <c r="B24" t="inlineStr">
        <is>
          <t>2018년 3월 결산기 연간 결산단신</t>
        </is>
      </c>
      <c r="C24" t="inlineStr">
        <is>
          <t>https://www2.jpx.co.jp/disc/96970/140120180501426255.pdf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2026-10-25T10:11:27Z</dcterms:created>
  <dcterms:modified xmlns:dcterms="http://purl.org/dc/terms/" xmlns:xsi="http://www.w3.org/2001/XMLSchema-instance" xsi:type="dcterms:W3CDTF">2026-10-25T10:11:27Z</dcterms:modified>
</cp:coreProperties>
</file>