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7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9697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31245</v>
      </c>
      <c r="D4" s="12" t="n">
        <v>46231</v>
      </c>
      <c r="E4" s="12" t="n">
        <v>29597</v>
      </c>
      <c r="F4" s="12" t="n">
        <v>26805</v>
      </c>
      <c r="G4" s="12" t="n">
        <v>32451</v>
      </c>
      <c r="H4" s="12" t="n">
        <v>80751</v>
      </c>
      <c r="I4" s="12" t="n">
        <v>45502</v>
      </c>
      <c r="J4" s="12" t="n">
        <v>35650</v>
      </c>
      <c r="K4" s="12" t="n">
        <v>34163</v>
      </c>
      <c r="L4" s="12" t="n">
        <v>80050</v>
      </c>
      <c r="M4" s="12" t="n">
        <v>70410</v>
      </c>
      <c r="N4" s="12" t="n">
        <v>50477</v>
      </c>
      <c r="O4" s="11" t="n">
        <v>87170</v>
      </c>
      <c r="P4" s="12" t="n">
        <v>94515</v>
      </c>
      <c r="Q4" s="12" t="n">
        <v>100031</v>
      </c>
      <c r="R4" s="12" t="n">
        <v>81591</v>
      </c>
      <c r="S4" s="12" t="n">
        <v>95308</v>
      </c>
      <c r="T4" s="12" t="n">
        <v>110054</v>
      </c>
      <c r="U4" s="12" t="n">
        <v>125930</v>
      </c>
      <c r="V4" s="12" t="n">
        <v>152410</v>
      </c>
      <c r="W4" s="12" t="n">
        <v>169604</v>
      </c>
      <c r="X4" s="12" t="n">
        <v>195365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DegitalContentsReportableSegmentMember</t>
        </is>
      </c>
      <c r="B7" s="10" t="n"/>
      <c r="C7" s="19" t="n">
        <v>20161</v>
      </c>
      <c r="D7" s="20" t="n">
        <v>38405</v>
      </c>
      <c r="E7" s="20" t="n">
        <v>21416</v>
      </c>
      <c r="F7" s="20" t="n">
        <v>18359</v>
      </c>
      <c r="G7" s="20" t="n">
        <v>18759</v>
      </c>
      <c r="H7" s="20" t="n">
        <v>66594</v>
      </c>
      <c r="I7" s="20" t="n">
        <v>29857</v>
      </c>
      <c r="J7" s="20" t="n">
        <v>19995</v>
      </c>
      <c r="K7" s="20" t="n">
        <v>23559</v>
      </c>
      <c r="L7" s="20" t="n">
        <v>70866</v>
      </c>
      <c r="M7" s="20" t="n">
        <v>54648</v>
      </c>
      <c r="N7" s="20" t="n">
        <v>30493</v>
      </c>
      <c r="O7" s="19" t="n"/>
      <c r="P7" s="20" t="n"/>
      <c r="Q7" s="20" t="n"/>
      <c r="R7" s="20" t="n"/>
      <c r="S7" s="20" t="n"/>
      <c r="T7" s="20" t="n"/>
      <c r="U7" s="20" t="n"/>
      <c r="V7" s="20" t="n">
        <v>119841</v>
      </c>
      <c r="W7" s="20" t="n">
        <v>125128</v>
      </c>
      <c r="X7" s="20" t="n">
        <v>144277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ArcadeOperationsReportableSegmentMember</t>
        </is>
      </c>
      <c r="B10" s="10" t="n"/>
      <c r="C10" s="19" t="n">
        <v>4678</v>
      </c>
      <c r="D10" s="20" t="n">
        <v>5496</v>
      </c>
      <c r="E10" s="20" t="n">
        <v>4864</v>
      </c>
      <c r="F10" s="20" t="n">
        <v>6127</v>
      </c>
      <c r="G10" s="20" t="n">
        <v>5561</v>
      </c>
      <c r="H10" s="20" t="n">
        <v>6198</v>
      </c>
      <c r="I10" s="20" t="n">
        <v>5606</v>
      </c>
      <c r="J10" s="20" t="n">
        <v>6844</v>
      </c>
      <c r="K10" s="20" t="n">
        <v>6131</v>
      </c>
      <c r="L10" s="20" t="n">
        <v>7075</v>
      </c>
      <c r="M10" s="20" t="n">
        <v>6762</v>
      </c>
      <c r="N10" s="20" t="n">
        <v>8947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19343</v>
      </c>
      <c r="W10" s="20" t="n">
        <v>22750</v>
      </c>
      <c r="X10" s="20" t="n">
        <v>25656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AmusementEquipmentsReportableSegmentMember</t>
        </is>
      </c>
      <c r="B13" s="10" t="n"/>
      <c r="C13" s="19" t="n">
        <v>5422</v>
      </c>
      <c r="D13" s="20" t="n">
        <v>1000</v>
      </c>
      <c r="E13" s="20" t="n">
        <v>2220</v>
      </c>
      <c r="F13" s="20" t="n">
        <v>956</v>
      </c>
      <c r="G13" s="20" t="n">
        <v>7066</v>
      </c>
      <c r="H13" s="20" t="n">
        <v>5371</v>
      </c>
      <c r="I13" s="20" t="n">
        <v>7812</v>
      </c>
      <c r="J13" s="20" t="n">
        <v>7379</v>
      </c>
      <c r="K13" s="20" t="n">
        <v>2575</v>
      </c>
      <c r="L13" s="20" t="n">
        <v>14</v>
      </c>
      <c r="M13" s="20" t="n">
        <v>7097</v>
      </c>
      <c r="N13" s="20" t="n">
        <v>9452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9020</v>
      </c>
      <c r="W13" s="20" t="n">
        <v>15613</v>
      </c>
      <c r="X13" s="20" t="n">
        <v>17780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984</v>
      </c>
      <c r="D16" s="20" t="n">
        <v>1329</v>
      </c>
      <c r="E16" s="20" t="n">
        <v>1097</v>
      </c>
      <c r="F16" s="20" t="n">
        <v>1362</v>
      </c>
      <c r="G16" s="20" t="n">
        <v>1065</v>
      </c>
      <c r="H16" s="20" t="n">
        <v>2587</v>
      </c>
      <c r="I16" s="20" t="n">
        <v>2226</v>
      </c>
      <c r="J16" s="20" t="n">
        <v>1431</v>
      </c>
      <c r="K16" s="20" t="n">
        <v>1899</v>
      </c>
      <c r="L16" s="20" t="n">
        <v>2094</v>
      </c>
      <c r="M16" s="20" t="n">
        <v>1902</v>
      </c>
      <c r="N16" s="20" t="n">
        <v>1584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4204</v>
      </c>
      <c r="W16" s="20" t="n">
        <v>6111</v>
      </c>
      <c r="X16" s="20" t="n">
        <v>7650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>
        <v>29597</v>
      </c>
      <c r="F19" s="20" t="n"/>
      <c r="G19" s="20" t="n"/>
      <c r="H19" s="20" t="n"/>
      <c r="I19" s="20" t="n">
        <v>45502</v>
      </c>
      <c r="J19" s="20" t="n"/>
      <c r="K19" s="20" t="n"/>
      <c r="L19" s="20" t="n"/>
      <c r="M19" s="20" t="n">
        <v>70410</v>
      </c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11050</v>
      </c>
      <c r="D23" s="20" t="n">
        <v>27627</v>
      </c>
      <c r="E23" s="20" t="n">
        <v>11099</v>
      </c>
      <c r="F23" s="20" t="n">
        <v>11958</v>
      </c>
      <c r="G23" s="20" t="n">
        <v>15256</v>
      </c>
      <c r="H23" s="20" t="n">
        <v>32533</v>
      </c>
      <c r="I23" s="20" t="n">
        <v>14495</v>
      </c>
      <c r="J23" s="20" t="n">
        <v>13788</v>
      </c>
      <c r="K23" s="20" t="n">
        <v>11485</v>
      </c>
      <c r="L23" s="20" t="n">
        <v>45379</v>
      </c>
      <c r="M23" s="20" t="n">
        <v>21628</v>
      </c>
      <c r="N23" s="20" t="n">
        <v>22035</v>
      </c>
      <c r="O23" s="19" t="n">
        <v>56438</v>
      </c>
      <c r="P23" s="20" t="n">
        <v>59895</v>
      </c>
      <c r="Q23" s="20" t="n">
        <v>62809</v>
      </c>
      <c r="R23" s="20" t="n">
        <v>40643</v>
      </c>
      <c r="S23" s="20" t="n">
        <v>42567</v>
      </c>
      <c r="T23" s="20" t="n">
        <v>48736</v>
      </c>
      <c r="U23" s="20" t="n">
        <v>52110</v>
      </c>
      <c r="V23" s="20" t="n">
        <v>67755</v>
      </c>
      <c r="W23" s="20" t="n">
        <v>70846</v>
      </c>
      <c r="X23" s="20" t="n">
        <v>85147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18" t="inlineStr">
        <is>
          <t>매출총이익</t>
        </is>
      </c>
      <c r="B25" s="10" t="n"/>
      <c r="C25" s="19">
        <f>IF(OR(C4="",C23=""),"",IFERROR(C4-C23,""))</f>
        <v/>
      </c>
      <c r="D25" s="20">
        <f>IF(OR(D4="",D23=""),"",IFERROR(D4-D23,""))</f>
        <v/>
      </c>
      <c r="E25" s="20">
        <f>IF(OR(E4="",E23=""),"",IFERROR(E4-E23,""))</f>
        <v/>
      </c>
      <c r="F25" s="20">
        <f>IF(OR(F4="",F23=""),"",IFERROR(F4-F23,""))</f>
        <v/>
      </c>
      <c r="G25" s="20">
        <f>IF(OR(G4="",G23=""),"",IFERROR(G4-G23,""))</f>
        <v/>
      </c>
      <c r="H25" s="20">
        <f>IF(OR(H4="",H23=""),"",IFERROR(H4-H23,""))</f>
        <v/>
      </c>
      <c r="I25" s="20">
        <f>IF(OR(I4="",I23=""),"",IFERROR(I4-I23,""))</f>
        <v/>
      </c>
      <c r="J25" s="20">
        <f>IF(OR(J4="",J23=""),"",IFERROR(J4-J23,""))</f>
        <v/>
      </c>
      <c r="K25" s="20">
        <f>IF(OR(K4="",K23=""),"",IFERROR(K4-K23,""))</f>
        <v/>
      </c>
      <c r="L25" s="20">
        <f>IF(OR(L4="",L23=""),"",IFERROR(L4-L23,""))</f>
        <v/>
      </c>
      <c r="M25" s="20">
        <f>IF(OR(M4="",M23=""),"",IFERROR(M4-M23,""))</f>
        <v/>
      </c>
      <c r="N25" s="20">
        <f>IF(OR(N4="",N23=""),"",IFERROR(N4-N23,""))</f>
        <v/>
      </c>
      <c r="O25" s="19">
        <f>IF(OR(O4="",O23=""),"",IFERROR(O4-O23,""))</f>
        <v/>
      </c>
      <c r="P25" s="20">
        <f>IF(OR(P4="",P23=""),"",IFERROR(P4-P23,""))</f>
        <v/>
      </c>
      <c r="Q25" s="20">
        <f>IF(OR(Q4="",Q23=""),"",IFERROR(Q4-Q23,""))</f>
        <v/>
      </c>
      <c r="R25" s="20">
        <f>IF(OR(R4="",R23=""),"",IFERROR(R4-R23,""))</f>
        <v/>
      </c>
      <c r="S25" s="20">
        <f>IF(OR(S4="",S23=""),"",IFERROR(S4-S23,""))</f>
        <v/>
      </c>
      <c r="T25" s="20">
        <f>IF(OR(T4="",T23=""),"",IFERROR(T4-T23,""))</f>
        <v/>
      </c>
      <c r="U25" s="20">
        <f>IF(OR(U4="",U23=""),"",IFERROR(U4-U23,""))</f>
        <v/>
      </c>
      <c r="V25" s="20">
        <f>IF(OR(V4="",V23=""),"",IFERROR(V4-V23,""))</f>
        <v/>
      </c>
      <c r="W25" s="20">
        <f>IF(OR(W4="",W23=""),"",IFERROR(W4-W23,""))</f>
        <v/>
      </c>
      <c r="X25" s="20">
        <f>IF(OR(X4="",X23=""),"",IFERROR(X4-X23,""))</f>
        <v/>
      </c>
      <c r="Y25" s="19" t="n"/>
      <c r="Z25" s="20" t="n"/>
      <c r="AA25" s="20" t="n"/>
      <c r="AB25" s="20" t="n"/>
      <c r="AC25" s="20" t="n"/>
    </row>
    <row r="26">
      <c r="A26" s="13" t="inlineStr">
        <is>
          <t>GPM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IF(OR(G25="",C25=""),"",IF(C25&lt;=0,"",IFERROR(G25/C25-1,"")))</f>
        <v/>
      </c>
      <c r="H27" s="15">
        <f>IF(OR(H25="",D25=""),"",IF(D25&lt;=0,"",IFERROR(H25/D25-1,"")))</f>
        <v/>
      </c>
      <c r="I27" s="15">
        <f>IF(OR(I25="",E25=""),"",IF(E25&lt;=0,"",IFERROR(I25/E25-1,"")))</f>
        <v/>
      </c>
      <c r="J27" s="15">
        <f>IF(OR(J25="",F25=""),"",IF(F25&lt;=0,"",IFERROR(J25/F25-1,"")))</f>
        <v/>
      </c>
      <c r="K27" s="15">
        <f>IF(OR(K25="",G25=""),"",IF(G25&lt;=0,"",IFERROR(K25/G25-1,"")))</f>
        <v/>
      </c>
      <c r="L27" s="15">
        <f>IF(OR(L25="",H25=""),"",IF(H25&lt;=0,"",IFERROR(L25/H25-1,"")))</f>
        <v/>
      </c>
      <c r="M27" s="15">
        <f>IF(OR(M25="",I25=""),"",IF(I25&lt;=0,"",IFERROR(M25/I25-1,"")))</f>
        <v/>
      </c>
      <c r="N27" s="15">
        <f>IF(OR(N25="",J25=""),"",IF(J25&lt;=0,"",IFERROR(N25/J25-1,"")))</f>
        <v/>
      </c>
      <c r="O27" s="14" t="n"/>
      <c r="P27" s="15">
        <f>IF(OR(P25="",O25=""),"",IF(O25&lt;=0,"",IFERROR(P25/O25-1,"")))</f>
        <v/>
      </c>
      <c r="Q27" s="15">
        <f>IF(OR(Q25="",P25=""),"",IF(P25&lt;=0,"",IFERROR(Q25/P25-1,"")))</f>
        <v/>
      </c>
      <c r="R27" s="15">
        <f>IF(OR(R25="",Q25=""),"",IF(Q25&lt;=0,"",IFERROR(R25/Q25-1,"")))</f>
        <v/>
      </c>
      <c r="S27" s="15">
        <f>IF(OR(S25="",R25=""),"",IF(R25&lt;=0,"",IFERROR(S25/R25-1,"")))</f>
        <v/>
      </c>
      <c r="T27" s="15">
        <f>IF(OR(T25="",S25=""),"",IF(S25&lt;=0,"",IFERROR(T25/S25-1,"")))</f>
        <v/>
      </c>
      <c r="U27" s="15">
        <f>IF(OR(U25="",T25=""),"",IF(T25&lt;=0,"",IFERROR(U25/T25-1,"")))</f>
        <v/>
      </c>
      <c r="V27" s="15">
        <f>IF(OR(V25="",U25=""),"",IF(U25&lt;=0,"",IFERROR(V25/U25-1,"")))</f>
        <v/>
      </c>
      <c r="W27" s="15">
        <f>IF(OR(W25="",V25=""),"",IF(V25&lt;=0,"",IFERROR(W25/V25-1,"")))</f>
        <v/>
      </c>
      <c r="X27" s="15">
        <f>IF(OR(X25="",W25=""),"",IF(W25&lt;=0,"",IFERROR(X25/W25-1,"")))</f>
        <v/>
      </c>
      <c r="Y27" s="14">
        <f>IF(OR(Y25="",X25=""),"",IF(X25&lt;=0,"",IFERROR(Y25/X25-1,"")))</f>
        <v/>
      </c>
      <c r="Z27" s="15">
        <f>IF(OR(Z25="",Y25=""),"",IF(Y25&lt;=0,"",IFERROR(Z25/Y25-1,"")))</f>
        <v/>
      </c>
      <c r="AA27" s="15">
        <f>IF(OR(AA25="",Z25=""),"",IF(Z25&lt;=0,"",IFERROR(AA25/Z25-1,"")))</f>
        <v/>
      </c>
      <c r="AB27" s="15">
        <f>IF(OR(AB25="",AA25=""),"",IF(AA25&lt;=0,"",IFERROR(AB25/AA25-1,"")))</f>
        <v/>
      </c>
      <c r="AC27" s="15">
        <f>IF(OR(AC25="",AB25=""),"",IF(AB25&lt;=0,"",IFERROR(AC25/AB25-1,"")))</f>
        <v/>
      </c>
    </row>
    <row r="28">
      <c r="A28" s="23" t="inlineStr">
        <is>
          <t>판매관리비</t>
        </is>
      </c>
      <c r="B28" s="23" t="n"/>
      <c r="C28" s="24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4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4" t="n"/>
      <c r="Z28" s="23" t="n"/>
      <c r="AA28" s="23" t="n"/>
      <c r="AB28" s="23" t="n"/>
      <c r="AC28" s="23" t="n"/>
    </row>
    <row r="29">
      <c r="A29" s="18" t="inlineStr">
        <is>
          <t>전체 판관비</t>
        </is>
      </c>
      <c r="B29" s="10" t="n"/>
      <c r="C29" s="19" t="n">
        <v>6327</v>
      </c>
      <c r="D29" s="20" t="n">
        <v>9226</v>
      </c>
      <c r="E29" s="20" t="n">
        <v>5608</v>
      </c>
      <c r="F29" s="20" t="n">
        <v>7010</v>
      </c>
      <c r="G29" s="20" t="n">
        <v>6901</v>
      </c>
      <c r="H29" s="20" t="n">
        <v>13461</v>
      </c>
      <c r="I29" s="20" t="n">
        <v>6408</v>
      </c>
      <c r="J29" s="20" t="n">
        <v>7127</v>
      </c>
      <c r="K29" s="20" t="n">
        <v>7710</v>
      </c>
      <c r="L29" s="20" t="n">
        <v>13676</v>
      </c>
      <c r="M29" s="20" t="n">
        <v>7727</v>
      </c>
      <c r="N29" s="20" t="n">
        <v>8727</v>
      </c>
      <c r="O29" s="19" t="n">
        <v>17080</v>
      </c>
      <c r="P29" s="20" t="n">
        <v>18582</v>
      </c>
      <c r="Q29" s="20" t="n">
        <v>19078</v>
      </c>
      <c r="R29" s="20" t="n">
        <v>18119</v>
      </c>
      <c r="S29" s="20" t="n">
        <v>18145</v>
      </c>
      <c r="T29" s="20" t="n">
        <v>18408</v>
      </c>
      <c r="U29" s="20" t="n">
        <v>23006</v>
      </c>
      <c r="V29" s="20" t="n">
        <v>27572</v>
      </c>
      <c r="W29" s="20" t="n">
        <v>32980</v>
      </c>
      <c r="X29" s="20" t="n">
        <v>34921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13869</v>
      </c>
      <c r="D31" s="12" t="n">
        <v>9377</v>
      </c>
      <c r="E31" s="12" t="n">
        <v>12889</v>
      </c>
      <c r="F31" s="12" t="n">
        <v>7837</v>
      </c>
      <c r="G31" s="12" t="n">
        <v>10294</v>
      </c>
      <c r="H31" s="12" t="n">
        <v>34757</v>
      </c>
      <c r="I31" s="12" t="n">
        <v>24597</v>
      </c>
      <c r="J31" s="12" t="n">
        <v>14736</v>
      </c>
      <c r="K31" s="12" t="n">
        <v>14969</v>
      </c>
      <c r="L31" s="12" t="n">
        <v>20993</v>
      </c>
      <c r="M31" s="12" t="n">
        <v>41054</v>
      </c>
      <c r="N31" s="12" t="n">
        <v>19715</v>
      </c>
      <c r="O31" s="11" t="n">
        <v>13650</v>
      </c>
      <c r="P31" s="12" t="n">
        <v>16037</v>
      </c>
      <c r="Q31" s="12" t="n">
        <v>18144</v>
      </c>
      <c r="R31" s="12" t="n">
        <v>22827</v>
      </c>
      <c r="S31" s="12" t="n">
        <v>34596</v>
      </c>
      <c r="T31" s="12" t="n">
        <v>42909</v>
      </c>
      <c r="U31" s="12" t="n">
        <v>50812</v>
      </c>
      <c r="V31" s="12" t="n">
        <v>57081</v>
      </c>
      <c r="W31" s="12" t="n">
        <v>65777</v>
      </c>
      <c r="X31" s="12" t="n">
        <v>75295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IF(O29="","",O29)</f>
        <v/>
      </c>
      <c r="P35" s="12">
        <f>IF(P29="","",P29)</f>
        <v/>
      </c>
      <c r="Q35" s="12">
        <f>IF(Q29="","",Q29)</f>
        <v/>
      </c>
      <c r="R35" s="12">
        <f>IF(R29="","",R29)</f>
        <v/>
      </c>
      <c r="S35" s="12">
        <f>IF(S29="","",S29)</f>
        <v/>
      </c>
      <c r="T35" s="12">
        <f>IF(T29="","",T29)</f>
        <v/>
      </c>
      <c r="U35" s="12">
        <f>IF(U29="","",U29)</f>
        <v/>
      </c>
      <c r="V35" s="12">
        <f>IF(V29="","",V29)</f>
        <v/>
      </c>
      <c r="W35" s="12">
        <f>IF(W29="","",W29)</f>
        <v/>
      </c>
      <c r="X35" s="12">
        <f>IF(X29="","",X29)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>
        <v>434</v>
      </c>
      <c r="D47" s="20" t="n">
        <v>-25</v>
      </c>
      <c r="E47" s="20" t="n">
        <v>143</v>
      </c>
      <c r="F47" s="20" t="n">
        <v>0</v>
      </c>
      <c r="G47" s="20" t="n">
        <v>0</v>
      </c>
      <c r="H47" s="20" t="n">
        <v>1</v>
      </c>
      <c r="I47" s="20" t="n">
        <v>0</v>
      </c>
      <c r="J47" s="20" t="n">
        <v>0</v>
      </c>
      <c r="K47" s="20" t="n">
        <v>0</v>
      </c>
      <c r="L47" s="20" t="n">
        <v>0</v>
      </c>
      <c r="M47" s="20" t="n">
        <v>0</v>
      </c>
      <c r="N47" s="20" t="n">
        <v>0</v>
      </c>
      <c r="O47" s="19" t="n"/>
      <c r="P47" s="20" t="n"/>
      <c r="Q47" s="20" t="n"/>
      <c r="R47" s="20" t="n"/>
      <c r="S47" s="20" t="n"/>
      <c r="T47" s="20" t="n"/>
      <c r="U47" s="20" t="n">
        <v>0</v>
      </c>
      <c r="V47" s="20" t="n">
        <v>410</v>
      </c>
      <c r="W47" s="20" t="n">
        <v>144</v>
      </c>
      <c r="X47" s="20" t="n">
        <v>0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>
        <v>298</v>
      </c>
      <c r="D49" s="20" t="n">
        <v>251</v>
      </c>
      <c r="E49" s="20" t="n">
        <v>1</v>
      </c>
      <c r="F49" s="20" t="n">
        <v>1</v>
      </c>
      <c r="G49" s="20" t="n">
        <v>99</v>
      </c>
      <c r="H49" s="20" t="n">
        <v>27</v>
      </c>
      <c r="I49" s="20" t="n">
        <v>49</v>
      </c>
      <c r="J49" s="20" t="n">
        <v>127</v>
      </c>
      <c r="K49" s="20" t="n">
        <v>11</v>
      </c>
      <c r="L49" s="20" t="n">
        <v>13</v>
      </c>
      <c r="M49" s="20" t="n">
        <v>0</v>
      </c>
      <c r="N49" s="20" t="n">
        <v>0</v>
      </c>
      <c r="O49" s="19" t="n">
        <v>99</v>
      </c>
      <c r="P49" s="20" t="n">
        <v>104</v>
      </c>
      <c r="Q49" s="20" t="n">
        <v>423</v>
      </c>
      <c r="R49" s="20" t="n">
        <v>67</v>
      </c>
      <c r="S49" s="20" t="n">
        <v>16</v>
      </c>
      <c r="T49" s="20" t="n">
        <v>8</v>
      </c>
      <c r="U49" s="20" t="n">
        <v>225</v>
      </c>
      <c r="V49" s="20" t="n">
        <v>549</v>
      </c>
      <c r="W49" s="20" t="n">
        <v>128</v>
      </c>
      <c r="X49" s="20" t="n">
        <v>200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-541</v>
      </c>
      <c r="D51" s="20" t="n">
        <v>1717</v>
      </c>
      <c r="E51" s="20" t="n">
        <v>946</v>
      </c>
      <c r="F51" s="20" t="n">
        <v>76</v>
      </c>
      <c r="G51" s="20" t="n">
        <v>600</v>
      </c>
      <c r="H51" s="20" t="n">
        <v>139</v>
      </c>
      <c r="I51" s="20" t="n">
        <v>305</v>
      </c>
      <c r="J51" s="20" t="n">
        <v>405</v>
      </c>
      <c r="K51" s="20" t="n">
        <v>400</v>
      </c>
      <c r="L51" s="20" t="n">
        <v>1366</v>
      </c>
      <c r="M51" s="20" t="n">
        <v>557</v>
      </c>
      <c r="N51" s="20" t="n">
        <v>737</v>
      </c>
      <c r="O51" s="19" t="n">
        <v>192</v>
      </c>
      <c r="P51" s="20" t="n">
        <v>219</v>
      </c>
      <c r="Q51" s="20" t="n">
        <v>974</v>
      </c>
      <c r="R51" s="20" t="n">
        <v>480</v>
      </c>
      <c r="S51" s="20" t="n">
        <v>1035</v>
      </c>
      <c r="T51" s="20" t="n">
        <v>1859</v>
      </c>
      <c r="U51" s="20" t="n">
        <v>864</v>
      </c>
      <c r="V51" s="20" t="n">
        <v>3606</v>
      </c>
      <c r="W51" s="20" t="n">
        <v>1761</v>
      </c>
      <c r="X51" s="20" t="n">
        <v>2476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33</v>
      </c>
      <c r="D53" s="20" t="n">
        <v>1132</v>
      </c>
      <c r="E53" s="20" t="n">
        <v>348</v>
      </c>
      <c r="F53" s="20" t="n">
        <v>695</v>
      </c>
      <c r="G53" s="20" t="n">
        <v>183</v>
      </c>
      <c r="H53" s="20" t="n">
        <v>676</v>
      </c>
      <c r="I53" s="20" t="n">
        <v>2019</v>
      </c>
      <c r="J53" s="20" t="n">
        <v>1480</v>
      </c>
      <c r="K53" s="20" t="n">
        <v>211</v>
      </c>
      <c r="L53" s="20" t="n">
        <v>-73</v>
      </c>
      <c r="M53" s="20" t="n">
        <v>160</v>
      </c>
      <c r="N53" s="20" t="n">
        <v>691</v>
      </c>
      <c r="O53" s="19" t="n">
        <v>1253</v>
      </c>
      <c r="P53" s="20" t="n">
        <v>1002</v>
      </c>
      <c r="Q53" s="20" t="n">
        <v>924</v>
      </c>
      <c r="R53" s="20" t="n">
        <v>350</v>
      </c>
      <c r="S53" s="20" t="n">
        <v>786</v>
      </c>
      <c r="T53" s="20" t="n">
        <v>439</v>
      </c>
      <c r="U53" s="20" t="n">
        <v>307</v>
      </c>
      <c r="V53" s="20" t="n">
        <v>1265</v>
      </c>
      <c r="W53" s="20" t="n">
        <v>1902</v>
      </c>
      <c r="X53" s="20" t="n">
        <v>3637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13433</v>
      </c>
      <c r="D55" s="12" t="n">
        <v>9684</v>
      </c>
      <c r="E55" s="12" t="n">
        <v>13629</v>
      </c>
      <c r="F55" s="12" t="n">
        <v>7218</v>
      </c>
      <c r="G55" s="12" t="n">
        <v>10612</v>
      </c>
      <c r="H55" s="12" t="n">
        <v>34192</v>
      </c>
      <c r="I55" s="12" t="n">
        <v>22834</v>
      </c>
      <c r="J55" s="12" t="n">
        <v>13533</v>
      </c>
      <c r="K55" s="12" t="n">
        <v>15148</v>
      </c>
      <c r="L55" s="12" t="n">
        <v>22419</v>
      </c>
      <c r="M55" s="12" t="n">
        <v>41452</v>
      </c>
      <c r="N55" s="12" t="n">
        <v>19760</v>
      </c>
      <c r="O55" s="11" t="n">
        <v>12489</v>
      </c>
      <c r="P55" s="12" t="n">
        <v>15149</v>
      </c>
      <c r="Q55" s="12" t="n">
        <v>17770</v>
      </c>
      <c r="R55" s="12" t="n">
        <v>22890</v>
      </c>
      <c r="S55" s="12" t="n">
        <v>34828</v>
      </c>
      <c r="T55" s="12" t="n">
        <v>44322</v>
      </c>
      <c r="U55" s="12" t="n">
        <v>51143</v>
      </c>
      <c r="V55" s="12" t="n">
        <v>59282</v>
      </c>
      <c r="W55" s="12" t="n">
        <v>65651</v>
      </c>
      <c r="X55" s="12" t="n">
        <v>73934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3" t="inlineStr">
        <is>
          <t>YoY</t>
        </is>
      </c>
      <c r="B56" s="10" t="n"/>
      <c r="C56" s="14" t="n"/>
      <c r="D56" s="15" t="n"/>
      <c r="E56" s="15" t="n"/>
      <c r="F56" s="15" t="n"/>
      <c r="G56" s="15">
        <f>IF(OR(G55="",C55=""),"",IF(C55&lt;=0,"",IFERROR(G55/C55-1,"")))</f>
        <v/>
      </c>
      <c r="H56" s="15">
        <f>IF(OR(H55="",D55=""),"",IF(D55&lt;=0,"",IFERROR(H55/D55-1,"")))</f>
        <v/>
      </c>
      <c r="I56" s="15">
        <f>IF(OR(I55="",E55=""),"",IF(E55&lt;=0,"",IFERROR(I55/E55-1,"")))</f>
        <v/>
      </c>
      <c r="J56" s="15">
        <f>IF(OR(J55="",F55=""),"",IF(F55&lt;=0,"",IFERROR(J55/F55-1,"")))</f>
        <v/>
      </c>
      <c r="K56" s="15">
        <f>IF(OR(K55="",G55=""),"",IF(G55&lt;=0,"",IFERROR(K55/G55-1,"")))</f>
        <v/>
      </c>
      <c r="L56" s="15">
        <f>IF(OR(L55="",H55=""),"",IF(H55&lt;=0,"",IFERROR(L55/H55-1,"")))</f>
        <v/>
      </c>
      <c r="M56" s="15">
        <f>IF(OR(M55="",I55=""),"",IF(I55&lt;=0,"",IFERROR(M55/I55-1,"")))</f>
        <v/>
      </c>
      <c r="N56" s="15">
        <f>IF(OR(N55="",J55=""),"",IF(J55&lt;=0,"",IFERROR(N55/J55-1,"")))</f>
        <v/>
      </c>
      <c r="O56" s="14" t="n"/>
      <c r="P56" s="15">
        <f>IF(OR(P55="",O55=""),"",IF(O55&lt;=0,"",IFERROR(P55/O55-1,"")))</f>
        <v/>
      </c>
      <c r="Q56" s="15">
        <f>IF(OR(Q55="",P55=""),"",IF(P55&lt;=0,"",IFERROR(Q55/P55-1,"")))</f>
        <v/>
      </c>
      <c r="R56" s="15">
        <f>IF(OR(R55="",Q55=""),"",IF(Q55&lt;=0,"",IFERROR(R55/Q55-1,"")))</f>
        <v/>
      </c>
      <c r="S56" s="15">
        <f>IF(OR(S55="",R55=""),"",IF(R55&lt;=0,"",IFERROR(S55/R55-1,"")))</f>
        <v/>
      </c>
      <c r="T56" s="15">
        <f>IF(OR(T55="",S55=""),"",IF(S55&lt;=0,"",IFERROR(T55/S55-1,"")))</f>
        <v/>
      </c>
      <c r="U56" s="15">
        <f>IF(OR(U55="",T55=""),"",IF(T55&lt;=0,"",IFERROR(U55/T55-1,"")))</f>
        <v/>
      </c>
      <c r="V56" s="15">
        <f>IF(OR(V55="",U55=""),"",IF(U55&lt;=0,"",IFERROR(V55/U55-1,"")))</f>
        <v/>
      </c>
      <c r="W56" s="15">
        <f>IF(OR(W55="",V55=""),"",IF(V55&lt;=0,"",IFERROR(W55/V55-1,"")))</f>
        <v/>
      </c>
      <c r="X56" s="15">
        <f>IF(OR(X55="",W55=""),"",IF(W55&lt;=0,"",IFERROR(X55/W55-1,"")))</f>
        <v/>
      </c>
      <c r="Y56" s="14">
        <f>IF(OR(Y55="",X55=""),"",IF(X55&lt;=0,"",IFERROR(Y55/X55-1,"")))</f>
        <v/>
      </c>
      <c r="Z56" s="15">
        <f>IF(OR(Z55="",Y55=""),"",IF(Y55&lt;=0,"",IFERROR(Z55/Y55-1,"")))</f>
        <v/>
      </c>
      <c r="AA56" s="15">
        <f>IF(OR(AA55="",Z55=""),"",IF(Z55&lt;=0,"",IFERROR(AA55/Z55-1,"")))</f>
        <v/>
      </c>
      <c r="AB56" s="15">
        <f>IF(OR(AB55="",AA55=""),"",IF(AA55&lt;=0,"",IFERROR(AB55/AA55-1,"")))</f>
        <v/>
      </c>
      <c r="AC56" s="15">
        <f>IF(OR(AC55="",AB55=""),"",IF(AB55&lt;=0,"",IFERROR(AC55/AB55-1,"")))</f>
        <v/>
      </c>
    </row>
    <row r="57">
      <c r="A57" s="18" t="inlineStr">
        <is>
          <t>법인세비용(수익)</t>
        </is>
      </c>
      <c r="B57" s="10" t="n"/>
      <c r="C57" s="19" t="n">
        <v>4083</v>
      </c>
      <c r="D57" s="20" t="n">
        <v>947</v>
      </c>
      <c r="E57" s="20" t="n">
        <v>3653</v>
      </c>
      <c r="F57" s="20" t="n">
        <v>1918</v>
      </c>
      <c r="G57" s="20" t="n">
        <v>2825</v>
      </c>
      <c r="H57" s="20" t="n">
        <v>8809</v>
      </c>
      <c r="I57" s="20" t="n">
        <v>5602</v>
      </c>
      <c r="J57" s="20" t="n">
        <v>3251</v>
      </c>
      <c r="K57" s="20" t="n">
        <v>3777</v>
      </c>
      <c r="L57" s="20" t="n">
        <v>6684</v>
      </c>
      <c r="M57" s="20" t="n">
        <v>12273</v>
      </c>
      <c r="N57" s="20" t="n">
        <v>5831</v>
      </c>
      <c r="O57" s="19" t="n">
        <v>3610</v>
      </c>
      <c r="P57" s="20" t="n">
        <v>4212</v>
      </c>
      <c r="Q57" s="20" t="n">
        <v>5218</v>
      </c>
      <c r="R57" s="20" t="n">
        <v>6941</v>
      </c>
      <c r="S57" s="20" t="n">
        <v>9905</v>
      </c>
      <c r="T57" s="20" t="n">
        <v>11768</v>
      </c>
      <c r="U57" s="20" t="n">
        <v>14406</v>
      </c>
      <c r="V57" s="20" t="n">
        <v>15908</v>
      </c>
      <c r="W57" s="20" t="n">
        <v>17205</v>
      </c>
      <c r="X57" s="20" t="n">
        <v>19314</v>
      </c>
      <c r="Y57" s="19">
        <f>IF(OR(Y55="",Y58=""),"",IFERROR(MAX(Y55,0)*Y58,""))</f>
        <v/>
      </c>
      <c r="Z57" s="20">
        <f>IF(OR(Z55="",Z58=""),"",IFERROR(MAX(Z55,0)*Z58,""))</f>
        <v/>
      </c>
      <c r="AA57" s="20">
        <f>IF(OR(AA55="",AA58=""),"",IFERROR(MAX(AA55,0)*AA58,""))</f>
        <v/>
      </c>
      <c r="AB57" s="20">
        <f>IF(OR(AB55="",AB58=""),"",IFERROR(MAX(AB55,0)*AB58,""))</f>
        <v/>
      </c>
      <c r="AC57" s="20">
        <f>IF(OR(AC55="",AC58=""),"",IFERROR(MAX(AC55,0)*AC58,""))</f>
        <v/>
      </c>
    </row>
    <row r="58">
      <c r="A58" s="13" t="inlineStr">
        <is>
          <t>법인세율</t>
        </is>
      </c>
      <c r="B58" s="10" t="inlineStr">
        <is>
          <t>MW 기본 30%</t>
        </is>
      </c>
      <c r="C58" s="14">
        <f>IF(OR(C57="",C55=""),"",IFERROR(C57/C55,""))</f>
        <v/>
      </c>
      <c r="D58" s="15">
        <f>IF(OR(D57="",D55=""),"",IFERROR(D57/D55,""))</f>
        <v/>
      </c>
      <c r="E58" s="15">
        <f>IF(OR(E57="",E55=""),"",IFERROR(E57/E55,""))</f>
        <v/>
      </c>
      <c r="F58" s="15">
        <f>IF(OR(F57="",F55=""),"",IFERROR(F57/F55,""))</f>
        <v/>
      </c>
      <c r="G58" s="15">
        <f>IF(OR(G57="",G55=""),"",IFERROR(G57/G55,""))</f>
        <v/>
      </c>
      <c r="H58" s="15">
        <f>IF(OR(H57="",H55=""),"",IFERROR(H57/H55,""))</f>
        <v/>
      </c>
      <c r="I58" s="15">
        <f>IF(OR(I57="",I55=""),"",IFERROR(I57/I55,""))</f>
        <v/>
      </c>
      <c r="J58" s="15">
        <f>IF(OR(J57="",J55=""),"",IFERROR(J57/J55,""))</f>
        <v/>
      </c>
      <c r="K58" s="15">
        <f>IF(OR(K57="",K55=""),"",IFERROR(K57/K55,""))</f>
        <v/>
      </c>
      <c r="L58" s="15">
        <f>IF(OR(L57="",L55=""),"",IFERROR(L57/L55,""))</f>
        <v/>
      </c>
      <c r="M58" s="15">
        <f>IF(OR(M57="",M55=""),"",IFERROR(M57/M55,""))</f>
        <v/>
      </c>
      <c r="N58" s="15">
        <f>IF(OR(N57="",N55=""),"",IFERROR(N57/N55,""))</f>
        <v/>
      </c>
      <c r="O58" s="14">
        <f>IF(OR(O57="",O55=""),"",IFERROR(O57/O55,""))</f>
        <v/>
      </c>
      <c r="P58" s="15">
        <f>IF(OR(P57="",P55=""),"",IFERROR(P57/P55,""))</f>
        <v/>
      </c>
      <c r="Q58" s="15">
        <f>IF(OR(Q57="",Q55=""),"",IFERROR(Q57/Q55,""))</f>
        <v/>
      </c>
      <c r="R58" s="15">
        <f>IF(OR(R57="",R55=""),"",IFERROR(R57/R55,""))</f>
        <v/>
      </c>
      <c r="S58" s="15">
        <f>IF(OR(S57="",S55=""),"",IFERROR(S57/S55,""))</f>
        <v/>
      </c>
      <c r="T58" s="15">
        <f>IF(OR(T57="",T55=""),"",IFERROR(T57/T55,""))</f>
        <v/>
      </c>
      <c r="U58" s="15">
        <f>IF(OR(U57="",U55=""),"",IFERROR(U57/U55,""))</f>
        <v/>
      </c>
      <c r="V58" s="15">
        <f>IF(OR(V57="",V55=""),"",IFERROR(V57/V55,""))</f>
        <v/>
      </c>
      <c r="W58" s="15">
        <f>IF(OR(W57="",W55=""),"",IFERROR(W57/W55,""))</f>
        <v/>
      </c>
      <c r="X58" s="15">
        <f>IF(OR(X57="",X55=""),"",IFERROR(X57/X55,""))</f>
        <v/>
      </c>
      <c r="Y58" s="25" t="n">
        <v>0.3</v>
      </c>
      <c r="Z58" s="26" t="n">
        <v>0.3</v>
      </c>
      <c r="AA58" s="26" t="n">
        <v>0.3</v>
      </c>
      <c r="AB58" s="26" t="n">
        <v>0.3</v>
      </c>
      <c r="AC58" s="26" t="n">
        <v>0.3</v>
      </c>
    </row>
    <row r="59">
      <c r="A59" s="9" t="inlineStr">
        <is>
          <t>당기순이익(손실)</t>
        </is>
      </c>
      <c r="B59" s="10" t="n"/>
      <c r="C59" s="11" t="n">
        <v>9349</v>
      </c>
      <c r="D59" s="12" t="n">
        <v>8738</v>
      </c>
      <c r="E59" s="12" t="n">
        <v>9975</v>
      </c>
      <c r="F59" s="12" t="n">
        <v>5300</v>
      </c>
      <c r="G59" s="12" t="n">
        <v>7787</v>
      </c>
      <c r="H59" s="12" t="n">
        <v>25383</v>
      </c>
      <c r="I59" s="12" t="n">
        <v>17232</v>
      </c>
      <c r="J59" s="12" t="n">
        <v>10282</v>
      </c>
      <c r="K59" s="12" t="n">
        <v>11371</v>
      </c>
      <c r="L59" s="12" t="n">
        <v>15734</v>
      </c>
      <c r="M59" s="12" t="n">
        <v>29178</v>
      </c>
      <c r="N59" s="12" t="n">
        <v>13929</v>
      </c>
      <c r="O59" s="11" t="n">
        <v>8879</v>
      </c>
      <c r="P59" s="12" t="n">
        <v>10937</v>
      </c>
      <c r="Q59" s="12" t="n">
        <v>12551</v>
      </c>
      <c r="R59" s="12" t="n">
        <v>15949</v>
      </c>
      <c r="S59" s="12" t="n">
        <v>24923</v>
      </c>
      <c r="T59" s="12" t="n">
        <v>32553</v>
      </c>
      <c r="U59" s="12" t="n">
        <v>36737</v>
      </c>
      <c r="V59" s="12" t="n">
        <v>43374</v>
      </c>
      <c r="W59" s="12" t="n">
        <v>48445</v>
      </c>
      <c r="X59" s="12" t="n">
        <v>54619</v>
      </c>
      <c r="Y59" s="11">
        <f>IF(OR(Y55=""),"",IFERROR(Y55-Y57,""))</f>
        <v/>
      </c>
      <c r="Z59" s="12">
        <f>IF(OR(Z55=""),"",IFERROR(Z55-Z57,""))</f>
        <v/>
      </c>
      <c r="AA59" s="12">
        <f>IF(OR(AA55=""),"",IFERROR(AA55-AA57,""))</f>
        <v/>
      </c>
      <c r="AB59" s="12">
        <f>IF(OR(AB55=""),"",IFERROR(AB55-AB57,""))</f>
        <v/>
      </c>
      <c r="AC59" s="12">
        <f>IF(OR(AC55=""),"",IFERROR(AC55-AC57,""))</f>
        <v/>
      </c>
    </row>
    <row r="60">
      <c r="A60" s="13" t="inlineStr">
        <is>
          <t>YoY</t>
        </is>
      </c>
      <c r="B60" s="10" t="n"/>
      <c r="C60" s="14" t="n"/>
      <c r="D60" s="15" t="n"/>
      <c r="E60" s="15" t="n"/>
      <c r="F60" s="15" t="n"/>
      <c r="G60" s="15">
        <f>IF(OR(G59="",C59=""),"",IF(C59&lt;=0,"",IFERROR(G59/C59-1,"")))</f>
        <v/>
      </c>
      <c r="H60" s="15">
        <f>IF(OR(H59="",D59=""),"",IF(D59&lt;=0,"",IFERROR(H59/D59-1,"")))</f>
        <v/>
      </c>
      <c r="I60" s="15">
        <f>IF(OR(I59="",E59=""),"",IF(E59&lt;=0,"",IFERROR(I59/E59-1,"")))</f>
        <v/>
      </c>
      <c r="J60" s="15">
        <f>IF(OR(J59="",F59=""),"",IF(F59&lt;=0,"",IFERROR(J59/F59-1,"")))</f>
        <v/>
      </c>
      <c r="K60" s="15">
        <f>IF(OR(K59="",G59=""),"",IF(G59&lt;=0,"",IFERROR(K59/G59-1,"")))</f>
        <v/>
      </c>
      <c r="L60" s="15">
        <f>IF(OR(L59="",H59=""),"",IF(H59&lt;=0,"",IFERROR(L59/H59-1,"")))</f>
        <v/>
      </c>
      <c r="M60" s="15">
        <f>IF(OR(M59="",I59=""),"",IF(I59&lt;=0,"",IFERROR(M59/I59-1,"")))</f>
        <v/>
      </c>
      <c r="N60" s="15">
        <f>IF(OR(N59="",J59=""),"",IF(J59&lt;=0,"",IFERROR(N59/J59-1,"")))</f>
        <v/>
      </c>
      <c r="O60" s="14" t="n"/>
      <c r="P60" s="15">
        <f>IF(OR(P59="",O59=""),"",IF(O59&lt;=0,"",IFERROR(P59/O59-1,"")))</f>
        <v/>
      </c>
      <c r="Q60" s="15">
        <f>IF(OR(Q59="",P59=""),"",IF(P59&lt;=0,"",IFERROR(Q59/P59-1,"")))</f>
        <v/>
      </c>
      <c r="R60" s="15">
        <f>IF(OR(R59="",Q59=""),"",IF(Q59&lt;=0,"",IFERROR(R59/Q59-1,"")))</f>
        <v/>
      </c>
      <c r="S60" s="15">
        <f>IF(OR(S59="",R59=""),"",IF(R59&lt;=0,"",IFERROR(S59/R59-1,"")))</f>
        <v/>
      </c>
      <c r="T60" s="15">
        <f>IF(OR(T59="",S59=""),"",IF(S59&lt;=0,"",IFERROR(T59/S59-1,"")))</f>
        <v/>
      </c>
      <c r="U60" s="15">
        <f>IF(OR(U59="",T59=""),"",IF(T59&lt;=0,"",IFERROR(U59/T59-1,"")))</f>
        <v/>
      </c>
      <c r="V60" s="15">
        <f>IF(OR(V59="",U59=""),"",IF(U59&lt;=0,"",IFERROR(V59/U59-1,"")))</f>
        <v/>
      </c>
      <c r="W60" s="15">
        <f>IF(OR(W59="",V59=""),"",IF(V59&lt;=0,"",IFERROR(W59/V59-1,"")))</f>
        <v/>
      </c>
      <c r="X60" s="15">
        <f>IF(OR(X59="",W59=""),"",IF(W59&lt;=0,"",IFERROR(X59/W59-1,"")))</f>
        <v/>
      </c>
      <c r="Y60" s="14">
        <f>IF(OR(Y59="",X59=""),"",IF(X59&lt;=0,"",IFERROR(Y59/X59-1,"")))</f>
        <v/>
      </c>
      <c r="Z60" s="15">
        <f>IF(OR(Z59="",Y59=""),"",IF(Y59&lt;=0,"",IFERROR(Z59/Y59-1,"")))</f>
        <v/>
      </c>
      <c r="AA60" s="15">
        <f>IF(OR(AA59="",Z59=""),"",IF(Z59&lt;=0,"",IFERROR(AA59/Z59-1,"")))</f>
        <v/>
      </c>
      <c r="AB60" s="15">
        <f>IF(OR(AB59="",AA59=""),"",IF(AA59&lt;=0,"",IFERROR(AB59/AA59-1,"")))</f>
        <v/>
      </c>
      <c r="AC60" s="15">
        <f>IF(OR(AC59="",AB59=""),"",IF(AB59&lt;=0,"",IFERROR(AC59/AB59-1,"")))</f>
        <v/>
      </c>
    </row>
    <row r="61">
      <c r="A61" s="9" t="inlineStr">
        <is>
          <t>지배주주 순이익</t>
        </is>
      </c>
      <c r="B61" s="10" t="n"/>
      <c r="C61" s="11" t="n">
        <v>9349</v>
      </c>
      <c r="D61" s="12" t="n">
        <v>8738</v>
      </c>
      <c r="E61" s="12" t="n">
        <v>9975</v>
      </c>
      <c r="F61" s="12" t="n">
        <v>5300</v>
      </c>
      <c r="G61" s="12" t="n">
        <v>7791</v>
      </c>
      <c r="H61" s="12" t="n">
        <v>25387</v>
      </c>
      <c r="I61" s="12" t="n">
        <v>17238</v>
      </c>
      <c r="J61" s="12" t="n">
        <v>10276</v>
      </c>
      <c r="K61" s="12" t="n">
        <v>11371</v>
      </c>
      <c r="L61" s="12" t="n">
        <v>15702</v>
      </c>
      <c r="M61" s="12" t="n">
        <v>29159</v>
      </c>
      <c r="N61" s="12" t="n">
        <v>13924</v>
      </c>
      <c r="O61" s="11" t="n">
        <v>8879</v>
      </c>
      <c r="P61" s="12" t="n">
        <v>10937</v>
      </c>
      <c r="Q61" s="12" t="n">
        <v>12551</v>
      </c>
      <c r="R61" s="12" t="n">
        <v>15949</v>
      </c>
      <c r="S61" s="12" t="n">
        <v>24923</v>
      </c>
      <c r="T61" s="12" t="n">
        <v>32553</v>
      </c>
      <c r="U61" s="12" t="n">
        <v>36737</v>
      </c>
      <c r="V61" s="12" t="n">
        <v>43374</v>
      </c>
      <c r="W61" s="12" t="n">
        <v>48453</v>
      </c>
      <c r="X61" s="12" t="n">
        <v>54587</v>
      </c>
      <c r="Y61" s="11">
        <f>IF(OR(Y59="",Y62=""),"",IFERROR(Y59*Y62,""))</f>
        <v/>
      </c>
      <c r="Z61" s="12">
        <f>IF(OR(Z59="",Z62=""),"",IFERROR(Z59*Z62,""))</f>
        <v/>
      </c>
      <c r="AA61" s="12">
        <f>IF(OR(AA59="",AA62=""),"",IFERROR(AA59*AA62,""))</f>
        <v/>
      </c>
      <c r="AB61" s="12">
        <f>IF(OR(AB59="",AB62=""),"",IFERROR(AB59*AB62,""))</f>
        <v/>
      </c>
      <c r="AC61" s="12">
        <f>IF(OR(AC59="",AC62=""),"",IFERROR(AC59*AC62,""))</f>
        <v/>
      </c>
    </row>
    <row r="62">
      <c r="A62" s="13" t="inlineStr">
        <is>
          <t>지배주주 순이익률</t>
        </is>
      </c>
      <c r="B62" s="10" t="inlineStr">
        <is>
          <t>MW 기본 100%</t>
        </is>
      </c>
      <c r="C62" s="14">
        <f>IF(OR(C61="",C59=""),"",IFERROR(C61/C59,""))</f>
        <v/>
      </c>
      <c r="D62" s="15">
        <f>IF(OR(D61="",D59=""),"",IFERROR(D61/D59,""))</f>
        <v/>
      </c>
      <c r="E62" s="15">
        <f>IF(OR(E61="",E59=""),"",IFERROR(E61/E59,""))</f>
        <v/>
      </c>
      <c r="F62" s="15">
        <f>IF(OR(F61="",F59=""),"",IFERROR(F61/F59,""))</f>
        <v/>
      </c>
      <c r="G62" s="15">
        <f>IF(OR(G61="",G59=""),"",IFERROR(G61/G59,""))</f>
        <v/>
      </c>
      <c r="H62" s="15">
        <f>IF(OR(H61="",H59=""),"",IFERROR(H61/H59,""))</f>
        <v/>
      </c>
      <c r="I62" s="15">
        <f>IF(OR(I61="",I59=""),"",IFERROR(I61/I59,""))</f>
        <v/>
      </c>
      <c r="J62" s="15">
        <f>IF(OR(J61="",J59=""),"",IFERROR(J61/J59,""))</f>
        <v/>
      </c>
      <c r="K62" s="15">
        <f>IF(OR(K61="",K59=""),"",IFERROR(K61/K59,""))</f>
        <v/>
      </c>
      <c r="L62" s="15">
        <f>IF(OR(L61="",L59=""),"",IFERROR(L61/L59,""))</f>
        <v/>
      </c>
      <c r="M62" s="15">
        <f>IF(OR(M61="",M59=""),"",IFERROR(M61/M59,""))</f>
        <v/>
      </c>
      <c r="N62" s="15">
        <f>IF(OR(N61="",N59=""),"",IFERROR(N61/N59,""))</f>
        <v/>
      </c>
      <c r="O62" s="14">
        <f>IF(OR(O61="",O59=""),"",IFERROR(O61/O59,""))</f>
        <v/>
      </c>
      <c r="P62" s="15">
        <f>IF(OR(P61="",P59=""),"",IFERROR(P61/P59,""))</f>
        <v/>
      </c>
      <c r="Q62" s="15">
        <f>IF(OR(Q61="",Q59=""),"",IFERROR(Q61/Q59,""))</f>
        <v/>
      </c>
      <c r="R62" s="15">
        <f>IF(OR(R61="",R59=""),"",IFERROR(R61/R59,""))</f>
        <v/>
      </c>
      <c r="S62" s="15">
        <f>IF(OR(S61="",S59=""),"",IFERROR(S61/S59,""))</f>
        <v/>
      </c>
      <c r="T62" s="15">
        <f>IF(OR(T61="",T59=""),"",IFERROR(T61/T59,""))</f>
        <v/>
      </c>
      <c r="U62" s="15">
        <f>IF(OR(U61="",U59=""),"",IFERROR(U61/U59,""))</f>
        <v/>
      </c>
      <c r="V62" s="15">
        <f>IF(OR(V61="",V59=""),"",IFERROR(V61/V59,""))</f>
        <v/>
      </c>
      <c r="W62" s="15">
        <f>IF(OR(W61="",W59=""),"",IFERROR(W61/W59,""))</f>
        <v/>
      </c>
      <c r="X62" s="15">
        <f>IF(OR(X61="",X59=""),"",IFERROR(X61/X59,""))</f>
        <v/>
      </c>
      <c r="Y62" s="25" t="n">
        <v>1</v>
      </c>
      <c r="Z62" s="26" t="n">
        <v>1</v>
      </c>
      <c r="AA62" s="26" t="n">
        <v>1</v>
      </c>
      <c r="AB62" s="26" t="n">
        <v>1</v>
      </c>
      <c r="AC62" s="26" t="n">
        <v>1</v>
      </c>
    </row>
    <row r="63">
      <c r="A63" s="13" t="inlineStr">
        <is>
          <t>지배주주 순이익 YoY</t>
        </is>
      </c>
      <c r="B63" s="10" t="n"/>
      <c r="C63" s="14" t="n"/>
      <c r="D63" s="15" t="n"/>
      <c r="E63" s="15" t="n"/>
      <c r="F63" s="15" t="n"/>
      <c r="G63" s="15">
        <f>IF(OR(G61="",C61=""),"",IF(C61&lt;=0,"",IFERROR(G61/C61-1,"")))</f>
        <v/>
      </c>
      <c r="H63" s="15">
        <f>IF(OR(H61="",D61=""),"",IF(D61&lt;=0,"",IFERROR(H61/D61-1,"")))</f>
        <v/>
      </c>
      <c r="I63" s="15">
        <f>IF(OR(I61="",E61=""),"",IF(E61&lt;=0,"",IFERROR(I61/E61-1,"")))</f>
        <v/>
      </c>
      <c r="J63" s="15">
        <f>IF(OR(J61="",F61=""),"",IF(F61&lt;=0,"",IFERROR(J61/F61-1,"")))</f>
        <v/>
      </c>
      <c r="K63" s="15">
        <f>IF(OR(K61="",G61=""),"",IF(G61&lt;=0,"",IFERROR(K61/G61-1,"")))</f>
        <v/>
      </c>
      <c r="L63" s="15">
        <f>IF(OR(L61="",H61=""),"",IF(H61&lt;=0,"",IFERROR(L61/H61-1,"")))</f>
        <v/>
      </c>
      <c r="M63" s="15">
        <f>IF(OR(M61="",I61=""),"",IF(I61&lt;=0,"",IFERROR(M61/I61-1,"")))</f>
        <v/>
      </c>
      <c r="N63" s="15">
        <f>IF(OR(N61="",J61=""),"",IF(J61&lt;=0,"",IFERROR(N61/J61-1,"")))</f>
        <v/>
      </c>
      <c r="O63" s="14" t="n"/>
      <c r="P63" s="15">
        <f>IF(OR(P61="",O61=""),"",IF(O61&lt;=0,"",IFERROR(P61/O61-1,"")))</f>
        <v/>
      </c>
      <c r="Q63" s="15">
        <f>IF(OR(Q61="",P61=""),"",IF(P61&lt;=0,"",IFERROR(Q61/P61-1,"")))</f>
        <v/>
      </c>
      <c r="R63" s="15">
        <f>IF(OR(R61="",Q61=""),"",IF(Q61&lt;=0,"",IFERROR(R61/Q61-1,"")))</f>
        <v/>
      </c>
      <c r="S63" s="15">
        <f>IF(OR(S61="",R61=""),"",IF(R61&lt;=0,"",IFERROR(S61/R61-1,"")))</f>
        <v/>
      </c>
      <c r="T63" s="15">
        <f>IF(OR(T61="",S61=""),"",IF(S61&lt;=0,"",IFERROR(T61/S61-1,"")))</f>
        <v/>
      </c>
      <c r="U63" s="15">
        <f>IF(OR(U61="",T61=""),"",IF(T61&lt;=0,"",IFERROR(U61/T61-1,"")))</f>
        <v/>
      </c>
      <c r="V63" s="15">
        <f>IF(OR(V61="",U61=""),"",IF(U61&lt;=0,"",IFERROR(V61/U61-1,"")))</f>
        <v/>
      </c>
      <c r="W63" s="15">
        <f>IF(OR(W61="",V61=""),"",IF(V61&lt;=0,"",IFERROR(W61/V61-1,"")))</f>
        <v/>
      </c>
      <c r="X63" s="15">
        <f>IF(OR(X61="",W61=""),"",IF(W61&lt;=0,"",IFERROR(X61/W61-1,"")))</f>
        <v/>
      </c>
      <c r="Y63" s="14">
        <f>IF(OR(Y61="",X61=""),"",IF(X61&lt;=0,"",IFERROR(Y61/X61-1,"")))</f>
        <v/>
      </c>
      <c r="Z63" s="15">
        <f>IF(OR(Z61="",Y61=""),"",IF(Y61&lt;=0,"",IFERROR(Z61/Y61-1,"")))</f>
        <v/>
      </c>
      <c r="AA63" s="15">
        <f>IF(OR(AA61="",Z61=""),"",IF(Z61&lt;=0,"",IFERROR(AA61/Z61-1,"")))</f>
        <v/>
      </c>
      <c r="AB63" s="15">
        <f>IF(OR(AB61="",AA61=""),"",IF(AA61&lt;=0,"",IFERROR(AB61/AA61-1,"")))</f>
        <v/>
      </c>
      <c r="AC63" s="15">
        <f>IF(OR(AC61="",AB61=""),"",IF(AB61&lt;=0,"",IFERROR(AC61/AB61-1,"")))</f>
        <v/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(2026.10.28)</t>
        </is>
      </c>
      <c r="B65" s="27" t="n">
        <v>3830</v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>
        <v>533011246</v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IF(O32="","",O32)</f>
        <v/>
      </c>
      <c r="P68" s="15">
        <f>IF(P32="","",P32)</f>
        <v/>
      </c>
      <c r="Q68" s="15">
        <f>IF(Q32="","",Q32)</f>
        <v/>
      </c>
      <c r="R68" s="15">
        <f>IF(R32="","",R32)</f>
        <v/>
      </c>
      <c r="S68" s="15">
        <f>IF(S32="","",S32)</f>
        <v/>
      </c>
      <c r="T68" s="15">
        <f>IF(T32="","",T32)</f>
        <v/>
      </c>
      <c r="U68" s="15">
        <f>IF(U32="","",U32)</f>
        <v/>
      </c>
      <c r="V68" s="15">
        <f>IF(V32="","",V32)</f>
        <v/>
      </c>
      <c r="W68" s="15">
        <f>IF(W32="","",W32)</f>
        <v/>
      </c>
      <c r="X68" s="15">
        <f>IF(X32="","",X32)</f>
        <v/>
      </c>
      <c r="Y68" s="14">
        <f>IF(Y32="","",Y32)</f>
        <v/>
      </c>
      <c r="Z68" s="15">
        <f>IF(Z32="","",Z32)</f>
        <v/>
      </c>
      <c r="AA68" s="15">
        <f>IF(AA32="","",AA32)</f>
        <v/>
      </c>
      <c r="AB68" s="15">
        <f>IF(AB32="","",AB32)</f>
        <v/>
      </c>
      <c r="AC68" s="15">
        <f>IF(AC32="","",AC32)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IF(OR(P61="",O61=""),"",IFERROR(P61/O61-1,""))</f>
        <v/>
      </c>
      <c r="Q69" s="15">
        <f>IF(OR(Q61="",P61=""),"",IFERROR(Q61/P61-1,""))</f>
        <v/>
      </c>
      <c r="R69" s="15">
        <f>IF(OR(R61="",Q61=""),"",IFERROR(R61/Q61-1,""))</f>
        <v/>
      </c>
      <c r="S69" s="15">
        <f>IF(OR(S61="",R61=""),"",IFERROR(S61/R61-1,""))</f>
        <v/>
      </c>
      <c r="T69" s="15">
        <f>IF(OR(T61="",S61=""),"",IFERROR(T61/S61-1,""))</f>
        <v/>
      </c>
      <c r="U69" s="15">
        <f>IF(OR(U61="",T61=""),"",IFERROR(U61/T61-1,""))</f>
        <v/>
      </c>
      <c r="V69" s="15">
        <f>IF(OR(V61="",U61=""),"",IFERROR(V61/U61-1,""))</f>
        <v/>
      </c>
      <c r="W69" s="15">
        <f>IF(OR(W61="",V61=""),"",IFERROR(W61/V61-1,""))</f>
        <v/>
      </c>
      <c r="X69" s="15">
        <f>IF(OR(X61="",W61=""),"",IFERROR(X61/W61-1,""))</f>
        <v/>
      </c>
      <c r="Y69" s="14">
        <f>IF(OR(Y61="",X61=""),"",IFERROR(Y61/X61-1,""))</f>
        <v/>
      </c>
      <c r="Z69" s="15">
        <f>IF(OR(Z61="",Y61=""),"",IFERROR(Z61/Y61-1,""))</f>
        <v/>
      </c>
      <c r="AA69" s="15">
        <f>IF(OR(AA61="",Z61=""),"",IFERROR(AA61/Z61-1,""))</f>
        <v/>
      </c>
      <c r="AB69" s="15">
        <f>IF(OR(AB61="",AA61=""),"",IFERROR(AB61/AA61-1,""))</f>
        <v/>
      </c>
      <c r="AC69" s="15">
        <f>IF(OR(AC61="",AB61=""),"",IFERROR(AC61/AB61-1,""))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IF(OR($B$67="",X61=""),"",IFERROR($B$67/X61,""))</f>
        <v/>
      </c>
      <c r="Y70" s="30">
        <f>IF(OR($B$67="",Y61=""),"",IFERROR($B$67/Y61,""))</f>
        <v/>
      </c>
      <c r="Z70" s="31">
        <f>IF(OR($B$67="",Z61=""),"",IFERROR($B$67/Z61,""))</f>
        <v/>
      </c>
      <c r="AA70" s="31">
        <f>IF(OR($B$67="",AA61=""),"",IFERROR($B$67/AA61,""))</f>
        <v/>
      </c>
      <c r="AB70" s="31">
        <f>IF(OR($B$67="",AB61=""),"",IFERROR($B$67/AB61,""))</f>
        <v/>
      </c>
      <c r="AC70" s="31">
        <f>IF(OR($B$67="",AC61=""),"",IFERROR($B$67/AC61,""))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IF(OR(O61="",$B$66=""),"",IFERROR(O61*1000000.0/$B$66,""))</f>
        <v/>
      </c>
      <c r="P72" s="29">
        <f>IF(OR(P61="",$B$66=""),"",IFERROR(P61*1000000.0/$B$66,""))</f>
        <v/>
      </c>
      <c r="Q72" s="29">
        <f>IF(OR(Q61="",$B$66=""),"",IFERROR(Q61*1000000.0/$B$66,""))</f>
        <v/>
      </c>
      <c r="R72" s="29">
        <f>IF(OR(R61="",$B$66=""),"",IFERROR(R61*1000000.0/$B$66,""))</f>
        <v/>
      </c>
      <c r="S72" s="29">
        <f>IF(OR(S61="",$B$66=""),"",IFERROR(S61*1000000.0/$B$66,""))</f>
        <v/>
      </c>
      <c r="T72" s="29">
        <f>IF(OR(T61="",$B$66=""),"",IFERROR(T61*1000000.0/$B$66,""))</f>
        <v/>
      </c>
      <c r="U72" s="29">
        <f>IF(OR(U61="",$B$66=""),"",IFERROR(U61*1000000.0/$B$66,""))</f>
        <v/>
      </c>
      <c r="V72" s="29">
        <f>IF(OR(V61="",$B$66=""),"",IFERROR(V61*1000000.0/$B$66,""))</f>
        <v/>
      </c>
      <c r="W72" s="29">
        <f>IF(OR(W61="",$B$66=""),"",IFERROR(W61*1000000.0/$B$66,""))</f>
        <v/>
      </c>
      <c r="X72" s="29">
        <f>IF(OR(X61="",$B$66=""),"",IFERROR(X61*1000000.0/$B$66,""))</f>
        <v/>
      </c>
      <c r="Y72" s="28">
        <f>IF(OR(Y61="",$B$66=""),"",IFERROR(Y61*1000000.0/$B$66,""))</f>
        <v/>
      </c>
      <c r="Z72" s="29">
        <f>IF(OR(Z61="",$B$66=""),"",IFERROR(Z61*1000000.0/$B$66,""))</f>
        <v/>
      </c>
      <c r="AA72" s="29">
        <f>IF(OR(AA61="",$B$66=""),"",IFERROR(AA61*1000000.0/$B$66,""))</f>
        <v/>
      </c>
      <c r="AB72" s="29">
        <f>IF(OR(AB61="",$B$66=""),"",IFERROR(AB61*1000000.0/$B$66,""))</f>
        <v/>
      </c>
      <c r="AC72" s="29">
        <f>IF(OR(AC61="",$B$66=""),"",IFERROR(AC61*1000000.0/$B$66,""))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IF(OR(Y61="",Y71=""),"",IFERROR(Y61*Y71,""))</f>
        <v/>
      </c>
      <c r="Z84" s="20">
        <f>IF(OR(Z61="",Z71=""),"",IFERROR(Z61*Z71,""))</f>
        <v/>
      </c>
      <c r="AA84" s="20">
        <f>IF(OR(AA61="",AA71=""),"",IFERROR(AA61*AA71,""))</f>
        <v/>
      </c>
      <c r="AB84" s="20">
        <f>IF(OR(AB61="",AB71=""),"",IFERROR(AB61*AB71,""))</f>
        <v/>
      </c>
      <c r="AC84" s="20">
        <f>IF(OR(AC61="",AC71=""),"",IFERROR(AC61*AC71,""))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 2026.10.28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2024.3Q</t>
        </is>
      </c>
      <c r="D95" s="5" t="inlineStr">
        <is>
          <t>2024.4Q</t>
        </is>
      </c>
      <c r="E95" s="5" t="inlineStr">
        <is>
          <t>2025.1Q</t>
        </is>
      </c>
      <c r="F95" s="5" t="inlineStr">
        <is>
          <t>2025.2Q</t>
        </is>
      </c>
      <c r="G95" s="5" t="inlineStr">
        <is>
          <t>2025.3Q</t>
        </is>
      </c>
      <c r="H95" s="5" t="inlineStr">
        <is>
          <t>2025.4Q</t>
        </is>
      </c>
      <c r="I95" s="5" t="inlineStr">
        <is>
          <t>2026.1Q</t>
        </is>
      </c>
      <c r="J95" s="5" t="inlineStr">
        <is>
          <t>2026.2Q</t>
        </is>
      </c>
      <c r="K95" s="5" t="inlineStr">
        <is>
          <t>2026.3Q</t>
        </is>
      </c>
      <c r="L95" s="5" t="inlineStr">
        <is>
          <t>2026.4Q</t>
        </is>
      </c>
      <c r="M95" s="5" t="inlineStr">
        <is>
          <t>2027.1Q</t>
        </is>
      </c>
      <c r="N95" s="5" t="inlineStr">
        <is>
          <t>2027.2Q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9" t="inlineStr">
        <is>
          <t>매출액</t>
        </is>
      </c>
      <c r="C96" s="12" t="n">
        <v>31245</v>
      </c>
      <c r="D96" s="12" t="n">
        <v>46231</v>
      </c>
      <c r="E96" s="12" t="n">
        <v>29597</v>
      </c>
      <c r="F96" s="12" t="n">
        <v>26805</v>
      </c>
      <c r="G96" s="12" t="n">
        <v>32451</v>
      </c>
      <c r="H96" s="12" t="n">
        <v>80751</v>
      </c>
      <c r="I96" s="12" t="n">
        <v>45502</v>
      </c>
      <c r="J96" s="12" t="n">
        <v>35650</v>
      </c>
      <c r="K96" s="12" t="n">
        <v>34163</v>
      </c>
      <c r="L96" s="12" t="n">
        <v>80050</v>
      </c>
      <c r="M96" s="12" t="n">
        <v>70410</v>
      </c>
      <c r="N96" s="12" t="n">
        <v>50477</v>
      </c>
      <c r="T96" s="12" t="n">
        <v>21891</v>
      </c>
      <c r="U96" s="12" t="n">
        <v>46259</v>
      </c>
      <c r="V96" s="12" t="n">
        <v>46231</v>
      </c>
      <c r="W96" s="12" t="n">
        <v>80751</v>
      </c>
      <c r="X96" s="12" t="n">
        <v>80050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T97" s="15">
        <f>IF(OR(T96="",S96=""),"",IF(S96&lt;=0,"",IFERROR(T96/S96-1,"")))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매출원가</t>
        </is>
      </c>
      <c r="C98" s="20" t="n">
        <v>11050</v>
      </c>
      <c r="D98" s="20" t="n">
        <v>27627</v>
      </c>
      <c r="E98" s="20" t="n">
        <v>11099</v>
      </c>
      <c r="F98" s="20" t="n">
        <v>11958</v>
      </c>
      <c r="G98" s="20" t="n">
        <v>15256</v>
      </c>
      <c r="H98" s="20" t="n">
        <v>32533</v>
      </c>
      <c r="I98" s="20" t="n">
        <v>14495</v>
      </c>
      <c r="J98" s="20" t="n">
        <v>13788</v>
      </c>
      <c r="K98" s="20" t="n">
        <v>11485</v>
      </c>
      <c r="L98" s="20" t="n">
        <v>45379</v>
      </c>
      <c r="M98" s="20" t="n">
        <v>21628</v>
      </c>
      <c r="N98" s="20" t="n">
        <v>22035</v>
      </c>
      <c r="T98" s="20" t="n">
        <v>8823</v>
      </c>
      <c r="U98" s="20" t="n">
        <v>20366</v>
      </c>
      <c r="V98" s="20" t="n">
        <v>27627</v>
      </c>
      <c r="W98" s="20" t="n">
        <v>32533</v>
      </c>
      <c r="X98" s="20" t="n">
        <v>45379</v>
      </c>
    </row>
    <row r="99">
      <c r="A99" s="43" t="inlineStr">
        <is>
          <t>YoY</t>
        </is>
      </c>
      <c r="B99" s="3" t="inlineStr">
        <is>
          <t>전년 같은 분기·전년 대비</t>
        </is>
      </c>
      <c r="G99" s="15">
        <f>IF(OR(G98="",C98=""),"",IF(G98*C98&lt;=0,"",IFERROR(G98/C98-1,"")))</f>
        <v/>
      </c>
      <c r="H99" s="15">
        <f>IF(OR(H98="",D98=""),"",IF(H98*D98&lt;=0,"",IFERROR(H98/D98-1,"")))</f>
        <v/>
      </c>
      <c r="I99" s="15">
        <f>IF(OR(I98="",E98=""),"",IF(I98*E98&lt;=0,"",IFERROR(I98/E98-1,"")))</f>
        <v/>
      </c>
      <c r="J99" s="15">
        <f>IF(OR(J98="",F98=""),"",IF(J98*F98&lt;=0,"",IFERROR(J98/F98-1,"")))</f>
        <v/>
      </c>
      <c r="K99" s="15">
        <f>IF(OR(K98="",G98=""),"",IF(K98*G98&lt;=0,"",IFERROR(K98/G98-1,"")))</f>
        <v/>
      </c>
      <c r="L99" s="15">
        <f>IF(OR(L98="",H98=""),"",IF(L98*H98&lt;=0,"",IFERROR(L98/H98-1,"")))</f>
        <v/>
      </c>
      <c r="M99" s="15">
        <f>IF(OR(M98="",I98=""),"",IF(M98*I98&lt;=0,"",IFERROR(M98/I98-1,"")))</f>
        <v/>
      </c>
      <c r="N99" s="15">
        <f>IF(OR(N98="",J98=""),"",IF(N98*J98&lt;=0,"",IFERROR(N98/J98-1,"")))</f>
        <v/>
      </c>
      <c r="T99" s="15">
        <f>IF(OR(T98="",S98=""),"",IF(T98*S98&lt;=0,"",IFERROR(T98/S98-1,"")))</f>
        <v/>
      </c>
      <c r="U99" s="15">
        <f>IF(OR(U98="",T98=""),"",IF(U98*T98&lt;=0,"",IFERROR(U98/T98-1,"")))</f>
        <v/>
      </c>
      <c r="V99" s="15">
        <f>IF(OR(V98="",U98=""),"",IF(V98*U98&lt;=0,"",IFERROR(V98/U98-1,"")))</f>
        <v/>
      </c>
      <c r="W99" s="15">
        <f>IF(OR(W98="",V98=""),"",IF(W98*V98&lt;=0,"",IFERROR(W98/V98-1,"")))</f>
        <v/>
      </c>
      <c r="X99" s="15">
        <f>IF(OR(X98="",W98=""),"",IF(X98*W98&lt;=0,"",IFERROR(X98/W98-1,"")))</f>
        <v/>
      </c>
    </row>
    <row r="100">
      <c r="A100" s="9" t="inlineStr">
        <is>
          <t>매출총이익</t>
        </is>
      </c>
      <c r="C100" s="12" t="n">
        <v>20196</v>
      </c>
      <c r="D100" s="12" t="n">
        <v>18603</v>
      </c>
      <c r="E100" s="12" t="n">
        <v>18497</v>
      </c>
      <c r="F100" s="12" t="n">
        <v>14848</v>
      </c>
      <c r="G100" s="12" t="n">
        <v>17195</v>
      </c>
      <c r="H100" s="12" t="n">
        <v>48217</v>
      </c>
      <c r="I100" s="12" t="n">
        <v>31006</v>
      </c>
      <c r="J100" s="12" t="n">
        <v>21862</v>
      </c>
      <c r="K100" s="12" t="n">
        <v>22679</v>
      </c>
      <c r="L100" s="12" t="n">
        <v>34670</v>
      </c>
      <c r="M100" s="12" t="n">
        <v>48782</v>
      </c>
      <c r="N100" s="12" t="n">
        <v>28441</v>
      </c>
      <c r="T100" s="12" t="n">
        <v>13067</v>
      </c>
      <c r="U100" s="12" t="n">
        <v>25893</v>
      </c>
      <c r="V100" s="12" t="n">
        <v>18603</v>
      </c>
      <c r="W100" s="12" t="n">
        <v>48217</v>
      </c>
      <c r="X100" s="12" t="n">
        <v>34670</v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IF(OR(G100="",C100=""),"",IF(C100&lt;=0,"",IFERROR(G100/C100-1,"")))</f>
        <v/>
      </c>
      <c r="H101" s="15">
        <f>IF(OR(H100="",D100=""),"",IF(D100&lt;=0,"",IFERROR(H100/D100-1,"")))</f>
        <v/>
      </c>
      <c r="I101" s="15">
        <f>IF(OR(I100="",E100=""),"",IF(E100&lt;=0,"",IFERROR(I100/E100-1,"")))</f>
        <v/>
      </c>
      <c r="J101" s="15">
        <f>IF(OR(J100="",F100=""),"",IF(F100&lt;=0,"",IFERROR(J100/F100-1,"")))</f>
        <v/>
      </c>
      <c r="K101" s="15">
        <f>IF(OR(K100="",G100=""),"",IF(G100&lt;=0,"",IFERROR(K100/G100-1,"")))</f>
        <v/>
      </c>
      <c r="L101" s="15">
        <f>IF(OR(L100="",H100=""),"",IF(H100&lt;=0,"",IFERROR(L100/H100-1,"")))</f>
        <v/>
      </c>
      <c r="M101" s="15">
        <f>IF(OR(M100="",I100=""),"",IF(I100&lt;=0,"",IFERROR(M100/I100-1,"")))</f>
        <v/>
      </c>
      <c r="N101" s="15">
        <f>IF(OR(N100="",J100=""),"",IF(J100&lt;=0,"",IFERROR(N100/J100-1,"")))</f>
        <v/>
      </c>
      <c r="T101" s="15">
        <f>IF(OR(T100="",S100=""),"",IF(S100&lt;=0,"",IFERROR(T100/S100-1,"")))</f>
        <v/>
      </c>
      <c r="U101" s="15">
        <f>IF(OR(U100="",T100=""),"",IF(T100&lt;=0,"",IFERROR(U100/T100-1,"")))</f>
        <v/>
      </c>
      <c r="V101" s="15">
        <f>IF(OR(V100="",U100=""),"",IF(U100&lt;=0,"",IFERROR(V100/U100-1,"")))</f>
        <v/>
      </c>
      <c r="W101" s="15">
        <f>IF(OR(W100="",V100=""),"",IF(V100&lt;=0,"",IFERROR(W100/V100-1,"")))</f>
        <v/>
      </c>
      <c r="X101" s="15">
        <f>IF(OR(X100="",W100=""),"",IF(W100&lt;=0,"",IFERROR(X100/W100-1,"")))</f>
        <v/>
      </c>
    </row>
    <row r="102">
      <c r="A102" s="18" t="inlineStr">
        <is>
          <t>판매비와 관리비</t>
        </is>
      </c>
      <c r="C102" s="20" t="n">
        <v>6327</v>
      </c>
      <c r="D102" s="20" t="n">
        <v>9226</v>
      </c>
      <c r="E102" s="20" t="n">
        <v>5608</v>
      </c>
      <c r="F102" s="20" t="n">
        <v>7010</v>
      </c>
      <c r="G102" s="20" t="n">
        <v>6901</v>
      </c>
      <c r="H102" s="20" t="n">
        <v>13461</v>
      </c>
      <c r="I102" s="20" t="n">
        <v>6408</v>
      </c>
      <c r="J102" s="20" t="n">
        <v>7127</v>
      </c>
      <c r="K102" s="20" t="n">
        <v>7710</v>
      </c>
      <c r="L102" s="20" t="n">
        <v>13676</v>
      </c>
      <c r="M102" s="20" t="n">
        <v>7727</v>
      </c>
      <c r="N102" s="20" t="n">
        <v>8727</v>
      </c>
      <c r="T102" s="20" t="n">
        <v>5254</v>
      </c>
      <c r="U102" s="20" t="n">
        <v>8412</v>
      </c>
      <c r="V102" s="20" t="n">
        <v>9226</v>
      </c>
      <c r="W102" s="20" t="n">
        <v>13461</v>
      </c>
      <c r="X102" s="20" t="n">
        <v>13676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IF(OR(G102="",C102=""),"",IF(G102*C102&lt;=0,"",IFERROR(G102/C102-1,"")))</f>
        <v/>
      </c>
      <c r="H103" s="15">
        <f>IF(OR(H102="",D102=""),"",IF(H102*D102&lt;=0,"",IFERROR(H102/D102-1,"")))</f>
        <v/>
      </c>
      <c r="I103" s="15">
        <f>IF(OR(I102="",E102=""),"",IF(I102*E102&lt;=0,"",IFERROR(I102/E102-1,"")))</f>
        <v/>
      </c>
      <c r="J103" s="15">
        <f>IF(OR(J102="",F102=""),"",IF(J102*F102&lt;=0,"",IFERROR(J102/F102-1,"")))</f>
        <v/>
      </c>
      <c r="K103" s="15">
        <f>IF(OR(K102="",G102=""),"",IF(K102*G102&lt;=0,"",IFERROR(K102/G102-1,"")))</f>
        <v/>
      </c>
      <c r="L103" s="15">
        <f>IF(OR(L102="",H102=""),"",IF(L102*H102&lt;=0,"",IFERROR(L102/H102-1,"")))</f>
        <v/>
      </c>
      <c r="M103" s="15">
        <f>IF(OR(M102="",I102=""),"",IF(M102*I102&lt;=0,"",IFERROR(M102/I102-1,"")))</f>
        <v/>
      </c>
      <c r="N103" s="15">
        <f>IF(OR(N102="",J102=""),"",IF(N102*J102&lt;=0,"",IFERROR(N102/J102-1,"")))</f>
        <v/>
      </c>
      <c r="T103" s="15">
        <f>IF(OR(T102="",S102=""),"",IF(T102*S102&lt;=0,"",IFERROR(T102/S102-1,"")))</f>
        <v/>
      </c>
      <c r="U103" s="15">
        <f>IF(OR(U102="",T102=""),"",IF(U102*T102&lt;=0,"",IFERROR(U102/T102-1,"")))</f>
        <v/>
      </c>
      <c r="V103" s="15">
        <f>IF(OR(V102="",U102=""),"",IF(V102*U102&lt;=0,"",IFERROR(V102/U102-1,"")))</f>
        <v/>
      </c>
      <c r="W103" s="15">
        <f>IF(OR(W102="",V102=""),"",IF(W102*V102&lt;=0,"",IFERROR(W102/V102-1,"")))</f>
        <v/>
      </c>
      <c r="X103" s="15">
        <f>IF(OR(X102="",W102=""),"",IF(X102*W102&lt;=0,"",IFERROR(X102/W102-1,"")))</f>
        <v/>
      </c>
    </row>
    <row r="104">
      <c r="A104" s="9" t="inlineStr">
        <is>
          <t>영업이익</t>
        </is>
      </c>
      <c r="C104" s="12" t="n">
        <v>13869</v>
      </c>
      <c r="D104" s="12" t="n">
        <v>9377</v>
      </c>
      <c r="E104" s="12" t="n">
        <v>12889</v>
      </c>
      <c r="F104" s="12" t="n">
        <v>7837</v>
      </c>
      <c r="G104" s="12" t="n">
        <v>10294</v>
      </c>
      <c r="H104" s="12" t="n">
        <v>34757</v>
      </c>
      <c r="I104" s="12" t="n">
        <v>24597</v>
      </c>
      <c r="J104" s="12" t="n">
        <v>14736</v>
      </c>
      <c r="K104" s="12" t="n">
        <v>14969</v>
      </c>
      <c r="L104" s="12" t="n">
        <v>20993</v>
      </c>
      <c r="M104" s="12" t="n">
        <v>41054</v>
      </c>
      <c r="N104" s="12" t="n">
        <v>19715</v>
      </c>
      <c r="T104" s="12" t="n">
        <v>7813</v>
      </c>
      <c r="U104" s="12" t="n">
        <v>17480</v>
      </c>
      <c r="V104" s="12" t="n">
        <v>9377</v>
      </c>
      <c r="W104" s="12" t="n">
        <v>34757</v>
      </c>
      <c r="X104" s="12" t="n">
        <v>20993</v>
      </c>
    </row>
    <row r="105">
      <c r="A105" s="43" t="inlineStr">
        <is>
          <t>OPM</t>
        </is>
      </c>
      <c r="B105" s="3" t="inlineStr">
        <is>
          <t>영업이익 ÷ 매출</t>
        </is>
      </c>
      <c r="C105" s="15">
        <f>IF(OR(C104="",C96=""),"",IF(C96&lt;=0,"",IFERROR(C104/C96,"")))</f>
        <v/>
      </c>
      <c r="D105" s="15">
        <f>IF(OR(D104="",D96=""),"",IF(D96&lt;=0,"",IFERROR(D104/D96,"")))</f>
        <v/>
      </c>
      <c r="E105" s="15">
        <f>IF(OR(E104="",E96=""),"",IF(E96&lt;=0,"",IFERROR(E104/E96,"")))</f>
        <v/>
      </c>
      <c r="F105" s="15">
        <f>IF(OR(F104="",F96=""),"",IF(F96&lt;=0,"",IFERROR(F104/F96,"")))</f>
        <v/>
      </c>
      <c r="G105" s="15">
        <f>IF(OR(G104="",G96=""),"",IF(G96&lt;=0,"",IFERROR(G104/G96,"")))</f>
        <v/>
      </c>
      <c r="H105" s="15">
        <f>IF(OR(H104="",H96=""),"",IF(H96&lt;=0,"",IFERROR(H104/H96,"")))</f>
        <v/>
      </c>
      <c r="I105" s="15">
        <f>IF(OR(I104="",I96=""),"",IF(I96&lt;=0,"",IFERROR(I104/I96,"")))</f>
        <v/>
      </c>
      <c r="J105" s="15">
        <f>IF(OR(J104="",J96=""),"",IF(J96&lt;=0,"",IFERROR(J104/J96,"")))</f>
        <v/>
      </c>
      <c r="K105" s="15">
        <f>IF(OR(K104="",K96=""),"",IF(K96&lt;=0,"",IFERROR(K104/K96,"")))</f>
        <v/>
      </c>
      <c r="L105" s="15">
        <f>IF(OR(L104="",L96=""),"",IF(L96&lt;=0,"",IFERROR(L104/L96,"")))</f>
        <v/>
      </c>
      <c r="M105" s="15">
        <f>IF(OR(M104="",M96=""),"",IF(M96&lt;=0,"",IFERROR(M104/M96,"")))</f>
        <v/>
      </c>
      <c r="N105" s="15">
        <f>IF(OR(N104="",N96=""),"",IF(N96&lt;=0,"",IFERROR(N104/N96,"")))</f>
        <v/>
      </c>
      <c r="T105" s="15">
        <f>IF(OR(T104="",T96=""),"",IF(T96&lt;=0,"",IFERROR(T104/T96,"")))</f>
        <v/>
      </c>
      <c r="U105" s="15">
        <f>IF(OR(U104="",U96=""),"",IF(U96&lt;=0,"",IFERROR(U104/U96,"")))</f>
        <v/>
      </c>
      <c r="V105" s="15">
        <f>IF(OR(V104="",V96=""),"",IF(V96&lt;=0,"",IFERROR(V104/V96,"")))</f>
        <v/>
      </c>
      <c r="W105" s="15">
        <f>IF(OR(W104="",W96=""),"",IF(W96&lt;=0,"",IFERROR(W104/W96,"")))</f>
        <v/>
      </c>
      <c r="X105" s="15">
        <f>IF(OR(X104="",X96=""),"",IF(X96&lt;=0,"",IFERROR(X104/X96,"")))</f>
        <v/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IF(OR(G104="",C104=""),"",IF(C104&lt;=0,"",IFERROR(G104/C104-1,"")))</f>
        <v/>
      </c>
      <c r="H106" s="15">
        <f>IF(OR(H104="",D104=""),"",IF(D104&lt;=0,"",IFERROR(H104/D104-1,"")))</f>
        <v/>
      </c>
      <c r="I106" s="15">
        <f>IF(OR(I104="",E104=""),"",IF(E104&lt;=0,"",IFERROR(I104/E104-1,"")))</f>
        <v/>
      </c>
      <c r="J106" s="15">
        <f>IF(OR(J104="",F104=""),"",IF(F104&lt;=0,"",IFERROR(J104/F104-1,"")))</f>
        <v/>
      </c>
      <c r="K106" s="15">
        <f>IF(OR(K104="",G104=""),"",IF(G104&lt;=0,"",IFERROR(K104/G104-1,"")))</f>
        <v/>
      </c>
      <c r="L106" s="15">
        <f>IF(OR(L104="",H104=""),"",IF(H104&lt;=0,"",IFERROR(L104/H104-1,"")))</f>
        <v/>
      </c>
      <c r="M106" s="15">
        <f>IF(OR(M104="",I104=""),"",IF(I104&lt;=0,"",IFERROR(M104/I104-1,"")))</f>
        <v/>
      </c>
      <c r="N106" s="15">
        <f>IF(OR(N104="",J104=""),"",IF(J104&lt;=0,"",IFERROR(N104/J104-1,"")))</f>
        <v/>
      </c>
      <c r="T106" s="15">
        <f>IF(OR(T104="",S104=""),"",IF(S104&lt;=0,"",IFERROR(T104/S104-1,"")))</f>
        <v/>
      </c>
      <c r="U106" s="15">
        <f>IF(OR(U104="",T104=""),"",IF(T104&lt;=0,"",IFERROR(U104/T104-1,"")))</f>
        <v/>
      </c>
      <c r="V106" s="15">
        <f>IF(OR(V104="",U104=""),"",IF(U104&lt;=0,"",IFERROR(V104/U104-1,"")))</f>
        <v/>
      </c>
      <c r="W106" s="15">
        <f>IF(OR(W104="",V104=""),"",IF(V104&lt;=0,"",IFERROR(W104/V104-1,"")))</f>
        <v/>
      </c>
      <c r="X106" s="15">
        <f>IF(OR(X104="",W104=""),"",IF(W104&lt;=0,"",IFERROR(X104/W104-1,"")))</f>
        <v/>
      </c>
    </row>
    <row r="107">
      <c r="A107" s="18" t="inlineStr">
        <is>
          <t>이자수익</t>
        </is>
      </c>
      <c r="C107" s="20" t="n">
        <v>242</v>
      </c>
      <c r="D107" s="20" t="n">
        <v>380</v>
      </c>
      <c r="E107" s="20" t="n">
        <v>272</v>
      </c>
      <c r="F107" s="20" t="n">
        <v>302</v>
      </c>
      <c r="G107" s="20" t="n">
        <v>262</v>
      </c>
      <c r="H107" s="20" t="n">
        <v>282</v>
      </c>
      <c r="I107" s="20" t="n">
        <v>276</v>
      </c>
      <c r="J107" s="20" t="n">
        <v>384</v>
      </c>
      <c r="K107" s="20" t="n">
        <v>384</v>
      </c>
      <c r="L107" s="20" t="n">
        <v>503</v>
      </c>
      <c r="M107" s="20" t="n">
        <v>513</v>
      </c>
      <c r="N107" s="20" t="n">
        <v>701</v>
      </c>
      <c r="T107" s="20" t="n">
        <v>18</v>
      </c>
      <c r="U107" s="20" t="n">
        <v>202</v>
      </c>
      <c r="V107" s="20" t="n">
        <v>380</v>
      </c>
      <c r="W107" s="20" t="n">
        <v>282</v>
      </c>
      <c r="X107" s="20" t="n">
        <v>503</v>
      </c>
    </row>
    <row r="108">
      <c r="A108" s="18" t="inlineStr">
        <is>
          <t>배당금수익</t>
        </is>
      </c>
      <c r="C108" s="20" t="n">
        <v>15</v>
      </c>
      <c r="D108" s="20" t="n">
        <v>0</v>
      </c>
      <c r="E108" s="20" t="n">
        <v>0</v>
      </c>
      <c r="F108" s="20" t="n">
        <v>0</v>
      </c>
      <c r="G108" s="20" t="n">
        <v>0</v>
      </c>
      <c r="H108" s="20" t="n">
        <v>0</v>
      </c>
      <c r="I108" s="20" t="n">
        <v>0</v>
      </c>
      <c r="J108" s="20" t="n">
        <v>0</v>
      </c>
      <c r="K108" s="20" t="n">
        <v>0</v>
      </c>
      <c r="L108" s="20" t="n">
        <v>0</v>
      </c>
      <c r="T108" s="20" t="n">
        <v>0</v>
      </c>
      <c r="U108" s="20" t="n">
        <v>0</v>
      </c>
      <c r="V108" s="20" t="n">
        <v>0</v>
      </c>
      <c r="W108" s="20" t="n">
        <v>0</v>
      </c>
      <c r="X108" s="20" t="n">
        <v>0</v>
      </c>
    </row>
    <row r="109">
      <c r="A109" s="18" t="inlineStr">
        <is>
          <t>외환차익</t>
        </is>
      </c>
      <c r="C109" s="20" t="n">
        <v>-814</v>
      </c>
      <c r="D109" s="20" t="n">
        <v>1285</v>
      </c>
      <c r="E109" s="20" t="n">
        <v>620</v>
      </c>
      <c r="F109" s="20" t="n">
        <v>-244</v>
      </c>
      <c r="G109" s="20" t="n">
        <v>321</v>
      </c>
      <c r="H109" s="20" t="n">
        <v>-186</v>
      </c>
      <c r="I109" s="20" t="n">
        <v>0</v>
      </c>
      <c r="J109" s="20" t="n">
        <v>0</v>
      </c>
      <c r="K109" s="20" t="n">
        <v>0</v>
      </c>
      <c r="L109" s="20" t="n">
        <v>794</v>
      </c>
      <c r="T109" s="20" t="n">
        <v>620</v>
      </c>
      <c r="U109" s="20" t="n">
        <v>178</v>
      </c>
      <c r="V109" s="20" t="n">
        <v>1285</v>
      </c>
      <c r="W109" s="20" t="n">
        <v>-186</v>
      </c>
      <c r="X109" s="20" t="n">
        <v>794</v>
      </c>
    </row>
    <row r="110">
      <c r="A110" s="18" t="inlineStr">
        <is>
          <t>관계회사 정리이익</t>
        </is>
      </c>
      <c r="T110" s="20" t="n">
        <v>0</v>
      </c>
      <c r="U110" s="20" t="n">
        <v>0</v>
      </c>
    </row>
    <row r="111">
      <c r="A111" s="18" t="inlineStr">
        <is>
          <t>기타</t>
        </is>
      </c>
      <c r="C111" s="20" t="n">
        <v>18</v>
      </c>
      <c r="D111" s="20" t="n">
        <v>52</v>
      </c>
      <c r="E111" s="20" t="n">
        <v>53</v>
      </c>
      <c r="F111" s="20" t="n">
        <v>18</v>
      </c>
      <c r="G111" s="20" t="n">
        <v>16</v>
      </c>
      <c r="H111" s="20" t="n">
        <v>43</v>
      </c>
      <c r="I111" s="20" t="n">
        <v>29</v>
      </c>
      <c r="J111" s="20" t="n">
        <v>21</v>
      </c>
      <c r="K111" s="20" t="n">
        <v>16</v>
      </c>
      <c r="L111" s="20" t="n">
        <v>68</v>
      </c>
      <c r="M111" s="20" t="n">
        <v>44</v>
      </c>
      <c r="N111" s="20" t="n">
        <v>35</v>
      </c>
      <c r="T111" s="20" t="n">
        <v>66</v>
      </c>
      <c r="U111" s="20" t="n">
        <v>52</v>
      </c>
      <c r="V111" s="20" t="n">
        <v>52</v>
      </c>
      <c r="W111" s="20" t="n">
        <v>43</v>
      </c>
      <c r="X111" s="20" t="n">
        <v>68</v>
      </c>
    </row>
    <row r="112">
      <c r="A112" s="18" t="inlineStr">
        <is>
          <t>영업외수익 합계</t>
        </is>
      </c>
      <c r="C112" s="20" t="n">
        <v>-541</v>
      </c>
      <c r="D112" s="20" t="n">
        <v>1717</v>
      </c>
      <c r="E112" s="20" t="n">
        <v>946</v>
      </c>
      <c r="F112" s="20" t="n">
        <v>76</v>
      </c>
      <c r="G112" s="20" t="n">
        <v>600</v>
      </c>
      <c r="H112" s="20" t="n">
        <v>139</v>
      </c>
      <c r="I112" s="20" t="n">
        <v>305</v>
      </c>
      <c r="J112" s="20" t="n">
        <v>405</v>
      </c>
      <c r="K112" s="20" t="n">
        <v>400</v>
      </c>
      <c r="L112" s="20" t="n">
        <v>1366</v>
      </c>
      <c r="M112" s="20" t="n">
        <v>557</v>
      </c>
      <c r="N112" s="20" t="n">
        <v>737</v>
      </c>
      <c r="T112" s="20" t="n">
        <v>704</v>
      </c>
      <c r="U112" s="20" t="n">
        <v>432</v>
      </c>
      <c r="V112" s="20" t="n">
        <v>1717</v>
      </c>
      <c r="W112" s="20" t="n">
        <v>139</v>
      </c>
      <c r="X112" s="20" t="n">
        <v>1366</v>
      </c>
    </row>
    <row r="113">
      <c r="A113" s="43" t="inlineStr">
        <is>
          <t>YoY</t>
        </is>
      </c>
      <c r="B113" s="3" t="inlineStr">
        <is>
          <t>전년 같은 분기·전년 대비</t>
        </is>
      </c>
      <c r="G113" s="15">
        <f>IF(OR(G112="",C112=""),"",IF(G112*C112&lt;=0,"",IFERROR(G112/C112-1,"")))</f>
        <v/>
      </c>
      <c r="H113" s="15">
        <f>IF(OR(H112="",D112=""),"",IF(H112*D112&lt;=0,"",IFERROR(H112/D112-1,"")))</f>
        <v/>
      </c>
      <c r="I113" s="15">
        <f>IF(OR(I112="",E112=""),"",IF(I112*E112&lt;=0,"",IFERROR(I112/E112-1,"")))</f>
        <v/>
      </c>
      <c r="J113" s="15">
        <f>IF(OR(J112="",F112=""),"",IF(J112*F112&lt;=0,"",IFERROR(J112/F112-1,"")))</f>
        <v/>
      </c>
      <c r="K113" s="15">
        <f>IF(OR(K112="",G112=""),"",IF(K112*G112&lt;=0,"",IFERROR(K112/G112-1,"")))</f>
        <v/>
      </c>
      <c r="L113" s="15">
        <f>IF(OR(L112="",H112=""),"",IF(L112*H112&lt;=0,"",IFERROR(L112/H112-1,"")))</f>
        <v/>
      </c>
      <c r="M113" s="15">
        <f>IF(OR(M112="",I112=""),"",IF(M112*I112&lt;=0,"",IFERROR(M112/I112-1,"")))</f>
        <v/>
      </c>
      <c r="N113" s="15">
        <f>IF(OR(N112="",J112=""),"",IF(N112*J112&lt;=0,"",IFERROR(N112/J112-1,"")))</f>
        <v/>
      </c>
      <c r="T113" s="15">
        <f>IF(OR(T112="",S112=""),"",IF(T112*S112&lt;=0,"",IFERROR(T112/S112-1,"")))</f>
        <v/>
      </c>
      <c r="U113" s="15">
        <f>IF(OR(U112="",T112=""),"",IF(U112*T112&lt;=0,"",IFERROR(U112/T112-1,"")))</f>
        <v/>
      </c>
      <c r="V113" s="15">
        <f>IF(OR(V112="",U112=""),"",IF(V112*U112&lt;=0,"",IFERROR(V112/U112-1,"")))</f>
        <v/>
      </c>
      <c r="W113" s="15">
        <f>IF(OR(W112="",V112=""),"",IF(W112*V112&lt;=0,"",IFERROR(W112/V112-1,"")))</f>
        <v/>
      </c>
      <c r="X113" s="15">
        <f>IF(OR(X112="",W112=""),"",IF(X112*W112&lt;=0,"",IFERROR(X112/W112-1,"")))</f>
        <v/>
      </c>
    </row>
    <row r="114">
      <c r="A114" s="18" t="inlineStr">
        <is>
          <t>이자비용</t>
        </is>
      </c>
      <c r="C114" s="20" t="n">
        <v>15</v>
      </c>
      <c r="D114" s="20" t="n">
        <v>16</v>
      </c>
      <c r="E114" s="20" t="n">
        <v>17</v>
      </c>
      <c r="F114" s="20" t="n">
        <v>20</v>
      </c>
      <c r="G114" s="20" t="n">
        <v>24</v>
      </c>
      <c r="H114" s="20" t="n">
        <v>19</v>
      </c>
      <c r="I114" s="20" t="n">
        <v>22</v>
      </c>
      <c r="J114" s="20" t="n">
        <v>15</v>
      </c>
      <c r="K114" s="20" t="n">
        <v>11</v>
      </c>
      <c r="L114" s="20" t="n">
        <v>10</v>
      </c>
      <c r="M114" s="20" t="n">
        <v>8</v>
      </c>
      <c r="N114" s="20" t="n">
        <v>9</v>
      </c>
      <c r="T114" s="20" t="n">
        <v>12</v>
      </c>
      <c r="U114" s="20" t="n">
        <v>14</v>
      </c>
      <c r="V114" s="20" t="n">
        <v>16</v>
      </c>
      <c r="W114" s="20" t="n">
        <v>19</v>
      </c>
      <c r="X114" s="20" t="n">
        <v>10</v>
      </c>
    </row>
    <row r="115">
      <c r="A115" s="18" t="inlineStr">
        <is>
          <t>소송 관련 비용</t>
        </is>
      </c>
      <c r="C115" s="20" t="n">
        <v>0</v>
      </c>
      <c r="D115" s="20" t="n">
        <v>0</v>
      </c>
      <c r="T115" s="20" t="n">
        <v>92</v>
      </c>
      <c r="U115" s="20" t="n">
        <v>0</v>
      </c>
      <c r="V115" s="20" t="n">
        <v>0</v>
      </c>
    </row>
    <row r="116">
      <c r="A116" s="18" t="inlineStr">
        <is>
          <t>자기주식 취득비용</t>
        </is>
      </c>
      <c r="C116" s="20" t="n">
        <v>0</v>
      </c>
      <c r="D116" s="20" t="n">
        <v>0</v>
      </c>
      <c r="T116" s="20" t="n">
        <v>0</v>
      </c>
      <c r="U116" s="20" t="n">
        <v>0</v>
      </c>
      <c r="V116" s="20" t="n">
        <v>0</v>
      </c>
    </row>
    <row r="117">
      <c r="A117" s="18" t="inlineStr">
        <is>
          <t>외환차손</t>
        </is>
      </c>
      <c r="E117" s="20" t="n">
        <v>0</v>
      </c>
      <c r="F117" s="20" t="n">
        <v>0</v>
      </c>
      <c r="G117" s="20" t="n">
        <v>0</v>
      </c>
      <c r="I117" s="20" t="n">
        <v>733</v>
      </c>
      <c r="J117" s="20" t="n">
        <v>-6</v>
      </c>
      <c r="K117" s="20" t="n">
        <v>-327</v>
      </c>
      <c r="M117" s="20" t="n">
        <v>123</v>
      </c>
      <c r="N117" s="20" t="n">
        <v>597</v>
      </c>
    </row>
    <row r="118">
      <c r="A118" s="18" t="inlineStr">
        <is>
          <t>사회공헌 관련 비용</t>
        </is>
      </c>
      <c r="E118" s="20" t="n">
        <v>291</v>
      </c>
      <c r="I118" s="20" t="n">
        <v>1223</v>
      </c>
      <c r="M118" s="20" t="n">
        <v>8</v>
      </c>
    </row>
    <row r="119">
      <c r="A119" s="18" t="inlineStr">
        <is>
          <t>사회공헌 관련 비용</t>
        </is>
      </c>
      <c r="C119" s="20" t="n">
        <v>0</v>
      </c>
      <c r="D119" s="20" t="n">
        <v>1029</v>
      </c>
      <c r="E119" s="20" t="n">
        <v>291</v>
      </c>
      <c r="F119" s="20" t="n">
        <v>649</v>
      </c>
      <c r="G119" s="20" t="n">
        <v>113</v>
      </c>
      <c r="H119" s="20" t="n">
        <v>610</v>
      </c>
      <c r="K119" s="20" t="n">
        <v>481</v>
      </c>
      <c r="L119" s="20" t="n">
        <v>139</v>
      </c>
      <c r="V119" s="20" t="n">
        <v>1029</v>
      </c>
      <c r="W119" s="20" t="n">
        <v>610</v>
      </c>
      <c r="X119" s="20" t="n">
        <v>139</v>
      </c>
    </row>
    <row r="120">
      <c r="A120" s="18" t="inlineStr">
        <is>
          <t>기타</t>
        </is>
      </c>
      <c r="C120" s="20" t="n">
        <v>19</v>
      </c>
      <c r="D120" s="20" t="n">
        <v>87</v>
      </c>
      <c r="E120" s="20" t="n">
        <v>39</v>
      </c>
      <c r="F120" s="20" t="n">
        <v>26</v>
      </c>
      <c r="G120" s="20" t="n">
        <v>46</v>
      </c>
      <c r="H120" s="20" t="n">
        <v>47</v>
      </c>
      <c r="I120" s="20" t="n">
        <v>39</v>
      </c>
      <c r="J120" s="20" t="n">
        <v>244</v>
      </c>
      <c r="K120" s="20" t="n">
        <v>46</v>
      </c>
      <c r="L120" s="20" t="n">
        <v>179</v>
      </c>
      <c r="M120" s="20" t="n">
        <v>20</v>
      </c>
      <c r="N120" s="20" t="n">
        <v>74</v>
      </c>
      <c r="T120" s="20" t="n">
        <v>36</v>
      </c>
      <c r="U120" s="20" t="n">
        <v>93</v>
      </c>
      <c r="V120" s="20" t="n">
        <v>87</v>
      </c>
      <c r="W120" s="20" t="n">
        <v>47</v>
      </c>
      <c r="X120" s="20" t="n">
        <v>179</v>
      </c>
    </row>
    <row r="121">
      <c r="A121" s="18" t="inlineStr">
        <is>
          <t>영업외비용 합계</t>
        </is>
      </c>
      <c r="C121" s="20" t="n">
        <v>33</v>
      </c>
      <c r="D121" s="20" t="n">
        <v>1132</v>
      </c>
      <c r="E121" s="20" t="n">
        <v>348</v>
      </c>
      <c r="F121" s="20" t="n">
        <v>695</v>
      </c>
      <c r="G121" s="20" t="n">
        <v>183</v>
      </c>
      <c r="H121" s="20" t="n">
        <v>676</v>
      </c>
      <c r="I121" s="20" t="n">
        <v>2019</v>
      </c>
      <c r="J121" s="20" t="n">
        <v>1480</v>
      </c>
      <c r="K121" s="20" t="n">
        <v>211</v>
      </c>
      <c r="L121" s="20" t="n">
        <v>-73</v>
      </c>
      <c r="M121" s="20" t="n">
        <v>160</v>
      </c>
      <c r="N121" s="20" t="n">
        <v>691</v>
      </c>
      <c r="T121" s="20" t="n">
        <v>337</v>
      </c>
      <c r="U121" s="20" t="n">
        <v>107</v>
      </c>
      <c r="V121" s="20" t="n">
        <v>1132</v>
      </c>
      <c r="W121" s="20" t="n">
        <v>676</v>
      </c>
      <c r="X121" s="20" t="n">
        <v>-73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IF(OR(G121="",C121=""),"",IF(G121*C121&lt;=0,"",IFERROR(G121/C121-1,"")))</f>
        <v/>
      </c>
      <c r="H122" s="15">
        <f>IF(OR(H121="",D121=""),"",IF(H121*D121&lt;=0,"",IFERROR(H121/D121-1,"")))</f>
        <v/>
      </c>
      <c r="I122" s="15">
        <f>IF(OR(I121="",E121=""),"",IF(I121*E121&lt;=0,"",IFERROR(I121/E121-1,"")))</f>
        <v/>
      </c>
      <c r="J122" s="15">
        <f>IF(OR(J121="",F121=""),"",IF(J121*F121&lt;=0,"",IFERROR(J121/F121-1,"")))</f>
        <v/>
      </c>
      <c r="K122" s="15">
        <f>IF(OR(K121="",G121=""),"",IF(K121*G121&lt;=0,"",IFERROR(K121/G121-1,"")))</f>
        <v/>
      </c>
      <c r="L122" s="15">
        <f>IF(OR(L121="",H121=""),"",IF(L121*H121&lt;=0,"",IFERROR(L121/H121-1,"")))</f>
        <v/>
      </c>
      <c r="M122" s="15">
        <f>IF(OR(M121="",I121=""),"",IF(M121*I121&lt;=0,"",IFERROR(M121/I121-1,"")))</f>
        <v/>
      </c>
      <c r="N122" s="15">
        <f>IF(OR(N121="",J121=""),"",IF(N121*J121&lt;=0,"",IFERROR(N121/J121-1,"")))</f>
        <v/>
      </c>
      <c r="T122" s="15">
        <f>IF(OR(T121="",S121=""),"",IF(T121*S121&lt;=0,"",IFERROR(T121/S121-1,"")))</f>
        <v/>
      </c>
      <c r="U122" s="15">
        <f>IF(OR(U121="",T121=""),"",IF(U121*T121&lt;=0,"",IFERROR(U121/T121-1,"")))</f>
        <v/>
      </c>
      <c r="V122" s="15">
        <f>IF(OR(V121="",U121=""),"",IF(V121*U121&lt;=0,"",IFERROR(V121/U121-1,"")))</f>
        <v/>
      </c>
      <c r="W122" s="15">
        <f>IF(OR(W121="",V121=""),"",IF(W121*V121&lt;=0,"",IFERROR(W121/V121-1,"")))</f>
        <v/>
      </c>
      <c r="X122" s="15">
        <f>IF(OR(X121="",W121=""),"",IF(X121*W121&lt;=0,"",IFERROR(X121/W121-1,"")))</f>
        <v/>
      </c>
    </row>
    <row r="123">
      <c r="A123" s="9" t="inlineStr">
        <is>
          <t>경상이익</t>
        </is>
      </c>
      <c r="C123" s="12" t="n">
        <v>13296</v>
      </c>
      <c r="D123" s="12" t="n">
        <v>9962</v>
      </c>
      <c r="E123" s="12" t="n">
        <v>13487</v>
      </c>
      <c r="F123" s="12" t="n">
        <v>7219</v>
      </c>
      <c r="G123" s="12" t="n">
        <v>10711</v>
      </c>
      <c r="H123" s="12" t="n">
        <v>34218</v>
      </c>
      <c r="I123" s="12" t="n">
        <v>22883</v>
      </c>
      <c r="J123" s="12" t="n">
        <v>13660</v>
      </c>
      <c r="K123" s="12" t="n">
        <v>15160</v>
      </c>
      <c r="L123" s="12" t="n">
        <v>22431</v>
      </c>
      <c r="M123" s="12" t="n">
        <v>41452</v>
      </c>
      <c r="N123" s="12" t="n">
        <v>19760</v>
      </c>
      <c r="T123" s="12" t="n">
        <v>8182</v>
      </c>
      <c r="U123" s="12" t="n">
        <v>17805</v>
      </c>
      <c r="V123" s="12" t="n">
        <v>9962</v>
      </c>
      <c r="W123" s="12" t="n">
        <v>34218</v>
      </c>
      <c r="X123" s="12" t="n">
        <v>22431</v>
      </c>
    </row>
    <row r="124">
      <c r="A124" s="43" t="inlineStr">
        <is>
          <t>YoY</t>
        </is>
      </c>
      <c r="B124" s="3" t="inlineStr">
        <is>
          <t>전년 같은 분기·전년 대비</t>
        </is>
      </c>
      <c r="G124" s="15">
        <f>IF(OR(G123="",C123=""),"",IF(C123&lt;=0,"",IFERROR(G123/C123-1,"")))</f>
        <v/>
      </c>
      <c r="H124" s="15">
        <f>IF(OR(H123="",D123=""),"",IF(D123&lt;=0,"",IFERROR(H123/D123-1,"")))</f>
        <v/>
      </c>
      <c r="I124" s="15">
        <f>IF(OR(I123="",E123=""),"",IF(E123&lt;=0,"",IFERROR(I123/E123-1,"")))</f>
        <v/>
      </c>
      <c r="J124" s="15">
        <f>IF(OR(J123="",F123=""),"",IF(F123&lt;=0,"",IFERROR(J123/F123-1,"")))</f>
        <v/>
      </c>
      <c r="K124" s="15">
        <f>IF(OR(K123="",G123=""),"",IF(G123&lt;=0,"",IFERROR(K123/G123-1,"")))</f>
        <v/>
      </c>
      <c r="L124" s="15">
        <f>IF(OR(L123="",H123=""),"",IF(H123&lt;=0,"",IFERROR(L123/H123-1,"")))</f>
        <v/>
      </c>
      <c r="M124" s="15">
        <f>IF(OR(M123="",I123=""),"",IF(I123&lt;=0,"",IFERROR(M123/I123-1,"")))</f>
        <v/>
      </c>
      <c r="N124" s="15">
        <f>IF(OR(N123="",J123=""),"",IF(J123&lt;=0,"",IFERROR(N123/J123-1,"")))</f>
        <v/>
      </c>
      <c r="T124" s="15">
        <f>IF(OR(T123="",S123=""),"",IF(S123&lt;=0,"",IFERROR(T123/S123-1,"")))</f>
        <v/>
      </c>
      <c r="U124" s="15">
        <f>IF(OR(U123="",T123=""),"",IF(T123&lt;=0,"",IFERROR(U123/T123-1,"")))</f>
        <v/>
      </c>
      <c r="V124" s="15">
        <f>IF(OR(V123="",U123=""),"",IF(U123&lt;=0,"",IFERROR(V123/U123-1,"")))</f>
        <v/>
      </c>
      <c r="W124" s="15">
        <f>IF(OR(W123="",V123=""),"",IF(V123&lt;=0,"",IFERROR(W123/V123-1,"")))</f>
        <v/>
      </c>
      <c r="X124" s="15">
        <f>IF(OR(X123="",W123=""),"",IF(W123&lt;=0,"",IFERROR(X123/W123-1,"")))</f>
        <v/>
      </c>
    </row>
    <row r="125">
      <c r="A125" s="18" t="inlineStr">
        <is>
          <t>고정자산 매각이익</t>
        </is>
      </c>
      <c r="C125" s="20" t="n">
        <v>0</v>
      </c>
      <c r="D125" s="20" t="n">
        <v>0</v>
      </c>
      <c r="E125" s="20" t="n">
        <v>143</v>
      </c>
      <c r="F125" s="20" t="n">
        <v>0</v>
      </c>
      <c r="G125" s="20" t="n">
        <v>0</v>
      </c>
      <c r="H125" s="20" t="n">
        <v>1</v>
      </c>
      <c r="I125" s="20" t="n">
        <v>0</v>
      </c>
      <c r="J125" s="20" t="n">
        <v>0</v>
      </c>
      <c r="K125" s="20" t="n">
        <v>0</v>
      </c>
      <c r="L125" s="20" t="n">
        <v>0</v>
      </c>
      <c r="M125" s="20" t="n">
        <v>0</v>
      </c>
      <c r="N125" s="20" t="n">
        <v>0</v>
      </c>
      <c r="U125" s="20" t="n">
        <v>0</v>
      </c>
      <c r="V125" s="20" t="n">
        <v>0</v>
      </c>
      <c r="W125" s="20" t="n">
        <v>1</v>
      </c>
      <c r="X125" s="20" t="n">
        <v>0</v>
      </c>
    </row>
    <row r="126">
      <c r="A126" s="18" t="inlineStr">
        <is>
          <t>투자유가증권 매각이익</t>
        </is>
      </c>
      <c r="D126" s="20" t="n">
        <v>-26</v>
      </c>
      <c r="H126" s="20" t="n">
        <v>0</v>
      </c>
      <c r="U126" s="20" t="n">
        <v>0</v>
      </c>
      <c r="V126" s="20" t="n">
        <v>-26</v>
      </c>
      <c r="W126" s="20" t="n">
        <v>0</v>
      </c>
    </row>
    <row r="127">
      <c r="A127" s="18" t="inlineStr">
        <is>
          <t>특별이익 합계</t>
        </is>
      </c>
      <c r="C127" s="20" t="n">
        <v>434</v>
      </c>
      <c r="D127" s="20" t="n">
        <v>-25</v>
      </c>
      <c r="E127" s="20" t="n">
        <v>143</v>
      </c>
      <c r="F127" s="20" t="n">
        <v>0</v>
      </c>
      <c r="G127" s="20" t="n">
        <v>0</v>
      </c>
      <c r="H127" s="20" t="n">
        <v>1</v>
      </c>
      <c r="I127" s="20" t="n">
        <v>0</v>
      </c>
      <c r="J127" s="20" t="n">
        <v>0</v>
      </c>
      <c r="K127" s="20" t="n">
        <v>0</v>
      </c>
      <c r="L127" s="20" t="n">
        <v>0</v>
      </c>
      <c r="M127" s="20" t="n">
        <v>0</v>
      </c>
      <c r="N127" s="20" t="n">
        <v>0</v>
      </c>
      <c r="U127" s="20" t="n">
        <v>0</v>
      </c>
      <c r="V127" s="20" t="n">
        <v>-25</v>
      </c>
      <c r="W127" s="20" t="n">
        <v>1</v>
      </c>
      <c r="X127" s="20" t="n">
        <v>0</v>
      </c>
    </row>
    <row r="128">
      <c r="A128" s="43" t="inlineStr">
        <is>
          <t>YoY</t>
        </is>
      </c>
      <c r="B128" s="3" t="inlineStr">
        <is>
          <t>전년 같은 분기·전년 대비</t>
        </is>
      </c>
      <c r="G128" s="15">
        <f>IF(OR(G127="",C127=""),"",IF(G127*C127&lt;=0,"",IFERROR(G127/C127-1,"")))</f>
        <v/>
      </c>
      <c r="H128" s="15">
        <f>IF(OR(H127="",D127=""),"",IF(H127*D127&lt;=0,"",IFERROR(H127/D127-1,"")))</f>
        <v/>
      </c>
      <c r="I128" s="15">
        <f>IF(OR(I127="",E127=""),"",IF(I127*E127&lt;=0,"",IFERROR(I127/E127-1,"")))</f>
        <v/>
      </c>
      <c r="J128" s="15">
        <f>IF(OR(J127="",F127=""),"",IF(J127*F127&lt;=0,"",IFERROR(J127/F127-1,"")))</f>
        <v/>
      </c>
      <c r="K128" s="15">
        <f>IF(OR(K127="",G127=""),"",IF(K127*G127&lt;=0,"",IFERROR(K127/G127-1,"")))</f>
        <v/>
      </c>
      <c r="L128" s="15">
        <f>IF(OR(L127="",H127=""),"",IF(L127*H127&lt;=0,"",IFERROR(L127/H127-1,"")))</f>
        <v/>
      </c>
      <c r="M128" s="15">
        <f>IF(OR(M127="",I127=""),"",IF(M127*I127&lt;=0,"",IFERROR(M127/I127-1,"")))</f>
        <v/>
      </c>
      <c r="N128" s="15">
        <f>IF(OR(N127="",J127=""),"",IF(N127*J127&lt;=0,"",IFERROR(N127/J127-1,"")))</f>
        <v/>
      </c>
      <c r="U128" s="15">
        <f>IF(OR(U127="",T127=""),"",IF(U127*T127&lt;=0,"",IFERROR(U127/T127-1,"")))</f>
        <v/>
      </c>
      <c r="V128" s="15">
        <f>IF(OR(V127="",U127=""),"",IF(V127*U127&lt;=0,"",IFERROR(V127/U127-1,"")))</f>
        <v/>
      </c>
      <c r="W128" s="15">
        <f>IF(OR(W127="",V127=""),"",IF(W127*V127&lt;=0,"",IFERROR(W127/V127-1,"")))</f>
        <v/>
      </c>
      <c r="X128" s="15">
        <f>IF(OR(X127="",W127=""),"",IF(X127*W127&lt;=0,"",IFERROR(X127/W127-1,"")))</f>
        <v/>
      </c>
    </row>
    <row r="129">
      <c r="A129" s="18" t="inlineStr">
        <is>
          <t>고정자산 제각·매각손실</t>
        </is>
      </c>
      <c r="C129" s="20" t="n">
        <v>23</v>
      </c>
      <c r="D129" s="20" t="n">
        <v>12</v>
      </c>
      <c r="E129" s="20" t="n">
        <v>1</v>
      </c>
      <c r="F129" s="20" t="n">
        <v>1</v>
      </c>
      <c r="G129" s="20" t="n">
        <v>99</v>
      </c>
      <c r="H129" s="20" t="n">
        <v>27</v>
      </c>
      <c r="I129" s="20" t="n">
        <v>49</v>
      </c>
      <c r="J129" s="20" t="n">
        <v>127</v>
      </c>
      <c r="K129" s="20" t="n">
        <v>11</v>
      </c>
      <c r="L129" s="20" t="n">
        <v>13</v>
      </c>
      <c r="M129" s="20" t="n">
        <v>0</v>
      </c>
      <c r="N129" s="20" t="n">
        <v>0</v>
      </c>
      <c r="T129" s="20" t="n">
        <v>2</v>
      </c>
      <c r="U129" s="20" t="n">
        <v>23</v>
      </c>
      <c r="V129" s="20" t="n">
        <v>12</v>
      </c>
      <c r="W129" s="20" t="n">
        <v>27</v>
      </c>
      <c r="X129" s="20" t="n">
        <v>13</v>
      </c>
    </row>
    <row r="130">
      <c r="A130" s="18" t="inlineStr">
        <is>
          <t>사업구조개선비용</t>
        </is>
      </c>
      <c r="D130" s="20" t="n">
        <v>226</v>
      </c>
      <c r="H130" s="20" t="n">
        <v>0</v>
      </c>
      <c r="U130" s="20" t="n">
        <v>0</v>
      </c>
      <c r="V130" s="20" t="n">
        <v>226</v>
      </c>
      <c r="W130" s="20" t="n">
        <v>0</v>
      </c>
    </row>
    <row r="131">
      <c r="A131" s="18" t="inlineStr">
        <is>
          <t>특별손실 합계</t>
        </is>
      </c>
      <c r="C131" s="20" t="n">
        <v>298</v>
      </c>
      <c r="D131" s="20" t="n">
        <v>251</v>
      </c>
      <c r="E131" s="20" t="n">
        <v>1</v>
      </c>
      <c r="F131" s="20" t="n">
        <v>1</v>
      </c>
      <c r="G131" s="20" t="n">
        <v>99</v>
      </c>
      <c r="H131" s="20" t="n">
        <v>27</v>
      </c>
      <c r="I131" s="20" t="n">
        <v>49</v>
      </c>
      <c r="J131" s="20" t="n">
        <v>127</v>
      </c>
      <c r="K131" s="20" t="n">
        <v>11</v>
      </c>
      <c r="L131" s="20" t="n">
        <v>13</v>
      </c>
      <c r="M131" s="20" t="n">
        <v>0</v>
      </c>
      <c r="N131" s="20" t="n">
        <v>0</v>
      </c>
      <c r="T131" s="20" t="n">
        <v>2</v>
      </c>
      <c r="U131" s="20" t="n">
        <v>213</v>
      </c>
      <c r="V131" s="20" t="n">
        <v>251</v>
      </c>
      <c r="W131" s="20" t="n">
        <v>27</v>
      </c>
      <c r="X131" s="20" t="n">
        <v>13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IF(OR(G131="",C131=""),"",IF(G131*C131&lt;=0,"",IFERROR(G131/C131-1,"")))</f>
        <v/>
      </c>
      <c r="H132" s="15">
        <f>IF(OR(H131="",D131=""),"",IF(H131*D131&lt;=0,"",IFERROR(H131/D131-1,"")))</f>
        <v/>
      </c>
      <c r="I132" s="15">
        <f>IF(OR(I131="",E131=""),"",IF(I131*E131&lt;=0,"",IFERROR(I131/E131-1,"")))</f>
        <v/>
      </c>
      <c r="J132" s="15">
        <f>IF(OR(J131="",F131=""),"",IF(J131*F131&lt;=0,"",IFERROR(J131/F131-1,"")))</f>
        <v/>
      </c>
      <c r="K132" s="15">
        <f>IF(OR(K131="",G131=""),"",IF(K131*G131&lt;=0,"",IFERROR(K131/G131-1,"")))</f>
        <v/>
      </c>
      <c r="L132" s="15">
        <f>IF(OR(L131="",H131=""),"",IF(L131*H131&lt;=0,"",IFERROR(L131/H131-1,"")))</f>
        <v/>
      </c>
      <c r="M132" s="15">
        <f>IF(OR(M131="",I131=""),"",IF(M131*I131&lt;=0,"",IFERROR(M131/I131-1,"")))</f>
        <v/>
      </c>
      <c r="N132" s="15">
        <f>IF(OR(N131="",J131=""),"",IF(N131*J131&lt;=0,"",IFERROR(N131/J131-1,"")))</f>
        <v/>
      </c>
      <c r="T132" s="15">
        <f>IF(OR(T131="",S131=""),"",IF(T131*S131&lt;=0,"",IFERROR(T131/S131-1,"")))</f>
        <v/>
      </c>
      <c r="U132" s="15">
        <f>IF(OR(U131="",T131=""),"",IF(U131*T131&lt;=0,"",IFERROR(U131/T131-1,"")))</f>
        <v/>
      </c>
      <c r="V132" s="15">
        <f>IF(OR(V131="",U131=""),"",IF(V131*U131&lt;=0,"",IFERROR(V131/U131-1,"")))</f>
        <v/>
      </c>
      <c r="W132" s="15">
        <f>IF(OR(W131="",V131=""),"",IF(W131*V131&lt;=0,"",IFERROR(W131/V131-1,"")))</f>
        <v/>
      </c>
      <c r="X132" s="15">
        <f>IF(OR(X131="",W131=""),"",IF(X131*W131&lt;=0,"",IFERROR(X131/W131-1,"")))</f>
        <v/>
      </c>
    </row>
    <row r="133">
      <c r="A133" s="9" t="inlineStr">
        <is>
          <t>법인세차감전 순이익</t>
        </is>
      </c>
      <c r="C133" s="12" t="n">
        <v>13433</v>
      </c>
      <c r="D133" s="12" t="n">
        <v>9684</v>
      </c>
      <c r="E133" s="12" t="n">
        <v>13629</v>
      </c>
      <c r="F133" s="12" t="n">
        <v>7218</v>
      </c>
      <c r="G133" s="12" t="n">
        <v>10612</v>
      </c>
      <c r="H133" s="12" t="n">
        <v>34192</v>
      </c>
      <c r="I133" s="12" t="n">
        <v>22834</v>
      </c>
      <c r="J133" s="12" t="n">
        <v>13533</v>
      </c>
      <c r="K133" s="12" t="n">
        <v>15148</v>
      </c>
      <c r="L133" s="12" t="n">
        <v>22419</v>
      </c>
      <c r="M133" s="12" t="n">
        <v>41452</v>
      </c>
      <c r="N133" s="12" t="n">
        <v>19760</v>
      </c>
      <c r="T133" s="12" t="n">
        <v>8180</v>
      </c>
      <c r="U133" s="12" t="n">
        <v>17592</v>
      </c>
      <c r="V133" s="12" t="n">
        <v>9684</v>
      </c>
      <c r="W133" s="12" t="n">
        <v>34192</v>
      </c>
      <c r="X133" s="12" t="n">
        <v>22419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IF(OR(G133="",C133=""),"",IF(C133&lt;=0,"",IFERROR(G133/C133-1,"")))</f>
        <v/>
      </c>
      <c r="H134" s="15">
        <f>IF(OR(H133="",D133=""),"",IF(D133&lt;=0,"",IFERROR(H133/D133-1,"")))</f>
        <v/>
      </c>
      <c r="I134" s="15">
        <f>IF(OR(I133="",E133=""),"",IF(E133&lt;=0,"",IFERROR(I133/E133-1,"")))</f>
        <v/>
      </c>
      <c r="J134" s="15">
        <f>IF(OR(J133="",F133=""),"",IF(F133&lt;=0,"",IFERROR(J133/F133-1,"")))</f>
        <v/>
      </c>
      <c r="K134" s="15">
        <f>IF(OR(K133="",G133=""),"",IF(G133&lt;=0,"",IFERROR(K133/G133-1,"")))</f>
        <v/>
      </c>
      <c r="L134" s="15">
        <f>IF(OR(L133="",H133=""),"",IF(H133&lt;=0,"",IFERROR(L133/H133-1,"")))</f>
        <v/>
      </c>
      <c r="M134" s="15">
        <f>IF(OR(M133="",I133=""),"",IF(I133&lt;=0,"",IFERROR(M133/I133-1,"")))</f>
        <v/>
      </c>
      <c r="N134" s="15">
        <f>IF(OR(N133="",J133=""),"",IF(J133&lt;=0,"",IFERROR(N133/J133-1,"")))</f>
        <v/>
      </c>
      <c r="T134" s="15">
        <f>IF(OR(T133="",S133=""),"",IF(S133&lt;=0,"",IFERROR(T133/S133-1,"")))</f>
        <v/>
      </c>
      <c r="U134" s="15">
        <f>IF(OR(U133="",T133=""),"",IF(T133&lt;=0,"",IFERROR(U133/T133-1,"")))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5">
      <c r="A135" s="18" t="inlineStr">
        <is>
          <t>법인세·주민세·사업세</t>
        </is>
      </c>
      <c r="C135" s="20" t="n">
        <v>3019</v>
      </c>
      <c r="D135" s="20" t="n">
        <v>3967</v>
      </c>
      <c r="T135" s="20" t="n">
        <v>3097</v>
      </c>
      <c r="U135" s="20" t="n">
        <v>6648</v>
      </c>
      <c r="V135" s="20" t="n">
        <v>3967</v>
      </c>
    </row>
    <row r="136">
      <c r="A136" s="18" t="inlineStr">
        <is>
          <t>법인세 조정액</t>
        </is>
      </c>
      <c r="C136" s="20" t="n">
        <v>1065</v>
      </c>
      <c r="D136" s="20" t="n">
        <v>-3021</v>
      </c>
      <c r="T136" s="20" t="n">
        <v>-764</v>
      </c>
      <c r="U136" s="20" t="n">
        <v>-2182</v>
      </c>
      <c r="V136" s="20" t="n">
        <v>-3021</v>
      </c>
    </row>
    <row r="137">
      <c r="A137" s="18" t="inlineStr">
        <is>
          <t>법인세 등</t>
        </is>
      </c>
      <c r="C137" s="20" t="n">
        <v>4083</v>
      </c>
      <c r="D137" s="20" t="n">
        <v>947</v>
      </c>
      <c r="E137" s="20" t="n">
        <v>3653</v>
      </c>
      <c r="F137" s="20" t="n">
        <v>1918</v>
      </c>
      <c r="G137" s="20" t="n">
        <v>2825</v>
      </c>
      <c r="H137" s="20" t="n">
        <v>8809</v>
      </c>
      <c r="I137" s="20" t="n">
        <v>5602</v>
      </c>
      <c r="J137" s="20" t="n">
        <v>3251</v>
      </c>
      <c r="K137" s="20" t="n">
        <v>3777</v>
      </c>
      <c r="L137" s="20" t="n">
        <v>6684</v>
      </c>
      <c r="M137" s="20" t="n">
        <v>12273</v>
      </c>
      <c r="N137" s="20" t="n">
        <v>5831</v>
      </c>
      <c r="T137" s="20" t="n">
        <v>2334</v>
      </c>
      <c r="U137" s="20" t="n">
        <v>4465</v>
      </c>
      <c r="V137" s="20" t="n">
        <v>947</v>
      </c>
      <c r="W137" s="20" t="n">
        <v>8809</v>
      </c>
      <c r="X137" s="20" t="n">
        <v>6684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IF(OR(G137="",C137=""),"",IF(G137*C137&lt;=0,"",IFERROR(G137/C137-1,"")))</f>
        <v/>
      </c>
      <c r="H138" s="15">
        <f>IF(OR(H137="",D137=""),"",IF(H137*D137&lt;=0,"",IFERROR(H137/D137-1,"")))</f>
        <v/>
      </c>
      <c r="I138" s="15">
        <f>IF(OR(I137="",E137=""),"",IF(I137*E137&lt;=0,"",IFERROR(I137/E137-1,"")))</f>
        <v/>
      </c>
      <c r="J138" s="15">
        <f>IF(OR(J137="",F137=""),"",IF(J137*F137&lt;=0,"",IFERROR(J137/F137-1,"")))</f>
        <v/>
      </c>
      <c r="K138" s="15">
        <f>IF(OR(K137="",G137=""),"",IF(K137*G137&lt;=0,"",IFERROR(K137/G137-1,"")))</f>
        <v/>
      </c>
      <c r="L138" s="15">
        <f>IF(OR(L137="",H137=""),"",IF(L137*H137&lt;=0,"",IFERROR(L137/H137-1,"")))</f>
        <v/>
      </c>
      <c r="M138" s="15">
        <f>IF(OR(M137="",I137=""),"",IF(M137*I137&lt;=0,"",IFERROR(M137/I137-1,"")))</f>
        <v/>
      </c>
      <c r="N138" s="15">
        <f>IF(OR(N137="",J137=""),"",IF(N137*J137&lt;=0,"",IFERROR(N137/J137-1,"")))</f>
        <v/>
      </c>
      <c r="T138" s="15">
        <f>IF(OR(T137="",S137=""),"",IF(T137*S137&lt;=0,"",IFERROR(T137/S137-1,"")))</f>
        <v/>
      </c>
      <c r="U138" s="15">
        <f>IF(OR(U137="",T137=""),"",IF(U137*T137&lt;=0,"",IFERROR(U137/T137-1,"")))</f>
        <v/>
      </c>
      <c r="V138" s="15">
        <f>IF(OR(V137="",U137=""),"",IF(V137*U137&lt;=0,"",IFERROR(V137/U137-1,"")))</f>
        <v/>
      </c>
      <c r="W138" s="15">
        <f>IF(OR(W137="",V137=""),"",IF(W137*V137&lt;=0,"",IFERROR(W137/V137-1,"")))</f>
        <v/>
      </c>
      <c r="X138" s="15">
        <f>IF(OR(X137="",W137=""),"",IF(X137*W137&lt;=0,"",IFERROR(X137/W137-1,"")))</f>
        <v/>
      </c>
    </row>
    <row r="139">
      <c r="A139" s="9" t="inlineStr">
        <is>
          <t>순이익</t>
        </is>
      </c>
      <c r="C139" s="12" t="n">
        <v>9349</v>
      </c>
      <c r="D139" s="12" t="n">
        <v>8738</v>
      </c>
      <c r="E139" s="12" t="n">
        <v>9975</v>
      </c>
      <c r="F139" s="12" t="n">
        <v>5300</v>
      </c>
      <c r="G139" s="12" t="n">
        <v>7787</v>
      </c>
      <c r="H139" s="12" t="n">
        <v>25383</v>
      </c>
      <c r="I139" s="12" t="n">
        <v>17232</v>
      </c>
      <c r="J139" s="12" t="n">
        <v>10282</v>
      </c>
      <c r="K139" s="12" t="n">
        <v>11371</v>
      </c>
      <c r="L139" s="12" t="n">
        <v>15734</v>
      </c>
      <c r="M139" s="12" t="n">
        <v>29178</v>
      </c>
      <c r="N139" s="12" t="n">
        <v>13929</v>
      </c>
      <c r="T139" s="12" t="n">
        <v>5845</v>
      </c>
      <c r="U139" s="12" t="n">
        <v>13127</v>
      </c>
      <c r="V139" s="12" t="n">
        <v>8738</v>
      </c>
      <c r="W139" s="12" t="n">
        <v>25383</v>
      </c>
      <c r="X139" s="12" t="n">
        <v>15734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IF(OR(G139="",C139=""),"",IF(C139&lt;=0,"",IFERROR(G139/C139-1,"")))</f>
        <v/>
      </c>
      <c r="H140" s="15">
        <f>IF(OR(H139="",D139=""),"",IF(D139&lt;=0,"",IFERROR(H139/D139-1,"")))</f>
        <v/>
      </c>
      <c r="I140" s="15">
        <f>IF(OR(I139="",E139=""),"",IF(E139&lt;=0,"",IFERROR(I139/E139-1,"")))</f>
        <v/>
      </c>
      <c r="J140" s="15">
        <f>IF(OR(J139="",F139=""),"",IF(F139&lt;=0,"",IFERROR(J139/F139-1,"")))</f>
        <v/>
      </c>
      <c r="K140" s="15">
        <f>IF(OR(K139="",G139=""),"",IF(G139&lt;=0,"",IFERROR(K139/G139-1,"")))</f>
        <v/>
      </c>
      <c r="L140" s="15">
        <f>IF(OR(L139="",H139=""),"",IF(H139&lt;=0,"",IFERROR(L139/H139-1,"")))</f>
        <v/>
      </c>
      <c r="M140" s="15">
        <f>IF(OR(M139="",I139=""),"",IF(I139&lt;=0,"",IFERROR(M139/I139-1,"")))</f>
        <v/>
      </c>
      <c r="N140" s="15">
        <f>IF(OR(N139="",J139=""),"",IF(J139&lt;=0,"",IFERROR(N139/J139-1,"")))</f>
        <v/>
      </c>
      <c r="T140" s="15">
        <f>IF(OR(T139="",S139=""),"",IF(S139&lt;=0,"",IFERROR(T139/S139-1,"")))</f>
        <v/>
      </c>
      <c r="U140" s="15">
        <f>IF(OR(U139="",T139=""),"",IF(T139&lt;=0,"",IFERROR(U139/T139-1,"")))</f>
        <v/>
      </c>
      <c r="V140" s="15">
        <f>IF(OR(V139="",U139=""),"",IF(U139&lt;=0,"",IFERROR(V139/U139-1,"")))</f>
        <v/>
      </c>
      <c r="W140" s="15">
        <f>IF(OR(W139="",V139=""),"",IF(V139&lt;=0,"",IFERROR(W139/V139-1,"")))</f>
        <v/>
      </c>
      <c r="X140" s="15">
        <f>IF(OR(X139="",W139=""),"",IF(W139&lt;=0,"",IFERROR(X139/W139-1,"")))</f>
        <v/>
      </c>
    </row>
    <row r="141">
      <c r="A141" s="9" t="inlineStr">
        <is>
          <t>비지배주주 순이익</t>
        </is>
      </c>
      <c r="D141" s="12" t="n">
        <v>0</v>
      </c>
      <c r="E141" s="12" t="n">
        <v>0</v>
      </c>
      <c r="F141" s="12" t="n">
        <v>0</v>
      </c>
      <c r="G141" s="12" t="n">
        <v>-3</v>
      </c>
      <c r="H141" s="12" t="n">
        <v>-4</v>
      </c>
      <c r="I141" s="12" t="n">
        <v>-6</v>
      </c>
      <c r="J141" s="12" t="n">
        <v>6</v>
      </c>
      <c r="K141" s="12" t="n">
        <v>0</v>
      </c>
      <c r="L141" s="12" t="n">
        <v>31</v>
      </c>
      <c r="M141" s="12" t="n">
        <v>19</v>
      </c>
      <c r="N141" s="12" t="n">
        <v>5</v>
      </c>
      <c r="V141" s="12" t="n">
        <v>0</v>
      </c>
      <c r="W141" s="12" t="n">
        <v>-4</v>
      </c>
      <c r="X141" s="12" t="n">
        <v>31</v>
      </c>
    </row>
    <row r="142">
      <c r="A142" s="9" t="inlineStr">
        <is>
          <t>지배주주 순이익</t>
        </is>
      </c>
      <c r="C142" s="12" t="n">
        <v>9349</v>
      </c>
      <c r="D142" s="12" t="n">
        <v>8738</v>
      </c>
      <c r="E142" s="12" t="n">
        <v>9975</v>
      </c>
      <c r="F142" s="12" t="n">
        <v>5300</v>
      </c>
      <c r="G142" s="12" t="n">
        <v>7791</v>
      </c>
      <c r="H142" s="12" t="n">
        <v>25387</v>
      </c>
      <c r="I142" s="12" t="n">
        <v>17238</v>
      </c>
      <c r="J142" s="12" t="n">
        <v>10276</v>
      </c>
      <c r="K142" s="12" t="n">
        <v>11371</v>
      </c>
      <c r="L142" s="12" t="n">
        <v>15702</v>
      </c>
      <c r="M142" s="12" t="n">
        <v>29159</v>
      </c>
      <c r="N142" s="12" t="n">
        <v>13924</v>
      </c>
      <c r="T142" s="12" t="n">
        <v>5845</v>
      </c>
      <c r="U142" s="12" t="n">
        <v>13127</v>
      </c>
      <c r="V142" s="12" t="n">
        <v>8738</v>
      </c>
      <c r="W142" s="12" t="n">
        <v>25387</v>
      </c>
      <c r="X142" s="12" t="n">
        <v>15702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IF(OR(G142="",C142=""),"",IF(C142&lt;=0,"",IFERROR(G142/C142-1,"")))</f>
        <v/>
      </c>
      <c r="H143" s="15">
        <f>IF(OR(H142="",D142=""),"",IF(D142&lt;=0,"",IFERROR(H142/D142-1,"")))</f>
        <v/>
      </c>
      <c r="I143" s="15">
        <f>IF(OR(I142="",E142=""),"",IF(E142&lt;=0,"",IFERROR(I142/E142-1,"")))</f>
        <v/>
      </c>
      <c r="J143" s="15">
        <f>IF(OR(J142="",F142=""),"",IF(F142&lt;=0,"",IFERROR(J142/F142-1,"")))</f>
        <v/>
      </c>
      <c r="K143" s="15">
        <f>IF(OR(K142="",G142=""),"",IF(G142&lt;=0,"",IFERROR(K142/G142-1,"")))</f>
        <v/>
      </c>
      <c r="L143" s="15">
        <f>IF(OR(L142="",H142=""),"",IF(H142&lt;=0,"",IFERROR(L142/H142-1,"")))</f>
        <v/>
      </c>
      <c r="M143" s="15">
        <f>IF(OR(M142="",I142=""),"",IF(I142&lt;=0,"",IFERROR(M142/I142-1,"")))</f>
        <v/>
      </c>
      <c r="N143" s="15">
        <f>IF(OR(N142="",J142=""),"",IF(J142&lt;=0,"",IFERROR(N142/J142-1,"")))</f>
        <v/>
      </c>
      <c r="T143" s="15">
        <f>IF(OR(T142="",S142=""),"",IF(S142&lt;=0,"",IFERROR(T142/S142-1,"")))</f>
        <v/>
      </c>
      <c r="U143" s="15">
        <f>IF(OR(U142="",T142=""),"",IF(T142&lt;=0,"",IFERROR(U142/T142-1,"")))</f>
        <v/>
      </c>
      <c r="V143" s="15">
        <f>IF(OR(V142="",U142=""),"",IF(U142&lt;=0,"",IFERROR(V142/U142-1,"")))</f>
        <v/>
      </c>
      <c r="W143" s="15">
        <f>IF(OR(W142="",V142=""),"",IF(V142&lt;=0,"",IFERROR(W142/V142-1,"")))</f>
        <v/>
      </c>
      <c r="X143" s="15">
        <f>IF(OR(X142="",W142=""),"",IF(W142&lt;=0,"",IFERROR(X142/W142-1,"")))</f>
        <v/>
      </c>
    </row>
    <row r="145">
      <c r="A145" s="16" t="inlineStr">
        <is>
          <t>포괄손익 · 전 항목</t>
        </is>
      </c>
      <c r="B145" s="42" t="inlineStr">
        <is>
          <t>분기 = 3개월 단독</t>
        </is>
      </c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</row>
    <row r="146">
      <c r="A146" s="5" t="inlineStr">
        <is>
          <t>항목</t>
        </is>
      </c>
      <c r="B146" s="5" t="inlineStr">
        <is>
          <t>참고</t>
        </is>
      </c>
      <c r="C146" s="5" t="inlineStr">
        <is>
          <t>2024.3Q</t>
        </is>
      </c>
      <c r="D146" s="5" t="inlineStr">
        <is>
          <t>2024.4Q</t>
        </is>
      </c>
      <c r="E146" s="5" t="inlineStr">
        <is>
          <t>2025.1Q</t>
        </is>
      </c>
      <c r="F146" s="5" t="inlineStr">
        <is>
          <t>2025.2Q</t>
        </is>
      </c>
      <c r="G146" s="5" t="inlineStr">
        <is>
          <t>2025.3Q</t>
        </is>
      </c>
      <c r="H146" s="5" t="inlineStr">
        <is>
          <t>2025.4Q</t>
        </is>
      </c>
      <c r="I146" s="5" t="inlineStr">
        <is>
          <t>2026.1Q</t>
        </is>
      </c>
      <c r="J146" s="5" t="inlineStr">
        <is>
          <t>2026.2Q</t>
        </is>
      </c>
      <c r="K146" s="5" t="inlineStr">
        <is>
          <t>2026.3Q</t>
        </is>
      </c>
      <c r="L146" s="5" t="inlineStr">
        <is>
          <t>2026.4Q</t>
        </is>
      </c>
      <c r="M146" s="5" t="inlineStr">
        <is>
          <t>2027.1Q</t>
        </is>
      </c>
      <c r="N146" s="5" t="inlineStr">
        <is>
          <t>2027.2Q</t>
        </is>
      </c>
      <c r="O146" s="5" t="inlineStr">
        <is>
          <t>2017</t>
        </is>
      </c>
      <c r="P146" s="5" t="inlineStr">
        <is>
          <t>2018</t>
        </is>
      </c>
      <c r="Q146" s="5" t="inlineStr">
        <is>
          <t>2019</t>
        </is>
      </c>
      <c r="R146" s="5" t="inlineStr">
        <is>
          <t>2020</t>
        </is>
      </c>
      <c r="S146" s="5" t="inlineStr">
        <is>
          <t>2021</t>
        </is>
      </c>
      <c r="T146" s="5" t="inlineStr">
        <is>
          <t>2022</t>
        </is>
      </c>
      <c r="U146" s="5" t="inlineStr">
        <is>
          <t>2023</t>
        </is>
      </c>
      <c r="V146" s="5" t="inlineStr">
        <is>
          <t>2024</t>
        </is>
      </c>
      <c r="W146" s="5" t="inlineStr">
        <is>
          <t>2025</t>
        </is>
      </c>
      <c r="X146" s="5" t="inlineStr">
        <is>
          <t>2026</t>
        </is>
      </c>
      <c r="Y146" s="5" t="inlineStr">
        <is>
          <t>2027(MW)</t>
        </is>
      </c>
      <c r="Z146" s="5" t="inlineStr">
        <is>
          <t>2028(MW)</t>
        </is>
      </c>
      <c r="AA146" s="5" t="inlineStr">
        <is>
          <t>2029(MW)</t>
        </is>
      </c>
      <c r="AB146" s="5" t="inlineStr">
        <is>
          <t>2030(MW)</t>
        </is>
      </c>
      <c r="AC146" s="5" t="inlineStr">
        <is>
          <t>2031(MW)</t>
        </is>
      </c>
    </row>
    <row r="147">
      <c r="A147" s="9" t="inlineStr">
        <is>
          <t>순이익</t>
        </is>
      </c>
      <c r="C147" s="12" t="n">
        <v>9349</v>
      </c>
      <c r="D147" s="12" t="n">
        <v>8738</v>
      </c>
      <c r="E147" s="12" t="n">
        <v>9975</v>
      </c>
      <c r="F147" s="12" t="n">
        <v>5300</v>
      </c>
      <c r="G147" s="12" t="n">
        <v>7787</v>
      </c>
      <c r="H147" s="12" t="n">
        <v>25383</v>
      </c>
      <c r="I147" s="12" t="n">
        <v>17232</v>
      </c>
      <c r="J147" s="12" t="n">
        <v>10282</v>
      </c>
      <c r="K147" s="12" t="n">
        <v>11371</v>
      </c>
      <c r="L147" s="12" t="n">
        <v>15734</v>
      </c>
      <c r="M147" s="12" t="n">
        <v>29178</v>
      </c>
      <c r="N147" s="12" t="n">
        <v>13929</v>
      </c>
      <c r="T147" s="12" t="n">
        <v>5845</v>
      </c>
      <c r="U147" s="12" t="n">
        <v>13127</v>
      </c>
      <c r="V147" s="12" t="n">
        <v>8738</v>
      </c>
      <c r="W147" s="12" t="n">
        <v>25383</v>
      </c>
      <c r="X147" s="12" t="n">
        <v>15734</v>
      </c>
    </row>
    <row r="148">
      <c r="A148" s="18" t="inlineStr">
        <is>
          <t>기타유가증권 평가차액</t>
        </is>
      </c>
      <c r="C148" s="20" t="n">
        <v>-370</v>
      </c>
      <c r="D148" s="20" t="n">
        <v>42</v>
      </c>
      <c r="E148" s="20" t="n">
        <v>0</v>
      </c>
      <c r="F148" s="20" t="n">
        <v>0</v>
      </c>
      <c r="G148" s="20" t="n">
        <v>0</v>
      </c>
      <c r="H148" s="20" t="n">
        <v>0</v>
      </c>
      <c r="T148" s="20" t="n">
        <v>64</v>
      </c>
      <c r="U148" s="20" t="n">
        <v>-80</v>
      </c>
      <c r="V148" s="20" t="n">
        <v>42</v>
      </c>
      <c r="W148" s="20" t="n">
        <v>0</v>
      </c>
    </row>
    <row r="149">
      <c r="A149" s="18" t="inlineStr">
        <is>
          <t>이연헤지손익</t>
        </is>
      </c>
      <c r="I149" s="20" t="n">
        <v>0</v>
      </c>
      <c r="J149" s="20" t="n">
        <v>0</v>
      </c>
      <c r="K149" s="20" t="n">
        <v>-418</v>
      </c>
      <c r="M149" s="20" t="n">
        <v>-269</v>
      </c>
      <c r="N149" s="20" t="n">
        <v>279</v>
      </c>
    </row>
    <row r="150">
      <c r="A150" s="18" t="inlineStr">
        <is>
          <t>해외사업환산조정</t>
        </is>
      </c>
      <c r="C150" s="20" t="n">
        <v>-1864</v>
      </c>
      <c r="D150" s="20" t="n">
        <v>2513</v>
      </c>
      <c r="E150" s="20" t="n">
        <v>2729</v>
      </c>
      <c r="F150" s="20" t="n">
        <v>-5038</v>
      </c>
      <c r="G150" s="20" t="n">
        <v>4026</v>
      </c>
      <c r="H150" s="20" t="n">
        <v>-2313</v>
      </c>
      <c r="I150" s="20" t="n">
        <v>-646</v>
      </c>
      <c r="J150" s="20" t="n">
        <v>1263</v>
      </c>
      <c r="K150" s="20" t="n">
        <v>2530</v>
      </c>
      <c r="L150" s="20" t="n">
        <v>736</v>
      </c>
      <c r="M150" s="20" t="n">
        <v>787</v>
      </c>
      <c r="N150" s="20" t="n">
        <v>-1840</v>
      </c>
      <c r="T150" s="20" t="n">
        <v>1631</v>
      </c>
      <c r="U150" s="20" t="n">
        <v>353</v>
      </c>
      <c r="V150" s="20" t="n">
        <v>2513</v>
      </c>
      <c r="W150" s="20" t="n">
        <v>-2313</v>
      </c>
      <c r="X150" s="20" t="n">
        <v>736</v>
      </c>
    </row>
    <row r="151">
      <c r="A151" s="18" t="inlineStr">
        <is>
          <t>퇴직급여 조정액</t>
        </is>
      </c>
      <c r="C151" s="20" t="n">
        <v>11</v>
      </c>
      <c r="D151" s="20" t="n">
        <v>36</v>
      </c>
      <c r="E151" s="20" t="n">
        <v>-24</v>
      </c>
      <c r="F151" s="20" t="n">
        <v>10</v>
      </c>
      <c r="G151" s="20" t="n">
        <v>11</v>
      </c>
      <c r="H151" s="20" t="n">
        <v>-3</v>
      </c>
      <c r="I151" s="20" t="n">
        <v>10</v>
      </c>
      <c r="J151" s="20" t="n">
        <v>10</v>
      </c>
      <c r="K151" s="20" t="n">
        <v>11</v>
      </c>
      <c r="L151" s="20" t="n">
        <v>498</v>
      </c>
      <c r="M151" s="20" t="n">
        <v>-1</v>
      </c>
      <c r="N151" s="20" t="n">
        <v>-2</v>
      </c>
      <c r="T151" s="20" t="n">
        <v>-83</v>
      </c>
      <c r="U151" s="20" t="n">
        <v>4</v>
      </c>
      <c r="V151" s="20" t="n">
        <v>36</v>
      </c>
      <c r="W151" s="20" t="n">
        <v>-3</v>
      </c>
      <c r="X151" s="20" t="n">
        <v>498</v>
      </c>
    </row>
    <row r="152">
      <c r="A152" s="18" t="inlineStr">
        <is>
          <t>기타포괄손익 합계</t>
        </is>
      </c>
      <c r="C152" s="20" t="n">
        <v>-2224</v>
      </c>
      <c r="D152" s="20" t="n">
        <v>2591</v>
      </c>
      <c r="E152" s="20" t="n">
        <v>2705</v>
      </c>
      <c r="F152" s="20" t="n">
        <v>-5028</v>
      </c>
      <c r="G152" s="20" t="n">
        <v>4036</v>
      </c>
      <c r="H152" s="20" t="n">
        <v>-2315</v>
      </c>
      <c r="I152" s="20" t="n">
        <v>-635</v>
      </c>
      <c r="J152" s="20" t="n">
        <v>1273</v>
      </c>
      <c r="K152" s="20" t="n">
        <v>2122</v>
      </c>
      <c r="L152" s="20" t="n">
        <v>1652</v>
      </c>
      <c r="M152" s="20" t="n">
        <v>516</v>
      </c>
      <c r="N152" s="20" t="n">
        <v>-1562</v>
      </c>
      <c r="T152" s="20" t="n">
        <v>1613</v>
      </c>
      <c r="U152" s="20" t="n">
        <v>285</v>
      </c>
      <c r="V152" s="20" t="n">
        <v>2591</v>
      </c>
      <c r="W152" s="20" t="n">
        <v>-2315</v>
      </c>
      <c r="X152" s="20" t="n">
        <v>1652</v>
      </c>
    </row>
    <row r="153">
      <c r="A153" s="9" t="inlineStr">
        <is>
          <t>포괄이익</t>
        </is>
      </c>
      <c r="C153" s="12" t="n">
        <v>7124</v>
      </c>
      <c r="D153" s="12" t="n">
        <v>11330</v>
      </c>
      <c r="E153" s="12" t="n">
        <v>12680</v>
      </c>
      <c r="F153" s="12" t="n">
        <v>272</v>
      </c>
      <c r="G153" s="12" t="n">
        <v>11824</v>
      </c>
      <c r="H153" s="12" t="n">
        <v>23067</v>
      </c>
      <c r="I153" s="12" t="n">
        <v>16596</v>
      </c>
      <c r="J153" s="12" t="n">
        <v>11556</v>
      </c>
      <c r="K153" s="12" t="n">
        <v>13494</v>
      </c>
      <c r="L153" s="12" t="n">
        <v>17386</v>
      </c>
      <c r="M153" s="12" t="n">
        <v>29694</v>
      </c>
      <c r="N153" s="12" t="n">
        <v>12367</v>
      </c>
      <c r="T153" s="12" t="n">
        <v>7459</v>
      </c>
      <c r="U153" s="12" t="n">
        <v>13412</v>
      </c>
      <c r="V153" s="12" t="n">
        <v>11330</v>
      </c>
      <c r="W153" s="12" t="n">
        <v>23067</v>
      </c>
      <c r="X153" s="12" t="n">
        <v>17386</v>
      </c>
    </row>
    <row r="154">
      <c r="A154" s="9" t="inlineStr">
        <is>
          <t>지배주주 포괄이익</t>
        </is>
      </c>
      <c r="C154" s="12" t="n">
        <v>7124</v>
      </c>
      <c r="D154" s="12" t="n">
        <v>11330</v>
      </c>
      <c r="E154" s="12" t="n">
        <v>12680</v>
      </c>
      <c r="F154" s="12" t="n">
        <v>272</v>
      </c>
      <c r="G154" s="12" t="n">
        <v>11828</v>
      </c>
      <c r="H154" s="12" t="n">
        <v>23073</v>
      </c>
      <c r="I154" s="12" t="n">
        <v>16596</v>
      </c>
      <c r="J154" s="12" t="n">
        <v>11556</v>
      </c>
      <c r="K154" s="12" t="n">
        <v>13494</v>
      </c>
      <c r="L154" s="12" t="n">
        <v>17350</v>
      </c>
      <c r="M154" s="12" t="n">
        <v>29673</v>
      </c>
      <c r="N154" s="12" t="n">
        <v>12365</v>
      </c>
      <c r="T154" s="12" t="n">
        <v>7459</v>
      </c>
      <c r="U154" s="12" t="n">
        <v>13412</v>
      </c>
      <c r="V154" s="12" t="n">
        <v>11330</v>
      </c>
      <c r="W154" s="12" t="n">
        <v>23073</v>
      </c>
      <c r="X154" s="12" t="n">
        <v>17350</v>
      </c>
    </row>
    <row r="155">
      <c r="A155" s="9" t="inlineStr">
        <is>
          <t>비지배주주 포괄이익</t>
        </is>
      </c>
      <c r="C155" s="12" t="n">
        <v>0</v>
      </c>
      <c r="D155" s="12" t="n">
        <v>0</v>
      </c>
      <c r="E155" s="12" t="n">
        <v>0</v>
      </c>
      <c r="F155" s="12" t="n">
        <v>0</v>
      </c>
      <c r="G155" s="12" t="n">
        <v>-4</v>
      </c>
      <c r="H155" s="12" t="n">
        <v>-5</v>
      </c>
      <c r="I155" s="12" t="n">
        <v>0</v>
      </c>
      <c r="J155" s="12" t="n">
        <v>0</v>
      </c>
      <c r="K155" s="12" t="n">
        <v>0</v>
      </c>
      <c r="L155" s="12" t="n">
        <v>36</v>
      </c>
      <c r="M155" s="12" t="n">
        <v>21</v>
      </c>
      <c r="N155" s="12" t="n">
        <v>1</v>
      </c>
      <c r="T155" s="12" t="n">
        <v>0</v>
      </c>
      <c r="U155" s="12" t="n">
        <v>0</v>
      </c>
      <c r="V155" s="12" t="n">
        <v>0</v>
      </c>
      <c r="W155" s="12" t="n">
        <v>-5</v>
      </c>
      <c r="X155" s="12" t="n">
        <v>36</v>
      </c>
    </row>
    <row r="157">
      <c r="A157" s="16" t="inlineStr">
        <is>
          <t>부문 · 전 항목</t>
        </is>
      </c>
      <c r="B157" s="42" t="inlineStr">
        <is>
          <t>부문 · 항목</t>
        </is>
      </c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  <c r="AA157" s="16" t="n"/>
      <c r="AB157" s="16" t="n"/>
      <c r="AC157" s="16" t="n"/>
    </row>
    <row r="158">
      <c r="A158" s="5" t="inlineStr">
        <is>
          <t>항목</t>
        </is>
      </c>
      <c r="B158" s="5" t="inlineStr">
        <is>
          <t>참고</t>
        </is>
      </c>
      <c r="C158" s="5" t="inlineStr">
        <is>
          <t>2024.3Q</t>
        </is>
      </c>
      <c r="D158" s="5" t="inlineStr">
        <is>
          <t>2024.4Q</t>
        </is>
      </c>
      <c r="E158" s="5" t="inlineStr">
        <is>
          <t>2025.1Q</t>
        </is>
      </c>
      <c r="F158" s="5" t="inlineStr">
        <is>
          <t>2025.2Q</t>
        </is>
      </c>
      <c r="G158" s="5" t="inlineStr">
        <is>
          <t>2025.3Q</t>
        </is>
      </c>
      <c r="H158" s="5" t="inlineStr">
        <is>
          <t>2025.4Q</t>
        </is>
      </c>
      <c r="I158" s="5" t="inlineStr">
        <is>
          <t>2026.1Q</t>
        </is>
      </c>
      <c r="J158" s="5" t="inlineStr">
        <is>
          <t>2026.2Q</t>
        </is>
      </c>
      <c r="K158" s="5" t="inlineStr">
        <is>
          <t>2026.3Q</t>
        </is>
      </c>
      <c r="L158" s="5" t="inlineStr">
        <is>
          <t>2026.4Q</t>
        </is>
      </c>
      <c r="M158" s="5" t="inlineStr">
        <is>
          <t>2027.1Q</t>
        </is>
      </c>
      <c r="N158" s="5" t="inlineStr">
        <is>
          <t>2027.2Q</t>
        </is>
      </c>
      <c r="O158" s="5" t="inlineStr">
        <is>
          <t>2017</t>
        </is>
      </c>
      <c r="P158" s="5" t="inlineStr">
        <is>
          <t>2018</t>
        </is>
      </c>
      <c r="Q158" s="5" t="inlineStr">
        <is>
          <t>2019</t>
        </is>
      </c>
      <c r="R158" s="5" t="inlineStr">
        <is>
          <t>2020</t>
        </is>
      </c>
      <c r="S158" s="5" t="inlineStr">
        <is>
          <t>2021</t>
        </is>
      </c>
      <c r="T158" s="5" t="inlineStr">
        <is>
          <t>2022</t>
        </is>
      </c>
      <c r="U158" s="5" t="inlineStr">
        <is>
          <t>2023</t>
        </is>
      </c>
      <c r="V158" s="5" t="inlineStr">
        <is>
          <t>2024</t>
        </is>
      </c>
      <c r="W158" s="5" t="inlineStr">
        <is>
          <t>2025</t>
        </is>
      </c>
      <c r="X158" s="5" t="inlineStr">
        <is>
          <t>2026</t>
        </is>
      </c>
      <c r="Y158" s="5" t="inlineStr">
        <is>
          <t>2027(MW)</t>
        </is>
      </c>
      <c r="Z158" s="5" t="inlineStr">
        <is>
          <t>2028(MW)</t>
        </is>
      </c>
      <c r="AA158" s="5" t="inlineStr">
        <is>
          <t>2029(MW)</t>
        </is>
      </c>
      <c r="AB158" s="5" t="inlineStr">
        <is>
          <t>2030(MW)</t>
        </is>
      </c>
      <c r="AC158" s="5" t="inlineStr">
        <is>
          <t>2031(MW)</t>
        </is>
      </c>
    </row>
    <row r="159">
      <c r="A159" s="18" t="inlineStr">
        <is>
          <t>DegitalContentsReportableSegmentMember · 외부 고객 매출</t>
        </is>
      </c>
      <c r="C159" s="20" t="n">
        <v>20161</v>
      </c>
      <c r="D159" s="20" t="n">
        <v>38405</v>
      </c>
      <c r="E159" s="20" t="n">
        <v>21416</v>
      </c>
      <c r="F159" s="20" t="n">
        <v>18359</v>
      </c>
      <c r="G159" s="20" t="n">
        <v>18759</v>
      </c>
      <c r="H159" s="20" t="n">
        <v>66594</v>
      </c>
      <c r="I159" s="20" t="n">
        <v>29857</v>
      </c>
      <c r="J159" s="20" t="n">
        <v>19995</v>
      </c>
      <c r="K159" s="20" t="n">
        <v>23559</v>
      </c>
      <c r="L159" s="20" t="n">
        <v>70866</v>
      </c>
      <c r="M159" s="20" t="n">
        <v>54648</v>
      </c>
      <c r="N159" s="20" t="n">
        <v>30493</v>
      </c>
      <c r="V159" s="20" t="n">
        <v>38405</v>
      </c>
      <c r="W159" s="20" t="n">
        <v>66594</v>
      </c>
      <c r="X159" s="20" t="n">
        <v>70866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I160" s="15">
        <f>IF(OR(I159="",E159=""),"",IF(E159&lt;=0,"",IFERROR(I159/E159-1,"")))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L160" s="15">
        <f>IF(OR(L159="",H159=""),"",IF(H159&lt;=0,"",IFERROR(L159/H159-1,"")))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18" t="inlineStr">
        <is>
          <t>ArcadeOperationsReportableSegmentMember · 외부 고객 매출</t>
        </is>
      </c>
      <c r="C161" s="20" t="n">
        <v>4678</v>
      </c>
      <c r="D161" s="20" t="n">
        <v>5496</v>
      </c>
      <c r="E161" s="20" t="n">
        <v>4864</v>
      </c>
      <c r="F161" s="20" t="n">
        <v>6127</v>
      </c>
      <c r="G161" s="20" t="n">
        <v>5561</v>
      </c>
      <c r="H161" s="20" t="n">
        <v>6198</v>
      </c>
      <c r="I161" s="20" t="n">
        <v>5606</v>
      </c>
      <c r="J161" s="20" t="n">
        <v>6844</v>
      </c>
      <c r="K161" s="20" t="n">
        <v>6131</v>
      </c>
      <c r="L161" s="20" t="n">
        <v>7075</v>
      </c>
      <c r="M161" s="20" t="n">
        <v>6762</v>
      </c>
      <c r="N161" s="20" t="n">
        <v>8947</v>
      </c>
      <c r="V161" s="20" t="n">
        <v>5496</v>
      </c>
      <c r="W161" s="20" t="n">
        <v>6198</v>
      </c>
      <c r="X161" s="20" t="n">
        <v>7075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AmusementEquipmentsReportableSegmentMember · 외부 고객 매출</t>
        </is>
      </c>
      <c r="C163" s="20" t="n">
        <v>5422</v>
      </c>
      <c r="D163" s="20" t="n">
        <v>1000</v>
      </c>
      <c r="E163" s="20" t="n">
        <v>2220</v>
      </c>
      <c r="F163" s="20" t="n">
        <v>956</v>
      </c>
      <c r="G163" s="20" t="n">
        <v>7066</v>
      </c>
      <c r="H163" s="20" t="n">
        <v>5371</v>
      </c>
      <c r="I163" s="20" t="n">
        <v>7812</v>
      </c>
      <c r="J163" s="20" t="n">
        <v>7379</v>
      </c>
      <c r="K163" s="20" t="n">
        <v>2575</v>
      </c>
      <c r="L163" s="20" t="n">
        <v>14</v>
      </c>
      <c r="M163" s="20" t="n">
        <v>7097</v>
      </c>
      <c r="N163" s="20" t="n">
        <v>9452</v>
      </c>
      <c r="V163" s="20" t="n">
        <v>1000</v>
      </c>
      <c r="W163" s="20" t="n">
        <v>5371</v>
      </c>
      <c r="X163" s="20" t="n">
        <v>14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IF(OR(G163="",C163=""),"",IF(C163&lt;=0,"",IFERROR(G163/C163-1,"")))</f>
        <v/>
      </c>
      <c r="H164" s="15">
        <f>IF(OR(H163="",D163=""),"",IF(D163&lt;=0,"",IFERROR(H163/D163-1,"")))</f>
        <v/>
      </c>
      <c r="I164" s="15">
        <f>IF(OR(I163="",E163=""),"",IF(E163&lt;=0,"",IFERROR(I163/E163-1,"")))</f>
        <v/>
      </c>
      <c r="J164" s="15">
        <f>IF(OR(J163="",F163=""),"",IF(F163&lt;=0,"",IFERROR(J163/F163-1,"")))</f>
        <v/>
      </c>
      <c r="K164" s="15">
        <f>IF(OR(K163="",G163=""),"",IF(G163&lt;=0,"",IFERROR(K163/G163-1,"")))</f>
        <v/>
      </c>
      <c r="L164" s="15">
        <f>IF(OR(L163="",H163=""),"",IF(H163&lt;=0,"",IFERROR(L163/H163-1,"")))</f>
        <v/>
      </c>
      <c r="M164" s="15">
        <f>IF(OR(M163="",I163=""),"",IF(I163&lt;=0,"",IFERROR(M163/I163-1,"")))</f>
        <v/>
      </c>
      <c r="N164" s="15">
        <f>IF(OR(N163="",J163=""),"",IF(J163&lt;=0,"",IFERROR(N163/J163-1,"")))</f>
        <v/>
      </c>
      <c r="V164" s="15">
        <f>IF(OR(V163="",U163=""),"",IF(U163&lt;=0,"",IFERROR(V163/U163-1,"")))</f>
        <v/>
      </c>
      <c r="W164" s="15">
        <f>IF(OR(W163="",V163=""),"",IF(V163&lt;=0,"",IFERROR(W163/V163-1,"")))</f>
        <v/>
      </c>
      <c r="X164" s="15">
        <f>IF(OR(X163="",W163=""),"",IF(W163&lt;=0,"",IFERROR(X163/W163-1,"")))</f>
        <v/>
      </c>
    </row>
    <row r="165">
      <c r="A165" s="18" t="inlineStr">
        <is>
          <t>보고부문 합계 · 외부 고객 매출</t>
        </is>
      </c>
      <c r="C165" s="20" t="n">
        <v>30261</v>
      </c>
      <c r="D165" s="20" t="n">
        <v>44902</v>
      </c>
      <c r="E165" s="20" t="n">
        <v>28500</v>
      </c>
      <c r="F165" s="20" t="n">
        <v>25443</v>
      </c>
      <c r="G165" s="20" t="n">
        <v>31386</v>
      </c>
      <c r="H165" s="20" t="n">
        <v>78163</v>
      </c>
      <c r="I165" s="20" t="n">
        <v>43276</v>
      </c>
      <c r="J165" s="20" t="n">
        <v>34218</v>
      </c>
      <c r="K165" s="20" t="n">
        <v>32265</v>
      </c>
      <c r="L165" s="20" t="n">
        <v>77955</v>
      </c>
      <c r="M165" s="20" t="n">
        <v>68508</v>
      </c>
      <c r="N165" s="20" t="n">
        <v>48892</v>
      </c>
      <c r="V165" s="20" t="n">
        <v>44902</v>
      </c>
      <c r="W165" s="20" t="n">
        <v>78163</v>
      </c>
      <c r="X165" s="20" t="n">
        <v>77955</v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IF(OR(G165="",C165=""),"",IF(C165&lt;=0,"",IFERROR(G165/C165-1,"")))</f>
        <v/>
      </c>
      <c r="H166" s="15">
        <f>IF(OR(H165="",D165=""),"",IF(D165&lt;=0,"",IFERROR(H165/D165-1,"")))</f>
        <v/>
      </c>
      <c r="I166" s="15">
        <f>IF(OR(I165="",E165=""),"",IF(E165&lt;=0,"",IFERROR(I165/E165-1,"")))</f>
        <v/>
      </c>
      <c r="J166" s="15">
        <f>IF(OR(J165="",F165=""),"",IF(F165&lt;=0,"",IFERROR(J165/F165-1,"")))</f>
        <v/>
      </c>
      <c r="K166" s="15">
        <f>IF(OR(K165="",G165=""),"",IF(G165&lt;=0,"",IFERROR(K165/G165-1,"")))</f>
        <v/>
      </c>
      <c r="L166" s="15">
        <f>IF(OR(L165="",H165=""),"",IF(H165&lt;=0,"",IFERROR(L165/H165-1,"")))</f>
        <v/>
      </c>
      <c r="M166" s="15">
        <f>IF(OR(M165="",I165=""),"",IF(I165&lt;=0,"",IFERROR(M165/I165-1,"")))</f>
        <v/>
      </c>
      <c r="N166" s="15">
        <f>IF(OR(N165="",J165=""),"",IF(J165&lt;=0,"",IFERROR(N165/J165-1,"")))</f>
        <v/>
      </c>
      <c r="V166" s="15">
        <f>IF(OR(V165="",U165=""),"",IF(U165&lt;=0,"",IFERROR(V165/U165-1,"")))</f>
        <v/>
      </c>
      <c r="W166" s="15">
        <f>IF(OR(W165="",V165=""),"",IF(V165&lt;=0,"",IFERROR(W165/V165-1,"")))</f>
        <v/>
      </c>
      <c r="X166" s="15">
        <f>IF(OR(X165="",W165=""),"",IF(W165&lt;=0,"",IFERROR(X165/W165-1,"")))</f>
        <v/>
      </c>
    </row>
    <row r="167">
      <c r="A167" s="18" t="inlineStr">
        <is>
          <t>기타 · 외부 고객 매출</t>
        </is>
      </c>
      <c r="C167" s="20" t="n">
        <v>984</v>
      </c>
      <c r="D167" s="20" t="n">
        <v>1329</v>
      </c>
      <c r="E167" s="20" t="n">
        <v>1097</v>
      </c>
      <c r="F167" s="20" t="n">
        <v>1362</v>
      </c>
      <c r="G167" s="20" t="n">
        <v>1065</v>
      </c>
      <c r="H167" s="20" t="n">
        <v>2587</v>
      </c>
      <c r="I167" s="20" t="n">
        <v>2226</v>
      </c>
      <c r="J167" s="20" t="n">
        <v>1431</v>
      </c>
      <c r="K167" s="20" t="n">
        <v>1899</v>
      </c>
      <c r="L167" s="20" t="n">
        <v>2094</v>
      </c>
      <c r="M167" s="20" t="n">
        <v>1902</v>
      </c>
      <c r="N167" s="20" t="n">
        <v>1584</v>
      </c>
      <c r="V167" s="20" t="n">
        <v>1329</v>
      </c>
      <c r="W167" s="20" t="n">
        <v>2587</v>
      </c>
      <c r="X167" s="20" t="n">
        <v>2094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IF(OR(G167="",C167=""),"",IF(C167&lt;=0,"",IFERROR(G167/C167-1,"")))</f>
        <v/>
      </c>
      <c r="H168" s="15">
        <f>IF(OR(H167="",D167=""),"",IF(D167&lt;=0,"",IFERROR(H167/D167-1,"")))</f>
        <v/>
      </c>
      <c r="I168" s="15">
        <f>IF(OR(I167="",E167=""),"",IF(E167&lt;=0,"",IFERROR(I167/E167-1,"")))</f>
        <v/>
      </c>
      <c r="J168" s="15">
        <f>IF(OR(J167="",F167=""),"",IF(F167&lt;=0,"",IFERROR(J167/F167-1,"")))</f>
        <v/>
      </c>
      <c r="K168" s="15">
        <f>IF(OR(K167="",G167=""),"",IF(G167&lt;=0,"",IFERROR(K167/G167-1,"")))</f>
        <v/>
      </c>
      <c r="L168" s="15">
        <f>IF(OR(L167="",H167=""),"",IF(H167&lt;=0,"",IFERROR(L167/H167-1,"")))</f>
        <v/>
      </c>
      <c r="M168" s="15">
        <f>IF(OR(M167="",I167=""),"",IF(I167&lt;=0,"",IFERROR(M167/I167-1,"")))</f>
        <v/>
      </c>
      <c r="N168" s="15">
        <f>IF(OR(N167="",J167=""),"",IF(J167&lt;=0,"",IFERROR(N167/J167-1,"")))</f>
        <v/>
      </c>
      <c r="V168" s="15">
        <f>IF(OR(V167="",U167=""),"",IF(U167&lt;=0,"",IFERROR(V167/U167-1,"")))</f>
        <v/>
      </c>
      <c r="W168" s="15">
        <f>IF(OR(W167="",V167=""),"",IF(V167&lt;=0,"",IFERROR(W167/V167-1,"")))</f>
        <v/>
      </c>
      <c r="X168" s="15">
        <f>IF(OR(X167="",W167=""),"",IF(W167&lt;=0,"",IFERROR(X167/W167-1,"")))</f>
        <v/>
      </c>
    </row>
    <row r="169">
      <c r="A169" s="18" t="inlineStr">
        <is>
          <t>합계 · 외부 고객 매출</t>
        </is>
      </c>
      <c r="C169" s="20" t="n">
        <v>31245</v>
      </c>
      <c r="D169" s="20" t="n">
        <v>46231</v>
      </c>
      <c r="E169" s="20" t="n">
        <v>29597</v>
      </c>
      <c r="F169" s="20" t="n">
        <v>26805</v>
      </c>
      <c r="G169" s="20" t="n">
        <v>32451</v>
      </c>
      <c r="H169" s="20" t="n">
        <v>80751</v>
      </c>
      <c r="I169" s="20" t="n">
        <v>45502</v>
      </c>
      <c r="J169" s="20" t="n">
        <v>35650</v>
      </c>
      <c r="K169" s="20" t="n">
        <v>34163</v>
      </c>
      <c r="L169" s="20" t="n">
        <v>80050</v>
      </c>
      <c r="M169" s="20" t="n">
        <v>70410</v>
      </c>
      <c r="N169" s="20" t="n">
        <v>50477</v>
      </c>
      <c r="V169" s="20" t="n">
        <v>46231</v>
      </c>
      <c r="W169" s="20" t="n">
        <v>80751</v>
      </c>
      <c r="X169" s="20" t="n">
        <v>80050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IF(OR(G169="",C169=""),"",IF(C169&lt;=0,"",IFERROR(G169/C169-1,"")))</f>
        <v/>
      </c>
      <c r="H170" s="15">
        <f>IF(OR(H169="",D169=""),"",IF(D169&lt;=0,"",IFERROR(H169/D169-1,"")))</f>
        <v/>
      </c>
      <c r="I170" s="15">
        <f>IF(OR(I169="",E169=""),"",IF(E169&lt;=0,"",IFERROR(I169/E169-1,"")))</f>
        <v/>
      </c>
      <c r="J170" s="15">
        <f>IF(OR(J169="",F169=""),"",IF(F169&lt;=0,"",IFERROR(J169/F169-1,"")))</f>
        <v/>
      </c>
      <c r="K170" s="15">
        <f>IF(OR(K169="",G169=""),"",IF(G169&lt;=0,"",IFERROR(K169/G169-1,"")))</f>
        <v/>
      </c>
      <c r="L170" s="15">
        <f>IF(OR(L169="",H169=""),"",IF(H169&lt;=0,"",IFERROR(L169/H169-1,"")))</f>
        <v/>
      </c>
      <c r="M170" s="15">
        <f>IF(OR(M169="",I169=""),"",IF(I169&lt;=0,"",IFERROR(M169/I169-1,"")))</f>
        <v/>
      </c>
      <c r="N170" s="15">
        <f>IF(OR(N169="",J169=""),"",IF(J169&lt;=0,"",IFERROR(N169/J169-1,"")))</f>
        <v/>
      </c>
      <c r="V170" s="15">
        <f>IF(OR(V169="",U169=""),"",IF(U169&lt;=0,"",IFERROR(V169/U169-1,"")))</f>
        <v/>
      </c>
      <c r="W170" s="15">
        <f>IF(OR(W169="",V169=""),"",IF(V169&lt;=0,"",IFERROR(W169/V169-1,"")))</f>
        <v/>
      </c>
      <c r="X170" s="15">
        <f>IF(OR(X169="",W169=""),"",IF(W169&lt;=0,"",IFERROR(X169/W169-1,"")))</f>
        <v/>
      </c>
    </row>
    <row r="171">
      <c r="A171" s="18" t="inlineStr">
        <is>
          <t>조정액 · 외부 고객 매출</t>
        </is>
      </c>
      <c r="C171" s="20" t="n">
        <v>0</v>
      </c>
      <c r="D171" s="20" t="n">
        <v>0</v>
      </c>
      <c r="E171" s="20" t="n">
        <v>0</v>
      </c>
      <c r="F171" s="20" t="n">
        <v>0</v>
      </c>
      <c r="G171" s="20" t="n">
        <v>0</v>
      </c>
      <c r="H171" s="20" t="n">
        <v>0</v>
      </c>
      <c r="I171" s="20" t="n">
        <v>0</v>
      </c>
      <c r="J171" s="20" t="n">
        <v>0</v>
      </c>
      <c r="K171" s="20" t="n">
        <v>0</v>
      </c>
      <c r="L171" s="20" t="n">
        <v>0</v>
      </c>
      <c r="M171" s="20" t="n">
        <v>0</v>
      </c>
      <c r="N171" s="20" t="n">
        <v>0</v>
      </c>
      <c r="V171" s="20" t="n">
        <v>0</v>
      </c>
      <c r="W171" s="20" t="n">
        <v>0</v>
      </c>
      <c r="X171" s="20" t="n">
        <v>0</v>
      </c>
    </row>
    <row r="172">
      <c r="A172" s="18" t="inlineStr">
        <is>
          <t>EntityTotalMember · 외부 고객 매출</t>
        </is>
      </c>
      <c r="E172" s="20" t="n">
        <v>29597</v>
      </c>
      <c r="I172" s="20" t="n">
        <v>45502</v>
      </c>
      <c r="M172" s="20" t="n">
        <v>70410</v>
      </c>
    </row>
    <row r="173">
      <c r="A173" s="9" t="inlineStr">
        <is>
          <t>외부 고객 매출</t>
        </is>
      </c>
      <c r="C173" s="12" t="n">
        <v>31245</v>
      </c>
      <c r="D173" s="12" t="n">
        <v>46231</v>
      </c>
      <c r="E173" s="12" t="n">
        <v>29597</v>
      </c>
      <c r="F173" s="12" t="n">
        <v>26805</v>
      </c>
      <c r="G173" s="12" t="n">
        <v>32451</v>
      </c>
      <c r="H173" s="12" t="n">
        <v>80751</v>
      </c>
      <c r="V173" s="12" t="n">
        <v>46231</v>
      </c>
      <c r="W173" s="12" t="n">
        <v>80751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IF(OR(G173="",C173=""),"",IF(C173&lt;=0,"",IFERROR(G173/C173-1,"")))</f>
        <v/>
      </c>
      <c r="H174" s="15">
        <f>IF(OR(H173="",D173=""),"",IF(D173&lt;=0,"",IFERROR(H173/D173-1,"")))</f>
        <v/>
      </c>
      <c r="V174" s="15">
        <f>IF(OR(V173="",U173=""),"",IF(U173&lt;=0,"",IFERROR(V173/U173-1,"")))</f>
        <v/>
      </c>
      <c r="W174" s="15">
        <f>IF(OR(W173="",V173=""),"",IF(V173&lt;=0,"",IFERROR(W173/V173-1,"")))</f>
        <v/>
      </c>
    </row>
    <row r="175">
      <c r="A175" s="18" t="inlineStr">
        <is>
          <t>DegitalContentsReportableSegmentMember · 부문 간 내부매출·대체</t>
        </is>
      </c>
      <c r="C175" s="20" t="n">
        <v>0</v>
      </c>
      <c r="D175" s="20" t="n">
        <v>0</v>
      </c>
      <c r="E175" s="20" t="n">
        <v>0</v>
      </c>
      <c r="F175" s="20" t="n">
        <v>0</v>
      </c>
      <c r="G175" s="20" t="n">
        <v>0</v>
      </c>
      <c r="H175" s="20" t="n">
        <v>0</v>
      </c>
      <c r="I175" s="20" t="n">
        <v>0</v>
      </c>
      <c r="J175" s="20" t="n">
        <v>0</v>
      </c>
      <c r="K175" s="20" t="n">
        <v>0</v>
      </c>
      <c r="L175" s="20" t="n">
        <v>0</v>
      </c>
      <c r="M175" s="20" t="n">
        <v>0</v>
      </c>
      <c r="N175" s="20" t="n">
        <v>0</v>
      </c>
      <c r="V175" s="20" t="n">
        <v>0</v>
      </c>
      <c r="W175" s="20" t="n">
        <v>0</v>
      </c>
      <c r="X175" s="20" t="n">
        <v>0</v>
      </c>
    </row>
    <row r="176">
      <c r="A176" s="18" t="inlineStr">
        <is>
          <t>ArcadeOperationsReportableSegmentMember · 부문 간 내부매출·대체</t>
        </is>
      </c>
      <c r="C176" s="20" t="n">
        <v>0</v>
      </c>
      <c r="D176" s="20" t="n">
        <v>0</v>
      </c>
      <c r="E176" s="20" t="n">
        <v>0</v>
      </c>
      <c r="F176" s="20" t="n">
        <v>0</v>
      </c>
      <c r="G176" s="20" t="n">
        <v>0</v>
      </c>
      <c r="H176" s="20" t="n">
        <v>0</v>
      </c>
      <c r="I176" s="20" t="n">
        <v>0</v>
      </c>
      <c r="J176" s="20" t="n">
        <v>0</v>
      </c>
      <c r="K176" s="20" t="n">
        <v>0</v>
      </c>
      <c r="L176" s="20" t="n">
        <v>0</v>
      </c>
      <c r="M176" s="20" t="n">
        <v>0</v>
      </c>
      <c r="N176" s="20" t="n">
        <v>0</v>
      </c>
      <c r="V176" s="20" t="n">
        <v>0</v>
      </c>
      <c r="W176" s="20" t="n">
        <v>0</v>
      </c>
      <c r="X176" s="20" t="n">
        <v>0</v>
      </c>
    </row>
    <row r="177">
      <c r="A177" s="18" t="inlineStr">
        <is>
          <t>AmusementEquipmentsReportableSegmentMember · 부문 간 내부매출·대체</t>
        </is>
      </c>
      <c r="C177" s="20" t="n">
        <v>0</v>
      </c>
      <c r="D177" s="20" t="n">
        <v>0</v>
      </c>
      <c r="E177" s="20" t="n">
        <v>0</v>
      </c>
      <c r="F177" s="20" t="n">
        <v>0</v>
      </c>
      <c r="G177" s="20" t="n">
        <v>0</v>
      </c>
      <c r="H177" s="20" t="n">
        <v>0</v>
      </c>
      <c r="I177" s="20" t="n">
        <v>0</v>
      </c>
      <c r="J177" s="20" t="n">
        <v>0</v>
      </c>
      <c r="K177" s="20" t="n">
        <v>0</v>
      </c>
      <c r="L177" s="20" t="n">
        <v>0</v>
      </c>
      <c r="M177" s="20" t="n">
        <v>0</v>
      </c>
      <c r="N177" s="20" t="n">
        <v>0</v>
      </c>
      <c r="V177" s="20" t="n">
        <v>0</v>
      </c>
      <c r="W177" s="20" t="n">
        <v>0</v>
      </c>
      <c r="X177" s="20" t="n">
        <v>0</v>
      </c>
    </row>
    <row r="178">
      <c r="A178" s="18" t="inlineStr">
        <is>
          <t>보고부문 합계 · 부문 간 내부매출·대체</t>
        </is>
      </c>
      <c r="C178" s="20" t="n">
        <v>0</v>
      </c>
      <c r="D178" s="20" t="n">
        <v>0</v>
      </c>
      <c r="E178" s="20" t="n">
        <v>0</v>
      </c>
      <c r="F178" s="20" t="n">
        <v>0</v>
      </c>
      <c r="G178" s="20" t="n">
        <v>0</v>
      </c>
      <c r="H178" s="20" t="n">
        <v>0</v>
      </c>
      <c r="I178" s="20" t="n">
        <v>0</v>
      </c>
      <c r="J178" s="20" t="n">
        <v>0</v>
      </c>
      <c r="K178" s="20" t="n">
        <v>0</v>
      </c>
      <c r="L178" s="20" t="n">
        <v>0</v>
      </c>
      <c r="M178" s="20" t="n">
        <v>0</v>
      </c>
      <c r="N178" s="20" t="n">
        <v>0</v>
      </c>
      <c r="V178" s="20" t="n">
        <v>0</v>
      </c>
      <c r="W178" s="20" t="n">
        <v>0</v>
      </c>
      <c r="X178" s="20" t="n">
        <v>0</v>
      </c>
    </row>
    <row r="179">
      <c r="A179" s="18" t="inlineStr">
        <is>
          <t>기타 · 부문 간 내부매출·대체</t>
        </is>
      </c>
      <c r="C179" s="20" t="n">
        <v>0</v>
      </c>
      <c r="D179" s="20" t="n">
        <v>0</v>
      </c>
      <c r="E179" s="20" t="n">
        <v>0</v>
      </c>
      <c r="F179" s="20" t="n">
        <v>0</v>
      </c>
      <c r="G179" s="20" t="n">
        <v>0</v>
      </c>
      <c r="H179" s="20" t="n">
        <v>0</v>
      </c>
      <c r="I179" s="20" t="n">
        <v>0</v>
      </c>
      <c r="J179" s="20" t="n">
        <v>0</v>
      </c>
      <c r="K179" s="20" t="n">
        <v>0</v>
      </c>
      <c r="L179" s="20" t="n">
        <v>0</v>
      </c>
      <c r="M179" s="20" t="n">
        <v>0</v>
      </c>
      <c r="N179" s="20" t="n">
        <v>0</v>
      </c>
      <c r="V179" s="20" t="n">
        <v>0</v>
      </c>
      <c r="W179" s="20" t="n">
        <v>0</v>
      </c>
      <c r="X179" s="20" t="n">
        <v>0</v>
      </c>
    </row>
    <row r="180">
      <c r="A180" s="18" t="inlineStr">
        <is>
          <t>합계 · 부문 간 내부매출·대체</t>
        </is>
      </c>
      <c r="C180" s="20" t="n">
        <v>0</v>
      </c>
      <c r="D180" s="20" t="n">
        <v>0</v>
      </c>
      <c r="E180" s="20" t="n">
        <v>0</v>
      </c>
      <c r="F180" s="20" t="n">
        <v>0</v>
      </c>
      <c r="G180" s="20" t="n">
        <v>0</v>
      </c>
      <c r="H180" s="20" t="n">
        <v>0</v>
      </c>
      <c r="I180" s="20" t="n">
        <v>0</v>
      </c>
      <c r="J180" s="20" t="n">
        <v>0</v>
      </c>
      <c r="K180" s="20" t="n">
        <v>0</v>
      </c>
      <c r="L180" s="20" t="n">
        <v>0</v>
      </c>
      <c r="M180" s="20" t="n">
        <v>0</v>
      </c>
      <c r="N180" s="20" t="n">
        <v>0</v>
      </c>
      <c r="V180" s="20" t="n">
        <v>0</v>
      </c>
      <c r="W180" s="20" t="n">
        <v>0</v>
      </c>
      <c r="X180" s="20" t="n">
        <v>0</v>
      </c>
    </row>
    <row r="181">
      <c r="A181" s="18" t="inlineStr">
        <is>
          <t>조정액 · 부문 간 내부매출·대체</t>
        </is>
      </c>
      <c r="C181" s="20" t="n">
        <v>0</v>
      </c>
      <c r="D181" s="20" t="n">
        <v>0</v>
      </c>
      <c r="E181" s="20" t="n">
        <v>0</v>
      </c>
      <c r="F181" s="20" t="n">
        <v>0</v>
      </c>
      <c r="G181" s="20" t="n">
        <v>0</v>
      </c>
      <c r="H181" s="20" t="n">
        <v>0</v>
      </c>
      <c r="I181" s="20" t="n">
        <v>0</v>
      </c>
      <c r="J181" s="20" t="n">
        <v>0</v>
      </c>
      <c r="K181" s="20" t="n">
        <v>0</v>
      </c>
      <c r="L181" s="20" t="n">
        <v>0</v>
      </c>
      <c r="M181" s="20" t="n">
        <v>0</v>
      </c>
      <c r="N181" s="20" t="n">
        <v>0</v>
      </c>
      <c r="V181" s="20" t="n">
        <v>0</v>
      </c>
      <c r="W181" s="20" t="n">
        <v>0</v>
      </c>
      <c r="X181" s="20" t="n">
        <v>0</v>
      </c>
    </row>
    <row r="182">
      <c r="A182" s="18" t="inlineStr">
        <is>
          <t>EntityTotalMember · 부문 간 내부매출·대체</t>
        </is>
      </c>
      <c r="E182" s="20" t="n">
        <v>0</v>
      </c>
      <c r="I182" s="20" t="n">
        <v>0</v>
      </c>
      <c r="M182" s="20" t="n">
        <v>0</v>
      </c>
    </row>
    <row r="183">
      <c r="A183" s="18" t="inlineStr">
        <is>
          <t>부문 간 내부매출·대체</t>
        </is>
      </c>
      <c r="C183" s="20" t="n">
        <v>0</v>
      </c>
      <c r="D183" s="20" t="n">
        <v>0</v>
      </c>
      <c r="E183" s="20" t="n">
        <v>0</v>
      </c>
      <c r="F183" s="20" t="n">
        <v>0</v>
      </c>
      <c r="G183" s="20" t="n">
        <v>0</v>
      </c>
      <c r="H183" s="20" t="n">
        <v>0</v>
      </c>
      <c r="V183" s="20" t="n">
        <v>0</v>
      </c>
      <c r="W183" s="20" t="n">
        <v>0</v>
      </c>
    </row>
    <row r="184">
      <c r="A184" s="18" t="inlineStr">
        <is>
          <t>DegitalContentsReportableSegmentMember · 계</t>
        </is>
      </c>
      <c r="C184" s="20" t="n">
        <v>20161</v>
      </c>
      <c r="D184" s="20" t="n">
        <v>38405</v>
      </c>
      <c r="E184" s="20" t="n">
        <v>21416</v>
      </c>
      <c r="F184" s="20" t="n">
        <v>18359</v>
      </c>
      <c r="G184" s="20" t="n">
        <v>18759</v>
      </c>
      <c r="H184" s="20" t="n">
        <v>66594</v>
      </c>
      <c r="I184" s="20" t="n">
        <v>29857</v>
      </c>
      <c r="J184" s="20" t="n">
        <v>19995</v>
      </c>
      <c r="K184" s="20" t="n">
        <v>23559</v>
      </c>
      <c r="L184" s="20" t="n">
        <v>70866</v>
      </c>
      <c r="M184" s="20" t="n">
        <v>54648</v>
      </c>
      <c r="N184" s="20" t="n">
        <v>30493</v>
      </c>
      <c r="V184" s="20" t="n">
        <v>38405</v>
      </c>
      <c r="W184" s="20" t="n">
        <v>66594</v>
      </c>
      <c r="X184" s="20" t="n">
        <v>70866</v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IF(OR(G184="",C184=""),"",IF(C184&lt;=0,"",IFERROR(G184/C184-1,"")))</f>
        <v/>
      </c>
      <c r="H185" s="15">
        <f>IF(OR(H184="",D184=""),"",IF(D184&lt;=0,"",IFERROR(H184/D184-1,"")))</f>
        <v/>
      </c>
      <c r="I185" s="15">
        <f>IF(OR(I184="",E184=""),"",IF(E184&lt;=0,"",IFERROR(I184/E184-1,"")))</f>
        <v/>
      </c>
      <c r="J185" s="15">
        <f>IF(OR(J184="",F184=""),"",IF(F184&lt;=0,"",IFERROR(J184/F184-1,"")))</f>
        <v/>
      </c>
      <c r="K185" s="15">
        <f>IF(OR(K184="",G184=""),"",IF(G184&lt;=0,"",IFERROR(K184/G184-1,"")))</f>
        <v/>
      </c>
      <c r="L185" s="15">
        <f>IF(OR(L184="",H184=""),"",IF(H184&lt;=0,"",IFERROR(L184/H184-1,"")))</f>
        <v/>
      </c>
      <c r="M185" s="15">
        <f>IF(OR(M184="",I184=""),"",IF(I184&lt;=0,"",IFERROR(M184/I184-1,"")))</f>
        <v/>
      </c>
      <c r="N185" s="15">
        <f>IF(OR(N184="",J184=""),"",IF(J184&lt;=0,"",IFERROR(N184/J184-1,"")))</f>
        <v/>
      </c>
      <c r="V185" s="15">
        <f>IF(OR(V184="",U184=""),"",IF(U184&lt;=0,"",IFERROR(V184/U184-1,"")))</f>
        <v/>
      </c>
      <c r="W185" s="15">
        <f>IF(OR(W184="",V184=""),"",IF(V184&lt;=0,"",IFERROR(W184/V184-1,"")))</f>
        <v/>
      </c>
      <c r="X185" s="15">
        <f>IF(OR(X184="",W184=""),"",IF(W184&lt;=0,"",IFERROR(X184/W184-1,"")))</f>
        <v/>
      </c>
    </row>
    <row r="186">
      <c r="A186" s="18" t="inlineStr">
        <is>
          <t>ArcadeOperationsReportableSegmentMember · 계</t>
        </is>
      </c>
      <c r="C186" s="20" t="n">
        <v>4678</v>
      </c>
      <c r="D186" s="20" t="n">
        <v>5496</v>
      </c>
      <c r="E186" s="20" t="n">
        <v>4864</v>
      </c>
      <c r="F186" s="20" t="n">
        <v>6127</v>
      </c>
      <c r="G186" s="20" t="n">
        <v>5561</v>
      </c>
      <c r="H186" s="20" t="n">
        <v>6198</v>
      </c>
      <c r="I186" s="20" t="n">
        <v>5606</v>
      </c>
      <c r="J186" s="20" t="n">
        <v>6844</v>
      </c>
      <c r="K186" s="20" t="n">
        <v>6131</v>
      </c>
      <c r="L186" s="20" t="n">
        <v>7075</v>
      </c>
      <c r="M186" s="20" t="n">
        <v>6762</v>
      </c>
      <c r="N186" s="20" t="n">
        <v>8947</v>
      </c>
      <c r="V186" s="20" t="n">
        <v>5496</v>
      </c>
      <c r="W186" s="20" t="n">
        <v>6198</v>
      </c>
      <c r="X186" s="20" t="n">
        <v>7075</v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G187" s="15">
        <f>IF(OR(G186="",C186=""),"",IF(C186&lt;=0,"",IFERROR(G186/C186-1,"")))</f>
        <v/>
      </c>
      <c r="H187" s="15">
        <f>IF(OR(H186="",D186=""),"",IF(D186&lt;=0,"",IFERROR(H186/D186-1,"")))</f>
        <v/>
      </c>
      <c r="I187" s="15">
        <f>IF(OR(I186="",E186=""),"",IF(E186&lt;=0,"",IFERROR(I186/E186-1,"")))</f>
        <v/>
      </c>
      <c r="J187" s="15">
        <f>IF(OR(J186="",F186=""),"",IF(F186&lt;=0,"",IFERROR(J186/F186-1,"")))</f>
        <v/>
      </c>
      <c r="K187" s="15">
        <f>IF(OR(K186="",G186=""),"",IF(G186&lt;=0,"",IFERROR(K186/G186-1,"")))</f>
        <v/>
      </c>
      <c r="L187" s="15">
        <f>IF(OR(L186="",H186=""),"",IF(H186&lt;=0,"",IFERROR(L186/H186-1,"")))</f>
        <v/>
      </c>
      <c r="M187" s="15">
        <f>IF(OR(M186="",I186=""),"",IF(I186&lt;=0,"",IFERROR(M186/I186-1,"")))</f>
        <v/>
      </c>
      <c r="N187" s="15">
        <f>IF(OR(N186="",J186=""),"",IF(J186&lt;=0,"",IFERROR(N186/J186-1,"")))</f>
        <v/>
      </c>
      <c r="V187" s="15">
        <f>IF(OR(V186="",U186=""),"",IF(U186&lt;=0,"",IFERROR(V186/U186-1,"")))</f>
        <v/>
      </c>
      <c r="W187" s="15">
        <f>IF(OR(W186="",V186=""),"",IF(V186&lt;=0,"",IFERROR(W186/V186-1,"")))</f>
        <v/>
      </c>
      <c r="X187" s="15">
        <f>IF(OR(X186="",W186=""),"",IF(W186&lt;=0,"",IFERROR(X186/W186-1,"")))</f>
        <v/>
      </c>
    </row>
    <row r="188">
      <c r="A188" s="18" t="inlineStr">
        <is>
          <t>AmusementEquipmentsReportableSegmentMember · 계</t>
        </is>
      </c>
      <c r="C188" s="20" t="n">
        <v>5422</v>
      </c>
      <c r="D188" s="20" t="n">
        <v>1000</v>
      </c>
      <c r="E188" s="20" t="n">
        <v>2220</v>
      </c>
      <c r="F188" s="20" t="n">
        <v>956</v>
      </c>
      <c r="G188" s="20" t="n">
        <v>7066</v>
      </c>
      <c r="H188" s="20" t="n">
        <v>5371</v>
      </c>
      <c r="I188" s="20" t="n">
        <v>7812</v>
      </c>
      <c r="J188" s="20" t="n">
        <v>7379</v>
      </c>
      <c r="K188" s="20" t="n">
        <v>2575</v>
      </c>
      <c r="L188" s="20" t="n">
        <v>14</v>
      </c>
      <c r="M188" s="20" t="n">
        <v>7097</v>
      </c>
      <c r="N188" s="20" t="n">
        <v>9452</v>
      </c>
      <c r="V188" s="20" t="n">
        <v>1000</v>
      </c>
      <c r="W188" s="20" t="n">
        <v>5371</v>
      </c>
      <c r="X188" s="20" t="n">
        <v>14</v>
      </c>
    </row>
    <row r="189">
      <c r="A189" s="43" t="inlineStr">
        <is>
          <t>YoY</t>
        </is>
      </c>
      <c r="B189" s="3" t="inlineStr">
        <is>
          <t>전년 같은 분기·전년 대비</t>
        </is>
      </c>
      <c r="G189" s="15">
        <f>IF(OR(G188="",C188=""),"",IF(C188&lt;=0,"",IFERROR(G188/C188-1,"")))</f>
        <v/>
      </c>
      <c r="H189" s="15">
        <f>IF(OR(H188="",D188=""),"",IF(D188&lt;=0,"",IFERROR(H188/D188-1,"")))</f>
        <v/>
      </c>
      <c r="I189" s="15">
        <f>IF(OR(I188="",E188=""),"",IF(E188&lt;=0,"",IFERROR(I188/E188-1,"")))</f>
        <v/>
      </c>
      <c r="J189" s="15">
        <f>IF(OR(J188="",F188=""),"",IF(F188&lt;=0,"",IFERROR(J188/F188-1,"")))</f>
        <v/>
      </c>
      <c r="K189" s="15">
        <f>IF(OR(K188="",G188=""),"",IF(G188&lt;=0,"",IFERROR(K188/G188-1,"")))</f>
        <v/>
      </c>
      <c r="L189" s="15">
        <f>IF(OR(L188="",H188=""),"",IF(H188&lt;=0,"",IFERROR(L188/H188-1,"")))</f>
        <v/>
      </c>
      <c r="M189" s="15">
        <f>IF(OR(M188="",I188=""),"",IF(I188&lt;=0,"",IFERROR(M188/I188-1,"")))</f>
        <v/>
      </c>
      <c r="N189" s="15">
        <f>IF(OR(N188="",J188=""),"",IF(J188&lt;=0,"",IFERROR(N188/J188-1,"")))</f>
        <v/>
      </c>
      <c r="V189" s="15">
        <f>IF(OR(V188="",U188=""),"",IF(U188&lt;=0,"",IFERROR(V188/U188-1,"")))</f>
        <v/>
      </c>
      <c r="W189" s="15">
        <f>IF(OR(W188="",V188=""),"",IF(V188&lt;=0,"",IFERROR(W188/V188-1,"")))</f>
        <v/>
      </c>
      <c r="X189" s="15">
        <f>IF(OR(X188="",W188=""),"",IF(W188&lt;=0,"",IFERROR(X188/W188-1,"")))</f>
        <v/>
      </c>
    </row>
    <row r="190">
      <c r="A190" s="18" t="inlineStr">
        <is>
          <t>보고부문 합계 · 계</t>
        </is>
      </c>
      <c r="C190" s="20" t="n">
        <v>30261</v>
      </c>
      <c r="D190" s="20" t="n">
        <v>44902</v>
      </c>
      <c r="E190" s="20" t="n">
        <v>28500</v>
      </c>
      <c r="F190" s="20" t="n">
        <v>25443</v>
      </c>
      <c r="G190" s="20" t="n">
        <v>31386</v>
      </c>
      <c r="H190" s="20" t="n">
        <v>78163</v>
      </c>
      <c r="I190" s="20" t="n">
        <v>43276</v>
      </c>
      <c r="J190" s="20" t="n">
        <v>34218</v>
      </c>
      <c r="K190" s="20" t="n">
        <v>32265</v>
      </c>
      <c r="L190" s="20" t="n">
        <v>77955</v>
      </c>
      <c r="M190" s="20" t="n">
        <v>68508</v>
      </c>
      <c r="N190" s="20" t="n">
        <v>48892</v>
      </c>
      <c r="V190" s="20" t="n">
        <v>44902</v>
      </c>
      <c r="W190" s="20" t="n">
        <v>78163</v>
      </c>
      <c r="X190" s="20" t="n">
        <v>77955</v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IF(OR(G190="",C190=""),"",IF(C190&lt;=0,"",IFERROR(G190/C190-1,"")))</f>
        <v/>
      </c>
      <c r="H191" s="15">
        <f>IF(OR(H190="",D190=""),"",IF(D190&lt;=0,"",IFERROR(H190/D190-1,"")))</f>
        <v/>
      </c>
      <c r="I191" s="15">
        <f>IF(OR(I190="",E190=""),"",IF(E190&lt;=0,"",IFERROR(I190/E190-1,"")))</f>
        <v/>
      </c>
      <c r="J191" s="15">
        <f>IF(OR(J190="",F190=""),"",IF(F190&lt;=0,"",IFERROR(J190/F190-1,"")))</f>
        <v/>
      </c>
      <c r="K191" s="15">
        <f>IF(OR(K190="",G190=""),"",IF(G190&lt;=0,"",IFERROR(K190/G190-1,"")))</f>
        <v/>
      </c>
      <c r="L191" s="15">
        <f>IF(OR(L190="",H190=""),"",IF(H190&lt;=0,"",IFERROR(L190/H190-1,"")))</f>
        <v/>
      </c>
      <c r="M191" s="15">
        <f>IF(OR(M190="",I190=""),"",IF(I190&lt;=0,"",IFERROR(M190/I190-1,"")))</f>
        <v/>
      </c>
      <c r="N191" s="15">
        <f>IF(OR(N190="",J190=""),"",IF(J190&lt;=0,"",IFERROR(N190/J190-1,"")))</f>
        <v/>
      </c>
      <c r="V191" s="15">
        <f>IF(OR(V190="",U190=""),"",IF(U190&lt;=0,"",IFERROR(V190/U190-1,"")))</f>
        <v/>
      </c>
      <c r="W191" s="15">
        <f>IF(OR(W190="",V190=""),"",IF(V190&lt;=0,"",IFERROR(W190/V190-1,"")))</f>
        <v/>
      </c>
      <c r="X191" s="15">
        <f>IF(OR(X190="",W190=""),"",IF(W190&lt;=0,"",IFERROR(X190/W190-1,"")))</f>
        <v/>
      </c>
    </row>
    <row r="192">
      <c r="A192" s="18" t="inlineStr">
        <is>
          <t>기타 · 계</t>
        </is>
      </c>
      <c r="C192" s="20" t="n">
        <v>984</v>
      </c>
      <c r="D192" s="20" t="n">
        <v>1329</v>
      </c>
      <c r="E192" s="20" t="n">
        <v>1097</v>
      </c>
      <c r="F192" s="20" t="n">
        <v>1362</v>
      </c>
      <c r="G192" s="20" t="n">
        <v>1065</v>
      </c>
      <c r="H192" s="20" t="n">
        <v>2587</v>
      </c>
      <c r="I192" s="20" t="n">
        <v>2226</v>
      </c>
      <c r="J192" s="20" t="n">
        <v>1431</v>
      </c>
      <c r="K192" s="20" t="n">
        <v>1899</v>
      </c>
      <c r="L192" s="20" t="n">
        <v>2094</v>
      </c>
      <c r="M192" s="20" t="n">
        <v>1902</v>
      </c>
      <c r="N192" s="20" t="n">
        <v>1584</v>
      </c>
      <c r="V192" s="20" t="n">
        <v>1329</v>
      </c>
      <c r="W192" s="20" t="n">
        <v>2587</v>
      </c>
      <c r="X192" s="20" t="n">
        <v>2094</v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G193" s="15">
        <f>IF(OR(G192="",C192=""),"",IF(C192&lt;=0,"",IFERROR(G192/C192-1,"")))</f>
        <v/>
      </c>
      <c r="H193" s="15">
        <f>IF(OR(H192="",D192=""),"",IF(D192&lt;=0,"",IFERROR(H192/D192-1,"")))</f>
        <v/>
      </c>
      <c r="I193" s="15">
        <f>IF(OR(I192="",E192=""),"",IF(E192&lt;=0,"",IFERROR(I192/E192-1,"")))</f>
        <v/>
      </c>
      <c r="J193" s="15">
        <f>IF(OR(J192="",F192=""),"",IF(F192&lt;=0,"",IFERROR(J192/F192-1,"")))</f>
        <v/>
      </c>
      <c r="K193" s="15">
        <f>IF(OR(K192="",G192=""),"",IF(G192&lt;=0,"",IFERROR(K192/G192-1,"")))</f>
        <v/>
      </c>
      <c r="L193" s="15">
        <f>IF(OR(L192="",H192=""),"",IF(H192&lt;=0,"",IFERROR(L192/H192-1,"")))</f>
        <v/>
      </c>
      <c r="M193" s="15">
        <f>IF(OR(M192="",I192=""),"",IF(I192&lt;=0,"",IFERROR(M192/I192-1,"")))</f>
        <v/>
      </c>
      <c r="N193" s="15">
        <f>IF(OR(N192="",J192=""),"",IF(J192&lt;=0,"",IFERROR(N192/J192-1,"")))</f>
        <v/>
      </c>
      <c r="V193" s="15">
        <f>IF(OR(V192="",U192=""),"",IF(U192&lt;=0,"",IFERROR(V192/U192-1,"")))</f>
        <v/>
      </c>
      <c r="W193" s="15">
        <f>IF(OR(W192="",V192=""),"",IF(V192&lt;=0,"",IFERROR(W192/V192-1,"")))</f>
        <v/>
      </c>
      <c r="X193" s="15">
        <f>IF(OR(X192="",W192=""),"",IF(W192&lt;=0,"",IFERROR(X192/W192-1,"")))</f>
        <v/>
      </c>
    </row>
    <row r="194">
      <c r="A194" s="18" t="inlineStr">
        <is>
          <t>합계 · 계</t>
        </is>
      </c>
      <c r="C194" s="20" t="n">
        <v>31245</v>
      </c>
      <c r="D194" s="20" t="n">
        <v>46231</v>
      </c>
      <c r="E194" s="20" t="n">
        <v>29597</v>
      </c>
      <c r="F194" s="20" t="n">
        <v>26805</v>
      </c>
      <c r="G194" s="20" t="n">
        <v>32451</v>
      </c>
      <c r="H194" s="20" t="n">
        <v>80751</v>
      </c>
      <c r="I194" s="20" t="n">
        <v>45502</v>
      </c>
      <c r="J194" s="20" t="n">
        <v>35650</v>
      </c>
      <c r="K194" s="20" t="n">
        <v>34163</v>
      </c>
      <c r="L194" s="20" t="n">
        <v>80050</v>
      </c>
      <c r="M194" s="20" t="n">
        <v>70410</v>
      </c>
      <c r="N194" s="20" t="n">
        <v>50477</v>
      </c>
      <c r="V194" s="20" t="n">
        <v>46231</v>
      </c>
      <c r="W194" s="20" t="n">
        <v>80751</v>
      </c>
      <c r="X194" s="20" t="n">
        <v>80050</v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IF(OR(G194="",C194=""),"",IF(C194&lt;=0,"",IFERROR(G194/C194-1,"")))</f>
        <v/>
      </c>
      <c r="H195" s="15">
        <f>IF(OR(H194="",D194=""),"",IF(D194&lt;=0,"",IFERROR(H194/D194-1,"")))</f>
        <v/>
      </c>
      <c r="I195" s="15">
        <f>IF(OR(I194="",E194=""),"",IF(E194&lt;=0,"",IFERROR(I194/E194-1,"")))</f>
        <v/>
      </c>
      <c r="J195" s="15">
        <f>IF(OR(J194="",F194=""),"",IF(F194&lt;=0,"",IFERROR(J194/F194-1,"")))</f>
        <v/>
      </c>
      <c r="K195" s="15">
        <f>IF(OR(K194="",G194=""),"",IF(G194&lt;=0,"",IFERROR(K194/G194-1,"")))</f>
        <v/>
      </c>
      <c r="L195" s="15">
        <f>IF(OR(L194="",H194=""),"",IF(H194&lt;=0,"",IFERROR(L194/H194-1,"")))</f>
        <v/>
      </c>
      <c r="M195" s="15">
        <f>IF(OR(M194="",I194=""),"",IF(I194&lt;=0,"",IFERROR(M194/I194-1,"")))</f>
        <v/>
      </c>
      <c r="N195" s="15">
        <f>IF(OR(N194="",J194=""),"",IF(J194&lt;=0,"",IFERROR(N194/J194-1,"")))</f>
        <v/>
      </c>
      <c r="V195" s="15">
        <f>IF(OR(V194="",U194=""),"",IF(U194&lt;=0,"",IFERROR(V194/U194-1,"")))</f>
        <v/>
      </c>
      <c r="W195" s="15">
        <f>IF(OR(W194="",V194=""),"",IF(V194&lt;=0,"",IFERROR(W194/V194-1,"")))</f>
        <v/>
      </c>
      <c r="X195" s="15">
        <f>IF(OR(X194="",W194=""),"",IF(W194&lt;=0,"",IFERROR(X194/W194-1,"")))</f>
        <v/>
      </c>
    </row>
    <row r="196">
      <c r="A196" s="18" t="inlineStr">
        <is>
          <t>조정액 · 계</t>
        </is>
      </c>
      <c r="C196" s="20" t="n">
        <v>0</v>
      </c>
      <c r="D196" s="20" t="n">
        <v>0</v>
      </c>
      <c r="E196" s="20" t="n">
        <v>0</v>
      </c>
      <c r="F196" s="20" t="n">
        <v>0</v>
      </c>
      <c r="G196" s="20" t="n">
        <v>0</v>
      </c>
      <c r="H196" s="20" t="n">
        <v>0</v>
      </c>
      <c r="I196" s="20" t="n">
        <v>0</v>
      </c>
      <c r="J196" s="20" t="n">
        <v>0</v>
      </c>
      <c r="K196" s="20" t="n">
        <v>0</v>
      </c>
      <c r="L196" s="20" t="n">
        <v>0</v>
      </c>
      <c r="M196" s="20" t="n">
        <v>0</v>
      </c>
      <c r="N196" s="20" t="n">
        <v>0</v>
      </c>
      <c r="V196" s="20" t="n">
        <v>0</v>
      </c>
      <c r="W196" s="20" t="n">
        <v>0</v>
      </c>
      <c r="X196" s="20" t="n">
        <v>0</v>
      </c>
    </row>
    <row r="197">
      <c r="A197" s="18" t="inlineStr">
        <is>
          <t>EntityTotalMember · 계</t>
        </is>
      </c>
      <c r="E197" s="20" t="n">
        <v>29597</v>
      </c>
      <c r="I197" s="20" t="n">
        <v>45502</v>
      </c>
      <c r="M197" s="20" t="n">
        <v>70410</v>
      </c>
    </row>
    <row r="198">
      <c r="A198" s="9" t="inlineStr">
        <is>
          <t>계</t>
        </is>
      </c>
      <c r="C198" s="12" t="n">
        <v>31245</v>
      </c>
      <c r="D198" s="12" t="n">
        <v>46231</v>
      </c>
      <c r="E198" s="12" t="n">
        <v>29597</v>
      </c>
      <c r="F198" s="12" t="n">
        <v>26805</v>
      </c>
      <c r="G198" s="12" t="n">
        <v>32451</v>
      </c>
      <c r="H198" s="12" t="n">
        <v>80751</v>
      </c>
      <c r="V198" s="12" t="n">
        <v>46231</v>
      </c>
      <c r="W198" s="12" t="n">
        <v>80751</v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G199" s="15">
        <f>IF(OR(G198="",C198=""),"",IF(C198&lt;=0,"",IFERROR(G198/C198-1,"")))</f>
        <v/>
      </c>
      <c r="H199" s="15">
        <f>IF(OR(H198="",D198=""),"",IF(D198&lt;=0,"",IFERROR(H198/D198-1,"")))</f>
        <v/>
      </c>
      <c r="V199" s="15">
        <f>IF(OR(V198="",U198=""),"",IF(U198&lt;=0,"",IFERROR(V198/U198-1,"")))</f>
        <v/>
      </c>
      <c r="W199" s="15">
        <f>IF(OR(W198="",V198=""),"",IF(V198&lt;=0,"",IFERROR(W198/V198-1,"")))</f>
        <v/>
      </c>
    </row>
    <row r="200">
      <c r="A200" s="18" t="inlineStr">
        <is>
          <t>DegitalContentsReportableSegmentMember · 부문 손익</t>
        </is>
      </c>
      <c r="C200" s="20" t="n">
        <v>12858</v>
      </c>
      <c r="D200" s="20" t="n">
        <v>12470</v>
      </c>
      <c r="E200" s="20" t="n">
        <v>12821</v>
      </c>
      <c r="F200" s="20" t="n">
        <v>7819</v>
      </c>
      <c r="G200" s="20" t="n">
        <v>8607</v>
      </c>
      <c r="H200" s="20" t="n">
        <v>35925</v>
      </c>
      <c r="I200" s="20" t="n">
        <v>20057</v>
      </c>
      <c r="J200" s="20" t="n">
        <v>11321</v>
      </c>
      <c r="K200" s="20" t="n">
        <v>14689</v>
      </c>
      <c r="L200" s="20" t="n">
        <v>24551</v>
      </c>
      <c r="M200" s="20" t="n">
        <v>37597</v>
      </c>
      <c r="N200" s="20" t="n">
        <v>14711</v>
      </c>
      <c r="V200" s="20" t="n">
        <v>12470</v>
      </c>
      <c r="W200" s="20" t="n">
        <v>35925</v>
      </c>
      <c r="X200" s="20" t="n">
        <v>24551</v>
      </c>
    </row>
    <row r="201">
      <c r="A201" s="43" t="inlineStr">
        <is>
          <t>OPM</t>
        </is>
      </c>
      <c r="B201" s="3" t="inlineStr">
        <is>
          <t>영업이익 ÷ 매출</t>
        </is>
      </c>
      <c r="C201" s="15">
        <f>IF(OR(C200="",C184=""),"",IF(C184&lt;=0,"",IFERROR(C200/C184,"")))</f>
        <v/>
      </c>
      <c r="D201" s="15">
        <f>IF(OR(D200="",D184=""),"",IF(D184&lt;=0,"",IFERROR(D200/D184,"")))</f>
        <v/>
      </c>
      <c r="E201" s="15">
        <f>IF(OR(E200="",E184=""),"",IF(E184&lt;=0,"",IFERROR(E200/E184,"")))</f>
        <v/>
      </c>
      <c r="F201" s="15">
        <f>IF(OR(F200="",F184=""),"",IF(F184&lt;=0,"",IFERROR(F200/F184,"")))</f>
        <v/>
      </c>
      <c r="G201" s="15">
        <f>IF(OR(G200="",G184=""),"",IF(G184&lt;=0,"",IFERROR(G200/G184,"")))</f>
        <v/>
      </c>
      <c r="H201" s="15">
        <f>IF(OR(H200="",H184=""),"",IF(H184&lt;=0,"",IFERROR(H200/H184,"")))</f>
        <v/>
      </c>
      <c r="I201" s="15">
        <f>IF(OR(I200="",I184=""),"",IF(I184&lt;=0,"",IFERROR(I200/I184,"")))</f>
        <v/>
      </c>
      <c r="J201" s="15">
        <f>IF(OR(J200="",J184=""),"",IF(J184&lt;=0,"",IFERROR(J200/J184,"")))</f>
        <v/>
      </c>
      <c r="K201" s="15">
        <f>IF(OR(K200="",K184=""),"",IF(K184&lt;=0,"",IFERROR(K200/K184,"")))</f>
        <v/>
      </c>
      <c r="L201" s="15">
        <f>IF(OR(L200="",L184=""),"",IF(L184&lt;=0,"",IFERROR(L200/L184,"")))</f>
        <v/>
      </c>
      <c r="M201" s="15">
        <f>IF(OR(M200="",M184=""),"",IF(M184&lt;=0,"",IFERROR(M200/M184,"")))</f>
        <v/>
      </c>
      <c r="N201" s="15">
        <f>IF(OR(N200="",N184=""),"",IF(N184&lt;=0,"",IFERROR(N200/N184,"")))</f>
        <v/>
      </c>
      <c r="V201" s="15">
        <f>IF(OR(V200="",V184=""),"",IF(V184&lt;=0,"",IFERROR(V200/V184,"")))</f>
        <v/>
      </c>
      <c r="W201" s="15">
        <f>IF(OR(W200="",W184=""),"",IF(W184&lt;=0,"",IFERROR(W200/W184,"")))</f>
        <v/>
      </c>
      <c r="X201" s="15">
        <f>IF(OR(X200="",X184=""),"",IF(X184&lt;=0,"",IFERROR(X200/X184,"")))</f>
        <v/>
      </c>
    </row>
    <row r="202">
      <c r="A202" s="43" t="inlineStr">
        <is>
          <t>YoY</t>
        </is>
      </c>
      <c r="B202" s="3" t="inlineStr">
        <is>
          <t>전년 같은 분기·전년 대비</t>
        </is>
      </c>
      <c r="G202" s="15">
        <f>IF(OR(G200="",C200=""),"",IF(C200&lt;=0,"",IFERROR(G200/C200-1,"")))</f>
        <v/>
      </c>
      <c r="H202" s="15">
        <f>IF(OR(H200="",D200=""),"",IF(D200&lt;=0,"",IFERROR(H200/D200-1,"")))</f>
        <v/>
      </c>
      <c r="I202" s="15">
        <f>IF(OR(I200="",E200=""),"",IF(E200&lt;=0,"",IFERROR(I200/E200-1,"")))</f>
        <v/>
      </c>
      <c r="J202" s="15">
        <f>IF(OR(J200="",F200=""),"",IF(F200&lt;=0,"",IFERROR(J200/F200-1,"")))</f>
        <v/>
      </c>
      <c r="K202" s="15">
        <f>IF(OR(K200="",G200=""),"",IF(G200&lt;=0,"",IFERROR(K200/G200-1,"")))</f>
        <v/>
      </c>
      <c r="L202" s="15">
        <f>IF(OR(L200="",H200=""),"",IF(H200&lt;=0,"",IFERROR(L200/H200-1,"")))</f>
        <v/>
      </c>
      <c r="M202" s="15">
        <f>IF(OR(M200="",I200=""),"",IF(I200&lt;=0,"",IFERROR(M200/I200-1,"")))</f>
        <v/>
      </c>
      <c r="N202" s="15">
        <f>IF(OR(N200="",J200=""),"",IF(J200&lt;=0,"",IFERROR(N200/J200-1,"")))</f>
        <v/>
      </c>
      <c r="V202" s="15">
        <f>IF(OR(V200="",U200=""),"",IF(U200&lt;=0,"",IFERROR(V200/U200-1,"")))</f>
        <v/>
      </c>
      <c r="W202" s="15">
        <f>IF(OR(W200="",V200=""),"",IF(V200&lt;=0,"",IFERROR(W200/V200-1,"")))</f>
        <v/>
      </c>
      <c r="X202" s="15">
        <f>IF(OR(X200="",W200=""),"",IF(W200&lt;=0,"",IFERROR(X200/W200-1,"")))</f>
        <v/>
      </c>
    </row>
    <row r="203">
      <c r="A203" s="18" t="inlineStr">
        <is>
          <t>ArcadeOperationsReportableSegmentMember · 부문 손익</t>
        </is>
      </c>
      <c r="C203" s="20" t="n">
        <v>419</v>
      </c>
      <c r="D203" s="20" t="n">
        <v>321</v>
      </c>
      <c r="E203" s="20" t="n">
        <v>516</v>
      </c>
      <c r="F203" s="20" t="n">
        <v>1151</v>
      </c>
      <c r="G203" s="20" t="n">
        <v>591</v>
      </c>
      <c r="H203" s="20" t="n">
        <v>174</v>
      </c>
      <c r="I203" s="20" t="n">
        <v>941</v>
      </c>
      <c r="J203" s="20" t="n">
        <v>1078</v>
      </c>
      <c r="K203" s="20" t="n">
        <v>662</v>
      </c>
      <c r="L203" s="20" t="n">
        <v>520</v>
      </c>
      <c r="M203" s="20" t="n">
        <v>899</v>
      </c>
      <c r="N203" s="20" t="n">
        <v>1782</v>
      </c>
      <c r="V203" s="20" t="n">
        <v>321</v>
      </c>
      <c r="W203" s="20" t="n">
        <v>174</v>
      </c>
      <c r="X203" s="20" t="n">
        <v>520</v>
      </c>
    </row>
    <row r="204">
      <c r="A204" s="43" t="inlineStr">
        <is>
          <t>OPM</t>
        </is>
      </c>
      <c r="B204" s="3" t="inlineStr">
        <is>
          <t>영업이익 ÷ 매출</t>
        </is>
      </c>
      <c r="C204" s="15">
        <f>IF(OR(C203="",C186=""),"",IF(C186&lt;=0,"",IFERROR(C203/C186,"")))</f>
        <v/>
      </c>
      <c r="D204" s="15">
        <f>IF(OR(D203="",D186=""),"",IF(D186&lt;=0,"",IFERROR(D203/D186,"")))</f>
        <v/>
      </c>
      <c r="E204" s="15">
        <f>IF(OR(E203="",E186=""),"",IF(E186&lt;=0,"",IFERROR(E203/E186,"")))</f>
        <v/>
      </c>
      <c r="F204" s="15">
        <f>IF(OR(F203="",F186=""),"",IF(F186&lt;=0,"",IFERROR(F203/F186,"")))</f>
        <v/>
      </c>
      <c r="G204" s="15">
        <f>IF(OR(G203="",G186=""),"",IF(G186&lt;=0,"",IFERROR(G203/G186,"")))</f>
        <v/>
      </c>
      <c r="H204" s="15">
        <f>IF(OR(H203="",H186=""),"",IF(H186&lt;=0,"",IFERROR(H203/H186,"")))</f>
        <v/>
      </c>
      <c r="I204" s="15">
        <f>IF(OR(I203="",I186=""),"",IF(I186&lt;=0,"",IFERROR(I203/I186,"")))</f>
        <v/>
      </c>
      <c r="J204" s="15">
        <f>IF(OR(J203="",J186=""),"",IF(J186&lt;=0,"",IFERROR(J203/J186,"")))</f>
        <v/>
      </c>
      <c r="K204" s="15">
        <f>IF(OR(K203="",K186=""),"",IF(K186&lt;=0,"",IFERROR(K203/K186,"")))</f>
        <v/>
      </c>
      <c r="L204" s="15">
        <f>IF(OR(L203="",L186=""),"",IF(L186&lt;=0,"",IFERROR(L203/L186,"")))</f>
        <v/>
      </c>
      <c r="M204" s="15">
        <f>IF(OR(M203="",M186=""),"",IF(M186&lt;=0,"",IFERROR(M203/M186,"")))</f>
        <v/>
      </c>
      <c r="N204" s="15">
        <f>IF(OR(N203="",N186=""),"",IF(N186&lt;=0,"",IFERROR(N203/N186,"")))</f>
        <v/>
      </c>
      <c r="V204" s="15">
        <f>IF(OR(V203="",V186=""),"",IF(V186&lt;=0,"",IFERROR(V203/V186,"")))</f>
        <v/>
      </c>
      <c r="W204" s="15">
        <f>IF(OR(W203="",W186=""),"",IF(W186&lt;=0,"",IFERROR(W203/W186,"")))</f>
        <v/>
      </c>
      <c r="X204" s="15">
        <f>IF(OR(X203="",X186=""),"",IF(X186&lt;=0,"",IFERROR(X203/X186,"")))</f>
        <v/>
      </c>
    </row>
    <row r="205">
      <c r="A205" s="43" t="inlineStr">
        <is>
          <t>YoY</t>
        </is>
      </c>
      <c r="B205" s="3" t="inlineStr">
        <is>
          <t>전년 같은 분기·전년 대비</t>
        </is>
      </c>
      <c r="G205" s="15">
        <f>IF(OR(G203="",C203=""),"",IF(C203&lt;=0,"",IFERROR(G203/C203-1,"")))</f>
        <v/>
      </c>
      <c r="H205" s="15">
        <f>IF(OR(H203="",D203=""),"",IF(D203&lt;=0,"",IFERROR(H203/D203-1,"")))</f>
        <v/>
      </c>
      <c r="I205" s="15">
        <f>IF(OR(I203="",E203=""),"",IF(E203&lt;=0,"",IFERROR(I203/E203-1,"")))</f>
        <v/>
      </c>
      <c r="J205" s="15">
        <f>IF(OR(J203="",F203=""),"",IF(F203&lt;=0,"",IFERROR(J203/F203-1,"")))</f>
        <v/>
      </c>
      <c r="K205" s="15">
        <f>IF(OR(K203="",G203=""),"",IF(G203&lt;=0,"",IFERROR(K203/G203-1,"")))</f>
        <v/>
      </c>
      <c r="L205" s="15">
        <f>IF(OR(L203="",H203=""),"",IF(H203&lt;=0,"",IFERROR(L203/H203-1,"")))</f>
        <v/>
      </c>
      <c r="M205" s="15">
        <f>IF(OR(M203="",I203=""),"",IF(I203&lt;=0,"",IFERROR(M203/I203-1,"")))</f>
        <v/>
      </c>
      <c r="N205" s="15">
        <f>IF(OR(N203="",J203=""),"",IF(J203&lt;=0,"",IFERROR(N203/J203-1,"")))</f>
        <v/>
      </c>
      <c r="V205" s="15">
        <f>IF(OR(V203="",U203=""),"",IF(U203&lt;=0,"",IFERROR(V203/U203-1,"")))</f>
        <v/>
      </c>
      <c r="W205" s="15">
        <f>IF(OR(W203="",V203=""),"",IF(V203&lt;=0,"",IFERROR(W203/V203-1,"")))</f>
        <v/>
      </c>
      <c r="X205" s="15">
        <f>IF(OR(X203="",W203=""),"",IF(W203&lt;=0,"",IFERROR(X203/W203-1,"")))</f>
        <v/>
      </c>
    </row>
    <row r="206">
      <c r="A206" s="18" t="inlineStr">
        <is>
          <t>AmusementEquipmentsReportableSegmentMember · 부문 손익</t>
        </is>
      </c>
      <c r="C206" s="20" t="n">
        <v>2779</v>
      </c>
      <c r="D206" s="20" t="n">
        <v>-443</v>
      </c>
      <c r="E206" s="20" t="n">
        <v>1083</v>
      </c>
      <c r="F206" s="20" t="n">
        <v>504</v>
      </c>
      <c r="G206" s="20" t="n">
        <v>3496</v>
      </c>
      <c r="H206" s="20" t="n">
        <v>1618</v>
      </c>
      <c r="I206" s="20" t="n">
        <v>4910</v>
      </c>
      <c r="J206" s="20" t="n">
        <v>4168</v>
      </c>
      <c r="K206" s="20" t="n">
        <v>1467</v>
      </c>
      <c r="L206" s="20" t="n">
        <v>-512</v>
      </c>
      <c r="M206" s="20" t="n">
        <v>4045</v>
      </c>
      <c r="N206" s="20" t="n">
        <v>5230</v>
      </c>
      <c r="V206" s="20" t="n">
        <v>-443</v>
      </c>
      <c r="W206" s="20" t="n">
        <v>1618</v>
      </c>
      <c r="X206" s="20" t="n">
        <v>-512</v>
      </c>
    </row>
    <row r="207">
      <c r="A207" s="43" t="inlineStr">
        <is>
          <t>OPM</t>
        </is>
      </c>
      <c r="B207" s="3" t="inlineStr">
        <is>
          <t>영업이익 ÷ 매출</t>
        </is>
      </c>
      <c r="C207" s="15">
        <f>IF(OR(C206="",C188=""),"",IF(C188&lt;=0,"",IFERROR(C206/C188,"")))</f>
        <v/>
      </c>
      <c r="D207" s="15">
        <f>IF(OR(D206="",D188=""),"",IF(D188&lt;=0,"",IFERROR(D206/D188,"")))</f>
        <v/>
      </c>
      <c r="E207" s="15">
        <f>IF(OR(E206="",E188=""),"",IF(E188&lt;=0,"",IFERROR(E206/E188,"")))</f>
        <v/>
      </c>
      <c r="F207" s="15">
        <f>IF(OR(F206="",F188=""),"",IF(F188&lt;=0,"",IFERROR(F206/F188,"")))</f>
        <v/>
      </c>
      <c r="G207" s="15">
        <f>IF(OR(G206="",G188=""),"",IF(G188&lt;=0,"",IFERROR(G206/G188,"")))</f>
        <v/>
      </c>
      <c r="H207" s="15">
        <f>IF(OR(H206="",H188=""),"",IF(H188&lt;=0,"",IFERROR(H206/H188,"")))</f>
        <v/>
      </c>
      <c r="I207" s="15">
        <f>IF(OR(I206="",I188=""),"",IF(I188&lt;=0,"",IFERROR(I206/I188,"")))</f>
        <v/>
      </c>
      <c r="J207" s="15">
        <f>IF(OR(J206="",J188=""),"",IF(J188&lt;=0,"",IFERROR(J206/J188,"")))</f>
        <v/>
      </c>
      <c r="K207" s="15">
        <f>IF(OR(K206="",K188=""),"",IF(K188&lt;=0,"",IFERROR(K206/K188,"")))</f>
        <v/>
      </c>
      <c r="L207" s="15">
        <f>IF(OR(L206="",L188=""),"",IF(L188&lt;=0,"",IFERROR(L206/L188,"")))</f>
        <v/>
      </c>
      <c r="M207" s="15">
        <f>IF(OR(M206="",M188=""),"",IF(M188&lt;=0,"",IFERROR(M206/M188,"")))</f>
        <v/>
      </c>
      <c r="N207" s="15">
        <f>IF(OR(N206="",N188=""),"",IF(N188&lt;=0,"",IFERROR(N206/N188,"")))</f>
        <v/>
      </c>
      <c r="V207" s="15">
        <f>IF(OR(V206="",V188=""),"",IF(V188&lt;=0,"",IFERROR(V206/V188,"")))</f>
        <v/>
      </c>
      <c r="W207" s="15">
        <f>IF(OR(W206="",W188=""),"",IF(W188&lt;=0,"",IFERROR(W206/W188,"")))</f>
        <v/>
      </c>
      <c r="X207" s="15">
        <f>IF(OR(X206="",X188=""),"",IF(X188&lt;=0,"",IFERROR(X206/X188,"")))</f>
        <v/>
      </c>
    </row>
    <row r="208">
      <c r="A208" s="43" t="inlineStr">
        <is>
          <t>YoY</t>
        </is>
      </c>
      <c r="B208" s="3" t="inlineStr">
        <is>
          <t>전년 같은 분기·전년 대비</t>
        </is>
      </c>
      <c r="G208" s="15">
        <f>IF(OR(G206="",C206=""),"",IF(C206&lt;=0,"",IFERROR(G206/C206-1,"")))</f>
        <v/>
      </c>
      <c r="H208" s="15">
        <f>IF(OR(H206="",D206=""),"",IF(D206&lt;=0,"",IFERROR(H206/D206-1,"")))</f>
        <v/>
      </c>
      <c r="I208" s="15">
        <f>IF(OR(I206="",E206=""),"",IF(E206&lt;=0,"",IFERROR(I206/E206-1,"")))</f>
        <v/>
      </c>
      <c r="J208" s="15">
        <f>IF(OR(J206="",F206=""),"",IF(F206&lt;=0,"",IFERROR(J206/F206-1,"")))</f>
        <v/>
      </c>
      <c r="K208" s="15">
        <f>IF(OR(K206="",G206=""),"",IF(G206&lt;=0,"",IFERROR(K206/G206-1,"")))</f>
        <v/>
      </c>
      <c r="L208" s="15">
        <f>IF(OR(L206="",H206=""),"",IF(H206&lt;=0,"",IFERROR(L206/H206-1,"")))</f>
        <v/>
      </c>
      <c r="M208" s="15">
        <f>IF(OR(M206="",I206=""),"",IF(I206&lt;=0,"",IFERROR(M206/I206-1,"")))</f>
        <v/>
      </c>
      <c r="N208" s="15">
        <f>IF(OR(N206="",J206=""),"",IF(J206&lt;=0,"",IFERROR(N206/J206-1,"")))</f>
        <v/>
      </c>
      <c r="V208" s="15">
        <f>IF(OR(V206="",U206=""),"",IF(U206&lt;=0,"",IFERROR(V206/U206-1,"")))</f>
        <v/>
      </c>
      <c r="W208" s="15">
        <f>IF(OR(W206="",V206=""),"",IF(V206&lt;=0,"",IFERROR(W206/V206-1,"")))</f>
        <v/>
      </c>
      <c r="X208" s="15">
        <f>IF(OR(X206="",W206=""),"",IF(W206&lt;=0,"",IFERROR(X206/W206-1,"")))</f>
        <v/>
      </c>
    </row>
    <row r="209">
      <c r="A209" s="18" t="inlineStr">
        <is>
          <t>보고부문 합계 · 부문 손익</t>
        </is>
      </c>
      <c r="C209" s="20" t="n">
        <v>16056</v>
      </c>
      <c r="D209" s="20" t="n">
        <v>12348</v>
      </c>
      <c r="E209" s="20" t="n">
        <v>14421</v>
      </c>
      <c r="F209" s="20" t="n">
        <v>9474</v>
      </c>
      <c r="G209" s="20" t="n">
        <v>12693</v>
      </c>
      <c r="H209" s="20" t="n">
        <v>37718</v>
      </c>
      <c r="I209" s="20" t="n">
        <v>25909</v>
      </c>
      <c r="J209" s="20" t="n">
        <v>16566</v>
      </c>
      <c r="K209" s="20" t="n">
        <v>16819</v>
      </c>
      <c r="L209" s="20" t="n">
        <v>24559</v>
      </c>
      <c r="M209" s="20" t="n">
        <v>42543</v>
      </c>
      <c r="N209" s="20" t="n">
        <v>21721</v>
      </c>
      <c r="V209" s="20" t="n">
        <v>12348</v>
      </c>
      <c r="W209" s="20" t="n">
        <v>37718</v>
      </c>
      <c r="X209" s="20" t="n">
        <v>24559</v>
      </c>
    </row>
    <row r="210">
      <c r="A210" s="43" t="inlineStr">
        <is>
          <t>OPM</t>
        </is>
      </c>
      <c r="B210" s="3" t="inlineStr">
        <is>
          <t>영업이익 ÷ 매출</t>
        </is>
      </c>
      <c r="C210" s="15">
        <f>IF(OR(C209="",C190=""),"",IF(C190&lt;=0,"",IFERROR(C209/C190,"")))</f>
        <v/>
      </c>
      <c r="D210" s="15">
        <f>IF(OR(D209="",D190=""),"",IF(D190&lt;=0,"",IFERROR(D209/D190,"")))</f>
        <v/>
      </c>
      <c r="E210" s="15">
        <f>IF(OR(E209="",E190=""),"",IF(E190&lt;=0,"",IFERROR(E209/E190,"")))</f>
        <v/>
      </c>
      <c r="F210" s="15">
        <f>IF(OR(F209="",F190=""),"",IF(F190&lt;=0,"",IFERROR(F209/F190,"")))</f>
        <v/>
      </c>
      <c r="G210" s="15">
        <f>IF(OR(G209="",G190=""),"",IF(G190&lt;=0,"",IFERROR(G209/G190,"")))</f>
        <v/>
      </c>
      <c r="H210" s="15">
        <f>IF(OR(H209="",H190=""),"",IF(H190&lt;=0,"",IFERROR(H209/H190,"")))</f>
        <v/>
      </c>
      <c r="I210" s="15">
        <f>IF(OR(I209="",I190=""),"",IF(I190&lt;=0,"",IFERROR(I209/I190,"")))</f>
        <v/>
      </c>
      <c r="J210" s="15">
        <f>IF(OR(J209="",J190=""),"",IF(J190&lt;=0,"",IFERROR(J209/J190,"")))</f>
        <v/>
      </c>
      <c r="K210" s="15">
        <f>IF(OR(K209="",K190=""),"",IF(K190&lt;=0,"",IFERROR(K209/K190,"")))</f>
        <v/>
      </c>
      <c r="L210" s="15">
        <f>IF(OR(L209="",L190=""),"",IF(L190&lt;=0,"",IFERROR(L209/L190,"")))</f>
        <v/>
      </c>
      <c r="M210" s="15">
        <f>IF(OR(M209="",M190=""),"",IF(M190&lt;=0,"",IFERROR(M209/M190,"")))</f>
        <v/>
      </c>
      <c r="N210" s="15">
        <f>IF(OR(N209="",N190=""),"",IF(N190&lt;=0,"",IFERROR(N209/N190,"")))</f>
        <v/>
      </c>
      <c r="V210" s="15">
        <f>IF(OR(V209="",V190=""),"",IF(V190&lt;=0,"",IFERROR(V209/V190,"")))</f>
        <v/>
      </c>
      <c r="W210" s="15">
        <f>IF(OR(W209="",W190=""),"",IF(W190&lt;=0,"",IFERROR(W209/W190,"")))</f>
        <v/>
      </c>
      <c r="X210" s="15">
        <f>IF(OR(X209="",X190=""),"",IF(X190&lt;=0,"",IFERROR(X209/X190,"")))</f>
        <v/>
      </c>
    </row>
    <row r="211">
      <c r="A211" s="43" t="inlineStr">
        <is>
          <t>YoY</t>
        </is>
      </c>
      <c r="B211" s="3" t="inlineStr">
        <is>
          <t>전년 같은 분기·전년 대비</t>
        </is>
      </c>
      <c r="G211" s="15">
        <f>IF(OR(G209="",C209=""),"",IF(C209&lt;=0,"",IFERROR(G209/C209-1,"")))</f>
        <v/>
      </c>
      <c r="H211" s="15">
        <f>IF(OR(H209="",D209=""),"",IF(D209&lt;=0,"",IFERROR(H209/D209-1,"")))</f>
        <v/>
      </c>
      <c r="I211" s="15">
        <f>IF(OR(I209="",E209=""),"",IF(E209&lt;=0,"",IFERROR(I209/E209-1,"")))</f>
        <v/>
      </c>
      <c r="J211" s="15">
        <f>IF(OR(J209="",F209=""),"",IF(F209&lt;=0,"",IFERROR(J209/F209-1,"")))</f>
        <v/>
      </c>
      <c r="K211" s="15">
        <f>IF(OR(K209="",G209=""),"",IF(G209&lt;=0,"",IFERROR(K209/G209-1,"")))</f>
        <v/>
      </c>
      <c r="L211" s="15">
        <f>IF(OR(L209="",H209=""),"",IF(H209&lt;=0,"",IFERROR(L209/H209-1,"")))</f>
        <v/>
      </c>
      <c r="M211" s="15">
        <f>IF(OR(M209="",I209=""),"",IF(I209&lt;=0,"",IFERROR(M209/I209-1,"")))</f>
        <v/>
      </c>
      <c r="N211" s="15">
        <f>IF(OR(N209="",J209=""),"",IF(J209&lt;=0,"",IFERROR(N209/J209-1,"")))</f>
        <v/>
      </c>
      <c r="V211" s="15">
        <f>IF(OR(V209="",U209=""),"",IF(U209&lt;=0,"",IFERROR(V209/U209-1,"")))</f>
        <v/>
      </c>
      <c r="W211" s="15">
        <f>IF(OR(W209="",V209=""),"",IF(V209&lt;=0,"",IFERROR(W209/V209-1,"")))</f>
        <v/>
      </c>
      <c r="X211" s="15">
        <f>IF(OR(X209="",W209=""),"",IF(W209&lt;=0,"",IFERROR(X209/W209-1,"")))</f>
        <v/>
      </c>
    </row>
    <row r="212">
      <c r="A212" s="18" t="inlineStr">
        <is>
          <t>기타 · 부문 손익</t>
        </is>
      </c>
      <c r="C212" s="20" t="n">
        <v>28</v>
      </c>
      <c r="D212" s="20" t="n">
        <v>241</v>
      </c>
      <c r="E212" s="20" t="n">
        <v>664</v>
      </c>
      <c r="F212" s="20" t="n">
        <v>531</v>
      </c>
      <c r="G212" s="20" t="n">
        <v>55</v>
      </c>
      <c r="H212" s="20" t="n">
        <v>1234</v>
      </c>
      <c r="I212" s="20" t="n">
        <v>1369</v>
      </c>
      <c r="J212" s="20" t="n">
        <v>711</v>
      </c>
      <c r="K212" s="20" t="n">
        <v>863</v>
      </c>
      <c r="L212" s="20" t="n">
        <v>702</v>
      </c>
      <c r="M212" s="20" t="n">
        <v>1266</v>
      </c>
      <c r="N212" s="20" t="n">
        <v>709</v>
      </c>
      <c r="V212" s="20" t="n">
        <v>241</v>
      </c>
      <c r="W212" s="20" t="n">
        <v>1234</v>
      </c>
      <c r="X212" s="20" t="n">
        <v>702</v>
      </c>
    </row>
    <row r="213">
      <c r="A213" s="43" t="inlineStr">
        <is>
          <t>OPM</t>
        </is>
      </c>
      <c r="B213" s="3" t="inlineStr">
        <is>
          <t>영업이익 ÷ 매출</t>
        </is>
      </c>
      <c r="C213" s="15">
        <f>IF(OR(C212="",C192=""),"",IF(C192&lt;=0,"",IFERROR(C212/C192,"")))</f>
        <v/>
      </c>
      <c r="D213" s="15">
        <f>IF(OR(D212="",D192=""),"",IF(D192&lt;=0,"",IFERROR(D212/D192,"")))</f>
        <v/>
      </c>
      <c r="E213" s="15">
        <f>IF(OR(E212="",E192=""),"",IF(E192&lt;=0,"",IFERROR(E212/E192,"")))</f>
        <v/>
      </c>
      <c r="F213" s="15">
        <f>IF(OR(F212="",F192=""),"",IF(F192&lt;=0,"",IFERROR(F212/F192,"")))</f>
        <v/>
      </c>
      <c r="G213" s="15">
        <f>IF(OR(G212="",G192=""),"",IF(G192&lt;=0,"",IFERROR(G212/G192,"")))</f>
        <v/>
      </c>
      <c r="H213" s="15">
        <f>IF(OR(H212="",H192=""),"",IF(H192&lt;=0,"",IFERROR(H212/H192,"")))</f>
        <v/>
      </c>
      <c r="I213" s="15">
        <f>IF(OR(I212="",I192=""),"",IF(I192&lt;=0,"",IFERROR(I212/I192,"")))</f>
        <v/>
      </c>
      <c r="J213" s="15">
        <f>IF(OR(J212="",J192=""),"",IF(J192&lt;=0,"",IFERROR(J212/J192,"")))</f>
        <v/>
      </c>
      <c r="K213" s="15">
        <f>IF(OR(K212="",K192=""),"",IF(K192&lt;=0,"",IFERROR(K212/K192,"")))</f>
        <v/>
      </c>
      <c r="L213" s="15">
        <f>IF(OR(L212="",L192=""),"",IF(L192&lt;=0,"",IFERROR(L212/L192,"")))</f>
        <v/>
      </c>
      <c r="M213" s="15">
        <f>IF(OR(M212="",M192=""),"",IF(M192&lt;=0,"",IFERROR(M212/M192,"")))</f>
        <v/>
      </c>
      <c r="N213" s="15">
        <f>IF(OR(N212="",N192=""),"",IF(N192&lt;=0,"",IFERROR(N212/N192,"")))</f>
        <v/>
      </c>
      <c r="V213" s="15">
        <f>IF(OR(V212="",V192=""),"",IF(V192&lt;=0,"",IFERROR(V212/V192,"")))</f>
        <v/>
      </c>
      <c r="W213" s="15">
        <f>IF(OR(W212="",W192=""),"",IF(W192&lt;=0,"",IFERROR(W212/W192,"")))</f>
        <v/>
      </c>
      <c r="X213" s="15">
        <f>IF(OR(X212="",X192=""),"",IF(X192&lt;=0,"",IFERROR(X212/X192,"")))</f>
        <v/>
      </c>
    </row>
    <row r="214">
      <c r="A214" s="43" t="inlineStr">
        <is>
          <t>YoY</t>
        </is>
      </c>
      <c r="B214" s="3" t="inlineStr">
        <is>
          <t>전년 같은 분기·전년 대비</t>
        </is>
      </c>
      <c r="G214" s="15">
        <f>IF(OR(G212="",C212=""),"",IF(C212&lt;=0,"",IFERROR(G212/C212-1,"")))</f>
        <v/>
      </c>
      <c r="H214" s="15">
        <f>IF(OR(H212="",D212=""),"",IF(D212&lt;=0,"",IFERROR(H212/D212-1,"")))</f>
        <v/>
      </c>
      <c r="I214" s="15">
        <f>IF(OR(I212="",E212=""),"",IF(E212&lt;=0,"",IFERROR(I212/E212-1,"")))</f>
        <v/>
      </c>
      <c r="J214" s="15">
        <f>IF(OR(J212="",F212=""),"",IF(F212&lt;=0,"",IFERROR(J212/F212-1,"")))</f>
        <v/>
      </c>
      <c r="K214" s="15">
        <f>IF(OR(K212="",G212=""),"",IF(G212&lt;=0,"",IFERROR(K212/G212-1,"")))</f>
        <v/>
      </c>
      <c r="L214" s="15">
        <f>IF(OR(L212="",H212=""),"",IF(H212&lt;=0,"",IFERROR(L212/H212-1,"")))</f>
        <v/>
      </c>
      <c r="M214" s="15">
        <f>IF(OR(M212="",I212=""),"",IF(I212&lt;=0,"",IFERROR(M212/I212-1,"")))</f>
        <v/>
      </c>
      <c r="N214" s="15">
        <f>IF(OR(N212="",J212=""),"",IF(J212&lt;=0,"",IFERROR(N212/J212-1,"")))</f>
        <v/>
      </c>
      <c r="V214" s="15">
        <f>IF(OR(V212="",U212=""),"",IF(U212&lt;=0,"",IFERROR(V212/U212-1,"")))</f>
        <v/>
      </c>
      <c r="W214" s="15">
        <f>IF(OR(W212="",V212=""),"",IF(V212&lt;=0,"",IFERROR(W212/V212-1,"")))</f>
        <v/>
      </c>
      <c r="X214" s="15">
        <f>IF(OR(X212="",W212=""),"",IF(W212&lt;=0,"",IFERROR(X212/W212-1,"")))</f>
        <v/>
      </c>
    </row>
    <row r="215">
      <c r="A215" s="18" t="inlineStr">
        <is>
          <t>합계 · 부문 손익</t>
        </is>
      </c>
      <c r="C215" s="20" t="n">
        <v>16084</v>
      </c>
      <c r="D215" s="20" t="n">
        <v>12589</v>
      </c>
      <c r="E215" s="20" t="n">
        <v>15085</v>
      </c>
      <c r="F215" s="20" t="n">
        <v>10006</v>
      </c>
      <c r="G215" s="20" t="n">
        <v>12748</v>
      </c>
      <c r="H215" s="20" t="n">
        <v>38951</v>
      </c>
      <c r="I215" s="20" t="n">
        <v>27278</v>
      </c>
      <c r="J215" s="20" t="n">
        <v>17278</v>
      </c>
      <c r="K215" s="20" t="n">
        <v>17681</v>
      </c>
      <c r="L215" s="20" t="n">
        <v>25262</v>
      </c>
      <c r="M215" s="20" t="n">
        <v>43809</v>
      </c>
      <c r="N215" s="20" t="n">
        <v>22431</v>
      </c>
      <c r="V215" s="20" t="n">
        <v>12589</v>
      </c>
      <c r="W215" s="20" t="n">
        <v>38951</v>
      </c>
      <c r="X215" s="20" t="n">
        <v>25262</v>
      </c>
    </row>
    <row r="216">
      <c r="A216" s="43" t="inlineStr">
        <is>
          <t>OPM</t>
        </is>
      </c>
      <c r="B216" s="3" t="inlineStr">
        <is>
          <t>영업이익 ÷ 매출</t>
        </is>
      </c>
      <c r="C216" s="15">
        <f>IF(OR(C215="",C194=""),"",IF(C194&lt;=0,"",IFERROR(C215/C194,"")))</f>
        <v/>
      </c>
      <c r="D216" s="15">
        <f>IF(OR(D215="",D194=""),"",IF(D194&lt;=0,"",IFERROR(D215/D194,"")))</f>
        <v/>
      </c>
      <c r="E216" s="15">
        <f>IF(OR(E215="",E194=""),"",IF(E194&lt;=0,"",IFERROR(E215/E194,"")))</f>
        <v/>
      </c>
      <c r="F216" s="15">
        <f>IF(OR(F215="",F194=""),"",IF(F194&lt;=0,"",IFERROR(F215/F194,"")))</f>
        <v/>
      </c>
      <c r="G216" s="15">
        <f>IF(OR(G215="",G194=""),"",IF(G194&lt;=0,"",IFERROR(G215/G194,"")))</f>
        <v/>
      </c>
      <c r="H216" s="15">
        <f>IF(OR(H215="",H194=""),"",IF(H194&lt;=0,"",IFERROR(H215/H194,"")))</f>
        <v/>
      </c>
      <c r="I216" s="15">
        <f>IF(OR(I215="",I194=""),"",IF(I194&lt;=0,"",IFERROR(I215/I194,"")))</f>
        <v/>
      </c>
      <c r="J216" s="15">
        <f>IF(OR(J215="",J194=""),"",IF(J194&lt;=0,"",IFERROR(J215/J194,"")))</f>
        <v/>
      </c>
      <c r="K216" s="15">
        <f>IF(OR(K215="",K194=""),"",IF(K194&lt;=0,"",IFERROR(K215/K194,"")))</f>
        <v/>
      </c>
      <c r="L216" s="15">
        <f>IF(OR(L215="",L194=""),"",IF(L194&lt;=0,"",IFERROR(L215/L194,"")))</f>
        <v/>
      </c>
      <c r="M216" s="15">
        <f>IF(OR(M215="",M194=""),"",IF(M194&lt;=0,"",IFERROR(M215/M194,"")))</f>
        <v/>
      </c>
      <c r="N216" s="15">
        <f>IF(OR(N215="",N194=""),"",IF(N194&lt;=0,"",IFERROR(N215/N194,"")))</f>
        <v/>
      </c>
      <c r="V216" s="15">
        <f>IF(OR(V215="",V194=""),"",IF(V194&lt;=0,"",IFERROR(V215/V194,"")))</f>
        <v/>
      </c>
      <c r="W216" s="15">
        <f>IF(OR(W215="",W194=""),"",IF(W194&lt;=0,"",IFERROR(W215/W194,"")))</f>
        <v/>
      </c>
      <c r="X216" s="15">
        <f>IF(OR(X215="",X194=""),"",IF(X194&lt;=0,"",IFERROR(X215/X194,"")))</f>
        <v/>
      </c>
    </row>
    <row r="217">
      <c r="A217" s="43" t="inlineStr">
        <is>
          <t>YoY</t>
        </is>
      </c>
      <c r="B217" s="3" t="inlineStr">
        <is>
          <t>전년 같은 분기·전년 대비</t>
        </is>
      </c>
      <c r="G217" s="15">
        <f>IF(OR(G215="",C215=""),"",IF(C215&lt;=0,"",IFERROR(G215/C215-1,"")))</f>
        <v/>
      </c>
      <c r="H217" s="15">
        <f>IF(OR(H215="",D215=""),"",IF(D215&lt;=0,"",IFERROR(H215/D215-1,"")))</f>
        <v/>
      </c>
      <c r="I217" s="15">
        <f>IF(OR(I215="",E215=""),"",IF(E215&lt;=0,"",IFERROR(I215/E215-1,"")))</f>
        <v/>
      </c>
      <c r="J217" s="15">
        <f>IF(OR(J215="",F215=""),"",IF(F215&lt;=0,"",IFERROR(J215/F215-1,"")))</f>
        <v/>
      </c>
      <c r="K217" s="15">
        <f>IF(OR(K215="",G215=""),"",IF(G215&lt;=0,"",IFERROR(K215/G215-1,"")))</f>
        <v/>
      </c>
      <c r="L217" s="15">
        <f>IF(OR(L215="",H215=""),"",IF(H215&lt;=0,"",IFERROR(L215/H215-1,"")))</f>
        <v/>
      </c>
      <c r="M217" s="15">
        <f>IF(OR(M215="",I215=""),"",IF(I215&lt;=0,"",IFERROR(M215/I215-1,"")))</f>
        <v/>
      </c>
      <c r="N217" s="15">
        <f>IF(OR(N215="",J215=""),"",IF(J215&lt;=0,"",IFERROR(N215/J215-1,"")))</f>
        <v/>
      </c>
      <c r="V217" s="15">
        <f>IF(OR(V215="",U215=""),"",IF(U215&lt;=0,"",IFERROR(V215/U215-1,"")))</f>
        <v/>
      </c>
      <c r="W217" s="15">
        <f>IF(OR(W215="",V215=""),"",IF(V215&lt;=0,"",IFERROR(W215/V215-1,"")))</f>
        <v/>
      </c>
      <c r="X217" s="15">
        <f>IF(OR(X215="",W215=""),"",IF(W215&lt;=0,"",IFERROR(X215/W215-1,"")))</f>
        <v/>
      </c>
    </row>
    <row r="218">
      <c r="A218" s="18" t="inlineStr">
        <is>
          <t>조정액 · 부문 손익</t>
        </is>
      </c>
      <c r="C218" s="20" t="n">
        <v>-2214</v>
      </c>
      <c r="D218" s="20" t="n">
        <v>-3213</v>
      </c>
      <c r="E218" s="20" t="n">
        <v>-2196</v>
      </c>
      <c r="F218" s="20" t="n">
        <v>-2168</v>
      </c>
      <c r="G218" s="20" t="n">
        <v>-2454</v>
      </c>
      <c r="H218" s="20" t="n">
        <v>-4195</v>
      </c>
      <c r="I218" s="20" t="n">
        <v>-2680</v>
      </c>
      <c r="J218" s="20" t="n">
        <v>-2543</v>
      </c>
      <c r="K218" s="20" t="n">
        <v>-2712</v>
      </c>
      <c r="L218" s="20" t="n">
        <v>-4268</v>
      </c>
      <c r="M218" s="20" t="n">
        <v>-2754</v>
      </c>
      <c r="N218" s="20" t="n">
        <v>-2717</v>
      </c>
      <c r="V218" s="20" t="n">
        <v>-3213</v>
      </c>
      <c r="W218" s="20" t="n">
        <v>-4195</v>
      </c>
      <c r="X218" s="20" t="n">
        <v>-4268</v>
      </c>
    </row>
    <row r="219">
      <c r="A219" s="18" t="inlineStr">
        <is>
          <t>EntityTotalMember · 부문 손익</t>
        </is>
      </c>
      <c r="E219" s="20" t="n">
        <v>12889</v>
      </c>
      <c r="I219" s="20" t="n">
        <v>24597</v>
      </c>
      <c r="M219" s="20" t="n">
        <v>41054</v>
      </c>
    </row>
    <row r="220">
      <c r="A220" s="9" t="inlineStr">
        <is>
          <t>부문 손익</t>
        </is>
      </c>
      <c r="C220" s="12" t="n">
        <v>13869</v>
      </c>
      <c r="D220" s="12" t="n">
        <v>9377</v>
      </c>
      <c r="E220" s="12" t="n">
        <v>12889</v>
      </c>
      <c r="F220" s="12" t="n">
        <v>7837</v>
      </c>
      <c r="G220" s="12" t="n">
        <v>10294</v>
      </c>
      <c r="H220" s="12" t="n">
        <v>34757</v>
      </c>
      <c r="V220" s="12" t="n">
        <v>9377</v>
      </c>
      <c r="W220" s="12" t="n">
        <v>34757</v>
      </c>
    </row>
    <row r="221">
      <c r="A221" s="43" t="inlineStr">
        <is>
          <t>OPM</t>
        </is>
      </c>
      <c r="B221" s="3" t="inlineStr">
        <is>
          <t>영업이익 ÷ 매출</t>
        </is>
      </c>
      <c r="C221" s="15">
        <f>IF(OR(C220="",C173=""),"",IF(C173&lt;=0,"",IFERROR(C220/C173,"")))</f>
        <v/>
      </c>
      <c r="D221" s="15">
        <f>IF(OR(D220="",D173=""),"",IF(D173&lt;=0,"",IFERROR(D220/D173,"")))</f>
        <v/>
      </c>
      <c r="E221" s="15">
        <f>IF(OR(E220="",E173=""),"",IF(E173&lt;=0,"",IFERROR(E220/E173,"")))</f>
        <v/>
      </c>
      <c r="F221" s="15">
        <f>IF(OR(F220="",F173=""),"",IF(F173&lt;=0,"",IFERROR(F220/F173,"")))</f>
        <v/>
      </c>
      <c r="G221" s="15">
        <f>IF(OR(G220="",G173=""),"",IF(G173&lt;=0,"",IFERROR(G220/G173,"")))</f>
        <v/>
      </c>
      <c r="H221" s="15">
        <f>IF(OR(H220="",H173=""),"",IF(H173&lt;=0,"",IFERROR(H220/H173,"")))</f>
        <v/>
      </c>
      <c r="V221" s="15">
        <f>IF(OR(V220="",V173=""),"",IF(V173&lt;=0,"",IFERROR(V220/V173,"")))</f>
        <v/>
      </c>
      <c r="W221" s="15">
        <f>IF(OR(W220="",W173=""),"",IF(W173&lt;=0,"",IFERROR(W220/W173,"")))</f>
        <v/>
      </c>
    </row>
    <row r="222">
      <c r="A222" s="43" t="inlineStr">
        <is>
          <t>YoY</t>
        </is>
      </c>
      <c r="B222" s="3" t="inlineStr">
        <is>
          <t>전년 같은 분기·전년 대비</t>
        </is>
      </c>
      <c r="G222" s="15">
        <f>IF(OR(G220="",C220=""),"",IF(C220&lt;=0,"",IFERROR(G220/C220-1,"")))</f>
        <v/>
      </c>
      <c r="H222" s="15">
        <f>IF(OR(H220="",D220=""),"",IF(D220&lt;=0,"",IFERROR(H220/D220-1,"")))</f>
        <v/>
      </c>
      <c r="V222" s="15">
        <f>IF(OR(V220="",U220=""),"",IF(U220&lt;=0,"",IFERROR(V220/U220-1,"")))</f>
        <v/>
      </c>
      <c r="W222" s="15">
        <f>IF(OR(W220="",V220=""),"",IF(V220&lt;=0,"",IFERROR(W220/V220-1,"")))</f>
        <v/>
      </c>
    </row>
    <row r="224">
      <c r="A224" s="16" t="inlineStr">
        <is>
          <t>현금흐름표 · 전 항목</t>
        </is>
      </c>
      <c r="B224" s="42" t="inlineStr">
        <is>
          <t>분기 = 결산기 첫날부터 누계(공시 그대로)</t>
        </is>
      </c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  <c r="AA224" s="16" t="n"/>
      <c r="AB224" s="16" t="n"/>
      <c r="AC224" s="16" t="n"/>
    </row>
    <row r="225">
      <c r="A225" s="5" t="inlineStr">
        <is>
          <t>항목</t>
        </is>
      </c>
      <c r="B225" s="5" t="inlineStr">
        <is>
          <t>참고</t>
        </is>
      </c>
      <c r="C225" s="5" t="inlineStr">
        <is>
          <t>2024.3Q</t>
        </is>
      </c>
      <c r="D225" s="5" t="inlineStr">
        <is>
          <t>2024.4Q</t>
        </is>
      </c>
      <c r="E225" s="5" t="inlineStr">
        <is>
          <t>2025.1Q</t>
        </is>
      </c>
      <c r="F225" s="5" t="inlineStr">
        <is>
          <t>2025.2Q</t>
        </is>
      </c>
      <c r="G225" s="5" t="inlineStr">
        <is>
          <t>2025.3Q</t>
        </is>
      </c>
      <c r="H225" s="5" t="inlineStr">
        <is>
          <t>2025.4Q</t>
        </is>
      </c>
      <c r="I225" s="5" t="inlineStr">
        <is>
          <t>2026.1Q</t>
        </is>
      </c>
      <c r="J225" s="5" t="inlineStr">
        <is>
          <t>2026.2Q</t>
        </is>
      </c>
      <c r="K225" s="5" t="inlineStr">
        <is>
          <t>2026.3Q</t>
        </is>
      </c>
      <c r="L225" s="5" t="inlineStr">
        <is>
          <t>2026.4Q</t>
        </is>
      </c>
      <c r="M225" s="5" t="inlineStr">
        <is>
          <t>2027.1Q</t>
        </is>
      </c>
      <c r="N225" s="5" t="inlineStr">
        <is>
          <t>2027.2Q</t>
        </is>
      </c>
      <c r="O225" s="5" t="inlineStr">
        <is>
          <t>2017</t>
        </is>
      </c>
      <c r="P225" s="5" t="inlineStr">
        <is>
          <t>2018</t>
        </is>
      </c>
      <c r="Q225" s="5" t="inlineStr">
        <is>
          <t>2019</t>
        </is>
      </c>
      <c r="R225" s="5" t="inlineStr">
        <is>
          <t>2020</t>
        </is>
      </c>
      <c r="S225" s="5" t="inlineStr">
        <is>
          <t>2021</t>
        </is>
      </c>
      <c r="T225" s="5" t="inlineStr">
        <is>
          <t>2022</t>
        </is>
      </c>
      <c r="U225" s="5" t="inlineStr">
        <is>
          <t>2023</t>
        </is>
      </c>
      <c r="V225" s="5" t="inlineStr">
        <is>
          <t>2024</t>
        </is>
      </c>
      <c r="W225" s="5" t="inlineStr">
        <is>
          <t>2025</t>
        </is>
      </c>
      <c r="X225" s="5" t="inlineStr">
        <is>
          <t>2026</t>
        </is>
      </c>
      <c r="Y225" s="5" t="inlineStr">
        <is>
          <t>2027(MW)</t>
        </is>
      </c>
      <c r="Z225" s="5" t="inlineStr">
        <is>
          <t>2028(MW)</t>
        </is>
      </c>
      <c r="AA225" s="5" t="inlineStr">
        <is>
          <t>2029(MW)</t>
        </is>
      </c>
      <c r="AB225" s="5" t="inlineStr">
        <is>
          <t>2030(MW)</t>
        </is>
      </c>
      <c r="AC225" s="5" t="inlineStr">
        <is>
          <t>2031(MW)</t>
        </is>
      </c>
    </row>
    <row r="226">
      <c r="A226" s="9" t="inlineStr">
        <is>
          <t>법인세차감전 순이익</t>
        </is>
      </c>
      <c r="C226" s="12" t="n">
        <v>49598</v>
      </c>
      <c r="D226" s="12" t="n">
        <v>59282</v>
      </c>
      <c r="E226" s="12" t="n">
        <v>13629</v>
      </c>
      <c r="F226" s="12" t="n">
        <v>20847</v>
      </c>
      <c r="G226" s="12" t="n">
        <v>31459</v>
      </c>
      <c r="H226" s="12" t="n">
        <v>65651</v>
      </c>
      <c r="I226" s="12" t="n">
        <v>22834</v>
      </c>
      <c r="J226" s="12" t="n">
        <v>36367</v>
      </c>
      <c r="K226" s="12" t="n">
        <v>51515</v>
      </c>
      <c r="L226" s="12" t="n">
        <v>73934</v>
      </c>
      <c r="M226" s="12" t="n">
        <v>41452</v>
      </c>
      <c r="N226" s="12" t="n">
        <v>61212</v>
      </c>
      <c r="O226" s="12" t="n">
        <v>12489</v>
      </c>
      <c r="P226" s="12" t="n">
        <v>15149</v>
      </c>
      <c r="Q226" s="12" t="n">
        <v>17770</v>
      </c>
      <c r="R226" s="12" t="n">
        <v>22890</v>
      </c>
      <c r="S226" s="12" t="n">
        <v>34828</v>
      </c>
      <c r="T226" s="12" t="n">
        <v>44322</v>
      </c>
      <c r="U226" s="12" t="n">
        <v>51143</v>
      </c>
      <c r="V226" s="12" t="n">
        <v>59282</v>
      </c>
      <c r="W226" s="12" t="n">
        <v>65651</v>
      </c>
      <c r="X226" s="12" t="n">
        <v>73934</v>
      </c>
    </row>
    <row r="227">
      <c r="A227" s="18" t="inlineStr">
        <is>
          <t>감가상각비</t>
        </is>
      </c>
      <c r="C227" s="20" t="n">
        <v>3032</v>
      </c>
      <c r="D227" s="20" t="n">
        <v>4221</v>
      </c>
      <c r="E227" s="20" t="n">
        <v>1062</v>
      </c>
      <c r="F227" s="20" t="n">
        <v>2143</v>
      </c>
      <c r="G227" s="20" t="n">
        <v>3371</v>
      </c>
      <c r="H227" s="20" t="n">
        <v>4675</v>
      </c>
      <c r="I227" s="20" t="n">
        <v>1144</v>
      </c>
      <c r="J227" s="20" t="n">
        <v>2406</v>
      </c>
      <c r="K227" s="20" t="n">
        <v>3759</v>
      </c>
      <c r="L227" s="20" t="n">
        <v>5200</v>
      </c>
      <c r="M227" s="20" t="n">
        <v>1179</v>
      </c>
      <c r="N227" s="20" t="n">
        <v>2434</v>
      </c>
      <c r="O227" s="20" t="n">
        <v>5980</v>
      </c>
      <c r="P227" s="20" t="n">
        <v>4706</v>
      </c>
      <c r="Q227" s="20" t="n">
        <v>3228</v>
      </c>
      <c r="R227" s="20" t="n">
        <v>2795</v>
      </c>
      <c r="S227" s="20" t="n">
        <v>2791</v>
      </c>
      <c r="T227" s="20" t="n">
        <v>3385</v>
      </c>
      <c r="U227" s="20" t="n">
        <v>3438</v>
      </c>
      <c r="V227" s="20" t="n">
        <v>4221</v>
      </c>
      <c r="W227" s="20" t="n">
        <v>4675</v>
      </c>
      <c r="X227" s="20" t="n">
        <v>5200</v>
      </c>
    </row>
    <row r="228">
      <c r="A228" s="18" t="inlineStr">
        <is>
          <t>손상차손</t>
        </is>
      </c>
      <c r="D228" s="20" t="n">
        <v>0</v>
      </c>
      <c r="P228" s="20" t="n">
        <v>0</v>
      </c>
      <c r="Q228" s="20" t="n">
        <v>393</v>
      </c>
      <c r="R228" s="20" t="n">
        <v>0</v>
      </c>
      <c r="T228" s="20" t="n">
        <v>0</v>
      </c>
      <c r="U228" s="20" t="n">
        <v>190</v>
      </c>
      <c r="V228" s="20" t="n">
        <v>0</v>
      </c>
    </row>
    <row r="229">
      <c r="A229" s="18" t="inlineStr">
        <is>
          <t>영업권 상각</t>
        </is>
      </c>
      <c r="C229" s="20" t="n">
        <v>8</v>
      </c>
      <c r="E229" s="20" t="n">
        <v>8</v>
      </c>
      <c r="F229" s="20" t="n">
        <v>17</v>
      </c>
      <c r="G229" s="20" t="n">
        <v>38</v>
      </c>
      <c r="I229" s="20" t="n">
        <v>21</v>
      </c>
      <c r="J229" s="20" t="n">
        <v>45</v>
      </c>
      <c r="K229" s="20" t="n">
        <v>68</v>
      </c>
      <c r="M229" s="20" t="n">
        <v>22</v>
      </c>
      <c r="N229" s="20" t="n">
        <v>45</v>
      </c>
    </row>
    <row r="230">
      <c r="A230" s="18" t="inlineStr">
        <is>
          <t>대손충당금 증감</t>
        </is>
      </c>
      <c r="C230" s="20" t="n">
        <v>2</v>
      </c>
      <c r="D230" s="20" t="n">
        <v>1</v>
      </c>
      <c r="E230" s="20" t="n">
        <v>-0</v>
      </c>
      <c r="F230" s="20" t="n">
        <v>-0</v>
      </c>
      <c r="G230" s="20" t="n">
        <v>0</v>
      </c>
      <c r="H230" s="20" t="n">
        <v>-1</v>
      </c>
      <c r="I230" s="20" t="n">
        <v>2</v>
      </c>
      <c r="J230" s="20" t="n">
        <v>4</v>
      </c>
      <c r="K230" s="20" t="n">
        <v>1</v>
      </c>
      <c r="O230" s="20" t="n">
        <v>-1</v>
      </c>
      <c r="P230" s="20" t="n">
        <v>-36</v>
      </c>
      <c r="Q230" s="20" t="n">
        <v>32</v>
      </c>
      <c r="R230" s="20" t="n">
        <v>-25</v>
      </c>
      <c r="S230" s="20" t="n">
        <v>5</v>
      </c>
      <c r="T230" s="20" t="n">
        <v>-36</v>
      </c>
      <c r="U230" s="20" t="n">
        <v>-9</v>
      </c>
      <c r="V230" s="20" t="n">
        <v>1</v>
      </c>
      <c r="W230" s="20" t="n">
        <v>-1</v>
      </c>
    </row>
    <row r="231">
      <c r="A231" s="18" t="inlineStr">
        <is>
          <t>상여충당금 증감</t>
        </is>
      </c>
      <c r="C231" s="20" t="n">
        <v>-3337</v>
      </c>
      <c r="D231" s="20" t="n">
        <v>2610</v>
      </c>
      <c r="E231" s="20" t="n">
        <v>-4891</v>
      </c>
      <c r="F231" s="20" t="n">
        <v>-3180</v>
      </c>
      <c r="G231" s="20" t="n">
        <v>-5803</v>
      </c>
      <c r="H231" s="20" t="n">
        <v>1094</v>
      </c>
      <c r="I231" s="20" t="n">
        <v>-4962</v>
      </c>
      <c r="J231" s="20" t="n">
        <v>-3411</v>
      </c>
      <c r="K231" s="20" t="n">
        <v>-6945</v>
      </c>
      <c r="L231" s="20" t="n">
        <v>990</v>
      </c>
      <c r="M231" s="20" t="n">
        <v>-5551</v>
      </c>
      <c r="N231" s="20" t="n">
        <v>-3861</v>
      </c>
      <c r="O231" s="20" t="n">
        <v>186</v>
      </c>
      <c r="P231" s="20" t="n">
        <v>604</v>
      </c>
      <c r="Q231" s="20" t="n">
        <v>223</v>
      </c>
      <c r="R231" s="20" t="n">
        <v>49</v>
      </c>
      <c r="S231" s="20" t="n">
        <v>912</v>
      </c>
      <c r="T231" s="20" t="n">
        <v>-68</v>
      </c>
      <c r="U231" s="20" t="n">
        <v>1690</v>
      </c>
      <c r="V231" s="20" t="n">
        <v>2610</v>
      </c>
      <c r="W231" s="20" t="n">
        <v>1094</v>
      </c>
      <c r="X231" s="20" t="n">
        <v>990</v>
      </c>
    </row>
    <row r="232">
      <c r="A232" s="18" t="inlineStr">
        <is>
          <t>퇴직급여부채 증감</t>
        </is>
      </c>
      <c r="D232" s="20" t="n">
        <v>339</v>
      </c>
      <c r="H232" s="20" t="n">
        <v>365</v>
      </c>
      <c r="L232" s="20" t="n">
        <v>317</v>
      </c>
      <c r="O232" s="20" t="n">
        <v>204</v>
      </c>
      <c r="P232" s="20" t="n">
        <v>253</v>
      </c>
      <c r="Q232" s="20" t="n">
        <v>214</v>
      </c>
      <c r="R232" s="20" t="n">
        <v>258</v>
      </c>
      <c r="S232" s="20" t="n">
        <v>281</v>
      </c>
      <c r="T232" s="20" t="n">
        <v>247</v>
      </c>
      <c r="U232" s="20" t="n">
        <v>328</v>
      </c>
      <c r="V232" s="20" t="n">
        <v>339</v>
      </c>
      <c r="W232" s="20" t="n">
        <v>365</v>
      </c>
      <c r="X232" s="20" t="n">
        <v>317</v>
      </c>
    </row>
    <row r="233">
      <c r="A233" s="18" t="inlineStr">
        <is>
          <t>주식급여 충당금 증감</t>
        </is>
      </c>
      <c r="C233" s="20" t="n">
        <v>797</v>
      </c>
      <c r="D233" s="20" t="n">
        <v>1055</v>
      </c>
      <c r="E233" s="20" t="n">
        <v>282</v>
      </c>
      <c r="F233" s="20" t="n">
        <v>553</v>
      </c>
      <c r="G233" s="20" t="n">
        <v>826</v>
      </c>
      <c r="H233" s="20" t="n">
        <v>1095</v>
      </c>
      <c r="I233" s="20" t="n">
        <v>284</v>
      </c>
      <c r="J233" s="20" t="n">
        <v>581</v>
      </c>
      <c r="K233" s="20" t="n">
        <v>861</v>
      </c>
      <c r="L233" s="20" t="n">
        <v>1141</v>
      </c>
      <c r="M233" s="20" t="n">
        <v>307</v>
      </c>
      <c r="N233" s="20" t="n">
        <v>599</v>
      </c>
      <c r="T233" s="20" t="n">
        <v>0</v>
      </c>
      <c r="U233" s="20" t="n">
        <v>1020</v>
      </c>
      <c r="V233" s="20" t="n">
        <v>1055</v>
      </c>
      <c r="W233" s="20" t="n">
        <v>1095</v>
      </c>
      <c r="X233" s="20" t="n">
        <v>1141</v>
      </c>
    </row>
    <row r="234">
      <c r="A234" s="18" t="inlineStr">
        <is>
          <t>주식보상 충당금 증감</t>
        </is>
      </c>
      <c r="D234" s="20" t="n">
        <v>0</v>
      </c>
      <c r="E234" s="20" t="n">
        <v>0</v>
      </c>
      <c r="F234" s="20" t="n">
        <v>0</v>
      </c>
      <c r="G234" s="20" t="n">
        <v>0</v>
      </c>
      <c r="H234" s="20" t="n">
        <v>49</v>
      </c>
      <c r="I234" s="20" t="n">
        <v>22</v>
      </c>
      <c r="J234" s="20" t="n">
        <v>44</v>
      </c>
      <c r="K234" s="20" t="n">
        <v>66</v>
      </c>
      <c r="L234" s="20" t="n">
        <v>88</v>
      </c>
      <c r="M234" s="20" t="n">
        <v>34</v>
      </c>
      <c r="N234" s="20" t="n">
        <v>69</v>
      </c>
      <c r="V234" s="20" t="n">
        <v>0</v>
      </c>
      <c r="W234" s="20" t="n">
        <v>49</v>
      </c>
      <c r="X234" s="20" t="n">
        <v>88</v>
      </c>
    </row>
    <row r="235">
      <c r="A235" s="18" t="inlineStr">
        <is>
          <t>이자·배당금 수익</t>
        </is>
      </c>
      <c r="C235" s="20" t="n">
        <v>-807</v>
      </c>
      <c r="D235" s="20" t="n">
        <v>-1186</v>
      </c>
      <c r="E235" s="20" t="n">
        <v>-272</v>
      </c>
      <c r="F235" s="20" t="n">
        <v>-574</v>
      </c>
      <c r="G235" s="20" t="n">
        <v>-837</v>
      </c>
      <c r="H235" s="20" t="n">
        <v>-1119</v>
      </c>
      <c r="I235" s="20" t="n">
        <v>-276</v>
      </c>
      <c r="J235" s="20" t="n">
        <v>-660</v>
      </c>
      <c r="K235" s="20" t="n">
        <v>-1044</v>
      </c>
      <c r="L235" s="20" t="n">
        <v>-1547</v>
      </c>
      <c r="M235" s="20" t="n">
        <v>-513</v>
      </c>
      <c r="N235" s="20" t="n">
        <v>-1214</v>
      </c>
      <c r="O235" s="20" t="n">
        <v>-61</v>
      </c>
      <c r="P235" s="20" t="n">
        <v>-71</v>
      </c>
      <c r="Q235" s="20" t="n">
        <v>-189</v>
      </c>
      <c r="R235" s="20" t="n">
        <v>-289</v>
      </c>
      <c r="S235" s="20" t="n">
        <v>-85</v>
      </c>
      <c r="T235" s="20" t="n">
        <v>-61</v>
      </c>
      <c r="U235" s="20" t="n">
        <v>-420</v>
      </c>
      <c r="V235" s="20" t="n">
        <v>-1186</v>
      </c>
      <c r="W235" s="20" t="n">
        <v>-1119</v>
      </c>
      <c r="X235" s="20" t="n">
        <v>-1547</v>
      </c>
    </row>
    <row r="236">
      <c r="A236" s="18" t="inlineStr">
        <is>
          <t>이자비용</t>
        </is>
      </c>
      <c r="C236" s="20" t="n">
        <v>44</v>
      </c>
      <c r="D236" s="20" t="n">
        <v>60</v>
      </c>
      <c r="E236" s="20" t="n">
        <v>17</v>
      </c>
      <c r="F236" s="20" t="n">
        <v>37</v>
      </c>
      <c r="G236" s="20" t="n">
        <v>61</v>
      </c>
      <c r="H236" s="20" t="n">
        <v>80</v>
      </c>
      <c r="I236" s="20" t="n">
        <v>22</v>
      </c>
      <c r="J236" s="20" t="n">
        <v>37</v>
      </c>
      <c r="K236" s="20" t="n">
        <v>48</v>
      </c>
      <c r="L236" s="20" t="n">
        <v>58</v>
      </c>
      <c r="M236" s="20" t="n">
        <v>8</v>
      </c>
      <c r="N236" s="20" t="n">
        <v>17</v>
      </c>
      <c r="O236" s="20" t="n">
        <v>141</v>
      </c>
      <c r="P236" s="20" t="n">
        <v>103</v>
      </c>
      <c r="Q236" s="20" t="n">
        <v>80</v>
      </c>
      <c r="R236" s="20" t="n">
        <v>74</v>
      </c>
      <c r="S236" s="20" t="n">
        <v>72</v>
      </c>
      <c r="T236" s="20" t="n">
        <v>49</v>
      </c>
      <c r="U236" s="20" t="n">
        <v>44</v>
      </c>
      <c r="V236" s="20" t="n">
        <v>60</v>
      </c>
      <c r="W236" s="20" t="n">
        <v>80</v>
      </c>
      <c r="X236" s="20" t="n">
        <v>58</v>
      </c>
    </row>
    <row r="237">
      <c r="A237" s="18" t="inlineStr">
        <is>
          <t>외환차손익</t>
        </is>
      </c>
      <c r="C237" s="20" t="n">
        <v>-664</v>
      </c>
      <c r="D237" s="20" t="n">
        <v>-1134</v>
      </c>
      <c r="E237" s="20" t="n">
        <v>-295</v>
      </c>
      <c r="F237" s="20" t="n">
        <v>-236</v>
      </c>
      <c r="G237" s="20" t="n">
        <v>-120</v>
      </c>
      <c r="H237" s="20" t="n">
        <v>-117</v>
      </c>
      <c r="I237" s="20" t="n">
        <v>-103</v>
      </c>
      <c r="J237" s="20" t="n">
        <v>-98</v>
      </c>
      <c r="K237" s="20" t="n">
        <v>-272</v>
      </c>
      <c r="L237" s="20" t="n">
        <v>-1022</v>
      </c>
      <c r="M237" s="20" t="n">
        <v>-28</v>
      </c>
      <c r="N237" s="20" t="n">
        <v>261</v>
      </c>
      <c r="O237" s="20" t="n">
        <v>18</v>
      </c>
      <c r="P237" s="20" t="n">
        <v>134</v>
      </c>
      <c r="Q237" s="20" t="n">
        <v>-127</v>
      </c>
      <c r="R237" s="20" t="n">
        <v>180</v>
      </c>
      <c r="S237" s="20" t="n">
        <v>-37</v>
      </c>
      <c r="T237" s="20" t="n">
        <v>-265</v>
      </c>
      <c r="U237" s="20" t="n">
        <v>-477</v>
      </c>
      <c r="V237" s="20" t="n">
        <v>-1134</v>
      </c>
      <c r="W237" s="20" t="n">
        <v>-117</v>
      </c>
      <c r="X237" s="20" t="n">
        <v>-1022</v>
      </c>
    </row>
    <row r="238">
      <c r="A238" s="18" t="inlineStr">
        <is>
          <t>고정자산 제각·매각손익</t>
        </is>
      </c>
      <c r="C238" s="20" t="n">
        <v>22</v>
      </c>
      <c r="D238" s="20" t="n">
        <v>34</v>
      </c>
      <c r="E238" s="20" t="n">
        <v>-141</v>
      </c>
      <c r="F238" s="20" t="n">
        <v>-141</v>
      </c>
      <c r="G238" s="20" t="n">
        <v>-41</v>
      </c>
      <c r="H238" s="20" t="n">
        <v>-15</v>
      </c>
      <c r="I238" s="20" t="n">
        <v>49</v>
      </c>
      <c r="J238" s="20" t="n">
        <v>176</v>
      </c>
      <c r="K238" s="20" t="n">
        <v>187</v>
      </c>
      <c r="L238" s="20" t="n">
        <v>200</v>
      </c>
      <c r="M238" s="20" t="n">
        <v>0</v>
      </c>
      <c r="N238" s="20" t="n">
        <v>0</v>
      </c>
      <c r="O238" s="20" t="n">
        <v>99</v>
      </c>
      <c r="P238" s="20" t="n">
        <v>104</v>
      </c>
      <c r="Q238" s="20" t="n">
        <v>30</v>
      </c>
      <c r="R238" s="20" t="n">
        <v>62</v>
      </c>
      <c r="S238" s="20" t="n">
        <v>16</v>
      </c>
      <c r="T238" s="20" t="n">
        <v>8</v>
      </c>
      <c r="U238" s="20" t="n">
        <v>35</v>
      </c>
      <c r="V238" s="20" t="n">
        <v>34</v>
      </c>
      <c r="W238" s="20" t="n">
        <v>-15</v>
      </c>
      <c r="X238" s="20" t="n">
        <v>200</v>
      </c>
    </row>
    <row r="239">
      <c r="A239" s="18" t="inlineStr">
        <is>
          <t>투자유가증권 매각손익</t>
        </is>
      </c>
      <c r="C239" s="20" t="n">
        <v>-434</v>
      </c>
      <c r="D239" s="20" t="n">
        <v>-395</v>
      </c>
      <c r="G239" s="20" t="n">
        <v>0</v>
      </c>
      <c r="H239" s="20" t="n">
        <v>0</v>
      </c>
      <c r="U239" s="20" t="n">
        <v>0</v>
      </c>
      <c r="V239" s="20" t="n">
        <v>-395</v>
      </c>
      <c r="W239" s="20" t="n">
        <v>0</v>
      </c>
    </row>
    <row r="240">
      <c r="A240" s="18" t="inlineStr">
        <is>
          <t>사업구조개선비용</t>
        </is>
      </c>
      <c r="C240" s="20" t="n">
        <v>274</v>
      </c>
      <c r="D240" s="20" t="n">
        <v>500</v>
      </c>
      <c r="G240" s="20" t="n">
        <v>0</v>
      </c>
      <c r="H240" s="20" t="n">
        <v>0</v>
      </c>
      <c r="U240" s="20" t="n">
        <v>0</v>
      </c>
      <c r="V240" s="20" t="n">
        <v>500</v>
      </c>
      <c r="W240" s="20" t="n">
        <v>0</v>
      </c>
    </row>
    <row r="241">
      <c r="A241" s="18" t="inlineStr">
        <is>
          <t>매출채권 증감</t>
        </is>
      </c>
      <c r="C241" s="20" t="n">
        <v>12787</v>
      </c>
      <c r="D241" s="20" t="n">
        <v>-71</v>
      </c>
      <c r="E241" s="20" t="n">
        <v>11811</v>
      </c>
      <c r="F241" s="20" t="n">
        <v>11350</v>
      </c>
      <c r="G241" s="20" t="n">
        <v>10141</v>
      </c>
      <c r="H241" s="20" t="n">
        <v>-7976</v>
      </c>
      <c r="I241" s="20" t="n">
        <v>18271</v>
      </c>
      <c r="J241" s="20" t="n">
        <v>18435</v>
      </c>
      <c r="K241" s="20" t="n">
        <v>20449</v>
      </c>
      <c r="L241" s="20" t="n">
        <v>222</v>
      </c>
      <c r="M241" s="20" t="n">
        <v>15798</v>
      </c>
      <c r="N241" s="20" t="n">
        <v>7176</v>
      </c>
      <c r="O241" s="20" t="n">
        <v>-10393</v>
      </c>
      <c r="P241" s="20" t="n">
        <v>7059</v>
      </c>
      <c r="Q241" s="20" t="n">
        <v>-858</v>
      </c>
      <c r="R241" s="20" t="n">
        <v>-2117</v>
      </c>
      <c r="S241" s="20" t="n">
        <v>-9028</v>
      </c>
      <c r="T241" s="20" t="n">
        <v>17208</v>
      </c>
      <c r="U241" s="20" t="n">
        <v>-17155</v>
      </c>
      <c r="V241" s="20" t="n">
        <v>-71</v>
      </c>
      <c r="W241" s="20" t="n">
        <v>-7976</v>
      </c>
      <c r="X241" s="20" t="n">
        <v>222</v>
      </c>
    </row>
    <row r="242">
      <c r="A242" s="18" t="inlineStr">
        <is>
          <t>재고자산 증감</t>
        </is>
      </c>
      <c r="C242" s="20" t="n">
        <v>-1203</v>
      </c>
      <c r="D242" s="20" t="n">
        <v>-825</v>
      </c>
      <c r="E242" s="20" t="n">
        <v>-512</v>
      </c>
      <c r="F242" s="20" t="n">
        <v>-1845</v>
      </c>
      <c r="G242" s="20" t="n">
        <v>-1870</v>
      </c>
      <c r="H242" s="20" t="n">
        <v>-1073</v>
      </c>
      <c r="I242" s="20" t="n">
        <v>818</v>
      </c>
      <c r="J242" s="20" t="n">
        <v>81</v>
      </c>
      <c r="K242" s="20" t="n">
        <v>-9376</v>
      </c>
      <c r="L242" s="20" t="n">
        <v>-1481</v>
      </c>
      <c r="M242" s="20" t="n">
        <v>628</v>
      </c>
      <c r="N242" s="20" t="n">
        <v>256</v>
      </c>
      <c r="O242" s="20" t="n">
        <v>158</v>
      </c>
      <c r="P242" s="20" t="n">
        <v>1588</v>
      </c>
      <c r="Q242" s="20" t="n">
        <v>1621</v>
      </c>
      <c r="R242" s="20" t="n">
        <v>-256</v>
      </c>
      <c r="S242" s="20" t="n">
        <v>-997</v>
      </c>
      <c r="T242" s="20" t="n">
        <v>1383</v>
      </c>
      <c r="U242" s="20" t="n">
        <v>-500</v>
      </c>
      <c r="V242" s="20" t="n">
        <v>-825</v>
      </c>
      <c r="W242" s="20" t="n">
        <v>-1073</v>
      </c>
      <c r="X242" s="20" t="n">
        <v>-1481</v>
      </c>
    </row>
    <row r="243">
      <c r="A243" s="18" t="inlineStr">
        <is>
          <t>영상자산 증감액</t>
        </is>
      </c>
      <c r="H243" s="20" t="n">
        <v>0</v>
      </c>
      <c r="I243" s="20" t="n">
        <v>0</v>
      </c>
      <c r="J243" s="20" t="n">
        <v>-4859</v>
      </c>
      <c r="L243" s="20" t="n">
        <v>-9909</v>
      </c>
      <c r="M243" s="20" t="n">
        <v>-384</v>
      </c>
      <c r="N243" s="20" t="n">
        <v>-458</v>
      </c>
      <c r="W243" s="20" t="n">
        <v>0</v>
      </c>
      <c r="X243" s="20" t="n">
        <v>-9909</v>
      </c>
    </row>
    <row r="244">
      <c r="A244" s="18" t="inlineStr">
        <is>
          <t>게임소프트 재공품 증감액</t>
        </is>
      </c>
      <c r="C244" s="20" t="n">
        <v>-7909</v>
      </c>
      <c r="D244" s="20" t="n">
        <v>-788</v>
      </c>
      <c r="E244" s="20" t="n">
        <v>-5886</v>
      </c>
      <c r="F244" s="20" t="n">
        <v>-10222</v>
      </c>
      <c r="G244" s="20" t="n">
        <v>-15518</v>
      </c>
      <c r="H244" s="20" t="n">
        <v>-10169</v>
      </c>
      <c r="I244" s="20" t="n">
        <v>-5271</v>
      </c>
      <c r="J244" s="20" t="n">
        <v>-13332</v>
      </c>
      <c r="K244" s="20" t="n">
        <v>-21951</v>
      </c>
      <c r="L244" s="20" t="n">
        <v>-5418</v>
      </c>
      <c r="M244" s="20" t="n">
        <v>-1881</v>
      </c>
      <c r="N244" s="20" t="n">
        <v>-6112</v>
      </c>
      <c r="O244" s="20" t="n">
        <v>-2266</v>
      </c>
      <c r="P244" s="20" t="n">
        <v>4069</v>
      </c>
      <c r="Q244" s="20" t="n">
        <v>8876</v>
      </c>
      <c r="R244" s="20" t="n">
        <v>-4293</v>
      </c>
      <c r="S244" s="20" t="n">
        <v>-3213</v>
      </c>
      <c r="T244" s="20" t="n">
        <v>-6744</v>
      </c>
      <c r="U244" s="20" t="n">
        <v>-7320</v>
      </c>
      <c r="V244" s="20" t="n">
        <v>-788</v>
      </c>
      <c r="W244" s="20" t="n">
        <v>-10169</v>
      </c>
      <c r="X244" s="20" t="n">
        <v>-5418</v>
      </c>
    </row>
    <row r="245">
      <c r="A245" s="18" t="inlineStr">
        <is>
          <t>매입채무 증감</t>
        </is>
      </c>
      <c r="C245" s="20" t="n">
        <v>-729</v>
      </c>
      <c r="D245" s="20" t="n">
        <v>-1438</v>
      </c>
      <c r="E245" s="20" t="n">
        <v>-532</v>
      </c>
      <c r="F245" s="20" t="n">
        <v>2221</v>
      </c>
      <c r="G245" s="20" t="n">
        <v>1400</v>
      </c>
      <c r="H245" s="20" t="n">
        <v>1299</v>
      </c>
      <c r="I245" s="20" t="n">
        <v>-833</v>
      </c>
      <c r="J245" s="20" t="n">
        <v>858</v>
      </c>
      <c r="K245" s="20" t="n">
        <v>-1026</v>
      </c>
      <c r="L245" s="20" t="n">
        <v>729</v>
      </c>
      <c r="M245" s="20" t="n">
        <v>-292</v>
      </c>
      <c r="N245" s="20" t="n">
        <v>826</v>
      </c>
      <c r="O245" s="20" t="n">
        <v>2280</v>
      </c>
      <c r="P245" s="20" t="n">
        <v>-3690</v>
      </c>
      <c r="Q245" s="20" t="n">
        <v>1665</v>
      </c>
      <c r="R245" s="20" t="n">
        <v>749</v>
      </c>
      <c r="S245" s="20" t="n">
        <v>-2233</v>
      </c>
      <c r="T245" s="20" t="n">
        <v>-180</v>
      </c>
      <c r="U245" s="20" t="n">
        <v>1869</v>
      </c>
      <c r="V245" s="20" t="n">
        <v>-1438</v>
      </c>
      <c r="W245" s="20" t="n">
        <v>1299</v>
      </c>
      <c r="X245" s="20" t="n">
        <v>729</v>
      </c>
    </row>
    <row r="246">
      <c r="A246" s="18" t="inlineStr">
        <is>
          <t>이연수익 증감액</t>
        </is>
      </c>
      <c r="C246" s="20" t="n">
        <v>-4502</v>
      </c>
      <c r="D246" s="20" t="n">
        <v>-4892</v>
      </c>
      <c r="E246" s="20" t="n">
        <v>-126</v>
      </c>
      <c r="F246" s="20" t="n">
        <v>-68</v>
      </c>
      <c r="G246" s="20" t="n">
        <v>71</v>
      </c>
      <c r="H246" s="20" t="n">
        <v>19932</v>
      </c>
      <c r="I246" s="20" t="n">
        <v>-9018</v>
      </c>
      <c r="J246" s="20" t="n">
        <v>-14113</v>
      </c>
      <c r="K246" s="20" t="n">
        <v>-19825</v>
      </c>
      <c r="L246" s="20" t="n">
        <v>-11697</v>
      </c>
      <c r="M246" s="20" t="n">
        <v>-8491</v>
      </c>
      <c r="R246" s="20" t="n">
        <v>6107</v>
      </c>
      <c r="S246" s="20" t="n">
        <v>-1077</v>
      </c>
      <c r="T246" s="20" t="n">
        <v>2008</v>
      </c>
      <c r="U246" s="20" t="n">
        <v>-3729</v>
      </c>
      <c r="V246" s="20" t="n">
        <v>-4892</v>
      </c>
      <c r="W246" s="20" t="n">
        <v>19932</v>
      </c>
      <c r="X246" s="20" t="n">
        <v>-11697</v>
      </c>
    </row>
    <row r="247">
      <c r="A247" s="18" t="inlineStr">
        <is>
          <t>이연수익 증감액</t>
        </is>
      </c>
      <c r="J247" s="20" t="n">
        <v>-14113</v>
      </c>
      <c r="N247" s="20" t="n">
        <v>-7942</v>
      </c>
    </row>
    <row r="248">
      <c r="A248" s="18" t="inlineStr">
        <is>
          <t>기타</t>
        </is>
      </c>
      <c r="C248" s="20" t="n">
        <v>-6494</v>
      </c>
      <c r="D248" s="20" t="n">
        <v>-1427</v>
      </c>
      <c r="E248" s="20" t="n">
        <v>-313</v>
      </c>
      <c r="F248" s="20" t="n">
        <v>-2433</v>
      </c>
      <c r="G248" s="20" t="n">
        <v>3109</v>
      </c>
      <c r="H248" s="20" t="n">
        <v>1370</v>
      </c>
      <c r="I248" s="20" t="n">
        <v>-4267</v>
      </c>
      <c r="J248" s="20" t="n">
        <v>-4537</v>
      </c>
      <c r="K248" s="20" t="n">
        <v>-2445</v>
      </c>
      <c r="L248" s="20" t="n">
        <v>292</v>
      </c>
      <c r="M248" s="20" t="n">
        <v>-1126</v>
      </c>
      <c r="N248" s="20" t="n">
        <v>-2627</v>
      </c>
      <c r="O248" s="20" t="n">
        <v>956</v>
      </c>
      <c r="P248" s="20" t="n">
        <v>6320</v>
      </c>
      <c r="Q248" s="20" t="n">
        <v>-7286</v>
      </c>
      <c r="R248" s="20" t="n">
        <v>2418</v>
      </c>
      <c r="S248" s="20" t="n">
        <v>527</v>
      </c>
      <c r="T248" s="20" t="n">
        <v>-3160</v>
      </c>
      <c r="U248" s="20" t="n">
        <v>2104</v>
      </c>
      <c r="V248" s="20" t="n">
        <v>-1427</v>
      </c>
      <c r="W248" s="20" t="n">
        <v>1370</v>
      </c>
      <c r="X248" s="20" t="n">
        <v>292</v>
      </c>
    </row>
    <row r="249">
      <c r="A249" s="18" t="inlineStr">
        <is>
          <t>소계</t>
        </is>
      </c>
      <c r="C249" s="20" t="n">
        <v>40484</v>
      </c>
      <c r="D249" s="20" t="n">
        <v>55944</v>
      </c>
      <c r="E249" s="20" t="n">
        <v>13840</v>
      </c>
      <c r="F249" s="20" t="n">
        <v>18467</v>
      </c>
      <c r="G249" s="20" t="n">
        <v>26289</v>
      </c>
      <c r="H249" s="20" t="n">
        <v>75142</v>
      </c>
      <c r="I249" s="20" t="n">
        <v>18736</v>
      </c>
      <c r="J249" s="20" t="n">
        <v>18020</v>
      </c>
      <c r="K249" s="20" t="n">
        <v>14069</v>
      </c>
      <c r="L249" s="20" t="n">
        <v>52100</v>
      </c>
      <c r="M249" s="20" t="n">
        <v>41161</v>
      </c>
      <c r="N249" s="20" t="n">
        <v>50680</v>
      </c>
      <c r="O249" s="20" t="n">
        <v>9792</v>
      </c>
      <c r="P249" s="20" t="n">
        <v>36296</v>
      </c>
      <c r="Q249" s="20" t="n">
        <v>25675</v>
      </c>
      <c r="R249" s="20" t="n">
        <v>28605</v>
      </c>
      <c r="S249" s="20" t="n">
        <v>22761</v>
      </c>
      <c r="T249" s="20" t="n">
        <v>58094</v>
      </c>
      <c r="U249" s="20" t="n">
        <v>32252</v>
      </c>
      <c r="V249" s="20" t="n">
        <v>55944</v>
      </c>
      <c r="W249" s="20" t="n">
        <v>75142</v>
      </c>
      <c r="X249" s="20" t="n">
        <v>52100</v>
      </c>
    </row>
    <row r="250">
      <c r="A250" s="18" t="inlineStr">
        <is>
          <t>이자·배당금 수취</t>
        </is>
      </c>
      <c r="C250" s="20" t="n">
        <v>838</v>
      </c>
      <c r="D250" s="20" t="n">
        <v>1130</v>
      </c>
      <c r="E250" s="20" t="n">
        <v>359</v>
      </c>
      <c r="F250" s="20" t="n">
        <v>586</v>
      </c>
      <c r="G250" s="20" t="n">
        <v>1030</v>
      </c>
      <c r="H250" s="20" t="n">
        <v>1131</v>
      </c>
      <c r="I250" s="20" t="n">
        <v>433</v>
      </c>
      <c r="J250" s="20" t="n">
        <v>607</v>
      </c>
      <c r="K250" s="20" t="n">
        <v>1089</v>
      </c>
      <c r="L250" s="20" t="n">
        <v>1457</v>
      </c>
      <c r="M250" s="20" t="n">
        <v>551</v>
      </c>
      <c r="N250" s="20" t="n">
        <v>1373</v>
      </c>
      <c r="O250" s="20" t="n">
        <v>62</v>
      </c>
      <c r="P250" s="20" t="n">
        <v>73</v>
      </c>
      <c r="Q250" s="20" t="n">
        <v>191</v>
      </c>
      <c r="R250" s="20" t="n">
        <v>265</v>
      </c>
      <c r="S250" s="20" t="n">
        <v>99</v>
      </c>
      <c r="T250" s="20" t="n">
        <v>58</v>
      </c>
      <c r="U250" s="20" t="n">
        <v>277</v>
      </c>
      <c r="V250" s="20" t="n">
        <v>1130</v>
      </c>
      <c r="W250" s="20" t="n">
        <v>1131</v>
      </c>
      <c r="X250" s="20" t="n">
        <v>1457</v>
      </c>
    </row>
    <row r="251">
      <c r="A251" s="18" t="inlineStr">
        <is>
          <t>이자 지급</t>
        </is>
      </c>
      <c r="C251" s="20" t="n">
        <v>-42</v>
      </c>
      <c r="D251" s="20" t="n">
        <v>-59</v>
      </c>
      <c r="E251" s="20" t="n">
        <v>-15</v>
      </c>
      <c r="F251" s="20" t="n">
        <v>-35</v>
      </c>
      <c r="G251" s="20" t="n">
        <v>-58</v>
      </c>
      <c r="H251" s="20" t="n">
        <v>-77</v>
      </c>
      <c r="I251" s="20" t="n">
        <v>-22</v>
      </c>
      <c r="J251" s="20" t="n">
        <v>-45</v>
      </c>
      <c r="K251" s="20" t="n">
        <v>-55</v>
      </c>
      <c r="L251" s="20" t="n">
        <v>-66</v>
      </c>
      <c r="M251" s="20" t="n">
        <v>-9</v>
      </c>
      <c r="N251" s="20" t="n">
        <v>-17</v>
      </c>
      <c r="O251" s="20" t="n">
        <v>-140</v>
      </c>
      <c r="P251" s="20" t="n">
        <v>-101</v>
      </c>
      <c r="Q251" s="20" t="n">
        <v>-81</v>
      </c>
      <c r="R251" s="20" t="n">
        <v>-75</v>
      </c>
      <c r="S251" s="20" t="n">
        <v>-72</v>
      </c>
      <c r="T251" s="20" t="n">
        <v>-49</v>
      </c>
      <c r="U251" s="20" t="n">
        <v>-41</v>
      </c>
      <c r="V251" s="20" t="n">
        <v>-59</v>
      </c>
      <c r="W251" s="20" t="n">
        <v>-77</v>
      </c>
      <c r="X251" s="20" t="n">
        <v>-66</v>
      </c>
    </row>
    <row r="252">
      <c r="A252" s="18" t="inlineStr">
        <is>
          <t>법인세 납부</t>
        </is>
      </c>
      <c r="C252" s="20" t="n">
        <v>-19947</v>
      </c>
      <c r="D252" s="20" t="n">
        <v>-20094</v>
      </c>
      <c r="E252" s="20" t="n">
        <v>-4776</v>
      </c>
      <c r="F252" s="20" t="n">
        <v>-4923</v>
      </c>
      <c r="G252" s="20" t="n">
        <v>-8300</v>
      </c>
      <c r="H252" s="20" t="n">
        <v>-8578</v>
      </c>
      <c r="I252" s="20" t="n">
        <v>-13974</v>
      </c>
      <c r="J252" s="20" t="n">
        <v>-14057</v>
      </c>
      <c r="K252" s="20" t="n">
        <v>-21857</v>
      </c>
      <c r="L252" s="20" t="n">
        <v>-22111</v>
      </c>
      <c r="M252" s="20" t="n">
        <v>-14556</v>
      </c>
      <c r="N252" s="20" t="n">
        <v>-15267</v>
      </c>
      <c r="O252" s="20" t="n">
        <v>-6513</v>
      </c>
      <c r="P252" s="20" t="n">
        <v>-1546</v>
      </c>
      <c r="Q252" s="20" t="n">
        <v>-5938</v>
      </c>
      <c r="R252" s="20" t="n">
        <v>-6515</v>
      </c>
      <c r="S252" s="20" t="n">
        <v>-8162</v>
      </c>
      <c r="T252" s="20" t="n">
        <v>-11155</v>
      </c>
      <c r="U252" s="20" t="n">
        <v>-10698</v>
      </c>
      <c r="V252" s="20" t="n">
        <v>-20094</v>
      </c>
      <c r="W252" s="20" t="n">
        <v>-8578</v>
      </c>
      <c r="X252" s="20" t="n">
        <v>-22111</v>
      </c>
    </row>
    <row r="253">
      <c r="A253" s="9" t="inlineStr">
        <is>
          <t>영업활동 현금흐름</t>
        </is>
      </c>
      <c r="C253" s="12" t="n">
        <v>21333</v>
      </c>
      <c r="D253" s="12" t="n">
        <v>36921</v>
      </c>
      <c r="E253" s="12" t="n">
        <v>9407</v>
      </c>
      <c r="F253" s="12" t="n">
        <v>14094</v>
      </c>
      <c r="G253" s="12" t="n">
        <v>18961</v>
      </c>
      <c r="H253" s="12" t="n">
        <v>67618</v>
      </c>
      <c r="I253" s="12" t="n">
        <v>5172</v>
      </c>
      <c r="J253" s="12" t="n">
        <v>4525</v>
      </c>
      <c r="K253" s="12" t="n">
        <v>-6754</v>
      </c>
      <c r="L253" s="12" t="n">
        <v>31380</v>
      </c>
      <c r="M253" s="12" t="n">
        <v>27148</v>
      </c>
      <c r="N253" s="12" t="n">
        <v>36769</v>
      </c>
      <c r="O253" s="12" t="n">
        <v>3200</v>
      </c>
      <c r="P253" s="12" t="n">
        <v>34721</v>
      </c>
      <c r="Q253" s="12" t="n">
        <v>19847</v>
      </c>
      <c r="R253" s="12" t="n">
        <v>22279</v>
      </c>
      <c r="S253" s="12" t="n">
        <v>14625</v>
      </c>
      <c r="T253" s="12" t="n">
        <v>46947</v>
      </c>
      <c r="U253" s="12" t="n">
        <v>21789</v>
      </c>
      <c r="V253" s="12" t="n">
        <v>36921</v>
      </c>
      <c r="W253" s="12" t="n">
        <v>67618</v>
      </c>
      <c r="X253" s="12" t="n">
        <v>31380</v>
      </c>
    </row>
    <row r="254">
      <c r="A254" s="18" t="inlineStr">
        <is>
          <t>정기예금 예입</t>
        </is>
      </c>
      <c r="C254" s="20" t="n">
        <v>-24178</v>
      </c>
      <c r="D254" s="20" t="n">
        <v>-28433</v>
      </c>
      <c r="E254" s="20" t="n">
        <v>-11598</v>
      </c>
      <c r="F254" s="20" t="n">
        <v>-16430</v>
      </c>
      <c r="G254" s="20" t="n">
        <v>-32258</v>
      </c>
      <c r="H254" s="20" t="n">
        <v>-32258</v>
      </c>
      <c r="I254" s="20" t="n">
        <v>-17983</v>
      </c>
      <c r="J254" s="20" t="n">
        <v>-25448</v>
      </c>
      <c r="K254" s="20" t="n">
        <v>-50039</v>
      </c>
      <c r="L254" s="20" t="n">
        <v>-68833</v>
      </c>
      <c r="M254" s="20" t="n">
        <v>0</v>
      </c>
      <c r="N254" s="20" t="n">
        <v>-15009</v>
      </c>
      <c r="O254" s="20" t="n">
        <v>-200</v>
      </c>
      <c r="P254" s="20" t="n">
        <v>0</v>
      </c>
      <c r="Q254" s="20" t="n">
        <v>0</v>
      </c>
      <c r="R254" s="20" t="n">
        <v>-6019</v>
      </c>
      <c r="S254" s="20" t="n">
        <v>-13742</v>
      </c>
      <c r="T254" s="20" t="n">
        <v>-21297</v>
      </c>
      <c r="U254" s="20" t="n">
        <v>-25302</v>
      </c>
      <c r="V254" s="20" t="n">
        <v>-28433</v>
      </c>
      <c r="W254" s="20" t="n">
        <v>-32258</v>
      </c>
      <c r="X254" s="20" t="n">
        <v>-68833</v>
      </c>
    </row>
    <row r="255">
      <c r="A255" s="18" t="inlineStr">
        <is>
          <t>정기예금 인출</t>
        </is>
      </c>
      <c r="C255" s="20" t="n">
        <v>22707</v>
      </c>
      <c r="D255" s="20" t="n">
        <v>26962</v>
      </c>
      <c r="E255" s="20" t="n">
        <v>11598</v>
      </c>
      <c r="F255" s="20" t="n">
        <v>16430</v>
      </c>
      <c r="G255" s="20" t="n">
        <v>32107</v>
      </c>
      <c r="H255" s="20" t="n">
        <v>32107</v>
      </c>
      <c r="I255" s="20" t="n">
        <v>15106</v>
      </c>
      <c r="J255" s="20" t="n">
        <v>15106</v>
      </c>
      <c r="K255" s="20" t="n">
        <v>34685</v>
      </c>
      <c r="L255" s="20" t="n">
        <v>42613</v>
      </c>
      <c r="M255" s="20" t="n">
        <v>25024</v>
      </c>
      <c r="N255" s="20" t="n">
        <v>44133</v>
      </c>
      <c r="R255" s="20" t="n">
        <v>0</v>
      </c>
      <c r="S255" s="20" t="n">
        <v>12660</v>
      </c>
      <c r="T255" s="20" t="n">
        <v>17980</v>
      </c>
      <c r="U255" s="20" t="n">
        <v>25441</v>
      </c>
      <c r="V255" s="20" t="n">
        <v>26962</v>
      </c>
      <c r="W255" s="20" t="n">
        <v>32107</v>
      </c>
      <c r="X255" s="20" t="n">
        <v>42613</v>
      </c>
    </row>
    <row r="256">
      <c r="A256" s="18" t="inlineStr">
        <is>
          <t>유형자산 취득(설비투자)</t>
        </is>
      </c>
      <c r="C256" s="20" t="n">
        <v>-3822</v>
      </c>
      <c r="D256" s="20" t="n">
        <v>-4838</v>
      </c>
      <c r="E256" s="20" t="n">
        <v>-847</v>
      </c>
      <c r="F256" s="20" t="n">
        <v>-1178</v>
      </c>
      <c r="G256" s="20" t="n">
        <v>-3222</v>
      </c>
      <c r="H256" s="20" t="n">
        <v>-5846</v>
      </c>
      <c r="I256" s="20" t="n">
        <v>-8364</v>
      </c>
      <c r="J256" s="20" t="n">
        <v>-9234</v>
      </c>
      <c r="K256" s="20" t="n">
        <v>-10356</v>
      </c>
      <c r="L256" s="20" t="n">
        <v>-13593</v>
      </c>
      <c r="M256" s="20" t="n">
        <v>-3739</v>
      </c>
      <c r="N256" s="20" t="n">
        <v>-5458</v>
      </c>
      <c r="O256" s="20" t="n">
        <v>-3074</v>
      </c>
      <c r="P256" s="20" t="n">
        <v>-2767</v>
      </c>
      <c r="Q256" s="20" t="n">
        <v>-2093</v>
      </c>
      <c r="R256" s="20" t="n">
        <v>-2273</v>
      </c>
      <c r="S256" s="20" t="n">
        <v>-2305</v>
      </c>
      <c r="T256" s="20" t="n">
        <v>-2950</v>
      </c>
      <c r="U256" s="20" t="n">
        <v>-7103</v>
      </c>
      <c r="V256" s="20" t="n">
        <v>-4838</v>
      </c>
      <c r="W256" s="20" t="n">
        <v>-5846</v>
      </c>
      <c r="X256" s="20" t="n">
        <v>-13593</v>
      </c>
    </row>
    <row r="257">
      <c r="A257" s="18" t="inlineStr">
        <is>
          <t>유형자산 매각</t>
        </is>
      </c>
      <c r="C257" s="20" t="n">
        <v>1</v>
      </c>
      <c r="D257" s="20" t="n">
        <v>1</v>
      </c>
      <c r="E257" s="20" t="n">
        <v>338</v>
      </c>
      <c r="F257" s="20" t="n">
        <v>338</v>
      </c>
      <c r="G257" s="20" t="n">
        <v>338</v>
      </c>
      <c r="H257" s="20" t="n">
        <v>339</v>
      </c>
      <c r="I257" s="20" t="n">
        <v>0</v>
      </c>
      <c r="J257" s="20" t="n">
        <v>0</v>
      </c>
      <c r="K257" s="20" t="n">
        <v>2</v>
      </c>
      <c r="L257" s="20" t="n">
        <v>3</v>
      </c>
      <c r="M257" s="20" t="n">
        <v>0</v>
      </c>
      <c r="N257" s="20" t="n">
        <v>0</v>
      </c>
      <c r="O257" s="20" t="n">
        <v>5</v>
      </c>
      <c r="P257" s="20" t="n">
        <v>0</v>
      </c>
      <c r="Q257" s="20" t="n">
        <v>4</v>
      </c>
      <c r="R257" s="20" t="n">
        <v>0</v>
      </c>
      <c r="S257" s="20" t="n">
        <v>1</v>
      </c>
      <c r="T257" s="20" t="n">
        <v>2</v>
      </c>
      <c r="U257" s="20" t="n">
        <v>4</v>
      </c>
      <c r="V257" s="20" t="n">
        <v>1</v>
      </c>
      <c r="W257" s="20" t="n">
        <v>339</v>
      </c>
      <c r="X257" s="20" t="n">
        <v>3</v>
      </c>
    </row>
    <row r="258">
      <c r="A258" s="18" t="inlineStr">
        <is>
          <t>무형자산 취득</t>
        </is>
      </c>
      <c r="C258" s="20" t="n">
        <v>-277</v>
      </c>
      <c r="D258" s="20" t="n">
        <v>-297</v>
      </c>
      <c r="E258" s="20" t="n">
        <v>-151</v>
      </c>
      <c r="F258" s="20" t="n">
        <v>-258</v>
      </c>
      <c r="G258" s="20" t="n">
        <v>-378</v>
      </c>
      <c r="H258" s="20" t="n">
        <v>-431</v>
      </c>
      <c r="I258" s="20" t="n">
        <v>-163</v>
      </c>
      <c r="J258" s="20" t="n">
        <v>-361</v>
      </c>
      <c r="K258" s="20" t="n">
        <v>-574</v>
      </c>
      <c r="L258" s="20" t="n">
        <v>-705</v>
      </c>
      <c r="M258" s="20" t="n">
        <v>-179</v>
      </c>
      <c r="N258" s="20" t="n">
        <v>-326</v>
      </c>
      <c r="O258" s="20" t="n">
        <v>-253</v>
      </c>
      <c r="P258" s="20" t="n">
        <v>-150</v>
      </c>
      <c r="Q258" s="20" t="n">
        <v>-112</v>
      </c>
      <c r="R258" s="20" t="n">
        <v>-65</v>
      </c>
      <c r="S258" s="20" t="n">
        <v>-817</v>
      </c>
      <c r="T258" s="20" t="n">
        <v>-1117</v>
      </c>
      <c r="U258" s="20" t="n">
        <v>-312</v>
      </c>
      <c r="V258" s="20" t="n">
        <v>-297</v>
      </c>
      <c r="W258" s="20" t="n">
        <v>-431</v>
      </c>
      <c r="X258" s="20" t="n">
        <v>-705</v>
      </c>
    </row>
    <row r="259">
      <c r="A259" s="18" t="inlineStr">
        <is>
          <t>투자유가증권 취득</t>
        </is>
      </c>
      <c r="D259" s="20" t="n">
        <v>-10</v>
      </c>
      <c r="F259" s="20" t="n">
        <v>0</v>
      </c>
      <c r="G259" s="20" t="n">
        <v>0</v>
      </c>
      <c r="H259" s="20" t="n">
        <v>0</v>
      </c>
      <c r="J259" s="20" t="n">
        <v>-15021</v>
      </c>
      <c r="K259" s="20" t="n">
        <v>-15021</v>
      </c>
      <c r="L259" s="20" t="n">
        <v>-15021</v>
      </c>
      <c r="N259" s="20" t="n">
        <v>-14527</v>
      </c>
      <c r="O259" s="20" t="n">
        <v>-13</v>
      </c>
      <c r="P259" s="20" t="n">
        <v>-13</v>
      </c>
      <c r="Q259" s="20" t="n">
        <v>-14</v>
      </c>
      <c r="R259" s="20" t="n">
        <v>-10</v>
      </c>
      <c r="S259" s="20" t="n">
        <v>-15</v>
      </c>
      <c r="T259" s="20" t="n">
        <v>-16</v>
      </c>
      <c r="U259" s="20" t="n">
        <v>-17</v>
      </c>
      <c r="V259" s="20" t="n">
        <v>-10</v>
      </c>
      <c r="W259" s="20" t="n">
        <v>0</v>
      </c>
      <c r="X259" s="20" t="n">
        <v>-15021</v>
      </c>
    </row>
    <row r="260">
      <c r="A260" s="18" t="inlineStr">
        <is>
          <t>투자유가증권 매각</t>
        </is>
      </c>
      <c r="C260" s="20" t="n">
        <v>692</v>
      </c>
      <c r="D260" s="20" t="n">
        <v>936</v>
      </c>
      <c r="G260" s="20" t="n">
        <v>0</v>
      </c>
      <c r="H260" s="20" t="n">
        <v>0</v>
      </c>
      <c r="Q260" s="20" t="n">
        <v>0</v>
      </c>
      <c r="R260" s="20" t="n">
        <v>3</v>
      </c>
      <c r="S260" s="20" t="n">
        <v>0</v>
      </c>
      <c r="U260" s="20" t="n">
        <v>0</v>
      </c>
      <c r="V260" s="20" t="n">
        <v>936</v>
      </c>
      <c r="W260" s="20" t="n">
        <v>0</v>
      </c>
    </row>
    <row r="261">
      <c r="A261" s="18" t="inlineStr">
        <is>
          <t>연결범위 변경 자회사 주식 취득</t>
        </is>
      </c>
      <c r="C261" s="20" t="n">
        <v>-122</v>
      </c>
      <c r="D261" s="20" t="n">
        <v>-122</v>
      </c>
      <c r="F261" s="20" t="n">
        <v>-154</v>
      </c>
      <c r="G261" s="20" t="n">
        <v>-163</v>
      </c>
      <c r="H261" s="20" t="n">
        <v>-162</v>
      </c>
      <c r="J261" s="20" t="n">
        <v>0</v>
      </c>
      <c r="K261" s="20" t="n">
        <v>0</v>
      </c>
      <c r="L261" s="20" t="n">
        <v>0</v>
      </c>
      <c r="U261" s="20" t="n">
        <v>0</v>
      </c>
      <c r="V261" s="20" t="n">
        <v>-122</v>
      </c>
      <c r="W261" s="20" t="n">
        <v>-162</v>
      </c>
      <c r="X261" s="20" t="n">
        <v>0</v>
      </c>
    </row>
    <row r="262">
      <c r="A262" s="18" t="inlineStr">
        <is>
          <t>기타 지출</t>
        </is>
      </c>
      <c r="D262" s="20" t="n">
        <v>-164</v>
      </c>
      <c r="H262" s="20" t="n">
        <v>-1185</v>
      </c>
      <c r="L262" s="20" t="n">
        <v>-406</v>
      </c>
      <c r="O262" s="20" t="n">
        <v>-222</v>
      </c>
      <c r="P262" s="20" t="n">
        <v>-259</v>
      </c>
      <c r="Q262" s="20" t="n">
        <v>-182</v>
      </c>
      <c r="R262" s="20" t="n">
        <v>-213</v>
      </c>
      <c r="S262" s="20" t="n">
        <v>-51</v>
      </c>
      <c r="T262" s="20" t="n">
        <v>-240</v>
      </c>
      <c r="U262" s="20" t="n">
        <v>-427</v>
      </c>
      <c r="V262" s="20" t="n">
        <v>-164</v>
      </c>
      <c r="W262" s="20" t="n">
        <v>-1185</v>
      </c>
      <c r="X262" s="20" t="n">
        <v>-406</v>
      </c>
    </row>
    <row r="263">
      <c r="A263" s="18" t="inlineStr">
        <is>
          <t>기타 수입</t>
        </is>
      </c>
      <c r="D263" s="20" t="n">
        <v>4</v>
      </c>
      <c r="H263" s="20" t="n">
        <v>163</v>
      </c>
      <c r="L263" s="20" t="n">
        <v>80</v>
      </c>
      <c r="O263" s="20" t="n">
        <v>131</v>
      </c>
      <c r="P263" s="20" t="n">
        <v>343</v>
      </c>
      <c r="Q263" s="20" t="n">
        <v>138</v>
      </c>
      <c r="R263" s="20" t="n">
        <v>140</v>
      </c>
      <c r="S263" s="20" t="n">
        <v>37</v>
      </c>
      <c r="T263" s="20" t="n">
        <v>213</v>
      </c>
      <c r="U263" s="20" t="n">
        <v>37</v>
      </c>
      <c r="V263" s="20" t="n">
        <v>4</v>
      </c>
      <c r="W263" s="20" t="n">
        <v>163</v>
      </c>
      <c r="X263" s="20" t="n">
        <v>80</v>
      </c>
    </row>
    <row r="264">
      <c r="A264" s="18" t="inlineStr">
        <is>
          <t>기타</t>
        </is>
      </c>
      <c r="C264" s="20" t="n">
        <v>-97</v>
      </c>
      <c r="E264" s="20" t="n">
        <v>-139</v>
      </c>
      <c r="F264" s="20" t="n">
        <v>-240</v>
      </c>
      <c r="G264" s="20" t="n">
        <v>-201</v>
      </c>
      <c r="I264" s="20" t="n">
        <v>0</v>
      </c>
      <c r="J264" s="20" t="n">
        <v>-101</v>
      </c>
      <c r="K264" s="20" t="n">
        <v>-298</v>
      </c>
      <c r="M264" s="20" t="n">
        <v>-40</v>
      </c>
      <c r="N264" s="20" t="n">
        <v>-326</v>
      </c>
    </row>
    <row r="265">
      <c r="A265" s="9" t="inlineStr">
        <is>
          <t>투자활동 현금흐름</t>
        </is>
      </c>
      <c r="C265" s="12" t="n">
        <v>-5097</v>
      </c>
      <c r="D265" s="12" t="n">
        <v>-5962</v>
      </c>
      <c r="E265" s="12" t="n">
        <v>-800</v>
      </c>
      <c r="F265" s="12" t="n">
        <v>-1493</v>
      </c>
      <c r="G265" s="12" t="n">
        <v>-3778</v>
      </c>
      <c r="H265" s="12" t="n">
        <v>-7273</v>
      </c>
      <c r="I265" s="12" t="n">
        <v>-11404</v>
      </c>
      <c r="J265" s="12" t="n">
        <v>-35061</v>
      </c>
      <c r="K265" s="12" t="n">
        <v>-41602</v>
      </c>
      <c r="L265" s="12" t="n">
        <v>-55862</v>
      </c>
      <c r="M265" s="12" t="n">
        <v>21064</v>
      </c>
      <c r="N265" s="12" t="n">
        <v>8484</v>
      </c>
      <c r="O265" s="12" t="n">
        <v>-3628</v>
      </c>
      <c r="P265" s="12" t="n">
        <v>-2847</v>
      </c>
      <c r="Q265" s="12" t="n">
        <v>-2261</v>
      </c>
      <c r="R265" s="12" t="n">
        <v>-8437</v>
      </c>
      <c r="S265" s="12" t="n">
        <v>-4233</v>
      </c>
      <c r="T265" s="12" t="n">
        <v>-7426</v>
      </c>
      <c r="U265" s="12" t="n">
        <v>-7679</v>
      </c>
      <c r="V265" s="12" t="n">
        <v>-5962</v>
      </c>
      <c r="W265" s="12" t="n">
        <v>-7273</v>
      </c>
      <c r="X265" s="12" t="n">
        <v>-55862</v>
      </c>
    </row>
    <row r="266">
      <c r="A266" s="18" t="inlineStr">
        <is>
          <t>단기차입</t>
        </is>
      </c>
      <c r="C266" s="20" t="n">
        <v>0</v>
      </c>
    </row>
    <row r="267">
      <c r="A267" s="18" t="inlineStr">
        <is>
          <t>장기차입</t>
        </is>
      </c>
      <c r="D267" s="20" t="n">
        <v>3000</v>
      </c>
      <c r="H267" s="20" t="n">
        <v>0</v>
      </c>
      <c r="R267" s="20" t="n">
        <v>0</v>
      </c>
      <c r="S267" s="20" t="n">
        <v>3000</v>
      </c>
      <c r="T267" s="20" t="n">
        <v>0</v>
      </c>
      <c r="U267" s="20" t="n">
        <v>0</v>
      </c>
      <c r="V267" s="20" t="n">
        <v>3000</v>
      </c>
      <c r="W267" s="20" t="n">
        <v>0</v>
      </c>
    </row>
    <row r="268">
      <c r="A268" s="18" t="inlineStr">
        <is>
          <t>단기차입금 순증감</t>
        </is>
      </c>
      <c r="D268" s="20" t="n">
        <v>0</v>
      </c>
      <c r="H268" s="20" t="n">
        <v>0</v>
      </c>
      <c r="L268" s="20" t="n">
        <v>-3591</v>
      </c>
      <c r="O268" s="20" t="n">
        <v>5000</v>
      </c>
      <c r="P268" s="20" t="n">
        <v>-5000</v>
      </c>
      <c r="Q268" s="20" t="n">
        <v>0</v>
      </c>
      <c r="T268" s="20" t="n">
        <v>0</v>
      </c>
      <c r="U268" s="20" t="n">
        <v>3591</v>
      </c>
      <c r="V268" s="20" t="n">
        <v>0</v>
      </c>
      <c r="W268" s="20" t="n">
        <v>0</v>
      </c>
      <c r="X268" s="20" t="n">
        <v>-3591</v>
      </c>
    </row>
    <row r="269">
      <c r="A269" s="18" t="inlineStr">
        <is>
          <t>단기차입금 상환</t>
        </is>
      </c>
      <c r="F269" s="20" t="n">
        <v>0</v>
      </c>
      <c r="G269" s="20" t="n">
        <v>0</v>
      </c>
      <c r="J269" s="20" t="n">
        <v>-3591</v>
      </c>
      <c r="K269" s="20" t="n">
        <v>-3591</v>
      </c>
      <c r="N269" s="20" t="n">
        <v>0</v>
      </c>
    </row>
    <row r="270">
      <c r="A270" s="18" t="inlineStr">
        <is>
          <t>장기차입금 상환</t>
        </is>
      </c>
      <c r="C270" s="20" t="n">
        <v>-371</v>
      </c>
      <c r="D270" s="20" t="n">
        <v>-3685</v>
      </c>
      <c r="F270" s="20" t="n">
        <v>-313</v>
      </c>
      <c r="G270" s="20" t="n">
        <v>-316</v>
      </c>
      <c r="H270" s="20" t="n">
        <v>-688</v>
      </c>
      <c r="J270" s="20" t="n">
        <v>-3000</v>
      </c>
      <c r="K270" s="20" t="n">
        <v>-3000</v>
      </c>
      <c r="L270" s="20" t="n">
        <v>-3000</v>
      </c>
      <c r="N270" s="20" t="n">
        <v>0</v>
      </c>
      <c r="O270" s="20" t="n">
        <v>-1497</v>
      </c>
      <c r="P270" s="20" t="n">
        <v>-1323</v>
      </c>
      <c r="Q270" s="20" t="n">
        <v>-1473</v>
      </c>
      <c r="R270" s="20" t="n">
        <v>-1579</v>
      </c>
      <c r="S270" s="20" t="n">
        <v>-4129</v>
      </c>
      <c r="T270" s="20" t="n">
        <v>-727</v>
      </c>
      <c r="U270" s="20" t="n">
        <v>-626</v>
      </c>
      <c r="V270" s="20" t="n">
        <v>-3685</v>
      </c>
      <c r="W270" s="20" t="n">
        <v>-688</v>
      </c>
      <c r="X270" s="20" t="n">
        <v>-3000</v>
      </c>
    </row>
    <row r="271">
      <c r="A271" s="18" t="inlineStr">
        <is>
          <t>리스부채 상환</t>
        </is>
      </c>
      <c r="D271" s="20" t="n">
        <v>-1017</v>
      </c>
      <c r="H271" s="20" t="n">
        <v>-1222</v>
      </c>
      <c r="L271" s="20" t="n">
        <v>-1567</v>
      </c>
      <c r="O271" s="20" t="n">
        <v>-535</v>
      </c>
      <c r="P271" s="20" t="n">
        <v>-509</v>
      </c>
      <c r="Q271" s="20" t="n">
        <v>-414</v>
      </c>
      <c r="R271" s="20" t="n">
        <v>-505</v>
      </c>
      <c r="S271" s="20" t="n">
        <v>-500</v>
      </c>
      <c r="T271" s="20" t="n">
        <v>-504</v>
      </c>
      <c r="U271" s="20" t="n">
        <v>-935</v>
      </c>
      <c r="V271" s="20" t="n">
        <v>-1017</v>
      </c>
      <c r="W271" s="20" t="n">
        <v>-1222</v>
      </c>
      <c r="X271" s="20" t="n">
        <v>-1567</v>
      </c>
    </row>
    <row r="272">
      <c r="A272" s="18" t="inlineStr">
        <is>
          <t>자기주식 취득</t>
        </is>
      </c>
      <c r="C272" s="20" t="n">
        <v>-0</v>
      </c>
      <c r="D272" s="20" t="n">
        <v>-1</v>
      </c>
      <c r="E272" s="20" t="n">
        <v>-1</v>
      </c>
      <c r="F272" s="20" t="n">
        <v>-2</v>
      </c>
      <c r="G272" s="20" t="n">
        <v>-2</v>
      </c>
      <c r="H272" s="20" t="n">
        <v>-2</v>
      </c>
      <c r="I272" s="20" t="n">
        <v>-0</v>
      </c>
      <c r="J272" s="20" t="n">
        <v>-0</v>
      </c>
      <c r="K272" s="20" t="n">
        <v>-0</v>
      </c>
      <c r="L272" s="20" t="n">
        <v>-1</v>
      </c>
      <c r="M272" s="20" t="n">
        <v>0</v>
      </c>
      <c r="N272" s="20" t="n">
        <v>-0</v>
      </c>
      <c r="O272" s="20" t="n">
        <v>-3302</v>
      </c>
      <c r="P272" s="20" t="n">
        <v>-5</v>
      </c>
      <c r="Q272" s="20" t="n">
        <v>-6001</v>
      </c>
      <c r="R272" s="20" t="n">
        <v>-1</v>
      </c>
      <c r="S272" s="20" t="n">
        <v>-3</v>
      </c>
      <c r="T272" s="20" t="n">
        <v>-2</v>
      </c>
      <c r="U272" s="20" t="n">
        <v>-13645</v>
      </c>
      <c r="V272" s="20" t="n">
        <v>-1</v>
      </c>
      <c r="W272" s="20" t="n">
        <v>-2</v>
      </c>
      <c r="X272" s="20" t="n">
        <v>-1</v>
      </c>
    </row>
    <row r="273">
      <c r="A273" s="18" t="inlineStr">
        <is>
          <t>배당금 지급</t>
        </is>
      </c>
      <c r="C273" s="20" t="n">
        <v>-14271</v>
      </c>
      <c r="D273" s="20" t="n">
        <v>-14266</v>
      </c>
      <c r="E273" s="20" t="n">
        <v>-9164</v>
      </c>
      <c r="F273" s="20" t="n">
        <v>-9156</v>
      </c>
      <c r="G273" s="20" t="n">
        <v>-16829</v>
      </c>
      <c r="H273" s="20" t="n">
        <v>-16823</v>
      </c>
      <c r="I273" s="20" t="n">
        <v>-9378</v>
      </c>
      <c r="J273" s="20" t="n">
        <v>-9369</v>
      </c>
      <c r="K273" s="20" t="n">
        <v>-17894</v>
      </c>
      <c r="L273" s="20" t="n">
        <v>-17887</v>
      </c>
      <c r="M273" s="20" t="n">
        <v>-10655</v>
      </c>
      <c r="N273" s="20" t="n">
        <v>-10646</v>
      </c>
      <c r="O273" s="20" t="n">
        <v>-2794</v>
      </c>
      <c r="P273" s="20" t="n">
        <v>-2738</v>
      </c>
      <c r="Q273" s="20" t="n">
        <v>-3554</v>
      </c>
      <c r="R273" s="20" t="n">
        <v>-4265</v>
      </c>
      <c r="S273" s="20" t="n">
        <v>-5331</v>
      </c>
      <c r="T273" s="20" t="n">
        <v>-8745</v>
      </c>
      <c r="U273" s="20" t="n">
        <v>-10868</v>
      </c>
      <c r="V273" s="20" t="n">
        <v>-14266</v>
      </c>
      <c r="W273" s="20" t="n">
        <v>-16823</v>
      </c>
      <c r="X273" s="20" t="n">
        <v>-17887</v>
      </c>
    </row>
    <row r="274">
      <c r="A274" s="18" t="inlineStr">
        <is>
          <t>비지배주주 배당금 지급</t>
        </is>
      </c>
      <c r="F274" s="20" t="n">
        <v>0</v>
      </c>
      <c r="G274" s="20" t="n">
        <v>0</v>
      </c>
      <c r="H274" s="20" t="n">
        <v>0</v>
      </c>
      <c r="J274" s="20" t="n">
        <v>-21</v>
      </c>
      <c r="K274" s="20" t="n">
        <v>-21</v>
      </c>
      <c r="L274" s="20" t="n">
        <v>-21</v>
      </c>
      <c r="N274" s="20" t="n">
        <v>-27</v>
      </c>
      <c r="W274" s="20" t="n">
        <v>0</v>
      </c>
      <c r="X274" s="20" t="n">
        <v>-21</v>
      </c>
    </row>
    <row r="275">
      <c r="A275" s="18" t="inlineStr">
        <is>
          <t>기타</t>
        </is>
      </c>
      <c r="C275" s="20" t="n">
        <v>-754</v>
      </c>
      <c r="E275" s="20" t="n">
        <v>-295</v>
      </c>
      <c r="F275" s="20" t="n">
        <v>-628</v>
      </c>
      <c r="G275" s="20" t="n">
        <v>-903</v>
      </c>
      <c r="I275" s="20" t="n">
        <v>-372</v>
      </c>
      <c r="J275" s="20" t="n">
        <v>-717</v>
      </c>
      <c r="K275" s="20" t="n">
        <v>-1124</v>
      </c>
      <c r="M275" s="20" t="n">
        <v>-399</v>
      </c>
      <c r="N275" s="20" t="n">
        <v>-776</v>
      </c>
    </row>
    <row r="276">
      <c r="A276" s="9" t="inlineStr">
        <is>
          <t>재무활동 현금흐름</t>
        </is>
      </c>
      <c r="C276" s="12" t="n">
        <v>-15399</v>
      </c>
      <c r="D276" s="12" t="n">
        <v>-15969</v>
      </c>
      <c r="E276" s="12" t="n">
        <v>-9461</v>
      </c>
      <c r="F276" s="12" t="n">
        <v>-10099</v>
      </c>
      <c r="G276" s="12" t="n">
        <v>-18051</v>
      </c>
      <c r="H276" s="12" t="n">
        <v>-18735</v>
      </c>
      <c r="I276" s="12" t="n">
        <v>-9750</v>
      </c>
      <c r="J276" s="12" t="n">
        <v>-16700</v>
      </c>
      <c r="K276" s="12" t="n">
        <v>-25632</v>
      </c>
      <c r="L276" s="12" t="n">
        <v>-26069</v>
      </c>
      <c r="M276" s="12" t="n">
        <v>-11054</v>
      </c>
      <c r="N276" s="12" t="n">
        <v>-11450</v>
      </c>
      <c r="O276" s="12" t="n">
        <v>-3130</v>
      </c>
      <c r="P276" s="12" t="n">
        <v>-9577</v>
      </c>
      <c r="Q276" s="12" t="n">
        <v>-11443</v>
      </c>
      <c r="R276" s="12" t="n">
        <v>-6351</v>
      </c>
      <c r="S276" s="12" t="n">
        <v>-6965</v>
      </c>
      <c r="T276" s="12" t="n">
        <v>-9980</v>
      </c>
      <c r="U276" s="12" t="n">
        <v>-22485</v>
      </c>
      <c r="V276" s="12" t="n">
        <v>-15969</v>
      </c>
      <c r="W276" s="12" t="n">
        <v>-18735</v>
      </c>
      <c r="X276" s="12" t="n">
        <v>-26069</v>
      </c>
    </row>
    <row r="277">
      <c r="A277" s="18" t="inlineStr">
        <is>
          <t>현금성자산 환산차이</t>
        </is>
      </c>
      <c r="C277" s="20" t="n">
        <v>2591</v>
      </c>
      <c r="D277" s="20" t="n">
        <v>4631</v>
      </c>
      <c r="E277" s="20" t="n">
        <v>2015</v>
      </c>
      <c r="F277" s="20" t="n">
        <v>-958</v>
      </c>
      <c r="G277" s="20" t="n">
        <v>1080</v>
      </c>
      <c r="H277" s="20" t="n">
        <v>-274</v>
      </c>
      <c r="I277" s="20" t="n">
        <v>-106</v>
      </c>
      <c r="J277" s="20" t="n">
        <v>537</v>
      </c>
      <c r="K277" s="20" t="n">
        <v>1799</v>
      </c>
      <c r="L277" s="20" t="n">
        <v>2958</v>
      </c>
      <c r="M277" s="20" t="n">
        <v>759</v>
      </c>
      <c r="N277" s="20" t="n">
        <v>-913</v>
      </c>
      <c r="O277" s="20" t="n">
        <v>-533</v>
      </c>
      <c r="P277" s="20" t="n">
        <v>-96</v>
      </c>
      <c r="Q277" s="20" t="n">
        <v>323</v>
      </c>
      <c r="R277" s="20" t="n">
        <v>-823</v>
      </c>
      <c r="S277" s="20" t="n">
        <v>944</v>
      </c>
      <c r="T277" s="20" t="n">
        <v>2050</v>
      </c>
      <c r="U277" s="20" t="n">
        <v>2209</v>
      </c>
      <c r="V277" s="20" t="n">
        <v>4631</v>
      </c>
      <c r="W277" s="20" t="n">
        <v>-274</v>
      </c>
      <c r="X277" s="20" t="n">
        <v>2958</v>
      </c>
    </row>
    <row r="278">
      <c r="A278" s="18" t="inlineStr">
        <is>
          <t>현금성자산 증감</t>
        </is>
      </c>
      <c r="C278" s="20" t="n">
        <v>3427</v>
      </c>
      <c r="D278" s="20" t="n">
        <v>19620</v>
      </c>
      <c r="E278" s="20" t="n">
        <v>1160</v>
      </c>
      <c r="F278" s="20" t="n">
        <v>1542</v>
      </c>
      <c r="G278" s="20" t="n">
        <v>-1788</v>
      </c>
      <c r="H278" s="20" t="n">
        <v>41334</v>
      </c>
      <c r="I278" s="20" t="n">
        <v>-16089</v>
      </c>
      <c r="J278" s="20" t="n">
        <v>-46699</v>
      </c>
      <c r="K278" s="20" t="n">
        <v>-72190</v>
      </c>
      <c r="L278" s="20" t="n">
        <v>-47593</v>
      </c>
      <c r="M278" s="20" t="n">
        <v>37917</v>
      </c>
      <c r="N278" s="20" t="n">
        <v>32890</v>
      </c>
      <c r="O278" s="20" t="n">
        <v>-4091</v>
      </c>
      <c r="P278" s="20" t="n">
        <v>22201</v>
      </c>
      <c r="Q278" s="20" t="n">
        <v>6464</v>
      </c>
      <c r="R278" s="20" t="n">
        <v>6667</v>
      </c>
      <c r="S278" s="20" t="n">
        <v>4371</v>
      </c>
      <c r="T278" s="20" t="n">
        <v>31592</v>
      </c>
      <c r="U278" s="20" t="n">
        <v>-6165</v>
      </c>
      <c r="V278" s="20" t="n">
        <v>19620</v>
      </c>
      <c r="W278" s="20" t="n">
        <v>41334</v>
      </c>
      <c r="X278" s="20" t="n">
        <v>-47593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9697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224219</v>
      </c>
      <c r="D5" s="12" t="n">
        <v>215839</v>
      </c>
      <c r="E5" s="12" t="n">
        <v>257940</v>
      </c>
      <c r="F5" s="12" t="n">
        <v>257723</v>
      </c>
      <c r="G5" s="12" t="n">
        <v>262206</v>
      </c>
      <c r="H5" s="11" t="n">
        <v>151312</v>
      </c>
      <c r="I5" s="12" t="n">
        <v>171402</v>
      </c>
      <c r="J5" s="12" t="n">
        <v>197826</v>
      </c>
      <c r="K5" s="12" t="n">
        <v>262082</v>
      </c>
      <c r="L5" s="12" t="n">
        <v>257940</v>
      </c>
    </row>
    <row r="6">
      <c r="A6" s="18" t="inlineStr">
        <is>
          <t>현금및현금성자산</t>
        </is>
      </c>
      <c r="B6" s="10" t="n"/>
      <c r="C6" s="19" t="n">
        <v>130735</v>
      </c>
      <c r="D6" s="20" t="n">
        <v>111767</v>
      </c>
      <c r="E6" s="20" t="n">
        <v>148002</v>
      </c>
      <c r="F6" s="20" t="n">
        <v>161208</v>
      </c>
      <c r="G6" s="20" t="n">
        <v>151634</v>
      </c>
      <c r="H6" s="19" t="n">
        <v>107262</v>
      </c>
      <c r="I6" s="20" t="n">
        <v>102116</v>
      </c>
      <c r="J6" s="20" t="n">
        <v>125191</v>
      </c>
      <c r="K6" s="20" t="n">
        <v>166783</v>
      </c>
      <c r="L6" s="20" t="n">
        <v>148002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14934</v>
      </c>
      <c r="D8" s="20" t="n">
        <v>12998</v>
      </c>
      <c r="E8" s="20" t="n">
        <v>33283</v>
      </c>
      <c r="F8" s="20" t="n">
        <v>17508</v>
      </c>
      <c r="G8" s="20" t="n">
        <v>26063</v>
      </c>
      <c r="H8" s="19" t="n">
        <v>7404</v>
      </c>
      <c r="I8" s="20" t="n">
        <v>24981</v>
      </c>
      <c r="J8" s="20" t="n">
        <v>25383</v>
      </c>
      <c r="K8" s="20" t="n">
        <v>33341</v>
      </c>
      <c r="L8" s="20" t="n">
        <v>33283</v>
      </c>
    </row>
    <row r="9">
      <c r="A9" s="18" t="inlineStr">
        <is>
          <t>재고자산</t>
        </is>
      </c>
      <c r="B9" s="10" t="n"/>
      <c r="C9" s="19" t="n">
        <v>9955</v>
      </c>
      <c r="D9" s="20" t="n">
        <v>14565</v>
      </c>
      <c r="E9" s="20" t="n">
        <v>6690</v>
      </c>
      <c r="F9" s="20" t="n">
        <v>6068</v>
      </c>
      <c r="G9" s="20" t="n">
        <v>6426</v>
      </c>
      <c r="H9" s="19" t="n">
        <v>2395</v>
      </c>
      <c r="I9" s="20" t="n">
        <v>2900</v>
      </c>
      <c r="J9" s="20" t="n">
        <v>3761</v>
      </c>
      <c r="K9" s="20" t="n">
        <v>4830</v>
      </c>
      <c r="L9" s="20" t="n">
        <v>6690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74632</v>
      </c>
      <c r="D11" s="12" t="n">
        <v>75029</v>
      </c>
      <c r="E11" s="12" t="n">
        <v>81367</v>
      </c>
      <c r="F11" s="12" t="n">
        <v>83588</v>
      </c>
      <c r="G11" s="12" t="n">
        <v>103192</v>
      </c>
      <c r="H11" s="11" t="n">
        <v>36053</v>
      </c>
      <c r="I11" s="12" t="n">
        <v>45963</v>
      </c>
      <c r="J11" s="12" t="n">
        <v>45650</v>
      </c>
      <c r="K11" s="12" t="n">
        <v>50899</v>
      </c>
      <c r="L11" s="12" t="n">
        <v>81367</v>
      </c>
    </row>
    <row r="12">
      <c r="A12" s="18" t="inlineStr">
        <is>
          <t>유형자산</t>
        </is>
      </c>
      <c r="B12" s="10" t="n"/>
      <c r="C12" s="19" t="n">
        <v>42431</v>
      </c>
      <c r="D12" s="20" t="n">
        <v>42853</v>
      </c>
      <c r="E12" s="20" t="n">
        <v>45305</v>
      </c>
      <c r="F12" s="20" t="n">
        <v>47452</v>
      </c>
      <c r="G12" s="20" t="n">
        <v>52359</v>
      </c>
      <c r="H12" s="19" t="n">
        <v>21206</v>
      </c>
      <c r="I12" s="20" t="n">
        <v>27945</v>
      </c>
      <c r="J12" s="20" t="n">
        <v>30468</v>
      </c>
      <c r="K12" s="20" t="n">
        <v>33554</v>
      </c>
      <c r="L12" s="20" t="n">
        <v>45305</v>
      </c>
    </row>
    <row r="13">
      <c r="A13" s="18" t="inlineStr">
        <is>
          <t>무형자산</t>
        </is>
      </c>
      <c r="B13" s="10" t="n"/>
      <c r="C13" s="19" t="n">
        <v>1502</v>
      </c>
      <c r="D13" s="20" t="n">
        <v>1549</v>
      </c>
      <c r="E13" s="20" t="n">
        <v>1600</v>
      </c>
      <c r="F13" s="20" t="n">
        <v>1513</v>
      </c>
      <c r="G13" s="20" t="n">
        <v>1470</v>
      </c>
      <c r="H13" s="19" t="n">
        <v>1747</v>
      </c>
      <c r="I13" s="20" t="n">
        <v>1630</v>
      </c>
      <c r="J13" s="20" t="n">
        <v>1444</v>
      </c>
      <c r="K13" s="20" t="n">
        <v>1436</v>
      </c>
      <c r="L13" s="20" t="n">
        <v>1600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298852</v>
      </c>
      <c r="D16" s="12" t="n">
        <v>290869</v>
      </c>
      <c r="E16" s="12" t="n">
        <v>339307</v>
      </c>
      <c r="F16" s="12" t="n">
        <v>341312</v>
      </c>
      <c r="G16" s="12" t="n">
        <v>365399</v>
      </c>
      <c r="H16" s="11" t="n">
        <v>187365</v>
      </c>
      <c r="I16" s="12" t="n">
        <v>217365</v>
      </c>
      <c r="J16" s="12" t="n">
        <v>243476</v>
      </c>
      <c r="K16" s="12" t="n">
        <v>312982</v>
      </c>
      <c r="L16" s="12" t="n">
        <v>339307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38642</v>
      </c>
      <c r="D18" s="12" t="n">
        <v>24987</v>
      </c>
      <c r="E18" s="12" t="n">
        <v>56257</v>
      </c>
      <c r="F18" s="12" t="n">
        <v>38712</v>
      </c>
      <c r="G18" s="12" t="n">
        <v>50059</v>
      </c>
      <c r="H18" s="11" t="n">
        <v>30742</v>
      </c>
      <c r="I18" s="12" t="n">
        <v>46043</v>
      </c>
      <c r="J18" s="12" t="n">
        <v>33213</v>
      </c>
      <c r="K18" s="12" t="n">
        <v>69478</v>
      </c>
      <c r="L18" s="12" t="n">
        <v>56257</v>
      </c>
    </row>
    <row r="19">
      <c r="A19" s="18" t="inlineStr">
        <is>
          <t>매입채무</t>
        </is>
      </c>
      <c r="B19" s="10" t="n"/>
      <c r="C19" s="19" t="n">
        <v>3161</v>
      </c>
      <c r="D19" s="20" t="n">
        <v>2695</v>
      </c>
      <c r="E19" s="20" t="n">
        <v>4082</v>
      </c>
      <c r="F19" s="20" t="n">
        <v>2840</v>
      </c>
      <c r="G19" s="20" t="n">
        <v>4261</v>
      </c>
      <c r="H19" s="19" t="n">
        <v>2325</v>
      </c>
      <c r="I19" s="20" t="n">
        <v>3357</v>
      </c>
      <c r="J19" s="20" t="n">
        <v>2603</v>
      </c>
      <c r="K19" s="20" t="n">
        <v>3117</v>
      </c>
      <c r="L19" s="20" t="n">
        <v>4082</v>
      </c>
    </row>
    <row r="20">
      <c r="A20" s="18" t="inlineStr">
        <is>
          <t>단기차입금</t>
        </is>
      </c>
      <c r="B20" s="10" t="n"/>
      <c r="C20" s="19" t="n">
        <v>0</v>
      </c>
      <c r="D20" s="20" t="n">
        <v>0</v>
      </c>
      <c r="E20" s="20" t="n">
        <v>0</v>
      </c>
      <c r="F20" s="20" t="n"/>
      <c r="G20" s="20" t="n"/>
      <c r="H20" s="19" t="n">
        <v>0</v>
      </c>
      <c r="I20" s="20" t="n">
        <v>3591</v>
      </c>
      <c r="J20" s="20" t="n">
        <v>3591</v>
      </c>
      <c r="K20" s="20" t="n">
        <v>3591</v>
      </c>
      <c r="L20" s="20" t="n">
        <v>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>
        <v>626</v>
      </c>
      <c r="I21" s="20" t="n">
        <v>3626</v>
      </c>
      <c r="J21" s="20" t="n">
        <v>626</v>
      </c>
      <c r="K21" s="20" t="n">
        <v>0</v>
      </c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15021</v>
      </c>
      <c r="D23" s="12" t="n">
        <v>15636</v>
      </c>
      <c r="E23" s="12" t="n">
        <v>15334</v>
      </c>
      <c r="F23" s="12" t="n">
        <v>15675</v>
      </c>
      <c r="G23" s="12" t="n">
        <v>15882</v>
      </c>
      <c r="H23" s="11" t="n">
        <v>10147</v>
      </c>
      <c r="I23" s="12" t="n">
        <v>10193</v>
      </c>
      <c r="J23" s="12" t="n">
        <v>15181</v>
      </c>
      <c r="K23" s="12" t="n">
        <v>17200</v>
      </c>
      <c r="L23" s="12" t="n">
        <v>15334</v>
      </c>
    </row>
    <row r="24">
      <c r="A24" s="18" t="inlineStr">
        <is>
          <t>장기차입금</t>
        </is>
      </c>
      <c r="B24" s="10" t="n"/>
      <c r="C24" s="19" t="n">
        <v>0</v>
      </c>
      <c r="D24" s="20" t="n">
        <v>0</v>
      </c>
      <c r="E24" s="20" t="n">
        <v>0</v>
      </c>
      <c r="F24" s="20" t="n"/>
      <c r="G24" s="20" t="n"/>
      <c r="H24" s="19" t="n">
        <v>4252</v>
      </c>
      <c r="I24" s="20" t="n">
        <v>626</v>
      </c>
      <c r="J24" s="20" t="n">
        <v>3000</v>
      </c>
      <c r="K24" s="20" t="n">
        <v>3000</v>
      </c>
      <c r="L24" s="20" t="n">
        <v>0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53664</v>
      </c>
      <c r="D27" s="12" t="n">
        <v>40623</v>
      </c>
      <c r="E27" s="12" t="n">
        <v>71591</v>
      </c>
      <c r="F27" s="12" t="n">
        <v>54387</v>
      </c>
      <c r="G27" s="12" t="n">
        <v>65942</v>
      </c>
      <c r="H27" s="11" t="n">
        <v>40890</v>
      </c>
      <c r="I27" s="12" t="n">
        <v>56236</v>
      </c>
      <c r="J27" s="12" t="n">
        <v>48394</v>
      </c>
      <c r="K27" s="12" t="n">
        <v>86678</v>
      </c>
      <c r="L27" s="12" t="n">
        <v>71591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245188</v>
      </c>
      <c r="D31" s="12" t="n">
        <v>250245</v>
      </c>
      <c r="E31" s="12" t="n">
        <v>267702</v>
      </c>
      <c r="F31" s="12" t="n">
        <v>286888</v>
      </c>
      <c r="G31" s="12" t="n">
        <v>299446</v>
      </c>
      <c r="H31" s="11" t="n">
        <v>146475</v>
      </c>
      <c r="I31" s="12" t="n">
        <v>161129</v>
      </c>
      <c r="J31" s="12" t="n">
        <v>195081</v>
      </c>
      <c r="K31" s="12" t="n">
        <v>226303</v>
      </c>
      <c r="L31" s="12" t="n">
        <v>267702</v>
      </c>
    </row>
    <row r="32">
      <c r="A32" s="18" t="inlineStr">
        <is>
          <t>자본금</t>
        </is>
      </c>
      <c r="B32" s="10" t="n"/>
      <c r="C32" s="19" t="n">
        <v>33239</v>
      </c>
      <c r="D32" s="20" t="n">
        <v>33239</v>
      </c>
      <c r="E32" s="20" t="n">
        <v>33239</v>
      </c>
      <c r="F32" s="20" t="n">
        <v>33239</v>
      </c>
      <c r="G32" s="20" t="n">
        <v>33239</v>
      </c>
      <c r="H32" s="19" t="n">
        <v>33239</v>
      </c>
      <c r="I32" s="20" t="n">
        <v>33239</v>
      </c>
      <c r="J32" s="20" t="n">
        <v>33239</v>
      </c>
      <c r="K32" s="20" t="n">
        <v>33239</v>
      </c>
      <c r="L32" s="20" t="n">
        <v>33239</v>
      </c>
    </row>
    <row r="33">
      <c r="A33" s="18" t="inlineStr">
        <is>
          <t>이익잉여금</t>
        </is>
      </c>
      <c r="B33" s="10" t="n"/>
      <c r="C33" s="19" t="n">
        <v>222348</v>
      </c>
      <c r="D33" s="20" t="n">
        <v>225195</v>
      </c>
      <c r="E33" s="20" t="n">
        <v>240919</v>
      </c>
      <c r="F33" s="20" t="n">
        <v>259423</v>
      </c>
      <c r="G33" s="20" t="n">
        <v>273347</v>
      </c>
      <c r="H33" s="19" t="n">
        <v>117661</v>
      </c>
      <c r="I33" s="20" t="n">
        <v>143519</v>
      </c>
      <c r="J33" s="20" t="n">
        <v>172615</v>
      </c>
      <c r="K33" s="20" t="n">
        <v>204233</v>
      </c>
      <c r="L33" s="20" t="n">
        <v>240919</v>
      </c>
    </row>
    <row r="34">
      <c r="A34" s="18" t="inlineStr">
        <is>
          <t>비지배지분</t>
        </is>
      </c>
      <c r="B34" s="10" t="n"/>
      <c r="C34" s="19" t="n">
        <v>0</v>
      </c>
      <c r="D34" s="20" t="n">
        <v>0</v>
      </c>
      <c r="E34" s="20" t="n">
        <v>14</v>
      </c>
      <c r="F34" s="20" t="n">
        <v>36</v>
      </c>
      <c r="G34" s="20" t="n">
        <v>10</v>
      </c>
      <c r="H34" s="19" t="n"/>
      <c r="I34" s="20" t="n"/>
      <c r="J34" s="20" t="n">
        <v>0</v>
      </c>
      <c r="K34" s="20" t="n">
        <v>0</v>
      </c>
      <c r="L34" s="20" t="n">
        <v>14</v>
      </c>
    </row>
    <row r="35">
      <c r="A35" s="9" t="inlineStr">
        <is>
          <t>자본총계</t>
        </is>
      </c>
      <c r="B35" s="10" t="n"/>
      <c r="C35" s="11" t="n">
        <v>245188</v>
      </c>
      <c r="D35" s="12" t="n">
        <v>250245</v>
      </c>
      <c r="E35" s="12" t="n">
        <v>267716</v>
      </c>
      <c r="F35" s="12" t="n">
        <v>286924</v>
      </c>
      <c r="G35" s="12" t="n">
        <v>299456</v>
      </c>
      <c r="H35" s="11" t="n">
        <v>146475</v>
      </c>
      <c r="I35" s="12" t="n">
        <v>161129</v>
      </c>
      <c r="J35" s="12" t="n">
        <v>195081</v>
      </c>
      <c r="K35" s="12" t="n">
        <v>226303</v>
      </c>
      <c r="L35" s="12" t="n">
        <v>267716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58049</v>
      </c>
      <c r="D37" s="12" t="n">
        <v>41903</v>
      </c>
      <c r="E37" s="12" t="n">
        <v>31380</v>
      </c>
      <c r="F37" s="12" t="n">
        <v>53356</v>
      </c>
      <c r="G37" s="12" t="n">
        <v>63624</v>
      </c>
      <c r="H37" s="11" t="n">
        <v>46947</v>
      </c>
      <c r="I37" s="12" t="n">
        <v>21789</v>
      </c>
      <c r="J37" s="12" t="n">
        <v>36921</v>
      </c>
      <c r="K37" s="12" t="n">
        <v>67618</v>
      </c>
      <c r="L37" s="12" t="n">
        <v>31380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14436</v>
      </c>
      <c r="D38" s="20" t="n">
        <v>13607</v>
      </c>
      <c r="E38" s="20" t="n">
        <v>14298</v>
      </c>
      <c r="F38" s="20" t="n">
        <v>9689</v>
      </c>
      <c r="G38" s="20" t="n">
        <v>10487</v>
      </c>
      <c r="H38" s="19" t="n">
        <v>4067</v>
      </c>
      <c r="I38" s="20" t="n">
        <v>7415</v>
      </c>
      <c r="J38" s="20" t="n">
        <v>5135</v>
      </c>
      <c r="K38" s="20" t="n">
        <v>6277</v>
      </c>
      <c r="L38" s="20" t="n">
        <v>14298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17036</v>
      </c>
      <c r="D40" s="20" t="n">
        <v>17888</v>
      </c>
      <c r="E40" s="20" t="n">
        <v>17887</v>
      </c>
      <c r="F40" s="20" t="n">
        <v>19164</v>
      </c>
      <c r="G40" s="20" t="n">
        <v>19164</v>
      </c>
      <c r="H40" s="19" t="n">
        <v>8745</v>
      </c>
      <c r="I40" s="20" t="n">
        <v>10868</v>
      </c>
      <c r="J40" s="20" t="n">
        <v>14266</v>
      </c>
      <c r="K40" s="20" t="n">
        <v>16823</v>
      </c>
      <c r="L40" s="20" t="n">
        <v>17887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IFERROR(IF((IF(COUNT('연간'!G61:J61)&lt;4,"",SUM('연간'!G61:J61)))&lt;=0,"적자",C28/(IF(COUNT('연간'!G61:J61)&lt;4,"",SUM('연간'!G61:J61)))),"")</f>
        <v/>
      </c>
      <c r="D49" s="47">
        <f>IFERROR(IF((IF(COUNT('연간'!H61:K61)&lt;4,"",SUM('연간'!H61:K61)))&lt;=0,"적자",D28/(IF(COUNT('연간'!H61:K61)&lt;4,"",SUM('연간'!H61:K61)))),"")</f>
        <v/>
      </c>
      <c r="E49" s="47">
        <f>IFERROR(IF((IF(COUNT('연간'!I61:L61)&lt;4,"",SUM('연간'!I61:L61)))&lt;=0,"적자",E28/(IF(COUNT('연간'!I61:L61)&lt;4,"",SUM('연간'!I61:L61)))),"")</f>
        <v/>
      </c>
      <c r="F49" s="47">
        <f>IFERROR(IF((IF(COUNT('연간'!J61:M61)&lt;4,"",SUM('연간'!J61:M61)))&lt;=0,"적자",F28/(IF(COUNT('연간'!J61:M61)&lt;4,"",SUM('연간'!J61:M61)))),"")</f>
        <v/>
      </c>
      <c r="G49" s="47">
        <f>IFERROR(IF((IF(COUNT('연간'!K61:N61)&lt;4,"",SUM('연간'!K61:N61)))&lt;=0,"적자",G28/(IF(COUNT('연간'!K61:N61)&lt;4,"",SUM('연간'!K61:N61)))),"")</f>
        <v/>
      </c>
      <c r="H49" s="46">
        <f>IFERROR(IF(('연간'!T61)&lt;=0,"적자",H28/('연간'!T61)),"")</f>
        <v/>
      </c>
      <c r="I49" s="47">
        <f>IFERROR(IF(('연간'!U61)&lt;=0,"적자",I28/('연간'!U61)),"")</f>
        <v/>
      </c>
      <c r="J49" s="47">
        <f>IFERROR(IF(('연간'!V61)&lt;=0,"적자",J28/('연간'!V61)),"")</f>
        <v/>
      </c>
      <c r="K49" s="47">
        <f>IFERROR(IF(('연간'!W61)&lt;=0,"적자",K28/('연간'!W61)),"")</f>
        <v/>
      </c>
      <c r="L49" s="47">
        <f>IFERROR(IF(('연간'!X61)&lt;=0,"적자",L28/('연간'!X61)),"")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IFERROR((IF(COUNT('연간'!G61:J61)&lt;4,"",SUM('연간'!G61:J61)))/C31,"")</f>
        <v/>
      </c>
      <c r="D51" s="36">
        <f>IFERROR((IF(COUNT('연간'!H61:K61)&lt;4,"",SUM('연간'!H61:K61)))/D31,"")</f>
        <v/>
      </c>
      <c r="E51" s="36">
        <f>IFERROR((IF(COUNT('연간'!I61:L61)&lt;4,"",SUM('연간'!I61:L61)))/E31,"")</f>
        <v/>
      </c>
      <c r="F51" s="36">
        <f>IFERROR((IF(COUNT('연간'!J61:M61)&lt;4,"",SUM('연간'!J61:M61)))/F31,"")</f>
        <v/>
      </c>
      <c r="G51" s="36">
        <f>IFERROR((IF(COUNT('연간'!K61:N61)&lt;4,"",SUM('연간'!K61:N61)))/G31,"")</f>
        <v/>
      </c>
      <c r="H51" s="35">
        <f>IFERROR(('연간'!T61)/H31,"")</f>
        <v/>
      </c>
      <c r="I51" s="36">
        <f>IFERROR(('연간'!U61)/I31,"")</f>
        <v/>
      </c>
      <c r="J51" s="36">
        <f>IFERROR(('연간'!V61)/J31,"")</f>
        <v/>
      </c>
      <c r="K51" s="36">
        <f>IFERROR(('연간'!W61)/K31,"")</f>
        <v/>
      </c>
      <c r="L51" s="36">
        <f>IFERROR(('연간'!X61)/L31,"")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IFERROR((IF(COUNT('연간'!G59:J59)&lt;4,"",SUM('연간'!G59:J59)))/C16,"")</f>
        <v/>
      </c>
      <c r="D52" s="36">
        <f>IFERROR((IF(COUNT('연간'!H59:K59)&lt;4,"",SUM('연간'!H59:K59)))/D16,"")</f>
        <v/>
      </c>
      <c r="E52" s="36">
        <f>IFERROR((IF(COUNT('연간'!I59:L59)&lt;4,"",SUM('연간'!I59:L59)))/E16,"")</f>
        <v/>
      </c>
      <c r="F52" s="36">
        <f>IFERROR((IF(COUNT('연간'!J59:M59)&lt;4,"",SUM('연간'!J59:M59)))/F16,"")</f>
        <v/>
      </c>
      <c r="G52" s="36">
        <f>IFERROR((IF(COUNT('연간'!K59:N59)&lt;4,"",SUM('연간'!K59:N59)))/G16,"")</f>
        <v/>
      </c>
      <c r="H52" s="35">
        <f>IFERROR(('연간'!T59)/H16,"")</f>
        <v/>
      </c>
      <c r="I52" s="36">
        <f>IFERROR(('연간'!U59)/I16,"")</f>
        <v/>
      </c>
      <c r="J52" s="36">
        <f>IFERROR(('연간'!V59)/J16,"")</f>
        <v/>
      </c>
      <c r="K52" s="36">
        <f>IFERROR(('연간'!W59)/K16,"")</f>
        <v/>
      </c>
      <c r="L52" s="36">
        <f>IFERROR(('연간'!X59)/L16,"")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IFERROR((IF(COUNT('연간'!G25:J25)&lt;4,"",SUM('연간'!G25:J25)))/(IF(COUNT('연간'!G4:J4)&lt;4,"",SUM('연간'!G4:J4))),"")</f>
        <v/>
      </c>
      <c r="D54" s="36">
        <f>IFERROR((IF(COUNT('연간'!H25:K25)&lt;4,"",SUM('연간'!H25:K25)))/(IF(COUNT('연간'!H4:K4)&lt;4,"",SUM('연간'!H4:K4))),"")</f>
        <v/>
      </c>
      <c r="E54" s="36">
        <f>IFERROR((IF(COUNT('연간'!I25:L25)&lt;4,"",SUM('연간'!I25:L25)))/(IF(COUNT('연간'!I4:L4)&lt;4,"",SUM('연간'!I4:L4))),"")</f>
        <v/>
      </c>
      <c r="F54" s="36">
        <f>IFERROR((IF(COUNT('연간'!J25:M25)&lt;4,"",SUM('연간'!J25:M25)))/(IF(COUNT('연간'!J4:M4)&lt;4,"",SUM('연간'!J4:M4))),"")</f>
        <v/>
      </c>
      <c r="G54" s="36">
        <f>IFERROR((IF(COUNT('연간'!K25:N25)&lt;4,"",SUM('연간'!K25:N25)))/(IF(COUNT('연간'!K4:N4)&lt;4,"",SUM('연간'!K4:N4))),"")</f>
        <v/>
      </c>
      <c r="H54" s="35">
        <f>IFERROR(('연간'!T25)/('연간'!T4),"")</f>
        <v/>
      </c>
      <c r="I54" s="36">
        <f>IFERROR(('연간'!U25)/('연간'!U4),"")</f>
        <v/>
      </c>
      <c r="J54" s="36">
        <f>IFERROR(('연간'!V25)/('연간'!V4),"")</f>
        <v/>
      </c>
      <c r="K54" s="36">
        <f>IFERROR(('연간'!W25)/('연간'!W4),"")</f>
        <v/>
      </c>
      <c r="L54" s="36">
        <f>IFERROR(('연간'!X25)/('연간'!X4),"")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IFERROR((IF(COUNT('연간'!G59:J59)&lt;4,"",SUM('연간'!G59:J59)))/(IF(COUNT('연간'!G4:J4)&lt;4,"",SUM('연간'!G4:J4))),"")</f>
        <v/>
      </c>
      <c r="D56" s="36">
        <f>IFERROR((IF(COUNT('연간'!H59:K59)&lt;4,"",SUM('연간'!H59:K59)))/(IF(COUNT('연간'!H4:K4)&lt;4,"",SUM('연간'!H4:K4))),"")</f>
        <v/>
      </c>
      <c r="E56" s="36">
        <f>IFERROR((IF(COUNT('연간'!I59:L59)&lt;4,"",SUM('연간'!I59:L59)))/(IF(COUNT('연간'!I4:L4)&lt;4,"",SUM('연간'!I4:L4))),"")</f>
        <v/>
      </c>
      <c r="F56" s="36">
        <f>IFERROR((IF(COUNT('연간'!J59:M59)&lt;4,"",SUM('연간'!J59:M59)))/(IF(COUNT('연간'!J4:M4)&lt;4,"",SUM('연간'!J4:M4))),"")</f>
        <v/>
      </c>
      <c r="G56" s="36">
        <f>IFERROR((IF(COUNT('연간'!K59:N59)&lt;4,"",SUM('연간'!K59:N59)))/(IF(COUNT('연간'!K4:N4)&lt;4,"",SUM('연간'!K4:N4))),"")</f>
        <v/>
      </c>
      <c r="H56" s="35">
        <f>IFERROR(('연간'!T59)/('연간'!T4),"")</f>
        <v/>
      </c>
      <c r="I56" s="36">
        <f>IFERROR(('연간'!U59)/('연간'!U4),"")</f>
        <v/>
      </c>
      <c r="J56" s="36">
        <f>IFERROR(('연간'!V59)/('연간'!V4),"")</f>
        <v/>
      </c>
      <c r="K56" s="36">
        <f>IFERROR(('연간'!W59)/('연간'!W4),"")</f>
        <v/>
      </c>
      <c r="L56" s="36">
        <f>IFERROR(('연간'!X59)/('연간'!X4),"")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IF(C37="","",IFERROR(C37/(IF(COUNT('연간'!G59:J59)&lt;4,"",SUM('연간'!G59:J59))),""))</f>
        <v/>
      </c>
      <c r="D64" s="31">
        <f>IF(D37="","",IFERROR(D37/(IF(COUNT('연간'!H59:K59)&lt;4,"",SUM('연간'!H59:K59))),""))</f>
        <v/>
      </c>
      <c r="E64" s="31">
        <f>IF(E37="","",IFERROR(E37/(IF(COUNT('연간'!I59:L59)&lt;4,"",SUM('연간'!I59:L59))),""))</f>
        <v/>
      </c>
      <c r="F64" s="31">
        <f>IF(F37="","",IFERROR(F37/(IF(COUNT('연간'!J59:M59)&lt;4,"",SUM('연간'!J59:M59))),""))</f>
        <v/>
      </c>
      <c r="G64" s="31">
        <f>IF(G37="","",IFERROR(G37/(IF(COUNT('연간'!K59:N59)&lt;4,"",SUM('연간'!K59:N59))),""))</f>
        <v/>
      </c>
      <c r="H64" s="30">
        <f>IF(H37="","",IFERROR(H37/('연간'!T59),""))</f>
        <v/>
      </c>
      <c r="I64" s="31">
        <f>IF(I37="","",IFERROR(I37/('연간'!U59),""))</f>
        <v/>
      </c>
      <c r="J64" s="31">
        <f>IF(J37="","",IFERROR(J37/('연간'!V59),""))</f>
        <v/>
      </c>
      <c r="K64" s="31">
        <f>IF(K37="","",IFERROR(K37/('연간'!W59),""))</f>
        <v/>
      </c>
      <c r="L64" s="31">
        <f>IF(L37="","",IFERROR(L37/('연간'!X59),""))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IF(C40="","",IFERROR(C40/(IF(COUNT('연간'!G61:J61)&lt;4,"",SUM('연간'!G61:J61))),""))</f>
        <v/>
      </c>
      <c r="D67" s="36">
        <f>IF(D40="","",IFERROR(D40/(IF(COUNT('연간'!H61:K61)&lt;4,"",SUM('연간'!H61:K61))),""))</f>
        <v/>
      </c>
      <c r="E67" s="36">
        <f>IF(E40="","",IFERROR(E40/(IF(COUNT('연간'!I61:L61)&lt;4,"",SUM('연간'!I61:L61))),""))</f>
        <v/>
      </c>
      <c r="F67" s="36">
        <f>IF(F40="","",IFERROR(F40/(IF(COUNT('연간'!J61:M61)&lt;4,"",SUM('연간'!J61:M61))),""))</f>
        <v/>
      </c>
      <c r="G67" s="36">
        <f>IF(G40="","",IFERROR(G40/(IF(COUNT('연간'!K61:N61)&lt;4,"",SUM('연간'!K61:N61))),""))</f>
        <v/>
      </c>
      <c r="H67" s="35">
        <f>IF(H40="","",IFERROR(H40/('연간'!T61),""))</f>
        <v/>
      </c>
      <c r="I67" s="36">
        <f>IF(I40="","",IFERROR(I40/('연간'!U61),""))</f>
        <v/>
      </c>
      <c r="J67" s="36">
        <f>IF(J40="","",IFERROR(J40/('연간'!V61),""))</f>
        <v/>
      </c>
      <c r="K67" s="36">
        <f>IF(K40="","",IFERROR(K40/('연간'!W61),""))</f>
        <v/>
      </c>
      <c r="L67" s="36">
        <f>IF(L40="","",IFERROR(L40/('연간'!X61),""))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130735</v>
      </c>
      <c r="D71" s="20" t="n">
        <v>111767</v>
      </c>
      <c r="E71" s="20" t="n">
        <v>148002</v>
      </c>
      <c r="F71" s="20" t="n">
        <v>161208</v>
      </c>
      <c r="G71" s="20" t="n">
        <v>151634</v>
      </c>
      <c r="H71" s="20" t="n">
        <v>107262</v>
      </c>
      <c r="I71" s="20" t="n">
        <v>102116</v>
      </c>
      <c r="J71" s="20" t="n">
        <v>125191</v>
      </c>
      <c r="K71" s="20" t="n">
        <v>166783</v>
      </c>
      <c r="L71" s="20" t="n">
        <v>148002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</t>
        </is>
      </c>
      <c r="H73" s="20" t="n">
        <v>528</v>
      </c>
      <c r="I73" s="20" t="n">
        <v>116</v>
      </c>
      <c r="J73" s="20" t="n">
        <v>0</v>
      </c>
    </row>
    <row r="74">
      <c r="A74" s="18" t="inlineStr">
        <is>
          <t>매출채권</t>
        </is>
      </c>
      <c r="C74" s="20" t="n">
        <v>14934</v>
      </c>
      <c r="D74" s="20" t="n">
        <v>12998</v>
      </c>
      <c r="E74" s="20" t="n">
        <v>33283</v>
      </c>
      <c r="F74" s="20" t="n">
        <v>17508</v>
      </c>
      <c r="G74" s="20" t="n">
        <v>26063</v>
      </c>
      <c r="H74" s="20" t="n">
        <v>7404</v>
      </c>
      <c r="I74" s="20" t="n">
        <v>24981</v>
      </c>
      <c r="J74" s="20" t="n">
        <v>25383</v>
      </c>
      <c r="K74" s="20" t="n">
        <v>33341</v>
      </c>
      <c r="L74" s="20" t="n">
        <v>33283</v>
      </c>
    </row>
    <row r="75">
      <c r="A75" s="18" t="inlineStr">
        <is>
          <t>상품·제품</t>
        </is>
      </c>
      <c r="C75" s="20" t="n">
        <v>3337</v>
      </c>
      <c r="D75" s="20" t="n">
        <v>2882</v>
      </c>
      <c r="E75" s="20" t="n">
        <v>2893</v>
      </c>
      <c r="F75" s="20" t="n">
        <v>3028</v>
      </c>
      <c r="G75" s="20" t="n">
        <v>3960</v>
      </c>
      <c r="H75" s="20" t="n">
        <v>1378</v>
      </c>
      <c r="I75" s="20" t="n">
        <v>1440</v>
      </c>
      <c r="J75" s="20" t="n">
        <v>1692</v>
      </c>
      <c r="K75" s="20" t="n">
        <v>2798</v>
      </c>
      <c r="L75" s="20" t="n">
        <v>2893</v>
      </c>
    </row>
    <row r="76">
      <c r="A76" s="18" t="inlineStr">
        <is>
          <t>재공품</t>
        </is>
      </c>
      <c r="C76" s="20" t="n">
        <v>6142</v>
      </c>
      <c r="D76" s="20" t="n">
        <v>10993</v>
      </c>
      <c r="E76" s="20" t="n">
        <v>1561</v>
      </c>
      <c r="F76" s="20" t="n">
        <v>1986</v>
      </c>
      <c r="G76" s="20" t="n">
        <v>1492</v>
      </c>
      <c r="H76" s="20" t="n">
        <v>819</v>
      </c>
      <c r="I76" s="20" t="n">
        <v>1006</v>
      </c>
      <c r="J76" s="20" t="n">
        <v>1222</v>
      </c>
      <c r="K76" s="20" t="n">
        <v>917</v>
      </c>
      <c r="L76" s="20" t="n">
        <v>1561</v>
      </c>
    </row>
    <row r="77">
      <c r="A77" s="18" t="inlineStr">
        <is>
          <t>영상자산</t>
        </is>
      </c>
      <c r="E77" s="20" t="n">
        <v>9909</v>
      </c>
      <c r="F77" s="20" t="n">
        <v>10294</v>
      </c>
      <c r="G77" s="20" t="n">
        <v>10368</v>
      </c>
      <c r="K77" s="20" t="n">
        <v>0</v>
      </c>
      <c r="L77" s="20" t="n">
        <v>9909</v>
      </c>
    </row>
    <row r="78">
      <c r="A78" s="18" t="inlineStr">
        <is>
          <t>원재료·저장품</t>
        </is>
      </c>
      <c r="C78" s="20" t="n">
        <v>476</v>
      </c>
      <c r="D78" s="20" t="n">
        <v>690</v>
      </c>
      <c r="E78" s="20" t="n">
        <v>2236</v>
      </c>
      <c r="F78" s="20" t="n">
        <v>1054</v>
      </c>
      <c r="G78" s="20" t="n">
        <v>974</v>
      </c>
      <c r="H78" s="20" t="n">
        <v>198</v>
      </c>
      <c r="I78" s="20" t="n">
        <v>454</v>
      </c>
      <c r="J78" s="20" t="n">
        <v>847</v>
      </c>
      <c r="K78" s="20" t="n">
        <v>1115</v>
      </c>
      <c r="L78" s="20" t="n">
        <v>2236</v>
      </c>
    </row>
    <row r="79">
      <c r="A79" s="18" t="inlineStr">
        <is>
          <t>게임소프트 재공품</t>
        </is>
      </c>
      <c r="C79" s="20" t="n">
        <v>62542</v>
      </c>
      <c r="D79" s="20" t="n">
        <v>71161</v>
      </c>
      <c r="E79" s="20" t="n">
        <v>54628</v>
      </c>
      <c r="F79" s="20" t="n">
        <v>56510</v>
      </c>
      <c r="G79" s="20" t="n">
        <v>60740</v>
      </c>
      <c r="H79" s="20" t="n">
        <v>31192</v>
      </c>
      <c r="I79" s="20" t="n">
        <v>38510</v>
      </c>
      <c r="J79" s="20" t="n">
        <v>39035</v>
      </c>
      <c r="K79" s="20" t="n">
        <v>49209</v>
      </c>
      <c r="L79" s="20" t="n">
        <v>54628</v>
      </c>
    </row>
    <row r="80">
      <c r="A80" s="18" t="inlineStr">
        <is>
          <t>기타</t>
        </is>
      </c>
      <c r="C80" s="20" t="n">
        <v>6055</v>
      </c>
      <c r="D80" s="20" t="n">
        <v>5348</v>
      </c>
      <c r="E80" s="20" t="n">
        <v>5426</v>
      </c>
      <c r="F80" s="20" t="n">
        <v>6135</v>
      </c>
      <c r="G80" s="20" t="n">
        <v>6977</v>
      </c>
      <c r="H80" s="20" t="n">
        <v>2536</v>
      </c>
      <c r="I80" s="20" t="n">
        <v>2776</v>
      </c>
      <c r="J80" s="20" t="n">
        <v>4456</v>
      </c>
      <c r="K80" s="20" t="n">
        <v>7917</v>
      </c>
      <c r="L80" s="20" t="n">
        <v>5426</v>
      </c>
    </row>
    <row r="81">
      <c r="A81" s="18" t="inlineStr">
        <is>
          <t>대손충당금</t>
        </is>
      </c>
      <c r="C81" s="20" t="n">
        <v>-5</v>
      </c>
      <c r="D81" s="20" t="n">
        <v>-2</v>
      </c>
      <c r="E81" s="20" t="n">
        <v>-1</v>
      </c>
      <c r="F81" s="20" t="n">
        <v>-2</v>
      </c>
      <c r="G81" s="20" t="n">
        <v>-5</v>
      </c>
      <c r="H81" s="20" t="n">
        <v>-8</v>
      </c>
      <c r="I81" s="20" t="n">
        <v>-1</v>
      </c>
      <c r="J81" s="20" t="n">
        <v>-2</v>
      </c>
      <c r="K81" s="20" t="n">
        <v>-0</v>
      </c>
      <c r="L81" s="20" t="n">
        <v>-1</v>
      </c>
    </row>
    <row r="82">
      <c r="A82" s="9" t="inlineStr">
        <is>
          <t>유동자산 합계</t>
        </is>
      </c>
      <c r="C82" s="12" t="n">
        <v>224219</v>
      </c>
      <c r="D82" s="12" t="n">
        <v>215839</v>
      </c>
      <c r="E82" s="12" t="n">
        <v>257940</v>
      </c>
      <c r="F82" s="12" t="n">
        <v>257723</v>
      </c>
      <c r="G82" s="12" t="n">
        <v>262206</v>
      </c>
      <c r="H82" s="12" t="n">
        <v>151312</v>
      </c>
      <c r="I82" s="12" t="n">
        <v>171402</v>
      </c>
      <c r="J82" s="12" t="n">
        <v>197826</v>
      </c>
      <c r="K82" s="12" t="n">
        <v>262082</v>
      </c>
      <c r="L82" s="12" t="n">
        <v>257940</v>
      </c>
    </row>
    <row r="83">
      <c r="A83" s="18" t="inlineStr">
        <is>
          <t>건물·구축물(순액)</t>
        </is>
      </c>
      <c r="C83" s="20" t="n">
        <v>10676</v>
      </c>
      <c r="D83" s="20" t="n">
        <v>10994</v>
      </c>
      <c r="E83" s="20" t="n">
        <v>12124</v>
      </c>
      <c r="F83" s="20" t="n">
        <v>13306</v>
      </c>
      <c r="G83" s="20" t="n">
        <v>13067</v>
      </c>
      <c r="H83" s="20" t="n">
        <v>10485</v>
      </c>
      <c r="I83" s="20" t="n">
        <v>10423</v>
      </c>
      <c r="J83" s="20" t="n">
        <v>10938</v>
      </c>
      <c r="K83" s="20" t="n">
        <v>10745</v>
      </c>
      <c r="L83" s="20" t="n">
        <v>12124</v>
      </c>
    </row>
    <row r="84">
      <c r="A84" s="18" t="inlineStr">
        <is>
          <t>기계장치·운반구(순액)</t>
        </is>
      </c>
      <c r="E84" s="20" t="n">
        <v>49</v>
      </c>
      <c r="H84" s="20" t="n">
        <v>24</v>
      </c>
      <c r="I84" s="20" t="n">
        <v>21</v>
      </c>
      <c r="J84" s="20" t="n">
        <v>14</v>
      </c>
      <c r="K84" s="20" t="n">
        <v>41</v>
      </c>
      <c r="L84" s="20" t="n">
        <v>49</v>
      </c>
    </row>
    <row r="85">
      <c r="A85" s="18" t="inlineStr">
        <is>
          <t>공구·기구·비품(순액)</t>
        </is>
      </c>
      <c r="E85" s="20" t="n">
        <v>2074</v>
      </c>
      <c r="H85" s="20" t="n">
        <v>1977</v>
      </c>
      <c r="I85" s="20" t="n">
        <v>1715</v>
      </c>
      <c r="J85" s="20" t="n">
        <v>2198</v>
      </c>
      <c r="K85" s="20" t="n">
        <v>2090</v>
      </c>
      <c r="L85" s="20" t="n">
        <v>2074</v>
      </c>
    </row>
    <row r="86">
      <c r="A86" s="18" t="inlineStr">
        <is>
          <t>오락시설 기기(순액)</t>
        </is>
      </c>
      <c r="E86" s="20" t="n">
        <v>4112</v>
      </c>
      <c r="H86" s="20" t="n">
        <v>2213</v>
      </c>
      <c r="I86" s="20" t="n">
        <v>2973</v>
      </c>
      <c r="J86" s="20" t="n">
        <v>3375</v>
      </c>
      <c r="K86" s="20" t="n">
        <v>3556</v>
      </c>
      <c r="L86" s="20" t="n">
        <v>4112</v>
      </c>
    </row>
    <row r="87">
      <c r="A87" s="18" t="inlineStr">
        <is>
          <t>토지</t>
        </is>
      </c>
      <c r="E87" s="20" t="n">
        <v>20066</v>
      </c>
      <c r="H87" s="20" t="n">
        <v>5235</v>
      </c>
      <c r="I87" s="20" t="n">
        <v>8953</v>
      </c>
      <c r="J87" s="20" t="n">
        <v>8996</v>
      </c>
      <c r="K87" s="20" t="n">
        <v>10028</v>
      </c>
      <c r="L87" s="20" t="n">
        <v>20066</v>
      </c>
    </row>
    <row r="88">
      <c r="A88" s="18" t="inlineStr">
        <is>
          <t>리스자산(순액)</t>
        </is>
      </c>
      <c r="E88" s="20" t="n">
        <v>2583</v>
      </c>
      <c r="H88" s="20" t="n">
        <v>1112</v>
      </c>
      <c r="I88" s="20" t="n">
        <v>1399</v>
      </c>
      <c r="J88" s="20" t="n">
        <v>2142</v>
      </c>
      <c r="K88" s="20" t="n">
        <v>2773</v>
      </c>
      <c r="L88" s="20" t="n">
        <v>2583</v>
      </c>
    </row>
    <row r="89">
      <c r="A89" s="18" t="inlineStr">
        <is>
          <t>건설중인자산</t>
        </is>
      </c>
      <c r="E89" s="20" t="n">
        <v>2622</v>
      </c>
      <c r="H89" s="20" t="n">
        <v>157</v>
      </c>
      <c r="I89" s="20" t="n">
        <v>475</v>
      </c>
      <c r="J89" s="20" t="n">
        <v>647</v>
      </c>
      <c r="K89" s="20" t="n">
        <v>2598</v>
      </c>
      <c r="L89" s="20" t="n">
        <v>2622</v>
      </c>
    </row>
    <row r="90">
      <c r="A90" s="18" t="inlineStr">
        <is>
          <t>기타(순액)</t>
        </is>
      </c>
      <c r="C90" s="20" t="n">
        <v>31754</v>
      </c>
      <c r="D90" s="20" t="n">
        <v>31858</v>
      </c>
      <c r="E90" s="20" t="n">
        <v>33180</v>
      </c>
      <c r="F90" s="20" t="n">
        <v>34145</v>
      </c>
      <c r="G90" s="20" t="n">
        <v>39292</v>
      </c>
      <c r="H90" s="20" t="n">
        <v>0</v>
      </c>
      <c r="I90" s="20" t="n">
        <v>1982</v>
      </c>
      <c r="J90" s="20" t="n">
        <v>2154</v>
      </c>
      <c r="K90" s="20" t="n">
        <v>1720</v>
      </c>
      <c r="L90" s="20" t="n">
        <v>33180</v>
      </c>
    </row>
    <row r="91">
      <c r="A91" s="18" t="inlineStr">
        <is>
          <t>유형자산 합계</t>
        </is>
      </c>
      <c r="C91" s="20" t="n">
        <v>42431</v>
      </c>
      <c r="D91" s="20" t="n">
        <v>42853</v>
      </c>
      <c r="E91" s="20" t="n">
        <v>45305</v>
      </c>
      <c r="F91" s="20" t="n">
        <v>47452</v>
      </c>
      <c r="G91" s="20" t="n">
        <v>52359</v>
      </c>
      <c r="H91" s="20" t="n">
        <v>21206</v>
      </c>
      <c r="I91" s="20" t="n">
        <v>27945</v>
      </c>
      <c r="J91" s="20" t="n">
        <v>30468</v>
      </c>
      <c r="K91" s="20" t="n">
        <v>33554</v>
      </c>
      <c r="L91" s="20" t="n">
        <v>45305</v>
      </c>
    </row>
    <row r="92">
      <c r="A92" s="18" t="inlineStr">
        <is>
          <t>무형자산</t>
        </is>
      </c>
      <c r="C92" s="20" t="n">
        <v>1502</v>
      </c>
      <c r="D92" s="20" t="n">
        <v>1549</v>
      </c>
      <c r="E92" s="20" t="n">
        <v>1600</v>
      </c>
      <c r="F92" s="20" t="n">
        <v>1513</v>
      </c>
      <c r="G92" s="20" t="n">
        <v>1470</v>
      </c>
      <c r="H92" s="20" t="n">
        <v>1747</v>
      </c>
      <c r="I92" s="20" t="n">
        <v>1630</v>
      </c>
      <c r="J92" s="20" t="n">
        <v>1444</v>
      </c>
      <c r="K92" s="20" t="n">
        <v>1436</v>
      </c>
      <c r="L92" s="20" t="n">
        <v>1600</v>
      </c>
    </row>
    <row r="93">
      <c r="A93" s="18" t="inlineStr">
        <is>
          <t>투자유가증권</t>
        </is>
      </c>
      <c r="E93" s="20" t="n">
        <v>15053</v>
      </c>
      <c r="H93" s="20" t="n">
        <v>637</v>
      </c>
      <c r="I93" s="20" t="n">
        <v>735</v>
      </c>
      <c r="J93" s="20" t="n">
        <v>26</v>
      </c>
      <c r="K93" s="20" t="n">
        <v>15</v>
      </c>
      <c r="L93" s="20" t="n">
        <v>15053</v>
      </c>
    </row>
    <row r="94">
      <c r="A94" s="18" t="inlineStr">
        <is>
          <t>파산갱생채권 등</t>
        </is>
      </c>
      <c r="H94" s="20" t="n">
        <v>12</v>
      </c>
      <c r="I94" s="20" t="n">
        <v>12</v>
      </c>
      <c r="J94" s="20" t="n">
        <v>12</v>
      </c>
    </row>
    <row r="95">
      <c r="A95" s="18" t="inlineStr">
        <is>
          <t>보증금</t>
        </is>
      </c>
      <c r="H95" s="20" t="n">
        <v>4266</v>
      </c>
      <c r="I95" s="20" t="n">
        <v>4593</v>
      </c>
      <c r="J95" s="20" t="n">
        <v>4750</v>
      </c>
    </row>
    <row r="96">
      <c r="A96" s="18" t="inlineStr">
        <is>
          <t>이연법인세자산</t>
        </is>
      </c>
      <c r="E96" s="20" t="n">
        <v>12595</v>
      </c>
      <c r="H96" s="20" t="n">
        <v>7389</v>
      </c>
      <c r="I96" s="20" t="n">
        <v>9849</v>
      </c>
      <c r="J96" s="20" t="n">
        <v>7893</v>
      </c>
      <c r="K96" s="20" t="n">
        <v>8962</v>
      </c>
      <c r="L96" s="20" t="n">
        <v>12595</v>
      </c>
    </row>
    <row r="97">
      <c r="A97" s="18" t="inlineStr">
        <is>
          <t>기타</t>
        </is>
      </c>
      <c r="C97" s="20" t="n">
        <v>30721</v>
      </c>
      <c r="D97" s="20" t="n">
        <v>30649</v>
      </c>
      <c r="E97" s="20" t="n">
        <v>34484</v>
      </c>
      <c r="F97" s="20" t="n">
        <v>34645</v>
      </c>
      <c r="G97" s="20" t="n">
        <v>49386</v>
      </c>
      <c r="H97" s="20" t="n">
        <v>819</v>
      </c>
      <c r="I97" s="20" t="n">
        <v>1219</v>
      </c>
      <c r="J97" s="20" t="n">
        <v>5867</v>
      </c>
      <c r="K97" s="20" t="n">
        <v>6952</v>
      </c>
      <c r="L97" s="20" t="n">
        <v>34484</v>
      </c>
    </row>
    <row r="98">
      <c r="A98" s="18" t="inlineStr">
        <is>
          <t>대손충당금</t>
        </is>
      </c>
      <c r="C98" s="20" t="n">
        <v>-23</v>
      </c>
      <c r="D98" s="20" t="n">
        <v>-23</v>
      </c>
      <c r="E98" s="20" t="n">
        <v>-23</v>
      </c>
      <c r="F98" s="20" t="n">
        <v>-23</v>
      </c>
      <c r="G98" s="20" t="n">
        <v>-23</v>
      </c>
      <c r="H98" s="20" t="n">
        <v>-25</v>
      </c>
      <c r="I98" s="20" t="n">
        <v>-22</v>
      </c>
      <c r="J98" s="20" t="n">
        <v>-23</v>
      </c>
      <c r="K98" s="20" t="n">
        <v>-23</v>
      </c>
      <c r="L98" s="20" t="n">
        <v>-23</v>
      </c>
    </row>
    <row r="99">
      <c r="A99" s="18" t="inlineStr">
        <is>
          <t>투자 및 기타자산 합계</t>
        </is>
      </c>
      <c r="C99" s="20" t="n">
        <v>30698</v>
      </c>
      <c r="D99" s="20" t="n">
        <v>30626</v>
      </c>
      <c r="E99" s="20" t="n">
        <v>34461</v>
      </c>
      <c r="F99" s="20" t="n">
        <v>34622</v>
      </c>
      <c r="G99" s="20" t="n">
        <v>49363</v>
      </c>
      <c r="H99" s="20" t="n">
        <v>13099</v>
      </c>
      <c r="I99" s="20" t="n">
        <v>16387</v>
      </c>
      <c r="J99" s="20" t="n">
        <v>13737</v>
      </c>
      <c r="K99" s="20" t="n">
        <v>15907</v>
      </c>
      <c r="L99" s="20" t="n">
        <v>34461</v>
      </c>
    </row>
    <row r="100">
      <c r="A100" s="9" t="inlineStr">
        <is>
          <t>비유동자산 합계</t>
        </is>
      </c>
      <c r="C100" s="12" t="n">
        <v>74632</v>
      </c>
      <c r="D100" s="12" t="n">
        <v>75029</v>
      </c>
      <c r="E100" s="12" t="n">
        <v>81367</v>
      </c>
      <c r="F100" s="12" t="n">
        <v>83588</v>
      </c>
      <c r="G100" s="12" t="n">
        <v>103192</v>
      </c>
      <c r="H100" s="12" t="n">
        <v>36053</v>
      </c>
      <c r="I100" s="12" t="n">
        <v>45963</v>
      </c>
      <c r="J100" s="12" t="n">
        <v>45650</v>
      </c>
      <c r="K100" s="12" t="n">
        <v>50899</v>
      </c>
      <c r="L100" s="12" t="n">
        <v>81367</v>
      </c>
    </row>
    <row r="101">
      <c r="A101" s="9" t="inlineStr">
        <is>
          <t>자산 합계</t>
        </is>
      </c>
      <c r="C101" s="12" t="n">
        <v>298852</v>
      </c>
      <c r="D101" s="12" t="n">
        <v>290869</v>
      </c>
      <c r="E101" s="12" t="n">
        <v>339307</v>
      </c>
      <c r="F101" s="12" t="n">
        <v>341312</v>
      </c>
      <c r="G101" s="12" t="n">
        <v>365399</v>
      </c>
      <c r="H101" s="12" t="n">
        <v>187365</v>
      </c>
      <c r="I101" s="12" t="n">
        <v>217365</v>
      </c>
      <c r="J101" s="12" t="n">
        <v>243476</v>
      </c>
      <c r="K101" s="12" t="n">
        <v>312982</v>
      </c>
      <c r="L101" s="12" t="n">
        <v>339307</v>
      </c>
    </row>
    <row r="102">
      <c r="A102" s="18" t="inlineStr">
        <is>
          <t>지급어음·매입채무</t>
        </is>
      </c>
      <c r="C102" s="20" t="n">
        <v>3161</v>
      </c>
      <c r="D102" s="20" t="n">
        <v>2695</v>
      </c>
      <c r="E102" s="20" t="n">
        <v>4082</v>
      </c>
      <c r="F102" s="20" t="n">
        <v>2840</v>
      </c>
      <c r="G102" s="20" t="n">
        <v>4261</v>
      </c>
      <c r="H102" s="20" t="n">
        <v>2325</v>
      </c>
      <c r="I102" s="20" t="n">
        <v>3357</v>
      </c>
      <c r="J102" s="20" t="n">
        <v>2603</v>
      </c>
      <c r="K102" s="20" t="n">
        <v>3117</v>
      </c>
      <c r="L102" s="20" t="n">
        <v>4082</v>
      </c>
    </row>
    <row r="103">
      <c r="A103" s="18" t="inlineStr">
        <is>
          <t>전자기록채무</t>
        </is>
      </c>
      <c r="C103" s="20" t="n">
        <v>3333</v>
      </c>
      <c r="D103" s="20" t="n">
        <v>1956</v>
      </c>
      <c r="E103" s="20" t="n">
        <v>2409</v>
      </c>
      <c r="F103" s="20" t="n">
        <v>3384</v>
      </c>
      <c r="G103" s="20" t="n">
        <v>3033</v>
      </c>
      <c r="H103" s="20" t="n">
        <v>1276</v>
      </c>
      <c r="I103" s="20" t="n">
        <v>2172</v>
      </c>
      <c r="J103" s="20" t="n">
        <v>1730</v>
      </c>
      <c r="K103" s="20" t="n">
        <v>2505</v>
      </c>
      <c r="L103" s="20" t="n">
        <v>2409</v>
      </c>
    </row>
    <row r="104">
      <c r="A104" s="18" t="inlineStr">
        <is>
          <t>단기차입금</t>
        </is>
      </c>
      <c r="C104" s="20" t="n">
        <v>0</v>
      </c>
      <c r="D104" s="20" t="n">
        <v>0</v>
      </c>
      <c r="E104" s="20" t="n">
        <v>0</v>
      </c>
      <c r="H104" s="20" t="n">
        <v>0</v>
      </c>
      <c r="I104" s="20" t="n">
        <v>3591</v>
      </c>
      <c r="J104" s="20" t="n">
        <v>3591</v>
      </c>
      <c r="K104" s="20" t="n">
        <v>3591</v>
      </c>
      <c r="L104" s="20" t="n">
        <v>0</v>
      </c>
    </row>
    <row r="105">
      <c r="A105" s="18" t="inlineStr">
        <is>
          <t>1년 내 상환 장기차입금</t>
        </is>
      </c>
      <c r="H105" s="20" t="n">
        <v>626</v>
      </c>
      <c r="I105" s="20" t="n">
        <v>3626</v>
      </c>
      <c r="J105" s="20" t="n">
        <v>626</v>
      </c>
      <c r="K105" s="20" t="n">
        <v>0</v>
      </c>
    </row>
    <row r="106">
      <c r="A106" s="18" t="inlineStr">
        <is>
          <t>리스부채</t>
        </is>
      </c>
      <c r="E106" s="20" t="n">
        <v>1544</v>
      </c>
      <c r="H106" s="20" t="n">
        <v>501</v>
      </c>
      <c r="I106" s="20" t="n">
        <v>919</v>
      </c>
      <c r="J106" s="20" t="n">
        <v>1265</v>
      </c>
      <c r="K106" s="20" t="n">
        <v>1512</v>
      </c>
      <c r="L106" s="20" t="n">
        <v>1544</v>
      </c>
    </row>
    <row r="107">
      <c r="A107" s="18" t="inlineStr">
        <is>
          <t>미지급법인세</t>
        </is>
      </c>
      <c r="C107" s="20" t="n">
        <v>9717</v>
      </c>
      <c r="D107" s="20" t="n">
        <v>5125</v>
      </c>
      <c r="E107" s="20" t="n">
        <v>15650</v>
      </c>
      <c r="F107" s="20" t="n">
        <v>12555</v>
      </c>
      <c r="G107" s="20" t="n">
        <v>18702</v>
      </c>
      <c r="H107" s="20" t="n">
        <v>6010</v>
      </c>
      <c r="I107" s="20" t="n">
        <v>12145</v>
      </c>
      <c r="J107" s="20" t="n">
        <v>5454</v>
      </c>
      <c r="K107" s="20" t="n">
        <v>15053</v>
      </c>
      <c r="L107" s="20" t="n">
        <v>15650</v>
      </c>
    </row>
    <row r="108">
      <c r="A108" s="18" t="inlineStr">
        <is>
          <t>상여충당금</t>
        </is>
      </c>
      <c r="C108" s="20" t="n">
        <v>3472</v>
      </c>
      <c r="D108" s="20" t="n">
        <v>2541</v>
      </c>
      <c r="E108" s="20" t="n">
        <v>10517</v>
      </c>
      <c r="F108" s="20" t="n">
        <v>4972</v>
      </c>
      <c r="G108" s="20" t="n">
        <v>3937</v>
      </c>
      <c r="H108" s="20" t="n">
        <v>4014</v>
      </c>
      <c r="I108" s="20" t="n">
        <v>5727</v>
      </c>
      <c r="J108" s="20" t="n">
        <v>8388</v>
      </c>
      <c r="K108" s="20" t="n">
        <v>9480</v>
      </c>
      <c r="L108" s="20" t="n">
        <v>10517</v>
      </c>
    </row>
    <row r="109">
      <c r="A109" s="18" t="inlineStr">
        <is>
          <t>이연수익</t>
        </is>
      </c>
      <c r="C109" s="20" t="n">
        <v>6497</v>
      </c>
      <c r="D109" s="20" t="n">
        <v>807</v>
      </c>
      <c r="E109" s="20" t="n">
        <v>9065</v>
      </c>
      <c r="F109" s="20" t="n">
        <v>598</v>
      </c>
      <c r="G109" s="20" t="n">
        <v>1123</v>
      </c>
      <c r="H109" s="20" t="n">
        <v>8932</v>
      </c>
      <c r="I109" s="20" t="n">
        <v>5455</v>
      </c>
      <c r="J109" s="20" t="n">
        <v>683</v>
      </c>
      <c r="K109" s="20" t="n">
        <v>20590</v>
      </c>
      <c r="L109" s="20" t="n">
        <v>9065</v>
      </c>
    </row>
    <row r="110">
      <c r="A110" s="18" t="inlineStr">
        <is>
          <t>기타</t>
        </is>
      </c>
      <c r="C110" s="20" t="n">
        <v>12459</v>
      </c>
      <c r="D110" s="20" t="n">
        <v>11861</v>
      </c>
      <c r="E110" s="20" t="n">
        <v>14532</v>
      </c>
      <c r="F110" s="20" t="n">
        <v>14361</v>
      </c>
      <c r="G110" s="20" t="n">
        <v>19001</v>
      </c>
      <c r="H110" s="20" t="n">
        <v>7055</v>
      </c>
      <c r="I110" s="20" t="n">
        <v>9048</v>
      </c>
      <c r="J110" s="20" t="n">
        <v>8870</v>
      </c>
      <c r="K110" s="20" t="n">
        <v>13626</v>
      </c>
      <c r="L110" s="20" t="n">
        <v>14532</v>
      </c>
    </row>
    <row r="111">
      <c r="A111" s="9" t="inlineStr">
        <is>
          <t>유동부채 합계</t>
        </is>
      </c>
      <c r="C111" s="12" t="n">
        <v>38642</v>
      </c>
      <c r="D111" s="12" t="n">
        <v>24987</v>
      </c>
      <c r="E111" s="12" t="n">
        <v>56257</v>
      </c>
      <c r="F111" s="12" t="n">
        <v>38712</v>
      </c>
      <c r="G111" s="12" t="n">
        <v>50059</v>
      </c>
      <c r="H111" s="12" t="n">
        <v>30742</v>
      </c>
      <c r="I111" s="12" t="n">
        <v>46043</v>
      </c>
      <c r="J111" s="12" t="n">
        <v>33213</v>
      </c>
      <c r="K111" s="12" t="n">
        <v>69478</v>
      </c>
      <c r="L111" s="12" t="n">
        <v>56257</v>
      </c>
    </row>
    <row r="112">
      <c r="A112" s="18" t="inlineStr">
        <is>
          <t>장기차입금</t>
        </is>
      </c>
      <c r="C112" s="20" t="n">
        <v>0</v>
      </c>
      <c r="D112" s="20" t="n">
        <v>0</v>
      </c>
      <c r="E112" s="20" t="n">
        <v>0</v>
      </c>
      <c r="H112" s="20" t="n">
        <v>4252</v>
      </c>
      <c r="I112" s="20" t="n">
        <v>626</v>
      </c>
      <c r="J112" s="20" t="n">
        <v>3000</v>
      </c>
      <c r="K112" s="20" t="n">
        <v>3000</v>
      </c>
      <c r="L112" s="20" t="n">
        <v>0</v>
      </c>
    </row>
    <row r="113">
      <c r="A113" s="18" t="inlineStr">
        <is>
          <t>리스부채</t>
        </is>
      </c>
      <c r="E113" s="20" t="n">
        <v>3553</v>
      </c>
      <c r="H113" s="20" t="n">
        <v>718</v>
      </c>
      <c r="I113" s="20" t="n">
        <v>2992</v>
      </c>
      <c r="J113" s="20" t="n">
        <v>3676</v>
      </c>
      <c r="K113" s="20" t="n">
        <v>3813</v>
      </c>
      <c r="L113" s="20" t="n">
        <v>3553</v>
      </c>
    </row>
    <row r="114">
      <c r="A114" s="18" t="inlineStr">
        <is>
          <t>이연법인세부채</t>
        </is>
      </c>
      <c r="E114" s="20" t="n">
        <v>72</v>
      </c>
      <c r="H114" s="20" t="n">
        <v>20</v>
      </c>
      <c r="I114" s="20" t="n">
        <v>0</v>
      </c>
      <c r="J114" s="20" t="n">
        <v>22</v>
      </c>
      <c r="K114" s="20" t="n">
        <v>46</v>
      </c>
      <c r="L114" s="20" t="n">
        <v>72</v>
      </c>
    </row>
    <row r="115">
      <c r="A115" s="18" t="inlineStr">
        <is>
          <t>퇴직급여부채</t>
        </is>
      </c>
      <c r="C115" s="20" t="n">
        <v>4904</v>
      </c>
      <c r="D115" s="20" t="n">
        <v>4958</v>
      </c>
      <c r="E115" s="20" t="n">
        <v>4304</v>
      </c>
      <c r="F115" s="20" t="n">
        <v>4397</v>
      </c>
      <c r="G115" s="20" t="n">
        <v>4462</v>
      </c>
      <c r="H115" s="20" t="n">
        <v>3802</v>
      </c>
      <c r="I115" s="20" t="n">
        <v>4139</v>
      </c>
      <c r="J115" s="20" t="n">
        <v>4379</v>
      </c>
      <c r="K115" s="20" t="n">
        <v>4758</v>
      </c>
      <c r="L115" s="20" t="n">
        <v>4304</v>
      </c>
    </row>
    <row r="116">
      <c r="A116" s="18" t="inlineStr">
        <is>
          <t>주식급여 충당금</t>
        </is>
      </c>
      <c r="C116" s="20" t="n">
        <v>3751</v>
      </c>
      <c r="D116" s="20" t="n">
        <v>4031</v>
      </c>
      <c r="E116" s="20" t="n">
        <v>4311</v>
      </c>
      <c r="F116" s="20" t="n">
        <v>4619</v>
      </c>
      <c r="G116" s="20" t="n">
        <v>4911</v>
      </c>
      <c r="H116" s="20" t="n">
        <v>0</v>
      </c>
      <c r="I116" s="20" t="n">
        <v>1018</v>
      </c>
      <c r="J116" s="20" t="n">
        <v>2074</v>
      </c>
      <c r="K116" s="20" t="n">
        <v>3169</v>
      </c>
      <c r="L116" s="20" t="n">
        <v>4311</v>
      </c>
    </row>
    <row r="117">
      <c r="A117" s="18" t="inlineStr">
        <is>
          <t>자산복구부채</t>
        </is>
      </c>
      <c r="H117" s="20" t="n">
        <v>718</v>
      </c>
      <c r="I117" s="20" t="n">
        <v>885</v>
      </c>
      <c r="J117" s="20" t="n">
        <v>1095</v>
      </c>
    </row>
    <row r="118">
      <c r="A118" s="18" t="inlineStr">
        <is>
          <t>주식보상 충당금</t>
        </is>
      </c>
      <c r="C118" s="20" t="n">
        <v>94</v>
      </c>
      <c r="D118" s="20" t="n">
        <v>116</v>
      </c>
      <c r="E118" s="20" t="n">
        <v>138</v>
      </c>
      <c r="F118" s="20" t="n">
        <v>173</v>
      </c>
      <c r="G118" s="20" t="n">
        <v>207</v>
      </c>
      <c r="J118" s="20" t="n">
        <v>0</v>
      </c>
      <c r="K118" s="20" t="n">
        <v>49</v>
      </c>
      <c r="L118" s="20" t="n">
        <v>138</v>
      </c>
    </row>
    <row r="119">
      <c r="A119" s="18" t="inlineStr">
        <is>
          <t>기타</t>
        </is>
      </c>
      <c r="C119" s="20" t="n">
        <v>6271</v>
      </c>
      <c r="D119" s="20" t="n">
        <v>6530</v>
      </c>
      <c r="E119" s="20" t="n">
        <v>6579</v>
      </c>
      <c r="F119" s="20" t="n">
        <v>6485</v>
      </c>
      <c r="G119" s="20" t="n">
        <v>6300</v>
      </c>
      <c r="H119" s="20" t="n">
        <v>634</v>
      </c>
      <c r="I119" s="20" t="n">
        <v>529</v>
      </c>
      <c r="J119" s="20" t="n">
        <v>2028</v>
      </c>
      <c r="K119" s="20" t="n">
        <v>2361</v>
      </c>
      <c r="L119" s="20" t="n">
        <v>6579</v>
      </c>
    </row>
    <row r="120">
      <c r="A120" s="9" t="inlineStr">
        <is>
          <t>비유동부채 합계</t>
        </is>
      </c>
      <c r="C120" s="12" t="n">
        <v>15021</v>
      </c>
      <c r="D120" s="12" t="n">
        <v>15636</v>
      </c>
      <c r="E120" s="12" t="n">
        <v>15334</v>
      </c>
      <c r="F120" s="12" t="n">
        <v>15675</v>
      </c>
      <c r="G120" s="12" t="n">
        <v>15882</v>
      </c>
      <c r="H120" s="12" t="n">
        <v>10147</v>
      </c>
      <c r="I120" s="12" t="n">
        <v>10193</v>
      </c>
      <c r="J120" s="12" t="n">
        <v>15181</v>
      </c>
      <c r="K120" s="12" t="n">
        <v>17200</v>
      </c>
      <c r="L120" s="12" t="n">
        <v>15334</v>
      </c>
    </row>
    <row r="121">
      <c r="A121" s="9" t="inlineStr">
        <is>
          <t>부채 합계</t>
        </is>
      </c>
      <c r="C121" s="12" t="n">
        <v>53664</v>
      </c>
      <c r="D121" s="12" t="n">
        <v>40623</v>
      </c>
      <c r="E121" s="12" t="n">
        <v>71591</v>
      </c>
      <c r="F121" s="12" t="n">
        <v>54387</v>
      </c>
      <c r="G121" s="12" t="n">
        <v>65942</v>
      </c>
      <c r="H121" s="12" t="n">
        <v>40890</v>
      </c>
      <c r="I121" s="12" t="n">
        <v>56236</v>
      </c>
      <c r="J121" s="12" t="n">
        <v>48394</v>
      </c>
      <c r="K121" s="12" t="n">
        <v>86678</v>
      </c>
      <c r="L121" s="12" t="n">
        <v>71591</v>
      </c>
    </row>
    <row r="122">
      <c r="A122" s="18" t="inlineStr">
        <is>
          <t>자본금</t>
        </is>
      </c>
      <c r="C122" s="20" t="n">
        <v>33239</v>
      </c>
      <c r="D122" s="20" t="n">
        <v>33239</v>
      </c>
      <c r="E122" s="20" t="n">
        <v>33239</v>
      </c>
      <c r="F122" s="20" t="n">
        <v>33239</v>
      </c>
      <c r="G122" s="20" t="n">
        <v>33239</v>
      </c>
      <c r="H122" s="20" t="n">
        <v>33239</v>
      </c>
      <c r="I122" s="20" t="n">
        <v>33239</v>
      </c>
      <c r="J122" s="20" t="n">
        <v>33239</v>
      </c>
      <c r="K122" s="20" t="n">
        <v>33239</v>
      </c>
      <c r="L122" s="20" t="n">
        <v>33239</v>
      </c>
    </row>
    <row r="123">
      <c r="A123" s="18" t="inlineStr">
        <is>
          <t>자본잉여금</t>
        </is>
      </c>
      <c r="C123" s="20" t="n">
        <v>30259</v>
      </c>
      <c r="D123" s="20" t="n">
        <v>30259</v>
      </c>
      <c r="E123" s="20" t="n">
        <v>30259</v>
      </c>
      <c r="F123" s="20" t="n">
        <v>30259</v>
      </c>
      <c r="G123" s="20" t="n">
        <v>30276</v>
      </c>
      <c r="H123" s="20" t="n">
        <v>21329</v>
      </c>
      <c r="I123" s="20" t="n">
        <v>30259</v>
      </c>
      <c r="J123" s="20" t="n">
        <v>30259</v>
      </c>
      <c r="K123" s="20" t="n">
        <v>30259</v>
      </c>
      <c r="L123" s="20" t="n">
        <v>30259</v>
      </c>
    </row>
    <row r="124">
      <c r="A124" s="18" t="inlineStr">
        <is>
          <t>이익잉여금</t>
        </is>
      </c>
      <c r="C124" s="20" t="n">
        <v>222348</v>
      </c>
      <c r="D124" s="20" t="n">
        <v>225195</v>
      </c>
      <c r="E124" s="20" t="n">
        <v>240919</v>
      </c>
      <c r="F124" s="20" t="n">
        <v>259423</v>
      </c>
      <c r="G124" s="20" t="n">
        <v>273347</v>
      </c>
      <c r="H124" s="20" t="n">
        <v>117661</v>
      </c>
      <c r="I124" s="20" t="n">
        <v>143519</v>
      </c>
      <c r="J124" s="20" t="n">
        <v>172615</v>
      </c>
      <c r="K124" s="20" t="n">
        <v>204233</v>
      </c>
      <c r="L124" s="20" t="n">
        <v>240919</v>
      </c>
    </row>
    <row r="125">
      <c r="A125" s="18" t="inlineStr">
        <is>
          <t>자기주식</t>
        </is>
      </c>
      <c r="C125" s="20" t="n">
        <v>-49932</v>
      </c>
      <c r="D125" s="20" t="n">
        <v>-49910</v>
      </c>
      <c r="E125" s="20" t="n">
        <v>-49893</v>
      </c>
      <c r="F125" s="20" t="n">
        <v>-49873</v>
      </c>
      <c r="G125" s="20" t="n">
        <v>-49846</v>
      </c>
      <c r="H125" s="20" t="n">
        <v>-27464</v>
      </c>
      <c r="I125" s="20" t="n">
        <v>-50037</v>
      </c>
      <c r="J125" s="20" t="n">
        <v>-50012</v>
      </c>
      <c r="K125" s="20" t="n">
        <v>-49963</v>
      </c>
      <c r="L125" s="20" t="n">
        <v>-49893</v>
      </c>
    </row>
    <row r="126">
      <c r="A126" s="9" t="inlineStr">
        <is>
          <t>주주자본 합계</t>
        </is>
      </c>
      <c r="C126" s="12" t="n">
        <v>235914</v>
      </c>
      <c r="D126" s="12" t="n">
        <v>238782</v>
      </c>
      <c r="E126" s="12" t="n">
        <v>254524</v>
      </c>
      <c r="F126" s="12" t="n">
        <v>273048</v>
      </c>
      <c r="G126" s="12" t="n">
        <v>287017</v>
      </c>
      <c r="H126" s="12" t="n">
        <v>144765</v>
      </c>
      <c r="I126" s="12" t="n">
        <v>156979</v>
      </c>
      <c r="J126" s="12" t="n">
        <v>186100</v>
      </c>
      <c r="K126" s="12" t="n">
        <v>217768</v>
      </c>
      <c r="L126" s="12" t="n">
        <v>254524</v>
      </c>
    </row>
    <row r="127">
      <c r="A127" s="18" t="inlineStr">
        <is>
          <t>기타유가증권 평가차액</t>
        </is>
      </c>
      <c r="H127" s="20" t="n">
        <v>100</v>
      </c>
      <c r="I127" s="20" t="n">
        <v>102</v>
      </c>
      <c r="J127" s="20" t="n">
        <v>0</v>
      </c>
    </row>
    <row r="128">
      <c r="A128" s="18" t="inlineStr">
        <is>
          <t>이연헤지손익</t>
        </is>
      </c>
      <c r="D128" s="20" t="n">
        <v>-418</v>
      </c>
      <c r="E128" s="20" t="n">
        <v>0</v>
      </c>
      <c r="F128" s="20" t="n">
        <v>-269</v>
      </c>
      <c r="G128" s="20" t="n">
        <v>10</v>
      </c>
      <c r="H128" s="20" t="n">
        <v>0</v>
      </c>
      <c r="K128" s="20" t="n">
        <v>0</v>
      </c>
      <c r="L128" s="20" t="n">
        <v>0</v>
      </c>
    </row>
    <row r="129">
      <c r="A129" s="18" t="inlineStr">
        <is>
          <t>해외사업환산조정</t>
        </is>
      </c>
      <c r="C129" s="20" t="n">
        <v>9220</v>
      </c>
      <c r="D129" s="20" t="n">
        <v>11750</v>
      </c>
      <c r="E129" s="20" t="n">
        <v>12481</v>
      </c>
      <c r="F129" s="20" t="n">
        <v>13266</v>
      </c>
      <c r="G129" s="20" t="n">
        <v>11429</v>
      </c>
      <c r="H129" s="20" t="n">
        <v>1889</v>
      </c>
      <c r="I129" s="20" t="n">
        <v>4332</v>
      </c>
      <c r="J129" s="20" t="n">
        <v>9197</v>
      </c>
      <c r="K129" s="20" t="n">
        <v>8602</v>
      </c>
      <c r="L129" s="20" t="n">
        <v>12481</v>
      </c>
    </row>
    <row r="130">
      <c r="A130" s="18" t="inlineStr">
        <is>
          <t>퇴직급여 조정누계액</t>
        </is>
      </c>
      <c r="C130" s="20" t="n">
        <v>-201</v>
      </c>
      <c r="D130" s="20" t="n">
        <v>-191</v>
      </c>
      <c r="E130" s="20" t="n">
        <v>306</v>
      </c>
      <c r="F130" s="20" t="n">
        <v>304</v>
      </c>
      <c r="G130" s="20" t="n">
        <v>303</v>
      </c>
      <c r="H130" s="20" t="n">
        <v>-279</v>
      </c>
      <c r="I130" s="20" t="n">
        <v>-285</v>
      </c>
      <c r="J130" s="20" t="n">
        <v>-216</v>
      </c>
      <c r="K130" s="20" t="n">
        <v>-222</v>
      </c>
      <c r="L130" s="20" t="n">
        <v>306</v>
      </c>
    </row>
    <row r="131">
      <c r="A131" s="18" t="inlineStr">
        <is>
          <t>기타포괄손익누계액 합계</t>
        </is>
      </c>
      <c r="C131" s="20" t="n">
        <v>9018</v>
      </c>
      <c r="D131" s="20" t="n">
        <v>11141</v>
      </c>
      <c r="E131" s="20" t="n">
        <v>12788</v>
      </c>
      <c r="F131" s="20" t="n">
        <v>13302</v>
      </c>
      <c r="G131" s="20" t="n">
        <v>11743</v>
      </c>
      <c r="H131" s="20" t="n">
        <v>1710</v>
      </c>
      <c r="I131" s="20" t="n">
        <v>4149</v>
      </c>
      <c r="J131" s="20" t="n">
        <v>8980</v>
      </c>
      <c r="K131" s="20" t="n">
        <v>8380</v>
      </c>
      <c r="L131" s="20" t="n">
        <v>12788</v>
      </c>
    </row>
    <row r="132">
      <c r="A132" s="18" t="inlineStr">
        <is>
          <t>주식인수권</t>
        </is>
      </c>
      <c r="C132" s="20" t="n">
        <v>254</v>
      </c>
      <c r="D132" s="20" t="n">
        <v>321</v>
      </c>
      <c r="E132" s="20" t="n">
        <v>388</v>
      </c>
      <c r="F132" s="20" t="n">
        <v>537</v>
      </c>
      <c r="G132" s="20" t="n">
        <v>685</v>
      </c>
      <c r="J132" s="20" t="n">
        <v>0</v>
      </c>
      <c r="K132" s="20" t="n">
        <v>155</v>
      </c>
      <c r="L132" s="20" t="n">
        <v>388</v>
      </c>
    </row>
    <row r="133">
      <c r="A133" s="18" t="inlineStr">
        <is>
          <t>비지배지분</t>
        </is>
      </c>
      <c r="C133" s="20" t="n">
        <v>0</v>
      </c>
      <c r="D133" s="20" t="n">
        <v>0</v>
      </c>
      <c r="E133" s="20" t="n">
        <v>14</v>
      </c>
      <c r="F133" s="20" t="n">
        <v>36</v>
      </c>
      <c r="G133" s="20" t="n">
        <v>10</v>
      </c>
      <c r="J133" s="20" t="n">
        <v>0</v>
      </c>
      <c r="K133" s="20" t="n">
        <v>0</v>
      </c>
      <c r="L133" s="20" t="n">
        <v>14</v>
      </c>
    </row>
    <row r="134">
      <c r="A134" s="9" t="inlineStr">
        <is>
          <t>순자산 합계</t>
        </is>
      </c>
      <c r="C134" s="12" t="n">
        <v>245188</v>
      </c>
      <c r="D134" s="12" t="n">
        <v>250245</v>
      </c>
      <c r="E134" s="12" t="n">
        <v>267716</v>
      </c>
      <c r="F134" s="12" t="n">
        <v>286924</v>
      </c>
      <c r="G134" s="12" t="n">
        <v>299456</v>
      </c>
      <c r="H134" s="12" t="n">
        <v>146475</v>
      </c>
      <c r="I134" s="12" t="n">
        <v>161129</v>
      </c>
      <c r="J134" s="12" t="n">
        <v>195081</v>
      </c>
      <c r="K134" s="12" t="n">
        <v>226303</v>
      </c>
      <c r="L134" s="12" t="n">
        <v>267716</v>
      </c>
    </row>
    <row r="135">
      <c r="A135" s="9" t="inlineStr">
        <is>
          <t>부채·순자산 합계</t>
        </is>
      </c>
      <c r="C135" s="12" t="n">
        <v>298852</v>
      </c>
      <c r="D135" s="12" t="n">
        <v>290869</v>
      </c>
      <c r="E135" s="12" t="n">
        <v>339307</v>
      </c>
      <c r="F135" s="12" t="n">
        <v>341312</v>
      </c>
      <c r="G135" s="12" t="n">
        <v>365399</v>
      </c>
      <c r="H135" s="12" t="n">
        <v>187365</v>
      </c>
      <c r="I135" s="12" t="n">
        <v>217365</v>
      </c>
      <c r="J135" s="12" t="n">
        <v>243476</v>
      </c>
      <c r="K135" s="12" t="n">
        <v>312982</v>
      </c>
      <c r="L135" s="12" t="n">
        <v>339307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2026-10-27</t>
        </is>
      </c>
      <c r="B4" t="inlineStr">
        <is>
          <t>2027년 3월 결산기 2분기 결산단신</t>
        </is>
      </c>
      <c r="C4" t="inlineStr">
        <is>
          <t>https://www2.jpx.co.jp/disc/96970/140120261027556520.pdf</t>
        </is>
      </c>
    </row>
    <row r="5">
      <c r="A5" t="inlineStr">
        <is>
          <t>2026-07-28</t>
        </is>
      </c>
      <c r="B5" t="inlineStr">
        <is>
          <t>2027년 3월 결산기 1분기 결산단신</t>
        </is>
      </c>
      <c r="C5" t="inlineStr">
        <is>
          <t>https://www2.jpx.co.jp/disc/96970/140120260728500563.pdf</t>
        </is>
      </c>
    </row>
    <row r="6">
      <c r="A6" t="inlineStr">
        <is>
          <t>2026-05-13</t>
        </is>
      </c>
      <c r="B6" t="inlineStr">
        <is>
          <t>2026년 3월 결산기 연간 결산단신</t>
        </is>
      </c>
      <c r="C6" t="inlineStr">
        <is>
          <t>https://www2.jpx.co.jp/disc/96970/140120260513528020.pdf</t>
        </is>
      </c>
    </row>
    <row r="7">
      <c r="A7" t="inlineStr">
        <is>
          <t>2026-01-27</t>
        </is>
      </c>
      <c r="B7" t="inlineStr">
        <is>
          <t>2026년 3월 결산기 3분기 결산단신</t>
        </is>
      </c>
      <c r="C7" t="inlineStr">
        <is>
          <t>https://www2.jpx.co.jp/disc/96970/140120260127539114.pdf</t>
        </is>
      </c>
    </row>
    <row r="8">
      <c r="A8" t="inlineStr">
        <is>
          <t>2025-10-29</t>
        </is>
      </c>
      <c r="B8" t="inlineStr">
        <is>
          <t>2026년 3월 결산기 2분기 결산단신</t>
        </is>
      </c>
      <c r="C8" t="inlineStr">
        <is>
          <t>https://www2.jpx.co.jp/disc/96970/140120251029580987.pdf</t>
        </is>
      </c>
    </row>
    <row r="9">
      <c r="A9" t="inlineStr">
        <is>
          <t>2025-07-30</t>
        </is>
      </c>
      <c r="B9" t="inlineStr">
        <is>
          <t>2026년 3월 결산기 1분기 결산단신</t>
        </is>
      </c>
      <c r="C9" t="inlineStr">
        <is>
          <t>https://www2.jpx.co.jp/disc/96970/140120250730523490.pdf</t>
        </is>
      </c>
    </row>
    <row r="10">
      <c r="A10" t="inlineStr">
        <is>
          <t>2025-05-13</t>
        </is>
      </c>
      <c r="B10" t="inlineStr">
        <is>
          <t>2025년 3월 결산기 연간 결산단신</t>
        </is>
      </c>
      <c r="C10" t="inlineStr">
        <is>
          <t>https://www2.jpx.co.jp/disc/96970/140120250513544293.pdf</t>
        </is>
      </c>
    </row>
    <row r="11">
      <c r="A11" t="inlineStr">
        <is>
          <t>2025-01-29</t>
        </is>
      </c>
      <c r="B11" t="inlineStr">
        <is>
          <t>2025년 3월 결산기 3분기 결산단신</t>
        </is>
      </c>
      <c r="C11" t="inlineStr">
        <is>
          <t>https://www2.jpx.co.jp/disc/96970/140120250129556850.pdf</t>
        </is>
      </c>
    </row>
    <row r="12">
      <c r="A12" t="inlineStr">
        <is>
          <t>2024-10-29</t>
        </is>
      </c>
      <c r="B12" t="inlineStr">
        <is>
          <t>2025년 3월 결산기 2분기 결산단신</t>
        </is>
      </c>
      <c r="C12" t="inlineStr">
        <is>
          <t>https://www2.jpx.co.jp/disc/96970/140120241029504488.pdf</t>
        </is>
      </c>
    </row>
    <row r="13">
      <c r="A13" t="inlineStr">
        <is>
          <t>2024-07-29</t>
        </is>
      </c>
      <c r="B13" t="inlineStr">
        <is>
          <t>2025년 3월 결산기 1분기 결산단신</t>
        </is>
      </c>
      <c r="C13" t="inlineStr">
        <is>
          <t>https://www2.jpx.co.jp/disc/96970/140120240729556455.pdf</t>
        </is>
      </c>
    </row>
    <row r="14">
      <c r="A14" t="inlineStr">
        <is>
          <t>2024-05-09</t>
        </is>
      </c>
      <c r="B14" t="inlineStr">
        <is>
          <t>2024년 3월 결산기 연간 결산단신</t>
        </is>
      </c>
      <c r="C14" t="inlineStr">
        <is>
          <t>https://www2.jpx.co.jp/disc/96970/140120240509585892.pdf</t>
        </is>
      </c>
    </row>
    <row r="15">
      <c r="A15" t="inlineStr">
        <is>
          <t>2024-01-31</t>
        </is>
      </c>
      <c r="B15" t="inlineStr">
        <is>
          <t>2024년 3월 결산기 3분기 결산단신</t>
        </is>
      </c>
      <c r="C15" t="inlineStr">
        <is>
          <t>https://www2.jpx.co.jp/disc/96970/140120240131522647.pdf</t>
        </is>
      </c>
    </row>
    <row r="16">
      <c r="A16" t="inlineStr">
        <is>
          <t>2023-10-26</t>
        </is>
      </c>
      <c r="B16" t="inlineStr">
        <is>
          <t>2024년 3월 결산기 2분기 결산단신</t>
        </is>
      </c>
      <c r="C16" t="inlineStr">
        <is>
          <t>https://www2.jpx.co.jp/disc/96970/140120231026571830.pdf</t>
        </is>
      </c>
    </row>
    <row r="17">
      <c r="A17" t="inlineStr">
        <is>
          <t>2023-07-26</t>
        </is>
      </c>
      <c r="B17" t="inlineStr">
        <is>
          <t>2024년 3월 결산기 1분기 결산단신</t>
        </is>
      </c>
      <c r="C17" t="inlineStr">
        <is>
          <t>https://www2.jpx.co.jp/disc/96970/140120230726526952.pdf</t>
        </is>
      </c>
    </row>
    <row r="18">
      <c r="A18" t="inlineStr">
        <is>
          <t>2023-05-10</t>
        </is>
      </c>
      <c r="B18" t="inlineStr">
        <is>
          <t>2023년 3월 결산기 연간 결산단신</t>
        </is>
      </c>
      <c r="C18" t="inlineStr">
        <is>
          <t>https://www2.jpx.co.jp/disc/96970/140120230510562400.pdf</t>
        </is>
      </c>
    </row>
    <row r="19">
      <c r="A19" t="inlineStr">
        <is>
          <t>2023-01-30</t>
        </is>
      </c>
      <c r="B19" t="inlineStr">
        <is>
          <t>2023년 3월 결산기 3분기 결산단신</t>
        </is>
      </c>
      <c r="C19" t="inlineStr">
        <is>
          <t>https://www2.jpx.co.jp/disc/96970/140120230130595527.pdf</t>
        </is>
      </c>
    </row>
    <row r="20">
      <c r="A20" t="inlineStr">
        <is>
          <t>2022-05-11</t>
        </is>
      </c>
      <c r="B20" t="inlineStr">
        <is>
          <t>2022년 3월 결산기 연간 결산단신</t>
        </is>
      </c>
      <c r="C20" t="inlineStr">
        <is>
          <t>https://www2.jpx.co.jp/disc/96970/140120220511538745.pdf</t>
        </is>
      </c>
    </row>
    <row r="21">
      <c r="A21" t="inlineStr">
        <is>
          <t>2021-05-10</t>
        </is>
      </c>
      <c r="B21" t="inlineStr">
        <is>
          <t>2021년 3월 결산기 연간 결산단신</t>
        </is>
      </c>
      <c r="C21" t="inlineStr">
        <is>
          <t>https://www2.jpx.co.jp/disc/96970/140120210510408670.pdf</t>
        </is>
      </c>
    </row>
    <row r="22">
      <c r="A22" t="inlineStr">
        <is>
          <t>2020-05-08</t>
        </is>
      </c>
      <c r="B22" t="inlineStr">
        <is>
          <t>2020년 3월 결산기 연간 결산단신</t>
        </is>
      </c>
      <c r="C22" t="inlineStr">
        <is>
          <t>https://www2.jpx.co.jp/disc/96970/140120200430403332.pdf</t>
        </is>
      </c>
    </row>
    <row r="23">
      <c r="A23" t="inlineStr">
        <is>
          <t>2019-05-07</t>
        </is>
      </c>
      <c r="B23" t="inlineStr">
        <is>
          <t>2019년 3월 결산기 연간 결산단신</t>
        </is>
      </c>
      <c r="C23" t="inlineStr">
        <is>
          <t>https://www2.jpx.co.jp/disc/96970/140120190428413657.pdf</t>
        </is>
      </c>
    </row>
    <row r="24">
      <c r="A24" t="inlineStr">
        <is>
          <t>2018-05-08</t>
        </is>
      </c>
      <c r="B24" t="inlineStr">
        <is>
          <t>2018년 3월 결산기 연간 결산단신</t>
        </is>
      </c>
      <c r="C24" t="inlineStr">
        <is>
          <t>https://www2.jpx.co.jp/disc/96970/140120180501426255.pdf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2026-10-28T07:01:07Z</dcterms:created>
  <dcterms:modified xmlns:dcterms="http://purl.org/dc/terms/" xmlns:xsi="http://www.w3.org/2001/XMLSchema-instance" xsi:type="dcterms:W3CDTF">2026-10-28T07:01:07Z</dcterms:modified>
</cp:coreProperties>
</file>