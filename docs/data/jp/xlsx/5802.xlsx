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  <sheet xmlns:r="http://schemas.openxmlformats.org/officeDocument/2006/relationships" name="재무제표 한눈에 보기" sheetId="5" state="visible" r:id="rId5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  <numFmt numFmtId="170" formatCode="0.0&quot;%&quot;"/>
  </numFmts>
  <fonts count="25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  <font>
      <name val="맑은 고딕"/>
      <b val="1"/>
      <sz val="12"/>
    </font>
    <font>
      <name val="맑은 고딕"/>
      <color rgb="00666666"/>
      <sz val="8"/>
    </font>
    <font>
      <name val="맑은 고딕"/>
      <b val="1"/>
      <sz val="9"/>
    </font>
    <font>
      <name val="맑은 고딕"/>
      <sz val="9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  <fill>
      <patternFill patternType="solid">
        <fgColor rgb="00D9E1F2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pivotButton="0" quotePrefix="0" xfId="0"/>
    <xf numFmtId="0" fontId="17" fillId="6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9" fillId="0" borderId="0" pivotButton="0" quotePrefix="0" xfId="0"/>
    <xf numFmtId="169" fontId="19" fillId="0" borderId="0" applyAlignment="1" pivotButton="0" quotePrefix="0" xfId="0">
      <alignment horizontal="center" vertical="center"/>
    </xf>
    <xf numFmtId="0" fontId="20" fillId="0" borderId="0" pivotButton="0" quotePrefix="0" xfId="0"/>
    <xf numFmtId="3" fontId="19" fillId="0" borderId="0" applyAlignment="1" pivotButton="0" quotePrefix="0" xfId="0">
      <alignment horizontal="center" vertical="center"/>
    </xf>
    <xf numFmtId="0" fontId="18" fillId="7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3" fillId="8" borderId="0" applyAlignment="1" pivotButton="0" quotePrefix="0" xfId="0">
      <alignment horizontal="center"/>
    </xf>
    <xf numFmtId="0" fontId="24" fillId="0" borderId="0" pivotButton="0" quotePrefix="0" xfId="0"/>
    <xf numFmtId="3" fontId="24" fillId="0" borderId="0" pivotButton="0" quotePrefix="0" xfId="0"/>
    <xf numFmtId="170" fontId="24" fillId="0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매출액 (억 엔) · YoY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보기'!A5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보기'!$B$5:$AO$5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1"/>
          <order val="1"/>
          <tx>
            <strRef>
              <f>'재무제표 한눈에 보기'!A6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val>
            <numRef>
              <f>'재무제표 한눈에 보기'!$B$6:$AO$6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부문별 매출 (억 엔)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'재무제표 한눈에 보기'!A24</f>
            </strRef>
          </tx>
          <spPr>
            <a:ln xmlns:a="http://schemas.openxmlformats.org/drawingml/2006/main" w="22000">
              <a:solidFill>
                <a:srgbClr val="4472C4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보기'!$B$24:$AO$24</f>
            </numRef>
          </val>
          <smooth val="0"/>
        </ser>
        <ser>
          <idx val="1"/>
          <order val="1"/>
          <tx>
            <strRef>
              <f>'재무제표 한눈에 보기'!A25</f>
            </strRef>
          </tx>
          <spPr>
            <a:ln xmlns:a="http://schemas.openxmlformats.org/drawingml/2006/main" w="22000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보기'!$B$25:$AO$25</f>
            </numRef>
          </val>
          <smooth val="0"/>
        </ser>
        <ser>
          <idx val="2"/>
          <order val="2"/>
          <tx>
            <strRef>
              <f>'재무제표 한눈에 보기'!A26</f>
            </strRef>
          </tx>
          <spPr>
            <a:ln xmlns:a="http://schemas.openxmlformats.org/drawingml/2006/main" w="22000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보기'!$B$26:$AO$26</f>
            </numRef>
          </val>
          <smooth val="0"/>
        </ser>
        <ser>
          <idx val="3"/>
          <order val="3"/>
          <tx>
            <strRef>
              <f>'재무제표 한눈에 보기'!A27</f>
            </strRef>
          </tx>
          <spPr>
            <a:ln xmlns:a="http://schemas.openxmlformats.org/drawingml/2006/main" w="22000">
              <a:solidFill>
                <a:srgbClr val="FFC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보기'!$B$27:$AO$27</f>
            </numRef>
          </val>
          <smooth val="0"/>
        </ser>
        <ser>
          <idx val="4"/>
          <order val="4"/>
          <tx>
            <strRef>
              <f>'재무제표 한눈에 보기'!A28</f>
            </strRef>
          </tx>
          <spPr>
            <a:ln xmlns:a="http://schemas.openxmlformats.org/drawingml/2006/main" w="22000">
              <a:solidFill>
                <a:srgbClr val="70AD47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보기'!$B$28:$AO$28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영업이익 (억 엔) · OPM·YoY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보기'!A7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보기'!$B$7:$AO$7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1"/>
          <order val="1"/>
          <tx>
            <strRef>
              <f>'재무제표 한눈에 보기'!A8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val>
            <numRef>
              <f>'재무제표 한눈에 보기'!$B$8:$AO$8</f>
            </numRef>
          </val>
          <smooth val="0"/>
        </ser>
        <ser>
          <idx val="2"/>
          <order val="2"/>
          <tx>
            <strRef>
              <f>'재무제표 한눈에 보기'!A9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val>
            <numRef>
              <f>'재무제표 한눈에 보기'!$B$9:$AO$9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재무 안정성 — 총 차입금·현금 (억 엔) · 부채비율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보기'!A22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보기'!$B$22:$AO$22</f>
            </numRef>
          </val>
        </ser>
        <ser>
          <idx val="1"/>
          <order val="1"/>
          <tx>
            <strRef>
              <f>'재무제표 한눈에 보기'!A23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보기'!$B$23:$AO$23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2"/>
          <order val="2"/>
          <tx>
            <strRef>
              <f>'재무제표 한눈에 보기'!A15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val>
            <numRef>
              <f>'재무제표 한눈에 보기'!$B$15:$AO$15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30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22</col>
      <colOff>0</colOff>
      <row>30</row>
      <rowOff>0</rowOff>
    </from>
    <ext cx="86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49</row>
      <rowOff>0</rowOff>
    </from>
    <ext cx="864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22</col>
      <colOff>0</colOff>
      <row>49</row>
      <rowOff>0</rowOff>
    </from>
    <ext cx="864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60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5802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2027.2Q = 2027년 3월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2024.3Q</t>
        </is>
      </c>
      <c r="D3" s="5" t="inlineStr">
        <is>
          <t>2024.4Q</t>
        </is>
      </c>
      <c r="E3" s="5" t="inlineStr">
        <is>
          <t>2025.1Q</t>
        </is>
      </c>
      <c r="F3" s="5" t="inlineStr">
        <is>
          <t>2025.2Q</t>
        </is>
      </c>
      <c r="G3" s="5" t="inlineStr">
        <is>
          <t>2025.3Q</t>
        </is>
      </c>
      <c r="H3" s="5" t="inlineStr">
        <is>
          <t>2025.4Q</t>
        </is>
      </c>
      <c r="I3" s="5" t="inlineStr">
        <is>
          <t>2026.1Q</t>
        </is>
      </c>
      <c r="J3" s="5" t="inlineStr">
        <is>
          <t>2026.2Q</t>
        </is>
      </c>
      <c r="K3" s="5" t="inlineStr">
        <is>
          <t>2026.3Q</t>
        </is>
      </c>
      <c r="L3" s="5" t="inlineStr">
        <is>
          <t>2026.4Q</t>
        </is>
      </c>
      <c r="M3" s="5" t="inlineStr">
        <is>
          <t>2027.1Q</t>
        </is>
      </c>
      <c r="N3" s="5" t="inlineStr">
        <is>
          <t>2027.2Q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1149823</v>
      </c>
      <c r="D4" s="12" t="n">
        <v>1180888</v>
      </c>
      <c r="E4" s="12" t="n">
        <v>1115547</v>
      </c>
      <c r="F4" s="12" t="n">
        <v>1132231</v>
      </c>
      <c r="G4" s="12" t="n">
        <v>1193461</v>
      </c>
      <c r="H4" s="12" t="n">
        <v>1238550</v>
      </c>
      <c r="I4" s="12" t="n">
        <v>1148436</v>
      </c>
      <c r="J4" s="12" t="n">
        <v>1225025</v>
      </c>
      <c r="K4" s="12" t="n">
        <v>1313436</v>
      </c>
      <c r="L4" s="12" t="n">
        <v>1423274</v>
      </c>
      <c r="M4" s="12" t="n">
        <v>1330591</v>
      </c>
      <c r="N4" s="12" t="n">
        <v>1434321</v>
      </c>
      <c r="O4" s="11" t="n">
        <v>2814483</v>
      </c>
      <c r="P4" s="12" t="n">
        <v>3082247</v>
      </c>
      <c r="Q4" s="12" t="n">
        <v>3177985</v>
      </c>
      <c r="R4" s="12" t="n">
        <v>3107027</v>
      </c>
      <c r="S4" s="12" t="n">
        <v>2918580</v>
      </c>
      <c r="T4" s="12" t="n">
        <v>3367863</v>
      </c>
      <c r="U4" s="12" t="n">
        <v>4005561</v>
      </c>
      <c r="V4" s="12" t="n">
        <v>4402814</v>
      </c>
      <c r="W4" s="12" t="n">
        <v>4679789</v>
      </c>
      <c r="X4" s="12" t="n">
        <v>5110171</v>
      </c>
      <c r="Y4" s="11">
        <f>IF(COUNT(Y7,Y10,Y13,Y16,Y19)=0,"",SUM(Y7,Y10,Y13,Y16,Y19))</f>
        <v/>
      </c>
      <c r="Z4" s="12">
        <f>IF(COUNT(Z7,Z10,Z13,Z16,Z19)=0,"",SUM(Z7,Z10,Z13,Z16,Z19))</f>
        <v/>
      </c>
      <c r="AA4" s="12">
        <f>IF(COUNT(AA7,AA10,AA13,AA16,AA19)=0,"",SUM(AA7,AA10,AA13,AA16,AA19))</f>
        <v/>
      </c>
      <c r="AB4" s="12">
        <f>IF(COUNT(AB7,AB10,AB13,AB16,AB19)=0,"",SUM(AB7,AB10,AB13,AB16,AB19))</f>
        <v/>
      </c>
      <c r="AC4" s="12">
        <f>IF(COUNT(AC7,AC10,AC13,AC16,AC19)=0,"",SUM(AC7,AC10,AC13,AC16,AC19))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환경에너지 관련 사업</t>
        </is>
      </c>
      <c r="B7" s="10" t="n"/>
      <c r="C7" s="19" t="n">
        <v>242170</v>
      </c>
      <c r="D7" s="20" t="n">
        <v>273476</v>
      </c>
      <c r="E7" s="20" t="n">
        <v>240774</v>
      </c>
      <c r="F7" s="20" t="n">
        <v>258533</v>
      </c>
      <c r="G7" s="20" t="n">
        <v>259176</v>
      </c>
      <c r="H7" s="20" t="n">
        <v>289585</v>
      </c>
      <c r="I7" s="20" t="n">
        <v>254302</v>
      </c>
      <c r="J7" s="20" t="n">
        <v>263971</v>
      </c>
      <c r="K7" s="20" t="n">
        <v>289774</v>
      </c>
      <c r="L7" s="20" t="n">
        <v>334551</v>
      </c>
      <c r="M7" s="20" t="n">
        <v>244413</v>
      </c>
      <c r="N7" s="20" t="n">
        <v>284194</v>
      </c>
      <c r="O7" s="19" t="n"/>
      <c r="P7" s="20" t="n"/>
      <c r="Q7" s="20" t="n"/>
      <c r="R7" s="20" t="n"/>
      <c r="S7" s="20" t="n"/>
      <c r="T7" s="20" t="n"/>
      <c r="U7" s="20" t="n"/>
      <c r="V7" s="20" t="n">
        <v>949182</v>
      </c>
      <c r="W7" s="20" t="n">
        <v>1048068</v>
      </c>
      <c r="X7" s="20" t="n">
        <v>1142598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정보통신 관련 사업</t>
        </is>
      </c>
      <c r="B10" s="10" t="n"/>
      <c r="C10" s="19" t="n">
        <v>48217</v>
      </c>
      <c r="D10" s="20" t="n">
        <v>53643</v>
      </c>
      <c r="E10" s="20" t="n">
        <v>52010</v>
      </c>
      <c r="F10" s="20" t="n">
        <v>49485</v>
      </c>
      <c r="G10" s="20" t="n">
        <v>55045</v>
      </c>
      <c r="H10" s="20" t="n">
        <v>61861</v>
      </c>
      <c r="I10" s="20" t="n">
        <v>60102</v>
      </c>
      <c r="J10" s="20" t="n">
        <v>70841</v>
      </c>
      <c r="K10" s="20" t="n">
        <v>81953</v>
      </c>
      <c r="L10" s="20" t="n">
        <v>102134</v>
      </c>
      <c r="M10" s="20" t="n">
        <v>81661</v>
      </c>
      <c r="N10" s="20" t="n">
        <v>112780</v>
      </c>
      <c r="O10" s="19" t="n"/>
      <c r="P10" s="20" t="n"/>
      <c r="Q10" s="20" t="n"/>
      <c r="R10" s="20" t="n"/>
      <c r="S10" s="20" t="n"/>
      <c r="T10" s="20" t="n"/>
      <c r="U10" s="20" t="n"/>
      <c r="V10" s="20" t="n">
        <v>202660</v>
      </c>
      <c r="W10" s="20" t="n">
        <v>218401</v>
      </c>
      <c r="X10" s="20" t="n">
        <v>315030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자동차 관련 사업</t>
        </is>
      </c>
      <c r="B13" s="10" t="n"/>
      <c r="C13" s="19" t="n">
        <v>690229</v>
      </c>
      <c r="D13" s="20" t="n">
        <v>690255</v>
      </c>
      <c r="E13" s="20" t="n">
        <v>661953</v>
      </c>
      <c r="F13" s="20" t="n">
        <v>642326</v>
      </c>
      <c r="G13" s="20" t="n">
        <v>705702</v>
      </c>
      <c r="H13" s="20" t="n">
        <v>722600</v>
      </c>
      <c r="I13" s="20" t="n">
        <v>670226</v>
      </c>
      <c r="J13" s="20" t="n">
        <v>707193</v>
      </c>
      <c r="K13" s="20" t="n">
        <v>756485</v>
      </c>
      <c r="L13" s="20" t="n">
        <v>801485</v>
      </c>
      <c r="M13" s="20" t="n">
        <v>802326</v>
      </c>
      <c r="N13" s="20" t="n">
        <v>813224</v>
      </c>
      <c r="O13" s="19" t="n"/>
      <c r="P13" s="20" t="n"/>
      <c r="Q13" s="20" t="n"/>
      <c r="R13" s="20" t="n"/>
      <c r="S13" s="20" t="n"/>
      <c r="T13" s="20" t="n"/>
      <c r="U13" s="20" t="n"/>
      <c r="V13" s="20" t="n">
        <v>2593472</v>
      </c>
      <c r="W13" s="20" t="n">
        <v>2732581</v>
      </c>
      <c r="X13" s="20" t="n">
        <v>2935389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전자 관련 사업</t>
        </is>
      </c>
      <c r="B16" s="10" t="n"/>
      <c r="C16" s="19" t="n">
        <v>80957</v>
      </c>
      <c r="D16" s="20" t="n">
        <v>75051</v>
      </c>
      <c r="E16" s="20" t="n">
        <v>76223</v>
      </c>
      <c r="F16" s="20" t="n">
        <v>90172</v>
      </c>
      <c r="G16" s="20" t="n">
        <v>84338</v>
      </c>
      <c r="H16" s="20" t="n">
        <v>76414</v>
      </c>
      <c r="I16" s="20" t="n">
        <v>77755</v>
      </c>
      <c r="J16" s="20" t="n">
        <v>92836</v>
      </c>
      <c r="K16" s="20" t="n">
        <v>91489</v>
      </c>
      <c r="L16" s="20" t="n">
        <v>88558</v>
      </c>
      <c r="M16" s="20" t="n">
        <v>94317</v>
      </c>
      <c r="N16" s="20" t="n">
        <v>105250</v>
      </c>
      <c r="O16" s="19" t="n"/>
      <c r="P16" s="20" t="n"/>
      <c r="Q16" s="20" t="n"/>
      <c r="R16" s="20" t="n"/>
      <c r="S16" s="20" t="n"/>
      <c r="T16" s="20" t="n"/>
      <c r="U16" s="20" t="n"/>
      <c r="V16" s="20" t="n">
        <v>308383</v>
      </c>
      <c r="W16" s="20" t="n">
        <v>327147</v>
      </c>
      <c r="X16" s="20" t="n">
        <v>350638</v>
      </c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8" t="inlineStr">
        <is>
          <t>산업소재 관련 사업 외</t>
        </is>
      </c>
      <c r="B19" s="10" t="n"/>
      <c r="C19" s="19" t="n">
        <v>88250</v>
      </c>
      <c r="D19" s="20" t="n">
        <v>88463</v>
      </c>
      <c r="E19" s="20" t="n">
        <v>84587</v>
      </c>
      <c r="F19" s="20" t="n">
        <v>91715</v>
      </c>
      <c r="G19" s="20" t="n">
        <v>89200</v>
      </c>
      <c r="H19" s="20" t="n">
        <v>88090</v>
      </c>
      <c r="I19" s="20" t="n">
        <v>86051</v>
      </c>
      <c r="J19" s="20" t="n">
        <v>90184</v>
      </c>
      <c r="K19" s="20" t="n">
        <v>93735</v>
      </c>
      <c r="L19" s="20" t="n">
        <v>96546</v>
      </c>
      <c r="M19" s="20" t="n">
        <v>107874</v>
      </c>
      <c r="N19" s="20" t="n">
        <v>118873</v>
      </c>
      <c r="O19" s="19" t="n"/>
      <c r="P19" s="20" t="n"/>
      <c r="Q19" s="20" t="n"/>
      <c r="R19" s="20" t="n"/>
      <c r="S19" s="20" t="n"/>
      <c r="T19" s="20" t="n"/>
      <c r="U19" s="20" t="n"/>
      <c r="V19" s="20" t="n">
        <v>349117</v>
      </c>
      <c r="W19" s="20" t="n">
        <v>353592</v>
      </c>
      <c r="X19" s="20" t="n">
        <v>366516</v>
      </c>
      <c r="Y19" s="21" t="n"/>
      <c r="Z19" s="22" t="n"/>
      <c r="AA19" s="22" t="n"/>
      <c r="AB19" s="22" t="n"/>
      <c r="AC19" s="22" t="n"/>
    </row>
    <row r="20">
      <c r="A20" s="13" t="inlineStr">
        <is>
          <t>비중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IF(OR(G19="",C19=""),"",IFERROR(G19/C19-1,""))</f>
        <v/>
      </c>
      <c r="H21" s="15">
        <f>IF(OR(H19="",D19=""),"",IFERROR(H19/D19-1,""))</f>
        <v/>
      </c>
      <c r="I21" s="15">
        <f>IF(OR(I19="",E19=""),"",IFERROR(I19/E19-1,""))</f>
        <v/>
      </c>
      <c r="J21" s="15">
        <f>IF(OR(J19="",F19=""),"",IFERROR(J19/F19-1,""))</f>
        <v/>
      </c>
      <c r="K21" s="15">
        <f>IF(OR(K19="",G19=""),"",IFERROR(K19/G19-1,""))</f>
        <v/>
      </c>
      <c r="L21" s="15">
        <f>IF(OR(L19="",H19=""),"",IFERROR(L19/H19-1,""))</f>
        <v/>
      </c>
      <c r="M21" s="15">
        <f>IF(OR(M19="",I19=""),"",IFERROR(M19/I19-1,""))</f>
        <v/>
      </c>
      <c r="N21" s="15">
        <f>IF(OR(N19="",J19=""),"",IFERROR(N19/J19-1,""))</f>
        <v/>
      </c>
      <c r="O21" s="14" t="n"/>
      <c r="P21" s="15">
        <f>IF(OR(P19="",O19=""),"",IFERROR(P19/O19-1,""))</f>
        <v/>
      </c>
      <c r="Q21" s="15">
        <f>IF(OR(Q19="",P19=""),"",IFERROR(Q19/P19-1,""))</f>
        <v/>
      </c>
      <c r="R21" s="15">
        <f>IF(OR(R19="",Q19=""),"",IFERROR(R19/Q19-1,""))</f>
        <v/>
      </c>
      <c r="S21" s="15">
        <f>IF(OR(S19="",R19=""),"",IFERROR(S19/R19-1,""))</f>
        <v/>
      </c>
      <c r="T21" s="15">
        <f>IF(OR(T19="",S19=""),"",IFERROR(T19/S19-1,""))</f>
        <v/>
      </c>
      <c r="U21" s="15">
        <f>IF(OR(U19="",T19=""),"",IFERROR(U19/T19-1,""))</f>
        <v/>
      </c>
      <c r="V21" s="15">
        <f>IF(OR(V19="",U19=""),"",IFERROR(V19/U19-1,""))</f>
        <v/>
      </c>
      <c r="W21" s="15">
        <f>IF(OR(W19="",V19=""),"",IFERROR(W19/V19-1,""))</f>
        <v/>
      </c>
      <c r="X21" s="15">
        <f>IF(OR(X19="",W19=""),"",IFERROR(X19/W19-1,""))</f>
        <v/>
      </c>
      <c r="Y21" s="14">
        <f>IF(OR(Y19="",X19=""),"",IFERROR(Y19/X19-1,""))</f>
        <v/>
      </c>
      <c r="Z21" s="15">
        <f>IF(OR(Z19="",Y19=""),"",IFERROR(Z19/Y19-1,""))</f>
        <v/>
      </c>
      <c r="AA21" s="15">
        <f>IF(OR(AA19="",Z19=""),"",IFERROR(AA19/Z19-1,""))</f>
        <v/>
      </c>
      <c r="AB21" s="15">
        <f>IF(OR(AB19="",AA19=""),"",IFERROR(AB19/AA19-1,""))</f>
        <v/>
      </c>
      <c r="AC21" s="15">
        <f>IF(OR(AC19="",AB19=""),"",IFERROR(AC19/AB19-1,""))</f>
        <v/>
      </c>
    </row>
    <row r="22">
      <c r="A22" s="16" t="inlineStr">
        <is>
          <t>매출원가</t>
        </is>
      </c>
      <c r="B22" s="16" t="n"/>
      <c r="C22" s="17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7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7" t="n"/>
      <c r="Z22" s="16" t="n"/>
      <c r="AA22" s="16" t="n"/>
      <c r="AB22" s="16" t="n"/>
      <c r="AC22" s="16" t="n"/>
    </row>
    <row r="23">
      <c r="A23" s="18" t="inlineStr">
        <is>
          <t>전체 매출원가</t>
        </is>
      </c>
      <c r="B23" s="10" t="n"/>
      <c r="C23" s="19" t="n">
        <v>934389</v>
      </c>
      <c r="D23" s="20" t="n">
        <v>955950</v>
      </c>
      <c r="E23" s="20" t="n">
        <v>924770</v>
      </c>
      <c r="F23" s="20" t="n">
        <v>927666</v>
      </c>
      <c r="G23" s="20" t="n">
        <v>964484</v>
      </c>
      <c r="H23" s="20" t="n">
        <v>982743</v>
      </c>
      <c r="I23" s="20" t="n">
        <v>941518</v>
      </c>
      <c r="J23" s="20" t="n">
        <v>981964</v>
      </c>
      <c r="K23" s="20" t="n">
        <v>1041812</v>
      </c>
      <c r="L23" s="20" t="n">
        <v>1110846</v>
      </c>
      <c r="M23" s="20" t="n">
        <v>1070970</v>
      </c>
      <c r="N23" s="20" t="n">
        <v>1144467</v>
      </c>
      <c r="O23" s="19" t="n">
        <v>2284190</v>
      </c>
      <c r="P23" s="20" t="n">
        <v>2507434</v>
      </c>
      <c r="Q23" s="20" t="n">
        <v>2593363</v>
      </c>
      <c r="R23" s="20" t="n">
        <v>2553902</v>
      </c>
      <c r="S23" s="20" t="n">
        <v>2387237</v>
      </c>
      <c r="T23" s="20" t="n">
        <v>2793919</v>
      </c>
      <c r="U23" s="20" t="n">
        <v>3335585</v>
      </c>
      <c r="V23" s="20" t="n">
        <v>3635226</v>
      </c>
      <c r="W23" s="20" t="n">
        <v>3799663</v>
      </c>
      <c r="X23" s="20" t="n">
        <v>4076140</v>
      </c>
      <c r="Y23" s="19" t="n"/>
      <c r="Z23" s="20" t="n"/>
      <c r="AA23" s="20" t="n"/>
      <c r="AB23" s="20" t="n"/>
      <c r="AC23" s="20" t="n"/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IF(OR(G23="",C23=""),"",IF(C23&lt;=0,"",IFERROR(G23/C23-1,"")))</f>
        <v/>
      </c>
      <c r="H24" s="15">
        <f>IF(OR(H23="",D23=""),"",IF(D23&lt;=0,"",IFERROR(H23/D23-1,"")))</f>
        <v/>
      </c>
      <c r="I24" s="15">
        <f>IF(OR(I23="",E23=""),"",IF(E23&lt;=0,"",IFERROR(I23/E23-1,"")))</f>
        <v/>
      </c>
      <c r="J24" s="15">
        <f>IF(OR(J23="",F23=""),"",IF(F23&lt;=0,"",IFERROR(J23/F23-1,"")))</f>
        <v/>
      </c>
      <c r="K24" s="15">
        <f>IF(OR(K23="",G23=""),"",IF(G23&lt;=0,"",IFERROR(K23/G23-1,"")))</f>
        <v/>
      </c>
      <c r="L24" s="15">
        <f>IF(OR(L23="",H23=""),"",IF(H23&lt;=0,"",IFERROR(L23/H23-1,"")))</f>
        <v/>
      </c>
      <c r="M24" s="15">
        <f>IF(OR(M23="",I23=""),"",IF(I23&lt;=0,"",IFERROR(M23/I23-1,"")))</f>
        <v/>
      </c>
      <c r="N24" s="15">
        <f>IF(OR(N23="",J23=""),"",IF(J23&lt;=0,"",IFERROR(N23/J23-1,"")))</f>
        <v/>
      </c>
      <c r="O24" s="14" t="n"/>
      <c r="P24" s="15">
        <f>IF(OR(P23="",O23=""),"",IF(O23&lt;=0,"",IFERROR(P23/O23-1,"")))</f>
        <v/>
      </c>
      <c r="Q24" s="15">
        <f>IF(OR(Q23="",P23=""),"",IF(P23&lt;=0,"",IFERROR(Q23/P23-1,"")))</f>
        <v/>
      </c>
      <c r="R24" s="15">
        <f>IF(OR(R23="",Q23=""),"",IF(Q23&lt;=0,"",IFERROR(R23/Q23-1,"")))</f>
        <v/>
      </c>
      <c r="S24" s="15">
        <f>IF(OR(S23="",R23=""),"",IF(R23&lt;=0,"",IFERROR(S23/R23-1,"")))</f>
        <v/>
      </c>
      <c r="T24" s="15">
        <f>IF(OR(T23="",S23=""),"",IF(S23&lt;=0,"",IFERROR(T23/S23-1,"")))</f>
        <v/>
      </c>
      <c r="U24" s="15">
        <f>IF(OR(U23="",T23=""),"",IF(T23&lt;=0,"",IFERROR(U23/T23-1,"")))</f>
        <v/>
      </c>
      <c r="V24" s="15">
        <f>IF(OR(V23="",U23=""),"",IF(U23&lt;=0,"",IFERROR(V23/U23-1,"")))</f>
        <v/>
      </c>
      <c r="W24" s="15">
        <f>IF(OR(W23="",V23=""),"",IF(V23&lt;=0,"",IFERROR(W23/V23-1,"")))</f>
        <v/>
      </c>
      <c r="X24" s="15">
        <f>IF(OR(X23="",W23=""),"",IF(W23&lt;=0,"",IFERROR(X23/W23-1,"")))</f>
        <v/>
      </c>
      <c r="Y24" s="14">
        <f>IF(OR(Y23="",X23=""),"",IF(X23&lt;=0,"",IFERROR(Y23/X23-1,"")))</f>
        <v/>
      </c>
      <c r="Z24" s="15">
        <f>IF(OR(Z23="",Y23=""),"",IF(Y23&lt;=0,"",IFERROR(Z23/Y23-1,"")))</f>
        <v/>
      </c>
      <c r="AA24" s="15">
        <f>IF(OR(AA23="",Z23=""),"",IF(Z23&lt;=0,"",IFERROR(AA23/Z23-1,"")))</f>
        <v/>
      </c>
      <c r="AB24" s="15">
        <f>IF(OR(AB23="",AA23=""),"",IF(AA23&lt;=0,"",IFERROR(AB23/AA23-1,"")))</f>
        <v/>
      </c>
      <c r="AC24" s="15">
        <f>IF(OR(AC23="",AB23=""),"",IF(AB23&lt;=0,"",IFERROR(AC23/AB23-1,"")))</f>
        <v/>
      </c>
    </row>
    <row r="25">
      <c r="A25" s="18" t="inlineStr">
        <is>
          <t>매출총이익</t>
        </is>
      </c>
      <c r="B25" s="10" t="n"/>
      <c r="C25" s="19">
        <f>IF(OR(C4="",C23=""),"",IFERROR(C4-C23,""))</f>
        <v/>
      </c>
      <c r="D25" s="20">
        <f>IF(OR(D4="",D23=""),"",IFERROR(D4-D23,""))</f>
        <v/>
      </c>
      <c r="E25" s="20">
        <f>IF(OR(E4="",E23=""),"",IFERROR(E4-E23,""))</f>
        <v/>
      </c>
      <c r="F25" s="20">
        <f>IF(OR(F4="",F23=""),"",IFERROR(F4-F23,""))</f>
        <v/>
      </c>
      <c r="G25" s="20">
        <f>IF(OR(G4="",G23=""),"",IFERROR(G4-G23,""))</f>
        <v/>
      </c>
      <c r="H25" s="20">
        <f>IF(OR(H4="",H23=""),"",IFERROR(H4-H23,""))</f>
        <v/>
      </c>
      <c r="I25" s="20">
        <f>IF(OR(I4="",I23=""),"",IFERROR(I4-I23,""))</f>
        <v/>
      </c>
      <c r="J25" s="20">
        <f>IF(OR(J4="",J23=""),"",IFERROR(J4-J23,""))</f>
        <v/>
      </c>
      <c r="K25" s="20">
        <f>IF(OR(K4="",K23=""),"",IFERROR(K4-K23,""))</f>
        <v/>
      </c>
      <c r="L25" s="20">
        <f>IF(OR(L4="",L23=""),"",IFERROR(L4-L23,""))</f>
        <v/>
      </c>
      <c r="M25" s="20">
        <f>IF(OR(M4="",M23=""),"",IFERROR(M4-M23,""))</f>
        <v/>
      </c>
      <c r="N25" s="20">
        <f>IF(OR(N4="",N23=""),"",IFERROR(N4-N23,""))</f>
        <v/>
      </c>
      <c r="O25" s="19">
        <f>IF(OR(O4="",O23=""),"",IFERROR(O4-O23,""))</f>
        <v/>
      </c>
      <c r="P25" s="20">
        <f>IF(OR(P4="",P23=""),"",IFERROR(P4-P23,""))</f>
        <v/>
      </c>
      <c r="Q25" s="20">
        <f>IF(OR(Q4="",Q23=""),"",IFERROR(Q4-Q23,""))</f>
        <v/>
      </c>
      <c r="R25" s="20">
        <f>IF(OR(R4="",R23=""),"",IFERROR(R4-R23,""))</f>
        <v/>
      </c>
      <c r="S25" s="20">
        <f>IF(OR(S4="",S23=""),"",IFERROR(S4-S23,""))</f>
        <v/>
      </c>
      <c r="T25" s="20">
        <f>IF(OR(T4="",T23=""),"",IFERROR(T4-T23,""))</f>
        <v/>
      </c>
      <c r="U25" s="20">
        <f>IF(OR(U4="",U23=""),"",IFERROR(U4-U23,""))</f>
        <v/>
      </c>
      <c r="V25" s="20">
        <f>IF(OR(V4="",V23=""),"",IFERROR(V4-V23,""))</f>
        <v/>
      </c>
      <c r="W25" s="20">
        <f>IF(OR(W4="",W23=""),"",IFERROR(W4-W23,""))</f>
        <v/>
      </c>
      <c r="X25" s="20">
        <f>IF(OR(X4="",X23=""),"",IFERROR(X4-X23,""))</f>
        <v/>
      </c>
      <c r="Y25" s="19" t="n"/>
      <c r="Z25" s="20" t="n"/>
      <c r="AA25" s="20" t="n"/>
      <c r="AB25" s="20" t="n"/>
      <c r="AC25" s="20" t="n"/>
    </row>
    <row r="26">
      <c r="A26" s="13" t="inlineStr">
        <is>
          <t>GPM</t>
        </is>
      </c>
      <c r="B26" s="10" t="n"/>
      <c r="C26" s="14">
        <f>IF(OR(C25="",C4=""),"",IFERROR(C25/C4,""))</f>
        <v/>
      </c>
      <c r="D26" s="15">
        <f>IF(OR(D25="",D4=""),"",IFERROR(D25/D4,""))</f>
        <v/>
      </c>
      <c r="E26" s="15">
        <f>IF(OR(E25="",E4=""),"",IFERROR(E25/E4,""))</f>
        <v/>
      </c>
      <c r="F26" s="15">
        <f>IF(OR(F25="",F4=""),"",IFERROR(F25/F4,""))</f>
        <v/>
      </c>
      <c r="G26" s="15">
        <f>IF(OR(G25="",G4=""),"",IFERROR(G25/G4,""))</f>
        <v/>
      </c>
      <c r="H26" s="15">
        <f>IF(OR(H25="",H4=""),"",IFERROR(H25/H4,""))</f>
        <v/>
      </c>
      <c r="I26" s="15">
        <f>IF(OR(I25="",I4=""),"",IFERROR(I25/I4,""))</f>
        <v/>
      </c>
      <c r="J26" s="15">
        <f>IF(OR(J25="",J4=""),"",IFERROR(J25/J4,""))</f>
        <v/>
      </c>
      <c r="K26" s="15">
        <f>IF(OR(K25="",K4=""),"",IFERROR(K25/K4,""))</f>
        <v/>
      </c>
      <c r="L26" s="15">
        <f>IF(OR(L25="",L4=""),"",IFERROR(L25/L4,""))</f>
        <v/>
      </c>
      <c r="M26" s="15">
        <f>IF(OR(M25="",M4=""),"",IFERROR(M25/M4,""))</f>
        <v/>
      </c>
      <c r="N26" s="15">
        <f>IF(OR(N25="",N4=""),"",IFERROR(N25/N4,""))</f>
        <v/>
      </c>
      <c r="O26" s="14">
        <f>IF(OR(O25="",O4=""),"",IFERROR(O25/O4,""))</f>
        <v/>
      </c>
      <c r="P26" s="15">
        <f>IF(OR(P25="",P4=""),"",IFERROR(P25/P4,""))</f>
        <v/>
      </c>
      <c r="Q26" s="15">
        <f>IF(OR(Q25="",Q4=""),"",IFERROR(Q25/Q4,""))</f>
        <v/>
      </c>
      <c r="R26" s="15">
        <f>IF(OR(R25="",R4=""),"",IFERROR(R25/R4,""))</f>
        <v/>
      </c>
      <c r="S26" s="15">
        <f>IF(OR(S25="",S4=""),"",IFERROR(S25/S4,""))</f>
        <v/>
      </c>
      <c r="T26" s="15">
        <f>IF(OR(T25="",T4=""),"",IFERROR(T25/T4,""))</f>
        <v/>
      </c>
      <c r="U26" s="15">
        <f>IF(OR(U25="",U4=""),"",IFERROR(U25/U4,""))</f>
        <v/>
      </c>
      <c r="V26" s="15">
        <f>IF(OR(V25="",V4=""),"",IFERROR(V25/V4,""))</f>
        <v/>
      </c>
      <c r="W26" s="15">
        <f>IF(OR(W25="",W4=""),"",IFERROR(W25/W4,""))</f>
        <v/>
      </c>
      <c r="X26" s="15">
        <f>IF(OR(X25="",X4=""),"",IFERROR(X25/X4,""))</f>
        <v/>
      </c>
      <c r="Y26" s="14">
        <f>IF(OR(Y25="",Y4=""),"",IFERROR(Y25/Y4,""))</f>
        <v/>
      </c>
      <c r="Z26" s="15">
        <f>IF(OR(Z25="",Z4=""),"",IFERROR(Z25/Z4,""))</f>
        <v/>
      </c>
      <c r="AA26" s="15">
        <f>IF(OR(AA25="",AA4=""),"",IFERROR(AA25/AA4,""))</f>
        <v/>
      </c>
      <c r="AB26" s="15">
        <f>IF(OR(AB25="",AB4=""),"",IFERROR(AB25/AB4,""))</f>
        <v/>
      </c>
      <c r="AC26" s="15">
        <f>IF(OR(AC25="",AC4=""),"",IFERROR(AC25/AC4,""))</f>
        <v/>
      </c>
    </row>
    <row r="27">
      <c r="A27" s="13" t="inlineStr">
        <is>
          <t>YoY</t>
        </is>
      </c>
      <c r="B27" s="10" t="n"/>
      <c r="C27" s="14" t="n"/>
      <c r="D27" s="15" t="n"/>
      <c r="E27" s="15" t="n"/>
      <c r="F27" s="15" t="n"/>
      <c r="G27" s="15">
        <f>IF(OR(G25="",C25=""),"",IF(C25&lt;=0,"",IFERROR(G25/C25-1,"")))</f>
        <v/>
      </c>
      <c r="H27" s="15">
        <f>IF(OR(H25="",D25=""),"",IF(D25&lt;=0,"",IFERROR(H25/D25-1,"")))</f>
        <v/>
      </c>
      <c r="I27" s="15">
        <f>IF(OR(I25="",E25=""),"",IF(E25&lt;=0,"",IFERROR(I25/E25-1,"")))</f>
        <v/>
      </c>
      <c r="J27" s="15">
        <f>IF(OR(J25="",F25=""),"",IF(F25&lt;=0,"",IFERROR(J25/F25-1,"")))</f>
        <v/>
      </c>
      <c r="K27" s="15">
        <f>IF(OR(K25="",G25=""),"",IF(G25&lt;=0,"",IFERROR(K25/G25-1,"")))</f>
        <v/>
      </c>
      <c r="L27" s="15">
        <f>IF(OR(L25="",H25=""),"",IF(H25&lt;=0,"",IFERROR(L25/H25-1,"")))</f>
        <v/>
      </c>
      <c r="M27" s="15">
        <f>IF(OR(M25="",I25=""),"",IF(I25&lt;=0,"",IFERROR(M25/I25-1,"")))</f>
        <v/>
      </c>
      <c r="N27" s="15">
        <f>IF(OR(N25="",J25=""),"",IF(J25&lt;=0,"",IFERROR(N25/J25-1,"")))</f>
        <v/>
      </c>
      <c r="O27" s="14" t="n"/>
      <c r="P27" s="15">
        <f>IF(OR(P25="",O25=""),"",IF(O25&lt;=0,"",IFERROR(P25/O25-1,"")))</f>
        <v/>
      </c>
      <c r="Q27" s="15">
        <f>IF(OR(Q25="",P25=""),"",IF(P25&lt;=0,"",IFERROR(Q25/P25-1,"")))</f>
        <v/>
      </c>
      <c r="R27" s="15">
        <f>IF(OR(R25="",Q25=""),"",IF(Q25&lt;=0,"",IFERROR(R25/Q25-1,"")))</f>
        <v/>
      </c>
      <c r="S27" s="15">
        <f>IF(OR(S25="",R25=""),"",IF(R25&lt;=0,"",IFERROR(S25/R25-1,"")))</f>
        <v/>
      </c>
      <c r="T27" s="15">
        <f>IF(OR(T25="",S25=""),"",IF(S25&lt;=0,"",IFERROR(T25/S25-1,"")))</f>
        <v/>
      </c>
      <c r="U27" s="15">
        <f>IF(OR(U25="",T25=""),"",IF(T25&lt;=0,"",IFERROR(U25/T25-1,"")))</f>
        <v/>
      </c>
      <c r="V27" s="15">
        <f>IF(OR(V25="",U25=""),"",IF(U25&lt;=0,"",IFERROR(V25/U25-1,"")))</f>
        <v/>
      </c>
      <c r="W27" s="15">
        <f>IF(OR(W25="",V25=""),"",IF(V25&lt;=0,"",IFERROR(W25/V25-1,"")))</f>
        <v/>
      </c>
      <c r="X27" s="15">
        <f>IF(OR(X25="",W25=""),"",IF(W25&lt;=0,"",IFERROR(X25/W25-1,"")))</f>
        <v/>
      </c>
      <c r="Y27" s="14">
        <f>IF(OR(Y25="",X25=""),"",IF(X25&lt;=0,"",IFERROR(Y25/X25-1,"")))</f>
        <v/>
      </c>
      <c r="Z27" s="15">
        <f>IF(OR(Z25="",Y25=""),"",IF(Y25&lt;=0,"",IFERROR(Z25/Y25-1,"")))</f>
        <v/>
      </c>
      <c r="AA27" s="15">
        <f>IF(OR(AA25="",Z25=""),"",IF(Z25&lt;=0,"",IFERROR(AA25/Z25-1,"")))</f>
        <v/>
      </c>
      <c r="AB27" s="15">
        <f>IF(OR(AB25="",AA25=""),"",IF(AA25&lt;=0,"",IFERROR(AB25/AA25-1,"")))</f>
        <v/>
      </c>
      <c r="AC27" s="15">
        <f>IF(OR(AC25="",AB25=""),"",IF(AB25&lt;=0,"",IFERROR(AC25/AB25-1,"")))</f>
        <v/>
      </c>
    </row>
    <row r="28">
      <c r="A28" s="23" t="inlineStr">
        <is>
          <t>판매관리비</t>
        </is>
      </c>
      <c r="B28" s="23" t="n"/>
      <c r="C28" s="24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4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4" t="n"/>
      <c r="Z28" s="23" t="n"/>
      <c r="AA28" s="23" t="n"/>
      <c r="AB28" s="23" t="n"/>
      <c r="AC28" s="23" t="n"/>
    </row>
    <row r="29">
      <c r="A29" s="18" t="inlineStr">
        <is>
          <t>전체 판관비</t>
        </is>
      </c>
      <c r="B29" s="10" t="n"/>
      <c r="C29" s="19" t="n">
        <v>134431</v>
      </c>
      <c r="D29" s="20" t="n">
        <v>146652</v>
      </c>
      <c r="E29" s="20" t="n">
        <v>137492</v>
      </c>
      <c r="F29" s="20" t="n">
        <v>138535</v>
      </c>
      <c r="G29" s="20" t="n">
        <v>141453</v>
      </c>
      <c r="H29" s="20" t="n">
        <v>141983</v>
      </c>
      <c r="I29" s="20" t="n">
        <v>146617</v>
      </c>
      <c r="J29" s="20" t="n">
        <v>150341</v>
      </c>
      <c r="K29" s="20" t="n">
        <v>153600</v>
      </c>
      <c r="L29" s="20" t="n">
        <v>165300</v>
      </c>
      <c r="M29" s="20" t="n">
        <v>162562</v>
      </c>
      <c r="N29" s="20" t="n">
        <v>167346</v>
      </c>
      <c r="O29" s="19" t="n">
        <v>379790</v>
      </c>
      <c r="P29" s="20" t="n">
        <v>401674</v>
      </c>
      <c r="Q29" s="20" t="n">
        <v>418362</v>
      </c>
      <c r="R29" s="20" t="n">
        <v>425909</v>
      </c>
      <c r="S29" s="20" t="n">
        <v>417417</v>
      </c>
      <c r="T29" s="20" t="n">
        <v>451749</v>
      </c>
      <c r="U29" s="20" t="n">
        <v>492533</v>
      </c>
      <c r="V29" s="20" t="n">
        <v>540970</v>
      </c>
      <c r="W29" s="20" t="n">
        <v>559463</v>
      </c>
      <c r="X29" s="20" t="n">
        <v>615858</v>
      </c>
      <c r="Y29" s="19" t="n"/>
      <c r="Z29" s="20" t="n"/>
      <c r="AA29" s="20" t="n"/>
      <c r="AB29" s="20" t="n"/>
      <c r="AC29" s="20" t="n"/>
    </row>
    <row r="30">
      <c r="A30" s="13" t="inlineStr">
        <is>
          <t>YoY</t>
        </is>
      </c>
      <c r="B30" s="10" t="n"/>
      <c r="C30" s="14" t="n"/>
      <c r="D30" s="15" t="n"/>
      <c r="E30" s="15" t="n"/>
      <c r="F30" s="15" t="n"/>
      <c r="G30" s="15">
        <f>IF(OR(G29="",C29=""),"",IF(C29&lt;=0,"",IFERROR(G29/C29-1,"")))</f>
        <v/>
      </c>
      <c r="H30" s="15">
        <f>IF(OR(H29="",D29=""),"",IF(D29&lt;=0,"",IFERROR(H29/D29-1,"")))</f>
        <v/>
      </c>
      <c r="I30" s="15">
        <f>IF(OR(I29="",E29=""),"",IF(E29&lt;=0,"",IFERROR(I29/E29-1,"")))</f>
        <v/>
      </c>
      <c r="J30" s="15">
        <f>IF(OR(J29="",F29=""),"",IF(F29&lt;=0,"",IFERROR(J29/F29-1,"")))</f>
        <v/>
      </c>
      <c r="K30" s="15">
        <f>IF(OR(K29="",G29=""),"",IF(G29&lt;=0,"",IFERROR(K29/G29-1,"")))</f>
        <v/>
      </c>
      <c r="L30" s="15">
        <f>IF(OR(L29="",H29=""),"",IF(H29&lt;=0,"",IFERROR(L29/H29-1,"")))</f>
        <v/>
      </c>
      <c r="M30" s="15">
        <f>IF(OR(M29="",I29=""),"",IF(I29&lt;=0,"",IFERROR(M29/I29-1,"")))</f>
        <v/>
      </c>
      <c r="N30" s="15">
        <f>IF(OR(N29="",J29=""),"",IF(J29&lt;=0,"",IFERROR(N29/J29-1,"")))</f>
        <v/>
      </c>
      <c r="O30" s="14" t="n"/>
      <c r="P30" s="15">
        <f>IF(OR(P29="",O29=""),"",IF(O29&lt;=0,"",IFERROR(P29/O29-1,"")))</f>
        <v/>
      </c>
      <c r="Q30" s="15">
        <f>IF(OR(Q29="",P29=""),"",IF(P29&lt;=0,"",IFERROR(Q29/P29-1,"")))</f>
        <v/>
      </c>
      <c r="R30" s="15">
        <f>IF(OR(R29="",Q29=""),"",IF(Q29&lt;=0,"",IFERROR(R29/Q29-1,"")))</f>
        <v/>
      </c>
      <c r="S30" s="15">
        <f>IF(OR(S29="",R29=""),"",IF(R29&lt;=0,"",IFERROR(S29/R29-1,"")))</f>
        <v/>
      </c>
      <c r="T30" s="15">
        <f>IF(OR(T29="",S29=""),"",IF(S29&lt;=0,"",IFERROR(T29/S29-1,"")))</f>
        <v/>
      </c>
      <c r="U30" s="15">
        <f>IF(OR(U29="",T29=""),"",IF(T29&lt;=0,"",IFERROR(U29/T29-1,"")))</f>
        <v/>
      </c>
      <c r="V30" s="15">
        <f>IF(OR(V29="",U29=""),"",IF(U29&lt;=0,"",IFERROR(V29/U29-1,"")))</f>
        <v/>
      </c>
      <c r="W30" s="15">
        <f>IF(OR(W29="",V29=""),"",IF(V29&lt;=0,"",IFERROR(W29/V29-1,"")))</f>
        <v/>
      </c>
      <c r="X30" s="15">
        <f>IF(OR(X29="",W29=""),"",IF(W29&lt;=0,"",IFERROR(X29/W29-1,"")))</f>
        <v/>
      </c>
      <c r="Y30" s="14">
        <f>IF(OR(Y29="",X29=""),"",IF(X29&lt;=0,"",IFERROR(Y29/X29-1,"")))</f>
        <v/>
      </c>
      <c r="Z30" s="15">
        <f>IF(OR(Z29="",Y29=""),"",IF(Y29&lt;=0,"",IFERROR(Z29/Y29-1,"")))</f>
        <v/>
      </c>
      <c r="AA30" s="15">
        <f>IF(OR(AA29="",Z29=""),"",IF(Z29&lt;=0,"",IFERROR(AA29/Z29-1,"")))</f>
        <v/>
      </c>
      <c r="AB30" s="15">
        <f>IF(OR(AB29="",AA29=""),"",IF(AA29&lt;=0,"",IFERROR(AB29/AA29-1,"")))</f>
        <v/>
      </c>
      <c r="AC30" s="15">
        <f>IF(OR(AC29="",AB29=""),"",IF(AB29&lt;=0,"",IFERROR(AC29/AB29-1,"")))</f>
        <v/>
      </c>
    </row>
    <row r="31">
      <c r="A31" s="9" t="inlineStr">
        <is>
          <t>영업이익</t>
        </is>
      </c>
      <c r="B31" s="10" t="inlineStr">
        <is>
          <t>MW = 매출 × OPM</t>
        </is>
      </c>
      <c r="C31" s="11" t="n">
        <v>81003</v>
      </c>
      <c r="D31" s="12" t="n">
        <v>78286</v>
      </c>
      <c r="E31" s="12" t="n">
        <v>53285</v>
      </c>
      <c r="F31" s="12" t="n">
        <v>66030</v>
      </c>
      <c r="G31" s="12" t="n">
        <v>87524</v>
      </c>
      <c r="H31" s="12" t="n">
        <v>113824</v>
      </c>
      <c r="I31" s="12" t="n">
        <v>60301</v>
      </c>
      <c r="J31" s="12" t="n">
        <v>92720</v>
      </c>
      <c r="K31" s="12" t="n">
        <v>118024</v>
      </c>
      <c r="L31" s="12" t="n">
        <v>147128</v>
      </c>
      <c r="M31" s="12" t="n">
        <v>97059</v>
      </c>
      <c r="N31" s="12" t="n">
        <v>122508</v>
      </c>
      <c r="O31" s="11" t="n">
        <v>150503</v>
      </c>
      <c r="P31" s="12" t="n">
        <v>173139</v>
      </c>
      <c r="Q31" s="12" t="n">
        <v>166260</v>
      </c>
      <c r="R31" s="12" t="n">
        <v>127216</v>
      </c>
      <c r="S31" s="12" t="n">
        <v>113926</v>
      </c>
      <c r="T31" s="12" t="n">
        <v>122195</v>
      </c>
      <c r="U31" s="12" t="n">
        <v>177443</v>
      </c>
      <c r="V31" s="12" t="n">
        <v>226618</v>
      </c>
      <c r="W31" s="12" t="n">
        <v>320663</v>
      </c>
      <c r="X31" s="12" t="n">
        <v>418173</v>
      </c>
      <c r="Y31" s="11">
        <f>IF(OR(Y4="",Y32=""),"",IFERROR(Y4*Y32,""))</f>
        <v/>
      </c>
      <c r="Z31" s="12">
        <f>IF(OR(Z4="",Z32=""),"",IFERROR(Z4*Z32,""))</f>
        <v/>
      </c>
      <c r="AA31" s="12">
        <f>IF(OR(AA4="",AA32=""),"",IFERROR(AA4*AA32,""))</f>
        <v/>
      </c>
      <c r="AB31" s="12">
        <f>IF(OR(AB4="",AB32=""),"",IFERROR(AB4*AB32,""))</f>
        <v/>
      </c>
      <c r="AC31" s="12">
        <f>IF(OR(AC4="",AC32=""),"",IFERROR(AC4*AC32,""))</f>
        <v/>
      </c>
    </row>
    <row r="32">
      <c r="A32" s="13" t="inlineStr">
        <is>
          <t>OPM</t>
        </is>
      </c>
      <c r="B32" s="10" t="inlineStr">
        <is>
          <t>MW 입력</t>
        </is>
      </c>
      <c r="C32" s="14">
        <f>IF(OR(C31="",C4=""),"",IFERROR(C31/C4,""))</f>
        <v/>
      </c>
      <c r="D32" s="15">
        <f>IF(OR(D31="",D4=""),"",IFERROR(D31/D4,""))</f>
        <v/>
      </c>
      <c r="E32" s="15">
        <f>IF(OR(E31="",E4=""),"",IFERROR(E31/E4,""))</f>
        <v/>
      </c>
      <c r="F32" s="15">
        <f>IF(OR(F31="",F4=""),"",IFERROR(F31/F4,""))</f>
        <v/>
      </c>
      <c r="G32" s="15">
        <f>IF(OR(G31="",G4=""),"",IFERROR(G31/G4,""))</f>
        <v/>
      </c>
      <c r="H32" s="15">
        <f>IF(OR(H31="",H4=""),"",IFERROR(H31/H4,""))</f>
        <v/>
      </c>
      <c r="I32" s="15">
        <f>IF(OR(I31="",I4=""),"",IFERROR(I31/I4,""))</f>
        <v/>
      </c>
      <c r="J32" s="15">
        <f>IF(OR(J31="",J4=""),"",IFERROR(J31/J4,""))</f>
        <v/>
      </c>
      <c r="K32" s="15">
        <f>IF(OR(K31="",K4=""),"",IFERROR(K31/K4,""))</f>
        <v/>
      </c>
      <c r="L32" s="15">
        <f>IF(OR(L31="",L4=""),"",IFERROR(L31/L4,""))</f>
        <v/>
      </c>
      <c r="M32" s="15">
        <f>IF(OR(M31="",M4=""),"",IFERROR(M31/M4,""))</f>
        <v/>
      </c>
      <c r="N32" s="15">
        <f>IF(OR(N31="",N4=""),"",IFERROR(N31/N4,""))</f>
        <v/>
      </c>
      <c r="O32" s="14">
        <f>IF(OR(O31="",O4=""),"",IFERROR(O31/O4,""))</f>
        <v/>
      </c>
      <c r="P32" s="15">
        <f>IF(OR(P31="",P4=""),"",IFERROR(P31/P4,""))</f>
        <v/>
      </c>
      <c r="Q32" s="15">
        <f>IF(OR(Q31="",Q4=""),"",IFERROR(Q31/Q4,""))</f>
        <v/>
      </c>
      <c r="R32" s="15">
        <f>IF(OR(R31="",R4=""),"",IFERROR(R31/R4,""))</f>
        <v/>
      </c>
      <c r="S32" s="15">
        <f>IF(OR(S31="",S4=""),"",IFERROR(S31/S4,""))</f>
        <v/>
      </c>
      <c r="T32" s="15">
        <f>IF(OR(T31="",T4=""),"",IFERROR(T31/T4,""))</f>
        <v/>
      </c>
      <c r="U32" s="15">
        <f>IF(OR(U31="",U4=""),"",IFERROR(U31/U4,""))</f>
        <v/>
      </c>
      <c r="V32" s="15">
        <f>IF(OR(V31="",V4=""),"",IFERROR(V31/V4,""))</f>
        <v/>
      </c>
      <c r="W32" s="15">
        <f>IF(OR(W31="",W4=""),"",IFERROR(W31/W4,""))</f>
        <v/>
      </c>
      <c r="X32" s="15">
        <f>IF(OR(X31="",X4=""),"",IFERROR(X31/X4,""))</f>
        <v/>
      </c>
      <c r="Y32" s="25" t="n"/>
      <c r="Z32" s="26" t="n"/>
      <c r="AA32" s="26" t="n"/>
      <c r="AB32" s="26" t="n"/>
      <c r="AC32" s="26" t="n"/>
    </row>
    <row r="33">
      <c r="A33" s="13" t="inlineStr">
        <is>
          <t>증가율</t>
        </is>
      </c>
      <c r="B33" s="10" t="n"/>
      <c r="C33" s="14" t="n"/>
      <c r="D33" s="15" t="n"/>
      <c r="E33" s="15" t="n"/>
      <c r="F33" s="15" t="n"/>
      <c r="G33" s="15">
        <f>IF(OR(G31="",C31=""),"",IFERROR(G31/C31-1,""))</f>
        <v/>
      </c>
      <c r="H33" s="15">
        <f>IF(OR(H31="",D31=""),"",IFERROR(H31/D31-1,""))</f>
        <v/>
      </c>
      <c r="I33" s="15">
        <f>IF(OR(I31="",E31=""),"",IFERROR(I31/E31-1,""))</f>
        <v/>
      </c>
      <c r="J33" s="15">
        <f>IF(OR(J31="",F31=""),"",IFERROR(J31/F31-1,""))</f>
        <v/>
      </c>
      <c r="K33" s="15">
        <f>IF(OR(K31="",G31=""),"",IFERROR(K31/G31-1,""))</f>
        <v/>
      </c>
      <c r="L33" s="15">
        <f>IF(OR(L31="",H31=""),"",IFERROR(L31/H31-1,""))</f>
        <v/>
      </c>
      <c r="M33" s="15">
        <f>IF(OR(M31="",I31=""),"",IFERROR(M31/I31-1,""))</f>
        <v/>
      </c>
      <c r="N33" s="15">
        <f>IF(OR(N31="",J31=""),"",IFERROR(N31/J31-1,""))</f>
        <v/>
      </c>
      <c r="O33" s="14" t="n"/>
      <c r="P33" s="15">
        <f>IF(OR(P31="",O31=""),"",IFERROR(P31/O31-1,""))</f>
        <v/>
      </c>
      <c r="Q33" s="15">
        <f>IF(OR(Q31="",P31=""),"",IFERROR(Q31/P31-1,""))</f>
        <v/>
      </c>
      <c r="R33" s="15">
        <f>IF(OR(R31="",Q31=""),"",IFERROR(R31/Q31-1,""))</f>
        <v/>
      </c>
      <c r="S33" s="15">
        <f>IF(OR(S31="",R31=""),"",IFERROR(S31/R31-1,""))</f>
        <v/>
      </c>
      <c r="T33" s="15">
        <f>IF(OR(T31="",S31=""),"",IFERROR(T31/S31-1,""))</f>
        <v/>
      </c>
      <c r="U33" s="15">
        <f>IF(OR(U31="",T31=""),"",IFERROR(U31/T31-1,""))</f>
        <v/>
      </c>
      <c r="V33" s="15">
        <f>IF(OR(V31="",U31=""),"",IFERROR(V31/U31-1,""))</f>
        <v/>
      </c>
      <c r="W33" s="15">
        <f>IF(OR(W31="",V31=""),"",IFERROR(W31/V31-1,""))</f>
        <v/>
      </c>
      <c r="X33" s="15">
        <f>IF(OR(X31="",W31=""),"",IFERROR(X31/W31-1,""))</f>
        <v/>
      </c>
      <c r="Y33" s="14">
        <f>IF(OR(Y31="",X31=""),"",IFERROR(Y31/X31-1,""))</f>
        <v/>
      </c>
      <c r="Z33" s="15">
        <f>IF(OR(Z31="",Y31=""),"",IFERROR(Z31/Y31-1,""))</f>
        <v/>
      </c>
      <c r="AA33" s="15">
        <f>IF(OR(AA31="",Z31=""),"",IFERROR(AA31/Z31-1,""))</f>
        <v/>
      </c>
      <c r="AB33" s="15">
        <f>IF(OR(AB31="",AA31=""),"",IFERROR(AB31/AA31-1,""))</f>
        <v/>
      </c>
      <c r="AC33" s="15">
        <f>IF(OR(AC31="",AB31=""),"",IFERROR(AC31/AB31-1,""))</f>
        <v/>
      </c>
    </row>
    <row r="34">
      <c r="A34" s="16" t="inlineStr">
        <is>
          <t>비용의 성격별 분류</t>
        </is>
      </c>
      <c r="B34" s="16" t="inlineStr">
        <is>
          <t>참고 데이터</t>
        </is>
      </c>
      <c r="C34" s="17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7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7" t="n"/>
      <c r="Z34" s="16" t="n"/>
      <c r="AA34" s="16" t="n"/>
      <c r="AB34" s="16" t="n"/>
      <c r="AC34" s="16" t="n"/>
    </row>
    <row r="35">
      <c r="A35" s="9" t="inlineStr">
        <is>
          <t>총 판관비</t>
        </is>
      </c>
      <c r="B35" s="10" t="n"/>
      <c r="C35" s="11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1">
        <f>IF(O29="","",O29)</f>
        <v/>
      </c>
      <c r="P35" s="12">
        <f>IF(P29="","",P29)</f>
        <v/>
      </c>
      <c r="Q35" s="12">
        <f>IF(Q29="","",Q29)</f>
        <v/>
      </c>
      <c r="R35" s="12">
        <f>IF(R29="","",R29)</f>
        <v/>
      </c>
      <c r="S35" s="12">
        <f>IF(S29="","",S29)</f>
        <v/>
      </c>
      <c r="T35" s="12">
        <f>IF(T29="","",T29)</f>
        <v/>
      </c>
      <c r="U35" s="12">
        <f>IF(U29="","",U29)</f>
        <v/>
      </c>
      <c r="V35" s="12">
        <f>IF(V29="","",V29)</f>
        <v/>
      </c>
      <c r="W35" s="12">
        <f>IF(W29="","",W29)</f>
        <v/>
      </c>
      <c r="X35" s="12">
        <f>IF(X29="","",X29)</f>
        <v/>
      </c>
      <c r="Y35" s="11" t="n"/>
      <c r="Z35" s="12" t="n"/>
      <c r="AA35" s="12" t="n"/>
      <c r="AB35" s="12" t="n"/>
      <c r="AC35" s="12" t="n"/>
    </row>
    <row r="36">
      <c r="A36" s="18" t="inlineStr">
        <is>
          <t>급여</t>
        </is>
      </c>
      <c r="B36" s="10" t="inlineStr">
        <is>
          <t>고정비</t>
        </is>
      </c>
      <c r="C36" s="19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19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19" t="n"/>
      <c r="Z36" s="20" t="n"/>
      <c r="AA36" s="20" t="n"/>
      <c r="AB36" s="20" t="n"/>
      <c r="AC36" s="20" t="n"/>
    </row>
    <row r="37">
      <c r="A37" s="13" t="inlineStr">
        <is>
          <t>% of Sales</t>
        </is>
      </c>
      <c r="B37" s="10" t="n"/>
      <c r="C37" s="14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4">
        <f>IF(OR(O36="",O4=""),"",IFERROR(O36/O4,""))</f>
        <v/>
      </c>
      <c r="P37" s="15">
        <f>IF(OR(P36="",P4=""),"",IFERROR(P36/P4,""))</f>
        <v/>
      </c>
      <c r="Q37" s="15">
        <f>IF(OR(Q36="",Q4=""),"",IFERROR(Q36/Q4,""))</f>
        <v/>
      </c>
      <c r="R37" s="15">
        <f>IF(OR(R36="",R4=""),"",IFERROR(R36/R4,""))</f>
        <v/>
      </c>
      <c r="S37" s="15">
        <f>IF(OR(S36="",S4=""),"",IFERROR(S36/S4,""))</f>
        <v/>
      </c>
      <c r="T37" s="15">
        <f>IF(OR(T36="",T4=""),"",IFERROR(T36/T4,""))</f>
        <v/>
      </c>
      <c r="U37" s="15">
        <f>IF(OR(U36="",U4=""),"",IFERROR(U36/U4,""))</f>
        <v/>
      </c>
      <c r="V37" s="15">
        <f>IF(OR(V36="",V4=""),"",IFERROR(V36/V4,""))</f>
        <v/>
      </c>
      <c r="W37" s="15">
        <f>IF(OR(W36="",W4=""),"",IFERROR(W36/W4,""))</f>
        <v/>
      </c>
      <c r="X37" s="15">
        <f>IF(OR(X36="",X4=""),"",IFERROR(X36/X4,""))</f>
        <v/>
      </c>
      <c r="Y37" s="14" t="n"/>
      <c r="Z37" s="15" t="n"/>
      <c r="AA37" s="15" t="n"/>
      <c r="AB37" s="15" t="n"/>
      <c r="AC37" s="15" t="n"/>
    </row>
    <row r="38">
      <c r="A38" s="18" t="inlineStr">
        <is>
          <t>감가상각비</t>
        </is>
      </c>
      <c r="B38" s="10" t="inlineStr">
        <is>
          <t>고정비</t>
        </is>
      </c>
      <c r="C38" s="19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19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19" t="n"/>
      <c r="Z38" s="20" t="n"/>
      <c r="AA38" s="20" t="n"/>
      <c r="AB38" s="20" t="n"/>
      <c r="AC38" s="20" t="n"/>
    </row>
    <row r="39">
      <c r="A39" s="13" t="inlineStr">
        <is>
          <t>% of Sales</t>
        </is>
      </c>
      <c r="B39" s="10" t="n"/>
      <c r="C39" s="14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4">
        <f>IF(OR(O38="",O4=""),"",IFERROR(O38/O4,""))</f>
        <v/>
      </c>
      <c r="P39" s="15">
        <f>IF(OR(P38="",P4=""),"",IFERROR(P38/P4,""))</f>
        <v/>
      </c>
      <c r="Q39" s="15">
        <f>IF(OR(Q38="",Q4=""),"",IFERROR(Q38/Q4,""))</f>
        <v/>
      </c>
      <c r="R39" s="15">
        <f>IF(OR(R38="",R4=""),"",IFERROR(R38/R4,""))</f>
        <v/>
      </c>
      <c r="S39" s="15">
        <f>IF(OR(S38="",S4=""),"",IFERROR(S38/S4,""))</f>
        <v/>
      </c>
      <c r="T39" s="15">
        <f>IF(OR(T38="",T4=""),"",IFERROR(T38/T4,""))</f>
        <v/>
      </c>
      <c r="U39" s="15">
        <f>IF(OR(U38="",U4=""),"",IFERROR(U38/U4,""))</f>
        <v/>
      </c>
      <c r="V39" s="15">
        <f>IF(OR(V38="",V4=""),"",IFERROR(V38/V4,""))</f>
        <v/>
      </c>
      <c r="W39" s="15">
        <f>IF(OR(W38="",W4=""),"",IFERROR(W38/W4,""))</f>
        <v/>
      </c>
      <c r="X39" s="15">
        <f>IF(OR(X38="",X4=""),"",IFERROR(X38/X4,""))</f>
        <v/>
      </c>
      <c r="Y39" s="14" t="n"/>
      <c r="Z39" s="15" t="n"/>
      <c r="AA39" s="15" t="n"/>
      <c r="AB39" s="15" t="n"/>
      <c r="AC39" s="15" t="n"/>
    </row>
    <row r="40">
      <c r="A40" s="18" t="inlineStr">
        <is>
          <t>지급수수료</t>
        </is>
      </c>
      <c r="B40" s="10" t="inlineStr">
        <is>
          <t>고정비</t>
        </is>
      </c>
      <c r="C40" s="19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19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19" t="n"/>
      <c r="Z40" s="20" t="n"/>
      <c r="AA40" s="20" t="n"/>
      <c r="AB40" s="20" t="n"/>
      <c r="AC40" s="20" t="n"/>
    </row>
    <row r="41">
      <c r="A41" s="13" t="inlineStr">
        <is>
          <t>% of Sales</t>
        </is>
      </c>
      <c r="B41" s="10" t="n"/>
      <c r="C41" s="14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4">
        <f>IF(OR(O40="",O4=""),"",IFERROR(O40/O4,""))</f>
        <v/>
      </c>
      <c r="P41" s="15">
        <f>IF(OR(P40="",P4=""),"",IFERROR(P40/P4,""))</f>
        <v/>
      </c>
      <c r="Q41" s="15">
        <f>IF(OR(Q40="",Q4=""),"",IFERROR(Q40/Q4,""))</f>
        <v/>
      </c>
      <c r="R41" s="15">
        <f>IF(OR(R40="",R4=""),"",IFERROR(R40/R4,""))</f>
        <v/>
      </c>
      <c r="S41" s="15">
        <f>IF(OR(S40="",S4=""),"",IFERROR(S40/S4,""))</f>
        <v/>
      </c>
      <c r="T41" s="15">
        <f>IF(OR(T40="",T4=""),"",IFERROR(T40/T4,""))</f>
        <v/>
      </c>
      <c r="U41" s="15">
        <f>IF(OR(U40="",U4=""),"",IFERROR(U40/U4,""))</f>
        <v/>
      </c>
      <c r="V41" s="15">
        <f>IF(OR(V40="",V4=""),"",IFERROR(V40/V4,""))</f>
        <v/>
      </c>
      <c r="W41" s="15">
        <f>IF(OR(W40="",W4=""),"",IFERROR(W40/W4,""))</f>
        <v/>
      </c>
      <c r="X41" s="15">
        <f>IF(OR(X40="",X4=""),"",IFERROR(X40/X4,""))</f>
        <v/>
      </c>
      <c r="Y41" s="14" t="n"/>
      <c r="Z41" s="15" t="n"/>
      <c r="AA41" s="15" t="n"/>
      <c r="AB41" s="15" t="n"/>
      <c r="AC41" s="15" t="n"/>
    </row>
    <row r="42">
      <c r="A42" s="18" t="inlineStr">
        <is>
          <t>연구개발비</t>
        </is>
      </c>
      <c r="B42" s="10" t="inlineStr">
        <is>
          <t>변동비</t>
        </is>
      </c>
      <c r="C42" s="19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19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19" t="n"/>
      <c r="Z42" s="20" t="n"/>
      <c r="AA42" s="20" t="n"/>
      <c r="AB42" s="20" t="n"/>
      <c r="AC42" s="20" t="n"/>
    </row>
    <row r="43">
      <c r="A43" s="13" t="inlineStr">
        <is>
          <t>% of Sales</t>
        </is>
      </c>
      <c r="B43" s="10" t="n"/>
      <c r="C43" s="14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4">
        <f>IF(OR(O42="",O4=""),"",IFERROR(O42/O4,""))</f>
        <v/>
      </c>
      <c r="P43" s="15">
        <f>IF(OR(P42="",P4=""),"",IFERROR(P42/P4,""))</f>
        <v/>
      </c>
      <c r="Q43" s="15">
        <f>IF(OR(Q42="",Q4=""),"",IFERROR(Q42/Q4,""))</f>
        <v/>
      </c>
      <c r="R43" s="15">
        <f>IF(OR(R42="",R4=""),"",IFERROR(R42/R4,""))</f>
        <v/>
      </c>
      <c r="S43" s="15">
        <f>IF(OR(S42="",S4=""),"",IFERROR(S42/S4,""))</f>
        <v/>
      </c>
      <c r="T43" s="15">
        <f>IF(OR(T42="",T4=""),"",IFERROR(T42/T4,""))</f>
        <v/>
      </c>
      <c r="U43" s="15">
        <f>IF(OR(U42="",U4=""),"",IFERROR(U42/U4,""))</f>
        <v/>
      </c>
      <c r="V43" s="15">
        <f>IF(OR(V42="",V4=""),"",IFERROR(V42/V4,""))</f>
        <v/>
      </c>
      <c r="W43" s="15">
        <f>IF(OR(W42="",W4=""),"",IFERROR(W42/W4,""))</f>
        <v/>
      </c>
      <c r="X43" s="15">
        <f>IF(OR(X42="",X4=""),"",IFERROR(X42/X4,""))</f>
        <v/>
      </c>
      <c r="Y43" s="14" t="n"/>
      <c r="Z43" s="15" t="n"/>
      <c r="AA43" s="15" t="n"/>
      <c r="AB43" s="15" t="n"/>
      <c r="AC43" s="15" t="n"/>
    </row>
    <row r="44">
      <c r="A44" s="18" t="inlineStr">
        <is>
          <t>기타비용</t>
        </is>
      </c>
      <c r="B44" s="10" t="inlineStr">
        <is>
          <t>변동비</t>
        </is>
      </c>
      <c r="C44" s="19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19">
        <f>IF(OR(O35="",O36="",O38="",O40="",O42=""),"",IFERROR(O35-O36-O38-O40-O42,""))</f>
        <v/>
      </c>
      <c r="P44" s="20">
        <f>IF(OR(P35="",P36="",P38="",P40="",P42=""),"",IFERROR(P35-P36-P38-P40-P42,""))</f>
        <v/>
      </c>
      <c r="Q44" s="20">
        <f>IF(OR(Q35="",Q36="",Q38="",Q40="",Q42=""),"",IFERROR(Q35-Q36-Q38-Q40-Q42,""))</f>
        <v/>
      </c>
      <c r="R44" s="20">
        <f>IF(OR(R35="",R36="",R38="",R40="",R42=""),"",IFERROR(R35-R36-R38-R40-R42,""))</f>
        <v/>
      </c>
      <c r="S44" s="20">
        <f>IF(OR(S35="",S36="",S38="",S40="",S42=""),"",IFERROR(S35-S36-S38-S40-S42,""))</f>
        <v/>
      </c>
      <c r="T44" s="20">
        <f>IF(OR(T35="",T36="",T38="",T40="",T42=""),"",IFERROR(T35-T36-T38-T40-T42,""))</f>
        <v/>
      </c>
      <c r="U44" s="20">
        <f>IF(OR(U35="",U36="",U38="",U40="",U42=""),"",IFERROR(U35-U36-U38-U40-U42,""))</f>
        <v/>
      </c>
      <c r="V44" s="20">
        <f>IF(OR(V35="",V36="",V38="",V40="",V42=""),"",IFERROR(V35-V36-V38-V40-V42,""))</f>
        <v/>
      </c>
      <c r="W44" s="20">
        <f>IF(OR(W35="",W36="",W38="",W40="",W42=""),"",IFERROR(W35-W36-W38-W40-W42,""))</f>
        <v/>
      </c>
      <c r="X44" s="20">
        <f>IF(OR(X35="",X36="",X38="",X40="",X42=""),"",IFERROR(X35-X36-X38-X40-X42,""))</f>
        <v/>
      </c>
      <c r="Y44" s="19" t="n"/>
      <c r="Z44" s="20" t="n"/>
      <c r="AA44" s="20" t="n"/>
      <c r="AB44" s="20" t="n"/>
      <c r="AC44" s="20" t="n"/>
    </row>
    <row r="45">
      <c r="A45" s="13" t="inlineStr">
        <is>
          <t>% of Sales</t>
        </is>
      </c>
      <c r="B45" s="10" t="n"/>
      <c r="C45" s="14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4">
        <f>IF(OR(O44="",O4=""),"",IFERROR(O44/O4,""))</f>
        <v/>
      </c>
      <c r="P45" s="15">
        <f>IF(OR(P44="",P4=""),"",IFERROR(P44/P4,""))</f>
        <v/>
      </c>
      <c r="Q45" s="15">
        <f>IF(OR(Q44="",Q4=""),"",IFERROR(Q44/Q4,""))</f>
        <v/>
      </c>
      <c r="R45" s="15">
        <f>IF(OR(R44="",R4=""),"",IFERROR(R44/R4,""))</f>
        <v/>
      </c>
      <c r="S45" s="15">
        <f>IF(OR(S44="",S4=""),"",IFERROR(S44/S4,""))</f>
        <v/>
      </c>
      <c r="T45" s="15">
        <f>IF(OR(T44="",T4=""),"",IFERROR(T44/T4,""))</f>
        <v/>
      </c>
      <c r="U45" s="15">
        <f>IF(OR(U44="",U4=""),"",IFERROR(U44/U4,""))</f>
        <v/>
      </c>
      <c r="V45" s="15">
        <f>IF(OR(V44="",V4=""),"",IFERROR(V44/V4,""))</f>
        <v/>
      </c>
      <c r="W45" s="15">
        <f>IF(OR(W44="",W4=""),"",IFERROR(W44/W4,""))</f>
        <v/>
      </c>
      <c r="X45" s="15">
        <f>IF(OR(X44="",X4=""),"",IFERROR(X44/X4,""))</f>
        <v/>
      </c>
      <c r="Y45" s="14" t="n"/>
      <c r="Z45" s="15" t="n"/>
      <c r="AA45" s="15" t="n"/>
      <c r="AB45" s="15" t="n"/>
      <c r="AC45" s="15" t="n"/>
    </row>
    <row r="46">
      <c r="A46" s="16" t="inlineStr">
        <is>
          <t>당기순이익 추정</t>
        </is>
      </c>
      <c r="B46" s="16" t="n"/>
      <c r="C46" s="17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7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7" t="n"/>
      <c r="Z46" s="16" t="n"/>
      <c r="AA46" s="16" t="n"/>
      <c r="AB46" s="16" t="n"/>
      <c r="AC46" s="16" t="n"/>
    </row>
    <row r="47">
      <c r="A47" s="18" t="inlineStr">
        <is>
          <t>특별이익</t>
        </is>
      </c>
      <c r="B47" s="10" t="n"/>
      <c r="C47" s="19" t="n">
        <v>1053</v>
      </c>
      <c r="D47" s="20" t="n">
        <v>63332</v>
      </c>
      <c r="E47" s="20" t="n"/>
      <c r="F47" s="20" t="n"/>
      <c r="G47" s="20" t="n">
        <v>4088</v>
      </c>
      <c r="H47" s="20" t="n">
        <v>19871</v>
      </c>
      <c r="I47" s="20" t="n"/>
      <c r="J47" s="20" t="n"/>
      <c r="K47" s="20" t="n">
        <v>9318</v>
      </c>
      <c r="L47" s="20" t="n">
        <v>84464</v>
      </c>
      <c r="M47" s="20" t="n"/>
      <c r="N47" s="20" t="n"/>
      <c r="O47" s="19" t="n">
        <v>14432</v>
      </c>
      <c r="P47" s="20" t="n">
        <v>13506</v>
      </c>
      <c r="Q47" s="20" t="n">
        <v>8905</v>
      </c>
      <c r="R47" s="20" t="n">
        <v>22866</v>
      </c>
      <c r="S47" s="20" t="n">
        <v>16772</v>
      </c>
      <c r="T47" s="20" t="n">
        <v>40364</v>
      </c>
      <c r="U47" s="20" t="n">
        <v>40818</v>
      </c>
      <c r="V47" s="20" t="n">
        <v>66834</v>
      </c>
      <c r="W47" s="20" t="n">
        <v>26139</v>
      </c>
      <c r="X47" s="20" t="n">
        <v>98149</v>
      </c>
      <c r="Y47" s="19">
        <f>IF(OR(Y4="",Y48=""),"",IFERROR(Y4*Y48,""))</f>
        <v/>
      </c>
      <c r="Z47" s="20">
        <f>IF(OR(Z4="",Z48=""),"",IFERROR(Z4*Z48,""))</f>
        <v/>
      </c>
      <c r="AA47" s="20">
        <f>IF(OR(AA4="",AA48=""),"",IFERROR(AA4*AA48,""))</f>
        <v/>
      </c>
      <c r="AB47" s="20">
        <f>IF(OR(AB4="",AB48=""),"",IFERROR(AB4*AB48,""))</f>
        <v/>
      </c>
      <c r="AC47" s="20">
        <f>IF(OR(AC4="",AC48=""),"",IFERROR(AC4*AC48,""))</f>
        <v/>
      </c>
    </row>
    <row r="48">
      <c r="A48" s="13" t="inlineStr">
        <is>
          <t>% of Sales</t>
        </is>
      </c>
      <c r="B48" s="10" t="inlineStr">
        <is>
          <t>MW = 최근 3년 평균</t>
        </is>
      </c>
      <c r="C48" s="14">
        <f>IF(OR(C47="",C4=""),"",IFERROR(C47/C4,""))</f>
        <v/>
      </c>
      <c r="D48" s="15">
        <f>IF(OR(D47="",D4=""),"",IFERROR(D47/D4,""))</f>
        <v/>
      </c>
      <c r="E48" s="15">
        <f>IF(OR(E47="",E4=""),"",IFERROR(E47/E4,""))</f>
        <v/>
      </c>
      <c r="F48" s="15">
        <f>IF(OR(F47="",F4=""),"",IFERROR(F47/F4,""))</f>
        <v/>
      </c>
      <c r="G48" s="15">
        <f>IF(OR(G47="",G4=""),"",IFERROR(G47/G4,""))</f>
        <v/>
      </c>
      <c r="H48" s="15">
        <f>IF(OR(H47="",H4=""),"",IFERROR(H47/H4,""))</f>
        <v/>
      </c>
      <c r="I48" s="15">
        <f>IF(OR(I47="",I4=""),"",IFERROR(I47/I4,""))</f>
        <v/>
      </c>
      <c r="J48" s="15">
        <f>IF(OR(J47="",J4=""),"",IFERROR(J47/J4,""))</f>
        <v/>
      </c>
      <c r="K48" s="15">
        <f>IF(OR(K47="",K4=""),"",IFERROR(K47/K4,""))</f>
        <v/>
      </c>
      <c r="L48" s="15">
        <f>IF(OR(L47="",L4=""),"",IFERROR(L47/L4,""))</f>
        <v/>
      </c>
      <c r="M48" s="15">
        <f>IF(OR(M47="",M4=""),"",IFERROR(M47/M4,""))</f>
        <v/>
      </c>
      <c r="N48" s="15">
        <f>IF(OR(N47="",N4=""),"",IFERROR(N47/N4,""))</f>
        <v/>
      </c>
      <c r="O48" s="14">
        <f>IF(OR(O47="",O4=""),"",IFERROR(O47/O4,""))</f>
        <v/>
      </c>
      <c r="P48" s="15">
        <f>IF(OR(P47="",P4=""),"",IFERROR(P47/P4,""))</f>
        <v/>
      </c>
      <c r="Q48" s="15">
        <f>IF(OR(Q47="",Q4=""),"",IFERROR(Q47/Q4,""))</f>
        <v/>
      </c>
      <c r="R48" s="15">
        <f>IF(OR(R47="",R4=""),"",IFERROR(R47/R4,""))</f>
        <v/>
      </c>
      <c r="S48" s="15">
        <f>IF(OR(S47="",S4=""),"",IFERROR(S47/S4,""))</f>
        <v/>
      </c>
      <c r="T48" s="15">
        <f>IF(OR(T47="",T4=""),"",IFERROR(T47/T4,""))</f>
        <v/>
      </c>
      <c r="U48" s="15">
        <f>IF(OR(U47="",U4=""),"",IFERROR(U47/U4,""))</f>
        <v/>
      </c>
      <c r="V48" s="15">
        <f>IF(OR(V47="",V4=""),"",IFERROR(V47/V4,""))</f>
        <v/>
      </c>
      <c r="W48" s="15">
        <f>IF(OR(W47="",W4=""),"",IFERROR(W47/W4,""))</f>
        <v/>
      </c>
      <c r="X48" s="15">
        <f>IF(OR(X47="",X4=""),"",IFERROR(X47/X4,""))</f>
        <v/>
      </c>
      <c r="Y48" s="25">
        <f>IFERROR(AVERAGE(V48,W48,X48),"")</f>
        <v/>
      </c>
      <c r="Z48" s="26">
        <f>Y48</f>
        <v/>
      </c>
      <c r="AA48" s="26">
        <f>Z48</f>
        <v/>
      </c>
      <c r="AB48" s="26">
        <f>AA48</f>
        <v/>
      </c>
      <c r="AC48" s="26">
        <f>AB48</f>
        <v/>
      </c>
    </row>
    <row r="49">
      <c r="A49" s="18" t="inlineStr">
        <is>
          <t>특별손실</t>
        </is>
      </c>
      <c r="B49" s="10" t="n"/>
      <c r="C49" s="19" t="n">
        <v>1315</v>
      </c>
      <c r="D49" s="20" t="n">
        <v>35631</v>
      </c>
      <c r="E49" s="20" t="n">
        <v>516</v>
      </c>
      <c r="F49" s="20" t="n">
        <v>793</v>
      </c>
      <c r="G49" s="20" t="n">
        <v>7973</v>
      </c>
      <c r="H49" s="20" t="n">
        <v>22289</v>
      </c>
      <c r="I49" s="20" t="n">
        <v>638</v>
      </c>
      <c r="J49" s="20" t="n">
        <v>1129</v>
      </c>
      <c r="K49" s="20" t="n">
        <v>8360</v>
      </c>
      <c r="L49" s="20" t="n">
        <v>14137</v>
      </c>
      <c r="M49" s="20" t="n">
        <v>658</v>
      </c>
      <c r="N49" s="20" t="n">
        <v>1124</v>
      </c>
      <c r="O49" s="19" t="n">
        <v>20512</v>
      </c>
      <c r="P49" s="20" t="n">
        <v>15179</v>
      </c>
      <c r="Q49" s="20" t="n">
        <v>16166</v>
      </c>
      <c r="R49" s="20" t="n">
        <v>20166</v>
      </c>
      <c r="S49" s="20" t="n">
        <v>20504</v>
      </c>
      <c r="T49" s="20" t="n">
        <v>18603</v>
      </c>
      <c r="U49" s="20" t="n">
        <v>17694</v>
      </c>
      <c r="V49" s="20" t="n">
        <v>43630</v>
      </c>
      <c r="W49" s="20" t="n">
        <v>31571</v>
      </c>
      <c r="X49" s="20" t="n">
        <v>24264</v>
      </c>
      <c r="Y49" s="19">
        <f>IF(OR(Y4="",Y50=""),"",IFERROR(Y4*Y50,""))</f>
        <v/>
      </c>
      <c r="Z49" s="20">
        <f>IF(OR(Z4="",Z50=""),"",IFERROR(Z4*Z50,""))</f>
        <v/>
      </c>
      <c r="AA49" s="20">
        <f>IF(OR(AA4="",AA50=""),"",IFERROR(AA4*AA50,""))</f>
        <v/>
      </c>
      <c r="AB49" s="20">
        <f>IF(OR(AB4="",AB50=""),"",IFERROR(AB4*AB50,""))</f>
        <v/>
      </c>
      <c r="AC49" s="20">
        <f>IF(OR(AC4="",AC50=""),"",IFERROR(AC4*AC50,""))</f>
        <v/>
      </c>
    </row>
    <row r="50">
      <c r="A50" s="13" t="inlineStr">
        <is>
          <t>% of Sales</t>
        </is>
      </c>
      <c r="B50" s="10" t="n"/>
      <c r="C50" s="14">
        <f>IF(OR(C49="",C4=""),"",IFERROR(C49/C4,""))</f>
        <v/>
      </c>
      <c r="D50" s="15">
        <f>IF(OR(D49="",D4=""),"",IFERROR(D49/D4,""))</f>
        <v/>
      </c>
      <c r="E50" s="15">
        <f>IF(OR(E49="",E4=""),"",IFERROR(E49/E4,""))</f>
        <v/>
      </c>
      <c r="F50" s="15">
        <f>IF(OR(F49="",F4=""),"",IFERROR(F49/F4,""))</f>
        <v/>
      </c>
      <c r="G50" s="15">
        <f>IF(OR(G49="",G4=""),"",IFERROR(G49/G4,""))</f>
        <v/>
      </c>
      <c r="H50" s="15">
        <f>IF(OR(H49="",H4=""),"",IFERROR(H49/H4,""))</f>
        <v/>
      </c>
      <c r="I50" s="15">
        <f>IF(OR(I49="",I4=""),"",IFERROR(I49/I4,""))</f>
        <v/>
      </c>
      <c r="J50" s="15">
        <f>IF(OR(J49="",J4=""),"",IFERROR(J49/J4,""))</f>
        <v/>
      </c>
      <c r="K50" s="15">
        <f>IF(OR(K49="",K4=""),"",IFERROR(K49/K4,""))</f>
        <v/>
      </c>
      <c r="L50" s="15">
        <f>IF(OR(L49="",L4=""),"",IFERROR(L49/L4,""))</f>
        <v/>
      </c>
      <c r="M50" s="15">
        <f>IF(OR(M49="",M4=""),"",IFERROR(M49/M4,""))</f>
        <v/>
      </c>
      <c r="N50" s="15">
        <f>IF(OR(N49="",N4=""),"",IFERROR(N49/N4,""))</f>
        <v/>
      </c>
      <c r="O50" s="14">
        <f>IF(OR(O49="",O4=""),"",IFERROR(O49/O4,""))</f>
        <v/>
      </c>
      <c r="P50" s="15">
        <f>IF(OR(P49="",P4=""),"",IFERROR(P49/P4,""))</f>
        <v/>
      </c>
      <c r="Q50" s="15">
        <f>IF(OR(Q49="",Q4=""),"",IFERROR(Q49/Q4,""))</f>
        <v/>
      </c>
      <c r="R50" s="15">
        <f>IF(OR(R49="",R4=""),"",IFERROR(R49/R4,""))</f>
        <v/>
      </c>
      <c r="S50" s="15">
        <f>IF(OR(S49="",S4=""),"",IFERROR(S49/S4,""))</f>
        <v/>
      </c>
      <c r="T50" s="15">
        <f>IF(OR(T49="",T4=""),"",IFERROR(T49/T4,""))</f>
        <v/>
      </c>
      <c r="U50" s="15">
        <f>IF(OR(U49="",U4=""),"",IFERROR(U49/U4,""))</f>
        <v/>
      </c>
      <c r="V50" s="15">
        <f>IF(OR(V49="",V4=""),"",IFERROR(V49/V4,""))</f>
        <v/>
      </c>
      <c r="W50" s="15">
        <f>IF(OR(W49="",W4=""),"",IFERROR(W49/W4,""))</f>
        <v/>
      </c>
      <c r="X50" s="15">
        <f>IF(OR(X49="",X4=""),"",IFERROR(X49/X4,""))</f>
        <v/>
      </c>
      <c r="Y50" s="25">
        <f>IFERROR(AVERAGE(V50,W50,X50),"")</f>
        <v/>
      </c>
      <c r="Z50" s="26">
        <f>Y50</f>
        <v/>
      </c>
      <c r="AA50" s="26">
        <f>Z50</f>
        <v/>
      </c>
      <c r="AB50" s="26">
        <f>AA50</f>
        <v/>
      </c>
      <c r="AC50" s="26">
        <f>AB50</f>
        <v/>
      </c>
    </row>
    <row r="51">
      <c r="A51" s="18" t="inlineStr">
        <is>
          <t>영업외수익</t>
        </is>
      </c>
      <c r="B51" s="10" t="n"/>
      <c r="C51" s="19" t="n">
        <v>13022</v>
      </c>
      <c r="D51" s="20" t="n">
        <v>11873</v>
      </c>
      <c r="E51" s="20" t="n">
        <v>19395</v>
      </c>
      <c r="F51" s="20" t="n">
        <v>12836</v>
      </c>
      <c r="G51" s="20" t="n">
        <v>-2918</v>
      </c>
      <c r="H51" s="20" t="n">
        <v>11383</v>
      </c>
      <c r="I51" s="20" t="n">
        <v>12200</v>
      </c>
      <c r="J51" s="20" t="n">
        <v>12437</v>
      </c>
      <c r="K51" s="20" t="n">
        <v>12454</v>
      </c>
      <c r="L51" s="20" t="n">
        <v>21525</v>
      </c>
      <c r="M51" s="20" t="n">
        <v>17974</v>
      </c>
      <c r="N51" s="20" t="n">
        <v>16454</v>
      </c>
      <c r="O51" s="19" t="n">
        <v>44719</v>
      </c>
      <c r="P51" s="20" t="n">
        <v>43119</v>
      </c>
      <c r="Q51" s="20" t="n">
        <v>45275</v>
      </c>
      <c r="R51" s="20" t="n">
        <v>26997</v>
      </c>
      <c r="S51" s="20" t="n">
        <v>28683</v>
      </c>
      <c r="T51" s="20" t="n">
        <v>38476</v>
      </c>
      <c r="U51" s="20" t="n">
        <v>31996</v>
      </c>
      <c r="V51" s="20" t="n">
        <v>44048</v>
      </c>
      <c r="W51" s="20" t="n">
        <v>40696</v>
      </c>
      <c r="X51" s="20" t="n">
        <v>58616</v>
      </c>
      <c r="Y51" s="19">
        <f>IF(OR(Y4="",Y52=""),"",IFERROR(Y4*Y52,""))</f>
        <v/>
      </c>
      <c r="Z51" s="20">
        <f>IF(OR(Z4="",Z52=""),"",IFERROR(Z4*Z52,""))</f>
        <v/>
      </c>
      <c r="AA51" s="20">
        <f>IF(OR(AA4="",AA52=""),"",IFERROR(AA4*AA52,""))</f>
        <v/>
      </c>
      <c r="AB51" s="20">
        <f>IF(OR(AB4="",AB52=""),"",IFERROR(AB4*AB52,""))</f>
        <v/>
      </c>
      <c r="AC51" s="20">
        <f>IF(OR(AC4="",AC52=""),"",IFERROR(AC4*AC52,""))</f>
        <v/>
      </c>
    </row>
    <row r="52">
      <c r="A52" s="13" t="inlineStr">
        <is>
          <t>% of Sales</t>
        </is>
      </c>
      <c r="B52" s="10" t="n"/>
      <c r="C52" s="14">
        <f>IF(OR(C51="",C4=""),"",IFERROR(C51/C4,""))</f>
        <v/>
      </c>
      <c r="D52" s="15">
        <f>IF(OR(D51="",D4=""),"",IFERROR(D51/D4,""))</f>
        <v/>
      </c>
      <c r="E52" s="15">
        <f>IF(OR(E51="",E4=""),"",IFERROR(E51/E4,""))</f>
        <v/>
      </c>
      <c r="F52" s="15">
        <f>IF(OR(F51="",F4=""),"",IFERROR(F51/F4,""))</f>
        <v/>
      </c>
      <c r="G52" s="15">
        <f>IF(OR(G51="",G4=""),"",IFERROR(G51/G4,""))</f>
        <v/>
      </c>
      <c r="H52" s="15">
        <f>IF(OR(H51="",H4=""),"",IFERROR(H51/H4,""))</f>
        <v/>
      </c>
      <c r="I52" s="15">
        <f>IF(OR(I51="",I4=""),"",IFERROR(I51/I4,""))</f>
        <v/>
      </c>
      <c r="J52" s="15">
        <f>IF(OR(J51="",J4=""),"",IFERROR(J51/J4,""))</f>
        <v/>
      </c>
      <c r="K52" s="15">
        <f>IF(OR(K51="",K4=""),"",IFERROR(K51/K4,""))</f>
        <v/>
      </c>
      <c r="L52" s="15">
        <f>IF(OR(L51="",L4=""),"",IFERROR(L51/L4,""))</f>
        <v/>
      </c>
      <c r="M52" s="15">
        <f>IF(OR(M51="",M4=""),"",IFERROR(M51/M4,""))</f>
        <v/>
      </c>
      <c r="N52" s="15">
        <f>IF(OR(N51="",N4=""),"",IFERROR(N51/N4,""))</f>
        <v/>
      </c>
      <c r="O52" s="14">
        <f>IF(OR(O51="",O4=""),"",IFERROR(O51/O4,""))</f>
        <v/>
      </c>
      <c r="P52" s="15">
        <f>IF(OR(P51="",P4=""),"",IFERROR(P51/P4,""))</f>
        <v/>
      </c>
      <c r="Q52" s="15">
        <f>IF(OR(Q51="",Q4=""),"",IFERROR(Q51/Q4,""))</f>
        <v/>
      </c>
      <c r="R52" s="15">
        <f>IF(OR(R51="",R4=""),"",IFERROR(R51/R4,""))</f>
        <v/>
      </c>
      <c r="S52" s="15">
        <f>IF(OR(S51="",S4=""),"",IFERROR(S51/S4,""))</f>
        <v/>
      </c>
      <c r="T52" s="15">
        <f>IF(OR(T51="",T4=""),"",IFERROR(T51/T4,""))</f>
        <v/>
      </c>
      <c r="U52" s="15">
        <f>IF(OR(U51="",U4=""),"",IFERROR(U51/U4,""))</f>
        <v/>
      </c>
      <c r="V52" s="15">
        <f>IF(OR(V51="",V4=""),"",IFERROR(V51/V4,""))</f>
        <v/>
      </c>
      <c r="W52" s="15">
        <f>IF(OR(W51="",W4=""),"",IFERROR(W51/W4,""))</f>
        <v/>
      </c>
      <c r="X52" s="15">
        <f>IF(OR(X51="",X4=""),"",IFERROR(X51/X4,""))</f>
        <v/>
      </c>
      <c r="Y52" s="25">
        <f>IFERROR(AVERAGE(V52,W52,X52),"")</f>
        <v/>
      </c>
      <c r="Z52" s="26">
        <f>Y52</f>
        <v/>
      </c>
      <c r="AA52" s="26">
        <f>Z52</f>
        <v/>
      </c>
      <c r="AB52" s="26">
        <f>AA52</f>
        <v/>
      </c>
      <c r="AC52" s="26">
        <f>AB52</f>
        <v/>
      </c>
    </row>
    <row r="53">
      <c r="A53" s="18" t="inlineStr">
        <is>
          <t>영업외비용</t>
        </is>
      </c>
      <c r="B53" s="10" t="n"/>
      <c r="C53" s="19" t="n">
        <v>15343</v>
      </c>
      <c r="D53" s="20" t="n">
        <v>14259</v>
      </c>
      <c r="E53" s="20" t="n">
        <v>13887</v>
      </c>
      <c r="F53" s="20" t="n">
        <v>15955</v>
      </c>
      <c r="G53" s="20" t="n">
        <v>8351</v>
      </c>
      <c r="H53" s="20" t="n">
        <v>13670</v>
      </c>
      <c r="I53" s="20" t="n">
        <v>10664</v>
      </c>
      <c r="J53" s="20" t="n">
        <v>11478</v>
      </c>
      <c r="K53" s="20" t="n">
        <v>9535</v>
      </c>
      <c r="L53" s="20" t="n">
        <v>13838</v>
      </c>
      <c r="M53" s="20" t="n">
        <v>11994</v>
      </c>
      <c r="N53" s="20" t="n">
        <v>10760</v>
      </c>
      <c r="O53" s="19" t="n">
        <v>21350</v>
      </c>
      <c r="P53" s="20" t="n">
        <v>21248</v>
      </c>
      <c r="Q53" s="20" t="n">
        <v>22886</v>
      </c>
      <c r="R53" s="20" t="n">
        <v>23715</v>
      </c>
      <c r="S53" s="20" t="n">
        <v>28537</v>
      </c>
      <c r="T53" s="20" t="n">
        <v>22511</v>
      </c>
      <c r="U53" s="20" t="n">
        <v>36091</v>
      </c>
      <c r="V53" s="20" t="n">
        <v>55325</v>
      </c>
      <c r="W53" s="20" t="n">
        <v>51863</v>
      </c>
      <c r="X53" s="20" t="n">
        <v>45515</v>
      </c>
      <c r="Y53" s="19">
        <f>IF(OR(Y4="",Y54=""),"",IFERROR(Y4*Y54,""))</f>
        <v/>
      </c>
      <c r="Z53" s="20">
        <f>IF(OR(Z4="",Z54=""),"",IFERROR(Z4*Z54,""))</f>
        <v/>
      </c>
      <c r="AA53" s="20">
        <f>IF(OR(AA4="",AA54=""),"",IFERROR(AA4*AA54,""))</f>
        <v/>
      </c>
      <c r="AB53" s="20">
        <f>IF(OR(AB4="",AB54=""),"",IFERROR(AB4*AB54,""))</f>
        <v/>
      </c>
      <c r="AC53" s="20">
        <f>IF(OR(AC4="",AC54=""),"",IFERROR(AC4*AC54,""))</f>
        <v/>
      </c>
    </row>
    <row r="54">
      <c r="A54" s="13" t="inlineStr">
        <is>
          <t>% of Sales</t>
        </is>
      </c>
      <c r="B54" s="10" t="n"/>
      <c r="C54" s="14">
        <f>IF(OR(C53="",C4=""),"",IFERROR(C53/C4,""))</f>
        <v/>
      </c>
      <c r="D54" s="15">
        <f>IF(OR(D53="",D4=""),"",IFERROR(D53/D4,""))</f>
        <v/>
      </c>
      <c r="E54" s="15">
        <f>IF(OR(E53="",E4=""),"",IFERROR(E53/E4,""))</f>
        <v/>
      </c>
      <c r="F54" s="15">
        <f>IF(OR(F53="",F4=""),"",IFERROR(F53/F4,""))</f>
        <v/>
      </c>
      <c r="G54" s="15">
        <f>IF(OR(G53="",G4=""),"",IFERROR(G53/G4,""))</f>
        <v/>
      </c>
      <c r="H54" s="15">
        <f>IF(OR(H53="",H4=""),"",IFERROR(H53/H4,""))</f>
        <v/>
      </c>
      <c r="I54" s="15">
        <f>IF(OR(I53="",I4=""),"",IFERROR(I53/I4,""))</f>
        <v/>
      </c>
      <c r="J54" s="15">
        <f>IF(OR(J53="",J4=""),"",IFERROR(J53/J4,""))</f>
        <v/>
      </c>
      <c r="K54" s="15">
        <f>IF(OR(K53="",K4=""),"",IFERROR(K53/K4,""))</f>
        <v/>
      </c>
      <c r="L54" s="15">
        <f>IF(OR(L53="",L4=""),"",IFERROR(L53/L4,""))</f>
        <v/>
      </c>
      <c r="M54" s="15">
        <f>IF(OR(M53="",M4=""),"",IFERROR(M53/M4,""))</f>
        <v/>
      </c>
      <c r="N54" s="15">
        <f>IF(OR(N53="",N4=""),"",IFERROR(N53/N4,""))</f>
        <v/>
      </c>
      <c r="O54" s="14">
        <f>IF(OR(O53="",O4=""),"",IFERROR(O53/O4,""))</f>
        <v/>
      </c>
      <c r="P54" s="15">
        <f>IF(OR(P53="",P4=""),"",IFERROR(P53/P4,""))</f>
        <v/>
      </c>
      <c r="Q54" s="15">
        <f>IF(OR(Q53="",Q4=""),"",IFERROR(Q53/Q4,""))</f>
        <v/>
      </c>
      <c r="R54" s="15">
        <f>IF(OR(R53="",R4=""),"",IFERROR(R53/R4,""))</f>
        <v/>
      </c>
      <c r="S54" s="15">
        <f>IF(OR(S53="",S4=""),"",IFERROR(S53/S4,""))</f>
        <v/>
      </c>
      <c r="T54" s="15">
        <f>IF(OR(T53="",T4=""),"",IFERROR(T53/T4,""))</f>
        <v/>
      </c>
      <c r="U54" s="15">
        <f>IF(OR(U53="",U4=""),"",IFERROR(U53/U4,""))</f>
        <v/>
      </c>
      <c r="V54" s="15">
        <f>IF(OR(V53="",V4=""),"",IFERROR(V53/V4,""))</f>
        <v/>
      </c>
      <c r="W54" s="15">
        <f>IF(OR(W53="",W4=""),"",IFERROR(W53/W4,""))</f>
        <v/>
      </c>
      <c r="X54" s="15">
        <f>IF(OR(X53="",X4=""),"",IFERROR(X53/X4,""))</f>
        <v/>
      </c>
      <c r="Y54" s="25">
        <f>IFERROR(AVERAGE(V54,W54,X54),"")</f>
        <v/>
      </c>
      <c r="Z54" s="26">
        <f>Y54</f>
        <v/>
      </c>
      <c r="AA54" s="26">
        <f>Z54</f>
        <v/>
      </c>
      <c r="AB54" s="26">
        <f>AA54</f>
        <v/>
      </c>
      <c r="AC54" s="26">
        <f>AB54</f>
        <v/>
      </c>
    </row>
    <row r="55">
      <c r="A55" s="9" t="inlineStr">
        <is>
          <t>법인세비용차감전순이익(손실)</t>
        </is>
      </c>
      <c r="B55" s="10" t="n"/>
      <c r="C55" s="11" t="n">
        <v>78420</v>
      </c>
      <c r="D55" s="12" t="n">
        <v>103601</v>
      </c>
      <c r="E55" s="12" t="n">
        <v>58277</v>
      </c>
      <c r="F55" s="12" t="n">
        <v>64298</v>
      </c>
      <c r="G55" s="12" t="n">
        <v>72370</v>
      </c>
      <c r="H55" s="12" t="n">
        <v>109119</v>
      </c>
      <c r="I55" s="12" t="n">
        <v>61199</v>
      </c>
      <c r="J55" s="12" t="n">
        <v>96917</v>
      </c>
      <c r="K55" s="12" t="n">
        <v>121901</v>
      </c>
      <c r="L55" s="12" t="n">
        <v>225142</v>
      </c>
      <c r="M55" s="12" t="n">
        <v>102381</v>
      </c>
      <c r="N55" s="12" t="n">
        <v>133886</v>
      </c>
      <c r="O55" s="11" t="n">
        <v>167792</v>
      </c>
      <c r="P55" s="12" t="n">
        <v>193337</v>
      </c>
      <c r="Q55" s="12" t="n">
        <v>181388</v>
      </c>
      <c r="R55" s="12" t="n">
        <v>133198</v>
      </c>
      <c r="S55" s="12" t="n">
        <v>110340</v>
      </c>
      <c r="T55" s="12" t="n">
        <v>159921</v>
      </c>
      <c r="U55" s="12" t="n">
        <v>196472</v>
      </c>
      <c r="V55" s="12" t="n">
        <v>238545</v>
      </c>
      <c r="W55" s="12" t="n">
        <v>304064</v>
      </c>
      <c r="X55" s="12" t="n">
        <v>505159</v>
      </c>
      <c r="Y55" s="11">
        <f>IF(OR(Y31=""),"",IFERROR(Y31+N(Y47)-N(Y49)+N(Y51)-N(Y53),""))</f>
        <v/>
      </c>
      <c r="Z55" s="12">
        <f>IF(OR(Z31=""),"",IFERROR(Z31+N(Z47)-N(Z49)+N(Z51)-N(Z53),""))</f>
        <v/>
      </c>
      <c r="AA55" s="12">
        <f>IF(OR(AA31=""),"",IFERROR(AA31+N(AA47)-N(AA49)+N(AA51)-N(AA53),""))</f>
        <v/>
      </c>
      <c r="AB55" s="12">
        <f>IF(OR(AB31=""),"",IFERROR(AB31+N(AB47)-N(AB49)+N(AB51)-N(AB53),""))</f>
        <v/>
      </c>
      <c r="AC55" s="12">
        <f>IF(OR(AC31=""),"",IFERROR(AC31+N(AC47)-N(AC49)+N(AC51)-N(AC53),""))</f>
        <v/>
      </c>
    </row>
    <row r="56">
      <c r="A56" s="13" t="inlineStr">
        <is>
          <t>YoY</t>
        </is>
      </c>
      <c r="B56" s="10" t="n"/>
      <c r="C56" s="14" t="n"/>
      <c r="D56" s="15" t="n"/>
      <c r="E56" s="15" t="n"/>
      <c r="F56" s="15" t="n"/>
      <c r="G56" s="15">
        <f>IF(OR(G55="",C55=""),"",IF(C55&lt;=0,"",IFERROR(G55/C55-1,"")))</f>
        <v/>
      </c>
      <c r="H56" s="15">
        <f>IF(OR(H55="",D55=""),"",IF(D55&lt;=0,"",IFERROR(H55/D55-1,"")))</f>
        <v/>
      </c>
      <c r="I56" s="15">
        <f>IF(OR(I55="",E55=""),"",IF(E55&lt;=0,"",IFERROR(I55/E55-1,"")))</f>
        <v/>
      </c>
      <c r="J56" s="15">
        <f>IF(OR(J55="",F55=""),"",IF(F55&lt;=0,"",IFERROR(J55/F55-1,"")))</f>
        <v/>
      </c>
      <c r="K56" s="15">
        <f>IF(OR(K55="",G55=""),"",IF(G55&lt;=0,"",IFERROR(K55/G55-1,"")))</f>
        <v/>
      </c>
      <c r="L56" s="15">
        <f>IF(OR(L55="",H55=""),"",IF(H55&lt;=0,"",IFERROR(L55/H55-1,"")))</f>
        <v/>
      </c>
      <c r="M56" s="15">
        <f>IF(OR(M55="",I55=""),"",IF(I55&lt;=0,"",IFERROR(M55/I55-1,"")))</f>
        <v/>
      </c>
      <c r="N56" s="15">
        <f>IF(OR(N55="",J55=""),"",IF(J55&lt;=0,"",IFERROR(N55/J55-1,"")))</f>
        <v/>
      </c>
      <c r="O56" s="14" t="n"/>
      <c r="P56" s="15">
        <f>IF(OR(P55="",O55=""),"",IF(O55&lt;=0,"",IFERROR(P55/O55-1,"")))</f>
        <v/>
      </c>
      <c r="Q56" s="15">
        <f>IF(OR(Q55="",P55=""),"",IF(P55&lt;=0,"",IFERROR(Q55/P55-1,"")))</f>
        <v/>
      </c>
      <c r="R56" s="15">
        <f>IF(OR(R55="",Q55=""),"",IF(Q55&lt;=0,"",IFERROR(R55/Q55-1,"")))</f>
        <v/>
      </c>
      <c r="S56" s="15">
        <f>IF(OR(S55="",R55=""),"",IF(R55&lt;=0,"",IFERROR(S55/R55-1,"")))</f>
        <v/>
      </c>
      <c r="T56" s="15">
        <f>IF(OR(T55="",S55=""),"",IF(S55&lt;=0,"",IFERROR(T55/S55-1,"")))</f>
        <v/>
      </c>
      <c r="U56" s="15">
        <f>IF(OR(U55="",T55=""),"",IF(T55&lt;=0,"",IFERROR(U55/T55-1,"")))</f>
        <v/>
      </c>
      <c r="V56" s="15">
        <f>IF(OR(V55="",U55=""),"",IF(U55&lt;=0,"",IFERROR(V55/U55-1,"")))</f>
        <v/>
      </c>
      <c r="W56" s="15">
        <f>IF(OR(W55="",V55=""),"",IF(V55&lt;=0,"",IFERROR(W55/V55-1,"")))</f>
        <v/>
      </c>
      <c r="X56" s="15">
        <f>IF(OR(X55="",W55=""),"",IF(W55&lt;=0,"",IFERROR(X55/W55-1,"")))</f>
        <v/>
      </c>
      <c r="Y56" s="14">
        <f>IF(OR(Y55="",X55=""),"",IF(X55&lt;=0,"",IFERROR(Y55/X55-1,"")))</f>
        <v/>
      </c>
      <c r="Z56" s="15">
        <f>IF(OR(Z55="",Y55=""),"",IF(Y55&lt;=0,"",IFERROR(Z55/Y55-1,"")))</f>
        <v/>
      </c>
      <c r="AA56" s="15">
        <f>IF(OR(AA55="",Z55=""),"",IF(Z55&lt;=0,"",IFERROR(AA55/Z55-1,"")))</f>
        <v/>
      </c>
      <c r="AB56" s="15">
        <f>IF(OR(AB55="",AA55=""),"",IF(AA55&lt;=0,"",IFERROR(AB55/AA55-1,"")))</f>
        <v/>
      </c>
      <c r="AC56" s="15">
        <f>IF(OR(AC55="",AB55=""),"",IF(AB55&lt;=0,"",IFERROR(AC55/AB55-1,"")))</f>
        <v/>
      </c>
    </row>
    <row r="57">
      <c r="A57" s="18" t="inlineStr">
        <is>
          <t>법인세비용(수익)</t>
        </is>
      </c>
      <c r="B57" s="10" t="n"/>
      <c r="C57" s="19" t="n">
        <v>20493</v>
      </c>
      <c r="D57" s="20" t="n">
        <v>26906</v>
      </c>
      <c r="E57" s="20" t="n">
        <v>21016</v>
      </c>
      <c r="F57" s="20" t="n">
        <v>14850</v>
      </c>
      <c r="G57" s="20" t="n">
        <v>24528</v>
      </c>
      <c r="H57" s="20" t="n">
        <v>21844</v>
      </c>
      <c r="I57" s="20" t="n">
        <v>20262</v>
      </c>
      <c r="J57" s="20" t="n">
        <v>26684</v>
      </c>
      <c r="K57" s="20" t="n">
        <v>33234</v>
      </c>
      <c r="L57" s="20" t="n">
        <v>23833</v>
      </c>
      <c r="M57" s="20" t="n">
        <v>33375</v>
      </c>
      <c r="N57" s="20" t="n">
        <v>39167</v>
      </c>
      <c r="O57" s="19" t="n">
        <v>41447</v>
      </c>
      <c r="P57" s="20" t="n">
        <v>53349</v>
      </c>
      <c r="Q57" s="20" t="n">
        <v>51181</v>
      </c>
      <c r="R57" s="20" t="n">
        <v>44764</v>
      </c>
      <c r="S57" s="20" t="n">
        <v>41552</v>
      </c>
      <c r="T57" s="20" t="n">
        <v>50219</v>
      </c>
      <c r="U57" s="20" t="n">
        <v>64199</v>
      </c>
      <c r="V57" s="20" t="n">
        <v>69584</v>
      </c>
      <c r="W57" s="20" t="n">
        <v>82238</v>
      </c>
      <c r="X57" s="20" t="n">
        <v>104013</v>
      </c>
      <c r="Y57" s="19">
        <f>IF(OR(Y55="",Y58=""),"",IFERROR(MAX(Y55,0)*Y58,""))</f>
        <v/>
      </c>
      <c r="Z57" s="20">
        <f>IF(OR(Z55="",Z58=""),"",IFERROR(MAX(Z55,0)*Z58,""))</f>
        <v/>
      </c>
      <c r="AA57" s="20">
        <f>IF(OR(AA55="",AA58=""),"",IFERROR(MAX(AA55,0)*AA58,""))</f>
        <v/>
      </c>
      <c r="AB57" s="20">
        <f>IF(OR(AB55="",AB58=""),"",IFERROR(MAX(AB55,0)*AB58,""))</f>
        <v/>
      </c>
      <c r="AC57" s="20">
        <f>IF(OR(AC55="",AC58=""),"",IFERROR(MAX(AC55,0)*AC58,""))</f>
        <v/>
      </c>
    </row>
    <row r="58">
      <c r="A58" s="13" t="inlineStr">
        <is>
          <t>법인세율</t>
        </is>
      </c>
      <c r="B58" s="10" t="inlineStr">
        <is>
          <t>MW 기본 30%</t>
        </is>
      </c>
      <c r="C58" s="14">
        <f>IF(OR(C57="",C55=""),"",IFERROR(C57/C55,""))</f>
        <v/>
      </c>
      <c r="D58" s="15">
        <f>IF(OR(D57="",D55=""),"",IFERROR(D57/D55,""))</f>
        <v/>
      </c>
      <c r="E58" s="15">
        <f>IF(OR(E57="",E55=""),"",IFERROR(E57/E55,""))</f>
        <v/>
      </c>
      <c r="F58" s="15">
        <f>IF(OR(F57="",F55=""),"",IFERROR(F57/F55,""))</f>
        <v/>
      </c>
      <c r="G58" s="15">
        <f>IF(OR(G57="",G55=""),"",IFERROR(G57/G55,""))</f>
        <v/>
      </c>
      <c r="H58" s="15">
        <f>IF(OR(H57="",H55=""),"",IFERROR(H57/H55,""))</f>
        <v/>
      </c>
      <c r="I58" s="15">
        <f>IF(OR(I57="",I55=""),"",IFERROR(I57/I55,""))</f>
        <v/>
      </c>
      <c r="J58" s="15">
        <f>IF(OR(J57="",J55=""),"",IFERROR(J57/J55,""))</f>
        <v/>
      </c>
      <c r="K58" s="15">
        <f>IF(OR(K57="",K55=""),"",IFERROR(K57/K55,""))</f>
        <v/>
      </c>
      <c r="L58" s="15">
        <f>IF(OR(L57="",L55=""),"",IFERROR(L57/L55,""))</f>
        <v/>
      </c>
      <c r="M58" s="15">
        <f>IF(OR(M57="",M55=""),"",IFERROR(M57/M55,""))</f>
        <v/>
      </c>
      <c r="N58" s="15">
        <f>IF(OR(N57="",N55=""),"",IFERROR(N57/N55,""))</f>
        <v/>
      </c>
      <c r="O58" s="14">
        <f>IF(OR(O57="",O55=""),"",IFERROR(O57/O55,""))</f>
        <v/>
      </c>
      <c r="P58" s="15">
        <f>IF(OR(P57="",P55=""),"",IFERROR(P57/P55,""))</f>
        <v/>
      </c>
      <c r="Q58" s="15">
        <f>IF(OR(Q57="",Q55=""),"",IFERROR(Q57/Q55,""))</f>
        <v/>
      </c>
      <c r="R58" s="15">
        <f>IF(OR(R57="",R55=""),"",IFERROR(R57/R55,""))</f>
        <v/>
      </c>
      <c r="S58" s="15">
        <f>IF(OR(S57="",S55=""),"",IFERROR(S57/S55,""))</f>
        <v/>
      </c>
      <c r="T58" s="15">
        <f>IF(OR(T57="",T55=""),"",IFERROR(T57/T55,""))</f>
        <v/>
      </c>
      <c r="U58" s="15">
        <f>IF(OR(U57="",U55=""),"",IFERROR(U57/U55,""))</f>
        <v/>
      </c>
      <c r="V58" s="15">
        <f>IF(OR(V57="",V55=""),"",IFERROR(V57/V55,""))</f>
        <v/>
      </c>
      <c r="W58" s="15">
        <f>IF(OR(W57="",W55=""),"",IFERROR(W57/W55,""))</f>
        <v/>
      </c>
      <c r="X58" s="15">
        <f>IF(OR(X57="",X55=""),"",IFERROR(X57/X55,""))</f>
        <v/>
      </c>
      <c r="Y58" s="25" t="n">
        <v>0.3</v>
      </c>
      <c r="Z58" s="26" t="n">
        <v>0.3</v>
      </c>
      <c r="AA58" s="26" t="n">
        <v>0.3</v>
      </c>
      <c r="AB58" s="26" t="n">
        <v>0.3</v>
      </c>
      <c r="AC58" s="26" t="n">
        <v>0.3</v>
      </c>
    </row>
    <row r="59">
      <c r="A59" s="9" t="inlineStr">
        <is>
          <t>당기순이익(손실)</t>
        </is>
      </c>
      <c r="B59" s="10" t="n"/>
      <c r="C59" s="11" t="n">
        <v>57927</v>
      </c>
      <c r="D59" s="12" t="n">
        <v>76695</v>
      </c>
      <c r="E59" s="12" t="n">
        <v>37261</v>
      </c>
      <c r="F59" s="12" t="n">
        <v>49448</v>
      </c>
      <c r="G59" s="12" t="n">
        <v>47842</v>
      </c>
      <c r="H59" s="12" t="n">
        <v>87275</v>
      </c>
      <c r="I59" s="12" t="n">
        <v>40937</v>
      </c>
      <c r="J59" s="12" t="n">
        <v>70233</v>
      </c>
      <c r="K59" s="12" t="n">
        <v>88667</v>
      </c>
      <c r="L59" s="12" t="n">
        <v>201309</v>
      </c>
      <c r="M59" s="12" t="n">
        <v>69006</v>
      </c>
      <c r="N59" s="12" t="n">
        <v>94719</v>
      </c>
      <c r="O59" s="11" t="n">
        <v>126345</v>
      </c>
      <c r="P59" s="12" t="n">
        <v>139988</v>
      </c>
      <c r="Q59" s="12" t="n">
        <v>130207</v>
      </c>
      <c r="R59" s="12" t="n">
        <v>88434</v>
      </c>
      <c r="S59" s="12" t="n">
        <v>68788</v>
      </c>
      <c r="T59" s="12" t="n">
        <v>109702</v>
      </c>
      <c r="U59" s="12" t="n">
        <v>132273</v>
      </c>
      <c r="V59" s="12" t="n">
        <v>168961</v>
      </c>
      <c r="W59" s="12" t="n">
        <v>221826</v>
      </c>
      <c r="X59" s="12" t="n">
        <v>401146</v>
      </c>
      <c r="Y59" s="11">
        <f>IF(OR(Y55=""),"",IFERROR(Y55-Y57,""))</f>
        <v/>
      </c>
      <c r="Z59" s="12">
        <f>IF(OR(Z55=""),"",IFERROR(Z55-Z57,""))</f>
        <v/>
      </c>
      <c r="AA59" s="12">
        <f>IF(OR(AA55=""),"",IFERROR(AA55-AA57,""))</f>
        <v/>
      </c>
      <c r="AB59" s="12">
        <f>IF(OR(AB55=""),"",IFERROR(AB55-AB57,""))</f>
        <v/>
      </c>
      <c r="AC59" s="12">
        <f>IF(OR(AC55=""),"",IFERROR(AC55-AC57,""))</f>
        <v/>
      </c>
    </row>
    <row r="60">
      <c r="A60" s="13" t="inlineStr">
        <is>
          <t>YoY</t>
        </is>
      </c>
      <c r="B60" s="10" t="n"/>
      <c r="C60" s="14" t="n"/>
      <c r="D60" s="15" t="n"/>
      <c r="E60" s="15" t="n"/>
      <c r="F60" s="15" t="n"/>
      <c r="G60" s="15">
        <f>IF(OR(G59="",C59=""),"",IF(C59&lt;=0,"",IFERROR(G59/C59-1,"")))</f>
        <v/>
      </c>
      <c r="H60" s="15">
        <f>IF(OR(H59="",D59=""),"",IF(D59&lt;=0,"",IFERROR(H59/D59-1,"")))</f>
        <v/>
      </c>
      <c r="I60" s="15">
        <f>IF(OR(I59="",E59=""),"",IF(E59&lt;=0,"",IFERROR(I59/E59-1,"")))</f>
        <v/>
      </c>
      <c r="J60" s="15">
        <f>IF(OR(J59="",F59=""),"",IF(F59&lt;=0,"",IFERROR(J59/F59-1,"")))</f>
        <v/>
      </c>
      <c r="K60" s="15">
        <f>IF(OR(K59="",G59=""),"",IF(G59&lt;=0,"",IFERROR(K59/G59-1,"")))</f>
        <v/>
      </c>
      <c r="L60" s="15">
        <f>IF(OR(L59="",H59=""),"",IF(H59&lt;=0,"",IFERROR(L59/H59-1,"")))</f>
        <v/>
      </c>
      <c r="M60" s="15">
        <f>IF(OR(M59="",I59=""),"",IF(I59&lt;=0,"",IFERROR(M59/I59-1,"")))</f>
        <v/>
      </c>
      <c r="N60" s="15">
        <f>IF(OR(N59="",J59=""),"",IF(J59&lt;=0,"",IFERROR(N59/J59-1,"")))</f>
        <v/>
      </c>
      <c r="O60" s="14" t="n"/>
      <c r="P60" s="15">
        <f>IF(OR(P59="",O59=""),"",IF(O59&lt;=0,"",IFERROR(P59/O59-1,"")))</f>
        <v/>
      </c>
      <c r="Q60" s="15">
        <f>IF(OR(Q59="",P59=""),"",IF(P59&lt;=0,"",IFERROR(Q59/P59-1,"")))</f>
        <v/>
      </c>
      <c r="R60" s="15">
        <f>IF(OR(R59="",Q59=""),"",IF(Q59&lt;=0,"",IFERROR(R59/Q59-1,"")))</f>
        <v/>
      </c>
      <c r="S60" s="15">
        <f>IF(OR(S59="",R59=""),"",IF(R59&lt;=0,"",IFERROR(S59/R59-1,"")))</f>
        <v/>
      </c>
      <c r="T60" s="15">
        <f>IF(OR(T59="",S59=""),"",IF(S59&lt;=0,"",IFERROR(T59/S59-1,"")))</f>
        <v/>
      </c>
      <c r="U60" s="15">
        <f>IF(OR(U59="",T59=""),"",IF(T59&lt;=0,"",IFERROR(U59/T59-1,"")))</f>
        <v/>
      </c>
      <c r="V60" s="15">
        <f>IF(OR(V59="",U59=""),"",IF(U59&lt;=0,"",IFERROR(V59/U59-1,"")))</f>
        <v/>
      </c>
      <c r="W60" s="15">
        <f>IF(OR(W59="",V59=""),"",IF(V59&lt;=0,"",IFERROR(W59/V59-1,"")))</f>
        <v/>
      </c>
      <c r="X60" s="15">
        <f>IF(OR(X59="",W59=""),"",IF(W59&lt;=0,"",IFERROR(X59/W59-1,"")))</f>
        <v/>
      </c>
      <c r="Y60" s="14">
        <f>IF(OR(Y59="",X59=""),"",IF(X59&lt;=0,"",IFERROR(Y59/X59-1,"")))</f>
        <v/>
      </c>
      <c r="Z60" s="15">
        <f>IF(OR(Z59="",Y59=""),"",IF(Y59&lt;=0,"",IFERROR(Z59/Y59-1,"")))</f>
        <v/>
      </c>
      <c r="AA60" s="15">
        <f>IF(OR(AA59="",Z59=""),"",IF(Z59&lt;=0,"",IFERROR(AA59/Z59-1,"")))</f>
        <v/>
      </c>
      <c r="AB60" s="15">
        <f>IF(OR(AB59="",AA59=""),"",IF(AA59&lt;=0,"",IFERROR(AB59/AA59-1,"")))</f>
        <v/>
      </c>
      <c r="AC60" s="15">
        <f>IF(OR(AC59="",AB59=""),"",IF(AB59&lt;=0,"",IFERROR(AC59/AB59-1,"")))</f>
        <v/>
      </c>
    </row>
    <row r="61">
      <c r="A61" s="9" t="inlineStr">
        <is>
          <t>지배주주 순이익</t>
        </is>
      </c>
      <c r="B61" s="10" t="n"/>
      <c r="C61" s="11" t="n">
        <v>50496</v>
      </c>
      <c r="D61" s="12" t="n">
        <v>72531</v>
      </c>
      <c r="E61" s="12" t="n">
        <v>31763</v>
      </c>
      <c r="F61" s="12" t="n">
        <v>43992</v>
      </c>
      <c r="G61" s="12" t="n">
        <v>37929</v>
      </c>
      <c r="H61" s="12" t="n">
        <v>80087</v>
      </c>
      <c r="I61" s="12" t="n">
        <v>35119</v>
      </c>
      <c r="J61" s="12" t="n">
        <v>62819</v>
      </c>
      <c r="K61" s="12" t="n">
        <v>79276</v>
      </c>
      <c r="L61" s="12" t="n">
        <v>192294</v>
      </c>
      <c r="M61" s="12" t="n">
        <v>66414</v>
      </c>
      <c r="N61" s="12" t="n">
        <v>92970</v>
      </c>
      <c r="O61" s="11" t="n">
        <v>107562</v>
      </c>
      <c r="P61" s="12" t="n">
        <v>120328</v>
      </c>
      <c r="Q61" s="12" t="n">
        <v>118063</v>
      </c>
      <c r="R61" s="12" t="n">
        <v>72720</v>
      </c>
      <c r="S61" s="12" t="n">
        <v>56344</v>
      </c>
      <c r="T61" s="12" t="n">
        <v>96306</v>
      </c>
      <c r="U61" s="12" t="n">
        <v>112654</v>
      </c>
      <c r="V61" s="12" t="n">
        <v>149723</v>
      </c>
      <c r="W61" s="12" t="n">
        <v>193771</v>
      </c>
      <c r="X61" s="12" t="n">
        <v>369508</v>
      </c>
      <c r="Y61" s="11">
        <f>IF(OR(Y59="",Y62=""),"",IFERROR(Y59*Y62,""))</f>
        <v/>
      </c>
      <c r="Z61" s="12">
        <f>IF(OR(Z59="",Z62=""),"",IFERROR(Z59*Z62,""))</f>
        <v/>
      </c>
      <c r="AA61" s="12">
        <f>IF(OR(AA59="",AA62=""),"",IFERROR(AA59*AA62,""))</f>
        <v/>
      </c>
      <c r="AB61" s="12">
        <f>IF(OR(AB59="",AB62=""),"",IFERROR(AB59*AB62,""))</f>
        <v/>
      </c>
      <c r="AC61" s="12">
        <f>IF(OR(AC59="",AC62=""),"",IFERROR(AC59*AC62,""))</f>
        <v/>
      </c>
    </row>
    <row r="62">
      <c r="A62" s="13" t="inlineStr">
        <is>
          <t>지배주주 순이익률</t>
        </is>
      </c>
      <c r="B62" s="10" t="inlineStr">
        <is>
          <t>MW 기본 100%</t>
        </is>
      </c>
      <c r="C62" s="14">
        <f>IF(OR(C61="",C59=""),"",IFERROR(C61/C59,""))</f>
        <v/>
      </c>
      <c r="D62" s="15">
        <f>IF(OR(D61="",D59=""),"",IFERROR(D61/D59,""))</f>
        <v/>
      </c>
      <c r="E62" s="15">
        <f>IF(OR(E61="",E59=""),"",IFERROR(E61/E59,""))</f>
        <v/>
      </c>
      <c r="F62" s="15">
        <f>IF(OR(F61="",F59=""),"",IFERROR(F61/F59,""))</f>
        <v/>
      </c>
      <c r="G62" s="15">
        <f>IF(OR(G61="",G59=""),"",IFERROR(G61/G59,""))</f>
        <v/>
      </c>
      <c r="H62" s="15">
        <f>IF(OR(H61="",H59=""),"",IFERROR(H61/H59,""))</f>
        <v/>
      </c>
      <c r="I62" s="15">
        <f>IF(OR(I61="",I59=""),"",IFERROR(I61/I59,""))</f>
        <v/>
      </c>
      <c r="J62" s="15">
        <f>IF(OR(J61="",J59=""),"",IFERROR(J61/J59,""))</f>
        <v/>
      </c>
      <c r="K62" s="15">
        <f>IF(OR(K61="",K59=""),"",IFERROR(K61/K59,""))</f>
        <v/>
      </c>
      <c r="L62" s="15">
        <f>IF(OR(L61="",L59=""),"",IFERROR(L61/L59,""))</f>
        <v/>
      </c>
      <c r="M62" s="15">
        <f>IF(OR(M61="",M59=""),"",IFERROR(M61/M59,""))</f>
        <v/>
      </c>
      <c r="N62" s="15">
        <f>IF(OR(N61="",N59=""),"",IFERROR(N61/N59,""))</f>
        <v/>
      </c>
      <c r="O62" s="14">
        <f>IF(OR(O61="",O59=""),"",IFERROR(O61/O59,""))</f>
        <v/>
      </c>
      <c r="P62" s="15">
        <f>IF(OR(P61="",P59=""),"",IFERROR(P61/P59,""))</f>
        <v/>
      </c>
      <c r="Q62" s="15">
        <f>IF(OR(Q61="",Q59=""),"",IFERROR(Q61/Q59,""))</f>
        <v/>
      </c>
      <c r="R62" s="15">
        <f>IF(OR(R61="",R59=""),"",IFERROR(R61/R59,""))</f>
        <v/>
      </c>
      <c r="S62" s="15">
        <f>IF(OR(S61="",S59=""),"",IFERROR(S61/S59,""))</f>
        <v/>
      </c>
      <c r="T62" s="15">
        <f>IF(OR(T61="",T59=""),"",IFERROR(T61/T59,""))</f>
        <v/>
      </c>
      <c r="U62" s="15">
        <f>IF(OR(U61="",U59=""),"",IFERROR(U61/U59,""))</f>
        <v/>
      </c>
      <c r="V62" s="15">
        <f>IF(OR(V61="",V59=""),"",IFERROR(V61/V59,""))</f>
        <v/>
      </c>
      <c r="W62" s="15">
        <f>IF(OR(W61="",W59=""),"",IFERROR(W61/W59,""))</f>
        <v/>
      </c>
      <c r="X62" s="15">
        <f>IF(OR(X61="",X59=""),"",IFERROR(X61/X59,""))</f>
        <v/>
      </c>
      <c r="Y62" s="25" t="n">
        <v>1</v>
      </c>
      <c r="Z62" s="26" t="n">
        <v>1</v>
      </c>
      <c r="AA62" s="26" t="n">
        <v>1</v>
      </c>
      <c r="AB62" s="26" t="n">
        <v>1</v>
      </c>
      <c r="AC62" s="26" t="n">
        <v>1</v>
      </c>
    </row>
    <row r="63">
      <c r="A63" s="13" t="inlineStr">
        <is>
          <t>지배주주 순이익 YoY</t>
        </is>
      </c>
      <c r="B63" s="10" t="n"/>
      <c r="C63" s="14" t="n"/>
      <c r="D63" s="15" t="n"/>
      <c r="E63" s="15" t="n"/>
      <c r="F63" s="15" t="n"/>
      <c r="G63" s="15">
        <f>IF(OR(G61="",C61=""),"",IF(C61&lt;=0,"",IFERROR(G61/C61-1,"")))</f>
        <v/>
      </c>
      <c r="H63" s="15">
        <f>IF(OR(H61="",D61=""),"",IF(D61&lt;=0,"",IFERROR(H61/D61-1,"")))</f>
        <v/>
      </c>
      <c r="I63" s="15">
        <f>IF(OR(I61="",E61=""),"",IF(E61&lt;=0,"",IFERROR(I61/E61-1,"")))</f>
        <v/>
      </c>
      <c r="J63" s="15">
        <f>IF(OR(J61="",F61=""),"",IF(F61&lt;=0,"",IFERROR(J61/F61-1,"")))</f>
        <v/>
      </c>
      <c r="K63" s="15">
        <f>IF(OR(K61="",G61=""),"",IF(G61&lt;=0,"",IFERROR(K61/G61-1,"")))</f>
        <v/>
      </c>
      <c r="L63" s="15">
        <f>IF(OR(L61="",H61=""),"",IF(H61&lt;=0,"",IFERROR(L61/H61-1,"")))</f>
        <v/>
      </c>
      <c r="M63" s="15">
        <f>IF(OR(M61="",I61=""),"",IF(I61&lt;=0,"",IFERROR(M61/I61-1,"")))</f>
        <v/>
      </c>
      <c r="N63" s="15">
        <f>IF(OR(N61="",J61=""),"",IF(J61&lt;=0,"",IFERROR(N61/J61-1,"")))</f>
        <v/>
      </c>
      <c r="O63" s="14" t="n"/>
      <c r="P63" s="15">
        <f>IF(OR(P61="",O61=""),"",IF(O61&lt;=0,"",IFERROR(P61/O61-1,"")))</f>
        <v/>
      </c>
      <c r="Q63" s="15">
        <f>IF(OR(Q61="",P61=""),"",IF(P61&lt;=0,"",IFERROR(Q61/P61-1,"")))</f>
        <v/>
      </c>
      <c r="R63" s="15">
        <f>IF(OR(R61="",Q61=""),"",IF(Q61&lt;=0,"",IFERROR(R61/Q61-1,"")))</f>
        <v/>
      </c>
      <c r="S63" s="15">
        <f>IF(OR(S61="",R61=""),"",IF(R61&lt;=0,"",IFERROR(S61/R61-1,"")))</f>
        <v/>
      </c>
      <c r="T63" s="15">
        <f>IF(OR(T61="",S61=""),"",IF(S61&lt;=0,"",IFERROR(T61/S61-1,"")))</f>
        <v/>
      </c>
      <c r="U63" s="15">
        <f>IF(OR(U61="",T61=""),"",IF(T61&lt;=0,"",IFERROR(U61/T61-1,"")))</f>
        <v/>
      </c>
      <c r="V63" s="15">
        <f>IF(OR(V61="",U61=""),"",IF(U61&lt;=0,"",IFERROR(V61/U61-1,"")))</f>
        <v/>
      </c>
      <c r="W63" s="15">
        <f>IF(OR(W61="",V61=""),"",IF(V61&lt;=0,"",IFERROR(W61/V61-1,"")))</f>
        <v/>
      </c>
      <c r="X63" s="15">
        <f>IF(OR(X61="",W61=""),"",IF(W61&lt;=0,"",IFERROR(X61/W61-1,"")))</f>
        <v/>
      </c>
      <c r="Y63" s="14">
        <f>IF(OR(Y61="",X61=""),"",IF(X61&lt;=0,"",IFERROR(Y61/X61-1,"")))</f>
        <v/>
      </c>
      <c r="Z63" s="15">
        <f>IF(OR(Z61="",Y61=""),"",IF(Y61&lt;=0,"",IFERROR(Z61/Y61-1,"")))</f>
        <v/>
      </c>
      <c r="AA63" s="15">
        <f>IF(OR(AA61="",Z61=""),"",IF(Z61&lt;=0,"",IFERROR(AA61/Z61-1,"")))</f>
        <v/>
      </c>
      <c r="AB63" s="15">
        <f>IF(OR(AB61="",AA61=""),"",IF(AA61&lt;=0,"",IFERROR(AB61/AA61-1,"")))</f>
        <v/>
      </c>
      <c r="AC63" s="15">
        <f>IF(OR(AC61="",AB61=""),"",IF(AB61&lt;=0,"",IFERROR(AC61/AB61-1,"")))</f>
        <v/>
      </c>
    </row>
    <row r="64">
      <c r="A64" s="16" t="inlineStr">
        <is>
          <t>목표주가 산출</t>
        </is>
      </c>
      <c r="B64" s="16" t="n"/>
      <c r="C64" s="17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7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7" t="n"/>
      <c r="Z64" s="16" t="n"/>
      <c r="AA64" s="16" t="n"/>
      <c r="AB64" s="16" t="n"/>
      <c r="AC64" s="16" t="n"/>
    </row>
    <row r="65">
      <c r="A65" s="18" t="inlineStr">
        <is>
          <t>현재 주가 ()</t>
        </is>
      </c>
      <c r="B65" s="27" t="n"/>
      <c r="C65" s="28" t="n"/>
      <c r="D65" s="29" t="n"/>
      <c r="E65" s="29" t="n"/>
      <c r="F65" s="29" t="n"/>
      <c r="G65" s="29" t="n"/>
      <c r="H65" s="29" t="n"/>
      <c r="I65" s="29" t="n"/>
      <c r="J65" s="29" t="n"/>
      <c r="K65" s="29" t="n"/>
      <c r="L65" s="29" t="n"/>
      <c r="M65" s="29" t="n"/>
      <c r="N65" s="29" t="n"/>
      <c r="O65" s="28" t="n"/>
      <c r="P65" s="29" t="n"/>
      <c r="Q65" s="29" t="n"/>
      <c r="R65" s="29" t="n"/>
      <c r="S65" s="29" t="n"/>
      <c r="T65" s="29" t="n"/>
      <c r="U65" s="29" t="n"/>
      <c r="V65" s="29" t="n"/>
      <c r="W65" s="29" t="n"/>
      <c r="X65" s="29" t="n"/>
      <c r="Y65" s="28" t="n"/>
      <c r="Z65" s="29" t="n"/>
      <c r="AA65" s="29" t="n"/>
      <c r="AB65" s="29" t="n"/>
      <c r="AC65" s="29" t="n"/>
    </row>
    <row r="66">
      <c r="A66" s="18" t="inlineStr">
        <is>
          <t>발행주식수 (보통주)</t>
        </is>
      </c>
      <c r="B66" s="27" t="n"/>
      <c r="C66" s="28" t="n"/>
      <c r="D66" s="29" t="n"/>
      <c r="E66" s="29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28" t="n"/>
      <c r="P66" s="29" t="n"/>
      <c r="Q66" s="29" t="n"/>
      <c r="R66" s="29" t="n"/>
      <c r="S66" s="29" t="n"/>
      <c r="T66" s="29" t="n"/>
      <c r="U66" s="29" t="n"/>
      <c r="V66" s="29" t="n"/>
      <c r="W66" s="29" t="n"/>
      <c r="X66" s="29" t="n"/>
      <c r="Y66" s="28" t="n"/>
      <c r="Z66" s="29" t="n"/>
      <c r="AA66" s="29" t="n"/>
      <c r="AB66" s="29" t="n"/>
      <c r="AC66" s="29" t="n"/>
    </row>
    <row r="67">
      <c r="A67" s="18" t="inlineStr">
        <is>
          <t>시가총액 (백만엔)</t>
        </is>
      </c>
      <c r="B67" s="12">
        <f>IF(OR(B65="",B66=""),"",B65*B66/1000000.0)</f>
        <v/>
      </c>
      <c r="C67" s="19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19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 t="n"/>
      <c r="Y67" s="19" t="n"/>
      <c r="Z67" s="20" t="n"/>
      <c r="AA67" s="20" t="n"/>
      <c r="AB67" s="20" t="n"/>
      <c r="AC67" s="20" t="n"/>
    </row>
    <row r="68">
      <c r="A68" s="13" t="inlineStr">
        <is>
          <t>OPM</t>
        </is>
      </c>
      <c r="B68" s="10" t="n"/>
      <c r="C68" s="14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4">
        <f>IF(O32="","",O32)</f>
        <v/>
      </c>
      <c r="P68" s="15">
        <f>IF(P32="","",P32)</f>
        <v/>
      </c>
      <c r="Q68" s="15">
        <f>IF(Q32="","",Q32)</f>
        <v/>
      </c>
      <c r="R68" s="15">
        <f>IF(R32="","",R32)</f>
        <v/>
      </c>
      <c r="S68" s="15">
        <f>IF(S32="","",S32)</f>
        <v/>
      </c>
      <c r="T68" s="15">
        <f>IF(T32="","",T32)</f>
        <v/>
      </c>
      <c r="U68" s="15">
        <f>IF(U32="","",U32)</f>
        <v/>
      </c>
      <c r="V68" s="15">
        <f>IF(V32="","",V32)</f>
        <v/>
      </c>
      <c r="W68" s="15">
        <f>IF(W32="","",W32)</f>
        <v/>
      </c>
      <c r="X68" s="15">
        <f>IF(X32="","",X32)</f>
        <v/>
      </c>
      <c r="Y68" s="14">
        <f>IF(Y32="","",Y32)</f>
        <v/>
      </c>
      <c r="Z68" s="15">
        <f>IF(Z32="","",Z32)</f>
        <v/>
      </c>
      <c r="AA68" s="15">
        <f>IF(AA32="","",AA32)</f>
        <v/>
      </c>
      <c r="AB68" s="15">
        <f>IF(AB32="","",AB32)</f>
        <v/>
      </c>
      <c r="AC68" s="15">
        <f>IF(AC32="","",AC32)</f>
        <v/>
      </c>
    </row>
    <row r="69">
      <c r="A69" s="13" t="inlineStr">
        <is>
          <t>지배주주 순이익 증가율</t>
        </is>
      </c>
      <c r="B69" s="10" t="n"/>
      <c r="C69" s="14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4" t="n"/>
      <c r="P69" s="15">
        <f>IF(OR(P61="",O61=""),"",IFERROR(P61/O61-1,""))</f>
        <v/>
      </c>
      <c r="Q69" s="15">
        <f>IF(OR(Q61="",P61=""),"",IFERROR(Q61/P61-1,""))</f>
        <v/>
      </c>
      <c r="R69" s="15">
        <f>IF(OR(R61="",Q61=""),"",IFERROR(R61/Q61-1,""))</f>
        <v/>
      </c>
      <c r="S69" s="15">
        <f>IF(OR(S61="",R61=""),"",IFERROR(S61/R61-1,""))</f>
        <v/>
      </c>
      <c r="T69" s="15">
        <f>IF(OR(T61="",S61=""),"",IFERROR(T61/S61-1,""))</f>
        <v/>
      </c>
      <c r="U69" s="15">
        <f>IF(OR(U61="",T61=""),"",IFERROR(U61/T61-1,""))</f>
        <v/>
      </c>
      <c r="V69" s="15">
        <f>IF(OR(V61="",U61=""),"",IFERROR(V61/U61-1,""))</f>
        <v/>
      </c>
      <c r="W69" s="15">
        <f>IF(OR(W61="",V61=""),"",IFERROR(W61/V61-1,""))</f>
        <v/>
      </c>
      <c r="X69" s="15">
        <f>IF(OR(X61="",W61=""),"",IFERROR(X61/W61-1,""))</f>
        <v/>
      </c>
      <c r="Y69" s="14">
        <f>IF(OR(Y61="",X61=""),"",IFERROR(Y61/X61-1,""))</f>
        <v/>
      </c>
      <c r="Z69" s="15">
        <f>IF(OR(Z61="",Y61=""),"",IFERROR(Z61/Y61-1,""))</f>
        <v/>
      </c>
      <c r="AA69" s="15">
        <f>IF(OR(AA61="",Z61=""),"",IFERROR(AA61/Z61-1,""))</f>
        <v/>
      </c>
      <c r="AB69" s="15">
        <f>IF(OR(AB61="",AA61=""),"",IFERROR(AB61/AA61-1,""))</f>
        <v/>
      </c>
      <c r="AC69" s="15">
        <f>IF(OR(AC61="",AB61=""),"",IFERROR(AC61/AB61-1,""))</f>
        <v/>
      </c>
    </row>
    <row r="70">
      <c r="A70" s="18" t="inlineStr">
        <is>
          <t>P/E (현재 주가)</t>
        </is>
      </c>
      <c r="B70" s="10" t="inlineStr">
        <is>
          <t>시총 ÷ 지배순이익</t>
        </is>
      </c>
      <c r="C70" s="30" t="n"/>
      <c r="D70" s="31" t="n"/>
      <c r="E70" s="31" t="n"/>
      <c r="F70" s="31" t="n"/>
      <c r="G70" s="31" t="n"/>
      <c r="H70" s="31" t="n"/>
      <c r="I70" s="31" t="n"/>
      <c r="J70" s="31" t="n"/>
      <c r="K70" s="31" t="n"/>
      <c r="L70" s="31" t="n"/>
      <c r="M70" s="31" t="n"/>
      <c r="N70" s="31" t="n"/>
      <c r="O70" s="30" t="n"/>
      <c r="P70" s="31" t="n"/>
      <c r="Q70" s="31" t="n"/>
      <c r="R70" s="31" t="n"/>
      <c r="S70" s="31" t="n"/>
      <c r="T70" s="31" t="n"/>
      <c r="U70" s="31" t="n"/>
      <c r="V70" s="31" t="n"/>
      <c r="W70" s="31" t="n"/>
      <c r="X70" s="31">
        <f>IF(OR($B$67="",X61=""),"",IFERROR($B$67/X61,""))</f>
        <v/>
      </c>
      <c r="Y70" s="30">
        <f>IF(OR($B$67="",Y61=""),"",IFERROR($B$67/Y61,""))</f>
        <v/>
      </c>
      <c r="Z70" s="31">
        <f>IF(OR($B$67="",Z61=""),"",IFERROR($B$67/Z61,""))</f>
        <v/>
      </c>
      <c r="AA70" s="31">
        <f>IF(OR($B$67="",AA61=""),"",IFERROR($B$67/AA61,""))</f>
        <v/>
      </c>
      <c r="AB70" s="31">
        <f>IF(OR($B$67="",AB61=""),"",IFERROR($B$67/AB61,""))</f>
        <v/>
      </c>
      <c r="AC70" s="31">
        <f>IF(OR($B$67="",AC61=""),"",IFERROR($B$67/AC61,""))</f>
        <v/>
      </c>
    </row>
    <row r="71">
      <c r="A71" s="18" t="inlineStr">
        <is>
          <t>Target P/E</t>
        </is>
      </c>
      <c r="B71" s="10" t="inlineStr">
        <is>
          <t>직접 입력</t>
        </is>
      </c>
      <c r="C71" s="30" t="n"/>
      <c r="D71" s="31" t="n"/>
      <c r="E71" s="31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30" t="n"/>
      <c r="P71" s="31" t="n"/>
      <c r="Q71" s="31" t="n"/>
      <c r="R71" s="31" t="n"/>
      <c r="S71" s="31" t="n"/>
      <c r="T71" s="31" t="n"/>
      <c r="U71" s="31" t="n"/>
      <c r="V71" s="31" t="n"/>
      <c r="W71" s="31" t="n"/>
      <c r="X71" s="31" t="n"/>
      <c r="Y71" s="32" t="n"/>
      <c r="Z71" s="33" t="n"/>
      <c r="AA71" s="33" t="n"/>
      <c r="AB71" s="33" t="n"/>
      <c r="AC71" s="33" t="n"/>
    </row>
    <row r="72">
      <c r="A72" s="18" t="inlineStr">
        <is>
          <t>EPS</t>
        </is>
      </c>
      <c r="B72" s="10" t="inlineStr">
        <is>
          <t>지배순이익 ÷ 주식수</t>
        </is>
      </c>
      <c r="C72" s="28" t="n"/>
      <c r="D72" s="29" t="n"/>
      <c r="E72" s="29" t="n"/>
      <c r="F72" s="29" t="n"/>
      <c r="G72" s="29" t="n"/>
      <c r="H72" s="29" t="n"/>
      <c r="I72" s="29" t="n"/>
      <c r="J72" s="29" t="n"/>
      <c r="K72" s="29" t="n"/>
      <c r="L72" s="29" t="n"/>
      <c r="M72" s="29" t="n"/>
      <c r="N72" s="29" t="n"/>
      <c r="O72" s="28">
        <f>IF(OR(O61="",$B$66=""),"",IFERROR(O61*1000000.0/$B$66,""))</f>
        <v/>
      </c>
      <c r="P72" s="29">
        <f>IF(OR(P61="",$B$66=""),"",IFERROR(P61*1000000.0/$B$66,""))</f>
        <v/>
      </c>
      <c r="Q72" s="29">
        <f>IF(OR(Q61="",$B$66=""),"",IFERROR(Q61*1000000.0/$B$66,""))</f>
        <v/>
      </c>
      <c r="R72" s="29">
        <f>IF(OR(R61="",$B$66=""),"",IFERROR(R61*1000000.0/$B$66,""))</f>
        <v/>
      </c>
      <c r="S72" s="29">
        <f>IF(OR(S61="",$B$66=""),"",IFERROR(S61*1000000.0/$B$66,""))</f>
        <v/>
      </c>
      <c r="T72" s="29">
        <f>IF(OR(T61="",$B$66=""),"",IFERROR(T61*1000000.0/$B$66,""))</f>
        <v/>
      </c>
      <c r="U72" s="29">
        <f>IF(OR(U61="",$B$66=""),"",IFERROR(U61*1000000.0/$B$66,""))</f>
        <v/>
      </c>
      <c r="V72" s="29">
        <f>IF(OR(V61="",$B$66=""),"",IFERROR(V61*1000000.0/$B$66,""))</f>
        <v/>
      </c>
      <c r="W72" s="29">
        <f>IF(OR(W61="",$B$66=""),"",IFERROR(W61*1000000.0/$B$66,""))</f>
        <v/>
      </c>
      <c r="X72" s="29">
        <f>IF(OR(X61="",$B$66=""),"",IFERROR(X61*1000000.0/$B$66,""))</f>
        <v/>
      </c>
      <c r="Y72" s="28">
        <f>IF(OR(Y61="",$B$66=""),"",IFERROR(Y61*1000000.0/$B$66,""))</f>
        <v/>
      </c>
      <c r="Z72" s="29">
        <f>IF(OR(Z61="",$B$66=""),"",IFERROR(Z61*1000000.0/$B$66,""))</f>
        <v/>
      </c>
      <c r="AA72" s="29">
        <f>IF(OR(AA61="",$B$66=""),"",IFERROR(AA61*1000000.0/$B$66,""))</f>
        <v/>
      </c>
      <c r="AB72" s="29">
        <f>IF(OR(AB61="",$B$66=""),"",IFERROR(AB61*1000000.0/$B$66,""))</f>
        <v/>
      </c>
      <c r="AC72" s="29">
        <f>IF(OR(AC61="",$B$66=""),"",IFERROR(AC61*1000000.0/$B$66,""))</f>
        <v/>
      </c>
    </row>
    <row r="73">
      <c r="A73" s="9" t="inlineStr">
        <is>
          <t>목표주가</t>
        </is>
      </c>
      <c r="B73" s="10" t="n"/>
      <c r="C73" s="34" t="n"/>
      <c r="D73" s="27" t="n"/>
      <c r="E73" s="27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  <c r="O73" s="34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34">
        <f>IF(OR(Y72="",Y71=""),"",IFERROR(Y72*Y71,""))</f>
        <v/>
      </c>
      <c r="Z73" s="27">
        <f>IF(OR(Z72="",Z71=""),"",IFERROR(Z72*Z71,""))</f>
        <v/>
      </c>
      <c r="AA73" s="27">
        <f>IF(OR(AA72="",AA71=""),"",IFERROR(AA72*AA71,""))</f>
        <v/>
      </c>
      <c r="AB73" s="27">
        <f>IF(OR(AB72="",AB71=""),"",IFERROR(AB72*AB71,""))</f>
        <v/>
      </c>
      <c r="AC73" s="27">
        <f>IF(OR(AC72="",AC71=""),"",IFERROR(AC72*AC71,""))</f>
        <v/>
      </c>
    </row>
    <row r="74">
      <c r="A74" s="18" t="inlineStr">
        <is>
          <t>상승여력</t>
        </is>
      </c>
      <c r="B74" s="10" t="n"/>
      <c r="C74" s="35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5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7">
        <f>IF(OR(Y73="",$B$65=""),"",IFERROR(Y73/$B$65-1,""))</f>
        <v/>
      </c>
      <c r="Z74" s="38">
        <f>IF(OR(Z73="",$B$65=""),"",IFERROR(Z73/$B$65-1,""))</f>
        <v/>
      </c>
      <c r="AA74" s="38">
        <f>IF(OR(AA73="",$B$65=""),"",IFERROR(AA73/$B$65-1,""))</f>
        <v/>
      </c>
      <c r="AB74" s="38">
        <f>IF(OR(AB73="",$B$65=""),"",IFERROR(AB73/$B$65-1,""))</f>
        <v/>
      </c>
      <c r="AC74" s="38">
        <f>IF(OR(AC73="",$B$65=""),"",IFERROR(AC73/$B$65-1,""))</f>
        <v/>
      </c>
    </row>
    <row r="75">
      <c r="A75" s="16" t="inlineStr">
        <is>
          <t>자산가치 산출</t>
        </is>
      </c>
      <c r="B75" s="16" t="inlineStr">
        <is>
          <t>최신 분기 BS</t>
        </is>
      </c>
      <c r="C75" s="17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7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7" t="n"/>
      <c r="Z75" s="16" t="n"/>
      <c r="AA75" s="16" t="n"/>
      <c r="AB75" s="16" t="n"/>
      <c r="AC75" s="16" t="n"/>
    </row>
    <row r="76">
      <c r="A76" s="18" t="inlineStr">
        <is>
          <t>현금및현금성자산</t>
        </is>
      </c>
      <c r="B76" s="10" t="n"/>
      <c r="C76" s="19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19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>
        <f>'재무상태표'!G6</f>
        <v/>
      </c>
      <c r="Y76" s="19">
        <f>'재무상태표'!G6</f>
        <v/>
      </c>
      <c r="Z76" s="20">
        <f>'재무상태표'!G6</f>
        <v/>
      </c>
      <c r="AA76" s="20">
        <f>'재무상태표'!G6</f>
        <v/>
      </c>
      <c r="AB76" s="20">
        <f>'재무상태표'!G6</f>
        <v/>
      </c>
      <c r="AC76" s="20">
        <f>'재무상태표'!G6</f>
        <v/>
      </c>
    </row>
    <row r="77">
      <c r="A77" s="18" t="inlineStr">
        <is>
          <t>단기금융상품</t>
        </is>
      </c>
      <c r="B77" s="10" t="n"/>
      <c r="C77" s="19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19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>
        <f>'재무상태표'!G7</f>
        <v/>
      </c>
      <c r="Y77" s="19">
        <f>'재무상태표'!G7</f>
        <v/>
      </c>
      <c r="Z77" s="20">
        <f>'재무상태표'!G7</f>
        <v/>
      </c>
      <c r="AA77" s="20">
        <f>'재무상태표'!G7</f>
        <v/>
      </c>
      <c r="AB77" s="20">
        <f>'재무상태표'!G7</f>
        <v/>
      </c>
      <c r="AC77" s="20">
        <f>'재무상태표'!G7</f>
        <v/>
      </c>
    </row>
    <row r="78">
      <c r="A78" s="18" t="inlineStr">
        <is>
          <t>투자부동산</t>
        </is>
      </c>
      <c r="B78" s="10" t="n"/>
      <c r="C78" s="19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19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>
        <f>'재무상태표'!G14</f>
        <v/>
      </c>
      <c r="Y78" s="19">
        <f>'재무상태표'!G14</f>
        <v/>
      </c>
      <c r="Z78" s="20">
        <f>'재무상태표'!G14</f>
        <v/>
      </c>
      <c r="AA78" s="20">
        <f>'재무상태표'!G14</f>
        <v/>
      </c>
      <c r="AB78" s="20">
        <f>'재무상태표'!G14</f>
        <v/>
      </c>
      <c r="AC78" s="20">
        <f>'재무상태표'!G14</f>
        <v/>
      </c>
    </row>
    <row r="79">
      <c r="A79" s="18" t="inlineStr">
        <is>
          <t>지배자본</t>
        </is>
      </c>
      <c r="B79" s="10" t="n"/>
      <c r="C79" s="19" t="n"/>
      <c r="D79" s="20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0" t="n"/>
      <c r="O79" s="19" t="n"/>
      <c r="P79" s="20" t="n"/>
      <c r="Q79" s="20" t="n"/>
      <c r="R79" s="20" t="n"/>
      <c r="S79" s="20" t="n"/>
      <c r="T79" s="20" t="n"/>
      <c r="U79" s="20" t="n"/>
      <c r="V79" s="20" t="n"/>
      <c r="W79" s="20" t="n"/>
      <c r="X79" s="20">
        <f>'재무상태표'!G31</f>
        <v/>
      </c>
      <c r="Y79" s="19">
        <f>'재무상태표'!G31</f>
        <v/>
      </c>
      <c r="Z79" s="20">
        <f>'재무상태표'!G31</f>
        <v/>
      </c>
      <c r="AA79" s="20">
        <f>'재무상태표'!G31</f>
        <v/>
      </c>
      <c r="AB79" s="20">
        <f>'재무상태표'!G31</f>
        <v/>
      </c>
      <c r="AC79" s="20">
        <f>'재무상태표'!G31</f>
        <v/>
      </c>
    </row>
    <row r="80">
      <c r="A80" s="18" t="inlineStr">
        <is>
          <t>부채</t>
        </is>
      </c>
      <c r="B80" s="10" t="n"/>
      <c r="C80" s="19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19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>
        <f>'재무상태표'!G27</f>
        <v/>
      </c>
      <c r="Y80" s="19">
        <f>'재무상태표'!G27</f>
        <v/>
      </c>
      <c r="Z80" s="20">
        <f>'재무상태표'!G27</f>
        <v/>
      </c>
      <c r="AA80" s="20">
        <f>'재무상태표'!G27</f>
        <v/>
      </c>
      <c r="AB80" s="20">
        <f>'재무상태표'!G27</f>
        <v/>
      </c>
      <c r="AC80" s="20">
        <f>'재무상태표'!G27</f>
        <v/>
      </c>
    </row>
    <row r="81">
      <c r="A81" s="13" t="inlineStr">
        <is>
          <t>부채비율</t>
        </is>
      </c>
      <c r="B81" s="10" t="n"/>
      <c r="C81" s="14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4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>
        <f>IF(OR(X80="",X79=""),"",IFERROR(X80/X79,""))</f>
        <v/>
      </c>
      <c r="Y81" s="14">
        <f>IF(OR(Y80="",Y79=""),"",IFERROR(Y80/Y79,""))</f>
        <v/>
      </c>
      <c r="Z81" s="15">
        <f>IF(OR(Z80="",Z79=""),"",IFERROR(Z80/Z79,""))</f>
        <v/>
      </c>
      <c r="AA81" s="15">
        <f>IF(OR(AA80="",AA79=""),"",IFERROR(AA80/AA79,""))</f>
        <v/>
      </c>
      <c r="AB81" s="15">
        <f>IF(OR(AB80="",AB79=""),"",IFERROR(AB80/AB79,""))</f>
        <v/>
      </c>
      <c r="AC81" s="15">
        <f>IF(OR(AC80="",AC79=""),"",IFERROR(AC80/AC79,""))</f>
        <v/>
      </c>
    </row>
    <row r="82">
      <c r="A82" s="9" t="inlineStr">
        <is>
          <t>자산가치</t>
        </is>
      </c>
      <c r="B82" s="10" t="inlineStr">
        <is>
          <t>현금+단기금융+투자부동산</t>
        </is>
      </c>
      <c r="C82" s="11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1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>
        <f>SUM(X76,X77,X78)</f>
        <v/>
      </c>
      <c r="Y82" s="11">
        <f>SUM(Y76,Y77,Y78)</f>
        <v/>
      </c>
      <c r="Z82" s="12">
        <f>SUM(Z76,Z77,Z78)</f>
        <v/>
      </c>
      <c r="AA82" s="12">
        <f>SUM(AA76,AA77,AA78)</f>
        <v/>
      </c>
      <c r="AB82" s="12">
        <f>SUM(AB76,AB77,AB78)</f>
        <v/>
      </c>
      <c r="AC82" s="12">
        <f>SUM(AC76,AC77,AC78)</f>
        <v/>
      </c>
    </row>
    <row r="83">
      <c r="A83" s="16" t="inlineStr">
        <is>
          <t>기업가치 산출</t>
        </is>
      </c>
      <c r="B83" s="16" t="n"/>
      <c r="C83" s="17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7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7" t="n"/>
      <c r="Z83" s="16" t="n"/>
      <c r="AA83" s="16" t="n"/>
      <c r="AB83" s="16" t="n"/>
      <c r="AC83" s="16" t="n"/>
    </row>
    <row r="84">
      <c r="A84" s="18" t="inlineStr">
        <is>
          <t>목표 시가총액 (P/E)</t>
        </is>
      </c>
      <c r="B84" s="10" t="inlineStr">
        <is>
          <t>지배순이익 × Target P/E</t>
        </is>
      </c>
      <c r="C84" s="19" t="n"/>
      <c r="D84" s="20" t="n"/>
      <c r="E84" s="20" t="n"/>
      <c r="F84" s="20" t="n"/>
      <c r="G84" s="20" t="n"/>
      <c r="H84" s="20" t="n"/>
      <c r="I84" s="20" t="n"/>
      <c r="J84" s="20" t="n"/>
      <c r="K84" s="20" t="n"/>
      <c r="L84" s="20" t="n"/>
      <c r="M84" s="20" t="n"/>
      <c r="N84" s="20" t="n"/>
      <c r="O84" s="19" t="n"/>
      <c r="P84" s="20" t="n"/>
      <c r="Q84" s="20" t="n"/>
      <c r="R84" s="20" t="n"/>
      <c r="S84" s="20" t="n"/>
      <c r="T84" s="20" t="n"/>
      <c r="U84" s="20" t="n"/>
      <c r="V84" s="20" t="n"/>
      <c r="W84" s="20" t="n"/>
      <c r="X84" s="20" t="n"/>
      <c r="Y84" s="19">
        <f>IF(OR(Y61="",Y71=""),"",IFERROR(Y61*Y71,""))</f>
        <v/>
      </c>
      <c r="Z84" s="20">
        <f>IF(OR(Z61="",Z71=""),"",IFERROR(Z61*Z71,""))</f>
        <v/>
      </c>
      <c r="AA84" s="20">
        <f>IF(OR(AA61="",AA71=""),"",IFERROR(AA61*AA71,""))</f>
        <v/>
      </c>
      <c r="AB84" s="20">
        <f>IF(OR(AB61="",AB71=""),"",IFERROR(AB61*AB71,""))</f>
        <v/>
      </c>
      <c r="AC84" s="20">
        <f>IF(OR(AC61="",AC71=""),"",IFERROR(AC61*AC71,""))</f>
        <v/>
      </c>
    </row>
    <row r="85">
      <c r="A85" s="9" t="inlineStr">
        <is>
          <t>기업가치</t>
        </is>
      </c>
      <c r="B85" s="10" t="inlineStr">
        <is>
          <t>목표시총 + 자산가치</t>
        </is>
      </c>
      <c r="C85" s="11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1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1">
        <f>IF(OR(Y84=""),"",IFERROR(Y84+Y82,""))</f>
        <v/>
      </c>
      <c r="Z85" s="12">
        <f>IF(OR(Z84=""),"",IFERROR(Z84+Z82,""))</f>
        <v/>
      </c>
      <c r="AA85" s="12">
        <f>IF(OR(AA84=""),"",IFERROR(AA84+AA82,""))</f>
        <v/>
      </c>
      <c r="AB85" s="12">
        <f>IF(OR(AB84=""),"",IFERROR(AB84+AB82,""))</f>
        <v/>
      </c>
      <c r="AC85" s="12">
        <f>IF(OR(AC84=""),"",IFERROR(AC84+AC82,""))</f>
        <v/>
      </c>
    </row>
    <row r="86">
      <c r="A86" s="18" t="inlineStr">
        <is>
          <t>현재 시가총액</t>
        </is>
      </c>
      <c r="B86" s="10" t="n"/>
      <c r="C86" s="19" t="n"/>
      <c r="D86" s="20" t="n"/>
      <c r="E86" s="20" t="n"/>
      <c r="F86" s="20" t="n"/>
      <c r="G86" s="20" t="n"/>
      <c r="H86" s="20" t="n"/>
      <c r="I86" s="20" t="n"/>
      <c r="J86" s="20" t="n"/>
      <c r="K86" s="20" t="n"/>
      <c r="L86" s="20" t="n"/>
      <c r="M86" s="20" t="n"/>
      <c r="N86" s="20" t="n"/>
      <c r="O86" s="19" t="n"/>
      <c r="P86" s="20" t="n"/>
      <c r="Q86" s="20" t="n"/>
      <c r="R86" s="20" t="n"/>
      <c r="S86" s="20" t="n"/>
      <c r="T86" s="20" t="n"/>
      <c r="U86" s="20" t="n"/>
      <c r="V86" s="20" t="n"/>
      <c r="W86" s="20" t="n"/>
      <c r="X86" s="20" t="n"/>
      <c r="Y86" s="19">
        <f>$B$67</f>
        <v/>
      </c>
      <c r="Z86" s="20">
        <f>$B$67</f>
        <v/>
      </c>
      <c r="AA86" s="20">
        <f>$B$67</f>
        <v/>
      </c>
      <c r="AB86" s="20">
        <f>$B$67</f>
        <v/>
      </c>
      <c r="AC86" s="20">
        <f>$B$67</f>
        <v/>
      </c>
    </row>
    <row r="87">
      <c r="A87" s="18" t="inlineStr">
        <is>
          <t>상승여력</t>
        </is>
      </c>
      <c r="B87" s="10" t="n"/>
      <c r="C87" s="35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5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7">
        <f>IF(OR(Y85="",Y86=""),"",IFERROR(Y85/Y86-1,""))</f>
        <v/>
      </c>
      <c r="Z87" s="38">
        <f>IF(OR(Z85="",Z86=""),"",IFERROR(Z85/Z86-1,""))</f>
        <v/>
      </c>
      <c r="AA87" s="38">
        <f>IF(OR(AA85="",AA86=""),"",IFERROR(AA85/AA86-1,""))</f>
        <v/>
      </c>
      <c r="AB87" s="38">
        <f>IF(OR(AB85="",AB86=""),"",IFERROR(AB85/AB86-1,""))</f>
        <v/>
      </c>
      <c r="AC87" s="38">
        <f>IF(OR(AC85="",AC86=""),"",IFERROR(AC85/AC86-1,""))</f>
        <v/>
      </c>
    </row>
    <row r="88">
      <c r="C88" s="39" t="n"/>
      <c r="O88" s="39" t="n"/>
      <c r="Y88" s="39" t="n"/>
    </row>
    <row r="89">
      <c r="A89" s="40" t="inlineStr">
        <is>
          <t>출처</t>
        </is>
      </c>
      <c r="C89" s="39" t="n"/>
      <c r="O89" s="39" t="n"/>
      <c r="Y89" s="39" t="n"/>
    </row>
    <row r="90">
      <c r="A90" s="41" t="inlineStr">
        <is>
          <t>결산단신 XBRL(TDnet·JPX 보관소) — 쓴 문서는 '출처' 시트</t>
        </is>
      </c>
      <c r="C90" s="39" t="n"/>
      <c r="O90" s="39" t="n"/>
      <c r="Y90" s="39" t="n"/>
    </row>
    <row r="91">
      <c r="A91" s="41" t="inlineStr">
        <is>
          <t>분기 = 누계에서 앞 분기를 뺀 3개월 값</t>
        </is>
      </c>
      <c r="C91" s="39" t="n"/>
      <c r="O91" s="39" t="n"/>
      <c r="Y91" s="39" t="n"/>
    </row>
    <row r="92">
      <c r="A92" s="41" t="inlineStr">
        <is>
          <t>주가: 야후 파이낸스 일봉</t>
        </is>
      </c>
      <c r="C92" s="39" t="n"/>
      <c r="O92" s="39" t="n"/>
      <c r="Y92" s="39" t="n"/>
    </row>
    <row r="94">
      <c r="A94" s="16" t="inlineStr">
        <is>
          <t>손익계산서 · 전 항목</t>
        </is>
      </c>
      <c r="B94" s="42" t="inlineStr">
        <is>
          <t>분기 = 3개월 단독</t>
        </is>
      </c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  <c r="AA94" s="16" t="n"/>
      <c r="AB94" s="16" t="n"/>
      <c r="AC94" s="16" t="n"/>
    </row>
    <row r="95">
      <c r="A95" s="5" t="inlineStr">
        <is>
          <t>항목</t>
        </is>
      </c>
      <c r="B95" s="5" t="inlineStr">
        <is>
          <t>참고</t>
        </is>
      </c>
      <c r="C95" s="5" t="inlineStr">
        <is>
          <t>2024.3Q</t>
        </is>
      </c>
      <c r="D95" s="5" t="inlineStr">
        <is>
          <t>2024.4Q</t>
        </is>
      </c>
      <c r="E95" s="5" t="inlineStr">
        <is>
          <t>2025.1Q</t>
        </is>
      </c>
      <c r="F95" s="5" t="inlineStr">
        <is>
          <t>2025.2Q</t>
        </is>
      </c>
      <c r="G95" s="5" t="inlineStr">
        <is>
          <t>2025.3Q</t>
        </is>
      </c>
      <c r="H95" s="5" t="inlineStr">
        <is>
          <t>2025.4Q</t>
        </is>
      </c>
      <c r="I95" s="5" t="inlineStr">
        <is>
          <t>2026.1Q</t>
        </is>
      </c>
      <c r="J95" s="5" t="inlineStr">
        <is>
          <t>2026.2Q</t>
        </is>
      </c>
      <c r="K95" s="5" t="inlineStr">
        <is>
          <t>2026.3Q</t>
        </is>
      </c>
      <c r="L95" s="5" t="inlineStr">
        <is>
          <t>2026.4Q</t>
        </is>
      </c>
      <c r="M95" s="5" t="inlineStr">
        <is>
          <t>2027.1Q</t>
        </is>
      </c>
      <c r="N95" s="5" t="inlineStr">
        <is>
          <t>2027.2Q</t>
        </is>
      </c>
      <c r="O95" s="5" t="inlineStr">
        <is>
          <t>2017</t>
        </is>
      </c>
      <c r="P95" s="5" t="inlineStr">
        <is>
          <t>2018</t>
        </is>
      </c>
      <c r="Q95" s="5" t="inlineStr">
        <is>
          <t>2019</t>
        </is>
      </c>
      <c r="R95" s="5" t="inlineStr">
        <is>
          <t>2020</t>
        </is>
      </c>
      <c r="S95" s="5" t="inlineStr">
        <is>
          <t>2021</t>
        </is>
      </c>
      <c r="T95" s="5" t="inlineStr">
        <is>
          <t>2022</t>
        </is>
      </c>
      <c r="U95" s="5" t="inlineStr">
        <is>
          <t>2023</t>
        </is>
      </c>
      <c r="V95" s="5" t="inlineStr">
        <is>
          <t>2024</t>
        </is>
      </c>
      <c r="W95" s="5" t="inlineStr">
        <is>
          <t>2025</t>
        </is>
      </c>
      <c r="X95" s="5" t="inlineStr">
        <is>
          <t>2026</t>
        </is>
      </c>
      <c r="Y95" s="5" t="inlineStr">
        <is>
          <t>2027(MW)</t>
        </is>
      </c>
      <c r="Z95" s="5" t="inlineStr">
        <is>
          <t>2028(MW)</t>
        </is>
      </c>
      <c r="AA95" s="5" t="inlineStr">
        <is>
          <t>2029(MW)</t>
        </is>
      </c>
      <c r="AB95" s="5" t="inlineStr">
        <is>
          <t>2030(MW)</t>
        </is>
      </c>
      <c r="AC95" s="5" t="inlineStr">
        <is>
          <t>2031(MW)</t>
        </is>
      </c>
    </row>
    <row r="96">
      <c r="A96" s="9" t="inlineStr">
        <is>
          <t>매출액</t>
        </is>
      </c>
      <c r="C96" s="12" t="n">
        <v>1149823</v>
      </c>
      <c r="D96" s="12" t="n">
        <v>1180888</v>
      </c>
      <c r="E96" s="12" t="n">
        <v>1115547</v>
      </c>
      <c r="F96" s="12" t="n">
        <v>1132231</v>
      </c>
      <c r="G96" s="12" t="n">
        <v>1193461</v>
      </c>
      <c r="H96" s="12" t="n">
        <v>1238550</v>
      </c>
      <c r="I96" s="12" t="n">
        <v>1148436</v>
      </c>
      <c r="J96" s="12" t="n">
        <v>1225025</v>
      </c>
      <c r="K96" s="12" t="n">
        <v>1313436</v>
      </c>
      <c r="L96" s="12" t="n">
        <v>1423274</v>
      </c>
      <c r="M96" s="12" t="n">
        <v>1330591</v>
      </c>
      <c r="N96" s="12" t="n">
        <v>1434321</v>
      </c>
      <c r="T96" s="12" t="n">
        <v>928753</v>
      </c>
      <c r="U96" s="12" t="n">
        <v>1093588</v>
      </c>
      <c r="V96" s="12" t="n">
        <v>1180888</v>
      </c>
      <c r="W96" s="12" t="n">
        <v>1238550</v>
      </c>
      <c r="X96" s="12" t="n">
        <v>1423274</v>
      </c>
    </row>
    <row r="97">
      <c r="A97" s="43" t="inlineStr">
        <is>
          <t>YoY</t>
        </is>
      </c>
      <c r="B97" s="3" t="inlineStr">
        <is>
          <t>전년 같은 분기·전년 대비</t>
        </is>
      </c>
      <c r="G97" s="15">
        <f>IF(OR(G96="",C96=""),"",IF(C96&lt;=0,"",IFERROR(G96/C96-1,"")))</f>
        <v/>
      </c>
      <c r="H97" s="15">
        <f>IF(OR(H96="",D96=""),"",IF(D96&lt;=0,"",IFERROR(H96/D96-1,"")))</f>
        <v/>
      </c>
      <c r="I97" s="15">
        <f>IF(OR(I96="",E96=""),"",IF(E96&lt;=0,"",IFERROR(I96/E96-1,"")))</f>
        <v/>
      </c>
      <c r="J97" s="15">
        <f>IF(OR(J96="",F96=""),"",IF(F96&lt;=0,"",IFERROR(J96/F96-1,"")))</f>
        <v/>
      </c>
      <c r="K97" s="15">
        <f>IF(OR(K96="",G96=""),"",IF(G96&lt;=0,"",IFERROR(K96/G96-1,"")))</f>
        <v/>
      </c>
      <c r="L97" s="15">
        <f>IF(OR(L96="",H96=""),"",IF(H96&lt;=0,"",IFERROR(L96/H96-1,"")))</f>
        <v/>
      </c>
      <c r="M97" s="15">
        <f>IF(OR(M96="",I96=""),"",IF(I96&lt;=0,"",IFERROR(M96/I96-1,"")))</f>
        <v/>
      </c>
      <c r="N97" s="15">
        <f>IF(OR(N96="",J96=""),"",IF(J96&lt;=0,"",IFERROR(N96/J96-1,"")))</f>
        <v/>
      </c>
      <c r="T97" s="15">
        <f>IF(OR(T96="",S96=""),"",IF(S96&lt;=0,"",IFERROR(T96/S96-1,"")))</f>
        <v/>
      </c>
      <c r="U97" s="15">
        <f>IF(OR(U96="",T96=""),"",IF(T96&lt;=0,"",IFERROR(U96/T96-1,"")))</f>
        <v/>
      </c>
      <c r="V97" s="15">
        <f>IF(OR(V96="",U96=""),"",IF(U96&lt;=0,"",IFERROR(V96/U96-1,"")))</f>
        <v/>
      </c>
      <c r="W97" s="15">
        <f>IF(OR(W96="",V96=""),"",IF(V96&lt;=0,"",IFERROR(W96/V96-1,"")))</f>
        <v/>
      </c>
      <c r="X97" s="15">
        <f>IF(OR(X96="",W96=""),"",IF(W96&lt;=0,"",IFERROR(X96/W96-1,"")))</f>
        <v/>
      </c>
    </row>
    <row r="98">
      <c r="A98" s="18" t="inlineStr">
        <is>
          <t>매출원가</t>
        </is>
      </c>
      <c r="C98" s="20" t="n">
        <v>934389</v>
      </c>
      <c r="D98" s="20" t="n">
        <v>955950</v>
      </c>
      <c r="E98" s="20" t="n">
        <v>924770</v>
      </c>
      <c r="F98" s="20" t="n">
        <v>927666</v>
      </c>
      <c r="G98" s="20" t="n">
        <v>964484</v>
      </c>
      <c r="H98" s="20" t="n">
        <v>982743</v>
      </c>
      <c r="I98" s="20" t="n">
        <v>941518</v>
      </c>
      <c r="J98" s="20" t="n">
        <v>981964</v>
      </c>
      <c r="K98" s="20" t="n">
        <v>1041812</v>
      </c>
      <c r="L98" s="20" t="n">
        <v>1110846</v>
      </c>
      <c r="M98" s="20" t="n">
        <v>1070970</v>
      </c>
      <c r="N98" s="20" t="n">
        <v>1144467</v>
      </c>
      <c r="T98" s="20" t="n">
        <v>769436</v>
      </c>
      <c r="U98" s="20" t="n">
        <v>884897</v>
      </c>
      <c r="V98" s="20" t="n">
        <v>955950</v>
      </c>
      <c r="W98" s="20" t="n">
        <v>982743</v>
      </c>
      <c r="X98" s="20" t="n">
        <v>1110846</v>
      </c>
    </row>
    <row r="99">
      <c r="A99" s="43" t="inlineStr">
        <is>
          <t>YoY</t>
        </is>
      </c>
      <c r="B99" s="3" t="inlineStr">
        <is>
          <t>전년 같은 분기·전년 대비</t>
        </is>
      </c>
      <c r="G99" s="15">
        <f>IF(OR(G98="",C98=""),"",IF(G98*C98&lt;=0,"",IFERROR(G98/C98-1,"")))</f>
        <v/>
      </c>
      <c r="H99" s="15">
        <f>IF(OR(H98="",D98=""),"",IF(H98*D98&lt;=0,"",IFERROR(H98/D98-1,"")))</f>
        <v/>
      </c>
      <c r="I99" s="15">
        <f>IF(OR(I98="",E98=""),"",IF(I98*E98&lt;=0,"",IFERROR(I98/E98-1,"")))</f>
        <v/>
      </c>
      <c r="J99" s="15">
        <f>IF(OR(J98="",F98=""),"",IF(J98*F98&lt;=0,"",IFERROR(J98/F98-1,"")))</f>
        <v/>
      </c>
      <c r="K99" s="15">
        <f>IF(OR(K98="",G98=""),"",IF(K98*G98&lt;=0,"",IFERROR(K98/G98-1,"")))</f>
        <v/>
      </c>
      <c r="L99" s="15">
        <f>IF(OR(L98="",H98=""),"",IF(L98*H98&lt;=0,"",IFERROR(L98/H98-1,"")))</f>
        <v/>
      </c>
      <c r="M99" s="15">
        <f>IF(OR(M98="",I98=""),"",IF(M98*I98&lt;=0,"",IFERROR(M98/I98-1,"")))</f>
        <v/>
      </c>
      <c r="N99" s="15">
        <f>IF(OR(N98="",J98=""),"",IF(N98*J98&lt;=0,"",IFERROR(N98/J98-1,"")))</f>
        <v/>
      </c>
      <c r="T99" s="15">
        <f>IF(OR(T98="",S98=""),"",IF(T98*S98&lt;=0,"",IFERROR(T98/S98-1,"")))</f>
        <v/>
      </c>
      <c r="U99" s="15">
        <f>IF(OR(U98="",T98=""),"",IF(U98*T98&lt;=0,"",IFERROR(U98/T98-1,"")))</f>
        <v/>
      </c>
      <c r="V99" s="15">
        <f>IF(OR(V98="",U98=""),"",IF(V98*U98&lt;=0,"",IFERROR(V98/U98-1,"")))</f>
        <v/>
      </c>
      <c r="W99" s="15">
        <f>IF(OR(W98="",V98=""),"",IF(W98*V98&lt;=0,"",IFERROR(W98/V98-1,"")))</f>
        <v/>
      </c>
      <c r="X99" s="15">
        <f>IF(OR(X98="",W98=""),"",IF(X98*W98&lt;=0,"",IFERROR(X98/W98-1,"")))</f>
        <v/>
      </c>
    </row>
    <row r="100">
      <c r="A100" s="9" t="inlineStr">
        <is>
          <t>매출총이익</t>
        </is>
      </c>
      <c r="C100" s="12" t="n">
        <v>215434</v>
      </c>
      <c r="D100" s="12" t="n">
        <v>224938</v>
      </c>
      <c r="E100" s="12" t="n">
        <v>190777</v>
      </c>
      <c r="F100" s="12" t="n">
        <v>204565</v>
      </c>
      <c r="G100" s="12" t="n">
        <v>228977</v>
      </c>
      <c r="H100" s="12" t="n">
        <v>255807</v>
      </c>
      <c r="I100" s="12" t="n">
        <v>206918</v>
      </c>
      <c r="J100" s="12" t="n">
        <v>243061</v>
      </c>
      <c r="K100" s="12" t="n">
        <v>271624</v>
      </c>
      <c r="L100" s="12" t="n">
        <v>312428</v>
      </c>
      <c r="M100" s="12" t="n">
        <v>259621</v>
      </c>
      <c r="N100" s="12" t="n">
        <v>289854</v>
      </c>
      <c r="T100" s="12" t="n">
        <v>159317</v>
      </c>
      <c r="U100" s="12" t="n">
        <v>208691</v>
      </c>
      <c r="V100" s="12" t="n">
        <v>224938</v>
      </c>
      <c r="W100" s="12" t="n">
        <v>255807</v>
      </c>
      <c r="X100" s="12" t="n">
        <v>312428</v>
      </c>
    </row>
    <row r="101">
      <c r="A101" s="43" t="inlineStr">
        <is>
          <t>YoY</t>
        </is>
      </c>
      <c r="B101" s="3" t="inlineStr">
        <is>
          <t>전년 같은 분기·전년 대비</t>
        </is>
      </c>
      <c r="G101" s="15">
        <f>IF(OR(G100="",C100=""),"",IF(C100&lt;=0,"",IFERROR(G100/C100-1,"")))</f>
        <v/>
      </c>
      <c r="H101" s="15">
        <f>IF(OR(H100="",D100=""),"",IF(D100&lt;=0,"",IFERROR(H100/D100-1,"")))</f>
        <v/>
      </c>
      <c r="I101" s="15">
        <f>IF(OR(I100="",E100=""),"",IF(E100&lt;=0,"",IFERROR(I100/E100-1,"")))</f>
        <v/>
      </c>
      <c r="J101" s="15">
        <f>IF(OR(J100="",F100=""),"",IF(F100&lt;=0,"",IFERROR(J100/F100-1,"")))</f>
        <v/>
      </c>
      <c r="K101" s="15">
        <f>IF(OR(K100="",G100=""),"",IF(G100&lt;=0,"",IFERROR(K100/G100-1,"")))</f>
        <v/>
      </c>
      <c r="L101" s="15">
        <f>IF(OR(L100="",H100=""),"",IF(H100&lt;=0,"",IFERROR(L100/H100-1,"")))</f>
        <v/>
      </c>
      <c r="M101" s="15">
        <f>IF(OR(M100="",I100=""),"",IF(I100&lt;=0,"",IFERROR(M100/I100-1,"")))</f>
        <v/>
      </c>
      <c r="N101" s="15">
        <f>IF(OR(N100="",J100=""),"",IF(J100&lt;=0,"",IFERROR(N100/J100-1,"")))</f>
        <v/>
      </c>
      <c r="T101" s="15">
        <f>IF(OR(T100="",S100=""),"",IF(S100&lt;=0,"",IFERROR(T100/S100-1,"")))</f>
        <v/>
      </c>
      <c r="U101" s="15">
        <f>IF(OR(U100="",T100=""),"",IF(T100&lt;=0,"",IFERROR(U100/T100-1,"")))</f>
        <v/>
      </c>
      <c r="V101" s="15">
        <f>IF(OR(V100="",U100=""),"",IF(U100&lt;=0,"",IFERROR(V100/U100-1,"")))</f>
        <v/>
      </c>
      <c r="W101" s="15">
        <f>IF(OR(W100="",V100=""),"",IF(V100&lt;=0,"",IFERROR(W100/V100-1,"")))</f>
        <v/>
      </c>
      <c r="X101" s="15">
        <f>IF(OR(X100="",W100=""),"",IF(W100&lt;=0,"",IFERROR(X100/W100-1,"")))</f>
        <v/>
      </c>
    </row>
    <row r="102">
      <c r="A102" s="18" t="inlineStr">
        <is>
          <t>판매비와 관리비</t>
        </is>
      </c>
      <c r="C102" s="20" t="n">
        <v>134431</v>
      </c>
      <c r="D102" s="20" t="n">
        <v>146652</v>
      </c>
      <c r="E102" s="20" t="n">
        <v>137492</v>
      </c>
      <c r="F102" s="20" t="n">
        <v>138535</v>
      </c>
      <c r="G102" s="20" t="n">
        <v>141453</v>
      </c>
      <c r="H102" s="20" t="n">
        <v>141983</v>
      </c>
      <c r="I102" s="20" t="n">
        <v>146617</v>
      </c>
      <c r="J102" s="20" t="n">
        <v>150341</v>
      </c>
      <c r="K102" s="20" t="n">
        <v>153600</v>
      </c>
      <c r="L102" s="20" t="n">
        <v>165300</v>
      </c>
      <c r="M102" s="20" t="n">
        <v>162562</v>
      </c>
      <c r="N102" s="20" t="n">
        <v>167346</v>
      </c>
      <c r="T102" s="20" t="n">
        <v>113619</v>
      </c>
      <c r="U102" s="20" t="n">
        <v>126073</v>
      </c>
      <c r="V102" s="20" t="n">
        <v>146652</v>
      </c>
      <c r="W102" s="20" t="n">
        <v>141983</v>
      </c>
      <c r="X102" s="20" t="n">
        <v>165300</v>
      </c>
    </row>
    <row r="103">
      <c r="A103" s="43" t="inlineStr">
        <is>
          <t>YoY</t>
        </is>
      </c>
      <c r="B103" s="3" t="inlineStr">
        <is>
          <t>전년 같은 분기·전년 대비</t>
        </is>
      </c>
      <c r="G103" s="15">
        <f>IF(OR(G102="",C102=""),"",IF(G102*C102&lt;=0,"",IFERROR(G102/C102-1,"")))</f>
        <v/>
      </c>
      <c r="H103" s="15">
        <f>IF(OR(H102="",D102=""),"",IF(H102*D102&lt;=0,"",IFERROR(H102/D102-1,"")))</f>
        <v/>
      </c>
      <c r="I103" s="15">
        <f>IF(OR(I102="",E102=""),"",IF(I102*E102&lt;=0,"",IFERROR(I102/E102-1,"")))</f>
        <v/>
      </c>
      <c r="J103" s="15">
        <f>IF(OR(J102="",F102=""),"",IF(J102*F102&lt;=0,"",IFERROR(J102/F102-1,"")))</f>
        <v/>
      </c>
      <c r="K103" s="15">
        <f>IF(OR(K102="",G102=""),"",IF(K102*G102&lt;=0,"",IFERROR(K102/G102-1,"")))</f>
        <v/>
      </c>
      <c r="L103" s="15">
        <f>IF(OR(L102="",H102=""),"",IF(L102*H102&lt;=0,"",IFERROR(L102/H102-1,"")))</f>
        <v/>
      </c>
      <c r="M103" s="15">
        <f>IF(OR(M102="",I102=""),"",IF(M102*I102&lt;=0,"",IFERROR(M102/I102-1,"")))</f>
        <v/>
      </c>
      <c r="N103" s="15">
        <f>IF(OR(N102="",J102=""),"",IF(N102*J102&lt;=0,"",IFERROR(N102/J102-1,"")))</f>
        <v/>
      </c>
      <c r="T103" s="15">
        <f>IF(OR(T102="",S102=""),"",IF(T102*S102&lt;=0,"",IFERROR(T102/S102-1,"")))</f>
        <v/>
      </c>
      <c r="U103" s="15">
        <f>IF(OR(U102="",T102=""),"",IF(U102*T102&lt;=0,"",IFERROR(U102/T102-1,"")))</f>
        <v/>
      </c>
      <c r="V103" s="15">
        <f>IF(OR(V102="",U102=""),"",IF(V102*U102&lt;=0,"",IFERROR(V102/U102-1,"")))</f>
        <v/>
      </c>
      <c r="W103" s="15">
        <f>IF(OR(W102="",V102=""),"",IF(W102*V102&lt;=0,"",IFERROR(W102/V102-1,"")))</f>
        <v/>
      </c>
      <c r="X103" s="15">
        <f>IF(OR(X102="",W102=""),"",IF(X102*W102&lt;=0,"",IFERROR(X102/W102-1,"")))</f>
        <v/>
      </c>
    </row>
    <row r="104">
      <c r="A104" s="9" t="inlineStr">
        <is>
          <t>영업이익</t>
        </is>
      </c>
      <c r="C104" s="12" t="n">
        <v>81003</v>
      </c>
      <c r="D104" s="12" t="n">
        <v>78286</v>
      </c>
      <c r="E104" s="12" t="n">
        <v>53285</v>
      </c>
      <c r="F104" s="12" t="n">
        <v>66030</v>
      </c>
      <c r="G104" s="12" t="n">
        <v>87524</v>
      </c>
      <c r="H104" s="12" t="n">
        <v>113824</v>
      </c>
      <c r="I104" s="12" t="n">
        <v>60301</v>
      </c>
      <c r="J104" s="12" t="n">
        <v>92720</v>
      </c>
      <c r="K104" s="12" t="n">
        <v>118024</v>
      </c>
      <c r="L104" s="12" t="n">
        <v>147128</v>
      </c>
      <c r="M104" s="12" t="n">
        <v>97059</v>
      </c>
      <c r="N104" s="12" t="n">
        <v>122508</v>
      </c>
      <c r="T104" s="12" t="n">
        <v>45698</v>
      </c>
      <c r="U104" s="12" t="n">
        <v>82618</v>
      </c>
      <c r="V104" s="12" t="n">
        <v>78286</v>
      </c>
      <c r="W104" s="12" t="n">
        <v>113824</v>
      </c>
      <c r="X104" s="12" t="n">
        <v>147128</v>
      </c>
    </row>
    <row r="105">
      <c r="A105" s="43" t="inlineStr">
        <is>
          <t>OPM</t>
        </is>
      </c>
      <c r="B105" s="3" t="inlineStr">
        <is>
          <t>영업이익 ÷ 매출</t>
        </is>
      </c>
      <c r="C105" s="15">
        <f>IF(OR(C104="",C96=""),"",IF(C96&lt;=0,"",IFERROR(C104/C96,"")))</f>
        <v/>
      </c>
      <c r="D105" s="15">
        <f>IF(OR(D104="",D96=""),"",IF(D96&lt;=0,"",IFERROR(D104/D96,"")))</f>
        <v/>
      </c>
      <c r="E105" s="15">
        <f>IF(OR(E104="",E96=""),"",IF(E96&lt;=0,"",IFERROR(E104/E96,"")))</f>
        <v/>
      </c>
      <c r="F105" s="15">
        <f>IF(OR(F104="",F96=""),"",IF(F96&lt;=0,"",IFERROR(F104/F96,"")))</f>
        <v/>
      </c>
      <c r="G105" s="15">
        <f>IF(OR(G104="",G96=""),"",IF(G96&lt;=0,"",IFERROR(G104/G96,"")))</f>
        <v/>
      </c>
      <c r="H105" s="15">
        <f>IF(OR(H104="",H96=""),"",IF(H96&lt;=0,"",IFERROR(H104/H96,"")))</f>
        <v/>
      </c>
      <c r="I105" s="15">
        <f>IF(OR(I104="",I96=""),"",IF(I96&lt;=0,"",IFERROR(I104/I96,"")))</f>
        <v/>
      </c>
      <c r="J105" s="15">
        <f>IF(OR(J104="",J96=""),"",IF(J96&lt;=0,"",IFERROR(J104/J96,"")))</f>
        <v/>
      </c>
      <c r="K105" s="15">
        <f>IF(OR(K104="",K96=""),"",IF(K96&lt;=0,"",IFERROR(K104/K96,"")))</f>
        <v/>
      </c>
      <c r="L105" s="15">
        <f>IF(OR(L104="",L96=""),"",IF(L96&lt;=0,"",IFERROR(L104/L96,"")))</f>
        <v/>
      </c>
      <c r="M105" s="15">
        <f>IF(OR(M104="",M96=""),"",IF(M96&lt;=0,"",IFERROR(M104/M96,"")))</f>
        <v/>
      </c>
      <c r="N105" s="15">
        <f>IF(OR(N104="",N96=""),"",IF(N96&lt;=0,"",IFERROR(N104/N96,"")))</f>
        <v/>
      </c>
      <c r="T105" s="15">
        <f>IF(OR(T104="",T96=""),"",IF(T96&lt;=0,"",IFERROR(T104/T96,"")))</f>
        <v/>
      </c>
      <c r="U105" s="15">
        <f>IF(OR(U104="",U96=""),"",IF(U96&lt;=0,"",IFERROR(U104/U96,"")))</f>
        <v/>
      </c>
      <c r="V105" s="15">
        <f>IF(OR(V104="",V96=""),"",IF(V96&lt;=0,"",IFERROR(V104/V96,"")))</f>
        <v/>
      </c>
      <c r="W105" s="15">
        <f>IF(OR(W104="",W96=""),"",IF(W96&lt;=0,"",IFERROR(W104/W96,"")))</f>
        <v/>
      </c>
      <c r="X105" s="15">
        <f>IF(OR(X104="",X96=""),"",IF(X96&lt;=0,"",IFERROR(X104/X96,"")))</f>
        <v/>
      </c>
    </row>
    <row r="106">
      <c r="A106" s="43" t="inlineStr">
        <is>
          <t>YoY</t>
        </is>
      </c>
      <c r="B106" s="3" t="inlineStr">
        <is>
          <t>전년 같은 분기·전년 대비</t>
        </is>
      </c>
      <c r="G106" s="15">
        <f>IF(OR(G104="",C104=""),"",IF(C104&lt;=0,"",IFERROR(G104/C104-1,"")))</f>
        <v/>
      </c>
      <c r="H106" s="15">
        <f>IF(OR(H104="",D104=""),"",IF(D104&lt;=0,"",IFERROR(H104/D104-1,"")))</f>
        <v/>
      </c>
      <c r="I106" s="15">
        <f>IF(OR(I104="",E104=""),"",IF(E104&lt;=0,"",IFERROR(I104/E104-1,"")))</f>
        <v/>
      </c>
      <c r="J106" s="15">
        <f>IF(OR(J104="",F104=""),"",IF(F104&lt;=0,"",IFERROR(J104/F104-1,"")))</f>
        <v/>
      </c>
      <c r="K106" s="15">
        <f>IF(OR(K104="",G104=""),"",IF(G104&lt;=0,"",IFERROR(K104/G104-1,"")))</f>
        <v/>
      </c>
      <c r="L106" s="15">
        <f>IF(OR(L104="",H104=""),"",IF(H104&lt;=0,"",IFERROR(L104/H104-1,"")))</f>
        <v/>
      </c>
      <c r="M106" s="15">
        <f>IF(OR(M104="",I104=""),"",IF(I104&lt;=0,"",IFERROR(M104/I104-1,"")))</f>
        <v/>
      </c>
      <c r="N106" s="15">
        <f>IF(OR(N104="",J104=""),"",IF(J104&lt;=0,"",IFERROR(N104/J104-1,"")))</f>
        <v/>
      </c>
      <c r="T106" s="15">
        <f>IF(OR(T104="",S104=""),"",IF(S104&lt;=0,"",IFERROR(T104/S104-1,"")))</f>
        <v/>
      </c>
      <c r="U106" s="15">
        <f>IF(OR(U104="",T104=""),"",IF(T104&lt;=0,"",IFERROR(U104/T104-1,"")))</f>
        <v/>
      </c>
      <c r="V106" s="15">
        <f>IF(OR(V104="",U104=""),"",IF(U104&lt;=0,"",IFERROR(V104/U104-1,"")))</f>
        <v/>
      </c>
      <c r="W106" s="15">
        <f>IF(OR(W104="",V104=""),"",IF(V104&lt;=0,"",IFERROR(W104/V104-1,"")))</f>
        <v/>
      </c>
      <c r="X106" s="15">
        <f>IF(OR(X104="",W104=""),"",IF(W104&lt;=0,"",IFERROR(X104/W104-1,"")))</f>
        <v/>
      </c>
    </row>
    <row r="107">
      <c r="A107" s="18" t="inlineStr">
        <is>
          <t>이자수익</t>
        </is>
      </c>
      <c r="C107" s="20" t="n">
        <v>702</v>
      </c>
      <c r="D107" s="20" t="n">
        <v>958</v>
      </c>
      <c r="E107" s="20" t="n">
        <v>812</v>
      </c>
      <c r="F107" s="20" t="n">
        <v>912</v>
      </c>
      <c r="G107" s="20" t="n">
        <v>864</v>
      </c>
      <c r="H107" s="20" t="n">
        <v>1156</v>
      </c>
      <c r="I107" s="20" t="n">
        <v>859</v>
      </c>
      <c r="J107" s="20" t="n">
        <v>1002</v>
      </c>
      <c r="K107" s="20" t="n">
        <v>1030</v>
      </c>
      <c r="L107" s="20" t="n">
        <v>1018</v>
      </c>
      <c r="M107" s="20" t="n">
        <v>1383</v>
      </c>
      <c r="N107" s="20" t="n">
        <v>993</v>
      </c>
      <c r="T107" s="20" t="n">
        <v>297</v>
      </c>
      <c r="U107" s="20" t="n">
        <v>527</v>
      </c>
      <c r="V107" s="20" t="n">
        <v>958</v>
      </c>
      <c r="W107" s="20" t="n">
        <v>1156</v>
      </c>
      <c r="X107" s="20" t="n">
        <v>1018</v>
      </c>
    </row>
    <row r="108">
      <c r="A108" s="18" t="inlineStr">
        <is>
          <t>배당금수익</t>
        </is>
      </c>
      <c r="C108" s="20" t="n">
        <v>1616</v>
      </c>
      <c r="D108" s="20" t="n">
        <v>802</v>
      </c>
      <c r="E108" s="20" t="n">
        <v>3334</v>
      </c>
      <c r="F108" s="20" t="n">
        <v>1785</v>
      </c>
      <c r="G108" s="20" t="n">
        <v>2103</v>
      </c>
      <c r="H108" s="20" t="n">
        <v>1001</v>
      </c>
      <c r="I108" s="20" t="n">
        <v>3194</v>
      </c>
      <c r="J108" s="20" t="n">
        <v>1190</v>
      </c>
      <c r="K108" s="20" t="n">
        <v>2158</v>
      </c>
      <c r="L108" s="20" t="n">
        <v>801</v>
      </c>
      <c r="M108" s="20" t="n">
        <v>3698</v>
      </c>
      <c r="N108" s="20" t="n">
        <v>1322</v>
      </c>
      <c r="T108" s="20" t="n">
        <v>270</v>
      </c>
      <c r="U108" s="20" t="n">
        <v>502</v>
      </c>
      <c r="V108" s="20" t="n">
        <v>802</v>
      </c>
      <c r="W108" s="20" t="n">
        <v>1001</v>
      </c>
      <c r="X108" s="20" t="n">
        <v>801</v>
      </c>
    </row>
    <row r="109">
      <c r="A109" s="18" t="inlineStr">
        <is>
          <t>지분법이익</t>
        </is>
      </c>
      <c r="C109" s="20" t="n">
        <v>8158</v>
      </c>
      <c r="D109" s="20" t="n">
        <v>5632</v>
      </c>
      <c r="E109" s="20" t="n">
        <v>9019</v>
      </c>
      <c r="F109" s="20" t="n">
        <v>7975</v>
      </c>
      <c r="G109" s="20" t="n">
        <v>-9894</v>
      </c>
      <c r="H109" s="20" t="n">
        <v>7676</v>
      </c>
      <c r="I109" s="20" t="n">
        <v>3151</v>
      </c>
      <c r="J109" s="20" t="n">
        <v>8023</v>
      </c>
      <c r="K109" s="20" t="n">
        <v>7828</v>
      </c>
      <c r="L109" s="20" t="n">
        <v>12388</v>
      </c>
      <c r="M109" s="20" t="n">
        <v>8876</v>
      </c>
      <c r="N109" s="20" t="n">
        <v>10732</v>
      </c>
      <c r="T109" s="20" t="n">
        <v>4710</v>
      </c>
      <c r="U109" s="20" t="n">
        <v>-1195</v>
      </c>
      <c r="V109" s="20" t="n">
        <v>5632</v>
      </c>
      <c r="W109" s="20" t="n">
        <v>7676</v>
      </c>
      <c r="X109" s="20" t="n">
        <v>12388</v>
      </c>
    </row>
    <row r="110">
      <c r="A110" s="18" t="inlineStr">
        <is>
          <t>기타</t>
        </is>
      </c>
      <c r="C110" s="20" t="n">
        <v>2546</v>
      </c>
      <c r="D110" s="20" t="n">
        <v>4481</v>
      </c>
      <c r="E110" s="20" t="n">
        <v>6230</v>
      </c>
      <c r="F110" s="20" t="n">
        <v>2164</v>
      </c>
      <c r="G110" s="20" t="n">
        <v>4009</v>
      </c>
      <c r="H110" s="20" t="n">
        <v>1550</v>
      </c>
      <c r="I110" s="20" t="n">
        <v>4996</v>
      </c>
      <c r="J110" s="20" t="n">
        <v>2222</v>
      </c>
      <c r="K110" s="20" t="n">
        <v>1438</v>
      </c>
      <c r="L110" s="20" t="n">
        <v>7318</v>
      </c>
      <c r="M110" s="20" t="n">
        <v>4017</v>
      </c>
      <c r="N110" s="20" t="n">
        <v>3407</v>
      </c>
      <c r="T110" s="20" t="n">
        <v>2246</v>
      </c>
      <c r="U110" s="20" t="n">
        <v>4002</v>
      </c>
      <c r="V110" s="20" t="n">
        <v>4481</v>
      </c>
      <c r="W110" s="20" t="n">
        <v>1550</v>
      </c>
      <c r="X110" s="20" t="n">
        <v>7318</v>
      </c>
    </row>
    <row r="111">
      <c r="A111" s="18" t="inlineStr">
        <is>
          <t>영업외수익 합계</t>
        </is>
      </c>
      <c r="C111" s="20" t="n">
        <v>13022</v>
      </c>
      <c r="D111" s="20" t="n">
        <v>11873</v>
      </c>
      <c r="E111" s="20" t="n">
        <v>19395</v>
      </c>
      <c r="F111" s="20" t="n">
        <v>12836</v>
      </c>
      <c r="G111" s="20" t="n">
        <v>-2918</v>
      </c>
      <c r="H111" s="20" t="n">
        <v>11383</v>
      </c>
      <c r="I111" s="20" t="n">
        <v>12200</v>
      </c>
      <c r="J111" s="20" t="n">
        <v>12437</v>
      </c>
      <c r="K111" s="20" t="n">
        <v>12454</v>
      </c>
      <c r="L111" s="20" t="n">
        <v>21525</v>
      </c>
      <c r="M111" s="20" t="n">
        <v>17974</v>
      </c>
      <c r="N111" s="20" t="n">
        <v>16454</v>
      </c>
      <c r="T111" s="20" t="n">
        <v>7523</v>
      </c>
      <c r="U111" s="20" t="n">
        <v>3836</v>
      </c>
      <c r="V111" s="20" t="n">
        <v>11873</v>
      </c>
      <c r="W111" s="20" t="n">
        <v>11383</v>
      </c>
      <c r="X111" s="20" t="n">
        <v>21525</v>
      </c>
    </row>
    <row r="112">
      <c r="A112" s="43" t="inlineStr">
        <is>
          <t>YoY</t>
        </is>
      </c>
      <c r="B112" s="3" t="inlineStr">
        <is>
          <t>전년 같은 분기·전년 대비</t>
        </is>
      </c>
      <c r="G112" s="15">
        <f>IF(OR(G111="",C111=""),"",IF(G111*C111&lt;=0,"",IFERROR(G111/C111-1,"")))</f>
        <v/>
      </c>
      <c r="H112" s="15">
        <f>IF(OR(H111="",D111=""),"",IF(H111*D111&lt;=0,"",IFERROR(H111/D111-1,"")))</f>
        <v/>
      </c>
      <c r="I112" s="15">
        <f>IF(OR(I111="",E111=""),"",IF(I111*E111&lt;=0,"",IFERROR(I111/E111-1,"")))</f>
        <v/>
      </c>
      <c r="J112" s="15">
        <f>IF(OR(J111="",F111=""),"",IF(J111*F111&lt;=0,"",IFERROR(J111/F111-1,"")))</f>
        <v/>
      </c>
      <c r="K112" s="15">
        <f>IF(OR(K111="",G111=""),"",IF(K111*G111&lt;=0,"",IFERROR(K111/G111-1,"")))</f>
        <v/>
      </c>
      <c r="L112" s="15">
        <f>IF(OR(L111="",H111=""),"",IF(L111*H111&lt;=0,"",IFERROR(L111/H111-1,"")))</f>
        <v/>
      </c>
      <c r="M112" s="15">
        <f>IF(OR(M111="",I111=""),"",IF(M111*I111&lt;=0,"",IFERROR(M111/I111-1,"")))</f>
        <v/>
      </c>
      <c r="N112" s="15">
        <f>IF(OR(N111="",J111=""),"",IF(N111*J111&lt;=0,"",IFERROR(N111/J111-1,"")))</f>
        <v/>
      </c>
      <c r="T112" s="15">
        <f>IF(OR(T111="",S111=""),"",IF(T111*S111&lt;=0,"",IFERROR(T111/S111-1,"")))</f>
        <v/>
      </c>
      <c r="U112" s="15">
        <f>IF(OR(U111="",T111=""),"",IF(U111*T111&lt;=0,"",IFERROR(U111/T111-1,"")))</f>
        <v/>
      </c>
      <c r="V112" s="15">
        <f>IF(OR(V111="",U111=""),"",IF(V111*U111&lt;=0,"",IFERROR(V111/U111-1,"")))</f>
        <v/>
      </c>
      <c r="W112" s="15">
        <f>IF(OR(W111="",V111=""),"",IF(W111*V111&lt;=0,"",IFERROR(W111/V111-1,"")))</f>
        <v/>
      </c>
      <c r="X112" s="15">
        <f>IF(OR(X111="",W111=""),"",IF(X111*W111&lt;=0,"",IFERROR(X111/W111-1,"")))</f>
        <v/>
      </c>
    </row>
    <row r="113">
      <c r="A113" s="18" t="inlineStr">
        <is>
          <t>이자비용</t>
        </is>
      </c>
      <c r="C113" s="20" t="n">
        <v>7430</v>
      </c>
      <c r="D113" s="20" t="n">
        <v>7991</v>
      </c>
      <c r="E113" s="20" t="n">
        <v>7994</v>
      </c>
      <c r="F113" s="20" t="n">
        <v>7917</v>
      </c>
      <c r="G113" s="20" t="n">
        <v>7208</v>
      </c>
      <c r="H113" s="20" t="n">
        <v>6630</v>
      </c>
      <c r="I113" s="20" t="n">
        <v>6013</v>
      </c>
      <c r="J113" s="20" t="n">
        <v>5918</v>
      </c>
      <c r="K113" s="20" t="n">
        <v>5702</v>
      </c>
      <c r="L113" s="20" t="n">
        <v>6084</v>
      </c>
      <c r="M113" s="20" t="n">
        <v>5449</v>
      </c>
      <c r="N113" s="20" t="n">
        <v>5932</v>
      </c>
      <c r="T113" s="20" t="n">
        <v>1445</v>
      </c>
      <c r="U113" s="20" t="n">
        <v>5827</v>
      </c>
      <c r="V113" s="20" t="n">
        <v>7991</v>
      </c>
      <c r="W113" s="20" t="n">
        <v>6630</v>
      </c>
      <c r="X113" s="20" t="n">
        <v>6084</v>
      </c>
    </row>
    <row r="114">
      <c r="A114" s="18" t="inlineStr">
        <is>
          <t>기타</t>
        </is>
      </c>
      <c r="C114" s="20" t="n">
        <v>7913</v>
      </c>
      <c r="D114" s="20" t="n">
        <v>6268</v>
      </c>
      <c r="E114" s="20" t="n">
        <v>5893</v>
      </c>
      <c r="F114" s="20" t="n">
        <v>8038</v>
      </c>
      <c r="G114" s="20" t="n">
        <v>1143</v>
      </c>
      <c r="H114" s="20" t="n">
        <v>7040</v>
      </c>
      <c r="I114" s="20" t="n">
        <v>4651</v>
      </c>
      <c r="J114" s="20" t="n">
        <v>5560</v>
      </c>
      <c r="K114" s="20" t="n">
        <v>3833</v>
      </c>
      <c r="L114" s="20" t="n">
        <v>7754</v>
      </c>
      <c r="M114" s="20" t="n">
        <v>6545</v>
      </c>
      <c r="N114" s="20" t="n">
        <v>4828</v>
      </c>
      <c r="T114" s="20" t="n">
        <v>5094</v>
      </c>
      <c r="U114" s="20" t="n">
        <v>8372</v>
      </c>
      <c r="V114" s="20" t="n">
        <v>6268</v>
      </c>
      <c r="W114" s="20" t="n">
        <v>7040</v>
      </c>
      <c r="X114" s="20" t="n">
        <v>7754</v>
      </c>
    </row>
    <row r="115">
      <c r="A115" s="18" t="inlineStr">
        <is>
          <t>영업외비용 합계</t>
        </is>
      </c>
      <c r="C115" s="20" t="n">
        <v>15343</v>
      </c>
      <c r="D115" s="20" t="n">
        <v>14259</v>
      </c>
      <c r="E115" s="20" t="n">
        <v>13887</v>
      </c>
      <c r="F115" s="20" t="n">
        <v>15955</v>
      </c>
      <c r="G115" s="20" t="n">
        <v>8351</v>
      </c>
      <c r="H115" s="20" t="n">
        <v>13670</v>
      </c>
      <c r="I115" s="20" t="n">
        <v>10664</v>
      </c>
      <c r="J115" s="20" t="n">
        <v>11478</v>
      </c>
      <c r="K115" s="20" t="n">
        <v>9535</v>
      </c>
      <c r="L115" s="20" t="n">
        <v>13838</v>
      </c>
      <c r="M115" s="20" t="n">
        <v>11994</v>
      </c>
      <c r="N115" s="20" t="n">
        <v>10760</v>
      </c>
      <c r="T115" s="20" t="n">
        <v>6539</v>
      </c>
      <c r="U115" s="20" t="n">
        <v>14199</v>
      </c>
      <c r="V115" s="20" t="n">
        <v>14259</v>
      </c>
      <c r="W115" s="20" t="n">
        <v>13670</v>
      </c>
      <c r="X115" s="20" t="n">
        <v>13838</v>
      </c>
    </row>
    <row r="116">
      <c r="A116" s="43" t="inlineStr">
        <is>
          <t>YoY</t>
        </is>
      </c>
      <c r="B116" s="3" t="inlineStr">
        <is>
          <t>전년 같은 분기·전년 대비</t>
        </is>
      </c>
      <c r="G116" s="15">
        <f>IF(OR(G115="",C115=""),"",IF(G115*C115&lt;=0,"",IFERROR(G115/C115-1,"")))</f>
        <v/>
      </c>
      <c r="H116" s="15">
        <f>IF(OR(H115="",D115=""),"",IF(H115*D115&lt;=0,"",IFERROR(H115/D115-1,"")))</f>
        <v/>
      </c>
      <c r="I116" s="15">
        <f>IF(OR(I115="",E115=""),"",IF(I115*E115&lt;=0,"",IFERROR(I115/E115-1,"")))</f>
        <v/>
      </c>
      <c r="J116" s="15">
        <f>IF(OR(J115="",F115=""),"",IF(J115*F115&lt;=0,"",IFERROR(J115/F115-1,"")))</f>
        <v/>
      </c>
      <c r="K116" s="15">
        <f>IF(OR(K115="",G115=""),"",IF(K115*G115&lt;=0,"",IFERROR(K115/G115-1,"")))</f>
        <v/>
      </c>
      <c r="L116" s="15">
        <f>IF(OR(L115="",H115=""),"",IF(L115*H115&lt;=0,"",IFERROR(L115/H115-1,"")))</f>
        <v/>
      </c>
      <c r="M116" s="15">
        <f>IF(OR(M115="",I115=""),"",IF(M115*I115&lt;=0,"",IFERROR(M115/I115-1,"")))</f>
        <v/>
      </c>
      <c r="N116" s="15">
        <f>IF(OR(N115="",J115=""),"",IF(N115*J115&lt;=0,"",IFERROR(N115/J115-1,"")))</f>
        <v/>
      </c>
      <c r="T116" s="15">
        <f>IF(OR(T115="",S115=""),"",IF(T115*S115&lt;=0,"",IFERROR(T115/S115-1,"")))</f>
        <v/>
      </c>
      <c r="U116" s="15">
        <f>IF(OR(U115="",T115=""),"",IF(U115*T115&lt;=0,"",IFERROR(U115/T115-1,"")))</f>
        <v/>
      </c>
      <c r="V116" s="15">
        <f>IF(OR(V115="",U115=""),"",IF(V115*U115&lt;=0,"",IFERROR(V115/U115-1,"")))</f>
        <v/>
      </c>
      <c r="W116" s="15">
        <f>IF(OR(W115="",V115=""),"",IF(W115*V115&lt;=0,"",IFERROR(W115/V115-1,"")))</f>
        <v/>
      </c>
      <c r="X116" s="15">
        <f>IF(OR(X115="",W115=""),"",IF(X115*W115&lt;=0,"",IFERROR(X115/W115-1,"")))</f>
        <v/>
      </c>
    </row>
    <row r="117">
      <c r="A117" s="9" t="inlineStr">
        <is>
          <t>경상이익</t>
        </is>
      </c>
      <c r="C117" s="12" t="n">
        <v>78682</v>
      </c>
      <c r="D117" s="12" t="n">
        <v>75900</v>
      </c>
      <c r="E117" s="12" t="n">
        <v>58793</v>
      </c>
      <c r="F117" s="12" t="n">
        <v>62911</v>
      </c>
      <c r="G117" s="12" t="n">
        <v>76255</v>
      </c>
      <c r="H117" s="12" t="n">
        <v>111537</v>
      </c>
      <c r="I117" s="12" t="n">
        <v>61837</v>
      </c>
      <c r="J117" s="12" t="n">
        <v>93679</v>
      </c>
      <c r="K117" s="12" t="n">
        <v>120943</v>
      </c>
      <c r="L117" s="12" t="n">
        <v>154815</v>
      </c>
      <c r="M117" s="12" t="n">
        <v>103039</v>
      </c>
      <c r="N117" s="12" t="n">
        <v>128202</v>
      </c>
      <c r="T117" s="12" t="n">
        <v>46682</v>
      </c>
      <c r="U117" s="12" t="n">
        <v>72255</v>
      </c>
      <c r="V117" s="12" t="n">
        <v>75900</v>
      </c>
      <c r="W117" s="12" t="n">
        <v>111537</v>
      </c>
      <c r="X117" s="12" t="n">
        <v>154815</v>
      </c>
    </row>
    <row r="118">
      <c r="A118" s="43" t="inlineStr">
        <is>
          <t>YoY</t>
        </is>
      </c>
      <c r="B118" s="3" t="inlineStr">
        <is>
          <t>전년 같은 분기·전년 대비</t>
        </is>
      </c>
      <c r="G118" s="15">
        <f>IF(OR(G117="",C117=""),"",IF(C117&lt;=0,"",IFERROR(G117/C117-1,"")))</f>
        <v/>
      </c>
      <c r="H118" s="15">
        <f>IF(OR(H117="",D117=""),"",IF(D117&lt;=0,"",IFERROR(H117/D117-1,"")))</f>
        <v/>
      </c>
      <c r="I118" s="15">
        <f>IF(OR(I117="",E117=""),"",IF(E117&lt;=0,"",IFERROR(I117/E117-1,"")))</f>
        <v/>
      </c>
      <c r="J118" s="15">
        <f>IF(OR(J117="",F117=""),"",IF(F117&lt;=0,"",IFERROR(J117/F117-1,"")))</f>
        <v/>
      </c>
      <c r="K118" s="15">
        <f>IF(OR(K117="",G117=""),"",IF(G117&lt;=0,"",IFERROR(K117/G117-1,"")))</f>
        <v/>
      </c>
      <c r="L118" s="15">
        <f>IF(OR(L117="",H117=""),"",IF(H117&lt;=0,"",IFERROR(L117/H117-1,"")))</f>
        <v/>
      </c>
      <c r="M118" s="15">
        <f>IF(OR(M117="",I117=""),"",IF(I117&lt;=0,"",IFERROR(M117/I117-1,"")))</f>
        <v/>
      </c>
      <c r="N118" s="15">
        <f>IF(OR(N117="",J117=""),"",IF(J117&lt;=0,"",IFERROR(N117/J117-1,"")))</f>
        <v/>
      </c>
      <c r="T118" s="15">
        <f>IF(OR(T117="",S117=""),"",IF(S117&lt;=0,"",IFERROR(T117/S117-1,"")))</f>
        <v/>
      </c>
      <c r="U118" s="15">
        <f>IF(OR(U117="",T117=""),"",IF(T117&lt;=0,"",IFERROR(U117/T117-1,"")))</f>
        <v/>
      </c>
      <c r="V118" s="15">
        <f>IF(OR(V117="",U117=""),"",IF(U117&lt;=0,"",IFERROR(V117/U117-1,"")))</f>
        <v/>
      </c>
      <c r="W118" s="15">
        <f>IF(OR(W117="",V117=""),"",IF(V117&lt;=0,"",IFERROR(W117/V117-1,"")))</f>
        <v/>
      </c>
      <c r="X118" s="15">
        <f>IF(OR(X117="",W117=""),"",IF(W117&lt;=0,"",IFERROR(X117/W117-1,"")))</f>
        <v/>
      </c>
    </row>
    <row r="119">
      <c r="A119" s="18" t="inlineStr">
        <is>
          <t>투자유가증권 매각이익</t>
        </is>
      </c>
      <c r="C119" s="20" t="n">
        <v>1053</v>
      </c>
      <c r="D119" s="20" t="n">
        <v>63332</v>
      </c>
      <c r="G119" s="20" t="n">
        <v>4088</v>
      </c>
      <c r="H119" s="20" t="n">
        <v>4817</v>
      </c>
      <c r="K119" s="20" t="n">
        <v>2577</v>
      </c>
      <c r="L119" s="20" t="n">
        <v>6058</v>
      </c>
      <c r="T119" s="20" t="n">
        <v>11194</v>
      </c>
      <c r="U119" s="20" t="n">
        <v>23331</v>
      </c>
      <c r="V119" s="20" t="n">
        <v>63332</v>
      </c>
      <c r="W119" s="20" t="n">
        <v>4817</v>
      </c>
      <c r="X119" s="20" t="n">
        <v>6058</v>
      </c>
    </row>
    <row r="120">
      <c r="A120" s="18" t="inlineStr">
        <is>
          <t>관계회사 주식 매각이익</t>
        </is>
      </c>
      <c r="H120" s="20" t="n">
        <v>0</v>
      </c>
      <c r="L120" s="20" t="n">
        <v>74767</v>
      </c>
      <c r="W120" s="20" t="n">
        <v>0</v>
      </c>
      <c r="X120" s="20" t="n">
        <v>74767</v>
      </c>
    </row>
    <row r="121">
      <c r="A121" s="18" t="inlineStr">
        <is>
          <t>고정자산 매각이익</t>
        </is>
      </c>
      <c r="C121" s="20" t="n">
        <v>0</v>
      </c>
      <c r="D121" s="20" t="n">
        <v>0</v>
      </c>
      <c r="G121" s="20" t="n">
        <v>0</v>
      </c>
      <c r="H121" s="20" t="n">
        <v>2135</v>
      </c>
      <c r="K121" s="20" t="n">
        <v>2354</v>
      </c>
      <c r="L121" s="20" t="n">
        <v>3639</v>
      </c>
      <c r="T121" s="20" t="n">
        <v>2666</v>
      </c>
      <c r="U121" s="20" t="n">
        <v>1242</v>
      </c>
      <c r="V121" s="20" t="n">
        <v>0</v>
      </c>
      <c r="W121" s="20" t="n">
        <v>2135</v>
      </c>
      <c r="X121" s="20" t="n">
        <v>3639</v>
      </c>
    </row>
    <row r="122">
      <c r="A122" s="18" t="inlineStr">
        <is>
          <t>화재 관련 수취 보험금 및 보상금</t>
        </is>
      </c>
      <c r="C122" s="20" t="n">
        <v>0</v>
      </c>
      <c r="D122" s="20" t="n">
        <v>0</v>
      </c>
      <c r="T122" s="20" t="n">
        <v>2668</v>
      </c>
      <c r="U122" s="20" t="n">
        <v>0</v>
      </c>
      <c r="V122" s="20" t="n">
        <v>0</v>
      </c>
    </row>
    <row r="123">
      <c r="A123" s="18" t="inlineStr">
        <is>
          <t>자회사 주식 매각이익</t>
        </is>
      </c>
      <c r="T123" s="20" t="n">
        <v>-12</v>
      </c>
      <c r="U123" s="20" t="n">
        <v>0</v>
      </c>
    </row>
    <row r="124">
      <c r="A124" s="18" t="inlineStr">
        <is>
          <t>특별이익 합계</t>
        </is>
      </c>
      <c r="C124" s="20" t="n">
        <v>1053</v>
      </c>
      <c r="D124" s="20" t="n">
        <v>63332</v>
      </c>
      <c r="G124" s="20" t="n">
        <v>4088</v>
      </c>
      <c r="H124" s="20" t="n">
        <v>19871</v>
      </c>
      <c r="K124" s="20" t="n">
        <v>9318</v>
      </c>
      <c r="L124" s="20" t="n">
        <v>84464</v>
      </c>
      <c r="T124" s="20" t="n">
        <v>34926</v>
      </c>
      <c r="U124" s="20" t="n">
        <v>24573</v>
      </c>
      <c r="V124" s="20" t="n">
        <v>63332</v>
      </c>
      <c r="W124" s="20" t="n">
        <v>19871</v>
      </c>
      <c r="X124" s="20" t="n">
        <v>84464</v>
      </c>
    </row>
    <row r="125">
      <c r="A125" s="43" t="inlineStr">
        <is>
          <t>YoY</t>
        </is>
      </c>
      <c r="B125" s="3" t="inlineStr">
        <is>
          <t>전년 같은 분기·전년 대비</t>
        </is>
      </c>
      <c r="G125" s="15">
        <f>IF(OR(G124="",C124=""),"",IF(G124*C124&lt;=0,"",IFERROR(G124/C124-1,"")))</f>
        <v/>
      </c>
      <c r="H125" s="15">
        <f>IF(OR(H124="",D124=""),"",IF(H124*D124&lt;=0,"",IFERROR(H124/D124-1,"")))</f>
        <v/>
      </c>
      <c r="K125" s="15">
        <f>IF(OR(K124="",G124=""),"",IF(K124*G124&lt;=0,"",IFERROR(K124/G124-1,"")))</f>
        <v/>
      </c>
      <c r="L125" s="15">
        <f>IF(OR(L124="",H124=""),"",IF(L124*H124&lt;=0,"",IFERROR(L124/H124-1,"")))</f>
        <v/>
      </c>
      <c r="T125" s="15">
        <f>IF(OR(T124="",S124=""),"",IF(T124*S124&lt;=0,"",IFERROR(T124/S124-1,"")))</f>
        <v/>
      </c>
      <c r="U125" s="15">
        <f>IF(OR(U124="",T124=""),"",IF(U124*T124&lt;=0,"",IFERROR(U124/T124-1,"")))</f>
        <v/>
      </c>
      <c r="V125" s="15">
        <f>IF(OR(V124="",U124=""),"",IF(V124*U124&lt;=0,"",IFERROR(V124/U124-1,"")))</f>
        <v/>
      </c>
      <c r="W125" s="15">
        <f>IF(OR(W124="",V124=""),"",IF(W124*V124&lt;=0,"",IFERROR(W124/V124-1,"")))</f>
        <v/>
      </c>
      <c r="X125" s="15">
        <f>IF(OR(X124="",W124=""),"",IF(X124*W124&lt;=0,"",IFERROR(X124/W124-1,"")))</f>
        <v/>
      </c>
    </row>
    <row r="126">
      <c r="A126" s="18" t="inlineStr">
        <is>
          <t>고정자산 제각손실</t>
        </is>
      </c>
      <c r="C126" s="20" t="n">
        <v>735</v>
      </c>
      <c r="D126" s="20" t="n">
        <v>3875</v>
      </c>
      <c r="E126" s="20" t="n">
        <v>516</v>
      </c>
      <c r="F126" s="20" t="n">
        <v>793</v>
      </c>
      <c r="G126" s="20" t="n">
        <v>680</v>
      </c>
      <c r="H126" s="20" t="n">
        <v>2307</v>
      </c>
      <c r="I126" s="20" t="n">
        <v>638</v>
      </c>
      <c r="J126" s="20" t="n">
        <v>1129</v>
      </c>
      <c r="K126" s="20" t="n">
        <v>877</v>
      </c>
      <c r="L126" s="20" t="n">
        <v>2737</v>
      </c>
      <c r="M126" s="20" t="n">
        <v>658</v>
      </c>
      <c r="N126" s="20" t="n">
        <v>1124</v>
      </c>
      <c r="T126" s="20" t="n">
        <v>1182</v>
      </c>
      <c r="U126" s="20" t="n">
        <v>1308</v>
      </c>
      <c r="V126" s="20" t="n">
        <v>3875</v>
      </c>
      <c r="W126" s="20" t="n">
        <v>2307</v>
      </c>
      <c r="X126" s="20" t="n">
        <v>2737</v>
      </c>
    </row>
    <row r="127">
      <c r="A127" s="18" t="inlineStr">
        <is>
          <t>사업구조개선비용</t>
        </is>
      </c>
      <c r="C127" s="20" t="n">
        <v>580</v>
      </c>
      <c r="D127" s="20" t="n">
        <v>9573</v>
      </c>
      <c r="G127" s="20" t="n">
        <v>7293</v>
      </c>
      <c r="H127" s="20" t="n">
        <v>14778</v>
      </c>
      <c r="L127" s="20" t="n">
        <v>4266</v>
      </c>
      <c r="T127" s="20" t="n">
        <v>5405</v>
      </c>
      <c r="U127" s="20" t="n">
        <v>4242</v>
      </c>
      <c r="V127" s="20" t="n">
        <v>9573</v>
      </c>
      <c r="W127" s="20" t="n">
        <v>14778</v>
      </c>
      <c r="X127" s="20" t="n">
        <v>4266</v>
      </c>
    </row>
    <row r="128">
      <c r="A128" s="18" t="inlineStr">
        <is>
          <t>화재 관련 손실</t>
        </is>
      </c>
      <c r="C128" s="20" t="n">
        <v>0</v>
      </c>
      <c r="D128" s="20" t="n">
        <v>0</v>
      </c>
      <c r="T128" s="20" t="n">
        <v>2952</v>
      </c>
      <c r="U128" s="20" t="n">
        <v>0</v>
      </c>
      <c r="V128" s="20" t="n">
        <v>0</v>
      </c>
    </row>
    <row r="129">
      <c r="A129" s="18" t="inlineStr">
        <is>
          <t>특별손실 합계</t>
        </is>
      </c>
      <c r="C129" s="20" t="n">
        <v>1315</v>
      </c>
      <c r="D129" s="20" t="n">
        <v>35631</v>
      </c>
      <c r="E129" s="20" t="n">
        <v>516</v>
      </c>
      <c r="F129" s="20" t="n">
        <v>793</v>
      </c>
      <c r="G129" s="20" t="n">
        <v>7973</v>
      </c>
      <c r="H129" s="20" t="n">
        <v>22289</v>
      </c>
      <c r="I129" s="20" t="n">
        <v>638</v>
      </c>
      <c r="J129" s="20" t="n">
        <v>1129</v>
      </c>
      <c r="K129" s="20" t="n">
        <v>8360</v>
      </c>
      <c r="L129" s="20" t="n">
        <v>14137</v>
      </c>
      <c r="M129" s="20" t="n">
        <v>658</v>
      </c>
      <c r="N129" s="20" t="n">
        <v>1124</v>
      </c>
      <c r="T129" s="20" t="n">
        <v>15995</v>
      </c>
      <c r="U129" s="20" t="n">
        <v>8373</v>
      </c>
      <c r="V129" s="20" t="n">
        <v>35631</v>
      </c>
      <c r="W129" s="20" t="n">
        <v>22289</v>
      </c>
      <c r="X129" s="20" t="n">
        <v>14137</v>
      </c>
    </row>
    <row r="130">
      <c r="A130" s="43" t="inlineStr">
        <is>
          <t>YoY</t>
        </is>
      </c>
      <c r="B130" s="3" t="inlineStr">
        <is>
          <t>전년 같은 분기·전년 대비</t>
        </is>
      </c>
      <c r="G130" s="15">
        <f>IF(OR(G129="",C129=""),"",IF(G129*C129&lt;=0,"",IFERROR(G129/C129-1,"")))</f>
        <v/>
      </c>
      <c r="H130" s="15">
        <f>IF(OR(H129="",D129=""),"",IF(H129*D129&lt;=0,"",IFERROR(H129/D129-1,"")))</f>
        <v/>
      </c>
      <c r="I130" s="15">
        <f>IF(OR(I129="",E129=""),"",IF(I129*E129&lt;=0,"",IFERROR(I129/E129-1,"")))</f>
        <v/>
      </c>
      <c r="J130" s="15">
        <f>IF(OR(J129="",F129=""),"",IF(J129*F129&lt;=0,"",IFERROR(J129/F129-1,"")))</f>
        <v/>
      </c>
      <c r="K130" s="15">
        <f>IF(OR(K129="",G129=""),"",IF(K129*G129&lt;=0,"",IFERROR(K129/G129-1,"")))</f>
        <v/>
      </c>
      <c r="L130" s="15">
        <f>IF(OR(L129="",H129=""),"",IF(L129*H129&lt;=0,"",IFERROR(L129/H129-1,"")))</f>
        <v/>
      </c>
      <c r="M130" s="15">
        <f>IF(OR(M129="",I129=""),"",IF(M129*I129&lt;=0,"",IFERROR(M129/I129-1,"")))</f>
        <v/>
      </c>
      <c r="N130" s="15">
        <f>IF(OR(N129="",J129=""),"",IF(N129*J129&lt;=0,"",IFERROR(N129/J129-1,"")))</f>
        <v/>
      </c>
      <c r="T130" s="15">
        <f>IF(OR(T129="",S129=""),"",IF(T129*S129&lt;=0,"",IFERROR(T129/S129-1,"")))</f>
        <v/>
      </c>
      <c r="U130" s="15">
        <f>IF(OR(U129="",T129=""),"",IF(U129*T129&lt;=0,"",IFERROR(U129/T129-1,"")))</f>
        <v/>
      </c>
      <c r="V130" s="15">
        <f>IF(OR(V129="",U129=""),"",IF(V129*U129&lt;=0,"",IFERROR(V129/U129-1,"")))</f>
        <v/>
      </c>
      <c r="W130" s="15">
        <f>IF(OR(W129="",V129=""),"",IF(W129*V129&lt;=0,"",IFERROR(W129/V129-1,"")))</f>
        <v/>
      </c>
      <c r="X130" s="15">
        <f>IF(OR(X129="",W129=""),"",IF(X129*W129&lt;=0,"",IFERROR(X129/W129-1,"")))</f>
        <v/>
      </c>
    </row>
    <row r="131">
      <c r="A131" s="9" t="inlineStr">
        <is>
          <t>법인세차감전 순이익</t>
        </is>
      </c>
      <c r="C131" s="12" t="n">
        <v>78420</v>
      </c>
      <c r="D131" s="12" t="n">
        <v>103601</v>
      </c>
      <c r="E131" s="12" t="n">
        <v>58277</v>
      </c>
      <c r="F131" s="12" t="n">
        <v>64298</v>
      </c>
      <c r="G131" s="12" t="n">
        <v>72370</v>
      </c>
      <c r="H131" s="12" t="n">
        <v>109119</v>
      </c>
      <c r="I131" s="12" t="n">
        <v>61199</v>
      </c>
      <c r="J131" s="12" t="n">
        <v>96917</v>
      </c>
      <c r="K131" s="12" t="n">
        <v>121901</v>
      </c>
      <c r="L131" s="12" t="n">
        <v>225142</v>
      </c>
      <c r="M131" s="12" t="n">
        <v>102381</v>
      </c>
      <c r="N131" s="12" t="n">
        <v>133886</v>
      </c>
      <c r="T131" s="12" t="n">
        <v>65613</v>
      </c>
      <c r="U131" s="12" t="n">
        <v>88455</v>
      </c>
      <c r="V131" s="12" t="n">
        <v>103601</v>
      </c>
      <c r="W131" s="12" t="n">
        <v>109119</v>
      </c>
      <c r="X131" s="12" t="n">
        <v>225142</v>
      </c>
    </row>
    <row r="132">
      <c r="A132" s="43" t="inlineStr">
        <is>
          <t>YoY</t>
        </is>
      </c>
      <c r="B132" s="3" t="inlineStr">
        <is>
          <t>전년 같은 분기·전년 대비</t>
        </is>
      </c>
      <c r="G132" s="15">
        <f>IF(OR(G131="",C131=""),"",IF(C131&lt;=0,"",IFERROR(G131/C131-1,"")))</f>
        <v/>
      </c>
      <c r="H132" s="15">
        <f>IF(OR(H131="",D131=""),"",IF(D131&lt;=0,"",IFERROR(H131/D131-1,"")))</f>
        <v/>
      </c>
      <c r="I132" s="15">
        <f>IF(OR(I131="",E131=""),"",IF(E131&lt;=0,"",IFERROR(I131/E131-1,"")))</f>
        <v/>
      </c>
      <c r="J132" s="15">
        <f>IF(OR(J131="",F131=""),"",IF(F131&lt;=0,"",IFERROR(J131/F131-1,"")))</f>
        <v/>
      </c>
      <c r="K132" s="15">
        <f>IF(OR(K131="",G131=""),"",IF(G131&lt;=0,"",IFERROR(K131/G131-1,"")))</f>
        <v/>
      </c>
      <c r="L132" s="15">
        <f>IF(OR(L131="",H131=""),"",IF(H131&lt;=0,"",IFERROR(L131/H131-1,"")))</f>
        <v/>
      </c>
      <c r="M132" s="15">
        <f>IF(OR(M131="",I131=""),"",IF(I131&lt;=0,"",IFERROR(M131/I131-1,"")))</f>
        <v/>
      </c>
      <c r="N132" s="15">
        <f>IF(OR(N131="",J131=""),"",IF(J131&lt;=0,"",IFERROR(N131/J131-1,"")))</f>
        <v/>
      </c>
      <c r="T132" s="15">
        <f>IF(OR(T131="",S131=""),"",IF(S131&lt;=0,"",IFERROR(T131/S131-1,"")))</f>
        <v/>
      </c>
      <c r="U132" s="15">
        <f>IF(OR(U131="",T131=""),"",IF(T131&lt;=0,"",IFERROR(U131/T131-1,"")))</f>
        <v/>
      </c>
      <c r="V132" s="15">
        <f>IF(OR(V131="",U131=""),"",IF(U131&lt;=0,"",IFERROR(V131/U131-1,"")))</f>
        <v/>
      </c>
      <c r="W132" s="15">
        <f>IF(OR(W131="",V131=""),"",IF(V131&lt;=0,"",IFERROR(W131/V131-1,"")))</f>
        <v/>
      </c>
      <c r="X132" s="15">
        <f>IF(OR(X131="",W131=""),"",IF(W131&lt;=0,"",IFERROR(X131/W131-1,"")))</f>
        <v/>
      </c>
    </row>
    <row r="133">
      <c r="A133" s="18" t="inlineStr">
        <is>
          <t>법인세 등</t>
        </is>
      </c>
      <c r="C133" s="20" t="n">
        <v>20493</v>
      </c>
      <c r="D133" s="20" t="n">
        <v>26906</v>
      </c>
      <c r="E133" s="20" t="n">
        <v>21016</v>
      </c>
      <c r="F133" s="20" t="n">
        <v>14850</v>
      </c>
      <c r="G133" s="20" t="n">
        <v>24528</v>
      </c>
      <c r="H133" s="20" t="n">
        <v>21844</v>
      </c>
      <c r="I133" s="20" t="n">
        <v>20262</v>
      </c>
      <c r="J133" s="20" t="n">
        <v>26684</v>
      </c>
      <c r="K133" s="20" t="n">
        <v>33234</v>
      </c>
      <c r="L133" s="20" t="n">
        <v>23833</v>
      </c>
      <c r="M133" s="20" t="n">
        <v>33375</v>
      </c>
      <c r="N133" s="20" t="n">
        <v>39167</v>
      </c>
      <c r="T133" s="20" t="n">
        <v>14998</v>
      </c>
      <c r="U133" s="20" t="n">
        <v>19925</v>
      </c>
      <c r="V133" s="20" t="n">
        <v>26906</v>
      </c>
      <c r="W133" s="20" t="n">
        <v>21844</v>
      </c>
      <c r="X133" s="20" t="n">
        <v>23833</v>
      </c>
    </row>
    <row r="134">
      <c r="A134" s="43" t="inlineStr">
        <is>
          <t>YoY</t>
        </is>
      </c>
      <c r="B134" s="3" t="inlineStr">
        <is>
          <t>전년 같은 분기·전년 대비</t>
        </is>
      </c>
      <c r="G134" s="15">
        <f>IF(OR(G133="",C133=""),"",IF(G133*C133&lt;=0,"",IFERROR(G133/C133-1,"")))</f>
        <v/>
      </c>
      <c r="H134" s="15">
        <f>IF(OR(H133="",D133=""),"",IF(H133*D133&lt;=0,"",IFERROR(H133/D133-1,"")))</f>
        <v/>
      </c>
      <c r="I134" s="15">
        <f>IF(OR(I133="",E133=""),"",IF(I133*E133&lt;=0,"",IFERROR(I133/E133-1,"")))</f>
        <v/>
      </c>
      <c r="J134" s="15">
        <f>IF(OR(J133="",F133=""),"",IF(J133*F133&lt;=0,"",IFERROR(J133/F133-1,"")))</f>
        <v/>
      </c>
      <c r="K134" s="15">
        <f>IF(OR(K133="",G133=""),"",IF(K133*G133&lt;=0,"",IFERROR(K133/G133-1,"")))</f>
        <v/>
      </c>
      <c r="L134" s="15">
        <f>IF(OR(L133="",H133=""),"",IF(L133*H133&lt;=0,"",IFERROR(L133/H133-1,"")))</f>
        <v/>
      </c>
      <c r="M134" s="15">
        <f>IF(OR(M133="",I133=""),"",IF(M133*I133&lt;=0,"",IFERROR(M133/I133-1,"")))</f>
        <v/>
      </c>
      <c r="N134" s="15">
        <f>IF(OR(N133="",J133=""),"",IF(N133*J133&lt;=0,"",IFERROR(N133/J133-1,"")))</f>
        <v/>
      </c>
      <c r="T134" s="15">
        <f>IF(OR(T133="",S133=""),"",IF(T133*S133&lt;=0,"",IFERROR(T133/S133-1,"")))</f>
        <v/>
      </c>
      <c r="U134" s="15">
        <f>IF(OR(U133="",T133=""),"",IF(U133*T133&lt;=0,"",IFERROR(U133/T133-1,"")))</f>
        <v/>
      </c>
      <c r="V134" s="15">
        <f>IF(OR(V133="",U133=""),"",IF(V133*U133&lt;=0,"",IFERROR(V133/U133-1,"")))</f>
        <v/>
      </c>
      <c r="W134" s="15">
        <f>IF(OR(W133="",V133=""),"",IF(W133*V133&lt;=0,"",IFERROR(W133/V133-1,"")))</f>
        <v/>
      </c>
      <c r="X134" s="15">
        <f>IF(OR(X133="",W133=""),"",IF(X133*W133&lt;=0,"",IFERROR(X133/W133-1,"")))</f>
        <v/>
      </c>
    </row>
    <row r="135">
      <c r="A135" s="9" t="inlineStr">
        <is>
          <t>순이익</t>
        </is>
      </c>
      <c r="C135" s="12" t="n">
        <v>57927</v>
      </c>
      <c r="D135" s="12" t="n">
        <v>76695</v>
      </c>
      <c r="E135" s="12" t="n">
        <v>37261</v>
      </c>
      <c r="F135" s="12" t="n">
        <v>49448</v>
      </c>
      <c r="G135" s="12" t="n">
        <v>47842</v>
      </c>
      <c r="H135" s="12" t="n">
        <v>87275</v>
      </c>
      <c r="I135" s="12" t="n">
        <v>40937</v>
      </c>
      <c r="J135" s="12" t="n">
        <v>70233</v>
      </c>
      <c r="K135" s="12" t="n">
        <v>88667</v>
      </c>
      <c r="L135" s="12" t="n">
        <v>201309</v>
      </c>
      <c r="M135" s="12" t="n">
        <v>69006</v>
      </c>
      <c r="N135" s="12" t="n">
        <v>94719</v>
      </c>
      <c r="T135" s="12" t="n">
        <v>50615</v>
      </c>
      <c r="U135" s="12" t="n">
        <v>68530</v>
      </c>
      <c r="V135" s="12" t="n">
        <v>76695</v>
      </c>
      <c r="W135" s="12" t="n">
        <v>87275</v>
      </c>
      <c r="X135" s="12" t="n">
        <v>201309</v>
      </c>
    </row>
    <row r="136">
      <c r="A136" s="43" t="inlineStr">
        <is>
          <t>YoY</t>
        </is>
      </c>
      <c r="B136" s="3" t="inlineStr">
        <is>
          <t>전년 같은 분기·전년 대비</t>
        </is>
      </c>
      <c r="G136" s="15">
        <f>IF(OR(G135="",C135=""),"",IF(C135&lt;=0,"",IFERROR(G135/C135-1,"")))</f>
        <v/>
      </c>
      <c r="H136" s="15">
        <f>IF(OR(H135="",D135=""),"",IF(D135&lt;=0,"",IFERROR(H135/D135-1,"")))</f>
        <v/>
      </c>
      <c r="I136" s="15">
        <f>IF(OR(I135="",E135=""),"",IF(E135&lt;=0,"",IFERROR(I135/E135-1,"")))</f>
        <v/>
      </c>
      <c r="J136" s="15">
        <f>IF(OR(J135="",F135=""),"",IF(F135&lt;=0,"",IFERROR(J135/F135-1,"")))</f>
        <v/>
      </c>
      <c r="K136" s="15">
        <f>IF(OR(K135="",G135=""),"",IF(G135&lt;=0,"",IFERROR(K135/G135-1,"")))</f>
        <v/>
      </c>
      <c r="L136" s="15">
        <f>IF(OR(L135="",H135=""),"",IF(H135&lt;=0,"",IFERROR(L135/H135-1,"")))</f>
        <v/>
      </c>
      <c r="M136" s="15">
        <f>IF(OR(M135="",I135=""),"",IF(I135&lt;=0,"",IFERROR(M135/I135-1,"")))</f>
        <v/>
      </c>
      <c r="N136" s="15">
        <f>IF(OR(N135="",J135=""),"",IF(J135&lt;=0,"",IFERROR(N135/J135-1,"")))</f>
        <v/>
      </c>
      <c r="T136" s="15">
        <f>IF(OR(T135="",S135=""),"",IF(S135&lt;=0,"",IFERROR(T135/S135-1,"")))</f>
        <v/>
      </c>
      <c r="U136" s="15">
        <f>IF(OR(U135="",T135=""),"",IF(T135&lt;=0,"",IFERROR(U135/T135-1,"")))</f>
        <v/>
      </c>
      <c r="V136" s="15">
        <f>IF(OR(V135="",U135=""),"",IF(U135&lt;=0,"",IFERROR(V135/U135-1,"")))</f>
        <v/>
      </c>
      <c r="W136" s="15">
        <f>IF(OR(W135="",V135=""),"",IF(V135&lt;=0,"",IFERROR(W135/V135-1,"")))</f>
        <v/>
      </c>
      <c r="X136" s="15">
        <f>IF(OR(X135="",W135=""),"",IF(W135&lt;=0,"",IFERROR(X135/W135-1,"")))</f>
        <v/>
      </c>
    </row>
    <row r="137">
      <c r="A137" s="9" t="inlineStr">
        <is>
          <t>비지배주주 순이익</t>
        </is>
      </c>
      <c r="C137" s="12" t="n">
        <v>7431</v>
      </c>
      <c r="D137" s="12" t="n">
        <v>4164</v>
      </c>
      <c r="E137" s="12" t="n">
        <v>5498</v>
      </c>
      <c r="F137" s="12" t="n">
        <v>5456</v>
      </c>
      <c r="G137" s="12" t="n">
        <v>9913</v>
      </c>
      <c r="H137" s="12" t="n">
        <v>7188</v>
      </c>
      <c r="I137" s="12" t="n">
        <v>5818</v>
      </c>
      <c r="J137" s="12" t="n">
        <v>7414</v>
      </c>
      <c r="K137" s="12" t="n">
        <v>9391</v>
      </c>
      <c r="L137" s="12" t="n">
        <v>9015</v>
      </c>
      <c r="M137" s="12" t="n">
        <v>2592</v>
      </c>
      <c r="N137" s="12" t="n">
        <v>1749</v>
      </c>
      <c r="T137" s="12" t="n">
        <v>5932</v>
      </c>
      <c r="U137" s="12" t="n">
        <v>11430</v>
      </c>
      <c r="V137" s="12" t="n">
        <v>4164</v>
      </c>
      <c r="W137" s="12" t="n">
        <v>7188</v>
      </c>
      <c r="X137" s="12" t="n">
        <v>9015</v>
      </c>
    </row>
    <row r="138">
      <c r="A138" s="9" t="inlineStr">
        <is>
          <t>지배주주 순이익</t>
        </is>
      </c>
      <c r="C138" s="12" t="n">
        <v>50496</v>
      </c>
      <c r="D138" s="12" t="n">
        <v>72531</v>
      </c>
      <c r="E138" s="12" t="n">
        <v>31763</v>
      </c>
      <c r="F138" s="12" t="n">
        <v>43992</v>
      </c>
      <c r="G138" s="12" t="n">
        <v>37929</v>
      </c>
      <c r="H138" s="12" t="n">
        <v>80087</v>
      </c>
      <c r="I138" s="12" t="n">
        <v>35119</v>
      </c>
      <c r="J138" s="12" t="n">
        <v>62819</v>
      </c>
      <c r="K138" s="12" t="n">
        <v>79276</v>
      </c>
      <c r="L138" s="12" t="n">
        <v>192294</v>
      </c>
      <c r="M138" s="12" t="n">
        <v>66414</v>
      </c>
      <c r="N138" s="12" t="n">
        <v>92970</v>
      </c>
      <c r="T138" s="12" t="n">
        <v>44683</v>
      </c>
      <c r="U138" s="12" t="n">
        <v>57100</v>
      </c>
      <c r="V138" s="12" t="n">
        <v>72531</v>
      </c>
      <c r="W138" s="12" t="n">
        <v>80087</v>
      </c>
      <c r="X138" s="12" t="n">
        <v>192294</v>
      </c>
    </row>
    <row r="139">
      <c r="A139" s="43" t="inlineStr">
        <is>
          <t>YoY</t>
        </is>
      </c>
      <c r="B139" s="3" t="inlineStr">
        <is>
          <t>전년 같은 분기·전년 대비</t>
        </is>
      </c>
      <c r="G139" s="15">
        <f>IF(OR(G138="",C138=""),"",IF(C138&lt;=0,"",IFERROR(G138/C138-1,"")))</f>
        <v/>
      </c>
      <c r="H139" s="15">
        <f>IF(OR(H138="",D138=""),"",IF(D138&lt;=0,"",IFERROR(H138/D138-1,"")))</f>
        <v/>
      </c>
      <c r="I139" s="15">
        <f>IF(OR(I138="",E138=""),"",IF(E138&lt;=0,"",IFERROR(I138/E138-1,"")))</f>
        <v/>
      </c>
      <c r="J139" s="15">
        <f>IF(OR(J138="",F138=""),"",IF(F138&lt;=0,"",IFERROR(J138/F138-1,"")))</f>
        <v/>
      </c>
      <c r="K139" s="15">
        <f>IF(OR(K138="",G138=""),"",IF(G138&lt;=0,"",IFERROR(K138/G138-1,"")))</f>
        <v/>
      </c>
      <c r="L139" s="15">
        <f>IF(OR(L138="",H138=""),"",IF(H138&lt;=0,"",IFERROR(L138/H138-1,"")))</f>
        <v/>
      </c>
      <c r="M139" s="15">
        <f>IF(OR(M138="",I138=""),"",IF(I138&lt;=0,"",IFERROR(M138/I138-1,"")))</f>
        <v/>
      </c>
      <c r="N139" s="15">
        <f>IF(OR(N138="",J138=""),"",IF(J138&lt;=0,"",IFERROR(N138/J138-1,"")))</f>
        <v/>
      </c>
      <c r="T139" s="15">
        <f>IF(OR(T138="",S138=""),"",IF(S138&lt;=0,"",IFERROR(T138/S138-1,"")))</f>
        <v/>
      </c>
      <c r="U139" s="15">
        <f>IF(OR(U138="",T138=""),"",IF(T138&lt;=0,"",IFERROR(U138/T138-1,"")))</f>
        <v/>
      </c>
      <c r="V139" s="15">
        <f>IF(OR(V138="",U138=""),"",IF(U138&lt;=0,"",IFERROR(V138/U138-1,"")))</f>
        <v/>
      </c>
      <c r="W139" s="15">
        <f>IF(OR(W138="",V138=""),"",IF(V138&lt;=0,"",IFERROR(W138/V138-1,"")))</f>
        <v/>
      </c>
      <c r="X139" s="15">
        <f>IF(OR(X138="",W138=""),"",IF(W138&lt;=0,"",IFERROR(X138/W138-1,"")))</f>
        <v/>
      </c>
    </row>
    <row r="141">
      <c r="A141" s="16" t="inlineStr">
        <is>
          <t>포괄손익 · 전 항목</t>
        </is>
      </c>
      <c r="B141" s="42" t="inlineStr">
        <is>
          <t>분기 = 3개월 단독</t>
        </is>
      </c>
      <c r="C141" s="16" t="n"/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16" t="n"/>
      <c r="Z141" s="16" t="n"/>
      <c r="AA141" s="16" t="n"/>
      <c r="AB141" s="16" t="n"/>
      <c r="AC141" s="16" t="n"/>
    </row>
    <row r="142">
      <c r="A142" s="5" t="inlineStr">
        <is>
          <t>항목</t>
        </is>
      </c>
      <c r="B142" s="5" t="inlineStr">
        <is>
          <t>참고</t>
        </is>
      </c>
      <c r="C142" s="5" t="inlineStr">
        <is>
          <t>2024.3Q</t>
        </is>
      </c>
      <c r="D142" s="5" t="inlineStr">
        <is>
          <t>2024.4Q</t>
        </is>
      </c>
      <c r="E142" s="5" t="inlineStr">
        <is>
          <t>2025.1Q</t>
        </is>
      </c>
      <c r="F142" s="5" t="inlineStr">
        <is>
          <t>2025.2Q</t>
        </is>
      </c>
      <c r="G142" s="5" t="inlineStr">
        <is>
          <t>2025.3Q</t>
        </is>
      </c>
      <c r="H142" s="5" t="inlineStr">
        <is>
          <t>2025.4Q</t>
        </is>
      </c>
      <c r="I142" s="5" t="inlineStr">
        <is>
          <t>2026.1Q</t>
        </is>
      </c>
      <c r="J142" s="5" t="inlineStr">
        <is>
          <t>2026.2Q</t>
        </is>
      </c>
      <c r="K142" s="5" t="inlineStr">
        <is>
          <t>2026.3Q</t>
        </is>
      </c>
      <c r="L142" s="5" t="inlineStr">
        <is>
          <t>2026.4Q</t>
        </is>
      </c>
      <c r="M142" s="5" t="inlineStr">
        <is>
          <t>2027.1Q</t>
        </is>
      </c>
      <c r="N142" s="5" t="inlineStr">
        <is>
          <t>2027.2Q</t>
        </is>
      </c>
      <c r="O142" s="5" t="inlineStr">
        <is>
          <t>2017</t>
        </is>
      </c>
      <c r="P142" s="5" t="inlineStr">
        <is>
          <t>2018</t>
        </is>
      </c>
      <c r="Q142" s="5" t="inlineStr">
        <is>
          <t>2019</t>
        </is>
      </c>
      <c r="R142" s="5" t="inlineStr">
        <is>
          <t>2020</t>
        </is>
      </c>
      <c r="S142" s="5" t="inlineStr">
        <is>
          <t>2021</t>
        </is>
      </c>
      <c r="T142" s="5" t="inlineStr">
        <is>
          <t>2022</t>
        </is>
      </c>
      <c r="U142" s="5" t="inlineStr">
        <is>
          <t>2023</t>
        </is>
      </c>
      <c r="V142" s="5" t="inlineStr">
        <is>
          <t>2024</t>
        </is>
      </c>
      <c r="W142" s="5" t="inlineStr">
        <is>
          <t>2025</t>
        </is>
      </c>
      <c r="X142" s="5" t="inlineStr">
        <is>
          <t>2026</t>
        </is>
      </c>
      <c r="Y142" s="5" t="inlineStr">
        <is>
          <t>2027(MW)</t>
        </is>
      </c>
      <c r="Z142" s="5" t="inlineStr">
        <is>
          <t>2028(MW)</t>
        </is>
      </c>
      <c r="AA142" s="5" t="inlineStr">
        <is>
          <t>2029(MW)</t>
        </is>
      </c>
      <c r="AB142" s="5" t="inlineStr">
        <is>
          <t>2030(MW)</t>
        </is>
      </c>
      <c r="AC142" s="5" t="inlineStr">
        <is>
          <t>2031(MW)</t>
        </is>
      </c>
    </row>
    <row r="143">
      <c r="A143" s="9" t="inlineStr">
        <is>
          <t>순이익</t>
        </is>
      </c>
      <c r="C143" s="12" t="n">
        <v>57927</v>
      </c>
      <c r="D143" s="12" t="n">
        <v>76695</v>
      </c>
      <c r="E143" s="12" t="n">
        <v>37261</v>
      </c>
      <c r="F143" s="12" t="n">
        <v>49448</v>
      </c>
      <c r="G143" s="12" t="n">
        <v>47842</v>
      </c>
      <c r="H143" s="12" t="n">
        <v>87275</v>
      </c>
      <c r="I143" s="12" t="n">
        <v>40937</v>
      </c>
      <c r="J143" s="12" t="n">
        <v>70233</v>
      </c>
      <c r="K143" s="12" t="n">
        <v>88667</v>
      </c>
      <c r="L143" s="12" t="n">
        <v>201309</v>
      </c>
      <c r="M143" s="12" t="n">
        <v>69006</v>
      </c>
      <c r="N143" s="12" t="n">
        <v>94719</v>
      </c>
      <c r="T143" s="12" t="n">
        <v>50615</v>
      </c>
      <c r="U143" s="12" t="n">
        <v>68530</v>
      </c>
      <c r="V143" s="12" t="n">
        <v>76695</v>
      </c>
      <c r="W143" s="12" t="n">
        <v>87275</v>
      </c>
      <c r="X143" s="12" t="n">
        <v>201309</v>
      </c>
    </row>
    <row r="144">
      <c r="A144" s="18" t="inlineStr">
        <is>
          <t>기타유가증권 평가차액</t>
        </is>
      </c>
      <c r="C144" s="20" t="n">
        <v>-223</v>
      </c>
      <c r="D144" s="20" t="n">
        <v>-1935</v>
      </c>
      <c r="E144" s="20" t="n">
        <v>73027</v>
      </c>
      <c r="F144" s="20" t="n">
        <v>-13337</v>
      </c>
      <c r="G144" s="20" t="n">
        <v>-32848</v>
      </c>
      <c r="H144" s="20" t="n">
        <v>-34894</v>
      </c>
      <c r="I144" s="20" t="n">
        <v>20752</v>
      </c>
      <c r="J144" s="20" t="n">
        <v>18668</v>
      </c>
      <c r="K144" s="20" t="n">
        <v>42848</v>
      </c>
      <c r="L144" s="20" t="n">
        <v>-23996</v>
      </c>
      <c r="M144" s="20" t="n">
        <v>86863</v>
      </c>
      <c r="N144" s="20" t="n">
        <v>-26317</v>
      </c>
      <c r="T144" s="20" t="n">
        <v>-10118</v>
      </c>
      <c r="U144" s="20" t="n">
        <v>69679</v>
      </c>
      <c r="V144" s="20" t="n">
        <v>-1935</v>
      </c>
      <c r="W144" s="20" t="n">
        <v>-34894</v>
      </c>
      <c r="X144" s="20" t="n">
        <v>-23996</v>
      </c>
    </row>
    <row r="145">
      <c r="A145" s="18" t="inlineStr">
        <is>
          <t>이연헤지손익</t>
        </is>
      </c>
      <c r="C145" s="20" t="n">
        <v>-86</v>
      </c>
      <c r="D145" s="20" t="n">
        <v>-1836</v>
      </c>
      <c r="E145" s="20" t="n">
        <v>-1578</v>
      </c>
      <c r="F145" s="20" t="n">
        <v>121</v>
      </c>
      <c r="G145" s="20" t="n">
        <v>-419</v>
      </c>
      <c r="H145" s="20" t="n">
        <v>863</v>
      </c>
      <c r="I145" s="20" t="n">
        <v>741</v>
      </c>
      <c r="J145" s="20" t="n">
        <v>735</v>
      </c>
      <c r="K145" s="20" t="n">
        <v>809</v>
      </c>
      <c r="L145" s="20" t="n">
        <v>-317</v>
      </c>
      <c r="M145" s="20" t="n">
        <v>2058</v>
      </c>
      <c r="N145" s="20" t="n">
        <v>408</v>
      </c>
      <c r="T145" s="20" t="n">
        <v>-189</v>
      </c>
      <c r="U145" s="20" t="n">
        <v>-390</v>
      </c>
      <c r="V145" s="20" t="n">
        <v>-1836</v>
      </c>
      <c r="W145" s="20" t="n">
        <v>863</v>
      </c>
      <c r="X145" s="20" t="n">
        <v>-317</v>
      </c>
    </row>
    <row r="146">
      <c r="A146" s="18" t="inlineStr">
        <is>
          <t>해외사업환산조정</t>
        </is>
      </c>
      <c r="C146" s="20" t="n">
        <v>-23312</v>
      </c>
      <c r="D146" s="20" t="n">
        <v>36365</v>
      </c>
      <c r="E146" s="20" t="n">
        <v>44224</v>
      </c>
      <c r="F146" s="20" t="n">
        <v>-60928</v>
      </c>
      <c r="G146" s="20" t="n">
        <v>58505</v>
      </c>
      <c r="H146" s="20" t="n">
        <v>-43702</v>
      </c>
      <c r="I146" s="20" t="n">
        <v>-15663</v>
      </c>
      <c r="J146" s="20" t="n">
        <v>26400</v>
      </c>
      <c r="K146" s="20" t="n">
        <v>54903</v>
      </c>
      <c r="L146" s="20" t="n">
        <v>12782</v>
      </c>
      <c r="M146" s="20" t="n">
        <v>20023</v>
      </c>
      <c r="N146" s="20" t="n">
        <v>-29541</v>
      </c>
      <c r="T146" s="20" t="n">
        <v>42007</v>
      </c>
      <c r="U146" s="20" t="n">
        <v>10995</v>
      </c>
      <c r="V146" s="20" t="n">
        <v>36365</v>
      </c>
      <c r="W146" s="20" t="n">
        <v>-43702</v>
      </c>
      <c r="X146" s="20" t="n">
        <v>12782</v>
      </c>
    </row>
    <row r="147">
      <c r="A147" s="18" t="inlineStr">
        <is>
          <t>퇴직급여 조정액</t>
        </is>
      </c>
      <c r="C147" s="20" t="n">
        <v>-936</v>
      </c>
      <c r="D147" s="20" t="n">
        <v>83778</v>
      </c>
      <c r="E147" s="20" t="n">
        <v>-2955</v>
      </c>
      <c r="F147" s="20" t="n">
        <v>-1732</v>
      </c>
      <c r="G147" s="20" t="n">
        <v>-3662</v>
      </c>
      <c r="H147" s="20" t="n">
        <v>-35436</v>
      </c>
      <c r="I147" s="20" t="n">
        <v>-1676</v>
      </c>
      <c r="J147" s="20" t="n">
        <v>-2500</v>
      </c>
      <c r="K147" s="20" t="n">
        <v>-2882</v>
      </c>
      <c r="L147" s="20" t="n">
        <v>59447</v>
      </c>
      <c r="M147" s="20" t="n">
        <v>-3962</v>
      </c>
      <c r="N147" s="20" t="n">
        <v>-2626</v>
      </c>
      <c r="T147" s="20" t="n">
        <v>12212</v>
      </c>
      <c r="U147" s="20" t="n">
        <v>-2437</v>
      </c>
      <c r="V147" s="20" t="n">
        <v>83778</v>
      </c>
      <c r="W147" s="20" t="n">
        <v>-35436</v>
      </c>
      <c r="X147" s="20" t="n">
        <v>59447</v>
      </c>
    </row>
    <row r="148">
      <c r="A148" s="18" t="inlineStr">
        <is>
          <t>지분법 적용회사 지분 해당액</t>
        </is>
      </c>
      <c r="C148" s="20" t="n">
        <v>4372</v>
      </c>
      <c r="D148" s="20" t="n">
        <v>-3625</v>
      </c>
      <c r="E148" s="20" t="n">
        <v>10601</v>
      </c>
      <c r="F148" s="20" t="n">
        <v>10074</v>
      </c>
      <c r="G148" s="20" t="n">
        <v>-18346</v>
      </c>
      <c r="H148" s="20" t="n">
        <v>8626</v>
      </c>
      <c r="I148" s="20" t="n">
        <v>-10978</v>
      </c>
      <c r="J148" s="20" t="n">
        <v>-2731</v>
      </c>
      <c r="K148" s="20" t="n">
        <v>6287</v>
      </c>
      <c r="L148" s="20" t="n">
        <v>12022</v>
      </c>
      <c r="M148" s="20" t="n">
        <v>2820</v>
      </c>
      <c r="N148" s="20" t="n">
        <v>4622</v>
      </c>
      <c r="T148" s="20" t="n">
        <v>6278</v>
      </c>
      <c r="U148" s="20" t="n">
        <v>-17225</v>
      </c>
      <c r="V148" s="20" t="n">
        <v>-3625</v>
      </c>
      <c r="W148" s="20" t="n">
        <v>8626</v>
      </c>
      <c r="X148" s="20" t="n">
        <v>12022</v>
      </c>
    </row>
    <row r="149">
      <c r="A149" s="18" t="inlineStr">
        <is>
          <t>기타포괄손익 합계</t>
        </is>
      </c>
      <c r="C149" s="20" t="n">
        <v>-20185</v>
      </c>
      <c r="D149" s="20" t="n">
        <v>112747</v>
      </c>
      <c r="E149" s="20" t="n">
        <v>123319</v>
      </c>
      <c r="F149" s="20" t="n">
        <v>-65802</v>
      </c>
      <c r="G149" s="20" t="n">
        <v>3230</v>
      </c>
      <c r="H149" s="20" t="n">
        <v>-104543</v>
      </c>
      <c r="I149" s="20" t="n">
        <v>-6824</v>
      </c>
      <c r="J149" s="20" t="n">
        <v>40572</v>
      </c>
      <c r="K149" s="20" t="n">
        <v>101965</v>
      </c>
      <c r="L149" s="20" t="n">
        <v>59938</v>
      </c>
      <c r="M149" s="20" t="n">
        <v>107802</v>
      </c>
      <c r="N149" s="20" t="n">
        <v>-53454</v>
      </c>
      <c r="T149" s="20" t="n">
        <v>50190</v>
      </c>
      <c r="U149" s="20" t="n">
        <v>60622</v>
      </c>
      <c r="V149" s="20" t="n">
        <v>112747</v>
      </c>
      <c r="W149" s="20" t="n">
        <v>-104543</v>
      </c>
      <c r="X149" s="20" t="n">
        <v>59938</v>
      </c>
    </row>
    <row r="150">
      <c r="A150" s="9" t="inlineStr">
        <is>
          <t>포괄이익</t>
        </is>
      </c>
      <c r="C150" s="12" t="n">
        <v>37742</v>
      </c>
      <c r="D150" s="12" t="n">
        <v>189442</v>
      </c>
      <c r="E150" s="12" t="n">
        <v>160580</v>
      </c>
      <c r="F150" s="12" t="n">
        <v>-16354</v>
      </c>
      <c r="G150" s="12" t="n">
        <v>51072</v>
      </c>
      <c r="H150" s="12" t="n">
        <v>-17268</v>
      </c>
      <c r="I150" s="12" t="n">
        <v>34113</v>
      </c>
      <c r="J150" s="12" t="n">
        <v>110805</v>
      </c>
      <c r="K150" s="12" t="n">
        <v>190632</v>
      </c>
      <c r="L150" s="12" t="n">
        <v>261247</v>
      </c>
      <c r="M150" s="12" t="n">
        <v>176808</v>
      </c>
      <c r="N150" s="12" t="n">
        <v>41265</v>
      </c>
      <c r="T150" s="12" t="n">
        <v>100805</v>
      </c>
      <c r="U150" s="12" t="n">
        <v>129152</v>
      </c>
      <c r="V150" s="12" t="n">
        <v>189442</v>
      </c>
      <c r="W150" s="12" t="n">
        <v>-17268</v>
      </c>
      <c r="X150" s="12" t="n">
        <v>261247</v>
      </c>
    </row>
    <row r="151">
      <c r="A151" s="9" t="inlineStr">
        <is>
          <t>지배주주 포괄이익</t>
        </is>
      </c>
      <c r="C151" s="12" t="n">
        <v>33375</v>
      </c>
      <c r="D151" s="12" t="n">
        <v>178389</v>
      </c>
      <c r="E151" s="12" t="n">
        <v>148691</v>
      </c>
      <c r="F151" s="12" t="n">
        <v>-12826</v>
      </c>
      <c r="G151" s="12" t="n">
        <v>32861</v>
      </c>
      <c r="H151" s="12" t="n">
        <v>-17486</v>
      </c>
      <c r="I151" s="12" t="n">
        <v>29983</v>
      </c>
      <c r="J151" s="12" t="n">
        <v>98181</v>
      </c>
      <c r="K151" s="12" t="n">
        <v>171824</v>
      </c>
      <c r="L151" s="12" t="n">
        <v>261012</v>
      </c>
      <c r="M151" s="12" t="n">
        <v>172451</v>
      </c>
      <c r="N151" s="12" t="n">
        <v>41582</v>
      </c>
      <c r="T151" s="12" t="n">
        <v>85332</v>
      </c>
      <c r="U151" s="12" t="n">
        <v>113811</v>
      </c>
      <c r="V151" s="12" t="n">
        <v>178389</v>
      </c>
      <c r="W151" s="12" t="n">
        <v>-17486</v>
      </c>
      <c r="X151" s="12" t="n">
        <v>261012</v>
      </c>
    </row>
    <row r="152">
      <c r="A152" s="9" t="inlineStr">
        <is>
          <t>비지배주주 포괄이익</t>
        </is>
      </c>
      <c r="C152" s="12" t="n">
        <v>4367</v>
      </c>
      <c r="D152" s="12" t="n">
        <v>11053</v>
      </c>
      <c r="E152" s="12" t="n">
        <v>11889</v>
      </c>
      <c r="F152" s="12" t="n">
        <v>-3528</v>
      </c>
      <c r="G152" s="12" t="n">
        <v>18211</v>
      </c>
      <c r="H152" s="12" t="n">
        <v>218</v>
      </c>
      <c r="I152" s="12" t="n">
        <v>4130</v>
      </c>
      <c r="J152" s="12" t="n">
        <v>12624</v>
      </c>
      <c r="K152" s="12" t="n">
        <v>18808</v>
      </c>
      <c r="L152" s="12" t="n">
        <v>235</v>
      </c>
      <c r="M152" s="12" t="n">
        <v>4357</v>
      </c>
      <c r="N152" s="12" t="n">
        <v>-317</v>
      </c>
      <c r="T152" s="12" t="n">
        <v>15473</v>
      </c>
      <c r="U152" s="12" t="n">
        <v>15341</v>
      </c>
      <c r="V152" s="12" t="n">
        <v>11053</v>
      </c>
      <c r="W152" s="12" t="n">
        <v>218</v>
      </c>
      <c r="X152" s="12" t="n">
        <v>235</v>
      </c>
    </row>
    <row r="154">
      <c r="A154" s="16" t="inlineStr">
        <is>
          <t>부문 · 전 항목</t>
        </is>
      </c>
      <c r="B154" s="42" t="inlineStr">
        <is>
          <t>부문 · 항목</t>
        </is>
      </c>
      <c r="C154" s="16" t="n"/>
      <c r="D154" s="16" t="n"/>
      <c r="E154" s="16" t="n"/>
      <c r="F154" s="16" t="n"/>
      <c r="G154" s="16" t="n"/>
      <c r="H154" s="16" t="n"/>
      <c r="I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  <c r="R154" s="16" t="n"/>
      <c r="S154" s="16" t="n"/>
      <c r="T154" s="16" t="n"/>
      <c r="U154" s="16" t="n"/>
      <c r="V154" s="16" t="n"/>
      <c r="W154" s="16" t="n"/>
      <c r="X154" s="16" t="n"/>
      <c r="Y154" s="16" t="n"/>
      <c r="Z154" s="16" t="n"/>
      <c r="AA154" s="16" t="n"/>
      <c r="AB154" s="16" t="n"/>
      <c r="AC154" s="16" t="n"/>
    </row>
    <row r="155">
      <c r="A155" s="5" t="inlineStr">
        <is>
          <t>항목</t>
        </is>
      </c>
      <c r="B155" s="5" t="inlineStr">
        <is>
          <t>참고</t>
        </is>
      </c>
      <c r="C155" s="5" t="inlineStr">
        <is>
          <t>2024.3Q</t>
        </is>
      </c>
      <c r="D155" s="5" t="inlineStr">
        <is>
          <t>2024.4Q</t>
        </is>
      </c>
      <c r="E155" s="5" t="inlineStr">
        <is>
          <t>2025.1Q</t>
        </is>
      </c>
      <c r="F155" s="5" t="inlineStr">
        <is>
          <t>2025.2Q</t>
        </is>
      </c>
      <c r="G155" s="5" t="inlineStr">
        <is>
          <t>2025.3Q</t>
        </is>
      </c>
      <c r="H155" s="5" t="inlineStr">
        <is>
          <t>2025.4Q</t>
        </is>
      </c>
      <c r="I155" s="5" t="inlineStr">
        <is>
          <t>2026.1Q</t>
        </is>
      </c>
      <c r="J155" s="5" t="inlineStr">
        <is>
          <t>2026.2Q</t>
        </is>
      </c>
      <c r="K155" s="5" t="inlineStr">
        <is>
          <t>2026.3Q</t>
        </is>
      </c>
      <c r="L155" s="5" t="inlineStr">
        <is>
          <t>2026.4Q</t>
        </is>
      </c>
      <c r="M155" s="5" t="inlineStr">
        <is>
          <t>2027.1Q</t>
        </is>
      </c>
      <c r="N155" s="5" t="inlineStr">
        <is>
          <t>2027.2Q</t>
        </is>
      </c>
      <c r="O155" s="5" t="inlineStr">
        <is>
          <t>2017</t>
        </is>
      </c>
      <c r="P155" s="5" t="inlineStr">
        <is>
          <t>2018</t>
        </is>
      </c>
      <c r="Q155" s="5" t="inlineStr">
        <is>
          <t>2019</t>
        </is>
      </c>
      <c r="R155" s="5" t="inlineStr">
        <is>
          <t>2020</t>
        </is>
      </c>
      <c r="S155" s="5" t="inlineStr">
        <is>
          <t>2021</t>
        </is>
      </c>
      <c r="T155" s="5" t="inlineStr">
        <is>
          <t>2022</t>
        </is>
      </c>
      <c r="U155" s="5" t="inlineStr">
        <is>
          <t>2023</t>
        </is>
      </c>
      <c r="V155" s="5" t="inlineStr">
        <is>
          <t>2024</t>
        </is>
      </c>
      <c r="W155" s="5" t="inlineStr">
        <is>
          <t>2025</t>
        </is>
      </c>
      <c r="X155" s="5" t="inlineStr">
        <is>
          <t>2026</t>
        </is>
      </c>
      <c r="Y155" s="5" t="inlineStr">
        <is>
          <t>2027(MW)</t>
        </is>
      </c>
      <c r="Z155" s="5" t="inlineStr">
        <is>
          <t>2028(MW)</t>
        </is>
      </c>
      <c r="AA155" s="5" t="inlineStr">
        <is>
          <t>2029(MW)</t>
        </is>
      </c>
      <c r="AB155" s="5" t="inlineStr">
        <is>
          <t>2030(MW)</t>
        </is>
      </c>
      <c r="AC155" s="5" t="inlineStr">
        <is>
          <t>2031(MW)</t>
        </is>
      </c>
    </row>
    <row r="156">
      <c r="A156" s="18" t="inlineStr">
        <is>
          <t>환경에너지 관련 사업 · 외부 고객 매출</t>
        </is>
      </c>
      <c r="C156" s="20" t="n">
        <v>242170</v>
      </c>
      <c r="D156" s="20" t="n">
        <v>273476</v>
      </c>
      <c r="E156" s="20" t="n">
        <v>240774</v>
      </c>
      <c r="F156" s="20" t="n">
        <v>258533</v>
      </c>
      <c r="G156" s="20" t="n">
        <v>259176</v>
      </c>
      <c r="H156" s="20" t="n">
        <v>289585</v>
      </c>
      <c r="I156" s="20" t="n">
        <v>254302</v>
      </c>
      <c r="J156" s="20" t="n">
        <v>263971</v>
      </c>
      <c r="K156" s="20" t="n">
        <v>289774</v>
      </c>
      <c r="L156" s="20" t="n">
        <v>334551</v>
      </c>
      <c r="M156" s="20" t="n">
        <v>244413</v>
      </c>
      <c r="N156" s="20" t="n">
        <v>284194</v>
      </c>
      <c r="V156" s="20" t="n">
        <v>273476</v>
      </c>
      <c r="W156" s="20" t="n">
        <v>289585</v>
      </c>
      <c r="X156" s="20" t="n">
        <v>334551</v>
      </c>
    </row>
    <row r="157">
      <c r="A157" s="43" t="inlineStr">
        <is>
          <t>YoY</t>
        </is>
      </c>
      <c r="B157" s="3" t="inlineStr">
        <is>
          <t>전년 같은 분기·전년 대비</t>
        </is>
      </c>
      <c r="G157" s="15">
        <f>IF(OR(G156="",C156=""),"",IF(C156&lt;=0,"",IFERROR(G156/C156-1,"")))</f>
        <v/>
      </c>
      <c r="H157" s="15">
        <f>IF(OR(H156="",D156=""),"",IF(D156&lt;=0,"",IFERROR(H156/D156-1,"")))</f>
        <v/>
      </c>
      <c r="I157" s="15">
        <f>IF(OR(I156="",E156=""),"",IF(E156&lt;=0,"",IFERROR(I156/E156-1,"")))</f>
        <v/>
      </c>
      <c r="J157" s="15">
        <f>IF(OR(J156="",F156=""),"",IF(F156&lt;=0,"",IFERROR(J156/F156-1,"")))</f>
        <v/>
      </c>
      <c r="K157" s="15">
        <f>IF(OR(K156="",G156=""),"",IF(G156&lt;=0,"",IFERROR(K156/G156-1,"")))</f>
        <v/>
      </c>
      <c r="L157" s="15">
        <f>IF(OR(L156="",H156=""),"",IF(H156&lt;=0,"",IFERROR(L156/H156-1,"")))</f>
        <v/>
      </c>
      <c r="M157" s="15">
        <f>IF(OR(M156="",I156=""),"",IF(I156&lt;=0,"",IFERROR(M156/I156-1,"")))</f>
        <v/>
      </c>
      <c r="N157" s="15">
        <f>IF(OR(N156="",J156=""),"",IF(J156&lt;=0,"",IFERROR(N156/J156-1,"")))</f>
        <v/>
      </c>
      <c r="V157" s="15">
        <f>IF(OR(V156="",U156=""),"",IF(U156&lt;=0,"",IFERROR(V156/U156-1,"")))</f>
        <v/>
      </c>
      <c r="W157" s="15">
        <f>IF(OR(W156="",V156=""),"",IF(V156&lt;=0,"",IFERROR(W156/V156-1,"")))</f>
        <v/>
      </c>
      <c r="X157" s="15">
        <f>IF(OR(X156="",W156=""),"",IF(W156&lt;=0,"",IFERROR(X156/W156-1,"")))</f>
        <v/>
      </c>
    </row>
    <row r="158">
      <c r="A158" s="18" t="inlineStr">
        <is>
          <t>정보통신 관련 사업 · 외부 고객 매출</t>
        </is>
      </c>
      <c r="C158" s="20" t="n">
        <v>48217</v>
      </c>
      <c r="D158" s="20" t="n">
        <v>53643</v>
      </c>
      <c r="E158" s="20" t="n">
        <v>52010</v>
      </c>
      <c r="F158" s="20" t="n">
        <v>49485</v>
      </c>
      <c r="G158" s="20" t="n">
        <v>55045</v>
      </c>
      <c r="H158" s="20" t="n">
        <v>61861</v>
      </c>
      <c r="I158" s="20" t="n">
        <v>60102</v>
      </c>
      <c r="J158" s="20" t="n">
        <v>70841</v>
      </c>
      <c r="K158" s="20" t="n">
        <v>81953</v>
      </c>
      <c r="L158" s="20" t="n">
        <v>102134</v>
      </c>
      <c r="M158" s="20" t="n">
        <v>81661</v>
      </c>
      <c r="N158" s="20" t="n">
        <v>112780</v>
      </c>
      <c r="V158" s="20" t="n">
        <v>53643</v>
      </c>
      <c r="W158" s="20" t="n">
        <v>61861</v>
      </c>
      <c r="X158" s="20" t="n">
        <v>102134</v>
      </c>
    </row>
    <row r="159">
      <c r="A159" s="43" t="inlineStr">
        <is>
          <t>YoY</t>
        </is>
      </c>
      <c r="B159" s="3" t="inlineStr">
        <is>
          <t>전년 같은 분기·전년 대비</t>
        </is>
      </c>
      <c r="G159" s="15">
        <f>IF(OR(G158="",C158=""),"",IF(C158&lt;=0,"",IFERROR(G158/C158-1,"")))</f>
        <v/>
      </c>
      <c r="H159" s="15">
        <f>IF(OR(H158="",D158=""),"",IF(D158&lt;=0,"",IFERROR(H158/D158-1,"")))</f>
        <v/>
      </c>
      <c r="I159" s="15">
        <f>IF(OR(I158="",E158=""),"",IF(E158&lt;=0,"",IFERROR(I158/E158-1,"")))</f>
        <v/>
      </c>
      <c r="J159" s="15">
        <f>IF(OR(J158="",F158=""),"",IF(F158&lt;=0,"",IFERROR(J158/F158-1,"")))</f>
        <v/>
      </c>
      <c r="K159" s="15">
        <f>IF(OR(K158="",G158=""),"",IF(G158&lt;=0,"",IFERROR(K158/G158-1,"")))</f>
        <v/>
      </c>
      <c r="L159" s="15">
        <f>IF(OR(L158="",H158=""),"",IF(H158&lt;=0,"",IFERROR(L158/H158-1,"")))</f>
        <v/>
      </c>
      <c r="M159" s="15">
        <f>IF(OR(M158="",I158=""),"",IF(I158&lt;=0,"",IFERROR(M158/I158-1,"")))</f>
        <v/>
      </c>
      <c r="N159" s="15">
        <f>IF(OR(N158="",J158=""),"",IF(J158&lt;=0,"",IFERROR(N158/J158-1,"")))</f>
        <v/>
      </c>
      <c r="V159" s="15">
        <f>IF(OR(V158="",U158=""),"",IF(U158&lt;=0,"",IFERROR(V158/U158-1,"")))</f>
        <v/>
      </c>
      <c r="W159" s="15">
        <f>IF(OR(W158="",V158=""),"",IF(V158&lt;=0,"",IFERROR(W158/V158-1,"")))</f>
        <v/>
      </c>
      <c r="X159" s="15">
        <f>IF(OR(X158="",W158=""),"",IF(W158&lt;=0,"",IFERROR(X158/W158-1,"")))</f>
        <v/>
      </c>
    </row>
    <row r="160">
      <c r="A160" s="18" t="inlineStr">
        <is>
          <t>자동차 관련 사업 · 외부 고객 매출</t>
        </is>
      </c>
      <c r="C160" s="20" t="n">
        <v>690229</v>
      </c>
      <c r="D160" s="20" t="n">
        <v>690255</v>
      </c>
      <c r="E160" s="20" t="n">
        <v>661953</v>
      </c>
      <c r="F160" s="20" t="n">
        <v>642326</v>
      </c>
      <c r="G160" s="20" t="n">
        <v>705702</v>
      </c>
      <c r="H160" s="20" t="n">
        <v>722600</v>
      </c>
      <c r="I160" s="20" t="n">
        <v>670226</v>
      </c>
      <c r="J160" s="20" t="n">
        <v>707193</v>
      </c>
      <c r="K160" s="20" t="n">
        <v>756485</v>
      </c>
      <c r="L160" s="20" t="n">
        <v>801485</v>
      </c>
      <c r="M160" s="20" t="n">
        <v>802326</v>
      </c>
      <c r="N160" s="20" t="n">
        <v>813224</v>
      </c>
      <c r="V160" s="20" t="n">
        <v>690255</v>
      </c>
      <c r="W160" s="20" t="n">
        <v>722600</v>
      </c>
      <c r="X160" s="20" t="n">
        <v>801485</v>
      </c>
    </row>
    <row r="161">
      <c r="A161" s="43" t="inlineStr">
        <is>
          <t>YoY</t>
        </is>
      </c>
      <c r="B161" s="3" t="inlineStr">
        <is>
          <t>전년 같은 분기·전년 대비</t>
        </is>
      </c>
      <c r="G161" s="15">
        <f>IF(OR(G160="",C160=""),"",IF(C160&lt;=0,"",IFERROR(G160/C160-1,"")))</f>
        <v/>
      </c>
      <c r="H161" s="15">
        <f>IF(OR(H160="",D160=""),"",IF(D160&lt;=0,"",IFERROR(H160/D160-1,"")))</f>
        <v/>
      </c>
      <c r="I161" s="15">
        <f>IF(OR(I160="",E160=""),"",IF(E160&lt;=0,"",IFERROR(I160/E160-1,"")))</f>
        <v/>
      </c>
      <c r="J161" s="15">
        <f>IF(OR(J160="",F160=""),"",IF(F160&lt;=0,"",IFERROR(J160/F160-1,"")))</f>
        <v/>
      </c>
      <c r="K161" s="15">
        <f>IF(OR(K160="",G160=""),"",IF(G160&lt;=0,"",IFERROR(K160/G160-1,"")))</f>
        <v/>
      </c>
      <c r="L161" s="15">
        <f>IF(OR(L160="",H160=""),"",IF(H160&lt;=0,"",IFERROR(L160/H160-1,"")))</f>
        <v/>
      </c>
      <c r="M161" s="15">
        <f>IF(OR(M160="",I160=""),"",IF(I160&lt;=0,"",IFERROR(M160/I160-1,"")))</f>
        <v/>
      </c>
      <c r="N161" s="15">
        <f>IF(OR(N160="",J160=""),"",IF(J160&lt;=0,"",IFERROR(N160/J160-1,"")))</f>
        <v/>
      </c>
      <c r="V161" s="15">
        <f>IF(OR(V160="",U160=""),"",IF(U160&lt;=0,"",IFERROR(V160/U160-1,"")))</f>
        <v/>
      </c>
      <c r="W161" s="15">
        <f>IF(OR(W160="",V160=""),"",IF(V160&lt;=0,"",IFERROR(W160/V160-1,"")))</f>
        <v/>
      </c>
      <c r="X161" s="15">
        <f>IF(OR(X160="",W160=""),"",IF(W160&lt;=0,"",IFERROR(X160/W160-1,"")))</f>
        <v/>
      </c>
    </row>
    <row r="162">
      <c r="A162" s="18" t="inlineStr">
        <is>
          <t>전자 관련 사업 · 외부 고객 매출</t>
        </is>
      </c>
      <c r="C162" s="20" t="n">
        <v>80957</v>
      </c>
      <c r="D162" s="20" t="n">
        <v>75051</v>
      </c>
      <c r="E162" s="20" t="n">
        <v>76223</v>
      </c>
      <c r="F162" s="20" t="n">
        <v>90172</v>
      </c>
      <c r="G162" s="20" t="n">
        <v>84338</v>
      </c>
      <c r="H162" s="20" t="n">
        <v>76414</v>
      </c>
      <c r="I162" s="20" t="n">
        <v>77755</v>
      </c>
      <c r="J162" s="20" t="n">
        <v>92836</v>
      </c>
      <c r="K162" s="20" t="n">
        <v>91489</v>
      </c>
      <c r="L162" s="20" t="n">
        <v>88558</v>
      </c>
      <c r="M162" s="20" t="n">
        <v>94317</v>
      </c>
      <c r="N162" s="20" t="n">
        <v>105250</v>
      </c>
      <c r="V162" s="20" t="n">
        <v>75051</v>
      </c>
      <c r="W162" s="20" t="n">
        <v>76414</v>
      </c>
      <c r="X162" s="20" t="n">
        <v>88558</v>
      </c>
    </row>
    <row r="163">
      <c r="A163" s="43" t="inlineStr">
        <is>
          <t>YoY</t>
        </is>
      </c>
      <c r="B163" s="3" t="inlineStr">
        <is>
          <t>전년 같은 분기·전년 대비</t>
        </is>
      </c>
      <c r="G163" s="15">
        <f>IF(OR(G162="",C162=""),"",IF(C162&lt;=0,"",IFERROR(G162/C162-1,"")))</f>
        <v/>
      </c>
      <c r="H163" s="15">
        <f>IF(OR(H162="",D162=""),"",IF(D162&lt;=0,"",IFERROR(H162/D162-1,"")))</f>
        <v/>
      </c>
      <c r="I163" s="15">
        <f>IF(OR(I162="",E162=""),"",IF(E162&lt;=0,"",IFERROR(I162/E162-1,"")))</f>
        <v/>
      </c>
      <c r="J163" s="15">
        <f>IF(OR(J162="",F162=""),"",IF(F162&lt;=0,"",IFERROR(J162/F162-1,"")))</f>
        <v/>
      </c>
      <c r="K163" s="15">
        <f>IF(OR(K162="",G162=""),"",IF(G162&lt;=0,"",IFERROR(K162/G162-1,"")))</f>
        <v/>
      </c>
      <c r="L163" s="15">
        <f>IF(OR(L162="",H162=""),"",IF(H162&lt;=0,"",IFERROR(L162/H162-1,"")))</f>
        <v/>
      </c>
      <c r="M163" s="15">
        <f>IF(OR(M162="",I162=""),"",IF(I162&lt;=0,"",IFERROR(M162/I162-1,"")))</f>
        <v/>
      </c>
      <c r="N163" s="15">
        <f>IF(OR(N162="",J162=""),"",IF(J162&lt;=0,"",IFERROR(N162/J162-1,"")))</f>
        <v/>
      </c>
      <c r="V163" s="15">
        <f>IF(OR(V162="",U162=""),"",IF(U162&lt;=0,"",IFERROR(V162/U162-1,"")))</f>
        <v/>
      </c>
      <c r="W163" s="15">
        <f>IF(OR(W162="",V162=""),"",IF(V162&lt;=0,"",IFERROR(W162/V162-1,"")))</f>
        <v/>
      </c>
      <c r="X163" s="15">
        <f>IF(OR(X162="",W162=""),"",IF(W162&lt;=0,"",IFERROR(X162/W162-1,"")))</f>
        <v/>
      </c>
    </row>
    <row r="164">
      <c r="A164" s="18" t="inlineStr">
        <is>
          <t>산업소재 관련 사업 외 · 외부 고객 매출</t>
        </is>
      </c>
      <c r="C164" s="20" t="n">
        <v>88250</v>
      </c>
      <c r="D164" s="20" t="n">
        <v>88463</v>
      </c>
      <c r="E164" s="20" t="n">
        <v>84587</v>
      </c>
      <c r="F164" s="20" t="n">
        <v>91715</v>
      </c>
      <c r="G164" s="20" t="n">
        <v>89200</v>
      </c>
      <c r="H164" s="20" t="n">
        <v>88090</v>
      </c>
      <c r="I164" s="20" t="n">
        <v>86051</v>
      </c>
      <c r="J164" s="20" t="n">
        <v>90184</v>
      </c>
      <c r="K164" s="20" t="n">
        <v>93735</v>
      </c>
      <c r="L164" s="20" t="n">
        <v>96546</v>
      </c>
      <c r="M164" s="20" t="n">
        <v>107874</v>
      </c>
      <c r="N164" s="20" t="n">
        <v>118873</v>
      </c>
      <c r="V164" s="20" t="n">
        <v>88463</v>
      </c>
      <c r="W164" s="20" t="n">
        <v>88090</v>
      </c>
      <c r="X164" s="20" t="n">
        <v>96546</v>
      </c>
    </row>
    <row r="165">
      <c r="A165" s="43" t="inlineStr">
        <is>
          <t>YoY</t>
        </is>
      </c>
      <c r="B165" s="3" t="inlineStr">
        <is>
          <t>전년 같은 분기·전년 대비</t>
        </is>
      </c>
      <c r="G165" s="15">
        <f>IF(OR(G164="",C164=""),"",IF(C164&lt;=0,"",IFERROR(G164/C164-1,"")))</f>
        <v/>
      </c>
      <c r="H165" s="15">
        <f>IF(OR(H164="",D164=""),"",IF(D164&lt;=0,"",IFERROR(H164/D164-1,"")))</f>
        <v/>
      </c>
      <c r="I165" s="15">
        <f>IF(OR(I164="",E164=""),"",IF(E164&lt;=0,"",IFERROR(I164/E164-1,"")))</f>
        <v/>
      </c>
      <c r="J165" s="15">
        <f>IF(OR(J164="",F164=""),"",IF(F164&lt;=0,"",IFERROR(J164/F164-1,"")))</f>
        <v/>
      </c>
      <c r="K165" s="15">
        <f>IF(OR(K164="",G164=""),"",IF(G164&lt;=0,"",IFERROR(K164/G164-1,"")))</f>
        <v/>
      </c>
      <c r="L165" s="15">
        <f>IF(OR(L164="",H164=""),"",IF(H164&lt;=0,"",IFERROR(L164/H164-1,"")))</f>
        <v/>
      </c>
      <c r="M165" s="15">
        <f>IF(OR(M164="",I164=""),"",IF(I164&lt;=0,"",IFERROR(M164/I164-1,"")))</f>
        <v/>
      </c>
      <c r="N165" s="15">
        <f>IF(OR(N164="",J164=""),"",IF(J164&lt;=0,"",IFERROR(N164/J164-1,"")))</f>
        <v/>
      </c>
      <c r="V165" s="15">
        <f>IF(OR(V164="",U164=""),"",IF(U164&lt;=0,"",IFERROR(V164/U164-1,"")))</f>
        <v/>
      </c>
      <c r="W165" s="15">
        <f>IF(OR(W164="",V164=""),"",IF(V164&lt;=0,"",IFERROR(W164/V164-1,"")))</f>
        <v/>
      </c>
      <c r="X165" s="15">
        <f>IF(OR(X164="",W164=""),"",IF(W164&lt;=0,"",IFERROR(X164/W164-1,"")))</f>
        <v/>
      </c>
    </row>
    <row r="166">
      <c r="A166" s="18" t="inlineStr">
        <is>
          <t>합계 · 외부 고객 매출</t>
        </is>
      </c>
      <c r="C166" s="20" t="n">
        <v>1149823</v>
      </c>
      <c r="D166" s="20" t="n">
        <v>1180888</v>
      </c>
      <c r="E166" s="20" t="n">
        <v>1115547</v>
      </c>
      <c r="F166" s="20" t="n">
        <v>1132231</v>
      </c>
      <c r="G166" s="20" t="n">
        <v>1193461</v>
      </c>
      <c r="H166" s="20" t="n">
        <v>1238550</v>
      </c>
      <c r="I166" s="20" t="n">
        <v>1148436</v>
      </c>
      <c r="J166" s="20" t="n">
        <v>1225025</v>
      </c>
      <c r="K166" s="20" t="n">
        <v>1313436</v>
      </c>
      <c r="L166" s="20" t="n">
        <v>1423274</v>
      </c>
      <c r="M166" s="20" t="n">
        <v>1330591</v>
      </c>
      <c r="N166" s="20" t="n">
        <v>1434321</v>
      </c>
      <c r="V166" s="20" t="n">
        <v>1180888</v>
      </c>
      <c r="W166" s="20" t="n">
        <v>1238550</v>
      </c>
      <c r="X166" s="20" t="n">
        <v>1423274</v>
      </c>
    </row>
    <row r="167">
      <c r="A167" s="43" t="inlineStr">
        <is>
          <t>YoY</t>
        </is>
      </c>
      <c r="B167" s="3" t="inlineStr">
        <is>
          <t>전년 같은 분기·전년 대비</t>
        </is>
      </c>
      <c r="G167" s="15">
        <f>IF(OR(G166="",C166=""),"",IF(C166&lt;=0,"",IFERROR(G166/C166-1,"")))</f>
        <v/>
      </c>
      <c r="H167" s="15">
        <f>IF(OR(H166="",D166=""),"",IF(D166&lt;=0,"",IFERROR(H166/D166-1,"")))</f>
        <v/>
      </c>
      <c r="I167" s="15">
        <f>IF(OR(I166="",E166=""),"",IF(E166&lt;=0,"",IFERROR(I166/E166-1,"")))</f>
        <v/>
      </c>
      <c r="J167" s="15">
        <f>IF(OR(J166="",F166=""),"",IF(F166&lt;=0,"",IFERROR(J166/F166-1,"")))</f>
        <v/>
      </c>
      <c r="K167" s="15">
        <f>IF(OR(K166="",G166=""),"",IF(G166&lt;=0,"",IFERROR(K166/G166-1,"")))</f>
        <v/>
      </c>
      <c r="L167" s="15">
        <f>IF(OR(L166="",H166=""),"",IF(H166&lt;=0,"",IFERROR(L166/H166-1,"")))</f>
        <v/>
      </c>
      <c r="M167" s="15">
        <f>IF(OR(M166="",I166=""),"",IF(I166&lt;=0,"",IFERROR(M166/I166-1,"")))</f>
        <v/>
      </c>
      <c r="N167" s="15">
        <f>IF(OR(N166="",J166=""),"",IF(J166&lt;=0,"",IFERROR(N166/J166-1,"")))</f>
        <v/>
      </c>
      <c r="V167" s="15">
        <f>IF(OR(V166="",U166=""),"",IF(U166&lt;=0,"",IFERROR(V166/U166-1,"")))</f>
        <v/>
      </c>
      <c r="W167" s="15">
        <f>IF(OR(W166="",V166=""),"",IF(V166&lt;=0,"",IFERROR(W166/V166-1,"")))</f>
        <v/>
      </c>
      <c r="X167" s="15">
        <f>IF(OR(X166="",W166=""),"",IF(W166&lt;=0,"",IFERROR(X166/W166-1,"")))</f>
        <v/>
      </c>
    </row>
    <row r="168">
      <c r="A168" s="18" t="inlineStr">
        <is>
          <t>조정액 · 외부 고객 매출</t>
        </is>
      </c>
      <c r="C168" s="20" t="n">
        <v>0</v>
      </c>
      <c r="D168" s="20" t="n">
        <v>0</v>
      </c>
      <c r="E168" s="20" t="n">
        <v>0</v>
      </c>
      <c r="F168" s="20" t="n">
        <v>0</v>
      </c>
      <c r="G168" s="20" t="n">
        <v>0</v>
      </c>
      <c r="H168" s="20" t="n">
        <v>0</v>
      </c>
      <c r="I168" s="20" t="n">
        <v>0</v>
      </c>
      <c r="J168" s="20" t="n">
        <v>0</v>
      </c>
      <c r="K168" s="20" t="n">
        <v>0</v>
      </c>
      <c r="L168" s="20" t="n">
        <v>0</v>
      </c>
      <c r="M168" s="20" t="n">
        <v>0</v>
      </c>
      <c r="N168" s="20" t="n">
        <v>0</v>
      </c>
      <c r="V168" s="20" t="n">
        <v>0</v>
      </c>
      <c r="W168" s="20" t="n">
        <v>0</v>
      </c>
      <c r="X168" s="20" t="n">
        <v>0</v>
      </c>
    </row>
    <row r="169">
      <c r="A169" s="9" t="inlineStr">
        <is>
          <t>외부 고객 매출</t>
        </is>
      </c>
      <c r="C169" s="12" t="n">
        <v>1149823</v>
      </c>
      <c r="D169" s="12" t="n">
        <v>1180888</v>
      </c>
      <c r="E169" s="12" t="n">
        <v>1115547</v>
      </c>
      <c r="F169" s="12" t="n">
        <v>1132231</v>
      </c>
      <c r="G169" s="12" t="n">
        <v>1193461</v>
      </c>
      <c r="H169" s="12" t="n">
        <v>1238550</v>
      </c>
      <c r="I169" s="12" t="n">
        <v>1148436</v>
      </c>
      <c r="J169" s="12" t="n">
        <v>1225025</v>
      </c>
      <c r="K169" s="12" t="n">
        <v>1313436</v>
      </c>
      <c r="L169" s="12" t="n">
        <v>1423274</v>
      </c>
      <c r="M169" s="12" t="n">
        <v>1330591</v>
      </c>
      <c r="N169" s="12" t="n">
        <v>1434321</v>
      </c>
      <c r="V169" s="12" t="n">
        <v>1180888</v>
      </c>
      <c r="W169" s="12" t="n">
        <v>1238550</v>
      </c>
      <c r="X169" s="12" t="n">
        <v>1423274</v>
      </c>
    </row>
    <row r="170">
      <c r="A170" s="43" t="inlineStr">
        <is>
          <t>YoY</t>
        </is>
      </c>
      <c r="B170" s="3" t="inlineStr">
        <is>
          <t>전년 같은 분기·전년 대비</t>
        </is>
      </c>
      <c r="G170" s="15">
        <f>IF(OR(G169="",C169=""),"",IF(C169&lt;=0,"",IFERROR(G169/C169-1,"")))</f>
        <v/>
      </c>
      <c r="H170" s="15">
        <f>IF(OR(H169="",D169=""),"",IF(D169&lt;=0,"",IFERROR(H169/D169-1,"")))</f>
        <v/>
      </c>
      <c r="I170" s="15">
        <f>IF(OR(I169="",E169=""),"",IF(E169&lt;=0,"",IFERROR(I169/E169-1,"")))</f>
        <v/>
      </c>
      <c r="J170" s="15">
        <f>IF(OR(J169="",F169=""),"",IF(F169&lt;=0,"",IFERROR(J169/F169-1,"")))</f>
        <v/>
      </c>
      <c r="K170" s="15">
        <f>IF(OR(K169="",G169=""),"",IF(G169&lt;=0,"",IFERROR(K169/G169-1,"")))</f>
        <v/>
      </c>
      <c r="L170" s="15">
        <f>IF(OR(L169="",H169=""),"",IF(H169&lt;=0,"",IFERROR(L169/H169-1,"")))</f>
        <v/>
      </c>
      <c r="M170" s="15">
        <f>IF(OR(M169="",I169=""),"",IF(I169&lt;=0,"",IFERROR(M169/I169-1,"")))</f>
        <v/>
      </c>
      <c r="N170" s="15">
        <f>IF(OR(N169="",J169=""),"",IF(J169&lt;=0,"",IFERROR(N169/J169-1,"")))</f>
        <v/>
      </c>
      <c r="V170" s="15">
        <f>IF(OR(V169="",U169=""),"",IF(U169&lt;=0,"",IFERROR(V169/U169-1,"")))</f>
        <v/>
      </c>
      <c r="W170" s="15">
        <f>IF(OR(W169="",V169=""),"",IF(V169&lt;=0,"",IFERROR(W169/V169-1,"")))</f>
        <v/>
      </c>
      <c r="X170" s="15">
        <f>IF(OR(X169="",W169=""),"",IF(W169&lt;=0,"",IFERROR(X169/W169-1,"")))</f>
        <v/>
      </c>
    </row>
    <row r="171">
      <c r="A171" s="18" t="inlineStr">
        <is>
          <t>환경에너지 관련 사업 · 부문 간 내부매출·대체</t>
        </is>
      </c>
      <c r="C171" s="20" t="n">
        <v>7521</v>
      </c>
      <c r="D171" s="20" t="n">
        <v>8071</v>
      </c>
      <c r="E171" s="20" t="n">
        <v>7363</v>
      </c>
      <c r="F171" s="20" t="n">
        <v>9697</v>
      </c>
      <c r="G171" s="20" t="n">
        <v>8358</v>
      </c>
      <c r="H171" s="20" t="n">
        <v>7858</v>
      </c>
      <c r="I171" s="20" t="n">
        <v>8570</v>
      </c>
      <c r="J171" s="20" t="n">
        <v>9167</v>
      </c>
      <c r="K171" s="20" t="n">
        <v>8350</v>
      </c>
      <c r="L171" s="20" t="n">
        <v>10095</v>
      </c>
      <c r="M171" s="20" t="n">
        <v>8626</v>
      </c>
      <c r="N171" s="20" t="n">
        <v>9236</v>
      </c>
      <c r="V171" s="20" t="n">
        <v>8071</v>
      </c>
      <c r="W171" s="20" t="n">
        <v>7858</v>
      </c>
      <c r="X171" s="20" t="n">
        <v>10095</v>
      </c>
    </row>
    <row r="172">
      <c r="A172" s="18" t="inlineStr">
        <is>
          <t>정보통신 관련 사업 · 부문 간 내부매출·대체</t>
        </is>
      </c>
      <c r="C172" s="20" t="n">
        <v>828</v>
      </c>
      <c r="D172" s="20" t="n">
        <v>1008</v>
      </c>
      <c r="E172" s="20" t="n">
        <v>981</v>
      </c>
      <c r="F172" s="20" t="n">
        <v>1123</v>
      </c>
      <c r="G172" s="20" t="n">
        <v>1143</v>
      </c>
      <c r="H172" s="20" t="n">
        <v>1628</v>
      </c>
      <c r="I172" s="20" t="n">
        <v>1561</v>
      </c>
      <c r="J172" s="20" t="n">
        <v>2919</v>
      </c>
      <c r="K172" s="20" t="n">
        <v>3219</v>
      </c>
      <c r="L172" s="20" t="n">
        <v>3903</v>
      </c>
      <c r="M172" s="20" t="n">
        <v>4823</v>
      </c>
      <c r="N172" s="20" t="n">
        <v>2195</v>
      </c>
      <c r="V172" s="20" t="n">
        <v>1008</v>
      </c>
      <c r="W172" s="20" t="n">
        <v>1628</v>
      </c>
      <c r="X172" s="20" t="n">
        <v>3903</v>
      </c>
    </row>
    <row r="173">
      <c r="A173" s="18" t="inlineStr">
        <is>
          <t>자동차 관련 사업 · 부문 간 내부매출·대체</t>
        </is>
      </c>
      <c r="C173" s="20" t="n">
        <v>608</v>
      </c>
      <c r="D173" s="20" t="n">
        <v>689</v>
      </c>
      <c r="E173" s="20" t="n">
        <v>588</v>
      </c>
      <c r="F173" s="20" t="n">
        <v>571</v>
      </c>
      <c r="G173" s="20" t="n">
        <v>557</v>
      </c>
      <c r="H173" s="20" t="n">
        <v>433</v>
      </c>
      <c r="I173" s="20" t="n">
        <v>373</v>
      </c>
      <c r="J173" s="20" t="n">
        <v>441</v>
      </c>
      <c r="K173" s="20" t="n">
        <v>447</v>
      </c>
      <c r="L173" s="20" t="n">
        <v>518</v>
      </c>
      <c r="M173" s="20" t="n">
        <v>477</v>
      </c>
      <c r="N173" s="20" t="n">
        <v>565</v>
      </c>
      <c r="V173" s="20" t="n">
        <v>689</v>
      </c>
      <c r="W173" s="20" t="n">
        <v>433</v>
      </c>
      <c r="X173" s="20" t="n">
        <v>518</v>
      </c>
    </row>
    <row r="174">
      <c r="A174" s="18" t="inlineStr">
        <is>
          <t>전자 관련 사업 · 부문 간 내부매출·대체</t>
        </is>
      </c>
      <c r="C174" s="20" t="n">
        <v>13484</v>
      </c>
      <c r="D174" s="20" t="n">
        <v>11449</v>
      </c>
      <c r="E174" s="20" t="n">
        <v>12209</v>
      </c>
      <c r="F174" s="20" t="n">
        <v>12889</v>
      </c>
      <c r="G174" s="20" t="n">
        <v>13548</v>
      </c>
      <c r="H174" s="20" t="n">
        <v>11455</v>
      </c>
      <c r="I174" s="20" t="n">
        <v>12265</v>
      </c>
      <c r="J174" s="20" t="n">
        <v>14401</v>
      </c>
      <c r="K174" s="20" t="n">
        <v>15931</v>
      </c>
      <c r="L174" s="20" t="n">
        <v>15861</v>
      </c>
      <c r="M174" s="20" t="n">
        <v>16264</v>
      </c>
      <c r="N174" s="20" t="n">
        <v>17606</v>
      </c>
      <c r="V174" s="20" t="n">
        <v>11449</v>
      </c>
      <c r="W174" s="20" t="n">
        <v>11455</v>
      </c>
      <c r="X174" s="20" t="n">
        <v>15861</v>
      </c>
    </row>
    <row r="175">
      <c r="A175" s="18" t="inlineStr">
        <is>
          <t>산업소재 관련 사업 외 · 부문 간 내부매출·대체</t>
        </is>
      </c>
      <c r="C175" s="20" t="n">
        <v>3292</v>
      </c>
      <c r="D175" s="20" t="n">
        <v>4271</v>
      </c>
      <c r="E175" s="20" t="n">
        <v>5030</v>
      </c>
      <c r="F175" s="20" t="n">
        <v>4353</v>
      </c>
      <c r="G175" s="20" t="n">
        <v>4455</v>
      </c>
      <c r="H175" s="20" t="n">
        <v>5237</v>
      </c>
      <c r="I175" s="20" t="n">
        <v>6823</v>
      </c>
      <c r="J175" s="20" t="n">
        <v>5179</v>
      </c>
      <c r="K175" s="20" t="n">
        <v>4711</v>
      </c>
      <c r="L175" s="20" t="n">
        <v>5184</v>
      </c>
      <c r="M175" s="20" t="n">
        <v>7869</v>
      </c>
      <c r="N175" s="20" t="n">
        <v>6483</v>
      </c>
      <c r="V175" s="20" t="n">
        <v>4271</v>
      </c>
      <c r="W175" s="20" t="n">
        <v>5237</v>
      </c>
      <c r="X175" s="20" t="n">
        <v>5184</v>
      </c>
    </row>
    <row r="176">
      <c r="A176" s="18" t="inlineStr">
        <is>
          <t>합계 · 부문 간 내부매출·대체</t>
        </is>
      </c>
      <c r="C176" s="20" t="n">
        <v>25733</v>
      </c>
      <c r="D176" s="20" t="n">
        <v>25488</v>
      </c>
      <c r="E176" s="20" t="n">
        <v>26171</v>
      </c>
      <c r="F176" s="20" t="n">
        <v>28633</v>
      </c>
      <c r="G176" s="20" t="n">
        <v>28061</v>
      </c>
      <c r="H176" s="20" t="n">
        <v>26611</v>
      </c>
      <c r="I176" s="20" t="n">
        <v>29592</v>
      </c>
      <c r="J176" s="20" t="n">
        <v>32107</v>
      </c>
      <c r="K176" s="20" t="n">
        <v>32658</v>
      </c>
      <c r="L176" s="20" t="n">
        <v>35561</v>
      </c>
      <c r="M176" s="20" t="n">
        <v>38059</v>
      </c>
      <c r="N176" s="20" t="n">
        <v>36085</v>
      </c>
      <c r="V176" s="20" t="n">
        <v>25488</v>
      </c>
      <c r="W176" s="20" t="n">
        <v>26611</v>
      </c>
      <c r="X176" s="20" t="n">
        <v>35561</v>
      </c>
    </row>
    <row r="177">
      <c r="A177" s="18" t="inlineStr">
        <is>
          <t>조정액 · 부문 간 내부매출·대체</t>
        </is>
      </c>
      <c r="C177" s="20" t="n">
        <v>-25733</v>
      </c>
      <c r="D177" s="20" t="n">
        <v>-25488</v>
      </c>
      <c r="E177" s="20" t="n">
        <v>-26171</v>
      </c>
      <c r="F177" s="20" t="n">
        <v>-28633</v>
      </c>
      <c r="G177" s="20" t="n">
        <v>-28061</v>
      </c>
      <c r="H177" s="20" t="n">
        <v>-26611</v>
      </c>
      <c r="I177" s="20" t="n">
        <v>-29592</v>
      </c>
      <c r="J177" s="20" t="n">
        <v>-32107</v>
      </c>
      <c r="K177" s="20" t="n">
        <v>-32658</v>
      </c>
      <c r="L177" s="20" t="n">
        <v>-35561</v>
      </c>
      <c r="M177" s="20" t="n">
        <v>-38059</v>
      </c>
      <c r="N177" s="20" t="n">
        <v>-36085</v>
      </c>
      <c r="V177" s="20" t="n">
        <v>-25488</v>
      </c>
      <c r="W177" s="20" t="n">
        <v>-26611</v>
      </c>
      <c r="X177" s="20" t="n">
        <v>-35561</v>
      </c>
    </row>
    <row r="178">
      <c r="A178" s="18" t="inlineStr">
        <is>
          <t>부문 간 내부매출·대체</t>
        </is>
      </c>
      <c r="C178" s="20" t="n">
        <v>0</v>
      </c>
      <c r="D178" s="20" t="n">
        <v>0</v>
      </c>
      <c r="E178" s="20" t="n">
        <v>0</v>
      </c>
      <c r="F178" s="20" t="n">
        <v>0</v>
      </c>
      <c r="G178" s="20" t="n">
        <v>0</v>
      </c>
      <c r="H178" s="20" t="n">
        <v>0</v>
      </c>
      <c r="I178" s="20" t="n">
        <v>0</v>
      </c>
      <c r="J178" s="20" t="n">
        <v>0</v>
      </c>
      <c r="K178" s="20" t="n">
        <v>0</v>
      </c>
      <c r="L178" s="20" t="n">
        <v>0</v>
      </c>
      <c r="M178" s="20" t="n">
        <v>0</v>
      </c>
      <c r="N178" s="20" t="n">
        <v>0</v>
      </c>
      <c r="V178" s="20" t="n">
        <v>0</v>
      </c>
      <c r="W178" s="20" t="n">
        <v>0</v>
      </c>
      <c r="X178" s="20" t="n">
        <v>0</v>
      </c>
    </row>
    <row r="179">
      <c r="A179" s="18" t="inlineStr">
        <is>
          <t>환경에너지 관련 사업 · 계</t>
        </is>
      </c>
      <c r="C179" s="20" t="n">
        <v>249691</v>
      </c>
      <c r="D179" s="20" t="n">
        <v>281547</v>
      </c>
      <c r="E179" s="20" t="n">
        <v>248137</v>
      </c>
      <c r="F179" s="20" t="n">
        <v>268230</v>
      </c>
      <c r="G179" s="20" t="n">
        <v>267534</v>
      </c>
      <c r="H179" s="20" t="n">
        <v>297443</v>
      </c>
      <c r="I179" s="20" t="n">
        <v>262872</v>
      </c>
      <c r="J179" s="20" t="n">
        <v>273138</v>
      </c>
      <c r="K179" s="20" t="n">
        <v>298124</v>
      </c>
      <c r="L179" s="20" t="n">
        <v>344646</v>
      </c>
      <c r="M179" s="20" t="n">
        <v>253039</v>
      </c>
      <c r="N179" s="20" t="n">
        <v>293430</v>
      </c>
      <c r="V179" s="20" t="n">
        <v>281547</v>
      </c>
      <c r="W179" s="20" t="n">
        <v>297443</v>
      </c>
      <c r="X179" s="20" t="n">
        <v>344646</v>
      </c>
    </row>
    <row r="180">
      <c r="A180" s="43" t="inlineStr">
        <is>
          <t>YoY</t>
        </is>
      </c>
      <c r="B180" s="3" t="inlineStr">
        <is>
          <t>전년 같은 분기·전년 대비</t>
        </is>
      </c>
      <c r="G180" s="15">
        <f>IF(OR(G179="",C179=""),"",IF(C179&lt;=0,"",IFERROR(G179/C179-1,"")))</f>
        <v/>
      </c>
      <c r="H180" s="15">
        <f>IF(OR(H179="",D179=""),"",IF(D179&lt;=0,"",IFERROR(H179/D179-1,"")))</f>
        <v/>
      </c>
      <c r="I180" s="15">
        <f>IF(OR(I179="",E179=""),"",IF(E179&lt;=0,"",IFERROR(I179/E179-1,"")))</f>
        <v/>
      </c>
      <c r="J180" s="15">
        <f>IF(OR(J179="",F179=""),"",IF(F179&lt;=0,"",IFERROR(J179/F179-1,"")))</f>
        <v/>
      </c>
      <c r="K180" s="15">
        <f>IF(OR(K179="",G179=""),"",IF(G179&lt;=0,"",IFERROR(K179/G179-1,"")))</f>
        <v/>
      </c>
      <c r="L180" s="15">
        <f>IF(OR(L179="",H179=""),"",IF(H179&lt;=0,"",IFERROR(L179/H179-1,"")))</f>
        <v/>
      </c>
      <c r="M180" s="15">
        <f>IF(OR(M179="",I179=""),"",IF(I179&lt;=0,"",IFERROR(M179/I179-1,"")))</f>
        <v/>
      </c>
      <c r="N180" s="15">
        <f>IF(OR(N179="",J179=""),"",IF(J179&lt;=0,"",IFERROR(N179/J179-1,"")))</f>
        <v/>
      </c>
      <c r="V180" s="15">
        <f>IF(OR(V179="",U179=""),"",IF(U179&lt;=0,"",IFERROR(V179/U179-1,"")))</f>
        <v/>
      </c>
      <c r="W180" s="15">
        <f>IF(OR(W179="",V179=""),"",IF(V179&lt;=0,"",IFERROR(W179/V179-1,"")))</f>
        <v/>
      </c>
      <c r="X180" s="15">
        <f>IF(OR(X179="",W179=""),"",IF(W179&lt;=0,"",IFERROR(X179/W179-1,"")))</f>
        <v/>
      </c>
    </row>
    <row r="181">
      <c r="A181" s="18" t="inlineStr">
        <is>
          <t>정보통신 관련 사업 · 계</t>
        </is>
      </c>
      <c r="C181" s="20" t="n">
        <v>49045</v>
      </c>
      <c r="D181" s="20" t="n">
        <v>54651</v>
      </c>
      <c r="E181" s="20" t="n">
        <v>52991</v>
      </c>
      <c r="F181" s="20" t="n">
        <v>50608</v>
      </c>
      <c r="G181" s="20" t="n">
        <v>56188</v>
      </c>
      <c r="H181" s="20" t="n">
        <v>63489</v>
      </c>
      <c r="I181" s="20" t="n">
        <v>61663</v>
      </c>
      <c r="J181" s="20" t="n">
        <v>73760</v>
      </c>
      <c r="K181" s="20" t="n">
        <v>85172</v>
      </c>
      <c r="L181" s="20" t="n">
        <v>106037</v>
      </c>
      <c r="M181" s="20" t="n">
        <v>86484</v>
      </c>
      <c r="N181" s="20" t="n">
        <v>114975</v>
      </c>
      <c r="V181" s="20" t="n">
        <v>54651</v>
      </c>
      <c r="W181" s="20" t="n">
        <v>63489</v>
      </c>
      <c r="X181" s="20" t="n">
        <v>106037</v>
      </c>
    </row>
    <row r="182">
      <c r="A182" s="43" t="inlineStr">
        <is>
          <t>YoY</t>
        </is>
      </c>
      <c r="B182" s="3" t="inlineStr">
        <is>
          <t>전년 같은 분기·전년 대비</t>
        </is>
      </c>
      <c r="G182" s="15">
        <f>IF(OR(G181="",C181=""),"",IF(C181&lt;=0,"",IFERROR(G181/C181-1,"")))</f>
        <v/>
      </c>
      <c r="H182" s="15">
        <f>IF(OR(H181="",D181=""),"",IF(D181&lt;=0,"",IFERROR(H181/D181-1,"")))</f>
        <v/>
      </c>
      <c r="I182" s="15">
        <f>IF(OR(I181="",E181=""),"",IF(E181&lt;=0,"",IFERROR(I181/E181-1,"")))</f>
        <v/>
      </c>
      <c r="J182" s="15">
        <f>IF(OR(J181="",F181=""),"",IF(F181&lt;=0,"",IFERROR(J181/F181-1,"")))</f>
        <v/>
      </c>
      <c r="K182" s="15">
        <f>IF(OR(K181="",G181=""),"",IF(G181&lt;=0,"",IFERROR(K181/G181-1,"")))</f>
        <v/>
      </c>
      <c r="L182" s="15">
        <f>IF(OR(L181="",H181=""),"",IF(H181&lt;=0,"",IFERROR(L181/H181-1,"")))</f>
        <v/>
      </c>
      <c r="M182" s="15">
        <f>IF(OR(M181="",I181=""),"",IF(I181&lt;=0,"",IFERROR(M181/I181-1,"")))</f>
        <v/>
      </c>
      <c r="N182" s="15">
        <f>IF(OR(N181="",J181=""),"",IF(J181&lt;=0,"",IFERROR(N181/J181-1,"")))</f>
        <v/>
      </c>
      <c r="V182" s="15">
        <f>IF(OR(V181="",U181=""),"",IF(U181&lt;=0,"",IFERROR(V181/U181-1,"")))</f>
        <v/>
      </c>
      <c r="W182" s="15">
        <f>IF(OR(W181="",V181=""),"",IF(V181&lt;=0,"",IFERROR(W181/V181-1,"")))</f>
        <v/>
      </c>
      <c r="X182" s="15">
        <f>IF(OR(X181="",W181=""),"",IF(W181&lt;=0,"",IFERROR(X181/W181-1,"")))</f>
        <v/>
      </c>
    </row>
    <row r="183">
      <c r="A183" s="18" t="inlineStr">
        <is>
          <t>자동차 관련 사업 · 계</t>
        </is>
      </c>
      <c r="C183" s="20" t="n">
        <v>690837</v>
      </c>
      <c r="D183" s="20" t="n">
        <v>690944</v>
      </c>
      <c r="E183" s="20" t="n">
        <v>662541</v>
      </c>
      <c r="F183" s="20" t="n">
        <v>642897</v>
      </c>
      <c r="G183" s="20" t="n">
        <v>706259</v>
      </c>
      <c r="H183" s="20" t="n">
        <v>723033</v>
      </c>
      <c r="I183" s="20" t="n">
        <v>670599</v>
      </c>
      <c r="J183" s="20" t="n">
        <v>707634</v>
      </c>
      <c r="K183" s="20" t="n">
        <v>756932</v>
      </c>
      <c r="L183" s="20" t="n">
        <v>802003</v>
      </c>
      <c r="M183" s="20" t="n">
        <v>802803</v>
      </c>
      <c r="N183" s="20" t="n">
        <v>813789</v>
      </c>
      <c r="V183" s="20" t="n">
        <v>690944</v>
      </c>
      <c r="W183" s="20" t="n">
        <v>723033</v>
      </c>
      <c r="X183" s="20" t="n">
        <v>802003</v>
      </c>
    </row>
    <row r="184">
      <c r="A184" s="43" t="inlineStr">
        <is>
          <t>YoY</t>
        </is>
      </c>
      <c r="B184" s="3" t="inlineStr">
        <is>
          <t>전년 같은 분기·전년 대비</t>
        </is>
      </c>
      <c r="G184" s="15">
        <f>IF(OR(G183="",C183=""),"",IF(C183&lt;=0,"",IFERROR(G183/C183-1,"")))</f>
        <v/>
      </c>
      <c r="H184" s="15">
        <f>IF(OR(H183="",D183=""),"",IF(D183&lt;=0,"",IFERROR(H183/D183-1,"")))</f>
        <v/>
      </c>
      <c r="I184" s="15">
        <f>IF(OR(I183="",E183=""),"",IF(E183&lt;=0,"",IFERROR(I183/E183-1,"")))</f>
        <v/>
      </c>
      <c r="J184" s="15">
        <f>IF(OR(J183="",F183=""),"",IF(F183&lt;=0,"",IFERROR(J183/F183-1,"")))</f>
        <v/>
      </c>
      <c r="K184" s="15">
        <f>IF(OR(K183="",G183=""),"",IF(G183&lt;=0,"",IFERROR(K183/G183-1,"")))</f>
        <v/>
      </c>
      <c r="L184" s="15">
        <f>IF(OR(L183="",H183=""),"",IF(H183&lt;=0,"",IFERROR(L183/H183-1,"")))</f>
        <v/>
      </c>
      <c r="M184" s="15">
        <f>IF(OR(M183="",I183=""),"",IF(I183&lt;=0,"",IFERROR(M183/I183-1,"")))</f>
        <v/>
      </c>
      <c r="N184" s="15">
        <f>IF(OR(N183="",J183=""),"",IF(J183&lt;=0,"",IFERROR(N183/J183-1,"")))</f>
        <v/>
      </c>
      <c r="V184" s="15">
        <f>IF(OR(V183="",U183=""),"",IF(U183&lt;=0,"",IFERROR(V183/U183-1,"")))</f>
        <v/>
      </c>
      <c r="W184" s="15">
        <f>IF(OR(W183="",V183=""),"",IF(V183&lt;=0,"",IFERROR(W183/V183-1,"")))</f>
        <v/>
      </c>
      <c r="X184" s="15">
        <f>IF(OR(X183="",W183=""),"",IF(W183&lt;=0,"",IFERROR(X183/W183-1,"")))</f>
        <v/>
      </c>
    </row>
    <row r="185">
      <c r="A185" s="18" t="inlineStr">
        <is>
          <t>전자 관련 사업 · 계</t>
        </is>
      </c>
      <c r="C185" s="20" t="n">
        <v>94441</v>
      </c>
      <c r="D185" s="20" t="n">
        <v>86500</v>
      </c>
      <c r="E185" s="20" t="n">
        <v>88432</v>
      </c>
      <c r="F185" s="20" t="n">
        <v>103061</v>
      </c>
      <c r="G185" s="20" t="n">
        <v>97886</v>
      </c>
      <c r="H185" s="20" t="n">
        <v>87869</v>
      </c>
      <c r="I185" s="20" t="n">
        <v>90020</v>
      </c>
      <c r="J185" s="20" t="n">
        <v>107237</v>
      </c>
      <c r="K185" s="20" t="n">
        <v>107420</v>
      </c>
      <c r="L185" s="20" t="n">
        <v>104419</v>
      </c>
      <c r="M185" s="20" t="n">
        <v>110581</v>
      </c>
      <c r="N185" s="20" t="n">
        <v>122856</v>
      </c>
      <c r="V185" s="20" t="n">
        <v>86500</v>
      </c>
      <c r="W185" s="20" t="n">
        <v>87869</v>
      </c>
      <c r="X185" s="20" t="n">
        <v>104419</v>
      </c>
    </row>
    <row r="186">
      <c r="A186" s="43" t="inlineStr">
        <is>
          <t>YoY</t>
        </is>
      </c>
      <c r="B186" s="3" t="inlineStr">
        <is>
          <t>전년 같은 분기·전년 대비</t>
        </is>
      </c>
      <c r="G186" s="15">
        <f>IF(OR(G185="",C185=""),"",IF(C185&lt;=0,"",IFERROR(G185/C185-1,"")))</f>
        <v/>
      </c>
      <c r="H186" s="15">
        <f>IF(OR(H185="",D185=""),"",IF(D185&lt;=0,"",IFERROR(H185/D185-1,"")))</f>
        <v/>
      </c>
      <c r="I186" s="15">
        <f>IF(OR(I185="",E185=""),"",IF(E185&lt;=0,"",IFERROR(I185/E185-1,"")))</f>
        <v/>
      </c>
      <c r="J186" s="15">
        <f>IF(OR(J185="",F185=""),"",IF(F185&lt;=0,"",IFERROR(J185/F185-1,"")))</f>
        <v/>
      </c>
      <c r="K186" s="15">
        <f>IF(OR(K185="",G185=""),"",IF(G185&lt;=0,"",IFERROR(K185/G185-1,"")))</f>
        <v/>
      </c>
      <c r="L186" s="15">
        <f>IF(OR(L185="",H185=""),"",IF(H185&lt;=0,"",IFERROR(L185/H185-1,"")))</f>
        <v/>
      </c>
      <c r="M186" s="15">
        <f>IF(OR(M185="",I185=""),"",IF(I185&lt;=0,"",IFERROR(M185/I185-1,"")))</f>
        <v/>
      </c>
      <c r="N186" s="15">
        <f>IF(OR(N185="",J185=""),"",IF(J185&lt;=0,"",IFERROR(N185/J185-1,"")))</f>
        <v/>
      </c>
      <c r="V186" s="15">
        <f>IF(OR(V185="",U185=""),"",IF(U185&lt;=0,"",IFERROR(V185/U185-1,"")))</f>
        <v/>
      </c>
      <c r="W186" s="15">
        <f>IF(OR(W185="",V185=""),"",IF(V185&lt;=0,"",IFERROR(W185/V185-1,"")))</f>
        <v/>
      </c>
      <c r="X186" s="15">
        <f>IF(OR(X185="",W185=""),"",IF(W185&lt;=0,"",IFERROR(X185/W185-1,"")))</f>
        <v/>
      </c>
    </row>
    <row r="187">
      <c r="A187" s="18" t="inlineStr">
        <is>
          <t>산업소재 관련 사업 외 · 계</t>
        </is>
      </c>
      <c r="C187" s="20" t="n">
        <v>91542</v>
      </c>
      <c r="D187" s="20" t="n">
        <v>92734</v>
      </c>
      <c r="E187" s="20" t="n">
        <v>89617</v>
      </c>
      <c r="F187" s="20" t="n">
        <v>96068</v>
      </c>
      <c r="G187" s="20" t="n">
        <v>93655</v>
      </c>
      <c r="H187" s="20" t="n">
        <v>93327</v>
      </c>
      <c r="I187" s="20" t="n">
        <v>92874</v>
      </c>
      <c r="J187" s="20" t="n">
        <v>95363</v>
      </c>
      <c r="K187" s="20" t="n">
        <v>98446</v>
      </c>
      <c r="L187" s="20" t="n">
        <v>101730</v>
      </c>
      <c r="M187" s="20" t="n">
        <v>115743</v>
      </c>
      <c r="N187" s="20" t="n">
        <v>125356</v>
      </c>
      <c r="V187" s="20" t="n">
        <v>92734</v>
      </c>
      <c r="W187" s="20" t="n">
        <v>93327</v>
      </c>
      <c r="X187" s="20" t="n">
        <v>101730</v>
      </c>
    </row>
    <row r="188">
      <c r="A188" s="43" t="inlineStr">
        <is>
          <t>YoY</t>
        </is>
      </c>
      <c r="B188" s="3" t="inlineStr">
        <is>
          <t>전년 같은 분기·전년 대비</t>
        </is>
      </c>
      <c r="G188" s="15">
        <f>IF(OR(G187="",C187=""),"",IF(C187&lt;=0,"",IFERROR(G187/C187-1,"")))</f>
        <v/>
      </c>
      <c r="H188" s="15">
        <f>IF(OR(H187="",D187=""),"",IF(D187&lt;=0,"",IFERROR(H187/D187-1,"")))</f>
        <v/>
      </c>
      <c r="I188" s="15">
        <f>IF(OR(I187="",E187=""),"",IF(E187&lt;=0,"",IFERROR(I187/E187-1,"")))</f>
        <v/>
      </c>
      <c r="J188" s="15">
        <f>IF(OR(J187="",F187=""),"",IF(F187&lt;=0,"",IFERROR(J187/F187-1,"")))</f>
        <v/>
      </c>
      <c r="K188" s="15">
        <f>IF(OR(K187="",G187=""),"",IF(G187&lt;=0,"",IFERROR(K187/G187-1,"")))</f>
        <v/>
      </c>
      <c r="L188" s="15">
        <f>IF(OR(L187="",H187=""),"",IF(H187&lt;=0,"",IFERROR(L187/H187-1,"")))</f>
        <v/>
      </c>
      <c r="M188" s="15">
        <f>IF(OR(M187="",I187=""),"",IF(I187&lt;=0,"",IFERROR(M187/I187-1,"")))</f>
        <v/>
      </c>
      <c r="N188" s="15">
        <f>IF(OR(N187="",J187=""),"",IF(J187&lt;=0,"",IFERROR(N187/J187-1,"")))</f>
        <v/>
      </c>
      <c r="V188" s="15">
        <f>IF(OR(V187="",U187=""),"",IF(U187&lt;=0,"",IFERROR(V187/U187-1,"")))</f>
        <v/>
      </c>
      <c r="W188" s="15">
        <f>IF(OR(W187="",V187=""),"",IF(V187&lt;=0,"",IFERROR(W187/V187-1,"")))</f>
        <v/>
      </c>
      <c r="X188" s="15">
        <f>IF(OR(X187="",W187=""),"",IF(W187&lt;=0,"",IFERROR(X187/W187-1,"")))</f>
        <v/>
      </c>
    </row>
    <row r="189">
      <c r="A189" s="18" t="inlineStr">
        <is>
          <t>합계 · 계</t>
        </is>
      </c>
      <c r="C189" s="20" t="n">
        <v>1175556</v>
      </c>
      <c r="D189" s="20" t="n">
        <v>1206376</v>
      </c>
      <c r="E189" s="20" t="n">
        <v>1141718</v>
      </c>
      <c r="F189" s="20" t="n">
        <v>1160864</v>
      </c>
      <c r="G189" s="20" t="n">
        <v>1221522</v>
      </c>
      <c r="H189" s="20" t="n">
        <v>1265161</v>
      </c>
      <c r="I189" s="20" t="n">
        <v>1178028</v>
      </c>
      <c r="J189" s="20" t="n">
        <v>1257132</v>
      </c>
      <c r="K189" s="20" t="n">
        <v>1346094</v>
      </c>
      <c r="L189" s="20" t="n">
        <v>1458835</v>
      </c>
      <c r="M189" s="20" t="n">
        <v>1368650</v>
      </c>
      <c r="N189" s="20" t="n">
        <v>1470406</v>
      </c>
      <c r="V189" s="20" t="n">
        <v>1206376</v>
      </c>
      <c r="W189" s="20" t="n">
        <v>1265161</v>
      </c>
      <c r="X189" s="20" t="n">
        <v>1458835</v>
      </c>
    </row>
    <row r="190">
      <c r="A190" s="43" t="inlineStr">
        <is>
          <t>YoY</t>
        </is>
      </c>
      <c r="B190" s="3" t="inlineStr">
        <is>
          <t>전년 같은 분기·전년 대비</t>
        </is>
      </c>
      <c r="G190" s="15">
        <f>IF(OR(G189="",C189=""),"",IF(C189&lt;=0,"",IFERROR(G189/C189-1,"")))</f>
        <v/>
      </c>
      <c r="H190" s="15">
        <f>IF(OR(H189="",D189=""),"",IF(D189&lt;=0,"",IFERROR(H189/D189-1,"")))</f>
        <v/>
      </c>
      <c r="I190" s="15">
        <f>IF(OR(I189="",E189=""),"",IF(E189&lt;=0,"",IFERROR(I189/E189-1,"")))</f>
        <v/>
      </c>
      <c r="J190" s="15">
        <f>IF(OR(J189="",F189=""),"",IF(F189&lt;=0,"",IFERROR(J189/F189-1,"")))</f>
        <v/>
      </c>
      <c r="K190" s="15">
        <f>IF(OR(K189="",G189=""),"",IF(G189&lt;=0,"",IFERROR(K189/G189-1,"")))</f>
        <v/>
      </c>
      <c r="L190" s="15">
        <f>IF(OR(L189="",H189=""),"",IF(H189&lt;=0,"",IFERROR(L189/H189-1,"")))</f>
        <v/>
      </c>
      <c r="M190" s="15">
        <f>IF(OR(M189="",I189=""),"",IF(I189&lt;=0,"",IFERROR(M189/I189-1,"")))</f>
        <v/>
      </c>
      <c r="N190" s="15">
        <f>IF(OR(N189="",J189=""),"",IF(J189&lt;=0,"",IFERROR(N189/J189-1,"")))</f>
        <v/>
      </c>
      <c r="V190" s="15">
        <f>IF(OR(V189="",U189=""),"",IF(U189&lt;=0,"",IFERROR(V189/U189-1,"")))</f>
        <v/>
      </c>
      <c r="W190" s="15">
        <f>IF(OR(W189="",V189=""),"",IF(V189&lt;=0,"",IFERROR(W189/V189-1,"")))</f>
        <v/>
      </c>
      <c r="X190" s="15">
        <f>IF(OR(X189="",W189=""),"",IF(W189&lt;=0,"",IFERROR(X189/W189-1,"")))</f>
        <v/>
      </c>
    </row>
    <row r="191">
      <c r="A191" s="18" t="inlineStr">
        <is>
          <t>조정액 · 계</t>
        </is>
      </c>
      <c r="C191" s="20" t="n">
        <v>-25733</v>
      </c>
      <c r="D191" s="20" t="n">
        <v>-25488</v>
      </c>
      <c r="E191" s="20" t="n">
        <v>-26171</v>
      </c>
      <c r="F191" s="20" t="n">
        <v>-28633</v>
      </c>
      <c r="G191" s="20" t="n">
        <v>-28061</v>
      </c>
      <c r="H191" s="20" t="n">
        <v>-26611</v>
      </c>
      <c r="I191" s="20" t="n">
        <v>-29592</v>
      </c>
      <c r="J191" s="20" t="n">
        <v>-32107</v>
      </c>
      <c r="K191" s="20" t="n">
        <v>-32658</v>
      </c>
      <c r="L191" s="20" t="n">
        <v>-35561</v>
      </c>
      <c r="M191" s="20" t="n">
        <v>-38059</v>
      </c>
      <c r="N191" s="20" t="n">
        <v>-36085</v>
      </c>
      <c r="V191" s="20" t="n">
        <v>-25488</v>
      </c>
      <c r="W191" s="20" t="n">
        <v>-26611</v>
      </c>
      <c r="X191" s="20" t="n">
        <v>-35561</v>
      </c>
    </row>
    <row r="192">
      <c r="A192" s="9" t="inlineStr">
        <is>
          <t>계</t>
        </is>
      </c>
      <c r="C192" s="12" t="n">
        <v>1149823</v>
      </c>
      <c r="D192" s="12" t="n">
        <v>1180888</v>
      </c>
      <c r="E192" s="12" t="n">
        <v>1115547</v>
      </c>
      <c r="F192" s="12" t="n">
        <v>1132231</v>
      </c>
      <c r="G192" s="12" t="n">
        <v>1193461</v>
      </c>
      <c r="H192" s="12" t="n">
        <v>1238550</v>
      </c>
      <c r="I192" s="12" t="n">
        <v>1148436</v>
      </c>
      <c r="J192" s="12" t="n">
        <v>1225025</v>
      </c>
      <c r="K192" s="12" t="n">
        <v>1313436</v>
      </c>
      <c r="L192" s="12" t="n">
        <v>1423274</v>
      </c>
      <c r="M192" s="12" t="n">
        <v>1330591</v>
      </c>
      <c r="N192" s="12" t="n">
        <v>1434321</v>
      </c>
      <c r="V192" s="12" t="n">
        <v>1180888</v>
      </c>
      <c r="W192" s="12" t="n">
        <v>1238550</v>
      </c>
      <c r="X192" s="12" t="n">
        <v>1423274</v>
      </c>
    </row>
    <row r="193">
      <c r="A193" s="43" t="inlineStr">
        <is>
          <t>YoY</t>
        </is>
      </c>
      <c r="B193" s="3" t="inlineStr">
        <is>
          <t>전년 같은 분기·전년 대비</t>
        </is>
      </c>
      <c r="G193" s="15">
        <f>IF(OR(G192="",C192=""),"",IF(C192&lt;=0,"",IFERROR(G192/C192-1,"")))</f>
        <v/>
      </c>
      <c r="H193" s="15">
        <f>IF(OR(H192="",D192=""),"",IF(D192&lt;=0,"",IFERROR(H192/D192-1,"")))</f>
        <v/>
      </c>
      <c r="I193" s="15">
        <f>IF(OR(I192="",E192=""),"",IF(E192&lt;=0,"",IFERROR(I192/E192-1,"")))</f>
        <v/>
      </c>
      <c r="J193" s="15">
        <f>IF(OR(J192="",F192=""),"",IF(F192&lt;=0,"",IFERROR(J192/F192-1,"")))</f>
        <v/>
      </c>
      <c r="K193" s="15">
        <f>IF(OR(K192="",G192=""),"",IF(G192&lt;=0,"",IFERROR(K192/G192-1,"")))</f>
        <v/>
      </c>
      <c r="L193" s="15">
        <f>IF(OR(L192="",H192=""),"",IF(H192&lt;=0,"",IFERROR(L192/H192-1,"")))</f>
        <v/>
      </c>
      <c r="M193" s="15">
        <f>IF(OR(M192="",I192=""),"",IF(I192&lt;=0,"",IFERROR(M192/I192-1,"")))</f>
        <v/>
      </c>
      <c r="N193" s="15">
        <f>IF(OR(N192="",J192=""),"",IF(J192&lt;=0,"",IFERROR(N192/J192-1,"")))</f>
        <v/>
      </c>
      <c r="V193" s="15">
        <f>IF(OR(V192="",U192=""),"",IF(U192&lt;=0,"",IFERROR(V192/U192-1,"")))</f>
        <v/>
      </c>
      <c r="W193" s="15">
        <f>IF(OR(W192="",V192=""),"",IF(V192&lt;=0,"",IFERROR(W192/V192-1,"")))</f>
        <v/>
      </c>
      <c r="X193" s="15">
        <f>IF(OR(X192="",W192=""),"",IF(W192&lt;=0,"",IFERROR(X192/W192-1,"")))</f>
        <v/>
      </c>
    </row>
    <row r="194">
      <c r="A194" s="18" t="inlineStr">
        <is>
          <t>환경에너지 관련 사업 · 부문 이익(손실)</t>
        </is>
      </c>
      <c r="C194" s="20" t="n">
        <v>13451</v>
      </c>
      <c r="D194" s="20" t="n">
        <v>17239</v>
      </c>
      <c r="E194" s="20" t="n">
        <v>16377</v>
      </c>
      <c r="F194" s="20" t="n">
        <v>15163</v>
      </c>
      <c r="G194" s="20" t="n">
        <v>20984</v>
      </c>
      <c r="H194" s="20" t="n">
        <v>26194</v>
      </c>
      <c r="I194" s="20" t="n">
        <v>13622</v>
      </c>
      <c r="J194" s="20" t="n">
        <v>20839</v>
      </c>
      <c r="K194" s="20" t="n">
        <v>21615</v>
      </c>
      <c r="L194" s="20" t="n">
        <v>34539</v>
      </c>
      <c r="M194" s="20" t="n">
        <v>15265</v>
      </c>
      <c r="N194" s="20" t="n">
        <v>17941</v>
      </c>
      <c r="V194" s="20" t="n">
        <v>17239</v>
      </c>
      <c r="W194" s="20" t="n">
        <v>26194</v>
      </c>
      <c r="X194" s="20" t="n">
        <v>34539</v>
      </c>
    </row>
    <row r="195">
      <c r="A195" s="43" t="inlineStr">
        <is>
          <t>OPM</t>
        </is>
      </c>
      <c r="B195" s="3" t="inlineStr">
        <is>
          <t>영업이익 ÷ 매출</t>
        </is>
      </c>
      <c r="C195" s="15">
        <f>IF(OR(C194="",C179=""),"",IF(C179&lt;=0,"",IFERROR(C194/C179,"")))</f>
        <v/>
      </c>
      <c r="D195" s="15">
        <f>IF(OR(D194="",D179=""),"",IF(D179&lt;=0,"",IFERROR(D194/D179,"")))</f>
        <v/>
      </c>
      <c r="E195" s="15">
        <f>IF(OR(E194="",E179=""),"",IF(E179&lt;=0,"",IFERROR(E194/E179,"")))</f>
        <v/>
      </c>
      <c r="F195" s="15">
        <f>IF(OR(F194="",F179=""),"",IF(F179&lt;=0,"",IFERROR(F194/F179,"")))</f>
        <v/>
      </c>
      <c r="G195" s="15">
        <f>IF(OR(G194="",G179=""),"",IF(G179&lt;=0,"",IFERROR(G194/G179,"")))</f>
        <v/>
      </c>
      <c r="H195" s="15">
        <f>IF(OR(H194="",H179=""),"",IF(H179&lt;=0,"",IFERROR(H194/H179,"")))</f>
        <v/>
      </c>
      <c r="I195" s="15">
        <f>IF(OR(I194="",I179=""),"",IF(I179&lt;=0,"",IFERROR(I194/I179,"")))</f>
        <v/>
      </c>
      <c r="J195" s="15">
        <f>IF(OR(J194="",J179=""),"",IF(J179&lt;=0,"",IFERROR(J194/J179,"")))</f>
        <v/>
      </c>
      <c r="K195" s="15">
        <f>IF(OR(K194="",K179=""),"",IF(K179&lt;=0,"",IFERROR(K194/K179,"")))</f>
        <v/>
      </c>
      <c r="L195" s="15">
        <f>IF(OR(L194="",L179=""),"",IF(L179&lt;=0,"",IFERROR(L194/L179,"")))</f>
        <v/>
      </c>
      <c r="M195" s="15">
        <f>IF(OR(M194="",M179=""),"",IF(M179&lt;=0,"",IFERROR(M194/M179,"")))</f>
        <v/>
      </c>
      <c r="N195" s="15">
        <f>IF(OR(N194="",N179=""),"",IF(N179&lt;=0,"",IFERROR(N194/N179,"")))</f>
        <v/>
      </c>
      <c r="V195" s="15">
        <f>IF(OR(V194="",V179=""),"",IF(V179&lt;=0,"",IFERROR(V194/V179,"")))</f>
        <v/>
      </c>
      <c r="W195" s="15">
        <f>IF(OR(W194="",W179=""),"",IF(W179&lt;=0,"",IFERROR(W194/W179,"")))</f>
        <v/>
      </c>
      <c r="X195" s="15">
        <f>IF(OR(X194="",X179=""),"",IF(X179&lt;=0,"",IFERROR(X194/X179,"")))</f>
        <v/>
      </c>
    </row>
    <row r="196">
      <c r="A196" s="43" t="inlineStr">
        <is>
          <t>YoY</t>
        </is>
      </c>
      <c r="B196" s="3" t="inlineStr">
        <is>
          <t>전년 같은 분기·전년 대비</t>
        </is>
      </c>
      <c r="G196" s="15">
        <f>IF(OR(G194="",C194=""),"",IF(C194&lt;=0,"",IFERROR(G194/C194-1,"")))</f>
        <v/>
      </c>
      <c r="H196" s="15">
        <f>IF(OR(H194="",D194=""),"",IF(D194&lt;=0,"",IFERROR(H194/D194-1,"")))</f>
        <v/>
      </c>
      <c r="I196" s="15">
        <f>IF(OR(I194="",E194=""),"",IF(E194&lt;=0,"",IFERROR(I194/E194-1,"")))</f>
        <v/>
      </c>
      <c r="J196" s="15">
        <f>IF(OR(J194="",F194=""),"",IF(F194&lt;=0,"",IFERROR(J194/F194-1,"")))</f>
        <v/>
      </c>
      <c r="K196" s="15">
        <f>IF(OR(K194="",G194=""),"",IF(G194&lt;=0,"",IFERROR(K194/G194-1,"")))</f>
        <v/>
      </c>
      <c r="L196" s="15">
        <f>IF(OR(L194="",H194=""),"",IF(H194&lt;=0,"",IFERROR(L194/H194-1,"")))</f>
        <v/>
      </c>
      <c r="M196" s="15">
        <f>IF(OR(M194="",I194=""),"",IF(I194&lt;=0,"",IFERROR(M194/I194-1,"")))</f>
        <v/>
      </c>
      <c r="N196" s="15">
        <f>IF(OR(N194="",J194=""),"",IF(J194&lt;=0,"",IFERROR(N194/J194-1,"")))</f>
        <v/>
      </c>
      <c r="V196" s="15">
        <f>IF(OR(V194="",U194=""),"",IF(U194&lt;=0,"",IFERROR(V194/U194-1,"")))</f>
        <v/>
      </c>
      <c r="W196" s="15">
        <f>IF(OR(W194="",V194=""),"",IF(V194&lt;=0,"",IFERROR(W194/V194-1,"")))</f>
        <v/>
      </c>
      <c r="X196" s="15">
        <f>IF(OR(X194="",W194=""),"",IF(W194&lt;=0,"",IFERROR(X194/W194-1,"")))</f>
        <v/>
      </c>
    </row>
    <row r="197">
      <c r="A197" s="18" t="inlineStr">
        <is>
          <t>정보통신 관련 사업 · 부문 이익(손실)</t>
        </is>
      </c>
      <c r="C197" s="20" t="n">
        <v>-831</v>
      </c>
      <c r="D197" s="20" t="n">
        <v>-9911</v>
      </c>
      <c r="E197" s="20" t="n">
        <v>2285</v>
      </c>
      <c r="F197" s="20" t="n">
        <v>2577</v>
      </c>
      <c r="G197" s="20" t="n">
        <v>5531</v>
      </c>
      <c r="H197" s="20" t="n">
        <v>9533</v>
      </c>
      <c r="I197" s="20" t="n">
        <v>8131</v>
      </c>
      <c r="J197" s="20" t="n">
        <v>13944</v>
      </c>
      <c r="K197" s="20" t="n">
        <v>24018</v>
      </c>
      <c r="L197" s="20" t="n">
        <v>31342</v>
      </c>
      <c r="M197" s="20" t="n">
        <v>27246</v>
      </c>
      <c r="N197" s="20" t="n">
        <v>33991</v>
      </c>
      <c r="V197" s="20" t="n">
        <v>-9911</v>
      </c>
      <c r="W197" s="20" t="n">
        <v>9533</v>
      </c>
      <c r="X197" s="20" t="n">
        <v>31342</v>
      </c>
    </row>
    <row r="198">
      <c r="A198" s="43" t="inlineStr">
        <is>
          <t>OPM</t>
        </is>
      </c>
      <c r="B198" s="3" t="inlineStr">
        <is>
          <t>영업이익 ÷ 매출</t>
        </is>
      </c>
      <c r="C198" s="15">
        <f>IF(OR(C197="",C181=""),"",IF(C181&lt;=0,"",IFERROR(C197/C181,"")))</f>
        <v/>
      </c>
      <c r="D198" s="15">
        <f>IF(OR(D197="",D181=""),"",IF(D181&lt;=0,"",IFERROR(D197/D181,"")))</f>
        <v/>
      </c>
      <c r="E198" s="15">
        <f>IF(OR(E197="",E181=""),"",IF(E181&lt;=0,"",IFERROR(E197/E181,"")))</f>
        <v/>
      </c>
      <c r="F198" s="15">
        <f>IF(OR(F197="",F181=""),"",IF(F181&lt;=0,"",IFERROR(F197/F181,"")))</f>
        <v/>
      </c>
      <c r="G198" s="15">
        <f>IF(OR(G197="",G181=""),"",IF(G181&lt;=0,"",IFERROR(G197/G181,"")))</f>
        <v/>
      </c>
      <c r="H198" s="15">
        <f>IF(OR(H197="",H181=""),"",IF(H181&lt;=0,"",IFERROR(H197/H181,"")))</f>
        <v/>
      </c>
      <c r="I198" s="15">
        <f>IF(OR(I197="",I181=""),"",IF(I181&lt;=0,"",IFERROR(I197/I181,"")))</f>
        <v/>
      </c>
      <c r="J198" s="15">
        <f>IF(OR(J197="",J181=""),"",IF(J181&lt;=0,"",IFERROR(J197/J181,"")))</f>
        <v/>
      </c>
      <c r="K198" s="15">
        <f>IF(OR(K197="",K181=""),"",IF(K181&lt;=0,"",IFERROR(K197/K181,"")))</f>
        <v/>
      </c>
      <c r="L198" s="15">
        <f>IF(OR(L197="",L181=""),"",IF(L181&lt;=0,"",IFERROR(L197/L181,"")))</f>
        <v/>
      </c>
      <c r="M198" s="15">
        <f>IF(OR(M197="",M181=""),"",IF(M181&lt;=0,"",IFERROR(M197/M181,"")))</f>
        <v/>
      </c>
      <c r="N198" s="15">
        <f>IF(OR(N197="",N181=""),"",IF(N181&lt;=0,"",IFERROR(N197/N181,"")))</f>
        <v/>
      </c>
      <c r="V198" s="15">
        <f>IF(OR(V197="",V181=""),"",IF(V181&lt;=0,"",IFERROR(V197/V181,"")))</f>
        <v/>
      </c>
      <c r="W198" s="15">
        <f>IF(OR(W197="",W181=""),"",IF(W181&lt;=0,"",IFERROR(W197/W181,"")))</f>
        <v/>
      </c>
      <c r="X198" s="15">
        <f>IF(OR(X197="",X181=""),"",IF(X181&lt;=0,"",IFERROR(X197/X181,"")))</f>
        <v/>
      </c>
    </row>
    <row r="199">
      <c r="A199" s="43" t="inlineStr">
        <is>
          <t>YoY</t>
        </is>
      </c>
      <c r="B199" s="3" t="inlineStr">
        <is>
          <t>전년 같은 분기·전년 대비</t>
        </is>
      </c>
      <c r="G199" s="15">
        <f>IF(OR(G197="",C197=""),"",IF(C197&lt;=0,"",IFERROR(G197/C197-1,"")))</f>
        <v/>
      </c>
      <c r="H199" s="15">
        <f>IF(OR(H197="",D197=""),"",IF(D197&lt;=0,"",IFERROR(H197/D197-1,"")))</f>
        <v/>
      </c>
      <c r="I199" s="15">
        <f>IF(OR(I197="",E197=""),"",IF(E197&lt;=0,"",IFERROR(I197/E197-1,"")))</f>
        <v/>
      </c>
      <c r="J199" s="15">
        <f>IF(OR(J197="",F197=""),"",IF(F197&lt;=0,"",IFERROR(J197/F197-1,"")))</f>
        <v/>
      </c>
      <c r="K199" s="15">
        <f>IF(OR(K197="",G197=""),"",IF(G197&lt;=0,"",IFERROR(K197/G197-1,"")))</f>
        <v/>
      </c>
      <c r="L199" s="15">
        <f>IF(OR(L197="",H197=""),"",IF(H197&lt;=0,"",IFERROR(L197/H197-1,"")))</f>
        <v/>
      </c>
      <c r="M199" s="15">
        <f>IF(OR(M197="",I197=""),"",IF(I197&lt;=0,"",IFERROR(M197/I197-1,"")))</f>
        <v/>
      </c>
      <c r="N199" s="15">
        <f>IF(OR(N197="",J197=""),"",IF(J197&lt;=0,"",IFERROR(N197/J197-1,"")))</f>
        <v/>
      </c>
      <c r="V199" s="15">
        <f>IF(OR(V197="",U197=""),"",IF(U197&lt;=0,"",IFERROR(V197/U197-1,"")))</f>
        <v/>
      </c>
      <c r="W199" s="15">
        <f>IF(OR(W197="",V197=""),"",IF(V197&lt;=0,"",IFERROR(W197/V197-1,"")))</f>
        <v/>
      </c>
      <c r="X199" s="15">
        <f>IF(OR(X197="",W197=""),"",IF(W197&lt;=0,"",IFERROR(X197/W197-1,"")))</f>
        <v/>
      </c>
    </row>
    <row r="200">
      <c r="A200" s="18" t="inlineStr">
        <is>
          <t>자동차 관련 사업 · 부문 이익(손실)</t>
        </is>
      </c>
      <c r="C200" s="20" t="n">
        <v>52090</v>
      </c>
      <c r="D200" s="20" t="n">
        <v>60287</v>
      </c>
      <c r="E200" s="20" t="n">
        <v>24975</v>
      </c>
      <c r="F200" s="20" t="n">
        <v>30051</v>
      </c>
      <c r="G200" s="20" t="n">
        <v>48761</v>
      </c>
      <c r="H200" s="20" t="n">
        <v>68604</v>
      </c>
      <c r="I200" s="20" t="n">
        <v>26587</v>
      </c>
      <c r="J200" s="20" t="n">
        <v>38818</v>
      </c>
      <c r="K200" s="20" t="n">
        <v>53023</v>
      </c>
      <c r="L200" s="20" t="n">
        <v>61272</v>
      </c>
      <c r="M200" s="20" t="n">
        <v>26026</v>
      </c>
      <c r="N200" s="20" t="n">
        <v>27771</v>
      </c>
      <c r="V200" s="20" t="n">
        <v>60287</v>
      </c>
      <c r="W200" s="20" t="n">
        <v>68604</v>
      </c>
      <c r="X200" s="20" t="n">
        <v>61272</v>
      </c>
    </row>
    <row r="201">
      <c r="A201" s="43" t="inlineStr">
        <is>
          <t>OPM</t>
        </is>
      </c>
      <c r="B201" s="3" t="inlineStr">
        <is>
          <t>영업이익 ÷ 매출</t>
        </is>
      </c>
      <c r="C201" s="15">
        <f>IF(OR(C200="",C183=""),"",IF(C183&lt;=0,"",IFERROR(C200/C183,"")))</f>
        <v/>
      </c>
      <c r="D201" s="15">
        <f>IF(OR(D200="",D183=""),"",IF(D183&lt;=0,"",IFERROR(D200/D183,"")))</f>
        <v/>
      </c>
      <c r="E201" s="15">
        <f>IF(OR(E200="",E183=""),"",IF(E183&lt;=0,"",IFERROR(E200/E183,"")))</f>
        <v/>
      </c>
      <c r="F201" s="15">
        <f>IF(OR(F200="",F183=""),"",IF(F183&lt;=0,"",IFERROR(F200/F183,"")))</f>
        <v/>
      </c>
      <c r="G201" s="15">
        <f>IF(OR(G200="",G183=""),"",IF(G183&lt;=0,"",IFERROR(G200/G183,"")))</f>
        <v/>
      </c>
      <c r="H201" s="15">
        <f>IF(OR(H200="",H183=""),"",IF(H183&lt;=0,"",IFERROR(H200/H183,"")))</f>
        <v/>
      </c>
      <c r="I201" s="15">
        <f>IF(OR(I200="",I183=""),"",IF(I183&lt;=0,"",IFERROR(I200/I183,"")))</f>
        <v/>
      </c>
      <c r="J201" s="15">
        <f>IF(OR(J200="",J183=""),"",IF(J183&lt;=0,"",IFERROR(J200/J183,"")))</f>
        <v/>
      </c>
      <c r="K201" s="15">
        <f>IF(OR(K200="",K183=""),"",IF(K183&lt;=0,"",IFERROR(K200/K183,"")))</f>
        <v/>
      </c>
      <c r="L201" s="15">
        <f>IF(OR(L200="",L183=""),"",IF(L183&lt;=0,"",IFERROR(L200/L183,"")))</f>
        <v/>
      </c>
      <c r="M201" s="15">
        <f>IF(OR(M200="",M183=""),"",IF(M183&lt;=0,"",IFERROR(M200/M183,"")))</f>
        <v/>
      </c>
      <c r="N201" s="15">
        <f>IF(OR(N200="",N183=""),"",IF(N183&lt;=0,"",IFERROR(N200/N183,"")))</f>
        <v/>
      </c>
      <c r="V201" s="15">
        <f>IF(OR(V200="",V183=""),"",IF(V183&lt;=0,"",IFERROR(V200/V183,"")))</f>
        <v/>
      </c>
      <c r="W201" s="15">
        <f>IF(OR(W200="",W183=""),"",IF(W183&lt;=0,"",IFERROR(W200/W183,"")))</f>
        <v/>
      </c>
      <c r="X201" s="15">
        <f>IF(OR(X200="",X183=""),"",IF(X183&lt;=0,"",IFERROR(X200/X183,"")))</f>
        <v/>
      </c>
    </row>
    <row r="202">
      <c r="A202" s="43" t="inlineStr">
        <is>
          <t>YoY</t>
        </is>
      </c>
      <c r="B202" s="3" t="inlineStr">
        <is>
          <t>전년 같은 분기·전년 대비</t>
        </is>
      </c>
      <c r="G202" s="15">
        <f>IF(OR(G200="",C200=""),"",IF(C200&lt;=0,"",IFERROR(G200/C200-1,"")))</f>
        <v/>
      </c>
      <c r="H202" s="15">
        <f>IF(OR(H200="",D200=""),"",IF(D200&lt;=0,"",IFERROR(H200/D200-1,"")))</f>
        <v/>
      </c>
      <c r="I202" s="15">
        <f>IF(OR(I200="",E200=""),"",IF(E200&lt;=0,"",IFERROR(I200/E200-1,"")))</f>
        <v/>
      </c>
      <c r="J202" s="15">
        <f>IF(OR(J200="",F200=""),"",IF(F200&lt;=0,"",IFERROR(J200/F200-1,"")))</f>
        <v/>
      </c>
      <c r="K202" s="15">
        <f>IF(OR(K200="",G200=""),"",IF(G200&lt;=0,"",IFERROR(K200/G200-1,"")))</f>
        <v/>
      </c>
      <c r="L202" s="15">
        <f>IF(OR(L200="",H200=""),"",IF(H200&lt;=0,"",IFERROR(L200/H200-1,"")))</f>
        <v/>
      </c>
      <c r="M202" s="15">
        <f>IF(OR(M200="",I200=""),"",IF(I200&lt;=0,"",IFERROR(M200/I200-1,"")))</f>
        <v/>
      </c>
      <c r="N202" s="15">
        <f>IF(OR(N200="",J200=""),"",IF(J200&lt;=0,"",IFERROR(N200/J200-1,"")))</f>
        <v/>
      </c>
      <c r="V202" s="15">
        <f>IF(OR(V200="",U200=""),"",IF(U200&lt;=0,"",IFERROR(V200/U200-1,"")))</f>
        <v/>
      </c>
      <c r="W202" s="15">
        <f>IF(OR(W200="",V200=""),"",IF(V200&lt;=0,"",IFERROR(W200/V200-1,"")))</f>
        <v/>
      </c>
      <c r="X202" s="15">
        <f>IF(OR(X200="",W200=""),"",IF(W200&lt;=0,"",IFERROR(X200/W200-1,"")))</f>
        <v/>
      </c>
    </row>
    <row r="203">
      <c r="A203" s="18" t="inlineStr">
        <is>
          <t>전자 관련 사업 · 부문 이익(손실)</t>
        </is>
      </c>
      <c r="C203" s="20" t="n">
        <v>10456</v>
      </c>
      <c r="D203" s="20" t="n">
        <v>4386</v>
      </c>
      <c r="E203" s="20" t="n">
        <v>5450</v>
      </c>
      <c r="F203" s="20" t="n">
        <v>12778</v>
      </c>
      <c r="G203" s="20" t="n">
        <v>7624</v>
      </c>
      <c r="H203" s="20" t="n">
        <v>3459</v>
      </c>
      <c r="I203" s="20" t="n">
        <v>6289</v>
      </c>
      <c r="J203" s="20" t="n">
        <v>11697</v>
      </c>
      <c r="K203" s="20" t="n">
        <v>11425</v>
      </c>
      <c r="L203" s="20" t="n">
        <v>10117</v>
      </c>
      <c r="M203" s="20" t="n">
        <v>11720</v>
      </c>
      <c r="N203" s="20" t="n">
        <v>16854</v>
      </c>
      <c r="V203" s="20" t="n">
        <v>4386</v>
      </c>
      <c r="W203" s="20" t="n">
        <v>3459</v>
      </c>
      <c r="X203" s="20" t="n">
        <v>10117</v>
      </c>
    </row>
    <row r="204">
      <c r="A204" s="43" t="inlineStr">
        <is>
          <t>OPM</t>
        </is>
      </c>
      <c r="B204" s="3" t="inlineStr">
        <is>
          <t>영업이익 ÷ 매출</t>
        </is>
      </c>
      <c r="C204" s="15">
        <f>IF(OR(C203="",C185=""),"",IF(C185&lt;=0,"",IFERROR(C203/C185,"")))</f>
        <v/>
      </c>
      <c r="D204" s="15">
        <f>IF(OR(D203="",D185=""),"",IF(D185&lt;=0,"",IFERROR(D203/D185,"")))</f>
        <v/>
      </c>
      <c r="E204" s="15">
        <f>IF(OR(E203="",E185=""),"",IF(E185&lt;=0,"",IFERROR(E203/E185,"")))</f>
        <v/>
      </c>
      <c r="F204" s="15">
        <f>IF(OR(F203="",F185=""),"",IF(F185&lt;=0,"",IFERROR(F203/F185,"")))</f>
        <v/>
      </c>
      <c r="G204" s="15">
        <f>IF(OR(G203="",G185=""),"",IF(G185&lt;=0,"",IFERROR(G203/G185,"")))</f>
        <v/>
      </c>
      <c r="H204" s="15">
        <f>IF(OR(H203="",H185=""),"",IF(H185&lt;=0,"",IFERROR(H203/H185,"")))</f>
        <v/>
      </c>
      <c r="I204" s="15">
        <f>IF(OR(I203="",I185=""),"",IF(I185&lt;=0,"",IFERROR(I203/I185,"")))</f>
        <v/>
      </c>
      <c r="J204" s="15">
        <f>IF(OR(J203="",J185=""),"",IF(J185&lt;=0,"",IFERROR(J203/J185,"")))</f>
        <v/>
      </c>
      <c r="K204" s="15">
        <f>IF(OR(K203="",K185=""),"",IF(K185&lt;=0,"",IFERROR(K203/K185,"")))</f>
        <v/>
      </c>
      <c r="L204" s="15">
        <f>IF(OR(L203="",L185=""),"",IF(L185&lt;=0,"",IFERROR(L203/L185,"")))</f>
        <v/>
      </c>
      <c r="M204" s="15">
        <f>IF(OR(M203="",M185=""),"",IF(M185&lt;=0,"",IFERROR(M203/M185,"")))</f>
        <v/>
      </c>
      <c r="N204" s="15">
        <f>IF(OR(N203="",N185=""),"",IF(N185&lt;=0,"",IFERROR(N203/N185,"")))</f>
        <v/>
      </c>
      <c r="V204" s="15">
        <f>IF(OR(V203="",V185=""),"",IF(V185&lt;=0,"",IFERROR(V203/V185,"")))</f>
        <v/>
      </c>
      <c r="W204" s="15">
        <f>IF(OR(W203="",W185=""),"",IF(W185&lt;=0,"",IFERROR(W203/W185,"")))</f>
        <v/>
      </c>
      <c r="X204" s="15">
        <f>IF(OR(X203="",X185=""),"",IF(X185&lt;=0,"",IFERROR(X203/X185,"")))</f>
        <v/>
      </c>
    </row>
    <row r="205">
      <c r="A205" s="43" t="inlineStr">
        <is>
          <t>YoY</t>
        </is>
      </c>
      <c r="B205" s="3" t="inlineStr">
        <is>
          <t>전년 같은 분기·전년 대비</t>
        </is>
      </c>
      <c r="G205" s="15">
        <f>IF(OR(G203="",C203=""),"",IF(C203&lt;=0,"",IFERROR(G203/C203-1,"")))</f>
        <v/>
      </c>
      <c r="H205" s="15">
        <f>IF(OR(H203="",D203=""),"",IF(D203&lt;=0,"",IFERROR(H203/D203-1,"")))</f>
        <v/>
      </c>
      <c r="I205" s="15">
        <f>IF(OR(I203="",E203=""),"",IF(E203&lt;=0,"",IFERROR(I203/E203-1,"")))</f>
        <v/>
      </c>
      <c r="J205" s="15">
        <f>IF(OR(J203="",F203=""),"",IF(F203&lt;=0,"",IFERROR(J203/F203-1,"")))</f>
        <v/>
      </c>
      <c r="K205" s="15">
        <f>IF(OR(K203="",G203=""),"",IF(G203&lt;=0,"",IFERROR(K203/G203-1,"")))</f>
        <v/>
      </c>
      <c r="L205" s="15">
        <f>IF(OR(L203="",H203=""),"",IF(H203&lt;=0,"",IFERROR(L203/H203-1,"")))</f>
        <v/>
      </c>
      <c r="M205" s="15">
        <f>IF(OR(M203="",I203=""),"",IF(I203&lt;=0,"",IFERROR(M203/I203-1,"")))</f>
        <v/>
      </c>
      <c r="N205" s="15">
        <f>IF(OR(N203="",J203=""),"",IF(J203&lt;=0,"",IFERROR(N203/J203-1,"")))</f>
        <v/>
      </c>
      <c r="V205" s="15">
        <f>IF(OR(V203="",U203=""),"",IF(U203&lt;=0,"",IFERROR(V203/U203-1,"")))</f>
        <v/>
      </c>
      <c r="W205" s="15">
        <f>IF(OR(W203="",V203=""),"",IF(V203&lt;=0,"",IFERROR(W203/V203-1,"")))</f>
        <v/>
      </c>
      <c r="X205" s="15">
        <f>IF(OR(X203="",W203=""),"",IF(W203&lt;=0,"",IFERROR(X203/W203-1,"")))</f>
        <v/>
      </c>
    </row>
    <row r="206">
      <c r="A206" s="18" t="inlineStr">
        <is>
          <t>산업소재 관련 사업 외 · 부문 이익(손실)</t>
        </is>
      </c>
      <c r="C206" s="20" t="n">
        <v>5730</v>
      </c>
      <c r="D206" s="20" t="n">
        <v>6382</v>
      </c>
      <c r="E206" s="20" t="n">
        <v>4236</v>
      </c>
      <c r="F206" s="20" t="n">
        <v>5293</v>
      </c>
      <c r="G206" s="20" t="n">
        <v>4840</v>
      </c>
      <c r="H206" s="20" t="n">
        <v>6223</v>
      </c>
      <c r="I206" s="20" t="n">
        <v>5625</v>
      </c>
      <c r="J206" s="20" t="n">
        <v>7278</v>
      </c>
      <c r="K206" s="20" t="n">
        <v>8306</v>
      </c>
      <c r="L206" s="20" t="n">
        <v>10190</v>
      </c>
      <c r="M206" s="20" t="n">
        <v>17047</v>
      </c>
      <c r="N206" s="20" t="n">
        <v>25624</v>
      </c>
      <c r="V206" s="20" t="n">
        <v>6382</v>
      </c>
      <c r="W206" s="20" t="n">
        <v>6223</v>
      </c>
      <c r="X206" s="20" t="n">
        <v>10190</v>
      </c>
    </row>
    <row r="207">
      <c r="A207" s="43" t="inlineStr">
        <is>
          <t>OPM</t>
        </is>
      </c>
      <c r="B207" s="3" t="inlineStr">
        <is>
          <t>영업이익 ÷ 매출</t>
        </is>
      </c>
      <c r="C207" s="15">
        <f>IF(OR(C206="",C187=""),"",IF(C187&lt;=0,"",IFERROR(C206/C187,"")))</f>
        <v/>
      </c>
      <c r="D207" s="15">
        <f>IF(OR(D206="",D187=""),"",IF(D187&lt;=0,"",IFERROR(D206/D187,"")))</f>
        <v/>
      </c>
      <c r="E207" s="15">
        <f>IF(OR(E206="",E187=""),"",IF(E187&lt;=0,"",IFERROR(E206/E187,"")))</f>
        <v/>
      </c>
      <c r="F207" s="15">
        <f>IF(OR(F206="",F187=""),"",IF(F187&lt;=0,"",IFERROR(F206/F187,"")))</f>
        <v/>
      </c>
      <c r="G207" s="15">
        <f>IF(OR(G206="",G187=""),"",IF(G187&lt;=0,"",IFERROR(G206/G187,"")))</f>
        <v/>
      </c>
      <c r="H207" s="15">
        <f>IF(OR(H206="",H187=""),"",IF(H187&lt;=0,"",IFERROR(H206/H187,"")))</f>
        <v/>
      </c>
      <c r="I207" s="15">
        <f>IF(OR(I206="",I187=""),"",IF(I187&lt;=0,"",IFERROR(I206/I187,"")))</f>
        <v/>
      </c>
      <c r="J207" s="15">
        <f>IF(OR(J206="",J187=""),"",IF(J187&lt;=0,"",IFERROR(J206/J187,"")))</f>
        <v/>
      </c>
      <c r="K207" s="15">
        <f>IF(OR(K206="",K187=""),"",IF(K187&lt;=0,"",IFERROR(K206/K187,"")))</f>
        <v/>
      </c>
      <c r="L207" s="15">
        <f>IF(OR(L206="",L187=""),"",IF(L187&lt;=0,"",IFERROR(L206/L187,"")))</f>
        <v/>
      </c>
      <c r="M207" s="15">
        <f>IF(OR(M206="",M187=""),"",IF(M187&lt;=0,"",IFERROR(M206/M187,"")))</f>
        <v/>
      </c>
      <c r="N207" s="15">
        <f>IF(OR(N206="",N187=""),"",IF(N187&lt;=0,"",IFERROR(N206/N187,"")))</f>
        <v/>
      </c>
      <c r="V207" s="15">
        <f>IF(OR(V206="",V187=""),"",IF(V187&lt;=0,"",IFERROR(V206/V187,"")))</f>
        <v/>
      </c>
      <c r="W207" s="15">
        <f>IF(OR(W206="",W187=""),"",IF(W187&lt;=0,"",IFERROR(W206/W187,"")))</f>
        <v/>
      </c>
      <c r="X207" s="15">
        <f>IF(OR(X206="",X187=""),"",IF(X187&lt;=0,"",IFERROR(X206/X187,"")))</f>
        <v/>
      </c>
    </row>
    <row r="208">
      <c r="A208" s="43" t="inlineStr">
        <is>
          <t>YoY</t>
        </is>
      </c>
      <c r="B208" s="3" t="inlineStr">
        <is>
          <t>전년 같은 분기·전년 대비</t>
        </is>
      </c>
      <c r="G208" s="15">
        <f>IF(OR(G206="",C206=""),"",IF(C206&lt;=0,"",IFERROR(G206/C206-1,"")))</f>
        <v/>
      </c>
      <c r="H208" s="15">
        <f>IF(OR(H206="",D206=""),"",IF(D206&lt;=0,"",IFERROR(H206/D206-1,"")))</f>
        <v/>
      </c>
      <c r="I208" s="15">
        <f>IF(OR(I206="",E206=""),"",IF(E206&lt;=0,"",IFERROR(I206/E206-1,"")))</f>
        <v/>
      </c>
      <c r="J208" s="15">
        <f>IF(OR(J206="",F206=""),"",IF(F206&lt;=0,"",IFERROR(J206/F206-1,"")))</f>
        <v/>
      </c>
      <c r="K208" s="15">
        <f>IF(OR(K206="",G206=""),"",IF(G206&lt;=0,"",IFERROR(K206/G206-1,"")))</f>
        <v/>
      </c>
      <c r="L208" s="15">
        <f>IF(OR(L206="",H206=""),"",IF(H206&lt;=0,"",IFERROR(L206/H206-1,"")))</f>
        <v/>
      </c>
      <c r="M208" s="15">
        <f>IF(OR(M206="",I206=""),"",IF(I206&lt;=0,"",IFERROR(M206/I206-1,"")))</f>
        <v/>
      </c>
      <c r="N208" s="15">
        <f>IF(OR(N206="",J206=""),"",IF(J206&lt;=0,"",IFERROR(N206/J206-1,"")))</f>
        <v/>
      </c>
      <c r="V208" s="15">
        <f>IF(OR(V206="",U206=""),"",IF(U206&lt;=0,"",IFERROR(V206/U206-1,"")))</f>
        <v/>
      </c>
      <c r="W208" s="15">
        <f>IF(OR(W206="",V206=""),"",IF(V206&lt;=0,"",IFERROR(W206/V206-1,"")))</f>
        <v/>
      </c>
      <c r="X208" s="15">
        <f>IF(OR(X206="",W206=""),"",IF(W206&lt;=0,"",IFERROR(X206/W206-1,"")))</f>
        <v/>
      </c>
    </row>
    <row r="209">
      <c r="A209" s="18" t="inlineStr">
        <is>
          <t>합계 · 부문 이익(손실)</t>
        </is>
      </c>
      <c r="C209" s="20" t="n">
        <v>80896</v>
      </c>
      <c r="D209" s="20" t="n">
        <v>78383</v>
      </c>
      <c r="E209" s="20" t="n">
        <v>53323</v>
      </c>
      <c r="F209" s="20" t="n">
        <v>65862</v>
      </c>
      <c r="G209" s="20" t="n">
        <v>87740</v>
      </c>
      <c r="H209" s="20" t="n">
        <v>114013</v>
      </c>
      <c r="I209" s="20" t="n">
        <v>60254</v>
      </c>
      <c r="J209" s="20" t="n">
        <v>92576</v>
      </c>
      <c r="K209" s="20" t="n">
        <v>118387</v>
      </c>
      <c r="L209" s="20" t="n">
        <v>147460</v>
      </c>
      <c r="M209" s="20" t="n">
        <v>97304</v>
      </c>
      <c r="N209" s="20" t="n">
        <v>122181</v>
      </c>
      <c r="V209" s="20" t="n">
        <v>78383</v>
      </c>
      <c r="W209" s="20" t="n">
        <v>114013</v>
      </c>
      <c r="X209" s="20" t="n">
        <v>147460</v>
      </c>
    </row>
    <row r="210">
      <c r="A210" s="43" t="inlineStr">
        <is>
          <t>OPM</t>
        </is>
      </c>
      <c r="B210" s="3" t="inlineStr">
        <is>
          <t>영업이익 ÷ 매출</t>
        </is>
      </c>
      <c r="C210" s="15">
        <f>IF(OR(C209="",C189=""),"",IF(C189&lt;=0,"",IFERROR(C209/C189,"")))</f>
        <v/>
      </c>
      <c r="D210" s="15">
        <f>IF(OR(D209="",D189=""),"",IF(D189&lt;=0,"",IFERROR(D209/D189,"")))</f>
        <v/>
      </c>
      <c r="E210" s="15">
        <f>IF(OR(E209="",E189=""),"",IF(E189&lt;=0,"",IFERROR(E209/E189,"")))</f>
        <v/>
      </c>
      <c r="F210" s="15">
        <f>IF(OR(F209="",F189=""),"",IF(F189&lt;=0,"",IFERROR(F209/F189,"")))</f>
        <v/>
      </c>
      <c r="G210" s="15">
        <f>IF(OR(G209="",G189=""),"",IF(G189&lt;=0,"",IFERROR(G209/G189,"")))</f>
        <v/>
      </c>
      <c r="H210" s="15">
        <f>IF(OR(H209="",H189=""),"",IF(H189&lt;=0,"",IFERROR(H209/H189,"")))</f>
        <v/>
      </c>
      <c r="I210" s="15">
        <f>IF(OR(I209="",I189=""),"",IF(I189&lt;=0,"",IFERROR(I209/I189,"")))</f>
        <v/>
      </c>
      <c r="J210" s="15">
        <f>IF(OR(J209="",J189=""),"",IF(J189&lt;=0,"",IFERROR(J209/J189,"")))</f>
        <v/>
      </c>
      <c r="K210" s="15">
        <f>IF(OR(K209="",K189=""),"",IF(K189&lt;=0,"",IFERROR(K209/K189,"")))</f>
        <v/>
      </c>
      <c r="L210" s="15">
        <f>IF(OR(L209="",L189=""),"",IF(L189&lt;=0,"",IFERROR(L209/L189,"")))</f>
        <v/>
      </c>
      <c r="M210" s="15">
        <f>IF(OR(M209="",M189=""),"",IF(M189&lt;=0,"",IFERROR(M209/M189,"")))</f>
        <v/>
      </c>
      <c r="N210" s="15">
        <f>IF(OR(N209="",N189=""),"",IF(N189&lt;=0,"",IFERROR(N209/N189,"")))</f>
        <v/>
      </c>
      <c r="V210" s="15">
        <f>IF(OR(V209="",V189=""),"",IF(V189&lt;=0,"",IFERROR(V209/V189,"")))</f>
        <v/>
      </c>
      <c r="W210" s="15">
        <f>IF(OR(W209="",W189=""),"",IF(W189&lt;=0,"",IFERROR(W209/W189,"")))</f>
        <v/>
      </c>
      <c r="X210" s="15">
        <f>IF(OR(X209="",X189=""),"",IF(X189&lt;=0,"",IFERROR(X209/X189,"")))</f>
        <v/>
      </c>
    </row>
    <row r="211">
      <c r="A211" s="43" t="inlineStr">
        <is>
          <t>YoY</t>
        </is>
      </c>
      <c r="B211" s="3" t="inlineStr">
        <is>
          <t>전년 같은 분기·전년 대비</t>
        </is>
      </c>
      <c r="G211" s="15">
        <f>IF(OR(G209="",C209=""),"",IF(C209&lt;=0,"",IFERROR(G209/C209-1,"")))</f>
        <v/>
      </c>
      <c r="H211" s="15">
        <f>IF(OR(H209="",D209=""),"",IF(D209&lt;=0,"",IFERROR(H209/D209-1,"")))</f>
        <v/>
      </c>
      <c r="I211" s="15">
        <f>IF(OR(I209="",E209=""),"",IF(E209&lt;=0,"",IFERROR(I209/E209-1,"")))</f>
        <v/>
      </c>
      <c r="J211" s="15">
        <f>IF(OR(J209="",F209=""),"",IF(F209&lt;=0,"",IFERROR(J209/F209-1,"")))</f>
        <v/>
      </c>
      <c r="K211" s="15">
        <f>IF(OR(K209="",G209=""),"",IF(G209&lt;=0,"",IFERROR(K209/G209-1,"")))</f>
        <v/>
      </c>
      <c r="L211" s="15">
        <f>IF(OR(L209="",H209=""),"",IF(H209&lt;=0,"",IFERROR(L209/H209-1,"")))</f>
        <v/>
      </c>
      <c r="M211" s="15">
        <f>IF(OR(M209="",I209=""),"",IF(I209&lt;=0,"",IFERROR(M209/I209-1,"")))</f>
        <v/>
      </c>
      <c r="N211" s="15">
        <f>IF(OR(N209="",J209=""),"",IF(J209&lt;=0,"",IFERROR(N209/J209-1,"")))</f>
        <v/>
      </c>
      <c r="V211" s="15">
        <f>IF(OR(V209="",U209=""),"",IF(U209&lt;=0,"",IFERROR(V209/U209-1,"")))</f>
        <v/>
      </c>
      <c r="W211" s="15">
        <f>IF(OR(W209="",V209=""),"",IF(V209&lt;=0,"",IFERROR(W209/V209-1,"")))</f>
        <v/>
      </c>
      <c r="X211" s="15">
        <f>IF(OR(X209="",W209=""),"",IF(W209&lt;=0,"",IFERROR(X209/W209-1,"")))</f>
        <v/>
      </c>
    </row>
    <row r="212">
      <c r="A212" s="18" t="inlineStr">
        <is>
          <t>조정액 · 부문 이익(손실)</t>
        </is>
      </c>
      <c r="C212" s="20" t="n">
        <v>107</v>
      </c>
      <c r="D212" s="20" t="n">
        <v>-97</v>
      </c>
      <c r="E212" s="20" t="n">
        <v>-38</v>
      </c>
      <c r="F212" s="20" t="n">
        <v>168</v>
      </c>
      <c r="G212" s="20" t="n">
        <v>-216</v>
      </c>
      <c r="H212" s="20" t="n">
        <v>-189</v>
      </c>
      <c r="I212" s="20" t="n">
        <v>47</v>
      </c>
      <c r="J212" s="20" t="n">
        <v>144</v>
      </c>
      <c r="K212" s="20" t="n">
        <v>-363</v>
      </c>
      <c r="L212" s="20" t="n">
        <v>-332</v>
      </c>
      <c r="M212" s="20" t="n">
        <v>-245</v>
      </c>
      <c r="N212" s="20" t="n">
        <v>327</v>
      </c>
      <c r="V212" s="20" t="n">
        <v>-97</v>
      </c>
      <c r="W212" s="20" t="n">
        <v>-189</v>
      </c>
      <c r="X212" s="20" t="n">
        <v>-332</v>
      </c>
    </row>
    <row r="213">
      <c r="A213" s="9" t="inlineStr">
        <is>
          <t>부문 이익(손실)</t>
        </is>
      </c>
      <c r="C213" s="12" t="n">
        <v>81003</v>
      </c>
      <c r="D213" s="12" t="n">
        <v>78286</v>
      </c>
      <c r="E213" s="12" t="n">
        <v>53285</v>
      </c>
      <c r="F213" s="12" t="n">
        <v>66030</v>
      </c>
      <c r="G213" s="12" t="n">
        <v>87524</v>
      </c>
      <c r="H213" s="12" t="n">
        <v>113824</v>
      </c>
      <c r="I213" s="12" t="n">
        <v>60301</v>
      </c>
      <c r="J213" s="12" t="n">
        <v>92720</v>
      </c>
      <c r="K213" s="12" t="n">
        <v>118024</v>
      </c>
      <c r="L213" s="12" t="n">
        <v>147128</v>
      </c>
      <c r="M213" s="12" t="n">
        <v>97059</v>
      </c>
      <c r="N213" s="12" t="n">
        <v>122508</v>
      </c>
      <c r="V213" s="12" t="n">
        <v>78286</v>
      </c>
      <c r="W213" s="12" t="n">
        <v>113824</v>
      </c>
      <c r="X213" s="12" t="n">
        <v>147128</v>
      </c>
    </row>
    <row r="214">
      <c r="A214" s="43" t="inlineStr">
        <is>
          <t>OPM</t>
        </is>
      </c>
      <c r="B214" s="3" t="inlineStr">
        <is>
          <t>영업이익 ÷ 매출</t>
        </is>
      </c>
      <c r="C214" s="15">
        <f>IF(OR(C213="",C169=""),"",IF(C169&lt;=0,"",IFERROR(C213/C169,"")))</f>
        <v/>
      </c>
      <c r="D214" s="15">
        <f>IF(OR(D213="",D169=""),"",IF(D169&lt;=0,"",IFERROR(D213/D169,"")))</f>
        <v/>
      </c>
      <c r="E214" s="15">
        <f>IF(OR(E213="",E169=""),"",IF(E169&lt;=0,"",IFERROR(E213/E169,"")))</f>
        <v/>
      </c>
      <c r="F214" s="15">
        <f>IF(OR(F213="",F169=""),"",IF(F169&lt;=0,"",IFERROR(F213/F169,"")))</f>
        <v/>
      </c>
      <c r="G214" s="15">
        <f>IF(OR(G213="",G169=""),"",IF(G169&lt;=0,"",IFERROR(G213/G169,"")))</f>
        <v/>
      </c>
      <c r="H214" s="15">
        <f>IF(OR(H213="",H169=""),"",IF(H169&lt;=0,"",IFERROR(H213/H169,"")))</f>
        <v/>
      </c>
      <c r="I214" s="15">
        <f>IF(OR(I213="",I169=""),"",IF(I169&lt;=0,"",IFERROR(I213/I169,"")))</f>
        <v/>
      </c>
      <c r="J214" s="15">
        <f>IF(OR(J213="",J169=""),"",IF(J169&lt;=0,"",IFERROR(J213/J169,"")))</f>
        <v/>
      </c>
      <c r="K214" s="15">
        <f>IF(OR(K213="",K169=""),"",IF(K169&lt;=0,"",IFERROR(K213/K169,"")))</f>
        <v/>
      </c>
      <c r="L214" s="15">
        <f>IF(OR(L213="",L169=""),"",IF(L169&lt;=0,"",IFERROR(L213/L169,"")))</f>
        <v/>
      </c>
      <c r="M214" s="15">
        <f>IF(OR(M213="",M169=""),"",IF(M169&lt;=0,"",IFERROR(M213/M169,"")))</f>
        <v/>
      </c>
      <c r="N214" s="15">
        <f>IF(OR(N213="",N169=""),"",IF(N169&lt;=0,"",IFERROR(N213/N169,"")))</f>
        <v/>
      </c>
      <c r="V214" s="15">
        <f>IF(OR(V213="",V169=""),"",IF(V169&lt;=0,"",IFERROR(V213/V169,"")))</f>
        <v/>
      </c>
      <c r="W214" s="15">
        <f>IF(OR(W213="",W169=""),"",IF(W169&lt;=0,"",IFERROR(W213/W169,"")))</f>
        <v/>
      </c>
      <c r="X214" s="15">
        <f>IF(OR(X213="",X169=""),"",IF(X169&lt;=0,"",IFERROR(X213/X169,"")))</f>
        <v/>
      </c>
    </row>
    <row r="215">
      <c r="A215" s="43" t="inlineStr">
        <is>
          <t>YoY</t>
        </is>
      </c>
      <c r="B215" s="3" t="inlineStr">
        <is>
          <t>전년 같은 분기·전년 대비</t>
        </is>
      </c>
      <c r="G215" s="15">
        <f>IF(OR(G213="",C213=""),"",IF(C213&lt;=0,"",IFERROR(G213/C213-1,"")))</f>
        <v/>
      </c>
      <c r="H215" s="15">
        <f>IF(OR(H213="",D213=""),"",IF(D213&lt;=0,"",IFERROR(H213/D213-1,"")))</f>
        <v/>
      </c>
      <c r="I215" s="15">
        <f>IF(OR(I213="",E213=""),"",IF(E213&lt;=0,"",IFERROR(I213/E213-1,"")))</f>
        <v/>
      </c>
      <c r="J215" s="15">
        <f>IF(OR(J213="",F213=""),"",IF(F213&lt;=0,"",IFERROR(J213/F213-1,"")))</f>
        <v/>
      </c>
      <c r="K215" s="15">
        <f>IF(OR(K213="",G213=""),"",IF(G213&lt;=0,"",IFERROR(K213/G213-1,"")))</f>
        <v/>
      </c>
      <c r="L215" s="15">
        <f>IF(OR(L213="",H213=""),"",IF(H213&lt;=0,"",IFERROR(L213/H213-1,"")))</f>
        <v/>
      </c>
      <c r="M215" s="15">
        <f>IF(OR(M213="",I213=""),"",IF(I213&lt;=0,"",IFERROR(M213/I213-1,"")))</f>
        <v/>
      </c>
      <c r="N215" s="15">
        <f>IF(OR(N213="",J213=""),"",IF(J213&lt;=0,"",IFERROR(N213/J213-1,"")))</f>
        <v/>
      </c>
      <c r="V215" s="15">
        <f>IF(OR(V213="",U213=""),"",IF(U213&lt;=0,"",IFERROR(V213/U213-1,"")))</f>
        <v/>
      </c>
      <c r="W215" s="15">
        <f>IF(OR(W213="",V213=""),"",IF(V213&lt;=0,"",IFERROR(W213/V213-1,"")))</f>
        <v/>
      </c>
      <c r="X215" s="15">
        <f>IF(OR(X213="",W213=""),"",IF(W213&lt;=0,"",IFERROR(X213/W213-1,"")))</f>
        <v/>
      </c>
    </row>
    <row r="217">
      <c r="A217" s="16" t="inlineStr">
        <is>
          <t>현금흐름표 · 전 항목</t>
        </is>
      </c>
      <c r="B217" s="42" t="inlineStr">
        <is>
          <t>분기 = 결산기 첫날부터 누계(공시 그대로)</t>
        </is>
      </c>
      <c r="C217" s="16" t="n"/>
      <c r="D217" s="16" t="n"/>
      <c r="E217" s="16" t="n"/>
      <c r="F217" s="16" t="n"/>
      <c r="G217" s="16" t="n"/>
      <c r="H217" s="16" t="n"/>
      <c r="I217" s="16" t="n"/>
      <c r="J217" s="16" t="n"/>
      <c r="K217" s="16" t="n"/>
      <c r="L217" s="16" t="n"/>
      <c r="M217" s="16" t="n"/>
      <c r="N217" s="16" t="n"/>
      <c r="O217" s="16" t="n"/>
      <c r="P217" s="16" t="n"/>
      <c r="Q217" s="16" t="n"/>
      <c r="R217" s="16" t="n"/>
      <c r="S217" s="16" t="n"/>
      <c r="T217" s="16" t="n"/>
      <c r="U217" s="16" t="n"/>
      <c r="V217" s="16" t="n"/>
      <c r="W217" s="16" t="n"/>
      <c r="X217" s="16" t="n"/>
      <c r="Y217" s="16" t="n"/>
      <c r="Z217" s="16" t="n"/>
      <c r="AA217" s="16" t="n"/>
      <c r="AB217" s="16" t="n"/>
      <c r="AC217" s="16" t="n"/>
    </row>
    <row r="218">
      <c r="A218" s="5" t="inlineStr">
        <is>
          <t>항목</t>
        </is>
      </c>
      <c r="B218" s="5" t="inlineStr">
        <is>
          <t>참고</t>
        </is>
      </c>
      <c r="C218" s="5" t="inlineStr">
        <is>
          <t>2024.3Q</t>
        </is>
      </c>
      <c r="D218" s="5" t="inlineStr">
        <is>
          <t>2024.4Q</t>
        </is>
      </c>
      <c r="E218" s="5" t="inlineStr">
        <is>
          <t>2025.1Q</t>
        </is>
      </c>
      <c r="F218" s="5" t="inlineStr">
        <is>
          <t>2025.2Q</t>
        </is>
      </c>
      <c r="G218" s="5" t="inlineStr">
        <is>
          <t>2025.3Q</t>
        </is>
      </c>
      <c r="H218" s="5" t="inlineStr">
        <is>
          <t>2025.4Q</t>
        </is>
      </c>
      <c r="I218" s="5" t="inlineStr">
        <is>
          <t>2026.1Q</t>
        </is>
      </c>
      <c r="J218" s="5" t="inlineStr">
        <is>
          <t>2026.2Q</t>
        </is>
      </c>
      <c r="K218" s="5" t="inlineStr">
        <is>
          <t>2026.3Q</t>
        </is>
      </c>
      <c r="L218" s="5" t="inlineStr">
        <is>
          <t>2026.4Q</t>
        </is>
      </c>
      <c r="M218" s="5" t="inlineStr">
        <is>
          <t>2027.1Q</t>
        </is>
      </c>
      <c r="N218" s="5" t="inlineStr">
        <is>
          <t>2027.2Q</t>
        </is>
      </c>
      <c r="O218" s="5" t="inlineStr">
        <is>
          <t>2017</t>
        </is>
      </c>
      <c r="P218" s="5" t="inlineStr">
        <is>
          <t>2018</t>
        </is>
      </c>
      <c r="Q218" s="5" t="inlineStr">
        <is>
          <t>2019</t>
        </is>
      </c>
      <c r="R218" s="5" t="inlineStr">
        <is>
          <t>2020</t>
        </is>
      </c>
      <c r="S218" s="5" t="inlineStr">
        <is>
          <t>2021</t>
        </is>
      </c>
      <c r="T218" s="5" t="inlineStr">
        <is>
          <t>2022</t>
        </is>
      </c>
      <c r="U218" s="5" t="inlineStr">
        <is>
          <t>2023</t>
        </is>
      </c>
      <c r="V218" s="5" t="inlineStr">
        <is>
          <t>2024</t>
        </is>
      </c>
      <c r="W218" s="5" t="inlineStr">
        <is>
          <t>2025</t>
        </is>
      </c>
      <c r="X218" s="5" t="inlineStr">
        <is>
          <t>2026</t>
        </is>
      </c>
      <c r="Y218" s="5" t="inlineStr">
        <is>
          <t>2027(MW)</t>
        </is>
      </c>
      <c r="Z218" s="5" t="inlineStr">
        <is>
          <t>2028(MW)</t>
        </is>
      </c>
      <c r="AA218" s="5" t="inlineStr">
        <is>
          <t>2029(MW)</t>
        </is>
      </c>
      <c r="AB218" s="5" t="inlineStr">
        <is>
          <t>2030(MW)</t>
        </is>
      </c>
      <c r="AC218" s="5" t="inlineStr">
        <is>
          <t>2031(MW)</t>
        </is>
      </c>
    </row>
    <row r="219">
      <c r="A219" s="9" t="inlineStr">
        <is>
          <t>법인세차감전 순이익</t>
        </is>
      </c>
      <c r="D219" s="12" t="n">
        <v>238545</v>
      </c>
      <c r="F219" s="12" t="n">
        <v>122575</v>
      </c>
      <c r="H219" s="12" t="n">
        <v>304064</v>
      </c>
      <c r="J219" s="12" t="n">
        <v>158116</v>
      </c>
      <c r="L219" s="12" t="n">
        <v>505159</v>
      </c>
      <c r="N219" s="12" t="n">
        <v>236267</v>
      </c>
      <c r="O219" s="12" t="n">
        <v>167792</v>
      </c>
      <c r="P219" s="12" t="n">
        <v>193337</v>
      </c>
      <c r="Q219" s="12" t="n">
        <v>181388</v>
      </c>
      <c r="R219" s="12" t="n">
        <v>133198</v>
      </c>
      <c r="S219" s="12" t="n">
        <v>110340</v>
      </c>
      <c r="T219" s="12" t="n">
        <v>159921</v>
      </c>
      <c r="U219" s="12" t="n">
        <v>196472</v>
      </c>
      <c r="V219" s="12" t="n">
        <v>238545</v>
      </c>
      <c r="W219" s="12" t="n">
        <v>304064</v>
      </c>
      <c r="X219" s="12" t="n">
        <v>505159</v>
      </c>
    </row>
    <row r="220">
      <c r="A220" s="18" t="inlineStr">
        <is>
          <t>감가상각비</t>
        </is>
      </c>
      <c r="D220" s="20" t="n">
        <v>206331</v>
      </c>
      <c r="F220" s="20" t="n">
        <v>102657</v>
      </c>
      <c r="H220" s="20" t="n">
        <v>206152</v>
      </c>
      <c r="J220" s="20" t="n">
        <v>101333</v>
      </c>
      <c r="L220" s="20" t="n">
        <v>209842</v>
      </c>
      <c r="N220" s="20" t="n">
        <v>109403</v>
      </c>
      <c r="O220" s="20" t="n">
        <v>130700</v>
      </c>
      <c r="P220" s="20" t="n">
        <v>141439</v>
      </c>
      <c r="Q220" s="20" t="n">
        <v>148916</v>
      </c>
      <c r="R220" s="20" t="n">
        <v>163581</v>
      </c>
      <c r="S220" s="20" t="n">
        <v>168040</v>
      </c>
      <c r="T220" s="20" t="n">
        <v>180508</v>
      </c>
      <c r="U220" s="20" t="n">
        <v>195999</v>
      </c>
      <c r="V220" s="20" t="n">
        <v>206331</v>
      </c>
      <c r="W220" s="20" t="n">
        <v>206152</v>
      </c>
      <c r="X220" s="20" t="n">
        <v>209842</v>
      </c>
    </row>
    <row r="221">
      <c r="A221" s="18" t="inlineStr">
        <is>
          <t>지분법손익</t>
        </is>
      </c>
      <c r="D221" s="20" t="n">
        <v>-20177</v>
      </c>
      <c r="F221" s="20" t="n">
        <v>-16994</v>
      </c>
      <c r="H221" s="20" t="n">
        <v>-14776</v>
      </c>
      <c r="J221" s="20" t="n">
        <v>-11174</v>
      </c>
      <c r="L221" s="20" t="n">
        <v>-31390</v>
      </c>
      <c r="N221" s="20" t="n">
        <v>-19608</v>
      </c>
      <c r="O221" s="20" t="n">
        <v>-28200</v>
      </c>
      <c r="P221" s="20" t="n">
        <v>-27813</v>
      </c>
      <c r="Q221" s="20" t="n">
        <v>-25051</v>
      </c>
      <c r="R221" s="20" t="n">
        <v>-11771</v>
      </c>
      <c r="S221" s="20" t="n">
        <v>-12519</v>
      </c>
      <c r="T221" s="20" t="n">
        <v>-20577</v>
      </c>
      <c r="U221" s="20" t="n">
        <v>-11485</v>
      </c>
      <c r="V221" s="20" t="n">
        <v>-20177</v>
      </c>
      <c r="W221" s="20" t="n">
        <v>-14776</v>
      </c>
      <c r="X221" s="20" t="n">
        <v>-31390</v>
      </c>
    </row>
    <row r="222">
      <c r="A222" s="18" t="inlineStr">
        <is>
          <t>부의 영업권 발생이익</t>
        </is>
      </c>
      <c r="Q222" s="20" t="n">
        <v>0</v>
      </c>
      <c r="R222" s="20" t="n">
        <v>-10395</v>
      </c>
      <c r="S222" s="20" t="n">
        <v>0</v>
      </c>
    </row>
    <row r="223">
      <c r="A223" s="18" t="inlineStr">
        <is>
          <t>단계적 취득 차손익</t>
        </is>
      </c>
      <c r="Q223" s="20" t="n">
        <v>0</v>
      </c>
      <c r="R223" s="20" t="n">
        <v>6572</v>
      </c>
      <c r="S223" s="20" t="n">
        <v>0</v>
      </c>
    </row>
    <row r="224">
      <c r="A224" s="18" t="inlineStr">
        <is>
          <t>지분변동손익</t>
        </is>
      </c>
      <c r="S224" s="20" t="n">
        <v>0</v>
      </c>
      <c r="T224" s="20" t="n">
        <v>-11516</v>
      </c>
      <c r="U224" s="20" t="n">
        <v>0</v>
      </c>
    </row>
    <row r="225">
      <c r="A225" s="18" t="inlineStr">
        <is>
          <t>매출채권 증감</t>
        </is>
      </c>
      <c r="D225" s="20" t="n">
        <v>4886</v>
      </c>
      <c r="F225" s="20" t="n">
        <v>67640</v>
      </c>
      <c r="H225" s="20" t="n">
        <v>-946</v>
      </c>
      <c r="J225" s="20" t="n">
        <v>19684</v>
      </c>
      <c r="L225" s="20" t="n">
        <v>-70405</v>
      </c>
      <c r="N225" s="20" t="n">
        <v>-19832</v>
      </c>
      <c r="O225" s="20" t="n">
        <v>-29405</v>
      </c>
      <c r="P225" s="20" t="n">
        <v>-18750</v>
      </c>
      <c r="Q225" s="20" t="n">
        <v>-41044</v>
      </c>
      <c r="R225" s="20" t="n">
        <v>50879</v>
      </c>
      <c r="S225" s="20" t="n">
        <v>-66334</v>
      </c>
      <c r="T225" s="20" t="n">
        <v>-27414</v>
      </c>
      <c r="U225" s="20" t="n">
        <v>-41241</v>
      </c>
      <c r="V225" s="20" t="n">
        <v>4886</v>
      </c>
      <c r="W225" s="20" t="n">
        <v>-946</v>
      </c>
      <c r="X225" s="20" t="n">
        <v>-70405</v>
      </c>
    </row>
    <row r="226">
      <c r="A226" s="18" t="inlineStr">
        <is>
          <t>재고자산 증감</t>
        </is>
      </c>
      <c r="D226" s="20" t="n">
        <v>21281</v>
      </c>
      <c r="F226" s="20" t="n">
        <v>-66033</v>
      </c>
      <c r="H226" s="20" t="n">
        <v>-17539</v>
      </c>
      <c r="J226" s="20" t="n">
        <v>-23931</v>
      </c>
      <c r="L226" s="20" t="n">
        <v>-47886</v>
      </c>
      <c r="N226" s="20" t="n">
        <v>-213517</v>
      </c>
      <c r="O226" s="20" t="n">
        <v>-29509</v>
      </c>
      <c r="P226" s="20" t="n">
        <v>-17568</v>
      </c>
      <c r="Q226" s="20" t="n">
        <v>-60006</v>
      </c>
      <c r="R226" s="20" t="n">
        <v>-27628</v>
      </c>
      <c r="S226" s="20" t="n">
        <v>-39377</v>
      </c>
      <c r="T226" s="20" t="n">
        <v>-195098</v>
      </c>
      <c r="U226" s="20" t="n">
        <v>26540</v>
      </c>
      <c r="V226" s="20" t="n">
        <v>21281</v>
      </c>
      <c r="W226" s="20" t="n">
        <v>-17539</v>
      </c>
      <c r="X226" s="20" t="n">
        <v>-47886</v>
      </c>
    </row>
    <row r="227">
      <c r="A227" s="18" t="inlineStr">
        <is>
          <t>매입채무 증감</t>
        </is>
      </c>
      <c r="D227" s="20" t="n">
        <v>21418</v>
      </c>
      <c r="F227" s="20" t="n">
        <v>-5473</v>
      </c>
      <c r="H227" s="20" t="n">
        <v>-7100</v>
      </c>
      <c r="J227" s="20" t="n">
        <v>9801</v>
      </c>
      <c r="L227" s="20" t="n">
        <v>26937</v>
      </c>
      <c r="N227" s="20" t="n">
        <v>69038</v>
      </c>
      <c r="O227" s="20" t="n">
        <v>29848</v>
      </c>
      <c r="P227" s="20" t="n">
        <v>-11572</v>
      </c>
      <c r="Q227" s="20" t="n">
        <v>12824</v>
      </c>
      <c r="R227" s="20" t="n">
        <v>-24780</v>
      </c>
      <c r="S227" s="20" t="n">
        <v>28299</v>
      </c>
      <c r="T227" s="20" t="n">
        <v>33272</v>
      </c>
      <c r="U227" s="20" t="n">
        <v>-7322</v>
      </c>
      <c r="V227" s="20" t="n">
        <v>21418</v>
      </c>
      <c r="W227" s="20" t="n">
        <v>-7100</v>
      </c>
      <c r="X227" s="20" t="n">
        <v>26937</v>
      </c>
    </row>
    <row r="228">
      <c r="A228" s="18" t="inlineStr">
        <is>
          <t>기타</t>
        </is>
      </c>
      <c r="D228" s="20" t="n">
        <v>-12290</v>
      </c>
      <c r="F228" s="20" t="n">
        <v>-3764</v>
      </c>
      <c r="H228" s="20" t="n">
        <v>12875</v>
      </c>
      <c r="J228" s="20" t="n">
        <v>25258</v>
      </c>
      <c r="L228" s="20" t="n">
        <v>-99609</v>
      </c>
      <c r="N228" s="20" t="n">
        <v>29074</v>
      </c>
      <c r="O228" s="20" t="n">
        <v>18449</v>
      </c>
      <c r="P228" s="20" t="n">
        <v>10263</v>
      </c>
      <c r="Q228" s="20" t="n">
        <v>-11361</v>
      </c>
      <c r="R228" s="20" t="n">
        <v>10656</v>
      </c>
      <c r="S228" s="20" t="n">
        <v>4009</v>
      </c>
      <c r="T228" s="20" t="n">
        <v>-18570</v>
      </c>
      <c r="U228" s="20" t="n">
        <v>-48094</v>
      </c>
      <c r="V228" s="20" t="n">
        <v>-12290</v>
      </c>
      <c r="W228" s="20" t="n">
        <v>12875</v>
      </c>
      <c r="X228" s="20" t="n">
        <v>-99609</v>
      </c>
    </row>
    <row r="229">
      <c r="A229" s="18" t="inlineStr">
        <is>
          <t>소계</t>
        </is>
      </c>
      <c r="D229" s="20" t="n">
        <v>459994</v>
      </c>
      <c r="F229" s="20" t="n">
        <v>200608</v>
      </c>
      <c r="H229" s="20" t="n">
        <v>482730</v>
      </c>
      <c r="J229" s="20" t="n">
        <v>279087</v>
      </c>
      <c r="L229" s="20" t="n">
        <v>492648</v>
      </c>
      <c r="N229" s="20" t="n">
        <v>190825</v>
      </c>
      <c r="O229" s="20" t="n">
        <v>259675</v>
      </c>
      <c r="P229" s="20" t="n">
        <v>269336</v>
      </c>
      <c r="Q229" s="20" t="n">
        <v>205666</v>
      </c>
      <c r="R229" s="20" t="n">
        <v>290312</v>
      </c>
      <c r="S229" s="20" t="n">
        <v>192458</v>
      </c>
      <c r="T229" s="20" t="n">
        <v>100526</v>
      </c>
      <c r="U229" s="20" t="n">
        <v>310869</v>
      </c>
      <c r="V229" s="20" t="n">
        <v>459994</v>
      </c>
      <c r="W229" s="20" t="n">
        <v>482730</v>
      </c>
      <c r="X229" s="20" t="n">
        <v>492648</v>
      </c>
    </row>
    <row r="230">
      <c r="A230" s="18" t="inlineStr">
        <is>
          <t>이자·배당금 수취</t>
        </is>
      </c>
      <c r="D230" s="20" t="n">
        <v>17402</v>
      </c>
      <c r="F230" s="20" t="n">
        <v>11209</v>
      </c>
      <c r="H230" s="20" t="n">
        <v>22897</v>
      </c>
      <c r="J230" s="20" t="n">
        <v>12004</v>
      </c>
      <c r="L230" s="20" t="n">
        <v>20349</v>
      </c>
      <c r="N230" s="20" t="n">
        <v>15192</v>
      </c>
      <c r="O230" s="20" t="n">
        <v>10903</v>
      </c>
      <c r="P230" s="20" t="n">
        <v>15313</v>
      </c>
      <c r="Q230" s="20" t="n">
        <v>14930</v>
      </c>
      <c r="R230" s="20" t="n">
        <v>15468</v>
      </c>
      <c r="S230" s="20" t="n">
        <v>8630</v>
      </c>
      <c r="T230" s="20" t="n">
        <v>13725</v>
      </c>
      <c r="U230" s="20" t="n">
        <v>14093</v>
      </c>
      <c r="V230" s="20" t="n">
        <v>17402</v>
      </c>
      <c r="W230" s="20" t="n">
        <v>22897</v>
      </c>
      <c r="X230" s="20" t="n">
        <v>20349</v>
      </c>
    </row>
    <row r="231">
      <c r="A231" s="18" t="inlineStr">
        <is>
          <t>이자 지급</t>
        </is>
      </c>
      <c r="D231" s="20" t="n">
        <v>-30330</v>
      </c>
      <c r="F231" s="20" t="n">
        <v>-15834</v>
      </c>
      <c r="H231" s="20" t="n">
        <v>-29841</v>
      </c>
      <c r="J231" s="20" t="n">
        <v>-11692</v>
      </c>
      <c r="L231" s="20" t="n">
        <v>-23412</v>
      </c>
      <c r="N231" s="20" t="n">
        <v>-11350</v>
      </c>
      <c r="O231" s="20" t="n">
        <v>-4884</v>
      </c>
      <c r="P231" s="20" t="n">
        <v>-5833</v>
      </c>
      <c r="Q231" s="20" t="n">
        <v>-6901</v>
      </c>
      <c r="R231" s="20" t="n">
        <v>-7557</v>
      </c>
      <c r="S231" s="20" t="n">
        <v>-5336</v>
      </c>
      <c r="T231" s="20" t="n">
        <v>-5389</v>
      </c>
      <c r="U231" s="20" t="n">
        <v>-14988</v>
      </c>
      <c r="V231" s="20" t="n">
        <v>-30330</v>
      </c>
      <c r="W231" s="20" t="n">
        <v>-29841</v>
      </c>
      <c r="X231" s="20" t="n">
        <v>-23412</v>
      </c>
    </row>
    <row r="232">
      <c r="A232" s="18" t="inlineStr">
        <is>
          <t>화해금 지급액</t>
        </is>
      </c>
      <c r="O232" s="20" t="n">
        <v>-21006</v>
      </c>
      <c r="P232" s="20" t="n">
        <v>-3676</v>
      </c>
      <c r="Q232" s="20" t="n">
        <v>0</v>
      </c>
    </row>
    <row r="233">
      <c r="A233" s="18" t="inlineStr">
        <is>
          <t>법인세 납부</t>
        </is>
      </c>
      <c r="D233" s="20" t="n">
        <v>-53601</v>
      </c>
      <c r="F233" s="20" t="n">
        <v>-39662</v>
      </c>
      <c r="H233" s="20" t="n">
        <v>-73533</v>
      </c>
      <c r="J233" s="20" t="n">
        <v>-27455</v>
      </c>
      <c r="L233" s="20" t="n">
        <v>-64393</v>
      </c>
      <c r="N233" s="20" t="n">
        <v>-55273</v>
      </c>
      <c r="O233" s="20" t="n">
        <v>-35455</v>
      </c>
      <c r="P233" s="20" t="n">
        <v>-35567</v>
      </c>
      <c r="Q233" s="20" t="n">
        <v>-36039</v>
      </c>
      <c r="R233" s="20" t="n">
        <v>-33615</v>
      </c>
      <c r="S233" s="20" t="n">
        <v>-26096</v>
      </c>
      <c r="T233" s="20" t="n">
        <v>-32860</v>
      </c>
      <c r="U233" s="20" t="n">
        <v>-44783</v>
      </c>
      <c r="V233" s="20" t="n">
        <v>-53601</v>
      </c>
      <c r="W233" s="20" t="n">
        <v>-73533</v>
      </c>
      <c r="X233" s="20" t="n">
        <v>-64393</v>
      </c>
    </row>
    <row r="234">
      <c r="A234" s="9" t="inlineStr">
        <is>
          <t>영업활동 현금흐름</t>
        </is>
      </c>
      <c r="D234" s="12" t="n">
        <v>393465</v>
      </c>
      <c r="F234" s="12" t="n">
        <v>156321</v>
      </c>
      <c r="H234" s="12" t="n">
        <v>402253</v>
      </c>
      <c r="J234" s="12" t="n">
        <v>251944</v>
      </c>
      <c r="L234" s="12" t="n">
        <v>425192</v>
      </c>
      <c r="N234" s="12" t="n">
        <v>139394</v>
      </c>
      <c r="O234" s="12" t="n">
        <v>209233</v>
      </c>
      <c r="P234" s="12" t="n">
        <v>239573</v>
      </c>
      <c r="Q234" s="12" t="n">
        <v>177656</v>
      </c>
      <c r="R234" s="12" t="n">
        <v>264608</v>
      </c>
      <c r="S234" s="12" t="n">
        <v>169656</v>
      </c>
      <c r="T234" s="12" t="n">
        <v>76002</v>
      </c>
      <c r="U234" s="12" t="n">
        <v>265191</v>
      </c>
      <c r="V234" s="12" t="n">
        <v>393465</v>
      </c>
      <c r="W234" s="12" t="n">
        <v>402253</v>
      </c>
      <c r="X234" s="12" t="n">
        <v>425192</v>
      </c>
    </row>
    <row r="235">
      <c r="A235" s="18" t="inlineStr">
        <is>
          <t>유형자산 취득(설비투자)</t>
        </is>
      </c>
      <c r="D235" s="20" t="n">
        <v>-179323</v>
      </c>
      <c r="F235" s="20" t="n">
        <v>-93082</v>
      </c>
      <c r="H235" s="20" t="n">
        <v>-199824</v>
      </c>
      <c r="J235" s="20" t="n">
        <v>-110813</v>
      </c>
      <c r="L235" s="20" t="n">
        <v>-222228</v>
      </c>
      <c r="N235" s="20" t="n">
        <v>-124799</v>
      </c>
      <c r="O235" s="20" t="n">
        <v>-175170</v>
      </c>
      <c r="P235" s="20" t="n">
        <v>-171951</v>
      </c>
      <c r="Q235" s="20" t="n">
        <v>-178046</v>
      </c>
      <c r="R235" s="20" t="n">
        <v>-192874</v>
      </c>
      <c r="S235" s="20" t="n">
        <v>-166831</v>
      </c>
      <c r="T235" s="20" t="n">
        <v>-174059</v>
      </c>
      <c r="U235" s="20" t="n">
        <v>-184467</v>
      </c>
      <c r="V235" s="20" t="n">
        <v>-179323</v>
      </c>
      <c r="W235" s="20" t="n">
        <v>-199824</v>
      </c>
      <c r="X235" s="20" t="n">
        <v>-222228</v>
      </c>
    </row>
    <row r="236">
      <c r="A236" s="18" t="inlineStr">
        <is>
          <t>유형자산 매각</t>
        </is>
      </c>
      <c r="D236" s="20" t="n">
        <v>5217</v>
      </c>
      <c r="F236" s="20" t="n">
        <v>2776</v>
      </c>
      <c r="H236" s="20" t="n">
        <v>4998</v>
      </c>
      <c r="J236" s="20" t="n">
        <v>5532</v>
      </c>
      <c r="L236" s="20" t="n">
        <v>12037</v>
      </c>
      <c r="N236" s="20" t="n">
        <v>3702</v>
      </c>
      <c r="O236" s="20" t="n">
        <v>4852</v>
      </c>
      <c r="P236" s="20" t="n">
        <v>4046</v>
      </c>
      <c r="Q236" s="20" t="n">
        <v>5484</v>
      </c>
      <c r="R236" s="20" t="n">
        <v>4665</v>
      </c>
      <c r="S236" s="20" t="n">
        <v>1781</v>
      </c>
      <c r="T236" s="20" t="n">
        <v>7666</v>
      </c>
      <c r="U236" s="20" t="n">
        <v>10252</v>
      </c>
      <c r="V236" s="20" t="n">
        <v>5217</v>
      </c>
      <c r="W236" s="20" t="n">
        <v>4998</v>
      </c>
      <c r="X236" s="20" t="n">
        <v>12037</v>
      </c>
    </row>
    <row r="237">
      <c r="A237" s="18" t="inlineStr">
        <is>
          <t>투자유가증권 취득</t>
        </is>
      </c>
      <c r="D237" s="20" t="n">
        <v>-4214</v>
      </c>
      <c r="F237" s="20" t="n">
        <v>-628</v>
      </c>
      <c r="H237" s="20" t="n">
        <v>-4786</v>
      </c>
      <c r="J237" s="20" t="n">
        <v>-3767</v>
      </c>
      <c r="L237" s="20" t="n">
        <v>-3827</v>
      </c>
      <c r="N237" s="20" t="n">
        <v>-29</v>
      </c>
      <c r="O237" s="20" t="n">
        <v>-19712</v>
      </c>
      <c r="P237" s="20" t="n">
        <v>-2462</v>
      </c>
      <c r="Q237" s="20" t="n">
        <v>-2411</v>
      </c>
      <c r="R237" s="20" t="n">
        <v>-2956</v>
      </c>
      <c r="S237" s="20" t="n">
        <v>-1707</v>
      </c>
      <c r="T237" s="20" t="n">
        <v>-90</v>
      </c>
      <c r="U237" s="20" t="n">
        <v>-478</v>
      </c>
      <c r="V237" s="20" t="n">
        <v>-4214</v>
      </c>
      <c r="W237" s="20" t="n">
        <v>-4786</v>
      </c>
      <c r="X237" s="20" t="n">
        <v>-3827</v>
      </c>
    </row>
    <row r="238">
      <c r="A238" s="18" t="inlineStr">
        <is>
          <t>투자유가증권 매각</t>
        </is>
      </c>
      <c r="D238" s="20" t="n">
        <v>70141</v>
      </c>
      <c r="F238" s="20" t="n">
        <v>2320</v>
      </c>
      <c r="H238" s="20" t="n">
        <v>13018</v>
      </c>
      <c r="J238" s="20" t="n">
        <v>1661</v>
      </c>
      <c r="L238" s="20" t="n">
        <v>11348</v>
      </c>
      <c r="N238" s="20" t="n">
        <v>7634</v>
      </c>
      <c r="O238" s="20" t="n">
        <v>19984</v>
      </c>
      <c r="P238" s="20" t="n">
        <v>17464</v>
      </c>
      <c r="Q238" s="20" t="n">
        <v>7445</v>
      </c>
      <c r="R238" s="20" t="n">
        <v>11569</v>
      </c>
      <c r="S238" s="20" t="n">
        <v>19675</v>
      </c>
      <c r="T238" s="20" t="n">
        <v>15155</v>
      </c>
      <c r="U238" s="20" t="n">
        <v>43810</v>
      </c>
      <c r="V238" s="20" t="n">
        <v>70141</v>
      </c>
      <c r="W238" s="20" t="n">
        <v>13018</v>
      </c>
      <c r="X238" s="20" t="n">
        <v>11348</v>
      </c>
    </row>
    <row r="239">
      <c r="A239" s="18" t="inlineStr">
        <is>
          <t>연결범위 변경 자회사 주식 취득(수입)</t>
        </is>
      </c>
      <c r="Q239" s="20" t="n">
        <v>0</v>
      </c>
      <c r="R239" s="20" t="n">
        <v>8482</v>
      </c>
      <c r="S239" s="20" t="n">
        <v>0</v>
      </c>
    </row>
    <row r="240">
      <c r="A240" s="18" t="inlineStr">
        <is>
          <t>연결범위 변경 자회사 주식 취득</t>
        </is>
      </c>
      <c r="D240" s="20" t="n">
        <v>0</v>
      </c>
      <c r="F240" s="20" t="n">
        <v>-7126</v>
      </c>
      <c r="H240" s="20" t="n">
        <v>-16292</v>
      </c>
      <c r="J240" s="20" t="n">
        <v>-1459</v>
      </c>
      <c r="L240" s="20" t="n">
        <v>-1459</v>
      </c>
      <c r="N240" s="20" t="n">
        <v>0</v>
      </c>
      <c r="V240" s="20" t="n">
        <v>0</v>
      </c>
      <c r="W240" s="20" t="n">
        <v>-16292</v>
      </c>
      <c r="X240" s="20" t="n">
        <v>-1459</v>
      </c>
    </row>
    <row r="241">
      <c r="A241" s="18" t="inlineStr">
        <is>
          <t>연결범위 변경 자회사 주식 매각(지출)</t>
        </is>
      </c>
      <c r="D241" s="20" t="n">
        <v>0</v>
      </c>
      <c r="H241" s="20" t="n">
        <v>-1291</v>
      </c>
      <c r="L241" s="20" t="n">
        <v>-666</v>
      </c>
      <c r="R241" s="20" t="n">
        <v>0</v>
      </c>
      <c r="S241" s="20" t="n">
        <v>-1871</v>
      </c>
      <c r="T241" s="20" t="n">
        <v>0</v>
      </c>
      <c r="V241" s="20" t="n">
        <v>0</v>
      </c>
      <c r="W241" s="20" t="n">
        <v>-1291</v>
      </c>
      <c r="X241" s="20" t="n">
        <v>-666</v>
      </c>
    </row>
    <row r="242">
      <c r="A242" s="18" t="inlineStr">
        <is>
          <t>연결범위 변경 자회사 주식 매각</t>
        </is>
      </c>
      <c r="D242" s="20" t="n">
        <v>762</v>
      </c>
      <c r="H242" s="20" t="n">
        <v>0</v>
      </c>
      <c r="L242" s="20" t="n">
        <v>53036</v>
      </c>
      <c r="S242" s="20" t="n">
        <v>0</v>
      </c>
      <c r="T242" s="20" t="n">
        <v>1329</v>
      </c>
      <c r="U242" s="20" t="n">
        <v>0</v>
      </c>
      <c r="V242" s="20" t="n">
        <v>762</v>
      </c>
      <c r="W242" s="20" t="n">
        <v>0</v>
      </c>
      <c r="X242" s="20" t="n">
        <v>53036</v>
      </c>
    </row>
    <row r="243">
      <c r="A243" s="18" t="inlineStr">
        <is>
          <t>기타</t>
        </is>
      </c>
      <c r="D243" s="20" t="n">
        <v>-16392</v>
      </c>
      <c r="F243" s="20" t="n">
        <v>-9194</v>
      </c>
      <c r="H243" s="20" t="n">
        <v>-19727</v>
      </c>
      <c r="J243" s="20" t="n">
        <v>-9254</v>
      </c>
      <c r="L243" s="20" t="n">
        <v>-23103</v>
      </c>
      <c r="N243" s="20" t="n">
        <v>-8743</v>
      </c>
      <c r="O243" s="20" t="n">
        <v>-24783</v>
      </c>
      <c r="P243" s="20" t="n">
        <v>-21362</v>
      </c>
      <c r="Q243" s="20" t="n">
        <v>-17073</v>
      </c>
      <c r="R243" s="20" t="n">
        <v>-6906</v>
      </c>
      <c r="S243" s="20" t="n">
        <v>-14477</v>
      </c>
      <c r="T243" s="20" t="n">
        <v>-15448</v>
      </c>
      <c r="U243" s="20" t="n">
        <v>-16938</v>
      </c>
      <c r="V243" s="20" t="n">
        <v>-16392</v>
      </c>
      <c r="W243" s="20" t="n">
        <v>-19727</v>
      </c>
      <c r="X243" s="20" t="n">
        <v>-23103</v>
      </c>
    </row>
    <row r="244">
      <c r="A244" s="9" t="inlineStr">
        <is>
          <t>투자활동 현금흐름</t>
        </is>
      </c>
      <c r="D244" s="12" t="n">
        <v>-123809</v>
      </c>
      <c r="F244" s="12" t="n">
        <v>-104934</v>
      </c>
      <c r="H244" s="12" t="n">
        <v>-223904</v>
      </c>
      <c r="J244" s="12" t="n">
        <v>-118100</v>
      </c>
      <c r="L244" s="12" t="n">
        <v>-174862</v>
      </c>
      <c r="N244" s="12" t="n">
        <v>-122235</v>
      </c>
      <c r="O244" s="12" t="n">
        <v>-194829</v>
      </c>
      <c r="P244" s="12" t="n">
        <v>-174265</v>
      </c>
      <c r="Q244" s="12" t="n">
        <v>-184601</v>
      </c>
      <c r="R244" s="12" t="n">
        <v>-178020</v>
      </c>
      <c r="S244" s="12" t="n">
        <v>-163430</v>
      </c>
      <c r="T244" s="12" t="n">
        <v>-165447</v>
      </c>
      <c r="U244" s="12" t="n">
        <v>-147821</v>
      </c>
      <c r="V244" s="12" t="n">
        <v>-123809</v>
      </c>
      <c r="W244" s="12" t="n">
        <v>-223904</v>
      </c>
      <c r="X244" s="12" t="n">
        <v>-174862</v>
      </c>
    </row>
    <row r="245">
      <c r="A245" s="18" t="inlineStr">
        <is>
          <t>단기차입금 순증감</t>
        </is>
      </c>
      <c r="D245" s="20" t="n">
        <v>-234314</v>
      </c>
      <c r="F245" s="20" t="n">
        <v>27762</v>
      </c>
      <c r="H245" s="20" t="n">
        <v>-76233</v>
      </c>
      <c r="J245" s="20" t="n">
        <v>-95162</v>
      </c>
      <c r="L245" s="20" t="n">
        <v>-96574</v>
      </c>
      <c r="N245" s="20" t="n">
        <v>93470</v>
      </c>
      <c r="O245" s="20" t="n">
        <v>33200</v>
      </c>
      <c r="P245" s="20" t="n">
        <v>-5143</v>
      </c>
      <c r="Q245" s="20" t="n">
        <v>49043</v>
      </c>
      <c r="R245" s="20" t="n">
        <v>75087</v>
      </c>
      <c r="S245" s="20" t="n">
        <v>-13071</v>
      </c>
      <c r="T245" s="20" t="n">
        <v>134065</v>
      </c>
      <c r="U245" s="20" t="n">
        <v>86272</v>
      </c>
      <c r="V245" s="20" t="n">
        <v>-234314</v>
      </c>
      <c r="W245" s="20" t="n">
        <v>-76233</v>
      </c>
      <c r="X245" s="20" t="n">
        <v>-96574</v>
      </c>
    </row>
    <row r="246">
      <c r="A246" s="18" t="inlineStr">
        <is>
          <t>기업어음 증감(△는 감소)</t>
        </is>
      </c>
      <c r="D246" s="20" t="n">
        <v>-7000</v>
      </c>
      <c r="F246" s="20" t="n">
        <v>0</v>
      </c>
      <c r="H246" s="20" t="n">
        <v>32776</v>
      </c>
      <c r="J246" s="20" t="n">
        <v>31089</v>
      </c>
      <c r="L246" s="20" t="n">
        <v>25323</v>
      </c>
      <c r="N246" s="20" t="n">
        <v>16599</v>
      </c>
      <c r="R246" s="20" t="n">
        <v>0</v>
      </c>
      <c r="S246" s="20" t="n">
        <v>14000</v>
      </c>
      <c r="T246" s="20" t="n">
        <v>-6000</v>
      </c>
      <c r="U246" s="20" t="n">
        <v>-1000</v>
      </c>
      <c r="V246" s="20" t="n">
        <v>-7000</v>
      </c>
      <c r="W246" s="20" t="n">
        <v>32776</v>
      </c>
      <c r="X246" s="20" t="n">
        <v>25323</v>
      </c>
    </row>
    <row r="247">
      <c r="A247" s="18" t="inlineStr">
        <is>
          <t>장기차입</t>
        </is>
      </c>
      <c r="D247" s="20" t="n">
        <v>9055</v>
      </c>
      <c r="F247" s="20" t="n">
        <v>23532</v>
      </c>
      <c r="H247" s="20" t="n">
        <v>46696</v>
      </c>
      <c r="J247" s="20" t="n">
        <v>19698</v>
      </c>
      <c r="L247" s="20" t="n">
        <v>25523</v>
      </c>
      <c r="N247" s="20" t="n">
        <v>16435</v>
      </c>
      <c r="O247" s="20" t="n">
        <v>32279</v>
      </c>
      <c r="P247" s="20" t="n">
        <v>22865</v>
      </c>
      <c r="Q247" s="20" t="n">
        <v>48464</v>
      </c>
      <c r="R247" s="20" t="n">
        <v>14492</v>
      </c>
      <c r="S247" s="20" t="n">
        <v>81612</v>
      </c>
      <c r="T247" s="20" t="n">
        <v>77479</v>
      </c>
      <c r="U247" s="20" t="n">
        <v>39868</v>
      </c>
      <c r="V247" s="20" t="n">
        <v>9055</v>
      </c>
      <c r="W247" s="20" t="n">
        <v>46696</v>
      </c>
      <c r="X247" s="20" t="n">
        <v>25523</v>
      </c>
    </row>
    <row r="248">
      <c r="A248" s="18" t="inlineStr">
        <is>
          <t>장기차입금 상환</t>
        </is>
      </c>
      <c r="D248" s="20" t="n">
        <v>-71014</v>
      </c>
      <c r="F248" s="20" t="n">
        <v>-33523</v>
      </c>
      <c r="H248" s="20" t="n">
        <v>-44370</v>
      </c>
      <c r="J248" s="20" t="n">
        <v>-41939</v>
      </c>
      <c r="L248" s="20" t="n">
        <v>-46003</v>
      </c>
      <c r="N248" s="20" t="n">
        <v>-17576</v>
      </c>
      <c r="O248" s="20" t="n">
        <v>-51685</v>
      </c>
      <c r="P248" s="20" t="n">
        <v>-36428</v>
      </c>
      <c r="Q248" s="20" t="n">
        <v>-51221</v>
      </c>
      <c r="R248" s="20" t="n">
        <v>-64628</v>
      </c>
      <c r="S248" s="20" t="n">
        <v>-49303</v>
      </c>
      <c r="T248" s="20" t="n">
        <v>-53945</v>
      </c>
      <c r="U248" s="20" t="n">
        <v>-66073</v>
      </c>
      <c r="V248" s="20" t="n">
        <v>-71014</v>
      </c>
      <c r="W248" s="20" t="n">
        <v>-44370</v>
      </c>
      <c r="X248" s="20" t="n">
        <v>-46003</v>
      </c>
    </row>
    <row r="249">
      <c r="A249" s="18" t="inlineStr">
        <is>
          <t>사채 발행</t>
        </is>
      </c>
      <c r="D249" s="20" t="n">
        <v>90000</v>
      </c>
      <c r="F249" s="20" t="n">
        <v>0</v>
      </c>
      <c r="H249" s="20" t="n">
        <v>0</v>
      </c>
      <c r="O249" s="20" t="n">
        <v>50000</v>
      </c>
      <c r="P249" s="20" t="n">
        <v>15000</v>
      </c>
      <c r="Q249" s="20" t="n">
        <v>0</v>
      </c>
      <c r="R249" s="20" t="n">
        <v>30000</v>
      </c>
      <c r="S249" s="20" t="n">
        <v>0</v>
      </c>
      <c r="T249" s="20" t="n">
        <v>0</v>
      </c>
      <c r="U249" s="20" t="n">
        <v>10000</v>
      </c>
      <c r="V249" s="20" t="n">
        <v>90000</v>
      </c>
      <c r="W249" s="20" t="n">
        <v>0</v>
      </c>
    </row>
    <row r="250">
      <c r="A250" s="18" t="inlineStr">
        <is>
          <t>사채 상환</t>
        </is>
      </c>
      <c r="D250" s="20" t="n">
        <v>0</v>
      </c>
      <c r="H250" s="20" t="n">
        <v>-10000</v>
      </c>
      <c r="J250" s="20" t="n">
        <v>0</v>
      </c>
      <c r="L250" s="20" t="n">
        <v>0</v>
      </c>
      <c r="N250" s="20" t="n">
        <v>-15000</v>
      </c>
      <c r="O250" s="20" t="n">
        <v>-10610</v>
      </c>
      <c r="P250" s="20" t="n">
        <v>-15000</v>
      </c>
      <c r="Q250" s="20" t="n">
        <v>0</v>
      </c>
      <c r="S250" s="20" t="n">
        <v>0</v>
      </c>
      <c r="T250" s="20" t="n">
        <v>-10000</v>
      </c>
      <c r="U250" s="20" t="n">
        <v>-10000</v>
      </c>
      <c r="V250" s="20" t="n">
        <v>0</v>
      </c>
      <c r="W250" s="20" t="n">
        <v>-10000</v>
      </c>
      <c r="X250" s="20" t="n">
        <v>0</v>
      </c>
    </row>
    <row r="251">
      <c r="A251" s="18" t="inlineStr">
        <is>
          <t>자기주식 취득</t>
        </is>
      </c>
      <c r="D251" s="20" t="n">
        <v>-4</v>
      </c>
      <c r="F251" s="20" t="n">
        <v>-2</v>
      </c>
      <c r="H251" s="20" t="n">
        <v>-4</v>
      </c>
      <c r="J251" s="20" t="n">
        <v>-7</v>
      </c>
      <c r="L251" s="20" t="n">
        <v>-13</v>
      </c>
      <c r="N251" s="20" t="n">
        <v>-6</v>
      </c>
      <c r="O251" s="20" t="n">
        <v>-20002</v>
      </c>
      <c r="P251" s="20" t="n">
        <v>-4</v>
      </c>
      <c r="Q251" s="20" t="n">
        <v>-3</v>
      </c>
      <c r="R251" s="20" t="n">
        <v>-10</v>
      </c>
      <c r="S251" s="20" t="n">
        <v>-10</v>
      </c>
      <c r="T251" s="20" t="n">
        <v>-12</v>
      </c>
      <c r="U251" s="20" t="n">
        <v>-3</v>
      </c>
      <c r="V251" s="20" t="n">
        <v>-4</v>
      </c>
      <c r="W251" s="20" t="n">
        <v>-4</v>
      </c>
      <c r="X251" s="20" t="n">
        <v>-13</v>
      </c>
    </row>
    <row r="252">
      <c r="A252" s="18" t="inlineStr">
        <is>
          <t>배당금 지급</t>
        </is>
      </c>
      <c r="D252" s="20" t="n">
        <v>-39004</v>
      </c>
      <c r="F252" s="20" t="n">
        <v>-40564</v>
      </c>
      <c r="H252" s="20" t="n">
        <v>-68646</v>
      </c>
      <c r="J252" s="20" t="n">
        <v>-47584</v>
      </c>
      <c r="L252" s="20" t="n">
        <v>-86588</v>
      </c>
      <c r="N252" s="20" t="n">
        <v>-81127</v>
      </c>
      <c r="O252" s="20" t="n">
        <v>-27541</v>
      </c>
      <c r="P252" s="20" t="n">
        <v>-34324</v>
      </c>
      <c r="Q252" s="20" t="n">
        <v>-38224</v>
      </c>
      <c r="R252" s="20" t="n">
        <v>-37444</v>
      </c>
      <c r="S252" s="20" t="n">
        <v>-24963</v>
      </c>
      <c r="T252" s="20" t="n">
        <v>-31983</v>
      </c>
      <c r="U252" s="20" t="n">
        <v>-39004</v>
      </c>
      <c r="V252" s="20" t="n">
        <v>-39004</v>
      </c>
      <c r="W252" s="20" t="n">
        <v>-68646</v>
      </c>
      <c r="X252" s="20" t="n">
        <v>-86588</v>
      </c>
    </row>
    <row r="253">
      <c r="A253" s="18" t="inlineStr">
        <is>
          <t>연결범위 변경 없는 자회사 주식 취득</t>
        </is>
      </c>
      <c r="D253" s="20" t="n">
        <v>-13189</v>
      </c>
      <c r="F253" s="20" t="n">
        <v>-956</v>
      </c>
      <c r="H253" s="20" t="n">
        <v>-956</v>
      </c>
      <c r="J253" s="20" t="n">
        <v>0</v>
      </c>
      <c r="L253" s="20" t="n">
        <v>-112688</v>
      </c>
      <c r="N253" s="20" t="n">
        <v>-22855</v>
      </c>
      <c r="T253" s="20" t="n">
        <v>-53</v>
      </c>
      <c r="U253" s="20" t="n">
        <v>-91624</v>
      </c>
      <c r="V253" s="20" t="n">
        <v>-13189</v>
      </c>
      <c r="W253" s="20" t="n">
        <v>-956</v>
      </c>
      <c r="X253" s="20" t="n">
        <v>-112688</v>
      </c>
    </row>
    <row r="254">
      <c r="A254" s="18" t="inlineStr">
        <is>
          <t>기타</t>
        </is>
      </c>
      <c r="D254" s="20" t="n">
        <v>-26843</v>
      </c>
      <c r="F254" s="20" t="n">
        <v>-16699</v>
      </c>
      <c r="H254" s="20" t="n">
        <v>-30088</v>
      </c>
      <c r="J254" s="20" t="n">
        <v>-17786</v>
      </c>
      <c r="L254" s="20" t="n">
        <v>-35011</v>
      </c>
      <c r="N254" s="20" t="n">
        <v>-16818</v>
      </c>
      <c r="O254" s="20" t="n">
        <v>-10404</v>
      </c>
      <c r="P254" s="20" t="n">
        <v>-13761</v>
      </c>
      <c r="Q254" s="20" t="n">
        <v>-12383</v>
      </c>
      <c r="R254" s="20" t="n">
        <v>-18774</v>
      </c>
      <c r="S254" s="20" t="n">
        <v>-21364</v>
      </c>
      <c r="T254" s="20" t="n">
        <v>-26735</v>
      </c>
      <c r="U254" s="20" t="n">
        <v>-26726</v>
      </c>
      <c r="V254" s="20" t="n">
        <v>-26843</v>
      </c>
      <c r="W254" s="20" t="n">
        <v>-30088</v>
      </c>
      <c r="X254" s="20" t="n">
        <v>-35011</v>
      </c>
    </row>
    <row r="255">
      <c r="A255" s="9" t="inlineStr">
        <is>
          <t>재무활동 현금흐름</t>
        </is>
      </c>
      <c r="D255" s="12" t="n">
        <v>-292313</v>
      </c>
      <c r="F255" s="12" t="n">
        <v>-40450</v>
      </c>
      <c r="H255" s="12" t="n">
        <v>-150825</v>
      </c>
      <c r="J255" s="12" t="n">
        <v>-151691</v>
      </c>
      <c r="L255" s="12" t="n">
        <v>-326031</v>
      </c>
      <c r="N255" s="12" t="n">
        <v>-26878</v>
      </c>
      <c r="O255" s="12" t="n">
        <v>-4763</v>
      </c>
      <c r="P255" s="12" t="n">
        <v>-66795</v>
      </c>
      <c r="Q255" s="12" t="n">
        <v>-4324</v>
      </c>
      <c r="R255" s="12" t="n">
        <v>-1277</v>
      </c>
      <c r="S255" s="12" t="n">
        <v>-13099</v>
      </c>
      <c r="T255" s="12" t="n">
        <v>82816</v>
      </c>
      <c r="U255" s="12" t="n">
        <v>-98290</v>
      </c>
      <c r="V255" s="12" t="n">
        <v>-292313</v>
      </c>
      <c r="W255" s="12" t="n">
        <v>-150825</v>
      </c>
      <c r="X255" s="12" t="n">
        <v>-326031</v>
      </c>
    </row>
    <row r="256">
      <c r="A256" s="18" t="inlineStr">
        <is>
          <t>현금성자산 환산차이</t>
        </is>
      </c>
      <c r="D256" s="20" t="n">
        <v>11287</v>
      </c>
      <c r="F256" s="20" t="n">
        <v>-4404</v>
      </c>
      <c r="H256" s="20" t="n">
        <v>-1470</v>
      </c>
      <c r="J256" s="20" t="n">
        <v>3621</v>
      </c>
      <c r="L256" s="20" t="n">
        <v>17135</v>
      </c>
      <c r="N256" s="20" t="n">
        <v>-1192</v>
      </c>
      <c r="O256" s="20" t="n">
        <v>-3544</v>
      </c>
      <c r="P256" s="20" t="n">
        <v>1262</v>
      </c>
      <c r="Q256" s="20" t="n">
        <v>-639</v>
      </c>
      <c r="R256" s="20" t="n">
        <v>-5374</v>
      </c>
      <c r="S256" s="20" t="n">
        <v>7849</v>
      </c>
      <c r="T256" s="20" t="n">
        <v>10578</v>
      </c>
      <c r="U256" s="20" t="n">
        <v>4812</v>
      </c>
      <c r="V256" s="20" t="n">
        <v>11287</v>
      </c>
      <c r="W256" s="20" t="n">
        <v>-1470</v>
      </c>
      <c r="X256" s="20" t="n">
        <v>17135</v>
      </c>
    </row>
    <row r="257">
      <c r="A257" s="18" t="inlineStr">
        <is>
          <t>현금성자산 증감</t>
        </is>
      </c>
      <c r="D257" s="20" t="n">
        <v>-11370</v>
      </c>
      <c r="F257" s="20" t="n">
        <v>6533</v>
      </c>
      <c r="H257" s="20" t="n">
        <v>26054</v>
      </c>
      <c r="J257" s="20" t="n">
        <v>-14226</v>
      </c>
      <c r="L257" s="20" t="n">
        <v>-58566</v>
      </c>
      <c r="N257" s="20" t="n">
        <v>-10911</v>
      </c>
      <c r="O257" s="20" t="n">
        <v>6097</v>
      </c>
      <c r="P257" s="20" t="n">
        <v>-225</v>
      </c>
      <c r="Q257" s="20" t="n">
        <v>-11908</v>
      </c>
      <c r="R257" s="20" t="n">
        <v>79937</v>
      </c>
      <c r="S257" s="20" t="n">
        <v>976</v>
      </c>
      <c r="T257" s="20" t="n">
        <v>3949</v>
      </c>
      <c r="U257" s="20" t="n">
        <v>23892</v>
      </c>
      <c r="V257" s="20" t="n">
        <v>-11370</v>
      </c>
      <c r="W257" s="20" t="n">
        <v>26054</v>
      </c>
      <c r="X257" s="20" t="n">
        <v>-58566</v>
      </c>
    </row>
    <row r="258">
      <c r="A258" s="18" t="inlineStr">
        <is>
          <t>신규 연결 현금성자산 증가</t>
        </is>
      </c>
      <c r="D258" s="20" t="n">
        <v>211</v>
      </c>
      <c r="F258" s="20" t="n">
        <v>18</v>
      </c>
      <c r="H258" s="20" t="n">
        <v>18</v>
      </c>
      <c r="J258" s="20" t="n">
        <v>0</v>
      </c>
      <c r="L258" s="20" t="n">
        <v>0</v>
      </c>
      <c r="N258" s="20" t="n">
        <v>5</v>
      </c>
      <c r="O258" s="20" t="n">
        <v>545</v>
      </c>
      <c r="P258" s="20" t="n">
        <v>331</v>
      </c>
      <c r="Q258" s="20" t="n">
        <v>673</v>
      </c>
      <c r="R258" s="20" t="n">
        <v>201</v>
      </c>
      <c r="S258" s="20" t="n">
        <v>769</v>
      </c>
      <c r="T258" s="20" t="n">
        <v>0</v>
      </c>
      <c r="U258" s="20" t="n">
        <v>0</v>
      </c>
      <c r="V258" s="20" t="n">
        <v>211</v>
      </c>
      <c r="W258" s="20" t="n">
        <v>18</v>
      </c>
      <c r="X258" s="20" t="n">
        <v>0</v>
      </c>
    </row>
    <row r="259">
      <c r="A259" s="18" t="inlineStr">
        <is>
          <t>연결 제외 현금성자산 감소</t>
        </is>
      </c>
      <c r="O259" s="20" t="n">
        <v>-695</v>
      </c>
      <c r="P259" s="20" t="n">
        <v>0</v>
      </c>
    </row>
    <row r="260">
      <c r="A260" s="18" t="inlineStr">
        <is>
          <t>비연결 자회사 합병에 따른 현금성자산 증가</t>
        </is>
      </c>
      <c r="D260" s="20" t="n">
        <v>0</v>
      </c>
      <c r="F260" s="20" t="n">
        <v>142</v>
      </c>
      <c r="H260" s="20" t="n">
        <v>142</v>
      </c>
      <c r="J260" s="20" t="n">
        <v>0</v>
      </c>
      <c r="L260" s="20" t="n">
        <v>0</v>
      </c>
      <c r="N260" s="20" t="n">
        <v>79</v>
      </c>
      <c r="R260" s="20" t="n">
        <v>0</v>
      </c>
      <c r="S260" s="20" t="n">
        <v>685</v>
      </c>
      <c r="T260" s="20" t="n">
        <v>150</v>
      </c>
      <c r="U260" s="20" t="n">
        <v>0</v>
      </c>
      <c r="V260" s="20" t="n">
        <v>0</v>
      </c>
      <c r="W260" s="20" t="n">
        <v>142</v>
      </c>
      <c r="X260" s="20" t="n">
        <v>0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26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5802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2026.2Q</t>
        </is>
      </c>
      <c r="D3" s="5" t="inlineStr">
        <is>
          <t>2026.3Q</t>
        </is>
      </c>
      <c r="E3" s="5" t="inlineStr">
        <is>
          <t>2026.4Q</t>
        </is>
      </c>
      <c r="F3" s="5" t="inlineStr">
        <is>
          <t>2027.1Q</t>
        </is>
      </c>
      <c r="G3" s="5" t="inlineStr">
        <is>
          <t>2027.2Q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2309803</v>
      </c>
      <c r="D5" s="12" t="n">
        <v>2509843</v>
      </c>
      <c r="E5" s="12" t="n">
        <v>2424611</v>
      </c>
      <c r="F5" s="12" t="n">
        <v>2576254</v>
      </c>
      <c r="G5" s="12" t="n">
        <v>2641038</v>
      </c>
      <c r="H5" s="11" t="n">
        <v>2056928</v>
      </c>
      <c r="I5" s="12" t="n">
        <v>2162688</v>
      </c>
      <c r="J5" s="12" t="n">
        <v>2242215</v>
      </c>
      <c r="K5" s="12" t="n">
        <v>2320091</v>
      </c>
      <c r="L5" s="12" t="n">
        <v>2424611</v>
      </c>
    </row>
    <row r="6">
      <c r="A6" s="18" t="inlineStr">
        <is>
          <t>현금및현금성자산</t>
        </is>
      </c>
      <c r="B6" s="10" t="n"/>
      <c r="C6" s="19" t="n">
        <v>280607</v>
      </c>
      <c r="D6" s="20" t="n">
        <v>348576</v>
      </c>
      <c r="E6" s="20" t="n">
        <v>236982</v>
      </c>
      <c r="F6" s="20" t="n">
        <v>264729</v>
      </c>
      <c r="G6" s="20" t="n">
        <v>223449</v>
      </c>
      <c r="H6" s="19" t="n">
        <v>259581</v>
      </c>
      <c r="I6" s="20" t="n">
        <v>283425</v>
      </c>
      <c r="J6" s="20" t="n">
        <v>269744</v>
      </c>
      <c r="K6" s="20" t="n">
        <v>295903</v>
      </c>
      <c r="L6" s="20" t="n">
        <v>236982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>
        <v>904155</v>
      </c>
      <c r="D8" s="20" t="n">
        <v>931593</v>
      </c>
      <c r="E8" s="20" t="n">
        <v>948212</v>
      </c>
      <c r="F8" s="20" t="n">
        <v>917754</v>
      </c>
      <c r="G8" s="20" t="n">
        <v>960842</v>
      </c>
      <c r="H8" s="19" t="n">
        <v>814677</v>
      </c>
      <c r="I8" s="20" t="n">
        <v>875632</v>
      </c>
      <c r="J8" s="20" t="n">
        <v>912430</v>
      </c>
      <c r="K8" s="20" t="n">
        <v>911918</v>
      </c>
      <c r="L8" s="20" t="n">
        <v>948212</v>
      </c>
    </row>
    <row r="9">
      <c r="A9" s="18" t="inlineStr">
        <is>
          <t>재고자산</t>
        </is>
      </c>
      <c r="B9" s="10" t="n"/>
      <c r="C9" s="19" t="n">
        <v>959983</v>
      </c>
      <c r="D9" s="20" t="n">
        <v>1031781</v>
      </c>
      <c r="E9" s="20" t="n">
        <v>1018148</v>
      </c>
      <c r="F9" s="20" t="n">
        <v>1139936</v>
      </c>
      <c r="G9" s="20" t="n">
        <v>1219847</v>
      </c>
      <c r="H9" s="19" t="n">
        <v>844837</v>
      </c>
      <c r="I9" s="20" t="n">
        <v>851224</v>
      </c>
      <c r="J9" s="20" t="n">
        <v>885017</v>
      </c>
      <c r="K9" s="20" t="n">
        <v>922998</v>
      </c>
      <c r="L9" s="20" t="n">
        <v>1018148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2217382</v>
      </c>
      <c r="D11" s="12" t="n">
        <v>2334691</v>
      </c>
      <c r="E11" s="12" t="n">
        <v>2399921</v>
      </c>
      <c r="F11" s="12" t="n">
        <v>2567238</v>
      </c>
      <c r="G11" s="12" t="n">
        <v>2548821</v>
      </c>
      <c r="H11" s="11" t="n">
        <v>1750462</v>
      </c>
      <c r="I11" s="12" t="n">
        <v>1850320</v>
      </c>
      <c r="J11" s="12" t="n">
        <v>2123182</v>
      </c>
      <c r="K11" s="12" t="n">
        <v>2121538</v>
      </c>
      <c r="L11" s="12" t="n">
        <v>2399921</v>
      </c>
    </row>
    <row r="12">
      <c r="A12" s="18" t="inlineStr">
        <is>
          <t>유형자산</t>
        </is>
      </c>
      <c r="B12" s="10" t="n"/>
      <c r="C12" s="19" t="n">
        <v>1152332</v>
      </c>
      <c r="D12" s="20" t="n">
        <v>1185510</v>
      </c>
      <c r="E12" s="20" t="n">
        <v>1189434</v>
      </c>
      <c r="F12" s="20" t="n">
        <v>1220026</v>
      </c>
      <c r="G12" s="20" t="n">
        <v>1228641</v>
      </c>
      <c r="H12" s="19" t="n">
        <v>1026784</v>
      </c>
      <c r="I12" s="20" t="n">
        <v>1062779</v>
      </c>
      <c r="J12" s="20" t="n">
        <v>1098151</v>
      </c>
      <c r="K12" s="20" t="n">
        <v>1121830</v>
      </c>
      <c r="L12" s="20" t="n">
        <v>1189434</v>
      </c>
    </row>
    <row r="13">
      <c r="A13" s="18" t="inlineStr">
        <is>
          <t>무형자산</t>
        </is>
      </c>
      <c r="B13" s="10" t="n"/>
      <c r="C13" s="19" t="n">
        <v>63343</v>
      </c>
      <c r="D13" s="20" t="n">
        <v>63061</v>
      </c>
      <c r="E13" s="20" t="n">
        <v>62086</v>
      </c>
      <c r="F13" s="20" t="n">
        <v>62018</v>
      </c>
      <c r="G13" s="20" t="n">
        <v>60857</v>
      </c>
      <c r="H13" s="19" t="n">
        <v>36062</v>
      </c>
      <c r="I13" s="20" t="n">
        <v>36682</v>
      </c>
      <c r="J13" s="20" t="n">
        <v>39831</v>
      </c>
      <c r="K13" s="20" t="n">
        <v>61378</v>
      </c>
      <c r="L13" s="20" t="n">
        <v>62086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4527185</v>
      </c>
      <c r="D16" s="12" t="n">
        <v>4844534</v>
      </c>
      <c r="E16" s="12" t="n">
        <v>4824532</v>
      </c>
      <c r="F16" s="12" t="n">
        <v>5143492</v>
      </c>
      <c r="G16" s="12" t="n">
        <v>5189859</v>
      </c>
      <c r="H16" s="11" t="n">
        <v>3807390</v>
      </c>
      <c r="I16" s="12" t="n">
        <v>4013008</v>
      </c>
      <c r="J16" s="12" t="n">
        <v>4365397</v>
      </c>
      <c r="K16" s="12" t="n">
        <v>4441629</v>
      </c>
      <c r="L16" s="12" t="n">
        <v>4824532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1274546</v>
      </c>
      <c r="D18" s="12" t="n">
        <v>1527182</v>
      </c>
      <c r="E18" s="12" t="n">
        <v>1347756</v>
      </c>
      <c r="F18" s="12" t="n">
        <v>1541407</v>
      </c>
      <c r="G18" s="12" t="n">
        <v>1570147</v>
      </c>
      <c r="H18" s="11" t="n">
        <v>1260094</v>
      </c>
      <c r="I18" s="12" t="n">
        <v>1399407</v>
      </c>
      <c r="J18" s="12" t="n">
        <v>1307370</v>
      </c>
      <c r="K18" s="12" t="n">
        <v>1286843</v>
      </c>
      <c r="L18" s="12" t="n">
        <v>1347756</v>
      </c>
    </row>
    <row r="19">
      <c r="A19" s="18" t="inlineStr">
        <is>
          <t>매입채무</t>
        </is>
      </c>
      <c r="B19" s="10" t="n"/>
      <c r="C19" s="19" t="n">
        <v>489613</v>
      </c>
      <c r="D19" s="20" t="n">
        <v>526578</v>
      </c>
      <c r="E19" s="20" t="n">
        <v>487654</v>
      </c>
      <c r="F19" s="20" t="n">
        <v>539072</v>
      </c>
      <c r="G19" s="20" t="n">
        <v>554919</v>
      </c>
      <c r="H19" s="19" t="n">
        <v>444985</v>
      </c>
      <c r="I19" s="20" t="n">
        <v>445951</v>
      </c>
      <c r="J19" s="20" t="n">
        <v>479831</v>
      </c>
      <c r="K19" s="20" t="n">
        <v>473834</v>
      </c>
      <c r="L19" s="20" t="n">
        <v>487654</v>
      </c>
    </row>
    <row r="20">
      <c r="A20" s="18" t="inlineStr">
        <is>
          <t>단기차입금</t>
        </is>
      </c>
      <c r="B20" s="10" t="n"/>
      <c r="C20" s="19" t="n">
        <v>198750</v>
      </c>
      <c r="D20" s="20" t="n">
        <v>368233</v>
      </c>
      <c r="E20" s="20" t="n">
        <v>210726</v>
      </c>
      <c r="F20" s="20" t="n">
        <v>328448</v>
      </c>
      <c r="G20" s="20" t="n">
        <v>281904</v>
      </c>
      <c r="H20" s="19" t="n">
        <v>482212</v>
      </c>
      <c r="I20" s="20" t="n">
        <v>601237</v>
      </c>
      <c r="J20" s="20" t="n">
        <v>385575</v>
      </c>
      <c r="K20" s="20" t="n">
        <v>314294</v>
      </c>
      <c r="L20" s="20" t="n">
        <v>210726</v>
      </c>
    </row>
    <row r="21">
      <c r="A21" s="18" t="inlineStr">
        <is>
          <t>유동성장기부채</t>
        </is>
      </c>
      <c r="B21" s="10" t="n"/>
      <c r="C21" s="19" t="n">
        <v>14993</v>
      </c>
      <c r="D21" s="20" t="n">
        <v>14995</v>
      </c>
      <c r="E21" s="20" t="n">
        <v>44997</v>
      </c>
      <c r="F21" s="20" t="n">
        <v>44999</v>
      </c>
      <c r="G21" s="20" t="n">
        <v>48000</v>
      </c>
      <c r="H21" s="19" t="n">
        <v>9996</v>
      </c>
      <c r="I21" s="20" t="n">
        <v>0</v>
      </c>
      <c r="J21" s="20" t="n">
        <v>10000</v>
      </c>
      <c r="K21" s="20" t="n">
        <v>0</v>
      </c>
      <c r="L21" s="20" t="n">
        <v>44997</v>
      </c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628219</v>
      </c>
      <c r="D23" s="12" t="n">
        <v>658130</v>
      </c>
      <c r="E23" s="12" t="n">
        <v>641777</v>
      </c>
      <c r="F23" s="12" t="n">
        <v>674388</v>
      </c>
      <c r="G23" s="12" t="n">
        <v>654459</v>
      </c>
      <c r="H23" s="11" t="n">
        <v>494358</v>
      </c>
      <c r="I23" s="12" t="n">
        <v>502782</v>
      </c>
      <c r="J23" s="12" t="n">
        <v>626139</v>
      </c>
      <c r="K23" s="12" t="n">
        <v>624349</v>
      </c>
      <c r="L23" s="12" t="n">
        <v>641777</v>
      </c>
    </row>
    <row r="24">
      <c r="A24" s="18" t="inlineStr">
        <is>
          <t>장기차입금</t>
        </is>
      </c>
      <c r="B24" s="10" t="n"/>
      <c r="C24" s="19" t="n">
        <v>168803</v>
      </c>
      <c r="D24" s="20" t="n">
        <v>168522</v>
      </c>
      <c r="E24" s="20" t="n">
        <v>171598</v>
      </c>
      <c r="F24" s="20" t="n">
        <v>170354</v>
      </c>
      <c r="G24" s="20" t="n">
        <v>185415</v>
      </c>
      <c r="H24" s="19" t="n">
        <v>222188</v>
      </c>
      <c r="I24" s="20" t="n">
        <v>195578</v>
      </c>
      <c r="J24" s="20" t="n">
        <v>164579</v>
      </c>
      <c r="K24" s="20" t="n">
        <v>166365</v>
      </c>
      <c r="L24" s="20" t="n">
        <v>171598</v>
      </c>
    </row>
    <row r="25">
      <c r="A25" s="18" t="inlineStr">
        <is>
          <t>사채</t>
        </is>
      </c>
      <c r="B25" s="10" t="n"/>
      <c r="C25" s="19" t="n">
        <v>159936</v>
      </c>
      <c r="D25" s="20" t="n">
        <v>159940</v>
      </c>
      <c r="E25" s="20" t="n">
        <v>129945</v>
      </c>
      <c r="F25" s="20" t="n">
        <v>129949</v>
      </c>
      <c r="G25" s="20" t="n">
        <v>112000</v>
      </c>
      <c r="H25" s="19" t="n">
        <v>84900</v>
      </c>
      <c r="I25" s="20" t="n">
        <v>94864</v>
      </c>
      <c r="J25" s="20" t="n">
        <v>174890</v>
      </c>
      <c r="K25" s="20" t="n">
        <v>174916</v>
      </c>
      <c r="L25" s="20" t="n">
        <v>129945</v>
      </c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1902765</v>
      </c>
      <c r="D27" s="12" t="n">
        <v>2185312</v>
      </c>
      <c r="E27" s="12" t="n">
        <v>1989533</v>
      </c>
      <c r="F27" s="12" t="n">
        <v>2215795</v>
      </c>
      <c r="G27" s="12" t="n">
        <v>2224606</v>
      </c>
      <c r="H27" s="11" t="n">
        <v>1754452</v>
      </c>
      <c r="I27" s="12" t="n">
        <v>1902189</v>
      </c>
      <c r="J27" s="12" t="n">
        <v>1933509</v>
      </c>
      <c r="K27" s="12" t="n">
        <v>1911192</v>
      </c>
      <c r="L27" s="12" t="n">
        <v>1989533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2373933</v>
      </c>
      <c r="D31" s="12" t="n">
        <v>2487340</v>
      </c>
      <c r="E31" s="12" t="n">
        <v>2743434</v>
      </c>
      <c r="F31" s="12" t="n">
        <v>2834954</v>
      </c>
      <c r="G31" s="12" t="n">
        <v>2875620</v>
      </c>
      <c r="H31" s="11" t="n">
        <v>1769788</v>
      </c>
      <c r="I31" s="12" t="n">
        <v>1899879</v>
      </c>
      <c r="J31" s="12" t="n">
        <v>2207662</v>
      </c>
      <c r="K31" s="12" t="n">
        <v>2290394</v>
      </c>
      <c r="L31" s="12" t="n">
        <v>2743434</v>
      </c>
    </row>
    <row r="32">
      <c r="A32" s="18" t="inlineStr">
        <is>
          <t>자본금</t>
        </is>
      </c>
      <c r="B32" s="10" t="n"/>
      <c r="C32" s="19" t="n">
        <v>99737</v>
      </c>
      <c r="D32" s="20" t="n">
        <v>99737</v>
      </c>
      <c r="E32" s="20" t="n">
        <v>99737</v>
      </c>
      <c r="F32" s="20" t="n">
        <v>99737</v>
      </c>
      <c r="G32" s="20" t="n">
        <v>99737</v>
      </c>
      <c r="H32" s="19" t="n">
        <v>99737</v>
      </c>
      <c r="I32" s="20" t="n">
        <v>99737</v>
      </c>
      <c r="J32" s="20" t="n">
        <v>99737</v>
      </c>
      <c r="K32" s="20" t="n">
        <v>99737</v>
      </c>
      <c r="L32" s="20" t="n">
        <v>99737</v>
      </c>
    </row>
    <row r="33">
      <c r="A33" s="18" t="inlineStr">
        <is>
          <t>이익잉여금</t>
        </is>
      </c>
      <c r="B33" s="10" t="n"/>
      <c r="C33" s="19" t="n">
        <v>1672124</v>
      </c>
      <c r="D33" s="20" t="n">
        <v>1712396</v>
      </c>
      <c r="E33" s="20" t="n">
        <v>1903632</v>
      </c>
      <c r="F33" s="20" t="n">
        <v>1888980</v>
      </c>
      <c r="G33" s="20" t="n">
        <v>1981950</v>
      </c>
      <c r="H33" s="19" t="n">
        <v>1346210</v>
      </c>
      <c r="I33" s="20" t="n">
        <v>1383046</v>
      </c>
      <c r="J33" s="20" t="n">
        <v>1493708</v>
      </c>
      <c r="K33" s="20" t="n">
        <v>1618695</v>
      </c>
      <c r="L33" s="20" t="n">
        <v>1903632</v>
      </c>
    </row>
    <row r="34">
      <c r="A34" s="18" t="inlineStr">
        <is>
          <t>비지배지분</t>
        </is>
      </c>
      <c r="B34" s="10" t="n"/>
      <c r="C34" s="19" t="n">
        <v>250487</v>
      </c>
      <c r="D34" s="20" t="n">
        <v>171882</v>
      </c>
      <c r="E34" s="20" t="n">
        <v>91565</v>
      </c>
      <c r="F34" s="20" t="n">
        <v>92743</v>
      </c>
      <c r="G34" s="20" t="n">
        <v>89633</v>
      </c>
      <c r="H34" s="19" t="n">
        <v>283150</v>
      </c>
      <c r="I34" s="20" t="n">
        <v>210940</v>
      </c>
      <c r="J34" s="20" t="n">
        <v>224226</v>
      </c>
      <c r="K34" s="20" t="n">
        <v>240043</v>
      </c>
      <c r="L34" s="20" t="n">
        <v>91565</v>
      </c>
    </row>
    <row r="35">
      <c r="A35" s="9" t="inlineStr">
        <is>
          <t>자본총계</t>
        </is>
      </c>
      <c r="B35" s="10" t="n"/>
      <c r="C35" s="11" t="n">
        <v>2624420</v>
      </c>
      <c r="D35" s="12" t="n">
        <v>2659222</v>
      </c>
      <c r="E35" s="12" t="n">
        <v>2834999</v>
      </c>
      <c r="F35" s="12" t="n">
        <v>2927697</v>
      </c>
      <c r="G35" s="12" t="n">
        <v>2965253</v>
      </c>
      <c r="H35" s="11" t="n">
        <v>2052938</v>
      </c>
      <c r="I35" s="12" t="n">
        <v>2110819</v>
      </c>
      <c r="J35" s="12" t="n">
        <v>2431888</v>
      </c>
      <c r="K35" s="12" t="n">
        <v>2530437</v>
      </c>
      <c r="L35" s="12" t="n">
        <v>2834999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>
        <v>497876</v>
      </c>
      <c r="D37" s="12" t="n"/>
      <c r="E37" s="12" t="n">
        <v>425192</v>
      </c>
      <c r="F37" s="12" t="n"/>
      <c r="G37" s="12" t="n">
        <v>312642</v>
      </c>
      <c r="H37" s="11" t="n">
        <v>76002</v>
      </c>
      <c r="I37" s="12" t="n">
        <v>265191</v>
      </c>
      <c r="J37" s="12" t="n">
        <v>393465</v>
      </c>
      <c r="K37" s="12" t="n">
        <v>402253</v>
      </c>
      <c r="L37" s="12" t="n">
        <v>425192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>
        <v>217555</v>
      </c>
      <c r="D38" s="20" t="n"/>
      <c r="E38" s="20" t="n">
        <v>222228</v>
      </c>
      <c r="F38" s="20" t="n"/>
      <c r="G38" s="20" t="n">
        <v>236214</v>
      </c>
      <c r="H38" s="19" t="n">
        <v>174059</v>
      </c>
      <c r="I38" s="20" t="n">
        <v>184467</v>
      </c>
      <c r="J38" s="20" t="n">
        <v>179323</v>
      </c>
      <c r="K38" s="20" t="n">
        <v>199824</v>
      </c>
      <c r="L38" s="20" t="n">
        <v>222228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>
        <v>75666</v>
      </c>
      <c r="D40" s="20" t="n"/>
      <c r="E40" s="20" t="n">
        <v>86588</v>
      </c>
      <c r="F40" s="20" t="n"/>
      <c r="G40" s="20" t="n">
        <v>120131</v>
      </c>
      <c r="H40" s="19" t="n">
        <v>31983</v>
      </c>
      <c r="I40" s="20" t="n">
        <v>39004</v>
      </c>
      <c r="J40" s="20" t="n">
        <v>39004</v>
      </c>
      <c r="K40" s="20" t="n">
        <v>68646</v>
      </c>
      <c r="L40" s="20" t="n">
        <v>86588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IFERROR((IF(COUNT('연간'!G31:J31)&lt;4,"",SUM('연간'!G31:J31)))/(IF(COUNT('연간'!G53:J53)&lt;4,"",SUM('연간'!G53:J53))),"")</f>
        <v/>
      </c>
      <c r="D48" s="31">
        <f>IFERROR((IF(COUNT('연간'!H31:K31)&lt;4,"",SUM('연간'!H31:K31)))/(IF(COUNT('연간'!H53:K53)&lt;4,"",SUM('연간'!H53:K53))),"")</f>
        <v/>
      </c>
      <c r="E48" s="31">
        <f>IFERROR((IF(COUNT('연간'!I31:L31)&lt;4,"",SUM('연간'!I31:L31)))/(IF(COUNT('연간'!I53:L53)&lt;4,"",SUM('연간'!I53:L53))),"")</f>
        <v/>
      </c>
      <c r="F48" s="31">
        <f>IFERROR((IF(COUNT('연간'!J31:M31)&lt;4,"",SUM('연간'!J31:M31)))/(IF(COUNT('연간'!J53:M53)&lt;4,"",SUM('연간'!J53:M53))),"")</f>
        <v/>
      </c>
      <c r="G48" s="31">
        <f>IFERROR((IF(COUNT('연간'!K31:N31)&lt;4,"",SUM('연간'!K31:N31)))/(IF(COUNT('연간'!K53:N53)&lt;4,"",SUM('연간'!K53:N53))),"")</f>
        <v/>
      </c>
      <c r="H48" s="30">
        <f>IFERROR(('연간'!T31)/('연간'!T53),"")</f>
        <v/>
      </c>
      <c r="I48" s="31">
        <f>IFERROR(('연간'!U31)/('연간'!U53),"")</f>
        <v/>
      </c>
      <c r="J48" s="31">
        <f>IFERROR(('연간'!V31)/('연간'!V53),"")</f>
        <v/>
      </c>
      <c r="K48" s="31">
        <f>IFERROR(('연간'!W31)/('연간'!W53),"")</f>
        <v/>
      </c>
      <c r="L48" s="31">
        <f>IFERROR(('연간'!X31)/('연간'!X53),"")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IFERROR(IF((IF(COUNT('연간'!G61:J61)&lt;4,"",SUM('연간'!G61:J61)))&lt;=0,"적자",C28/(IF(COUNT('연간'!G61:J61)&lt;4,"",SUM('연간'!G61:J61)))),"")</f>
        <v/>
      </c>
      <c r="D49" s="47">
        <f>IFERROR(IF((IF(COUNT('연간'!H61:K61)&lt;4,"",SUM('연간'!H61:K61)))&lt;=0,"적자",D28/(IF(COUNT('연간'!H61:K61)&lt;4,"",SUM('연간'!H61:K61)))),"")</f>
        <v/>
      </c>
      <c r="E49" s="47">
        <f>IFERROR(IF((IF(COUNT('연간'!I61:L61)&lt;4,"",SUM('연간'!I61:L61)))&lt;=0,"적자",E28/(IF(COUNT('연간'!I61:L61)&lt;4,"",SUM('연간'!I61:L61)))),"")</f>
        <v/>
      </c>
      <c r="F49" s="47">
        <f>IFERROR(IF((IF(COUNT('연간'!J61:M61)&lt;4,"",SUM('연간'!J61:M61)))&lt;=0,"적자",F28/(IF(COUNT('연간'!J61:M61)&lt;4,"",SUM('연간'!J61:M61)))),"")</f>
        <v/>
      </c>
      <c r="G49" s="47">
        <f>IFERROR(IF((IF(COUNT('연간'!K61:N61)&lt;4,"",SUM('연간'!K61:N61)))&lt;=0,"적자",G28/(IF(COUNT('연간'!K61:N61)&lt;4,"",SUM('연간'!K61:N61)))),"")</f>
        <v/>
      </c>
      <c r="H49" s="46">
        <f>IFERROR(IF(('연간'!T61)&lt;=0,"적자",H28/('연간'!T61)),"")</f>
        <v/>
      </c>
      <c r="I49" s="47">
        <f>IFERROR(IF(('연간'!U61)&lt;=0,"적자",I28/('연간'!U61)),"")</f>
        <v/>
      </c>
      <c r="J49" s="47">
        <f>IFERROR(IF(('연간'!V61)&lt;=0,"적자",J28/('연간'!V61)),"")</f>
        <v/>
      </c>
      <c r="K49" s="47">
        <f>IFERROR(IF(('연간'!W61)&lt;=0,"적자",K28/('연간'!W61)),"")</f>
        <v/>
      </c>
      <c r="L49" s="47">
        <f>IFERROR(IF(('연간'!X61)&lt;=0,"적자",L28/('연간'!X61)),"")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IFERROR((IF(COUNT('연간'!G61:J61)&lt;4,"",SUM('연간'!G61:J61)))/C31,"")</f>
        <v/>
      </c>
      <c r="D51" s="36">
        <f>IFERROR((IF(COUNT('연간'!H61:K61)&lt;4,"",SUM('연간'!H61:K61)))/D31,"")</f>
        <v/>
      </c>
      <c r="E51" s="36">
        <f>IFERROR((IF(COUNT('연간'!I61:L61)&lt;4,"",SUM('연간'!I61:L61)))/E31,"")</f>
        <v/>
      </c>
      <c r="F51" s="36">
        <f>IFERROR((IF(COUNT('연간'!J61:M61)&lt;4,"",SUM('연간'!J61:M61)))/F31,"")</f>
        <v/>
      </c>
      <c r="G51" s="36">
        <f>IFERROR((IF(COUNT('연간'!K61:N61)&lt;4,"",SUM('연간'!K61:N61)))/G31,"")</f>
        <v/>
      </c>
      <c r="H51" s="35">
        <f>IFERROR(('연간'!T61)/H31,"")</f>
        <v/>
      </c>
      <c r="I51" s="36">
        <f>IFERROR(('연간'!U61)/I31,"")</f>
        <v/>
      </c>
      <c r="J51" s="36">
        <f>IFERROR(('연간'!V61)/J31,"")</f>
        <v/>
      </c>
      <c r="K51" s="36">
        <f>IFERROR(('연간'!W61)/K31,"")</f>
        <v/>
      </c>
      <c r="L51" s="36">
        <f>IFERROR(('연간'!X61)/L31,"")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IFERROR((IF(COUNT('연간'!G59:J59)&lt;4,"",SUM('연간'!G59:J59)))/C16,"")</f>
        <v/>
      </c>
      <c r="D52" s="36">
        <f>IFERROR((IF(COUNT('연간'!H59:K59)&lt;4,"",SUM('연간'!H59:K59)))/D16,"")</f>
        <v/>
      </c>
      <c r="E52" s="36">
        <f>IFERROR((IF(COUNT('연간'!I59:L59)&lt;4,"",SUM('연간'!I59:L59)))/E16,"")</f>
        <v/>
      </c>
      <c r="F52" s="36">
        <f>IFERROR((IF(COUNT('연간'!J59:M59)&lt;4,"",SUM('연간'!J59:M59)))/F16,"")</f>
        <v/>
      </c>
      <c r="G52" s="36">
        <f>IFERROR((IF(COUNT('연간'!K59:N59)&lt;4,"",SUM('연간'!K59:N59)))/G16,"")</f>
        <v/>
      </c>
      <c r="H52" s="35">
        <f>IFERROR(('연간'!T59)/H16,"")</f>
        <v/>
      </c>
      <c r="I52" s="36">
        <f>IFERROR(('연간'!U59)/I16,"")</f>
        <v/>
      </c>
      <c r="J52" s="36">
        <f>IFERROR(('연간'!V59)/J16,"")</f>
        <v/>
      </c>
      <c r="K52" s="36">
        <f>IFERROR(('연간'!W59)/K16,"")</f>
        <v/>
      </c>
      <c r="L52" s="36">
        <f>IFERROR(('연간'!X59)/L16,"")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IFERROR((IF(COUNT('연간'!G31:J31)&lt;4,"",SUM('연간'!G31:J31)))*(1-0.3)/(C35+C29),"")</f>
        <v/>
      </c>
      <c r="D53" s="36">
        <f>IFERROR((IF(COUNT('연간'!H31:K31)&lt;4,"",SUM('연간'!H31:K31)))*(1-0.3)/(D35+D29),"")</f>
        <v/>
      </c>
      <c r="E53" s="36">
        <f>IFERROR((IF(COUNT('연간'!I31:L31)&lt;4,"",SUM('연간'!I31:L31)))*(1-0.3)/(E35+E29),"")</f>
        <v/>
      </c>
      <c r="F53" s="36">
        <f>IFERROR((IF(COUNT('연간'!J31:M31)&lt;4,"",SUM('연간'!J31:M31)))*(1-0.3)/(F35+F29),"")</f>
        <v/>
      </c>
      <c r="G53" s="36">
        <f>IFERROR((IF(COUNT('연간'!K31:N31)&lt;4,"",SUM('연간'!K31:N31)))*(1-0.3)/(G35+G29),"")</f>
        <v/>
      </c>
      <c r="H53" s="35">
        <f>IFERROR(('연간'!T31)*(1-0.3)/(H35+H29),"")</f>
        <v/>
      </c>
      <c r="I53" s="36">
        <f>IFERROR(('연간'!U31)*(1-0.3)/(I35+I29),"")</f>
        <v/>
      </c>
      <c r="J53" s="36">
        <f>IFERROR(('연간'!V31)*(1-0.3)/(J35+J29),"")</f>
        <v/>
      </c>
      <c r="K53" s="36">
        <f>IFERROR(('연간'!W31)*(1-0.3)/(K35+K29),"")</f>
        <v/>
      </c>
      <c r="L53" s="36">
        <f>IFERROR(('연간'!X31)*(1-0.3)/(L35+L29),"")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IFERROR((IF(COUNT('연간'!G25:J25)&lt;4,"",SUM('연간'!G25:J25)))/(IF(COUNT('연간'!G4:J4)&lt;4,"",SUM('연간'!G4:J4))),"")</f>
        <v/>
      </c>
      <c r="D54" s="36">
        <f>IFERROR((IF(COUNT('연간'!H25:K25)&lt;4,"",SUM('연간'!H25:K25)))/(IF(COUNT('연간'!H4:K4)&lt;4,"",SUM('연간'!H4:K4))),"")</f>
        <v/>
      </c>
      <c r="E54" s="36">
        <f>IFERROR((IF(COUNT('연간'!I25:L25)&lt;4,"",SUM('연간'!I25:L25)))/(IF(COUNT('연간'!I4:L4)&lt;4,"",SUM('연간'!I4:L4))),"")</f>
        <v/>
      </c>
      <c r="F54" s="36">
        <f>IFERROR((IF(COUNT('연간'!J25:M25)&lt;4,"",SUM('연간'!J25:M25)))/(IF(COUNT('연간'!J4:M4)&lt;4,"",SUM('연간'!J4:M4))),"")</f>
        <v/>
      </c>
      <c r="G54" s="36">
        <f>IFERROR((IF(COUNT('연간'!K25:N25)&lt;4,"",SUM('연간'!K25:N25)))/(IF(COUNT('연간'!K4:N4)&lt;4,"",SUM('연간'!K4:N4))),"")</f>
        <v/>
      </c>
      <c r="H54" s="35">
        <f>IFERROR(('연간'!T25)/('연간'!T4),"")</f>
        <v/>
      </c>
      <c r="I54" s="36">
        <f>IFERROR(('연간'!U25)/('연간'!U4),"")</f>
        <v/>
      </c>
      <c r="J54" s="36">
        <f>IFERROR(('연간'!V25)/('연간'!V4),"")</f>
        <v/>
      </c>
      <c r="K54" s="36">
        <f>IFERROR(('연간'!W25)/('연간'!W4),"")</f>
        <v/>
      </c>
      <c r="L54" s="36">
        <f>IFERROR(('연간'!X25)/('연간'!X4),"")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IFERROR((IF(COUNT('연간'!G31:J31)&lt;4,"",SUM('연간'!G31:J31)))/(IF(COUNT('연간'!G4:J4)&lt;4,"",SUM('연간'!G4:J4))),"")</f>
        <v/>
      </c>
      <c r="D55" s="36">
        <f>IFERROR((IF(COUNT('연간'!H31:K31)&lt;4,"",SUM('연간'!H31:K31)))/(IF(COUNT('연간'!H4:K4)&lt;4,"",SUM('연간'!H4:K4))),"")</f>
        <v/>
      </c>
      <c r="E55" s="36">
        <f>IFERROR((IF(COUNT('연간'!I31:L31)&lt;4,"",SUM('연간'!I31:L31)))/(IF(COUNT('연간'!I4:L4)&lt;4,"",SUM('연간'!I4:L4))),"")</f>
        <v/>
      </c>
      <c r="F55" s="36">
        <f>IFERROR((IF(COUNT('연간'!J31:M31)&lt;4,"",SUM('연간'!J31:M31)))/(IF(COUNT('연간'!J4:M4)&lt;4,"",SUM('연간'!J4:M4))),"")</f>
        <v/>
      </c>
      <c r="G55" s="36">
        <f>IFERROR((IF(COUNT('연간'!K31:N31)&lt;4,"",SUM('연간'!K31:N31)))/(IF(COUNT('연간'!K4:N4)&lt;4,"",SUM('연간'!K4:N4))),"")</f>
        <v/>
      </c>
      <c r="H55" s="35">
        <f>IFERROR(('연간'!T31)/('연간'!T4),"")</f>
        <v/>
      </c>
      <c r="I55" s="36">
        <f>IFERROR(('연간'!U31)/('연간'!U4),"")</f>
        <v/>
      </c>
      <c r="J55" s="36">
        <f>IFERROR(('연간'!V31)/('연간'!V4),"")</f>
        <v/>
      </c>
      <c r="K55" s="36">
        <f>IFERROR(('연간'!W31)/('연간'!W4),"")</f>
        <v/>
      </c>
      <c r="L55" s="36">
        <f>IFERROR(('연간'!X31)/('연간'!X4),"")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IFERROR((IF(COUNT('연간'!G59:J59)&lt;4,"",SUM('연간'!G59:J59)))/(IF(COUNT('연간'!G4:J4)&lt;4,"",SUM('연간'!G4:J4))),"")</f>
        <v/>
      </c>
      <c r="D56" s="36">
        <f>IFERROR((IF(COUNT('연간'!H59:K59)&lt;4,"",SUM('연간'!H59:K59)))/(IF(COUNT('연간'!H4:K4)&lt;4,"",SUM('연간'!H4:K4))),"")</f>
        <v/>
      </c>
      <c r="E56" s="36">
        <f>IFERROR((IF(COUNT('연간'!I59:L59)&lt;4,"",SUM('연간'!I59:L59)))/(IF(COUNT('연간'!I4:L4)&lt;4,"",SUM('연간'!I4:L4))),"")</f>
        <v/>
      </c>
      <c r="F56" s="36">
        <f>IFERROR((IF(COUNT('연간'!J59:M59)&lt;4,"",SUM('연간'!J59:M59)))/(IF(COUNT('연간'!J4:M4)&lt;4,"",SUM('연간'!J4:M4))),"")</f>
        <v/>
      </c>
      <c r="G56" s="36">
        <f>IFERROR((IF(COUNT('연간'!K59:N59)&lt;4,"",SUM('연간'!K59:N59)))/(IF(COUNT('연간'!K4:N4)&lt;4,"",SUM('연간'!K4:N4))),"")</f>
        <v/>
      </c>
      <c r="H56" s="35">
        <f>IFERROR(('연간'!T59)/('연간'!T4),"")</f>
        <v/>
      </c>
      <c r="I56" s="36">
        <f>IFERROR(('연간'!U59)/('연간'!U4),"")</f>
        <v/>
      </c>
      <c r="J56" s="36">
        <f>IFERROR(('연간'!V59)/('연간'!V4),"")</f>
        <v/>
      </c>
      <c r="K56" s="36">
        <f>IFERROR(('연간'!W59)/('연간'!W4),"")</f>
        <v/>
      </c>
      <c r="L56" s="36">
        <f>IFERROR(('연간'!X59)/('연간'!X4),"")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IFERROR(C9/(IF(COUNT('연간'!G23:J23)&lt;4,"",SUM('연간'!G23:J23)))*365,"")</f>
        <v/>
      </c>
      <c r="D60" s="49">
        <f>IFERROR(D9/(IF(COUNT('연간'!H23:K23)&lt;4,"",SUM('연간'!H23:K23)))*365,"")</f>
        <v/>
      </c>
      <c r="E60" s="49">
        <f>IFERROR(E9/(IF(COUNT('연간'!I23:L23)&lt;4,"",SUM('연간'!I23:L23)))*365,"")</f>
        <v/>
      </c>
      <c r="F60" s="49">
        <f>IFERROR(F9/(IF(COUNT('연간'!J23:M23)&lt;4,"",SUM('연간'!J23:M23)))*365,"")</f>
        <v/>
      </c>
      <c r="G60" s="49">
        <f>IFERROR(G9/(IF(COUNT('연간'!K23:N23)&lt;4,"",SUM('연간'!K23:N23)))*365,"")</f>
        <v/>
      </c>
      <c r="H60" s="48">
        <f>IFERROR(H9/('연간'!T23)*365,"")</f>
        <v/>
      </c>
      <c r="I60" s="49">
        <f>IFERROR(I9/('연간'!U23)*365,"")</f>
        <v/>
      </c>
      <c r="J60" s="49">
        <f>IFERROR(J9/('연간'!V23)*365,"")</f>
        <v/>
      </c>
      <c r="K60" s="49">
        <f>IFERROR(K9/('연간'!W23)*365,"")</f>
        <v/>
      </c>
      <c r="L60" s="49">
        <f>IFERROR(L9/('연간'!X23)*365,"")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IFERROR(C19/(IF(COUNT('연간'!G23:J23)&lt;4,"",SUM('연간'!G23:J23)))*365,"")</f>
        <v/>
      </c>
      <c r="D61" s="49">
        <f>IFERROR(D19/(IF(COUNT('연간'!H23:K23)&lt;4,"",SUM('연간'!H23:K23)))*365,"")</f>
        <v/>
      </c>
      <c r="E61" s="49">
        <f>IFERROR(E19/(IF(COUNT('연간'!I23:L23)&lt;4,"",SUM('연간'!I23:L23)))*365,"")</f>
        <v/>
      </c>
      <c r="F61" s="49">
        <f>IFERROR(F19/(IF(COUNT('연간'!J23:M23)&lt;4,"",SUM('연간'!J23:M23)))*365,"")</f>
        <v/>
      </c>
      <c r="G61" s="49">
        <f>IFERROR(G19/(IF(COUNT('연간'!K23:N23)&lt;4,"",SUM('연간'!K23:N23)))*365,"")</f>
        <v/>
      </c>
      <c r="H61" s="48">
        <f>IFERROR(H19/('연간'!T23)*365,"")</f>
        <v/>
      </c>
      <c r="I61" s="49">
        <f>IFERROR(I19/('연간'!U23)*365,"")</f>
        <v/>
      </c>
      <c r="J61" s="49">
        <f>IFERROR(J19/('연간'!V23)*365,"")</f>
        <v/>
      </c>
      <c r="K61" s="49">
        <f>IFERROR(K19/('연간'!W23)*365,"")</f>
        <v/>
      </c>
      <c r="L61" s="49">
        <f>IFERROR(L19/('연간'!X23)*365,"")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IF(C37="","",IFERROR(C37/(IF(COUNT('연간'!G59:J59)&lt;4,"",SUM('연간'!G59:J59))),""))</f>
        <v/>
      </c>
      <c r="D64" s="31">
        <f>IF(D37="","",IFERROR(D37/(IF(COUNT('연간'!H59:K59)&lt;4,"",SUM('연간'!H59:K59))),""))</f>
        <v/>
      </c>
      <c r="E64" s="31">
        <f>IF(E37="","",IFERROR(E37/(IF(COUNT('연간'!I59:L59)&lt;4,"",SUM('연간'!I59:L59))),""))</f>
        <v/>
      </c>
      <c r="F64" s="31">
        <f>IF(F37="","",IFERROR(F37/(IF(COUNT('연간'!J59:M59)&lt;4,"",SUM('연간'!J59:M59))),""))</f>
        <v/>
      </c>
      <c r="G64" s="31">
        <f>IF(G37="","",IFERROR(G37/(IF(COUNT('연간'!K59:N59)&lt;4,"",SUM('연간'!K59:N59))),""))</f>
        <v/>
      </c>
      <c r="H64" s="30">
        <f>IF(H37="","",IFERROR(H37/('연간'!T59),""))</f>
        <v/>
      </c>
      <c r="I64" s="31">
        <f>IF(I37="","",IFERROR(I37/('연간'!U59),""))</f>
        <v/>
      </c>
      <c r="J64" s="31">
        <f>IF(J37="","",IFERROR(J37/('연간'!V59),""))</f>
        <v/>
      </c>
      <c r="K64" s="31">
        <f>IF(K37="","",IFERROR(K37/('연간'!W59),""))</f>
        <v/>
      </c>
      <c r="L64" s="31">
        <f>IF(L37="","",IFERROR(L37/('연간'!X59),""))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IF(C40="","",IFERROR(C40/(IF(COUNT('연간'!G61:J61)&lt;4,"",SUM('연간'!G61:J61))),""))</f>
        <v/>
      </c>
      <c r="D67" s="36">
        <f>IF(D40="","",IFERROR(D40/(IF(COUNT('연간'!H61:K61)&lt;4,"",SUM('연간'!H61:K61))),""))</f>
        <v/>
      </c>
      <c r="E67" s="36">
        <f>IF(E40="","",IFERROR(E40/(IF(COUNT('연간'!I61:L61)&lt;4,"",SUM('연간'!I61:L61))),""))</f>
        <v/>
      </c>
      <c r="F67" s="36">
        <f>IF(F40="","",IFERROR(F40/(IF(COUNT('연간'!J61:M61)&lt;4,"",SUM('연간'!J61:M61))),""))</f>
        <v/>
      </c>
      <c r="G67" s="36">
        <f>IF(G40="","",IFERROR(G40/(IF(COUNT('연간'!K61:N61)&lt;4,"",SUM('연간'!K61:N61))),""))</f>
        <v/>
      </c>
      <c r="H67" s="35">
        <f>IF(H40="","",IFERROR(H40/('연간'!T61),""))</f>
        <v/>
      </c>
      <c r="I67" s="36">
        <f>IF(I40="","",IFERROR(I40/('연간'!U61),""))</f>
        <v/>
      </c>
      <c r="J67" s="36">
        <f>IF(J40="","",IFERROR(J40/('연간'!V61),""))</f>
        <v/>
      </c>
      <c r="K67" s="36">
        <f>IF(K40="","",IFERROR(K40/('연간'!W61),""))</f>
        <v/>
      </c>
      <c r="L67" s="36">
        <f>IF(L40="","",IFERROR(L40/('연간'!X61),""))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2026.2Q</t>
        </is>
      </c>
      <c r="D70" s="5" t="inlineStr">
        <is>
          <t>2026.3Q</t>
        </is>
      </c>
      <c r="E70" s="5" t="inlineStr">
        <is>
          <t>2026.4Q</t>
        </is>
      </c>
      <c r="F70" s="5" t="inlineStr">
        <is>
          <t>2027.1Q</t>
        </is>
      </c>
      <c r="G70" s="5" t="inlineStr">
        <is>
          <t>2027.2Q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280607</v>
      </c>
      <c r="D71" s="20" t="n">
        <v>348576</v>
      </c>
      <c r="E71" s="20" t="n">
        <v>236982</v>
      </c>
      <c r="F71" s="20" t="n">
        <v>264729</v>
      </c>
      <c r="G71" s="20" t="n">
        <v>223449</v>
      </c>
      <c r="H71" s="20" t="n">
        <v>259581</v>
      </c>
      <c r="I71" s="20" t="n">
        <v>283425</v>
      </c>
      <c r="J71" s="20" t="n">
        <v>269744</v>
      </c>
      <c r="K71" s="20" t="n">
        <v>295903</v>
      </c>
      <c r="L71" s="20" t="n">
        <v>236982</v>
      </c>
    </row>
    <row r="72">
      <c r="A72" s="18" t="inlineStr">
        <is>
          <t>받을어음·매출채권</t>
        </is>
      </c>
      <c r="E72" s="20" t="n">
        <v>932945</v>
      </c>
      <c r="H72" s="20" t="n">
        <v>784647</v>
      </c>
      <c r="I72" s="20" t="n">
        <v>842794</v>
      </c>
      <c r="J72" s="20" t="n">
        <v>875933</v>
      </c>
      <c r="K72" s="20" t="n">
        <v>880451</v>
      </c>
      <c r="L72" s="20" t="n">
        <v>932945</v>
      </c>
    </row>
    <row r="73">
      <c r="A73" s="18" t="inlineStr">
        <is>
          <t>계약자산</t>
        </is>
      </c>
      <c r="E73" s="20" t="n">
        <v>15267</v>
      </c>
      <c r="H73" s="20" t="n">
        <v>30030</v>
      </c>
      <c r="I73" s="20" t="n">
        <v>32838</v>
      </c>
      <c r="J73" s="20" t="n">
        <v>36497</v>
      </c>
      <c r="K73" s="20" t="n">
        <v>31467</v>
      </c>
      <c r="L73" s="20" t="n">
        <v>15267</v>
      </c>
    </row>
    <row r="74">
      <c r="A74" s="18" t="inlineStr">
        <is>
          <t>받을어음·매출채권·계약자산</t>
        </is>
      </c>
      <c r="C74" s="20" t="n">
        <v>904155</v>
      </c>
      <c r="D74" s="20" t="n">
        <v>931593</v>
      </c>
      <c r="E74" s="20" t="n">
        <v>948212</v>
      </c>
      <c r="F74" s="20" t="n">
        <v>917754</v>
      </c>
      <c r="G74" s="20" t="n">
        <v>960842</v>
      </c>
      <c r="H74" s="20" t="n">
        <v>814677</v>
      </c>
      <c r="I74" s="20" t="n">
        <v>875632</v>
      </c>
      <c r="J74" s="20" t="n">
        <v>912430</v>
      </c>
      <c r="K74" s="20" t="n">
        <v>911918</v>
      </c>
      <c r="L74" s="20" t="n">
        <v>948212</v>
      </c>
    </row>
    <row r="75">
      <c r="A75" s="18" t="inlineStr">
        <is>
          <t>재고자산</t>
        </is>
      </c>
      <c r="C75" s="20" t="n">
        <v>959983</v>
      </c>
      <c r="D75" s="20" t="n">
        <v>1031781</v>
      </c>
      <c r="E75" s="20" t="n">
        <v>1018148</v>
      </c>
      <c r="F75" s="20" t="n">
        <v>1139936</v>
      </c>
      <c r="G75" s="20" t="n">
        <v>1219847</v>
      </c>
      <c r="H75" s="20" t="n">
        <v>844837</v>
      </c>
      <c r="I75" s="20" t="n">
        <v>851224</v>
      </c>
      <c r="J75" s="20" t="n">
        <v>885017</v>
      </c>
      <c r="K75" s="20" t="n">
        <v>922998</v>
      </c>
      <c r="L75" s="20" t="n">
        <v>1018148</v>
      </c>
    </row>
    <row r="76">
      <c r="A76" s="18" t="inlineStr">
        <is>
          <t>기타</t>
        </is>
      </c>
      <c r="C76" s="20" t="n">
        <v>176729</v>
      </c>
      <c r="D76" s="20" t="n">
        <v>202133</v>
      </c>
      <c r="E76" s="20" t="n">
        <v>225322</v>
      </c>
      <c r="F76" s="20" t="n">
        <v>257229</v>
      </c>
      <c r="G76" s="20" t="n">
        <v>240058</v>
      </c>
      <c r="H76" s="20" t="n">
        <v>140152</v>
      </c>
      <c r="I76" s="20" t="n">
        <v>154802</v>
      </c>
      <c r="J76" s="20" t="n">
        <v>186414</v>
      </c>
      <c r="K76" s="20" t="n">
        <v>200556</v>
      </c>
      <c r="L76" s="20" t="n">
        <v>225322</v>
      </c>
    </row>
    <row r="77">
      <c r="A77" s="18" t="inlineStr">
        <is>
          <t>대손충당금</t>
        </is>
      </c>
      <c r="C77" s="20" t="n">
        <v>-11671</v>
      </c>
      <c r="D77" s="20" t="n">
        <v>-4240</v>
      </c>
      <c r="E77" s="20" t="n">
        <v>-4053</v>
      </c>
      <c r="F77" s="20" t="n">
        <v>-3394</v>
      </c>
      <c r="G77" s="20" t="n">
        <v>-3158</v>
      </c>
      <c r="H77" s="20" t="n">
        <v>-2319</v>
      </c>
      <c r="I77" s="20" t="n">
        <v>-2395</v>
      </c>
      <c r="J77" s="20" t="n">
        <v>-11390</v>
      </c>
      <c r="K77" s="20" t="n">
        <v>-11284</v>
      </c>
      <c r="L77" s="20" t="n">
        <v>-4053</v>
      </c>
    </row>
    <row r="78">
      <c r="A78" s="9" t="inlineStr">
        <is>
          <t>유동자산 합계</t>
        </is>
      </c>
      <c r="C78" s="12" t="n">
        <v>2309803</v>
      </c>
      <c r="D78" s="12" t="n">
        <v>2509843</v>
      </c>
      <c r="E78" s="12" t="n">
        <v>2424611</v>
      </c>
      <c r="F78" s="12" t="n">
        <v>2576254</v>
      </c>
      <c r="G78" s="12" t="n">
        <v>2641038</v>
      </c>
      <c r="H78" s="12" t="n">
        <v>2056928</v>
      </c>
      <c r="I78" s="12" t="n">
        <v>2162688</v>
      </c>
      <c r="J78" s="12" t="n">
        <v>2242215</v>
      </c>
      <c r="K78" s="12" t="n">
        <v>2320091</v>
      </c>
      <c r="L78" s="12" t="n">
        <v>2424611</v>
      </c>
    </row>
    <row r="79">
      <c r="A79" s="18" t="inlineStr">
        <is>
          <t>건물·구축물(순액)</t>
        </is>
      </c>
      <c r="C79" s="20" t="n">
        <v>325196</v>
      </c>
      <c r="D79" s="20" t="n">
        <v>328401</v>
      </c>
      <c r="E79" s="20" t="n">
        <v>327022</v>
      </c>
      <c r="F79" s="20" t="n">
        <v>333789</v>
      </c>
      <c r="G79" s="20" t="n">
        <v>334790</v>
      </c>
      <c r="H79" s="20" t="n">
        <v>305414</v>
      </c>
      <c r="I79" s="20" t="n">
        <v>319613</v>
      </c>
      <c r="J79" s="20" t="n">
        <v>323798</v>
      </c>
      <c r="K79" s="20" t="n">
        <v>323388</v>
      </c>
      <c r="L79" s="20" t="n">
        <v>327022</v>
      </c>
    </row>
    <row r="80">
      <c r="A80" s="18" t="inlineStr">
        <is>
          <t>기계장치·운반구(순액)</t>
        </is>
      </c>
      <c r="C80" s="20" t="n">
        <v>455553</v>
      </c>
      <c r="D80" s="20" t="n">
        <v>470940</v>
      </c>
      <c r="E80" s="20" t="n">
        <v>473442</v>
      </c>
      <c r="F80" s="20" t="n">
        <v>476873</v>
      </c>
      <c r="G80" s="20" t="n">
        <v>472219</v>
      </c>
      <c r="H80" s="20" t="n">
        <v>444397</v>
      </c>
      <c r="I80" s="20" t="n">
        <v>446390</v>
      </c>
      <c r="J80" s="20" t="n">
        <v>460343</v>
      </c>
      <c r="K80" s="20" t="n">
        <v>436926</v>
      </c>
      <c r="L80" s="20" t="n">
        <v>473442</v>
      </c>
    </row>
    <row r="81">
      <c r="A81" s="18" t="inlineStr">
        <is>
          <t>토지</t>
        </is>
      </c>
      <c r="E81" s="20" t="n">
        <v>100359</v>
      </c>
      <c r="H81" s="20" t="n">
        <v>98637</v>
      </c>
      <c r="I81" s="20" t="n">
        <v>99932</v>
      </c>
      <c r="J81" s="20" t="n">
        <v>101934</v>
      </c>
      <c r="K81" s="20" t="n">
        <v>102945</v>
      </c>
      <c r="L81" s="20" t="n">
        <v>100359</v>
      </c>
    </row>
    <row r="82">
      <c r="A82" s="18" t="inlineStr">
        <is>
          <t>건설중인자산</t>
        </is>
      </c>
      <c r="E82" s="20" t="n">
        <v>122029</v>
      </c>
      <c r="H82" s="20" t="n">
        <v>64054</v>
      </c>
      <c r="I82" s="20" t="n">
        <v>73273</v>
      </c>
      <c r="J82" s="20" t="n">
        <v>75835</v>
      </c>
      <c r="K82" s="20" t="n">
        <v>96826</v>
      </c>
      <c r="L82" s="20" t="n">
        <v>122029</v>
      </c>
    </row>
    <row r="83">
      <c r="A83" s="18" t="inlineStr">
        <is>
          <t>공구·기구·비품(순액)</t>
        </is>
      </c>
      <c r="C83" s="20" t="n">
        <v>68334</v>
      </c>
      <c r="D83" s="20" t="n">
        <v>71213</v>
      </c>
      <c r="E83" s="20" t="n">
        <v>70199</v>
      </c>
      <c r="F83" s="20" t="n">
        <v>71959</v>
      </c>
      <c r="G83" s="20" t="n">
        <v>73039</v>
      </c>
      <c r="H83" s="20" t="n">
        <v>54546</v>
      </c>
      <c r="I83" s="20" t="n">
        <v>55126</v>
      </c>
      <c r="J83" s="20" t="n">
        <v>61470</v>
      </c>
      <c r="K83" s="20" t="n">
        <v>66595</v>
      </c>
      <c r="L83" s="20" t="n">
        <v>70199</v>
      </c>
    </row>
    <row r="84">
      <c r="A84" s="18" t="inlineStr">
        <is>
          <t>기타(순액)</t>
        </is>
      </c>
      <c r="C84" s="20" t="n">
        <v>303249</v>
      </c>
      <c r="D84" s="20" t="n">
        <v>314956</v>
      </c>
      <c r="E84" s="20" t="n">
        <v>318771</v>
      </c>
      <c r="F84" s="20" t="n">
        <v>337405</v>
      </c>
      <c r="G84" s="20" t="n">
        <v>348593</v>
      </c>
      <c r="H84" s="20" t="n">
        <v>114282</v>
      </c>
      <c r="I84" s="20" t="n">
        <v>123571</v>
      </c>
      <c r="J84" s="20" t="n">
        <v>136241</v>
      </c>
      <c r="K84" s="20" t="n">
        <v>161745</v>
      </c>
      <c r="L84" s="20" t="n">
        <v>318771</v>
      </c>
    </row>
    <row r="85">
      <c r="A85" s="18" t="inlineStr">
        <is>
          <t>유형자산 합계</t>
        </is>
      </c>
      <c r="C85" s="20" t="n">
        <v>1152332</v>
      </c>
      <c r="D85" s="20" t="n">
        <v>1185510</v>
      </c>
      <c r="E85" s="20" t="n">
        <v>1189434</v>
      </c>
      <c r="F85" s="20" t="n">
        <v>1220026</v>
      </c>
      <c r="G85" s="20" t="n">
        <v>1228641</v>
      </c>
      <c r="H85" s="20" t="n">
        <v>1026784</v>
      </c>
      <c r="I85" s="20" t="n">
        <v>1062779</v>
      </c>
      <c r="J85" s="20" t="n">
        <v>1098151</v>
      </c>
      <c r="K85" s="20" t="n">
        <v>1121830</v>
      </c>
      <c r="L85" s="20" t="n">
        <v>1189434</v>
      </c>
    </row>
    <row r="86">
      <c r="A86" s="18" t="inlineStr">
        <is>
          <t>무형자산</t>
        </is>
      </c>
      <c r="C86" s="20" t="n">
        <v>63343</v>
      </c>
      <c r="D86" s="20" t="n">
        <v>63061</v>
      </c>
      <c r="E86" s="20" t="n">
        <v>62086</v>
      </c>
      <c r="F86" s="20" t="n">
        <v>62018</v>
      </c>
      <c r="G86" s="20" t="n">
        <v>60857</v>
      </c>
      <c r="H86" s="20" t="n">
        <v>36062</v>
      </c>
      <c r="I86" s="20" t="n">
        <v>36682</v>
      </c>
      <c r="J86" s="20" t="n">
        <v>39831</v>
      </c>
      <c r="K86" s="20" t="n">
        <v>61378</v>
      </c>
      <c r="L86" s="20" t="n">
        <v>62086</v>
      </c>
    </row>
    <row r="87">
      <c r="A87" s="18" t="inlineStr">
        <is>
          <t>투자유가증권</t>
        </is>
      </c>
      <c r="C87" s="20" t="n">
        <v>662589</v>
      </c>
      <c r="D87" s="20" t="n">
        <v>737484</v>
      </c>
      <c r="E87" s="20" t="n">
        <v>713033</v>
      </c>
      <c r="F87" s="20" t="n">
        <v>848873</v>
      </c>
      <c r="G87" s="20" t="n">
        <v>819967</v>
      </c>
      <c r="H87" s="20" t="n">
        <v>443896</v>
      </c>
      <c r="I87" s="20" t="n">
        <v>503791</v>
      </c>
      <c r="J87" s="20" t="n">
        <v>607105</v>
      </c>
      <c r="K87" s="20" t="n">
        <v>604733</v>
      </c>
      <c r="L87" s="20" t="n">
        <v>713033</v>
      </c>
    </row>
    <row r="88">
      <c r="A88" s="18" t="inlineStr">
        <is>
          <t>퇴직급여자산</t>
        </is>
      </c>
      <c r="E88" s="20" t="n">
        <v>344890</v>
      </c>
      <c r="H88" s="20" t="n">
        <v>173434</v>
      </c>
      <c r="I88" s="20" t="n">
        <v>175997</v>
      </c>
      <c r="J88" s="20" t="n">
        <v>303740</v>
      </c>
      <c r="K88" s="20" t="n">
        <v>251979</v>
      </c>
      <c r="L88" s="20" t="n">
        <v>344890</v>
      </c>
    </row>
    <row r="89">
      <c r="A89" s="18" t="inlineStr">
        <is>
          <t>이연법인세자산</t>
        </is>
      </c>
      <c r="E89" s="20" t="n">
        <v>41677</v>
      </c>
      <c r="H89" s="20" t="n">
        <v>32329</v>
      </c>
      <c r="I89" s="20" t="n">
        <v>30909</v>
      </c>
      <c r="J89" s="20" t="n">
        <v>31953</v>
      </c>
      <c r="K89" s="20" t="n">
        <v>39022</v>
      </c>
      <c r="L89" s="20" t="n">
        <v>41677</v>
      </c>
    </row>
    <row r="90">
      <c r="A90" s="18" t="inlineStr">
        <is>
          <t>기타</t>
        </is>
      </c>
      <c r="C90" s="20" t="n">
        <v>339859</v>
      </c>
      <c r="D90" s="20" t="n">
        <v>356871</v>
      </c>
      <c r="E90" s="20" t="n">
        <v>446392</v>
      </c>
      <c r="F90" s="20" t="n">
        <v>447240</v>
      </c>
      <c r="G90" s="20" t="n">
        <v>441735</v>
      </c>
      <c r="H90" s="20" t="n">
        <v>38810</v>
      </c>
      <c r="I90" s="20" t="n">
        <v>40885</v>
      </c>
      <c r="J90" s="20" t="n">
        <v>43148</v>
      </c>
      <c r="K90" s="20" t="n">
        <v>43294</v>
      </c>
      <c r="L90" s="20" t="n">
        <v>446392</v>
      </c>
    </row>
    <row r="91">
      <c r="A91" s="18" t="inlineStr">
        <is>
          <t>대손충당금</t>
        </is>
      </c>
      <c r="C91" s="20" t="n">
        <v>-741</v>
      </c>
      <c r="D91" s="20" t="n">
        <v>-8235</v>
      </c>
      <c r="E91" s="20" t="n">
        <v>-11024</v>
      </c>
      <c r="F91" s="20" t="n">
        <v>-10919</v>
      </c>
      <c r="G91" s="20" t="n">
        <v>-2379</v>
      </c>
      <c r="H91" s="20" t="n">
        <v>-853</v>
      </c>
      <c r="I91" s="20" t="n">
        <v>-723</v>
      </c>
      <c r="J91" s="20" t="n">
        <v>-746</v>
      </c>
      <c r="K91" s="20" t="n">
        <v>-698</v>
      </c>
      <c r="L91" s="20" t="n">
        <v>-11024</v>
      </c>
    </row>
    <row r="92">
      <c r="A92" s="18" t="inlineStr">
        <is>
          <t>투자 및 기타자산 합계</t>
        </is>
      </c>
      <c r="C92" s="20" t="n">
        <v>1001707</v>
      </c>
      <c r="D92" s="20" t="n">
        <v>1086120</v>
      </c>
      <c r="E92" s="20" t="n">
        <v>1148401</v>
      </c>
      <c r="F92" s="20" t="n">
        <v>1285194</v>
      </c>
      <c r="G92" s="20" t="n">
        <v>1259323</v>
      </c>
      <c r="H92" s="20" t="n">
        <v>687616</v>
      </c>
      <c r="I92" s="20" t="n">
        <v>750859</v>
      </c>
      <c r="J92" s="20" t="n">
        <v>985200</v>
      </c>
      <c r="K92" s="20" t="n">
        <v>938330</v>
      </c>
      <c r="L92" s="20" t="n">
        <v>1148401</v>
      </c>
    </row>
    <row r="93">
      <c r="A93" s="9" t="inlineStr">
        <is>
          <t>비유동자산 합계</t>
        </is>
      </c>
      <c r="C93" s="12" t="n">
        <v>2217382</v>
      </c>
      <c r="D93" s="12" t="n">
        <v>2334691</v>
      </c>
      <c r="E93" s="12" t="n">
        <v>2399921</v>
      </c>
      <c r="F93" s="12" t="n">
        <v>2567238</v>
      </c>
      <c r="G93" s="12" t="n">
        <v>2548821</v>
      </c>
      <c r="H93" s="12" t="n">
        <v>1750462</v>
      </c>
      <c r="I93" s="12" t="n">
        <v>1850320</v>
      </c>
      <c r="J93" s="12" t="n">
        <v>2123182</v>
      </c>
      <c r="K93" s="12" t="n">
        <v>2121538</v>
      </c>
      <c r="L93" s="12" t="n">
        <v>2399921</v>
      </c>
    </row>
    <row r="94">
      <c r="A94" s="9" t="inlineStr">
        <is>
          <t>자산 합계</t>
        </is>
      </c>
      <c r="C94" s="12" t="n">
        <v>4527185</v>
      </c>
      <c r="D94" s="12" t="n">
        <v>4844534</v>
      </c>
      <c r="E94" s="12" t="n">
        <v>4824532</v>
      </c>
      <c r="F94" s="12" t="n">
        <v>5143492</v>
      </c>
      <c r="G94" s="12" t="n">
        <v>5189859</v>
      </c>
      <c r="H94" s="12" t="n">
        <v>3807390</v>
      </c>
      <c r="I94" s="12" t="n">
        <v>4013008</v>
      </c>
      <c r="J94" s="12" t="n">
        <v>4365397</v>
      </c>
      <c r="K94" s="12" t="n">
        <v>4441629</v>
      </c>
      <c r="L94" s="12" t="n">
        <v>4824532</v>
      </c>
    </row>
    <row r="95">
      <c r="A95" s="18" t="inlineStr">
        <is>
          <t>지급어음·매입채무</t>
        </is>
      </c>
      <c r="C95" s="20" t="n">
        <v>489613</v>
      </c>
      <c r="D95" s="20" t="n">
        <v>526578</v>
      </c>
      <c r="E95" s="20" t="n">
        <v>487654</v>
      </c>
      <c r="F95" s="20" t="n">
        <v>539072</v>
      </c>
      <c r="G95" s="20" t="n">
        <v>554919</v>
      </c>
      <c r="H95" s="20" t="n">
        <v>444985</v>
      </c>
      <c r="I95" s="20" t="n">
        <v>445951</v>
      </c>
      <c r="J95" s="20" t="n">
        <v>479831</v>
      </c>
      <c r="K95" s="20" t="n">
        <v>473834</v>
      </c>
      <c r="L95" s="20" t="n">
        <v>487654</v>
      </c>
    </row>
    <row r="96">
      <c r="A96" s="18" t="inlineStr">
        <is>
          <t>단기차입금</t>
        </is>
      </c>
      <c r="C96" s="20" t="n">
        <v>198750</v>
      </c>
      <c r="D96" s="20" t="n">
        <v>368233</v>
      </c>
      <c r="E96" s="20" t="n">
        <v>210726</v>
      </c>
      <c r="F96" s="20" t="n">
        <v>328448</v>
      </c>
      <c r="G96" s="20" t="n">
        <v>281904</v>
      </c>
      <c r="H96" s="20" t="n">
        <v>482212</v>
      </c>
      <c r="I96" s="20" t="n">
        <v>601237</v>
      </c>
      <c r="J96" s="20" t="n">
        <v>385575</v>
      </c>
      <c r="K96" s="20" t="n">
        <v>314294</v>
      </c>
      <c r="L96" s="20" t="n">
        <v>210726</v>
      </c>
    </row>
    <row r="97">
      <c r="A97" s="18" t="inlineStr">
        <is>
          <t>기업어음(CP)</t>
        </is>
      </c>
      <c r="C97" s="20" t="n">
        <v>67171</v>
      </c>
      <c r="D97" s="20" t="n">
        <v>90322</v>
      </c>
      <c r="E97" s="20" t="n">
        <v>63276</v>
      </c>
      <c r="F97" s="20" t="n">
        <v>63946</v>
      </c>
      <c r="G97" s="20" t="n">
        <v>77578</v>
      </c>
      <c r="H97" s="20" t="n">
        <v>8000</v>
      </c>
      <c r="I97" s="20" t="n">
        <v>7000</v>
      </c>
      <c r="J97" s="20" t="n">
        <v>0</v>
      </c>
      <c r="K97" s="20" t="n">
        <v>32416</v>
      </c>
      <c r="L97" s="20" t="n">
        <v>63276</v>
      </c>
    </row>
    <row r="98">
      <c r="A98" s="18" t="inlineStr">
        <is>
          <t>1년 내 상환 사채</t>
        </is>
      </c>
      <c r="C98" s="20" t="n">
        <v>14993</v>
      </c>
      <c r="D98" s="20" t="n">
        <v>14995</v>
      </c>
      <c r="E98" s="20" t="n">
        <v>44997</v>
      </c>
      <c r="F98" s="20" t="n">
        <v>44999</v>
      </c>
      <c r="G98" s="20" t="n">
        <v>48000</v>
      </c>
      <c r="H98" s="20" t="n">
        <v>9996</v>
      </c>
      <c r="I98" s="20" t="n">
        <v>0</v>
      </c>
      <c r="J98" s="20" t="n">
        <v>10000</v>
      </c>
      <c r="K98" s="20" t="n">
        <v>0</v>
      </c>
      <c r="L98" s="20" t="n">
        <v>44997</v>
      </c>
    </row>
    <row r="99">
      <c r="A99" s="18" t="inlineStr">
        <is>
          <t>사업손실 충당금</t>
        </is>
      </c>
      <c r="E99" s="20" t="n">
        <v>0</v>
      </c>
      <c r="J99" s="20" t="n">
        <v>0</v>
      </c>
      <c r="K99" s="20" t="n">
        <v>6657</v>
      </c>
      <c r="L99" s="20" t="n">
        <v>0</v>
      </c>
    </row>
    <row r="100">
      <c r="A100" s="18" t="inlineStr">
        <is>
          <t>계약부채</t>
        </is>
      </c>
      <c r="E100" s="20" t="n">
        <v>113584</v>
      </c>
      <c r="H100" s="20" t="n">
        <v>46355</v>
      </c>
      <c r="I100" s="20" t="n">
        <v>50168</v>
      </c>
      <c r="J100" s="20" t="n">
        <v>74263</v>
      </c>
      <c r="K100" s="20" t="n">
        <v>97456</v>
      </c>
      <c r="L100" s="20" t="n">
        <v>113584</v>
      </c>
    </row>
    <row r="101">
      <c r="A101" s="18" t="inlineStr">
        <is>
          <t>미지급법인세</t>
        </is>
      </c>
      <c r="C101" s="20" t="n">
        <v>42743</v>
      </c>
      <c r="D101" s="20" t="n">
        <v>50056</v>
      </c>
      <c r="E101" s="20" t="n">
        <v>49102</v>
      </c>
      <c r="F101" s="20" t="n">
        <v>54722</v>
      </c>
      <c r="G101" s="20" t="n">
        <v>68369</v>
      </c>
      <c r="H101" s="20" t="n">
        <v>23113</v>
      </c>
      <c r="I101" s="20" t="n">
        <v>34011</v>
      </c>
      <c r="J101" s="20" t="n">
        <v>50227</v>
      </c>
      <c r="K101" s="20" t="n">
        <v>37442</v>
      </c>
      <c r="L101" s="20" t="n">
        <v>49102</v>
      </c>
    </row>
    <row r="102">
      <c r="A102" s="18" t="inlineStr">
        <is>
          <t>충당금</t>
        </is>
      </c>
      <c r="C102" s="20" t="n">
        <v>5732</v>
      </c>
      <c r="D102" s="20" t="n">
        <v>3939</v>
      </c>
      <c r="E102" s="20" t="n">
        <v>5236</v>
      </c>
      <c r="F102" s="20" t="n">
        <v>3919</v>
      </c>
      <c r="G102" s="20" t="n">
        <v>3931</v>
      </c>
      <c r="H102" s="20" t="n">
        <v>3510</v>
      </c>
      <c r="I102" s="20" t="n">
        <v>3371</v>
      </c>
      <c r="J102" s="20" t="n">
        <v>3172</v>
      </c>
      <c r="K102" s="20" t="n">
        <v>11097</v>
      </c>
      <c r="L102" s="20" t="n">
        <v>5236</v>
      </c>
    </row>
    <row r="103">
      <c r="A103" s="18" t="inlineStr">
        <is>
          <t>기타</t>
        </is>
      </c>
      <c r="C103" s="20" t="n">
        <v>455544</v>
      </c>
      <c r="D103" s="20" t="n">
        <v>473059</v>
      </c>
      <c r="E103" s="20" t="n">
        <v>486765</v>
      </c>
      <c r="F103" s="20" t="n">
        <v>506301</v>
      </c>
      <c r="G103" s="20" t="n">
        <v>535446</v>
      </c>
      <c r="H103" s="20" t="n">
        <v>268546</v>
      </c>
      <c r="I103" s="20" t="n">
        <v>295051</v>
      </c>
      <c r="J103" s="20" t="n">
        <v>357701</v>
      </c>
      <c r="K103" s="20" t="n">
        <v>362186</v>
      </c>
      <c r="L103" s="20" t="n">
        <v>486765</v>
      </c>
    </row>
    <row r="104">
      <c r="A104" s="9" t="inlineStr">
        <is>
          <t>유동부채 합계</t>
        </is>
      </c>
      <c r="C104" s="12" t="n">
        <v>1274546</v>
      </c>
      <c r="D104" s="12" t="n">
        <v>1527182</v>
      </c>
      <c r="E104" s="12" t="n">
        <v>1347756</v>
      </c>
      <c r="F104" s="12" t="n">
        <v>1541407</v>
      </c>
      <c r="G104" s="12" t="n">
        <v>1570147</v>
      </c>
      <c r="H104" s="12" t="n">
        <v>1260094</v>
      </c>
      <c r="I104" s="12" t="n">
        <v>1399407</v>
      </c>
      <c r="J104" s="12" t="n">
        <v>1307370</v>
      </c>
      <c r="K104" s="12" t="n">
        <v>1286843</v>
      </c>
      <c r="L104" s="12" t="n">
        <v>1347756</v>
      </c>
    </row>
    <row r="105">
      <c r="A105" s="18" t="inlineStr">
        <is>
          <t>사채</t>
        </is>
      </c>
      <c r="C105" s="20" t="n">
        <v>159936</v>
      </c>
      <c r="D105" s="20" t="n">
        <v>159940</v>
      </c>
      <c r="E105" s="20" t="n">
        <v>129945</v>
      </c>
      <c r="F105" s="20" t="n">
        <v>129949</v>
      </c>
      <c r="G105" s="20" t="n">
        <v>112000</v>
      </c>
      <c r="H105" s="20" t="n">
        <v>84900</v>
      </c>
      <c r="I105" s="20" t="n">
        <v>94864</v>
      </c>
      <c r="J105" s="20" t="n">
        <v>174890</v>
      </c>
      <c r="K105" s="20" t="n">
        <v>174916</v>
      </c>
      <c r="L105" s="20" t="n">
        <v>129945</v>
      </c>
    </row>
    <row r="106">
      <c r="A106" s="18" t="inlineStr">
        <is>
          <t>장기차입금</t>
        </is>
      </c>
      <c r="C106" s="20" t="n">
        <v>168803</v>
      </c>
      <c r="D106" s="20" t="n">
        <v>168522</v>
      </c>
      <c r="E106" s="20" t="n">
        <v>171598</v>
      </c>
      <c r="F106" s="20" t="n">
        <v>170354</v>
      </c>
      <c r="G106" s="20" t="n">
        <v>185415</v>
      </c>
      <c r="H106" s="20" t="n">
        <v>222188</v>
      </c>
      <c r="I106" s="20" t="n">
        <v>195578</v>
      </c>
      <c r="J106" s="20" t="n">
        <v>164579</v>
      </c>
      <c r="K106" s="20" t="n">
        <v>166365</v>
      </c>
      <c r="L106" s="20" t="n">
        <v>171598</v>
      </c>
    </row>
    <row r="107">
      <c r="A107" s="18" t="inlineStr">
        <is>
          <t>이연법인세부채</t>
        </is>
      </c>
      <c r="E107" s="20" t="n">
        <v>192012</v>
      </c>
      <c r="H107" s="20" t="n">
        <v>65068</v>
      </c>
      <c r="I107" s="20" t="n">
        <v>87895</v>
      </c>
      <c r="J107" s="20" t="n">
        <v>136103</v>
      </c>
      <c r="K107" s="20" t="n">
        <v>129663</v>
      </c>
      <c r="L107" s="20" t="n">
        <v>192012</v>
      </c>
    </row>
    <row r="108">
      <c r="A108" s="18" t="inlineStr">
        <is>
          <t>사업손실 충당금</t>
        </is>
      </c>
      <c r="I108" s="20" t="n">
        <v>0</v>
      </c>
      <c r="J108" s="20" t="n">
        <v>12762</v>
      </c>
      <c r="K108" s="20" t="n">
        <v>0</v>
      </c>
    </row>
    <row r="109">
      <c r="A109" s="18" t="inlineStr">
        <is>
          <t>퇴직급여부채</t>
        </is>
      </c>
      <c r="C109" s="20" t="n">
        <v>52791</v>
      </c>
      <c r="D109" s="20" t="n">
        <v>55237</v>
      </c>
      <c r="E109" s="20" t="n">
        <v>53887</v>
      </c>
      <c r="F109" s="20" t="n">
        <v>54224</v>
      </c>
      <c r="G109" s="20" t="n">
        <v>52646</v>
      </c>
      <c r="H109" s="20" t="n">
        <v>46037</v>
      </c>
      <c r="I109" s="20" t="n">
        <v>45794</v>
      </c>
      <c r="J109" s="20" t="n">
        <v>52935</v>
      </c>
      <c r="K109" s="20" t="n">
        <v>51820</v>
      </c>
      <c r="L109" s="20" t="n">
        <v>53887</v>
      </c>
    </row>
    <row r="110">
      <c r="A110" s="18" t="inlineStr">
        <is>
          <t>충당금</t>
        </is>
      </c>
      <c r="C110" s="20" t="n">
        <v>618</v>
      </c>
      <c r="D110" s="20" t="n">
        <v>650</v>
      </c>
      <c r="E110" s="20" t="n">
        <v>665</v>
      </c>
      <c r="F110" s="20" t="n">
        <v>647</v>
      </c>
      <c r="G110" s="20" t="n">
        <v>620</v>
      </c>
      <c r="H110" s="20" t="n">
        <v>615</v>
      </c>
      <c r="I110" s="20" t="n">
        <v>572</v>
      </c>
      <c r="J110" s="20" t="n">
        <v>13411</v>
      </c>
      <c r="K110" s="20" t="n">
        <v>671</v>
      </c>
      <c r="L110" s="20" t="n">
        <v>665</v>
      </c>
    </row>
    <row r="111">
      <c r="A111" s="18" t="inlineStr">
        <is>
          <t>기타</t>
        </is>
      </c>
      <c r="C111" s="20" t="n">
        <v>246071</v>
      </c>
      <c r="D111" s="20" t="n">
        <v>273781</v>
      </c>
      <c r="E111" s="20" t="n">
        <v>285682</v>
      </c>
      <c r="F111" s="20" t="n">
        <v>319214</v>
      </c>
      <c r="G111" s="20" t="n">
        <v>303778</v>
      </c>
      <c r="H111" s="20" t="n">
        <v>76165</v>
      </c>
      <c r="I111" s="20" t="n">
        <v>78651</v>
      </c>
      <c r="J111" s="20" t="n">
        <v>84870</v>
      </c>
      <c r="K111" s="20" t="n">
        <v>101585</v>
      </c>
      <c r="L111" s="20" t="n">
        <v>285682</v>
      </c>
    </row>
    <row r="112">
      <c r="A112" s="9" t="inlineStr">
        <is>
          <t>비유동부채 합계</t>
        </is>
      </c>
      <c r="C112" s="12" t="n">
        <v>628219</v>
      </c>
      <c r="D112" s="12" t="n">
        <v>658130</v>
      </c>
      <c r="E112" s="12" t="n">
        <v>641777</v>
      </c>
      <c r="F112" s="12" t="n">
        <v>674388</v>
      </c>
      <c r="G112" s="12" t="n">
        <v>654459</v>
      </c>
      <c r="H112" s="12" t="n">
        <v>494358</v>
      </c>
      <c r="I112" s="12" t="n">
        <v>502782</v>
      </c>
      <c r="J112" s="12" t="n">
        <v>626139</v>
      </c>
      <c r="K112" s="12" t="n">
        <v>624349</v>
      </c>
      <c r="L112" s="12" t="n">
        <v>641777</v>
      </c>
    </row>
    <row r="113">
      <c r="A113" s="9" t="inlineStr">
        <is>
          <t>부채 합계</t>
        </is>
      </c>
      <c r="C113" s="12" t="n">
        <v>1902765</v>
      </c>
      <c r="D113" s="12" t="n">
        <v>2185312</v>
      </c>
      <c r="E113" s="12" t="n">
        <v>1989533</v>
      </c>
      <c r="F113" s="12" t="n">
        <v>2215795</v>
      </c>
      <c r="G113" s="12" t="n">
        <v>2224606</v>
      </c>
      <c r="H113" s="12" t="n">
        <v>1754452</v>
      </c>
      <c r="I113" s="12" t="n">
        <v>1902189</v>
      </c>
      <c r="J113" s="12" t="n">
        <v>1933509</v>
      </c>
      <c r="K113" s="12" t="n">
        <v>1911192</v>
      </c>
      <c r="L113" s="12" t="n">
        <v>1989533</v>
      </c>
    </row>
    <row r="114">
      <c r="A114" s="18" t="inlineStr">
        <is>
          <t>자본금</t>
        </is>
      </c>
      <c r="C114" s="20" t="n">
        <v>99737</v>
      </c>
      <c r="D114" s="20" t="n">
        <v>99737</v>
      </c>
      <c r="E114" s="20" t="n">
        <v>99737</v>
      </c>
      <c r="F114" s="20" t="n">
        <v>99737</v>
      </c>
      <c r="G114" s="20" t="n">
        <v>99737</v>
      </c>
      <c r="H114" s="20" t="n">
        <v>99737</v>
      </c>
      <c r="I114" s="20" t="n">
        <v>99737</v>
      </c>
      <c r="J114" s="20" t="n">
        <v>99737</v>
      </c>
      <c r="K114" s="20" t="n">
        <v>99737</v>
      </c>
      <c r="L114" s="20" t="n">
        <v>99737</v>
      </c>
    </row>
    <row r="115">
      <c r="A115" s="18" t="inlineStr">
        <is>
          <t>자본잉여금</t>
        </is>
      </c>
      <c r="C115" s="20" t="n">
        <v>165326</v>
      </c>
      <c r="D115" s="20" t="n">
        <v>145802</v>
      </c>
      <c r="E115" s="20" t="n">
        <v>141937</v>
      </c>
      <c r="F115" s="20" t="n">
        <v>142036</v>
      </c>
      <c r="G115" s="20" t="n">
        <v>141123</v>
      </c>
      <c r="H115" s="20" t="n">
        <v>170539</v>
      </c>
      <c r="I115" s="20" t="n">
        <v>166817</v>
      </c>
      <c r="J115" s="20" t="n">
        <v>165424</v>
      </c>
      <c r="K115" s="20" t="n">
        <v>165319</v>
      </c>
      <c r="L115" s="20" t="n">
        <v>141937</v>
      </c>
    </row>
    <row r="116">
      <c r="A116" s="18" t="inlineStr">
        <is>
          <t>이익잉여금</t>
        </is>
      </c>
      <c r="C116" s="20" t="n">
        <v>1672124</v>
      </c>
      <c r="D116" s="20" t="n">
        <v>1712396</v>
      </c>
      <c r="E116" s="20" t="n">
        <v>1903632</v>
      </c>
      <c r="F116" s="20" t="n">
        <v>1888980</v>
      </c>
      <c r="G116" s="20" t="n">
        <v>1981950</v>
      </c>
      <c r="H116" s="20" t="n">
        <v>1346210</v>
      </c>
      <c r="I116" s="20" t="n">
        <v>1383046</v>
      </c>
      <c r="J116" s="20" t="n">
        <v>1493708</v>
      </c>
      <c r="K116" s="20" t="n">
        <v>1618695</v>
      </c>
      <c r="L116" s="20" t="n">
        <v>1903632</v>
      </c>
    </row>
    <row r="117">
      <c r="A117" s="18" t="inlineStr">
        <is>
          <t>자기주식</t>
        </is>
      </c>
      <c r="C117" s="20" t="n">
        <v>-20907</v>
      </c>
      <c r="D117" s="20" t="n">
        <v>-20796</v>
      </c>
      <c r="E117" s="20" t="n">
        <v>-20791</v>
      </c>
      <c r="F117" s="20" t="n">
        <v>-20755</v>
      </c>
      <c r="G117" s="20" t="n">
        <v>-20758</v>
      </c>
      <c r="H117" s="20" t="n">
        <v>-20781</v>
      </c>
      <c r="I117" s="20" t="n">
        <v>-20793</v>
      </c>
      <c r="J117" s="20" t="n">
        <v>-20803</v>
      </c>
      <c r="K117" s="20" t="n">
        <v>-20818</v>
      </c>
      <c r="L117" s="20" t="n">
        <v>-20791</v>
      </c>
    </row>
    <row r="118">
      <c r="A118" s="9" t="inlineStr">
        <is>
          <t>주주자본 합계</t>
        </is>
      </c>
      <c r="C118" s="12" t="n">
        <v>1916280</v>
      </c>
      <c r="D118" s="12" t="n">
        <v>1937139</v>
      </c>
      <c r="E118" s="12" t="n">
        <v>2124515</v>
      </c>
      <c r="F118" s="12" t="n">
        <v>2109998</v>
      </c>
      <c r="G118" s="12" t="n">
        <v>2202052</v>
      </c>
      <c r="H118" s="12" t="n">
        <v>1595705</v>
      </c>
      <c r="I118" s="12" t="n">
        <v>1628807</v>
      </c>
      <c r="J118" s="12" t="n">
        <v>1738066</v>
      </c>
      <c r="K118" s="12" t="n">
        <v>1862933</v>
      </c>
      <c r="L118" s="12" t="n">
        <v>2124515</v>
      </c>
    </row>
    <row r="119">
      <c r="A119" s="18" t="inlineStr">
        <is>
          <t>기타유가증권 평가차액</t>
        </is>
      </c>
      <c r="C119" s="20" t="n">
        <v>215598</v>
      </c>
      <c r="D119" s="20" t="n">
        <v>257633</v>
      </c>
      <c r="E119" s="20" t="n">
        <v>241274</v>
      </c>
      <c r="F119" s="20" t="n">
        <v>328573</v>
      </c>
      <c r="G119" s="20" t="n">
        <v>302480</v>
      </c>
      <c r="H119" s="20" t="n">
        <v>76687</v>
      </c>
      <c r="I119" s="20" t="n">
        <v>135032</v>
      </c>
      <c r="J119" s="20" t="n">
        <v>183971</v>
      </c>
      <c r="K119" s="20" t="n">
        <v>177927</v>
      </c>
      <c r="L119" s="20" t="n">
        <v>241274</v>
      </c>
    </row>
    <row r="120">
      <c r="A120" s="18" t="inlineStr">
        <is>
          <t>이연헤지손익</t>
        </is>
      </c>
      <c r="C120" s="20" t="n">
        <v>-2213</v>
      </c>
      <c r="D120" s="20" t="n">
        <v>-1402</v>
      </c>
      <c r="E120" s="20" t="n">
        <v>-1726</v>
      </c>
      <c r="F120" s="20" t="n">
        <v>338</v>
      </c>
      <c r="G120" s="20" t="n">
        <v>747</v>
      </c>
      <c r="H120" s="20" t="n">
        <v>-1366</v>
      </c>
      <c r="I120" s="20" t="n">
        <v>-2340</v>
      </c>
      <c r="J120" s="20" t="n">
        <v>-2679</v>
      </c>
      <c r="K120" s="20" t="n">
        <v>-3692</v>
      </c>
      <c r="L120" s="20" t="n">
        <v>-1726</v>
      </c>
    </row>
    <row r="121">
      <c r="A121" s="18" t="inlineStr">
        <is>
          <t>해외사업환산조정</t>
        </is>
      </c>
      <c r="C121" s="20" t="n">
        <v>162245</v>
      </c>
      <c r="D121" s="20" t="n">
        <v>214594</v>
      </c>
      <c r="E121" s="20" t="n">
        <v>240547</v>
      </c>
      <c r="F121" s="20" t="n">
        <v>261382</v>
      </c>
      <c r="G121" s="20" t="n">
        <v>238351</v>
      </c>
      <c r="H121" s="20" t="n">
        <v>38821</v>
      </c>
      <c r="I121" s="20" t="n">
        <v>85258</v>
      </c>
      <c r="J121" s="20" t="n">
        <v>155338</v>
      </c>
      <c r="K121" s="20" t="n">
        <v>162741</v>
      </c>
      <c r="L121" s="20" t="n">
        <v>240547</v>
      </c>
    </row>
    <row r="122">
      <c r="A122" s="18" t="inlineStr">
        <is>
          <t>퇴직급여 조정누계액</t>
        </is>
      </c>
      <c r="C122" s="20" t="n">
        <v>82023</v>
      </c>
      <c r="D122" s="20" t="n">
        <v>79376</v>
      </c>
      <c r="E122" s="20" t="n">
        <v>138824</v>
      </c>
      <c r="F122" s="20" t="n">
        <v>134663</v>
      </c>
      <c r="G122" s="20" t="n">
        <v>131990</v>
      </c>
      <c r="H122" s="20" t="n">
        <v>59941</v>
      </c>
      <c r="I122" s="20" t="n">
        <v>53122</v>
      </c>
      <c r="J122" s="20" t="n">
        <v>132966</v>
      </c>
      <c r="K122" s="20" t="n">
        <v>90485</v>
      </c>
      <c r="L122" s="20" t="n">
        <v>138824</v>
      </c>
    </row>
    <row r="123">
      <c r="A123" s="18" t="inlineStr">
        <is>
          <t>기타포괄손익누계액 합계</t>
        </is>
      </c>
      <c r="C123" s="20" t="n">
        <v>457653</v>
      </c>
      <c r="D123" s="20" t="n">
        <v>550201</v>
      </c>
      <c r="E123" s="20" t="n">
        <v>618919</v>
      </c>
      <c r="F123" s="20" t="n">
        <v>724956</v>
      </c>
      <c r="G123" s="20" t="n">
        <v>673568</v>
      </c>
      <c r="H123" s="20" t="n">
        <v>174083</v>
      </c>
      <c r="I123" s="20" t="n">
        <v>271072</v>
      </c>
      <c r="J123" s="20" t="n">
        <v>469596</v>
      </c>
      <c r="K123" s="20" t="n">
        <v>427461</v>
      </c>
      <c r="L123" s="20" t="n">
        <v>618919</v>
      </c>
    </row>
    <row r="124">
      <c r="A124" s="18" t="inlineStr">
        <is>
          <t>비지배지분</t>
        </is>
      </c>
      <c r="C124" s="20" t="n">
        <v>250487</v>
      </c>
      <c r="D124" s="20" t="n">
        <v>171882</v>
      </c>
      <c r="E124" s="20" t="n">
        <v>91565</v>
      </c>
      <c r="F124" s="20" t="n">
        <v>92743</v>
      </c>
      <c r="G124" s="20" t="n">
        <v>89633</v>
      </c>
      <c r="H124" s="20" t="n">
        <v>283150</v>
      </c>
      <c r="I124" s="20" t="n">
        <v>210940</v>
      </c>
      <c r="J124" s="20" t="n">
        <v>224226</v>
      </c>
      <c r="K124" s="20" t="n">
        <v>240043</v>
      </c>
      <c r="L124" s="20" t="n">
        <v>91565</v>
      </c>
    </row>
    <row r="125">
      <c r="A125" s="9" t="inlineStr">
        <is>
          <t>순자산 합계</t>
        </is>
      </c>
      <c r="C125" s="12" t="n">
        <v>2624420</v>
      </c>
      <c r="D125" s="12" t="n">
        <v>2659222</v>
      </c>
      <c r="E125" s="12" t="n">
        <v>2834999</v>
      </c>
      <c r="F125" s="12" t="n">
        <v>2927697</v>
      </c>
      <c r="G125" s="12" t="n">
        <v>2965253</v>
      </c>
      <c r="H125" s="12" t="n">
        <v>2052938</v>
      </c>
      <c r="I125" s="12" t="n">
        <v>2110819</v>
      </c>
      <c r="J125" s="12" t="n">
        <v>2431888</v>
      </c>
      <c r="K125" s="12" t="n">
        <v>2530437</v>
      </c>
      <c r="L125" s="12" t="n">
        <v>2834999</v>
      </c>
    </row>
    <row r="126">
      <c r="A126" s="9" t="inlineStr">
        <is>
          <t>부채·순자산 합계</t>
        </is>
      </c>
      <c r="C126" s="12" t="n">
        <v>4527185</v>
      </c>
      <c r="D126" s="12" t="n">
        <v>4844534</v>
      </c>
      <c r="E126" s="12" t="n">
        <v>4824532</v>
      </c>
      <c r="F126" s="12" t="n">
        <v>5143492</v>
      </c>
      <c r="G126" s="12" t="n">
        <v>5189859</v>
      </c>
      <c r="H126" s="12" t="n">
        <v>3807390</v>
      </c>
      <c r="I126" s="12" t="n">
        <v>4013008</v>
      </c>
      <c r="J126" s="12" t="n">
        <v>4365397</v>
      </c>
      <c r="K126" s="12" t="n">
        <v>4441629</v>
      </c>
      <c r="L126" s="12" t="n">
        <v>4824532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44" customWidth="1" min="3" max="3"/>
  </cols>
  <sheetData>
    <row r="1">
      <c r="A1" s="50" t="inlineStr">
        <is>
          <t>5802 섹터·사업 데이터</t>
        </is>
      </c>
    </row>
    <row r="2">
      <c r="A2" s="51" t="inlineStr">
        <is>
          <t>2단계 보고서를 만들 때 모은 자료 · 월차 · 출처는 맨 오른쪽</t>
        </is>
      </c>
    </row>
    <row r="4">
      <c r="A4" s="52" t="inlineStr">
        <is>
          <t>Q · 2024-Q3</t>
        </is>
      </c>
      <c r="B4" s="52" t="n"/>
      <c r="C4" s="52" t="n"/>
    </row>
    <row r="5">
      <c r="A5" s="53" t="inlineStr">
        <is>
          <t>항목</t>
        </is>
      </c>
      <c r="B5" s="53" t="inlineStr">
        <is>
          <t>값</t>
        </is>
      </c>
      <c r="C5" s="53" t="inlineStr">
        <is>
          <t>출처</t>
        </is>
      </c>
    </row>
    <row r="6">
      <c r="A6" s="54" t="inlineStr">
        <is>
          <t>매출</t>
        </is>
      </c>
      <c r="B6" s="55" t="n">
        <v>11498.2</v>
      </c>
      <c r="C6" s="56" t="inlineStr">
        <is>
          <t>2단계 보고서 자료(회사 설명회 자료·공시)</t>
        </is>
      </c>
    </row>
    <row r="7">
      <c r="A7" s="54" t="inlineStr">
        <is>
          <t>gp</t>
        </is>
      </c>
      <c r="B7" s="55" t="n">
        <v>2154.3</v>
      </c>
    </row>
    <row r="8">
      <c r="A8" s="54" t="inlineStr">
        <is>
          <t>sga</t>
        </is>
      </c>
      <c r="B8" s="55" t="n">
        <v>1344.3</v>
      </c>
    </row>
    <row r="9">
      <c r="A9" s="54" t="inlineStr">
        <is>
          <t>영업이익</t>
        </is>
      </c>
      <c r="B9" s="55" t="n">
        <v>810</v>
      </c>
    </row>
    <row r="10">
      <c r="A10" s="54" t="inlineStr">
        <is>
          <t>pbt</t>
        </is>
      </c>
      <c r="B10" s="55" t="n">
        <v>784.2</v>
      </c>
    </row>
    <row r="11">
      <c r="A11" s="54" t="inlineStr">
        <is>
          <t>순이익 owner</t>
        </is>
      </c>
      <c r="B11" s="55" t="n">
        <v>505</v>
      </c>
    </row>
    <row r="13">
      <c r="A13" s="52" t="inlineStr">
        <is>
          <t>Q · 2024-Q4</t>
        </is>
      </c>
      <c r="B13" s="52" t="n"/>
      <c r="C13" s="52" t="n"/>
    </row>
    <row r="14">
      <c r="A14" s="53" t="inlineStr">
        <is>
          <t>항목</t>
        </is>
      </c>
      <c r="B14" s="53" t="inlineStr">
        <is>
          <t>값</t>
        </is>
      </c>
      <c r="C14" s="53" t="inlineStr">
        <is>
          <t>출처</t>
        </is>
      </c>
    </row>
    <row r="15">
      <c r="A15" s="54" t="inlineStr">
        <is>
          <t>매출</t>
        </is>
      </c>
      <c r="B15" s="55" t="n">
        <v>11808.9</v>
      </c>
      <c r="C15" s="56" t="inlineStr">
        <is>
          <t>2단계 보고서 자료(회사 설명회 자료·공시)</t>
        </is>
      </c>
    </row>
    <row r="16">
      <c r="A16" s="54" t="inlineStr">
        <is>
          <t>gp</t>
        </is>
      </c>
      <c r="B16" s="55" t="n">
        <v>2249.4</v>
      </c>
    </row>
    <row r="17">
      <c r="A17" s="54" t="inlineStr">
        <is>
          <t>sga</t>
        </is>
      </c>
      <c r="B17" s="55" t="n">
        <v>1466.5</v>
      </c>
    </row>
    <row r="18">
      <c r="A18" s="54" t="inlineStr">
        <is>
          <t>영업이익</t>
        </is>
      </c>
      <c r="B18" s="55" t="n">
        <v>782.9</v>
      </c>
    </row>
    <row r="19">
      <c r="A19" s="54" t="inlineStr">
        <is>
          <t>pbt</t>
        </is>
      </c>
      <c r="B19" s="55" t="n">
        <v>1036</v>
      </c>
    </row>
    <row r="20">
      <c r="A20" s="54" t="inlineStr">
        <is>
          <t>순이익 owner</t>
        </is>
      </c>
      <c r="B20" s="55" t="n">
        <v>725.3</v>
      </c>
    </row>
    <row r="22">
      <c r="A22" s="52" t="inlineStr">
        <is>
          <t>Q · 2025-Q1</t>
        </is>
      </c>
      <c r="B22" s="52" t="n"/>
      <c r="C22" s="52" t="n"/>
    </row>
    <row r="23">
      <c r="A23" s="53" t="inlineStr">
        <is>
          <t>항목</t>
        </is>
      </c>
      <c r="B23" s="53" t="inlineStr">
        <is>
          <t>값</t>
        </is>
      </c>
      <c r="C23" s="53" t="inlineStr">
        <is>
          <t>출처</t>
        </is>
      </c>
    </row>
    <row r="24">
      <c r="A24" s="54" t="inlineStr">
        <is>
          <t>매출</t>
        </is>
      </c>
      <c r="B24" s="55" t="n">
        <v>11155.5</v>
      </c>
      <c r="C24" s="56" t="inlineStr">
        <is>
          <t>2단계 보고서 자료(회사 설명회 자료·공시)</t>
        </is>
      </c>
    </row>
    <row r="25">
      <c r="A25" s="54" t="inlineStr">
        <is>
          <t>gp</t>
        </is>
      </c>
      <c r="B25" s="55" t="n">
        <v>1907.8</v>
      </c>
    </row>
    <row r="26">
      <c r="A26" s="54" t="inlineStr">
        <is>
          <t>sga</t>
        </is>
      </c>
      <c r="B26" s="55" t="n">
        <v>1374.9</v>
      </c>
    </row>
    <row r="27">
      <c r="A27" s="54" t="inlineStr">
        <is>
          <t>영업이익</t>
        </is>
      </c>
      <c r="B27" s="55" t="n">
        <v>532.9</v>
      </c>
    </row>
    <row r="28">
      <c r="A28" s="54" t="inlineStr">
        <is>
          <t>pbt</t>
        </is>
      </c>
      <c r="B28" s="55" t="n">
        <v>582.8</v>
      </c>
    </row>
    <row r="29">
      <c r="A29" s="54" t="inlineStr">
        <is>
          <t>순이익 owner</t>
        </is>
      </c>
      <c r="B29" s="55" t="n">
        <v>317.6</v>
      </c>
    </row>
    <row r="31">
      <c r="A31" s="52" t="inlineStr">
        <is>
          <t>Q · 2025-Q2</t>
        </is>
      </c>
      <c r="B31" s="52" t="n"/>
      <c r="C31" s="52" t="n"/>
    </row>
    <row r="32">
      <c r="A32" s="53" t="inlineStr">
        <is>
          <t>항목</t>
        </is>
      </c>
      <c r="B32" s="53" t="inlineStr">
        <is>
          <t>값</t>
        </is>
      </c>
      <c r="C32" s="53" t="inlineStr">
        <is>
          <t>출처</t>
        </is>
      </c>
    </row>
    <row r="33">
      <c r="A33" s="54" t="inlineStr">
        <is>
          <t>매출</t>
        </is>
      </c>
      <c r="B33" s="55" t="n">
        <v>11322.3</v>
      </c>
      <c r="C33" s="56" t="inlineStr">
        <is>
          <t>2단계 보고서 자료(회사 설명회 자료·공시)</t>
        </is>
      </c>
    </row>
    <row r="34">
      <c r="A34" s="54" t="inlineStr">
        <is>
          <t>gp</t>
        </is>
      </c>
      <c r="B34" s="55" t="n">
        <v>2045.7</v>
      </c>
    </row>
    <row r="35">
      <c r="A35" s="54" t="inlineStr">
        <is>
          <t>sga</t>
        </is>
      </c>
      <c r="B35" s="55" t="n">
        <v>1385.3</v>
      </c>
    </row>
    <row r="36">
      <c r="A36" s="54" t="inlineStr">
        <is>
          <t>영업이익</t>
        </is>
      </c>
      <c r="B36" s="55" t="n">
        <v>660.3</v>
      </c>
    </row>
    <row r="37">
      <c r="A37" s="54" t="inlineStr">
        <is>
          <t>pbt</t>
        </is>
      </c>
      <c r="B37" s="55" t="n">
        <v>643</v>
      </c>
    </row>
    <row r="38">
      <c r="A38" s="54" t="inlineStr">
        <is>
          <t>순이익 owner</t>
        </is>
      </c>
      <c r="B38" s="55" t="n">
        <v>439.9</v>
      </c>
    </row>
    <row r="40">
      <c r="A40" s="52" t="inlineStr">
        <is>
          <t>Q · 2025-Q3</t>
        </is>
      </c>
      <c r="B40" s="52" t="n"/>
      <c r="C40" s="52" t="n"/>
    </row>
    <row r="41">
      <c r="A41" s="53" t="inlineStr">
        <is>
          <t>항목</t>
        </is>
      </c>
      <c r="B41" s="53" t="inlineStr">
        <is>
          <t>값</t>
        </is>
      </c>
      <c r="C41" s="53" t="inlineStr">
        <is>
          <t>출처</t>
        </is>
      </c>
    </row>
    <row r="42">
      <c r="A42" s="54" t="inlineStr">
        <is>
          <t>매출</t>
        </is>
      </c>
      <c r="B42" s="55" t="n">
        <v>11934.6</v>
      </c>
      <c r="C42" s="56" t="inlineStr">
        <is>
          <t>2단계 보고서 자료(회사 설명회 자료·공시)</t>
        </is>
      </c>
    </row>
    <row r="43">
      <c r="A43" s="54" t="inlineStr">
        <is>
          <t>gp</t>
        </is>
      </c>
      <c r="B43" s="55" t="n">
        <v>2289.8</v>
      </c>
    </row>
    <row r="44">
      <c r="A44" s="54" t="inlineStr">
        <is>
          <t>sga</t>
        </is>
      </c>
      <c r="B44" s="55" t="n">
        <v>1414.5</v>
      </c>
    </row>
    <row r="45">
      <c r="A45" s="54" t="inlineStr">
        <is>
          <t>영업이익</t>
        </is>
      </c>
      <c r="B45" s="55" t="n">
        <v>875.2</v>
      </c>
    </row>
    <row r="46">
      <c r="A46" s="54" t="inlineStr">
        <is>
          <t>pbt</t>
        </is>
      </c>
      <c r="B46" s="55" t="n">
        <v>723.7</v>
      </c>
    </row>
    <row r="47">
      <c r="A47" s="54" t="inlineStr">
        <is>
          <t>순이익 owner</t>
        </is>
      </c>
      <c r="B47" s="55" t="n">
        <v>379.3</v>
      </c>
    </row>
    <row r="49">
      <c r="A49" s="52" t="inlineStr">
        <is>
          <t>Q · 2025-Q4</t>
        </is>
      </c>
      <c r="B49" s="52" t="n"/>
      <c r="C49" s="52" t="n"/>
    </row>
    <row r="50">
      <c r="A50" s="53" t="inlineStr">
        <is>
          <t>항목</t>
        </is>
      </c>
      <c r="B50" s="53" t="inlineStr">
        <is>
          <t>값</t>
        </is>
      </c>
      <c r="C50" s="53" t="inlineStr">
        <is>
          <t>출처</t>
        </is>
      </c>
    </row>
    <row r="51">
      <c r="A51" s="54" t="inlineStr">
        <is>
          <t>매출</t>
        </is>
      </c>
      <c r="B51" s="55" t="n">
        <v>12385.5</v>
      </c>
      <c r="C51" s="56" t="inlineStr">
        <is>
          <t>2단계 보고서 자료(회사 설명회 자료·공시)</t>
        </is>
      </c>
    </row>
    <row r="52">
      <c r="A52" s="54" t="inlineStr">
        <is>
          <t>gp</t>
        </is>
      </c>
      <c r="B52" s="55" t="n">
        <v>2558.1</v>
      </c>
    </row>
    <row r="53">
      <c r="A53" s="54" t="inlineStr">
        <is>
          <t>sga</t>
        </is>
      </c>
      <c r="B53" s="55" t="n">
        <v>1419.8</v>
      </c>
    </row>
    <row r="54">
      <c r="A54" s="54" t="inlineStr">
        <is>
          <t>영업이익</t>
        </is>
      </c>
      <c r="B54" s="55" t="n">
        <v>1138.2</v>
      </c>
    </row>
    <row r="55">
      <c r="A55" s="54" t="inlineStr">
        <is>
          <t>pbt</t>
        </is>
      </c>
      <c r="B55" s="55" t="n">
        <v>1091.2</v>
      </c>
    </row>
    <row r="56">
      <c r="A56" s="54" t="inlineStr">
        <is>
          <t>순이익 owner</t>
        </is>
      </c>
      <c r="B56" s="55" t="n">
        <v>800.9</v>
      </c>
    </row>
    <row r="58">
      <c r="A58" s="52" t="inlineStr">
        <is>
          <t>Q · 2026-Q1</t>
        </is>
      </c>
      <c r="B58" s="52" t="n"/>
      <c r="C58" s="52" t="n"/>
    </row>
    <row r="59">
      <c r="A59" s="53" t="inlineStr">
        <is>
          <t>항목</t>
        </is>
      </c>
      <c r="B59" s="53" t="inlineStr">
        <is>
          <t>값</t>
        </is>
      </c>
      <c r="C59" s="53" t="inlineStr">
        <is>
          <t>출처</t>
        </is>
      </c>
    </row>
    <row r="60">
      <c r="A60" s="54" t="inlineStr">
        <is>
          <t>매출</t>
        </is>
      </c>
      <c r="B60" s="55" t="n">
        <v>11484.4</v>
      </c>
      <c r="C60" s="56" t="inlineStr">
        <is>
          <t>2단계 보고서 자료(회사 설명회 자료·공시)</t>
        </is>
      </c>
    </row>
    <row r="61">
      <c r="A61" s="54" t="inlineStr">
        <is>
          <t>gp</t>
        </is>
      </c>
      <c r="B61" s="55" t="n">
        <v>2069.2</v>
      </c>
    </row>
    <row r="62">
      <c r="A62" s="54" t="inlineStr">
        <is>
          <t>sga</t>
        </is>
      </c>
      <c r="B62" s="55" t="n">
        <v>1466.2</v>
      </c>
    </row>
    <row r="63">
      <c r="A63" s="54" t="inlineStr">
        <is>
          <t>영업이익</t>
        </is>
      </c>
      <c r="B63" s="55" t="n">
        <v>603</v>
      </c>
    </row>
    <row r="64">
      <c r="A64" s="54" t="inlineStr">
        <is>
          <t>pbt</t>
        </is>
      </c>
      <c r="B64" s="55" t="n">
        <v>612</v>
      </c>
    </row>
    <row r="65">
      <c r="A65" s="54" t="inlineStr">
        <is>
          <t>순이익 owner</t>
        </is>
      </c>
      <c r="B65" s="55" t="n">
        <v>351.2</v>
      </c>
    </row>
    <row r="67">
      <c r="A67" s="52" t="inlineStr">
        <is>
          <t>Q · 2026-Q2</t>
        </is>
      </c>
      <c r="B67" s="52" t="n"/>
      <c r="C67" s="52" t="n"/>
    </row>
    <row r="68">
      <c r="A68" s="53" t="inlineStr">
        <is>
          <t>항목</t>
        </is>
      </c>
      <c r="B68" s="53" t="inlineStr">
        <is>
          <t>값</t>
        </is>
      </c>
      <c r="C68" s="53" t="inlineStr">
        <is>
          <t>출처</t>
        </is>
      </c>
    </row>
    <row r="69">
      <c r="A69" s="54" t="inlineStr">
        <is>
          <t>매출</t>
        </is>
      </c>
      <c r="B69" s="55" t="n">
        <v>12250.2</v>
      </c>
      <c r="C69" s="56" t="inlineStr">
        <is>
          <t>2단계 보고서 자료(회사 설명회 자료·공시)</t>
        </is>
      </c>
    </row>
    <row r="70">
      <c r="A70" s="54" t="inlineStr">
        <is>
          <t>gp</t>
        </is>
      </c>
      <c r="B70" s="55" t="n">
        <v>2430.6</v>
      </c>
    </row>
    <row r="71">
      <c r="A71" s="54" t="inlineStr">
        <is>
          <t>sga</t>
        </is>
      </c>
      <c r="B71" s="55" t="n">
        <v>1503.4</v>
      </c>
    </row>
    <row r="72">
      <c r="A72" s="54" t="inlineStr">
        <is>
          <t>영업이익</t>
        </is>
      </c>
      <c r="B72" s="55" t="n">
        <v>927.2</v>
      </c>
    </row>
    <row r="73">
      <c r="A73" s="54" t="inlineStr">
        <is>
          <t>pbt</t>
        </is>
      </c>
      <c r="B73" s="55" t="n">
        <v>969.2</v>
      </c>
    </row>
    <row r="74">
      <c r="A74" s="54" t="inlineStr">
        <is>
          <t>순이익 owner</t>
        </is>
      </c>
      <c r="B74" s="55" t="n">
        <v>628.2</v>
      </c>
    </row>
    <row r="76">
      <c r="A76" s="52" t="inlineStr">
        <is>
          <t>Q · 2026-Q3</t>
        </is>
      </c>
      <c r="B76" s="52" t="n"/>
      <c r="C76" s="52" t="n"/>
    </row>
    <row r="77">
      <c r="A77" s="53" t="inlineStr">
        <is>
          <t>항목</t>
        </is>
      </c>
      <c r="B77" s="53" t="inlineStr">
        <is>
          <t>값</t>
        </is>
      </c>
      <c r="C77" s="53" t="inlineStr">
        <is>
          <t>출처</t>
        </is>
      </c>
    </row>
    <row r="78">
      <c r="A78" s="54" t="inlineStr">
        <is>
          <t>매출</t>
        </is>
      </c>
      <c r="B78" s="55" t="n">
        <v>13134.4</v>
      </c>
      <c r="C78" s="56" t="inlineStr">
        <is>
          <t>2단계 보고서 자료(회사 설명회 자료·공시)</t>
        </is>
      </c>
    </row>
    <row r="79">
      <c r="A79" s="54" t="inlineStr">
        <is>
          <t>gp</t>
        </is>
      </c>
      <c r="B79" s="55" t="n">
        <v>2716.2</v>
      </c>
    </row>
    <row r="80">
      <c r="A80" s="54" t="inlineStr">
        <is>
          <t>sga</t>
        </is>
      </c>
      <c r="B80" s="55" t="n">
        <v>1536</v>
      </c>
    </row>
    <row r="81">
      <c r="A81" s="54" t="inlineStr">
        <is>
          <t>영업이익</t>
        </is>
      </c>
      <c r="B81" s="55" t="n">
        <v>1180.2</v>
      </c>
    </row>
    <row r="82">
      <c r="A82" s="54" t="inlineStr">
        <is>
          <t>pbt</t>
        </is>
      </c>
      <c r="B82" s="55" t="n">
        <v>1219</v>
      </c>
    </row>
    <row r="83">
      <c r="A83" s="54" t="inlineStr">
        <is>
          <t>순이익 owner</t>
        </is>
      </c>
      <c r="B83" s="55" t="n">
        <v>792.8</v>
      </c>
    </row>
    <row r="85">
      <c r="A85" s="52" t="inlineStr">
        <is>
          <t>Q · 2026-Q4</t>
        </is>
      </c>
      <c r="B85" s="52" t="n"/>
      <c r="C85" s="52" t="n"/>
    </row>
    <row r="86">
      <c r="A86" s="53" t="inlineStr">
        <is>
          <t>항목</t>
        </is>
      </c>
      <c r="B86" s="53" t="inlineStr">
        <is>
          <t>값</t>
        </is>
      </c>
      <c r="C86" s="53" t="inlineStr">
        <is>
          <t>출처</t>
        </is>
      </c>
    </row>
    <row r="87">
      <c r="A87" s="54" t="inlineStr">
        <is>
          <t>매출</t>
        </is>
      </c>
      <c r="B87" s="55" t="n">
        <v>14232.7</v>
      </c>
      <c r="C87" s="56" t="inlineStr">
        <is>
          <t>2단계 보고서 자료(회사 설명회 자료·공시)</t>
        </is>
      </c>
    </row>
    <row r="88">
      <c r="A88" s="54" t="inlineStr">
        <is>
          <t>gp</t>
        </is>
      </c>
      <c r="B88" s="55" t="n">
        <v>3124.3</v>
      </c>
    </row>
    <row r="89">
      <c r="A89" s="54" t="inlineStr">
        <is>
          <t>sga</t>
        </is>
      </c>
      <c r="B89" s="55" t="n">
        <v>1653</v>
      </c>
    </row>
    <row r="90">
      <c r="A90" s="54" t="inlineStr">
        <is>
          <t>영업이익</t>
        </is>
      </c>
      <c r="B90" s="55" t="n">
        <v>1471.3</v>
      </c>
    </row>
    <row r="91">
      <c r="A91" s="54" t="inlineStr">
        <is>
          <t>pbt</t>
        </is>
      </c>
      <c r="B91" s="55" t="n">
        <v>2251.4</v>
      </c>
    </row>
    <row r="92">
      <c r="A92" s="54" t="inlineStr">
        <is>
          <t>순이익 owner</t>
        </is>
      </c>
      <c r="B92" s="55" t="n">
        <v>1922.9</v>
      </c>
    </row>
    <row r="94">
      <c r="A94" s="52" t="inlineStr">
        <is>
          <t>Q · 2027-Q1</t>
        </is>
      </c>
      <c r="B94" s="52" t="n"/>
      <c r="C94" s="52" t="n"/>
    </row>
    <row r="95">
      <c r="A95" s="53" t="inlineStr">
        <is>
          <t>항목</t>
        </is>
      </c>
      <c r="B95" s="53" t="inlineStr">
        <is>
          <t>값</t>
        </is>
      </c>
      <c r="C95" s="53" t="inlineStr">
        <is>
          <t>출처</t>
        </is>
      </c>
    </row>
    <row r="96">
      <c r="A96" s="54" t="inlineStr">
        <is>
          <t>매출</t>
        </is>
      </c>
      <c r="B96" s="55" t="n">
        <v>13305.9</v>
      </c>
      <c r="C96" s="56" t="inlineStr">
        <is>
          <t>2단계 보고서 자료(회사 설명회 자료·공시)</t>
        </is>
      </c>
    </row>
    <row r="97">
      <c r="A97" s="54" t="inlineStr">
        <is>
          <t>gp</t>
        </is>
      </c>
      <c r="B97" s="55" t="n">
        <v>2596.2</v>
      </c>
    </row>
    <row r="98">
      <c r="A98" s="54" t="inlineStr">
        <is>
          <t>sga</t>
        </is>
      </c>
      <c r="B98" s="55" t="n">
        <v>1625.6</v>
      </c>
    </row>
    <row r="99">
      <c r="A99" s="54" t="inlineStr">
        <is>
          <t>영업이익</t>
        </is>
      </c>
      <c r="B99" s="55" t="n">
        <v>970.6</v>
      </c>
    </row>
    <row r="100">
      <c r="A100" s="54" t="inlineStr">
        <is>
          <t>pbt</t>
        </is>
      </c>
      <c r="B100" s="55" t="n">
        <v>1023.8</v>
      </c>
    </row>
    <row r="101">
      <c r="A101" s="54" t="inlineStr">
        <is>
          <t>순이익 owner</t>
        </is>
      </c>
      <c r="B101" s="55" t="n">
        <v>664.1</v>
      </c>
    </row>
    <row r="103">
      <c r="A103" s="52" t="inlineStr">
        <is>
          <t>Q · 2027-Q2</t>
        </is>
      </c>
      <c r="B103" s="52" t="n"/>
      <c r="C103" s="52" t="n"/>
    </row>
    <row r="104">
      <c r="A104" s="53" t="inlineStr">
        <is>
          <t>항목</t>
        </is>
      </c>
      <c r="B104" s="53" t="inlineStr">
        <is>
          <t>값</t>
        </is>
      </c>
      <c r="C104" s="53" t="inlineStr">
        <is>
          <t>출처</t>
        </is>
      </c>
    </row>
    <row r="105">
      <c r="A105" s="54" t="inlineStr">
        <is>
          <t>매출</t>
        </is>
      </c>
      <c r="B105" s="55" t="n">
        <v>14343.2</v>
      </c>
      <c r="C105" s="56" t="inlineStr">
        <is>
          <t>2단계 보고서 자료(회사 설명회 자료·공시)</t>
        </is>
      </c>
    </row>
    <row r="106">
      <c r="A106" s="54" t="inlineStr">
        <is>
          <t>gp</t>
        </is>
      </c>
      <c r="B106" s="55" t="n">
        <v>2898.5</v>
      </c>
    </row>
    <row r="107">
      <c r="A107" s="54" t="inlineStr">
        <is>
          <t>sga</t>
        </is>
      </c>
      <c r="B107" s="55" t="n">
        <v>1673.5</v>
      </c>
    </row>
    <row r="108">
      <c r="A108" s="54" t="inlineStr">
        <is>
          <t>영업이익</t>
        </is>
      </c>
      <c r="B108" s="55" t="n">
        <v>1225.1</v>
      </c>
    </row>
    <row r="109">
      <c r="A109" s="54" t="inlineStr">
        <is>
          <t>pbt</t>
        </is>
      </c>
      <c r="B109" s="55" t="n">
        <v>1338.9</v>
      </c>
    </row>
    <row r="110">
      <c r="A110" s="54" t="inlineStr">
        <is>
          <t>순이익 owner</t>
        </is>
      </c>
      <c r="B110" s="55" t="n">
        <v>929.7</v>
      </c>
    </row>
    <row r="112">
      <c r="A112" s="52" t="inlineStr">
        <is>
          <t>ORD</t>
        </is>
      </c>
      <c r="B112" s="52" t="n"/>
      <c r="C112" s="52" t="n"/>
    </row>
    <row r="113">
      <c r="A113" s="53" t="inlineStr">
        <is>
          <t>항목</t>
        </is>
      </c>
      <c r="B113" s="53" t="inlineStr">
        <is>
          <t>값</t>
        </is>
      </c>
      <c r="C113" s="53" t="inlineStr">
        <is>
          <t>출처</t>
        </is>
      </c>
    </row>
    <row r="114">
      <c r="A114" s="54" t="inlineStr">
        <is>
          <t>2024-Q3</t>
        </is>
      </c>
      <c r="B114" s="55" t="n">
        <v>786.8200000000001</v>
      </c>
      <c r="C114" s="56" t="inlineStr">
        <is>
          <t>2단계 보고서 자료(회사 설명회 자료·공시)</t>
        </is>
      </c>
    </row>
    <row r="115">
      <c r="A115" s="54" t="inlineStr">
        <is>
          <t>2024-Q4</t>
        </is>
      </c>
      <c r="B115" s="55" t="n">
        <v>759</v>
      </c>
    </row>
    <row r="116">
      <c r="A116" s="54" t="inlineStr">
        <is>
          <t>2025-Q1</t>
        </is>
      </c>
      <c r="B116" s="55" t="n">
        <v>587.9299999999999</v>
      </c>
    </row>
    <row r="117">
      <c r="A117" s="54" t="inlineStr">
        <is>
          <t>2025-Q2</t>
        </is>
      </c>
      <c r="B117" s="55" t="n">
        <v>629.11</v>
      </c>
    </row>
    <row r="118">
      <c r="A118" s="54" t="inlineStr">
        <is>
          <t>2025-Q3</t>
        </is>
      </c>
      <c r="B118" s="55" t="n">
        <v>762.55</v>
      </c>
    </row>
    <row r="119">
      <c r="A119" s="54" t="inlineStr">
        <is>
          <t>2025-Q4</t>
        </is>
      </c>
      <c r="B119" s="55" t="n">
        <v>1115.37</v>
      </c>
    </row>
    <row r="120">
      <c r="A120" s="54" t="inlineStr">
        <is>
          <t>2026-Q1</t>
        </is>
      </c>
      <c r="B120" s="55" t="n">
        <v>618.37</v>
      </c>
    </row>
    <row r="121">
      <c r="A121" s="54" t="inlineStr">
        <is>
          <t>2026-Q2</t>
        </is>
      </c>
      <c r="B121" s="55" t="n">
        <v>936.79</v>
      </c>
    </row>
    <row r="122">
      <c r="A122" s="54" t="inlineStr">
        <is>
          <t>2026-Q3</t>
        </is>
      </c>
      <c r="B122" s="55" t="n">
        <v>1209.43</v>
      </c>
    </row>
    <row r="123">
      <c r="A123" s="54" t="inlineStr">
        <is>
          <t>2026-Q4</t>
        </is>
      </c>
      <c r="B123" s="55" t="n">
        <v>1548.15</v>
      </c>
    </row>
    <row r="124">
      <c r="A124" s="54" t="inlineStr">
        <is>
          <t>2027-Q1</t>
        </is>
      </c>
      <c r="B124" s="55" t="n">
        <v>1030.39</v>
      </c>
    </row>
    <row r="125">
      <c r="A125" s="54" t="inlineStr">
        <is>
          <t>2027-Q2</t>
        </is>
      </c>
      <c r="B125" s="55" t="n">
        <v>1282.02</v>
      </c>
    </row>
    <row r="127">
      <c r="A127" s="52" t="inlineStr">
        <is>
          <t>EQM</t>
        </is>
      </c>
      <c r="B127" s="52" t="n"/>
      <c r="C127" s="52" t="n"/>
    </row>
    <row r="128">
      <c r="A128" s="53" t="inlineStr">
        <is>
          <t>항목</t>
        </is>
      </c>
      <c r="B128" s="53" t="inlineStr">
        <is>
          <t>값</t>
        </is>
      </c>
      <c r="C128" s="53" t="inlineStr">
        <is>
          <t>출처</t>
        </is>
      </c>
    </row>
    <row r="129">
      <c r="A129" s="54" t="inlineStr">
        <is>
          <t>2025-Q1</t>
        </is>
      </c>
      <c r="B129" s="55" t="n">
        <v>90.19</v>
      </c>
      <c r="C129" s="56" t="inlineStr">
        <is>
          <t>2단계 보고서 자료(회사 설명회 자료·공시)</t>
        </is>
      </c>
    </row>
    <row r="130">
      <c r="A130" s="54" t="inlineStr">
        <is>
          <t>2025-Q2</t>
        </is>
      </c>
      <c r="B130" s="55" t="n">
        <v>79.75</v>
      </c>
    </row>
    <row r="131">
      <c r="A131" s="54" t="inlineStr">
        <is>
          <t>2025-Q3</t>
        </is>
      </c>
      <c r="B131" s="55" t="n">
        <v>-98.94</v>
      </c>
    </row>
    <row r="132">
      <c r="A132" s="54" t="inlineStr">
        <is>
          <t>2025-Q4</t>
        </is>
      </c>
      <c r="B132" s="55" t="n">
        <v>76.76000000000001</v>
      </c>
    </row>
    <row r="133">
      <c r="A133" s="54" t="inlineStr">
        <is>
          <t>2026-Q1</t>
        </is>
      </c>
      <c r="B133" s="55" t="n">
        <v>31.51</v>
      </c>
    </row>
    <row r="134">
      <c r="A134" s="54" t="inlineStr">
        <is>
          <t>2026-Q2</t>
        </is>
      </c>
      <c r="B134" s="55" t="n">
        <v>80.23</v>
      </c>
    </row>
    <row r="135">
      <c r="A135" s="54" t="inlineStr">
        <is>
          <t>2026-Q3</t>
        </is>
      </c>
      <c r="B135" s="55" t="n">
        <v>78.28</v>
      </c>
    </row>
    <row r="136">
      <c r="A136" s="54" t="inlineStr">
        <is>
          <t>2026-Q4</t>
        </is>
      </c>
      <c r="B136" s="55" t="n">
        <v>123.88</v>
      </c>
    </row>
    <row r="137">
      <c r="A137" s="54" t="inlineStr">
        <is>
          <t>2027-Q1</t>
        </is>
      </c>
      <c r="B137" s="55" t="n">
        <v>88.76000000000001</v>
      </c>
    </row>
    <row r="138">
      <c r="A138" s="54" t="inlineStr">
        <is>
          <t>2027-Q2</t>
        </is>
      </c>
      <c r="B138" s="55" t="n">
        <v>107.32</v>
      </c>
    </row>
    <row r="140">
      <c r="A140" s="52" t="inlineStr">
        <is>
          <t>A · FY2017</t>
        </is>
      </c>
      <c r="B140" s="52" t="n"/>
      <c r="C140" s="52" t="n"/>
    </row>
    <row r="141">
      <c r="A141" s="53" t="inlineStr">
        <is>
          <t>항목</t>
        </is>
      </c>
      <c r="B141" s="53" t="inlineStr">
        <is>
          <t>값</t>
        </is>
      </c>
      <c r="C141" s="53" t="inlineStr">
        <is>
          <t>출처</t>
        </is>
      </c>
    </row>
    <row r="142">
      <c r="A142" s="54" t="inlineStr">
        <is>
          <t>매출</t>
        </is>
      </c>
      <c r="B142" s="55" t="n">
        <v>28144.8</v>
      </c>
      <c r="C142" s="56" t="inlineStr">
        <is>
          <t>2단계 보고서 자료(회사 설명회 자료·공시)</t>
        </is>
      </c>
    </row>
    <row r="143">
      <c r="A143" s="54" t="inlineStr">
        <is>
          <t>gp</t>
        </is>
      </c>
      <c r="B143" s="55" t="n">
        <v>5302.9</v>
      </c>
    </row>
    <row r="144">
      <c r="A144" s="54" t="inlineStr">
        <is>
          <t>sga</t>
        </is>
      </c>
      <c r="B144" s="55" t="n">
        <v>3797.9</v>
      </c>
    </row>
    <row r="145">
      <c r="A145" s="54" t="inlineStr">
        <is>
          <t>영업이익</t>
        </is>
      </c>
      <c r="B145" s="55" t="n">
        <v>1505</v>
      </c>
    </row>
    <row r="146">
      <c r="A146" s="54" t="inlineStr">
        <is>
          <t>pbt</t>
        </is>
      </c>
      <c r="B146" s="55" t="n">
        <v>1677.9</v>
      </c>
    </row>
    <row r="147">
      <c r="A147" s="54" t="inlineStr">
        <is>
          <t>순이익 owner</t>
        </is>
      </c>
      <c r="B147" s="55" t="n">
        <v>1075.6</v>
      </c>
    </row>
    <row r="149">
      <c r="A149" s="52" t="inlineStr">
        <is>
          <t>A · FY2018</t>
        </is>
      </c>
      <c r="B149" s="52" t="n"/>
      <c r="C149" s="52" t="n"/>
    </row>
    <row r="150">
      <c r="A150" s="53" t="inlineStr">
        <is>
          <t>항목</t>
        </is>
      </c>
      <c r="B150" s="53" t="inlineStr">
        <is>
          <t>값</t>
        </is>
      </c>
      <c r="C150" s="53" t="inlineStr">
        <is>
          <t>출처</t>
        </is>
      </c>
    </row>
    <row r="151">
      <c r="A151" s="54" t="inlineStr">
        <is>
          <t>매출</t>
        </is>
      </c>
      <c r="B151" s="55" t="n">
        <v>30822.5</v>
      </c>
      <c r="C151" s="56" t="inlineStr">
        <is>
          <t>2단계 보고서 자료(회사 설명회 자료·공시)</t>
        </is>
      </c>
    </row>
    <row r="152">
      <c r="A152" s="54" t="inlineStr">
        <is>
          <t>gp</t>
        </is>
      </c>
      <c r="B152" s="55" t="n">
        <v>5748.1</v>
      </c>
    </row>
    <row r="153">
      <c r="A153" s="54" t="inlineStr">
        <is>
          <t>sga</t>
        </is>
      </c>
      <c r="B153" s="55" t="n">
        <v>4016.7</v>
      </c>
    </row>
    <row r="154">
      <c r="A154" s="54" t="inlineStr">
        <is>
          <t>영업이익</t>
        </is>
      </c>
      <c r="B154" s="55" t="n">
        <v>1731.4</v>
      </c>
    </row>
    <row r="155">
      <c r="A155" s="54" t="inlineStr">
        <is>
          <t>pbt</t>
        </is>
      </c>
      <c r="B155" s="55" t="n">
        <v>1933.4</v>
      </c>
    </row>
    <row r="156">
      <c r="A156" s="54" t="inlineStr">
        <is>
          <t>순이익 owner</t>
        </is>
      </c>
      <c r="B156" s="55" t="n">
        <v>1203.3</v>
      </c>
    </row>
    <row r="158">
      <c r="A158" s="52" t="inlineStr">
        <is>
          <t>A · FY2019</t>
        </is>
      </c>
      <c r="B158" s="52" t="n"/>
      <c r="C158" s="52" t="n"/>
    </row>
    <row r="159">
      <c r="A159" s="53" t="inlineStr">
        <is>
          <t>항목</t>
        </is>
      </c>
      <c r="B159" s="53" t="inlineStr">
        <is>
          <t>값</t>
        </is>
      </c>
      <c r="C159" s="53" t="inlineStr">
        <is>
          <t>출처</t>
        </is>
      </c>
    </row>
    <row r="160">
      <c r="A160" s="54" t="inlineStr">
        <is>
          <t>매출</t>
        </is>
      </c>
      <c r="B160" s="55" t="n">
        <v>31779.8</v>
      </c>
      <c r="C160" s="56" t="inlineStr">
        <is>
          <t>2단계 보고서 자료(회사 설명회 자료·공시)</t>
        </is>
      </c>
    </row>
    <row r="161">
      <c r="A161" s="54" t="inlineStr">
        <is>
          <t>gp</t>
        </is>
      </c>
      <c r="B161" s="55" t="n">
        <v>5846.2</v>
      </c>
    </row>
    <row r="162">
      <c r="A162" s="54" t="inlineStr">
        <is>
          <t>sga</t>
        </is>
      </c>
      <c r="B162" s="55" t="n">
        <v>4183.6</v>
      </c>
    </row>
    <row r="163">
      <c r="A163" s="54" t="inlineStr">
        <is>
          <t>영업이익</t>
        </is>
      </c>
      <c r="B163" s="55" t="n">
        <v>1662.6</v>
      </c>
    </row>
    <row r="164">
      <c r="A164" s="54" t="inlineStr">
        <is>
          <t>pbt</t>
        </is>
      </c>
      <c r="B164" s="55" t="n">
        <v>1813.9</v>
      </c>
    </row>
    <row r="165">
      <c r="A165" s="54" t="inlineStr">
        <is>
          <t>순이익 owner</t>
        </is>
      </c>
      <c r="B165" s="55" t="n">
        <v>1180.6</v>
      </c>
    </row>
    <row r="167">
      <c r="A167" s="52" t="inlineStr">
        <is>
          <t>A · FY2020</t>
        </is>
      </c>
      <c r="B167" s="52" t="n"/>
      <c r="C167" s="52" t="n"/>
    </row>
    <row r="168">
      <c r="A168" s="53" t="inlineStr">
        <is>
          <t>항목</t>
        </is>
      </c>
      <c r="B168" s="53" t="inlineStr">
        <is>
          <t>값</t>
        </is>
      </c>
      <c r="C168" s="53" t="inlineStr">
        <is>
          <t>출처</t>
        </is>
      </c>
    </row>
    <row r="169">
      <c r="A169" s="54" t="inlineStr">
        <is>
          <t>매출</t>
        </is>
      </c>
      <c r="B169" s="55" t="n">
        <v>31070.3</v>
      </c>
      <c r="C169" s="56" t="inlineStr">
        <is>
          <t>2단계 보고서 자료(회사 설명회 자료·공시)</t>
        </is>
      </c>
    </row>
    <row r="170">
      <c r="A170" s="54" t="inlineStr">
        <is>
          <t>gp</t>
        </is>
      </c>
      <c r="B170" s="55" t="n">
        <v>5531.2</v>
      </c>
    </row>
    <row r="171">
      <c r="A171" s="54" t="inlineStr">
        <is>
          <t>sga</t>
        </is>
      </c>
      <c r="B171" s="55" t="n">
        <v>4259.1</v>
      </c>
    </row>
    <row r="172">
      <c r="A172" s="54" t="inlineStr">
        <is>
          <t>영업이익</t>
        </is>
      </c>
      <c r="B172" s="55" t="n">
        <v>1272.2</v>
      </c>
    </row>
    <row r="173">
      <c r="A173" s="54" t="inlineStr">
        <is>
          <t>pbt</t>
        </is>
      </c>
      <c r="B173" s="55" t="n">
        <v>1332</v>
      </c>
    </row>
    <row r="174">
      <c r="A174" s="54" t="inlineStr">
        <is>
          <t>순이익 owner</t>
        </is>
      </c>
      <c r="B174" s="55" t="n">
        <v>727.2</v>
      </c>
    </row>
    <row r="176">
      <c r="A176" s="52" t="inlineStr">
        <is>
          <t>A · FY2021</t>
        </is>
      </c>
      <c r="B176" s="52" t="n"/>
      <c r="C176" s="52" t="n"/>
    </row>
    <row r="177">
      <c r="A177" s="53" t="inlineStr">
        <is>
          <t>항목</t>
        </is>
      </c>
      <c r="B177" s="53" t="inlineStr">
        <is>
          <t>값</t>
        </is>
      </c>
      <c r="C177" s="53" t="inlineStr">
        <is>
          <t>출처</t>
        </is>
      </c>
    </row>
    <row r="178">
      <c r="A178" s="54" t="inlineStr">
        <is>
          <t>매출</t>
        </is>
      </c>
      <c r="B178" s="55" t="n">
        <v>29185.8</v>
      </c>
      <c r="C178" s="56" t="inlineStr">
        <is>
          <t>2단계 보고서 자료(회사 설명회 자료·공시)</t>
        </is>
      </c>
    </row>
    <row r="179">
      <c r="A179" s="54" t="inlineStr">
        <is>
          <t>gp</t>
        </is>
      </c>
      <c r="B179" s="55" t="n">
        <v>5313.4</v>
      </c>
    </row>
    <row r="180">
      <c r="A180" s="54" t="inlineStr">
        <is>
          <t>sga</t>
        </is>
      </c>
      <c r="B180" s="55" t="n">
        <v>4174.2</v>
      </c>
    </row>
    <row r="181">
      <c r="A181" s="54" t="inlineStr">
        <is>
          <t>영업이익</t>
        </is>
      </c>
      <c r="B181" s="55" t="n">
        <v>1139.3</v>
      </c>
    </row>
    <row r="182">
      <c r="A182" s="54" t="inlineStr">
        <is>
          <t>pbt</t>
        </is>
      </c>
      <c r="B182" s="55" t="n">
        <v>1103.4</v>
      </c>
    </row>
    <row r="183">
      <c r="A183" s="54" t="inlineStr">
        <is>
          <t>순이익 owner</t>
        </is>
      </c>
      <c r="B183" s="55" t="n">
        <v>563.4</v>
      </c>
    </row>
    <row r="185">
      <c r="A185" s="52" t="inlineStr">
        <is>
          <t>A · FY2022</t>
        </is>
      </c>
      <c r="B185" s="52" t="n"/>
      <c r="C185" s="52" t="n"/>
    </row>
    <row r="186">
      <c r="A186" s="53" t="inlineStr">
        <is>
          <t>항목</t>
        </is>
      </c>
      <c r="B186" s="53" t="inlineStr">
        <is>
          <t>값</t>
        </is>
      </c>
      <c r="C186" s="53" t="inlineStr">
        <is>
          <t>출처</t>
        </is>
      </c>
    </row>
    <row r="187">
      <c r="A187" s="54" t="inlineStr">
        <is>
          <t>매출</t>
        </is>
      </c>
      <c r="B187" s="55" t="n">
        <v>33678.6</v>
      </c>
      <c r="C187" s="56" t="inlineStr">
        <is>
          <t>2단계 보고서 자료(회사 설명회 자료·공시)</t>
        </is>
      </c>
    </row>
    <row r="188">
      <c r="A188" s="54" t="inlineStr">
        <is>
          <t>gp</t>
        </is>
      </c>
      <c r="B188" s="55" t="n">
        <v>5739.4</v>
      </c>
    </row>
    <row r="189">
      <c r="A189" s="54" t="inlineStr">
        <is>
          <t>sga</t>
        </is>
      </c>
      <c r="B189" s="55" t="n">
        <v>4517.5</v>
      </c>
    </row>
    <row r="190">
      <c r="A190" s="54" t="inlineStr">
        <is>
          <t>영업이익</t>
        </is>
      </c>
      <c r="B190" s="55" t="n">
        <v>1222</v>
      </c>
    </row>
    <row r="191">
      <c r="A191" s="54" t="inlineStr">
        <is>
          <t>pbt</t>
        </is>
      </c>
      <c r="B191" s="55" t="n">
        <v>1599.2</v>
      </c>
    </row>
    <row r="192">
      <c r="A192" s="54" t="inlineStr">
        <is>
          <t>순이익 owner</t>
        </is>
      </c>
      <c r="B192" s="55" t="n">
        <v>963.1</v>
      </c>
    </row>
    <row r="194">
      <c r="A194" s="52" t="inlineStr">
        <is>
          <t>A · FY2023</t>
        </is>
      </c>
      <c r="B194" s="52" t="n"/>
      <c r="C194" s="52" t="n"/>
    </row>
    <row r="195">
      <c r="A195" s="53" t="inlineStr">
        <is>
          <t>항목</t>
        </is>
      </c>
      <c r="B195" s="53" t="inlineStr">
        <is>
          <t>값</t>
        </is>
      </c>
      <c r="C195" s="53" t="inlineStr">
        <is>
          <t>출처</t>
        </is>
      </c>
    </row>
    <row r="196">
      <c r="A196" s="54" t="inlineStr">
        <is>
          <t>매출</t>
        </is>
      </c>
      <c r="B196" s="55" t="n">
        <v>40055.6</v>
      </c>
      <c r="C196" s="56" t="inlineStr">
        <is>
          <t>2단계 보고서 자료(회사 설명회 자료·공시)</t>
        </is>
      </c>
    </row>
    <row r="197">
      <c r="A197" s="54" t="inlineStr">
        <is>
          <t>gp</t>
        </is>
      </c>
      <c r="B197" s="55" t="n">
        <v>6699.8</v>
      </c>
    </row>
    <row r="198">
      <c r="A198" s="54" t="inlineStr">
        <is>
          <t>sga</t>
        </is>
      </c>
      <c r="B198" s="55" t="n">
        <v>4925.3</v>
      </c>
    </row>
    <row r="199">
      <c r="A199" s="54" t="inlineStr">
        <is>
          <t>영업이익</t>
        </is>
      </c>
      <c r="B199" s="55" t="n">
        <v>1774.4</v>
      </c>
    </row>
    <row r="200">
      <c r="A200" s="54" t="inlineStr">
        <is>
          <t>pbt</t>
        </is>
      </c>
      <c r="B200" s="55" t="n">
        <v>1964.7</v>
      </c>
    </row>
    <row r="201">
      <c r="A201" s="54" t="inlineStr">
        <is>
          <t>순이익 owner</t>
        </is>
      </c>
      <c r="B201" s="55" t="n">
        <v>1126.5</v>
      </c>
    </row>
    <row r="203">
      <c r="A203" s="52" t="inlineStr">
        <is>
          <t>A · FY2024</t>
        </is>
      </c>
      <c r="B203" s="52" t="n"/>
      <c r="C203" s="52" t="n"/>
    </row>
    <row r="204">
      <c r="A204" s="53" t="inlineStr">
        <is>
          <t>항목</t>
        </is>
      </c>
      <c r="B204" s="53" t="inlineStr">
        <is>
          <t>값</t>
        </is>
      </c>
      <c r="C204" s="53" t="inlineStr">
        <is>
          <t>출처</t>
        </is>
      </c>
    </row>
    <row r="205">
      <c r="A205" s="54" t="inlineStr">
        <is>
          <t>매출</t>
        </is>
      </c>
      <c r="B205" s="55" t="n">
        <v>44028.1</v>
      </c>
      <c r="C205" s="56" t="inlineStr">
        <is>
          <t>2단계 보고서 자료(회사 설명회 자료·공시)</t>
        </is>
      </c>
    </row>
    <row r="206">
      <c r="A206" s="54" t="inlineStr">
        <is>
          <t>gp</t>
        </is>
      </c>
      <c r="B206" s="55" t="n">
        <v>7675.9</v>
      </c>
    </row>
    <row r="207">
      <c r="A207" s="54" t="inlineStr">
        <is>
          <t>sga</t>
        </is>
      </c>
      <c r="B207" s="55" t="n">
        <v>5409.7</v>
      </c>
    </row>
    <row r="208">
      <c r="A208" s="54" t="inlineStr">
        <is>
          <t>영업이익</t>
        </is>
      </c>
      <c r="B208" s="55" t="n">
        <v>2266.2</v>
      </c>
    </row>
    <row r="209">
      <c r="A209" s="54" t="inlineStr">
        <is>
          <t>pbt</t>
        </is>
      </c>
      <c r="B209" s="55" t="n">
        <v>2385.4</v>
      </c>
    </row>
    <row r="210">
      <c r="A210" s="54" t="inlineStr">
        <is>
          <t>순이익 owner</t>
        </is>
      </c>
      <c r="B210" s="55" t="n">
        <v>1497.2</v>
      </c>
    </row>
    <row r="212">
      <c r="A212" s="52" t="inlineStr">
        <is>
          <t>A · FY2025</t>
        </is>
      </c>
      <c r="B212" s="52" t="n"/>
      <c r="C212" s="52" t="n"/>
    </row>
    <row r="213">
      <c r="A213" s="53" t="inlineStr">
        <is>
          <t>항목</t>
        </is>
      </c>
      <c r="B213" s="53" t="inlineStr">
        <is>
          <t>값</t>
        </is>
      </c>
      <c r="C213" s="53" t="inlineStr">
        <is>
          <t>출처</t>
        </is>
      </c>
    </row>
    <row r="214">
      <c r="A214" s="54" t="inlineStr">
        <is>
          <t>매출</t>
        </is>
      </c>
      <c r="B214" s="55" t="n">
        <v>46797.9</v>
      </c>
      <c r="C214" s="56" t="inlineStr">
        <is>
          <t>2단계 보고서 자료(회사 설명회 자료·공시)</t>
        </is>
      </c>
    </row>
    <row r="215">
      <c r="A215" s="54" t="inlineStr">
        <is>
          <t>gp</t>
        </is>
      </c>
      <c r="B215" s="55" t="n">
        <v>8801.299999999999</v>
      </c>
    </row>
    <row r="216">
      <c r="A216" s="54" t="inlineStr">
        <is>
          <t>sga</t>
        </is>
      </c>
      <c r="B216" s="55" t="n">
        <v>5594.6</v>
      </c>
    </row>
    <row r="217">
      <c r="A217" s="54" t="inlineStr">
        <is>
          <t>영업이익</t>
        </is>
      </c>
      <c r="B217" s="55" t="n">
        <v>3206.6</v>
      </c>
    </row>
    <row r="218">
      <c r="A218" s="54" t="inlineStr">
        <is>
          <t>pbt</t>
        </is>
      </c>
      <c r="B218" s="55" t="n">
        <v>3040.6</v>
      </c>
    </row>
    <row r="219">
      <c r="A219" s="54" t="inlineStr">
        <is>
          <t>순이익 owner</t>
        </is>
      </c>
      <c r="B219" s="55" t="n">
        <v>1937.7</v>
      </c>
    </row>
    <row r="221">
      <c r="A221" s="52" t="inlineStr">
        <is>
          <t>A · FY2026</t>
        </is>
      </c>
      <c r="B221" s="52" t="n"/>
      <c r="C221" s="52" t="n"/>
    </row>
    <row r="222">
      <c r="A222" s="53" t="inlineStr">
        <is>
          <t>항목</t>
        </is>
      </c>
      <c r="B222" s="53" t="inlineStr">
        <is>
          <t>값</t>
        </is>
      </c>
      <c r="C222" s="53" t="inlineStr">
        <is>
          <t>출처</t>
        </is>
      </c>
    </row>
    <row r="223">
      <c r="A223" s="54" t="inlineStr">
        <is>
          <t>매출</t>
        </is>
      </c>
      <c r="B223" s="55" t="n">
        <v>51101.7</v>
      </c>
      <c r="C223" s="56" t="inlineStr">
        <is>
          <t>2단계 보고서 자료(회사 설명회 자료·공시)</t>
        </is>
      </c>
    </row>
    <row r="224">
      <c r="A224" s="54" t="inlineStr">
        <is>
          <t>gp</t>
        </is>
      </c>
      <c r="B224" s="55" t="n">
        <v>10340.3</v>
      </c>
    </row>
    <row r="225">
      <c r="A225" s="54" t="inlineStr">
        <is>
          <t>sga</t>
        </is>
      </c>
      <c r="B225" s="55" t="n">
        <v>6158.6</v>
      </c>
    </row>
    <row r="226">
      <c r="A226" s="54" t="inlineStr">
        <is>
          <t>영업이익</t>
        </is>
      </c>
      <c r="B226" s="55" t="n">
        <v>4181.7</v>
      </c>
    </row>
    <row r="227">
      <c r="A227" s="54" t="inlineStr">
        <is>
          <t>pbt</t>
        </is>
      </c>
      <c r="B227" s="55" t="n">
        <v>5051.6</v>
      </c>
    </row>
    <row r="228">
      <c r="A228" s="54" t="inlineStr">
        <is>
          <t>순이익 owner</t>
        </is>
      </c>
      <c r="B228" s="55" t="n">
        <v>3695.1</v>
      </c>
    </row>
    <row r="230">
      <c r="A230" s="52" t="inlineStr">
        <is>
          <t>SREV · ee</t>
        </is>
      </c>
      <c r="B230" s="52" t="n"/>
      <c r="C230" s="52" t="n"/>
    </row>
    <row r="231">
      <c r="A231" s="53" t="inlineStr">
        <is>
          <t>항목</t>
        </is>
      </c>
      <c r="B231" s="53" t="inlineStr">
        <is>
          <t>값</t>
        </is>
      </c>
      <c r="C231" s="53" t="inlineStr">
        <is>
          <t>출처</t>
        </is>
      </c>
    </row>
    <row r="232">
      <c r="A232" s="54" t="inlineStr">
        <is>
          <t>2025-Q1</t>
        </is>
      </c>
      <c r="B232" s="57" t="n">
        <v>2481</v>
      </c>
      <c r="C232" s="56" t="inlineStr">
        <is>
          <t>2단계 보고서 자료(회사 설명회 자료·공시)</t>
        </is>
      </c>
    </row>
    <row r="233">
      <c r="A233" s="54" t="inlineStr">
        <is>
          <t>2025-Q2</t>
        </is>
      </c>
      <c r="B233" s="57" t="n">
        <v>2683</v>
      </c>
    </row>
    <row r="234">
      <c r="A234" s="54" t="inlineStr">
        <is>
          <t>2025-Q3</t>
        </is>
      </c>
      <c r="B234" s="57" t="n">
        <v>2675</v>
      </c>
    </row>
    <row r="235">
      <c r="A235" s="54" t="inlineStr">
        <is>
          <t>2025-Q4</t>
        </is>
      </c>
      <c r="B235" s="57" t="n">
        <v>2974</v>
      </c>
    </row>
    <row r="236">
      <c r="A236" s="54" t="inlineStr">
        <is>
          <t>2026-Q1</t>
        </is>
      </c>
      <c r="B236" s="57" t="n">
        <v>2629</v>
      </c>
    </row>
    <row r="237">
      <c r="A237" s="54" t="inlineStr">
        <is>
          <t>2026-Q2</t>
        </is>
      </c>
      <c r="B237" s="57" t="n">
        <v>2731</v>
      </c>
    </row>
    <row r="238">
      <c r="A238" s="54" t="inlineStr">
        <is>
          <t>2026-Q3</t>
        </is>
      </c>
      <c r="B238" s="57" t="n">
        <v>2981</v>
      </c>
    </row>
    <row r="239">
      <c r="A239" s="54" t="inlineStr">
        <is>
          <t>2026-Q4</t>
        </is>
      </c>
      <c r="B239" s="57" t="n">
        <v>3446</v>
      </c>
    </row>
    <row r="240">
      <c r="A240" s="54" t="inlineStr">
        <is>
          <t>2027-Q1</t>
        </is>
      </c>
      <c r="B240" s="57" t="n">
        <v>2530</v>
      </c>
    </row>
    <row r="241">
      <c r="A241" s="54" t="inlineStr">
        <is>
          <t>2027-Q2</t>
        </is>
      </c>
      <c r="B241" s="55" t="n">
        <v>2934.7</v>
      </c>
    </row>
    <row r="243">
      <c r="A243" s="52" t="inlineStr">
        <is>
          <t>SREV · ic</t>
        </is>
      </c>
      <c r="B243" s="52" t="n"/>
      <c r="C243" s="52" t="n"/>
    </row>
    <row r="244">
      <c r="A244" s="53" t="inlineStr">
        <is>
          <t>항목</t>
        </is>
      </c>
      <c r="B244" s="53" t="inlineStr">
        <is>
          <t>값</t>
        </is>
      </c>
      <c r="C244" s="53" t="inlineStr">
        <is>
          <t>출처</t>
        </is>
      </c>
    </row>
    <row r="245">
      <c r="A245" s="54" t="inlineStr">
        <is>
          <t>2025-Q1</t>
        </is>
      </c>
      <c r="B245" s="57" t="n">
        <v>530</v>
      </c>
      <c r="C245" s="56" t="inlineStr">
        <is>
          <t>2단계 보고서 자료(회사 설명회 자료·공시)</t>
        </is>
      </c>
    </row>
    <row r="246">
      <c r="A246" s="54" t="inlineStr">
        <is>
          <t>2025-Q2</t>
        </is>
      </c>
      <c r="B246" s="57" t="n">
        <v>506</v>
      </c>
    </row>
    <row r="247">
      <c r="A247" s="54" t="inlineStr">
        <is>
          <t>2025-Q3</t>
        </is>
      </c>
      <c r="B247" s="57" t="n">
        <v>562</v>
      </c>
    </row>
    <row r="248">
      <c r="A248" s="54" t="inlineStr">
        <is>
          <t>2025-Q4</t>
        </is>
      </c>
      <c r="B248" s="57" t="n">
        <v>635</v>
      </c>
    </row>
    <row r="249">
      <c r="A249" s="54" t="inlineStr">
        <is>
          <t>2026-Q1</t>
        </is>
      </c>
      <c r="B249" s="57" t="n">
        <v>617</v>
      </c>
    </row>
    <row r="250">
      <c r="A250" s="54" t="inlineStr">
        <is>
          <t>2026-Q2</t>
        </is>
      </c>
      <c r="B250" s="57" t="n">
        <v>738</v>
      </c>
    </row>
    <row r="251">
      <c r="A251" s="54" t="inlineStr">
        <is>
          <t>2026-Q3</t>
        </is>
      </c>
      <c r="B251" s="57" t="n">
        <v>852</v>
      </c>
    </row>
    <row r="252">
      <c r="A252" s="54" t="inlineStr">
        <is>
          <t>2026-Q4</t>
        </is>
      </c>
      <c r="B252" s="57" t="n">
        <v>1060</v>
      </c>
    </row>
    <row r="253">
      <c r="A253" s="54" t="inlineStr">
        <is>
          <t>2027-Q1</t>
        </is>
      </c>
      <c r="B253" s="57" t="n">
        <v>865</v>
      </c>
    </row>
    <row r="254">
      <c r="A254" s="54" t="inlineStr">
        <is>
          <t>2027-Q2</t>
        </is>
      </c>
      <c r="B254" s="55" t="n">
        <v>1149.6</v>
      </c>
    </row>
    <row r="256">
      <c r="A256" s="52" t="inlineStr">
        <is>
          <t>SREV · au</t>
        </is>
      </c>
      <c r="B256" s="52" t="n"/>
      <c r="C256" s="52" t="n"/>
    </row>
    <row r="257">
      <c r="A257" s="53" t="inlineStr">
        <is>
          <t>항목</t>
        </is>
      </c>
      <c r="B257" s="53" t="inlineStr">
        <is>
          <t>값</t>
        </is>
      </c>
      <c r="C257" s="53" t="inlineStr">
        <is>
          <t>출처</t>
        </is>
      </c>
    </row>
    <row r="258">
      <c r="A258" s="54" t="inlineStr">
        <is>
          <t>2025-Q1</t>
        </is>
      </c>
      <c r="B258" s="57" t="n">
        <v>6625</v>
      </c>
      <c r="C258" s="56" t="inlineStr">
        <is>
          <t>2단계 보고서 자료(회사 설명회 자료·공시)</t>
        </is>
      </c>
    </row>
    <row r="259">
      <c r="A259" s="54" t="inlineStr">
        <is>
          <t>2025-Q2</t>
        </is>
      </c>
      <c r="B259" s="57" t="n">
        <v>6429</v>
      </c>
    </row>
    <row r="260">
      <c r="A260" s="54" t="inlineStr">
        <is>
          <t>2025-Q3</t>
        </is>
      </c>
      <c r="B260" s="57" t="n">
        <v>7063</v>
      </c>
    </row>
    <row r="261">
      <c r="A261" s="54" t="inlineStr">
        <is>
          <t>2025-Q4</t>
        </is>
      </c>
      <c r="B261" s="57" t="n">
        <v>7230</v>
      </c>
    </row>
    <row r="262">
      <c r="A262" s="54" t="inlineStr">
        <is>
          <t>2026-Q1</t>
        </is>
      </c>
      <c r="B262" s="57" t="n">
        <v>6706</v>
      </c>
    </row>
    <row r="263">
      <c r="A263" s="54" t="inlineStr">
        <is>
          <t>2026-Q2</t>
        </is>
      </c>
      <c r="B263" s="57" t="n">
        <v>7076</v>
      </c>
    </row>
    <row r="264">
      <c r="A264" s="54" t="inlineStr">
        <is>
          <t>2026-Q3</t>
        </is>
      </c>
      <c r="B264" s="57" t="n">
        <v>7569</v>
      </c>
    </row>
    <row r="265">
      <c r="A265" s="54" t="inlineStr">
        <is>
          <t>2026-Q4</t>
        </is>
      </c>
      <c r="B265" s="57" t="n">
        <v>8020</v>
      </c>
    </row>
    <row r="266">
      <c r="A266" s="54" t="inlineStr">
        <is>
          <t>2027-Q1</t>
        </is>
      </c>
      <c r="B266" s="57" t="n">
        <v>8028</v>
      </c>
    </row>
    <row r="267">
      <c r="A267" s="54" t="inlineStr">
        <is>
          <t>2027-Q2</t>
        </is>
      </c>
      <c r="B267" s="55" t="n">
        <v>8137.9</v>
      </c>
    </row>
    <row r="269">
      <c r="A269" s="52" t="inlineStr">
        <is>
          <t>SREV · el</t>
        </is>
      </c>
      <c r="B269" s="52" t="n"/>
      <c r="C269" s="52" t="n"/>
    </row>
    <row r="270">
      <c r="A270" s="53" t="inlineStr">
        <is>
          <t>항목</t>
        </is>
      </c>
      <c r="B270" s="53" t="inlineStr">
        <is>
          <t>값</t>
        </is>
      </c>
      <c r="C270" s="53" t="inlineStr">
        <is>
          <t>출처</t>
        </is>
      </c>
    </row>
    <row r="271">
      <c r="A271" s="54" t="inlineStr">
        <is>
          <t>2025-Q1</t>
        </is>
      </c>
      <c r="B271" s="57" t="n">
        <v>884</v>
      </c>
      <c r="C271" s="56" t="inlineStr">
        <is>
          <t>2단계 보고서 자료(회사 설명회 자료·공시)</t>
        </is>
      </c>
    </row>
    <row r="272">
      <c r="A272" s="54" t="inlineStr">
        <is>
          <t>2025-Q2</t>
        </is>
      </c>
      <c r="B272" s="57" t="n">
        <v>1031</v>
      </c>
    </row>
    <row r="273">
      <c r="A273" s="54" t="inlineStr">
        <is>
          <t>2025-Q3</t>
        </is>
      </c>
      <c r="B273" s="57" t="n">
        <v>979</v>
      </c>
    </row>
    <row r="274">
      <c r="A274" s="54" t="inlineStr">
        <is>
          <t>2025-Q4</t>
        </is>
      </c>
      <c r="B274" s="57" t="n">
        <v>879</v>
      </c>
    </row>
    <row r="275">
      <c r="A275" s="54" t="inlineStr">
        <is>
          <t>2026-Q1</t>
        </is>
      </c>
      <c r="B275" s="57" t="n">
        <v>900</v>
      </c>
    </row>
    <row r="276">
      <c r="A276" s="54" t="inlineStr">
        <is>
          <t>2026-Q2</t>
        </is>
      </c>
      <c r="B276" s="57" t="n">
        <v>1072</v>
      </c>
    </row>
    <row r="277">
      <c r="A277" s="54" t="inlineStr">
        <is>
          <t>2026-Q3</t>
        </is>
      </c>
      <c r="B277" s="57" t="n">
        <v>1074</v>
      </c>
    </row>
    <row r="278">
      <c r="A278" s="54" t="inlineStr">
        <is>
          <t>2026-Q4</t>
        </is>
      </c>
      <c r="B278" s="57" t="n">
        <v>1044</v>
      </c>
    </row>
    <row r="279">
      <c r="A279" s="54" t="inlineStr">
        <is>
          <t>2027-Q1</t>
        </is>
      </c>
      <c r="B279" s="57" t="n">
        <v>1106</v>
      </c>
    </row>
    <row r="280">
      <c r="A280" s="54" t="inlineStr">
        <is>
          <t>2027-Q2</t>
        </is>
      </c>
      <c r="B280" s="55" t="n">
        <v>1228.4</v>
      </c>
    </row>
    <row r="282">
      <c r="A282" s="52" t="inlineStr">
        <is>
          <t>SREV · im</t>
        </is>
      </c>
      <c r="B282" s="52" t="n"/>
      <c r="C282" s="52" t="n"/>
    </row>
    <row r="283">
      <c r="A283" s="53" t="inlineStr">
        <is>
          <t>항목</t>
        </is>
      </c>
      <c r="B283" s="53" t="inlineStr">
        <is>
          <t>값</t>
        </is>
      </c>
      <c r="C283" s="53" t="inlineStr">
        <is>
          <t>출처</t>
        </is>
      </c>
    </row>
    <row r="284">
      <c r="A284" s="54" t="inlineStr">
        <is>
          <t>2025-Q1</t>
        </is>
      </c>
      <c r="B284" s="57" t="n">
        <v>896</v>
      </c>
      <c r="C284" s="56" t="inlineStr">
        <is>
          <t>2단계 보고서 자료(회사 설명회 자료·공시)</t>
        </is>
      </c>
    </row>
    <row r="285">
      <c r="A285" s="54" t="inlineStr">
        <is>
          <t>2025-Q2</t>
        </is>
      </c>
      <c r="B285" s="57" t="n">
        <v>961</v>
      </c>
    </row>
    <row r="286">
      <c r="A286" s="54" t="inlineStr">
        <is>
          <t>2025-Q3</t>
        </is>
      </c>
      <c r="B286" s="57" t="n">
        <v>937</v>
      </c>
    </row>
    <row r="287">
      <c r="A287" s="54" t="inlineStr">
        <is>
          <t>2025-Q4</t>
        </is>
      </c>
      <c r="B287" s="57" t="n">
        <v>933</v>
      </c>
    </row>
    <row r="288">
      <c r="A288" s="54" t="inlineStr">
        <is>
          <t>2026-Q1</t>
        </is>
      </c>
      <c r="B288" s="57" t="n">
        <v>929</v>
      </c>
    </row>
    <row r="289">
      <c r="A289" s="54" t="inlineStr">
        <is>
          <t>2026-Q2</t>
        </is>
      </c>
      <c r="B289" s="57" t="n">
        <v>954</v>
      </c>
    </row>
    <row r="290">
      <c r="A290" s="54" t="inlineStr">
        <is>
          <t>2026-Q3</t>
        </is>
      </c>
      <c r="B290" s="57" t="n">
        <v>984</v>
      </c>
    </row>
    <row r="291">
      <c r="A291" s="54" t="inlineStr">
        <is>
          <t>2026-Q4</t>
        </is>
      </c>
      <c r="B291" s="57" t="n">
        <v>1017</v>
      </c>
    </row>
    <row r="292">
      <c r="A292" s="54" t="inlineStr">
        <is>
          <t>2027-Q1</t>
        </is>
      </c>
      <c r="B292" s="57" t="n">
        <v>1157</v>
      </c>
    </row>
    <row r="293">
      <c r="A293" s="54" t="inlineStr">
        <is>
          <t>2027-Q2</t>
        </is>
      </c>
      <c r="B293" s="55" t="n">
        <v>1254</v>
      </c>
    </row>
    <row r="295">
      <c r="A295" s="52" t="inlineStr">
        <is>
          <t>SOP · ee</t>
        </is>
      </c>
      <c r="B295" s="52" t="n"/>
      <c r="C295" s="52" t="n"/>
    </row>
    <row r="296">
      <c r="A296" s="53" t="inlineStr">
        <is>
          <t>항목</t>
        </is>
      </c>
      <c r="B296" s="53" t="inlineStr">
        <is>
          <t>값</t>
        </is>
      </c>
      <c r="C296" s="53" t="inlineStr">
        <is>
          <t>출처</t>
        </is>
      </c>
    </row>
    <row r="297">
      <c r="A297" s="54" t="inlineStr">
        <is>
          <t>2025-Q1</t>
        </is>
      </c>
      <c r="B297" s="55" t="n">
        <v>163.8</v>
      </c>
      <c r="C297" s="56" t="inlineStr">
        <is>
          <t>2단계 보고서 자료(회사 설명회 자료·공시)</t>
        </is>
      </c>
    </row>
    <row r="298">
      <c r="A298" s="54" t="inlineStr">
        <is>
          <t>2025-Q2</t>
        </is>
      </c>
      <c r="B298" s="55" t="n">
        <v>151.6</v>
      </c>
    </row>
    <row r="299">
      <c r="A299" s="54" t="inlineStr">
        <is>
          <t>2025-Q3</t>
        </is>
      </c>
      <c r="B299" s="55" t="n">
        <v>209.8</v>
      </c>
    </row>
    <row r="300">
      <c r="A300" s="54" t="inlineStr">
        <is>
          <t>2025-Q4</t>
        </is>
      </c>
      <c r="B300" s="55" t="n">
        <v>261.9</v>
      </c>
    </row>
    <row r="301">
      <c r="A301" s="54" t="inlineStr">
        <is>
          <t>2026-Q1</t>
        </is>
      </c>
      <c r="B301" s="55" t="n">
        <v>136.2</v>
      </c>
    </row>
    <row r="302">
      <c r="A302" s="54" t="inlineStr">
        <is>
          <t>2026-Q2</t>
        </is>
      </c>
      <c r="B302" s="55" t="n">
        <v>208.4</v>
      </c>
    </row>
    <row r="303">
      <c r="A303" s="54" t="inlineStr">
        <is>
          <t>2026-Q3</t>
        </is>
      </c>
      <c r="B303" s="55" t="n">
        <v>216.2</v>
      </c>
    </row>
    <row r="304">
      <c r="A304" s="54" t="inlineStr">
        <is>
          <t>2026-Q4</t>
        </is>
      </c>
      <c r="B304" s="55" t="n">
        <v>345.4</v>
      </c>
    </row>
    <row r="305">
      <c r="A305" s="54" t="inlineStr">
        <is>
          <t>2027-Q1</t>
        </is>
      </c>
      <c r="B305" s="55" t="n">
        <v>152.7</v>
      </c>
    </row>
    <row r="306">
      <c r="A306" s="54" t="inlineStr">
        <is>
          <t>2027-Q2</t>
        </is>
      </c>
      <c r="B306" s="55" t="n">
        <v>179.4</v>
      </c>
    </row>
    <row r="308">
      <c r="A308" s="52" t="inlineStr">
        <is>
          <t>SOP · ic</t>
        </is>
      </c>
      <c r="B308" s="52" t="n"/>
      <c r="C308" s="52" t="n"/>
    </row>
    <row r="309">
      <c r="A309" s="53" t="inlineStr">
        <is>
          <t>항목</t>
        </is>
      </c>
      <c r="B309" s="53" t="inlineStr">
        <is>
          <t>값</t>
        </is>
      </c>
      <c r="C309" s="53" t="inlineStr">
        <is>
          <t>출처</t>
        </is>
      </c>
    </row>
    <row r="310">
      <c r="A310" s="54" t="inlineStr">
        <is>
          <t>2025-Q1</t>
        </is>
      </c>
      <c r="B310" s="55" t="n">
        <v>22.9</v>
      </c>
      <c r="C310" s="56" t="inlineStr">
        <is>
          <t>2단계 보고서 자료(회사 설명회 자료·공시)</t>
        </is>
      </c>
    </row>
    <row r="311">
      <c r="A311" s="54" t="inlineStr">
        <is>
          <t>2025-Q2</t>
        </is>
      </c>
      <c r="B311" s="55" t="n">
        <v>25.8</v>
      </c>
    </row>
    <row r="312">
      <c r="A312" s="54" t="inlineStr">
        <is>
          <t>2025-Q3</t>
        </is>
      </c>
      <c r="B312" s="55" t="n">
        <v>55.3</v>
      </c>
    </row>
    <row r="313">
      <c r="A313" s="54" t="inlineStr">
        <is>
          <t>2025-Q4</t>
        </is>
      </c>
      <c r="B313" s="55" t="n">
        <v>95.3</v>
      </c>
    </row>
    <row r="314">
      <c r="A314" s="54" t="inlineStr">
        <is>
          <t>2026-Q1</t>
        </is>
      </c>
      <c r="B314" s="55" t="n">
        <v>81.3</v>
      </c>
    </row>
    <row r="315">
      <c r="A315" s="54" t="inlineStr">
        <is>
          <t>2026-Q2</t>
        </is>
      </c>
      <c r="B315" s="55" t="n">
        <v>139.4</v>
      </c>
    </row>
    <row r="316">
      <c r="A316" s="54" t="inlineStr">
        <is>
          <t>2026-Q3</t>
        </is>
      </c>
      <c r="B316" s="55" t="n">
        <v>240.2</v>
      </c>
    </row>
    <row r="317">
      <c r="A317" s="54" t="inlineStr">
        <is>
          <t>2026-Q4</t>
        </is>
      </c>
      <c r="B317" s="55" t="n">
        <v>313.4</v>
      </c>
    </row>
    <row r="318">
      <c r="A318" s="54" t="inlineStr">
        <is>
          <t>2027-Q1</t>
        </is>
      </c>
      <c r="B318" s="55" t="n">
        <v>272.5</v>
      </c>
    </row>
    <row r="319">
      <c r="A319" s="54" t="inlineStr">
        <is>
          <t>2027-Q2</t>
        </is>
      </c>
      <c r="B319" s="55" t="n">
        <v>339.9</v>
      </c>
    </row>
    <row r="321">
      <c r="A321" s="52" t="inlineStr">
        <is>
          <t>SOP · au</t>
        </is>
      </c>
      <c r="B321" s="52" t="n"/>
      <c r="C321" s="52" t="n"/>
    </row>
    <row r="322">
      <c r="A322" s="53" t="inlineStr">
        <is>
          <t>항목</t>
        </is>
      </c>
      <c r="B322" s="53" t="inlineStr">
        <is>
          <t>값</t>
        </is>
      </c>
      <c r="C322" s="53" t="inlineStr">
        <is>
          <t>출처</t>
        </is>
      </c>
    </row>
    <row r="323">
      <c r="A323" s="54" t="inlineStr">
        <is>
          <t>2025-Q1</t>
        </is>
      </c>
      <c r="B323" s="55" t="n">
        <v>249.8</v>
      </c>
      <c r="C323" s="56" t="inlineStr">
        <is>
          <t>2단계 보고서 자료(회사 설명회 자료·공시)</t>
        </is>
      </c>
    </row>
    <row r="324">
      <c r="A324" s="54" t="inlineStr">
        <is>
          <t>2025-Q2</t>
        </is>
      </c>
      <c r="B324" s="55" t="n">
        <v>300.5</v>
      </c>
    </row>
    <row r="325">
      <c r="A325" s="54" t="inlineStr">
        <is>
          <t>2025-Q3</t>
        </is>
      </c>
      <c r="B325" s="55" t="n">
        <v>487.6</v>
      </c>
    </row>
    <row r="326">
      <c r="A326" s="54" t="inlineStr">
        <is>
          <t>2025-Q4</t>
        </is>
      </c>
      <c r="B326" s="55" t="n">
        <v>686</v>
      </c>
    </row>
    <row r="327">
      <c r="A327" s="54" t="inlineStr">
        <is>
          <t>2026-Q1</t>
        </is>
      </c>
      <c r="B327" s="55" t="n">
        <v>265.9</v>
      </c>
    </row>
    <row r="328">
      <c r="A328" s="54" t="inlineStr">
        <is>
          <t>2026-Q2</t>
        </is>
      </c>
      <c r="B328" s="55" t="n">
        <v>388.2</v>
      </c>
    </row>
    <row r="329">
      <c r="A329" s="54" t="inlineStr">
        <is>
          <t>2026-Q3</t>
        </is>
      </c>
      <c r="B329" s="55" t="n">
        <v>530.2</v>
      </c>
    </row>
    <row r="330">
      <c r="A330" s="54" t="inlineStr">
        <is>
          <t>2026-Q4</t>
        </is>
      </c>
      <c r="B330" s="55" t="n">
        <v>612.7</v>
      </c>
    </row>
    <row r="331">
      <c r="A331" s="54" t="inlineStr">
        <is>
          <t>2027-Q1</t>
        </is>
      </c>
      <c r="B331" s="55" t="n">
        <v>260.3</v>
      </c>
    </row>
    <row r="332">
      <c r="A332" s="54" t="inlineStr">
        <is>
          <t>2027-Q2</t>
        </is>
      </c>
      <c r="B332" s="55" t="n">
        <v>277.7</v>
      </c>
    </row>
    <row r="334">
      <c r="A334" s="52" t="inlineStr">
        <is>
          <t>SOP · el</t>
        </is>
      </c>
      <c r="B334" s="52" t="n"/>
      <c r="C334" s="52" t="n"/>
    </row>
    <row r="335">
      <c r="A335" s="53" t="inlineStr">
        <is>
          <t>항목</t>
        </is>
      </c>
      <c r="B335" s="53" t="inlineStr">
        <is>
          <t>값</t>
        </is>
      </c>
      <c r="C335" s="53" t="inlineStr">
        <is>
          <t>출처</t>
        </is>
      </c>
    </row>
    <row r="336">
      <c r="A336" s="54" t="inlineStr">
        <is>
          <t>2025-Q1</t>
        </is>
      </c>
      <c r="B336" s="55" t="n">
        <v>54.5</v>
      </c>
      <c r="C336" s="56" t="inlineStr">
        <is>
          <t>2단계 보고서 자료(회사 설명회 자료·공시)</t>
        </is>
      </c>
    </row>
    <row r="337">
      <c r="A337" s="54" t="inlineStr">
        <is>
          <t>2025-Q2</t>
        </is>
      </c>
      <c r="B337" s="55" t="n">
        <v>127.8</v>
      </c>
    </row>
    <row r="338">
      <c r="A338" s="54" t="inlineStr">
        <is>
          <t>2025-Q3</t>
        </is>
      </c>
      <c r="B338" s="55" t="n">
        <v>76.2</v>
      </c>
    </row>
    <row r="339">
      <c r="A339" s="54" t="inlineStr">
        <is>
          <t>2025-Q4</t>
        </is>
      </c>
      <c r="B339" s="55" t="n">
        <v>34.6</v>
      </c>
    </row>
    <row r="340">
      <c r="A340" s="54" t="inlineStr">
        <is>
          <t>2026-Q1</t>
        </is>
      </c>
      <c r="B340" s="55" t="n">
        <v>62.9</v>
      </c>
    </row>
    <row r="341">
      <c r="A341" s="54" t="inlineStr">
        <is>
          <t>2026-Q2</t>
        </is>
      </c>
      <c r="B341" s="55" t="n">
        <v>117</v>
      </c>
    </row>
    <row r="342">
      <c r="A342" s="54" t="inlineStr">
        <is>
          <t>2026-Q3</t>
        </is>
      </c>
      <c r="B342" s="55" t="n">
        <v>114.2</v>
      </c>
    </row>
    <row r="343">
      <c r="A343" s="54" t="inlineStr">
        <is>
          <t>2026-Q4</t>
        </is>
      </c>
      <c r="B343" s="55" t="n">
        <v>101.2</v>
      </c>
    </row>
    <row r="344">
      <c r="A344" s="54" t="inlineStr">
        <is>
          <t>2027-Q1</t>
        </is>
      </c>
      <c r="B344" s="55" t="n">
        <v>117.2</v>
      </c>
    </row>
    <row r="345">
      <c r="A345" s="54" t="inlineStr">
        <is>
          <t>2027-Q2</t>
        </is>
      </c>
      <c r="B345" s="55" t="n">
        <v>168.5</v>
      </c>
    </row>
    <row r="347">
      <c r="A347" s="52" t="inlineStr">
        <is>
          <t>SOP · im</t>
        </is>
      </c>
      <c r="B347" s="52" t="n"/>
      <c r="C347" s="52" t="n"/>
    </row>
    <row r="348">
      <c r="A348" s="53" t="inlineStr">
        <is>
          <t>항목</t>
        </is>
      </c>
      <c r="B348" s="53" t="inlineStr">
        <is>
          <t>값</t>
        </is>
      </c>
      <c r="C348" s="53" t="inlineStr">
        <is>
          <t>출처</t>
        </is>
      </c>
    </row>
    <row r="349">
      <c r="A349" s="54" t="inlineStr">
        <is>
          <t>2025-Q1</t>
        </is>
      </c>
      <c r="B349" s="55" t="n">
        <v>42.4</v>
      </c>
      <c r="C349" s="56" t="inlineStr">
        <is>
          <t>2단계 보고서 자료(회사 설명회 자료·공시)</t>
        </is>
      </c>
    </row>
    <row r="350">
      <c r="A350" s="54" t="inlineStr">
        <is>
          <t>2025-Q2</t>
        </is>
      </c>
      <c r="B350" s="55" t="n">
        <v>52.9</v>
      </c>
    </row>
    <row r="351">
      <c r="A351" s="54" t="inlineStr">
        <is>
          <t>2025-Q3</t>
        </is>
      </c>
      <c r="B351" s="55" t="n">
        <v>48.4</v>
      </c>
    </row>
    <row r="352">
      <c r="A352" s="54" t="inlineStr">
        <is>
          <t>2025-Q4</t>
        </is>
      </c>
      <c r="B352" s="55" t="n">
        <v>62.2</v>
      </c>
    </row>
    <row r="353">
      <c r="A353" s="54" t="inlineStr">
        <is>
          <t>2026-Q1</t>
        </is>
      </c>
      <c r="B353" s="55" t="n">
        <v>56.2</v>
      </c>
    </row>
    <row r="354">
      <c r="A354" s="54" t="inlineStr">
        <is>
          <t>2026-Q2</t>
        </is>
      </c>
      <c r="B354" s="55" t="n">
        <v>72.8</v>
      </c>
    </row>
    <row r="355">
      <c r="A355" s="54" t="inlineStr">
        <is>
          <t>2026-Q3</t>
        </is>
      </c>
      <c r="B355" s="55" t="n">
        <v>83.09999999999999</v>
      </c>
    </row>
    <row r="356">
      <c r="A356" s="54" t="inlineStr">
        <is>
          <t>2026-Q4</t>
        </is>
      </c>
      <c r="B356" s="55" t="n">
        <v>101.9</v>
      </c>
    </row>
    <row r="357">
      <c r="A357" s="54" t="inlineStr">
        <is>
          <t>2027-Q1</t>
        </is>
      </c>
      <c r="B357" s="55" t="n">
        <v>170.5</v>
      </c>
    </row>
    <row r="358">
      <c r="A358" s="54" t="inlineStr">
        <is>
          <t>2027-Q2</t>
        </is>
      </c>
      <c r="B358" s="55" t="n">
        <v>256.2</v>
      </c>
    </row>
    <row r="360">
      <c r="A360" s="52" t="inlineStr">
        <is>
          <t>SGA A · FY2024</t>
        </is>
      </c>
      <c r="B360" s="52" t="n"/>
      <c r="C360" s="52" t="n"/>
    </row>
    <row r="361">
      <c r="A361" s="53" t="inlineStr">
        <is>
          <t>항목</t>
        </is>
      </c>
      <c r="B361" s="53" t="inlineStr">
        <is>
          <t>값</t>
        </is>
      </c>
      <c r="C361" s="53" t="inlineStr">
        <is>
          <t>출처</t>
        </is>
      </c>
    </row>
    <row r="362">
      <c r="A362" s="54" t="inlineStr">
        <is>
          <t>운반·판매 제경비</t>
        </is>
      </c>
      <c r="B362" s="55" t="n">
        <v>1109.65</v>
      </c>
      <c r="C362" s="56" t="inlineStr">
        <is>
          <t>2단계 보고서 자료(회사 설명회 자료·공시)</t>
        </is>
      </c>
    </row>
    <row r="363">
      <c r="A363" s="54" t="inlineStr">
        <is>
          <t>급여·복리후생비</t>
        </is>
      </c>
      <c r="B363" s="55" t="n">
        <v>1941.32</v>
      </c>
    </row>
    <row r="364">
      <c r="A364" s="54" t="inlineStr">
        <is>
          <t>퇴직급여 비용</t>
        </is>
      </c>
      <c r="B364" s="55" t="n">
        <v>-25.37</v>
      </c>
    </row>
    <row r="365">
      <c r="A365" s="54" t="inlineStr">
        <is>
          <t>연구개발비</t>
        </is>
      </c>
      <c r="B365" s="55" t="n">
        <v>711.16</v>
      </c>
    </row>
    <row r="367">
      <c r="A367" s="52" t="inlineStr">
        <is>
          <t>SGA A · FY2025</t>
        </is>
      </c>
      <c r="B367" s="52" t="n"/>
      <c r="C367" s="52" t="n"/>
    </row>
    <row r="368">
      <c r="A368" s="53" t="inlineStr">
        <is>
          <t>항목</t>
        </is>
      </c>
      <c r="B368" s="53" t="inlineStr">
        <is>
          <t>값</t>
        </is>
      </c>
      <c r="C368" s="53" t="inlineStr">
        <is>
          <t>출처</t>
        </is>
      </c>
    </row>
    <row r="369">
      <c r="A369" s="54" t="inlineStr">
        <is>
          <t>운반·판매 제경비</t>
        </is>
      </c>
      <c r="B369" s="55" t="n">
        <v>1136.08</v>
      </c>
      <c r="C369" s="56" t="inlineStr">
        <is>
          <t>2단계 보고서 자료(회사 설명회 자료·공시)</t>
        </is>
      </c>
    </row>
    <row r="370">
      <c r="A370" s="54" t="inlineStr">
        <is>
          <t>급여·복리후생비</t>
        </is>
      </c>
      <c r="B370" s="55" t="n">
        <v>2093.17</v>
      </c>
    </row>
    <row r="371">
      <c r="A371" s="54" t="inlineStr">
        <is>
          <t>퇴직급여 비용</t>
        </is>
      </c>
      <c r="B371" s="55" t="n">
        <v>-99.64</v>
      </c>
    </row>
    <row r="372">
      <c r="A372" s="54" t="inlineStr">
        <is>
          <t>연구개발비</t>
        </is>
      </c>
      <c r="B372" s="55" t="n">
        <v>758.26</v>
      </c>
    </row>
    <row r="374">
      <c r="A374" s="52" t="inlineStr">
        <is>
          <t>SGA A · FY2026</t>
        </is>
      </c>
      <c r="B374" s="52" t="n"/>
      <c r="C374" s="52" t="n"/>
    </row>
    <row r="375">
      <c r="A375" s="53" t="inlineStr">
        <is>
          <t>항목</t>
        </is>
      </c>
      <c r="B375" s="53" t="inlineStr">
        <is>
          <t>값</t>
        </is>
      </c>
      <c r="C375" s="53" t="inlineStr">
        <is>
          <t>출처</t>
        </is>
      </c>
    </row>
    <row r="376">
      <c r="A376" s="54" t="inlineStr">
        <is>
          <t>운반·판매 제경비</t>
        </is>
      </c>
      <c r="B376" s="55" t="n">
        <v>1234.44</v>
      </c>
      <c r="C376" s="56" t="inlineStr">
        <is>
          <t>2단계 보고서 자료(회사 설명회 자료·공시)</t>
        </is>
      </c>
    </row>
    <row r="377">
      <c r="A377" s="54" t="inlineStr">
        <is>
          <t>급여·복리후생비</t>
        </is>
      </c>
      <c r="B377" s="55" t="n">
        <v>2297.63</v>
      </c>
    </row>
    <row r="378">
      <c r="A378" s="54" t="inlineStr">
        <is>
          <t>퇴직급여 비용</t>
        </is>
      </c>
      <c r="B378" s="55" t="n">
        <v>-65.5</v>
      </c>
    </row>
    <row r="379">
      <c r="A379" s="54" t="inlineStr">
        <is>
          <t>연구개발비</t>
        </is>
      </c>
      <c r="B379" s="55" t="n">
        <v>749.65</v>
      </c>
    </row>
    <row r="381">
      <c r="A381" s="52" t="inlineStr">
        <is>
          <t>C2</t>
        </is>
      </c>
      <c r="B381" s="52" t="n"/>
      <c r="C381" s="52" t="n"/>
    </row>
    <row r="382">
      <c r="A382" s="53" t="inlineStr">
        <is>
          <t>항목</t>
        </is>
      </c>
      <c r="B382" s="53" t="inlineStr">
        <is>
          <t>값</t>
        </is>
      </c>
      <c r="C382" s="53" t="inlineStr">
        <is>
          <t>출처</t>
        </is>
      </c>
    </row>
    <row r="383">
      <c r="A383" s="54" t="inlineStr">
        <is>
          <t>매출</t>
        </is>
      </c>
      <c r="B383" s="55" t="n">
        <v>13245.7</v>
      </c>
      <c r="C383" s="56" t="inlineStr">
        <is>
          <t>2단계 보고서 자료(회사 설명회 자료·공시)</t>
        </is>
      </c>
    </row>
    <row r="384">
      <c r="A384" s="54" t="inlineStr">
        <is>
          <t>EPS</t>
        </is>
      </c>
      <c r="B384" s="55" t="n">
        <v>25.84</v>
      </c>
    </row>
    <row r="386">
      <c r="A386" s="52" t="inlineStr">
        <is>
          <t>G2</t>
        </is>
      </c>
      <c r="B386" s="52" t="n"/>
      <c r="C386" s="52" t="n"/>
    </row>
    <row r="387">
      <c r="A387" s="53" t="inlineStr">
        <is>
          <t>항목</t>
        </is>
      </c>
      <c r="B387" s="53" t="inlineStr">
        <is>
          <t>값</t>
        </is>
      </c>
      <c r="C387" s="53" t="inlineStr">
        <is>
          <t>출처</t>
        </is>
      </c>
    </row>
    <row r="388">
      <c r="A388" s="54" t="inlineStr">
        <is>
          <t>매출</t>
        </is>
      </c>
      <c r="B388" s="55" t="n">
        <v>13094.1</v>
      </c>
      <c r="C388" s="56" t="inlineStr">
        <is>
          <t>2단계 보고서 자료(회사 설명회 자료·공시)</t>
        </is>
      </c>
    </row>
    <row r="389">
      <c r="A389" s="54" t="inlineStr">
        <is>
          <t>영업이익</t>
        </is>
      </c>
      <c r="B389" s="55" t="n">
        <v>979.4</v>
      </c>
    </row>
    <row r="390">
      <c r="A390" s="54" t="inlineStr">
        <is>
          <t>순이익</t>
        </is>
      </c>
      <c r="B390" s="55" t="n">
        <v>735.9</v>
      </c>
    </row>
    <row r="392">
      <c r="A392" s="52" t="inlineStr">
        <is>
          <t>C3</t>
        </is>
      </c>
      <c r="B392" s="52" t="n"/>
      <c r="C392" s="52" t="n"/>
    </row>
    <row r="393">
      <c r="A393" s="53" t="inlineStr">
        <is>
          <t>항목</t>
        </is>
      </c>
      <c r="B393" s="53" t="inlineStr">
        <is>
          <t>값</t>
        </is>
      </c>
      <c r="C393" s="53" t="inlineStr">
        <is>
          <t>출처</t>
        </is>
      </c>
    </row>
    <row r="394">
      <c r="A394" s="54" t="inlineStr">
        <is>
          <t>매출</t>
        </is>
      </c>
      <c r="B394" s="55" t="n">
        <v>13875.7</v>
      </c>
      <c r="C394" s="56" t="inlineStr">
        <is>
          <t>2단계 보고서 자료(회사 설명회 자료·공시)</t>
        </is>
      </c>
    </row>
    <row r="395">
      <c r="A395" s="54" t="inlineStr">
        <is>
          <t>순이익</t>
        </is>
      </c>
      <c r="B395" s="55" t="n">
        <v>918.7</v>
      </c>
    </row>
    <row r="397">
      <c r="A397" s="52" t="inlineStr">
        <is>
          <t>G3</t>
        </is>
      </c>
      <c r="B397" s="52" t="n"/>
      <c r="C397" s="52" t="n"/>
    </row>
    <row r="398">
      <c r="A398" s="53" t="inlineStr">
        <is>
          <t>항목</t>
        </is>
      </c>
      <c r="B398" s="53" t="inlineStr">
        <is>
          <t>값</t>
        </is>
      </c>
      <c r="C398" s="53" t="inlineStr">
        <is>
          <t>출처</t>
        </is>
      </c>
    </row>
    <row r="399">
      <c r="A399" s="54" t="inlineStr">
        <is>
          <t>매출</t>
        </is>
      </c>
      <c r="B399" s="55" t="n">
        <v>14925.5</v>
      </c>
      <c r="C399" s="56" t="inlineStr">
        <is>
          <t>2단계 보고서 자료(회사 설명회 자료·공시)</t>
        </is>
      </c>
    </row>
    <row r="400">
      <c r="A400" s="54" t="inlineStr">
        <is>
          <t>영업이익</t>
        </is>
      </c>
      <c r="B400" s="55" t="n">
        <v>1402.2</v>
      </c>
    </row>
    <row r="401">
      <c r="A401" s="54" t="inlineStr">
        <is>
          <t>순이익</t>
        </is>
      </c>
      <c r="B401" s="55" t="n">
        <v>1053.1</v>
      </c>
    </row>
    <row r="403">
      <c r="A403" s="52" t="inlineStr">
        <is>
          <t>하반기</t>
        </is>
      </c>
      <c r="B403" s="52" t="n"/>
      <c r="C403" s="52" t="n"/>
    </row>
    <row r="404">
      <c r="A404" s="53" t="inlineStr">
        <is>
          <t>항목</t>
        </is>
      </c>
      <c r="B404" s="53" t="inlineStr">
        <is>
          <t>값</t>
        </is>
      </c>
      <c r="C404" s="53" t="inlineStr">
        <is>
          <t>출처</t>
        </is>
      </c>
    </row>
    <row r="405">
      <c r="A405" s="54" t="inlineStr">
        <is>
          <t>매출</t>
        </is>
      </c>
      <c r="B405" s="55" t="n">
        <v>29850.9</v>
      </c>
      <c r="C405" s="56" t="inlineStr">
        <is>
          <t>2단계 보고서 자료(회사 설명회 자료·공시)</t>
        </is>
      </c>
    </row>
    <row r="406">
      <c r="A406" s="54" t="inlineStr">
        <is>
          <t>영업이익</t>
        </is>
      </c>
      <c r="B406" s="55" t="n">
        <v>2804.3</v>
      </c>
    </row>
    <row r="407">
      <c r="A407" s="54" t="inlineStr">
        <is>
          <t>순이익</t>
        </is>
      </c>
      <c r="B407" s="55" t="n">
        <v>2106.2</v>
      </c>
    </row>
    <row r="409">
      <c r="A409" s="52" t="inlineStr">
        <is>
          <t>band</t>
        </is>
      </c>
      <c r="B409" s="52" t="n"/>
      <c r="C409" s="52" t="n"/>
    </row>
    <row r="410">
      <c r="A410" s="53" t="inlineStr">
        <is>
          <t>항목</t>
        </is>
      </c>
      <c r="B410" s="53" t="inlineStr">
        <is>
          <t>값</t>
        </is>
      </c>
      <c r="C410" s="53" t="inlineStr">
        <is>
          <t>출처</t>
        </is>
      </c>
    </row>
    <row r="411">
      <c r="A411" s="54" t="inlineStr">
        <is>
          <t>lo</t>
        </is>
      </c>
      <c r="B411" s="55" t="n">
        <v>10</v>
      </c>
      <c r="C411" s="56" t="inlineStr">
        <is>
          <t>2단계 보고서 자료(회사 설명회 자료·공시)</t>
        </is>
      </c>
    </row>
    <row r="412">
      <c r="A412" s="54" t="inlineStr">
        <is>
          <t>avg</t>
        </is>
      </c>
      <c r="B412" s="55" t="n">
        <v>16.9</v>
      </c>
    </row>
    <row r="413">
      <c r="A413" s="54" t="inlineStr">
        <is>
          <t>hi</t>
        </is>
      </c>
      <c r="B413" s="55" t="n">
        <v>32.9</v>
      </c>
    </row>
    <row r="415">
      <c r="A415" s="52" t="inlineStr">
        <is>
          <t>비교 기업 pe</t>
        </is>
      </c>
      <c r="B415" s="52" t="n"/>
      <c r="C415" s="52" t="n"/>
    </row>
    <row r="416">
      <c r="A416" s="53" t="inlineStr">
        <is>
          <t>항목</t>
        </is>
      </c>
      <c r="B416" s="53" t="inlineStr">
        <is>
          <t>값</t>
        </is>
      </c>
      <c r="C416" s="53" t="inlineStr">
        <is>
          <t>출처</t>
        </is>
      </c>
    </row>
    <row r="417">
      <c r="A417" s="54" t="inlineStr">
        <is>
          <t>5802</t>
        </is>
      </c>
      <c r="B417" s="55" t="n">
        <v>15</v>
      </c>
      <c r="C417" s="56" t="inlineStr">
        <is>
          <t>2단계 보고서 자료(회사 설명회 자료·공시)</t>
        </is>
      </c>
    </row>
    <row r="418">
      <c r="A418" s="54" t="inlineStr">
        <is>
          <t>5801</t>
        </is>
      </c>
      <c r="B418" s="55" t="n">
        <v>18.9</v>
      </c>
    </row>
    <row r="419">
      <c r="A419" s="54" t="inlineStr">
        <is>
          <t>5803</t>
        </is>
      </c>
      <c r="B419" s="55" t="n">
        <v>19.9</v>
      </c>
    </row>
    <row r="420">
      <c r="A420" s="54" t="inlineStr">
        <is>
          <t>5805</t>
        </is>
      </c>
      <c r="B420" s="55" t="n">
        <v>14.3</v>
      </c>
    </row>
    <row r="422">
      <c r="A422" s="52" t="inlineStr">
        <is>
          <t>ret1y</t>
        </is>
      </c>
      <c r="B422" s="52" t="n"/>
      <c r="C422" s="52" t="n"/>
    </row>
    <row r="423">
      <c r="A423" s="53" t="inlineStr">
        <is>
          <t>항목</t>
        </is>
      </c>
      <c r="B423" s="53" t="inlineStr">
        <is>
          <t>값</t>
        </is>
      </c>
      <c r="C423" s="53" t="inlineStr">
        <is>
          <t>출처</t>
        </is>
      </c>
    </row>
    <row r="424">
      <c r="A424" s="54" t="inlineStr">
        <is>
          <t>5802</t>
        </is>
      </c>
      <c r="B424" s="57" t="n">
        <v>34</v>
      </c>
      <c r="C424" s="56" t="inlineStr">
        <is>
          <t>2단계 보고서 자료(회사 설명회 자료·공시)</t>
        </is>
      </c>
    </row>
    <row r="425">
      <c r="A425" s="54" t="inlineStr">
        <is>
          <t>5801</t>
        </is>
      </c>
      <c r="B425" s="57" t="n">
        <v>170</v>
      </c>
    </row>
    <row r="426">
      <c r="A426" s="54" t="inlineStr">
        <is>
          <t>5803</t>
        </is>
      </c>
      <c r="B426" s="57" t="n">
        <v>13</v>
      </c>
    </row>
    <row r="427">
      <c r="A427" s="54" t="inlineStr">
        <is>
          <t>5805</t>
        </is>
      </c>
      <c r="B427" s="57" t="n">
        <v>47</v>
      </c>
    </row>
    <row r="429">
      <c r="A429" s="52" t="inlineStr">
        <is>
          <t>무역 q</t>
        </is>
      </c>
      <c r="B429" s="52" t="n"/>
      <c r="C429" s="52" t="n"/>
    </row>
    <row r="430">
      <c r="A430" s="53" t="inlineStr">
        <is>
          <t>항목</t>
        </is>
      </c>
      <c r="B430" s="53" t="inlineStr">
        <is>
          <t>값</t>
        </is>
      </c>
      <c r="C430" s="53" t="inlineStr">
        <is>
          <t>출처</t>
        </is>
      </c>
    </row>
    <row r="431">
      <c r="A431" s="54" t="inlineStr">
        <is>
          <t>24.4~6</t>
        </is>
      </c>
      <c r="B431" s="55" t="n">
        <v>145.6</v>
      </c>
      <c r="C431" s="56" t="inlineStr">
        <is>
          <t>2단계 보고서 자료(회사 설명회 자료·공시)</t>
        </is>
      </c>
    </row>
    <row r="432">
      <c r="A432" s="54" t="inlineStr">
        <is>
          <t>24.7~9</t>
        </is>
      </c>
      <c r="B432" s="55" t="n">
        <v>129.7</v>
      </c>
    </row>
    <row r="433">
      <c r="A433" s="54" t="inlineStr">
        <is>
          <t>24.10~12</t>
        </is>
      </c>
      <c r="B433" s="55" t="n">
        <v>171.8</v>
      </c>
    </row>
    <row r="434">
      <c r="A434" s="54" t="inlineStr">
        <is>
          <t>25.1~3</t>
        </is>
      </c>
      <c r="B434" s="55" t="n">
        <v>175.6</v>
      </c>
    </row>
    <row r="435">
      <c r="A435" s="54" t="inlineStr">
        <is>
          <t>25.4~6</t>
        </is>
      </c>
      <c r="B435" s="55" t="n">
        <v>205.1</v>
      </c>
    </row>
    <row r="436">
      <c r="A436" s="54" t="inlineStr">
        <is>
          <t>25.7~9</t>
        </is>
      </c>
      <c r="B436" s="55" t="n">
        <v>206.4</v>
      </c>
    </row>
    <row r="437">
      <c r="A437" s="54" t="inlineStr">
        <is>
          <t>25.10~12</t>
        </is>
      </c>
      <c r="B437" s="55" t="n">
        <v>250.7</v>
      </c>
    </row>
    <row r="438">
      <c r="A438" s="54" t="inlineStr">
        <is>
          <t>26.1~3</t>
        </is>
      </c>
      <c r="B438" s="55" t="n">
        <v>270.2</v>
      </c>
    </row>
    <row r="439">
      <c r="A439" s="54" t="inlineStr">
        <is>
          <t>26.4~6</t>
        </is>
      </c>
      <c r="B439" s="55" t="n">
        <v>331.2</v>
      </c>
    </row>
    <row r="440">
      <c r="A440" s="54" t="inlineStr">
        <is>
          <t>26.7~9</t>
        </is>
      </c>
      <c r="B440" s="55" t="n">
        <v>323.3</v>
      </c>
    </row>
    <row r="442">
      <c r="A442" s="52" t="inlineStr">
        <is>
          <t>fiber q</t>
        </is>
      </c>
      <c r="B442" s="52" t="n"/>
      <c r="C442" s="52" t="n"/>
    </row>
    <row r="443">
      <c r="A443" s="53" t="inlineStr">
        <is>
          <t>항목</t>
        </is>
      </c>
      <c r="B443" s="53" t="inlineStr">
        <is>
          <t>값</t>
        </is>
      </c>
      <c r="C443" s="53" t="inlineStr">
        <is>
          <t>출처</t>
        </is>
      </c>
    </row>
    <row r="444">
      <c r="A444" s="54" t="inlineStr">
        <is>
          <t>24.4~6</t>
        </is>
      </c>
      <c r="B444" s="57" t="n">
        <v>210</v>
      </c>
      <c r="C444" s="56" t="inlineStr">
        <is>
          <t>2단계 보고서 자료(회사 설명회 자료·공시)</t>
        </is>
      </c>
    </row>
    <row r="445">
      <c r="A445" s="54" t="inlineStr">
        <is>
          <t>24.7~9</t>
        </is>
      </c>
      <c r="B445" s="57" t="n">
        <v>216</v>
      </c>
    </row>
    <row r="446">
      <c r="A446" s="54" t="inlineStr">
        <is>
          <t>24.10~12</t>
        </is>
      </c>
      <c r="B446" s="57" t="n">
        <v>227</v>
      </c>
    </row>
    <row r="447">
      <c r="A447" s="54" t="inlineStr">
        <is>
          <t>25.1~3</t>
        </is>
      </c>
      <c r="B447" s="57" t="n">
        <v>237</v>
      </c>
    </row>
    <row r="448">
      <c r="A448" s="54" t="inlineStr">
        <is>
          <t>25.4~6</t>
        </is>
      </c>
      <c r="B448" s="57" t="n">
        <v>283</v>
      </c>
    </row>
    <row r="449">
      <c r="A449" s="54" t="inlineStr">
        <is>
          <t>25.7~9</t>
        </is>
      </c>
      <c r="B449" s="57" t="n">
        <v>362</v>
      </c>
    </row>
    <row r="450">
      <c r="A450" s="54" t="inlineStr">
        <is>
          <t>25.10~12</t>
        </is>
      </c>
      <c r="B450" s="57" t="n">
        <v>440</v>
      </c>
    </row>
    <row r="451">
      <c r="A451" s="54" t="inlineStr">
        <is>
          <t>26.1~3</t>
        </is>
      </c>
      <c r="B451" s="57" t="n">
        <v>540</v>
      </c>
    </row>
    <row r="452">
      <c r="A452" s="54" t="inlineStr">
        <is>
          <t>26.4~6</t>
        </is>
      </c>
      <c r="B452" s="57" t="n">
        <v>467</v>
      </c>
    </row>
    <row r="453">
      <c r="A453" s="54" t="inlineStr">
        <is>
          <t>26.7~9</t>
        </is>
      </c>
      <c r="B453" s="57" t="n">
        <v>717</v>
      </c>
    </row>
    <row r="455">
      <c r="A455" s="52" t="inlineStr">
        <is>
          <t>cu q</t>
        </is>
      </c>
      <c r="B455" s="52" t="n"/>
      <c r="C455" s="52" t="n"/>
    </row>
    <row r="456">
      <c r="A456" s="53" t="inlineStr">
        <is>
          <t>항목</t>
        </is>
      </c>
      <c r="B456" s="53" t="inlineStr">
        <is>
          <t>값</t>
        </is>
      </c>
      <c r="C456" s="53" t="inlineStr">
        <is>
          <t>출처</t>
        </is>
      </c>
    </row>
    <row r="457">
      <c r="A457" s="54" t="inlineStr">
        <is>
          <t>2025-Q3</t>
        </is>
      </c>
      <c r="B457" s="55" t="n">
        <v>142.1</v>
      </c>
      <c r="C457" s="56" t="inlineStr">
        <is>
          <t>2단계 보고서 자료(회사 설명회 자료·공시)</t>
        </is>
      </c>
    </row>
    <row r="458">
      <c r="A458" s="54" t="inlineStr">
        <is>
          <t>2025-Q4</t>
        </is>
      </c>
      <c r="B458" s="55" t="n">
        <v>153.3</v>
      </c>
    </row>
    <row r="459">
      <c r="A459" s="54" t="inlineStr">
        <is>
          <t>2026-Q1</t>
        </is>
      </c>
      <c r="B459" s="55" t="n">
        <v>151.4</v>
      </c>
    </row>
    <row r="460">
      <c r="A460" s="54" t="inlineStr">
        <is>
          <t>2026-Q2</t>
        </is>
      </c>
      <c r="B460" s="55" t="n">
        <v>156.8</v>
      </c>
    </row>
    <row r="461">
      <c r="A461" s="54" t="inlineStr">
        <is>
          <t>2026-Q3</t>
        </is>
      </c>
      <c r="B461" s="55" t="n">
        <v>177.5</v>
      </c>
    </row>
    <row r="462">
      <c r="A462" s="54" t="inlineStr">
        <is>
          <t>2026-Q4</t>
        </is>
      </c>
      <c r="B462" s="55" t="n">
        <v>199.4</v>
      </c>
    </row>
    <row r="463">
      <c r="A463" s="54" t="inlineStr">
        <is>
          <t>2027-Q1</t>
        </is>
      </c>
      <c r="B463" s="55" t="n">
        <v>217.6</v>
      </c>
    </row>
    <row r="464">
      <c r="A464" s="54" t="inlineStr">
        <is>
          <t>2027-Q2</t>
        </is>
      </c>
      <c r="B464" s="55" t="n">
        <v>227.1</v>
      </c>
    </row>
    <row r="466">
      <c r="A466" s="52" t="inlineStr">
        <is>
          <t>au 영업이익률</t>
        </is>
      </c>
      <c r="B466" s="52" t="n"/>
      <c r="C466" s="52" t="n"/>
    </row>
    <row r="467">
      <c r="A467" s="53" t="inlineStr">
        <is>
          <t>항목</t>
        </is>
      </c>
      <c r="B467" s="53" t="inlineStr">
        <is>
          <t>값</t>
        </is>
      </c>
      <c r="C467" s="53" t="inlineStr">
        <is>
          <t>출처</t>
        </is>
      </c>
    </row>
    <row r="468">
      <c r="A468" s="54" t="inlineStr">
        <is>
          <t>2025-Q3</t>
        </is>
      </c>
      <c r="B468" s="55" t="n">
        <v>6.9</v>
      </c>
      <c r="C468" s="56" t="inlineStr">
        <is>
          <t>2단계 보고서 자료(회사 설명회 자료·공시)</t>
        </is>
      </c>
    </row>
    <row r="469">
      <c r="A469" s="54" t="inlineStr">
        <is>
          <t>2025-Q4</t>
        </is>
      </c>
      <c r="B469" s="55" t="n">
        <v>9.5</v>
      </c>
    </row>
    <row r="470">
      <c r="A470" s="54" t="inlineStr">
        <is>
          <t>2026-Q1</t>
        </is>
      </c>
      <c r="B470" s="55" t="n">
        <v>4</v>
      </c>
    </row>
    <row r="471">
      <c r="A471" s="54" t="inlineStr">
        <is>
          <t>2026-Q2</t>
        </is>
      </c>
      <c r="B471" s="55" t="n">
        <v>5.5</v>
      </c>
    </row>
    <row r="472">
      <c r="A472" s="54" t="inlineStr">
        <is>
          <t>2026-Q3</t>
        </is>
      </c>
      <c r="B472" s="55" t="n">
        <v>7</v>
      </c>
    </row>
    <row r="473">
      <c r="A473" s="54" t="inlineStr">
        <is>
          <t>2026-Q4</t>
        </is>
      </c>
      <c r="B473" s="55" t="n">
        <v>7.6</v>
      </c>
    </row>
    <row r="474">
      <c r="A474" s="54" t="inlineStr">
        <is>
          <t>2027-Q1</t>
        </is>
      </c>
      <c r="B474" s="55" t="n">
        <v>3.2</v>
      </c>
    </row>
    <row r="475">
      <c r="A475" s="54" t="inlineStr">
        <is>
          <t>2027-Q2</t>
        </is>
      </c>
      <c r="B475" s="55" t="n">
        <v>3.4</v>
      </c>
    </row>
    <row r="477">
      <c r="A477" s="52" t="inlineStr">
        <is>
          <t>val out</t>
        </is>
      </c>
      <c r="B477" s="52" t="n"/>
      <c r="C477" s="52" t="n"/>
    </row>
    <row r="478">
      <c r="A478" s="53" t="inlineStr">
        <is>
          <t>항목</t>
        </is>
      </c>
      <c r="B478" s="53" t="inlineStr">
        <is>
          <t>값</t>
        </is>
      </c>
      <c r="C478" s="53" t="inlineStr">
        <is>
          <t>출처</t>
        </is>
      </c>
    </row>
    <row r="479">
      <c r="A479" s="54" t="inlineStr">
        <is>
          <t>guide PER</t>
        </is>
      </c>
      <c r="B479" s="55" t="n">
        <v>15</v>
      </c>
      <c r="C479" s="56" t="inlineStr">
        <is>
          <t>2단계 보고서 자료(회사 설명회 자료·공시)</t>
        </is>
      </c>
    </row>
    <row r="480">
      <c r="A480" s="54" t="inlineStr">
        <is>
          <t>band position %</t>
        </is>
      </c>
      <c r="B480" s="57" t="n">
        <v>22</v>
      </c>
    </row>
    <row r="481">
      <c r="A481" s="54" t="inlineStr">
        <is>
          <t>required EPS at avg PER</t>
        </is>
      </c>
      <c r="B481" s="55" t="n">
        <v>105.59</v>
      </c>
    </row>
    <row r="483">
      <c r="A483" s="52" t="inlineStr">
        <is>
          <t>val out · regression</t>
        </is>
      </c>
      <c r="B483" s="52" t="n"/>
      <c r="C483" s="52" t="n"/>
    </row>
    <row r="484">
      <c r="A484" s="53" t="inlineStr">
        <is>
          <t>항목</t>
        </is>
      </c>
      <c r="B484" s="53" t="inlineStr">
        <is>
          <t>값</t>
        </is>
      </c>
      <c r="C484" s="53" t="inlineStr">
        <is>
          <t>출처</t>
        </is>
      </c>
    </row>
    <row r="485">
      <c r="A485" s="54" t="inlineStr">
        <is>
          <t>a</t>
        </is>
      </c>
      <c r="B485" s="55" t="n">
        <v>17.87</v>
      </c>
      <c r="C485" s="56" t="inlineStr">
        <is>
          <t>2단계 보고서 자료(회사 설명회 자료·공시)</t>
        </is>
      </c>
    </row>
    <row r="486">
      <c r="A486" s="54" t="inlineStr">
        <is>
          <t>b</t>
        </is>
      </c>
      <c r="B486" s="55" t="n">
        <v>0.739</v>
      </c>
    </row>
    <row r="487">
      <c r="A487" s="54" t="inlineStr">
        <is>
          <t>r2</t>
        </is>
      </c>
      <c r="B487" s="55" t="n">
        <v>0.95</v>
      </c>
    </row>
    <row r="488">
      <c r="A488" s="54" t="inlineStr">
        <is>
          <t>애널리스트 수</t>
        </is>
      </c>
      <c r="B488" s="57" t="n">
        <v>3</v>
      </c>
    </row>
    <row r="489">
      <c r="A489" s="54" t="inlineStr">
        <is>
          <t>justified PER</t>
        </is>
      </c>
      <c r="B489" s="55" t="n">
        <v>35.3</v>
      </c>
    </row>
    <row r="490">
      <c r="A490" s="54" t="inlineStr">
        <is>
          <t>justified 가격</t>
        </is>
      </c>
      <c r="B490" s="57" t="n">
        <v>4187</v>
      </c>
    </row>
    <row r="491">
      <c r="A491" s="54" t="inlineStr">
        <is>
          <t>gap %</t>
        </is>
      </c>
      <c r="B491" s="55" t="n">
        <v>134.6</v>
      </c>
    </row>
    <row r="493">
      <c r="A493" s="52" t="inlineStr">
        <is>
          <t>val out · with avg upgrade</t>
        </is>
      </c>
      <c r="B493" s="52" t="n"/>
      <c r="C493" s="52" t="n"/>
    </row>
    <row r="494">
      <c r="A494" s="53" t="inlineStr">
        <is>
          <t>항목</t>
        </is>
      </c>
      <c r="B494" s="53" t="inlineStr">
        <is>
          <t>값</t>
        </is>
      </c>
      <c r="C494" s="53" t="inlineStr">
        <is>
          <t>출처</t>
        </is>
      </c>
    </row>
    <row r="495">
      <c r="A495" s="54" t="inlineStr">
        <is>
          <t>EPS</t>
        </is>
      </c>
      <c r="B495" s="55" t="n">
        <v>176.24</v>
      </c>
      <c r="C495" s="56" t="inlineStr">
        <is>
          <t>2단계 보고서 자료(회사 설명회 자료·공시)</t>
        </is>
      </c>
    </row>
    <row r="496">
      <c r="A496" s="54" t="inlineStr">
        <is>
          <t>가격 at avg PER</t>
        </is>
      </c>
      <c r="B496" s="57" t="n">
        <v>2978</v>
      </c>
    </row>
    <row r="497">
      <c r="A497" s="54" t="inlineStr">
        <is>
          <t>vs now %</t>
        </is>
      </c>
      <c r="B497" s="55" t="n">
        <v>66.90000000000001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8" t="inlineStr">
        <is>
          <t>공시일</t>
        </is>
      </c>
      <c r="B3" s="58" t="inlineStr">
        <is>
          <t>문서</t>
        </is>
      </c>
      <c r="C3" s="58" t="inlineStr">
        <is>
          <t>PDF</t>
        </is>
      </c>
    </row>
    <row r="4">
      <c r="A4" t="inlineStr">
        <is>
          <t>2026-10-30</t>
        </is>
      </c>
      <c r="B4" t="inlineStr">
        <is>
          <t>2027년 3월 결산기 ２분기 결산단신</t>
        </is>
      </c>
      <c r="C4" t="inlineStr">
        <is>
          <t>https://www2.jpx.co.jp/disc/58020/140120261029559548.pdf</t>
        </is>
      </c>
    </row>
    <row r="5">
      <c r="A5" t="inlineStr">
        <is>
          <t>2026-07-31</t>
        </is>
      </c>
      <c r="B5" t="inlineStr">
        <is>
          <t>2027년 3월 결산기 １분기 결산단신</t>
        </is>
      </c>
      <c r="C5" t="inlineStr">
        <is>
          <t>https://www2.jpx.co.jp/disc/58020/140120260730503574.pdf</t>
        </is>
      </c>
    </row>
    <row r="6">
      <c r="A6" t="inlineStr">
        <is>
          <t>2026-05-12</t>
        </is>
      </c>
      <c r="B6" t="inlineStr">
        <is>
          <t>2026년 3월 결산기 연간 결산단신</t>
        </is>
      </c>
      <c r="C6" t="inlineStr">
        <is>
          <t>https://www2.jpx.co.jp/disc/58020/140120260511522404.pdf</t>
        </is>
      </c>
    </row>
    <row r="7">
      <c r="A7" t="inlineStr">
        <is>
          <t>2026-02-03</t>
        </is>
      </c>
      <c r="B7" t="inlineStr">
        <is>
          <t>2026년 3월 결산기 ３분기 결산단신</t>
        </is>
      </c>
      <c r="C7" t="inlineStr">
        <is>
          <t>https://www2.jpx.co.jp/disc/58020/140120260202544935.pdf</t>
        </is>
      </c>
    </row>
    <row r="8">
      <c r="A8" t="inlineStr">
        <is>
          <t>2025-10-31</t>
        </is>
      </c>
      <c r="B8" t="inlineStr">
        <is>
          <t>2026년 3월 결산기 ２분기 결산단신</t>
        </is>
      </c>
      <c r="C8" t="inlineStr">
        <is>
          <t>https://www2.jpx.co.jp/disc/58020/140120251030583521.pdf</t>
        </is>
      </c>
    </row>
    <row r="9">
      <c r="A9" t="inlineStr">
        <is>
          <t>2025-07-31</t>
        </is>
      </c>
      <c r="B9" t="inlineStr">
        <is>
          <t>2026년 3월 결산기 １분기 결산단신</t>
        </is>
      </c>
      <c r="C9" t="inlineStr">
        <is>
          <t>https://www2.jpx.co.jp/disc/58020/140120250730524036.pdf</t>
        </is>
      </c>
    </row>
    <row r="10">
      <c r="A10" t="inlineStr">
        <is>
          <t>2025-05-13</t>
        </is>
      </c>
      <c r="B10" t="inlineStr">
        <is>
          <t>2025년 3월 결산기 연간 결산단신</t>
        </is>
      </c>
      <c r="C10" t="inlineStr">
        <is>
          <t>https://www2.jpx.co.jp/disc/58020/140120250512541816.pdf</t>
        </is>
      </c>
    </row>
    <row r="11">
      <c r="A11" t="inlineStr">
        <is>
          <t>2025-02-04</t>
        </is>
      </c>
      <c r="B11" t="inlineStr">
        <is>
          <t>2025년 3월 결산기 ３분기 결산단신</t>
        </is>
      </c>
      <c r="C11" t="inlineStr">
        <is>
          <t>https://www2.jpx.co.jp/disc/58020/140120250203561456.pdf</t>
        </is>
      </c>
    </row>
    <row r="12">
      <c r="A12" t="inlineStr">
        <is>
          <t>2024-11-01</t>
        </is>
      </c>
      <c r="B12" t="inlineStr">
        <is>
          <t>2025년 3월 결산기 ２분기 결산단신</t>
        </is>
      </c>
      <c r="C12" t="inlineStr">
        <is>
          <t>https://www2.jpx.co.jp/disc/58020/140120241031507819.pdf</t>
        </is>
      </c>
    </row>
    <row r="13">
      <c r="A13" t="inlineStr">
        <is>
          <t>2024-08-01</t>
        </is>
      </c>
      <c r="B13" t="inlineStr">
        <is>
          <t>2025년 3월 결산기 １분기 결산단신</t>
        </is>
      </c>
      <c r="C13" t="inlineStr">
        <is>
          <t>https://www2.jpx.co.jp/disc/58020/140120240731559231.pdf</t>
        </is>
      </c>
    </row>
    <row r="14">
      <c r="A14" t="inlineStr">
        <is>
          <t>2024-05-10</t>
        </is>
      </c>
      <c r="B14" t="inlineStr">
        <is>
          <t>2024년 3월 결산기 연간 결산단신</t>
        </is>
      </c>
      <c r="C14" t="inlineStr">
        <is>
          <t>https://www2.jpx.co.jp/disc/58020/140120240509586667.pdf</t>
        </is>
      </c>
    </row>
    <row r="15">
      <c r="A15" t="inlineStr">
        <is>
          <t>2024-02-05</t>
        </is>
      </c>
      <c r="B15" t="inlineStr">
        <is>
          <t>2024년 3월 결산기 ３분기 결산단신</t>
        </is>
      </c>
      <c r="C15" t="inlineStr">
        <is>
          <t>https://www2.jpx.co.jp/disc/58020/140120240201524547.pdf</t>
        </is>
      </c>
    </row>
    <row r="16">
      <c r="A16" t="inlineStr">
        <is>
          <t>2023-11-02</t>
        </is>
      </c>
      <c r="B16" t="inlineStr">
        <is>
          <t>2024년 3월 결산기 ２분기 결산단신</t>
        </is>
      </c>
      <c r="C16" t="inlineStr">
        <is>
          <t>https://www2.jpx.co.jp/disc/58020/140120231101577310.pdf</t>
        </is>
      </c>
    </row>
    <row r="17">
      <c r="A17" t="inlineStr">
        <is>
          <t>2023-08-02</t>
        </is>
      </c>
      <c r="B17" t="inlineStr">
        <is>
          <t>2024년 3월 결산기 1분기 결산단신</t>
        </is>
      </c>
      <c r="C17" t="inlineStr">
        <is>
          <t>https://www2.jpx.co.jp/disc/58020/140120230727528050.pdf</t>
        </is>
      </c>
    </row>
    <row r="18">
      <c r="A18" t="inlineStr">
        <is>
          <t>2023-05-12</t>
        </is>
      </c>
      <c r="B18" t="inlineStr">
        <is>
          <t>2023년 3월 결산기 연간 결산단신</t>
        </is>
      </c>
      <c r="C18" t="inlineStr">
        <is>
          <t>https://www2.jpx.co.jp/disc/58020/140120230512568779.pdf</t>
        </is>
      </c>
    </row>
    <row r="19">
      <c r="A19" t="inlineStr">
        <is>
          <t>2023-02-02</t>
        </is>
      </c>
      <c r="B19" t="inlineStr">
        <is>
          <t>2023년 3월 결산기 3분기 결산단신</t>
        </is>
      </c>
      <c r="C19" t="inlineStr">
        <is>
          <t>https://www2.jpx.co.jp/disc/58020/140120230126593697.pdf</t>
        </is>
      </c>
    </row>
    <row r="20">
      <c r="A20" t="inlineStr">
        <is>
          <t>2022-05-11</t>
        </is>
      </c>
      <c r="B20" t="inlineStr">
        <is>
          <t>2022년 3월 결산기 연간 결산단신</t>
        </is>
      </c>
      <c r="C20" t="inlineStr">
        <is>
          <t>https://www2.jpx.co.jp/disc/58020/140120220323509293.pdf</t>
        </is>
      </c>
    </row>
    <row r="21">
      <c r="A21" t="inlineStr">
        <is>
          <t>2021-05-13</t>
        </is>
      </c>
      <c r="B21" t="inlineStr">
        <is>
          <t>2021년 3월 결산기 연간 결산단신</t>
        </is>
      </c>
      <c r="C21" t="inlineStr">
        <is>
          <t>https://www2.jpx.co.jp/disc/58020/140120210317479958.pdf</t>
        </is>
      </c>
    </row>
    <row r="22">
      <c r="A22" t="inlineStr">
        <is>
          <t>2020-05-19</t>
        </is>
      </c>
      <c r="B22" t="inlineStr">
        <is>
          <t>2020년 3월 결산기 연간 결산단신</t>
        </is>
      </c>
      <c r="C22" t="inlineStr">
        <is>
          <t>https://www2.jpx.co.jp/disc/58020/140120200319481569.pdf</t>
        </is>
      </c>
    </row>
    <row r="23">
      <c r="A23" t="inlineStr">
        <is>
          <t>2019-05-10</t>
        </is>
      </c>
      <c r="B23" t="inlineStr">
        <is>
          <t>2019년 3월 결산기 연간 결산단신</t>
        </is>
      </c>
      <c r="C23" t="inlineStr">
        <is>
          <t>https://www2.jpx.co.jp/disc/58020/140120190318491821.pdf</t>
        </is>
      </c>
    </row>
    <row r="24">
      <c r="A24" t="inlineStr">
        <is>
          <t>2018-05-11</t>
        </is>
      </c>
      <c r="B24" t="inlineStr">
        <is>
          <t>연간 결산단신</t>
        </is>
      </c>
      <c r="C24" t="inlineStr">
        <is>
          <t>https://www2.jpx.co.jp/disc/58020/140120180330402046.pdf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2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59" t="inlineStr">
        <is>
          <t>5802 재무제표 한눈에 보기 — 최근 40개 분기(달력 분기, 3Q26 = 26.7~9) · 단위 억 엔</t>
        </is>
      </c>
    </row>
    <row r="2">
      <c r="A2" s="60" t="inlineStr">
        <is>
          <t>출처: 매출·영업이익 결산단신 XBRL · 재무상태표 등 결산단신 XBRL 36건(2018-02-05~2026-10-30). 부문·지역·수주·수출은 있을 때만(출처는 줄 끝). 총 차입금 = 이자 붙는 부채 전부(단기·장기 차입금, CP, 사채·전환사채, 리스부채)</t>
        </is>
      </c>
    </row>
    <row r="4">
      <c r="A4" s="61" t="inlineStr">
        <is>
          <t>항목</t>
        </is>
      </c>
      <c r="B4" s="62" t="inlineStr">
        <is>
          <t>4Q16</t>
        </is>
      </c>
      <c r="C4" s="62" t="inlineStr">
        <is>
          <t>1Q17</t>
        </is>
      </c>
      <c r="D4" s="62" t="inlineStr">
        <is>
          <t>2Q17</t>
        </is>
      </c>
      <c r="E4" s="62" t="inlineStr">
        <is>
          <t>3Q17</t>
        </is>
      </c>
      <c r="F4" s="62" t="inlineStr">
        <is>
          <t>4Q17</t>
        </is>
      </c>
      <c r="G4" s="62" t="inlineStr">
        <is>
          <t>1Q18</t>
        </is>
      </c>
      <c r="H4" s="62" t="inlineStr">
        <is>
          <t>2Q18</t>
        </is>
      </c>
      <c r="I4" s="62" t="inlineStr">
        <is>
          <t>3Q18</t>
        </is>
      </c>
      <c r="J4" s="62" t="inlineStr">
        <is>
          <t>4Q18</t>
        </is>
      </c>
      <c r="K4" s="62" t="inlineStr">
        <is>
          <t>1Q19</t>
        </is>
      </c>
      <c r="L4" s="62" t="inlineStr">
        <is>
          <t>2Q19</t>
        </is>
      </c>
      <c r="M4" s="62" t="inlineStr">
        <is>
          <t>3Q19</t>
        </is>
      </c>
      <c r="N4" s="62" t="inlineStr">
        <is>
          <t>4Q19</t>
        </is>
      </c>
      <c r="O4" s="62" t="inlineStr">
        <is>
          <t>1Q20</t>
        </is>
      </c>
      <c r="P4" s="62" t="inlineStr">
        <is>
          <t>2Q20</t>
        </is>
      </c>
      <c r="Q4" s="62" t="inlineStr">
        <is>
          <t>3Q20</t>
        </is>
      </c>
      <c r="R4" s="62" t="inlineStr">
        <is>
          <t>4Q20</t>
        </is>
      </c>
      <c r="S4" s="62" t="inlineStr">
        <is>
          <t>1Q21</t>
        </is>
      </c>
      <c r="T4" s="62" t="inlineStr">
        <is>
          <t>2Q21</t>
        </is>
      </c>
      <c r="U4" s="62" t="inlineStr">
        <is>
          <t>3Q21</t>
        </is>
      </c>
      <c r="V4" s="62" t="inlineStr">
        <is>
          <t>4Q21</t>
        </is>
      </c>
      <c r="W4" s="62" t="inlineStr">
        <is>
          <t>1Q22</t>
        </is>
      </c>
      <c r="X4" s="62" t="inlineStr">
        <is>
          <t>2Q22</t>
        </is>
      </c>
      <c r="Y4" s="62" t="inlineStr">
        <is>
          <t>3Q22</t>
        </is>
      </c>
      <c r="Z4" s="62" t="inlineStr">
        <is>
          <t>4Q22</t>
        </is>
      </c>
      <c r="AA4" s="62" t="inlineStr">
        <is>
          <t>1Q23</t>
        </is>
      </c>
      <c r="AB4" s="62" t="inlineStr">
        <is>
          <t>2Q23</t>
        </is>
      </c>
      <c r="AC4" s="62" t="inlineStr">
        <is>
          <t>3Q23</t>
        </is>
      </c>
      <c r="AD4" s="62" t="inlineStr">
        <is>
          <t>4Q23</t>
        </is>
      </c>
      <c r="AE4" s="62" t="inlineStr">
        <is>
          <t>1Q24</t>
        </is>
      </c>
      <c r="AF4" s="62" t="inlineStr">
        <is>
          <t>2Q24</t>
        </is>
      </c>
      <c r="AG4" s="62" t="inlineStr">
        <is>
          <t>3Q24</t>
        </is>
      </c>
      <c r="AH4" s="62" t="inlineStr">
        <is>
          <t>4Q24</t>
        </is>
      </c>
      <c r="AI4" s="62" t="inlineStr">
        <is>
          <t>1Q25</t>
        </is>
      </c>
      <c r="AJ4" s="62" t="inlineStr">
        <is>
          <t>2Q25</t>
        </is>
      </c>
      <c r="AK4" s="62" t="inlineStr">
        <is>
          <t>3Q25</t>
        </is>
      </c>
      <c r="AL4" s="62" t="inlineStr">
        <is>
          <t>4Q25</t>
        </is>
      </c>
      <c r="AM4" s="62" t="inlineStr">
        <is>
          <t>1Q26</t>
        </is>
      </c>
      <c r="AN4" s="62" t="inlineStr">
        <is>
          <t>2Q26</t>
        </is>
      </c>
      <c r="AO4" s="62" t="inlineStr">
        <is>
          <t>3Q26</t>
        </is>
      </c>
      <c r="AP4" s="61" t="inlineStr">
        <is>
          <t>출처</t>
        </is>
      </c>
    </row>
    <row r="5">
      <c r="A5" s="63" t="inlineStr">
        <is>
          <t>매출액</t>
        </is>
      </c>
      <c r="B5" s="64" t="n"/>
      <c r="C5" s="64" t="n">
        <v>7804.1</v>
      </c>
      <c r="D5" s="64" t="n">
        <v>7073.8</v>
      </c>
      <c r="E5" s="64" t="n">
        <v>7518.4</v>
      </c>
      <c r="F5" s="64" t="n">
        <v>7984.6</v>
      </c>
      <c r="G5" s="64" t="n">
        <v>8245.700000000001</v>
      </c>
      <c r="H5" s="64" t="n">
        <v>7586.9</v>
      </c>
      <c r="I5" s="64" t="n">
        <v>7696.7</v>
      </c>
      <c r="J5" s="64" t="n">
        <v>8168.6</v>
      </c>
      <c r="K5" s="64" t="n">
        <v>8327.700000000001</v>
      </c>
      <c r="L5" s="64" t="n">
        <v>7477.5</v>
      </c>
      <c r="M5" s="64" t="n">
        <v>7760.2</v>
      </c>
      <c r="N5" s="64" t="n">
        <v>7956.6</v>
      </c>
      <c r="O5" s="64" t="n">
        <v>7875.9</v>
      </c>
      <c r="P5" s="64" t="n">
        <v>5152.7</v>
      </c>
      <c r="Q5" s="64" t="n">
        <v>7240.2</v>
      </c>
      <c r="R5" s="64" t="n">
        <v>8228.4</v>
      </c>
      <c r="S5" s="64" t="n">
        <v>8564.5</v>
      </c>
      <c r="T5" s="64" t="n">
        <v>7876.8</v>
      </c>
      <c r="U5" s="64" t="n">
        <v>7827.4</v>
      </c>
      <c r="V5" s="64" t="n">
        <v>8687</v>
      </c>
      <c r="W5" s="64" t="n">
        <v>9287.5</v>
      </c>
      <c r="X5" s="64" t="n">
        <v>8771.200000000001</v>
      </c>
      <c r="Y5" s="64" t="n">
        <v>10139.5</v>
      </c>
      <c r="Z5" s="64" t="n">
        <v>10209</v>
      </c>
      <c r="AA5" s="64" t="n">
        <v>10935.9</v>
      </c>
      <c r="AB5" s="64" t="n">
        <v>9941.200000000001</v>
      </c>
      <c r="AC5" s="64" t="n">
        <v>10779.8</v>
      </c>
      <c r="AD5" s="64" t="n">
        <v>11498.2</v>
      </c>
      <c r="AE5" s="64" t="n">
        <v>11808.9</v>
      </c>
      <c r="AF5" s="64" t="n">
        <v>11155.5</v>
      </c>
      <c r="AG5" s="64" t="n">
        <v>11322.3</v>
      </c>
      <c r="AH5" s="64" t="n">
        <v>11934.6</v>
      </c>
      <c r="AI5" s="64" t="n">
        <v>12385.5</v>
      </c>
      <c r="AJ5" s="64" t="n">
        <v>11484.4</v>
      </c>
      <c r="AK5" s="64" t="n">
        <v>12250.2</v>
      </c>
      <c r="AL5" s="64" t="n">
        <v>13134.4</v>
      </c>
      <c r="AM5" s="64" t="n">
        <v>14232.7</v>
      </c>
      <c r="AN5" s="64" t="n">
        <v>13305.9</v>
      </c>
      <c r="AO5" s="64" t="n">
        <v>14343.2</v>
      </c>
    </row>
    <row r="6">
      <c r="A6" s="63" t="inlineStr">
        <is>
          <t>매출액 YoY</t>
        </is>
      </c>
      <c r="B6" s="65" t="n"/>
      <c r="C6" s="65" t="n"/>
      <c r="D6" s="65" t="n"/>
      <c r="E6" s="65" t="n"/>
      <c r="F6" s="65" t="n"/>
      <c r="G6" s="65" t="n">
        <v>5.7</v>
      </c>
      <c r="H6" s="65" t="n">
        <v>7.3</v>
      </c>
      <c r="I6" s="65" t="n">
        <v>2.4</v>
      </c>
      <c r="J6" s="65" t="n">
        <v>2.3</v>
      </c>
      <c r="K6" s="65" t="n">
        <v>1</v>
      </c>
      <c r="L6" s="65" t="n">
        <v>-1.4</v>
      </c>
      <c r="M6" s="65" t="n">
        <v>0.8</v>
      </c>
      <c r="N6" s="65" t="n">
        <v>-2.6</v>
      </c>
      <c r="O6" s="65" t="n">
        <v>-5.4</v>
      </c>
      <c r="P6" s="65" t="n">
        <v>-31.1</v>
      </c>
      <c r="Q6" s="65" t="n">
        <v>-6.7</v>
      </c>
      <c r="R6" s="65" t="n">
        <v>3.4</v>
      </c>
      <c r="S6" s="65" t="n">
        <v>8.699999999999999</v>
      </c>
      <c r="T6" s="65" t="n">
        <v>52.9</v>
      </c>
      <c r="U6" s="65" t="n">
        <v>8.1</v>
      </c>
      <c r="V6" s="65" t="n">
        <v>5.6</v>
      </c>
      <c r="W6" s="65" t="n">
        <v>8.4</v>
      </c>
      <c r="X6" s="65" t="n">
        <v>11.4</v>
      </c>
      <c r="Y6" s="65" t="n">
        <v>29.5</v>
      </c>
      <c r="Z6" s="65" t="n">
        <v>17.5</v>
      </c>
      <c r="AA6" s="65" t="n">
        <v>17.7</v>
      </c>
      <c r="AB6" s="65" t="n">
        <v>13.3</v>
      </c>
      <c r="AC6" s="65" t="n">
        <v>6.3</v>
      </c>
      <c r="AD6" s="65" t="n">
        <v>12.6</v>
      </c>
      <c r="AE6" s="65" t="n">
        <v>8</v>
      </c>
      <c r="AF6" s="65" t="n">
        <v>12.2</v>
      </c>
      <c r="AG6" s="65" t="n">
        <v>5</v>
      </c>
      <c r="AH6" s="65" t="n">
        <v>3.8</v>
      </c>
      <c r="AI6" s="65" t="n">
        <v>4.9</v>
      </c>
      <c r="AJ6" s="65" t="n">
        <v>2.9</v>
      </c>
      <c r="AK6" s="65" t="n">
        <v>8.199999999999999</v>
      </c>
      <c r="AL6" s="65" t="n">
        <v>10.1</v>
      </c>
      <c r="AM6" s="65" t="n">
        <v>14.9</v>
      </c>
      <c r="AN6" s="65" t="n">
        <v>15.9</v>
      </c>
      <c r="AO6" s="65" t="n">
        <v>17.1</v>
      </c>
    </row>
    <row r="7">
      <c r="A7" s="63" t="inlineStr">
        <is>
          <t>영업이익</t>
        </is>
      </c>
      <c r="B7" s="64" t="n"/>
      <c r="C7" s="64" t="n">
        <v>508.8</v>
      </c>
      <c r="D7" s="64" t="n">
        <v>277.9</v>
      </c>
      <c r="E7" s="64" t="n">
        <v>379.2</v>
      </c>
      <c r="F7" s="64" t="n">
        <v>472.3</v>
      </c>
      <c r="G7" s="64" t="n">
        <v>602</v>
      </c>
      <c r="H7" s="64" t="n">
        <v>313.4</v>
      </c>
      <c r="I7" s="64" t="n">
        <v>329.4</v>
      </c>
      <c r="J7" s="64" t="n">
        <v>512.3</v>
      </c>
      <c r="K7" s="64" t="n">
        <v>507.4</v>
      </c>
      <c r="L7" s="64" t="n">
        <v>194.4</v>
      </c>
      <c r="M7" s="64" t="n">
        <v>265.4</v>
      </c>
      <c r="N7" s="64" t="n">
        <v>387.9</v>
      </c>
      <c r="O7" s="64" t="n">
        <v>424.5</v>
      </c>
      <c r="P7" s="64" t="n">
        <v>-371.6</v>
      </c>
      <c r="Q7" s="64" t="n">
        <v>257.5</v>
      </c>
      <c r="R7" s="64" t="n">
        <v>624</v>
      </c>
      <c r="S7" s="64" t="n">
        <v>629.4</v>
      </c>
      <c r="T7" s="64" t="n">
        <v>289.7</v>
      </c>
      <c r="U7" s="64" t="n">
        <v>171.5</v>
      </c>
      <c r="V7" s="64" t="n">
        <v>303.7</v>
      </c>
      <c r="W7" s="64" t="n">
        <v>457</v>
      </c>
      <c r="X7" s="64" t="n">
        <v>190</v>
      </c>
      <c r="Y7" s="64" t="n">
        <v>307.4</v>
      </c>
      <c r="Z7" s="64" t="n">
        <v>450.9</v>
      </c>
      <c r="AA7" s="64" t="n">
        <v>826.2</v>
      </c>
      <c r="AB7" s="64" t="n">
        <v>189.4</v>
      </c>
      <c r="AC7" s="64" t="n">
        <v>483.9</v>
      </c>
      <c r="AD7" s="64" t="n">
        <v>810</v>
      </c>
      <c r="AE7" s="64" t="n">
        <v>782.9</v>
      </c>
      <c r="AF7" s="64" t="n">
        <v>532.9</v>
      </c>
      <c r="AG7" s="64" t="n">
        <v>660.3</v>
      </c>
      <c r="AH7" s="64" t="n">
        <v>875.2</v>
      </c>
      <c r="AI7" s="64" t="n">
        <v>1138.2</v>
      </c>
      <c r="AJ7" s="64" t="n">
        <v>603</v>
      </c>
      <c r="AK7" s="64" t="n">
        <v>927.2</v>
      </c>
      <c r="AL7" s="64" t="n">
        <v>1180.2</v>
      </c>
      <c r="AM7" s="64" t="n">
        <v>1471.3</v>
      </c>
      <c r="AN7" s="64" t="n">
        <v>970.6</v>
      </c>
      <c r="AO7" s="64" t="n">
        <v>1225.1</v>
      </c>
    </row>
    <row r="8">
      <c r="A8" s="63" t="inlineStr">
        <is>
          <t>영업이익률</t>
        </is>
      </c>
      <c r="B8" s="65" t="n"/>
      <c r="C8" s="65" t="n">
        <v>6.5</v>
      </c>
      <c r="D8" s="65" t="n">
        <v>3.9</v>
      </c>
      <c r="E8" s="65" t="n">
        <v>5</v>
      </c>
      <c r="F8" s="65" t="n">
        <v>5.9</v>
      </c>
      <c r="G8" s="65" t="n">
        <v>7.3</v>
      </c>
      <c r="H8" s="65" t="n">
        <v>4.1</v>
      </c>
      <c r="I8" s="65" t="n">
        <v>4.3</v>
      </c>
      <c r="J8" s="65" t="n">
        <v>6.3</v>
      </c>
      <c r="K8" s="65" t="n">
        <v>6.1</v>
      </c>
      <c r="L8" s="65" t="n">
        <v>2.6</v>
      </c>
      <c r="M8" s="65" t="n">
        <v>3.4</v>
      </c>
      <c r="N8" s="65" t="n">
        <v>4.9</v>
      </c>
      <c r="O8" s="65" t="n">
        <v>5.4</v>
      </c>
      <c r="P8" s="65" t="n">
        <v>-7.2</v>
      </c>
      <c r="Q8" s="65" t="n">
        <v>3.6</v>
      </c>
      <c r="R8" s="65" t="n">
        <v>7.6</v>
      </c>
      <c r="S8" s="65" t="n">
        <v>7.3</v>
      </c>
      <c r="T8" s="65" t="n">
        <v>3.7</v>
      </c>
      <c r="U8" s="65" t="n">
        <v>2.2</v>
      </c>
      <c r="V8" s="65" t="n">
        <v>3.5</v>
      </c>
      <c r="W8" s="65" t="n">
        <v>4.9</v>
      </c>
      <c r="X8" s="65" t="n">
        <v>2.2</v>
      </c>
      <c r="Y8" s="65" t="n">
        <v>3</v>
      </c>
      <c r="Z8" s="65" t="n">
        <v>4.4</v>
      </c>
      <c r="AA8" s="65" t="n">
        <v>7.6</v>
      </c>
      <c r="AB8" s="65" t="n">
        <v>1.9</v>
      </c>
      <c r="AC8" s="65" t="n">
        <v>4.5</v>
      </c>
      <c r="AD8" s="65" t="n">
        <v>7</v>
      </c>
      <c r="AE8" s="65" t="n">
        <v>6.6</v>
      </c>
      <c r="AF8" s="65" t="n">
        <v>4.8</v>
      </c>
      <c r="AG8" s="65" t="n">
        <v>5.8</v>
      </c>
      <c r="AH8" s="65" t="n">
        <v>7.3</v>
      </c>
      <c r="AI8" s="65" t="n">
        <v>9.199999999999999</v>
      </c>
      <c r="AJ8" s="65" t="n">
        <v>5.3</v>
      </c>
      <c r="AK8" s="65" t="n">
        <v>7.6</v>
      </c>
      <c r="AL8" s="65" t="n">
        <v>9</v>
      </c>
      <c r="AM8" s="65" t="n">
        <v>10.3</v>
      </c>
      <c r="AN8" s="65" t="n">
        <v>7.3</v>
      </c>
      <c r="AO8" s="65" t="n">
        <v>8.5</v>
      </c>
    </row>
    <row r="9">
      <c r="A9" s="63" t="inlineStr">
        <is>
          <t>영업이익 YoY</t>
        </is>
      </c>
      <c r="B9" s="65" t="n"/>
      <c r="C9" s="65" t="n"/>
      <c r="D9" s="65" t="n"/>
      <c r="E9" s="65" t="n"/>
      <c r="F9" s="65" t="n"/>
      <c r="G9" s="65" t="n">
        <v>18.3</v>
      </c>
      <c r="H9" s="65" t="n">
        <v>12.8</v>
      </c>
      <c r="I9" s="65" t="n">
        <v>-13.1</v>
      </c>
      <c r="J9" s="65" t="n">
        <v>8.5</v>
      </c>
      <c r="K9" s="65" t="n">
        <v>-15.7</v>
      </c>
      <c r="L9" s="65" t="n">
        <v>-38</v>
      </c>
      <c r="M9" s="65" t="n">
        <v>-19.4</v>
      </c>
      <c r="N9" s="65" t="n">
        <v>-24.3</v>
      </c>
      <c r="O9" s="65" t="n">
        <v>-16.3</v>
      </c>
      <c r="P9" s="65" t="n">
        <v>-291.2</v>
      </c>
      <c r="Q9" s="65" t="n">
        <v>-3</v>
      </c>
      <c r="R9" s="65" t="n">
        <v>60.9</v>
      </c>
      <c r="S9" s="65" t="n">
        <v>48.3</v>
      </c>
      <c r="T9" s="65" t="n"/>
      <c r="U9" s="65" t="n">
        <v>-33.4</v>
      </c>
      <c r="V9" s="65" t="n">
        <v>-51.3</v>
      </c>
      <c r="W9" s="65" t="n">
        <v>-27.4</v>
      </c>
      <c r="X9" s="65" t="n">
        <v>-34.4</v>
      </c>
      <c r="Y9" s="65" t="n">
        <v>79.2</v>
      </c>
      <c r="Z9" s="65" t="n">
        <v>48.5</v>
      </c>
      <c r="AA9" s="65" t="n">
        <v>80.8</v>
      </c>
      <c r="AB9" s="65" t="n">
        <v>-0.3</v>
      </c>
      <c r="AC9" s="65" t="n">
        <v>57.4</v>
      </c>
      <c r="AD9" s="65" t="n">
        <v>79.59999999999999</v>
      </c>
      <c r="AE9" s="65" t="n">
        <v>-5.2</v>
      </c>
      <c r="AF9" s="65" t="n">
        <v>181.4</v>
      </c>
      <c r="AG9" s="65" t="n">
        <v>36.5</v>
      </c>
      <c r="AH9" s="65" t="n">
        <v>8</v>
      </c>
      <c r="AI9" s="65" t="n">
        <v>45.4</v>
      </c>
      <c r="AJ9" s="65" t="n">
        <v>13.2</v>
      </c>
      <c r="AK9" s="65" t="n">
        <v>40.4</v>
      </c>
      <c r="AL9" s="65" t="n">
        <v>34.8</v>
      </c>
      <c r="AM9" s="65" t="n">
        <v>29.3</v>
      </c>
      <c r="AN9" s="65" t="n">
        <v>61</v>
      </c>
      <c r="AO9" s="65" t="n">
        <v>32.1</v>
      </c>
    </row>
    <row r="10">
      <c r="A10" s="63" t="inlineStr">
        <is>
          <t>유동자산</t>
        </is>
      </c>
      <c r="B10" s="64" t="n"/>
      <c r="C10" s="64" t="n">
        <v>14265.5</v>
      </c>
      <c r="D10" s="64" t="n"/>
      <c r="E10" s="64" t="n"/>
      <c r="F10" s="64" t="n">
        <v>15098.1</v>
      </c>
      <c r="G10" s="64" t="n">
        <v>14017</v>
      </c>
      <c r="H10" s="64" t="n">
        <v>14346.5</v>
      </c>
      <c r="I10" s="64" t="n">
        <v>14723.5</v>
      </c>
      <c r="J10" s="64" t="n">
        <v>15419.2</v>
      </c>
      <c r="K10" s="64" t="n">
        <v>15136.4</v>
      </c>
      <c r="L10" s="64" t="n">
        <v>15188.2</v>
      </c>
      <c r="M10" s="64" t="n">
        <v>15165.5</v>
      </c>
      <c r="N10" s="64" t="n">
        <v>15825.2</v>
      </c>
      <c r="O10" s="64" t="n">
        <v>15754.1</v>
      </c>
      <c r="P10" s="64" t="n">
        <v>15514.2</v>
      </c>
      <c r="Q10" s="64" t="n">
        <v>15669.6</v>
      </c>
      <c r="R10" s="64" t="n">
        <v>16976.5</v>
      </c>
      <c r="S10" s="64" t="n">
        <v>17293.7</v>
      </c>
      <c r="T10" s="64" t="n">
        <v>17704.4</v>
      </c>
      <c r="U10" s="64" t="n">
        <v>17791.3</v>
      </c>
      <c r="V10" s="64" t="n">
        <v>19660</v>
      </c>
      <c r="W10" s="64" t="n">
        <v>20569.3</v>
      </c>
      <c r="X10" s="64" t="n">
        <v>21539.5</v>
      </c>
      <c r="Y10" s="64" t="n">
        <v>21696.3</v>
      </c>
      <c r="Z10" s="64" t="n">
        <v>21628.9</v>
      </c>
      <c r="AA10" s="64" t="n">
        <v>21626.9</v>
      </c>
      <c r="AB10" s="64" t="n">
        <v>21599.4</v>
      </c>
      <c r="AC10" s="64" t="n">
        <v>21617.6</v>
      </c>
      <c r="AD10" s="64" t="n">
        <v>22366</v>
      </c>
      <c r="AE10" s="64" t="n">
        <v>22422.2</v>
      </c>
      <c r="AF10" s="64" t="n">
        <v>23468.6</v>
      </c>
      <c r="AG10" s="64" t="n">
        <v>22085.6</v>
      </c>
      <c r="AH10" s="64" t="n">
        <v>23959.1</v>
      </c>
      <c r="AI10" s="64" t="n">
        <v>23200.9</v>
      </c>
      <c r="AJ10" s="64" t="n">
        <v>23209.3</v>
      </c>
      <c r="AK10" s="64" t="n">
        <v>23098</v>
      </c>
      <c r="AL10" s="64" t="n">
        <v>25098.4</v>
      </c>
      <c r="AM10" s="64" t="n">
        <v>24246.1</v>
      </c>
      <c r="AN10" s="64" t="n">
        <v>25762.5</v>
      </c>
      <c r="AO10" s="64" t="n">
        <v>26410.4</v>
      </c>
    </row>
    <row r="11">
      <c r="A11" s="63" t="inlineStr">
        <is>
          <t>유동부채</t>
        </is>
      </c>
      <c r="B11" s="64" t="n"/>
      <c r="C11" s="64" t="n">
        <v>8241.799999999999</v>
      </c>
      <c r="D11" s="64" t="n"/>
      <c r="E11" s="64" t="n"/>
      <c r="F11" s="64" t="n">
        <v>8921.200000000001</v>
      </c>
      <c r="G11" s="64" t="n">
        <v>8036.7</v>
      </c>
      <c r="H11" s="64" t="n">
        <v>8458.299999999999</v>
      </c>
      <c r="I11" s="64" t="n">
        <v>8499</v>
      </c>
      <c r="J11" s="64" t="n">
        <v>9433.799999999999</v>
      </c>
      <c r="K11" s="64" t="n">
        <v>8807.5</v>
      </c>
      <c r="L11" s="64" t="n">
        <v>9309.700000000001</v>
      </c>
      <c r="M11" s="64" t="n">
        <v>9006.200000000001</v>
      </c>
      <c r="N11" s="64" t="n">
        <v>9641.200000000001</v>
      </c>
      <c r="O11" s="64" t="n">
        <v>9153.200000000001</v>
      </c>
      <c r="P11" s="64" t="n">
        <v>9761.6</v>
      </c>
      <c r="Q11" s="64" t="n">
        <v>9380.5</v>
      </c>
      <c r="R11" s="64" t="n">
        <v>10285</v>
      </c>
      <c r="S11" s="64" t="n">
        <v>10080.6</v>
      </c>
      <c r="T11" s="64" t="n">
        <v>10468</v>
      </c>
      <c r="U11" s="64" t="n">
        <v>10535.4</v>
      </c>
      <c r="V11" s="64" t="n">
        <v>12357</v>
      </c>
      <c r="W11" s="64" t="n">
        <v>12600.9</v>
      </c>
      <c r="X11" s="64" t="n">
        <v>13614.6</v>
      </c>
      <c r="Y11" s="64" t="n">
        <v>13465.5</v>
      </c>
      <c r="Z11" s="64" t="n">
        <v>13600.5</v>
      </c>
      <c r="AA11" s="64" t="n">
        <v>13994.1</v>
      </c>
      <c r="AB11" s="64" t="n">
        <v>14258.9</v>
      </c>
      <c r="AC11" s="64" t="n">
        <v>13355.5</v>
      </c>
      <c r="AD11" s="64" t="n">
        <v>13858.8</v>
      </c>
      <c r="AE11" s="64" t="n">
        <v>13073.7</v>
      </c>
      <c r="AF11" s="64" t="n">
        <v>14294.2</v>
      </c>
      <c r="AG11" s="64" t="n">
        <v>12899.4</v>
      </c>
      <c r="AH11" s="64" t="n">
        <v>14515.3</v>
      </c>
      <c r="AI11" s="64" t="n">
        <v>12868.4</v>
      </c>
      <c r="AJ11" s="64" t="n">
        <v>13210.3</v>
      </c>
      <c r="AK11" s="64" t="n">
        <v>12745.5</v>
      </c>
      <c r="AL11" s="64" t="n">
        <v>15271.8</v>
      </c>
      <c r="AM11" s="64" t="n">
        <v>13477.6</v>
      </c>
      <c r="AN11" s="64" t="n">
        <v>15414.1</v>
      </c>
      <c r="AO11" s="64" t="n">
        <v>15701.5</v>
      </c>
    </row>
    <row r="12">
      <c r="A12" s="63" t="inlineStr">
        <is>
          <t>부채총계</t>
        </is>
      </c>
      <c r="B12" s="64" t="n"/>
      <c r="C12" s="64" t="n">
        <v>12786.8</v>
      </c>
      <c r="D12" s="64" t="n"/>
      <c r="E12" s="64" t="n"/>
      <c r="F12" s="64" t="n">
        <v>13544.2</v>
      </c>
      <c r="G12" s="64" t="n">
        <v>12358.2</v>
      </c>
      <c r="H12" s="64" t="n">
        <v>12740</v>
      </c>
      <c r="I12" s="64" t="n">
        <v>12822.1</v>
      </c>
      <c r="J12" s="64" t="n">
        <v>13568.9</v>
      </c>
      <c r="K12" s="64" t="n">
        <v>12769.5</v>
      </c>
      <c r="L12" s="64" t="n">
        <v>13285.3</v>
      </c>
      <c r="M12" s="64" t="n">
        <v>12899.6</v>
      </c>
      <c r="N12" s="64" t="n">
        <v>13599.5</v>
      </c>
      <c r="O12" s="64" t="n">
        <v>13336.1</v>
      </c>
      <c r="P12" s="64" t="n">
        <v>13729.5</v>
      </c>
      <c r="Q12" s="64" t="n">
        <v>13826.1</v>
      </c>
      <c r="R12" s="64" t="n">
        <v>14707.6</v>
      </c>
      <c r="S12" s="64" t="n">
        <v>14894.1</v>
      </c>
      <c r="T12" s="64" t="n">
        <v>15268.3</v>
      </c>
      <c r="U12" s="64" t="n">
        <v>15336.7</v>
      </c>
      <c r="V12" s="64" t="n">
        <v>17184.5</v>
      </c>
      <c r="W12" s="64" t="n">
        <v>17544.5</v>
      </c>
      <c r="X12" s="64" t="n">
        <v>18522.3</v>
      </c>
      <c r="Y12" s="64" t="n">
        <v>18563.3</v>
      </c>
      <c r="Z12" s="64" t="n">
        <v>18595</v>
      </c>
      <c r="AA12" s="64" t="n">
        <v>19021.9</v>
      </c>
      <c r="AB12" s="64" t="n">
        <v>19551.5</v>
      </c>
      <c r="AC12" s="64" t="n">
        <v>19298.1</v>
      </c>
      <c r="AD12" s="64" t="n">
        <v>19770.9</v>
      </c>
      <c r="AE12" s="64" t="n">
        <v>19335.1</v>
      </c>
      <c r="AF12" s="64" t="n">
        <v>20839.4</v>
      </c>
      <c r="AG12" s="64" t="n">
        <v>19261</v>
      </c>
      <c r="AH12" s="64" t="n">
        <v>20880.8</v>
      </c>
      <c r="AI12" s="64" t="n">
        <v>19111.9</v>
      </c>
      <c r="AJ12" s="64" t="n">
        <v>19667.2</v>
      </c>
      <c r="AK12" s="64" t="n">
        <v>19027.7</v>
      </c>
      <c r="AL12" s="64" t="n">
        <v>21853.1</v>
      </c>
      <c r="AM12" s="64" t="n">
        <v>19895.3</v>
      </c>
      <c r="AN12" s="64" t="n">
        <v>22158</v>
      </c>
      <c r="AO12" s="64" t="n">
        <v>22246.1</v>
      </c>
    </row>
    <row r="13">
      <c r="A13" s="63" t="inlineStr">
        <is>
          <t>자기자본</t>
        </is>
      </c>
      <c r="B13" s="65" t="n"/>
      <c r="C13" s="65" t="n">
        <v>16286.1</v>
      </c>
      <c r="D13" s="65" t="n"/>
      <c r="E13" s="65" t="n"/>
      <c r="F13" s="65" t="n">
        <v>17155.6</v>
      </c>
      <c r="G13" s="65" t="n">
        <v>17640.9</v>
      </c>
      <c r="H13" s="65" t="n">
        <v>17429.8</v>
      </c>
      <c r="I13" s="65" t="n">
        <v>17754.3</v>
      </c>
      <c r="J13" s="65" t="n">
        <v>17566.9</v>
      </c>
      <c r="K13" s="65" t="n">
        <v>17763.1</v>
      </c>
      <c r="L13" s="65" t="n">
        <v>17381.2</v>
      </c>
      <c r="M13" s="65" t="n">
        <v>17655.9</v>
      </c>
      <c r="N13" s="65" t="n">
        <v>17878.3</v>
      </c>
      <c r="O13" s="65" t="n">
        <v>17666.5</v>
      </c>
      <c r="P13" s="65" t="n">
        <v>16988.4</v>
      </c>
      <c r="Q13" s="65" t="n">
        <v>17021.5</v>
      </c>
      <c r="R13" s="65" t="n">
        <v>17473.7</v>
      </c>
      <c r="S13" s="65" t="n">
        <v>18925.1</v>
      </c>
      <c r="T13" s="65" t="n">
        <v>19228.9</v>
      </c>
      <c r="U13" s="65" t="n">
        <v>19455.5</v>
      </c>
      <c r="V13" s="65" t="n">
        <v>19571.2</v>
      </c>
      <c r="W13" s="65" t="n">
        <v>20529.4</v>
      </c>
      <c r="X13" s="65" t="n">
        <v>21109.4</v>
      </c>
      <c r="Y13" s="65" t="n">
        <v>21580.9</v>
      </c>
      <c r="Z13" s="65" t="n">
        <v>21095.3</v>
      </c>
      <c r="AA13" s="65" t="n">
        <v>21108.2</v>
      </c>
      <c r="AB13" s="65" t="n">
        <v>21567.8</v>
      </c>
      <c r="AC13" s="65" t="n">
        <v>22284.7</v>
      </c>
      <c r="AD13" s="65" t="n">
        <v>22440</v>
      </c>
      <c r="AE13" s="65" t="n">
        <v>24318.9</v>
      </c>
      <c r="AF13" s="65" t="n">
        <v>25460.9</v>
      </c>
      <c r="AG13" s="65" t="n">
        <v>25286.7</v>
      </c>
      <c r="AH13" s="65" t="n">
        <v>25492.2</v>
      </c>
      <c r="AI13" s="65" t="n">
        <v>25304.4</v>
      </c>
      <c r="AJ13" s="65" t="n">
        <v>25136.5</v>
      </c>
      <c r="AK13" s="65" t="n">
        <v>26244.2</v>
      </c>
      <c r="AL13" s="65" t="n">
        <v>26592.2</v>
      </c>
      <c r="AM13" s="65" t="n">
        <v>28350</v>
      </c>
      <c r="AN13" s="65" t="n">
        <v>29277</v>
      </c>
      <c r="AO13" s="65" t="n">
        <v>29652.5</v>
      </c>
    </row>
    <row r="14">
      <c r="A14" s="63" t="inlineStr">
        <is>
          <t>유동비율</t>
        </is>
      </c>
      <c r="B14" s="65" t="n"/>
      <c r="C14" s="65" t="n">
        <v>173.1</v>
      </c>
      <c r="D14" s="65" t="n"/>
      <c r="E14" s="65" t="n"/>
      <c r="F14" s="65" t="n">
        <v>169.2</v>
      </c>
      <c r="G14" s="65" t="n">
        <v>174.4</v>
      </c>
      <c r="H14" s="65" t="n">
        <v>169.6</v>
      </c>
      <c r="I14" s="65" t="n">
        <v>173.2</v>
      </c>
      <c r="J14" s="65" t="n">
        <v>163.4</v>
      </c>
      <c r="K14" s="65" t="n">
        <v>171.9</v>
      </c>
      <c r="L14" s="65" t="n">
        <v>163.1</v>
      </c>
      <c r="M14" s="65" t="n">
        <v>168.4</v>
      </c>
      <c r="N14" s="65" t="n">
        <v>164.1</v>
      </c>
      <c r="O14" s="65" t="n">
        <v>172.1</v>
      </c>
      <c r="P14" s="65" t="n">
        <v>158.9</v>
      </c>
      <c r="Q14" s="65" t="n">
        <v>167</v>
      </c>
      <c r="R14" s="65" t="n">
        <v>165.1</v>
      </c>
      <c r="S14" s="65" t="n">
        <v>171.6</v>
      </c>
      <c r="T14" s="65" t="n">
        <v>169.1</v>
      </c>
      <c r="U14" s="65" t="n">
        <v>168.9</v>
      </c>
      <c r="V14" s="65" t="n">
        <v>159.1</v>
      </c>
      <c r="W14" s="65" t="n">
        <v>163.2</v>
      </c>
      <c r="X14" s="65" t="n">
        <v>158.2</v>
      </c>
      <c r="Y14" s="65" t="n">
        <v>161.1</v>
      </c>
      <c r="Z14" s="65" t="n">
        <v>159</v>
      </c>
      <c r="AA14" s="65" t="n">
        <v>154.5</v>
      </c>
      <c r="AB14" s="65" t="n">
        <v>151.5</v>
      </c>
      <c r="AC14" s="65" t="n">
        <v>161.9</v>
      </c>
      <c r="AD14" s="65" t="n">
        <v>161.4</v>
      </c>
      <c r="AE14" s="65" t="n">
        <v>171.5</v>
      </c>
      <c r="AF14" s="65" t="n">
        <v>164.2</v>
      </c>
      <c r="AG14" s="65" t="n">
        <v>171.2</v>
      </c>
      <c r="AH14" s="65" t="n">
        <v>165.1</v>
      </c>
      <c r="AI14" s="65" t="n">
        <v>180.3</v>
      </c>
      <c r="AJ14" s="65" t="n">
        <v>175.7</v>
      </c>
      <c r="AK14" s="65" t="n">
        <v>181.2</v>
      </c>
      <c r="AL14" s="65" t="n">
        <v>164.3</v>
      </c>
      <c r="AM14" s="65" t="n">
        <v>179.9</v>
      </c>
      <c r="AN14" s="65" t="n">
        <v>167.1</v>
      </c>
      <c r="AO14" s="65" t="n">
        <v>168.2</v>
      </c>
    </row>
    <row r="15">
      <c r="A15" s="63" t="inlineStr">
        <is>
          <t>부채비율</t>
        </is>
      </c>
      <c r="B15" s="65" t="n"/>
      <c r="C15" s="65" t="n">
        <v>78.5</v>
      </c>
      <c r="D15" s="65" t="n"/>
      <c r="E15" s="65" t="n"/>
      <c r="F15" s="65" t="n">
        <v>78.90000000000001</v>
      </c>
      <c r="G15" s="65" t="n">
        <v>70.09999999999999</v>
      </c>
      <c r="H15" s="65" t="n">
        <v>73.09999999999999</v>
      </c>
      <c r="I15" s="65" t="n">
        <v>72.2</v>
      </c>
      <c r="J15" s="65" t="n">
        <v>77.2</v>
      </c>
      <c r="K15" s="65" t="n">
        <v>71.90000000000001</v>
      </c>
      <c r="L15" s="65" t="n">
        <v>76.40000000000001</v>
      </c>
      <c r="M15" s="65" t="n">
        <v>73.09999999999999</v>
      </c>
      <c r="N15" s="65" t="n">
        <v>76.09999999999999</v>
      </c>
      <c r="O15" s="65" t="n">
        <v>75.5</v>
      </c>
      <c r="P15" s="65" t="n">
        <v>80.8</v>
      </c>
      <c r="Q15" s="65" t="n">
        <v>81.2</v>
      </c>
      <c r="R15" s="65" t="n">
        <v>84.2</v>
      </c>
      <c r="S15" s="65" t="n">
        <v>78.7</v>
      </c>
      <c r="T15" s="65" t="n">
        <v>79.40000000000001</v>
      </c>
      <c r="U15" s="65" t="n">
        <v>78.8</v>
      </c>
      <c r="V15" s="65" t="n">
        <v>87.8</v>
      </c>
      <c r="W15" s="65" t="n">
        <v>85.5</v>
      </c>
      <c r="X15" s="65" t="n">
        <v>87.7</v>
      </c>
      <c r="Y15" s="65" t="n">
        <v>86</v>
      </c>
      <c r="Z15" s="65" t="n">
        <v>88.09999999999999</v>
      </c>
      <c r="AA15" s="65" t="n">
        <v>90.09999999999999</v>
      </c>
      <c r="AB15" s="65" t="n">
        <v>90.7</v>
      </c>
      <c r="AC15" s="65" t="n">
        <v>86.59999999999999</v>
      </c>
      <c r="AD15" s="65" t="n">
        <v>88.09999999999999</v>
      </c>
      <c r="AE15" s="65" t="n">
        <v>79.5</v>
      </c>
      <c r="AF15" s="65" t="n">
        <v>81.8</v>
      </c>
      <c r="AG15" s="65" t="n">
        <v>76.2</v>
      </c>
      <c r="AH15" s="65" t="n">
        <v>81.90000000000001</v>
      </c>
      <c r="AI15" s="65" t="n">
        <v>75.5</v>
      </c>
      <c r="AJ15" s="65" t="n">
        <v>78.2</v>
      </c>
      <c r="AK15" s="65" t="n">
        <v>72.5</v>
      </c>
      <c r="AL15" s="65" t="n">
        <v>82.2</v>
      </c>
      <c r="AM15" s="65" t="n">
        <v>70.2</v>
      </c>
      <c r="AN15" s="65" t="n">
        <v>75.7</v>
      </c>
      <c r="AO15" s="65" t="n">
        <v>75</v>
      </c>
    </row>
    <row r="16">
      <c r="A16" s="63" t="inlineStr">
        <is>
          <t>순차입금/자기자본</t>
        </is>
      </c>
      <c r="B16" s="65" t="n"/>
      <c r="C16" s="65" t="n">
        <v>20.2</v>
      </c>
      <c r="D16" s="65" t="n"/>
      <c r="E16" s="65" t="n"/>
      <c r="F16" s="65" t="n">
        <v>22.8</v>
      </c>
      <c r="G16" s="65" t="n">
        <v>17.5</v>
      </c>
      <c r="H16" s="65" t="n">
        <v>20.5</v>
      </c>
      <c r="I16" s="65" t="n">
        <v>21.7</v>
      </c>
      <c r="J16" s="65" t="n">
        <v>24.8</v>
      </c>
      <c r="K16" s="65" t="n">
        <v>20.8</v>
      </c>
      <c r="L16" s="65" t="n">
        <v>22.1</v>
      </c>
      <c r="M16" s="65" t="n">
        <v>20.7</v>
      </c>
      <c r="N16" s="65" t="n">
        <v>22.4</v>
      </c>
      <c r="O16" s="65" t="n">
        <v>19</v>
      </c>
      <c r="P16" s="65" t="n">
        <v>21.8</v>
      </c>
      <c r="Q16" s="65" t="n">
        <v>22.6</v>
      </c>
      <c r="R16" s="65" t="n">
        <v>21.3</v>
      </c>
      <c r="S16" s="65" t="n">
        <v>20.1</v>
      </c>
      <c r="T16" s="65" t="n">
        <v>21.6</v>
      </c>
      <c r="U16" s="65" t="n">
        <v>23</v>
      </c>
      <c r="V16" s="65" t="n">
        <v>28.1</v>
      </c>
      <c r="W16" s="65" t="n">
        <v>26.7</v>
      </c>
      <c r="X16" s="65" t="n">
        <v>29.7</v>
      </c>
      <c r="Y16" s="65" t="n">
        <v>27.2</v>
      </c>
      <c r="Z16" s="65" t="n">
        <v>28.6</v>
      </c>
      <c r="AA16" s="65" t="n">
        <v>29.1</v>
      </c>
      <c r="AB16" s="65" t="n">
        <v>29.1</v>
      </c>
      <c r="AC16" s="65" t="n">
        <v>25.5</v>
      </c>
      <c r="AD16" s="65" t="n">
        <v>24.8</v>
      </c>
      <c r="AE16" s="65" t="n">
        <v>19.1</v>
      </c>
      <c r="AF16" s="65" t="n">
        <v>20.9</v>
      </c>
      <c r="AG16" s="65" t="n">
        <v>18.1</v>
      </c>
      <c r="AH16" s="65" t="n">
        <v>19.6</v>
      </c>
      <c r="AI16" s="65" t="n">
        <v>15.5</v>
      </c>
      <c r="AJ16" s="65" t="n">
        <v>16.5</v>
      </c>
      <c r="AK16" s="65" t="n">
        <v>12.5</v>
      </c>
      <c r="AL16" s="65" t="n">
        <v>17.1</v>
      </c>
      <c r="AM16" s="65" t="n">
        <v>13.5</v>
      </c>
      <c r="AN16" s="65" t="n">
        <v>16.2</v>
      </c>
      <c r="AO16" s="65" t="n">
        <v>16.2</v>
      </c>
    </row>
    <row r="17">
      <c r="A17" s="63" t="inlineStr">
        <is>
          <t>재고자산</t>
        </is>
      </c>
      <c r="B17" s="64" t="n"/>
      <c r="C17" s="64" t="n">
        <v>4490.7</v>
      </c>
      <c r="D17" s="64" t="n"/>
      <c r="E17" s="64" t="n"/>
      <c r="F17" s="64" t="n">
        <v>5049</v>
      </c>
      <c r="G17" s="64" t="n">
        <v>4664.4</v>
      </c>
      <c r="H17" s="64" t="n">
        <v>5022.4</v>
      </c>
      <c r="I17" s="64" t="n">
        <v>5361.5</v>
      </c>
      <c r="J17" s="64" t="n">
        <v>5651.8</v>
      </c>
      <c r="K17" s="64" t="n">
        <v>5287.9</v>
      </c>
      <c r="L17" s="64" t="n">
        <v>5319</v>
      </c>
      <c r="M17" s="64" t="n">
        <v>5488.1</v>
      </c>
      <c r="N17" s="64" t="n">
        <v>5739.1</v>
      </c>
      <c r="O17" s="64" t="n">
        <v>5520</v>
      </c>
      <c r="P17" s="64" t="n">
        <v>5867.1</v>
      </c>
      <c r="Q17" s="64" t="n">
        <v>5696.5</v>
      </c>
      <c r="R17" s="64" t="n">
        <v>5851.3</v>
      </c>
      <c r="S17" s="64" t="n">
        <v>6063.4</v>
      </c>
      <c r="T17" s="64" t="n">
        <v>6785.2</v>
      </c>
      <c r="U17" s="64" t="n">
        <v>7578.2</v>
      </c>
      <c r="V17" s="64" t="n">
        <v>8033.5</v>
      </c>
      <c r="W17" s="64" t="n">
        <v>8448.4</v>
      </c>
      <c r="X17" s="64" t="n">
        <v>9372.700000000001</v>
      </c>
      <c r="Y17" s="64" t="n">
        <v>9353.4</v>
      </c>
      <c r="Z17" s="64" t="n">
        <v>9271</v>
      </c>
      <c r="AA17" s="64" t="n">
        <v>8512.200000000001</v>
      </c>
      <c r="AB17" s="64" t="n">
        <v>8880.299999999999</v>
      </c>
      <c r="AC17" s="64" t="n">
        <v>9021.9</v>
      </c>
      <c r="AD17" s="64" t="n">
        <v>8997.6</v>
      </c>
      <c r="AE17" s="64" t="n">
        <v>8850.200000000001</v>
      </c>
      <c r="AF17" s="64" t="n">
        <v>9675.9</v>
      </c>
      <c r="AG17" s="64" t="n">
        <v>9311.299999999999</v>
      </c>
      <c r="AH17" s="64" t="n">
        <v>10028.7</v>
      </c>
      <c r="AI17" s="64" t="n">
        <v>9230</v>
      </c>
      <c r="AJ17" s="64" t="n">
        <v>9390.5</v>
      </c>
      <c r="AK17" s="64" t="n">
        <v>9599.799999999999</v>
      </c>
      <c r="AL17" s="64" t="n">
        <v>10317.8</v>
      </c>
      <c r="AM17" s="64" t="n">
        <v>10181.5</v>
      </c>
      <c r="AN17" s="64" t="n">
        <v>11399.4</v>
      </c>
      <c r="AO17" s="64" t="n">
        <v>12198.5</v>
      </c>
    </row>
    <row r="18">
      <c r="A18" s="63" t="inlineStr">
        <is>
          <t>재고자산 회전일수</t>
        </is>
      </c>
      <c r="B18" s="64" t="n"/>
      <c r="C18" s="64" t="n">
        <v>65</v>
      </c>
      <c r="D18" s="64" t="n"/>
      <c r="E18" s="64" t="n"/>
      <c r="F18" s="64" t="n">
        <v>71</v>
      </c>
      <c r="G18" s="64" t="n">
        <v>64</v>
      </c>
      <c r="H18" s="64" t="n">
        <v>73</v>
      </c>
      <c r="I18" s="64" t="n">
        <v>77</v>
      </c>
      <c r="J18" s="64" t="n">
        <v>78</v>
      </c>
      <c r="K18" s="64" t="n">
        <v>71</v>
      </c>
      <c r="L18" s="64" t="n">
        <v>78</v>
      </c>
      <c r="M18" s="64" t="n">
        <v>78</v>
      </c>
      <c r="N18" s="64" t="n">
        <v>81</v>
      </c>
      <c r="O18" s="64" t="n">
        <v>78</v>
      </c>
      <c r="P18" s="64" t="n">
        <v>117</v>
      </c>
      <c r="Q18" s="64" t="n">
        <v>87</v>
      </c>
      <c r="R18" s="64" t="n">
        <v>82</v>
      </c>
      <c r="S18" s="64" t="n">
        <v>81</v>
      </c>
      <c r="T18" s="64" t="n">
        <v>95</v>
      </c>
      <c r="U18" s="64" t="n">
        <v>106</v>
      </c>
      <c r="V18" s="64" t="n">
        <v>101</v>
      </c>
      <c r="W18" s="64" t="n">
        <v>100</v>
      </c>
      <c r="X18" s="64" t="n">
        <v>115</v>
      </c>
      <c r="Y18" s="64" t="n">
        <v>99</v>
      </c>
      <c r="Z18" s="64" t="n">
        <v>99</v>
      </c>
      <c r="AA18" s="64" t="n">
        <v>88</v>
      </c>
      <c r="AB18" s="64" t="n">
        <v>95</v>
      </c>
      <c r="AC18" s="64" t="n">
        <v>92</v>
      </c>
      <c r="AD18" s="64" t="n">
        <v>88</v>
      </c>
      <c r="AE18" s="64" t="n">
        <v>84</v>
      </c>
      <c r="AF18" s="64" t="n">
        <v>95</v>
      </c>
      <c r="AG18" s="64" t="n">
        <v>91</v>
      </c>
      <c r="AH18" s="64" t="n">
        <v>95</v>
      </c>
      <c r="AI18" s="64" t="n">
        <v>85</v>
      </c>
      <c r="AJ18" s="64" t="n">
        <v>91</v>
      </c>
      <c r="AK18" s="64" t="n">
        <v>89</v>
      </c>
      <c r="AL18" s="64" t="n">
        <v>90</v>
      </c>
      <c r="AM18" s="64" t="n">
        <v>83</v>
      </c>
      <c r="AN18" s="64" t="n">
        <v>97</v>
      </c>
      <c r="AO18" s="64" t="n">
        <v>97</v>
      </c>
    </row>
    <row r="19">
      <c r="A19" s="63" t="inlineStr">
        <is>
          <t>매출채권 회전일수</t>
        </is>
      </c>
      <c r="B19" s="64" t="n"/>
      <c r="C19" s="64" t="n">
        <v>76</v>
      </c>
      <c r="D19" s="64" t="n"/>
      <c r="E19" s="64" t="n"/>
      <c r="F19" s="64" t="n">
        <v>76</v>
      </c>
      <c r="G19" s="64" t="n">
        <v>74</v>
      </c>
      <c r="H19" s="64" t="n">
        <v>79</v>
      </c>
      <c r="I19" s="64" t="n">
        <v>79</v>
      </c>
      <c r="J19" s="64" t="n">
        <v>76</v>
      </c>
      <c r="K19" s="64" t="n">
        <v>77</v>
      </c>
      <c r="L19" s="64" t="n">
        <v>80</v>
      </c>
      <c r="M19" s="64" t="n">
        <v>79</v>
      </c>
      <c r="N19" s="64" t="n">
        <v>79</v>
      </c>
      <c r="O19" s="64" t="n">
        <v>77</v>
      </c>
      <c r="P19" s="64" t="n">
        <v>99</v>
      </c>
      <c r="Q19" s="64" t="n">
        <v>79</v>
      </c>
      <c r="R19" s="64" t="n">
        <v>76</v>
      </c>
      <c r="S19" s="64" t="n">
        <v>80</v>
      </c>
      <c r="T19" s="64" t="n">
        <v>81</v>
      </c>
      <c r="U19" s="64" t="n">
        <v>79</v>
      </c>
      <c r="V19" s="64" t="n">
        <v>79</v>
      </c>
      <c r="W19" s="64" t="n">
        <v>80</v>
      </c>
      <c r="X19" s="64" t="n">
        <v>81</v>
      </c>
      <c r="Y19" s="64" t="n">
        <v>74</v>
      </c>
      <c r="Z19" s="64" t="n">
        <v>71</v>
      </c>
      <c r="AA19" s="64" t="n">
        <v>73</v>
      </c>
      <c r="AB19" s="64" t="n">
        <v>77</v>
      </c>
      <c r="AC19" s="64" t="n">
        <v>72</v>
      </c>
      <c r="AD19" s="64" t="n">
        <v>68</v>
      </c>
      <c r="AE19" s="64" t="n">
        <v>70</v>
      </c>
      <c r="AF19" s="64" t="n">
        <v>71</v>
      </c>
      <c r="AG19" s="64" t="n">
        <v>67</v>
      </c>
      <c r="AH19" s="64" t="n">
        <v>66</v>
      </c>
      <c r="AI19" s="64" t="n">
        <v>67</v>
      </c>
      <c r="AJ19" s="64" t="n">
        <v>68</v>
      </c>
      <c r="AK19" s="64" t="n">
        <v>67</v>
      </c>
      <c r="AL19" s="64" t="n">
        <v>65</v>
      </c>
      <c r="AM19" s="64" t="n">
        <v>61</v>
      </c>
      <c r="AN19" s="64" t="n">
        <v>63</v>
      </c>
      <c r="AO19" s="64" t="n">
        <v>61</v>
      </c>
    </row>
    <row r="20">
      <c r="A20" s="63" t="inlineStr">
        <is>
          <t>매입채무 회전일수</t>
        </is>
      </c>
      <c r="B20" s="64" t="n"/>
      <c r="C20" s="64" t="n">
        <v>54</v>
      </c>
      <c r="D20" s="64" t="n"/>
      <c r="E20" s="64" t="n"/>
      <c r="F20" s="64" t="n">
        <v>53</v>
      </c>
      <c r="G20" s="64" t="n">
        <v>50</v>
      </c>
      <c r="H20" s="64" t="n">
        <v>54</v>
      </c>
      <c r="I20" s="64" t="n">
        <v>54</v>
      </c>
      <c r="J20" s="64" t="n">
        <v>52</v>
      </c>
      <c r="K20" s="64" t="n">
        <v>51</v>
      </c>
      <c r="L20" s="64" t="n">
        <v>52</v>
      </c>
      <c r="M20" s="64" t="n">
        <v>52</v>
      </c>
      <c r="N20" s="64" t="n">
        <v>53</v>
      </c>
      <c r="O20" s="64" t="n">
        <v>51</v>
      </c>
      <c r="P20" s="64" t="n">
        <v>59</v>
      </c>
      <c r="Q20" s="64" t="n">
        <v>51</v>
      </c>
      <c r="R20" s="64" t="n">
        <v>53</v>
      </c>
      <c r="S20" s="64" t="n">
        <v>53</v>
      </c>
      <c r="T20" s="64" t="n">
        <v>56</v>
      </c>
      <c r="U20" s="64" t="n">
        <v>56</v>
      </c>
      <c r="V20" s="64" t="n">
        <v>52</v>
      </c>
      <c r="W20" s="64" t="n">
        <v>53</v>
      </c>
      <c r="X20" s="64" t="n">
        <v>53</v>
      </c>
      <c r="Y20" s="64" t="n">
        <v>49</v>
      </c>
      <c r="Z20" s="64" t="n">
        <v>48</v>
      </c>
      <c r="AA20" s="64" t="n">
        <v>46</v>
      </c>
      <c r="AB20" s="64" t="n">
        <v>49</v>
      </c>
      <c r="AC20" s="64" t="n">
        <v>49</v>
      </c>
      <c r="AD20" s="64" t="n">
        <v>47</v>
      </c>
      <c r="AE20" s="64" t="n">
        <v>46</v>
      </c>
      <c r="AF20" s="64" t="n">
        <v>49</v>
      </c>
      <c r="AG20" s="64" t="n">
        <v>46</v>
      </c>
      <c r="AH20" s="64" t="n">
        <v>46</v>
      </c>
      <c r="AI20" s="64" t="n">
        <v>44</v>
      </c>
      <c r="AJ20" s="64" t="n">
        <v>46</v>
      </c>
      <c r="AK20" s="64" t="n">
        <v>45</v>
      </c>
      <c r="AL20" s="64" t="n">
        <v>46</v>
      </c>
      <c r="AM20" s="64" t="n">
        <v>40</v>
      </c>
      <c r="AN20" s="64" t="n">
        <v>46</v>
      </c>
      <c r="AO20" s="64" t="n">
        <v>44</v>
      </c>
    </row>
    <row r="21">
      <c r="A21" s="63" t="inlineStr">
        <is>
          <t>현금전환주기(CCC)</t>
        </is>
      </c>
      <c r="B21" s="64" t="n"/>
      <c r="C21" s="64" t="n">
        <v>87</v>
      </c>
      <c r="D21" s="64" t="n"/>
      <c r="E21" s="64" t="n"/>
      <c r="F21" s="64" t="n">
        <v>94</v>
      </c>
      <c r="G21" s="64" t="n">
        <v>88</v>
      </c>
      <c r="H21" s="64" t="n">
        <v>98</v>
      </c>
      <c r="I21" s="64" t="n">
        <v>102</v>
      </c>
      <c r="J21" s="64" t="n">
        <v>102</v>
      </c>
      <c r="K21" s="64" t="n">
        <v>97</v>
      </c>
      <c r="L21" s="64" t="n">
        <v>106</v>
      </c>
      <c r="M21" s="64" t="n">
        <v>105</v>
      </c>
      <c r="N21" s="64" t="n">
        <v>107</v>
      </c>
      <c r="O21" s="64" t="n">
        <v>104</v>
      </c>
      <c r="P21" s="64" t="n">
        <v>157</v>
      </c>
      <c r="Q21" s="64" t="n">
        <v>115</v>
      </c>
      <c r="R21" s="64" t="n">
        <v>105</v>
      </c>
      <c r="S21" s="64" t="n">
        <v>108</v>
      </c>
      <c r="T21" s="64" t="n">
        <v>120</v>
      </c>
      <c r="U21" s="64" t="n">
        <v>129</v>
      </c>
      <c r="V21" s="64" t="n">
        <v>128</v>
      </c>
      <c r="W21" s="64" t="n">
        <v>127</v>
      </c>
      <c r="X21" s="64" t="n">
        <v>143</v>
      </c>
      <c r="Y21" s="64" t="n">
        <v>124</v>
      </c>
      <c r="Z21" s="64" t="n">
        <v>122</v>
      </c>
      <c r="AA21" s="64" t="n">
        <v>115</v>
      </c>
      <c r="AB21" s="64" t="n">
        <v>123</v>
      </c>
      <c r="AC21" s="64" t="n">
        <v>115</v>
      </c>
      <c r="AD21" s="64" t="n">
        <v>109</v>
      </c>
      <c r="AE21" s="64" t="n">
        <v>108</v>
      </c>
      <c r="AF21" s="64" t="n">
        <v>117</v>
      </c>
      <c r="AG21" s="64" t="n">
        <v>112</v>
      </c>
      <c r="AH21" s="64" t="n">
        <v>115</v>
      </c>
      <c r="AI21" s="64" t="n">
        <v>108</v>
      </c>
      <c r="AJ21" s="64" t="n">
        <v>113</v>
      </c>
      <c r="AK21" s="64" t="n">
        <v>111</v>
      </c>
      <c r="AL21" s="64" t="n">
        <v>109</v>
      </c>
      <c r="AM21" s="64" t="n">
        <v>104</v>
      </c>
      <c r="AN21" s="64" t="n">
        <v>114</v>
      </c>
      <c r="AO21" s="64" t="n">
        <v>114</v>
      </c>
    </row>
    <row r="22">
      <c r="A22" s="63" t="inlineStr">
        <is>
          <t>총 차입금</t>
        </is>
      </c>
      <c r="B22" s="64" t="n"/>
      <c r="C22" s="64" t="n">
        <v>5084.4</v>
      </c>
      <c r="D22" s="64" t="n"/>
      <c r="E22" s="64" t="n"/>
      <c r="F22" s="64" t="n">
        <v>5787.1</v>
      </c>
      <c r="G22" s="64" t="n">
        <v>4883.6</v>
      </c>
      <c r="H22" s="64" t="n">
        <v>5315.1</v>
      </c>
      <c r="I22" s="64" t="n">
        <v>5474.9</v>
      </c>
      <c r="J22" s="64" t="n">
        <v>6260.8</v>
      </c>
      <c r="K22" s="64" t="n">
        <v>5367.400000000001</v>
      </c>
      <c r="L22" s="64" t="n">
        <v>5958.3</v>
      </c>
      <c r="M22" s="64" t="n">
        <v>5582</v>
      </c>
      <c r="N22" s="64" t="n">
        <v>6097.700000000001</v>
      </c>
      <c r="O22" s="64" t="n">
        <v>5860.2</v>
      </c>
      <c r="P22" s="64" t="n">
        <v>6850.8</v>
      </c>
      <c r="Q22" s="64" t="n">
        <v>6530</v>
      </c>
      <c r="R22" s="64" t="n">
        <v>6930.9</v>
      </c>
      <c r="S22" s="64" t="n">
        <v>6346.7</v>
      </c>
      <c r="T22" s="64" t="n">
        <v>6754.599999999999</v>
      </c>
      <c r="U22" s="64" t="n">
        <v>6707.400000000001</v>
      </c>
      <c r="V22" s="64" t="n">
        <v>8238.4</v>
      </c>
      <c r="W22" s="64" t="n">
        <v>8073</v>
      </c>
      <c r="X22" s="64" t="n">
        <v>9032.799999999999</v>
      </c>
      <c r="Y22" s="64" t="n">
        <v>8675.9</v>
      </c>
      <c r="Z22" s="64" t="n">
        <v>8961</v>
      </c>
      <c r="AA22" s="64" t="n">
        <v>8986.799999999999</v>
      </c>
      <c r="AB22" s="64" t="n">
        <v>8711.700000000001</v>
      </c>
      <c r="AC22" s="64" t="n">
        <v>8173.5</v>
      </c>
      <c r="AD22" s="64" t="n">
        <v>8659.199999999999</v>
      </c>
      <c r="AE22" s="64" t="n">
        <v>7350.5</v>
      </c>
      <c r="AF22" s="64" t="n">
        <v>8402.5</v>
      </c>
      <c r="AG22" s="64" t="n">
        <v>7350.9</v>
      </c>
      <c r="AH22" s="64" t="n">
        <v>8379.699999999999</v>
      </c>
      <c r="AI22" s="64" t="n">
        <v>6880</v>
      </c>
      <c r="AJ22" s="64" t="n">
        <v>7293.6</v>
      </c>
      <c r="AK22" s="64" t="n">
        <v>6096.5</v>
      </c>
      <c r="AL22" s="64" t="n">
        <v>8020</v>
      </c>
      <c r="AM22" s="64" t="n">
        <v>6205.6</v>
      </c>
      <c r="AN22" s="64" t="n">
        <v>7377</v>
      </c>
      <c r="AO22" s="64" t="n">
        <v>7049</v>
      </c>
    </row>
    <row r="23">
      <c r="A23" s="63" t="inlineStr">
        <is>
          <t>현금</t>
        </is>
      </c>
      <c r="B23" s="64" t="n"/>
      <c r="C23" s="64" t="n">
        <v>1800.3</v>
      </c>
      <c r="D23" s="64" t="n"/>
      <c r="E23" s="64" t="n"/>
      <c r="F23" s="64" t="n">
        <v>1876.8</v>
      </c>
      <c r="G23" s="64" t="n">
        <v>1789.2</v>
      </c>
      <c r="H23" s="64" t="n">
        <v>1745.8</v>
      </c>
      <c r="I23" s="64" t="n">
        <v>1613.9</v>
      </c>
      <c r="J23" s="64" t="n">
        <v>1898.8</v>
      </c>
      <c r="K23" s="64" t="n">
        <v>1672.2</v>
      </c>
      <c r="L23" s="64" t="n">
        <v>2115.7</v>
      </c>
      <c r="M23" s="64" t="n">
        <v>1920.2</v>
      </c>
      <c r="N23" s="64" t="n">
        <v>2100.5</v>
      </c>
      <c r="O23" s="64" t="n">
        <v>2506</v>
      </c>
      <c r="P23" s="64" t="n">
        <v>3142.1</v>
      </c>
      <c r="Q23" s="64" t="n">
        <v>2684.2</v>
      </c>
      <c r="R23" s="64" t="n">
        <v>3200.4</v>
      </c>
      <c r="S23" s="64" t="n">
        <v>2536.7</v>
      </c>
      <c r="T23" s="64" t="n">
        <v>2599.2</v>
      </c>
      <c r="U23" s="64" t="n">
        <v>2240.6</v>
      </c>
      <c r="V23" s="64" t="n">
        <v>2734.7</v>
      </c>
      <c r="W23" s="64" t="n">
        <v>2595.8</v>
      </c>
      <c r="X23" s="64" t="n">
        <v>2771.8</v>
      </c>
      <c r="Y23" s="64" t="n">
        <v>2804.2</v>
      </c>
      <c r="Z23" s="64" t="n">
        <v>2938.1</v>
      </c>
      <c r="AA23" s="64" t="n">
        <v>2834.2</v>
      </c>
      <c r="AB23" s="64" t="n">
        <v>2436.5</v>
      </c>
      <c r="AC23" s="64" t="n">
        <v>2489.2</v>
      </c>
      <c r="AD23" s="64" t="n">
        <v>3084.5</v>
      </c>
      <c r="AE23" s="64" t="n">
        <v>2697.4</v>
      </c>
      <c r="AF23" s="64" t="n">
        <v>3088.1</v>
      </c>
      <c r="AG23" s="64" t="n">
        <v>2763</v>
      </c>
      <c r="AH23" s="64" t="n">
        <v>3388.5</v>
      </c>
      <c r="AI23" s="64" t="n">
        <v>2959</v>
      </c>
      <c r="AJ23" s="64" t="n">
        <v>3140.4</v>
      </c>
      <c r="AK23" s="64" t="n">
        <v>2806.1</v>
      </c>
      <c r="AL23" s="64" t="n">
        <v>3485.8</v>
      </c>
      <c r="AM23" s="64" t="n">
        <v>2369.8</v>
      </c>
      <c r="AN23" s="64" t="n">
        <v>2647.3</v>
      </c>
      <c r="AO23" s="64" t="n">
        <v>2234.5</v>
      </c>
    </row>
    <row r="24">
      <c r="A24" s="63" t="inlineStr">
        <is>
          <t>부문별 매출 · 環境エネルギー関連事業、報告セグメント [メンバー]</t>
        </is>
      </c>
      <c r="B24" s="64" t="n"/>
      <c r="C24" s="64" t="n"/>
      <c r="D24" s="64" t="n"/>
      <c r="E24" s="64" t="n"/>
      <c r="F24" s="64" t="n"/>
      <c r="G24" s="64" t="n"/>
      <c r="H24" s="64" t="n"/>
      <c r="I24" s="64" t="n"/>
      <c r="J24" s="64" t="n"/>
      <c r="K24" s="64" t="n"/>
      <c r="L24" s="64" t="n"/>
      <c r="M24" s="64" t="n"/>
      <c r="N24" s="64" t="n"/>
      <c r="O24" s="64" t="n"/>
      <c r="P24" s="64" t="n"/>
      <c r="Q24" s="64" t="n"/>
      <c r="R24" s="64" t="n"/>
      <c r="S24" s="64" t="n"/>
      <c r="T24" s="64" t="n"/>
      <c r="U24" s="64" t="n"/>
      <c r="V24" s="64" t="n"/>
      <c r="W24" s="64" t="n"/>
      <c r="X24" s="64" t="n"/>
      <c r="Y24" s="64" t="n"/>
      <c r="Z24" s="64" t="n"/>
      <c r="AA24" s="64" t="n"/>
      <c r="AB24" s="64" t="n">
        <v>2011.6</v>
      </c>
      <c r="AC24" s="64" t="n">
        <v>2323.7</v>
      </c>
      <c r="AD24" s="64" t="n">
        <v>2421.7</v>
      </c>
      <c r="AE24" s="64" t="n">
        <v>2734.8</v>
      </c>
      <c r="AF24" s="64" t="n">
        <v>2407.7</v>
      </c>
      <c r="AG24" s="64" t="n">
        <v>2585.3</v>
      </c>
      <c r="AH24" s="64" t="n">
        <v>2591.8</v>
      </c>
      <c r="AI24" s="64" t="n">
        <v>2895.8</v>
      </c>
      <c r="AJ24" s="64" t="n">
        <v>2543</v>
      </c>
      <c r="AK24" s="64" t="n">
        <v>2639.7</v>
      </c>
      <c r="AL24" s="64" t="n">
        <v>2897.7</v>
      </c>
      <c r="AM24" s="64" t="n">
        <v>3345.5</v>
      </c>
      <c r="AN24" s="64" t="n">
        <v>2444.1</v>
      </c>
      <c r="AO24" s="64" t="n">
        <v>2841.9</v>
      </c>
      <c r="AP24" s="60" t="inlineStr">
        <is>
          <t>결산단신 부문 정보(외부 고객 매출)</t>
        </is>
      </c>
    </row>
    <row r="25">
      <c r="A25" s="63" t="inlineStr">
        <is>
          <t>부문별 매출 · 情報通信関連事業、報告セグメント [メンバー]</t>
        </is>
      </c>
      <c r="B25" s="64" t="n"/>
      <c r="C25" s="64" t="n"/>
      <c r="D25" s="64" t="n"/>
      <c r="E25" s="64" t="n"/>
      <c r="F25" s="64" t="n"/>
      <c r="G25" s="64" t="n"/>
      <c r="H25" s="64" t="n"/>
      <c r="I25" s="64" t="n"/>
      <c r="J25" s="64" t="n"/>
      <c r="K25" s="64" t="n"/>
      <c r="L25" s="64" t="n"/>
      <c r="M25" s="64" t="n"/>
      <c r="N25" s="64" t="n"/>
      <c r="O25" s="64" t="n"/>
      <c r="P25" s="64" t="n"/>
      <c r="Q25" s="64" t="n"/>
      <c r="R25" s="64" t="n"/>
      <c r="S25" s="64" t="n"/>
      <c r="T25" s="64" t="n"/>
      <c r="U25" s="64" t="n"/>
      <c r="V25" s="64" t="n"/>
      <c r="W25" s="64" t="n"/>
      <c r="X25" s="64" t="n"/>
      <c r="Y25" s="64" t="n"/>
      <c r="Z25" s="64" t="n"/>
      <c r="AA25" s="64" t="n"/>
      <c r="AB25" s="64" t="n">
        <v>477.2</v>
      </c>
      <c r="AC25" s="64" t="n">
        <v>530.8</v>
      </c>
      <c r="AD25" s="64" t="n">
        <v>482.2</v>
      </c>
      <c r="AE25" s="64" t="n">
        <v>536.4</v>
      </c>
      <c r="AF25" s="64" t="n">
        <v>520.1</v>
      </c>
      <c r="AG25" s="64" t="n">
        <v>494.9</v>
      </c>
      <c r="AH25" s="64" t="n">
        <v>550.5</v>
      </c>
      <c r="AI25" s="64" t="n">
        <v>618.6</v>
      </c>
      <c r="AJ25" s="64" t="n">
        <v>601</v>
      </c>
      <c r="AK25" s="64" t="n">
        <v>708.4</v>
      </c>
      <c r="AL25" s="64" t="n">
        <v>819.5</v>
      </c>
      <c r="AM25" s="64" t="n">
        <v>1021.3</v>
      </c>
      <c r="AN25" s="64" t="n">
        <v>816.6</v>
      </c>
      <c r="AO25" s="64" t="n">
        <v>1127.8</v>
      </c>
      <c r="AP25" s="60" t="inlineStr">
        <is>
          <t>결산단신 부문 정보(외부 고객 매출)</t>
        </is>
      </c>
    </row>
    <row r="26">
      <c r="A26" s="63" t="inlineStr">
        <is>
          <t>부문별 매출 · 自動車関連事業、報告セグメント [メンバー]</t>
        </is>
      </c>
      <c r="B26" s="64" t="n"/>
      <c r="C26" s="64" t="n"/>
      <c r="D26" s="64" t="n"/>
      <c r="E26" s="64" t="n"/>
      <c r="F26" s="64" t="n"/>
      <c r="G26" s="64" t="n"/>
      <c r="H26" s="64" t="n"/>
      <c r="I26" s="64" t="n"/>
      <c r="J26" s="64" t="n"/>
      <c r="K26" s="64" t="n"/>
      <c r="L26" s="64" t="n"/>
      <c r="M26" s="64" t="n"/>
      <c r="N26" s="64" t="n"/>
      <c r="O26" s="64" t="n"/>
      <c r="P26" s="64" t="n"/>
      <c r="Q26" s="64" t="n"/>
      <c r="R26" s="64" t="n"/>
      <c r="S26" s="64" t="n"/>
      <c r="T26" s="64" t="n"/>
      <c r="U26" s="64" t="n"/>
      <c r="V26" s="64" t="n"/>
      <c r="W26" s="64" t="n"/>
      <c r="X26" s="64" t="n"/>
      <c r="Y26" s="64" t="n"/>
      <c r="Z26" s="64" t="n"/>
      <c r="AA26" s="64" t="n"/>
      <c r="AB26" s="64" t="n">
        <v>5895.3</v>
      </c>
      <c r="AC26" s="64" t="n">
        <v>6234.6</v>
      </c>
      <c r="AD26" s="64" t="n">
        <v>6902.3</v>
      </c>
      <c r="AE26" s="64" t="n">
        <v>6902.6</v>
      </c>
      <c r="AF26" s="64" t="n">
        <v>6619.5</v>
      </c>
      <c r="AG26" s="64" t="n">
        <v>6423.3</v>
      </c>
      <c r="AH26" s="64" t="n">
        <v>7057</v>
      </c>
      <c r="AI26" s="64" t="n">
        <v>7226</v>
      </c>
      <c r="AJ26" s="64" t="n">
        <v>6702.3</v>
      </c>
      <c r="AK26" s="64" t="n">
        <v>7071.9</v>
      </c>
      <c r="AL26" s="64" t="n">
        <v>7564.9</v>
      </c>
      <c r="AM26" s="64" t="n">
        <v>8014.9</v>
      </c>
      <c r="AN26" s="64" t="n">
        <v>8023.3</v>
      </c>
      <c r="AO26" s="64" t="n">
        <v>8132.2</v>
      </c>
      <c r="AP26" s="60" t="inlineStr">
        <is>
          <t>결산단신 부문 정보(외부 고객 매출)</t>
        </is>
      </c>
    </row>
    <row r="27">
      <c r="A27" s="63" t="inlineStr">
        <is>
          <t>부문별 매출 · エレクトロニクス関連事業、報告セグメント [メンバー]</t>
        </is>
      </c>
      <c r="B27" s="64" t="n"/>
      <c r="C27" s="64" t="n"/>
      <c r="D27" s="64" t="n"/>
      <c r="E27" s="64" t="n"/>
      <c r="F27" s="64" t="n"/>
      <c r="G27" s="64" t="n"/>
      <c r="H27" s="64" t="n"/>
      <c r="I27" s="64" t="n"/>
      <c r="J27" s="64" t="n"/>
      <c r="K27" s="64" t="n"/>
      <c r="L27" s="64" t="n"/>
      <c r="M27" s="64" t="n"/>
      <c r="N27" s="64" t="n"/>
      <c r="O27" s="64" t="n"/>
      <c r="P27" s="64" t="n"/>
      <c r="Q27" s="64" t="n"/>
      <c r="R27" s="64" t="n"/>
      <c r="S27" s="64" t="n"/>
      <c r="T27" s="64" t="n"/>
      <c r="U27" s="64" t="n"/>
      <c r="V27" s="64" t="n"/>
      <c r="W27" s="64" t="n"/>
      <c r="X27" s="64" t="n"/>
      <c r="Y27" s="64" t="n"/>
      <c r="Z27" s="64" t="n"/>
      <c r="AA27" s="64" t="n"/>
      <c r="AB27" s="64" t="n">
        <v>691.9</v>
      </c>
      <c r="AC27" s="64" t="n">
        <v>831.8</v>
      </c>
      <c r="AD27" s="64" t="n">
        <v>809.6</v>
      </c>
      <c r="AE27" s="64" t="n">
        <v>750.5</v>
      </c>
      <c r="AF27" s="64" t="n">
        <v>762.2</v>
      </c>
      <c r="AG27" s="64" t="n">
        <v>901.7</v>
      </c>
      <c r="AH27" s="64" t="n">
        <v>843.4</v>
      </c>
      <c r="AI27" s="64" t="n">
        <v>764.1</v>
      </c>
      <c r="AJ27" s="64" t="n">
        <v>777.5</v>
      </c>
      <c r="AK27" s="64" t="n">
        <v>928.4</v>
      </c>
      <c r="AL27" s="64" t="n">
        <v>914.9</v>
      </c>
      <c r="AM27" s="64" t="n">
        <v>885.6</v>
      </c>
      <c r="AN27" s="64" t="n">
        <v>943.2</v>
      </c>
      <c r="AO27" s="64" t="n">
        <v>1052.5</v>
      </c>
      <c r="AP27" s="60" t="inlineStr">
        <is>
          <t>결산단신 부문 정보(외부 고객 매출)</t>
        </is>
      </c>
    </row>
    <row r="28">
      <c r="A28" s="63" t="inlineStr">
        <is>
          <t>부문별 매출 · 産業素材関連事業他、報告セグメント [メンバー]</t>
        </is>
      </c>
      <c r="B28" s="64" t="n"/>
      <c r="C28" s="64" t="n"/>
      <c r="D28" s="64" t="n"/>
      <c r="E28" s="64" t="n"/>
      <c r="F28" s="64" t="n"/>
      <c r="G28" s="64" t="n"/>
      <c r="H28" s="64" t="n"/>
      <c r="I28" s="64" t="n"/>
      <c r="J28" s="64" t="n"/>
      <c r="K28" s="64" t="n"/>
      <c r="L28" s="64" t="n"/>
      <c r="M28" s="64" t="n"/>
      <c r="N28" s="64" t="n"/>
      <c r="O28" s="64" t="n"/>
      <c r="P28" s="64" t="n"/>
      <c r="Q28" s="64" t="n"/>
      <c r="R28" s="64" t="n"/>
      <c r="S28" s="64" t="n"/>
      <c r="T28" s="64" t="n"/>
      <c r="U28" s="64" t="n"/>
      <c r="V28" s="64" t="n"/>
      <c r="W28" s="64" t="n"/>
      <c r="X28" s="64" t="n"/>
      <c r="Y28" s="64" t="n"/>
      <c r="Z28" s="64" t="n"/>
      <c r="AA28" s="64" t="n"/>
      <c r="AB28" s="64" t="n">
        <v>865.1</v>
      </c>
      <c r="AC28" s="64" t="n">
        <v>858.9</v>
      </c>
      <c r="AD28" s="64" t="n">
        <v>882.5</v>
      </c>
      <c r="AE28" s="64" t="n">
        <v>884.6</v>
      </c>
      <c r="AF28" s="64" t="n">
        <v>845.9</v>
      </c>
      <c r="AG28" s="64" t="n">
        <v>917.1</v>
      </c>
      <c r="AH28" s="64" t="n">
        <v>892</v>
      </c>
      <c r="AI28" s="64" t="n">
        <v>880.9</v>
      </c>
      <c r="AJ28" s="64" t="n">
        <v>860.5</v>
      </c>
      <c r="AK28" s="64" t="n">
        <v>901.8</v>
      </c>
      <c r="AL28" s="64" t="n">
        <v>937.4</v>
      </c>
      <c r="AM28" s="64" t="n">
        <v>965.5</v>
      </c>
      <c r="AN28" s="64" t="n">
        <v>1078.7</v>
      </c>
      <c r="AO28" s="64" t="n">
        <v>1188.7</v>
      </c>
      <c r="AP28" s="60" t="inlineStr">
        <is>
          <t>결산단신 부문 정보(외부 고객 매출)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2026-10-30T06:58:10Z</dcterms:created>
  <dcterms:modified xmlns:dcterms="http://purl.org/dc/terms/" xmlns:xsi="http://www.w3.org/2001/XMLSchema-instance" xsi:type="dcterms:W3CDTF">2026-10-30T06:58:29Z</dcterms:modified>
</cp:coreProperties>
</file>