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현금흐름표" sheetId="3" state="visible" r:id="rId3"/>
    <sheet xmlns:r="http://schemas.openxmlformats.org/officeDocument/2006/relationships" name="섹터 데이터" sheetId="4" state="visible" r:id="rId4"/>
    <sheet xmlns:r="http://schemas.openxmlformats.org/officeDocument/2006/relationships"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지뎁어드밴스 손익계산서</t>
        </is>
      </c>
    </row>
    <row r="2">
      <c r="A2" s="2" t="inlineStr">
        <is>
          <t>결산기 기준(27.2Q = 2027년 결산기 2분기) · 5월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22.4Q</t>
        </is>
      </c>
      <c r="E3" s="4" t="inlineStr">
        <is>
          <t>23.3Q</t>
        </is>
      </c>
      <c r="F3" s="4" t="inlineStr">
        <is>
          <t>23.4Q</t>
        </is>
      </c>
      <c r="G3" s="4" t="inlineStr">
        <is>
          <t>24.1Q</t>
        </is>
      </c>
      <c r="H3" s="4" t="inlineStr">
        <is>
          <t>24.2Q</t>
        </is>
      </c>
      <c r="I3" s="4" t="inlineStr">
        <is>
          <t>24.3Q</t>
        </is>
      </c>
      <c r="J3" s="4" t="inlineStr">
        <is>
          <t>24.4Q</t>
        </is>
      </c>
      <c r="K3" s="4" t="inlineStr">
        <is>
          <t>25.1Q</t>
        </is>
      </c>
      <c r="L3" s="4" t="inlineStr">
        <is>
          <t>25.2Q</t>
        </is>
      </c>
      <c r="M3" s="4" t="inlineStr">
        <is>
          <t>25.3Q</t>
        </is>
      </c>
      <c r="N3" s="4" t="inlineStr">
        <is>
          <t>25.4Q</t>
        </is>
      </c>
      <c r="O3" s="4" t="inlineStr">
        <is>
          <t>26.1Q</t>
        </is>
      </c>
      <c r="P3" s="4" t="inlineStr">
        <is>
          <t>26.2Q</t>
        </is>
      </c>
      <c r="Q3" s="4" t="inlineStr">
        <is>
          <t>26.3Q</t>
        </is>
      </c>
      <c r="R3" s="4" t="inlineStr">
        <is>
          <t>26.4Q</t>
        </is>
      </c>
      <c r="S3" s="4" t="inlineStr">
        <is>
          <t>27.1Q</t>
        </is>
      </c>
      <c r="T3" s="4" t="inlineStr">
        <is>
          <t>FY21</t>
        </is>
      </c>
      <c r="U3" s="4" t="inlineStr">
        <is>
          <t>FY22</t>
        </is>
      </c>
      <c r="V3" s="4" t="inlineStr">
        <is>
          <t>FY23</t>
        </is>
      </c>
      <c r="W3" s="4" t="inlineStr">
        <is>
          <t>FY24</t>
        </is>
      </c>
      <c r="X3" s="4" t="inlineStr">
        <is>
          <t>FY25</t>
        </is>
      </c>
      <c r="Y3" s="4" t="inlineStr">
        <is>
          <t>FY26</t>
        </is>
      </c>
      <c r="Z3" s="4" t="inlineStr">
        <is>
          <t>출처</t>
        </is>
      </c>
    </row>
    <row r="4">
      <c r="A4" s="5" t="inlineStr">
        <is>
          <t>매출액</t>
        </is>
      </c>
      <c r="F4" s="6" t="n">
        <v>8.3085</v>
      </c>
      <c r="G4" s="6" t="n">
        <v>7.1884</v>
      </c>
      <c r="H4" s="6" t="n">
        <v>11.6731</v>
      </c>
      <c r="I4" s="6" t="n">
        <v>13.7283</v>
      </c>
      <c r="J4" s="6" t="n">
        <v>11.6266</v>
      </c>
      <c r="K4" s="6" t="n">
        <v>12.4921</v>
      </c>
      <c r="L4" s="6" t="n">
        <v>27.4591</v>
      </c>
      <c r="M4" s="6" t="n">
        <v>14.4421</v>
      </c>
      <c r="N4" s="6" t="n">
        <v>11.916</v>
      </c>
      <c r="O4" s="6" t="n">
        <v>9.4885</v>
      </c>
      <c r="P4" s="6" t="n">
        <v>21.3497</v>
      </c>
      <c r="Q4" s="6" t="n">
        <v>15.7576</v>
      </c>
      <c r="R4" s="6" t="n">
        <v>22.8943</v>
      </c>
      <c r="S4" s="6" t="n">
        <v>15.4191</v>
      </c>
      <c r="U4" s="6" t="n">
        <v>34.9118</v>
      </c>
      <c r="V4" s="6" t="n">
        <v>37.7882</v>
      </c>
      <c r="W4" s="6" t="n">
        <v>44.2164</v>
      </c>
      <c r="X4" s="6" t="n">
        <v>66.30929999999999</v>
      </c>
      <c r="Y4" s="6" t="n">
        <v>69.4901</v>
      </c>
      <c r="Z4" s="7" t="inlineStr">
        <is>
          <t>결산단신 XBRL(거래소 공시, TDnet·JPX 보관소). 쓴 문서: 2026-10-14, 2026-07-14, 2026-04-14, 2026-01-14 외 10건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U5" s="9">
        <f>IF(OR(U4="",T4=""),"",IFERROR(U4/T4-1,""))</f>
        <v/>
      </c>
      <c r="V5" s="9">
        <f>IF(OR(V4="",U4=""),"",IFERROR(V4/U4-1,""))</f>
        <v/>
      </c>
      <c r="W5" s="9">
        <f>IF(OR(W4="",V4=""),"",IFERROR(W4/V4-1,""))</f>
        <v/>
      </c>
      <c r="X5" s="9">
        <f>IF(OR(X4="",W4=""),"",IFERROR(X4/W4-1,""))</f>
        <v/>
      </c>
      <c r="Y5" s="9">
        <f>IF(OR(Y4="",X4=""),"",IFERROR(Y4/X4-1,""))</f>
        <v/>
      </c>
    </row>
    <row r="6">
      <c r="A6" s="5" t="inlineStr">
        <is>
          <t>매출원가</t>
        </is>
      </c>
      <c r="F6" s="6" t="n">
        <v>6.2277</v>
      </c>
      <c r="G6" s="6" t="n">
        <v>5.236</v>
      </c>
      <c r="H6" s="6" t="n">
        <v>9.3758</v>
      </c>
      <c r="I6" s="6" t="n">
        <v>10.8448</v>
      </c>
      <c r="J6" s="6" t="n">
        <v>8.4587</v>
      </c>
      <c r="K6" s="6" t="n">
        <v>9.6958</v>
      </c>
      <c r="L6" s="6" t="n">
        <v>23.1071</v>
      </c>
      <c r="M6" s="6" t="n">
        <v>11.2441</v>
      </c>
      <c r="N6" s="6" t="n">
        <v>8.8866</v>
      </c>
      <c r="O6" s="6" t="n">
        <v>6.4673</v>
      </c>
      <c r="P6" s="6" t="n">
        <v>15.518</v>
      </c>
      <c r="Q6" s="6" t="n">
        <v>12.5687</v>
      </c>
      <c r="R6" s="6" t="n">
        <v>17.5797</v>
      </c>
      <c r="S6" s="6" t="n">
        <v>9.8888</v>
      </c>
      <c r="U6" s="6" t="n">
        <v>27.511</v>
      </c>
      <c r="V6" s="6" t="n">
        <v>28.771</v>
      </c>
      <c r="W6" s="6" t="n">
        <v>33.9152</v>
      </c>
      <c r="X6" s="6" t="n">
        <v>52.9336</v>
      </c>
      <c r="Y6" s="6" t="n">
        <v>52.1337</v>
      </c>
    </row>
    <row r="7">
      <c r="A7" s="5" t="inlineStr">
        <is>
          <t>매출총이익</t>
        </is>
      </c>
      <c r="F7" s="6" t="n">
        <v>2.0808</v>
      </c>
      <c r="G7" s="6" t="n">
        <v>1.9524</v>
      </c>
      <c r="H7" s="6" t="n">
        <v>2.2973</v>
      </c>
      <c r="I7" s="6" t="n">
        <v>2.8835</v>
      </c>
      <c r="J7" s="6" t="n">
        <v>3.168</v>
      </c>
      <c r="K7" s="6" t="n">
        <v>2.7964</v>
      </c>
      <c r="L7" s="6" t="n">
        <v>4.352</v>
      </c>
      <c r="M7" s="6" t="n">
        <v>3.1981</v>
      </c>
      <c r="N7" s="6" t="n">
        <v>3.0293</v>
      </c>
      <c r="O7" s="6" t="n">
        <v>3.0212</v>
      </c>
      <c r="P7" s="6" t="n">
        <v>5.8317</v>
      </c>
      <c r="Q7" s="6" t="n">
        <v>3.1889</v>
      </c>
      <c r="R7" s="6" t="n">
        <v>5.3146</v>
      </c>
      <c r="S7" s="6" t="n">
        <v>5.5303</v>
      </c>
      <c r="U7" s="6" t="n">
        <v>7.4007</v>
      </c>
      <c r="V7" s="6" t="n">
        <v>9.017300000000001</v>
      </c>
      <c r="W7" s="6" t="n">
        <v>10.3012</v>
      </c>
      <c r="X7" s="6" t="n">
        <v>13.3757</v>
      </c>
      <c r="Y7" s="6" t="n">
        <v>17.3564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</row>
    <row r="9">
      <c r="A9" s="10" t="inlineStr">
        <is>
          <t>판매비와 관리비</t>
        </is>
      </c>
      <c r="F9" s="11" t="n">
        <v>1.2924</v>
      </c>
      <c r="G9" s="11" t="n">
        <v>0.8341</v>
      </c>
      <c r="H9" s="11" t="n">
        <v>0.7998</v>
      </c>
      <c r="I9" s="11" t="n">
        <v>0.9722</v>
      </c>
      <c r="J9" s="11" t="n">
        <v>1.0666</v>
      </c>
      <c r="K9" s="11" t="n">
        <v>1.0329</v>
      </c>
      <c r="L9" s="11" t="n">
        <v>1.13</v>
      </c>
      <c r="M9" s="11" t="n">
        <v>1.1869</v>
      </c>
      <c r="N9" s="11" t="n">
        <v>1.6268</v>
      </c>
      <c r="O9" s="11" t="n">
        <v>1.3521</v>
      </c>
      <c r="P9" s="11" t="n">
        <v>1.3634</v>
      </c>
      <c r="Q9" s="11" t="n">
        <v>1.2137</v>
      </c>
      <c r="R9" s="11" t="n">
        <v>2.2531</v>
      </c>
      <c r="S9" s="11" t="n">
        <v>1.4623</v>
      </c>
      <c r="U9" s="11" t="n">
        <v>3.345</v>
      </c>
      <c r="V9" s="11" t="n">
        <v>3.4485</v>
      </c>
      <c r="W9" s="11" t="n">
        <v>3.6727</v>
      </c>
      <c r="X9" s="11" t="n">
        <v>4.9766</v>
      </c>
      <c r="Y9" s="11" t="n">
        <v>6.1823</v>
      </c>
    </row>
    <row r="10">
      <c r="A10" s="5" t="inlineStr">
        <is>
          <t>영업이익</t>
        </is>
      </c>
      <c r="F10" s="6" t="n">
        <v>0.7883</v>
      </c>
      <c r="G10" s="6" t="n">
        <v>1.1183</v>
      </c>
      <c r="H10" s="6" t="n">
        <v>1.4976</v>
      </c>
      <c r="I10" s="6" t="n">
        <v>1.9113</v>
      </c>
      <c r="J10" s="6" t="n">
        <v>2.1014</v>
      </c>
      <c r="K10" s="6" t="n">
        <v>1.7634</v>
      </c>
      <c r="L10" s="6" t="n">
        <v>3.222</v>
      </c>
      <c r="M10" s="6" t="n">
        <v>2.0112</v>
      </c>
      <c r="N10" s="6" t="n">
        <v>1.4025</v>
      </c>
      <c r="O10" s="6" t="n">
        <v>1.6691</v>
      </c>
      <c r="P10" s="6" t="n">
        <v>4.4683</v>
      </c>
      <c r="Q10" s="6" t="n">
        <v>1.9752</v>
      </c>
      <c r="R10" s="6" t="n">
        <v>3.0614</v>
      </c>
      <c r="S10" s="6" t="n">
        <v>4.0681</v>
      </c>
      <c r="U10" s="6" t="n">
        <v>4.0557</v>
      </c>
      <c r="V10" s="6" t="n">
        <v>5.5688</v>
      </c>
      <c r="W10" s="6" t="n">
        <v>6.6285</v>
      </c>
      <c r="X10" s="6" t="n">
        <v>8.399100000000001</v>
      </c>
      <c r="Y10" s="6" t="n">
        <v>11.1741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U12" s="9">
        <f>IF(OR(U10="",T10=""),"",IFERROR(U10/T10-1,""))</f>
        <v/>
      </c>
      <c r="V12" s="9">
        <f>IF(OR(V10="",U10=""),"",IFERROR(V10/U10-1,""))</f>
        <v/>
      </c>
      <c r="W12" s="9">
        <f>IF(OR(W10="",V10=""),"",IFERROR(W10/V10-1,""))</f>
        <v/>
      </c>
      <c r="X12" s="9">
        <f>IF(OR(X10="",W10=""),"",IFERROR(X10/W10-1,""))</f>
        <v/>
      </c>
      <c r="Y12" s="9">
        <f>IF(OR(Y10="",X10=""),"",IFERROR(Y10/X10-1,""))</f>
        <v/>
      </c>
    </row>
    <row r="13">
      <c r="A13" s="10" t="inlineStr">
        <is>
          <t>외환차익</t>
        </is>
      </c>
      <c r="F13" s="11" t="n">
        <v>0.0226</v>
      </c>
      <c r="G13" s="11" t="n">
        <v>0.0544</v>
      </c>
      <c r="H13" s="11" t="n">
        <v>-0.008399999999999999</v>
      </c>
      <c r="I13" s="11" t="n">
        <v>0.1357</v>
      </c>
      <c r="J13" s="11" t="n">
        <v>-0.0925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0.2291</v>
      </c>
      <c r="P13" s="11" t="n">
        <v>0.0418</v>
      </c>
      <c r="Q13" s="11" t="n">
        <v>0.0363</v>
      </c>
      <c r="R13" s="11" t="n">
        <v>0.1097</v>
      </c>
      <c r="S13" s="11" t="n">
        <v>0.0245</v>
      </c>
      <c r="U13" s="11" t="n">
        <v>0.4164</v>
      </c>
      <c r="V13" s="11" t="n">
        <v>0.1819</v>
      </c>
      <c r="W13" s="11" t="n">
        <v>0.0892</v>
      </c>
      <c r="X13" s="11" t="n">
        <v>0</v>
      </c>
      <c r="Y13" s="11" t="n">
        <v>0.4169</v>
      </c>
    </row>
    <row r="14">
      <c r="A14" s="10" t="inlineStr">
        <is>
          <t>이자수익</t>
        </is>
      </c>
      <c r="G14" s="11" t="n">
        <v>0.0001</v>
      </c>
      <c r="H14" s="11" t="n">
        <v>0</v>
      </c>
      <c r="I14" s="11" t="n">
        <v>0.0002</v>
      </c>
      <c r="J14" s="11" t="n">
        <v>0</v>
      </c>
      <c r="K14" s="11" t="n">
        <v>0.0103</v>
      </c>
      <c r="L14" s="11" t="n">
        <v>0.0266</v>
      </c>
      <c r="M14" s="11" t="n">
        <v>0.0459</v>
      </c>
      <c r="N14" s="11" t="n">
        <v>0.09950000000000001</v>
      </c>
      <c r="O14" s="11" t="n">
        <v>0.082</v>
      </c>
      <c r="P14" s="11" t="n">
        <v>0</v>
      </c>
      <c r="Q14" s="11" t="n">
        <v>0.0313</v>
      </c>
      <c r="R14" s="11" t="n">
        <v>0</v>
      </c>
      <c r="S14" s="11" t="n">
        <v>0.0285</v>
      </c>
      <c r="W14" s="11" t="n">
        <v>0.0003</v>
      </c>
      <c r="X14" s="11" t="n">
        <v>0.1824</v>
      </c>
      <c r="Y14" s="11" t="n">
        <v>0.1134</v>
      </c>
    </row>
    <row r="15">
      <c r="A15" s="10" t="inlineStr">
        <is>
          <t>기타</t>
        </is>
      </c>
      <c r="F15" s="11" t="n">
        <v>0.001</v>
      </c>
      <c r="G15" s="11" t="n">
        <v>0.002</v>
      </c>
      <c r="H15" s="11" t="n">
        <v>0.001</v>
      </c>
      <c r="I15" s="11" t="n">
        <v>0</v>
      </c>
      <c r="J15" s="11" t="n">
        <v>0.0049</v>
      </c>
      <c r="K15" s="11" t="n">
        <v>0.0019</v>
      </c>
      <c r="L15" s="11" t="n">
        <v>0.0001</v>
      </c>
      <c r="M15" s="11" t="n">
        <v>0</v>
      </c>
      <c r="N15" s="11" t="n">
        <v>0.005</v>
      </c>
      <c r="O15" s="11" t="n">
        <v>0.0003</v>
      </c>
      <c r="P15" s="11" t="n">
        <v>0</v>
      </c>
      <c r="Q15" s="11" t="n">
        <v>0</v>
      </c>
      <c r="R15" s="11" t="n">
        <v>0.0029</v>
      </c>
      <c r="S15" s="11" t="n">
        <v>0</v>
      </c>
      <c r="U15" s="11" t="n">
        <v>0.0047</v>
      </c>
      <c r="V15" s="11" t="n">
        <v>0.0062</v>
      </c>
      <c r="W15" s="11" t="n">
        <v>0.0078</v>
      </c>
      <c r="X15" s="11" t="n">
        <v>0.0071</v>
      </c>
      <c r="Y15" s="11" t="n">
        <v>0.0031</v>
      </c>
    </row>
    <row r="16">
      <c r="A16" s="5" t="inlineStr">
        <is>
          <t>영업외수익 합계</t>
        </is>
      </c>
      <c r="F16" s="6" t="n">
        <v>0.0235</v>
      </c>
      <c r="G16" s="6" t="n">
        <v>0.0565</v>
      </c>
      <c r="H16" s="6" t="n">
        <v>-0.0074</v>
      </c>
      <c r="I16" s="6" t="n">
        <v>0.1359</v>
      </c>
      <c r="J16" s="6" t="n">
        <v>-0.0876</v>
      </c>
      <c r="K16" s="6" t="n">
        <v>0.0123</v>
      </c>
      <c r="L16" s="6" t="n">
        <v>0.0267</v>
      </c>
      <c r="M16" s="6" t="n">
        <v>0.0459</v>
      </c>
      <c r="N16" s="6" t="n">
        <v>0.1046</v>
      </c>
      <c r="O16" s="6" t="n">
        <v>0.3114</v>
      </c>
      <c r="P16" s="6" t="n">
        <v>0.0418</v>
      </c>
      <c r="Q16" s="6" t="n">
        <v>0.0675</v>
      </c>
      <c r="R16" s="6" t="n">
        <v>0.1126</v>
      </c>
      <c r="S16" s="6" t="n">
        <v>0.0531</v>
      </c>
      <c r="U16" s="6" t="n">
        <v>0.4211</v>
      </c>
      <c r="V16" s="6" t="n">
        <v>0.1881</v>
      </c>
      <c r="W16" s="6" t="n">
        <v>0.0973</v>
      </c>
      <c r="X16" s="6" t="n">
        <v>0.1895</v>
      </c>
      <c r="Y16" s="6" t="n">
        <v>0.5334</v>
      </c>
    </row>
    <row r="17">
      <c r="A17" s="10" t="inlineStr">
        <is>
          <t>잡손실</t>
        </is>
      </c>
      <c r="U17" s="11" t="n">
        <v>0.0005</v>
      </c>
      <c r="V17" s="11" t="n">
        <v>0</v>
      </c>
    </row>
    <row r="18">
      <c r="A18" s="10" t="inlineStr">
        <is>
          <t>상장 관련 비용</t>
        </is>
      </c>
      <c r="F18" s="11" t="n">
        <v>0.0373</v>
      </c>
      <c r="G18" s="11" t="n">
        <v>0.2009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U18" s="11" t="n">
        <v>0</v>
      </c>
      <c r="V18" s="11" t="n">
        <v>0.0673</v>
      </c>
      <c r="W18" s="11" t="n">
        <v>0.2009</v>
      </c>
      <c r="X18" s="11" t="n">
        <v>0</v>
      </c>
    </row>
    <row r="19">
      <c r="A19" s="10" t="inlineStr">
        <is>
          <t>외환차손</t>
        </is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0.1324</v>
      </c>
      <c r="L19" s="11" t="n">
        <v>-0.0795</v>
      </c>
      <c r="M19" s="11" t="n">
        <v>0.252</v>
      </c>
      <c r="N19" s="11" t="n">
        <v>0.3229</v>
      </c>
      <c r="O19" s="11" t="n">
        <v>0</v>
      </c>
      <c r="P19" s="11" t="n">
        <v>0</v>
      </c>
      <c r="Q19" s="11" t="n">
        <v>0</v>
      </c>
      <c r="R19" s="11" t="n">
        <v>0</v>
      </c>
      <c r="W19" s="11" t="n">
        <v>0</v>
      </c>
      <c r="X19" s="11" t="n">
        <v>0.6278</v>
      </c>
      <c r="Y19" s="11" t="n">
        <v>0</v>
      </c>
    </row>
    <row r="20">
      <c r="A20" s="10" t="inlineStr">
        <is>
          <t>영업외비용 합계</t>
        </is>
      </c>
      <c r="F20" s="11" t="n">
        <v>0.0373</v>
      </c>
      <c r="G20" s="11" t="n">
        <v>0.2009</v>
      </c>
      <c r="H20" s="11" t="n">
        <v>0</v>
      </c>
      <c r="I20" s="11" t="n">
        <v>0</v>
      </c>
      <c r="J20" s="11" t="n">
        <v>0</v>
      </c>
      <c r="K20" s="11" t="n">
        <v>0.1324</v>
      </c>
      <c r="L20" s="11" t="n">
        <v>-0.0795</v>
      </c>
      <c r="M20" s="11" t="n">
        <v>0.252</v>
      </c>
      <c r="N20" s="11" t="n">
        <v>0.3229</v>
      </c>
      <c r="O20" s="11" t="n">
        <v>0</v>
      </c>
      <c r="P20" s="11" t="n">
        <v>0</v>
      </c>
      <c r="Q20" s="11" t="n">
        <v>0</v>
      </c>
      <c r="R20" s="11" t="n">
        <v>0</v>
      </c>
      <c r="U20" s="11" t="n">
        <v>0.0005</v>
      </c>
      <c r="V20" s="11" t="n">
        <v>0.0673</v>
      </c>
      <c r="W20" s="11" t="n">
        <v>0.2009</v>
      </c>
      <c r="X20" s="11" t="n">
        <v>0.6278</v>
      </c>
      <c r="Y20" s="11" t="n">
        <v>0</v>
      </c>
    </row>
    <row r="21">
      <c r="A21" s="5" t="inlineStr">
        <is>
          <t>경상이익</t>
        </is>
      </c>
      <c r="F21" s="6" t="n">
        <v>0.7746</v>
      </c>
      <c r="G21" s="6" t="n">
        <v>0.9739</v>
      </c>
      <c r="H21" s="6" t="n">
        <v>1.4901</v>
      </c>
      <c r="I21" s="6" t="n">
        <v>2.0472</v>
      </c>
      <c r="J21" s="6" t="n">
        <v>2.0138</v>
      </c>
      <c r="K21" s="6" t="n">
        <v>1.6433</v>
      </c>
      <c r="L21" s="6" t="n">
        <v>3.3283</v>
      </c>
      <c r="M21" s="6" t="n">
        <v>1.8051</v>
      </c>
      <c r="N21" s="6" t="n">
        <v>1.1842</v>
      </c>
      <c r="O21" s="6" t="n">
        <v>1.9805</v>
      </c>
      <c r="P21" s="6" t="n">
        <v>4.5101</v>
      </c>
      <c r="Q21" s="6" t="n">
        <v>2.0427</v>
      </c>
      <c r="R21" s="6" t="n">
        <v>3.1741</v>
      </c>
      <c r="S21" s="6" t="n">
        <v>4.1211</v>
      </c>
      <c r="U21" s="6" t="n">
        <v>4.4764</v>
      </c>
      <c r="V21" s="6" t="n">
        <v>5.6895</v>
      </c>
      <c r="W21" s="6" t="n">
        <v>6.525</v>
      </c>
      <c r="X21" s="6" t="n">
        <v>7.9609</v>
      </c>
      <c r="Y21" s="6" t="n">
        <v>11.7075</v>
      </c>
    </row>
    <row r="22">
      <c r="A22" s="8" t="inlineStr">
        <is>
          <t>경상이익률</t>
        </is>
      </c>
      <c r="C22" s="9">
        <f>IF(OR(C21="",C4=""),"",IFERROR(C21/C4,""))</f>
        <v/>
      </c>
      <c r="D22" s="9">
        <f>IF(OR(D21="",D4=""),"",IFERROR(D21/D4,""))</f>
        <v/>
      </c>
      <c r="E22" s="9">
        <f>IF(OR(E21="",E4=""),"",IFERROR(E21/E4,""))</f>
        <v/>
      </c>
      <c r="F22" s="9">
        <f>IF(OR(F21="",F4=""),"",IFERROR(F21/F4,""))</f>
        <v/>
      </c>
      <c r="G22" s="9">
        <f>IF(OR(G21="",G4=""),"",IFERROR(G21/G4,""))</f>
        <v/>
      </c>
      <c r="H22" s="9">
        <f>IF(OR(H21="",H4=""),"",IFERROR(H21/H4,""))</f>
        <v/>
      </c>
      <c r="I22" s="9">
        <f>IF(OR(I21="",I4=""),"",IFERROR(I21/I4,""))</f>
        <v/>
      </c>
      <c r="J22" s="9">
        <f>IF(OR(J21="",J4=""),"",IFERROR(J21/J4,""))</f>
        <v/>
      </c>
      <c r="K22" s="9">
        <f>IF(OR(K21="",K4=""),"",IFERROR(K21/K4,""))</f>
        <v/>
      </c>
      <c r="L22" s="9">
        <f>IF(OR(L21="",L4=""),"",IFERROR(L21/L4,""))</f>
        <v/>
      </c>
      <c r="M22" s="9">
        <f>IF(OR(M21="",M4=""),"",IFERROR(M21/M4,""))</f>
        <v/>
      </c>
      <c r="N22" s="9">
        <f>IF(OR(N21="",N4=""),"",IFERROR(N21/N4,""))</f>
        <v/>
      </c>
      <c r="O22" s="9">
        <f>IF(OR(O21="",O4=""),"",IFERROR(O21/O4,""))</f>
        <v/>
      </c>
      <c r="P22" s="9">
        <f>IF(OR(P21="",P4=""),"",IFERROR(P21/P4,""))</f>
        <v/>
      </c>
      <c r="Q22" s="9">
        <f>IF(OR(Q21="",Q4=""),"",IFERROR(Q21/Q4,""))</f>
        <v/>
      </c>
      <c r="R22" s="9">
        <f>IF(OR(R21="",R4=""),"",IFERROR(R21/R4,""))</f>
        <v/>
      </c>
      <c r="S22" s="9">
        <f>IF(OR(S21="",S4=""),"",IFERROR(S21/S4,""))</f>
        <v/>
      </c>
      <c r="T22" s="9">
        <f>IF(OR(T21="",T4=""),"",IFERROR(T21/T4,""))</f>
        <v/>
      </c>
      <c r="U22" s="9">
        <f>IF(OR(U21="",U4=""),"",IFERROR(U21/U4,""))</f>
        <v/>
      </c>
      <c r="V22" s="9">
        <f>IF(OR(V21="",V4=""),"",IFERROR(V21/V4,""))</f>
        <v/>
      </c>
      <c r="W22" s="9">
        <f>IF(OR(W21="",W4=""),"",IFERROR(W21/W4,""))</f>
        <v/>
      </c>
      <c r="X22" s="9">
        <f>IF(OR(X21="",X4=""),"",IFERROR(X21/X4,""))</f>
        <v/>
      </c>
      <c r="Y22" s="9">
        <f>IF(OR(Y21="",Y4=""),"",IFERROR(Y21/Y4,""))</f>
        <v/>
      </c>
    </row>
    <row r="23">
      <c r="A23" s="10" t="inlineStr">
        <is>
          <t>고정자산 제각손실</t>
        </is>
      </c>
      <c r="F23" s="11" t="n">
        <v>0</v>
      </c>
      <c r="J23" s="11" t="n">
        <v>0</v>
      </c>
      <c r="U23" s="11" t="n">
        <v>0</v>
      </c>
      <c r="V23" s="11" t="n">
        <v>0.0005999999999999999</v>
      </c>
      <c r="W23" s="11" t="n">
        <v>0</v>
      </c>
    </row>
    <row r="24">
      <c r="A24" s="10" t="inlineStr">
        <is>
          <t>특별손실 합계</t>
        </is>
      </c>
      <c r="F24" s="11" t="n">
        <v>0</v>
      </c>
      <c r="J24" s="11" t="n">
        <v>0</v>
      </c>
      <c r="U24" s="11" t="n">
        <v>0</v>
      </c>
      <c r="V24" s="11" t="n">
        <v>0.0005999999999999999</v>
      </c>
      <c r="W24" s="11" t="n">
        <v>0</v>
      </c>
    </row>
    <row r="25">
      <c r="A25" s="10" t="inlineStr">
        <is>
          <t>법인세차감전 순이익</t>
        </is>
      </c>
      <c r="F25" s="11" t="n">
        <v>0.7746</v>
      </c>
      <c r="G25" s="11" t="n">
        <v>0.9739</v>
      </c>
      <c r="H25" s="11" t="n">
        <v>1.4901</v>
      </c>
      <c r="I25" s="11" t="n">
        <v>2.0472</v>
      </c>
      <c r="J25" s="11" t="n">
        <v>2.0138</v>
      </c>
      <c r="K25" s="11" t="n">
        <v>1.6433</v>
      </c>
      <c r="L25" s="11" t="n">
        <v>3.3283</v>
      </c>
      <c r="M25" s="11" t="n">
        <v>1.8051</v>
      </c>
      <c r="N25" s="11" t="n">
        <v>1.1842</v>
      </c>
      <c r="O25" s="11" t="n">
        <v>1.9805</v>
      </c>
      <c r="P25" s="11" t="n">
        <v>4.5101</v>
      </c>
      <c r="Q25" s="11" t="n">
        <v>2.0427</v>
      </c>
      <c r="R25" s="11" t="n">
        <v>3.1741</v>
      </c>
      <c r="S25" s="11" t="n">
        <v>4.1211</v>
      </c>
      <c r="U25" s="11" t="n">
        <v>4.4764</v>
      </c>
      <c r="V25" s="11" t="n">
        <v>5.6889</v>
      </c>
      <c r="W25" s="11" t="n">
        <v>6.525</v>
      </c>
      <c r="X25" s="11" t="n">
        <v>7.9609</v>
      </c>
      <c r="Y25" s="11" t="n">
        <v>11.7075</v>
      </c>
    </row>
    <row r="26">
      <c r="A26" s="10" t="inlineStr">
        <is>
          <t>법인세·주민세·사업세</t>
        </is>
      </c>
      <c r="U26" s="11" t="n">
        <v>1.6733</v>
      </c>
      <c r="V26" s="11" t="n">
        <v>2.0073</v>
      </c>
      <c r="W26" s="11" t="n">
        <v>1.9474</v>
      </c>
      <c r="X26" s="11" t="n">
        <v>2.7429</v>
      </c>
      <c r="Y26" s="11" t="n">
        <v>4.0216</v>
      </c>
    </row>
    <row r="27">
      <c r="A27" s="10" t="inlineStr">
        <is>
          <t>법인세 조정액</t>
        </is>
      </c>
      <c r="U27" s="11" t="n">
        <v>-0.0286</v>
      </c>
      <c r="V27" s="11" t="n">
        <v>-0.1013</v>
      </c>
      <c r="W27" s="11" t="n">
        <v>0.2546</v>
      </c>
      <c r="X27" s="11" t="n">
        <v>-0.1501</v>
      </c>
      <c r="Y27" s="11" t="n">
        <v>-0.1798</v>
      </c>
    </row>
    <row r="28">
      <c r="A28" s="10" t="inlineStr">
        <is>
          <t>법인세 등</t>
        </is>
      </c>
      <c r="F28" s="11" t="n">
        <v>0.2061</v>
      </c>
      <c r="G28" s="11" t="n">
        <v>0.2981</v>
      </c>
      <c r="H28" s="11" t="n">
        <v>0.4561</v>
      </c>
      <c r="I28" s="11" t="n">
        <v>0.6267</v>
      </c>
      <c r="J28" s="11" t="n">
        <v>0.8211000000000001</v>
      </c>
      <c r="K28" s="11" t="n">
        <v>0.5046</v>
      </c>
      <c r="L28" s="11" t="n">
        <v>1.0256</v>
      </c>
      <c r="M28" s="11" t="n">
        <v>0.5590000000000001</v>
      </c>
      <c r="N28" s="11" t="n">
        <v>0.5037</v>
      </c>
      <c r="O28" s="11" t="n">
        <v>0.6231</v>
      </c>
      <c r="P28" s="11" t="n">
        <v>1.3845</v>
      </c>
      <c r="Q28" s="11" t="n">
        <v>0.6319</v>
      </c>
      <c r="R28" s="11" t="n">
        <v>1.2024</v>
      </c>
      <c r="S28" s="11" t="n">
        <v>1.3775</v>
      </c>
      <c r="U28" s="11" t="n">
        <v>1.6446</v>
      </c>
      <c r="V28" s="11" t="n">
        <v>1.906</v>
      </c>
      <c r="W28" s="11" t="n">
        <v>2.202</v>
      </c>
      <c r="X28" s="11" t="n">
        <v>2.5928</v>
      </c>
      <c r="Y28" s="11" t="n">
        <v>3.8418</v>
      </c>
    </row>
    <row r="29">
      <c r="A29" s="5" t="inlineStr">
        <is>
          <t>순이익</t>
        </is>
      </c>
      <c r="F29" s="6" t="n">
        <v>0.5685</v>
      </c>
      <c r="G29" s="6" t="n">
        <v>0.6758</v>
      </c>
      <c r="H29" s="6" t="n">
        <v>1.034</v>
      </c>
      <c r="I29" s="6" t="n">
        <v>1.4205</v>
      </c>
      <c r="J29" s="6" t="n">
        <v>1.1927</v>
      </c>
      <c r="K29" s="6" t="n">
        <v>1.1388</v>
      </c>
      <c r="L29" s="6" t="n">
        <v>2.3026</v>
      </c>
      <c r="M29" s="6" t="n">
        <v>1.2461</v>
      </c>
      <c r="N29" s="6" t="n">
        <v>0.6806</v>
      </c>
      <c r="O29" s="6" t="n">
        <v>1.3575</v>
      </c>
      <c r="P29" s="6" t="n">
        <v>3.1256</v>
      </c>
      <c r="Q29" s="6" t="n">
        <v>1.4109</v>
      </c>
      <c r="R29" s="6" t="n">
        <v>1.9717</v>
      </c>
      <c r="S29" s="6" t="n">
        <v>2.7436</v>
      </c>
      <c r="U29" s="6" t="n">
        <v>2.8318</v>
      </c>
      <c r="V29" s="6" t="n">
        <v>3.7829</v>
      </c>
      <c r="W29" s="6" t="n">
        <v>4.323</v>
      </c>
      <c r="X29" s="6" t="n">
        <v>5.368</v>
      </c>
      <c r="Y29" s="6" t="n">
        <v>7.8656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지뎁어드밴스 재무상태표</t>
        </is>
      </c>
    </row>
    <row r="2">
      <c r="A2" s="2" t="inlineStr">
        <is>
          <t>결산기 기준(27.2Q = 2027년 결산기 2분기) · 5월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22.4Q</t>
        </is>
      </c>
      <c r="E3" s="4" t="inlineStr">
        <is>
          <t>23.3Q</t>
        </is>
      </c>
      <c r="F3" s="4" t="inlineStr">
        <is>
          <t>23.4Q</t>
        </is>
      </c>
      <c r="G3" s="4" t="inlineStr">
        <is>
          <t>24.1Q</t>
        </is>
      </c>
      <c r="H3" s="4" t="inlineStr">
        <is>
          <t>24.2Q</t>
        </is>
      </c>
      <c r="I3" s="4" t="inlineStr">
        <is>
          <t>24.3Q</t>
        </is>
      </c>
      <c r="J3" s="4" t="inlineStr">
        <is>
          <t>24.4Q</t>
        </is>
      </c>
      <c r="K3" s="4" t="inlineStr">
        <is>
          <t>25.1Q</t>
        </is>
      </c>
      <c r="L3" s="4" t="inlineStr">
        <is>
          <t>25.2Q</t>
        </is>
      </c>
      <c r="M3" s="4" t="inlineStr">
        <is>
          <t>25.3Q</t>
        </is>
      </c>
      <c r="N3" s="4" t="inlineStr">
        <is>
          <t>25.4Q</t>
        </is>
      </c>
      <c r="O3" s="4" t="inlineStr">
        <is>
          <t>26.1Q</t>
        </is>
      </c>
      <c r="P3" s="4" t="inlineStr">
        <is>
          <t>26.2Q</t>
        </is>
      </c>
      <c r="Q3" s="4" t="inlineStr">
        <is>
          <t>26.3Q</t>
        </is>
      </c>
      <c r="R3" s="4" t="inlineStr">
        <is>
          <t>26.4Q</t>
        </is>
      </c>
      <c r="S3" s="4" t="inlineStr">
        <is>
          <t>27.1Q</t>
        </is>
      </c>
      <c r="T3" s="4" t="inlineStr">
        <is>
          <t>FY21</t>
        </is>
      </c>
      <c r="U3" s="4" t="inlineStr">
        <is>
          <t>FY22</t>
        </is>
      </c>
      <c r="V3" s="4" t="inlineStr">
        <is>
          <t>FY23</t>
        </is>
      </c>
      <c r="W3" s="4" t="inlineStr">
        <is>
          <t>FY24</t>
        </is>
      </c>
      <c r="X3" s="4" t="inlineStr">
        <is>
          <t>FY25</t>
        </is>
      </c>
      <c r="Y3" s="4" t="inlineStr">
        <is>
          <t>FY26</t>
        </is>
      </c>
      <c r="Z3" s="4" t="inlineStr">
        <is>
          <t>출처</t>
        </is>
      </c>
    </row>
    <row r="4">
      <c r="A4" s="10" t="inlineStr">
        <is>
          <t>현금 및 예금</t>
        </is>
      </c>
      <c r="D4" s="11" t="n">
        <v>13.5292</v>
      </c>
      <c r="F4" s="11" t="n">
        <v>18.7971</v>
      </c>
      <c r="G4" s="11" t="n">
        <v>21.6249</v>
      </c>
      <c r="H4" s="11" t="n">
        <v>24.3327</v>
      </c>
      <c r="I4" s="11" t="n">
        <v>21.1329</v>
      </c>
      <c r="J4" s="11" t="n">
        <v>30.0613</v>
      </c>
      <c r="K4" s="11" t="n">
        <v>9.027699999999999</v>
      </c>
      <c r="L4" s="11" t="n">
        <v>27.9139</v>
      </c>
      <c r="M4" s="11" t="n">
        <v>28.4473</v>
      </c>
      <c r="N4" s="11" t="n">
        <v>33.3411</v>
      </c>
      <c r="O4" s="11" t="n">
        <v>25.1702</v>
      </c>
      <c r="P4" s="11" t="n">
        <v>34.5902</v>
      </c>
      <c r="Q4" s="11" t="n">
        <v>27.3491</v>
      </c>
      <c r="R4" s="11" t="n">
        <v>17.7194</v>
      </c>
      <c r="S4" s="11" t="n">
        <v>14.8735</v>
      </c>
      <c r="U4" s="11" t="n">
        <v>13.5292</v>
      </c>
      <c r="V4" s="11" t="n">
        <v>18.7971</v>
      </c>
      <c r="W4" s="11" t="n">
        <v>30.0613</v>
      </c>
      <c r="X4" s="11" t="n">
        <v>33.3411</v>
      </c>
      <c r="Y4" s="11" t="n">
        <v>17.7194</v>
      </c>
      <c r="Z4" s="7" t="inlineStr">
        <is>
          <t>결산단신 XBRL(거래소 공시, TDnet·JPX 보관소). 쓴 문서: 2026-10-14, 2026-07-14, 2026-04-14, 2026-01-14 외 10건 — '출처' 시트에 전부</t>
        </is>
      </c>
    </row>
    <row r="5">
      <c r="A5" s="10" t="inlineStr">
        <is>
          <t>매출채권</t>
        </is>
      </c>
      <c r="D5" s="11" t="n">
        <v>1.1081</v>
      </c>
      <c r="F5" s="11" t="n">
        <v>0.8179999999999999</v>
      </c>
      <c r="J5" s="11" t="n">
        <v>3.6601</v>
      </c>
      <c r="N5" s="11" t="n">
        <v>0.9087</v>
      </c>
      <c r="R5" s="11" t="n">
        <v>2.0147</v>
      </c>
      <c r="U5" s="11" t="n">
        <v>1.1081</v>
      </c>
      <c r="V5" s="11" t="n">
        <v>0.8179999999999999</v>
      </c>
      <c r="W5" s="11" t="n">
        <v>3.6601</v>
      </c>
      <c r="X5" s="11" t="n">
        <v>0.9087</v>
      </c>
      <c r="Y5" s="11" t="n">
        <v>2.0147</v>
      </c>
    </row>
    <row r="6">
      <c r="A6" s="10" t="inlineStr">
        <is>
          <t>받을어음·매출채권·계약자산</t>
        </is>
      </c>
      <c r="F6" s="11" t="n">
        <v>0.8179999999999999</v>
      </c>
      <c r="G6" s="11" t="n">
        <v>1.4353</v>
      </c>
      <c r="H6" s="11" t="n">
        <v>3.3748</v>
      </c>
      <c r="I6" s="11" t="n">
        <v>6.2501</v>
      </c>
      <c r="J6" s="11" t="n">
        <v>3.6601</v>
      </c>
      <c r="K6" s="11" t="n">
        <v>2.3414</v>
      </c>
      <c r="L6" s="11" t="n">
        <v>5.753</v>
      </c>
      <c r="M6" s="11" t="n">
        <v>7.0266</v>
      </c>
      <c r="N6" s="11" t="n">
        <v>0.9087</v>
      </c>
      <c r="O6" s="11" t="n">
        <v>3.1903</v>
      </c>
      <c r="P6" s="11" t="n">
        <v>4.4351</v>
      </c>
      <c r="Q6" s="11" t="n">
        <v>7.8725</v>
      </c>
      <c r="R6" s="11" t="n">
        <v>2.0147</v>
      </c>
      <c r="S6" s="11" t="n">
        <v>5.5496</v>
      </c>
      <c r="V6" s="11" t="n">
        <v>0.8179999999999999</v>
      </c>
      <c r="W6" s="11" t="n">
        <v>3.6601</v>
      </c>
      <c r="X6" s="11" t="n">
        <v>0.9087</v>
      </c>
      <c r="Y6" s="11" t="n">
        <v>2.0147</v>
      </c>
    </row>
    <row r="7">
      <c r="A7" s="10" t="inlineStr">
        <is>
          <t>상품</t>
        </is>
      </c>
      <c r="D7" s="11" t="n">
        <v>6.0721</v>
      </c>
      <c r="F7" s="11" t="n">
        <v>7.0117</v>
      </c>
      <c r="G7" s="11" t="n">
        <v>6.3624</v>
      </c>
      <c r="H7" s="11" t="n">
        <v>6.4113</v>
      </c>
      <c r="I7" s="11" t="n">
        <v>6.7321</v>
      </c>
      <c r="J7" s="11" t="n">
        <v>8.4428</v>
      </c>
      <c r="K7" s="11" t="n">
        <v>26.2276</v>
      </c>
      <c r="L7" s="11" t="n">
        <v>8.6922</v>
      </c>
      <c r="M7" s="11" t="n">
        <v>10.8528</v>
      </c>
      <c r="N7" s="11" t="n">
        <v>9.6091</v>
      </c>
      <c r="O7" s="11" t="n">
        <v>13.7417</v>
      </c>
      <c r="P7" s="11" t="n">
        <v>12.5549</v>
      </c>
      <c r="Q7" s="11" t="n">
        <v>18.5696</v>
      </c>
      <c r="R7" s="11" t="n">
        <v>20.2518</v>
      </c>
      <c r="S7" s="11" t="n">
        <v>20.5376</v>
      </c>
      <c r="U7" s="11" t="n">
        <v>6.0721</v>
      </c>
      <c r="V7" s="11" t="n">
        <v>7.0117</v>
      </c>
      <c r="W7" s="11" t="n">
        <v>8.4428</v>
      </c>
      <c r="X7" s="11" t="n">
        <v>9.6091</v>
      </c>
      <c r="Y7" s="11" t="n">
        <v>20.2518</v>
      </c>
    </row>
    <row r="8">
      <c r="A8" s="10" t="inlineStr">
        <is>
          <t>선급금</t>
        </is>
      </c>
      <c r="N8" s="11" t="n">
        <v>0</v>
      </c>
      <c r="R8" s="11" t="n">
        <v>15.9725</v>
      </c>
      <c r="S8" s="11" t="n">
        <v>16.086</v>
      </c>
      <c r="X8" s="11" t="n">
        <v>0</v>
      </c>
      <c r="Y8" s="11" t="n">
        <v>15.9725</v>
      </c>
    </row>
    <row r="9">
      <c r="A9" s="10" t="inlineStr">
        <is>
          <t>선급비용</t>
        </is>
      </c>
      <c r="D9" s="11" t="n">
        <v>0.0112</v>
      </c>
      <c r="F9" s="11" t="n">
        <v>0.0113</v>
      </c>
      <c r="J9" s="11" t="n">
        <v>0.0235</v>
      </c>
      <c r="N9" s="11" t="n">
        <v>0.0355</v>
      </c>
      <c r="R9" s="11" t="n">
        <v>0.0522</v>
      </c>
      <c r="U9" s="11" t="n">
        <v>0.0112</v>
      </c>
      <c r="V9" s="11" t="n">
        <v>0.0113</v>
      </c>
      <c r="W9" s="11" t="n">
        <v>0.0235</v>
      </c>
      <c r="X9" s="11" t="n">
        <v>0.0355</v>
      </c>
      <c r="Y9" s="11" t="n">
        <v>0.0522</v>
      </c>
    </row>
    <row r="10">
      <c r="A10" s="10" t="inlineStr">
        <is>
          <t>기타</t>
        </is>
      </c>
      <c r="F10" s="11" t="n">
        <v>0</v>
      </c>
      <c r="G10" s="11" t="n">
        <v>0.5334</v>
      </c>
      <c r="H10" s="11" t="n">
        <v>0.2705</v>
      </c>
      <c r="I10" s="11" t="n">
        <v>0.4166</v>
      </c>
      <c r="J10" s="11" t="n">
        <v>0.0067</v>
      </c>
      <c r="K10" s="11" t="n">
        <v>1.9431</v>
      </c>
      <c r="L10" s="11" t="n">
        <v>1.2693</v>
      </c>
      <c r="M10" s="11" t="n">
        <v>0.3014</v>
      </c>
      <c r="N10" s="11" t="n">
        <v>0.0177</v>
      </c>
      <c r="O10" s="11" t="n">
        <v>0.8073</v>
      </c>
      <c r="P10" s="11" t="n">
        <v>0.2107</v>
      </c>
      <c r="Q10" s="11" t="n">
        <v>1.111</v>
      </c>
      <c r="R10" s="11" t="n">
        <v>0.1459</v>
      </c>
      <c r="S10" s="11" t="n">
        <v>0.2586</v>
      </c>
      <c r="V10" s="11" t="n">
        <v>0</v>
      </c>
      <c r="W10" s="11" t="n">
        <v>0.0067</v>
      </c>
      <c r="X10" s="11" t="n">
        <v>0.0177</v>
      </c>
      <c r="Y10" s="11" t="n">
        <v>0.1459</v>
      </c>
    </row>
    <row r="11">
      <c r="A11" s="10" t="inlineStr">
        <is>
          <t>유동자산 합계</t>
        </is>
      </c>
      <c r="D11" s="11" t="n">
        <v>20.7206</v>
      </c>
      <c r="F11" s="11" t="n">
        <v>26.6382</v>
      </c>
      <c r="G11" s="11" t="n">
        <v>29.956</v>
      </c>
      <c r="H11" s="11" t="n">
        <v>34.3894</v>
      </c>
      <c r="I11" s="11" t="n">
        <v>34.5317</v>
      </c>
      <c r="J11" s="11" t="n">
        <v>42.1944</v>
      </c>
      <c r="K11" s="11" t="n">
        <v>39.5398</v>
      </c>
      <c r="L11" s="11" t="n">
        <v>43.6284</v>
      </c>
      <c r="M11" s="11" t="n">
        <v>46.6282</v>
      </c>
      <c r="N11" s="11" t="n">
        <v>43.9121</v>
      </c>
      <c r="O11" s="11" t="n">
        <v>42.9095</v>
      </c>
      <c r="P11" s="11" t="n">
        <v>51.791</v>
      </c>
      <c r="Q11" s="11" t="n">
        <v>54.9021</v>
      </c>
      <c r="R11" s="11" t="n">
        <v>56.1043</v>
      </c>
      <c r="S11" s="11" t="n">
        <v>57.3053</v>
      </c>
      <c r="U11" s="11" t="n">
        <v>20.7206</v>
      </c>
      <c r="V11" s="11" t="n">
        <v>26.6382</v>
      </c>
      <c r="W11" s="11" t="n">
        <v>42.1944</v>
      </c>
      <c r="X11" s="11" t="n">
        <v>43.9121</v>
      </c>
      <c r="Y11" s="11" t="n">
        <v>56.1043</v>
      </c>
    </row>
    <row r="12">
      <c r="A12" s="10" t="inlineStr">
        <is>
          <t>건물(순액)</t>
        </is>
      </c>
      <c r="D12" s="11" t="n">
        <v>0.0182</v>
      </c>
      <c r="F12" s="11" t="n">
        <v>0.0166</v>
      </c>
      <c r="J12" s="11" t="n">
        <v>0.2193</v>
      </c>
      <c r="N12" s="11" t="n">
        <v>0.2032</v>
      </c>
      <c r="R12" s="11" t="n">
        <v>0.1872</v>
      </c>
      <c r="U12" s="11" t="n">
        <v>0.0182</v>
      </c>
      <c r="V12" s="11" t="n">
        <v>0.0166</v>
      </c>
      <c r="W12" s="11" t="n">
        <v>0.2193</v>
      </c>
      <c r="X12" s="11" t="n">
        <v>0.2032</v>
      </c>
      <c r="Y12" s="11" t="n">
        <v>0.1872</v>
      </c>
    </row>
    <row r="13">
      <c r="A13" s="10" t="inlineStr">
        <is>
          <t>차량운반구(순액)</t>
        </is>
      </c>
      <c r="D13" s="11" t="n">
        <v>0</v>
      </c>
      <c r="F13" s="11" t="n">
        <v>0</v>
      </c>
      <c r="J13" s="11" t="n">
        <v>0</v>
      </c>
      <c r="N13" s="11" t="n">
        <v>0</v>
      </c>
      <c r="U13" s="11" t="n">
        <v>0</v>
      </c>
      <c r="V13" s="11" t="n">
        <v>0</v>
      </c>
      <c r="W13" s="11" t="n">
        <v>0</v>
      </c>
      <c r="X13" s="11" t="n">
        <v>0</v>
      </c>
    </row>
    <row r="14">
      <c r="A14" s="10" t="inlineStr">
        <is>
          <t>공구·기구·비품(순액)</t>
        </is>
      </c>
      <c r="D14" s="11" t="n">
        <v>0.2495</v>
      </c>
      <c r="F14" s="11" t="n">
        <v>0.1036</v>
      </c>
      <c r="J14" s="11" t="n">
        <v>0.5479000000000001</v>
      </c>
      <c r="N14" s="11" t="n">
        <v>1.1424</v>
      </c>
      <c r="R14" s="11" t="n">
        <v>0.5397</v>
      </c>
      <c r="U14" s="11" t="n">
        <v>0.2495</v>
      </c>
      <c r="V14" s="11" t="n">
        <v>0.1036</v>
      </c>
      <c r="W14" s="11" t="n">
        <v>0.5479000000000001</v>
      </c>
      <c r="X14" s="11" t="n">
        <v>1.1424</v>
      </c>
      <c r="Y14" s="11" t="n">
        <v>0.5397</v>
      </c>
    </row>
    <row r="15">
      <c r="A15" s="10" t="inlineStr">
        <is>
          <t>유형자산</t>
        </is>
      </c>
      <c r="D15" s="11" t="n">
        <v>0.2677</v>
      </c>
      <c r="F15" s="11" t="n">
        <v>0.1202</v>
      </c>
      <c r="G15" s="11" t="n">
        <v>0.2172</v>
      </c>
      <c r="H15" s="11" t="n">
        <v>0.1997</v>
      </c>
      <c r="I15" s="11" t="n">
        <v>0.5284</v>
      </c>
      <c r="J15" s="11" t="n">
        <v>0.7672</v>
      </c>
      <c r="K15" s="11" t="n">
        <v>0.7932</v>
      </c>
      <c r="L15" s="11" t="n">
        <v>0.6949</v>
      </c>
      <c r="M15" s="11" t="n">
        <v>1.0851</v>
      </c>
      <c r="N15" s="11" t="n">
        <v>1.3456</v>
      </c>
      <c r="O15" s="11" t="n">
        <v>1.2394</v>
      </c>
      <c r="P15" s="11" t="n">
        <v>1.1397</v>
      </c>
      <c r="Q15" s="11" t="n">
        <v>1.0628</v>
      </c>
      <c r="R15" s="11" t="n">
        <v>0.7269</v>
      </c>
      <c r="S15" s="11" t="n">
        <v>0.7722</v>
      </c>
      <c r="U15" s="11" t="n">
        <v>0.2677</v>
      </c>
      <c r="V15" s="11" t="n">
        <v>0.1202</v>
      </c>
      <c r="W15" s="11" t="n">
        <v>0.7672</v>
      </c>
      <c r="X15" s="11" t="n">
        <v>1.3456</v>
      </c>
      <c r="Y15" s="11" t="n">
        <v>0.7269</v>
      </c>
    </row>
    <row r="16">
      <c r="A16" s="10" t="inlineStr">
        <is>
          <t>소프트웨어</t>
        </is>
      </c>
      <c r="D16" s="11" t="n">
        <v>0.0989</v>
      </c>
      <c r="F16" s="11" t="n">
        <v>0.0641</v>
      </c>
      <c r="J16" s="11" t="n">
        <v>0.0293</v>
      </c>
      <c r="N16" s="11" t="n">
        <v>0.0673</v>
      </c>
      <c r="R16" s="11" t="n">
        <v>0.09320000000000001</v>
      </c>
      <c r="U16" s="11" t="n">
        <v>0.0989</v>
      </c>
      <c r="V16" s="11" t="n">
        <v>0.0641</v>
      </c>
      <c r="W16" s="11" t="n">
        <v>0.0293</v>
      </c>
      <c r="X16" s="11" t="n">
        <v>0.0673</v>
      </c>
      <c r="Y16" s="11" t="n">
        <v>0.09320000000000001</v>
      </c>
    </row>
    <row r="17">
      <c r="A17" s="10" t="inlineStr">
        <is>
          <t>개발 중 소프트웨어</t>
        </is>
      </c>
      <c r="J17" s="11" t="n">
        <v>0</v>
      </c>
      <c r="N17" s="11" t="n">
        <v>0.2508</v>
      </c>
      <c r="R17" s="11" t="n">
        <v>0.3058</v>
      </c>
      <c r="W17" s="11" t="n">
        <v>0</v>
      </c>
      <c r="X17" s="11" t="n">
        <v>0.2508</v>
      </c>
      <c r="Y17" s="11" t="n">
        <v>0.3058</v>
      </c>
    </row>
    <row r="18">
      <c r="A18" s="10" t="inlineStr">
        <is>
          <t>기타</t>
        </is>
      </c>
      <c r="D18" s="11" t="n">
        <v>0.006</v>
      </c>
      <c r="F18" s="11" t="n">
        <v>0.006</v>
      </c>
      <c r="J18" s="11" t="n">
        <v>0.006</v>
      </c>
      <c r="N18" s="11" t="n">
        <v>0.006</v>
      </c>
      <c r="R18" s="11" t="n">
        <v>0.006</v>
      </c>
      <c r="U18" s="11" t="n">
        <v>0.006</v>
      </c>
      <c r="V18" s="11" t="n">
        <v>0.006</v>
      </c>
      <c r="W18" s="11" t="n">
        <v>0.006</v>
      </c>
      <c r="X18" s="11" t="n">
        <v>0.006</v>
      </c>
      <c r="Y18" s="11" t="n">
        <v>0.006</v>
      </c>
    </row>
    <row r="19">
      <c r="A19" s="10" t="inlineStr">
        <is>
          <t>무형자산</t>
        </is>
      </c>
      <c r="D19" s="11" t="n">
        <v>0.105</v>
      </c>
      <c r="F19" s="11" t="n">
        <v>0.0702</v>
      </c>
      <c r="G19" s="11" t="n">
        <v>0.0614</v>
      </c>
      <c r="H19" s="11" t="n">
        <v>0.0527</v>
      </c>
      <c r="I19" s="11" t="n">
        <v>0.044</v>
      </c>
      <c r="J19" s="11" t="n">
        <v>0.0353</v>
      </c>
      <c r="K19" s="11" t="n">
        <v>0.0403</v>
      </c>
      <c r="L19" s="11" t="n">
        <v>0.2285</v>
      </c>
      <c r="M19" s="11" t="n">
        <v>0.2215</v>
      </c>
      <c r="N19" s="11" t="n">
        <v>0.3242</v>
      </c>
      <c r="O19" s="11" t="n">
        <v>0.3553</v>
      </c>
      <c r="P19" s="11" t="n">
        <v>0.3747</v>
      </c>
      <c r="Q19" s="11" t="n">
        <v>0.3678</v>
      </c>
      <c r="R19" s="11" t="n">
        <v>0.4051</v>
      </c>
      <c r="S19" s="11" t="n">
        <v>0.4078</v>
      </c>
      <c r="U19" s="11" t="n">
        <v>0.105</v>
      </c>
      <c r="V19" s="11" t="n">
        <v>0.0702</v>
      </c>
      <c r="W19" s="11" t="n">
        <v>0.0353</v>
      </c>
      <c r="X19" s="11" t="n">
        <v>0.3242</v>
      </c>
      <c r="Y19" s="11" t="n">
        <v>0.4051</v>
      </c>
    </row>
    <row r="20">
      <c r="A20" s="10" t="inlineStr">
        <is>
          <t>기타 관계회사 유가증권</t>
        </is>
      </c>
      <c r="D20" s="11" t="n">
        <v>0.0032</v>
      </c>
      <c r="F20" s="11" t="n">
        <v>0.004</v>
      </c>
      <c r="J20" s="11" t="n">
        <v>0.0047</v>
      </c>
      <c r="N20" s="11" t="n">
        <v>0.0052</v>
      </c>
      <c r="R20" s="11" t="n">
        <v>0.0063</v>
      </c>
      <c r="U20" s="11" t="n">
        <v>0.0032</v>
      </c>
      <c r="V20" s="11" t="n">
        <v>0.004</v>
      </c>
      <c r="W20" s="11" t="n">
        <v>0.0047</v>
      </c>
      <c r="X20" s="11" t="n">
        <v>0.0052</v>
      </c>
      <c r="Y20" s="11" t="n">
        <v>0.0063</v>
      </c>
    </row>
    <row r="21">
      <c r="A21" s="10" t="inlineStr">
        <is>
          <t>장기선급비용</t>
        </is>
      </c>
      <c r="D21" s="11" t="n">
        <v>0.0031</v>
      </c>
      <c r="F21" s="11" t="n">
        <v>0</v>
      </c>
      <c r="J21" s="11" t="n">
        <v>0.0089</v>
      </c>
      <c r="N21" s="11" t="n">
        <v>0.0033</v>
      </c>
      <c r="R21" s="11" t="n">
        <v>0</v>
      </c>
      <c r="U21" s="11" t="n">
        <v>0.0031</v>
      </c>
      <c r="V21" s="11" t="n">
        <v>0</v>
      </c>
      <c r="W21" s="11" t="n">
        <v>0.0089</v>
      </c>
      <c r="X21" s="11" t="n">
        <v>0.0033</v>
      </c>
      <c r="Y21" s="11" t="n">
        <v>0</v>
      </c>
    </row>
    <row r="22">
      <c r="A22" s="10" t="inlineStr">
        <is>
          <t>이연법인세자산</t>
        </is>
      </c>
      <c r="D22" s="11" t="n">
        <v>0.2247</v>
      </c>
      <c r="F22" s="11" t="n">
        <v>0.326</v>
      </c>
      <c r="J22" s="11" t="n">
        <v>0.07140000000000001</v>
      </c>
      <c r="N22" s="11" t="n">
        <v>0.2215</v>
      </c>
      <c r="R22" s="11" t="n">
        <v>0.4013</v>
      </c>
      <c r="U22" s="11" t="n">
        <v>0.2247</v>
      </c>
      <c r="V22" s="11" t="n">
        <v>0.326</v>
      </c>
      <c r="W22" s="11" t="n">
        <v>0.07140000000000001</v>
      </c>
      <c r="X22" s="11" t="n">
        <v>0.2215</v>
      </c>
      <c r="Y22" s="11" t="n">
        <v>0.4013</v>
      </c>
    </row>
    <row r="23">
      <c r="A23" s="10" t="inlineStr">
        <is>
          <t>기타</t>
        </is>
      </c>
      <c r="D23" s="11" t="n">
        <v>0.1439</v>
      </c>
      <c r="F23" s="11" t="n">
        <v>0.1484</v>
      </c>
      <c r="J23" s="11" t="n">
        <v>0.2654</v>
      </c>
      <c r="N23" s="11" t="n">
        <v>0.2739</v>
      </c>
      <c r="R23" s="11" t="n">
        <v>0.2908</v>
      </c>
      <c r="U23" s="11" t="n">
        <v>0.1439</v>
      </c>
      <c r="V23" s="11" t="n">
        <v>0.1484</v>
      </c>
      <c r="W23" s="11" t="n">
        <v>0.2654</v>
      </c>
      <c r="X23" s="11" t="n">
        <v>0.2739</v>
      </c>
      <c r="Y23" s="11" t="n">
        <v>0.2908</v>
      </c>
    </row>
    <row r="24">
      <c r="A24" s="10" t="inlineStr">
        <is>
          <t>투자 및 기타자산</t>
        </is>
      </c>
      <c r="D24" s="11" t="n">
        <v>0.3749</v>
      </c>
      <c r="F24" s="11" t="n">
        <v>0.4784</v>
      </c>
      <c r="G24" s="11" t="n">
        <v>0.4775</v>
      </c>
      <c r="H24" s="11" t="n">
        <v>0.6889</v>
      </c>
      <c r="I24" s="11" t="n">
        <v>0.7103</v>
      </c>
      <c r="J24" s="11" t="n">
        <v>0.3504</v>
      </c>
      <c r="K24" s="11" t="n">
        <v>0.3472</v>
      </c>
      <c r="L24" s="11" t="n">
        <v>0.351</v>
      </c>
      <c r="M24" s="11" t="n">
        <v>0.3558</v>
      </c>
      <c r="N24" s="11" t="n">
        <v>0.5039</v>
      </c>
      <c r="O24" s="11" t="n">
        <v>0.5006</v>
      </c>
      <c r="P24" s="11" t="n">
        <v>0.4965</v>
      </c>
      <c r="Q24" s="11" t="n">
        <v>0.5001</v>
      </c>
      <c r="R24" s="11" t="n">
        <v>0.6984</v>
      </c>
      <c r="S24" s="11" t="n">
        <v>0.6948</v>
      </c>
      <c r="U24" s="11" t="n">
        <v>0.3749</v>
      </c>
      <c r="V24" s="11" t="n">
        <v>0.4784</v>
      </c>
      <c r="W24" s="11" t="n">
        <v>0.3504</v>
      </c>
      <c r="X24" s="11" t="n">
        <v>0.5039</v>
      </c>
      <c r="Y24" s="11" t="n">
        <v>0.6984</v>
      </c>
    </row>
    <row r="25">
      <c r="A25" s="10" t="inlineStr">
        <is>
          <t>비유동자산 합계</t>
        </is>
      </c>
      <c r="D25" s="11" t="n">
        <v>0.7476</v>
      </c>
      <c r="F25" s="11" t="n">
        <v>0.6687</v>
      </c>
      <c r="G25" s="11" t="n">
        <v>0.7562</v>
      </c>
      <c r="H25" s="11" t="n">
        <v>0.9414</v>
      </c>
      <c r="I25" s="11" t="n">
        <v>1.2828</v>
      </c>
      <c r="J25" s="11" t="n">
        <v>1.1529</v>
      </c>
      <c r="K25" s="11" t="n">
        <v>1.1807</v>
      </c>
      <c r="L25" s="11" t="n">
        <v>1.2743</v>
      </c>
      <c r="M25" s="11" t="n">
        <v>1.6624</v>
      </c>
      <c r="N25" s="11" t="n">
        <v>2.1737</v>
      </c>
      <c r="O25" s="11" t="n">
        <v>2.0952</v>
      </c>
      <c r="P25" s="11" t="n">
        <v>2.0109</v>
      </c>
      <c r="Q25" s="11" t="n">
        <v>1.9307</v>
      </c>
      <c r="R25" s="11" t="n">
        <v>1.8303</v>
      </c>
      <c r="S25" s="11" t="n">
        <v>1.8748</v>
      </c>
      <c r="U25" s="11" t="n">
        <v>0.7476</v>
      </c>
      <c r="V25" s="11" t="n">
        <v>0.6687</v>
      </c>
      <c r="W25" s="11" t="n">
        <v>1.1529</v>
      </c>
      <c r="X25" s="11" t="n">
        <v>2.1737</v>
      </c>
      <c r="Y25" s="11" t="n">
        <v>1.8303</v>
      </c>
    </row>
    <row r="26">
      <c r="A26" s="10" t="inlineStr">
        <is>
          <t>자산 합계</t>
        </is>
      </c>
      <c r="D26" s="11" t="n">
        <v>21.4683</v>
      </c>
      <c r="F26" s="11" t="n">
        <v>27.3069</v>
      </c>
      <c r="G26" s="11" t="n">
        <v>30.7122</v>
      </c>
      <c r="H26" s="11" t="n">
        <v>35.3307</v>
      </c>
      <c r="I26" s="11" t="n">
        <v>35.8145</v>
      </c>
      <c r="J26" s="11" t="n">
        <v>43.3473</v>
      </c>
      <c r="K26" s="11" t="n">
        <v>40.7205</v>
      </c>
      <c r="L26" s="11" t="n">
        <v>44.9027</v>
      </c>
      <c r="M26" s="11" t="n">
        <v>48.2906</v>
      </c>
      <c r="N26" s="11" t="n">
        <v>46.0859</v>
      </c>
      <c r="O26" s="11" t="n">
        <v>45.0047</v>
      </c>
      <c r="P26" s="11" t="n">
        <v>53.8019</v>
      </c>
      <c r="Q26" s="11" t="n">
        <v>56.8328</v>
      </c>
      <c r="R26" s="11" t="n">
        <v>57.9347</v>
      </c>
      <c r="S26" s="11" t="n">
        <v>59.1802</v>
      </c>
      <c r="U26" s="11" t="n">
        <v>21.4683</v>
      </c>
      <c r="V26" s="11" t="n">
        <v>27.3069</v>
      </c>
      <c r="W26" s="11" t="n">
        <v>43.3473</v>
      </c>
      <c r="X26" s="11" t="n">
        <v>46.0859</v>
      </c>
      <c r="Y26" s="11" t="n">
        <v>57.9347</v>
      </c>
    </row>
    <row r="27">
      <c r="A27" s="10" t="inlineStr">
        <is>
          <t>지급어음</t>
        </is>
      </c>
      <c r="D27" s="11" t="n">
        <v>0.0356</v>
      </c>
      <c r="F27" s="11" t="n">
        <v>0.0242</v>
      </c>
      <c r="J27" s="11" t="n">
        <v>0.036</v>
      </c>
      <c r="N27" s="11" t="n">
        <v>0.0121</v>
      </c>
      <c r="R27" s="11" t="n">
        <v>0</v>
      </c>
      <c r="U27" s="11" t="n">
        <v>0.0356</v>
      </c>
      <c r="V27" s="11" t="n">
        <v>0.0242</v>
      </c>
      <c r="W27" s="11" t="n">
        <v>0.036</v>
      </c>
      <c r="X27" s="11" t="n">
        <v>0.0121</v>
      </c>
      <c r="Y27" s="11" t="n">
        <v>0</v>
      </c>
    </row>
    <row r="28">
      <c r="A28" s="10" t="inlineStr">
        <is>
          <t>매입채무</t>
        </is>
      </c>
      <c r="D28" s="11" t="n">
        <v>0.6068</v>
      </c>
      <c r="F28" s="11" t="n">
        <v>1.3193</v>
      </c>
      <c r="J28" s="11" t="n">
        <v>3.4947</v>
      </c>
      <c r="N28" s="11" t="n">
        <v>2.5345</v>
      </c>
      <c r="R28" s="11" t="n">
        <v>4.4929</v>
      </c>
      <c r="U28" s="11" t="n">
        <v>0.6068</v>
      </c>
      <c r="V28" s="11" t="n">
        <v>1.3193</v>
      </c>
      <c r="W28" s="11" t="n">
        <v>3.4947</v>
      </c>
      <c r="X28" s="11" t="n">
        <v>2.5345</v>
      </c>
      <c r="Y28" s="11" t="n">
        <v>4.4929</v>
      </c>
    </row>
    <row r="29">
      <c r="A29" s="10" t="inlineStr">
        <is>
          <t>미지급금</t>
        </is>
      </c>
      <c r="D29" s="11" t="n">
        <v>0.626</v>
      </c>
      <c r="F29" s="11" t="n">
        <v>0.9125</v>
      </c>
      <c r="J29" s="11" t="n">
        <v>0.5578</v>
      </c>
      <c r="N29" s="11" t="n">
        <v>0.6454</v>
      </c>
      <c r="R29" s="11" t="n">
        <v>1.1702</v>
      </c>
      <c r="U29" s="11" t="n">
        <v>0.626</v>
      </c>
      <c r="V29" s="11" t="n">
        <v>0.9125</v>
      </c>
      <c r="W29" s="11" t="n">
        <v>0.5578</v>
      </c>
      <c r="X29" s="11" t="n">
        <v>0.6454</v>
      </c>
      <c r="Y29" s="11" t="n">
        <v>1.1702</v>
      </c>
    </row>
    <row r="30">
      <c r="A30" s="10" t="inlineStr">
        <is>
          <t>지급어음·매입채무</t>
        </is>
      </c>
      <c r="F30" s="11" t="n">
        <v>1.3435</v>
      </c>
      <c r="G30" s="11" t="n">
        <v>1.3846</v>
      </c>
      <c r="H30" s="11" t="n">
        <v>3.0837</v>
      </c>
      <c r="I30" s="11" t="n">
        <v>3.2974</v>
      </c>
      <c r="J30" s="11" t="n">
        <v>3.5307</v>
      </c>
      <c r="K30" s="11" t="n">
        <v>2.7854</v>
      </c>
      <c r="L30" s="11" t="n">
        <v>1.6365</v>
      </c>
      <c r="M30" s="11" t="n">
        <v>4.4888</v>
      </c>
      <c r="N30" s="11" t="n">
        <v>2.5466</v>
      </c>
      <c r="O30" s="11" t="n">
        <v>1.908</v>
      </c>
      <c r="P30" s="11" t="n">
        <v>4.7461</v>
      </c>
      <c r="Q30" s="11" t="n">
        <v>7.8908</v>
      </c>
      <c r="R30" s="11" t="n">
        <v>4.4929</v>
      </c>
      <c r="S30" s="11" t="n">
        <v>3.0838</v>
      </c>
      <c r="V30" s="11" t="n">
        <v>1.3435</v>
      </c>
      <c r="W30" s="11" t="n">
        <v>3.5307</v>
      </c>
      <c r="X30" s="11" t="n">
        <v>2.5466</v>
      </c>
      <c r="Y30" s="11" t="n">
        <v>4.4929</v>
      </c>
    </row>
    <row r="31">
      <c r="A31" s="10" t="inlineStr">
        <is>
          <t>미지급법인세</t>
        </is>
      </c>
      <c r="D31" s="11" t="n">
        <v>0.8431999999999999</v>
      </c>
      <c r="F31" s="11" t="n">
        <v>1.1694</v>
      </c>
      <c r="G31" s="11" t="n">
        <v>0.3297</v>
      </c>
      <c r="H31" s="11" t="n">
        <v>0.8174</v>
      </c>
      <c r="I31" s="11" t="n">
        <v>0.4719</v>
      </c>
      <c r="J31" s="11" t="n">
        <v>1.076</v>
      </c>
      <c r="K31" s="11" t="n">
        <v>0.6022999999999999</v>
      </c>
      <c r="L31" s="11" t="n">
        <v>1.6603</v>
      </c>
      <c r="M31" s="11" t="n">
        <v>1.2416</v>
      </c>
      <c r="N31" s="11" t="n">
        <v>1.9354</v>
      </c>
      <c r="O31" s="11" t="n">
        <v>0.668</v>
      </c>
      <c r="P31" s="11" t="n">
        <v>2.1125</v>
      </c>
      <c r="Q31" s="11" t="n">
        <v>1.3273</v>
      </c>
      <c r="R31" s="11" t="n">
        <v>2.7579</v>
      </c>
      <c r="S31" s="11" t="n">
        <v>1.4331</v>
      </c>
      <c r="U31" s="11" t="n">
        <v>0.8431999999999999</v>
      </c>
      <c r="V31" s="11" t="n">
        <v>1.1694</v>
      </c>
      <c r="W31" s="11" t="n">
        <v>1.076</v>
      </c>
      <c r="X31" s="11" t="n">
        <v>1.9354</v>
      </c>
      <c r="Y31" s="11" t="n">
        <v>2.7579</v>
      </c>
    </row>
    <row r="32">
      <c r="A32" s="10" t="inlineStr">
        <is>
          <t>선수금</t>
        </is>
      </c>
      <c r="D32" s="11" t="n">
        <v>2.6299</v>
      </c>
      <c r="F32" s="11" t="n">
        <v>3.135</v>
      </c>
      <c r="G32" s="11" t="n">
        <v>3.0392</v>
      </c>
      <c r="H32" s="11" t="n">
        <v>4.1491</v>
      </c>
      <c r="I32" s="11" t="n">
        <v>3.2555</v>
      </c>
      <c r="J32" s="11" t="n">
        <v>7.4884</v>
      </c>
      <c r="K32" s="11" t="n">
        <v>4.9781</v>
      </c>
      <c r="L32" s="11" t="n">
        <v>4.0401</v>
      </c>
      <c r="M32" s="11" t="n">
        <v>5.7698</v>
      </c>
      <c r="N32" s="11" t="n">
        <v>4.5584</v>
      </c>
      <c r="O32" s="11" t="n">
        <v>5.8667</v>
      </c>
      <c r="P32" s="11" t="n">
        <v>5.296</v>
      </c>
      <c r="Q32" s="11" t="n">
        <v>6.2084</v>
      </c>
      <c r="R32" s="11" t="n">
        <v>5.7181</v>
      </c>
      <c r="S32" s="11" t="n">
        <v>9.391999999999999</v>
      </c>
      <c r="U32" s="11" t="n">
        <v>2.6299</v>
      </c>
      <c r="V32" s="11" t="n">
        <v>3.135</v>
      </c>
      <c r="W32" s="11" t="n">
        <v>7.4884</v>
      </c>
      <c r="X32" s="11" t="n">
        <v>4.5584</v>
      </c>
      <c r="Y32" s="11" t="n">
        <v>5.7181</v>
      </c>
    </row>
    <row r="33">
      <c r="A33" s="10" t="inlineStr">
        <is>
          <t>예수금</t>
        </is>
      </c>
      <c r="D33" s="11" t="n">
        <v>0.0593</v>
      </c>
      <c r="F33" s="11" t="n">
        <v>0.0516</v>
      </c>
      <c r="J33" s="11" t="n">
        <v>0.0584</v>
      </c>
      <c r="N33" s="11" t="n">
        <v>0.108</v>
      </c>
      <c r="R33" s="11" t="n">
        <v>0.1191</v>
      </c>
      <c r="U33" s="11" t="n">
        <v>0.0593</v>
      </c>
      <c r="V33" s="11" t="n">
        <v>0.0516</v>
      </c>
      <c r="W33" s="11" t="n">
        <v>0.0584</v>
      </c>
      <c r="X33" s="11" t="n">
        <v>0.108</v>
      </c>
      <c r="Y33" s="11" t="n">
        <v>0.1191</v>
      </c>
    </row>
    <row r="34">
      <c r="A34" s="10" t="inlineStr">
        <is>
          <t>충당금</t>
        </is>
      </c>
      <c r="F34" s="11" t="n">
        <v>0</v>
      </c>
      <c r="G34" s="11" t="n">
        <v>0.0453</v>
      </c>
      <c r="H34" s="11" t="n">
        <v>0.0905</v>
      </c>
      <c r="I34" s="11" t="n">
        <v>0.0785</v>
      </c>
      <c r="J34" s="11" t="n">
        <v>0</v>
      </c>
      <c r="K34" s="11" t="n">
        <v>0.051</v>
      </c>
      <c r="L34" s="11" t="n">
        <v>0.1019</v>
      </c>
      <c r="M34" s="11" t="n">
        <v>0.105</v>
      </c>
      <c r="N34" s="11" t="n">
        <v>0</v>
      </c>
      <c r="O34" s="11" t="n">
        <v>0.1455</v>
      </c>
      <c r="P34" s="11" t="n">
        <v>0.2988</v>
      </c>
      <c r="Q34" s="11" t="n">
        <v>0.1072</v>
      </c>
      <c r="R34" s="11" t="n">
        <v>0</v>
      </c>
      <c r="S34" s="11" t="n">
        <v>0.1347</v>
      </c>
      <c r="V34" s="11" t="n">
        <v>0</v>
      </c>
      <c r="W34" s="11" t="n">
        <v>0</v>
      </c>
      <c r="X34" s="11" t="n">
        <v>0</v>
      </c>
      <c r="Y34" s="11" t="n">
        <v>0</v>
      </c>
    </row>
    <row r="35">
      <c r="A35" s="10" t="inlineStr">
        <is>
          <t>기타</t>
        </is>
      </c>
      <c r="D35" s="11" t="n">
        <v>0.3883</v>
      </c>
      <c r="F35" s="11" t="n">
        <v>0.1259</v>
      </c>
      <c r="G35" s="11" t="n">
        <v>0.5760999999999999</v>
      </c>
      <c r="H35" s="11" t="n">
        <v>0.4202</v>
      </c>
      <c r="I35" s="11" t="n">
        <v>0.7407</v>
      </c>
      <c r="J35" s="11" t="n">
        <v>0</v>
      </c>
      <c r="K35" s="11" t="n">
        <v>0.6733</v>
      </c>
      <c r="L35" s="11" t="n">
        <v>1.2887</v>
      </c>
      <c r="M35" s="11" t="n">
        <v>1.3915</v>
      </c>
      <c r="N35" s="11" t="n">
        <v>0.4786</v>
      </c>
      <c r="O35" s="11" t="n">
        <v>0.6412</v>
      </c>
      <c r="P35" s="11" t="n">
        <v>0.9089</v>
      </c>
      <c r="Q35" s="11" t="n">
        <v>0.5679</v>
      </c>
      <c r="R35" s="11" t="n">
        <v>1.2894</v>
      </c>
      <c r="S35" s="11" t="n">
        <v>1.4141</v>
      </c>
      <c r="U35" s="11" t="n">
        <v>0.3883</v>
      </c>
      <c r="V35" s="11" t="n">
        <v>0.1259</v>
      </c>
      <c r="W35" s="11" t="n">
        <v>0</v>
      </c>
      <c r="X35" s="11" t="n">
        <v>0.4786</v>
      </c>
      <c r="Y35" s="11" t="n">
        <v>1.2894</v>
      </c>
    </row>
    <row r="36">
      <c r="A36" s="10" t="inlineStr">
        <is>
          <t>유동부채 합계</t>
        </is>
      </c>
      <c r="D36" s="11" t="n">
        <v>5.1891</v>
      </c>
      <c r="F36" s="11" t="n">
        <v>6.7379</v>
      </c>
      <c r="G36" s="11" t="n">
        <v>5.3749</v>
      </c>
      <c r="H36" s="11" t="n">
        <v>8.5609</v>
      </c>
      <c r="I36" s="11" t="n">
        <v>7.8441</v>
      </c>
      <c r="J36" s="11" t="n">
        <v>12.7113</v>
      </c>
      <c r="K36" s="11" t="n">
        <v>9.0901</v>
      </c>
      <c r="L36" s="11" t="n">
        <v>8.727499999999999</v>
      </c>
      <c r="M36" s="11" t="n">
        <v>12.9967</v>
      </c>
      <c r="N36" s="11" t="n">
        <v>10.2726</v>
      </c>
      <c r="O36" s="11" t="n">
        <v>9.2295</v>
      </c>
      <c r="P36" s="11" t="n">
        <v>13.3623</v>
      </c>
      <c r="Q36" s="11" t="n">
        <v>16.1017</v>
      </c>
      <c r="R36" s="11" t="n">
        <v>14.2583</v>
      </c>
      <c r="S36" s="11" t="n">
        <v>15.4577</v>
      </c>
      <c r="U36" s="11" t="n">
        <v>5.1891</v>
      </c>
      <c r="V36" s="11" t="n">
        <v>6.7379</v>
      </c>
      <c r="W36" s="11" t="n">
        <v>12.7113</v>
      </c>
      <c r="X36" s="11" t="n">
        <v>10.2726</v>
      </c>
      <c r="Y36" s="11" t="n">
        <v>14.2583</v>
      </c>
    </row>
    <row r="37">
      <c r="A37" s="10" t="inlineStr">
        <is>
          <t>장기선수금</t>
        </is>
      </c>
      <c r="D37" s="11" t="n">
        <v>2.0093</v>
      </c>
      <c r="F37" s="11" t="n">
        <v>3.0825</v>
      </c>
      <c r="G37" s="11" t="n">
        <v>2.8958</v>
      </c>
      <c r="H37" s="11" t="n">
        <v>3.2943</v>
      </c>
      <c r="I37" s="11" t="n">
        <v>3.0676</v>
      </c>
      <c r="J37" s="11" t="n">
        <v>4.4707</v>
      </c>
      <c r="K37" s="11" t="n">
        <v>5.2207</v>
      </c>
      <c r="L37" s="11" t="n">
        <v>7.4604</v>
      </c>
      <c r="M37" s="11" t="n">
        <v>5.2571</v>
      </c>
      <c r="N37" s="11" t="n">
        <v>5.0348</v>
      </c>
      <c r="O37" s="11" t="n">
        <v>4.8363</v>
      </c>
      <c r="P37" s="11" t="n">
        <v>6.3295</v>
      </c>
      <c r="Q37" s="11" t="n">
        <v>5.1824</v>
      </c>
      <c r="R37" s="11" t="n">
        <v>6.0612</v>
      </c>
      <c r="S37" s="11" t="n">
        <v>5.7585</v>
      </c>
      <c r="U37" s="11" t="n">
        <v>2.0093</v>
      </c>
      <c r="V37" s="11" t="n">
        <v>3.0825</v>
      </c>
      <c r="W37" s="11" t="n">
        <v>4.4707</v>
      </c>
      <c r="X37" s="11" t="n">
        <v>5.0348</v>
      </c>
      <c r="Y37" s="11" t="n">
        <v>6.0612</v>
      </c>
    </row>
    <row r="38">
      <c r="A38" s="10" t="inlineStr">
        <is>
          <t>임원 퇴직위로 충당금</t>
        </is>
      </c>
      <c r="D38" s="11" t="n">
        <v>2.2593</v>
      </c>
      <c r="F38" s="11" t="n">
        <v>0</v>
      </c>
      <c r="U38" s="11" t="n">
        <v>2.2593</v>
      </c>
      <c r="V38" s="11" t="n">
        <v>0</v>
      </c>
    </row>
    <row r="39">
      <c r="A39" s="10" t="inlineStr">
        <is>
          <t>장기미지급금</t>
        </is>
      </c>
      <c r="D39" s="11" t="n">
        <v>0</v>
      </c>
      <c r="F39" s="11" t="n">
        <v>2.2593</v>
      </c>
      <c r="G39" s="11" t="n">
        <v>2.2593</v>
      </c>
      <c r="H39" s="11" t="n">
        <v>2.2593</v>
      </c>
      <c r="I39" s="11" t="n">
        <v>2.2593</v>
      </c>
      <c r="J39" s="11" t="n">
        <v>2.2593</v>
      </c>
      <c r="K39" s="11" t="n">
        <v>2.2593</v>
      </c>
      <c r="L39" s="11" t="n">
        <v>2.2593</v>
      </c>
      <c r="M39" s="11" t="n">
        <v>2.2593</v>
      </c>
      <c r="N39" s="11" t="n">
        <v>2.2593</v>
      </c>
      <c r="O39" s="11" t="n">
        <v>2.2593</v>
      </c>
      <c r="P39" s="11" t="n">
        <v>2.2593</v>
      </c>
      <c r="Q39" s="11" t="n">
        <v>2.2593</v>
      </c>
      <c r="R39" s="11" t="n">
        <v>2.2593</v>
      </c>
      <c r="S39" s="11" t="n">
        <v>2.2593</v>
      </c>
      <c r="U39" s="11" t="n">
        <v>0</v>
      </c>
      <c r="V39" s="11" t="n">
        <v>2.2593</v>
      </c>
      <c r="W39" s="11" t="n">
        <v>2.2593</v>
      </c>
      <c r="X39" s="11" t="n">
        <v>2.2593</v>
      </c>
      <c r="Y39" s="11" t="n">
        <v>2.2593</v>
      </c>
    </row>
    <row r="40">
      <c r="A40" s="10" t="inlineStr">
        <is>
          <t>비유동부채 합계</t>
        </is>
      </c>
      <c r="D40" s="11" t="n">
        <v>4.2686</v>
      </c>
      <c r="F40" s="11" t="n">
        <v>5.3418</v>
      </c>
      <c r="G40" s="11" t="n">
        <v>5.1551</v>
      </c>
      <c r="H40" s="11" t="n">
        <v>5.5536</v>
      </c>
      <c r="I40" s="11" t="n">
        <v>5.327</v>
      </c>
      <c r="J40" s="11" t="n">
        <v>6.7301</v>
      </c>
      <c r="K40" s="11" t="n">
        <v>7.48</v>
      </c>
      <c r="L40" s="11" t="n">
        <v>9.7197</v>
      </c>
      <c r="M40" s="11" t="n">
        <v>7.5164</v>
      </c>
      <c r="N40" s="11" t="n">
        <v>7.2941</v>
      </c>
      <c r="O40" s="11" t="n">
        <v>7.0956</v>
      </c>
      <c r="P40" s="11" t="n">
        <v>8.588900000000001</v>
      </c>
      <c r="Q40" s="11" t="n">
        <v>7.4417</v>
      </c>
      <c r="R40" s="11" t="n">
        <v>8.320499999999999</v>
      </c>
      <c r="S40" s="11" t="n">
        <v>8.017799999999999</v>
      </c>
      <c r="U40" s="11" t="n">
        <v>4.2686</v>
      </c>
      <c r="V40" s="11" t="n">
        <v>5.3418</v>
      </c>
      <c r="W40" s="11" t="n">
        <v>6.7301</v>
      </c>
      <c r="X40" s="11" t="n">
        <v>7.2941</v>
      </c>
      <c r="Y40" s="11" t="n">
        <v>8.320499999999999</v>
      </c>
    </row>
    <row r="41">
      <c r="A41" s="10" t="inlineStr">
        <is>
          <t>부채 합계</t>
        </is>
      </c>
      <c r="D41" s="11" t="n">
        <v>9.457700000000001</v>
      </c>
      <c r="F41" s="11" t="n">
        <v>12.0798</v>
      </c>
      <c r="G41" s="11" t="n">
        <v>10.53</v>
      </c>
      <c r="H41" s="11" t="n">
        <v>14.1145</v>
      </c>
      <c r="I41" s="11" t="n">
        <v>13.1711</v>
      </c>
      <c r="J41" s="11" t="n">
        <v>19.4414</v>
      </c>
      <c r="K41" s="11" t="n">
        <v>16.5701</v>
      </c>
      <c r="L41" s="11" t="n">
        <v>18.4473</v>
      </c>
      <c r="M41" s="11" t="n">
        <v>20.5131</v>
      </c>
      <c r="N41" s="11" t="n">
        <v>17.5667</v>
      </c>
      <c r="O41" s="11" t="n">
        <v>16.3251</v>
      </c>
      <c r="P41" s="11" t="n">
        <v>21.9512</v>
      </c>
      <c r="Q41" s="11" t="n">
        <v>23.5434</v>
      </c>
      <c r="R41" s="11" t="n">
        <v>22.5788</v>
      </c>
      <c r="S41" s="11" t="n">
        <v>23.4756</v>
      </c>
      <c r="U41" s="11" t="n">
        <v>9.457700000000001</v>
      </c>
      <c r="V41" s="11" t="n">
        <v>12.0798</v>
      </c>
      <c r="W41" s="11" t="n">
        <v>19.4414</v>
      </c>
      <c r="X41" s="11" t="n">
        <v>17.5667</v>
      </c>
      <c r="Y41" s="11" t="n">
        <v>22.5788</v>
      </c>
    </row>
    <row r="42">
      <c r="A42" s="10" t="inlineStr">
        <is>
          <t>자본금</t>
        </is>
      </c>
      <c r="D42" s="11" t="n">
        <v>0.3</v>
      </c>
      <c r="F42" s="11" t="n">
        <v>0.3</v>
      </c>
      <c r="G42" s="11" t="n">
        <v>2.8117</v>
      </c>
      <c r="H42" s="11" t="n">
        <v>2.813</v>
      </c>
      <c r="I42" s="11" t="n">
        <v>2.8164</v>
      </c>
      <c r="J42" s="11" t="n">
        <v>2.8512</v>
      </c>
      <c r="K42" s="11" t="n">
        <v>2.8546</v>
      </c>
      <c r="L42" s="11" t="n">
        <v>2.8546</v>
      </c>
      <c r="M42" s="11" t="n">
        <v>2.8855</v>
      </c>
      <c r="N42" s="11" t="n">
        <v>2.9088</v>
      </c>
      <c r="O42" s="11" t="n">
        <v>2.926</v>
      </c>
      <c r="P42" s="11" t="n">
        <v>2.9415</v>
      </c>
      <c r="Q42" s="11" t="n">
        <v>2.9489</v>
      </c>
      <c r="R42" s="11" t="n">
        <v>2.9872</v>
      </c>
      <c r="S42" s="11" t="n">
        <v>2.9872</v>
      </c>
      <c r="U42" s="11" t="n">
        <v>0.3</v>
      </c>
      <c r="V42" s="11" t="n">
        <v>0.3</v>
      </c>
      <c r="W42" s="11" t="n">
        <v>2.8512</v>
      </c>
      <c r="X42" s="11" t="n">
        <v>2.9088</v>
      </c>
      <c r="Y42" s="11" t="n">
        <v>2.9872</v>
      </c>
    </row>
    <row r="43">
      <c r="A43" s="10" t="inlineStr">
        <is>
          <t>자본준비금</t>
        </is>
      </c>
      <c r="D43" s="11" t="n">
        <v>0.7</v>
      </c>
      <c r="F43" s="11" t="n">
        <v>0.7</v>
      </c>
      <c r="J43" s="11" t="n">
        <v>3.2513</v>
      </c>
      <c r="N43" s="11" t="n">
        <v>3.3088</v>
      </c>
      <c r="R43" s="11" t="n">
        <v>3.3872</v>
      </c>
      <c r="U43" s="11" t="n">
        <v>0.7</v>
      </c>
      <c r="V43" s="11" t="n">
        <v>0.7</v>
      </c>
      <c r="W43" s="11" t="n">
        <v>3.2513</v>
      </c>
      <c r="X43" s="11" t="n">
        <v>3.3088</v>
      </c>
      <c r="Y43" s="11" t="n">
        <v>3.3872</v>
      </c>
    </row>
    <row r="44">
      <c r="A44" s="10" t="inlineStr">
        <is>
          <t>기타자본잉여금</t>
        </is>
      </c>
      <c r="D44" s="11" t="n">
        <v>5.9172</v>
      </c>
      <c r="F44" s="11" t="n">
        <v>5.6062</v>
      </c>
      <c r="J44" s="11" t="n">
        <v>5.6062</v>
      </c>
      <c r="N44" s="11" t="n">
        <v>5.6062</v>
      </c>
      <c r="R44" s="11" t="n">
        <v>5.6062</v>
      </c>
      <c r="U44" s="11" t="n">
        <v>5.9172</v>
      </c>
      <c r="V44" s="11" t="n">
        <v>5.6062</v>
      </c>
      <c r="W44" s="11" t="n">
        <v>5.6062</v>
      </c>
      <c r="X44" s="11" t="n">
        <v>5.6062</v>
      </c>
      <c r="Y44" s="11" t="n">
        <v>5.6062</v>
      </c>
    </row>
    <row r="45">
      <c r="A45" s="10" t="inlineStr">
        <is>
          <t>자본잉여금</t>
        </is>
      </c>
      <c r="D45" s="11" t="n">
        <v>6.6172</v>
      </c>
      <c r="F45" s="11" t="n">
        <v>6.3062</v>
      </c>
      <c r="G45" s="11" t="n">
        <v>8.8179</v>
      </c>
      <c r="H45" s="11" t="n">
        <v>8.8192</v>
      </c>
      <c r="I45" s="11" t="n">
        <v>8.8226</v>
      </c>
      <c r="J45" s="11" t="n">
        <v>8.8575</v>
      </c>
      <c r="K45" s="11" t="n">
        <v>8.860799999999999</v>
      </c>
      <c r="L45" s="11" t="n">
        <v>8.860799999999999</v>
      </c>
      <c r="M45" s="11" t="n">
        <v>8.8917</v>
      </c>
      <c r="N45" s="11" t="n">
        <v>8.914999999999999</v>
      </c>
      <c r="O45" s="11" t="n">
        <v>8.9322</v>
      </c>
      <c r="P45" s="11" t="n">
        <v>8.947699999999999</v>
      </c>
      <c r="Q45" s="11" t="n">
        <v>8.9551</v>
      </c>
      <c r="R45" s="11" t="n">
        <v>8.993399999999999</v>
      </c>
      <c r="S45" s="11" t="n">
        <v>8.993399999999999</v>
      </c>
      <c r="U45" s="11" t="n">
        <v>6.6172</v>
      </c>
      <c r="V45" s="11" t="n">
        <v>6.3062</v>
      </c>
      <c r="W45" s="11" t="n">
        <v>8.8575</v>
      </c>
      <c r="X45" s="11" t="n">
        <v>8.914999999999999</v>
      </c>
      <c r="Y45" s="11" t="n">
        <v>8.993399999999999</v>
      </c>
    </row>
    <row r="46">
      <c r="A46" s="10" t="inlineStr">
        <is>
          <t>이월이익잉여금</t>
        </is>
      </c>
      <c r="D46" s="11" t="n">
        <v>5.4043</v>
      </c>
      <c r="F46" s="11" t="n">
        <v>8.620900000000001</v>
      </c>
      <c r="J46" s="11" t="n">
        <v>12.1999</v>
      </c>
      <c r="N46" s="11" t="n">
        <v>16.6712</v>
      </c>
      <c r="R46" s="11" t="n">
        <v>23.2919</v>
      </c>
      <c r="U46" s="11" t="n">
        <v>5.4043</v>
      </c>
      <c r="V46" s="11" t="n">
        <v>8.620900000000001</v>
      </c>
      <c r="W46" s="11" t="n">
        <v>12.1999</v>
      </c>
      <c r="X46" s="11" t="n">
        <v>16.6712</v>
      </c>
      <c r="Y46" s="11" t="n">
        <v>23.2919</v>
      </c>
    </row>
    <row r="47">
      <c r="A47" s="10" t="inlineStr">
        <is>
          <t>이익잉여금</t>
        </is>
      </c>
      <c r="D47" s="11" t="n">
        <v>5.4043</v>
      </c>
      <c r="F47" s="11" t="n">
        <v>8.620900000000001</v>
      </c>
      <c r="G47" s="11" t="n">
        <v>8.5527</v>
      </c>
      <c r="H47" s="11" t="n">
        <v>9.5867</v>
      </c>
      <c r="I47" s="11" t="n">
        <v>11.0072</v>
      </c>
      <c r="J47" s="11" t="n">
        <v>12.1999</v>
      </c>
      <c r="K47" s="11" t="n">
        <v>12.442</v>
      </c>
      <c r="L47" s="11" t="n">
        <v>14.7446</v>
      </c>
      <c r="M47" s="11" t="n">
        <v>15.9907</v>
      </c>
      <c r="N47" s="11" t="n">
        <v>16.6712</v>
      </c>
      <c r="O47" s="11" t="n">
        <v>16.7837</v>
      </c>
      <c r="P47" s="11" t="n">
        <v>19.9093</v>
      </c>
      <c r="Q47" s="11" t="n">
        <v>21.3202</v>
      </c>
      <c r="R47" s="11" t="n">
        <v>23.2919</v>
      </c>
      <c r="S47" s="11" t="n">
        <v>23.6164</v>
      </c>
      <c r="U47" s="11" t="n">
        <v>5.4043</v>
      </c>
      <c r="V47" s="11" t="n">
        <v>8.620900000000001</v>
      </c>
      <c r="W47" s="11" t="n">
        <v>12.1999</v>
      </c>
      <c r="X47" s="11" t="n">
        <v>16.6712</v>
      </c>
      <c r="Y47" s="11" t="n">
        <v>23.2919</v>
      </c>
    </row>
    <row r="48">
      <c r="A48" s="10" t="inlineStr">
        <is>
          <t>자기주식</t>
        </is>
      </c>
      <c r="D48" s="11" t="n">
        <v>-0.311</v>
      </c>
      <c r="F48" s="11" t="n">
        <v>0</v>
      </c>
      <c r="H48" s="11" t="n">
        <v>-0.0027</v>
      </c>
      <c r="I48" s="11" t="n">
        <v>-0.0027</v>
      </c>
      <c r="J48" s="11" t="n">
        <v>-0.0027</v>
      </c>
      <c r="K48" s="11" t="n">
        <v>-0.007</v>
      </c>
      <c r="L48" s="11" t="n">
        <v>-0.0094</v>
      </c>
      <c r="M48" s="11" t="n">
        <v>-0.009900000000000001</v>
      </c>
      <c r="N48" s="11" t="n">
        <v>-0.009900000000000001</v>
      </c>
      <c r="O48" s="11" t="n">
        <v>-0.0109</v>
      </c>
      <c r="P48" s="11" t="n">
        <v>-0.0109</v>
      </c>
      <c r="Q48" s="11" t="n">
        <v>-0.0124</v>
      </c>
      <c r="R48" s="11" t="n">
        <v>-0.0124</v>
      </c>
      <c r="S48" s="11" t="n">
        <v>-0.0134</v>
      </c>
      <c r="U48" s="11" t="n">
        <v>-0.311</v>
      </c>
      <c r="V48" s="11" t="n">
        <v>0</v>
      </c>
      <c r="W48" s="11" t="n">
        <v>-0.0027</v>
      </c>
      <c r="X48" s="11" t="n">
        <v>-0.009900000000000001</v>
      </c>
      <c r="Y48" s="11" t="n">
        <v>-0.0124</v>
      </c>
    </row>
    <row r="49">
      <c r="A49" s="10" t="inlineStr">
        <is>
          <t>주주자본 합계</t>
        </is>
      </c>
      <c r="D49" s="11" t="n">
        <v>12.0105</v>
      </c>
      <c r="F49" s="11" t="n">
        <v>15.2271</v>
      </c>
      <c r="G49" s="11" t="n">
        <v>20.1822</v>
      </c>
      <c r="H49" s="11" t="n">
        <v>21.2162</v>
      </c>
      <c r="I49" s="11" t="n">
        <v>22.6434</v>
      </c>
      <c r="J49" s="11" t="n">
        <v>23.9059</v>
      </c>
      <c r="K49" s="11" t="n">
        <v>24.1504</v>
      </c>
      <c r="L49" s="11" t="n">
        <v>26.4506</v>
      </c>
      <c r="M49" s="11" t="n">
        <v>27.7581</v>
      </c>
      <c r="N49" s="11" t="n">
        <v>28.4852</v>
      </c>
      <c r="O49" s="11" t="n">
        <v>28.6311</v>
      </c>
      <c r="P49" s="11" t="n">
        <v>31.7876</v>
      </c>
      <c r="Q49" s="11" t="n">
        <v>33.2117</v>
      </c>
      <c r="R49" s="11" t="n">
        <v>35.26</v>
      </c>
      <c r="S49" s="11" t="n">
        <v>35.5836</v>
      </c>
      <c r="U49" s="11" t="n">
        <v>12.0105</v>
      </c>
      <c r="V49" s="11" t="n">
        <v>15.2271</v>
      </c>
      <c r="W49" s="11" t="n">
        <v>23.9059</v>
      </c>
      <c r="X49" s="11" t="n">
        <v>28.4852</v>
      </c>
      <c r="Y49" s="11" t="n">
        <v>35.26</v>
      </c>
    </row>
    <row r="50">
      <c r="A50" s="10" t="inlineStr">
        <is>
          <t>신주예약권</t>
        </is>
      </c>
      <c r="J50" s="11" t="n">
        <v>0</v>
      </c>
      <c r="L50" s="11" t="n">
        <v>0.0049</v>
      </c>
      <c r="M50" s="11" t="n">
        <v>0.0194</v>
      </c>
      <c r="N50" s="11" t="n">
        <v>0.034</v>
      </c>
      <c r="O50" s="11" t="n">
        <v>0.0485</v>
      </c>
      <c r="P50" s="11" t="n">
        <v>0.0631</v>
      </c>
      <c r="Q50" s="11" t="n">
        <v>0.07770000000000001</v>
      </c>
      <c r="R50" s="11" t="n">
        <v>0.0958</v>
      </c>
      <c r="S50" s="11" t="n">
        <v>0.1211</v>
      </c>
      <c r="W50" s="11" t="n">
        <v>0</v>
      </c>
      <c r="X50" s="11" t="n">
        <v>0.034</v>
      </c>
      <c r="Y50" s="11" t="n">
        <v>0.0958</v>
      </c>
    </row>
    <row r="51">
      <c r="A51" s="10" t="inlineStr">
        <is>
          <t>순자산 합계</t>
        </is>
      </c>
      <c r="D51" s="11" t="n">
        <v>12.0105</v>
      </c>
      <c r="F51" s="11" t="n">
        <v>15.2271</v>
      </c>
      <c r="G51" s="11" t="n">
        <v>20.1822</v>
      </c>
      <c r="H51" s="11" t="n">
        <v>21.2162</v>
      </c>
      <c r="I51" s="11" t="n">
        <v>22.6434</v>
      </c>
      <c r="J51" s="11" t="n">
        <v>23.9059</v>
      </c>
      <c r="K51" s="11" t="n">
        <v>24.1504</v>
      </c>
      <c r="L51" s="11" t="n">
        <v>26.4554</v>
      </c>
      <c r="M51" s="11" t="n">
        <v>27.7775</v>
      </c>
      <c r="N51" s="11" t="n">
        <v>28.5192</v>
      </c>
      <c r="O51" s="11" t="n">
        <v>28.6796</v>
      </c>
      <c r="P51" s="11" t="n">
        <v>31.8507</v>
      </c>
      <c r="Q51" s="11" t="n">
        <v>33.2894</v>
      </c>
      <c r="R51" s="11" t="n">
        <v>35.3558</v>
      </c>
      <c r="S51" s="11" t="n">
        <v>35.7046</v>
      </c>
      <c r="U51" s="11" t="n">
        <v>12.0105</v>
      </c>
      <c r="V51" s="11" t="n">
        <v>15.2271</v>
      </c>
      <c r="W51" s="11" t="n">
        <v>23.9059</v>
      </c>
      <c r="X51" s="11" t="n">
        <v>28.5192</v>
      </c>
      <c r="Y51" s="11" t="n">
        <v>35.3558</v>
      </c>
    </row>
    <row r="52">
      <c r="A52" s="10" t="inlineStr">
        <is>
          <t>부채·순자산 합계</t>
        </is>
      </c>
      <c r="D52" s="11" t="n">
        <v>21.4683</v>
      </c>
      <c r="F52" s="11" t="n">
        <v>27.3069</v>
      </c>
      <c r="G52" s="11" t="n">
        <v>30.7122</v>
      </c>
      <c r="H52" s="11" t="n">
        <v>35.3307</v>
      </c>
      <c r="I52" s="11" t="n">
        <v>35.8145</v>
      </c>
      <c r="J52" s="11" t="n">
        <v>43.3473</v>
      </c>
      <c r="K52" s="11" t="n">
        <v>40.7205</v>
      </c>
      <c r="L52" s="11" t="n">
        <v>44.9027</v>
      </c>
      <c r="M52" s="11" t="n">
        <v>48.2906</v>
      </c>
      <c r="N52" s="11" t="n">
        <v>46.0859</v>
      </c>
      <c r="O52" s="11" t="n">
        <v>45.0047</v>
      </c>
      <c r="P52" s="11" t="n">
        <v>53.8019</v>
      </c>
      <c r="Q52" s="11" t="n">
        <v>56.8328</v>
      </c>
      <c r="R52" s="11" t="n">
        <v>57.9347</v>
      </c>
      <c r="S52" s="11" t="n">
        <v>59.1802</v>
      </c>
      <c r="U52" s="11" t="n">
        <v>21.4683</v>
      </c>
      <c r="V52" s="11" t="n">
        <v>27.3069</v>
      </c>
      <c r="W52" s="11" t="n">
        <v>43.3473</v>
      </c>
      <c r="X52" s="11" t="n">
        <v>46.0859</v>
      </c>
      <c r="Y52" s="11" t="n">
        <v>57.9347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지뎁어드밴스 현금흐름표</t>
        </is>
      </c>
    </row>
    <row r="2">
      <c r="A2" s="2" t="inlineStr">
        <is>
          <t>결산기 기준(27.2Q = 2027년 결산기 2분기) · 5월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21.4Q</t>
        </is>
      </c>
      <c r="D3" s="4" t="inlineStr">
        <is>
          <t>22.4Q</t>
        </is>
      </c>
      <c r="E3" s="4" t="inlineStr">
        <is>
          <t>23.3Q</t>
        </is>
      </c>
      <c r="F3" s="4" t="inlineStr">
        <is>
          <t>23.4Q</t>
        </is>
      </c>
      <c r="G3" s="4" t="inlineStr">
        <is>
          <t>24.1Q</t>
        </is>
      </c>
      <c r="H3" s="4" t="inlineStr">
        <is>
          <t>24.2Q</t>
        </is>
      </c>
      <c r="I3" s="4" t="inlineStr">
        <is>
          <t>24.3Q</t>
        </is>
      </c>
      <c r="J3" s="4" t="inlineStr">
        <is>
          <t>24.4Q</t>
        </is>
      </c>
      <c r="K3" s="4" t="inlineStr">
        <is>
          <t>25.1Q</t>
        </is>
      </c>
      <c r="L3" s="4" t="inlineStr">
        <is>
          <t>25.2Q</t>
        </is>
      </c>
      <c r="M3" s="4" t="inlineStr">
        <is>
          <t>25.3Q</t>
        </is>
      </c>
      <c r="N3" s="4" t="inlineStr">
        <is>
          <t>25.4Q</t>
        </is>
      </c>
      <c r="O3" s="4" t="inlineStr">
        <is>
          <t>26.1Q</t>
        </is>
      </c>
      <c r="P3" s="4" t="inlineStr">
        <is>
          <t>26.2Q</t>
        </is>
      </c>
      <c r="Q3" s="4" t="inlineStr">
        <is>
          <t>26.3Q</t>
        </is>
      </c>
      <c r="R3" s="4" t="inlineStr">
        <is>
          <t>26.4Q</t>
        </is>
      </c>
      <c r="S3" s="4" t="inlineStr">
        <is>
          <t>27.1Q</t>
        </is>
      </c>
      <c r="T3" s="4" t="inlineStr">
        <is>
          <t>FY21</t>
        </is>
      </c>
      <c r="U3" s="4" t="inlineStr">
        <is>
          <t>FY22</t>
        </is>
      </c>
      <c r="V3" s="4" t="inlineStr">
        <is>
          <t>FY23</t>
        </is>
      </c>
      <c r="W3" s="4" t="inlineStr">
        <is>
          <t>FY24</t>
        </is>
      </c>
      <c r="X3" s="4" t="inlineStr">
        <is>
          <t>FY25</t>
        </is>
      </c>
      <c r="Y3" s="4" t="inlineStr">
        <is>
          <t>FY26</t>
        </is>
      </c>
      <c r="Z3" s="4" t="inlineStr">
        <is>
          <t>출처</t>
        </is>
      </c>
    </row>
    <row r="4">
      <c r="A4" s="10" t="inlineStr">
        <is>
          <t>법인세차감전 순이익</t>
        </is>
      </c>
      <c r="D4" s="11" t="n">
        <v>4.4764</v>
      </c>
      <c r="F4" s="11" t="n">
        <v>5.6889</v>
      </c>
      <c r="H4" s="11" t="n">
        <v>2.464</v>
      </c>
      <c r="J4" s="11" t="n">
        <v>6.525</v>
      </c>
      <c r="L4" s="11" t="n">
        <v>4.9716</v>
      </c>
      <c r="N4" s="11" t="n">
        <v>7.9609</v>
      </c>
      <c r="P4" s="11" t="n">
        <v>6.4907</v>
      </c>
      <c r="R4" s="11" t="n">
        <v>11.7075</v>
      </c>
      <c r="U4" s="11" t="n">
        <v>4.4764</v>
      </c>
      <c r="V4" s="11" t="n">
        <v>5.6889</v>
      </c>
      <c r="W4" s="11" t="n">
        <v>6.525</v>
      </c>
      <c r="X4" s="11" t="n">
        <v>7.9609</v>
      </c>
      <c r="Y4" s="11" t="n">
        <v>11.7075</v>
      </c>
      <c r="Z4" s="7" t="inlineStr">
        <is>
          <t>결산단신 XBRL(거래소 공시, TDnet·JPX 보관소). 쓴 문서: 2026-10-14, 2026-07-14, 2026-04-14, 2026-01-14 외 10건 — '출처' 시트에 전부</t>
        </is>
      </c>
    </row>
    <row r="5">
      <c r="A5" s="10" t="inlineStr">
        <is>
          <t>고정자산 제각손실</t>
        </is>
      </c>
      <c r="D5" s="11" t="n">
        <v>0</v>
      </c>
      <c r="F5" s="11" t="n">
        <v>0</v>
      </c>
      <c r="J5" s="11" t="n">
        <v>0</v>
      </c>
      <c r="U5" s="11" t="n">
        <v>0</v>
      </c>
      <c r="V5" s="11" t="n">
        <v>0</v>
      </c>
      <c r="W5" s="11" t="n">
        <v>0</v>
      </c>
    </row>
    <row r="6">
      <c r="A6" s="10" t="inlineStr">
        <is>
          <t>감가상각비</t>
        </is>
      </c>
      <c r="D6" s="11" t="n">
        <v>0.3019</v>
      </c>
      <c r="F6" s="11" t="n">
        <v>0.2832</v>
      </c>
      <c r="H6" s="11" t="n">
        <v>0.0912</v>
      </c>
      <c r="J6" s="11" t="n">
        <v>0.266</v>
      </c>
      <c r="L6" s="11" t="n">
        <v>0.2002</v>
      </c>
      <c r="N6" s="11" t="n">
        <v>0.5505</v>
      </c>
      <c r="P6" s="11" t="n">
        <v>0.4028</v>
      </c>
      <c r="R6" s="11" t="n">
        <v>0.8411</v>
      </c>
      <c r="U6" s="11" t="n">
        <v>0.3019</v>
      </c>
      <c r="V6" s="11" t="n">
        <v>0.2832</v>
      </c>
      <c r="W6" s="11" t="n">
        <v>0.266</v>
      </c>
      <c r="X6" s="11" t="n">
        <v>0.5505</v>
      </c>
      <c r="Y6" s="11" t="n">
        <v>0.8411</v>
      </c>
    </row>
    <row r="7">
      <c r="A7" s="10" t="inlineStr">
        <is>
          <t>보증금 상각비</t>
        </is>
      </c>
      <c r="H7" s="11" t="n">
        <v>0.0018</v>
      </c>
    </row>
    <row r="8">
      <c r="A8" s="10" t="inlineStr">
        <is>
          <t>보증금 상각비</t>
        </is>
      </c>
      <c r="H8" s="11" t="n">
        <v>0.0018</v>
      </c>
      <c r="L8" s="11" t="n">
        <v>0.0065</v>
      </c>
      <c r="P8" s="11" t="n">
        <v>0.0065</v>
      </c>
    </row>
    <row r="9">
      <c r="A9" s="10" t="inlineStr">
        <is>
          <t>보증금 상각비</t>
        </is>
      </c>
      <c r="D9" s="11" t="n">
        <v>0.0036</v>
      </c>
      <c r="F9" s="11" t="n">
        <v>0.0036</v>
      </c>
      <c r="J9" s="11" t="n">
        <v>0.0596</v>
      </c>
      <c r="N9" s="11" t="n">
        <v>0.0131</v>
      </c>
      <c r="R9" s="11" t="n">
        <v>0.0131</v>
      </c>
      <c r="U9" s="11" t="n">
        <v>0.0036</v>
      </c>
      <c r="V9" s="11" t="n">
        <v>0.0036</v>
      </c>
      <c r="W9" s="11" t="n">
        <v>0.0596</v>
      </c>
      <c r="X9" s="11" t="n">
        <v>0.0131</v>
      </c>
      <c r="Y9" s="11" t="n">
        <v>0.0131</v>
      </c>
    </row>
    <row r="10">
      <c r="A10" s="10" t="inlineStr">
        <is>
          <t>임원 퇴직위로 충당금 증감</t>
        </is>
      </c>
      <c r="D10" s="11" t="n">
        <v>0.2811</v>
      </c>
      <c r="F10" s="11" t="n">
        <v>-2.2593</v>
      </c>
      <c r="J10" s="11" t="n">
        <v>0</v>
      </c>
      <c r="U10" s="11" t="n">
        <v>0.2811</v>
      </c>
      <c r="V10" s="11" t="n">
        <v>-2.2593</v>
      </c>
      <c r="W10" s="11" t="n">
        <v>0</v>
      </c>
    </row>
    <row r="11">
      <c r="A11" s="10" t="inlineStr">
        <is>
          <t>장기미지급금 증감</t>
        </is>
      </c>
      <c r="D11" s="11" t="n">
        <v>0</v>
      </c>
      <c r="F11" s="11" t="n">
        <v>2.2593</v>
      </c>
      <c r="J11" s="11" t="n">
        <v>0</v>
      </c>
      <c r="U11" s="11" t="n">
        <v>0</v>
      </c>
      <c r="V11" s="11" t="n">
        <v>2.2593</v>
      </c>
      <c r="W11" s="11" t="n">
        <v>0</v>
      </c>
    </row>
    <row r="12">
      <c r="A12" s="10" t="inlineStr">
        <is>
          <t>주식보상비용</t>
        </is>
      </c>
      <c r="H12" s="11" t="n">
        <v>0</v>
      </c>
      <c r="J12" s="11" t="n">
        <v>0</v>
      </c>
      <c r="L12" s="11" t="n">
        <v>0.0049</v>
      </c>
      <c r="N12" s="11" t="n">
        <v>0.034</v>
      </c>
      <c r="P12" s="11" t="n">
        <v>0.0291</v>
      </c>
      <c r="R12" s="11" t="n">
        <v>0.0618</v>
      </c>
      <c r="W12" s="11" t="n">
        <v>0</v>
      </c>
      <c r="X12" s="11" t="n">
        <v>0.034</v>
      </c>
      <c r="Y12" s="11" t="n">
        <v>0.0618</v>
      </c>
    </row>
    <row r="13">
      <c r="A13" s="10" t="inlineStr">
        <is>
          <t>충당금 증감</t>
        </is>
      </c>
      <c r="H13" s="11" t="n">
        <v>0.0905</v>
      </c>
      <c r="L13" s="11" t="n">
        <v>0.1019</v>
      </c>
      <c r="P13" s="11" t="n">
        <v>0.2988</v>
      </c>
    </row>
    <row r="14">
      <c r="A14" s="10" t="inlineStr">
        <is>
          <t>이자수익</t>
        </is>
      </c>
      <c r="H14" s="11" t="n">
        <v>-0.0001</v>
      </c>
      <c r="L14" s="11" t="n">
        <v>-0.037</v>
      </c>
      <c r="P14" s="11" t="n">
        <v>-0.082</v>
      </c>
    </row>
    <row r="15">
      <c r="A15" s="10" t="inlineStr">
        <is>
          <t>이자·배당금 수익</t>
        </is>
      </c>
      <c r="D15" s="11" t="n">
        <v>-0.0003</v>
      </c>
      <c r="F15" s="11" t="n">
        <v>-0.0001</v>
      </c>
      <c r="J15" s="11" t="n">
        <v>-0.0003</v>
      </c>
      <c r="N15" s="11" t="n">
        <v>-0.1824</v>
      </c>
      <c r="R15" s="11" t="n">
        <v>-0.1134</v>
      </c>
      <c r="U15" s="11" t="n">
        <v>-0.0003</v>
      </c>
      <c r="V15" s="11" t="n">
        <v>-0.0001</v>
      </c>
      <c r="W15" s="11" t="n">
        <v>-0.0003</v>
      </c>
      <c r="X15" s="11" t="n">
        <v>-0.1824</v>
      </c>
      <c r="Y15" s="11" t="n">
        <v>-0.1134</v>
      </c>
    </row>
    <row r="16">
      <c r="A16" s="10" t="inlineStr">
        <is>
          <t>외환차손익</t>
        </is>
      </c>
      <c r="D16" s="11" t="n">
        <v>-0.1191</v>
      </c>
      <c r="F16" s="11" t="n">
        <v>-0.08740000000000001</v>
      </c>
      <c r="H16" s="11" t="n">
        <v>-0.1224</v>
      </c>
      <c r="J16" s="11" t="n">
        <v>-0.2776</v>
      </c>
      <c r="L16" s="11" t="n">
        <v>0.1231</v>
      </c>
      <c r="N16" s="11" t="n">
        <v>0.6281</v>
      </c>
      <c r="P16" s="11" t="n">
        <v>-0.295</v>
      </c>
      <c r="R16" s="11" t="n">
        <v>-0.3988</v>
      </c>
      <c r="U16" s="11" t="n">
        <v>-0.1191</v>
      </c>
      <c r="V16" s="11" t="n">
        <v>-0.08740000000000001</v>
      </c>
      <c r="W16" s="11" t="n">
        <v>-0.2776</v>
      </c>
      <c r="X16" s="11" t="n">
        <v>0.6281</v>
      </c>
      <c r="Y16" s="11" t="n">
        <v>-0.3988</v>
      </c>
    </row>
    <row r="17">
      <c r="A17" s="10" t="inlineStr">
        <is>
          <t>매출채권 증감</t>
        </is>
      </c>
      <c r="D17" s="11" t="n">
        <v>3.234</v>
      </c>
      <c r="F17" s="11" t="n">
        <v>0.2901</v>
      </c>
      <c r="H17" s="11" t="n">
        <v>-2.5568</v>
      </c>
      <c r="J17" s="11" t="n">
        <v>-2.842</v>
      </c>
      <c r="L17" s="11" t="n">
        <v>-2.093</v>
      </c>
      <c r="N17" s="11" t="n">
        <v>2.7513</v>
      </c>
      <c r="P17" s="11" t="n">
        <v>-3.5264</v>
      </c>
      <c r="R17" s="11" t="n">
        <v>-1.106</v>
      </c>
      <c r="U17" s="11" t="n">
        <v>3.234</v>
      </c>
      <c r="V17" s="11" t="n">
        <v>0.2901</v>
      </c>
      <c r="W17" s="11" t="n">
        <v>-2.842</v>
      </c>
      <c r="X17" s="11" t="n">
        <v>2.7513</v>
      </c>
      <c r="Y17" s="11" t="n">
        <v>-1.106</v>
      </c>
    </row>
    <row r="18">
      <c r="A18" s="10" t="inlineStr">
        <is>
          <t>재고자산 증감</t>
        </is>
      </c>
      <c r="D18" s="11" t="n">
        <v>-3.0914</v>
      </c>
      <c r="F18" s="11" t="n">
        <v>-0.9767</v>
      </c>
      <c r="H18" s="11" t="n">
        <v>0.4778</v>
      </c>
      <c r="J18" s="11" t="n">
        <v>-1.56</v>
      </c>
      <c r="L18" s="11" t="n">
        <v>-0.2795</v>
      </c>
      <c r="N18" s="11" t="n">
        <v>-1.234</v>
      </c>
      <c r="P18" s="11" t="n">
        <v>-3</v>
      </c>
      <c r="R18" s="11" t="n">
        <v>-10.6459</v>
      </c>
      <c r="U18" s="11" t="n">
        <v>-3.0914</v>
      </c>
      <c r="V18" s="11" t="n">
        <v>-0.9767</v>
      </c>
      <c r="W18" s="11" t="n">
        <v>-1.56</v>
      </c>
      <c r="X18" s="11" t="n">
        <v>-1.234</v>
      </c>
      <c r="Y18" s="11" t="n">
        <v>-10.6459</v>
      </c>
    </row>
    <row r="19">
      <c r="A19" s="10" t="inlineStr">
        <is>
          <t>매입채무 증감</t>
        </is>
      </c>
      <c r="D19" s="11" t="n">
        <v>0.008399999999999999</v>
      </c>
      <c r="F19" s="11" t="n">
        <v>0.701</v>
      </c>
      <c r="H19" s="11" t="n">
        <v>1.7402</v>
      </c>
      <c r="J19" s="11" t="n">
        <v>2.1872</v>
      </c>
      <c r="L19" s="11" t="n">
        <v>-1.8942</v>
      </c>
      <c r="N19" s="11" t="n">
        <v>-0.9841</v>
      </c>
      <c r="P19" s="11" t="n">
        <v>2.1995</v>
      </c>
      <c r="R19" s="11" t="n">
        <v>1.9463</v>
      </c>
      <c r="U19" s="11" t="n">
        <v>0.008399999999999999</v>
      </c>
      <c r="V19" s="11" t="n">
        <v>0.701</v>
      </c>
      <c r="W19" s="11" t="n">
        <v>2.1872</v>
      </c>
      <c r="X19" s="11" t="n">
        <v>-0.9841</v>
      </c>
      <c r="Y19" s="11" t="n">
        <v>1.9463</v>
      </c>
    </row>
    <row r="20">
      <c r="A20" s="10" t="inlineStr">
        <is>
          <t>기타 자산 증감</t>
        </is>
      </c>
      <c r="D20" s="11" t="n">
        <v>0.0138</v>
      </c>
      <c r="F20" s="11" t="n">
        <v>0.0022</v>
      </c>
      <c r="H20" s="11" t="n">
        <v>-0.2592</v>
      </c>
      <c r="J20" s="11" t="n">
        <v>-0.0117</v>
      </c>
      <c r="L20" s="11" t="n">
        <v>-1.2313</v>
      </c>
      <c r="N20" s="11" t="n">
        <v>-0.0019</v>
      </c>
      <c r="P20" s="11" t="n">
        <v>-0.1734</v>
      </c>
      <c r="R20" s="11" t="n">
        <v>-16.079</v>
      </c>
      <c r="U20" s="11" t="n">
        <v>0.0138</v>
      </c>
      <c r="V20" s="11" t="n">
        <v>0.0022</v>
      </c>
      <c r="W20" s="11" t="n">
        <v>-0.0117</v>
      </c>
      <c r="X20" s="11" t="n">
        <v>-0.0019</v>
      </c>
      <c r="Y20" s="11" t="n">
        <v>-16.079</v>
      </c>
    </row>
    <row r="21">
      <c r="A21" s="10" t="inlineStr">
        <is>
          <t>기타 부채 증감</t>
        </is>
      </c>
      <c r="D21" s="11" t="n">
        <v>1.9981</v>
      </c>
      <c r="F21" s="11" t="n">
        <v>1.5926</v>
      </c>
      <c r="H21" s="11" t="n">
        <v>0.6213</v>
      </c>
      <c r="J21" s="11" t="n">
        <v>5.4022</v>
      </c>
      <c r="L21" s="11" t="n">
        <v>0.0936</v>
      </c>
      <c r="N21" s="11" t="n">
        <v>-1.8835</v>
      </c>
      <c r="P21" s="11" t="n">
        <v>1.8087</v>
      </c>
      <c r="R21" s="11" t="n">
        <v>2.4747</v>
      </c>
      <c r="U21" s="11" t="n">
        <v>1.9981</v>
      </c>
      <c r="V21" s="11" t="n">
        <v>1.5926</v>
      </c>
      <c r="W21" s="11" t="n">
        <v>5.4022</v>
      </c>
      <c r="X21" s="11" t="n">
        <v>-1.8835</v>
      </c>
      <c r="Y21" s="11" t="n">
        <v>2.4747</v>
      </c>
    </row>
    <row r="22">
      <c r="A22" s="10" t="inlineStr">
        <is>
          <t>소계</t>
        </is>
      </c>
      <c r="D22" s="11" t="n">
        <v>7.1067</v>
      </c>
      <c r="F22" s="11" t="n">
        <v>7.4976</v>
      </c>
      <c r="H22" s="11" t="n">
        <v>2.5484</v>
      </c>
      <c r="J22" s="11" t="n">
        <v>9.7486</v>
      </c>
      <c r="L22" s="11" t="n">
        <v>-0.0332</v>
      </c>
      <c r="N22" s="11" t="n">
        <v>7.6518</v>
      </c>
      <c r="P22" s="11" t="n">
        <v>4.1593</v>
      </c>
      <c r="R22" s="11" t="n">
        <v>-11.2985</v>
      </c>
      <c r="U22" s="11" t="n">
        <v>7.1067</v>
      </c>
      <c r="V22" s="11" t="n">
        <v>7.4976</v>
      </c>
      <c r="W22" s="11" t="n">
        <v>9.7486</v>
      </c>
      <c r="X22" s="11" t="n">
        <v>7.6518</v>
      </c>
      <c r="Y22" s="11" t="n">
        <v>-11.2985</v>
      </c>
    </row>
    <row r="23">
      <c r="A23" s="10" t="inlineStr">
        <is>
          <t>이자 수취</t>
        </is>
      </c>
      <c r="H23" s="11" t="n">
        <v>0.0001</v>
      </c>
      <c r="L23" s="11" t="n">
        <v>0.0293</v>
      </c>
      <c r="P23" s="11" t="n">
        <v>0.0979</v>
      </c>
    </row>
    <row r="24">
      <c r="A24" s="10" t="inlineStr">
        <is>
          <t>이자·배당금 수취</t>
        </is>
      </c>
      <c r="D24" s="11" t="n">
        <v>0.0003</v>
      </c>
      <c r="F24" s="11" t="n">
        <v>0.0001</v>
      </c>
      <c r="J24" s="11" t="n">
        <v>0.0003</v>
      </c>
      <c r="N24" s="11" t="n">
        <v>0.1665</v>
      </c>
      <c r="R24" s="11" t="n">
        <v>0.1293</v>
      </c>
      <c r="U24" s="11" t="n">
        <v>0.0003</v>
      </c>
      <c r="V24" s="11" t="n">
        <v>0.0001</v>
      </c>
      <c r="W24" s="11" t="n">
        <v>0.0003</v>
      </c>
      <c r="X24" s="11" t="n">
        <v>0.1665</v>
      </c>
      <c r="Y24" s="11" t="n">
        <v>0.1293</v>
      </c>
    </row>
    <row r="25">
      <c r="A25" s="10" t="inlineStr">
        <is>
          <t>법인세 납부</t>
        </is>
      </c>
      <c r="D25" s="11" t="n">
        <v>-2.4511</v>
      </c>
      <c r="F25" s="11" t="n">
        <v>-1.681</v>
      </c>
      <c r="H25" s="11" t="n">
        <v>-1.1695</v>
      </c>
      <c r="J25" s="11" t="n">
        <v>-2.1731</v>
      </c>
      <c r="L25" s="11" t="n">
        <v>-0.8895</v>
      </c>
      <c r="N25" s="11" t="n">
        <v>-1.8549</v>
      </c>
      <c r="P25" s="11" t="n">
        <v>-1.8495</v>
      </c>
      <c r="R25" s="11" t="n">
        <v>-3.3266</v>
      </c>
      <c r="U25" s="11" t="n">
        <v>-2.4511</v>
      </c>
      <c r="V25" s="11" t="n">
        <v>-1.681</v>
      </c>
      <c r="W25" s="11" t="n">
        <v>-2.1731</v>
      </c>
      <c r="X25" s="11" t="n">
        <v>-1.8549</v>
      </c>
      <c r="Y25" s="11" t="n">
        <v>-3.3266</v>
      </c>
    </row>
    <row r="26">
      <c r="A26" s="10" t="inlineStr">
        <is>
          <t>영업활동 현금흐름</t>
        </is>
      </c>
      <c r="D26" s="11" t="n">
        <v>4.6558</v>
      </c>
      <c r="F26" s="11" t="n">
        <v>5.8167</v>
      </c>
      <c r="H26" s="11" t="n">
        <v>1.3791</v>
      </c>
      <c r="J26" s="11" t="n">
        <v>7.5757</v>
      </c>
      <c r="L26" s="11" t="n">
        <v>-0.8934</v>
      </c>
      <c r="N26" s="11" t="n">
        <v>5.9634</v>
      </c>
      <c r="P26" s="11" t="n">
        <v>2.4078</v>
      </c>
      <c r="R26" s="11" t="n">
        <v>-14.4958</v>
      </c>
      <c r="U26" s="11" t="n">
        <v>4.6558</v>
      </c>
      <c r="V26" s="11" t="n">
        <v>5.8167</v>
      </c>
      <c r="W26" s="11" t="n">
        <v>7.5757</v>
      </c>
      <c r="X26" s="11" t="n">
        <v>5.9634</v>
      </c>
      <c r="Y26" s="11" t="n">
        <v>-14.4958</v>
      </c>
    </row>
    <row r="27">
      <c r="A27" s="10" t="inlineStr">
        <is>
          <t>유형자산 취득(설비투자)</t>
        </is>
      </c>
      <c r="D27" s="11" t="n">
        <v>-0.07820000000000001</v>
      </c>
      <c r="F27" s="11" t="n">
        <v>-0.0616</v>
      </c>
      <c r="H27" s="11" t="n">
        <v>-0.0329</v>
      </c>
      <c r="J27" s="11" t="n">
        <v>-0.7514</v>
      </c>
      <c r="L27" s="11" t="n">
        <v>-0.0784</v>
      </c>
      <c r="N27" s="11" t="n">
        <v>-1.0092</v>
      </c>
      <c r="P27" s="11" t="n">
        <v>-0.127</v>
      </c>
      <c r="R27" s="11" t="n">
        <v>-0.2073</v>
      </c>
      <c r="U27" s="11" t="n">
        <v>-0.07820000000000001</v>
      </c>
      <c r="V27" s="11" t="n">
        <v>-0.0616</v>
      </c>
      <c r="W27" s="11" t="n">
        <v>-0.7514</v>
      </c>
      <c r="X27" s="11" t="n">
        <v>-1.0092</v>
      </c>
      <c r="Y27" s="11" t="n">
        <v>-0.2073</v>
      </c>
    </row>
    <row r="28">
      <c r="A28" s="10" t="inlineStr">
        <is>
          <t>무형자산 취득</t>
        </is>
      </c>
      <c r="H28" s="11" t="n">
        <v>0</v>
      </c>
      <c r="J28" s="11" t="n">
        <v>0</v>
      </c>
      <c r="L28" s="11" t="n">
        <v>-0.151</v>
      </c>
      <c r="N28" s="11" t="n">
        <v>-0.2379</v>
      </c>
      <c r="P28" s="11" t="n">
        <v>-0.1485</v>
      </c>
      <c r="R28" s="11" t="n">
        <v>-0.1955</v>
      </c>
      <c r="W28" s="11" t="n">
        <v>0</v>
      </c>
      <c r="X28" s="11" t="n">
        <v>-0.2379</v>
      </c>
      <c r="Y28" s="11" t="n">
        <v>-0.1955</v>
      </c>
    </row>
    <row r="29">
      <c r="A29" s="10" t="inlineStr">
        <is>
          <t>임차보증금 납입</t>
        </is>
      </c>
      <c r="D29" s="11" t="n">
        <v>0</v>
      </c>
      <c r="F29" s="11" t="n">
        <v>-0.0081</v>
      </c>
      <c r="H29" s="11" t="n">
        <v>-0.2123</v>
      </c>
      <c r="J29" s="11" t="n">
        <v>-0.2138</v>
      </c>
      <c r="L29" s="11" t="n">
        <v>0</v>
      </c>
      <c r="N29" s="11" t="n">
        <v>-0.0147</v>
      </c>
      <c r="R29" s="11" t="n">
        <v>-0.0321</v>
      </c>
      <c r="U29" s="11" t="n">
        <v>0</v>
      </c>
      <c r="V29" s="11" t="n">
        <v>-0.0081</v>
      </c>
      <c r="W29" s="11" t="n">
        <v>-0.2138</v>
      </c>
      <c r="X29" s="11" t="n">
        <v>-0.0147</v>
      </c>
      <c r="Y29" s="11" t="n">
        <v>-0.0321</v>
      </c>
    </row>
    <row r="30">
      <c r="A30" s="10" t="inlineStr">
        <is>
          <t>임차보증금 회수</t>
        </is>
      </c>
      <c r="D30" s="11" t="n">
        <v>0.0008</v>
      </c>
      <c r="F30" s="11" t="n">
        <v>0</v>
      </c>
      <c r="U30" s="11" t="n">
        <v>0.0008</v>
      </c>
      <c r="V30" s="11" t="n">
        <v>0</v>
      </c>
    </row>
    <row r="31">
      <c r="A31" s="10" t="inlineStr">
        <is>
          <t>임차보증금·보증금 회수</t>
        </is>
      </c>
      <c r="F31" s="11" t="n">
        <v>0</v>
      </c>
      <c r="J31" s="11" t="n">
        <v>0.09859999999999999</v>
      </c>
      <c r="N31" s="11" t="n">
        <v>0</v>
      </c>
      <c r="V31" s="11" t="n">
        <v>0</v>
      </c>
      <c r="W31" s="11" t="n">
        <v>0.09859999999999999</v>
      </c>
      <c r="X31" s="11" t="n">
        <v>0</v>
      </c>
    </row>
    <row r="32">
      <c r="A32" s="10" t="inlineStr">
        <is>
          <t>자산복구부채 이행 지출</t>
        </is>
      </c>
      <c r="F32" s="11" t="n">
        <v>0</v>
      </c>
      <c r="J32" s="11" t="n">
        <v>-0.0615</v>
      </c>
      <c r="N32" s="11" t="n">
        <v>0</v>
      </c>
      <c r="V32" s="11" t="n">
        <v>0</v>
      </c>
      <c r="W32" s="11" t="n">
        <v>-0.0615</v>
      </c>
      <c r="X32" s="11" t="n">
        <v>0</v>
      </c>
    </row>
    <row r="33">
      <c r="A33" s="10" t="inlineStr">
        <is>
          <t>장기선급비용 지출</t>
        </is>
      </c>
      <c r="F33" s="11" t="n">
        <v>0</v>
      </c>
      <c r="J33" s="11" t="n">
        <v>-0.0168</v>
      </c>
      <c r="N33" s="11" t="n">
        <v>0</v>
      </c>
      <c r="V33" s="11" t="n">
        <v>0</v>
      </c>
      <c r="W33" s="11" t="n">
        <v>-0.0168</v>
      </c>
      <c r="X33" s="11" t="n">
        <v>0</v>
      </c>
    </row>
    <row r="34">
      <c r="A34" s="10" t="inlineStr">
        <is>
          <t>기타 지출</t>
        </is>
      </c>
      <c r="H34" s="11" t="n">
        <v>0</v>
      </c>
      <c r="J34" s="11" t="n">
        <v>0</v>
      </c>
      <c r="L34" s="11" t="n">
        <v>-0.007</v>
      </c>
      <c r="N34" s="11" t="n">
        <v>-0.0069</v>
      </c>
      <c r="P34" s="11" t="n">
        <v>0</v>
      </c>
      <c r="R34" s="11" t="n">
        <v>0</v>
      </c>
      <c r="W34" s="11" t="n">
        <v>0</v>
      </c>
      <c r="X34" s="11" t="n">
        <v>-0.0069</v>
      </c>
      <c r="Y34" s="11" t="n">
        <v>0</v>
      </c>
    </row>
    <row r="35">
      <c r="A35" s="10" t="inlineStr">
        <is>
          <t>투자활동 현금흐름</t>
        </is>
      </c>
      <c r="D35" s="11" t="n">
        <v>-0.07729999999999999</v>
      </c>
      <c r="F35" s="11" t="n">
        <v>-0.0697</v>
      </c>
      <c r="H35" s="11" t="n">
        <v>-0.2452</v>
      </c>
      <c r="J35" s="11" t="n">
        <v>-0.9449</v>
      </c>
      <c r="L35" s="11" t="n">
        <v>-0.2363</v>
      </c>
      <c r="N35" s="11" t="n">
        <v>-1.2687</v>
      </c>
      <c r="P35" s="11" t="n">
        <v>-0.2754</v>
      </c>
      <c r="R35" s="11" t="n">
        <v>-0.435</v>
      </c>
      <c r="U35" s="11" t="n">
        <v>-0.07729999999999999</v>
      </c>
      <c r="V35" s="11" t="n">
        <v>-0.0697</v>
      </c>
      <c r="W35" s="11" t="n">
        <v>-0.9449</v>
      </c>
      <c r="X35" s="11" t="n">
        <v>-1.2687</v>
      </c>
      <c r="Y35" s="11" t="n">
        <v>-0.435</v>
      </c>
    </row>
    <row r="36">
      <c r="A36" s="10" t="inlineStr">
        <is>
          <t>주식 발행</t>
        </is>
      </c>
      <c r="F36" s="11" t="n">
        <v>0</v>
      </c>
      <c r="H36" s="11" t="n">
        <v>5.026</v>
      </c>
      <c r="J36" s="11" t="n">
        <v>5.1025</v>
      </c>
      <c r="L36" s="11" t="n">
        <v>0.0067</v>
      </c>
      <c r="N36" s="11" t="n">
        <v>0.1151</v>
      </c>
      <c r="P36" s="11" t="n">
        <v>0.0654</v>
      </c>
      <c r="R36" s="11" t="n">
        <v>0.1568</v>
      </c>
      <c r="V36" s="11" t="n">
        <v>0</v>
      </c>
      <c r="W36" s="11" t="n">
        <v>5.1025</v>
      </c>
      <c r="X36" s="11" t="n">
        <v>0.1151</v>
      </c>
      <c r="Y36" s="11" t="n">
        <v>0.1568</v>
      </c>
    </row>
    <row r="37">
      <c r="A37" s="10" t="inlineStr">
        <is>
          <t>자기주식 취득</t>
        </is>
      </c>
      <c r="F37" s="11" t="n">
        <v>0</v>
      </c>
      <c r="H37" s="11" t="n">
        <v>-0.0027</v>
      </c>
      <c r="J37" s="11" t="n">
        <v>-0.0027</v>
      </c>
      <c r="L37" s="11" t="n">
        <v>-0.0067</v>
      </c>
      <c r="N37" s="11" t="n">
        <v>-0.0072</v>
      </c>
      <c r="P37" s="11" t="n">
        <v>-0.001</v>
      </c>
      <c r="R37" s="11" t="n">
        <v>-0.0026</v>
      </c>
      <c r="V37" s="11" t="n">
        <v>0</v>
      </c>
      <c r="W37" s="11" t="n">
        <v>-0.0027</v>
      </c>
      <c r="X37" s="11" t="n">
        <v>-0.0072</v>
      </c>
      <c r="Y37" s="11" t="n">
        <v>-0.0026</v>
      </c>
    </row>
    <row r="38">
      <c r="A38" s="10" t="inlineStr">
        <is>
          <t>배당금 지급</t>
        </is>
      </c>
      <c r="D38" s="11" t="n">
        <v>-0.4661</v>
      </c>
      <c r="F38" s="11" t="n">
        <v>-0.5663</v>
      </c>
      <c r="H38" s="11" t="n">
        <v>-0.744</v>
      </c>
      <c r="J38" s="11" t="n">
        <v>-0.744</v>
      </c>
      <c r="L38" s="11" t="n">
        <v>-0.8945</v>
      </c>
      <c r="N38" s="11" t="n">
        <v>-0.8946</v>
      </c>
      <c r="P38" s="11" t="n">
        <v>-1.2426</v>
      </c>
      <c r="R38" s="11" t="n">
        <v>-1.2439</v>
      </c>
      <c r="U38" s="11" t="n">
        <v>-0.4661</v>
      </c>
      <c r="V38" s="11" t="n">
        <v>-0.5663</v>
      </c>
      <c r="W38" s="11" t="n">
        <v>-0.744</v>
      </c>
      <c r="X38" s="11" t="n">
        <v>-0.8946</v>
      </c>
      <c r="Y38" s="11" t="n">
        <v>-1.2439</v>
      </c>
    </row>
    <row r="39">
      <c r="A39" s="10" t="inlineStr">
        <is>
          <t>재무활동 현금흐름</t>
        </is>
      </c>
      <c r="D39" s="11" t="n">
        <v>-0.4661</v>
      </c>
      <c r="F39" s="11" t="n">
        <v>-0.5663</v>
      </c>
      <c r="H39" s="11" t="n">
        <v>4.2793</v>
      </c>
      <c r="J39" s="11" t="n">
        <v>4.3558</v>
      </c>
      <c r="L39" s="11" t="n">
        <v>-0.8945</v>
      </c>
      <c r="N39" s="11" t="n">
        <v>-0.7867</v>
      </c>
      <c r="P39" s="11" t="n">
        <v>-1.1782</v>
      </c>
      <c r="R39" s="11" t="n">
        <v>-1.0897</v>
      </c>
      <c r="U39" s="11" t="n">
        <v>-0.4661</v>
      </c>
      <c r="V39" s="11" t="n">
        <v>-0.5663</v>
      </c>
      <c r="W39" s="11" t="n">
        <v>4.3558</v>
      </c>
      <c r="X39" s="11" t="n">
        <v>-0.7867</v>
      </c>
      <c r="Y39" s="11" t="n">
        <v>-1.0897</v>
      </c>
    </row>
    <row r="40">
      <c r="A40" s="10" t="inlineStr">
        <is>
          <t>현금성자산 환산차이</t>
        </is>
      </c>
      <c r="D40" s="11" t="n">
        <v>0.1191</v>
      </c>
      <c r="F40" s="11" t="n">
        <v>0.08740000000000001</v>
      </c>
      <c r="H40" s="11" t="n">
        <v>0.1224</v>
      </c>
      <c r="J40" s="11" t="n">
        <v>0.2776</v>
      </c>
      <c r="L40" s="11" t="n">
        <v>-0.1231</v>
      </c>
      <c r="N40" s="11" t="n">
        <v>-0.6281</v>
      </c>
      <c r="P40" s="11" t="n">
        <v>0.295</v>
      </c>
      <c r="R40" s="11" t="n">
        <v>0.3988</v>
      </c>
      <c r="U40" s="11" t="n">
        <v>0.1191</v>
      </c>
      <c r="V40" s="11" t="n">
        <v>0.08740000000000001</v>
      </c>
      <c r="W40" s="11" t="n">
        <v>0.2776</v>
      </c>
      <c r="X40" s="11" t="n">
        <v>-0.6281</v>
      </c>
      <c r="Y40" s="11" t="n">
        <v>0.3988</v>
      </c>
    </row>
    <row r="41">
      <c r="A41" s="10" t="inlineStr">
        <is>
          <t>현금성자산 증감</t>
        </is>
      </c>
      <c r="D41" s="11" t="n">
        <v>4.2315</v>
      </c>
      <c r="F41" s="11" t="n">
        <v>5.2679</v>
      </c>
      <c r="H41" s="11" t="n">
        <v>5.5356</v>
      </c>
      <c r="J41" s="11" t="n">
        <v>11.2641</v>
      </c>
      <c r="L41" s="11" t="n">
        <v>-2.1473</v>
      </c>
      <c r="N41" s="11" t="n">
        <v>3.2798</v>
      </c>
      <c r="P41" s="11" t="n">
        <v>1.2491</v>
      </c>
      <c r="R41" s="11" t="n">
        <v>-15.6217</v>
      </c>
      <c r="U41" s="11" t="n">
        <v>4.2315</v>
      </c>
      <c r="V41" s="11" t="n">
        <v>5.2679</v>
      </c>
      <c r="W41" s="11" t="n">
        <v>11.2641</v>
      </c>
      <c r="X41" s="11" t="n">
        <v>3.2798</v>
      </c>
      <c r="Y41" s="11" t="n">
        <v>-15.6217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지뎁어드밴스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가이던스 FY5 27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매출</t>
        </is>
      </c>
      <c r="B6" s="11" t="n">
        <v>88.40000000000001</v>
      </c>
      <c r="C6" s="3" t="inlineStr">
        <is>
          <t>2단계 보고서 자료(회사 설명회 자료·공시)</t>
        </is>
      </c>
    </row>
    <row r="7">
      <c r="A7" s="14" t="inlineStr">
        <is>
          <t>영업이익</t>
        </is>
      </c>
      <c r="B7" s="11" t="n">
        <v>12.68</v>
      </c>
    </row>
    <row r="8">
      <c r="A8" s="14" t="inlineStr">
        <is>
          <t>순이익</t>
        </is>
      </c>
      <c r="B8" s="11" t="n">
        <v>8.289999999999999</v>
      </c>
    </row>
    <row r="9">
      <c r="A9" s="14" t="inlineStr">
        <is>
          <t>EPS</t>
        </is>
      </c>
      <c r="B9" s="11" t="n">
        <v>150.83</v>
      </c>
    </row>
    <row r="10">
      <c r="A10" s="14" t="inlineStr">
        <is>
          <t>dps</t>
        </is>
      </c>
      <c r="B10" s="15" t="n">
        <v>48</v>
      </c>
    </row>
    <row r="12">
      <c r="A12" s="12" t="inlineStr">
        <is>
          <t>1Q slide · 영업이익 증감 요인</t>
        </is>
      </c>
      <c r="B12" s="12" t="n"/>
      <c r="C12" s="12" t="n"/>
    </row>
    <row r="13">
      <c r="A13" s="13" t="inlineStr">
        <is>
          <t>항목</t>
        </is>
      </c>
      <c r="B13" s="13" t="inlineStr">
        <is>
          <t>값</t>
        </is>
      </c>
      <c r="C13" s="13" t="inlineStr">
        <is>
          <t>출처</t>
        </is>
      </c>
    </row>
    <row r="14">
      <c r="A14" s="14" t="inlineStr">
        <is>
          <t>증수</t>
        </is>
      </c>
      <c r="B14" s="11" t="n">
        <v>1.88</v>
      </c>
      <c r="C14" s="3" t="inlineStr">
        <is>
          <t>2단계 보고서 자료(회사 설명회 자료·공시)</t>
        </is>
      </c>
    </row>
    <row r="15">
      <c r="A15" s="14" t="inlineStr">
        <is>
          <t>매출총이익률</t>
        </is>
      </c>
      <c r="B15" s="11" t="n">
        <v>0.62</v>
      </c>
    </row>
    <row r="16">
      <c r="A16" s="14" t="inlineStr">
        <is>
          <t>인건비</t>
        </is>
      </c>
      <c r="B16" s="11" t="n">
        <v>-0.07000000000000001</v>
      </c>
    </row>
    <row r="17">
      <c r="A17" s="14" t="inlineStr">
        <is>
          <t>업무위탁비</t>
        </is>
      </c>
      <c r="B17" s="11" t="n">
        <v>-0.06</v>
      </c>
    </row>
    <row r="18">
      <c r="A18" s="14" t="inlineStr">
        <is>
          <t>기타</t>
        </is>
      </c>
      <c r="B18" s="11" t="n">
        <v>-0.07000000000000001</v>
      </c>
    </row>
    <row r="20">
      <c r="A20" s="12" t="inlineStr">
        <is>
          <t>1Q slide · industry mix 1Q 27</t>
        </is>
      </c>
      <c r="B20" s="12" t="n"/>
      <c r="C20" s="12" t="n"/>
    </row>
    <row r="21">
      <c r="A21" s="13" t="inlineStr">
        <is>
          <t>항목</t>
        </is>
      </c>
      <c r="B21" s="13" t="inlineStr">
        <is>
          <t>값</t>
        </is>
      </c>
      <c r="C21" s="13" t="inlineStr">
        <is>
          <t>출처</t>
        </is>
      </c>
    </row>
    <row r="22">
      <c r="A22" s="14" t="inlineStr">
        <is>
          <t>제조업</t>
        </is>
      </c>
      <c r="B22" s="11" t="n">
        <v>35.2</v>
      </c>
      <c r="C22" s="3" t="inlineStr">
        <is>
          <t>2단계 보고서 자료(회사 설명회 자료·공시)</t>
        </is>
      </c>
    </row>
    <row r="23">
      <c r="A23" s="14" t="inlineStr">
        <is>
          <t>대학</t>
        </is>
      </c>
      <c r="B23" s="11" t="n">
        <v>29.9</v>
      </c>
    </row>
    <row r="24">
      <c r="A24" s="14" t="inlineStr">
        <is>
          <t>자동차</t>
        </is>
      </c>
      <c r="B24" s="11" t="n">
        <v>11.5</v>
      </c>
    </row>
    <row r="25">
      <c r="A25" s="14" t="inlineStr">
        <is>
          <t>스타트업</t>
        </is>
      </c>
      <c r="B25" s="11" t="n">
        <v>7.2</v>
      </c>
    </row>
    <row r="26">
      <c r="A26" s="14" t="inlineStr">
        <is>
          <t>정보통신</t>
        </is>
      </c>
      <c r="B26" s="11" t="n">
        <v>4.6</v>
      </c>
    </row>
    <row r="27">
      <c r="A27" s="14" t="inlineStr">
        <is>
          <t>의료</t>
        </is>
      </c>
      <c r="B27" s="11" t="n">
        <v>3.2</v>
      </c>
    </row>
    <row r="29">
      <c r="A29" s="12" t="inlineStr">
        <is>
          <t>1Q slide · industry mix 1Q 26</t>
        </is>
      </c>
      <c r="B29" s="12" t="n"/>
      <c r="C29" s="12" t="n"/>
    </row>
    <row r="30">
      <c r="A30" s="13" t="inlineStr">
        <is>
          <t>항목</t>
        </is>
      </c>
      <c r="B30" s="13" t="inlineStr">
        <is>
          <t>값</t>
        </is>
      </c>
      <c r="C30" s="13" t="inlineStr">
        <is>
          <t>출처</t>
        </is>
      </c>
    </row>
    <row r="31">
      <c r="A31" s="14" t="inlineStr">
        <is>
          <t>대학</t>
        </is>
      </c>
      <c r="B31" s="11" t="n">
        <v>38.4</v>
      </c>
      <c r="C31" s="3" t="inlineStr">
        <is>
          <t>2단계 보고서 자료(회사 설명회 자료·공시)</t>
        </is>
      </c>
    </row>
    <row r="32">
      <c r="A32" s="14" t="inlineStr">
        <is>
          <t>제조업</t>
        </is>
      </c>
      <c r="B32" s="11" t="n">
        <v>25.6</v>
      </c>
    </row>
    <row r="33">
      <c r="A33" s="14" t="inlineStr">
        <is>
          <t>스타트업</t>
        </is>
      </c>
      <c r="B33" s="11" t="n">
        <v>10.7</v>
      </c>
    </row>
    <row r="34">
      <c r="A34" s="14" t="inlineStr">
        <is>
          <t>자동차</t>
        </is>
      </c>
      <c r="B34" s="11" t="n">
        <v>6.1</v>
      </c>
    </row>
    <row r="36">
      <c r="A36" s="12" t="inlineStr">
        <is>
          <t>bs · 상품재고</t>
        </is>
      </c>
      <c r="B36" s="12" t="n"/>
      <c r="C36" s="12" t="n"/>
    </row>
    <row r="37">
      <c r="A37" s="13" t="inlineStr">
        <is>
          <t>항목</t>
        </is>
      </c>
      <c r="B37" s="13" t="inlineStr">
        <is>
          <t>값</t>
        </is>
      </c>
      <c r="C37" s="13" t="inlineStr">
        <is>
          <t>출처</t>
        </is>
      </c>
    </row>
    <row r="38">
      <c r="A38" s="14" t="inlineStr">
        <is>
          <t>2025-05</t>
        </is>
      </c>
      <c r="B38" s="11" t="n">
        <v>9.609999999999999</v>
      </c>
      <c r="C38" s="3" t="inlineStr">
        <is>
          <t>2단계 보고서 자료(회사 설명회 자료·공시)</t>
        </is>
      </c>
    </row>
    <row r="39">
      <c r="A39" s="14" t="inlineStr">
        <is>
          <t>2026-05</t>
        </is>
      </c>
      <c r="B39" s="11" t="n">
        <v>20.25</v>
      </c>
    </row>
    <row r="40">
      <c r="A40" s="14" t="inlineStr">
        <is>
          <t>2026-08</t>
        </is>
      </c>
      <c r="B40" s="11" t="n">
        <v>20.54</v>
      </c>
    </row>
    <row r="42">
      <c r="A42" s="12" t="inlineStr">
        <is>
          <t>bs · 선급금</t>
        </is>
      </c>
      <c r="B42" s="12" t="n"/>
      <c r="C42" s="12" t="n"/>
    </row>
    <row r="43">
      <c r="A43" s="13" t="inlineStr">
        <is>
          <t>항목</t>
        </is>
      </c>
      <c r="B43" s="13" t="inlineStr">
        <is>
          <t>값</t>
        </is>
      </c>
      <c r="C43" s="13" t="inlineStr">
        <is>
          <t>출처</t>
        </is>
      </c>
    </row>
    <row r="44">
      <c r="A44" s="14" t="inlineStr">
        <is>
          <t>2026-05</t>
        </is>
      </c>
      <c r="B44" s="11" t="n">
        <v>15.97</v>
      </c>
      <c r="C44" s="3" t="inlineStr">
        <is>
          <t>2단계 보고서 자료(회사 설명회 자료·공시)</t>
        </is>
      </c>
    </row>
    <row r="45">
      <c r="A45" s="14" t="inlineStr">
        <is>
          <t>2026-08</t>
        </is>
      </c>
      <c r="B45" s="11" t="n">
        <v>16.09</v>
      </c>
    </row>
    <row r="47">
      <c r="A47" s="12" t="inlineStr">
        <is>
          <t>bs · 현금</t>
        </is>
      </c>
      <c r="B47" s="12" t="n"/>
      <c r="C47" s="12" t="n"/>
    </row>
    <row r="48">
      <c r="A48" s="13" t="inlineStr">
        <is>
          <t>항목</t>
        </is>
      </c>
      <c r="B48" s="13" t="inlineStr">
        <is>
          <t>값</t>
        </is>
      </c>
      <c r="C48" s="13" t="inlineStr">
        <is>
          <t>출처</t>
        </is>
      </c>
    </row>
    <row r="49">
      <c r="A49" s="14" t="inlineStr">
        <is>
          <t>2026-05</t>
        </is>
      </c>
      <c r="B49" s="11" t="n">
        <v>17.71</v>
      </c>
      <c r="C49" s="3" t="inlineStr">
        <is>
          <t>2단계 보고서 자료(회사 설명회 자료·공시)</t>
        </is>
      </c>
    </row>
    <row r="50">
      <c r="A50" s="14" t="inlineStr">
        <is>
          <t>2026-08</t>
        </is>
      </c>
      <c r="B50" s="11" t="n">
        <v>14.87</v>
      </c>
    </row>
    <row r="52">
      <c r="A52" s="12" t="inlineStr">
        <is>
          <t>PER band ttm</t>
        </is>
      </c>
      <c r="B52" s="12" t="n"/>
      <c r="C52" s="12" t="n"/>
    </row>
    <row r="53">
      <c r="A53" s="13" t="inlineStr">
        <is>
          <t>항목</t>
        </is>
      </c>
      <c r="B53" s="13" t="inlineStr">
        <is>
          <t>값</t>
        </is>
      </c>
      <c r="C53" s="13" t="inlineStr">
        <is>
          <t>출처</t>
        </is>
      </c>
    </row>
    <row r="54">
      <c r="A54" s="14" t="inlineStr">
        <is>
          <t>min</t>
        </is>
      </c>
      <c r="B54" s="11" t="n">
        <v>16.5</v>
      </c>
      <c r="C54" s="3" t="inlineStr">
        <is>
          <t>2단계 보고서 자료(회사 설명회 자료·공시)</t>
        </is>
      </c>
    </row>
    <row r="55">
      <c r="A55" s="14" t="inlineStr">
        <is>
          <t>max</t>
        </is>
      </c>
      <c r="B55" s="11" t="n">
        <v>34.4</v>
      </c>
    </row>
    <row r="56">
      <c r="A56" s="14" t="inlineStr">
        <is>
          <t>avg</t>
        </is>
      </c>
      <c r="B56" s="11" t="n">
        <v>24.8</v>
      </c>
    </row>
    <row r="57">
      <c r="A57" s="14" t="inlineStr">
        <is>
          <t>now</t>
        </is>
      </c>
      <c r="B57" s="11" t="n">
        <v>19.5</v>
      </c>
    </row>
    <row r="58">
      <c r="A58" s="14" t="inlineStr">
        <is>
          <t>pos %</t>
        </is>
      </c>
      <c r="B58" s="15" t="n">
        <v>17</v>
      </c>
    </row>
    <row r="60">
      <c r="A60" s="12" t="inlineStr">
        <is>
          <t>peers · 6597 HPC시스템즈 (6월 결산, 다음 11/13)</t>
        </is>
      </c>
      <c r="B60" s="12" t="n"/>
      <c r="C60" s="12" t="n"/>
    </row>
    <row r="61">
      <c r="A61" s="13" t="inlineStr">
        <is>
          <t>항목</t>
        </is>
      </c>
      <c r="B61" s="13" t="inlineStr">
        <is>
          <t>값</t>
        </is>
      </c>
      <c r="C61" s="13" t="inlineStr">
        <is>
          <t>출처</t>
        </is>
      </c>
    </row>
    <row r="62">
      <c r="A62" s="14" t="inlineStr">
        <is>
          <t>guid EPS</t>
        </is>
      </c>
      <c r="B62" s="11" t="n">
        <v>162.74</v>
      </c>
      <c r="C62" s="3" t="inlineStr">
        <is>
          <t>2단계 보고서 자료(회사 설명회 자료·공시)</t>
        </is>
      </c>
    </row>
    <row r="63">
      <c r="A63" s="14" t="inlineStr">
        <is>
          <t>가격</t>
        </is>
      </c>
      <c r="B63" s="15" t="n">
        <v>3080</v>
      </c>
    </row>
    <row r="64">
      <c r="A64" s="14" t="inlineStr">
        <is>
          <t>1y</t>
        </is>
      </c>
      <c r="B64" s="11" t="n">
        <v>65.59999999999999</v>
      </c>
    </row>
    <row r="66">
      <c r="A66" s="12" t="inlineStr">
        <is>
          <t>peers · 3778 사쿠라인터넷 (3월 결산, 다음 10/28)</t>
        </is>
      </c>
      <c r="B66" s="12" t="n"/>
      <c r="C66" s="12" t="n"/>
    </row>
    <row r="67">
      <c r="A67" s="13" t="inlineStr">
        <is>
          <t>항목</t>
        </is>
      </c>
      <c r="B67" s="13" t="inlineStr">
        <is>
          <t>값</t>
        </is>
      </c>
      <c r="C67" s="13" t="inlineStr">
        <is>
          <t>출처</t>
        </is>
      </c>
    </row>
    <row r="68">
      <c r="A68" s="14" t="inlineStr">
        <is>
          <t>guid EPS</t>
        </is>
      </c>
      <c r="B68" s="11" t="n">
        <v>37.46</v>
      </c>
      <c r="C68" s="3" t="inlineStr">
        <is>
          <t>2단계 보고서 자료(회사 설명회 자료·공시)</t>
        </is>
      </c>
    </row>
    <row r="69">
      <c r="A69" s="14" t="inlineStr">
        <is>
          <t>가격</t>
        </is>
      </c>
      <c r="B69" s="15" t="n">
        <v>2936</v>
      </c>
    </row>
    <row r="70">
      <c r="A70" s="14" t="inlineStr">
        <is>
          <t>1y</t>
        </is>
      </c>
      <c r="B70" s="11" t="n">
        <v>-14.4</v>
      </c>
    </row>
    <row r="72">
      <c r="A72" s="12" t="inlineStr">
        <is>
          <t>peers · 3687 픽스타즈 (9월 결산, 다음 11/6)</t>
        </is>
      </c>
      <c r="B72" s="12" t="n"/>
      <c r="C72" s="12" t="n"/>
    </row>
    <row r="73">
      <c r="A73" s="13" t="inlineStr">
        <is>
          <t>항목</t>
        </is>
      </c>
      <c r="B73" s="13" t="inlineStr">
        <is>
          <t>값</t>
        </is>
      </c>
      <c r="C73" s="13" t="inlineStr">
        <is>
          <t>출처</t>
        </is>
      </c>
    </row>
    <row r="74">
      <c r="A74" s="14" t="inlineStr">
        <is>
          <t>guid EPS</t>
        </is>
      </c>
      <c r="B74" s="11" t="n">
        <v>60.39</v>
      </c>
      <c r="C74" s="3" t="inlineStr">
        <is>
          <t>2단계 보고서 자료(회사 설명회 자료·공시)</t>
        </is>
      </c>
    </row>
    <row r="75">
      <c r="A75" s="14" t="inlineStr">
        <is>
          <t>가격</t>
        </is>
      </c>
      <c r="B75" s="15" t="n">
        <v>1872</v>
      </c>
    </row>
    <row r="76">
      <c r="A76" s="14" t="inlineStr">
        <is>
          <t>1y</t>
        </is>
      </c>
      <c r="B76" s="11" t="n">
        <v>-2.8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2026-10-14</t>
        </is>
      </c>
      <c r="B4" t="inlineStr">
        <is>
          <t>2027년 5월 결산기 １분기 결산단신</t>
        </is>
      </c>
      <c r="C4" t="inlineStr">
        <is>
          <t>https://www2.jpx.co.jp/disc/58850/140120261013549914.pdf</t>
        </is>
      </c>
    </row>
    <row r="5">
      <c r="A5" t="inlineStr">
        <is>
          <t>2026-07-14</t>
        </is>
      </c>
      <c r="B5" t="inlineStr">
        <is>
          <t>2026년 5월 결산기 연간 결산단신</t>
        </is>
      </c>
      <c r="C5" t="inlineStr">
        <is>
          <t>https://www2.jpx.co.jp/disc/58850/140120260713592187.pdf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https://www2.jpx.co.jp/disc/58850/140120260413502444.pdf</t>
        </is>
      </c>
    </row>
    <row r="7">
      <c r="A7" t="inlineStr">
        <is>
          <t>2026-01-14</t>
        </is>
      </c>
      <c r="B7" t="inlineStr">
        <is>
          <t>2026년 5월 결산기 2분기 결산단신</t>
        </is>
      </c>
      <c r="C7" t="inlineStr">
        <is>
          <t>https://www2.jpx.co.jp/disc/58850/140120260113532747.pdf</t>
        </is>
      </c>
    </row>
    <row r="8">
      <c r="A8" t="inlineStr">
        <is>
          <t>2025-10-14</t>
        </is>
      </c>
      <c r="B8" t="inlineStr">
        <is>
          <t>2026년 5월 결산기 1분기 결산단신</t>
        </is>
      </c>
      <c r="C8" t="inlineStr">
        <is>
          <t>https://www2.jpx.co.jp/disc/58850/140120251010571719.pdf</t>
        </is>
      </c>
    </row>
    <row r="9">
      <c r="A9" t="inlineStr">
        <is>
          <t>2025-07-14</t>
        </is>
      </c>
      <c r="B9" t="inlineStr">
        <is>
          <t>2025년 5월 결산기 연간 결산단신</t>
        </is>
      </c>
      <c r="C9" t="inlineStr">
        <is>
          <t>https://www2.jpx.co.jp/disc/58850/140120250711512985.pdf</t>
        </is>
      </c>
    </row>
    <row r="10">
      <c r="A10" t="inlineStr">
        <is>
          <t>2025-04-14</t>
        </is>
      </c>
      <c r="B10" t="inlineStr">
        <is>
          <t>2025년 5월 결산기 3분기 결산단신</t>
        </is>
      </c>
      <c r="C10" t="inlineStr">
        <is>
          <t>https://www2.jpx.co.jp/disc/58850/140120250410513058.pdf</t>
        </is>
      </c>
    </row>
    <row r="11">
      <c r="A11" t="inlineStr">
        <is>
          <t>2025-01-14</t>
        </is>
      </c>
      <c r="B11" t="inlineStr">
        <is>
          <t>2025년 5월 결산기 2분기 결산단신</t>
        </is>
      </c>
      <c r="C11" t="inlineStr">
        <is>
          <t>https://www2.jpx.co.jp/disc/58850/140120250110549472.pdf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https://www2.jpx.co.jp/disc/58850/140120241010596118.pdf</t>
        </is>
      </c>
    </row>
    <row r="13">
      <c r="A13" t="inlineStr">
        <is>
          <t>2024-07-12</t>
        </is>
      </c>
      <c r="B13" t="inlineStr">
        <is>
          <t>2024년 5월 결산기 연간 결산단신</t>
        </is>
      </c>
      <c r="C13" t="inlineStr">
        <is>
          <t>https://www2.jpx.co.jp/disc/58850/140120240711547526.pdf</t>
        </is>
      </c>
    </row>
    <row r="14">
      <c r="A14" t="inlineStr">
        <is>
          <t>2024-04-12</t>
        </is>
      </c>
      <c r="B14" t="inlineStr">
        <is>
          <t>2024년 5월 결산기 3분기 결산단신</t>
        </is>
      </c>
      <c r="C14" t="inlineStr">
        <is>
          <t>https://www2.jpx.co.jp/disc/58850/140120240410568516.pdf</t>
        </is>
      </c>
    </row>
    <row r="15">
      <c r="A15" t="inlineStr">
        <is>
          <t>2024-01-12</t>
        </is>
      </c>
      <c r="B15" t="inlineStr">
        <is>
          <t>2024년 5월 결산기 2분기 결산단신</t>
        </is>
      </c>
      <c r="C15" t="inlineStr">
        <is>
          <t>https://www2.jpx.co.jp/disc/58850/140120240111513799.pdf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https://www2.jpx.co.jp/disc/58850/140120231012565459.pdf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https://www2.jpx.co.jp/disc/58850/140120230713521379.pdf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2026-10-25T06:59:11Z</dcterms:created>
  <dcterms:modified xmlns:dcterms="http://purl.org/dc/terms/" xmlns:xsi="http://www.w3.org/2001/XMLSchema-instance" xsi:type="dcterms:W3CDTF">2026-10-25T06:59:11Z</dcterms:modified>
</cp:coreProperties>
</file>