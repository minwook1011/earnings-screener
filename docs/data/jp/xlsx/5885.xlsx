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지뎁어드밴스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5월 결산 · 일본 기준 · 2027.1Q = 2027년 5월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1167.31</v>
      </c>
      <c r="D4" s="12" t="n">
        <v>1372.827</v>
      </c>
      <c r="E4" s="12" t="n">
        <v>1162.664</v>
      </c>
      <c r="F4" s="12" t="n">
        <v>1249.213</v>
      </c>
      <c r="G4" s="12" t="n">
        <v>2745.905</v>
      </c>
      <c r="H4" s="12" t="n">
        <v>1444.214</v>
      </c>
      <c r="I4" s="12" t="n">
        <v>1191.599</v>
      </c>
      <c r="J4" s="12" t="n">
        <v>948.848</v>
      </c>
      <c r="K4" s="12" t="n">
        <v>2134.967</v>
      </c>
      <c r="L4" s="12" t="n">
        <v>1575.765</v>
      </c>
      <c r="M4" s="12" t="n">
        <v>2289.43</v>
      </c>
      <c r="N4" s="12" t="n">
        <v>1541.91</v>
      </c>
      <c r="O4" s="11" t="n"/>
      <c r="P4" s="12" t="n"/>
      <c r="Q4" s="12" t="n"/>
      <c r="R4" s="12" t="n"/>
      <c r="S4" s="12" t="n"/>
      <c r="T4" s="12" t="n">
        <v>3491.177</v>
      </c>
      <c r="U4" s="12" t="n">
        <v>3778.824</v>
      </c>
      <c r="V4" s="12" t="n">
        <v>4421.64</v>
      </c>
      <c r="W4" s="12" t="n">
        <v>6630.931</v>
      </c>
      <c r="X4" s="12" t="n">
        <v>6949.01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937.576</v>
      </c>
      <c r="D11" s="22" t="n">
        <v>1084.481</v>
      </c>
      <c r="E11" s="22" t="n">
        <v>845.865</v>
      </c>
      <c r="F11" s="22" t="n">
        <v>969.576</v>
      </c>
      <c r="G11" s="22" t="n">
        <v>2310.711</v>
      </c>
      <c r="H11" s="22" t="n">
        <v>1124.408</v>
      </c>
      <c r="I11" s="22" t="n">
        <v>888.663</v>
      </c>
      <c r="J11" s="22" t="n">
        <v>646.727</v>
      </c>
      <c r="K11" s="22" t="n">
        <v>1551.798</v>
      </c>
      <c r="L11" s="22" t="n">
        <v>1256.871</v>
      </c>
      <c r="M11" s="22" t="n">
        <v>1757.972</v>
      </c>
      <c r="N11" s="22" t="n">
        <v>988.879</v>
      </c>
      <c r="O11" s="21" t="n"/>
      <c r="P11" s="22" t="n"/>
      <c r="Q11" s="22" t="n"/>
      <c r="R11" s="22" t="n"/>
      <c r="S11" s="22" t="n"/>
      <c r="T11" s="22" t="n">
        <v>2751.104</v>
      </c>
      <c r="U11" s="22" t="n">
        <v>2877.098</v>
      </c>
      <c r="V11" s="22" t="n">
        <v>3391.52</v>
      </c>
      <c r="W11" s="22" t="n">
        <v>5293.358</v>
      </c>
      <c r="X11" s="22" t="n">
        <v>5213.368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79.977</v>
      </c>
      <c r="D17" s="22" t="n">
        <v>97.22</v>
      </c>
      <c r="E17" s="22" t="n">
        <v>106.657</v>
      </c>
      <c r="F17" s="22" t="n">
        <v>103.293</v>
      </c>
      <c r="G17" s="22" t="n">
        <v>112.997</v>
      </c>
      <c r="H17" s="22" t="n">
        <v>118.688</v>
      </c>
      <c r="I17" s="22" t="n">
        <v>162.684</v>
      </c>
      <c r="J17" s="22" t="n">
        <v>135.206</v>
      </c>
      <c r="K17" s="22" t="n">
        <v>136.338</v>
      </c>
      <c r="L17" s="22" t="n">
        <v>121.374</v>
      </c>
      <c r="M17" s="22" t="n">
        <v>225.313</v>
      </c>
      <c r="N17" s="22" t="n">
        <v>146.225</v>
      </c>
      <c r="O17" s="21" t="n"/>
      <c r="P17" s="22" t="n"/>
      <c r="Q17" s="22" t="n"/>
      <c r="R17" s="22" t="n"/>
      <c r="S17" s="22" t="n"/>
      <c r="T17" s="22" t="n">
        <v>334.499</v>
      </c>
      <c r="U17" s="22" t="n">
        <v>344.849</v>
      </c>
      <c r="V17" s="22" t="n">
        <v>367.268</v>
      </c>
      <c r="W17" s="22" t="n">
        <v>497.662</v>
      </c>
      <c r="X17" s="22" t="n">
        <v>618.231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149.756</v>
      </c>
      <c r="D19" s="12" t="n">
        <v>191.128</v>
      </c>
      <c r="E19" s="12" t="n">
        <v>210.142</v>
      </c>
      <c r="F19" s="12" t="n">
        <v>176.342</v>
      </c>
      <c r="G19" s="12" t="n">
        <v>322.198</v>
      </c>
      <c r="H19" s="12" t="n">
        <v>201.118</v>
      </c>
      <c r="I19" s="12" t="n">
        <v>140.252</v>
      </c>
      <c r="J19" s="12" t="n">
        <v>166.914</v>
      </c>
      <c r="K19" s="12" t="n">
        <v>446.831</v>
      </c>
      <c r="L19" s="12" t="n">
        <v>197.52</v>
      </c>
      <c r="M19" s="12" t="n">
        <v>306.145</v>
      </c>
      <c r="N19" s="12" t="n">
        <v>406.806</v>
      </c>
      <c r="O19" s="11" t="n"/>
      <c r="P19" s="12" t="n"/>
      <c r="Q19" s="12" t="n"/>
      <c r="R19" s="12" t="n"/>
      <c r="S19" s="12" t="n"/>
      <c r="T19" s="12" t="n">
        <v>405.573</v>
      </c>
      <c r="U19" s="12" t="n">
        <v>556.876</v>
      </c>
      <c r="V19" s="12" t="n">
        <v>662.852</v>
      </c>
      <c r="W19" s="12" t="n">
        <v>839.91</v>
      </c>
      <c r="X19" s="12" t="n">
        <v>1117.41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>
        <v>0</v>
      </c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/>
      <c r="R37" s="22" t="n"/>
      <c r="S37" s="22" t="n"/>
      <c r="T37" s="22" t="n">
        <v>0</v>
      </c>
      <c r="U37" s="22" t="n">
        <v>0.062</v>
      </c>
      <c r="V37" s="22" t="n">
        <v>0</v>
      </c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-0.743</v>
      </c>
      <c r="D39" s="22" t="n">
        <v>13.59</v>
      </c>
      <c r="E39" s="22" t="n">
        <v>-8.763</v>
      </c>
      <c r="F39" s="22" t="n">
        <v>1.23</v>
      </c>
      <c r="G39" s="22" t="n">
        <v>2.675</v>
      </c>
      <c r="H39" s="22" t="n">
        <v>4.591</v>
      </c>
      <c r="I39" s="22" t="n">
        <v>10.457</v>
      </c>
      <c r="J39" s="22" t="n">
        <v>31.139</v>
      </c>
      <c r="K39" s="22" t="n">
        <v>4.183</v>
      </c>
      <c r="L39" s="22" t="n">
        <v>6.754</v>
      </c>
      <c r="M39" s="22" t="n">
        <v>11.261</v>
      </c>
      <c r="N39" s="22" t="n">
        <v>5.307</v>
      </c>
      <c r="O39" s="21" t="n"/>
      <c r="P39" s="22" t="n"/>
      <c r="Q39" s="22" t="n"/>
      <c r="R39" s="22" t="n"/>
      <c r="S39" s="22" t="n"/>
      <c r="T39" s="22" t="n">
        <v>42.113</v>
      </c>
      <c r="U39" s="22" t="n">
        <v>18.808</v>
      </c>
      <c r="V39" s="22" t="n">
        <v>9.733000000000001</v>
      </c>
      <c r="W39" s="22" t="n">
        <v>18.953</v>
      </c>
      <c r="X39" s="22" t="n">
        <v>53.337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0</v>
      </c>
      <c r="D41" s="22" t="n">
        <v>0</v>
      </c>
      <c r="E41" s="22" t="n">
        <v>0</v>
      </c>
      <c r="F41" s="22" t="n">
        <v>13.242</v>
      </c>
      <c r="G41" s="22" t="n">
        <v>-7.954</v>
      </c>
      <c r="H41" s="22" t="n">
        <v>25.2</v>
      </c>
      <c r="I41" s="22" t="n">
        <v>32.288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/>
      <c r="O41" s="21" t="n"/>
      <c r="P41" s="22" t="n"/>
      <c r="Q41" s="22" t="n"/>
      <c r="R41" s="22" t="n"/>
      <c r="S41" s="22" t="n"/>
      <c r="T41" s="22" t="n">
        <v>0.047</v>
      </c>
      <c r="U41" s="22" t="n">
        <v>6.729</v>
      </c>
      <c r="V41" s="22" t="n">
        <v>20.086</v>
      </c>
      <c r="W41" s="22" t="n">
        <v>62.776</v>
      </c>
      <c r="X41" s="22" t="n">
        <v>0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149.013</v>
      </c>
      <c r="D43" s="12" t="n">
        <v>204.718</v>
      </c>
      <c r="E43" s="12" t="n">
        <v>201.379</v>
      </c>
      <c r="F43" s="12" t="n">
        <v>164.331</v>
      </c>
      <c r="G43" s="12" t="n">
        <v>332.827</v>
      </c>
      <c r="H43" s="12" t="n">
        <v>180.509</v>
      </c>
      <c r="I43" s="12" t="n">
        <v>118.42</v>
      </c>
      <c r="J43" s="12" t="n">
        <v>198.054</v>
      </c>
      <c r="K43" s="12" t="n">
        <v>451.014</v>
      </c>
      <c r="L43" s="12" t="n">
        <v>204.274</v>
      </c>
      <c r="M43" s="12" t="n">
        <v>317.406</v>
      </c>
      <c r="N43" s="12" t="n">
        <v>412.113</v>
      </c>
      <c r="O43" s="11" t="n"/>
      <c r="P43" s="12" t="n"/>
      <c r="Q43" s="12" t="n"/>
      <c r="R43" s="12" t="n"/>
      <c r="S43" s="12" t="n"/>
      <c r="T43" s="12" t="n">
        <v>447.639</v>
      </c>
      <c r="U43" s="12" t="n">
        <v>568.893</v>
      </c>
      <c r="V43" s="12" t="n">
        <v>652.499</v>
      </c>
      <c r="W43" s="12" t="n">
        <v>796.087</v>
      </c>
      <c r="X43" s="12" t="n">
        <v>1170.748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45.613</v>
      </c>
      <c r="D45" s="22" t="n">
        <v>62.666</v>
      </c>
      <c r="E45" s="22" t="n">
        <v>82.107</v>
      </c>
      <c r="F45" s="22" t="n">
        <v>50.455</v>
      </c>
      <c r="G45" s="22" t="n">
        <v>102.565</v>
      </c>
      <c r="H45" s="22" t="n">
        <v>55.898</v>
      </c>
      <c r="I45" s="22" t="n">
        <v>50.365</v>
      </c>
      <c r="J45" s="22" t="n">
        <v>62.307</v>
      </c>
      <c r="K45" s="22" t="n">
        <v>138.452</v>
      </c>
      <c r="L45" s="22" t="n">
        <v>63.187</v>
      </c>
      <c r="M45" s="22" t="n">
        <v>120.236</v>
      </c>
      <c r="N45" s="22" t="n">
        <v>137.752</v>
      </c>
      <c r="O45" s="21" t="n"/>
      <c r="P45" s="22" t="n"/>
      <c r="Q45" s="22" t="n"/>
      <c r="R45" s="22" t="n"/>
      <c r="S45" s="22" t="n"/>
      <c r="T45" s="22" t="n">
        <v>164.461</v>
      </c>
      <c r="U45" s="22" t="n">
        <v>190.599</v>
      </c>
      <c r="V45" s="22" t="n">
        <v>220.198</v>
      </c>
      <c r="W45" s="22" t="n">
        <v>259.283</v>
      </c>
      <c r="X45" s="22" t="n">
        <v>384.182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103.4</v>
      </c>
      <c r="D47" s="12" t="n">
        <v>142.051</v>
      </c>
      <c r="E47" s="12" t="n">
        <v>119.273</v>
      </c>
      <c r="F47" s="12" t="n">
        <v>113.876</v>
      </c>
      <c r="G47" s="12" t="n">
        <v>230.262</v>
      </c>
      <c r="H47" s="12" t="n">
        <v>124.61</v>
      </c>
      <c r="I47" s="12" t="n">
        <v>68.056</v>
      </c>
      <c r="J47" s="12" t="n">
        <v>135.746</v>
      </c>
      <c r="K47" s="12" t="n">
        <v>312.562</v>
      </c>
      <c r="L47" s="12" t="n">
        <v>141.087</v>
      </c>
      <c r="M47" s="12" t="n">
        <v>197.17</v>
      </c>
      <c r="N47" s="12" t="n">
        <v>274.36</v>
      </c>
      <c r="O47" s="11" t="n"/>
      <c r="P47" s="12" t="n"/>
      <c r="Q47" s="12" t="n"/>
      <c r="R47" s="12" t="n"/>
      <c r="S47" s="12" t="n"/>
      <c r="T47" s="12" t="n">
        <v>283.178</v>
      </c>
      <c r="U47" s="12" t="n">
        <v>378.294</v>
      </c>
      <c r="V47" s="12" t="n">
        <v>432.301</v>
      </c>
      <c r="W47" s="12" t="n">
        <v>536.804</v>
      </c>
      <c r="X47" s="12" t="n">
        <v>786.5650000000001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103.4</v>
      </c>
      <c r="D49" s="12" t="n">
        <v>142.051</v>
      </c>
      <c r="E49" s="12" t="n">
        <v>119.273</v>
      </c>
      <c r="F49" s="12" t="n">
        <v>113.876</v>
      </c>
      <c r="G49" s="12" t="n">
        <v>230.262</v>
      </c>
      <c r="H49" s="12" t="n">
        <v>124.61</v>
      </c>
      <c r="I49" s="12" t="n">
        <v>68.056</v>
      </c>
      <c r="J49" s="12" t="n">
        <v>135.746</v>
      </c>
      <c r="K49" s="12" t="n">
        <v>312.562</v>
      </c>
      <c r="L49" s="12" t="n">
        <v>141.087</v>
      </c>
      <c r="M49" s="12" t="n">
        <v>197.17</v>
      </c>
      <c r="N49" s="12" t="n">
        <v>274.36</v>
      </c>
      <c r="O49" s="11" t="n"/>
      <c r="P49" s="12" t="n"/>
      <c r="Q49" s="12" t="n"/>
      <c r="R49" s="12" t="n"/>
      <c r="S49" s="12" t="n"/>
      <c r="T49" s="12" t="n">
        <v>283.178</v>
      </c>
      <c r="U49" s="12" t="n">
        <v>378.294</v>
      </c>
      <c r="V49" s="12" t="n">
        <v>432.301</v>
      </c>
      <c r="W49" s="12" t="n">
        <v>536.804</v>
      </c>
      <c r="X49" s="12" t="n">
        <v>786.5650000000001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(2026.10.28)</t>
        </is>
      </c>
      <c r="B53" s="29" t="n">
        <v>3280</v>
      </c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>
        <v>5498400</v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 2026.10.28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1167.31</v>
      </c>
      <c r="D84" s="12" t="n">
        <v>1372.827</v>
      </c>
      <c r="E84" s="12" t="n">
        <v>1162.664</v>
      </c>
      <c r="F84" s="12" t="n">
        <v>1249.213</v>
      </c>
      <c r="G84" s="12" t="n">
        <v>2745.905</v>
      </c>
      <c r="H84" s="12" t="n">
        <v>1444.214</v>
      </c>
      <c r="I84" s="12" t="n">
        <v>1191.599</v>
      </c>
      <c r="J84" s="12" t="n">
        <v>948.848</v>
      </c>
      <c r="K84" s="12" t="n">
        <v>2134.967</v>
      </c>
      <c r="L84" s="12" t="n">
        <v>1575.765</v>
      </c>
      <c r="M84" s="12" t="n">
        <v>2289.43</v>
      </c>
      <c r="N84" s="12" t="n">
        <v>1541.91</v>
      </c>
      <c r="U84" s="12" t="n">
        <v>830.848</v>
      </c>
      <c r="V84" s="12" t="n">
        <v>1162.664</v>
      </c>
      <c r="W84" s="12" t="n">
        <v>1191.599</v>
      </c>
      <c r="X84" s="12" t="n">
        <v>2289.43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937.576</v>
      </c>
      <c r="D86" s="22" t="n">
        <v>1084.481</v>
      </c>
      <c r="E86" s="22" t="n">
        <v>845.865</v>
      </c>
      <c r="F86" s="22" t="n">
        <v>969.576</v>
      </c>
      <c r="G86" s="22" t="n">
        <v>2310.711</v>
      </c>
      <c r="H86" s="22" t="n">
        <v>1124.408</v>
      </c>
      <c r="I86" s="22" t="n">
        <v>888.663</v>
      </c>
      <c r="J86" s="22" t="n">
        <v>646.727</v>
      </c>
      <c r="K86" s="22" t="n">
        <v>1551.798</v>
      </c>
      <c r="L86" s="22" t="n">
        <v>1256.871</v>
      </c>
      <c r="M86" s="22" t="n">
        <v>1757.972</v>
      </c>
      <c r="N86" s="22" t="n">
        <v>988.879</v>
      </c>
      <c r="U86" s="22" t="n">
        <v>622.772</v>
      </c>
      <c r="V86" s="22" t="n">
        <v>845.865</v>
      </c>
      <c r="W86" s="22" t="n">
        <v>888.663</v>
      </c>
      <c r="X86" s="22" t="n">
        <v>1757.972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229.734</v>
      </c>
      <c r="D88" s="12" t="n">
        <v>288.347</v>
      </c>
      <c r="E88" s="12" t="n">
        <v>316.799</v>
      </c>
      <c r="F88" s="12" t="n">
        <v>279.636</v>
      </c>
      <c r="G88" s="12" t="n">
        <v>435.195</v>
      </c>
      <c r="H88" s="12" t="n">
        <v>319.806</v>
      </c>
      <c r="I88" s="12" t="n">
        <v>302.935</v>
      </c>
      <c r="J88" s="12" t="n">
        <v>302.12</v>
      </c>
      <c r="K88" s="12" t="n">
        <v>583.17</v>
      </c>
      <c r="L88" s="12" t="n">
        <v>318.893</v>
      </c>
      <c r="M88" s="12" t="n">
        <v>531.458</v>
      </c>
      <c r="N88" s="12" t="n">
        <v>553.0309999999999</v>
      </c>
      <c r="U88" s="12" t="n">
        <v>208.077</v>
      </c>
      <c r="V88" s="12" t="n">
        <v>316.799</v>
      </c>
      <c r="W88" s="12" t="n">
        <v>302.935</v>
      </c>
      <c r="X88" s="12" t="n">
        <v>531.458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79.977</v>
      </c>
      <c r="D90" s="22" t="n">
        <v>97.22</v>
      </c>
      <c r="E90" s="22" t="n">
        <v>106.657</v>
      </c>
      <c r="F90" s="22" t="n">
        <v>103.293</v>
      </c>
      <c r="G90" s="22" t="n">
        <v>112.997</v>
      </c>
      <c r="H90" s="22" t="n">
        <v>118.688</v>
      </c>
      <c r="I90" s="22" t="n">
        <v>162.684</v>
      </c>
      <c r="J90" s="22" t="n">
        <v>135.206</v>
      </c>
      <c r="K90" s="22" t="n">
        <v>136.338</v>
      </c>
      <c r="L90" s="22" t="n">
        <v>121.374</v>
      </c>
      <c r="M90" s="22" t="n">
        <v>225.313</v>
      </c>
      <c r="N90" s="22" t="n">
        <v>146.225</v>
      </c>
      <c r="U90" s="22" t="n">
        <v>129.243</v>
      </c>
      <c r="V90" s="22" t="n">
        <v>106.657</v>
      </c>
      <c r="W90" s="22" t="n">
        <v>162.684</v>
      </c>
      <c r="X90" s="22" t="n">
        <v>225.313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149.756</v>
      </c>
      <c r="D92" s="12" t="n">
        <v>191.128</v>
      </c>
      <c r="E92" s="12" t="n">
        <v>210.142</v>
      </c>
      <c r="F92" s="12" t="n">
        <v>176.342</v>
      </c>
      <c r="G92" s="12" t="n">
        <v>322.198</v>
      </c>
      <c r="H92" s="12" t="n">
        <v>201.118</v>
      </c>
      <c r="I92" s="12" t="n">
        <v>140.252</v>
      </c>
      <c r="J92" s="12" t="n">
        <v>166.914</v>
      </c>
      <c r="K92" s="12" t="n">
        <v>446.831</v>
      </c>
      <c r="L92" s="12" t="n">
        <v>197.52</v>
      </c>
      <c r="M92" s="12" t="n">
        <v>306.145</v>
      </c>
      <c r="N92" s="12" t="n">
        <v>406.806</v>
      </c>
      <c r="U92" s="12" t="n">
        <v>78.833</v>
      </c>
      <c r="V92" s="12" t="n">
        <v>210.142</v>
      </c>
      <c r="W92" s="12" t="n">
        <v>140.252</v>
      </c>
      <c r="X92" s="12" t="n">
        <v>306.145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외환차익</t>
        </is>
      </c>
      <c r="C95" s="22" t="n">
        <v>-0.84</v>
      </c>
      <c r="D95" s="22" t="n">
        <v>13.574</v>
      </c>
      <c r="E95" s="22" t="n">
        <v>-9.25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22.907</v>
      </c>
      <c r="K95" s="22" t="n">
        <v>4.181</v>
      </c>
      <c r="L95" s="22" t="n">
        <v>3.626</v>
      </c>
      <c r="M95" s="22" t="n">
        <v>10.974</v>
      </c>
      <c r="N95" s="22" t="n">
        <v>2.453</v>
      </c>
      <c r="U95" s="22" t="n">
        <v>2.256</v>
      </c>
      <c r="V95" s="22" t="n">
        <v>-9.25</v>
      </c>
      <c r="W95" s="22" t="n">
        <v>0</v>
      </c>
      <c r="X95" s="22" t="n">
        <v>10.974</v>
      </c>
    </row>
    <row r="96">
      <c r="A96" s="20" t="inlineStr">
        <is>
          <t>이자수익</t>
        </is>
      </c>
      <c r="C96" s="22" t="n">
        <v>0</v>
      </c>
      <c r="D96" s="22" t="n">
        <v>0.016</v>
      </c>
      <c r="E96" s="22" t="n">
        <v>0</v>
      </c>
      <c r="F96" s="22" t="n">
        <v>1.035</v>
      </c>
      <c r="G96" s="22" t="n">
        <v>2.663</v>
      </c>
      <c r="H96" s="22" t="n">
        <v>4.591</v>
      </c>
      <c r="I96" s="22" t="n">
        <v>9.954000000000001</v>
      </c>
      <c r="J96" s="22" t="n">
        <v>8.202999999999999</v>
      </c>
      <c r="K96" s="22" t="n">
        <v>0.002</v>
      </c>
      <c r="L96" s="22" t="n">
        <v>3.127</v>
      </c>
      <c r="M96" s="22" t="n">
        <v>0.003</v>
      </c>
      <c r="N96" s="22" t="n">
        <v>2.854</v>
      </c>
      <c r="V96" s="22" t="n">
        <v>0</v>
      </c>
      <c r="W96" s="22" t="n">
        <v>9.954000000000001</v>
      </c>
      <c r="X96" s="22" t="n">
        <v>0.003</v>
      </c>
    </row>
    <row r="97">
      <c r="A97" s="20" t="inlineStr">
        <is>
          <t>기타</t>
        </is>
      </c>
      <c r="C97" s="22" t="n">
        <v>0.097</v>
      </c>
      <c r="D97" s="22" t="n">
        <v>0</v>
      </c>
      <c r="E97" s="22" t="n">
        <v>0.486</v>
      </c>
      <c r="F97" s="22" t="n">
        <v>0.194</v>
      </c>
      <c r="G97" s="22" t="n">
        <v>0.013</v>
      </c>
      <c r="H97" s="22" t="n">
        <v>0</v>
      </c>
      <c r="I97" s="22" t="n">
        <v>0.503</v>
      </c>
      <c r="J97" s="22" t="n">
        <v>0.028</v>
      </c>
      <c r="K97" s="22" t="n">
        <v>0</v>
      </c>
      <c r="L97" s="22" t="n">
        <v>0</v>
      </c>
      <c r="M97" s="22" t="n">
        <v>0.285</v>
      </c>
      <c r="N97" s="22" t="n">
        <v>0</v>
      </c>
      <c r="U97" s="22" t="n">
        <v>0.096</v>
      </c>
      <c r="V97" s="22" t="n">
        <v>0.486</v>
      </c>
      <c r="W97" s="22" t="n">
        <v>0.503</v>
      </c>
      <c r="X97" s="22" t="n">
        <v>0.285</v>
      </c>
    </row>
    <row r="98">
      <c r="A98" s="20" t="inlineStr">
        <is>
          <t>영업외수익 합계</t>
        </is>
      </c>
      <c r="C98" s="22" t="n">
        <v>-0.743</v>
      </c>
      <c r="D98" s="22" t="n">
        <v>13.59</v>
      </c>
      <c r="E98" s="22" t="n">
        <v>-8.763</v>
      </c>
      <c r="F98" s="22" t="n">
        <v>1.23</v>
      </c>
      <c r="G98" s="22" t="n">
        <v>2.675</v>
      </c>
      <c r="H98" s="22" t="n">
        <v>4.591</v>
      </c>
      <c r="I98" s="22" t="n">
        <v>10.457</v>
      </c>
      <c r="J98" s="22" t="n">
        <v>31.139</v>
      </c>
      <c r="K98" s="22" t="n">
        <v>4.183</v>
      </c>
      <c r="L98" s="22" t="n">
        <v>6.754</v>
      </c>
      <c r="M98" s="22" t="n">
        <v>11.261</v>
      </c>
      <c r="N98" s="22" t="n">
        <v>5.307</v>
      </c>
      <c r="U98" s="22" t="n">
        <v>2.353</v>
      </c>
      <c r="V98" s="22" t="n">
        <v>-8.763</v>
      </c>
      <c r="W98" s="22" t="n">
        <v>10.457</v>
      </c>
      <c r="X98" s="22" t="n">
        <v>11.261</v>
      </c>
    </row>
    <row r="99">
      <c r="A99" s="45" t="inlineStr">
        <is>
          <t>YoY</t>
        </is>
      </c>
      <c r="B99" s="3" t="inlineStr">
        <is>
          <t>전년 같은 분기·전년 대비</t>
        </is>
      </c>
      <c r="G99" s="17">
        <f>IF(OR(G98="",C98=""),"",IF(G98*C98&lt;=0,"",IFERROR(G98/C98-1,"")))</f>
        <v/>
      </c>
      <c r="H99" s="17">
        <f>IF(OR(H98="",D98=""),"",IF(H98*D98&lt;=0,"",IFERROR(H98/D98-1,"")))</f>
        <v/>
      </c>
      <c r="I99" s="17">
        <f>IF(OR(I98="",E98=""),"",IF(I98*E98&lt;=0,"",IFERROR(I98/E98-1,"")))</f>
        <v/>
      </c>
      <c r="J99" s="17">
        <f>IF(OR(J98="",F98=""),"",IF(J98*F98&lt;=0,"",IFERROR(J98/F98-1,"")))</f>
        <v/>
      </c>
      <c r="K99" s="17">
        <f>IF(OR(K98="",G98=""),"",IF(K98*G98&lt;=0,"",IFERROR(K98/G98-1,"")))</f>
        <v/>
      </c>
      <c r="L99" s="17">
        <f>IF(OR(L98="",H98=""),"",IF(L98*H98&lt;=0,"",IFERROR(L98/H98-1,"")))</f>
        <v/>
      </c>
      <c r="M99" s="17">
        <f>IF(OR(M98="",I98=""),"",IF(M98*I98&lt;=0,"",IFERROR(M98/I98-1,"")))</f>
        <v/>
      </c>
      <c r="N99" s="17">
        <f>IF(OR(N98="",J98=""),"",IF(N98*J98&lt;=0,"",IFERROR(N98/J98-1,"")))</f>
        <v/>
      </c>
      <c r="U99" s="17">
        <f>IF(OR(U98="",T98=""),"",IF(U98*T98&lt;=0,"",IFERROR(U98/T98-1,"")))</f>
        <v/>
      </c>
      <c r="V99" s="17">
        <f>IF(OR(V98="",U98=""),"",IF(V98*U98&lt;=0,"",IFERROR(V98/U98-1,"")))</f>
        <v/>
      </c>
      <c r="W99" s="17">
        <f>IF(OR(W98="",V98=""),"",IF(W98*V98&lt;=0,"",IFERROR(W98/V98-1,"")))</f>
        <v/>
      </c>
      <c r="X99" s="17">
        <f>IF(OR(X98="",W98=""),"",IF(X98*W98&lt;=0,"",IFERROR(X98/W98-1,"")))</f>
        <v/>
      </c>
    </row>
    <row r="100">
      <c r="A100" s="20" t="inlineStr">
        <is>
          <t>상장 관련 비용</t>
        </is>
      </c>
      <c r="C100" s="22" t="n">
        <v>0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U100" s="22" t="n">
        <v>3.729</v>
      </c>
      <c r="V100" s="22" t="n">
        <v>0</v>
      </c>
      <c r="W100" s="22" t="n">
        <v>0</v>
      </c>
    </row>
    <row r="101">
      <c r="A101" s="20" t="inlineStr">
        <is>
          <t>외환차손</t>
        </is>
      </c>
      <c r="C101" s="22" t="n">
        <v>0</v>
      </c>
      <c r="D101" s="22" t="n">
        <v>0</v>
      </c>
      <c r="E101" s="22" t="n">
        <v>0</v>
      </c>
      <c r="F101" s="22" t="n">
        <v>13.242</v>
      </c>
      <c r="G101" s="22" t="n">
        <v>-7.954</v>
      </c>
      <c r="H101" s="22" t="n">
        <v>25.2</v>
      </c>
      <c r="I101" s="22" t="n">
        <v>32.288</v>
      </c>
      <c r="J101" s="22" t="n">
        <v>0</v>
      </c>
      <c r="K101" s="22" t="n">
        <v>0</v>
      </c>
      <c r="L101" s="22" t="n">
        <v>0</v>
      </c>
      <c r="M101" s="22" t="n">
        <v>0</v>
      </c>
      <c r="V101" s="22" t="n">
        <v>0</v>
      </c>
      <c r="W101" s="22" t="n">
        <v>32.288</v>
      </c>
      <c r="X101" s="22" t="n">
        <v>0</v>
      </c>
    </row>
    <row r="102">
      <c r="A102" s="20" t="inlineStr">
        <is>
          <t>영업외비용 합계</t>
        </is>
      </c>
      <c r="C102" s="22" t="n">
        <v>0</v>
      </c>
      <c r="D102" s="22" t="n">
        <v>0</v>
      </c>
      <c r="E102" s="22" t="n">
        <v>0</v>
      </c>
      <c r="F102" s="22" t="n">
        <v>13.242</v>
      </c>
      <c r="G102" s="22" t="n">
        <v>-7.954</v>
      </c>
      <c r="H102" s="22" t="n">
        <v>25.2</v>
      </c>
      <c r="I102" s="22" t="n">
        <v>32.288</v>
      </c>
      <c r="J102" s="22" t="n">
        <v>0</v>
      </c>
      <c r="K102" s="22" t="n">
        <v>0</v>
      </c>
      <c r="L102" s="22" t="n">
        <v>0</v>
      </c>
      <c r="M102" s="22" t="n">
        <v>0</v>
      </c>
      <c r="U102" s="22" t="n">
        <v>3.729</v>
      </c>
      <c r="V102" s="22" t="n">
        <v>0</v>
      </c>
      <c r="W102" s="22" t="n">
        <v>32.288</v>
      </c>
      <c r="X102" s="22" t="n">
        <v>0</v>
      </c>
    </row>
    <row r="103">
      <c r="A103" s="45" t="inlineStr">
        <is>
          <t>YoY</t>
        </is>
      </c>
      <c r="B103" s="3" t="inlineStr">
        <is>
          <t>전년 같은 분기·전년 대비</t>
        </is>
      </c>
      <c r="G103" s="17">
        <f>IF(OR(G102="",C102=""),"",IF(G102*C102&lt;=0,"",IFERROR(G102/C102-1,"")))</f>
        <v/>
      </c>
      <c r="H103" s="17">
        <f>IF(OR(H102="",D102=""),"",IF(H102*D102&lt;=0,"",IFERROR(H102/D102-1,"")))</f>
        <v/>
      </c>
      <c r="I103" s="17">
        <f>IF(OR(I102="",E102=""),"",IF(I102*E102&lt;=0,"",IFERROR(I102/E102-1,"")))</f>
        <v/>
      </c>
      <c r="J103" s="17">
        <f>IF(OR(J102="",F102=""),"",IF(J102*F102&lt;=0,"",IFERROR(J102/F102-1,"")))</f>
        <v/>
      </c>
      <c r="K103" s="17">
        <f>IF(OR(K102="",G102=""),"",IF(K102*G102&lt;=0,"",IFERROR(K102/G102-1,"")))</f>
        <v/>
      </c>
      <c r="L103" s="17">
        <f>IF(OR(L102="",H102=""),"",IF(L102*H102&lt;=0,"",IFERROR(L102/H102-1,"")))</f>
        <v/>
      </c>
      <c r="M103" s="17">
        <f>IF(OR(M102="",I102=""),"",IF(M102*I102&lt;=0,"",IFERROR(M102/I102-1,"")))</f>
        <v/>
      </c>
      <c r="U103" s="17">
        <f>IF(OR(U102="",T102=""),"",IF(U102*T102&lt;=0,"",IFERROR(U102/T102-1,"")))</f>
        <v/>
      </c>
      <c r="V103" s="17">
        <f>IF(OR(V102="",U102=""),"",IF(V102*U102&lt;=0,"",IFERROR(V102/U102-1,"")))</f>
        <v/>
      </c>
      <c r="W103" s="17">
        <f>IF(OR(W102="",V102=""),"",IF(W102*V102&lt;=0,"",IFERROR(W102/V102-1,"")))</f>
        <v/>
      </c>
      <c r="X103" s="17">
        <f>IF(OR(X102="",W102=""),"",IF(X102*W102&lt;=0,"",IFERROR(X102/W102-1,"")))</f>
        <v/>
      </c>
    </row>
    <row r="104">
      <c r="A104" s="9" t="inlineStr">
        <is>
          <t>경상이익</t>
        </is>
      </c>
      <c r="C104" s="12" t="n">
        <v>149.013</v>
      </c>
      <c r="D104" s="12" t="n">
        <v>204.718</v>
      </c>
      <c r="E104" s="12" t="n">
        <v>201.379</v>
      </c>
      <c r="F104" s="12" t="n">
        <v>164.331</v>
      </c>
      <c r="G104" s="12" t="n">
        <v>332.827</v>
      </c>
      <c r="H104" s="12" t="n">
        <v>180.509</v>
      </c>
      <c r="I104" s="12" t="n">
        <v>118.42</v>
      </c>
      <c r="J104" s="12" t="n">
        <v>198.054</v>
      </c>
      <c r="K104" s="12" t="n">
        <v>451.014</v>
      </c>
      <c r="L104" s="12" t="n">
        <v>204.274</v>
      </c>
      <c r="M104" s="12" t="n">
        <v>317.406</v>
      </c>
      <c r="N104" s="12" t="n">
        <v>412.113</v>
      </c>
      <c r="U104" s="12" t="n">
        <v>77.456</v>
      </c>
      <c r="V104" s="12" t="n">
        <v>201.379</v>
      </c>
      <c r="W104" s="12" t="n">
        <v>118.42</v>
      </c>
      <c r="X104" s="12" t="n">
        <v>317.406</v>
      </c>
    </row>
    <row r="105">
      <c r="A105" s="45" t="inlineStr">
        <is>
          <t>YoY</t>
        </is>
      </c>
      <c r="B105" s="3" t="inlineStr">
        <is>
          <t>전년 같은 분기·전년 대비</t>
        </is>
      </c>
      <c r="G105" s="17">
        <f>IF(OR(G104="",C104=""),"",IF(C104&lt;=0,"",IFERROR(G104/C104-1,"")))</f>
        <v/>
      </c>
      <c r="H105" s="17">
        <f>IF(OR(H104="",D104=""),"",IF(D104&lt;=0,"",IFERROR(H104/D104-1,"")))</f>
        <v/>
      </c>
      <c r="I105" s="17">
        <f>IF(OR(I104="",E104=""),"",IF(E104&lt;=0,"",IFERROR(I104/E104-1,"")))</f>
        <v/>
      </c>
      <c r="J105" s="17">
        <f>IF(OR(J104="",F104=""),"",IF(F104&lt;=0,"",IFERROR(J104/F104-1,"")))</f>
        <v/>
      </c>
      <c r="K105" s="17">
        <f>IF(OR(K104="",G104=""),"",IF(G104&lt;=0,"",IFERROR(K104/G104-1,"")))</f>
        <v/>
      </c>
      <c r="L105" s="17">
        <f>IF(OR(L104="",H104=""),"",IF(H104&lt;=0,"",IFERROR(L104/H104-1,"")))</f>
        <v/>
      </c>
      <c r="M105" s="17">
        <f>IF(OR(M104="",I104=""),"",IF(I104&lt;=0,"",IFERROR(M104/I104-1,"")))</f>
        <v/>
      </c>
      <c r="N105" s="17">
        <f>IF(OR(N104="",J104=""),"",IF(J104&lt;=0,"",IFERROR(N104/J104-1,"")))</f>
        <v/>
      </c>
      <c r="U105" s="17">
        <f>IF(OR(U104="",T104=""),"",IF(T104&lt;=0,"",IFERROR(U104/T104-1,"")))</f>
        <v/>
      </c>
      <c r="V105" s="17">
        <f>IF(OR(V104="",U104=""),"",IF(U104&lt;=0,"",IFERROR(V104/U104-1,"")))</f>
        <v/>
      </c>
      <c r="W105" s="17">
        <f>IF(OR(W104="",V104=""),"",IF(V104&lt;=0,"",IFERROR(W104/V104-1,"")))</f>
        <v/>
      </c>
      <c r="X105" s="17">
        <f>IF(OR(X104="",W104=""),"",IF(W104&lt;=0,"",IFERROR(X104/W104-1,"")))</f>
        <v/>
      </c>
    </row>
    <row r="106">
      <c r="A106" s="20" t="inlineStr">
        <is>
          <t>고정자산 제각손실</t>
        </is>
      </c>
      <c r="E106" s="22" t="n">
        <v>0</v>
      </c>
      <c r="U106" s="22" t="n">
        <v>0</v>
      </c>
      <c r="V106" s="22" t="n">
        <v>0</v>
      </c>
    </row>
    <row r="107">
      <c r="A107" s="20" t="inlineStr">
        <is>
          <t>특별손실 합계</t>
        </is>
      </c>
      <c r="E107" s="22" t="n">
        <v>0</v>
      </c>
      <c r="U107" s="22" t="n">
        <v>0</v>
      </c>
      <c r="V107" s="22" t="n">
        <v>0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U108" s="17">
        <f>IF(OR(U107="",T107=""),"",IF(U107*T107&lt;=0,"",IFERROR(U107/T107-1,"")))</f>
        <v/>
      </c>
      <c r="V108" s="17">
        <f>IF(OR(V107="",U107=""),"",IF(V107*U107&lt;=0,"",IFERROR(V107/U107-1,"")))</f>
        <v/>
      </c>
    </row>
    <row r="109">
      <c r="A109" s="9" t="inlineStr">
        <is>
          <t>법인세차감전 순이익</t>
        </is>
      </c>
      <c r="C109" s="12" t="n">
        <v>149.013</v>
      </c>
      <c r="D109" s="12" t="n">
        <v>204.718</v>
      </c>
      <c r="E109" s="12" t="n">
        <v>201.379</v>
      </c>
      <c r="F109" s="12" t="n">
        <v>164.331</v>
      </c>
      <c r="G109" s="12" t="n">
        <v>332.827</v>
      </c>
      <c r="H109" s="12" t="n">
        <v>180.509</v>
      </c>
      <c r="I109" s="12" t="n">
        <v>118.42</v>
      </c>
      <c r="J109" s="12" t="n">
        <v>198.054</v>
      </c>
      <c r="K109" s="12" t="n">
        <v>451.014</v>
      </c>
      <c r="L109" s="12" t="n">
        <v>204.274</v>
      </c>
      <c r="M109" s="12" t="n">
        <v>317.406</v>
      </c>
      <c r="N109" s="12" t="n">
        <v>412.113</v>
      </c>
      <c r="U109" s="12" t="n">
        <v>77.45699999999999</v>
      </c>
      <c r="V109" s="12" t="n">
        <v>201.379</v>
      </c>
      <c r="W109" s="12" t="n">
        <v>118.42</v>
      </c>
      <c r="X109" s="12" t="n">
        <v>317.406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IF(OR(G109="",C109=""),"",IF(C109&lt;=0,"",IFERROR(G109/C109-1,"")))</f>
        <v/>
      </c>
      <c r="H110" s="17">
        <f>IF(OR(H109="",D109=""),"",IF(D109&lt;=0,"",IFERROR(H109/D109-1,"")))</f>
        <v/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U110" s="17">
        <f>IF(OR(U109="",T109=""),"",IF(T109&lt;=0,"",IFERROR(U109/T109-1,"")))</f>
        <v/>
      </c>
      <c r="V110" s="17">
        <f>IF(OR(V109="",U109=""),"",IF(U109&lt;=0,"",IFERROR(V109/U109-1,"")))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1">
      <c r="A111" s="20" t="inlineStr">
        <is>
          <t>법인세 등</t>
        </is>
      </c>
      <c r="C111" s="22" t="n">
        <v>45.613</v>
      </c>
      <c r="D111" s="22" t="n">
        <v>62.666</v>
      </c>
      <c r="E111" s="22" t="n">
        <v>82.107</v>
      </c>
      <c r="F111" s="22" t="n">
        <v>50.455</v>
      </c>
      <c r="G111" s="22" t="n">
        <v>102.565</v>
      </c>
      <c r="H111" s="22" t="n">
        <v>55.898</v>
      </c>
      <c r="I111" s="22" t="n">
        <v>50.365</v>
      </c>
      <c r="J111" s="22" t="n">
        <v>62.307</v>
      </c>
      <c r="K111" s="22" t="n">
        <v>138.452</v>
      </c>
      <c r="L111" s="22" t="n">
        <v>63.187</v>
      </c>
      <c r="M111" s="22" t="n">
        <v>120.236</v>
      </c>
      <c r="N111" s="22" t="n">
        <v>137.752</v>
      </c>
      <c r="U111" s="22" t="n">
        <v>20.611</v>
      </c>
      <c r="V111" s="22" t="n">
        <v>82.107</v>
      </c>
      <c r="W111" s="22" t="n">
        <v>50.365</v>
      </c>
      <c r="X111" s="22" t="n">
        <v>120.236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IF(OR(G111="",C111=""),"",IF(G111*C111&lt;=0,"",IFERROR(G111/C111-1,"")))</f>
        <v/>
      </c>
      <c r="H112" s="17">
        <f>IF(OR(H111="",D111=""),"",IF(H111*D111&lt;=0,"",IFERROR(H111/D111-1,"")))</f>
        <v/>
      </c>
      <c r="I112" s="17">
        <f>IF(OR(I111="",E111=""),"",IF(I111*E111&lt;=0,"",IFERROR(I111/E111-1,"")))</f>
        <v/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L112" s="17">
        <f>IF(OR(L111="",H111=""),"",IF(L111*H111&lt;=0,"",IFERROR(L111/H111-1,"")))</f>
        <v/>
      </c>
      <c r="M112" s="17">
        <f>IF(OR(M111="",I111=""),"",IF(M111*I111&lt;=0,"",IFERROR(M111/I111-1,"")))</f>
        <v/>
      </c>
      <c r="N112" s="17">
        <f>IF(OR(N111="",J111=""),"",IF(N111*J111&lt;=0,"",IFERROR(N111/J111-1,"")))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9" t="inlineStr">
        <is>
          <t>순이익</t>
        </is>
      </c>
      <c r="C113" s="12" t="n">
        <v>103.4</v>
      </c>
      <c r="D113" s="12" t="n">
        <v>142.051</v>
      </c>
      <c r="E113" s="12" t="n">
        <v>119.273</v>
      </c>
      <c r="F113" s="12" t="n">
        <v>113.876</v>
      </c>
      <c r="G113" s="12" t="n">
        <v>230.262</v>
      </c>
      <c r="H113" s="12" t="n">
        <v>124.61</v>
      </c>
      <c r="I113" s="12" t="n">
        <v>68.056</v>
      </c>
      <c r="J113" s="12" t="n">
        <v>135.746</v>
      </c>
      <c r="K113" s="12" t="n">
        <v>312.562</v>
      </c>
      <c r="L113" s="12" t="n">
        <v>141.087</v>
      </c>
      <c r="M113" s="12" t="n">
        <v>197.17</v>
      </c>
      <c r="N113" s="12" t="n">
        <v>274.36</v>
      </c>
      <c r="U113" s="12" t="n">
        <v>56.847</v>
      </c>
      <c r="V113" s="12" t="n">
        <v>119.273</v>
      </c>
      <c r="W113" s="12" t="n">
        <v>68.056</v>
      </c>
      <c r="X113" s="12" t="n">
        <v>197.17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IF(OR(G113="",C113=""),"",IF(C113&lt;=0,"",IFERROR(G113/C113-1,"")))</f>
        <v/>
      </c>
      <c r="H114" s="17">
        <f>IF(OR(H113="",D113=""),"",IF(D113&lt;=0,"",IFERROR(H113/D113-1,"")))</f>
        <v/>
      </c>
      <c r="I114" s="17">
        <f>IF(OR(I113="",E113=""),"",IF(E113&lt;=0,"",IFERROR(I113/E113-1,"")))</f>
        <v/>
      </c>
      <c r="J114" s="17">
        <f>IF(OR(J113="",F113=""),"",IF(F113&lt;=0,"",IFERROR(J113/F113-1,"")))</f>
        <v/>
      </c>
      <c r="K114" s="17">
        <f>IF(OR(K113="",G113=""),"",IF(G113&lt;=0,"",IFERROR(K113/G113-1,"")))</f>
        <v/>
      </c>
      <c r="L114" s="17">
        <f>IF(OR(L113="",H113=""),"",IF(H113&lt;=0,"",IFERROR(L113/H113-1,"")))</f>
        <v/>
      </c>
      <c r="M114" s="17">
        <f>IF(OR(M113="",I113=""),"",IF(I113&lt;=0,"",IFERROR(M113/I113-1,"")))</f>
        <v/>
      </c>
      <c r="N114" s="17">
        <f>IF(OR(N113="",J113=""),"",IF(J113&lt;=0,"",IFERROR(N113/J113-1,"")))</f>
        <v/>
      </c>
      <c r="U114" s="17">
        <f>IF(OR(U113="",T113=""),"",IF(T113&lt;=0,"",IFERROR(U113/T113-1,"")))</f>
        <v/>
      </c>
      <c r="V114" s="17">
        <f>IF(OR(V113="",U113=""),"",IF(U113&lt;=0,"",IFERROR(V113/U113-1,"")))</f>
        <v/>
      </c>
      <c r="W114" s="17">
        <f>IF(OR(W113="",V113=""),"",IF(V113&lt;=0,"",IFERROR(W113/V113-1,"")))</f>
        <v/>
      </c>
      <c r="X114" s="17">
        <f>IF(OR(X113="",W113=""),"",IF(W113&lt;=0,"",IFERROR(X113/W113-1,"")))</f>
        <v/>
      </c>
    </row>
    <row r="116">
      <c r="A116" s="18" t="inlineStr">
        <is>
          <t>현금흐름표 · 전 항목</t>
        </is>
      </c>
      <c r="B116" s="44" t="inlineStr">
        <is>
          <t>분기 = 결산기 첫날부터 누계(공시 그대로)</t>
        </is>
      </c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</row>
    <row r="117">
      <c r="A117" s="5" t="inlineStr">
        <is>
          <t>항목</t>
        </is>
      </c>
      <c r="B117" s="5" t="inlineStr">
        <is>
          <t>참고</t>
        </is>
      </c>
      <c r="C117" s="5" t="inlineStr">
        <is>
          <t>2024.2Q</t>
        </is>
      </c>
      <c r="D117" s="5" t="inlineStr">
        <is>
          <t>2024.3Q</t>
        </is>
      </c>
      <c r="E117" s="5" t="inlineStr">
        <is>
          <t>2024.4Q</t>
        </is>
      </c>
      <c r="F117" s="5" t="inlineStr">
        <is>
          <t>2025.1Q</t>
        </is>
      </c>
      <c r="G117" s="5" t="inlineStr">
        <is>
          <t>2025.2Q</t>
        </is>
      </c>
      <c r="H117" s="5" t="inlineStr">
        <is>
          <t>2025.3Q</t>
        </is>
      </c>
      <c r="I117" s="5" t="inlineStr">
        <is>
          <t>2025.4Q</t>
        </is>
      </c>
      <c r="J117" s="5" t="inlineStr">
        <is>
          <t>2026.1Q</t>
        </is>
      </c>
      <c r="K117" s="5" t="inlineStr">
        <is>
          <t>2026.2Q</t>
        </is>
      </c>
      <c r="L117" s="5" t="inlineStr">
        <is>
          <t>2026.3Q</t>
        </is>
      </c>
      <c r="M117" s="5" t="inlineStr">
        <is>
          <t>2026.4Q</t>
        </is>
      </c>
      <c r="N117" s="5" t="inlineStr">
        <is>
          <t>2027.1Q</t>
        </is>
      </c>
      <c r="O117" s="5" t="inlineStr">
        <is>
          <t>2017</t>
        </is>
      </c>
      <c r="P117" s="5" t="inlineStr">
        <is>
          <t>2018</t>
        </is>
      </c>
      <c r="Q117" s="5" t="inlineStr">
        <is>
          <t>2019</t>
        </is>
      </c>
      <c r="R117" s="5" t="inlineStr">
        <is>
          <t>2020</t>
        </is>
      </c>
      <c r="S117" s="5" t="inlineStr">
        <is>
          <t>2021</t>
        </is>
      </c>
      <c r="T117" s="5" t="inlineStr">
        <is>
          <t>2022</t>
        </is>
      </c>
      <c r="U117" s="5" t="inlineStr">
        <is>
          <t>2023</t>
        </is>
      </c>
      <c r="V117" s="5" t="inlineStr">
        <is>
          <t>2024</t>
        </is>
      </c>
      <c r="W117" s="5" t="inlineStr">
        <is>
          <t>2025</t>
        </is>
      </c>
      <c r="X117" s="5" t="inlineStr">
        <is>
          <t>2026</t>
        </is>
      </c>
      <c r="Y117" s="5" t="inlineStr">
        <is>
          <t>2027(MW)</t>
        </is>
      </c>
      <c r="Z117" s="5" t="inlineStr">
        <is>
          <t>2028(MW)</t>
        </is>
      </c>
      <c r="AA117" s="5" t="inlineStr">
        <is>
          <t>2029(MW)</t>
        </is>
      </c>
      <c r="AB117" s="5" t="inlineStr">
        <is>
          <t>2030(MW)</t>
        </is>
      </c>
      <c r="AC117" s="5" t="inlineStr">
        <is>
          <t>2031(MW)</t>
        </is>
      </c>
    </row>
    <row r="118">
      <c r="A118" s="9" t="inlineStr">
        <is>
          <t>법인세차감전 순이익</t>
        </is>
      </c>
      <c r="C118" s="12" t="n">
        <v>246.402</v>
      </c>
      <c r="E118" s="12" t="n">
        <v>652.499</v>
      </c>
      <c r="G118" s="12" t="n">
        <v>497.158</v>
      </c>
      <c r="I118" s="12" t="n">
        <v>796.087</v>
      </c>
      <c r="K118" s="12" t="n">
        <v>649.068</v>
      </c>
      <c r="M118" s="12" t="n">
        <v>1170.748</v>
      </c>
      <c r="T118" s="12" t="n">
        <v>447.639</v>
      </c>
      <c r="U118" s="12" t="n">
        <v>568.893</v>
      </c>
      <c r="V118" s="12" t="n">
        <v>652.499</v>
      </c>
      <c r="W118" s="12" t="n">
        <v>796.087</v>
      </c>
      <c r="X118" s="12" t="n">
        <v>1170.748</v>
      </c>
    </row>
    <row r="119">
      <c r="A119" s="20" t="inlineStr">
        <is>
          <t>고정자산 제각손실</t>
        </is>
      </c>
      <c r="E119" s="22" t="n">
        <v>0</v>
      </c>
      <c r="T119" s="22" t="n">
        <v>0</v>
      </c>
      <c r="U119" s="22" t="n">
        <v>0</v>
      </c>
      <c r="V119" s="22" t="n">
        <v>0</v>
      </c>
    </row>
    <row r="120">
      <c r="A120" s="20" t="inlineStr">
        <is>
          <t>감가상각비</t>
        </is>
      </c>
      <c r="C120" s="22" t="n">
        <v>9.122999999999999</v>
      </c>
      <c r="E120" s="22" t="n">
        <v>26.604</v>
      </c>
      <c r="G120" s="22" t="n">
        <v>20.016</v>
      </c>
      <c r="I120" s="22" t="n">
        <v>55.047</v>
      </c>
      <c r="K120" s="22" t="n">
        <v>40.285</v>
      </c>
      <c r="M120" s="22" t="n">
        <v>84.108</v>
      </c>
      <c r="T120" s="22" t="n">
        <v>30.195</v>
      </c>
      <c r="U120" s="22" t="n">
        <v>28.323</v>
      </c>
      <c r="V120" s="22" t="n">
        <v>26.604</v>
      </c>
      <c r="W120" s="22" t="n">
        <v>55.047</v>
      </c>
      <c r="X120" s="22" t="n">
        <v>84.108</v>
      </c>
    </row>
    <row r="121">
      <c r="A121" s="20" t="inlineStr">
        <is>
          <t>보증금 상각비</t>
        </is>
      </c>
      <c r="C121" s="22" t="n">
        <v>0.18</v>
      </c>
      <c r="E121" s="22" t="n">
        <v>5.963</v>
      </c>
      <c r="G121" s="22" t="n">
        <v>0.652</v>
      </c>
      <c r="I121" s="22" t="n">
        <v>1.305</v>
      </c>
      <c r="K121" s="22" t="n">
        <v>0.652</v>
      </c>
      <c r="M121" s="22" t="n">
        <v>1.305</v>
      </c>
      <c r="T121" s="22" t="n">
        <v>0.36</v>
      </c>
      <c r="U121" s="22" t="n">
        <v>0.36</v>
      </c>
      <c r="V121" s="22" t="n">
        <v>5.963</v>
      </c>
      <c r="W121" s="22" t="n">
        <v>1.305</v>
      </c>
      <c r="X121" s="22" t="n">
        <v>1.305</v>
      </c>
    </row>
    <row r="122">
      <c r="A122" s="20" t="inlineStr">
        <is>
          <t>임원 퇴직위로 충당금 증감</t>
        </is>
      </c>
      <c r="E122" s="22" t="n">
        <v>0</v>
      </c>
      <c r="T122" s="22" t="n">
        <v>28.106</v>
      </c>
      <c r="U122" s="22" t="n">
        <v>-225.931</v>
      </c>
      <c r="V122" s="22" t="n">
        <v>0</v>
      </c>
    </row>
    <row r="123">
      <c r="A123" s="20" t="inlineStr">
        <is>
          <t>장기미지급금 증감</t>
        </is>
      </c>
      <c r="E123" s="22" t="n">
        <v>0</v>
      </c>
      <c r="T123" s="22" t="n">
        <v>0</v>
      </c>
      <c r="U123" s="22" t="n">
        <v>225.931</v>
      </c>
      <c r="V123" s="22" t="n">
        <v>0</v>
      </c>
    </row>
    <row r="124">
      <c r="A124" s="20" t="inlineStr">
        <is>
          <t>주식보상비용</t>
        </is>
      </c>
      <c r="C124" s="22" t="n">
        <v>0</v>
      </c>
      <c r="E124" s="22" t="n">
        <v>0</v>
      </c>
      <c r="G124" s="22" t="n">
        <v>0.485</v>
      </c>
      <c r="I124" s="22" t="n">
        <v>3.398</v>
      </c>
      <c r="K124" s="22" t="n">
        <v>2.912</v>
      </c>
      <c r="M124" s="22" t="n">
        <v>6.182</v>
      </c>
      <c r="V124" s="22" t="n">
        <v>0</v>
      </c>
      <c r="W124" s="22" t="n">
        <v>3.398</v>
      </c>
      <c r="X124" s="22" t="n">
        <v>6.182</v>
      </c>
    </row>
    <row r="125">
      <c r="A125" s="20" t="inlineStr">
        <is>
          <t>충당금 증감</t>
        </is>
      </c>
      <c r="C125" s="22" t="n">
        <v>9.053000000000001</v>
      </c>
      <c r="G125" s="22" t="n">
        <v>10.191</v>
      </c>
      <c r="K125" s="22" t="n">
        <v>29.882</v>
      </c>
    </row>
    <row r="126">
      <c r="A126" s="20" t="inlineStr">
        <is>
          <t>이자수익</t>
        </is>
      </c>
      <c r="C126" s="22" t="n">
        <v>-0.008999999999999999</v>
      </c>
      <c r="G126" s="22" t="n">
        <v>-3.698</v>
      </c>
      <c r="K126" s="22" t="n">
        <v>-8.205</v>
      </c>
    </row>
    <row r="127">
      <c r="A127" s="20" t="inlineStr">
        <is>
          <t>이자·배당금 수익</t>
        </is>
      </c>
      <c r="E127" s="22" t="n">
        <v>-0.025</v>
      </c>
      <c r="I127" s="22" t="n">
        <v>-18.243</v>
      </c>
      <c r="M127" s="22" t="n">
        <v>-11.335</v>
      </c>
      <c r="T127" s="22" t="n">
        <v>-0.025</v>
      </c>
      <c r="U127" s="22" t="n">
        <v>-0.013</v>
      </c>
      <c r="V127" s="22" t="n">
        <v>-0.025</v>
      </c>
      <c r="W127" s="22" t="n">
        <v>-18.243</v>
      </c>
      <c r="X127" s="22" t="n">
        <v>-11.335</v>
      </c>
    </row>
    <row r="128">
      <c r="A128" s="20" t="inlineStr">
        <is>
          <t>외환차손익</t>
        </is>
      </c>
      <c r="C128" s="22" t="n">
        <v>-12.24</v>
      </c>
      <c r="E128" s="22" t="n">
        <v>-27.755</v>
      </c>
      <c r="G128" s="22" t="n">
        <v>12.308</v>
      </c>
      <c r="I128" s="22" t="n">
        <v>62.808</v>
      </c>
      <c r="K128" s="22" t="n">
        <v>-29.503</v>
      </c>
      <c r="M128" s="22" t="n">
        <v>-39.882</v>
      </c>
      <c r="T128" s="22" t="n">
        <v>-11.913</v>
      </c>
      <c r="U128" s="22" t="n">
        <v>-8.737</v>
      </c>
      <c r="V128" s="22" t="n">
        <v>-27.755</v>
      </c>
      <c r="W128" s="22" t="n">
        <v>62.808</v>
      </c>
      <c r="X128" s="22" t="n">
        <v>-39.882</v>
      </c>
    </row>
    <row r="129">
      <c r="A129" s="20" t="inlineStr">
        <is>
          <t>매출채권 증감</t>
        </is>
      </c>
      <c r="C129" s="22" t="n">
        <v>-255.678</v>
      </c>
      <c r="E129" s="22" t="n">
        <v>-284.202</v>
      </c>
      <c r="G129" s="22" t="n">
        <v>-209.296</v>
      </c>
      <c r="I129" s="22" t="n">
        <v>275.134</v>
      </c>
      <c r="K129" s="22" t="n">
        <v>-352.642</v>
      </c>
      <c r="M129" s="22" t="n">
        <v>-110.596</v>
      </c>
      <c r="T129" s="22" t="n">
        <v>323.398</v>
      </c>
      <c r="U129" s="22" t="n">
        <v>29.007</v>
      </c>
      <c r="V129" s="22" t="n">
        <v>-284.202</v>
      </c>
      <c r="W129" s="22" t="n">
        <v>275.134</v>
      </c>
      <c r="X129" s="22" t="n">
        <v>-110.596</v>
      </c>
    </row>
    <row r="130">
      <c r="A130" s="20" t="inlineStr">
        <is>
          <t>재고자산 증감</t>
        </is>
      </c>
      <c r="C130" s="22" t="n">
        <v>47.78</v>
      </c>
      <c r="E130" s="22" t="n">
        <v>-155.997</v>
      </c>
      <c r="G130" s="22" t="n">
        <v>-27.949</v>
      </c>
      <c r="I130" s="22" t="n">
        <v>-123.404</v>
      </c>
      <c r="K130" s="22" t="n">
        <v>-300</v>
      </c>
      <c r="M130" s="22" t="n">
        <v>-1064.594</v>
      </c>
      <c r="T130" s="22" t="n">
        <v>-309.138</v>
      </c>
      <c r="U130" s="22" t="n">
        <v>-97.667</v>
      </c>
      <c r="V130" s="22" t="n">
        <v>-155.997</v>
      </c>
      <c r="W130" s="22" t="n">
        <v>-123.404</v>
      </c>
      <c r="X130" s="22" t="n">
        <v>-1064.594</v>
      </c>
    </row>
    <row r="131">
      <c r="A131" s="20" t="inlineStr">
        <is>
          <t>매입채무 증감</t>
        </is>
      </c>
      <c r="C131" s="22" t="n">
        <v>174.022</v>
      </c>
      <c r="E131" s="22" t="n">
        <v>218.718</v>
      </c>
      <c r="G131" s="22" t="n">
        <v>-189.415</v>
      </c>
      <c r="I131" s="22" t="n">
        <v>-98.407</v>
      </c>
      <c r="K131" s="22" t="n">
        <v>219.949</v>
      </c>
      <c r="M131" s="22" t="n">
        <v>194.634</v>
      </c>
      <c r="T131" s="22" t="n">
        <v>0.844</v>
      </c>
      <c r="U131" s="22" t="n">
        <v>70.104</v>
      </c>
      <c r="V131" s="22" t="n">
        <v>218.718</v>
      </c>
      <c r="W131" s="22" t="n">
        <v>-98.407</v>
      </c>
      <c r="X131" s="22" t="n">
        <v>194.634</v>
      </c>
    </row>
    <row r="132">
      <c r="A132" s="20" t="inlineStr">
        <is>
          <t>기타 자산 증감</t>
        </is>
      </c>
      <c r="C132" s="22" t="n">
        <v>-25.919</v>
      </c>
      <c r="E132" s="22" t="n">
        <v>-1.171</v>
      </c>
      <c r="G132" s="22" t="n">
        <v>-123.134</v>
      </c>
      <c r="I132" s="22" t="n">
        <v>-0.193</v>
      </c>
      <c r="K132" s="22" t="n">
        <v>-17.343</v>
      </c>
      <c r="M132" s="22" t="n">
        <v>-1607.896</v>
      </c>
      <c r="T132" s="22" t="n">
        <v>1.385</v>
      </c>
      <c r="U132" s="22" t="n">
        <v>0.219</v>
      </c>
      <c r="V132" s="22" t="n">
        <v>-1.171</v>
      </c>
      <c r="W132" s="22" t="n">
        <v>-0.193</v>
      </c>
      <c r="X132" s="22" t="n">
        <v>-1607.896</v>
      </c>
    </row>
    <row r="133">
      <c r="A133" s="20" t="inlineStr">
        <is>
          <t>기타 부채 증감</t>
        </is>
      </c>
      <c r="C133" s="22" t="n">
        <v>62.128</v>
      </c>
      <c r="E133" s="22" t="n">
        <v>540.223</v>
      </c>
      <c r="G133" s="22" t="n">
        <v>9.359999999999999</v>
      </c>
      <c r="I133" s="22" t="n">
        <v>-188.353</v>
      </c>
      <c r="K133" s="22" t="n">
        <v>180.874</v>
      </c>
      <c r="M133" s="22" t="n">
        <v>247.475</v>
      </c>
      <c r="T133" s="22" t="n">
        <v>199.811</v>
      </c>
      <c r="U133" s="22" t="n">
        <v>159.265</v>
      </c>
      <c r="V133" s="22" t="n">
        <v>540.223</v>
      </c>
      <c r="W133" s="22" t="n">
        <v>-188.353</v>
      </c>
      <c r="X133" s="22" t="n">
        <v>247.475</v>
      </c>
    </row>
    <row r="134">
      <c r="A134" s="20" t="inlineStr">
        <is>
          <t>소계</t>
        </is>
      </c>
      <c r="C134" s="22" t="n">
        <v>254.844</v>
      </c>
      <c r="E134" s="22" t="n">
        <v>974.857</v>
      </c>
      <c r="G134" s="22" t="n">
        <v>-3.321</v>
      </c>
      <c r="I134" s="22" t="n">
        <v>765.178</v>
      </c>
      <c r="K134" s="22" t="n">
        <v>415.929</v>
      </c>
      <c r="M134" s="22" t="n">
        <v>-1129.849</v>
      </c>
      <c r="T134" s="22" t="n">
        <v>710.665</v>
      </c>
      <c r="U134" s="22" t="n">
        <v>749.755</v>
      </c>
      <c r="V134" s="22" t="n">
        <v>974.857</v>
      </c>
      <c r="W134" s="22" t="n">
        <v>765.178</v>
      </c>
      <c r="X134" s="22" t="n">
        <v>-1129.849</v>
      </c>
    </row>
    <row r="135">
      <c r="A135" s="20" t="inlineStr">
        <is>
          <t>이자 수취</t>
        </is>
      </c>
      <c r="C135" s="22" t="n">
        <v>0.008999999999999999</v>
      </c>
      <c r="G135" s="22" t="n">
        <v>2.927</v>
      </c>
      <c r="K135" s="22" t="n">
        <v>9.795</v>
      </c>
    </row>
    <row r="136">
      <c r="A136" s="20" t="inlineStr">
        <is>
          <t>이자·배당금 수취</t>
        </is>
      </c>
      <c r="E136" s="22" t="n">
        <v>0.025</v>
      </c>
      <c r="I136" s="22" t="n">
        <v>16.652</v>
      </c>
      <c r="M136" s="22" t="n">
        <v>12.925</v>
      </c>
      <c r="T136" s="22" t="n">
        <v>0.025</v>
      </c>
      <c r="U136" s="22" t="n">
        <v>0.013</v>
      </c>
      <c r="V136" s="22" t="n">
        <v>0.025</v>
      </c>
      <c r="W136" s="22" t="n">
        <v>16.652</v>
      </c>
      <c r="X136" s="22" t="n">
        <v>12.925</v>
      </c>
    </row>
    <row r="137">
      <c r="A137" s="20" t="inlineStr">
        <is>
          <t>법인세 납부</t>
        </is>
      </c>
      <c r="C137" s="22" t="n">
        <v>-116.945</v>
      </c>
      <c r="E137" s="22" t="n">
        <v>-217.311</v>
      </c>
      <c r="G137" s="22" t="n">
        <v>-88.949</v>
      </c>
      <c r="I137" s="22" t="n">
        <v>-185.494</v>
      </c>
      <c r="K137" s="22" t="n">
        <v>-184.947</v>
      </c>
      <c r="M137" s="22" t="n">
        <v>-332.659</v>
      </c>
      <c r="T137" s="22" t="n">
        <v>-245.108</v>
      </c>
      <c r="U137" s="22" t="n">
        <v>-168.104</v>
      </c>
      <c r="V137" s="22" t="n">
        <v>-217.311</v>
      </c>
      <c r="W137" s="22" t="n">
        <v>-185.494</v>
      </c>
      <c r="X137" s="22" t="n">
        <v>-332.659</v>
      </c>
    </row>
    <row r="138">
      <c r="A138" s="9" t="inlineStr">
        <is>
          <t>영업활동 현금흐름</t>
        </is>
      </c>
      <c r="C138" s="12" t="n">
        <v>137.908</v>
      </c>
      <c r="E138" s="12" t="n">
        <v>757.572</v>
      </c>
      <c r="G138" s="12" t="n">
        <v>-89.343</v>
      </c>
      <c r="I138" s="12" t="n">
        <v>596.336</v>
      </c>
      <c r="K138" s="12" t="n">
        <v>240.777</v>
      </c>
      <c r="M138" s="12" t="n">
        <v>-1449.582</v>
      </c>
      <c r="T138" s="12" t="n">
        <v>465.582</v>
      </c>
      <c r="U138" s="12" t="n">
        <v>581.665</v>
      </c>
      <c r="V138" s="12" t="n">
        <v>757.572</v>
      </c>
      <c r="W138" s="12" t="n">
        <v>596.336</v>
      </c>
      <c r="X138" s="12" t="n">
        <v>-1449.582</v>
      </c>
    </row>
    <row r="139">
      <c r="A139" s="20" t="inlineStr">
        <is>
          <t>유형자산 취득(설비투자)</t>
        </is>
      </c>
      <c r="C139" s="22" t="n">
        <v>-3.289</v>
      </c>
      <c r="E139" s="22" t="n">
        <v>-75.14400000000001</v>
      </c>
      <c r="G139" s="22" t="n">
        <v>-7.835</v>
      </c>
      <c r="I139" s="22" t="n">
        <v>-100.922</v>
      </c>
      <c r="K139" s="22" t="n">
        <v>-12.695</v>
      </c>
      <c r="M139" s="22" t="n">
        <v>-20.733</v>
      </c>
      <c r="T139" s="22" t="n">
        <v>-7.816</v>
      </c>
      <c r="U139" s="22" t="n">
        <v>-6.16</v>
      </c>
      <c r="V139" s="22" t="n">
        <v>-75.14400000000001</v>
      </c>
      <c r="W139" s="22" t="n">
        <v>-100.922</v>
      </c>
      <c r="X139" s="22" t="n">
        <v>-20.733</v>
      </c>
    </row>
    <row r="140">
      <c r="A140" s="20" t="inlineStr">
        <is>
          <t>무형자산 취득</t>
        </is>
      </c>
      <c r="C140" s="22" t="n">
        <v>0</v>
      </c>
      <c r="E140" s="22" t="n">
        <v>0</v>
      </c>
      <c r="G140" s="22" t="n">
        <v>-15.095</v>
      </c>
      <c r="I140" s="22" t="n">
        <v>-23.795</v>
      </c>
      <c r="K140" s="22" t="n">
        <v>-14.85</v>
      </c>
      <c r="M140" s="22" t="n">
        <v>-19.55</v>
      </c>
      <c r="V140" s="22" t="n">
        <v>0</v>
      </c>
      <c r="W140" s="22" t="n">
        <v>-23.795</v>
      </c>
      <c r="X140" s="22" t="n">
        <v>-19.55</v>
      </c>
    </row>
    <row r="141">
      <c r="A141" s="20" t="inlineStr">
        <is>
          <t>임차보증금 납입</t>
        </is>
      </c>
      <c r="C141" s="22" t="n">
        <v>-21.232</v>
      </c>
      <c r="E141" s="22" t="n">
        <v>-21.379</v>
      </c>
      <c r="G141" s="22" t="n">
        <v>0</v>
      </c>
      <c r="I141" s="22" t="n">
        <v>-1.468</v>
      </c>
      <c r="M141" s="22" t="n">
        <v>-3.212</v>
      </c>
      <c r="T141" s="22" t="n">
        <v>0</v>
      </c>
      <c r="U141" s="22" t="n">
        <v>-0.8139999999999999</v>
      </c>
      <c r="V141" s="22" t="n">
        <v>-21.379</v>
      </c>
      <c r="W141" s="22" t="n">
        <v>-1.468</v>
      </c>
      <c r="X141" s="22" t="n">
        <v>-3.212</v>
      </c>
    </row>
    <row r="142">
      <c r="A142" s="20" t="inlineStr">
        <is>
          <t>임차보증금 회수</t>
        </is>
      </c>
      <c r="T142" s="22" t="n">
        <v>0.082</v>
      </c>
      <c r="U142" s="22" t="n">
        <v>0</v>
      </c>
    </row>
    <row r="143">
      <c r="A143" s="20" t="inlineStr">
        <is>
          <t>임차보증금·보증금 회수</t>
        </is>
      </c>
      <c r="E143" s="22" t="n">
        <v>9.863</v>
      </c>
      <c r="I143" s="22" t="n">
        <v>0</v>
      </c>
      <c r="U143" s="22" t="n">
        <v>0</v>
      </c>
      <c r="V143" s="22" t="n">
        <v>9.863</v>
      </c>
      <c r="W143" s="22" t="n">
        <v>0</v>
      </c>
    </row>
    <row r="144">
      <c r="A144" s="20" t="inlineStr">
        <is>
          <t>자산복구부채 이행 지출</t>
        </is>
      </c>
      <c r="E144" s="22" t="n">
        <v>-6.15</v>
      </c>
      <c r="I144" s="22" t="n">
        <v>0</v>
      </c>
      <c r="U144" s="22" t="n">
        <v>0</v>
      </c>
      <c r="V144" s="22" t="n">
        <v>-6.15</v>
      </c>
      <c r="W144" s="22" t="n">
        <v>0</v>
      </c>
    </row>
    <row r="145">
      <c r="A145" s="20" t="inlineStr">
        <is>
          <t>장기선급비용 지출</t>
        </is>
      </c>
      <c r="E145" s="22" t="n">
        <v>-1.683</v>
      </c>
      <c r="I145" s="22" t="n">
        <v>0</v>
      </c>
      <c r="U145" s="22" t="n">
        <v>0</v>
      </c>
      <c r="V145" s="22" t="n">
        <v>-1.683</v>
      </c>
      <c r="W145" s="22" t="n">
        <v>0</v>
      </c>
    </row>
    <row r="146">
      <c r="A146" s="20" t="inlineStr">
        <is>
          <t>기타 지출</t>
        </is>
      </c>
      <c r="C146" s="22" t="n">
        <v>0</v>
      </c>
      <c r="E146" s="22" t="n">
        <v>0</v>
      </c>
      <c r="G146" s="22" t="n">
        <v>-0.703</v>
      </c>
      <c r="I146" s="22" t="n">
        <v>-0.6860000000000001</v>
      </c>
      <c r="K146" s="22" t="n">
        <v>0</v>
      </c>
      <c r="M146" s="22" t="n">
        <v>0</v>
      </c>
      <c r="V146" s="22" t="n">
        <v>0</v>
      </c>
      <c r="W146" s="22" t="n">
        <v>-0.6860000000000001</v>
      </c>
      <c r="X146" s="22" t="n">
        <v>0</v>
      </c>
    </row>
    <row r="147">
      <c r="A147" s="9" t="inlineStr">
        <is>
          <t>투자활동 현금흐름</t>
        </is>
      </c>
      <c r="C147" s="12" t="n">
        <v>-24.521</v>
      </c>
      <c r="E147" s="12" t="n">
        <v>-94.49299999999999</v>
      </c>
      <c r="G147" s="12" t="n">
        <v>-23.634</v>
      </c>
      <c r="I147" s="12" t="n">
        <v>-126.872</v>
      </c>
      <c r="K147" s="12" t="n">
        <v>-27.545</v>
      </c>
      <c r="M147" s="12" t="n">
        <v>-43.496</v>
      </c>
      <c r="T147" s="12" t="n">
        <v>-7.734</v>
      </c>
      <c r="U147" s="12" t="n">
        <v>-6.974</v>
      </c>
      <c r="V147" s="12" t="n">
        <v>-94.49299999999999</v>
      </c>
      <c r="W147" s="12" t="n">
        <v>-126.872</v>
      </c>
      <c r="X147" s="12" t="n">
        <v>-43.496</v>
      </c>
    </row>
    <row r="148">
      <c r="A148" s="20" t="inlineStr">
        <is>
          <t>주식 발행</t>
        </is>
      </c>
      <c r="C148" s="22" t="n">
        <v>502.601</v>
      </c>
      <c r="E148" s="22" t="n">
        <v>510.25</v>
      </c>
      <c r="G148" s="22" t="n">
        <v>0.671</v>
      </c>
      <c r="I148" s="22" t="n">
        <v>11.509</v>
      </c>
      <c r="K148" s="22" t="n">
        <v>6.537</v>
      </c>
      <c r="M148" s="22" t="n">
        <v>15.676</v>
      </c>
      <c r="U148" s="22" t="n">
        <v>0</v>
      </c>
      <c r="V148" s="22" t="n">
        <v>510.25</v>
      </c>
      <c r="W148" s="22" t="n">
        <v>11.509</v>
      </c>
      <c r="X148" s="22" t="n">
        <v>15.676</v>
      </c>
    </row>
    <row r="149">
      <c r="A149" s="20" t="inlineStr">
        <is>
          <t>자기주식 취득</t>
        </is>
      </c>
      <c r="C149" s="22" t="n">
        <v>-0.27</v>
      </c>
      <c r="E149" s="22" t="n">
        <v>-0.27</v>
      </c>
      <c r="G149" s="22" t="n">
        <v>-0.672</v>
      </c>
      <c r="I149" s="22" t="n">
        <v>-0.717</v>
      </c>
      <c r="K149" s="22" t="n">
        <v>-0.099</v>
      </c>
      <c r="M149" s="22" t="n">
        <v>-0.255</v>
      </c>
      <c r="U149" s="22" t="n">
        <v>0</v>
      </c>
      <c r="V149" s="22" t="n">
        <v>-0.27</v>
      </c>
      <c r="W149" s="22" t="n">
        <v>-0.717</v>
      </c>
      <c r="X149" s="22" t="n">
        <v>-0.255</v>
      </c>
    </row>
    <row r="150">
      <c r="A150" s="20" t="inlineStr">
        <is>
          <t>배당금 지급</t>
        </is>
      </c>
      <c r="C150" s="22" t="n">
        <v>-74.40000000000001</v>
      </c>
      <c r="E150" s="22" t="n">
        <v>-74.40000000000001</v>
      </c>
      <c r="G150" s="22" t="n">
        <v>-89.447</v>
      </c>
      <c r="I150" s="22" t="n">
        <v>-89.464</v>
      </c>
      <c r="K150" s="22" t="n">
        <v>-124.261</v>
      </c>
      <c r="M150" s="22" t="n">
        <v>-124.392</v>
      </c>
      <c r="T150" s="22" t="n">
        <v>-46.608</v>
      </c>
      <c r="U150" s="22" t="n">
        <v>-56.634</v>
      </c>
      <c r="V150" s="22" t="n">
        <v>-74.40000000000001</v>
      </c>
      <c r="W150" s="22" t="n">
        <v>-89.464</v>
      </c>
      <c r="X150" s="22" t="n">
        <v>-124.392</v>
      </c>
    </row>
    <row r="151">
      <c r="A151" s="9" t="inlineStr">
        <is>
          <t>재무활동 현금흐름</t>
        </is>
      </c>
      <c r="C151" s="12" t="n">
        <v>427.931</v>
      </c>
      <c r="E151" s="12" t="n">
        <v>435.58</v>
      </c>
      <c r="G151" s="12" t="n">
        <v>-89.449</v>
      </c>
      <c r="I151" s="12" t="n">
        <v>-78.67100000000001</v>
      </c>
      <c r="K151" s="12" t="n">
        <v>-117.823</v>
      </c>
      <c r="M151" s="12" t="n">
        <v>-108.971</v>
      </c>
      <c r="T151" s="12" t="n">
        <v>-46.608</v>
      </c>
      <c r="U151" s="12" t="n">
        <v>-56.634</v>
      </c>
      <c r="V151" s="12" t="n">
        <v>435.58</v>
      </c>
      <c r="W151" s="12" t="n">
        <v>-78.67100000000001</v>
      </c>
      <c r="X151" s="12" t="n">
        <v>-108.971</v>
      </c>
    </row>
    <row r="152">
      <c r="A152" s="20" t="inlineStr">
        <is>
          <t>현금성자산 환산차이</t>
        </is>
      </c>
      <c r="C152" s="22" t="n">
        <v>12.24</v>
      </c>
      <c r="E152" s="22" t="n">
        <v>27.755</v>
      </c>
      <c r="G152" s="22" t="n">
        <v>-12.308</v>
      </c>
      <c r="I152" s="22" t="n">
        <v>-62.808</v>
      </c>
      <c r="K152" s="22" t="n">
        <v>29.503</v>
      </c>
      <c r="M152" s="22" t="n">
        <v>39.882</v>
      </c>
      <c r="T152" s="22" t="n">
        <v>11.913</v>
      </c>
      <c r="U152" s="22" t="n">
        <v>8.737</v>
      </c>
      <c r="V152" s="22" t="n">
        <v>27.755</v>
      </c>
      <c r="W152" s="22" t="n">
        <v>-62.808</v>
      </c>
      <c r="X152" s="22" t="n">
        <v>39.882</v>
      </c>
    </row>
    <row r="153">
      <c r="A153" s="20" t="inlineStr">
        <is>
          <t>현금성자산 증감</t>
        </is>
      </c>
      <c r="C153" s="22" t="n">
        <v>553.558</v>
      </c>
      <c r="E153" s="22" t="n">
        <v>1126.414</v>
      </c>
      <c r="G153" s="22" t="n">
        <v>-214.734</v>
      </c>
      <c r="I153" s="22" t="n">
        <v>327.984</v>
      </c>
      <c r="K153" s="22" t="n">
        <v>124.911</v>
      </c>
      <c r="M153" s="22" t="n">
        <v>-1562.167</v>
      </c>
      <c r="T153" s="22" t="n">
        <v>423.152</v>
      </c>
      <c r="U153" s="22" t="n">
        <v>526.794</v>
      </c>
      <c r="V153" s="22" t="n">
        <v>1126.414</v>
      </c>
      <c r="W153" s="22" t="n">
        <v>327.984</v>
      </c>
      <c r="X153" s="22" t="n">
        <v>-1562.167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지뎁어드밴스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4290.949</v>
      </c>
      <c r="D5" s="12" t="n">
        <v>5179.098</v>
      </c>
      <c r="E5" s="12" t="n">
        <v>5490.215</v>
      </c>
      <c r="F5" s="12" t="n">
        <v>5610.435</v>
      </c>
      <c r="G5" s="12" t="n">
        <v>5730.534</v>
      </c>
      <c r="H5" s="11" t="n">
        <v>2072.064</v>
      </c>
      <c r="I5" s="12" t="n">
        <v>2663.816</v>
      </c>
      <c r="J5" s="12" t="n">
        <v>4219.436</v>
      </c>
      <c r="K5" s="12" t="n">
        <v>4391.214</v>
      </c>
      <c r="L5" s="12" t="n">
        <v>5610.435</v>
      </c>
    </row>
    <row r="6">
      <c r="A6" s="20" t="inlineStr">
        <is>
          <t>현금및현금성자산</t>
        </is>
      </c>
      <c r="B6" s="10" t="n"/>
      <c r="C6" s="21" t="n">
        <v>2517.022</v>
      </c>
      <c r="D6" s="22" t="n">
        <v>3459.024</v>
      </c>
      <c r="E6" s="22" t="n">
        <v>2734.909</v>
      </c>
      <c r="F6" s="22" t="n">
        <v>1771.944</v>
      </c>
      <c r="G6" s="22" t="n">
        <v>1487.353</v>
      </c>
      <c r="H6" s="21" t="n">
        <v>1352.92</v>
      </c>
      <c r="I6" s="22" t="n">
        <v>1879.714</v>
      </c>
      <c r="J6" s="22" t="n">
        <v>3006.128</v>
      </c>
      <c r="K6" s="22" t="n">
        <v>3334.112</v>
      </c>
      <c r="L6" s="22" t="n">
        <v>1771.944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319.031</v>
      </c>
      <c r="D8" s="22" t="n">
        <v>443.513</v>
      </c>
      <c r="E8" s="22" t="n">
        <v>787.253</v>
      </c>
      <c r="F8" s="22" t="n">
        <v>201.467</v>
      </c>
      <c r="G8" s="22" t="n">
        <v>554.9640000000001</v>
      </c>
      <c r="H8" s="21" t="n">
        <v>110.81</v>
      </c>
      <c r="I8" s="22" t="n">
        <v>81.803</v>
      </c>
      <c r="J8" s="22" t="n">
        <v>366.005</v>
      </c>
      <c r="K8" s="22" t="n">
        <v>90.871</v>
      </c>
      <c r="L8" s="22" t="n">
        <v>201.467</v>
      </c>
    </row>
    <row r="9">
      <c r="A9" s="20" t="inlineStr">
        <is>
          <t>재고자산</t>
        </is>
      </c>
      <c r="B9" s="10" t="n"/>
      <c r="C9" s="21" t="n">
        <v>1374.166</v>
      </c>
      <c r="D9" s="22" t="n">
        <v>1255.491</v>
      </c>
      <c r="E9" s="22" t="n">
        <v>1856.956</v>
      </c>
      <c r="F9" s="22" t="n">
        <v>2025.177</v>
      </c>
      <c r="G9" s="22" t="n">
        <v>2053.759</v>
      </c>
      <c r="H9" s="21" t="n">
        <v>607.215</v>
      </c>
      <c r="I9" s="22" t="n">
        <v>701.167</v>
      </c>
      <c r="J9" s="22" t="n">
        <v>844.2809999999999</v>
      </c>
      <c r="K9" s="22" t="n">
        <v>960.913</v>
      </c>
      <c r="L9" s="22" t="n">
        <v>2025.177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209.524</v>
      </c>
      <c r="D11" s="12" t="n">
        <v>201.093</v>
      </c>
      <c r="E11" s="12" t="n">
        <v>193.067</v>
      </c>
      <c r="F11" s="12" t="n">
        <v>183.031</v>
      </c>
      <c r="G11" s="12" t="n">
        <v>187.485</v>
      </c>
      <c r="H11" s="11" t="n">
        <v>74.76000000000001</v>
      </c>
      <c r="I11" s="12" t="n">
        <v>66.874</v>
      </c>
      <c r="J11" s="12" t="n">
        <v>115.293</v>
      </c>
      <c r="K11" s="12" t="n">
        <v>217.374</v>
      </c>
      <c r="L11" s="12" t="n">
        <v>183.031</v>
      </c>
    </row>
    <row r="12">
      <c r="A12" s="20" t="inlineStr">
        <is>
          <t>유형자산</t>
        </is>
      </c>
      <c r="B12" s="10" t="n"/>
      <c r="C12" s="21" t="n">
        <v>123.941</v>
      </c>
      <c r="D12" s="22" t="n">
        <v>113.972</v>
      </c>
      <c r="E12" s="22" t="n">
        <v>106.275</v>
      </c>
      <c r="F12" s="22" t="n">
        <v>72.68600000000001</v>
      </c>
      <c r="G12" s="22" t="n">
        <v>77.218</v>
      </c>
      <c r="H12" s="21" t="n">
        <v>26.771</v>
      </c>
      <c r="I12" s="22" t="n">
        <v>12.02</v>
      </c>
      <c r="J12" s="22" t="n">
        <v>76.717</v>
      </c>
      <c r="K12" s="22" t="n">
        <v>134.563</v>
      </c>
      <c r="L12" s="22" t="n">
        <v>72.68600000000001</v>
      </c>
    </row>
    <row r="13">
      <c r="A13" s="20" t="inlineStr">
        <is>
          <t>무형자산</t>
        </is>
      </c>
      <c r="B13" s="10" t="n"/>
      <c r="C13" s="21" t="n">
        <v>35.528</v>
      </c>
      <c r="D13" s="22" t="n">
        <v>37.472</v>
      </c>
      <c r="E13" s="22" t="n">
        <v>36.777</v>
      </c>
      <c r="F13" s="22" t="n">
        <v>40.508</v>
      </c>
      <c r="G13" s="22" t="n">
        <v>40.784</v>
      </c>
      <c r="H13" s="21" t="n">
        <v>10.499</v>
      </c>
      <c r="I13" s="22" t="n">
        <v>7.015</v>
      </c>
      <c r="J13" s="22" t="n">
        <v>3.53</v>
      </c>
      <c r="K13" s="22" t="n">
        <v>32.419</v>
      </c>
      <c r="L13" s="22" t="n">
        <v>40.508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4500.474</v>
      </c>
      <c r="D16" s="12" t="n">
        <v>5380.192</v>
      </c>
      <c r="E16" s="12" t="n">
        <v>5683.283</v>
      </c>
      <c r="F16" s="12" t="n">
        <v>5793.467</v>
      </c>
      <c r="G16" s="12" t="n">
        <v>5918.02</v>
      </c>
      <c r="H16" s="11" t="n">
        <v>2146.825</v>
      </c>
      <c r="I16" s="12" t="n">
        <v>2730.691</v>
      </c>
      <c r="J16" s="12" t="n">
        <v>4334.73</v>
      </c>
      <c r="K16" s="12" t="n">
        <v>4608.588</v>
      </c>
      <c r="L16" s="12" t="n">
        <v>5793.467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922.949</v>
      </c>
      <c r="D18" s="12" t="n">
        <v>1336.234</v>
      </c>
      <c r="E18" s="12" t="n">
        <v>1610.169</v>
      </c>
      <c r="F18" s="12" t="n">
        <v>1425.833</v>
      </c>
      <c r="G18" s="12" t="n">
        <v>1545.772</v>
      </c>
      <c r="H18" s="11" t="n">
        <v>518.912</v>
      </c>
      <c r="I18" s="12" t="n">
        <v>673.794</v>
      </c>
      <c r="J18" s="12" t="n">
        <v>1271.131</v>
      </c>
      <c r="K18" s="12" t="n">
        <v>1027.257</v>
      </c>
      <c r="L18" s="12" t="n">
        <v>1425.833</v>
      </c>
    </row>
    <row r="19">
      <c r="A19" s="20" t="inlineStr">
        <is>
          <t>매입채무</t>
        </is>
      </c>
      <c r="B19" s="10" t="n"/>
      <c r="C19" s="21" t="n">
        <v>190.804</v>
      </c>
      <c r="D19" s="22" t="n">
        <v>474.607</v>
      </c>
      <c r="E19" s="22" t="n">
        <v>789.083</v>
      </c>
      <c r="F19" s="22" t="n">
        <v>449.293</v>
      </c>
      <c r="G19" s="22" t="n">
        <v>308.38</v>
      </c>
      <c r="H19" s="21" t="n">
        <v>60.678</v>
      </c>
      <c r="I19" s="22" t="n">
        <v>134.347</v>
      </c>
      <c r="J19" s="22" t="n">
        <v>353.066</v>
      </c>
      <c r="K19" s="22" t="n">
        <v>254.658</v>
      </c>
      <c r="L19" s="22" t="n">
        <v>449.293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709.562</v>
      </c>
      <c r="D23" s="12" t="n">
        <v>858.885</v>
      </c>
      <c r="E23" s="12" t="n">
        <v>744.174</v>
      </c>
      <c r="F23" s="12" t="n">
        <v>832.05</v>
      </c>
      <c r="G23" s="12" t="n">
        <v>801.785</v>
      </c>
      <c r="H23" s="11" t="n">
        <v>426.861</v>
      </c>
      <c r="I23" s="12" t="n">
        <v>534.1849999999999</v>
      </c>
      <c r="J23" s="12" t="n">
        <v>673.005</v>
      </c>
      <c r="K23" s="12" t="n">
        <v>729.414</v>
      </c>
      <c r="L23" s="12" t="n">
        <v>832.05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1632.511</v>
      </c>
      <c r="D27" s="12" t="n">
        <v>2195.119</v>
      </c>
      <c r="E27" s="12" t="n">
        <v>2354.344</v>
      </c>
      <c r="F27" s="12" t="n">
        <v>2257.884</v>
      </c>
      <c r="G27" s="12" t="n">
        <v>2347.557</v>
      </c>
      <c r="H27" s="11" t="n">
        <v>945.774</v>
      </c>
      <c r="I27" s="12" t="n">
        <v>1207.98</v>
      </c>
      <c r="J27" s="12" t="n">
        <v>1944.137</v>
      </c>
      <c r="K27" s="12" t="n">
        <v>1756.672</v>
      </c>
      <c r="L27" s="12" t="n">
        <v>2257.884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2863.109</v>
      </c>
      <c r="D31" s="12" t="n">
        <v>3178.761</v>
      </c>
      <c r="E31" s="12" t="n">
        <v>3321.171</v>
      </c>
      <c r="F31" s="12" t="n">
        <v>3526.002</v>
      </c>
      <c r="G31" s="12" t="n">
        <v>3558.357</v>
      </c>
      <c r="H31" s="11" t="n">
        <v>1201.05</v>
      </c>
      <c r="I31" s="12" t="n">
        <v>1522.71</v>
      </c>
      <c r="J31" s="12" t="n">
        <v>2390.592</v>
      </c>
      <c r="K31" s="12" t="n">
        <v>2848.518</v>
      </c>
      <c r="L31" s="12" t="n">
        <v>3526.002</v>
      </c>
    </row>
    <row r="32">
      <c r="A32" s="20" t="inlineStr">
        <is>
          <t>자본금</t>
        </is>
      </c>
      <c r="B32" s="10" t="n"/>
      <c r="C32" s="21" t="n">
        <v>292.603</v>
      </c>
      <c r="D32" s="22" t="n">
        <v>294.148</v>
      </c>
      <c r="E32" s="22" t="n">
        <v>294.887</v>
      </c>
      <c r="F32" s="22" t="n">
        <v>298.718</v>
      </c>
      <c r="G32" s="22" t="n">
        <v>298.718</v>
      </c>
      <c r="H32" s="21" t="n">
        <v>30</v>
      </c>
      <c r="I32" s="22" t="n">
        <v>30</v>
      </c>
      <c r="J32" s="22" t="n">
        <v>285.125</v>
      </c>
      <c r="K32" s="22" t="n">
        <v>290.879</v>
      </c>
      <c r="L32" s="22" t="n">
        <v>298.718</v>
      </c>
    </row>
    <row r="33">
      <c r="A33" s="20" t="inlineStr">
        <is>
          <t>이익잉여금</t>
        </is>
      </c>
      <c r="B33" s="10" t="n"/>
      <c r="C33" s="21" t="n">
        <v>1678.368</v>
      </c>
      <c r="D33" s="22" t="n">
        <v>1990.929</v>
      </c>
      <c r="E33" s="22" t="n">
        <v>2132.016</v>
      </c>
      <c r="F33" s="22" t="n">
        <v>2329.187</v>
      </c>
      <c r="G33" s="22" t="n">
        <v>2361.64</v>
      </c>
      <c r="H33" s="21" t="n">
        <v>540.429</v>
      </c>
      <c r="I33" s="22" t="n">
        <v>862.0890000000001</v>
      </c>
      <c r="J33" s="22" t="n">
        <v>1219.99</v>
      </c>
      <c r="K33" s="22" t="n">
        <v>1667.124</v>
      </c>
      <c r="L33" s="22" t="n">
        <v>2329.187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2867.963</v>
      </c>
      <c r="D35" s="12" t="n">
        <v>3185.072</v>
      </c>
      <c r="E35" s="12" t="n">
        <v>3328.938</v>
      </c>
      <c r="F35" s="12" t="n">
        <v>3535.582</v>
      </c>
      <c r="G35" s="12" t="n">
        <v>3570.462</v>
      </c>
      <c r="H35" s="11" t="n">
        <v>1201.05</v>
      </c>
      <c r="I35" s="12" t="n">
        <v>1522.71</v>
      </c>
      <c r="J35" s="12" t="n">
        <v>2390.592</v>
      </c>
      <c r="K35" s="12" t="n">
        <v>2851.916</v>
      </c>
      <c r="L35" s="12" t="n">
        <v>3535.582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926.456</v>
      </c>
      <c r="E37" s="12" t="n"/>
      <c r="F37" s="12" t="n">
        <v>-1449.582</v>
      </c>
      <c r="G37" s="12" t="n"/>
      <c r="H37" s="11" t="n">
        <v>465.582</v>
      </c>
      <c r="I37" s="12" t="n">
        <v>581.665</v>
      </c>
      <c r="J37" s="12" t="n">
        <v>757.572</v>
      </c>
      <c r="K37" s="12" t="n">
        <v>596.336</v>
      </c>
      <c r="L37" s="12" t="n">
        <v>-1449.582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129.332</v>
      </c>
      <c r="E38" s="22" t="n"/>
      <c r="F38" s="22" t="n">
        <v>40.283</v>
      </c>
      <c r="G38" s="22" t="n"/>
      <c r="H38" s="21" t="n">
        <v>7.816</v>
      </c>
      <c r="I38" s="22" t="n">
        <v>6.16</v>
      </c>
      <c r="J38" s="22" t="n">
        <v>75.14400000000001</v>
      </c>
      <c r="K38" s="22" t="n">
        <v>124.717</v>
      </c>
      <c r="L38" s="22" t="n">
        <v>40.283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124.278</v>
      </c>
      <c r="E40" s="22" t="n"/>
      <c r="F40" s="22" t="n">
        <v>124.392</v>
      </c>
      <c r="G40" s="22" t="n"/>
      <c r="H40" s="21" t="n">
        <v>46.608</v>
      </c>
      <c r="I40" s="22" t="n">
        <v>56.634</v>
      </c>
      <c r="J40" s="22" t="n">
        <v>74.40000000000001</v>
      </c>
      <c r="K40" s="22" t="n">
        <v>89.464</v>
      </c>
      <c r="L40" s="22" t="n">
        <v>124.392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2517.022</v>
      </c>
      <c r="D71" s="22" t="n">
        <v>3459.024</v>
      </c>
      <c r="E71" s="22" t="n">
        <v>2734.909</v>
      </c>
      <c r="F71" s="22" t="n">
        <v>1771.944</v>
      </c>
      <c r="G71" s="22" t="n">
        <v>1487.353</v>
      </c>
      <c r="H71" s="22" t="n">
        <v>1352.92</v>
      </c>
      <c r="I71" s="22" t="n">
        <v>1879.714</v>
      </c>
      <c r="J71" s="22" t="n">
        <v>3006.128</v>
      </c>
      <c r="K71" s="22" t="n">
        <v>3334.112</v>
      </c>
      <c r="L71" s="22" t="n">
        <v>1771.944</v>
      </c>
    </row>
    <row r="72">
      <c r="A72" s="20" t="inlineStr">
        <is>
          <t>매출채권</t>
        </is>
      </c>
      <c r="F72" s="22" t="n">
        <v>201.467</v>
      </c>
      <c r="H72" s="22" t="n">
        <v>110.81</v>
      </c>
      <c r="I72" s="22" t="n">
        <v>81.803</v>
      </c>
      <c r="J72" s="22" t="n">
        <v>366.005</v>
      </c>
      <c r="K72" s="22" t="n">
        <v>90.871</v>
      </c>
      <c r="L72" s="22" t="n">
        <v>201.467</v>
      </c>
    </row>
    <row r="73">
      <c r="A73" s="20" t="inlineStr">
        <is>
          <t>받을어음·매출채권·계약자산</t>
        </is>
      </c>
      <c r="C73" s="22" t="n">
        <v>319.031</v>
      </c>
      <c r="D73" s="22" t="n">
        <v>443.513</v>
      </c>
      <c r="E73" s="22" t="n">
        <v>787.253</v>
      </c>
      <c r="F73" s="22" t="n">
        <v>201.467</v>
      </c>
      <c r="G73" s="22" t="n">
        <v>554.9640000000001</v>
      </c>
      <c r="I73" s="22" t="n">
        <v>81.803</v>
      </c>
      <c r="J73" s="22" t="n">
        <v>366.005</v>
      </c>
      <c r="K73" s="22" t="n">
        <v>90.871</v>
      </c>
      <c r="L73" s="22" t="n">
        <v>201.467</v>
      </c>
    </row>
    <row r="74">
      <c r="A74" s="20" t="inlineStr">
        <is>
          <t>상품</t>
        </is>
      </c>
      <c r="C74" s="22" t="n">
        <v>1374.166</v>
      </c>
      <c r="D74" s="22" t="n">
        <v>1255.491</v>
      </c>
      <c r="E74" s="22" t="n">
        <v>1856.956</v>
      </c>
      <c r="F74" s="22" t="n">
        <v>2025.177</v>
      </c>
      <c r="G74" s="22" t="n">
        <v>2053.759</v>
      </c>
      <c r="H74" s="22" t="n">
        <v>607.215</v>
      </c>
      <c r="I74" s="22" t="n">
        <v>701.167</v>
      </c>
      <c r="J74" s="22" t="n">
        <v>844.2809999999999</v>
      </c>
      <c r="K74" s="22" t="n">
        <v>960.913</v>
      </c>
      <c r="L74" s="22" t="n">
        <v>2025.177</v>
      </c>
    </row>
    <row r="75">
      <c r="A75" s="20" t="inlineStr">
        <is>
          <t>선급금</t>
        </is>
      </c>
      <c r="F75" s="22" t="n">
        <v>1597.254</v>
      </c>
      <c r="G75" s="22" t="n">
        <v>1608.598</v>
      </c>
      <c r="K75" s="22" t="n">
        <v>0</v>
      </c>
      <c r="L75" s="22" t="n">
        <v>1597.254</v>
      </c>
    </row>
    <row r="76">
      <c r="A76" s="20" t="inlineStr">
        <is>
          <t>선급비용</t>
        </is>
      </c>
      <c r="F76" s="22" t="n">
        <v>5.219</v>
      </c>
      <c r="H76" s="22" t="n">
        <v>1.118</v>
      </c>
      <c r="I76" s="22" t="n">
        <v>1.132</v>
      </c>
      <c r="J76" s="22" t="n">
        <v>2.348</v>
      </c>
      <c r="K76" s="22" t="n">
        <v>3.549</v>
      </c>
      <c r="L76" s="22" t="n">
        <v>5.219</v>
      </c>
    </row>
    <row r="77">
      <c r="A77" s="20" t="inlineStr">
        <is>
          <t>기타</t>
        </is>
      </c>
      <c r="C77" s="22" t="n">
        <v>80.729</v>
      </c>
      <c r="D77" s="22" t="n">
        <v>21.069</v>
      </c>
      <c r="E77" s="22" t="n">
        <v>111.095</v>
      </c>
      <c r="F77" s="22" t="n">
        <v>14.591</v>
      </c>
      <c r="G77" s="22" t="n">
        <v>25.858</v>
      </c>
      <c r="I77" s="22" t="n">
        <v>0</v>
      </c>
      <c r="J77" s="22" t="n">
        <v>0.672</v>
      </c>
      <c r="K77" s="22" t="n">
        <v>1.766</v>
      </c>
      <c r="L77" s="22" t="n">
        <v>14.591</v>
      </c>
    </row>
    <row r="78">
      <c r="A78" s="9" t="inlineStr">
        <is>
          <t>유동자산 합계</t>
        </is>
      </c>
      <c r="C78" s="12" t="n">
        <v>4290.949</v>
      </c>
      <c r="D78" s="12" t="n">
        <v>5179.098</v>
      </c>
      <c r="E78" s="12" t="n">
        <v>5490.215</v>
      </c>
      <c r="F78" s="12" t="n">
        <v>5610.435</v>
      </c>
      <c r="G78" s="12" t="n">
        <v>5730.534</v>
      </c>
      <c r="H78" s="12" t="n">
        <v>2072.064</v>
      </c>
      <c r="I78" s="12" t="n">
        <v>2663.816</v>
      </c>
      <c r="J78" s="12" t="n">
        <v>4219.436</v>
      </c>
      <c r="K78" s="12" t="n">
        <v>4391.214</v>
      </c>
      <c r="L78" s="12" t="n">
        <v>5610.435</v>
      </c>
    </row>
    <row r="79">
      <c r="A79" s="20" t="inlineStr">
        <is>
          <t>건물(순액)</t>
        </is>
      </c>
      <c r="F79" s="22" t="n">
        <v>18.715</v>
      </c>
      <c r="H79" s="22" t="n">
        <v>1.82</v>
      </c>
      <c r="I79" s="22" t="n">
        <v>1.661</v>
      </c>
      <c r="J79" s="22" t="n">
        <v>21.929</v>
      </c>
      <c r="K79" s="22" t="n">
        <v>20.322</v>
      </c>
      <c r="L79" s="22" t="n">
        <v>18.715</v>
      </c>
    </row>
    <row r="80">
      <c r="A80" s="20" t="inlineStr">
        <is>
          <t>차량운반구(순액)</t>
        </is>
      </c>
      <c r="H80" s="22" t="n">
        <v>0</v>
      </c>
      <c r="I80" s="22" t="n">
        <v>0</v>
      </c>
      <c r="J80" s="22" t="n">
        <v>0</v>
      </c>
      <c r="K80" s="22" t="n">
        <v>0</v>
      </c>
    </row>
    <row r="81">
      <c r="A81" s="20" t="inlineStr">
        <is>
          <t>공구·기구·비품(순액)</t>
        </is>
      </c>
      <c r="F81" s="22" t="n">
        <v>53.971</v>
      </c>
      <c r="H81" s="22" t="n">
        <v>24.951</v>
      </c>
      <c r="I81" s="22" t="n">
        <v>10.359</v>
      </c>
      <c r="J81" s="22" t="n">
        <v>54.787</v>
      </c>
      <c r="K81" s="22" t="n">
        <v>114.24</v>
      </c>
      <c r="L81" s="22" t="n">
        <v>53.971</v>
      </c>
    </row>
    <row r="82">
      <c r="A82" s="20" t="inlineStr">
        <is>
          <t>유형자산</t>
        </is>
      </c>
      <c r="C82" s="22" t="n">
        <v>123.941</v>
      </c>
      <c r="D82" s="22" t="n">
        <v>113.972</v>
      </c>
      <c r="E82" s="22" t="n">
        <v>106.275</v>
      </c>
      <c r="F82" s="22" t="n">
        <v>72.68600000000001</v>
      </c>
      <c r="G82" s="22" t="n">
        <v>77.218</v>
      </c>
      <c r="H82" s="22" t="n">
        <v>26.771</v>
      </c>
      <c r="I82" s="22" t="n">
        <v>12.02</v>
      </c>
      <c r="J82" s="22" t="n">
        <v>76.717</v>
      </c>
      <c r="K82" s="22" t="n">
        <v>134.563</v>
      </c>
      <c r="L82" s="22" t="n">
        <v>72.68600000000001</v>
      </c>
    </row>
    <row r="83">
      <c r="A83" s="20" t="inlineStr">
        <is>
          <t>소프트웨어</t>
        </is>
      </c>
      <c r="F83" s="22" t="n">
        <v>9.323</v>
      </c>
      <c r="H83" s="22" t="n">
        <v>9.894</v>
      </c>
      <c r="I83" s="22" t="n">
        <v>6.409</v>
      </c>
      <c r="J83" s="22" t="n">
        <v>2.925</v>
      </c>
      <c r="K83" s="22" t="n">
        <v>6.733</v>
      </c>
      <c r="L83" s="22" t="n">
        <v>9.323</v>
      </c>
    </row>
    <row r="84">
      <c r="A84" s="20" t="inlineStr">
        <is>
          <t>개발 중 소프트웨어</t>
        </is>
      </c>
      <c r="F84" s="22" t="n">
        <v>30.58</v>
      </c>
      <c r="J84" s="22" t="n">
        <v>0</v>
      </c>
      <c r="K84" s="22" t="n">
        <v>25.08</v>
      </c>
      <c r="L84" s="22" t="n">
        <v>30.58</v>
      </c>
    </row>
    <row r="85">
      <c r="A85" s="20" t="inlineStr">
        <is>
          <t>기타</t>
        </is>
      </c>
      <c r="F85" s="22" t="n">
        <v>0.605</v>
      </c>
      <c r="H85" s="22" t="n">
        <v>0.605</v>
      </c>
      <c r="I85" s="22" t="n">
        <v>0.605</v>
      </c>
      <c r="J85" s="22" t="n">
        <v>0.605</v>
      </c>
      <c r="K85" s="22" t="n">
        <v>0.605</v>
      </c>
      <c r="L85" s="22" t="n">
        <v>0.605</v>
      </c>
    </row>
    <row r="86">
      <c r="A86" s="20" t="inlineStr">
        <is>
          <t>무형자산</t>
        </is>
      </c>
      <c r="C86" s="22" t="n">
        <v>35.528</v>
      </c>
      <c r="D86" s="22" t="n">
        <v>37.472</v>
      </c>
      <c r="E86" s="22" t="n">
        <v>36.777</v>
      </c>
      <c r="F86" s="22" t="n">
        <v>40.508</v>
      </c>
      <c r="G86" s="22" t="n">
        <v>40.784</v>
      </c>
      <c r="H86" s="22" t="n">
        <v>10.499</v>
      </c>
      <c r="I86" s="22" t="n">
        <v>7.015</v>
      </c>
      <c r="J86" s="22" t="n">
        <v>3.53</v>
      </c>
      <c r="K86" s="22" t="n">
        <v>32.419</v>
      </c>
      <c r="L86" s="22" t="n">
        <v>40.508</v>
      </c>
    </row>
    <row r="87">
      <c r="A87" s="20" t="inlineStr">
        <is>
          <t>기타 관계회사 유가증권</t>
        </is>
      </c>
      <c r="F87" s="22" t="n">
        <v>0.628</v>
      </c>
      <c r="H87" s="22" t="n">
        <v>0.322</v>
      </c>
      <c r="I87" s="22" t="n">
        <v>0.396</v>
      </c>
      <c r="J87" s="22" t="n">
        <v>0.473</v>
      </c>
      <c r="K87" s="22" t="n">
        <v>0.524</v>
      </c>
      <c r="L87" s="22" t="n">
        <v>0.628</v>
      </c>
    </row>
    <row r="88">
      <c r="A88" s="20" t="inlineStr">
        <is>
          <t>장기선급비용</t>
        </is>
      </c>
      <c r="F88" s="22" t="n">
        <v>0</v>
      </c>
      <c r="H88" s="22" t="n">
        <v>0.308</v>
      </c>
      <c r="I88" s="22" t="n">
        <v>0</v>
      </c>
      <c r="J88" s="22" t="n">
        <v>0.888</v>
      </c>
      <c r="K88" s="22" t="n">
        <v>0.327</v>
      </c>
      <c r="L88" s="22" t="n">
        <v>0</v>
      </c>
    </row>
    <row r="89">
      <c r="A89" s="20" t="inlineStr">
        <is>
          <t>이연법인세자산</t>
        </is>
      </c>
      <c r="F89" s="22" t="n">
        <v>40.127</v>
      </c>
      <c r="H89" s="22" t="n">
        <v>22.47</v>
      </c>
      <c r="I89" s="22" t="n">
        <v>32.6</v>
      </c>
      <c r="J89" s="22" t="n">
        <v>7.139</v>
      </c>
      <c r="K89" s="22" t="n">
        <v>22.147</v>
      </c>
      <c r="L89" s="22" t="n">
        <v>40.127</v>
      </c>
    </row>
    <row r="90">
      <c r="A90" s="20" t="inlineStr">
        <is>
          <t>기타</t>
        </is>
      </c>
      <c r="F90" s="22" t="n">
        <v>29.079</v>
      </c>
      <c r="H90" s="22" t="n">
        <v>14.388</v>
      </c>
      <c r="I90" s="22" t="n">
        <v>14.841</v>
      </c>
      <c r="J90" s="22" t="n">
        <v>26.544</v>
      </c>
      <c r="K90" s="22" t="n">
        <v>27.393</v>
      </c>
      <c r="L90" s="22" t="n">
        <v>29.079</v>
      </c>
    </row>
    <row r="91">
      <c r="A91" s="20" t="inlineStr">
        <is>
          <t>투자 및 기타자산</t>
        </is>
      </c>
      <c r="C91" s="22" t="n">
        <v>50.055</v>
      </c>
      <c r="D91" s="22" t="n">
        <v>49.649</v>
      </c>
      <c r="E91" s="22" t="n">
        <v>50.014</v>
      </c>
      <c r="F91" s="22" t="n">
        <v>69.83499999999999</v>
      </c>
      <c r="G91" s="22" t="n">
        <v>69.482</v>
      </c>
      <c r="H91" s="22" t="n">
        <v>37.488</v>
      </c>
      <c r="I91" s="22" t="n">
        <v>47.838</v>
      </c>
      <c r="J91" s="22" t="n">
        <v>35.045</v>
      </c>
      <c r="K91" s="22" t="n">
        <v>50.392</v>
      </c>
      <c r="L91" s="22" t="n">
        <v>69.83499999999999</v>
      </c>
    </row>
    <row r="92">
      <c r="A92" s="9" t="inlineStr">
        <is>
          <t>비유동자산 합계</t>
        </is>
      </c>
      <c r="C92" s="12" t="n">
        <v>209.524</v>
      </c>
      <c r="D92" s="12" t="n">
        <v>201.093</v>
      </c>
      <c r="E92" s="12" t="n">
        <v>193.067</v>
      </c>
      <c r="F92" s="12" t="n">
        <v>183.031</v>
      </c>
      <c r="G92" s="12" t="n">
        <v>187.485</v>
      </c>
      <c r="H92" s="12" t="n">
        <v>74.76000000000001</v>
      </c>
      <c r="I92" s="12" t="n">
        <v>66.874</v>
      </c>
      <c r="J92" s="12" t="n">
        <v>115.293</v>
      </c>
      <c r="K92" s="12" t="n">
        <v>217.374</v>
      </c>
      <c r="L92" s="12" t="n">
        <v>183.031</v>
      </c>
    </row>
    <row r="93">
      <c r="A93" s="9" t="inlineStr">
        <is>
          <t>자산 합계</t>
        </is>
      </c>
      <c r="C93" s="12" t="n">
        <v>4500.474</v>
      </c>
      <c r="D93" s="12" t="n">
        <v>5380.192</v>
      </c>
      <c r="E93" s="12" t="n">
        <v>5683.283</v>
      </c>
      <c r="F93" s="12" t="n">
        <v>5793.467</v>
      </c>
      <c r="G93" s="12" t="n">
        <v>5918.02</v>
      </c>
      <c r="H93" s="12" t="n">
        <v>2146.825</v>
      </c>
      <c r="I93" s="12" t="n">
        <v>2730.691</v>
      </c>
      <c r="J93" s="12" t="n">
        <v>4334.73</v>
      </c>
      <c r="K93" s="12" t="n">
        <v>4608.588</v>
      </c>
      <c r="L93" s="12" t="n">
        <v>5793.467</v>
      </c>
    </row>
    <row r="94">
      <c r="A94" s="20" t="inlineStr">
        <is>
          <t>지급어음</t>
        </is>
      </c>
      <c r="F94" s="22" t="n">
        <v>0</v>
      </c>
      <c r="H94" s="22" t="n">
        <v>3.564</v>
      </c>
      <c r="I94" s="22" t="n">
        <v>2.416</v>
      </c>
      <c r="J94" s="22" t="n">
        <v>3.596</v>
      </c>
      <c r="K94" s="22" t="n">
        <v>1.212</v>
      </c>
      <c r="L94" s="22" t="n">
        <v>0</v>
      </c>
    </row>
    <row r="95">
      <c r="A95" s="20" t="inlineStr">
        <is>
          <t>매입채무</t>
        </is>
      </c>
      <c r="F95" s="22" t="n">
        <v>449.293</v>
      </c>
      <c r="H95" s="22" t="n">
        <v>60.678</v>
      </c>
      <c r="I95" s="22" t="n">
        <v>131.931</v>
      </c>
      <c r="J95" s="22" t="n">
        <v>349.47</v>
      </c>
      <c r="K95" s="22" t="n">
        <v>253.446</v>
      </c>
      <c r="L95" s="22" t="n">
        <v>449.293</v>
      </c>
    </row>
    <row r="96">
      <c r="A96" s="20" t="inlineStr">
        <is>
          <t>미지급금</t>
        </is>
      </c>
      <c r="F96" s="22" t="n">
        <v>117.024</v>
      </c>
      <c r="H96" s="22" t="n">
        <v>62.602</v>
      </c>
      <c r="I96" s="22" t="n">
        <v>91.251</v>
      </c>
      <c r="J96" s="22" t="n">
        <v>55.781</v>
      </c>
      <c r="K96" s="22" t="n">
        <v>64.542</v>
      </c>
      <c r="L96" s="22" t="n">
        <v>117.024</v>
      </c>
    </row>
    <row r="97">
      <c r="A97" s="20" t="inlineStr">
        <is>
          <t>지급어음·매입채무</t>
        </is>
      </c>
      <c r="C97" s="22" t="n">
        <v>190.804</v>
      </c>
      <c r="D97" s="22" t="n">
        <v>474.607</v>
      </c>
      <c r="E97" s="22" t="n">
        <v>789.083</v>
      </c>
      <c r="F97" s="22" t="n">
        <v>449.293</v>
      </c>
      <c r="G97" s="22" t="n">
        <v>308.38</v>
      </c>
      <c r="I97" s="22" t="n">
        <v>134.347</v>
      </c>
      <c r="J97" s="22" t="n">
        <v>353.066</v>
      </c>
      <c r="K97" s="22" t="n">
        <v>254.658</v>
      </c>
      <c r="L97" s="22" t="n">
        <v>449.293</v>
      </c>
    </row>
    <row r="98">
      <c r="A98" s="20" t="inlineStr">
        <is>
          <t>미지급법인세</t>
        </is>
      </c>
      <c r="C98" s="22" t="n">
        <v>66.801</v>
      </c>
      <c r="D98" s="22" t="n">
        <v>211.252</v>
      </c>
      <c r="E98" s="22" t="n">
        <v>132.728</v>
      </c>
      <c r="F98" s="22" t="n">
        <v>275.788</v>
      </c>
      <c r="G98" s="22" t="n">
        <v>143.312</v>
      </c>
      <c r="H98" s="22" t="n">
        <v>84.318</v>
      </c>
      <c r="I98" s="22" t="n">
        <v>116.943</v>
      </c>
      <c r="J98" s="22" t="n">
        <v>107.601</v>
      </c>
      <c r="K98" s="22" t="n">
        <v>193.545</v>
      </c>
      <c r="L98" s="22" t="n">
        <v>275.788</v>
      </c>
    </row>
    <row r="99">
      <c r="A99" s="20" t="inlineStr">
        <is>
          <t>선수금</t>
        </is>
      </c>
      <c r="C99" s="22" t="n">
        <v>586.672</v>
      </c>
      <c r="D99" s="22" t="n">
        <v>529.6</v>
      </c>
      <c r="E99" s="22" t="n">
        <v>620.838</v>
      </c>
      <c r="F99" s="22" t="n">
        <v>571.813</v>
      </c>
      <c r="G99" s="22" t="n">
        <v>939.203</v>
      </c>
      <c r="H99" s="22" t="n">
        <v>262.987</v>
      </c>
      <c r="I99" s="22" t="n">
        <v>313.498</v>
      </c>
      <c r="J99" s="22" t="n">
        <v>748.838</v>
      </c>
      <c r="K99" s="22" t="n">
        <v>455.845</v>
      </c>
      <c r="L99" s="22" t="n">
        <v>571.813</v>
      </c>
    </row>
    <row r="100">
      <c r="A100" s="20" t="inlineStr">
        <is>
          <t>예수금</t>
        </is>
      </c>
      <c r="F100" s="22" t="n">
        <v>11.914</v>
      </c>
      <c r="H100" s="22" t="n">
        <v>5.931</v>
      </c>
      <c r="I100" s="22" t="n">
        <v>5.162</v>
      </c>
      <c r="J100" s="22" t="n">
        <v>5.844</v>
      </c>
      <c r="K100" s="22" t="n">
        <v>10.803</v>
      </c>
      <c r="L100" s="22" t="n">
        <v>11.914</v>
      </c>
    </row>
    <row r="101">
      <c r="A101" s="20" t="inlineStr">
        <is>
          <t>충당금</t>
        </is>
      </c>
      <c r="C101" s="22" t="n">
        <v>14.55</v>
      </c>
      <c r="D101" s="22" t="n">
        <v>29.882</v>
      </c>
      <c r="E101" s="22" t="n">
        <v>10.723</v>
      </c>
      <c r="F101" s="22" t="n">
        <v>0</v>
      </c>
      <c r="G101" s="22" t="n">
        <v>13.469</v>
      </c>
      <c r="I101" s="22" t="n">
        <v>0</v>
      </c>
      <c r="J101" s="22" t="n">
        <v>0</v>
      </c>
      <c r="K101" s="22" t="n">
        <v>0</v>
      </c>
      <c r="L101" s="22" t="n">
        <v>0</v>
      </c>
    </row>
    <row r="102">
      <c r="A102" s="20" t="inlineStr">
        <is>
          <t>기타</t>
        </is>
      </c>
      <c r="C102" s="22" t="n">
        <v>64.12</v>
      </c>
      <c r="D102" s="22" t="n">
        <v>90.89</v>
      </c>
      <c r="E102" s="22" t="n">
        <v>56.794</v>
      </c>
      <c r="F102" s="22" t="n">
        <v>128.938</v>
      </c>
      <c r="G102" s="22" t="n">
        <v>141.405</v>
      </c>
      <c r="H102" s="22" t="n">
        <v>38.828</v>
      </c>
      <c r="I102" s="22" t="n">
        <v>12.59</v>
      </c>
      <c r="J102" s="22" t="n">
        <v>0</v>
      </c>
      <c r="K102" s="22" t="n">
        <v>47.861</v>
      </c>
      <c r="L102" s="22" t="n">
        <v>128.938</v>
      </c>
    </row>
    <row r="103">
      <c r="A103" s="9" t="inlineStr">
        <is>
          <t>유동부채 합계</t>
        </is>
      </c>
      <c r="C103" s="12" t="n">
        <v>922.949</v>
      </c>
      <c r="D103" s="12" t="n">
        <v>1336.234</v>
      </c>
      <c r="E103" s="12" t="n">
        <v>1610.169</v>
      </c>
      <c r="F103" s="12" t="n">
        <v>1425.833</v>
      </c>
      <c r="G103" s="12" t="n">
        <v>1545.772</v>
      </c>
      <c r="H103" s="12" t="n">
        <v>518.912</v>
      </c>
      <c r="I103" s="12" t="n">
        <v>673.794</v>
      </c>
      <c r="J103" s="12" t="n">
        <v>1271.131</v>
      </c>
      <c r="K103" s="12" t="n">
        <v>1027.257</v>
      </c>
      <c r="L103" s="12" t="n">
        <v>1425.833</v>
      </c>
    </row>
    <row r="104">
      <c r="A104" s="20" t="inlineStr">
        <is>
          <t>장기선수금</t>
        </is>
      </c>
      <c r="C104" s="22" t="n">
        <v>483.63</v>
      </c>
      <c r="D104" s="22" t="n">
        <v>632.953</v>
      </c>
      <c r="E104" s="22" t="n">
        <v>518.242</v>
      </c>
      <c r="F104" s="22" t="n">
        <v>606.1180000000001</v>
      </c>
      <c r="G104" s="22" t="n">
        <v>575.853</v>
      </c>
      <c r="H104" s="22" t="n">
        <v>200.929</v>
      </c>
      <c r="I104" s="22" t="n">
        <v>308.253</v>
      </c>
      <c r="J104" s="22" t="n">
        <v>447.073</v>
      </c>
      <c r="K104" s="22" t="n">
        <v>503.482</v>
      </c>
      <c r="L104" s="22" t="n">
        <v>606.1180000000001</v>
      </c>
    </row>
    <row r="105">
      <c r="A105" s="20" t="inlineStr">
        <is>
          <t>임원 퇴직위로 충당금</t>
        </is>
      </c>
      <c r="H105" s="22" t="n">
        <v>225.931</v>
      </c>
      <c r="I105" s="22" t="n">
        <v>0</v>
      </c>
    </row>
    <row r="106">
      <c r="A106" s="20" t="inlineStr">
        <is>
          <t>장기미지급금</t>
        </is>
      </c>
      <c r="C106" s="22" t="n">
        <v>225.931</v>
      </c>
      <c r="D106" s="22" t="n">
        <v>225.931</v>
      </c>
      <c r="E106" s="22" t="n">
        <v>225.931</v>
      </c>
      <c r="F106" s="22" t="n">
        <v>225.931</v>
      </c>
      <c r="G106" s="22" t="n">
        <v>225.931</v>
      </c>
      <c r="H106" s="22" t="n">
        <v>0</v>
      </c>
      <c r="I106" s="22" t="n">
        <v>225.931</v>
      </c>
      <c r="J106" s="22" t="n">
        <v>225.931</v>
      </c>
      <c r="K106" s="22" t="n">
        <v>225.931</v>
      </c>
      <c r="L106" s="22" t="n">
        <v>225.931</v>
      </c>
    </row>
    <row r="107">
      <c r="A107" s="9" t="inlineStr">
        <is>
          <t>비유동부채 합계</t>
        </is>
      </c>
      <c r="C107" s="12" t="n">
        <v>709.562</v>
      </c>
      <c r="D107" s="12" t="n">
        <v>858.885</v>
      </c>
      <c r="E107" s="12" t="n">
        <v>744.174</v>
      </c>
      <c r="F107" s="12" t="n">
        <v>832.05</v>
      </c>
      <c r="G107" s="12" t="n">
        <v>801.785</v>
      </c>
      <c r="H107" s="12" t="n">
        <v>426.861</v>
      </c>
      <c r="I107" s="12" t="n">
        <v>534.1849999999999</v>
      </c>
      <c r="J107" s="12" t="n">
        <v>673.005</v>
      </c>
      <c r="K107" s="12" t="n">
        <v>729.414</v>
      </c>
      <c r="L107" s="12" t="n">
        <v>832.05</v>
      </c>
    </row>
    <row r="108">
      <c r="A108" s="9" t="inlineStr">
        <is>
          <t>부채 합계</t>
        </is>
      </c>
      <c r="C108" s="12" t="n">
        <v>1632.511</v>
      </c>
      <c r="D108" s="12" t="n">
        <v>2195.119</v>
      </c>
      <c r="E108" s="12" t="n">
        <v>2354.344</v>
      </c>
      <c r="F108" s="12" t="n">
        <v>2257.884</v>
      </c>
      <c r="G108" s="12" t="n">
        <v>2347.557</v>
      </c>
      <c r="H108" s="12" t="n">
        <v>945.774</v>
      </c>
      <c r="I108" s="12" t="n">
        <v>1207.98</v>
      </c>
      <c r="J108" s="12" t="n">
        <v>1944.137</v>
      </c>
      <c r="K108" s="12" t="n">
        <v>1756.672</v>
      </c>
      <c r="L108" s="12" t="n">
        <v>2257.884</v>
      </c>
    </row>
    <row r="109">
      <c r="A109" s="20" t="inlineStr">
        <is>
          <t>자본금</t>
        </is>
      </c>
      <c r="C109" s="22" t="n">
        <v>292.603</v>
      </c>
      <c r="D109" s="22" t="n">
        <v>294.148</v>
      </c>
      <c r="E109" s="22" t="n">
        <v>294.887</v>
      </c>
      <c r="F109" s="22" t="n">
        <v>298.718</v>
      </c>
      <c r="G109" s="22" t="n">
        <v>298.718</v>
      </c>
      <c r="H109" s="22" t="n">
        <v>30</v>
      </c>
      <c r="I109" s="22" t="n">
        <v>30</v>
      </c>
      <c r="J109" s="22" t="n">
        <v>285.125</v>
      </c>
      <c r="K109" s="22" t="n">
        <v>290.879</v>
      </c>
      <c r="L109" s="22" t="n">
        <v>298.718</v>
      </c>
    </row>
    <row r="110">
      <c r="A110" s="20" t="inlineStr">
        <is>
          <t>자본준비금</t>
        </is>
      </c>
      <c r="F110" s="22" t="n">
        <v>338.718</v>
      </c>
      <c r="H110" s="22" t="n">
        <v>70</v>
      </c>
      <c r="I110" s="22" t="n">
        <v>70</v>
      </c>
      <c r="J110" s="22" t="n">
        <v>325.125</v>
      </c>
      <c r="K110" s="22" t="n">
        <v>330.879</v>
      </c>
      <c r="L110" s="22" t="n">
        <v>338.718</v>
      </c>
    </row>
    <row r="111">
      <c r="A111" s="20" t="inlineStr">
        <is>
          <t>기타자본잉여금</t>
        </is>
      </c>
      <c r="F111" s="22" t="n">
        <v>560.621</v>
      </c>
      <c r="H111" s="22" t="n">
        <v>591.721</v>
      </c>
      <c r="I111" s="22" t="n">
        <v>560.621</v>
      </c>
      <c r="J111" s="22" t="n">
        <v>560.621</v>
      </c>
      <c r="K111" s="22" t="n">
        <v>560.621</v>
      </c>
      <c r="L111" s="22" t="n">
        <v>560.621</v>
      </c>
    </row>
    <row r="112">
      <c r="A112" s="20" t="inlineStr">
        <is>
          <t>자본잉여금</t>
        </is>
      </c>
      <c r="C112" s="22" t="n">
        <v>893.224</v>
      </c>
      <c r="D112" s="22" t="n">
        <v>894.769</v>
      </c>
      <c r="E112" s="22" t="n">
        <v>895.509</v>
      </c>
      <c r="F112" s="22" t="n">
        <v>899.3390000000001</v>
      </c>
      <c r="G112" s="22" t="n">
        <v>899.3390000000001</v>
      </c>
      <c r="H112" s="22" t="n">
        <v>661.721</v>
      </c>
      <c r="I112" s="22" t="n">
        <v>630.621</v>
      </c>
      <c r="J112" s="22" t="n">
        <v>885.746</v>
      </c>
      <c r="K112" s="22" t="n">
        <v>891.501</v>
      </c>
      <c r="L112" s="22" t="n">
        <v>899.3390000000001</v>
      </c>
    </row>
    <row r="113">
      <c r="A113" s="20" t="inlineStr">
        <is>
          <t>이월이익잉여금</t>
        </is>
      </c>
      <c r="F113" s="22" t="n">
        <v>2329.187</v>
      </c>
      <c r="H113" s="22" t="n">
        <v>540.429</v>
      </c>
      <c r="I113" s="22" t="n">
        <v>862.0890000000001</v>
      </c>
      <c r="J113" s="22" t="n">
        <v>1219.99</v>
      </c>
      <c r="K113" s="22" t="n">
        <v>1667.124</v>
      </c>
      <c r="L113" s="22" t="n">
        <v>2329.187</v>
      </c>
    </row>
    <row r="114">
      <c r="A114" s="20" t="inlineStr">
        <is>
          <t>이익잉여금</t>
        </is>
      </c>
      <c r="C114" s="22" t="n">
        <v>1678.368</v>
      </c>
      <c r="D114" s="22" t="n">
        <v>1990.929</v>
      </c>
      <c r="E114" s="22" t="n">
        <v>2132.016</v>
      </c>
      <c r="F114" s="22" t="n">
        <v>2329.187</v>
      </c>
      <c r="G114" s="22" t="n">
        <v>2361.64</v>
      </c>
      <c r="H114" s="22" t="n">
        <v>540.429</v>
      </c>
      <c r="I114" s="22" t="n">
        <v>862.0890000000001</v>
      </c>
      <c r="J114" s="22" t="n">
        <v>1219.99</v>
      </c>
      <c r="K114" s="22" t="n">
        <v>1667.124</v>
      </c>
      <c r="L114" s="22" t="n">
        <v>2329.187</v>
      </c>
    </row>
    <row r="115">
      <c r="A115" s="20" t="inlineStr">
        <is>
          <t>자기주식</t>
        </is>
      </c>
      <c r="C115" s="22" t="n">
        <v>-1.086</v>
      </c>
      <c r="D115" s="22" t="n">
        <v>-1.086</v>
      </c>
      <c r="E115" s="22" t="n">
        <v>-1.242</v>
      </c>
      <c r="F115" s="22" t="n">
        <v>-1.242</v>
      </c>
      <c r="G115" s="22" t="n">
        <v>-1.341</v>
      </c>
      <c r="H115" s="22" t="n">
        <v>-31.1</v>
      </c>
      <c r="I115" s="22" t="n">
        <v>0</v>
      </c>
      <c r="J115" s="22" t="n">
        <v>-0.27</v>
      </c>
      <c r="K115" s="22" t="n">
        <v>-0.987</v>
      </c>
      <c r="L115" s="22" t="n">
        <v>-1.242</v>
      </c>
    </row>
    <row r="116">
      <c r="A116" s="9" t="inlineStr">
        <is>
          <t>주주자본 합계</t>
        </is>
      </c>
      <c r="C116" s="12" t="n">
        <v>2863.108</v>
      </c>
      <c r="D116" s="12" t="n">
        <v>3178.761</v>
      </c>
      <c r="E116" s="12" t="n">
        <v>3321.17</v>
      </c>
      <c r="F116" s="12" t="n">
        <v>3526.001</v>
      </c>
      <c r="G116" s="12" t="n">
        <v>3558.356</v>
      </c>
      <c r="H116" s="12" t="n">
        <v>1201.05</v>
      </c>
      <c r="I116" s="12" t="n">
        <v>1522.71</v>
      </c>
      <c r="J116" s="12" t="n">
        <v>2390.592</v>
      </c>
      <c r="K116" s="12" t="n">
        <v>2848.518</v>
      </c>
      <c r="L116" s="12" t="n">
        <v>3526.001</v>
      </c>
    </row>
    <row r="117">
      <c r="A117" s="20" t="inlineStr">
        <is>
          <t>신주예약권</t>
        </is>
      </c>
      <c r="C117" s="22" t="n">
        <v>4.854</v>
      </c>
      <c r="D117" s="22" t="n">
        <v>6.311</v>
      </c>
      <c r="E117" s="22" t="n">
        <v>7.767</v>
      </c>
      <c r="F117" s="22" t="n">
        <v>9.58</v>
      </c>
      <c r="G117" s="22" t="n">
        <v>12.105</v>
      </c>
      <c r="J117" s="22" t="n">
        <v>0</v>
      </c>
      <c r="K117" s="22" t="n">
        <v>3.398</v>
      </c>
      <c r="L117" s="22" t="n">
        <v>9.58</v>
      </c>
    </row>
    <row r="118">
      <c r="A118" s="9" t="inlineStr">
        <is>
          <t>순자산 합계</t>
        </is>
      </c>
      <c r="C118" s="12" t="n">
        <v>2867.963</v>
      </c>
      <c r="D118" s="12" t="n">
        <v>3185.072</v>
      </c>
      <c r="E118" s="12" t="n">
        <v>3328.938</v>
      </c>
      <c r="F118" s="12" t="n">
        <v>3535.582</v>
      </c>
      <c r="G118" s="12" t="n">
        <v>3570.462</v>
      </c>
      <c r="H118" s="12" t="n">
        <v>1201.05</v>
      </c>
      <c r="I118" s="12" t="n">
        <v>1522.71</v>
      </c>
      <c r="J118" s="12" t="n">
        <v>2390.592</v>
      </c>
      <c r="K118" s="12" t="n">
        <v>2851.916</v>
      </c>
      <c r="L118" s="12" t="n">
        <v>3535.582</v>
      </c>
    </row>
    <row r="119">
      <c r="A119" s="9" t="inlineStr">
        <is>
          <t>부채·순자산 합계</t>
        </is>
      </c>
      <c r="C119" s="12" t="n">
        <v>4500.474</v>
      </c>
      <c r="D119" s="12" t="n">
        <v>5380.192</v>
      </c>
      <c r="E119" s="12" t="n">
        <v>5683.283</v>
      </c>
      <c r="F119" s="12" t="n">
        <v>5793.467</v>
      </c>
      <c r="G119" s="12" t="n">
        <v>5918.02</v>
      </c>
      <c r="H119" s="12" t="n">
        <v>2146.825</v>
      </c>
      <c r="I119" s="12" t="n">
        <v>2730.691</v>
      </c>
      <c r="J119" s="12" t="n">
        <v>4334.73</v>
      </c>
      <c r="K119" s="12" t="n">
        <v>4608.588</v>
      </c>
      <c r="L119" s="12" t="n">
        <v>5793.467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2" t="inlineStr">
        <is>
          <t>지뎁어드밴스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가이던스 FY5 27</t>
        </is>
      </c>
      <c r="B4" s="54" t="n"/>
      <c r="C4" s="54" t="n"/>
    </row>
    <row r="5">
      <c r="A5" s="55" t="inlineStr">
        <is>
          <t>항목</t>
        </is>
      </c>
      <c r="B5" s="55" t="inlineStr">
        <is>
          <t>값</t>
        </is>
      </c>
      <c r="C5" s="55" t="inlineStr">
        <is>
          <t>출처</t>
        </is>
      </c>
    </row>
    <row r="6">
      <c r="A6" s="56" t="inlineStr">
        <is>
          <t>매출</t>
        </is>
      </c>
      <c r="B6" s="57" t="n">
        <v>88.40000000000001</v>
      </c>
      <c r="C6" s="58" t="inlineStr">
        <is>
          <t>2단계 보고서 자료(회사 설명회 자료·공시)</t>
        </is>
      </c>
    </row>
    <row r="7">
      <c r="A7" s="56" t="inlineStr">
        <is>
          <t>영업이익</t>
        </is>
      </c>
      <c r="B7" s="57" t="n">
        <v>12.68</v>
      </c>
    </row>
    <row r="8">
      <c r="A8" s="56" t="inlineStr">
        <is>
          <t>순이익</t>
        </is>
      </c>
      <c r="B8" s="57" t="n">
        <v>8.289999999999999</v>
      </c>
    </row>
    <row r="9">
      <c r="A9" s="56" t="inlineStr">
        <is>
          <t>EPS</t>
        </is>
      </c>
      <c r="B9" s="57" t="n">
        <v>150.83</v>
      </c>
    </row>
    <row r="10">
      <c r="A10" s="56" t="inlineStr">
        <is>
          <t>dps</t>
        </is>
      </c>
      <c r="B10" s="59" t="n">
        <v>48</v>
      </c>
    </row>
    <row r="12">
      <c r="A12" s="54" t="inlineStr">
        <is>
          <t>1Q slide · 영업이익 증감 요인</t>
        </is>
      </c>
      <c r="B12" s="54" t="n"/>
      <c r="C12" s="54" t="n"/>
    </row>
    <row r="13">
      <c r="A13" s="55" t="inlineStr">
        <is>
          <t>항목</t>
        </is>
      </c>
      <c r="B13" s="55" t="inlineStr">
        <is>
          <t>값</t>
        </is>
      </c>
      <c r="C13" s="55" t="inlineStr">
        <is>
          <t>출처</t>
        </is>
      </c>
    </row>
    <row r="14">
      <c r="A14" s="56" t="inlineStr">
        <is>
          <t>증수</t>
        </is>
      </c>
      <c r="B14" s="57" t="n">
        <v>1.88</v>
      </c>
      <c r="C14" s="58" t="inlineStr">
        <is>
          <t>2단계 보고서 자료(회사 설명회 자료·공시)</t>
        </is>
      </c>
    </row>
    <row r="15">
      <c r="A15" s="56" t="inlineStr">
        <is>
          <t>매출총이익률</t>
        </is>
      </c>
      <c r="B15" s="57" t="n">
        <v>0.62</v>
      </c>
    </row>
    <row r="16">
      <c r="A16" s="56" t="inlineStr">
        <is>
          <t>인건비</t>
        </is>
      </c>
      <c r="B16" s="57" t="n">
        <v>-0.07000000000000001</v>
      </c>
    </row>
    <row r="17">
      <c r="A17" s="56" t="inlineStr">
        <is>
          <t>업무위탁비</t>
        </is>
      </c>
      <c r="B17" s="57" t="n">
        <v>-0.06</v>
      </c>
    </row>
    <row r="18">
      <c r="A18" s="56" t="inlineStr">
        <is>
          <t>기타</t>
        </is>
      </c>
      <c r="B18" s="57" t="n">
        <v>-0.07000000000000001</v>
      </c>
    </row>
    <row r="20">
      <c r="A20" s="54" t="inlineStr">
        <is>
          <t>1Q slide · industry mix 1Q 27</t>
        </is>
      </c>
      <c r="B20" s="54" t="n"/>
      <c r="C20" s="54" t="n"/>
    </row>
    <row r="21">
      <c r="A21" s="55" t="inlineStr">
        <is>
          <t>항목</t>
        </is>
      </c>
      <c r="B21" s="55" t="inlineStr">
        <is>
          <t>값</t>
        </is>
      </c>
      <c r="C21" s="55" t="inlineStr">
        <is>
          <t>출처</t>
        </is>
      </c>
    </row>
    <row r="22">
      <c r="A22" s="56" t="inlineStr">
        <is>
          <t>제조업</t>
        </is>
      </c>
      <c r="B22" s="57" t="n">
        <v>35.2</v>
      </c>
      <c r="C22" s="58" t="inlineStr">
        <is>
          <t>2단계 보고서 자료(회사 설명회 자료·공시)</t>
        </is>
      </c>
    </row>
    <row r="23">
      <c r="A23" s="56" t="inlineStr">
        <is>
          <t>대학</t>
        </is>
      </c>
      <c r="B23" s="57" t="n">
        <v>29.9</v>
      </c>
    </row>
    <row r="24">
      <c r="A24" s="56" t="inlineStr">
        <is>
          <t>자동차</t>
        </is>
      </c>
      <c r="B24" s="57" t="n">
        <v>11.5</v>
      </c>
    </row>
    <row r="25">
      <c r="A25" s="56" t="inlineStr">
        <is>
          <t>스타트업</t>
        </is>
      </c>
      <c r="B25" s="57" t="n">
        <v>7.2</v>
      </c>
    </row>
    <row r="26">
      <c r="A26" s="56" t="inlineStr">
        <is>
          <t>정보통신</t>
        </is>
      </c>
      <c r="B26" s="57" t="n">
        <v>4.6</v>
      </c>
    </row>
    <row r="27">
      <c r="A27" s="56" t="inlineStr">
        <is>
          <t>의료</t>
        </is>
      </c>
      <c r="B27" s="57" t="n">
        <v>3.2</v>
      </c>
    </row>
    <row r="29">
      <c r="A29" s="54" t="inlineStr">
        <is>
          <t>1Q slide · industry mix 1Q 26</t>
        </is>
      </c>
      <c r="B29" s="54" t="n"/>
      <c r="C29" s="54" t="n"/>
    </row>
    <row r="30">
      <c r="A30" s="55" t="inlineStr">
        <is>
          <t>항목</t>
        </is>
      </c>
      <c r="B30" s="55" t="inlineStr">
        <is>
          <t>값</t>
        </is>
      </c>
      <c r="C30" s="55" t="inlineStr">
        <is>
          <t>출처</t>
        </is>
      </c>
    </row>
    <row r="31">
      <c r="A31" s="56" t="inlineStr">
        <is>
          <t>대학</t>
        </is>
      </c>
      <c r="B31" s="57" t="n">
        <v>38.4</v>
      </c>
      <c r="C31" s="58" t="inlineStr">
        <is>
          <t>2단계 보고서 자료(회사 설명회 자료·공시)</t>
        </is>
      </c>
    </row>
    <row r="32">
      <c r="A32" s="56" t="inlineStr">
        <is>
          <t>제조업</t>
        </is>
      </c>
      <c r="B32" s="57" t="n">
        <v>25.6</v>
      </c>
    </row>
    <row r="33">
      <c r="A33" s="56" t="inlineStr">
        <is>
          <t>스타트업</t>
        </is>
      </c>
      <c r="B33" s="57" t="n">
        <v>10.7</v>
      </c>
    </row>
    <row r="34">
      <c r="A34" s="56" t="inlineStr">
        <is>
          <t>자동차</t>
        </is>
      </c>
      <c r="B34" s="57" t="n">
        <v>6.1</v>
      </c>
    </row>
    <row r="36">
      <c r="A36" s="54" t="inlineStr">
        <is>
          <t>bs · 상품재고</t>
        </is>
      </c>
      <c r="B36" s="54" t="n"/>
      <c r="C36" s="54" t="n"/>
    </row>
    <row r="37">
      <c r="A37" s="55" t="inlineStr">
        <is>
          <t>항목</t>
        </is>
      </c>
      <c r="B37" s="55" t="inlineStr">
        <is>
          <t>값</t>
        </is>
      </c>
      <c r="C37" s="55" t="inlineStr">
        <is>
          <t>출처</t>
        </is>
      </c>
    </row>
    <row r="38">
      <c r="A38" s="56" t="inlineStr">
        <is>
          <t>2025-05</t>
        </is>
      </c>
      <c r="B38" s="57" t="n">
        <v>9.609999999999999</v>
      </c>
      <c r="C38" s="58" t="inlineStr">
        <is>
          <t>2단계 보고서 자료(회사 설명회 자료·공시)</t>
        </is>
      </c>
    </row>
    <row r="39">
      <c r="A39" s="56" t="inlineStr">
        <is>
          <t>2026-05</t>
        </is>
      </c>
      <c r="B39" s="57" t="n">
        <v>20.25</v>
      </c>
    </row>
    <row r="40">
      <c r="A40" s="56" t="inlineStr">
        <is>
          <t>2026-08</t>
        </is>
      </c>
      <c r="B40" s="57" t="n">
        <v>20.54</v>
      </c>
    </row>
    <row r="42">
      <c r="A42" s="54" t="inlineStr">
        <is>
          <t>bs · 선급금</t>
        </is>
      </c>
      <c r="B42" s="54" t="n"/>
      <c r="C42" s="54" t="n"/>
    </row>
    <row r="43">
      <c r="A43" s="55" t="inlineStr">
        <is>
          <t>항목</t>
        </is>
      </c>
      <c r="B43" s="55" t="inlineStr">
        <is>
          <t>값</t>
        </is>
      </c>
      <c r="C43" s="55" t="inlineStr">
        <is>
          <t>출처</t>
        </is>
      </c>
    </row>
    <row r="44">
      <c r="A44" s="56" t="inlineStr">
        <is>
          <t>2026-05</t>
        </is>
      </c>
      <c r="B44" s="57" t="n">
        <v>15.97</v>
      </c>
      <c r="C44" s="58" t="inlineStr">
        <is>
          <t>2단계 보고서 자료(회사 설명회 자료·공시)</t>
        </is>
      </c>
    </row>
    <row r="45">
      <c r="A45" s="56" t="inlineStr">
        <is>
          <t>2026-08</t>
        </is>
      </c>
      <c r="B45" s="57" t="n">
        <v>16.09</v>
      </c>
    </row>
    <row r="47">
      <c r="A47" s="54" t="inlineStr">
        <is>
          <t>bs · 현금</t>
        </is>
      </c>
      <c r="B47" s="54" t="n"/>
      <c r="C47" s="54" t="n"/>
    </row>
    <row r="48">
      <c r="A48" s="55" t="inlineStr">
        <is>
          <t>항목</t>
        </is>
      </c>
      <c r="B48" s="55" t="inlineStr">
        <is>
          <t>값</t>
        </is>
      </c>
      <c r="C48" s="55" t="inlineStr">
        <is>
          <t>출처</t>
        </is>
      </c>
    </row>
    <row r="49">
      <c r="A49" s="56" t="inlineStr">
        <is>
          <t>2026-05</t>
        </is>
      </c>
      <c r="B49" s="57" t="n">
        <v>17.71</v>
      </c>
      <c r="C49" s="58" t="inlineStr">
        <is>
          <t>2단계 보고서 자료(회사 설명회 자료·공시)</t>
        </is>
      </c>
    </row>
    <row r="50">
      <c r="A50" s="56" t="inlineStr">
        <is>
          <t>2026-08</t>
        </is>
      </c>
      <c r="B50" s="57" t="n">
        <v>14.87</v>
      </c>
    </row>
    <row r="52">
      <c r="A52" s="54" t="inlineStr">
        <is>
          <t>PER band ttm</t>
        </is>
      </c>
      <c r="B52" s="54" t="n"/>
      <c r="C52" s="54" t="n"/>
    </row>
    <row r="53">
      <c r="A53" s="55" t="inlineStr">
        <is>
          <t>항목</t>
        </is>
      </c>
      <c r="B53" s="55" t="inlineStr">
        <is>
          <t>값</t>
        </is>
      </c>
      <c r="C53" s="55" t="inlineStr">
        <is>
          <t>출처</t>
        </is>
      </c>
    </row>
    <row r="54">
      <c r="A54" s="56" t="inlineStr">
        <is>
          <t>min</t>
        </is>
      </c>
      <c r="B54" s="57" t="n">
        <v>16.5</v>
      </c>
      <c r="C54" s="58" t="inlineStr">
        <is>
          <t>2단계 보고서 자료(회사 설명회 자료·공시)</t>
        </is>
      </c>
    </row>
    <row r="55">
      <c r="A55" s="56" t="inlineStr">
        <is>
          <t>max</t>
        </is>
      </c>
      <c r="B55" s="57" t="n">
        <v>34.4</v>
      </c>
    </row>
    <row r="56">
      <c r="A56" s="56" t="inlineStr">
        <is>
          <t>avg</t>
        </is>
      </c>
      <c r="B56" s="57" t="n">
        <v>24.8</v>
      </c>
    </row>
    <row r="57">
      <c r="A57" s="56" t="inlineStr">
        <is>
          <t>now</t>
        </is>
      </c>
      <c r="B57" s="57" t="n">
        <v>19.5</v>
      </c>
    </row>
    <row r="58">
      <c r="A58" s="56" t="inlineStr">
        <is>
          <t>pos %</t>
        </is>
      </c>
      <c r="B58" s="59" t="n">
        <v>17</v>
      </c>
    </row>
    <row r="60">
      <c r="A60" s="54" t="inlineStr">
        <is>
          <t>peers · 6597 HPC시스템즈 (6월 결산, 다음 11/13)</t>
        </is>
      </c>
      <c r="B60" s="54" t="n"/>
      <c r="C60" s="54" t="n"/>
    </row>
    <row r="61">
      <c r="A61" s="55" t="inlineStr">
        <is>
          <t>항목</t>
        </is>
      </c>
      <c r="B61" s="55" t="inlineStr">
        <is>
          <t>값</t>
        </is>
      </c>
      <c r="C61" s="55" t="inlineStr">
        <is>
          <t>출처</t>
        </is>
      </c>
    </row>
    <row r="62">
      <c r="A62" s="56" t="inlineStr">
        <is>
          <t>guid EPS</t>
        </is>
      </c>
      <c r="B62" s="57" t="n">
        <v>162.74</v>
      </c>
      <c r="C62" s="58" t="inlineStr">
        <is>
          <t>2단계 보고서 자료(회사 설명회 자료·공시)</t>
        </is>
      </c>
    </row>
    <row r="63">
      <c r="A63" s="56" t="inlineStr">
        <is>
          <t>가격</t>
        </is>
      </c>
      <c r="B63" s="59" t="n">
        <v>3080</v>
      </c>
    </row>
    <row r="64">
      <c r="A64" s="56" t="inlineStr">
        <is>
          <t>1y</t>
        </is>
      </c>
      <c r="B64" s="57" t="n">
        <v>65.59999999999999</v>
      </c>
    </row>
    <row r="66">
      <c r="A66" s="54" t="inlineStr">
        <is>
          <t>peers · 3778 사쿠라인터넷 (3월 결산, 다음 10/28)</t>
        </is>
      </c>
      <c r="B66" s="54" t="n"/>
      <c r="C66" s="54" t="n"/>
    </row>
    <row r="67">
      <c r="A67" s="55" t="inlineStr">
        <is>
          <t>항목</t>
        </is>
      </c>
      <c r="B67" s="55" t="inlineStr">
        <is>
          <t>값</t>
        </is>
      </c>
      <c r="C67" s="55" t="inlineStr">
        <is>
          <t>출처</t>
        </is>
      </c>
    </row>
    <row r="68">
      <c r="A68" s="56" t="inlineStr">
        <is>
          <t>guid EPS</t>
        </is>
      </c>
      <c r="B68" s="57" t="n">
        <v>37.46</v>
      </c>
      <c r="C68" s="58" t="inlineStr">
        <is>
          <t>2단계 보고서 자료(회사 설명회 자료·공시)</t>
        </is>
      </c>
    </row>
    <row r="69">
      <c r="A69" s="56" t="inlineStr">
        <is>
          <t>가격</t>
        </is>
      </c>
      <c r="B69" s="59" t="n">
        <v>2936</v>
      </c>
    </row>
    <row r="70">
      <c r="A70" s="56" t="inlineStr">
        <is>
          <t>1y</t>
        </is>
      </c>
      <c r="B70" s="57" t="n">
        <v>-14.4</v>
      </c>
    </row>
    <row r="72">
      <c r="A72" s="54" t="inlineStr">
        <is>
          <t>peers · 3687 픽스타즈 (9월 결산, 다음 11/6)</t>
        </is>
      </c>
      <c r="B72" s="54" t="n"/>
      <c r="C72" s="54" t="n"/>
    </row>
    <row r="73">
      <c r="A73" s="55" t="inlineStr">
        <is>
          <t>항목</t>
        </is>
      </c>
      <c r="B73" s="55" t="inlineStr">
        <is>
          <t>값</t>
        </is>
      </c>
      <c r="C73" s="55" t="inlineStr">
        <is>
          <t>출처</t>
        </is>
      </c>
    </row>
    <row r="74">
      <c r="A74" s="56" t="inlineStr">
        <is>
          <t>guid EPS</t>
        </is>
      </c>
      <c r="B74" s="57" t="n">
        <v>60.39</v>
      </c>
      <c r="C74" s="58" t="inlineStr">
        <is>
          <t>2단계 보고서 자료(회사 설명회 자료·공시)</t>
        </is>
      </c>
    </row>
    <row r="75">
      <c r="A75" s="56" t="inlineStr">
        <is>
          <t>가격</t>
        </is>
      </c>
      <c r="B75" s="59" t="n">
        <v>1872</v>
      </c>
    </row>
    <row r="76">
      <c r="A76" s="56" t="inlineStr">
        <is>
          <t>1y</t>
        </is>
      </c>
      <c r="B76" s="57" t="n">
        <v>-2.8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2026-10-14</t>
        </is>
      </c>
      <c r="B4" t="inlineStr">
        <is>
          <t>2027년 5월 결산기 １분기 결산단신</t>
        </is>
      </c>
      <c r="C4" t="inlineStr">
        <is>
          <t>https://www2.jpx.co.jp/disc/58850/140120261013549914.pdf</t>
        </is>
      </c>
    </row>
    <row r="5">
      <c r="A5" t="inlineStr">
        <is>
          <t>2026-07-14</t>
        </is>
      </c>
      <c r="B5" t="inlineStr">
        <is>
          <t>2026년 5월 결산기 연간 결산단신</t>
        </is>
      </c>
      <c r="C5" t="inlineStr">
        <is>
          <t>https://www2.jpx.co.jp/disc/58850/140120260713592187.pdf</t>
        </is>
      </c>
    </row>
    <row r="6">
      <c r="A6" t="inlineStr">
        <is>
          <t>2026-04-14</t>
        </is>
      </c>
      <c r="B6" t="inlineStr">
        <is>
          <t>2026년 5월 결산기 ３분기 결산단신</t>
        </is>
      </c>
      <c r="C6" t="inlineStr">
        <is>
          <t>https://www2.jpx.co.jp/disc/58850/140120260413502444.pdf</t>
        </is>
      </c>
    </row>
    <row r="7">
      <c r="A7" t="inlineStr">
        <is>
          <t>2026-01-14</t>
        </is>
      </c>
      <c r="B7" t="inlineStr">
        <is>
          <t>2026년 5월 결산기 2분기 결산단신</t>
        </is>
      </c>
      <c r="C7" t="inlineStr">
        <is>
          <t>https://www2.jpx.co.jp/disc/58850/140120260113532747.pdf</t>
        </is>
      </c>
    </row>
    <row r="8">
      <c r="A8" t="inlineStr">
        <is>
          <t>2025-10-14</t>
        </is>
      </c>
      <c r="B8" t="inlineStr">
        <is>
          <t>2026년 5월 결산기 1분기 결산단신</t>
        </is>
      </c>
      <c r="C8" t="inlineStr">
        <is>
          <t>https://www2.jpx.co.jp/disc/58850/140120251010571719.pdf</t>
        </is>
      </c>
    </row>
    <row r="9">
      <c r="A9" t="inlineStr">
        <is>
          <t>2025-07-14</t>
        </is>
      </c>
      <c r="B9" t="inlineStr">
        <is>
          <t>2025년 5월 결산기 연간 결산단신</t>
        </is>
      </c>
      <c r="C9" t="inlineStr">
        <is>
          <t>https://www2.jpx.co.jp/disc/58850/140120250711512985.pdf</t>
        </is>
      </c>
    </row>
    <row r="10">
      <c r="A10" t="inlineStr">
        <is>
          <t>2025-04-14</t>
        </is>
      </c>
      <c r="B10" t="inlineStr">
        <is>
          <t>2025년 5월 결산기 3분기 결산단신</t>
        </is>
      </c>
      <c r="C10" t="inlineStr">
        <is>
          <t>https://www2.jpx.co.jp/disc/58850/140120250410513058.pdf</t>
        </is>
      </c>
    </row>
    <row r="11">
      <c r="A11" t="inlineStr">
        <is>
          <t>2025-01-14</t>
        </is>
      </c>
      <c r="B11" t="inlineStr">
        <is>
          <t>2025년 5월 결산기 2분기 결산단신</t>
        </is>
      </c>
      <c r="C11" t="inlineStr">
        <is>
          <t>https://www2.jpx.co.jp/disc/58850/140120250110549472.pdf</t>
        </is>
      </c>
    </row>
    <row r="12">
      <c r="A12" t="inlineStr">
        <is>
          <t>2024-10-11</t>
        </is>
      </c>
      <c r="B12" t="inlineStr">
        <is>
          <t>2025년 5월 결산기 1분기 결산단신</t>
        </is>
      </c>
      <c r="C12" t="inlineStr">
        <is>
          <t>https://www2.jpx.co.jp/disc/58850/140120241010596118.pdf</t>
        </is>
      </c>
    </row>
    <row r="13">
      <c r="A13" t="inlineStr">
        <is>
          <t>2024-07-12</t>
        </is>
      </c>
      <c r="B13" t="inlineStr">
        <is>
          <t>2024년 5월 결산기 연간 결산단신</t>
        </is>
      </c>
      <c r="C13" t="inlineStr">
        <is>
          <t>https://www2.jpx.co.jp/disc/58850/140120240711547526.pdf</t>
        </is>
      </c>
    </row>
    <row r="14">
      <c r="A14" t="inlineStr">
        <is>
          <t>2024-04-12</t>
        </is>
      </c>
      <c r="B14" t="inlineStr">
        <is>
          <t>2024년 5월 결산기 3분기 결산단신</t>
        </is>
      </c>
      <c r="C14" t="inlineStr">
        <is>
          <t>https://www2.jpx.co.jp/disc/58850/140120240410568516.pdf</t>
        </is>
      </c>
    </row>
    <row r="15">
      <c r="A15" t="inlineStr">
        <is>
          <t>2024-01-12</t>
        </is>
      </c>
      <c r="B15" t="inlineStr">
        <is>
          <t>2024년 5월 결산기 2분기 결산단신</t>
        </is>
      </c>
      <c r="C15" t="inlineStr">
        <is>
          <t>https://www2.jpx.co.jp/disc/58850/140120240111513799.pdf</t>
        </is>
      </c>
    </row>
    <row r="16">
      <c r="A16" t="inlineStr">
        <is>
          <t>2023-10-12</t>
        </is>
      </c>
      <c r="B16" t="inlineStr">
        <is>
          <t>2024년 5월 결산기 1분기 결산단신</t>
        </is>
      </c>
      <c r="C16" t="inlineStr">
        <is>
          <t>https://www2.jpx.co.jp/disc/58850/140120231012565459.pdf</t>
        </is>
      </c>
    </row>
    <row r="17">
      <c r="A17" t="inlineStr">
        <is>
          <t>2023-07-13</t>
        </is>
      </c>
      <c r="B17" t="inlineStr">
        <is>
          <t>2023년 5월 결산기 연간 결산단신</t>
        </is>
      </c>
      <c r="C17" t="inlineStr">
        <is>
          <t>https://www2.jpx.co.jp/disc/58850/140120230713521379.pdf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2026-10-28T07:03:55Z</dcterms:created>
  <dcterms:modified xmlns:dcterms="http://purl.org/dc/terms/" xmlns:xsi="http://www.w3.org/2001/XMLSchema-instance" xsi:type="dcterms:W3CDTF">2026-10-28T07:03:55Z</dcterms:modified>
</cp:coreProperties>
</file>