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52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5832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44501</v>
      </c>
      <c r="D4" s="12" t="n">
        <v>47749</v>
      </c>
      <c r="E4" s="12" t="n">
        <v>48557</v>
      </c>
      <c r="F4" s="12" t="n">
        <v>52435</v>
      </c>
      <c r="G4" s="12" t="n">
        <v>50484</v>
      </c>
      <c r="H4" s="12" t="n">
        <v>57162</v>
      </c>
      <c r="I4" s="12" t="n">
        <v>51653</v>
      </c>
      <c r="J4" s="12" t="n">
        <v>56606</v>
      </c>
      <c r="K4" s="12" t="n">
        <v>57909</v>
      </c>
      <c r="L4" s="12" t="n">
        <v>67871</v>
      </c>
      <c r="M4" s="12" t="n">
        <v>66688</v>
      </c>
      <c r="N4" s="12" t="n">
        <v>109640</v>
      </c>
      <c r="O4" s="11" t="n"/>
      <c r="P4" s="12" t="n"/>
      <c r="Q4" s="12" t="n"/>
      <c r="R4" s="12" t="n"/>
      <c r="S4" s="12" t="n"/>
      <c r="T4" s="12" t="n"/>
      <c r="U4" s="12" t="n">
        <v>179860</v>
      </c>
      <c r="V4" s="12" t="n">
        <v>184661</v>
      </c>
      <c r="W4" s="12" t="n">
        <v>211734</v>
      </c>
      <c r="X4" s="12" t="n">
        <v>249074</v>
      </c>
      <c r="Y4" s="11">
        <f>IF(COUNT(Y7,Y10,Y13,Y16,Y19)=0,"",SUM(Y7,Y10,Y13,Y16,Y19))</f>
        <v/>
      </c>
      <c r="Z4" s="12">
        <f>IF(COUNT(Z7,Z10,Z13,Z16,Z19)=0,"",SUM(Z7,Z10,Z13,Z16,Z19))</f>
        <v/>
      </c>
      <c r="AA4" s="12">
        <f>IF(COUNT(AA7,AA10,AA13,AA16,AA19)=0,"",SUM(AA7,AA10,AA13,AA16,AA19))</f>
        <v/>
      </c>
      <c r="AB4" s="12">
        <f>IF(COUNT(AB7,AB10,AB13,AB16,AB19)=0,"",SUM(AB7,AB10,AB13,AB16,AB19))</f>
        <v/>
      </c>
      <c r="AC4" s="12">
        <f>IF(COUNT(AC7,AC10,AC13,AC16,AC19)=0,"",SUM(AC7,AC10,AC13,AC16,AC19))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BankingReportableSegmentMember</t>
        </is>
      </c>
      <c r="B7" s="10" t="n"/>
      <c r="C7" s="19" t="n">
        <v>40042</v>
      </c>
      <c r="D7" s="20" t="n">
        <v>43145</v>
      </c>
      <c r="E7" s="20" t="n">
        <v>43409</v>
      </c>
      <c r="F7" s="20" t="n">
        <v>47481</v>
      </c>
      <c r="G7" s="20" t="n">
        <v>43916</v>
      </c>
      <c r="H7" s="20" t="n">
        <v>52212</v>
      </c>
      <c r="I7" s="20" t="n">
        <v>46640</v>
      </c>
      <c r="J7" s="20" t="n">
        <v>51645</v>
      </c>
      <c r="K7" s="20" t="n">
        <v>52089</v>
      </c>
      <c r="L7" s="20" t="n">
        <v>61661</v>
      </c>
      <c r="M7" s="20" t="n">
        <v>60676</v>
      </c>
      <c r="N7" s="20" t="n">
        <v>98751</v>
      </c>
      <c r="O7" s="19" t="n"/>
      <c r="P7" s="20" t="n"/>
      <c r="Q7" s="20" t="n"/>
      <c r="R7" s="20" t="n"/>
      <c r="S7" s="20" t="n"/>
      <c r="T7" s="20" t="n"/>
      <c r="U7" s="20" t="n"/>
      <c r="V7" s="20" t="n">
        <v>166215</v>
      </c>
      <c r="W7" s="20" t="n">
        <v>190249</v>
      </c>
      <c r="X7" s="20" t="n">
        <v>226071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LeasingReportableSegmentMember</t>
        </is>
      </c>
      <c r="B10" s="10" t="n"/>
      <c r="C10" s="19" t="n">
        <v>2761</v>
      </c>
      <c r="D10" s="20" t="n">
        <v>3084</v>
      </c>
      <c r="E10" s="20" t="n">
        <v>3355</v>
      </c>
      <c r="F10" s="20" t="n">
        <v>3056</v>
      </c>
      <c r="G10" s="20" t="n">
        <v>4981</v>
      </c>
      <c r="H10" s="20" t="n">
        <v>3305</v>
      </c>
      <c r="I10" s="20" t="n">
        <v>3210</v>
      </c>
      <c r="J10" s="20" t="n">
        <v>3457</v>
      </c>
      <c r="K10" s="20" t="n">
        <v>3577</v>
      </c>
      <c r="L10" s="20" t="n">
        <v>3682</v>
      </c>
      <c r="M10" s="20" t="n">
        <v>3699</v>
      </c>
      <c r="N10" s="20" t="n">
        <v>8233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11918</v>
      </c>
      <c r="W10" s="20" t="n">
        <v>14552</v>
      </c>
      <c r="X10" s="20" t="n">
        <v>14415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SecuritiesReportableSegmentMember</t>
        </is>
      </c>
      <c r="B13" s="10" t="n"/>
      <c r="C13" s="19" t="n">
        <v>1045</v>
      </c>
      <c r="D13" s="20" t="n">
        <v>872</v>
      </c>
      <c r="E13" s="20" t="n">
        <v>1039</v>
      </c>
      <c r="F13" s="20" t="n">
        <v>1219</v>
      </c>
      <c r="G13" s="20" t="n">
        <v>932</v>
      </c>
      <c r="H13" s="20" t="n">
        <v>846</v>
      </c>
      <c r="I13" s="20" t="n">
        <v>881</v>
      </c>
      <c r="J13" s="20" t="n">
        <v>841</v>
      </c>
      <c r="K13" s="20" t="n">
        <v>1165</v>
      </c>
      <c r="L13" s="20" t="n">
        <v>1575</v>
      </c>
      <c r="M13" s="20" t="n">
        <v>1369</v>
      </c>
      <c r="N13" s="20" t="n">
        <v>1561</v>
      </c>
      <c r="O13" s="19" t="n"/>
      <c r="P13" s="20" t="n"/>
      <c r="Q13" s="20" t="n"/>
      <c r="R13" s="20" t="n"/>
      <c r="S13" s="20" t="n"/>
      <c r="T13" s="20" t="n"/>
      <c r="U13" s="20" t="n"/>
      <c r="V13" s="20" t="n">
        <v>3895</v>
      </c>
      <c r="W13" s="20" t="n">
        <v>3878</v>
      </c>
      <c r="X13" s="20" t="n">
        <v>4950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기타</t>
        </is>
      </c>
      <c r="B16" s="10" t="n"/>
      <c r="C16" s="19" t="n">
        <v>643</v>
      </c>
      <c r="D16" s="20" t="n">
        <v>647</v>
      </c>
      <c r="E16" s="20" t="n">
        <v>754</v>
      </c>
      <c r="F16" s="20" t="n">
        <v>678</v>
      </c>
      <c r="G16" s="20" t="n">
        <v>735</v>
      </c>
      <c r="H16" s="20" t="n">
        <v>802</v>
      </c>
      <c r="I16" s="20" t="n">
        <v>838</v>
      </c>
      <c r="J16" s="20" t="n">
        <v>765</v>
      </c>
      <c r="K16" s="20" t="n">
        <v>983</v>
      </c>
      <c r="L16" s="20" t="n">
        <v>953</v>
      </c>
      <c r="M16" s="20" t="n">
        <v>935</v>
      </c>
      <c r="N16" s="20" t="n">
        <v>1121</v>
      </c>
      <c r="O16" s="19" t="n"/>
      <c r="P16" s="20" t="n"/>
      <c r="Q16" s="20" t="n"/>
      <c r="R16" s="20" t="n"/>
      <c r="S16" s="20" t="n"/>
      <c r="T16" s="20" t="n"/>
      <c r="U16" s="20" t="n"/>
      <c r="V16" s="20" t="n">
        <v>2631</v>
      </c>
      <c r="W16" s="20" t="n">
        <v>3053</v>
      </c>
      <c r="X16" s="20" t="n">
        <v>3636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EntityTotalMember</t>
        </is>
      </c>
      <c r="B19" s="10" t="n"/>
      <c r="C19" s="19" t="n"/>
      <c r="D19" s="20" t="n"/>
      <c r="E19" s="20" t="n"/>
      <c r="F19" s="20" t="n">
        <v>52435</v>
      </c>
      <c r="G19" s="20" t="n"/>
      <c r="H19" s="20" t="n"/>
      <c r="I19" s="20" t="n"/>
      <c r="J19" s="20" t="n">
        <v>56606</v>
      </c>
      <c r="K19" s="20" t="n"/>
      <c r="L19" s="20" t="n"/>
      <c r="M19" s="20" t="n"/>
      <c r="N19" s="20" t="n">
        <v>109640</v>
      </c>
      <c r="O19" s="19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6" t="inlineStr">
        <is>
          <t>매출원가</t>
        </is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7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7" t="n"/>
      <c r="Z22" s="16" t="n"/>
      <c r="AA22" s="16" t="n"/>
      <c r="AB22" s="16" t="n"/>
      <c r="AC22" s="16" t="n"/>
    </row>
    <row r="23">
      <c r="A23" s="18" t="inlineStr">
        <is>
          <t>전체 매출원가</t>
        </is>
      </c>
      <c r="B23" s="10" t="n"/>
      <c r="C23" s="19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19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19" t="n"/>
      <c r="Z23" s="20" t="n"/>
      <c r="AA23" s="20" t="n"/>
      <c r="AB23" s="20" t="n"/>
      <c r="AC23" s="20" t="n"/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IF(OR(G23="",C23=""),"",IF(C23&lt;=0,"",IFERROR(G23/C23-1,"")))</f>
        <v/>
      </c>
      <c r="H24" s="15">
        <f>IF(OR(H23="",D23=""),"",IF(D23&lt;=0,"",IFERROR(H23/D23-1,"")))</f>
        <v/>
      </c>
      <c r="I24" s="15">
        <f>IF(OR(I23="",E23=""),"",IF(E23&lt;=0,"",IFERROR(I23/E23-1,"")))</f>
        <v/>
      </c>
      <c r="J24" s="15">
        <f>IF(OR(J23="",F23=""),"",IF(F23&lt;=0,"",IFERROR(J23/F23-1,"")))</f>
        <v/>
      </c>
      <c r="K24" s="15">
        <f>IF(OR(K23="",G23=""),"",IF(G23&lt;=0,"",IFERROR(K23/G23-1,"")))</f>
        <v/>
      </c>
      <c r="L24" s="15">
        <f>IF(OR(L23="",H23=""),"",IF(H23&lt;=0,"",IFERROR(L23/H23-1,"")))</f>
        <v/>
      </c>
      <c r="M24" s="15">
        <f>IF(OR(M23="",I23=""),"",IF(I23&lt;=0,"",IFERROR(M23/I23-1,"")))</f>
        <v/>
      </c>
      <c r="N24" s="15">
        <f>IF(OR(N23="",J23=""),"",IF(J23&lt;=0,"",IFERROR(N23/J23-1,"")))</f>
        <v/>
      </c>
      <c r="O24" s="14" t="n"/>
      <c r="P24" s="15">
        <f>IF(OR(P23="",O23=""),"",IF(O23&lt;=0,"",IFERROR(P23/O23-1,"")))</f>
        <v/>
      </c>
      <c r="Q24" s="15">
        <f>IF(OR(Q23="",P23=""),"",IF(P23&lt;=0,"",IFERROR(Q23/P23-1,"")))</f>
        <v/>
      </c>
      <c r="R24" s="15">
        <f>IF(OR(R23="",Q23=""),"",IF(Q23&lt;=0,"",IFERROR(R23/Q23-1,"")))</f>
        <v/>
      </c>
      <c r="S24" s="15">
        <f>IF(OR(S23="",R23=""),"",IF(R23&lt;=0,"",IFERROR(S23/R23-1,"")))</f>
        <v/>
      </c>
      <c r="T24" s="15">
        <f>IF(OR(T23="",S23=""),"",IF(S23&lt;=0,"",IFERROR(T23/S23-1,"")))</f>
        <v/>
      </c>
      <c r="U24" s="15">
        <f>IF(OR(U23="",T23=""),"",IF(T23&lt;=0,"",IFERROR(U23/T23-1,"")))</f>
        <v/>
      </c>
      <c r="V24" s="15">
        <f>IF(OR(V23="",U23=""),"",IF(U23&lt;=0,"",IFERROR(V23/U23-1,"")))</f>
        <v/>
      </c>
      <c r="W24" s="15">
        <f>IF(OR(W23="",V23=""),"",IF(V23&lt;=0,"",IFERROR(W23/V23-1,"")))</f>
        <v/>
      </c>
      <c r="X24" s="15">
        <f>IF(OR(X23="",W23=""),"",IF(W23&lt;=0,"",IFERROR(X23/W23-1,"")))</f>
        <v/>
      </c>
      <c r="Y24" s="14">
        <f>IF(OR(Y23="",X23=""),"",IF(X23&lt;=0,"",IFERROR(Y23/X23-1,"")))</f>
        <v/>
      </c>
      <c r="Z24" s="15">
        <f>IF(OR(Z23="",Y23=""),"",IF(Y23&lt;=0,"",IFERROR(Z23/Y23-1,"")))</f>
        <v/>
      </c>
      <c r="AA24" s="15">
        <f>IF(OR(AA23="",Z23=""),"",IF(Z23&lt;=0,"",IFERROR(AA23/Z23-1,"")))</f>
        <v/>
      </c>
      <c r="AB24" s="15">
        <f>IF(OR(AB23="",AA23=""),"",IF(AA23&lt;=0,"",IFERROR(AB23/AA23-1,"")))</f>
        <v/>
      </c>
      <c r="AC24" s="15">
        <f>IF(OR(AC23="",AB23=""),"",IF(AB23&lt;=0,"",IFERROR(AC23/AB23-1,"")))</f>
        <v/>
      </c>
    </row>
    <row r="25">
      <c r="A25" s="18" t="inlineStr">
        <is>
          <t>매출총이익</t>
        </is>
      </c>
      <c r="B25" s="10" t="n"/>
      <c r="C25" s="19">
        <f>IF(OR(C4="",C23=""),"",IFERROR(C4-C23,""))</f>
        <v/>
      </c>
      <c r="D25" s="20">
        <f>IF(OR(D4="",D23=""),"",IFERROR(D4-D23,""))</f>
        <v/>
      </c>
      <c r="E25" s="20">
        <f>IF(OR(E4="",E23=""),"",IFERROR(E4-E23,""))</f>
        <v/>
      </c>
      <c r="F25" s="20">
        <f>IF(OR(F4="",F23=""),"",IFERROR(F4-F23,""))</f>
        <v/>
      </c>
      <c r="G25" s="20">
        <f>IF(OR(G4="",G23=""),"",IFERROR(G4-G23,""))</f>
        <v/>
      </c>
      <c r="H25" s="20">
        <f>IF(OR(H4="",H23=""),"",IFERROR(H4-H23,""))</f>
        <v/>
      </c>
      <c r="I25" s="20">
        <f>IF(OR(I4="",I23=""),"",IFERROR(I4-I23,""))</f>
        <v/>
      </c>
      <c r="J25" s="20">
        <f>IF(OR(J4="",J23=""),"",IFERROR(J4-J23,""))</f>
        <v/>
      </c>
      <c r="K25" s="20">
        <f>IF(OR(K4="",K23=""),"",IFERROR(K4-K23,""))</f>
        <v/>
      </c>
      <c r="L25" s="20">
        <f>IF(OR(L4="",L23=""),"",IFERROR(L4-L23,""))</f>
        <v/>
      </c>
      <c r="M25" s="20">
        <f>IF(OR(M4="",M23=""),"",IFERROR(M4-M23,""))</f>
        <v/>
      </c>
      <c r="N25" s="20">
        <f>IF(OR(N4="",N23=""),"",IFERROR(N4-N23,""))</f>
        <v/>
      </c>
      <c r="O25" s="19">
        <f>IF(OR(O4="",O23=""),"",IFERROR(O4-O23,""))</f>
        <v/>
      </c>
      <c r="P25" s="20">
        <f>IF(OR(P4="",P23=""),"",IFERROR(P4-P23,""))</f>
        <v/>
      </c>
      <c r="Q25" s="20">
        <f>IF(OR(Q4="",Q23=""),"",IFERROR(Q4-Q23,""))</f>
        <v/>
      </c>
      <c r="R25" s="20">
        <f>IF(OR(R4="",R23=""),"",IFERROR(R4-R23,""))</f>
        <v/>
      </c>
      <c r="S25" s="20">
        <f>IF(OR(S4="",S23=""),"",IFERROR(S4-S23,""))</f>
        <v/>
      </c>
      <c r="T25" s="20">
        <f>IF(OR(T4="",T23=""),"",IFERROR(T4-T23,""))</f>
        <v/>
      </c>
      <c r="U25" s="20">
        <f>IF(OR(U4="",U23=""),"",IFERROR(U4-U23,""))</f>
        <v/>
      </c>
      <c r="V25" s="20">
        <f>IF(OR(V4="",V23=""),"",IFERROR(V4-V23,""))</f>
        <v/>
      </c>
      <c r="W25" s="20">
        <f>IF(OR(W4="",W23=""),"",IFERROR(W4-W23,""))</f>
        <v/>
      </c>
      <c r="X25" s="20">
        <f>IF(OR(X4="",X23=""),"",IFERROR(X4-X23,""))</f>
        <v/>
      </c>
      <c r="Y25" s="19" t="n"/>
      <c r="Z25" s="20" t="n"/>
      <c r="AA25" s="20" t="n"/>
      <c r="AB25" s="20" t="n"/>
      <c r="AC25" s="20" t="n"/>
    </row>
    <row r="26">
      <c r="A26" s="13" t="inlineStr">
        <is>
          <t>GPM</t>
        </is>
      </c>
      <c r="B26" s="10" t="n"/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14">
        <f>IF(OR(Y25="",Y4=""),"",IFERROR(Y25/Y4,""))</f>
        <v/>
      </c>
      <c r="Z26" s="15">
        <f>IF(OR(Z25="",Z4=""),"",IFERROR(Z25/Z4,""))</f>
        <v/>
      </c>
      <c r="AA26" s="15">
        <f>IF(OR(AA25="",AA4=""),"",IFERROR(AA25/AA4,""))</f>
        <v/>
      </c>
      <c r="AB26" s="15">
        <f>IF(OR(AB25="",AB4=""),"",IFERROR(AB25/AB4,""))</f>
        <v/>
      </c>
      <c r="AC26" s="15">
        <f>IF(OR(AC25="",AC4=""),"",IFERROR(AC25/AC4,""))</f>
        <v/>
      </c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IF(OR(G25="",C25=""),"",IF(C25&lt;=0,"",IFERROR(G25/C25-1,"")))</f>
        <v/>
      </c>
      <c r="H27" s="15">
        <f>IF(OR(H25="",D25=""),"",IF(D25&lt;=0,"",IFERROR(H25/D25-1,"")))</f>
        <v/>
      </c>
      <c r="I27" s="15">
        <f>IF(OR(I25="",E25=""),"",IF(E25&lt;=0,"",IFERROR(I25/E25-1,"")))</f>
        <v/>
      </c>
      <c r="J27" s="15">
        <f>IF(OR(J25="",F25=""),"",IF(F25&lt;=0,"",IFERROR(J25/F25-1,"")))</f>
        <v/>
      </c>
      <c r="K27" s="15">
        <f>IF(OR(K25="",G25=""),"",IF(G25&lt;=0,"",IFERROR(K25/G25-1,"")))</f>
        <v/>
      </c>
      <c r="L27" s="15">
        <f>IF(OR(L25="",H25=""),"",IF(H25&lt;=0,"",IFERROR(L25/H25-1,"")))</f>
        <v/>
      </c>
      <c r="M27" s="15">
        <f>IF(OR(M25="",I25=""),"",IF(I25&lt;=0,"",IFERROR(M25/I25-1,"")))</f>
        <v/>
      </c>
      <c r="N27" s="15">
        <f>IF(OR(N25="",J25=""),"",IF(J25&lt;=0,"",IFERROR(N25/J25-1,"")))</f>
        <v/>
      </c>
      <c r="O27" s="14" t="n"/>
      <c r="P27" s="15">
        <f>IF(OR(P25="",O25=""),"",IF(O25&lt;=0,"",IFERROR(P25/O25-1,"")))</f>
        <v/>
      </c>
      <c r="Q27" s="15">
        <f>IF(OR(Q25="",P25=""),"",IF(P25&lt;=0,"",IFERROR(Q25/P25-1,"")))</f>
        <v/>
      </c>
      <c r="R27" s="15">
        <f>IF(OR(R25="",Q25=""),"",IF(Q25&lt;=0,"",IFERROR(R25/Q25-1,"")))</f>
        <v/>
      </c>
      <c r="S27" s="15">
        <f>IF(OR(S25="",R25=""),"",IF(R25&lt;=0,"",IFERROR(S25/R25-1,"")))</f>
        <v/>
      </c>
      <c r="T27" s="15">
        <f>IF(OR(T25="",S25=""),"",IF(S25&lt;=0,"",IFERROR(T25/S25-1,"")))</f>
        <v/>
      </c>
      <c r="U27" s="15">
        <f>IF(OR(U25="",T25=""),"",IF(T25&lt;=0,"",IFERROR(U25/T25-1,"")))</f>
        <v/>
      </c>
      <c r="V27" s="15">
        <f>IF(OR(V25="",U25=""),"",IF(U25&lt;=0,"",IFERROR(V25/U25-1,"")))</f>
        <v/>
      </c>
      <c r="W27" s="15">
        <f>IF(OR(W25="",V25=""),"",IF(V25&lt;=0,"",IFERROR(W25/V25-1,"")))</f>
        <v/>
      </c>
      <c r="X27" s="15">
        <f>IF(OR(X25="",W25=""),"",IF(W25&lt;=0,"",IFERROR(X25/W25-1,"")))</f>
        <v/>
      </c>
      <c r="Y27" s="14">
        <f>IF(OR(Y25="",X25=""),"",IF(X25&lt;=0,"",IFERROR(Y25/X25-1,"")))</f>
        <v/>
      </c>
      <c r="Z27" s="15">
        <f>IF(OR(Z25="",Y25=""),"",IF(Y25&lt;=0,"",IFERROR(Z25/Y25-1,"")))</f>
        <v/>
      </c>
      <c r="AA27" s="15">
        <f>IF(OR(AA25="",Z25=""),"",IF(Z25&lt;=0,"",IFERROR(AA25/Z25-1,"")))</f>
        <v/>
      </c>
      <c r="AB27" s="15">
        <f>IF(OR(AB25="",AA25=""),"",IF(AA25&lt;=0,"",IFERROR(AB25/AA25-1,"")))</f>
        <v/>
      </c>
      <c r="AC27" s="15">
        <f>IF(OR(AC25="",AB25=""),"",IF(AB25&lt;=0,"",IFERROR(AC25/AB25-1,"")))</f>
        <v/>
      </c>
    </row>
    <row r="28">
      <c r="A28" s="23" t="inlineStr">
        <is>
          <t>판매관리비</t>
        </is>
      </c>
      <c r="B28" s="23" t="n"/>
      <c r="C28" s="24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4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4" t="n"/>
      <c r="Z28" s="23" t="n"/>
      <c r="AA28" s="23" t="n"/>
      <c r="AB28" s="23" t="n"/>
      <c r="AC28" s="23" t="n"/>
    </row>
    <row r="29">
      <c r="A29" s="18" t="inlineStr">
        <is>
          <t>전체 판관비</t>
        </is>
      </c>
      <c r="B29" s="10" t="n"/>
      <c r="C29" s="19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19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19" t="n"/>
      <c r="Z29" s="20" t="n"/>
      <c r="AA29" s="20" t="n"/>
      <c r="AB29" s="20" t="n"/>
      <c r="AC29" s="20" t="n"/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IF(OR(G29="",C29=""),"",IF(C29&lt;=0,"",IFERROR(G29/C29-1,"")))</f>
        <v/>
      </c>
      <c r="H30" s="15">
        <f>IF(OR(H29="",D29=""),"",IF(D29&lt;=0,"",IFERROR(H29/D29-1,"")))</f>
        <v/>
      </c>
      <c r="I30" s="15">
        <f>IF(OR(I29="",E29=""),"",IF(E29&lt;=0,"",IFERROR(I29/E29-1,"")))</f>
        <v/>
      </c>
      <c r="J30" s="15">
        <f>IF(OR(J29="",F29=""),"",IF(F29&lt;=0,"",IFERROR(J29/F29-1,"")))</f>
        <v/>
      </c>
      <c r="K30" s="15">
        <f>IF(OR(K29="",G29=""),"",IF(G29&lt;=0,"",IFERROR(K29/G29-1,"")))</f>
        <v/>
      </c>
      <c r="L30" s="15">
        <f>IF(OR(L29="",H29=""),"",IF(H29&lt;=0,"",IFERROR(L29/H29-1,"")))</f>
        <v/>
      </c>
      <c r="M30" s="15">
        <f>IF(OR(M29="",I29=""),"",IF(I29&lt;=0,"",IFERROR(M29/I29-1,"")))</f>
        <v/>
      </c>
      <c r="N30" s="15">
        <f>IF(OR(N29="",J29=""),"",IF(J29&lt;=0,"",IFERROR(N29/J29-1,"")))</f>
        <v/>
      </c>
      <c r="O30" s="14" t="n"/>
      <c r="P30" s="15">
        <f>IF(OR(P29="",O29=""),"",IF(O29&lt;=0,"",IFERROR(P29/O29-1,"")))</f>
        <v/>
      </c>
      <c r="Q30" s="15">
        <f>IF(OR(Q29="",P29=""),"",IF(P29&lt;=0,"",IFERROR(Q29/P29-1,"")))</f>
        <v/>
      </c>
      <c r="R30" s="15">
        <f>IF(OR(R29="",Q29=""),"",IF(Q29&lt;=0,"",IFERROR(R29/Q29-1,"")))</f>
        <v/>
      </c>
      <c r="S30" s="15">
        <f>IF(OR(S29="",R29=""),"",IF(R29&lt;=0,"",IFERROR(S29/R29-1,"")))</f>
        <v/>
      </c>
      <c r="T30" s="15">
        <f>IF(OR(T29="",S29=""),"",IF(S29&lt;=0,"",IFERROR(T29/S29-1,"")))</f>
        <v/>
      </c>
      <c r="U30" s="15">
        <f>IF(OR(U29="",T29=""),"",IF(T29&lt;=0,"",IFERROR(U29/T29-1,"")))</f>
        <v/>
      </c>
      <c r="V30" s="15">
        <f>IF(OR(V29="",U29=""),"",IF(U29&lt;=0,"",IFERROR(V29/U29-1,"")))</f>
        <v/>
      </c>
      <c r="W30" s="15">
        <f>IF(OR(W29="",V29=""),"",IF(V29&lt;=0,"",IFERROR(W29/V29-1,"")))</f>
        <v/>
      </c>
      <c r="X30" s="15">
        <f>IF(OR(X29="",W29=""),"",IF(W29&lt;=0,"",IFERROR(X29/W29-1,"")))</f>
        <v/>
      </c>
      <c r="Y30" s="14">
        <f>IF(OR(Y29="",X29=""),"",IF(X29&lt;=0,"",IFERROR(Y29/X29-1,"")))</f>
        <v/>
      </c>
      <c r="Z30" s="15">
        <f>IF(OR(Z29="",Y29=""),"",IF(Y29&lt;=0,"",IFERROR(Z29/Y29-1,"")))</f>
        <v/>
      </c>
      <c r="AA30" s="15">
        <f>IF(OR(AA29="",Z29=""),"",IF(Z29&lt;=0,"",IFERROR(AA29/Z29-1,"")))</f>
        <v/>
      </c>
      <c r="AB30" s="15">
        <f>IF(OR(AB29="",AA29=""),"",IF(AA29&lt;=0,"",IFERROR(AB29/AA29-1,"")))</f>
        <v/>
      </c>
      <c r="AC30" s="15">
        <f>IF(OR(AC29="",AB29=""),"",IF(AB29&lt;=0,"",IFERROR(AC29/AB29-1,"")))</f>
        <v/>
      </c>
    </row>
    <row r="31">
      <c r="A31" s="9" t="inlineStr">
        <is>
          <t>영업이익</t>
        </is>
      </c>
      <c r="B31" s="10" t="inlineStr">
        <is>
          <t>MW = 매출 × OPM</t>
        </is>
      </c>
      <c r="C31" s="11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1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1">
        <f>IF(OR(Y4="",Y32=""),"",IFERROR(Y4*Y32,""))</f>
        <v/>
      </c>
      <c r="Z31" s="12">
        <f>IF(OR(Z4="",Z32=""),"",IFERROR(Z4*Z32,""))</f>
        <v/>
      </c>
      <c r="AA31" s="12">
        <f>IF(OR(AA4="",AA32=""),"",IFERROR(AA4*AA32,""))</f>
        <v/>
      </c>
      <c r="AB31" s="12">
        <f>IF(OR(AB4="",AB32=""),"",IFERROR(AB4*AB32,""))</f>
        <v/>
      </c>
      <c r="AC31" s="12">
        <f>IF(OR(AC4="",AC32=""),"",IFERROR(AC4*AC32,""))</f>
        <v/>
      </c>
    </row>
    <row r="32">
      <c r="A32" s="13" t="inlineStr">
        <is>
          <t>OPM</t>
        </is>
      </c>
      <c r="B32" s="10" t="inlineStr">
        <is>
          <t>MW 입력</t>
        </is>
      </c>
      <c r="C32" s="14">
        <f>IF(OR(C31="",C4=""),"",IFERROR(C31/C4,""))</f>
        <v/>
      </c>
      <c r="D32" s="15">
        <f>IF(OR(D31="",D4=""),"",IFERROR(D31/D4,""))</f>
        <v/>
      </c>
      <c r="E32" s="15">
        <f>IF(OR(E31="",E4=""),"",IFERROR(E31/E4,""))</f>
        <v/>
      </c>
      <c r="F32" s="15">
        <f>IF(OR(F31="",F4=""),"",IFERROR(F31/F4,""))</f>
        <v/>
      </c>
      <c r="G32" s="15">
        <f>IF(OR(G31="",G4=""),"",IFERROR(G31/G4,""))</f>
        <v/>
      </c>
      <c r="H32" s="15">
        <f>IF(OR(H31="",H4=""),"",IFERROR(H31/H4,""))</f>
        <v/>
      </c>
      <c r="I32" s="15">
        <f>IF(OR(I31="",I4=""),"",IFERROR(I31/I4,""))</f>
        <v/>
      </c>
      <c r="J32" s="15">
        <f>IF(OR(J31="",J4=""),"",IFERROR(J31/J4,""))</f>
        <v/>
      </c>
      <c r="K32" s="15">
        <f>IF(OR(K31="",K4=""),"",IFERROR(K31/K4,""))</f>
        <v/>
      </c>
      <c r="L32" s="15">
        <f>IF(OR(L31="",L4=""),"",IFERROR(L31/L4,""))</f>
        <v/>
      </c>
      <c r="M32" s="15">
        <f>IF(OR(M31="",M4=""),"",IFERROR(M31/M4,""))</f>
        <v/>
      </c>
      <c r="N32" s="15">
        <f>IF(OR(N31="",N4=""),"",IFERROR(N31/N4,""))</f>
        <v/>
      </c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25" t="n"/>
      <c r="Z32" s="26" t="n"/>
      <c r="AA32" s="26" t="n"/>
      <c r="AB32" s="26" t="n"/>
      <c r="AC32" s="26" t="n"/>
    </row>
    <row r="33">
      <c r="A33" s="13" t="inlineStr">
        <is>
          <t>증가율</t>
        </is>
      </c>
      <c r="B33" s="10" t="n"/>
      <c r="C33" s="14" t="n"/>
      <c r="D33" s="15" t="n"/>
      <c r="E33" s="15" t="n"/>
      <c r="F33" s="15" t="n"/>
      <c r="G33" s="15">
        <f>IF(OR(G31="",C31=""),"",IFERROR(G31/C31-1,""))</f>
        <v/>
      </c>
      <c r="H33" s="15">
        <f>IF(OR(H31="",D31=""),"",IFERROR(H31/D31-1,""))</f>
        <v/>
      </c>
      <c r="I33" s="15">
        <f>IF(OR(I31="",E31=""),"",IFERROR(I31/E31-1,""))</f>
        <v/>
      </c>
      <c r="J33" s="15">
        <f>IF(OR(J31="",F31=""),"",IFERROR(J31/F31-1,""))</f>
        <v/>
      </c>
      <c r="K33" s="15">
        <f>IF(OR(K31="",G31=""),"",IFERROR(K31/G31-1,""))</f>
        <v/>
      </c>
      <c r="L33" s="15">
        <f>IF(OR(L31="",H31=""),"",IFERROR(L31/H31-1,""))</f>
        <v/>
      </c>
      <c r="M33" s="15">
        <f>IF(OR(M31="",I31=""),"",IFERROR(M31/I31-1,""))</f>
        <v/>
      </c>
      <c r="N33" s="15">
        <f>IF(OR(N31="",J31=""),"",IFERROR(N31/J31-1,""))</f>
        <v/>
      </c>
      <c r="O33" s="14" t="n"/>
      <c r="P33" s="15">
        <f>IF(OR(P31="",O31=""),"",IFERROR(P31/O31-1,""))</f>
        <v/>
      </c>
      <c r="Q33" s="15">
        <f>IF(OR(Q31="",P31=""),"",IFERROR(Q31/P31-1,""))</f>
        <v/>
      </c>
      <c r="R33" s="15">
        <f>IF(OR(R31="",Q31=""),"",IFERROR(R31/Q31-1,""))</f>
        <v/>
      </c>
      <c r="S33" s="15">
        <f>IF(OR(S31="",R31=""),"",IFERROR(S31/R31-1,""))</f>
        <v/>
      </c>
      <c r="T33" s="15">
        <f>IF(OR(T31="",S31=""),"",IFERROR(T31/S31-1,""))</f>
        <v/>
      </c>
      <c r="U33" s="15">
        <f>IF(OR(U31="",T31=""),"",IFERROR(U31/T31-1,""))</f>
        <v/>
      </c>
      <c r="V33" s="15">
        <f>IF(OR(V31="",U31=""),"",IFERROR(V31/U31-1,""))</f>
        <v/>
      </c>
      <c r="W33" s="15">
        <f>IF(OR(W31="",V31=""),"",IFERROR(W31/V31-1,""))</f>
        <v/>
      </c>
      <c r="X33" s="15">
        <f>IF(OR(X31="",W31=""),"",IFERROR(X31/W31-1,""))</f>
        <v/>
      </c>
      <c r="Y33" s="14">
        <f>IF(OR(Y31="",X31=""),"",IFERROR(Y31/X31-1,""))</f>
        <v/>
      </c>
      <c r="Z33" s="15">
        <f>IF(OR(Z31="",Y31=""),"",IFERROR(Z31/Y31-1,""))</f>
        <v/>
      </c>
      <c r="AA33" s="15">
        <f>IF(OR(AA31="",Z31=""),"",IFERROR(AA31/Z31-1,""))</f>
        <v/>
      </c>
      <c r="AB33" s="15">
        <f>IF(OR(AB31="",AA31=""),"",IFERROR(AB31/AA31-1,""))</f>
        <v/>
      </c>
      <c r="AC33" s="15">
        <f>IF(OR(AC31="",AB31=""),"",IFERROR(AC31/AB31-1,""))</f>
        <v/>
      </c>
    </row>
    <row r="34">
      <c r="A34" s="16" t="inlineStr">
        <is>
          <t>비용의 성격별 분류</t>
        </is>
      </c>
      <c r="B34" s="16" t="inlineStr">
        <is>
          <t>참고 데이터</t>
        </is>
      </c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7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7" t="n"/>
      <c r="Z34" s="16" t="n"/>
      <c r="AA34" s="16" t="n"/>
      <c r="AB34" s="16" t="n"/>
      <c r="AC34" s="16" t="n"/>
    </row>
    <row r="35">
      <c r="A35" s="9" t="inlineStr">
        <is>
          <t>총 판관비</t>
        </is>
      </c>
      <c r="B35" s="10" t="n"/>
      <c r="C35" s="11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1">
        <f>IF(O29="","",O29)</f>
        <v/>
      </c>
      <c r="P35" s="12">
        <f>IF(P29="","",P29)</f>
        <v/>
      </c>
      <c r="Q35" s="12">
        <f>IF(Q29="","",Q29)</f>
        <v/>
      </c>
      <c r="R35" s="12">
        <f>IF(R29="","",R29)</f>
        <v/>
      </c>
      <c r="S35" s="12">
        <f>IF(S29="","",S29)</f>
        <v/>
      </c>
      <c r="T35" s="12">
        <f>IF(T29="","",T29)</f>
        <v/>
      </c>
      <c r="U35" s="12">
        <f>IF(U29="","",U29)</f>
        <v/>
      </c>
      <c r="V35" s="12">
        <f>IF(V29="","",V29)</f>
        <v/>
      </c>
      <c r="W35" s="12">
        <f>IF(W29="","",W29)</f>
        <v/>
      </c>
      <c r="X35" s="12">
        <f>IF(X29="","",X29)</f>
        <v/>
      </c>
      <c r="Y35" s="11" t="n"/>
      <c r="Z35" s="12" t="n"/>
      <c r="AA35" s="12" t="n"/>
      <c r="AB35" s="12" t="n"/>
      <c r="AC35" s="12" t="n"/>
    </row>
    <row r="36">
      <c r="A36" s="18" t="inlineStr">
        <is>
          <t>급여</t>
        </is>
      </c>
      <c r="B36" s="10" t="inlineStr">
        <is>
          <t>고정비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감가상각비</t>
        </is>
      </c>
      <c r="B38" s="10" t="inlineStr">
        <is>
          <t>고정비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8" t="inlineStr">
        <is>
          <t>지급수수료</t>
        </is>
      </c>
      <c r="B40" s="10" t="inlineStr">
        <is>
          <t>고정비</t>
        </is>
      </c>
      <c r="C40" s="19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19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19" t="n"/>
      <c r="Z40" s="20" t="n"/>
      <c r="AA40" s="20" t="n"/>
      <c r="AB40" s="20" t="n"/>
      <c r="AC40" s="20" t="n"/>
    </row>
    <row r="41">
      <c r="A41" s="13" t="inlineStr">
        <is>
          <t>% of Sales</t>
        </is>
      </c>
      <c r="B41" s="10" t="n"/>
      <c r="C41" s="14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4">
        <f>IF(OR(O40="",O4=""),"",IFERROR(O40/O4,""))</f>
        <v/>
      </c>
      <c r="P41" s="15">
        <f>IF(OR(P40="",P4=""),"",IFERROR(P40/P4,""))</f>
        <v/>
      </c>
      <c r="Q41" s="15">
        <f>IF(OR(Q40="",Q4=""),"",IFERROR(Q40/Q4,""))</f>
        <v/>
      </c>
      <c r="R41" s="15">
        <f>IF(OR(R40="",R4=""),"",IFERROR(R40/R4,""))</f>
        <v/>
      </c>
      <c r="S41" s="15">
        <f>IF(OR(S40="",S4=""),"",IFERROR(S40/S4,""))</f>
        <v/>
      </c>
      <c r="T41" s="15">
        <f>IF(OR(T40="",T4=""),"",IFERROR(T40/T4,""))</f>
        <v/>
      </c>
      <c r="U41" s="15">
        <f>IF(OR(U40="",U4=""),"",IFERROR(U40/U4,""))</f>
        <v/>
      </c>
      <c r="V41" s="15">
        <f>IF(OR(V40="",V4=""),"",IFERROR(V40/V4,""))</f>
        <v/>
      </c>
      <c r="W41" s="15">
        <f>IF(OR(W40="",W4=""),"",IFERROR(W40/W4,""))</f>
        <v/>
      </c>
      <c r="X41" s="15">
        <f>IF(OR(X40="",X4=""),"",IFERROR(X40/X4,""))</f>
        <v/>
      </c>
      <c r="Y41" s="14" t="n"/>
      <c r="Z41" s="15" t="n"/>
      <c r="AA41" s="15" t="n"/>
      <c r="AB41" s="15" t="n"/>
      <c r="AC41" s="15" t="n"/>
    </row>
    <row r="42">
      <c r="A42" s="18" t="inlineStr">
        <is>
          <t>연구개발비</t>
        </is>
      </c>
      <c r="B42" s="10" t="inlineStr">
        <is>
          <t>변동비</t>
        </is>
      </c>
      <c r="C42" s="19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19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19" t="n"/>
      <c r="Z42" s="20" t="n"/>
      <c r="AA42" s="20" t="n"/>
      <c r="AB42" s="20" t="n"/>
      <c r="AC42" s="20" t="n"/>
    </row>
    <row r="43">
      <c r="A43" s="13" t="inlineStr">
        <is>
          <t>% of Sales</t>
        </is>
      </c>
      <c r="B43" s="10" t="n"/>
      <c r="C43" s="14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4">
        <f>IF(OR(O42="",O4=""),"",IFERROR(O42/O4,""))</f>
        <v/>
      </c>
      <c r="P43" s="15">
        <f>IF(OR(P42="",P4=""),"",IFERROR(P42/P4,""))</f>
        <v/>
      </c>
      <c r="Q43" s="15">
        <f>IF(OR(Q42="",Q4=""),"",IFERROR(Q42/Q4,""))</f>
        <v/>
      </c>
      <c r="R43" s="15">
        <f>IF(OR(R42="",R4=""),"",IFERROR(R42/R4,""))</f>
        <v/>
      </c>
      <c r="S43" s="15">
        <f>IF(OR(S42="",S4=""),"",IFERROR(S42/S4,""))</f>
        <v/>
      </c>
      <c r="T43" s="15">
        <f>IF(OR(T42="",T4=""),"",IFERROR(T42/T4,""))</f>
        <v/>
      </c>
      <c r="U43" s="15">
        <f>IF(OR(U42="",U4=""),"",IFERROR(U42/U4,""))</f>
        <v/>
      </c>
      <c r="V43" s="15">
        <f>IF(OR(V42="",V4=""),"",IFERROR(V42/V4,""))</f>
        <v/>
      </c>
      <c r="W43" s="15">
        <f>IF(OR(W42="",W4=""),"",IFERROR(W42/W4,""))</f>
        <v/>
      </c>
      <c r="X43" s="15">
        <f>IF(OR(X42="",X4=""),"",IFERROR(X42/X4,""))</f>
        <v/>
      </c>
      <c r="Y43" s="14" t="n"/>
      <c r="Z43" s="15" t="n"/>
      <c r="AA43" s="15" t="n"/>
      <c r="AB43" s="15" t="n"/>
      <c r="AC43" s="15" t="n"/>
    </row>
    <row r="44">
      <c r="A44" s="18" t="inlineStr">
        <is>
          <t>기타비용</t>
        </is>
      </c>
      <c r="B44" s="10" t="inlineStr">
        <is>
          <t>변동비</t>
        </is>
      </c>
      <c r="C44" s="19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19">
        <f>IF(OR(O35="",O36="",O38="",O40="",O42=""),"",IFERROR(O35-O36-O38-O40-O42,""))</f>
        <v/>
      </c>
      <c r="P44" s="20">
        <f>IF(OR(P35="",P36="",P38="",P40="",P42=""),"",IFERROR(P35-P36-P38-P40-P42,""))</f>
        <v/>
      </c>
      <c r="Q44" s="20">
        <f>IF(OR(Q35="",Q36="",Q38="",Q40="",Q42=""),"",IFERROR(Q35-Q36-Q38-Q40-Q42,""))</f>
        <v/>
      </c>
      <c r="R44" s="20">
        <f>IF(OR(R35="",R36="",R38="",R40="",R42=""),"",IFERROR(R35-R36-R38-R40-R42,""))</f>
        <v/>
      </c>
      <c r="S44" s="20">
        <f>IF(OR(S35="",S36="",S38="",S40="",S42=""),"",IFERROR(S35-S36-S38-S40-S42,""))</f>
        <v/>
      </c>
      <c r="T44" s="20">
        <f>IF(OR(T35="",T36="",T38="",T40="",T42=""),"",IFERROR(T35-T36-T38-T40-T42,""))</f>
        <v/>
      </c>
      <c r="U44" s="20">
        <f>IF(OR(U35="",U36="",U38="",U40="",U42=""),"",IFERROR(U35-U36-U38-U40-U42,""))</f>
        <v/>
      </c>
      <c r="V44" s="20">
        <f>IF(OR(V35="",V36="",V38="",V40="",V42=""),"",IFERROR(V35-V36-V38-V40-V42,""))</f>
        <v/>
      </c>
      <c r="W44" s="20">
        <f>IF(OR(W35="",W36="",W38="",W40="",W42=""),"",IFERROR(W35-W36-W38-W40-W42,""))</f>
        <v/>
      </c>
      <c r="X44" s="20">
        <f>IF(OR(X35="",X36="",X38="",X40="",X42=""),"",IFERROR(X35-X36-X38-X40-X42,""))</f>
        <v/>
      </c>
      <c r="Y44" s="19" t="n"/>
      <c r="Z44" s="20" t="n"/>
      <c r="AA44" s="20" t="n"/>
      <c r="AB44" s="20" t="n"/>
      <c r="AC44" s="20" t="n"/>
    </row>
    <row r="45">
      <c r="A45" s="13" t="inlineStr">
        <is>
          <t>% of Sales</t>
        </is>
      </c>
      <c r="B45" s="10" t="n"/>
      <c r="C45" s="14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14" t="n"/>
      <c r="Z45" s="15" t="n"/>
      <c r="AA45" s="15" t="n"/>
      <c r="AB45" s="15" t="n"/>
      <c r="AC45" s="15" t="n"/>
    </row>
    <row r="46">
      <c r="A46" s="16" t="inlineStr">
        <is>
          <t>당기순이익 추정</t>
        </is>
      </c>
      <c r="B46" s="16" t="n"/>
      <c r="C46" s="17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7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7" t="n"/>
      <c r="Z46" s="16" t="n"/>
      <c r="AA46" s="16" t="n"/>
      <c r="AB46" s="16" t="n"/>
      <c r="AC46" s="16" t="n"/>
    </row>
    <row r="47">
      <c r="A47" s="18" t="inlineStr">
        <is>
          <t>특별이익</t>
        </is>
      </c>
      <c r="B47" s="10" t="n"/>
      <c r="C47" s="19" t="n">
        <v>19</v>
      </c>
      <c r="D47" s="20" t="n">
        <v>0</v>
      </c>
      <c r="E47" s="20" t="n">
        <v>15</v>
      </c>
      <c r="F47" s="20" t="n">
        <v>2</v>
      </c>
      <c r="G47" s="20" t="n">
        <v>1</v>
      </c>
      <c r="H47" s="20" t="n">
        <v>5</v>
      </c>
      <c r="I47" s="20" t="n">
        <v>111</v>
      </c>
      <c r="J47" s="20" t="n">
        <v>0</v>
      </c>
      <c r="K47" s="20" t="n">
        <v>0</v>
      </c>
      <c r="L47" s="20" t="n">
        <v>0</v>
      </c>
      <c r="M47" s="20" t="n">
        <v>13</v>
      </c>
      <c r="N47" s="20" t="n">
        <v>21</v>
      </c>
      <c r="O47" s="19" t="n"/>
      <c r="P47" s="20" t="n"/>
      <c r="Q47" s="20" t="n"/>
      <c r="R47" s="20" t="n"/>
      <c r="S47" s="20" t="n"/>
      <c r="T47" s="20" t="n"/>
      <c r="U47" s="20" t="n">
        <v>89</v>
      </c>
      <c r="V47" s="20" t="n">
        <v>48</v>
      </c>
      <c r="W47" s="20" t="n">
        <v>119</v>
      </c>
      <c r="X47" s="20" t="n">
        <v>13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inlineStr">
        <is>
          <t>MW = 최근 3년 평균</t>
        </is>
      </c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18" t="inlineStr">
        <is>
          <t>특별손실</t>
        </is>
      </c>
      <c r="B49" s="10" t="n"/>
      <c r="C49" s="19" t="n">
        <v>55</v>
      </c>
      <c r="D49" s="20" t="n">
        <v>29</v>
      </c>
      <c r="E49" s="20" t="n">
        <v>182</v>
      </c>
      <c r="F49" s="20" t="n">
        <v>56</v>
      </c>
      <c r="G49" s="20" t="n">
        <v>10</v>
      </c>
      <c r="H49" s="20" t="n">
        <v>21</v>
      </c>
      <c r="I49" s="20" t="n">
        <v>58</v>
      </c>
      <c r="J49" s="20" t="n">
        <v>254</v>
      </c>
      <c r="K49" s="20" t="n">
        <v>6</v>
      </c>
      <c r="L49" s="20" t="n">
        <v>15</v>
      </c>
      <c r="M49" s="20" t="n">
        <v>110</v>
      </c>
      <c r="N49" s="20" t="n">
        <v>67</v>
      </c>
      <c r="O49" s="19" t="n"/>
      <c r="P49" s="20" t="n"/>
      <c r="Q49" s="20" t="n"/>
      <c r="R49" s="20" t="n"/>
      <c r="S49" s="20" t="n"/>
      <c r="T49" s="20" t="n"/>
      <c r="U49" s="20" t="n">
        <v>179</v>
      </c>
      <c r="V49" s="20" t="n">
        <v>339</v>
      </c>
      <c r="W49" s="20" t="n">
        <v>145</v>
      </c>
      <c r="X49" s="20" t="n">
        <v>385</v>
      </c>
      <c r="Y49" s="19">
        <f>IF(OR(Y4="",Y50=""),"",IFERROR(Y4*Y50,""))</f>
        <v/>
      </c>
      <c r="Z49" s="20">
        <f>IF(OR(Z4="",Z50=""),"",IFERROR(Z4*Z50,""))</f>
        <v/>
      </c>
      <c r="AA49" s="20">
        <f>IF(OR(AA4="",AA50=""),"",IFERROR(AA4*AA50,""))</f>
        <v/>
      </c>
      <c r="AB49" s="20">
        <f>IF(OR(AB4="",AB50=""),"",IFERROR(AB4*AB50,""))</f>
        <v/>
      </c>
      <c r="AC49" s="20">
        <f>IF(OR(AC4="",AC50=""),"",IFERROR(AC4*AC50,""))</f>
        <v/>
      </c>
    </row>
    <row r="50">
      <c r="A50" s="13" t="inlineStr">
        <is>
          <t>% of Sales</t>
        </is>
      </c>
      <c r="B50" s="10" t="n"/>
      <c r="C50" s="14">
        <f>IF(OR(C49="",C4=""),"",IFERROR(C49/C4,""))</f>
        <v/>
      </c>
      <c r="D50" s="15">
        <f>IF(OR(D49="",D4=""),"",IFERROR(D49/D4,""))</f>
        <v/>
      </c>
      <c r="E50" s="15">
        <f>IF(OR(E49="",E4=""),"",IFERROR(E49/E4,""))</f>
        <v/>
      </c>
      <c r="F50" s="15">
        <f>IF(OR(F49="",F4=""),"",IFERROR(F49/F4,""))</f>
        <v/>
      </c>
      <c r="G50" s="15">
        <f>IF(OR(G49="",G4=""),"",IFERROR(G49/G4,""))</f>
        <v/>
      </c>
      <c r="H50" s="15">
        <f>IF(OR(H49="",H4=""),"",IFERROR(H49/H4,""))</f>
        <v/>
      </c>
      <c r="I50" s="15">
        <f>IF(OR(I49="",I4=""),"",IFERROR(I49/I4,""))</f>
        <v/>
      </c>
      <c r="J50" s="15">
        <f>IF(OR(J49="",J4=""),"",IFERROR(J49/J4,""))</f>
        <v/>
      </c>
      <c r="K50" s="15">
        <f>IF(OR(K49="",K4=""),"",IFERROR(K49/K4,""))</f>
        <v/>
      </c>
      <c r="L50" s="15">
        <f>IF(OR(L49="",L4=""),"",IFERROR(L49/L4,""))</f>
        <v/>
      </c>
      <c r="M50" s="15">
        <f>IF(OR(M49="",M4=""),"",IFERROR(M49/M4,""))</f>
        <v/>
      </c>
      <c r="N50" s="15">
        <f>IF(OR(N49="",N4=""),"",IFERROR(N49/N4,""))</f>
        <v/>
      </c>
      <c r="O50" s="14">
        <f>IF(OR(O49="",O4=""),"",IFERROR(O49/O4,""))</f>
        <v/>
      </c>
      <c r="P50" s="15">
        <f>IF(OR(P49="",P4=""),"",IFERROR(P49/P4,""))</f>
        <v/>
      </c>
      <c r="Q50" s="15">
        <f>IF(OR(Q49="",Q4=""),"",IFERROR(Q49/Q4,""))</f>
        <v/>
      </c>
      <c r="R50" s="15">
        <f>IF(OR(R49="",R4=""),"",IFERROR(R49/R4,""))</f>
        <v/>
      </c>
      <c r="S50" s="15">
        <f>IF(OR(S49="",S4=""),"",IFERROR(S49/S4,""))</f>
        <v/>
      </c>
      <c r="T50" s="15">
        <f>IF(OR(T49="",T4=""),"",IFERROR(T49/T4,""))</f>
        <v/>
      </c>
      <c r="U50" s="15">
        <f>IF(OR(U49="",U4=""),"",IFERROR(U49/U4,""))</f>
        <v/>
      </c>
      <c r="V50" s="15">
        <f>IF(OR(V49="",V4=""),"",IFERROR(V49/V4,""))</f>
        <v/>
      </c>
      <c r="W50" s="15">
        <f>IF(OR(W49="",W4=""),"",IFERROR(W49/W4,""))</f>
        <v/>
      </c>
      <c r="X50" s="15">
        <f>IF(OR(X49="",X4=""),"",IFERROR(X49/X4,""))</f>
        <v/>
      </c>
      <c r="Y50" s="25">
        <f>IFERROR(AVERAGE(V50,W50,X50),"")</f>
        <v/>
      </c>
      <c r="Z50" s="26">
        <f>Y50</f>
        <v/>
      </c>
      <c r="AA50" s="26">
        <f>Z50</f>
        <v/>
      </c>
      <c r="AB50" s="26">
        <f>AA50</f>
        <v/>
      </c>
      <c r="AC50" s="26">
        <f>AB50</f>
        <v/>
      </c>
    </row>
    <row r="51">
      <c r="A51" s="18" t="inlineStr">
        <is>
          <t>영업외수익</t>
        </is>
      </c>
      <c r="B51" s="10" t="n"/>
      <c r="C51" s="19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19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19">
        <f>IF(OR(Y4="",Y52=""),"",IFERROR(Y4*Y52,""))</f>
        <v/>
      </c>
      <c r="Z51" s="20">
        <f>IF(OR(Z4="",Z52=""),"",IFERROR(Z4*Z52,""))</f>
        <v/>
      </c>
      <c r="AA51" s="20">
        <f>IF(OR(AA4="",AA52=""),"",IFERROR(AA4*AA52,""))</f>
        <v/>
      </c>
      <c r="AB51" s="20">
        <f>IF(OR(AB4="",AB52=""),"",IFERROR(AB4*AB52,""))</f>
        <v/>
      </c>
      <c r="AC51" s="20">
        <f>IF(OR(AC4="",AC52=""),"",IFERROR(AC4*AC52,""))</f>
        <v/>
      </c>
    </row>
    <row r="52">
      <c r="A52" s="13" t="inlineStr">
        <is>
          <t>% of Sales</t>
        </is>
      </c>
      <c r="B52" s="10" t="n"/>
      <c r="C52" s="14">
        <f>IF(OR(C51="",C4=""),"",IFERROR(C51/C4,""))</f>
        <v/>
      </c>
      <c r="D52" s="15">
        <f>IF(OR(D51="",D4=""),"",IFERROR(D51/D4,""))</f>
        <v/>
      </c>
      <c r="E52" s="15">
        <f>IF(OR(E51="",E4=""),"",IFERROR(E51/E4,""))</f>
        <v/>
      </c>
      <c r="F52" s="15">
        <f>IF(OR(F51="",F4=""),"",IFERROR(F51/F4,""))</f>
        <v/>
      </c>
      <c r="G52" s="15">
        <f>IF(OR(G51="",G4=""),"",IFERROR(G51/G4,""))</f>
        <v/>
      </c>
      <c r="H52" s="15">
        <f>IF(OR(H51="",H4=""),"",IFERROR(H51/H4,""))</f>
        <v/>
      </c>
      <c r="I52" s="15">
        <f>IF(OR(I51="",I4=""),"",IFERROR(I51/I4,""))</f>
        <v/>
      </c>
      <c r="J52" s="15">
        <f>IF(OR(J51="",J4=""),"",IFERROR(J51/J4,""))</f>
        <v/>
      </c>
      <c r="K52" s="15">
        <f>IF(OR(K51="",K4=""),"",IFERROR(K51/K4,""))</f>
        <v/>
      </c>
      <c r="L52" s="15">
        <f>IF(OR(L51="",L4=""),"",IFERROR(L51/L4,""))</f>
        <v/>
      </c>
      <c r="M52" s="15">
        <f>IF(OR(M51="",M4=""),"",IFERROR(M51/M4,""))</f>
        <v/>
      </c>
      <c r="N52" s="15">
        <f>IF(OR(N51="",N4=""),"",IFERROR(N51/N4,""))</f>
        <v/>
      </c>
      <c r="O52" s="14">
        <f>IF(OR(O51="",O4=""),"",IFERROR(O51/O4,""))</f>
        <v/>
      </c>
      <c r="P52" s="15">
        <f>IF(OR(P51="",P4=""),"",IFERROR(P51/P4,""))</f>
        <v/>
      </c>
      <c r="Q52" s="15">
        <f>IF(OR(Q51="",Q4=""),"",IFERROR(Q51/Q4,""))</f>
        <v/>
      </c>
      <c r="R52" s="15">
        <f>IF(OR(R51="",R4=""),"",IFERROR(R51/R4,""))</f>
        <v/>
      </c>
      <c r="S52" s="15">
        <f>IF(OR(S51="",S4=""),"",IFERROR(S51/S4,""))</f>
        <v/>
      </c>
      <c r="T52" s="15">
        <f>IF(OR(T51="",T4=""),"",IFERROR(T51/T4,""))</f>
        <v/>
      </c>
      <c r="U52" s="15">
        <f>IF(OR(U51="",U4=""),"",IFERROR(U51/U4,""))</f>
        <v/>
      </c>
      <c r="V52" s="15">
        <f>IF(OR(V51="",V4=""),"",IFERROR(V51/V4,""))</f>
        <v/>
      </c>
      <c r="W52" s="15">
        <f>IF(OR(W51="",W4=""),"",IFERROR(W51/W4,""))</f>
        <v/>
      </c>
      <c r="X52" s="15">
        <f>IF(OR(X51="",X4=""),"",IFERROR(X51/X4,""))</f>
        <v/>
      </c>
      <c r="Y52" s="25">
        <f>IFERROR(AVERAGE(V52,W52,X52),"")</f>
        <v/>
      </c>
      <c r="Z52" s="26">
        <f>Y52</f>
        <v/>
      </c>
      <c r="AA52" s="26">
        <f>Z52</f>
        <v/>
      </c>
      <c r="AB52" s="26">
        <f>AA52</f>
        <v/>
      </c>
      <c r="AC52" s="26">
        <f>AB52</f>
        <v/>
      </c>
    </row>
    <row r="53">
      <c r="A53" s="18" t="inlineStr">
        <is>
          <t>영업외비용</t>
        </is>
      </c>
      <c r="B53" s="10" t="n"/>
      <c r="C53" s="19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19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19">
        <f>IF(OR(Y4="",Y54=""),"",IFERROR(Y4*Y54,""))</f>
        <v/>
      </c>
      <c r="Z53" s="20">
        <f>IF(OR(Z4="",Z54=""),"",IFERROR(Z4*Z54,""))</f>
        <v/>
      </c>
      <c r="AA53" s="20">
        <f>IF(OR(AA4="",AA54=""),"",IFERROR(AA4*AA54,""))</f>
        <v/>
      </c>
      <c r="AB53" s="20">
        <f>IF(OR(AB4="",AB54=""),"",IFERROR(AB4*AB54,""))</f>
        <v/>
      </c>
      <c r="AC53" s="20">
        <f>IF(OR(AC4="",AC54=""),"",IFERROR(AC4*AC54,""))</f>
        <v/>
      </c>
    </row>
    <row r="54">
      <c r="A54" s="13" t="inlineStr">
        <is>
          <t>% of Sales</t>
        </is>
      </c>
      <c r="B54" s="10" t="n"/>
      <c r="C54" s="14">
        <f>IF(OR(C53="",C4=""),"",IFERROR(C53/C4,""))</f>
        <v/>
      </c>
      <c r="D54" s="15">
        <f>IF(OR(D53="",D4=""),"",IFERROR(D53/D4,""))</f>
        <v/>
      </c>
      <c r="E54" s="15">
        <f>IF(OR(E53="",E4=""),"",IFERROR(E53/E4,""))</f>
        <v/>
      </c>
      <c r="F54" s="15">
        <f>IF(OR(F53="",F4=""),"",IFERROR(F53/F4,""))</f>
        <v/>
      </c>
      <c r="G54" s="15">
        <f>IF(OR(G53="",G4=""),"",IFERROR(G53/G4,""))</f>
        <v/>
      </c>
      <c r="H54" s="15">
        <f>IF(OR(H53="",H4=""),"",IFERROR(H53/H4,""))</f>
        <v/>
      </c>
      <c r="I54" s="15">
        <f>IF(OR(I53="",I4=""),"",IFERROR(I53/I4,""))</f>
        <v/>
      </c>
      <c r="J54" s="15">
        <f>IF(OR(J53="",J4=""),"",IFERROR(J53/J4,""))</f>
        <v/>
      </c>
      <c r="K54" s="15">
        <f>IF(OR(K53="",K4=""),"",IFERROR(K53/K4,""))</f>
        <v/>
      </c>
      <c r="L54" s="15">
        <f>IF(OR(L53="",L4=""),"",IFERROR(L53/L4,""))</f>
        <v/>
      </c>
      <c r="M54" s="15">
        <f>IF(OR(M53="",M4=""),"",IFERROR(M53/M4,""))</f>
        <v/>
      </c>
      <c r="N54" s="15">
        <f>IF(OR(N53="",N4=""),"",IFERROR(N53/N4,""))</f>
        <v/>
      </c>
      <c r="O54" s="14">
        <f>IF(OR(O53="",O4=""),"",IFERROR(O53/O4,""))</f>
        <v/>
      </c>
      <c r="P54" s="15">
        <f>IF(OR(P53="",P4=""),"",IFERROR(P53/P4,""))</f>
        <v/>
      </c>
      <c r="Q54" s="15">
        <f>IF(OR(Q53="",Q4=""),"",IFERROR(Q53/Q4,""))</f>
        <v/>
      </c>
      <c r="R54" s="15">
        <f>IF(OR(R53="",R4=""),"",IFERROR(R53/R4,""))</f>
        <v/>
      </c>
      <c r="S54" s="15">
        <f>IF(OR(S53="",S4=""),"",IFERROR(S53/S4,""))</f>
        <v/>
      </c>
      <c r="T54" s="15">
        <f>IF(OR(T53="",T4=""),"",IFERROR(T53/T4,""))</f>
        <v/>
      </c>
      <c r="U54" s="15">
        <f>IF(OR(U53="",U4=""),"",IFERROR(U53/U4,""))</f>
        <v/>
      </c>
      <c r="V54" s="15">
        <f>IF(OR(V53="",V4=""),"",IFERROR(V53/V4,""))</f>
        <v/>
      </c>
      <c r="W54" s="15">
        <f>IF(OR(W53="",W4=""),"",IFERROR(W53/W4,""))</f>
        <v/>
      </c>
      <c r="X54" s="15">
        <f>IF(OR(X53="",X4=""),"",IFERROR(X53/X4,""))</f>
        <v/>
      </c>
      <c r="Y54" s="25">
        <f>IFERROR(AVERAGE(V54,W54,X54),"")</f>
        <v/>
      </c>
      <c r="Z54" s="26">
        <f>Y54</f>
        <v/>
      </c>
      <c r="AA54" s="26">
        <f>Z54</f>
        <v/>
      </c>
      <c r="AB54" s="26">
        <f>AA54</f>
        <v/>
      </c>
      <c r="AC54" s="26">
        <f>AB54</f>
        <v/>
      </c>
    </row>
    <row r="55">
      <c r="A55" s="9" t="inlineStr">
        <is>
          <t>법인세비용차감전순이익(손실)</t>
        </is>
      </c>
      <c r="B55" s="10" t="n"/>
      <c r="C55" s="11" t="n">
        <v>4724</v>
      </c>
      <c r="D55" s="12" t="n">
        <v>11254</v>
      </c>
      <c r="E55" s="12" t="n">
        <v>4704</v>
      </c>
      <c r="F55" s="12" t="n">
        <v>13674</v>
      </c>
      <c r="G55" s="12" t="n">
        <v>7246</v>
      </c>
      <c r="H55" s="12" t="n">
        <v>8211</v>
      </c>
      <c r="I55" s="12" t="n">
        <v>9151</v>
      </c>
      <c r="J55" s="12" t="n">
        <v>14729</v>
      </c>
      <c r="K55" s="12" t="n">
        <v>10212</v>
      </c>
      <c r="L55" s="12" t="n">
        <v>20279</v>
      </c>
      <c r="M55" s="12" t="n">
        <v>10446</v>
      </c>
      <c r="N55" s="12" t="n">
        <v>20222</v>
      </c>
      <c r="O55" s="11" t="n"/>
      <c r="P55" s="12" t="n"/>
      <c r="Q55" s="12" t="n"/>
      <c r="R55" s="12" t="n"/>
      <c r="S55" s="12" t="n"/>
      <c r="T55" s="12" t="n"/>
      <c r="U55" s="12" t="n">
        <v>29518</v>
      </c>
      <c r="V55" s="12" t="n">
        <v>30899</v>
      </c>
      <c r="W55" s="12" t="n">
        <v>38282</v>
      </c>
      <c r="X55" s="12" t="n">
        <v>55666</v>
      </c>
      <c r="Y55" s="11">
        <f>IF(OR(Y31=""),"",IFERROR(Y31+N(Y47)-N(Y49)+N(Y51)-N(Y53),""))</f>
        <v/>
      </c>
      <c r="Z55" s="12">
        <f>IF(OR(Z31=""),"",IFERROR(Z31+N(Z47)-N(Z49)+N(Z51)-N(Z53),""))</f>
        <v/>
      </c>
      <c r="AA55" s="12">
        <f>IF(OR(AA31=""),"",IFERROR(AA31+N(AA47)-N(AA49)+N(AA51)-N(AA53),""))</f>
        <v/>
      </c>
      <c r="AB55" s="12">
        <f>IF(OR(AB31=""),"",IFERROR(AB31+N(AB47)-N(AB49)+N(AB51)-N(AB53),""))</f>
        <v/>
      </c>
      <c r="AC55" s="12">
        <f>IF(OR(AC31=""),"",IFERROR(AC31+N(AC47)-N(AC49)+N(AC51)-N(AC53),""))</f>
        <v/>
      </c>
    </row>
    <row r="56">
      <c r="A56" s="13" t="inlineStr">
        <is>
          <t>YoY</t>
        </is>
      </c>
      <c r="B56" s="10" t="n"/>
      <c r="C56" s="14" t="n"/>
      <c r="D56" s="15" t="n"/>
      <c r="E56" s="15" t="n"/>
      <c r="F56" s="15" t="n"/>
      <c r="G56" s="15">
        <f>IF(OR(G55="",C55=""),"",IF(C55&lt;=0,"",IFERROR(G55/C55-1,"")))</f>
        <v/>
      </c>
      <c r="H56" s="15">
        <f>IF(OR(H55="",D55=""),"",IF(D55&lt;=0,"",IFERROR(H55/D55-1,"")))</f>
        <v/>
      </c>
      <c r="I56" s="15">
        <f>IF(OR(I55="",E55=""),"",IF(E55&lt;=0,"",IFERROR(I55/E55-1,"")))</f>
        <v/>
      </c>
      <c r="J56" s="15">
        <f>IF(OR(J55="",F55=""),"",IF(F55&lt;=0,"",IFERROR(J55/F55-1,"")))</f>
        <v/>
      </c>
      <c r="K56" s="15">
        <f>IF(OR(K55="",G55=""),"",IF(G55&lt;=0,"",IFERROR(K55/G55-1,"")))</f>
        <v/>
      </c>
      <c r="L56" s="15">
        <f>IF(OR(L55="",H55=""),"",IF(H55&lt;=0,"",IFERROR(L55/H55-1,"")))</f>
        <v/>
      </c>
      <c r="M56" s="15">
        <f>IF(OR(M55="",I55=""),"",IF(I55&lt;=0,"",IFERROR(M55/I55-1,"")))</f>
        <v/>
      </c>
      <c r="N56" s="15">
        <f>IF(OR(N55="",J55=""),"",IF(J55&lt;=0,"",IFERROR(N55/J55-1,"")))</f>
        <v/>
      </c>
      <c r="O56" s="14" t="n"/>
      <c r="P56" s="15">
        <f>IF(OR(P55="",O55=""),"",IF(O55&lt;=0,"",IFERROR(P55/O55-1,"")))</f>
        <v/>
      </c>
      <c r="Q56" s="15">
        <f>IF(OR(Q55="",P55=""),"",IF(P55&lt;=0,"",IFERROR(Q55/P55-1,"")))</f>
        <v/>
      </c>
      <c r="R56" s="15">
        <f>IF(OR(R55="",Q55=""),"",IF(Q55&lt;=0,"",IFERROR(R55/Q55-1,"")))</f>
        <v/>
      </c>
      <c r="S56" s="15">
        <f>IF(OR(S55="",R55=""),"",IF(R55&lt;=0,"",IFERROR(S55/R55-1,"")))</f>
        <v/>
      </c>
      <c r="T56" s="15">
        <f>IF(OR(T55="",S55=""),"",IF(S55&lt;=0,"",IFERROR(T55/S55-1,"")))</f>
        <v/>
      </c>
      <c r="U56" s="15">
        <f>IF(OR(U55="",T55=""),"",IF(T55&lt;=0,"",IFERROR(U55/T55-1,"")))</f>
        <v/>
      </c>
      <c r="V56" s="15">
        <f>IF(OR(V55="",U55=""),"",IF(U55&lt;=0,"",IFERROR(V55/U55-1,"")))</f>
        <v/>
      </c>
      <c r="W56" s="15">
        <f>IF(OR(W55="",V55=""),"",IF(V55&lt;=0,"",IFERROR(W55/V55-1,"")))</f>
        <v/>
      </c>
      <c r="X56" s="15">
        <f>IF(OR(X55="",W55=""),"",IF(W55&lt;=0,"",IFERROR(X55/W55-1,"")))</f>
        <v/>
      </c>
      <c r="Y56" s="14">
        <f>IF(OR(Y55="",X55=""),"",IF(X55&lt;=0,"",IFERROR(Y55/X55-1,"")))</f>
        <v/>
      </c>
      <c r="Z56" s="15">
        <f>IF(OR(Z55="",Y55=""),"",IF(Y55&lt;=0,"",IFERROR(Z55/Y55-1,"")))</f>
        <v/>
      </c>
      <c r="AA56" s="15">
        <f>IF(OR(AA55="",Z55=""),"",IF(Z55&lt;=0,"",IFERROR(AA55/Z55-1,"")))</f>
        <v/>
      </c>
      <c r="AB56" s="15">
        <f>IF(OR(AB55="",AA55=""),"",IF(AA55&lt;=0,"",IFERROR(AB55/AA55-1,"")))</f>
        <v/>
      </c>
      <c r="AC56" s="15">
        <f>IF(OR(AC55="",AB55=""),"",IF(AB55&lt;=0,"",IFERROR(AC55/AB55-1,"")))</f>
        <v/>
      </c>
    </row>
    <row r="57">
      <c r="A57" s="18" t="inlineStr">
        <is>
          <t>법인세비용(수익)</t>
        </is>
      </c>
      <c r="B57" s="10" t="n"/>
      <c r="C57" s="19" t="n">
        <v>1486</v>
      </c>
      <c r="D57" s="20" t="n">
        <v>3317</v>
      </c>
      <c r="E57" s="20" t="n">
        <v>1688</v>
      </c>
      <c r="F57" s="20" t="n">
        <v>4276</v>
      </c>
      <c r="G57" s="20" t="n">
        <v>2024</v>
      </c>
      <c r="H57" s="20" t="n">
        <v>2448</v>
      </c>
      <c r="I57" s="20" t="n">
        <v>2100</v>
      </c>
      <c r="J57" s="20" t="n">
        <v>4841</v>
      </c>
      <c r="K57" s="20" t="n">
        <v>2731</v>
      </c>
      <c r="L57" s="20" t="n">
        <v>6071</v>
      </c>
      <c r="M57" s="20" t="n">
        <v>2317</v>
      </c>
      <c r="N57" s="20" t="n">
        <v>6342</v>
      </c>
      <c r="O57" s="19" t="n"/>
      <c r="P57" s="20" t="n"/>
      <c r="Q57" s="20" t="n"/>
      <c r="R57" s="20" t="n"/>
      <c r="S57" s="20" t="n"/>
      <c r="T57" s="20" t="n"/>
      <c r="U57" s="20" t="n">
        <v>9031</v>
      </c>
      <c r="V57" s="20" t="n">
        <v>9510</v>
      </c>
      <c r="W57" s="20" t="n">
        <v>10848</v>
      </c>
      <c r="X57" s="20" t="n">
        <v>15960</v>
      </c>
      <c r="Y57" s="19">
        <f>IF(OR(Y55="",Y58=""),"",IFERROR(MAX(Y55,0)*Y58,""))</f>
        <v/>
      </c>
      <c r="Z57" s="20">
        <f>IF(OR(Z55="",Z58=""),"",IFERROR(MAX(Z55,0)*Z58,""))</f>
        <v/>
      </c>
      <c r="AA57" s="20">
        <f>IF(OR(AA55="",AA58=""),"",IFERROR(MAX(AA55,0)*AA58,""))</f>
        <v/>
      </c>
      <c r="AB57" s="20">
        <f>IF(OR(AB55="",AB58=""),"",IFERROR(MAX(AB55,0)*AB58,""))</f>
        <v/>
      </c>
      <c r="AC57" s="20">
        <f>IF(OR(AC55="",AC58=""),"",IFERROR(MAX(AC55,0)*AC58,""))</f>
        <v/>
      </c>
    </row>
    <row r="58">
      <c r="A58" s="13" t="inlineStr">
        <is>
          <t>법인세율</t>
        </is>
      </c>
      <c r="B58" s="10" t="inlineStr">
        <is>
          <t>MW 기본 30%</t>
        </is>
      </c>
      <c r="C58" s="14">
        <f>IF(OR(C57="",C55=""),"",IFERROR(C57/C55,""))</f>
        <v/>
      </c>
      <c r="D58" s="15">
        <f>IF(OR(D57="",D55=""),"",IFERROR(D57/D55,""))</f>
        <v/>
      </c>
      <c r="E58" s="15">
        <f>IF(OR(E57="",E55=""),"",IFERROR(E57/E55,""))</f>
        <v/>
      </c>
      <c r="F58" s="15">
        <f>IF(OR(F57="",F55=""),"",IFERROR(F57/F55,""))</f>
        <v/>
      </c>
      <c r="G58" s="15">
        <f>IF(OR(G57="",G55=""),"",IFERROR(G57/G55,""))</f>
        <v/>
      </c>
      <c r="H58" s="15">
        <f>IF(OR(H57="",H55=""),"",IFERROR(H57/H55,""))</f>
        <v/>
      </c>
      <c r="I58" s="15">
        <f>IF(OR(I57="",I55=""),"",IFERROR(I57/I55,""))</f>
        <v/>
      </c>
      <c r="J58" s="15">
        <f>IF(OR(J57="",J55=""),"",IFERROR(J57/J55,""))</f>
        <v/>
      </c>
      <c r="K58" s="15">
        <f>IF(OR(K57="",K55=""),"",IFERROR(K57/K55,""))</f>
        <v/>
      </c>
      <c r="L58" s="15">
        <f>IF(OR(L57="",L55=""),"",IFERROR(L57/L55,""))</f>
        <v/>
      </c>
      <c r="M58" s="15">
        <f>IF(OR(M57="",M55=""),"",IFERROR(M57/M55,""))</f>
        <v/>
      </c>
      <c r="N58" s="15">
        <f>IF(OR(N57="",N55=""),"",IFERROR(N57/N55,""))</f>
        <v/>
      </c>
      <c r="O58" s="14">
        <f>IF(OR(O57="",O55=""),"",IFERROR(O57/O55,""))</f>
        <v/>
      </c>
      <c r="P58" s="15">
        <f>IF(OR(P57="",P55=""),"",IFERROR(P57/P55,""))</f>
        <v/>
      </c>
      <c r="Q58" s="15">
        <f>IF(OR(Q57="",Q55=""),"",IFERROR(Q57/Q55,""))</f>
        <v/>
      </c>
      <c r="R58" s="15">
        <f>IF(OR(R57="",R55=""),"",IFERROR(R57/R55,""))</f>
        <v/>
      </c>
      <c r="S58" s="15">
        <f>IF(OR(S57="",S55=""),"",IFERROR(S57/S55,""))</f>
        <v/>
      </c>
      <c r="T58" s="15">
        <f>IF(OR(T57="",T55=""),"",IFERROR(T57/T55,""))</f>
        <v/>
      </c>
      <c r="U58" s="15">
        <f>IF(OR(U57="",U55=""),"",IFERROR(U57/U55,""))</f>
        <v/>
      </c>
      <c r="V58" s="15">
        <f>IF(OR(V57="",V55=""),"",IFERROR(V57/V55,""))</f>
        <v/>
      </c>
      <c r="W58" s="15">
        <f>IF(OR(W57="",W55=""),"",IFERROR(W57/W55,""))</f>
        <v/>
      </c>
      <c r="X58" s="15">
        <f>IF(OR(X57="",X55=""),"",IFERROR(X57/X55,""))</f>
        <v/>
      </c>
      <c r="Y58" s="25" t="n">
        <v>0.3</v>
      </c>
      <c r="Z58" s="26" t="n">
        <v>0.3</v>
      </c>
      <c r="AA58" s="26" t="n">
        <v>0.3</v>
      </c>
      <c r="AB58" s="26" t="n">
        <v>0.3</v>
      </c>
      <c r="AC58" s="26" t="n">
        <v>0.3</v>
      </c>
    </row>
    <row r="59">
      <c r="A59" s="9" t="inlineStr">
        <is>
          <t>당기순이익(손실)</t>
        </is>
      </c>
      <c r="B59" s="10" t="n"/>
      <c r="C59" s="11" t="n">
        <v>3239</v>
      </c>
      <c r="D59" s="12" t="n">
        <v>7937</v>
      </c>
      <c r="E59" s="12" t="n">
        <v>3016</v>
      </c>
      <c r="F59" s="12" t="n">
        <v>9398</v>
      </c>
      <c r="G59" s="12" t="n">
        <v>5221</v>
      </c>
      <c r="H59" s="12" t="n">
        <v>5764</v>
      </c>
      <c r="I59" s="12" t="n">
        <v>7051</v>
      </c>
      <c r="J59" s="12" t="n">
        <v>9887</v>
      </c>
      <c r="K59" s="12" t="n">
        <v>7481</v>
      </c>
      <c r="L59" s="12" t="n">
        <v>14209</v>
      </c>
      <c r="M59" s="12" t="n">
        <v>8128</v>
      </c>
      <c r="N59" s="12" t="n">
        <v>13880</v>
      </c>
      <c r="O59" s="11" t="n"/>
      <c r="P59" s="12" t="n"/>
      <c r="Q59" s="12" t="n"/>
      <c r="R59" s="12" t="n"/>
      <c r="S59" s="12" t="n"/>
      <c r="T59" s="12" t="n"/>
      <c r="U59" s="12" t="n">
        <v>20486</v>
      </c>
      <c r="V59" s="12" t="n">
        <v>21389</v>
      </c>
      <c r="W59" s="12" t="n">
        <v>27434</v>
      </c>
      <c r="X59" s="12" t="n">
        <v>39705</v>
      </c>
      <c r="Y59" s="11">
        <f>IF(OR(Y55=""),"",IFERROR(Y55-Y57,""))</f>
        <v/>
      </c>
      <c r="Z59" s="12">
        <f>IF(OR(Z55=""),"",IFERROR(Z55-Z57,""))</f>
        <v/>
      </c>
      <c r="AA59" s="12">
        <f>IF(OR(AA55=""),"",IFERROR(AA55-AA57,""))</f>
        <v/>
      </c>
      <c r="AB59" s="12">
        <f>IF(OR(AB55=""),"",IFERROR(AB55-AB57,""))</f>
        <v/>
      </c>
      <c r="AC59" s="12">
        <f>IF(OR(AC55=""),"",IFERROR(AC55-AC57,""))</f>
        <v/>
      </c>
    </row>
    <row r="60">
      <c r="A60" s="13" t="inlineStr">
        <is>
          <t>YoY</t>
        </is>
      </c>
      <c r="B60" s="10" t="n"/>
      <c r="C60" s="14" t="n"/>
      <c r="D60" s="15" t="n"/>
      <c r="E60" s="15" t="n"/>
      <c r="F60" s="15" t="n"/>
      <c r="G60" s="15">
        <f>IF(OR(G59="",C59=""),"",IF(C59&lt;=0,"",IFERROR(G59/C59-1,"")))</f>
        <v/>
      </c>
      <c r="H60" s="15">
        <f>IF(OR(H59="",D59=""),"",IF(D59&lt;=0,"",IFERROR(H59/D59-1,"")))</f>
        <v/>
      </c>
      <c r="I60" s="15">
        <f>IF(OR(I59="",E59=""),"",IF(E59&lt;=0,"",IFERROR(I59/E59-1,"")))</f>
        <v/>
      </c>
      <c r="J60" s="15">
        <f>IF(OR(J59="",F59=""),"",IF(F59&lt;=0,"",IFERROR(J59/F59-1,"")))</f>
        <v/>
      </c>
      <c r="K60" s="15">
        <f>IF(OR(K59="",G59=""),"",IF(G59&lt;=0,"",IFERROR(K59/G59-1,"")))</f>
        <v/>
      </c>
      <c r="L60" s="15">
        <f>IF(OR(L59="",H59=""),"",IF(H59&lt;=0,"",IFERROR(L59/H59-1,"")))</f>
        <v/>
      </c>
      <c r="M60" s="15">
        <f>IF(OR(M59="",I59=""),"",IF(I59&lt;=0,"",IFERROR(M59/I59-1,"")))</f>
        <v/>
      </c>
      <c r="N60" s="15">
        <f>IF(OR(N59="",J59=""),"",IF(J59&lt;=0,"",IFERROR(N59/J59-1,"")))</f>
        <v/>
      </c>
      <c r="O60" s="14" t="n"/>
      <c r="P60" s="15">
        <f>IF(OR(P59="",O59=""),"",IF(O59&lt;=0,"",IFERROR(P59/O59-1,"")))</f>
        <v/>
      </c>
      <c r="Q60" s="15">
        <f>IF(OR(Q59="",P59=""),"",IF(P59&lt;=0,"",IFERROR(Q59/P59-1,"")))</f>
        <v/>
      </c>
      <c r="R60" s="15">
        <f>IF(OR(R59="",Q59=""),"",IF(Q59&lt;=0,"",IFERROR(R59/Q59-1,"")))</f>
        <v/>
      </c>
      <c r="S60" s="15">
        <f>IF(OR(S59="",R59=""),"",IF(R59&lt;=0,"",IFERROR(S59/R59-1,"")))</f>
        <v/>
      </c>
      <c r="T60" s="15">
        <f>IF(OR(T59="",S59=""),"",IF(S59&lt;=0,"",IFERROR(T59/S59-1,"")))</f>
        <v/>
      </c>
      <c r="U60" s="15">
        <f>IF(OR(U59="",T59=""),"",IF(T59&lt;=0,"",IFERROR(U59/T59-1,"")))</f>
        <v/>
      </c>
      <c r="V60" s="15">
        <f>IF(OR(V59="",U59=""),"",IF(U59&lt;=0,"",IFERROR(V59/U59-1,"")))</f>
        <v/>
      </c>
      <c r="W60" s="15">
        <f>IF(OR(W59="",V59=""),"",IF(V59&lt;=0,"",IFERROR(W59/V59-1,"")))</f>
        <v/>
      </c>
      <c r="X60" s="15">
        <f>IF(OR(X59="",W59=""),"",IF(W59&lt;=0,"",IFERROR(X59/W59-1,"")))</f>
        <v/>
      </c>
      <c r="Y60" s="14">
        <f>IF(OR(Y59="",X59=""),"",IF(X59&lt;=0,"",IFERROR(Y59/X59-1,"")))</f>
        <v/>
      </c>
      <c r="Z60" s="15">
        <f>IF(OR(Z59="",Y59=""),"",IF(Y59&lt;=0,"",IFERROR(Z59/Y59-1,"")))</f>
        <v/>
      </c>
      <c r="AA60" s="15">
        <f>IF(OR(AA59="",Z59=""),"",IF(Z59&lt;=0,"",IFERROR(AA59/Z59-1,"")))</f>
        <v/>
      </c>
      <c r="AB60" s="15">
        <f>IF(OR(AB59="",AA59=""),"",IF(AA59&lt;=0,"",IFERROR(AB59/AA59-1,"")))</f>
        <v/>
      </c>
      <c r="AC60" s="15">
        <f>IF(OR(AC59="",AB59=""),"",IF(AB59&lt;=0,"",IFERROR(AC59/AB59-1,"")))</f>
        <v/>
      </c>
    </row>
    <row r="61">
      <c r="A61" s="9" t="inlineStr">
        <is>
          <t>지배주주 순이익</t>
        </is>
      </c>
      <c r="B61" s="10" t="n"/>
      <c r="C61" s="11" t="n">
        <v>3239</v>
      </c>
      <c r="D61" s="12" t="n">
        <v>7937</v>
      </c>
      <c r="E61" s="12" t="n">
        <v>3016</v>
      </c>
      <c r="F61" s="12" t="n">
        <v>9398</v>
      </c>
      <c r="G61" s="12" t="n">
        <v>5221</v>
      </c>
      <c r="H61" s="12" t="n">
        <v>5764</v>
      </c>
      <c r="I61" s="12" t="n">
        <v>7051</v>
      </c>
      <c r="J61" s="12" t="n">
        <v>9887</v>
      </c>
      <c r="K61" s="12" t="n">
        <v>7481</v>
      </c>
      <c r="L61" s="12" t="n">
        <v>14209</v>
      </c>
      <c r="M61" s="12" t="n">
        <v>8128</v>
      </c>
      <c r="N61" s="12" t="n">
        <v>13880</v>
      </c>
      <c r="O61" s="11" t="n"/>
      <c r="P61" s="12" t="n"/>
      <c r="Q61" s="12" t="n"/>
      <c r="R61" s="12" t="n"/>
      <c r="S61" s="12" t="n"/>
      <c r="T61" s="12" t="n"/>
      <c r="U61" s="12" t="n">
        <v>20486</v>
      </c>
      <c r="V61" s="12" t="n">
        <v>21389</v>
      </c>
      <c r="W61" s="12" t="n">
        <v>27434</v>
      </c>
      <c r="X61" s="12" t="n">
        <v>39705</v>
      </c>
      <c r="Y61" s="11">
        <f>IF(OR(Y59="",Y62=""),"",IFERROR(Y59*Y62,""))</f>
        <v/>
      </c>
      <c r="Z61" s="12">
        <f>IF(OR(Z59="",Z62=""),"",IFERROR(Z59*Z62,""))</f>
        <v/>
      </c>
      <c r="AA61" s="12">
        <f>IF(OR(AA59="",AA62=""),"",IFERROR(AA59*AA62,""))</f>
        <v/>
      </c>
      <c r="AB61" s="12">
        <f>IF(OR(AB59="",AB62=""),"",IFERROR(AB59*AB62,""))</f>
        <v/>
      </c>
      <c r="AC61" s="12">
        <f>IF(OR(AC59="",AC62=""),"",IFERROR(AC59*AC62,""))</f>
        <v/>
      </c>
    </row>
    <row r="62">
      <c r="A62" s="13" t="inlineStr">
        <is>
          <t>지배주주 순이익률</t>
        </is>
      </c>
      <c r="B62" s="10" t="inlineStr">
        <is>
          <t>MW 기본 100%</t>
        </is>
      </c>
      <c r="C62" s="14">
        <f>IF(OR(C61="",C59=""),"",IFERROR(C61/C59,""))</f>
        <v/>
      </c>
      <c r="D62" s="15">
        <f>IF(OR(D61="",D59=""),"",IFERROR(D61/D59,""))</f>
        <v/>
      </c>
      <c r="E62" s="15">
        <f>IF(OR(E61="",E59=""),"",IFERROR(E61/E59,""))</f>
        <v/>
      </c>
      <c r="F62" s="15">
        <f>IF(OR(F61="",F59=""),"",IFERROR(F61/F59,""))</f>
        <v/>
      </c>
      <c r="G62" s="15">
        <f>IF(OR(G61="",G59=""),"",IFERROR(G61/G59,""))</f>
        <v/>
      </c>
      <c r="H62" s="15">
        <f>IF(OR(H61="",H59=""),"",IFERROR(H61/H59,""))</f>
        <v/>
      </c>
      <c r="I62" s="15">
        <f>IF(OR(I61="",I59=""),"",IFERROR(I61/I59,""))</f>
        <v/>
      </c>
      <c r="J62" s="15">
        <f>IF(OR(J61="",J59=""),"",IFERROR(J61/J59,""))</f>
        <v/>
      </c>
      <c r="K62" s="15">
        <f>IF(OR(K61="",K59=""),"",IFERROR(K61/K59,""))</f>
        <v/>
      </c>
      <c r="L62" s="15">
        <f>IF(OR(L61="",L59=""),"",IFERROR(L61/L59,""))</f>
        <v/>
      </c>
      <c r="M62" s="15">
        <f>IF(OR(M61="",M59=""),"",IFERROR(M61/M59,""))</f>
        <v/>
      </c>
      <c r="N62" s="15">
        <f>IF(OR(N61="",N59=""),"",IFERROR(N61/N59,""))</f>
        <v/>
      </c>
      <c r="O62" s="14">
        <f>IF(OR(O61="",O59=""),"",IFERROR(O61/O59,""))</f>
        <v/>
      </c>
      <c r="P62" s="15">
        <f>IF(OR(P61="",P59=""),"",IFERROR(P61/P59,""))</f>
        <v/>
      </c>
      <c r="Q62" s="15">
        <f>IF(OR(Q61="",Q59=""),"",IFERROR(Q61/Q59,""))</f>
        <v/>
      </c>
      <c r="R62" s="15">
        <f>IF(OR(R61="",R59=""),"",IFERROR(R61/R59,""))</f>
        <v/>
      </c>
      <c r="S62" s="15">
        <f>IF(OR(S61="",S59=""),"",IFERROR(S61/S59,""))</f>
        <v/>
      </c>
      <c r="T62" s="15">
        <f>IF(OR(T61="",T59=""),"",IFERROR(T61/T59,""))</f>
        <v/>
      </c>
      <c r="U62" s="15">
        <f>IF(OR(U61="",U59=""),"",IFERROR(U61/U59,""))</f>
        <v/>
      </c>
      <c r="V62" s="15">
        <f>IF(OR(V61="",V59=""),"",IFERROR(V61/V59,""))</f>
        <v/>
      </c>
      <c r="W62" s="15">
        <f>IF(OR(W61="",W59=""),"",IFERROR(W61/W59,""))</f>
        <v/>
      </c>
      <c r="X62" s="15">
        <f>IF(OR(X61="",X59=""),"",IFERROR(X61/X59,""))</f>
        <v/>
      </c>
      <c r="Y62" s="25" t="n">
        <v>1</v>
      </c>
      <c r="Z62" s="26" t="n">
        <v>1</v>
      </c>
      <c r="AA62" s="26" t="n">
        <v>1</v>
      </c>
      <c r="AB62" s="26" t="n">
        <v>1</v>
      </c>
      <c r="AC62" s="26" t="n">
        <v>1</v>
      </c>
    </row>
    <row r="63">
      <c r="A63" s="13" t="inlineStr">
        <is>
          <t>지배주주 순이익 YoY</t>
        </is>
      </c>
      <c r="B63" s="10" t="n"/>
      <c r="C63" s="14" t="n"/>
      <c r="D63" s="15" t="n"/>
      <c r="E63" s="15" t="n"/>
      <c r="F63" s="15" t="n"/>
      <c r="G63" s="15">
        <f>IF(OR(G61="",C61=""),"",IF(C61&lt;=0,"",IFERROR(G61/C61-1,"")))</f>
        <v/>
      </c>
      <c r="H63" s="15">
        <f>IF(OR(H61="",D61=""),"",IF(D61&lt;=0,"",IFERROR(H61/D61-1,"")))</f>
        <v/>
      </c>
      <c r="I63" s="15">
        <f>IF(OR(I61="",E61=""),"",IF(E61&lt;=0,"",IFERROR(I61/E61-1,"")))</f>
        <v/>
      </c>
      <c r="J63" s="15">
        <f>IF(OR(J61="",F61=""),"",IF(F61&lt;=0,"",IFERROR(J61/F61-1,"")))</f>
        <v/>
      </c>
      <c r="K63" s="15">
        <f>IF(OR(K61="",G61=""),"",IF(G61&lt;=0,"",IFERROR(K61/G61-1,"")))</f>
        <v/>
      </c>
      <c r="L63" s="15">
        <f>IF(OR(L61="",H61=""),"",IF(H61&lt;=0,"",IFERROR(L61/H61-1,"")))</f>
        <v/>
      </c>
      <c r="M63" s="15">
        <f>IF(OR(M61="",I61=""),"",IF(I61&lt;=0,"",IFERROR(M61/I61-1,"")))</f>
        <v/>
      </c>
      <c r="N63" s="15">
        <f>IF(OR(N61="",J61=""),"",IF(J61&lt;=0,"",IFERROR(N61/J61-1,"")))</f>
        <v/>
      </c>
      <c r="O63" s="14" t="n"/>
      <c r="P63" s="15">
        <f>IF(OR(P61="",O61=""),"",IF(O61&lt;=0,"",IFERROR(P61/O61-1,"")))</f>
        <v/>
      </c>
      <c r="Q63" s="15">
        <f>IF(OR(Q61="",P61=""),"",IF(P61&lt;=0,"",IFERROR(Q61/P61-1,"")))</f>
        <v/>
      </c>
      <c r="R63" s="15">
        <f>IF(OR(R61="",Q61=""),"",IF(Q61&lt;=0,"",IFERROR(R61/Q61-1,"")))</f>
        <v/>
      </c>
      <c r="S63" s="15">
        <f>IF(OR(S61="",R61=""),"",IF(R61&lt;=0,"",IFERROR(S61/R61-1,"")))</f>
        <v/>
      </c>
      <c r="T63" s="15">
        <f>IF(OR(T61="",S61=""),"",IF(S61&lt;=0,"",IFERROR(T61/S61-1,"")))</f>
        <v/>
      </c>
      <c r="U63" s="15">
        <f>IF(OR(U61="",T61=""),"",IF(T61&lt;=0,"",IFERROR(U61/T61-1,"")))</f>
        <v/>
      </c>
      <c r="V63" s="15">
        <f>IF(OR(V61="",U61=""),"",IF(U61&lt;=0,"",IFERROR(V61/U61-1,"")))</f>
        <v/>
      </c>
      <c r="W63" s="15">
        <f>IF(OR(W61="",V61=""),"",IF(V61&lt;=0,"",IFERROR(W61/V61-1,"")))</f>
        <v/>
      </c>
      <c r="X63" s="15">
        <f>IF(OR(X61="",W61=""),"",IF(W61&lt;=0,"",IFERROR(X61/W61-1,"")))</f>
        <v/>
      </c>
      <c r="Y63" s="14">
        <f>IF(OR(Y61="",X61=""),"",IF(X61&lt;=0,"",IFERROR(Y61/X61-1,"")))</f>
        <v/>
      </c>
      <c r="Z63" s="15">
        <f>IF(OR(Z61="",Y61=""),"",IF(Y61&lt;=0,"",IFERROR(Z61/Y61-1,"")))</f>
        <v/>
      </c>
      <c r="AA63" s="15">
        <f>IF(OR(AA61="",Z61=""),"",IF(Z61&lt;=0,"",IFERROR(AA61/Z61-1,"")))</f>
        <v/>
      </c>
      <c r="AB63" s="15">
        <f>IF(OR(AB61="",AA61=""),"",IF(AA61&lt;=0,"",IFERROR(AB61/AA61-1,"")))</f>
        <v/>
      </c>
      <c r="AC63" s="15">
        <f>IF(OR(AC61="",AB61=""),"",IF(AB61&lt;=0,"",IFERROR(AC61/AB61-1,"")))</f>
        <v/>
      </c>
    </row>
    <row r="64">
      <c r="A64" s="16" t="inlineStr">
        <is>
          <t>목표주가 산출</t>
        </is>
      </c>
      <c r="B64" s="16" t="n"/>
      <c r="C64" s="17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7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7" t="n"/>
      <c r="Z64" s="16" t="n"/>
      <c r="AA64" s="16" t="n"/>
      <c r="AB64" s="16" t="n"/>
      <c r="AC64" s="16" t="n"/>
    </row>
    <row r="65">
      <c r="A65" s="18" t="inlineStr">
        <is>
          <t>현재 주가 (2026.10.28)</t>
        </is>
      </c>
      <c r="B65" s="27" t="n">
        <v>3454</v>
      </c>
      <c r="C65" s="28" t="n"/>
      <c r="D65" s="29" t="n"/>
      <c r="E65" s="29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8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8" t="n"/>
      <c r="Z65" s="29" t="n"/>
      <c r="AA65" s="29" t="n"/>
      <c r="AB65" s="29" t="n"/>
      <c r="AC65" s="29" t="n"/>
    </row>
    <row r="66">
      <c r="A66" s="18" t="inlineStr">
        <is>
          <t>발행주식수 (보통주)</t>
        </is>
      </c>
      <c r="B66" s="27" t="n">
        <v>184771461</v>
      </c>
      <c r="C66" s="28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8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8" t="n"/>
      <c r="Z66" s="29" t="n"/>
      <c r="AA66" s="29" t="n"/>
      <c r="AB66" s="29" t="n"/>
      <c r="AC66" s="29" t="n"/>
    </row>
    <row r="67">
      <c r="A67" s="18" t="inlineStr">
        <is>
          <t>시가총액 (백만엔)</t>
        </is>
      </c>
      <c r="B67" s="12">
        <f>IF(OR(B65="",B66=""),"",B65*B66/1000000.0)</f>
        <v/>
      </c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19" t="n"/>
      <c r="Z67" s="20" t="n"/>
      <c r="AA67" s="20" t="n"/>
      <c r="AB67" s="20" t="n"/>
      <c r="AC67" s="20" t="n"/>
    </row>
    <row r="68">
      <c r="A68" s="13" t="inlineStr">
        <is>
          <t>OPM</t>
        </is>
      </c>
      <c r="B68" s="10" t="n"/>
      <c r="C68" s="14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4">
        <f>IF(O32="","",O32)</f>
        <v/>
      </c>
      <c r="P68" s="15">
        <f>IF(P32="","",P32)</f>
        <v/>
      </c>
      <c r="Q68" s="15">
        <f>IF(Q32="","",Q32)</f>
        <v/>
      </c>
      <c r="R68" s="15">
        <f>IF(R32="","",R32)</f>
        <v/>
      </c>
      <c r="S68" s="15">
        <f>IF(S32="","",S32)</f>
        <v/>
      </c>
      <c r="T68" s="15">
        <f>IF(T32="","",T32)</f>
        <v/>
      </c>
      <c r="U68" s="15">
        <f>IF(U32="","",U32)</f>
        <v/>
      </c>
      <c r="V68" s="15">
        <f>IF(V32="","",V32)</f>
        <v/>
      </c>
      <c r="W68" s="15">
        <f>IF(W32="","",W32)</f>
        <v/>
      </c>
      <c r="X68" s="15">
        <f>IF(X32="","",X32)</f>
        <v/>
      </c>
      <c r="Y68" s="14">
        <f>IF(Y32="","",Y32)</f>
        <v/>
      </c>
      <c r="Z68" s="15">
        <f>IF(Z32="","",Z32)</f>
        <v/>
      </c>
      <c r="AA68" s="15">
        <f>IF(AA32="","",AA32)</f>
        <v/>
      </c>
      <c r="AB68" s="15">
        <f>IF(AB32="","",AB32)</f>
        <v/>
      </c>
      <c r="AC68" s="15">
        <f>IF(AC32="","",AC32)</f>
        <v/>
      </c>
    </row>
    <row r="69">
      <c r="A69" s="13" t="inlineStr">
        <is>
          <t>지배주주 순이익 증가율</t>
        </is>
      </c>
      <c r="B69" s="10" t="n"/>
      <c r="C69" s="14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4" t="n"/>
      <c r="P69" s="15">
        <f>IF(OR(P61="",O61=""),"",IFERROR(P61/O61-1,""))</f>
        <v/>
      </c>
      <c r="Q69" s="15">
        <f>IF(OR(Q61="",P61=""),"",IFERROR(Q61/P61-1,""))</f>
        <v/>
      </c>
      <c r="R69" s="15">
        <f>IF(OR(R61="",Q61=""),"",IFERROR(R61/Q61-1,""))</f>
        <v/>
      </c>
      <c r="S69" s="15">
        <f>IF(OR(S61="",R61=""),"",IFERROR(S61/R61-1,""))</f>
        <v/>
      </c>
      <c r="T69" s="15">
        <f>IF(OR(T61="",S61=""),"",IFERROR(T61/S61-1,""))</f>
        <v/>
      </c>
      <c r="U69" s="15">
        <f>IF(OR(U61="",T61=""),"",IFERROR(U61/T61-1,""))</f>
        <v/>
      </c>
      <c r="V69" s="15">
        <f>IF(OR(V61="",U61=""),"",IFERROR(V61/U61-1,""))</f>
        <v/>
      </c>
      <c r="W69" s="15">
        <f>IF(OR(W61="",V61=""),"",IFERROR(W61/V61-1,""))</f>
        <v/>
      </c>
      <c r="X69" s="15">
        <f>IF(OR(X61="",W61=""),"",IFERROR(X61/W61-1,""))</f>
        <v/>
      </c>
      <c r="Y69" s="14">
        <f>IF(OR(Y61="",X61=""),"",IFERROR(Y61/X61-1,""))</f>
        <v/>
      </c>
      <c r="Z69" s="15">
        <f>IF(OR(Z61="",Y61=""),"",IFERROR(Z61/Y61-1,""))</f>
        <v/>
      </c>
      <c r="AA69" s="15">
        <f>IF(OR(AA61="",Z61=""),"",IFERROR(AA61/Z61-1,""))</f>
        <v/>
      </c>
      <c r="AB69" s="15">
        <f>IF(OR(AB61="",AA61=""),"",IFERROR(AB61/AA61-1,""))</f>
        <v/>
      </c>
      <c r="AC69" s="15">
        <f>IF(OR(AC61="",AB61=""),"",IFERROR(AC61/AB61-1,""))</f>
        <v/>
      </c>
    </row>
    <row r="70">
      <c r="A70" s="18" t="inlineStr">
        <is>
          <t>P/E (현재 주가)</t>
        </is>
      </c>
      <c r="B70" s="10" t="inlineStr">
        <is>
          <t>시총 ÷ 지배순이익</t>
        </is>
      </c>
      <c r="C70" s="30" t="n"/>
      <c r="D70" s="31" t="n"/>
      <c r="E70" s="31" t="n"/>
      <c r="F70" s="31" t="n"/>
      <c r="G70" s="31" t="n"/>
      <c r="H70" s="31" t="n"/>
      <c r="I70" s="31" t="n"/>
      <c r="J70" s="31" t="n"/>
      <c r="K70" s="31" t="n"/>
      <c r="L70" s="31" t="n"/>
      <c r="M70" s="31" t="n"/>
      <c r="N70" s="31" t="n"/>
      <c r="O70" s="30" t="n"/>
      <c r="P70" s="31" t="n"/>
      <c r="Q70" s="31" t="n"/>
      <c r="R70" s="31" t="n"/>
      <c r="S70" s="31" t="n"/>
      <c r="T70" s="31" t="n"/>
      <c r="U70" s="31" t="n"/>
      <c r="V70" s="31" t="n"/>
      <c r="W70" s="31" t="n"/>
      <c r="X70" s="31">
        <f>IF(OR($B$67="",X61=""),"",IFERROR($B$67/X61,""))</f>
        <v/>
      </c>
      <c r="Y70" s="30">
        <f>IF(OR($B$67="",Y61=""),"",IFERROR($B$67/Y61,""))</f>
        <v/>
      </c>
      <c r="Z70" s="31">
        <f>IF(OR($B$67="",Z61=""),"",IFERROR($B$67/Z61,""))</f>
        <v/>
      </c>
      <c r="AA70" s="31">
        <f>IF(OR($B$67="",AA61=""),"",IFERROR($B$67/AA61,""))</f>
        <v/>
      </c>
      <c r="AB70" s="31">
        <f>IF(OR($B$67="",AB61=""),"",IFERROR($B$67/AB61,""))</f>
        <v/>
      </c>
      <c r="AC70" s="31">
        <f>IF(OR($B$67="",AC61=""),"",IFERROR($B$67/AC61,""))</f>
        <v/>
      </c>
    </row>
    <row r="71">
      <c r="A71" s="18" t="inlineStr">
        <is>
          <t>Target P/E</t>
        </is>
      </c>
      <c r="B71" s="10" t="inlineStr">
        <is>
          <t>직접 입력</t>
        </is>
      </c>
      <c r="C71" s="30" t="n"/>
      <c r="D71" s="31" t="n"/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30" t="n"/>
      <c r="P71" s="3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2" t="n"/>
      <c r="Z71" s="33" t="n"/>
      <c r="AA71" s="33" t="n"/>
      <c r="AB71" s="33" t="n"/>
      <c r="AC71" s="33" t="n"/>
    </row>
    <row r="72">
      <c r="A72" s="18" t="inlineStr">
        <is>
          <t>EPS</t>
        </is>
      </c>
      <c r="B72" s="10" t="inlineStr">
        <is>
          <t>지배순이익 ÷ 주식수</t>
        </is>
      </c>
      <c r="C72" s="28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8">
        <f>IF(OR(O61="",$B$66=""),"",IFERROR(O61*1000000.0/$B$66,""))</f>
        <v/>
      </c>
      <c r="P72" s="29">
        <f>IF(OR(P61="",$B$66=""),"",IFERROR(P61*1000000.0/$B$66,""))</f>
        <v/>
      </c>
      <c r="Q72" s="29">
        <f>IF(OR(Q61="",$B$66=""),"",IFERROR(Q61*1000000.0/$B$66,""))</f>
        <v/>
      </c>
      <c r="R72" s="29">
        <f>IF(OR(R61="",$B$66=""),"",IFERROR(R61*1000000.0/$B$66,""))</f>
        <v/>
      </c>
      <c r="S72" s="29">
        <f>IF(OR(S61="",$B$66=""),"",IFERROR(S61*1000000.0/$B$66,""))</f>
        <v/>
      </c>
      <c r="T72" s="29">
        <f>IF(OR(T61="",$B$66=""),"",IFERROR(T61*1000000.0/$B$66,""))</f>
        <v/>
      </c>
      <c r="U72" s="29">
        <f>IF(OR(U61="",$B$66=""),"",IFERROR(U61*1000000.0/$B$66,""))</f>
        <v/>
      </c>
      <c r="V72" s="29">
        <f>IF(OR(V61="",$B$66=""),"",IFERROR(V61*1000000.0/$B$66,""))</f>
        <v/>
      </c>
      <c r="W72" s="29">
        <f>IF(OR(W61="",$B$66=""),"",IFERROR(W61*1000000.0/$B$66,""))</f>
        <v/>
      </c>
      <c r="X72" s="29">
        <f>IF(OR(X61="",$B$66=""),"",IFERROR(X61*1000000.0/$B$66,""))</f>
        <v/>
      </c>
      <c r="Y72" s="28">
        <f>IF(OR(Y61="",$B$66=""),"",IFERROR(Y61*1000000.0/$B$66,""))</f>
        <v/>
      </c>
      <c r="Z72" s="29">
        <f>IF(OR(Z61="",$B$66=""),"",IFERROR(Z61*1000000.0/$B$66,""))</f>
        <v/>
      </c>
      <c r="AA72" s="29">
        <f>IF(OR(AA61="",$B$66=""),"",IFERROR(AA61*1000000.0/$B$66,""))</f>
        <v/>
      </c>
      <c r="AB72" s="29">
        <f>IF(OR(AB61="",$B$66=""),"",IFERROR(AB61*1000000.0/$B$66,""))</f>
        <v/>
      </c>
      <c r="AC72" s="29">
        <f>IF(OR(AC61="",$B$66=""),"",IFERROR(AC61*1000000.0/$B$66,""))</f>
        <v/>
      </c>
    </row>
    <row r="73">
      <c r="A73" s="9" t="inlineStr">
        <is>
          <t>목표주가</t>
        </is>
      </c>
      <c r="B73" s="10" t="n"/>
      <c r="C73" s="34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34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34">
        <f>IF(OR(Y72="",Y71=""),"",IFERROR(Y72*Y71,""))</f>
        <v/>
      </c>
      <c r="Z73" s="27">
        <f>IF(OR(Z72="",Z71=""),"",IFERROR(Z72*Z71,""))</f>
        <v/>
      </c>
      <c r="AA73" s="27">
        <f>IF(OR(AA72="",AA71=""),"",IFERROR(AA72*AA71,""))</f>
        <v/>
      </c>
      <c r="AB73" s="27">
        <f>IF(OR(AB72="",AB71=""),"",IFERROR(AB72*AB71,""))</f>
        <v/>
      </c>
      <c r="AC73" s="27">
        <f>IF(OR(AC72="",AC71=""),"",IFERROR(AC72*AC71,""))</f>
        <v/>
      </c>
    </row>
    <row r="74">
      <c r="A74" s="18" t="inlineStr">
        <is>
          <t>상승여력</t>
        </is>
      </c>
      <c r="B74" s="10" t="n"/>
      <c r="C74" s="35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5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7">
        <f>IF(OR(Y73="",$B$65=""),"",IFERROR(Y73/$B$65-1,""))</f>
        <v/>
      </c>
      <c r="Z74" s="38">
        <f>IF(OR(Z73="",$B$65=""),"",IFERROR(Z73/$B$65-1,""))</f>
        <v/>
      </c>
      <c r="AA74" s="38">
        <f>IF(OR(AA73="",$B$65=""),"",IFERROR(AA73/$B$65-1,""))</f>
        <v/>
      </c>
      <c r="AB74" s="38">
        <f>IF(OR(AB73="",$B$65=""),"",IFERROR(AB73/$B$65-1,""))</f>
        <v/>
      </c>
      <c r="AC74" s="38">
        <f>IF(OR(AC73="",$B$65=""),"",IFERROR(AC73/$B$65-1,""))</f>
        <v/>
      </c>
    </row>
    <row r="75">
      <c r="A75" s="16" t="inlineStr">
        <is>
          <t>자산가치 산출</t>
        </is>
      </c>
      <c r="B75" s="16" t="inlineStr">
        <is>
          <t>최신 분기 BS</t>
        </is>
      </c>
      <c r="C75" s="17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7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7" t="n"/>
      <c r="Z75" s="16" t="n"/>
      <c r="AA75" s="16" t="n"/>
      <c r="AB75" s="16" t="n"/>
      <c r="AC75" s="16" t="n"/>
    </row>
    <row r="76">
      <c r="A76" s="18" t="inlineStr">
        <is>
          <t>현금및현금성자산</t>
        </is>
      </c>
      <c r="B76" s="10" t="n"/>
      <c r="C76" s="19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19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>
        <f>'재무상태표'!G6</f>
        <v/>
      </c>
      <c r="Y76" s="19">
        <f>'재무상태표'!G6</f>
        <v/>
      </c>
      <c r="Z76" s="20">
        <f>'재무상태표'!G6</f>
        <v/>
      </c>
      <c r="AA76" s="20">
        <f>'재무상태표'!G6</f>
        <v/>
      </c>
      <c r="AB76" s="20">
        <f>'재무상태표'!G6</f>
        <v/>
      </c>
      <c r="AC76" s="20">
        <f>'재무상태표'!G6</f>
        <v/>
      </c>
    </row>
    <row r="77">
      <c r="A77" s="18" t="inlineStr">
        <is>
          <t>단기금융상품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>
        <f>'재무상태표'!G7</f>
        <v/>
      </c>
      <c r="Y77" s="19">
        <f>'재무상태표'!G7</f>
        <v/>
      </c>
      <c r="Z77" s="20">
        <f>'재무상태표'!G7</f>
        <v/>
      </c>
      <c r="AA77" s="20">
        <f>'재무상태표'!G7</f>
        <v/>
      </c>
      <c r="AB77" s="20">
        <f>'재무상태표'!G7</f>
        <v/>
      </c>
      <c r="AC77" s="20">
        <f>'재무상태표'!G7</f>
        <v/>
      </c>
    </row>
    <row r="78">
      <c r="A78" s="18" t="inlineStr">
        <is>
          <t>투자부동산</t>
        </is>
      </c>
      <c r="B78" s="10" t="n"/>
      <c r="C78" s="19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19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>
        <f>'재무상태표'!G14</f>
        <v/>
      </c>
      <c r="Y78" s="19">
        <f>'재무상태표'!G14</f>
        <v/>
      </c>
      <c r="Z78" s="20">
        <f>'재무상태표'!G14</f>
        <v/>
      </c>
      <c r="AA78" s="20">
        <f>'재무상태표'!G14</f>
        <v/>
      </c>
      <c r="AB78" s="20">
        <f>'재무상태표'!G14</f>
        <v/>
      </c>
      <c r="AC78" s="20">
        <f>'재무상태표'!G14</f>
        <v/>
      </c>
    </row>
    <row r="79">
      <c r="A79" s="18" t="inlineStr">
        <is>
          <t>지배자본</t>
        </is>
      </c>
      <c r="B79" s="10" t="n"/>
      <c r="C79" s="19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19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>
        <f>'재무상태표'!G31</f>
        <v/>
      </c>
      <c r="Y79" s="19">
        <f>'재무상태표'!G31</f>
        <v/>
      </c>
      <c r="Z79" s="20">
        <f>'재무상태표'!G31</f>
        <v/>
      </c>
      <c r="AA79" s="20">
        <f>'재무상태표'!G31</f>
        <v/>
      </c>
      <c r="AB79" s="20">
        <f>'재무상태표'!G31</f>
        <v/>
      </c>
      <c r="AC79" s="20">
        <f>'재무상태표'!G31</f>
        <v/>
      </c>
    </row>
    <row r="80">
      <c r="A80" s="18" t="inlineStr">
        <is>
          <t>부채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>
        <f>'재무상태표'!G27</f>
        <v/>
      </c>
      <c r="Y80" s="19">
        <f>'재무상태표'!G27</f>
        <v/>
      </c>
      <c r="Z80" s="20">
        <f>'재무상태표'!G27</f>
        <v/>
      </c>
      <c r="AA80" s="20">
        <f>'재무상태표'!G27</f>
        <v/>
      </c>
      <c r="AB80" s="20">
        <f>'재무상태표'!G27</f>
        <v/>
      </c>
      <c r="AC80" s="20">
        <f>'재무상태표'!G27</f>
        <v/>
      </c>
    </row>
    <row r="81">
      <c r="A81" s="13" t="inlineStr">
        <is>
          <t>부채비율</t>
        </is>
      </c>
      <c r="B81" s="10" t="n"/>
      <c r="C81" s="14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4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>
        <f>IF(OR(X80="",X79=""),"",IFERROR(X80/X79,""))</f>
        <v/>
      </c>
      <c r="Y81" s="14">
        <f>IF(OR(Y80="",Y79=""),"",IFERROR(Y80/Y79,""))</f>
        <v/>
      </c>
      <c r="Z81" s="15">
        <f>IF(OR(Z80="",Z79=""),"",IFERROR(Z80/Z79,""))</f>
        <v/>
      </c>
      <c r="AA81" s="15">
        <f>IF(OR(AA80="",AA79=""),"",IFERROR(AA80/AA79,""))</f>
        <v/>
      </c>
      <c r="AB81" s="15">
        <f>IF(OR(AB80="",AB79=""),"",IFERROR(AB80/AB79,""))</f>
        <v/>
      </c>
      <c r="AC81" s="15">
        <f>IF(OR(AC80="",AC79=""),"",IFERROR(AC80/AC79,""))</f>
        <v/>
      </c>
    </row>
    <row r="82">
      <c r="A82" s="9" t="inlineStr">
        <is>
          <t>자산가치</t>
        </is>
      </c>
      <c r="B82" s="10" t="inlineStr">
        <is>
          <t>현금+단기금융+투자부동산</t>
        </is>
      </c>
      <c r="C82" s="11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1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>
        <f>SUM(X76,X77,X78)</f>
        <v/>
      </c>
      <c r="Y82" s="11">
        <f>SUM(Y76,Y77,Y78)</f>
        <v/>
      </c>
      <c r="Z82" s="12">
        <f>SUM(Z76,Z77,Z78)</f>
        <v/>
      </c>
      <c r="AA82" s="12">
        <f>SUM(AA76,AA77,AA78)</f>
        <v/>
      </c>
      <c r="AB82" s="12">
        <f>SUM(AB76,AB77,AB78)</f>
        <v/>
      </c>
      <c r="AC82" s="12">
        <f>SUM(AC76,AC77,AC78)</f>
        <v/>
      </c>
    </row>
    <row r="83">
      <c r="A83" s="16" t="inlineStr">
        <is>
          <t>기업가치 산출</t>
        </is>
      </c>
      <c r="B83" s="16" t="n"/>
      <c r="C83" s="17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7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7" t="n"/>
      <c r="Z83" s="16" t="n"/>
      <c r="AA83" s="16" t="n"/>
      <c r="AB83" s="16" t="n"/>
      <c r="AC83" s="16" t="n"/>
    </row>
    <row r="84">
      <c r="A84" s="18" t="inlineStr">
        <is>
          <t>목표 시가총액 (P/E)</t>
        </is>
      </c>
      <c r="B84" s="10" t="inlineStr">
        <is>
          <t>지배순이익 × Target P/E</t>
        </is>
      </c>
      <c r="C84" s="19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19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  <c r="Y84" s="19">
        <f>IF(OR(Y61="",Y71=""),"",IFERROR(Y61*Y71,""))</f>
        <v/>
      </c>
      <c r="Z84" s="20">
        <f>IF(OR(Z61="",Z71=""),"",IFERROR(Z61*Z71,""))</f>
        <v/>
      </c>
      <c r="AA84" s="20">
        <f>IF(OR(AA61="",AA71=""),"",IFERROR(AA61*AA71,""))</f>
        <v/>
      </c>
      <c r="AB84" s="20">
        <f>IF(OR(AB61="",AB71=""),"",IFERROR(AB61*AB71,""))</f>
        <v/>
      </c>
      <c r="AC84" s="20">
        <f>IF(OR(AC61="",AC71=""),"",IFERROR(AC61*AC71,""))</f>
        <v/>
      </c>
    </row>
    <row r="85">
      <c r="A85" s="9" t="inlineStr">
        <is>
          <t>기업가치</t>
        </is>
      </c>
      <c r="B85" s="10" t="inlineStr">
        <is>
          <t>목표시총 + 자산가치</t>
        </is>
      </c>
      <c r="C85" s="11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1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1">
        <f>IF(OR(Y84=""),"",IFERROR(Y84+Y82,""))</f>
        <v/>
      </c>
      <c r="Z85" s="12">
        <f>IF(OR(Z84=""),"",IFERROR(Z84+Z82,""))</f>
        <v/>
      </c>
      <c r="AA85" s="12">
        <f>IF(OR(AA84=""),"",IFERROR(AA84+AA82,""))</f>
        <v/>
      </c>
      <c r="AB85" s="12">
        <f>IF(OR(AB84=""),"",IFERROR(AB84+AB82,""))</f>
        <v/>
      </c>
      <c r="AC85" s="12">
        <f>IF(OR(AC84=""),"",IFERROR(AC84+AC82,""))</f>
        <v/>
      </c>
    </row>
    <row r="86">
      <c r="A86" s="18" t="inlineStr">
        <is>
          <t>현재 시가총액</t>
        </is>
      </c>
      <c r="B86" s="10" t="n"/>
      <c r="C86" s="19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19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19">
        <f>$B$67</f>
        <v/>
      </c>
      <c r="Z86" s="20">
        <f>$B$67</f>
        <v/>
      </c>
      <c r="AA86" s="20">
        <f>$B$67</f>
        <v/>
      </c>
      <c r="AB86" s="20">
        <f>$B$67</f>
        <v/>
      </c>
      <c r="AC86" s="20">
        <f>$B$67</f>
        <v/>
      </c>
    </row>
    <row r="87">
      <c r="A87" s="18" t="inlineStr">
        <is>
          <t>상승여력</t>
        </is>
      </c>
      <c r="B87" s="10" t="n"/>
      <c r="C87" s="35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5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7">
        <f>IF(OR(Y85="",Y86=""),"",IFERROR(Y85/Y86-1,""))</f>
        <v/>
      </c>
      <c r="Z87" s="38">
        <f>IF(OR(Z85="",Z86=""),"",IFERROR(Z85/Z86-1,""))</f>
        <v/>
      </c>
      <c r="AA87" s="38">
        <f>IF(OR(AA85="",AA86=""),"",IFERROR(AA85/AA86-1,""))</f>
        <v/>
      </c>
      <c r="AB87" s="38">
        <f>IF(OR(AB85="",AB86=""),"",IFERROR(AB85/AB86-1,""))</f>
        <v/>
      </c>
      <c r="AC87" s="38">
        <f>IF(OR(AC85="",AC86=""),"",IFERROR(AC85/AC86-1,""))</f>
        <v/>
      </c>
    </row>
    <row r="88">
      <c r="C88" s="39" t="n"/>
      <c r="O88" s="39" t="n"/>
      <c r="Y88" s="39" t="n"/>
    </row>
    <row r="89">
      <c r="A89" s="40" t="inlineStr">
        <is>
          <t>출처</t>
        </is>
      </c>
      <c r="C89" s="39" t="n"/>
      <c r="O89" s="39" t="n"/>
      <c r="Y89" s="39" t="n"/>
    </row>
    <row r="90">
      <c r="A90" s="41" t="inlineStr">
        <is>
          <t>결산단신 XBRL(TDnet·JPX 보관소) — 쓴 문서는 '출처' 시트</t>
        </is>
      </c>
      <c r="C90" s="39" t="n"/>
      <c r="O90" s="39" t="n"/>
      <c r="Y90" s="39" t="n"/>
    </row>
    <row r="91">
      <c r="A91" s="41" t="inlineStr">
        <is>
          <t>분기 = 누계에서 앞 분기를 뺀 3개월 값</t>
        </is>
      </c>
      <c r="C91" s="39" t="n"/>
      <c r="O91" s="39" t="n"/>
      <c r="Y91" s="39" t="n"/>
    </row>
    <row r="92">
      <c r="A92" s="41" t="inlineStr">
        <is>
          <t>주가: 야후 파이낸스 일봉 2026.10.28</t>
        </is>
      </c>
      <c r="C92" s="39" t="n"/>
      <c r="O92" s="39" t="n"/>
      <c r="Y92" s="39" t="n"/>
    </row>
    <row r="94">
      <c r="A94" s="16" t="inlineStr">
        <is>
          <t>손익계산서 · 전 항목</t>
        </is>
      </c>
      <c r="B94" s="42" t="inlineStr">
        <is>
          <t>분기 = 3개월 단독</t>
        </is>
      </c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</row>
    <row r="95">
      <c r="A95" s="5" t="inlineStr">
        <is>
          <t>항목</t>
        </is>
      </c>
      <c r="B95" s="5" t="inlineStr">
        <is>
          <t>참고</t>
        </is>
      </c>
      <c r="C95" s="5" t="inlineStr">
        <is>
          <t>2024.2Q</t>
        </is>
      </c>
      <c r="D95" s="5" t="inlineStr">
        <is>
          <t>2024.3Q</t>
        </is>
      </c>
      <c r="E95" s="5" t="inlineStr">
        <is>
          <t>2024.4Q</t>
        </is>
      </c>
      <c r="F95" s="5" t="inlineStr">
        <is>
          <t>2025.1Q</t>
        </is>
      </c>
      <c r="G95" s="5" t="inlineStr">
        <is>
          <t>2025.2Q</t>
        </is>
      </c>
      <c r="H95" s="5" t="inlineStr">
        <is>
          <t>2025.3Q</t>
        </is>
      </c>
      <c r="I95" s="5" t="inlineStr">
        <is>
          <t>2025.4Q</t>
        </is>
      </c>
      <c r="J95" s="5" t="inlineStr">
        <is>
          <t>2026.1Q</t>
        </is>
      </c>
      <c r="K95" s="5" t="inlineStr">
        <is>
          <t>2026.2Q</t>
        </is>
      </c>
      <c r="L95" s="5" t="inlineStr">
        <is>
          <t>2026.3Q</t>
        </is>
      </c>
      <c r="M95" s="5" t="inlineStr">
        <is>
          <t>2026.4Q</t>
        </is>
      </c>
      <c r="N95" s="5" t="inlineStr">
        <is>
          <t>2027.1Q</t>
        </is>
      </c>
      <c r="O95" s="5" t="inlineStr">
        <is>
          <t>2017</t>
        </is>
      </c>
      <c r="P95" s="5" t="inlineStr">
        <is>
          <t>2018</t>
        </is>
      </c>
      <c r="Q95" s="5" t="inlineStr">
        <is>
          <t>2019</t>
        </is>
      </c>
      <c r="R95" s="5" t="inlineStr">
        <is>
          <t>2020</t>
        </is>
      </c>
      <c r="S95" s="5" t="inlineStr">
        <is>
          <t>2021</t>
        </is>
      </c>
      <c r="T95" s="5" t="inlineStr">
        <is>
          <t>2022</t>
        </is>
      </c>
      <c r="U95" s="5" t="inlineStr">
        <is>
          <t>2023</t>
        </is>
      </c>
      <c r="V95" s="5" t="inlineStr">
        <is>
          <t>2024</t>
        </is>
      </c>
      <c r="W95" s="5" t="inlineStr">
        <is>
          <t>2025</t>
        </is>
      </c>
      <c r="X95" s="5" t="inlineStr">
        <is>
          <t>2026</t>
        </is>
      </c>
      <c r="Y95" s="5" t="inlineStr">
        <is>
          <t>2027(MW)</t>
        </is>
      </c>
      <c r="Z95" s="5" t="inlineStr">
        <is>
          <t>2028(MW)</t>
        </is>
      </c>
      <c r="AA95" s="5" t="inlineStr">
        <is>
          <t>2029(MW)</t>
        </is>
      </c>
      <c r="AB95" s="5" t="inlineStr">
        <is>
          <t>2030(MW)</t>
        </is>
      </c>
      <c r="AC95" s="5" t="inlineStr">
        <is>
          <t>2031(MW)</t>
        </is>
      </c>
    </row>
    <row r="96">
      <c r="A96" s="9" t="inlineStr">
        <is>
          <t>경상수익</t>
        </is>
      </c>
      <c r="C96" s="12" t="n">
        <v>44501</v>
      </c>
      <c r="D96" s="12" t="n">
        <v>47749</v>
      </c>
      <c r="E96" s="12" t="n">
        <v>48557</v>
      </c>
      <c r="F96" s="12" t="n">
        <v>52435</v>
      </c>
      <c r="G96" s="12" t="n">
        <v>50484</v>
      </c>
      <c r="H96" s="12" t="n">
        <v>57162</v>
      </c>
      <c r="I96" s="12" t="n">
        <v>51653</v>
      </c>
      <c r="J96" s="12" t="n">
        <v>56606</v>
      </c>
      <c r="K96" s="12" t="n">
        <v>57909</v>
      </c>
      <c r="L96" s="12" t="n">
        <v>67871</v>
      </c>
      <c r="M96" s="12" t="n">
        <v>66688</v>
      </c>
      <c r="N96" s="12" t="n">
        <v>109640</v>
      </c>
      <c r="U96" s="12" t="n">
        <v>43715</v>
      </c>
      <c r="V96" s="12" t="n">
        <v>48557</v>
      </c>
      <c r="W96" s="12" t="n">
        <v>51653</v>
      </c>
      <c r="X96" s="12" t="n">
        <v>66688</v>
      </c>
    </row>
    <row r="97">
      <c r="A97" s="43" t="inlineStr">
        <is>
          <t>YoY</t>
        </is>
      </c>
      <c r="B97" s="3" t="inlineStr">
        <is>
          <t>전년 같은 분기·전년 대비</t>
        </is>
      </c>
      <c r="G97" s="15">
        <f>IF(OR(G96="",C96=""),"",IF(C96&lt;=0,"",IFERROR(G96/C96-1,"")))</f>
        <v/>
      </c>
      <c r="H97" s="15">
        <f>IF(OR(H96="",D96=""),"",IF(D96&lt;=0,"",IFERROR(H96/D96-1,"")))</f>
        <v/>
      </c>
      <c r="I97" s="15">
        <f>IF(OR(I96="",E96=""),"",IF(E96&lt;=0,"",IFERROR(I96/E96-1,"")))</f>
        <v/>
      </c>
      <c r="J97" s="15">
        <f>IF(OR(J96="",F96=""),"",IF(F96&lt;=0,"",IFERROR(J96/F96-1,"")))</f>
        <v/>
      </c>
      <c r="K97" s="15">
        <f>IF(OR(K96="",G96=""),"",IF(G96&lt;=0,"",IFERROR(K96/G96-1,"")))</f>
        <v/>
      </c>
      <c r="L97" s="15">
        <f>IF(OR(L96="",H96=""),"",IF(H96&lt;=0,"",IFERROR(L96/H96-1,"")))</f>
        <v/>
      </c>
      <c r="M97" s="15">
        <f>IF(OR(M96="",I96=""),"",IF(I96&lt;=0,"",IFERROR(M96/I96-1,"")))</f>
        <v/>
      </c>
      <c r="N97" s="15">
        <f>IF(OR(N96="",J96=""),"",IF(J96&lt;=0,"",IFERROR(N96/J96-1,"")))</f>
        <v/>
      </c>
      <c r="U97" s="15">
        <f>IF(OR(U96="",T96=""),"",IF(T96&lt;=0,"",IFERROR(U96/T96-1,"")))</f>
        <v/>
      </c>
      <c r="V97" s="15">
        <f>IF(OR(V96="",U96=""),"",IF(U96&lt;=0,"",IFERROR(V96/U96-1,"")))</f>
        <v/>
      </c>
      <c r="W97" s="15">
        <f>IF(OR(W96="",V96=""),"",IF(V96&lt;=0,"",IFERROR(W96/V96-1,"")))</f>
        <v/>
      </c>
      <c r="X97" s="15">
        <f>IF(OR(X96="",W96=""),"",IF(W96&lt;=0,"",IFERROR(X96/W96-1,"")))</f>
        <v/>
      </c>
    </row>
    <row r="98">
      <c r="A98" s="18" t="inlineStr">
        <is>
          <t>자금운용수익</t>
        </is>
      </c>
      <c r="C98" s="20" t="n">
        <v>29694</v>
      </c>
      <c r="D98" s="20" t="n">
        <v>31865</v>
      </c>
      <c r="E98" s="20" t="n">
        <v>33094</v>
      </c>
      <c r="F98" s="20" t="n">
        <v>37822</v>
      </c>
      <c r="G98" s="20" t="n">
        <v>34916</v>
      </c>
      <c r="H98" s="20" t="n">
        <v>40607</v>
      </c>
      <c r="I98" s="20" t="n">
        <v>36700</v>
      </c>
      <c r="J98" s="20" t="n">
        <v>40428</v>
      </c>
      <c r="K98" s="20" t="n">
        <v>40234</v>
      </c>
      <c r="L98" s="20" t="n">
        <v>45749</v>
      </c>
      <c r="M98" s="20" t="n">
        <v>43552</v>
      </c>
      <c r="N98" s="20" t="n">
        <v>50265</v>
      </c>
      <c r="U98" s="20" t="n">
        <v>24907</v>
      </c>
      <c r="V98" s="20" t="n">
        <v>33094</v>
      </c>
      <c r="W98" s="20" t="n">
        <v>36700</v>
      </c>
      <c r="X98" s="20" t="n">
        <v>43552</v>
      </c>
    </row>
    <row r="99">
      <c r="A99" s="18" t="inlineStr">
        <is>
          <t>(이 중 대출금 이자)</t>
        </is>
      </c>
      <c r="C99" s="20" t="n">
        <v>20839</v>
      </c>
      <c r="D99" s="20" t="n">
        <v>21695</v>
      </c>
      <c r="E99" s="20" t="n">
        <v>22533</v>
      </c>
      <c r="F99" s="20" t="n">
        <v>24609</v>
      </c>
      <c r="G99" s="20" t="n">
        <v>23635</v>
      </c>
      <c r="H99" s="20" t="n">
        <v>26081</v>
      </c>
      <c r="I99" s="20" t="n">
        <v>24521</v>
      </c>
      <c r="J99" s="20" t="n">
        <v>25743</v>
      </c>
      <c r="K99" s="20" t="n">
        <v>26575</v>
      </c>
      <c r="L99" s="20" t="n">
        <v>27431</v>
      </c>
      <c r="M99" s="20" t="n">
        <v>27587</v>
      </c>
      <c r="N99" s="20" t="n">
        <v>29596</v>
      </c>
      <c r="U99" s="20" t="n">
        <v>17277</v>
      </c>
      <c r="V99" s="20" t="n">
        <v>22533</v>
      </c>
      <c r="W99" s="20" t="n">
        <v>24521</v>
      </c>
      <c r="X99" s="20" t="n">
        <v>27587</v>
      </c>
    </row>
    <row r="100">
      <c r="A100" s="18" t="inlineStr">
        <is>
          <t>(이 중 유가증권 이자·배당금)</t>
        </is>
      </c>
      <c r="C100" s="20" t="n">
        <v>7872</v>
      </c>
      <c r="D100" s="20" t="n">
        <v>8933</v>
      </c>
      <c r="E100" s="20" t="n">
        <v>9258</v>
      </c>
      <c r="F100" s="20" t="n">
        <v>11423</v>
      </c>
      <c r="G100" s="20" t="n">
        <v>9311</v>
      </c>
      <c r="H100" s="20" t="n">
        <v>12577</v>
      </c>
      <c r="I100" s="20" t="n">
        <v>10047</v>
      </c>
      <c r="J100" s="20" t="n">
        <v>12785</v>
      </c>
      <c r="K100" s="20" t="n">
        <v>11803</v>
      </c>
      <c r="L100" s="20" t="n">
        <v>16393</v>
      </c>
      <c r="M100" s="20" t="n">
        <v>13711</v>
      </c>
      <c r="N100" s="20" t="n">
        <v>18479</v>
      </c>
      <c r="U100" s="20" t="n">
        <v>6863</v>
      </c>
      <c r="V100" s="20" t="n">
        <v>9258</v>
      </c>
      <c r="W100" s="20" t="n">
        <v>10047</v>
      </c>
      <c r="X100" s="20" t="n">
        <v>13711</v>
      </c>
    </row>
    <row r="101">
      <c r="A101" s="18" t="inlineStr">
        <is>
          <t>신탁보수</t>
        </is>
      </c>
      <c r="C101" s="20" t="n">
        <v>0</v>
      </c>
      <c r="D101" s="20" t="n">
        <v>0</v>
      </c>
      <c r="E101" s="20" t="n">
        <v>0</v>
      </c>
      <c r="F101" s="20" t="n">
        <v>0</v>
      </c>
      <c r="G101" s="20" t="n">
        <v>1</v>
      </c>
      <c r="H101" s="20" t="n">
        <v>0</v>
      </c>
      <c r="I101" s="20" t="n">
        <v>8</v>
      </c>
      <c r="J101" s="20" t="n">
        <v>0</v>
      </c>
      <c r="K101" s="20" t="n">
        <v>14</v>
      </c>
      <c r="L101" s="20" t="n">
        <v>1</v>
      </c>
      <c r="M101" s="20" t="n">
        <v>19</v>
      </c>
      <c r="N101" s="20" t="n">
        <v>0</v>
      </c>
      <c r="U101" s="20" t="n">
        <v>0</v>
      </c>
      <c r="V101" s="20" t="n">
        <v>0</v>
      </c>
      <c r="W101" s="20" t="n">
        <v>8</v>
      </c>
      <c r="X101" s="20" t="n">
        <v>19</v>
      </c>
    </row>
    <row r="102">
      <c r="A102" s="18" t="inlineStr">
        <is>
          <t>용역거래 수익</t>
        </is>
      </c>
      <c r="C102" s="20" t="n">
        <v>5475</v>
      </c>
      <c r="D102" s="20" t="n">
        <v>5222</v>
      </c>
      <c r="E102" s="20" t="n">
        <v>6432</v>
      </c>
      <c r="F102" s="20" t="n">
        <v>5698</v>
      </c>
      <c r="G102" s="20" t="n">
        <v>6592</v>
      </c>
      <c r="H102" s="20" t="n">
        <v>5748</v>
      </c>
      <c r="I102" s="20" t="n">
        <v>6125</v>
      </c>
      <c r="J102" s="20" t="n">
        <v>6171</v>
      </c>
      <c r="K102" s="20" t="n">
        <v>6442</v>
      </c>
      <c r="L102" s="20" t="n">
        <v>6292</v>
      </c>
      <c r="M102" s="20" t="n">
        <v>7159</v>
      </c>
      <c r="N102" s="20" t="n">
        <v>6344</v>
      </c>
      <c r="U102" s="20" t="n">
        <v>5362</v>
      </c>
      <c r="V102" s="20" t="n">
        <v>6432</v>
      </c>
      <c r="W102" s="20" t="n">
        <v>6125</v>
      </c>
      <c r="X102" s="20" t="n">
        <v>7159</v>
      </c>
    </row>
    <row r="103">
      <c r="A103" s="18" t="inlineStr">
        <is>
          <t>기타 업무수익</t>
        </is>
      </c>
      <c r="C103" s="20" t="n">
        <v>7163</v>
      </c>
      <c r="D103" s="20" t="n">
        <v>7971</v>
      </c>
      <c r="E103" s="20" t="n">
        <v>5664</v>
      </c>
      <c r="F103" s="20" t="n">
        <v>7446</v>
      </c>
      <c r="G103" s="20" t="n">
        <v>7571</v>
      </c>
      <c r="H103" s="20" t="n">
        <v>7036</v>
      </c>
      <c r="I103" s="20" t="n">
        <v>6779</v>
      </c>
      <c r="J103" s="20" t="n">
        <v>6602</v>
      </c>
      <c r="K103" s="20" t="n">
        <v>7216</v>
      </c>
      <c r="L103" s="20" t="n">
        <v>8003</v>
      </c>
      <c r="M103" s="20" t="n">
        <v>8733</v>
      </c>
      <c r="N103" s="20" t="n">
        <v>33329</v>
      </c>
      <c r="U103" s="20" t="n">
        <v>12197</v>
      </c>
      <c r="V103" s="20" t="n">
        <v>5664</v>
      </c>
      <c r="W103" s="20" t="n">
        <v>6779</v>
      </c>
      <c r="X103" s="20" t="n">
        <v>8733</v>
      </c>
    </row>
    <row r="104">
      <c r="A104" s="18" t="inlineStr">
        <is>
          <t>기타 경상수익</t>
        </is>
      </c>
      <c r="C104" s="20" t="n">
        <v>2170</v>
      </c>
      <c r="D104" s="20" t="n">
        <v>2692</v>
      </c>
      <c r="E104" s="20" t="n">
        <v>3366</v>
      </c>
      <c r="F104" s="20" t="n">
        <v>1467</v>
      </c>
      <c r="G104" s="20" t="n">
        <v>1404</v>
      </c>
      <c r="H104" s="20" t="n">
        <v>3771</v>
      </c>
      <c r="I104" s="20" t="n">
        <v>2040</v>
      </c>
      <c r="J104" s="20" t="n">
        <v>3403</v>
      </c>
      <c r="K104" s="20" t="n">
        <v>4004</v>
      </c>
      <c r="L104" s="20" t="n">
        <v>7826</v>
      </c>
      <c r="M104" s="20" t="n">
        <v>7224</v>
      </c>
      <c r="N104" s="20" t="n">
        <v>19700</v>
      </c>
      <c r="U104" s="20" t="n">
        <v>1249</v>
      </c>
      <c r="V104" s="20" t="n">
        <v>3366</v>
      </c>
      <c r="W104" s="20" t="n">
        <v>2040</v>
      </c>
      <c r="X104" s="20" t="n">
        <v>7224</v>
      </c>
    </row>
    <row r="105">
      <c r="A105" s="18" t="inlineStr">
        <is>
          <t>경상비용</t>
        </is>
      </c>
      <c r="C105" s="20" t="n">
        <v>39740</v>
      </c>
      <c r="D105" s="20" t="n">
        <v>36466</v>
      </c>
      <c r="E105" s="20" t="n">
        <v>43685</v>
      </c>
      <c r="F105" s="20" t="n">
        <v>38706</v>
      </c>
      <c r="G105" s="20" t="n">
        <v>43229</v>
      </c>
      <c r="H105" s="20" t="n">
        <v>48935</v>
      </c>
      <c r="I105" s="20" t="n">
        <v>42555</v>
      </c>
      <c r="J105" s="20" t="n">
        <v>41622</v>
      </c>
      <c r="K105" s="20" t="n">
        <v>47692</v>
      </c>
      <c r="L105" s="20" t="n">
        <v>47576</v>
      </c>
      <c r="M105" s="20" t="n">
        <v>56146</v>
      </c>
      <c r="N105" s="20" t="n">
        <v>89370</v>
      </c>
      <c r="U105" s="20" t="n">
        <v>39572</v>
      </c>
      <c r="V105" s="20" t="n">
        <v>43685</v>
      </c>
      <c r="W105" s="20" t="n">
        <v>42555</v>
      </c>
      <c r="X105" s="20" t="n">
        <v>56146</v>
      </c>
    </row>
    <row r="106">
      <c r="A106" s="18" t="inlineStr">
        <is>
          <t>자금조달비용</t>
        </is>
      </c>
      <c r="C106" s="20" t="n">
        <v>15127</v>
      </c>
      <c r="D106" s="20" t="n">
        <v>15851</v>
      </c>
      <c r="E106" s="20" t="n">
        <v>17878</v>
      </c>
      <c r="F106" s="20" t="n">
        <v>19294</v>
      </c>
      <c r="G106" s="20" t="n">
        <v>17431</v>
      </c>
      <c r="H106" s="20" t="n">
        <v>20338</v>
      </c>
      <c r="I106" s="20" t="n">
        <v>17617</v>
      </c>
      <c r="J106" s="20" t="n">
        <v>18308</v>
      </c>
      <c r="K106" s="20" t="n">
        <v>19041</v>
      </c>
      <c r="L106" s="20" t="n">
        <v>19466</v>
      </c>
      <c r="M106" s="20" t="n">
        <v>19580</v>
      </c>
      <c r="N106" s="20" t="n">
        <v>19922</v>
      </c>
      <c r="U106" s="20" t="n">
        <v>10769</v>
      </c>
      <c r="V106" s="20" t="n">
        <v>17878</v>
      </c>
      <c r="W106" s="20" t="n">
        <v>17617</v>
      </c>
      <c r="X106" s="20" t="n">
        <v>19580</v>
      </c>
    </row>
    <row r="107">
      <c r="A107" s="18" t="inlineStr">
        <is>
          <t>(이 중 예금 이자)</t>
        </is>
      </c>
      <c r="C107" s="20" t="n">
        <v>2749</v>
      </c>
      <c r="D107" s="20" t="n">
        <v>3136</v>
      </c>
      <c r="E107" s="20" t="n">
        <v>3648</v>
      </c>
      <c r="F107" s="20" t="n">
        <v>3676</v>
      </c>
      <c r="G107" s="20" t="n">
        <v>3593</v>
      </c>
      <c r="H107" s="20" t="n">
        <v>5297</v>
      </c>
      <c r="I107" s="20" t="n">
        <v>5564</v>
      </c>
      <c r="J107" s="20" t="n">
        <v>7223</v>
      </c>
      <c r="K107" s="20" t="n">
        <v>8327</v>
      </c>
      <c r="L107" s="20" t="n">
        <v>9148</v>
      </c>
      <c r="M107" s="20" t="n">
        <v>9545</v>
      </c>
      <c r="N107" s="20" t="n">
        <v>9551</v>
      </c>
      <c r="U107" s="20" t="n">
        <v>1706</v>
      </c>
      <c r="V107" s="20" t="n">
        <v>3648</v>
      </c>
      <c r="W107" s="20" t="n">
        <v>5564</v>
      </c>
      <c r="X107" s="20" t="n">
        <v>9545</v>
      </c>
    </row>
    <row r="108">
      <c r="A108" s="18" t="inlineStr">
        <is>
          <t>용역거래 비용</t>
        </is>
      </c>
      <c r="C108" s="20" t="n">
        <v>1090</v>
      </c>
      <c r="D108" s="20" t="n">
        <v>1102</v>
      </c>
      <c r="E108" s="20" t="n">
        <v>1109</v>
      </c>
      <c r="F108" s="20" t="n">
        <v>367</v>
      </c>
      <c r="G108" s="20" t="n">
        <v>1150</v>
      </c>
      <c r="H108" s="20" t="n">
        <v>1213</v>
      </c>
      <c r="I108" s="20" t="n">
        <v>1190</v>
      </c>
      <c r="J108" s="20" t="n">
        <v>350</v>
      </c>
      <c r="K108" s="20" t="n">
        <v>1273</v>
      </c>
      <c r="L108" s="20" t="n">
        <v>1357</v>
      </c>
      <c r="M108" s="20" t="n">
        <v>1337</v>
      </c>
      <c r="N108" s="20" t="n">
        <v>646</v>
      </c>
      <c r="U108" s="20" t="n">
        <v>1043</v>
      </c>
      <c r="V108" s="20" t="n">
        <v>1109</v>
      </c>
      <c r="W108" s="20" t="n">
        <v>1190</v>
      </c>
      <c r="X108" s="20" t="n">
        <v>1337</v>
      </c>
    </row>
    <row r="109">
      <c r="A109" s="18" t="inlineStr">
        <is>
          <t>기타 업무비용</t>
        </is>
      </c>
      <c r="C109" s="20" t="n">
        <v>5274</v>
      </c>
      <c r="D109" s="20" t="n">
        <v>4143</v>
      </c>
      <c r="E109" s="20" t="n">
        <v>3293</v>
      </c>
      <c r="F109" s="20" t="n">
        <v>3806</v>
      </c>
      <c r="G109" s="20" t="n">
        <v>6282</v>
      </c>
      <c r="H109" s="20" t="n">
        <v>4260</v>
      </c>
      <c r="I109" s="20" t="n">
        <v>4897</v>
      </c>
      <c r="J109" s="20" t="n">
        <v>6278</v>
      </c>
      <c r="K109" s="20" t="n">
        <v>5952</v>
      </c>
      <c r="L109" s="20" t="n">
        <v>8988</v>
      </c>
      <c r="M109" s="20" t="n">
        <v>13385</v>
      </c>
      <c r="N109" s="20" t="n">
        <v>49191</v>
      </c>
      <c r="U109" s="20" t="n">
        <v>8895</v>
      </c>
      <c r="V109" s="20" t="n">
        <v>3293</v>
      </c>
      <c r="W109" s="20" t="n">
        <v>4897</v>
      </c>
      <c r="X109" s="20" t="n">
        <v>13385</v>
      </c>
    </row>
    <row r="110">
      <c r="A110" s="18" t="inlineStr">
        <is>
          <t>General And Administrative Expenses OEBNK</t>
        </is>
      </c>
      <c r="C110" s="20" t="n">
        <v>14204</v>
      </c>
      <c r="D110" s="20" t="n">
        <v>14173</v>
      </c>
      <c r="E110" s="20" t="n">
        <v>15235</v>
      </c>
      <c r="F110" s="20" t="n">
        <v>14324</v>
      </c>
      <c r="G110" s="20" t="n">
        <v>14553</v>
      </c>
      <c r="H110" s="20" t="n">
        <v>15119</v>
      </c>
      <c r="I110" s="20" t="n">
        <v>15530</v>
      </c>
      <c r="J110" s="20" t="n">
        <v>16365</v>
      </c>
      <c r="K110" s="20" t="n">
        <v>15955</v>
      </c>
      <c r="L110" s="20" t="n">
        <v>16829</v>
      </c>
      <c r="M110" s="20" t="n">
        <v>17416</v>
      </c>
      <c r="N110" s="20" t="n">
        <v>17653</v>
      </c>
      <c r="U110" s="20" t="n">
        <v>14144</v>
      </c>
      <c r="V110" s="20" t="n">
        <v>15235</v>
      </c>
      <c r="W110" s="20" t="n">
        <v>15530</v>
      </c>
      <c r="X110" s="20" t="n">
        <v>17416</v>
      </c>
    </row>
    <row r="111">
      <c r="A111" s="18" t="inlineStr">
        <is>
          <t>기타 경상비용</t>
        </is>
      </c>
      <c r="C111" s="20" t="n">
        <v>4045</v>
      </c>
      <c r="D111" s="20" t="n">
        <v>1198</v>
      </c>
      <c r="E111" s="20" t="n">
        <v>6169</v>
      </c>
      <c r="F111" s="20" t="n">
        <v>913</v>
      </c>
      <c r="G111" s="20" t="n">
        <v>3814</v>
      </c>
      <c r="H111" s="20" t="n">
        <v>8004</v>
      </c>
      <c r="I111" s="20" t="n">
        <v>3320</v>
      </c>
      <c r="J111" s="20" t="n">
        <v>318</v>
      </c>
      <c r="K111" s="20" t="n">
        <v>5471</v>
      </c>
      <c r="L111" s="20" t="n">
        <v>938</v>
      </c>
      <c r="M111" s="20" t="n">
        <v>4426</v>
      </c>
      <c r="N111" s="20" t="n">
        <v>1957</v>
      </c>
      <c r="U111" s="20" t="n">
        <v>4723</v>
      </c>
      <c r="V111" s="20" t="n">
        <v>6169</v>
      </c>
      <c r="W111" s="20" t="n">
        <v>3320</v>
      </c>
      <c r="X111" s="20" t="n">
        <v>4426</v>
      </c>
    </row>
    <row r="112">
      <c r="A112" s="9" t="inlineStr">
        <is>
          <t>경상이익</t>
        </is>
      </c>
      <c r="C112" s="12" t="n">
        <v>4761</v>
      </c>
      <c r="D112" s="12" t="n">
        <v>11283</v>
      </c>
      <c r="E112" s="12" t="n">
        <v>4872</v>
      </c>
      <c r="F112" s="12" t="n">
        <v>13728</v>
      </c>
      <c r="G112" s="12" t="n">
        <v>7256</v>
      </c>
      <c r="H112" s="12" t="n">
        <v>8226</v>
      </c>
      <c r="I112" s="12" t="n">
        <v>9098</v>
      </c>
      <c r="J112" s="12" t="n">
        <v>14984</v>
      </c>
      <c r="K112" s="12" t="n">
        <v>10217</v>
      </c>
      <c r="L112" s="12" t="n">
        <v>20295</v>
      </c>
      <c r="M112" s="12" t="n">
        <v>10542</v>
      </c>
      <c r="N112" s="12" t="n">
        <v>20269</v>
      </c>
      <c r="U112" s="12" t="n">
        <v>4142</v>
      </c>
      <c r="V112" s="12" t="n">
        <v>4872</v>
      </c>
      <c r="W112" s="12" t="n">
        <v>9098</v>
      </c>
      <c r="X112" s="12" t="n">
        <v>10542</v>
      </c>
    </row>
    <row r="113">
      <c r="A113" s="43" t="inlineStr">
        <is>
          <t>YoY</t>
        </is>
      </c>
      <c r="B113" s="3" t="inlineStr">
        <is>
          <t>전년 같은 분기·전년 대비</t>
        </is>
      </c>
      <c r="G113" s="15">
        <f>IF(OR(G112="",C112=""),"",IF(C112&lt;=0,"",IFERROR(G112/C112-1,"")))</f>
        <v/>
      </c>
      <c r="H113" s="15">
        <f>IF(OR(H112="",D112=""),"",IF(D112&lt;=0,"",IFERROR(H112/D112-1,"")))</f>
        <v/>
      </c>
      <c r="I113" s="15">
        <f>IF(OR(I112="",E112=""),"",IF(E112&lt;=0,"",IFERROR(I112/E112-1,"")))</f>
        <v/>
      </c>
      <c r="J113" s="15">
        <f>IF(OR(J112="",F112=""),"",IF(F112&lt;=0,"",IFERROR(J112/F112-1,"")))</f>
        <v/>
      </c>
      <c r="K113" s="15">
        <f>IF(OR(K112="",G112=""),"",IF(G112&lt;=0,"",IFERROR(K112/G112-1,"")))</f>
        <v/>
      </c>
      <c r="L113" s="15">
        <f>IF(OR(L112="",H112=""),"",IF(H112&lt;=0,"",IFERROR(L112/H112-1,"")))</f>
        <v/>
      </c>
      <c r="M113" s="15">
        <f>IF(OR(M112="",I112=""),"",IF(I112&lt;=0,"",IFERROR(M112/I112-1,"")))</f>
        <v/>
      </c>
      <c r="N113" s="15">
        <f>IF(OR(N112="",J112=""),"",IF(J112&lt;=0,"",IFERROR(N112/J112-1,"")))</f>
        <v/>
      </c>
      <c r="U113" s="15">
        <f>IF(OR(U112="",T112=""),"",IF(T112&lt;=0,"",IFERROR(U112/T112-1,"")))</f>
        <v/>
      </c>
      <c r="V113" s="15">
        <f>IF(OR(V112="",U112=""),"",IF(U112&lt;=0,"",IFERROR(V112/U112-1,"")))</f>
        <v/>
      </c>
      <c r="W113" s="15">
        <f>IF(OR(W112="",V112=""),"",IF(V112&lt;=0,"",IFERROR(W112/V112-1,"")))</f>
        <v/>
      </c>
      <c r="X113" s="15">
        <f>IF(OR(X112="",W112=""),"",IF(W112&lt;=0,"",IFERROR(X112/W112-1,"")))</f>
        <v/>
      </c>
    </row>
    <row r="114">
      <c r="A114" s="18" t="inlineStr">
        <is>
          <t>특별이익</t>
        </is>
      </c>
      <c r="C114" s="20" t="n">
        <v>19</v>
      </c>
      <c r="D114" s="20" t="n">
        <v>0</v>
      </c>
      <c r="E114" s="20" t="n">
        <v>15</v>
      </c>
      <c r="F114" s="20" t="n">
        <v>2</v>
      </c>
      <c r="G114" s="20" t="n">
        <v>1</v>
      </c>
      <c r="H114" s="20" t="n">
        <v>5</v>
      </c>
      <c r="I114" s="20" t="n">
        <v>111</v>
      </c>
      <c r="J114" s="20" t="n">
        <v>0</v>
      </c>
      <c r="K114" s="20" t="n">
        <v>0</v>
      </c>
      <c r="L114" s="20" t="n">
        <v>0</v>
      </c>
      <c r="M114" s="20" t="n">
        <v>13</v>
      </c>
      <c r="N114" s="20" t="n">
        <v>21</v>
      </c>
      <c r="U114" s="20" t="n">
        <v>1</v>
      </c>
      <c r="V114" s="20" t="n">
        <v>15</v>
      </c>
      <c r="W114" s="20" t="n">
        <v>111</v>
      </c>
      <c r="X114" s="20" t="n">
        <v>13</v>
      </c>
    </row>
    <row r="115">
      <c r="A115" s="43" t="inlineStr">
        <is>
          <t>YoY</t>
        </is>
      </c>
      <c r="B115" s="3" t="inlineStr">
        <is>
          <t>전년 같은 분기·전년 대비</t>
        </is>
      </c>
      <c r="G115" s="15">
        <f>IF(OR(G114="",C114=""),"",IF(G114*C114&lt;=0,"",IFERROR(G114/C114-1,"")))</f>
        <v/>
      </c>
      <c r="H115" s="15">
        <f>IF(OR(H114="",D114=""),"",IF(H114*D114&lt;=0,"",IFERROR(H114/D114-1,"")))</f>
        <v/>
      </c>
      <c r="I115" s="15">
        <f>IF(OR(I114="",E114=""),"",IF(I114*E114&lt;=0,"",IFERROR(I114/E114-1,"")))</f>
        <v/>
      </c>
      <c r="J115" s="15">
        <f>IF(OR(J114="",F114=""),"",IF(J114*F114&lt;=0,"",IFERROR(J114/F114-1,"")))</f>
        <v/>
      </c>
      <c r="K115" s="15">
        <f>IF(OR(K114="",G114=""),"",IF(K114*G114&lt;=0,"",IFERROR(K114/G114-1,"")))</f>
        <v/>
      </c>
      <c r="L115" s="15">
        <f>IF(OR(L114="",H114=""),"",IF(L114*H114&lt;=0,"",IFERROR(L114/H114-1,"")))</f>
        <v/>
      </c>
      <c r="M115" s="15">
        <f>IF(OR(M114="",I114=""),"",IF(M114*I114&lt;=0,"",IFERROR(M114/I114-1,"")))</f>
        <v/>
      </c>
      <c r="N115" s="15">
        <f>IF(OR(N114="",J114=""),"",IF(N114*J114&lt;=0,"",IFERROR(N114/J114-1,"")))</f>
        <v/>
      </c>
      <c r="U115" s="15">
        <f>IF(OR(U114="",T114=""),"",IF(U114*T114&lt;=0,"",IFERROR(U114/T114-1,"")))</f>
        <v/>
      </c>
      <c r="V115" s="15">
        <f>IF(OR(V114="",U114=""),"",IF(V114*U114&lt;=0,"",IFERROR(V114/U114-1,"")))</f>
        <v/>
      </c>
      <c r="W115" s="15">
        <f>IF(OR(W114="",V114=""),"",IF(W114*V114&lt;=0,"",IFERROR(W114/V114-1,"")))</f>
        <v/>
      </c>
      <c r="X115" s="15">
        <f>IF(OR(X114="",W114=""),"",IF(X114*W114&lt;=0,"",IFERROR(X114/W114-1,"")))</f>
        <v/>
      </c>
    </row>
    <row r="116">
      <c r="A116" s="18" t="inlineStr">
        <is>
          <t>고정자산 처분이익</t>
        </is>
      </c>
      <c r="C116" s="20" t="n">
        <v>19</v>
      </c>
      <c r="D116" s="20" t="n">
        <v>0</v>
      </c>
      <c r="E116" s="20" t="n">
        <v>15</v>
      </c>
      <c r="F116" s="20" t="n">
        <v>2</v>
      </c>
      <c r="G116" s="20" t="n">
        <v>1</v>
      </c>
      <c r="H116" s="20" t="n">
        <v>5</v>
      </c>
      <c r="I116" s="20" t="n">
        <v>111</v>
      </c>
      <c r="J116" s="20" t="n">
        <v>0</v>
      </c>
      <c r="K116" s="20" t="n">
        <v>0</v>
      </c>
      <c r="L116" s="20" t="n">
        <v>0</v>
      </c>
      <c r="M116" s="20" t="n">
        <v>13</v>
      </c>
      <c r="N116" s="20" t="n">
        <v>21</v>
      </c>
      <c r="U116" s="20" t="n">
        <v>1</v>
      </c>
      <c r="V116" s="20" t="n">
        <v>15</v>
      </c>
      <c r="W116" s="20" t="n">
        <v>111</v>
      </c>
      <c r="X116" s="20" t="n">
        <v>13</v>
      </c>
    </row>
    <row r="117">
      <c r="A117" s="18" t="inlineStr">
        <is>
          <t>특별손실</t>
        </is>
      </c>
      <c r="C117" s="20" t="n">
        <v>55</v>
      </c>
      <c r="D117" s="20" t="n">
        <v>29</v>
      </c>
      <c r="E117" s="20" t="n">
        <v>182</v>
      </c>
      <c r="F117" s="20" t="n">
        <v>56</v>
      </c>
      <c r="G117" s="20" t="n">
        <v>10</v>
      </c>
      <c r="H117" s="20" t="n">
        <v>21</v>
      </c>
      <c r="I117" s="20" t="n">
        <v>58</v>
      </c>
      <c r="J117" s="20" t="n">
        <v>254</v>
      </c>
      <c r="K117" s="20" t="n">
        <v>6</v>
      </c>
      <c r="L117" s="20" t="n">
        <v>15</v>
      </c>
      <c r="M117" s="20" t="n">
        <v>110</v>
      </c>
      <c r="N117" s="20" t="n">
        <v>67</v>
      </c>
      <c r="U117" s="20" t="n">
        <v>52</v>
      </c>
      <c r="V117" s="20" t="n">
        <v>182</v>
      </c>
      <c r="W117" s="20" t="n">
        <v>58</v>
      </c>
      <c r="X117" s="20" t="n">
        <v>110</v>
      </c>
    </row>
    <row r="118">
      <c r="A118" s="43" t="inlineStr">
        <is>
          <t>YoY</t>
        </is>
      </c>
      <c r="B118" s="3" t="inlineStr">
        <is>
          <t>전년 같은 분기·전년 대비</t>
        </is>
      </c>
      <c r="G118" s="15">
        <f>IF(OR(G117="",C117=""),"",IF(G117*C117&lt;=0,"",IFERROR(G117/C117-1,"")))</f>
        <v/>
      </c>
      <c r="H118" s="15">
        <f>IF(OR(H117="",D117=""),"",IF(H117*D117&lt;=0,"",IFERROR(H117/D117-1,"")))</f>
        <v/>
      </c>
      <c r="I118" s="15">
        <f>IF(OR(I117="",E117=""),"",IF(I117*E117&lt;=0,"",IFERROR(I117/E117-1,"")))</f>
        <v/>
      </c>
      <c r="J118" s="15">
        <f>IF(OR(J117="",F117=""),"",IF(J117*F117&lt;=0,"",IFERROR(J117/F117-1,"")))</f>
        <v/>
      </c>
      <c r="K118" s="15">
        <f>IF(OR(K117="",G117=""),"",IF(K117*G117&lt;=0,"",IFERROR(K117/G117-1,"")))</f>
        <v/>
      </c>
      <c r="L118" s="15">
        <f>IF(OR(L117="",H117=""),"",IF(L117*H117&lt;=0,"",IFERROR(L117/H117-1,"")))</f>
        <v/>
      </c>
      <c r="M118" s="15">
        <f>IF(OR(M117="",I117=""),"",IF(M117*I117&lt;=0,"",IFERROR(M117/I117-1,"")))</f>
        <v/>
      </c>
      <c r="N118" s="15">
        <f>IF(OR(N117="",J117=""),"",IF(N117*J117&lt;=0,"",IFERROR(N117/J117-1,"")))</f>
        <v/>
      </c>
      <c r="U118" s="15">
        <f>IF(OR(U117="",T117=""),"",IF(U117*T117&lt;=0,"",IFERROR(U117/T117-1,"")))</f>
        <v/>
      </c>
      <c r="V118" s="15">
        <f>IF(OR(V117="",U117=""),"",IF(V117*U117&lt;=0,"",IFERROR(V117/U117-1,"")))</f>
        <v/>
      </c>
      <c r="W118" s="15">
        <f>IF(OR(W117="",V117=""),"",IF(W117*V117&lt;=0,"",IFERROR(W117/V117-1,"")))</f>
        <v/>
      </c>
      <c r="X118" s="15">
        <f>IF(OR(X117="",W117=""),"",IF(X117*W117&lt;=0,"",IFERROR(X117/W117-1,"")))</f>
        <v/>
      </c>
    </row>
    <row r="119">
      <c r="A119" s="18" t="inlineStr">
        <is>
          <t>고정자산 처분손실</t>
        </is>
      </c>
      <c r="C119" s="20" t="n">
        <v>26</v>
      </c>
      <c r="D119" s="20" t="n">
        <v>14</v>
      </c>
      <c r="E119" s="20" t="n">
        <v>134</v>
      </c>
      <c r="F119" s="20" t="n">
        <v>12</v>
      </c>
      <c r="G119" s="20" t="n">
        <v>10</v>
      </c>
      <c r="H119" s="20" t="n">
        <v>10</v>
      </c>
      <c r="I119" s="20" t="n">
        <v>13</v>
      </c>
      <c r="J119" s="20" t="n">
        <v>229</v>
      </c>
      <c r="K119" s="20" t="n">
        <v>6</v>
      </c>
      <c r="L119" s="20" t="n">
        <v>16</v>
      </c>
      <c r="M119" s="20" t="n">
        <v>102</v>
      </c>
      <c r="N119" s="20" t="n">
        <v>67</v>
      </c>
      <c r="U119" s="20" t="n">
        <v>51</v>
      </c>
      <c r="V119" s="20" t="n">
        <v>134</v>
      </c>
      <c r="W119" s="20" t="n">
        <v>13</v>
      </c>
      <c r="X119" s="20" t="n">
        <v>102</v>
      </c>
    </row>
    <row r="120">
      <c r="A120" s="18" t="inlineStr">
        <is>
          <t>손상차손</t>
        </is>
      </c>
      <c r="C120" s="20" t="n">
        <v>28</v>
      </c>
      <c r="D120" s="20" t="n">
        <v>16</v>
      </c>
      <c r="E120" s="20" t="n">
        <v>47</v>
      </c>
      <c r="F120" s="20" t="n">
        <v>43</v>
      </c>
      <c r="G120" s="20" t="n">
        <v>0</v>
      </c>
      <c r="H120" s="20" t="n">
        <v>11</v>
      </c>
      <c r="I120" s="20" t="n">
        <v>46</v>
      </c>
      <c r="J120" s="20" t="n">
        <v>24</v>
      </c>
      <c r="K120" s="20" t="n">
        <v>0</v>
      </c>
      <c r="L120" s="20" t="n">
        <v>0</v>
      </c>
      <c r="M120" s="20" t="n">
        <v>6</v>
      </c>
      <c r="N120" s="20" t="n">
        <v>0</v>
      </c>
      <c r="U120" s="20" t="n">
        <v>1</v>
      </c>
      <c r="V120" s="20" t="n">
        <v>47</v>
      </c>
      <c r="W120" s="20" t="n">
        <v>46</v>
      </c>
      <c r="X120" s="20" t="n">
        <v>6</v>
      </c>
    </row>
    <row r="121">
      <c r="A121" s="9" t="inlineStr">
        <is>
          <t>법인세차감전 순이익</t>
        </is>
      </c>
      <c r="C121" s="12" t="n">
        <v>4724</v>
      </c>
      <c r="D121" s="12" t="n">
        <v>11254</v>
      </c>
      <c r="E121" s="12" t="n">
        <v>4704</v>
      </c>
      <c r="F121" s="12" t="n">
        <v>13674</v>
      </c>
      <c r="G121" s="12" t="n">
        <v>7246</v>
      </c>
      <c r="H121" s="12" t="n">
        <v>8211</v>
      </c>
      <c r="I121" s="12" t="n">
        <v>9151</v>
      </c>
      <c r="J121" s="12" t="n">
        <v>14729</v>
      </c>
      <c r="K121" s="12" t="n">
        <v>10212</v>
      </c>
      <c r="L121" s="12" t="n">
        <v>20279</v>
      </c>
      <c r="M121" s="12" t="n">
        <v>10446</v>
      </c>
      <c r="N121" s="12" t="n">
        <v>20222</v>
      </c>
      <c r="U121" s="12" t="n">
        <v>4091</v>
      </c>
      <c r="V121" s="12" t="n">
        <v>4704</v>
      </c>
      <c r="W121" s="12" t="n">
        <v>9151</v>
      </c>
      <c r="X121" s="12" t="n">
        <v>10446</v>
      </c>
    </row>
    <row r="122">
      <c r="A122" s="43" t="inlineStr">
        <is>
          <t>YoY</t>
        </is>
      </c>
      <c r="B122" s="3" t="inlineStr">
        <is>
          <t>전년 같은 분기·전년 대비</t>
        </is>
      </c>
      <c r="G122" s="15">
        <f>IF(OR(G121="",C121=""),"",IF(C121&lt;=0,"",IFERROR(G121/C121-1,"")))</f>
        <v/>
      </c>
      <c r="H122" s="15">
        <f>IF(OR(H121="",D121=""),"",IF(D121&lt;=0,"",IFERROR(H121/D121-1,"")))</f>
        <v/>
      </c>
      <c r="I122" s="15">
        <f>IF(OR(I121="",E121=""),"",IF(E121&lt;=0,"",IFERROR(I121/E121-1,"")))</f>
        <v/>
      </c>
      <c r="J122" s="15">
        <f>IF(OR(J121="",F121=""),"",IF(F121&lt;=0,"",IFERROR(J121/F121-1,"")))</f>
        <v/>
      </c>
      <c r="K122" s="15">
        <f>IF(OR(K121="",G121=""),"",IF(G121&lt;=0,"",IFERROR(K121/G121-1,"")))</f>
        <v/>
      </c>
      <c r="L122" s="15">
        <f>IF(OR(L121="",H121=""),"",IF(H121&lt;=0,"",IFERROR(L121/H121-1,"")))</f>
        <v/>
      </c>
      <c r="M122" s="15">
        <f>IF(OR(M121="",I121=""),"",IF(I121&lt;=0,"",IFERROR(M121/I121-1,"")))</f>
        <v/>
      </c>
      <c r="N122" s="15">
        <f>IF(OR(N121="",J121=""),"",IF(J121&lt;=0,"",IFERROR(N121/J121-1,"")))</f>
        <v/>
      </c>
      <c r="U122" s="15">
        <f>IF(OR(U121="",T121=""),"",IF(T121&lt;=0,"",IFERROR(U121/T121-1,"")))</f>
        <v/>
      </c>
      <c r="V122" s="15">
        <f>IF(OR(V121="",U121=""),"",IF(U121&lt;=0,"",IFERROR(V121/U121-1,"")))</f>
        <v/>
      </c>
      <c r="W122" s="15">
        <f>IF(OR(W121="",V121=""),"",IF(V121&lt;=0,"",IFERROR(W121/V121-1,"")))</f>
        <v/>
      </c>
      <c r="X122" s="15">
        <f>IF(OR(X121="",W121=""),"",IF(W121&lt;=0,"",IFERROR(X121/W121-1,"")))</f>
        <v/>
      </c>
    </row>
    <row r="123">
      <c r="A123" s="18" t="inlineStr">
        <is>
          <t>법인세 등</t>
        </is>
      </c>
      <c r="C123" s="20" t="n">
        <v>1486</v>
      </c>
      <c r="D123" s="20" t="n">
        <v>3317</v>
      </c>
      <c r="E123" s="20" t="n">
        <v>1688</v>
      </c>
      <c r="F123" s="20" t="n">
        <v>4276</v>
      </c>
      <c r="G123" s="20" t="n">
        <v>2024</v>
      </c>
      <c r="H123" s="20" t="n">
        <v>2448</v>
      </c>
      <c r="I123" s="20" t="n">
        <v>2100</v>
      </c>
      <c r="J123" s="20" t="n">
        <v>4841</v>
      </c>
      <c r="K123" s="20" t="n">
        <v>2731</v>
      </c>
      <c r="L123" s="20" t="n">
        <v>6071</v>
      </c>
      <c r="M123" s="20" t="n">
        <v>2317</v>
      </c>
      <c r="N123" s="20" t="n">
        <v>6342</v>
      </c>
      <c r="U123" s="20" t="n">
        <v>1473</v>
      </c>
      <c r="V123" s="20" t="n">
        <v>1688</v>
      </c>
      <c r="W123" s="20" t="n">
        <v>2100</v>
      </c>
      <c r="X123" s="20" t="n">
        <v>2317</v>
      </c>
    </row>
    <row r="124">
      <c r="A124" s="43" t="inlineStr">
        <is>
          <t>YoY</t>
        </is>
      </c>
      <c r="B124" s="3" t="inlineStr">
        <is>
          <t>전년 같은 분기·전년 대비</t>
        </is>
      </c>
      <c r="G124" s="15">
        <f>IF(OR(G123="",C123=""),"",IF(G123*C123&lt;=0,"",IFERROR(G123/C123-1,"")))</f>
        <v/>
      </c>
      <c r="H124" s="15">
        <f>IF(OR(H123="",D123=""),"",IF(H123*D123&lt;=0,"",IFERROR(H123/D123-1,"")))</f>
        <v/>
      </c>
      <c r="I124" s="15">
        <f>IF(OR(I123="",E123=""),"",IF(I123*E123&lt;=0,"",IFERROR(I123/E123-1,"")))</f>
        <v/>
      </c>
      <c r="J124" s="15">
        <f>IF(OR(J123="",F123=""),"",IF(J123*F123&lt;=0,"",IFERROR(J123/F123-1,"")))</f>
        <v/>
      </c>
      <c r="K124" s="15">
        <f>IF(OR(K123="",G123=""),"",IF(K123*G123&lt;=0,"",IFERROR(K123/G123-1,"")))</f>
        <v/>
      </c>
      <c r="L124" s="15">
        <f>IF(OR(L123="",H123=""),"",IF(L123*H123&lt;=0,"",IFERROR(L123/H123-1,"")))</f>
        <v/>
      </c>
      <c r="M124" s="15">
        <f>IF(OR(M123="",I123=""),"",IF(M123*I123&lt;=0,"",IFERROR(M123/I123-1,"")))</f>
        <v/>
      </c>
      <c r="N124" s="15">
        <f>IF(OR(N123="",J123=""),"",IF(N123*J123&lt;=0,"",IFERROR(N123/J123-1,"")))</f>
        <v/>
      </c>
      <c r="U124" s="15">
        <f>IF(OR(U123="",T123=""),"",IF(U123*T123&lt;=0,"",IFERROR(U123/T123-1,"")))</f>
        <v/>
      </c>
      <c r="V124" s="15">
        <f>IF(OR(V123="",U123=""),"",IF(V123*U123&lt;=0,"",IFERROR(V123/U123-1,"")))</f>
        <v/>
      </c>
      <c r="W124" s="15">
        <f>IF(OR(W123="",V123=""),"",IF(W123*V123&lt;=0,"",IFERROR(W123/V123-1,"")))</f>
        <v/>
      </c>
      <c r="X124" s="15">
        <f>IF(OR(X123="",W123=""),"",IF(X123*W123&lt;=0,"",IFERROR(X123/W123-1,"")))</f>
        <v/>
      </c>
    </row>
    <row r="125">
      <c r="A125" s="9" t="inlineStr">
        <is>
          <t>순이익</t>
        </is>
      </c>
      <c r="C125" s="12" t="n">
        <v>3239</v>
      </c>
      <c r="D125" s="12" t="n">
        <v>7937</v>
      </c>
      <c r="E125" s="12" t="n">
        <v>3016</v>
      </c>
      <c r="F125" s="12" t="n">
        <v>9398</v>
      </c>
      <c r="G125" s="12" t="n">
        <v>5221</v>
      </c>
      <c r="H125" s="12" t="n">
        <v>5764</v>
      </c>
      <c r="I125" s="12" t="n">
        <v>7051</v>
      </c>
      <c r="J125" s="12" t="n">
        <v>9887</v>
      </c>
      <c r="K125" s="12" t="n">
        <v>7481</v>
      </c>
      <c r="L125" s="12" t="n">
        <v>14209</v>
      </c>
      <c r="M125" s="12" t="n">
        <v>8128</v>
      </c>
      <c r="N125" s="12" t="n">
        <v>13880</v>
      </c>
      <c r="U125" s="12" t="n">
        <v>2618</v>
      </c>
      <c r="V125" s="12" t="n">
        <v>3016</v>
      </c>
      <c r="W125" s="12" t="n">
        <v>7051</v>
      </c>
      <c r="X125" s="12" t="n">
        <v>8128</v>
      </c>
    </row>
    <row r="126">
      <c r="A126" s="43" t="inlineStr">
        <is>
          <t>YoY</t>
        </is>
      </c>
      <c r="B126" s="3" t="inlineStr">
        <is>
          <t>전년 같은 분기·전년 대비</t>
        </is>
      </c>
      <c r="G126" s="15">
        <f>IF(OR(G125="",C125=""),"",IF(C125&lt;=0,"",IFERROR(G125/C125-1,"")))</f>
        <v/>
      </c>
      <c r="H126" s="15">
        <f>IF(OR(H125="",D125=""),"",IF(D125&lt;=0,"",IFERROR(H125/D125-1,"")))</f>
        <v/>
      </c>
      <c r="I126" s="15">
        <f>IF(OR(I125="",E125=""),"",IF(E125&lt;=0,"",IFERROR(I125/E125-1,"")))</f>
        <v/>
      </c>
      <c r="J126" s="15">
        <f>IF(OR(J125="",F125=""),"",IF(F125&lt;=0,"",IFERROR(J125/F125-1,"")))</f>
        <v/>
      </c>
      <c r="K126" s="15">
        <f>IF(OR(K125="",G125=""),"",IF(G125&lt;=0,"",IFERROR(K125/G125-1,"")))</f>
        <v/>
      </c>
      <c r="L126" s="15">
        <f>IF(OR(L125="",H125=""),"",IF(H125&lt;=0,"",IFERROR(L125/H125-1,"")))</f>
        <v/>
      </c>
      <c r="M126" s="15">
        <f>IF(OR(M125="",I125=""),"",IF(I125&lt;=0,"",IFERROR(M125/I125-1,"")))</f>
        <v/>
      </c>
      <c r="N126" s="15">
        <f>IF(OR(N125="",J125=""),"",IF(J125&lt;=0,"",IFERROR(N125/J125-1,"")))</f>
        <v/>
      </c>
      <c r="U126" s="15">
        <f>IF(OR(U125="",T125=""),"",IF(T125&lt;=0,"",IFERROR(U125/T125-1,"")))</f>
        <v/>
      </c>
      <c r="V126" s="15">
        <f>IF(OR(V125="",U125=""),"",IF(U125&lt;=0,"",IFERROR(V125/U125-1,"")))</f>
        <v/>
      </c>
      <c r="W126" s="15">
        <f>IF(OR(W125="",V125=""),"",IF(V125&lt;=0,"",IFERROR(W125/V125-1,"")))</f>
        <v/>
      </c>
      <c r="X126" s="15">
        <f>IF(OR(X125="",W125=""),"",IF(W125&lt;=0,"",IFERROR(X125/W125-1,"")))</f>
        <v/>
      </c>
    </row>
    <row r="127">
      <c r="A127" s="9" t="inlineStr">
        <is>
          <t>비지배주주 순이익</t>
        </is>
      </c>
      <c r="C127" s="12" t="n">
        <v>0</v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U127" s="12" t="n">
        <v>0</v>
      </c>
      <c r="V127" s="12" t="n">
        <v>0</v>
      </c>
      <c r="W127" s="12" t="n">
        <v>0</v>
      </c>
      <c r="X127" s="12" t="n">
        <v>0</v>
      </c>
    </row>
    <row r="128">
      <c r="A128" s="9" t="inlineStr">
        <is>
          <t>지배주주 순이익</t>
        </is>
      </c>
      <c r="C128" s="12" t="n">
        <v>3239</v>
      </c>
      <c r="D128" s="12" t="n">
        <v>7937</v>
      </c>
      <c r="E128" s="12" t="n">
        <v>3016</v>
      </c>
      <c r="F128" s="12" t="n">
        <v>9398</v>
      </c>
      <c r="G128" s="12" t="n">
        <v>5221</v>
      </c>
      <c r="H128" s="12" t="n">
        <v>5764</v>
      </c>
      <c r="I128" s="12" t="n">
        <v>7051</v>
      </c>
      <c r="J128" s="12" t="n">
        <v>9887</v>
      </c>
      <c r="K128" s="12" t="n">
        <v>7481</v>
      </c>
      <c r="L128" s="12" t="n">
        <v>14209</v>
      </c>
      <c r="M128" s="12" t="n">
        <v>8128</v>
      </c>
      <c r="N128" s="12" t="n">
        <v>13880</v>
      </c>
      <c r="U128" s="12" t="n">
        <v>2618</v>
      </c>
      <c r="V128" s="12" t="n">
        <v>3016</v>
      </c>
      <c r="W128" s="12" t="n">
        <v>7051</v>
      </c>
      <c r="X128" s="12" t="n">
        <v>8128</v>
      </c>
    </row>
    <row r="129">
      <c r="A129" s="43" t="inlineStr">
        <is>
          <t>YoY</t>
        </is>
      </c>
      <c r="B129" s="3" t="inlineStr">
        <is>
          <t>전년 같은 분기·전년 대비</t>
        </is>
      </c>
      <c r="G129" s="15">
        <f>IF(OR(G128="",C128=""),"",IF(C128&lt;=0,"",IFERROR(G128/C128-1,"")))</f>
        <v/>
      </c>
      <c r="H129" s="15">
        <f>IF(OR(H128="",D128=""),"",IF(D128&lt;=0,"",IFERROR(H128/D128-1,"")))</f>
        <v/>
      </c>
      <c r="I129" s="15">
        <f>IF(OR(I128="",E128=""),"",IF(E128&lt;=0,"",IFERROR(I128/E128-1,"")))</f>
        <v/>
      </c>
      <c r="J129" s="15">
        <f>IF(OR(J128="",F128=""),"",IF(F128&lt;=0,"",IFERROR(J128/F128-1,"")))</f>
        <v/>
      </c>
      <c r="K129" s="15">
        <f>IF(OR(K128="",G128=""),"",IF(G128&lt;=0,"",IFERROR(K128/G128-1,"")))</f>
        <v/>
      </c>
      <c r="L129" s="15">
        <f>IF(OR(L128="",H128=""),"",IF(H128&lt;=0,"",IFERROR(L128/H128-1,"")))</f>
        <v/>
      </c>
      <c r="M129" s="15">
        <f>IF(OR(M128="",I128=""),"",IF(I128&lt;=0,"",IFERROR(M128/I128-1,"")))</f>
        <v/>
      </c>
      <c r="N129" s="15">
        <f>IF(OR(N128="",J128=""),"",IF(J128&lt;=0,"",IFERROR(N128/J128-1,"")))</f>
        <v/>
      </c>
      <c r="U129" s="15">
        <f>IF(OR(U128="",T128=""),"",IF(T128&lt;=0,"",IFERROR(U128/T128-1,"")))</f>
        <v/>
      </c>
      <c r="V129" s="15">
        <f>IF(OR(V128="",U128=""),"",IF(U128&lt;=0,"",IFERROR(V128/U128-1,"")))</f>
        <v/>
      </c>
      <c r="W129" s="15">
        <f>IF(OR(W128="",V128=""),"",IF(V128&lt;=0,"",IFERROR(W128/V128-1,"")))</f>
        <v/>
      </c>
      <c r="X129" s="15">
        <f>IF(OR(X128="",W128=""),"",IF(W128&lt;=0,"",IFERROR(X128/W128-1,"")))</f>
        <v/>
      </c>
    </row>
    <row r="131">
      <c r="A131" s="16" t="inlineStr">
        <is>
          <t>포괄손익 · 전 항목</t>
        </is>
      </c>
      <c r="B131" s="42" t="inlineStr">
        <is>
          <t>분기 = 3개월 단독</t>
        </is>
      </c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  <c r="AA131" s="16" t="n"/>
      <c r="AB131" s="16" t="n"/>
      <c r="AC131" s="16" t="n"/>
    </row>
    <row r="132">
      <c r="A132" s="5" t="inlineStr">
        <is>
          <t>항목</t>
        </is>
      </c>
      <c r="B132" s="5" t="inlineStr">
        <is>
          <t>참고</t>
        </is>
      </c>
      <c r="C132" s="5" t="inlineStr">
        <is>
          <t>2024.2Q</t>
        </is>
      </c>
      <c r="D132" s="5" t="inlineStr">
        <is>
          <t>2024.3Q</t>
        </is>
      </c>
      <c r="E132" s="5" t="inlineStr">
        <is>
          <t>2024.4Q</t>
        </is>
      </c>
      <c r="F132" s="5" t="inlineStr">
        <is>
          <t>2025.1Q</t>
        </is>
      </c>
      <c r="G132" s="5" t="inlineStr">
        <is>
          <t>2025.2Q</t>
        </is>
      </c>
      <c r="H132" s="5" t="inlineStr">
        <is>
          <t>2025.3Q</t>
        </is>
      </c>
      <c r="I132" s="5" t="inlineStr">
        <is>
          <t>2025.4Q</t>
        </is>
      </c>
      <c r="J132" s="5" t="inlineStr">
        <is>
          <t>2026.1Q</t>
        </is>
      </c>
      <c r="K132" s="5" t="inlineStr">
        <is>
          <t>2026.2Q</t>
        </is>
      </c>
      <c r="L132" s="5" t="inlineStr">
        <is>
          <t>2026.3Q</t>
        </is>
      </c>
      <c r="M132" s="5" t="inlineStr">
        <is>
          <t>2026.4Q</t>
        </is>
      </c>
      <c r="N132" s="5" t="inlineStr">
        <is>
          <t>2027.1Q</t>
        </is>
      </c>
      <c r="O132" s="5" t="inlineStr">
        <is>
          <t>2017</t>
        </is>
      </c>
      <c r="P132" s="5" t="inlineStr">
        <is>
          <t>2018</t>
        </is>
      </c>
      <c r="Q132" s="5" t="inlineStr">
        <is>
          <t>2019</t>
        </is>
      </c>
      <c r="R132" s="5" t="inlineStr">
        <is>
          <t>2020</t>
        </is>
      </c>
      <c r="S132" s="5" t="inlineStr">
        <is>
          <t>2021</t>
        </is>
      </c>
      <c r="T132" s="5" t="inlineStr">
        <is>
          <t>2022</t>
        </is>
      </c>
      <c r="U132" s="5" t="inlineStr">
        <is>
          <t>2023</t>
        </is>
      </c>
      <c r="V132" s="5" t="inlineStr">
        <is>
          <t>2024</t>
        </is>
      </c>
      <c r="W132" s="5" t="inlineStr">
        <is>
          <t>2025</t>
        </is>
      </c>
      <c r="X132" s="5" t="inlineStr">
        <is>
          <t>2026</t>
        </is>
      </c>
      <c r="Y132" s="5" t="inlineStr">
        <is>
          <t>2027(MW)</t>
        </is>
      </c>
      <c r="Z132" s="5" t="inlineStr">
        <is>
          <t>2028(MW)</t>
        </is>
      </c>
      <c r="AA132" s="5" t="inlineStr">
        <is>
          <t>2029(MW)</t>
        </is>
      </c>
      <c r="AB132" s="5" t="inlineStr">
        <is>
          <t>2030(MW)</t>
        </is>
      </c>
      <c r="AC132" s="5" t="inlineStr">
        <is>
          <t>2031(MW)</t>
        </is>
      </c>
    </row>
    <row r="133">
      <c r="A133" s="9" t="inlineStr">
        <is>
          <t>순이익</t>
        </is>
      </c>
      <c r="C133" s="12" t="n">
        <v>3239</v>
      </c>
      <c r="D133" s="12" t="n">
        <v>7937</v>
      </c>
      <c r="E133" s="12" t="n">
        <v>3016</v>
      </c>
      <c r="F133" s="12" t="n">
        <v>9398</v>
      </c>
      <c r="G133" s="12" t="n">
        <v>5221</v>
      </c>
      <c r="H133" s="12" t="n">
        <v>5764</v>
      </c>
      <c r="I133" s="12" t="n">
        <v>7051</v>
      </c>
      <c r="J133" s="12" t="n">
        <v>9887</v>
      </c>
      <c r="K133" s="12" t="n">
        <v>7481</v>
      </c>
      <c r="L133" s="12" t="n">
        <v>14209</v>
      </c>
      <c r="M133" s="12" t="n">
        <v>8128</v>
      </c>
      <c r="N133" s="12" t="n">
        <v>13880</v>
      </c>
      <c r="U133" s="12" t="n">
        <v>2618</v>
      </c>
      <c r="V133" s="12" t="n">
        <v>3016</v>
      </c>
      <c r="W133" s="12" t="n">
        <v>7051</v>
      </c>
      <c r="X133" s="12" t="n">
        <v>8128</v>
      </c>
    </row>
    <row r="134">
      <c r="A134" s="18" t="inlineStr">
        <is>
          <t>기타포괄손익</t>
        </is>
      </c>
      <c r="C134" s="20" t="n">
        <v>-10012</v>
      </c>
      <c r="D134" s="20" t="n">
        <v>10965</v>
      </c>
      <c r="E134" s="20" t="n">
        <v>24456</v>
      </c>
      <c r="F134" s="20" t="n">
        <v>-12860</v>
      </c>
      <c r="G134" s="20" t="n">
        <v>-1421</v>
      </c>
      <c r="H134" s="20" t="n">
        <v>-7977</v>
      </c>
      <c r="I134" s="20" t="n">
        <v>-28477</v>
      </c>
      <c r="J134" s="20" t="n">
        <v>20740</v>
      </c>
      <c r="K134" s="20" t="n">
        <v>22140</v>
      </c>
      <c r="L134" s="20" t="n">
        <v>9010</v>
      </c>
      <c r="M134" s="20" t="n">
        <v>1936</v>
      </c>
      <c r="N134" s="20" t="n">
        <v>48278</v>
      </c>
      <c r="U134" s="20" t="n">
        <v>12006</v>
      </c>
      <c r="V134" s="20" t="n">
        <v>24456</v>
      </c>
      <c r="W134" s="20" t="n">
        <v>-28477</v>
      </c>
      <c r="X134" s="20" t="n">
        <v>1936</v>
      </c>
    </row>
    <row r="135">
      <c r="A135" s="18" t="inlineStr">
        <is>
          <t>기타유가증권 평가차액</t>
        </is>
      </c>
      <c r="C135" s="20" t="n">
        <v>-26947</v>
      </c>
      <c r="D135" s="20" t="n">
        <v>22147</v>
      </c>
      <c r="E135" s="20" t="n">
        <v>14747</v>
      </c>
      <c r="F135" s="20" t="n">
        <v>-22890</v>
      </c>
      <c r="G135" s="20" t="n">
        <v>14927</v>
      </c>
      <c r="H135" s="20" t="n">
        <v>-24974</v>
      </c>
      <c r="I135" s="20" t="n">
        <v>-31353</v>
      </c>
      <c r="J135" s="20" t="n">
        <v>19140</v>
      </c>
      <c r="K135" s="20" t="n">
        <v>11620</v>
      </c>
      <c r="L135" s="20" t="n">
        <v>-8801</v>
      </c>
      <c r="M135" s="20" t="n">
        <v>-15397</v>
      </c>
      <c r="N135" s="20" t="n">
        <v>46301</v>
      </c>
      <c r="U135" s="20" t="n">
        <v>25440</v>
      </c>
      <c r="V135" s="20" t="n">
        <v>14747</v>
      </c>
      <c r="W135" s="20" t="n">
        <v>-31353</v>
      </c>
      <c r="X135" s="20" t="n">
        <v>-15397</v>
      </c>
    </row>
    <row r="136">
      <c r="A136" s="18" t="inlineStr">
        <is>
          <t>이연헤지손익</t>
        </is>
      </c>
      <c r="C136" s="20" t="n">
        <v>16674</v>
      </c>
      <c r="D136" s="20" t="n">
        <v>-11445</v>
      </c>
      <c r="E136" s="20" t="n">
        <v>1922</v>
      </c>
      <c r="F136" s="20" t="n">
        <v>9941</v>
      </c>
      <c r="G136" s="20" t="n">
        <v>-16436</v>
      </c>
      <c r="H136" s="20" t="n">
        <v>16908</v>
      </c>
      <c r="I136" s="20" t="n">
        <v>4415</v>
      </c>
      <c r="J136" s="20" t="n">
        <v>1439</v>
      </c>
      <c r="K136" s="20" t="n">
        <v>10213</v>
      </c>
      <c r="L136" s="20" t="n">
        <v>17673</v>
      </c>
      <c r="M136" s="20" t="n">
        <v>9526</v>
      </c>
      <c r="N136" s="20" t="n">
        <v>2218</v>
      </c>
      <c r="U136" s="20" t="n">
        <v>-11603</v>
      </c>
      <c r="V136" s="20" t="n">
        <v>1922</v>
      </c>
      <c r="W136" s="20" t="n">
        <v>4415</v>
      </c>
      <c r="X136" s="20" t="n">
        <v>9526</v>
      </c>
    </row>
    <row r="137">
      <c r="A137" s="18" t="inlineStr">
        <is>
          <t>퇴직급여 조정액</t>
        </is>
      </c>
      <c r="C137" s="20" t="n">
        <v>262</v>
      </c>
      <c r="D137" s="20" t="n">
        <v>262</v>
      </c>
      <c r="E137" s="20" t="n">
        <v>7788</v>
      </c>
      <c r="F137" s="20" t="n">
        <v>88</v>
      </c>
      <c r="G137" s="20" t="n">
        <v>89</v>
      </c>
      <c r="H137" s="20" t="n">
        <v>88</v>
      </c>
      <c r="I137" s="20" t="n">
        <v>-1538</v>
      </c>
      <c r="J137" s="20" t="n">
        <v>160</v>
      </c>
      <c r="K137" s="20" t="n">
        <v>308</v>
      </c>
      <c r="L137" s="20" t="n">
        <v>137</v>
      </c>
      <c r="M137" s="20" t="n">
        <v>7807</v>
      </c>
      <c r="N137" s="20" t="n">
        <v>-242</v>
      </c>
      <c r="U137" s="20" t="n">
        <v>-1829</v>
      </c>
      <c r="V137" s="20" t="n">
        <v>7788</v>
      </c>
      <c r="W137" s="20" t="n">
        <v>-1538</v>
      </c>
      <c r="X137" s="20" t="n">
        <v>7807</v>
      </c>
    </row>
    <row r="138">
      <c r="A138" s="9" t="inlineStr">
        <is>
          <t>포괄이익</t>
        </is>
      </c>
      <c r="C138" s="12" t="n">
        <v>-6774</v>
      </c>
      <c r="D138" s="12" t="n">
        <v>18902</v>
      </c>
      <c r="E138" s="12" t="n">
        <v>27473</v>
      </c>
      <c r="F138" s="12" t="n">
        <v>-3462</v>
      </c>
      <c r="G138" s="12" t="n">
        <v>3800</v>
      </c>
      <c r="H138" s="12" t="n">
        <v>-2212</v>
      </c>
      <c r="I138" s="12" t="n">
        <v>-21427</v>
      </c>
      <c r="J138" s="12" t="n">
        <v>30627</v>
      </c>
      <c r="K138" s="12" t="n">
        <v>29621</v>
      </c>
      <c r="L138" s="12" t="n">
        <v>23219</v>
      </c>
      <c r="M138" s="12" t="n">
        <v>10065</v>
      </c>
      <c r="N138" s="12" t="n">
        <v>62159</v>
      </c>
      <c r="U138" s="12" t="n">
        <v>14624</v>
      </c>
      <c r="V138" s="12" t="n">
        <v>27473</v>
      </c>
      <c r="W138" s="12" t="n">
        <v>-21427</v>
      </c>
      <c r="X138" s="12" t="n">
        <v>10065</v>
      </c>
    </row>
    <row r="139">
      <c r="A139" s="9" t="inlineStr">
        <is>
          <t>지배주주 포괄이익</t>
        </is>
      </c>
      <c r="C139" s="12" t="n">
        <v>-6774</v>
      </c>
      <c r="D139" s="12" t="n">
        <v>18902</v>
      </c>
      <c r="E139" s="12" t="n">
        <v>27473</v>
      </c>
      <c r="F139" s="12" t="n">
        <v>-3462</v>
      </c>
      <c r="G139" s="12" t="n">
        <v>3800</v>
      </c>
      <c r="H139" s="12" t="n">
        <v>-2212</v>
      </c>
      <c r="I139" s="12" t="n">
        <v>-21427</v>
      </c>
      <c r="J139" s="12" t="n">
        <v>30627</v>
      </c>
      <c r="K139" s="12" t="n">
        <v>29621</v>
      </c>
      <c r="L139" s="12" t="n">
        <v>23219</v>
      </c>
      <c r="M139" s="12" t="n">
        <v>10065</v>
      </c>
      <c r="N139" s="12" t="n">
        <v>62159</v>
      </c>
      <c r="U139" s="12" t="n">
        <v>14624</v>
      </c>
      <c r="V139" s="12" t="n">
        <v>27473</v>
      </c>
      <c r="W139" s="12" t="n">
        <v>-21427</v>
      </c>
      <c r="X139" s="12" t="n">
        <v>10065</v>
      </c>
    </row>
    <row r="140">
      <c r="A140" s="9" t="inlineStr">
        <is>
          <t>비지배주주 포괄이익</t>
        </is>
      </c>
      <c r="C140" s="12" t="n">
        <v>0</v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</row>
    <row r="142">
      <c r="A142" s="16" t="inlineStr">
        <is>
          <t>부문 · 전 항목</t>
        </is>
      </c>
      <c r="B142" s="42" t="inlineStr">
        <is>
          <t>부문 · 항목</t>
        </is>
      </c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  <c r="AA142" s="16" t="n"/>
      <c r="AB142" s="16" t="n"/>
      <c r="AC142" s="16" t="n"/>
    </row>
    <row r="143">
      <c r="A143" s="5" t="inlineStr">
        <is>
          <t>항목</t>
        </is>
      </c>
      <c r="B143" s="5" t="inlineStr">
        <is>
          <t>참고</t>
        </is>
      </c>
      <c r="C143" s="5" t="inlineStr">
        <is>
          <t>2024.2Q</t>
        </is>
      </c>
      <c r="D143" s="5" t="inlineStr">
        <is>
          <t>2024.3Q</t>
        </is>
      </c>
      <c r="E143" s="5" t="inlineStr">
        <is>
          <t>2024.4Q</t>
        </is>
      </c>
      <c r="F143" s="5" t="inlineStr">
        <is>
          <t>2025.1Q</t>
        </is>
      </c>
      <c r="G143" s="5" t="inlineStr">
        <is>
          <t>2025.2Q</t>
        </is>
      </c>
      <c r="H143" s="5" t="inlineStr">
        <is>
          <t>2025.3Q</t>
        </is>
      </c>
      <c r="I143" s="5" t="inlineStr">
        <is>
          <t>2025.4Q</t>
        </is>
      </c>
      <c r="J143" s="5" t="inlineStr">
        <is>
          <t>2026.1Q</t>
        </is>
      </c>
      <c r="K143" s="5" t="inlineStr">
        <is>
          <t>2026.2Q</t>
        </is>
      </c>
      <c r="L143" s="5" t="inlineStr">
        <is>
          <t>2026.3Q</t>
        </is>
      </c>
      <c r="M143" s="5" t="inlineStr">
        <is>
          <t>2026.4Q</t>
        </is>
      </c>
      <c r="N143" s="5" t="inlineStr">
        <is>
          <t>2027.1Q</t>
        </is>
      </c>
      <c r="O143" s="5" t="inlineStr">
        <is>
          <t>2017</t>
        </is>
      </c>
      <c r="P143" s="5" t="inlineStr">
        <is>
          <t>2018</t>
        </is>
      </c>
      <c r="Q143" s="5" t="inlineStr">
        <is>
          <t>2019</t>
        </is>
      </c>
      <c r="R143" s="5" t="inlineStr">
        <is>
          <t>2020</t>
        </is>
      </c>
      <c r="S143" s="5" t="inlineStr">
        <is>
          <t>2021</t>
        </is>
      </c>
      <c r="T143" s="5" t="inlineStr">
        <is>
          <t>2022</t>
        </is>
      </c>
      <c r="U143" s="5" t="inlineStr">
        <is>
          <t>2023</t>
        </is>
      </c>
      <c r="V143" s="5" t="inlineStr">
        <is>
          <t>2024</t>
        </is>
      </c>
      <c r="W143" s="5" t="inlineStr">
        <is>
          <t>2025</t>
        </is>
      </c>
      <c r="X143" s="5" t="inlineStr">
        <is>
          <t>2026</t>
        </is>
      </c>
      <c r="Y143" s="5" t="inlineStr">
        <is>
          <t>2027(MW)</t>
        </is>
      </c>
      <c r="Z143" s="5" t="inlineStr">
        <is>
          <t>2028(MW)</t>
        </is>
      </c>
      <c r="AA143" s="5" t="inlineStr">
        <is>
          <t>2029(MW)</t>
        </is>
      </c>
      <c r="AB143" s="5" t="inlineStr">
        <is>
          <t>2030(MW)</t>
        </is>
      </c>
      <c r="AC143" s="5" t="inlineStr">
        <is>
          <t>2031(MW)</t>
        </is>
      </c>
    </row>
    <row r="144">
      <c r="A144" s="18" t="inlineStr">
        <is>
          <t>BankingReportableSegmentMember · Revenues From External Customers</t>
        </is>
      </c>
      <c r="C144" s="20" t="n">
        <v>40042</v>
      </c>
      <c r="D144" s="20" t="n">
        <v>43145</v>
      </c>
      <c r="E144" s="20" t="n">
        <v>43409</v>
      </c>
      <c r="F144" s="20" t="n">
        <v>47481</v>
      </c>
      <c r="G144" s="20" t="n">
        <v>43916</v>
      </c>
      <c r="H144" s="20" t="n">
        <v>52212</v>
      </c>
      <c r="I144" s="20" t="n">
        <v>46640</v>
      </c>
      <c r="J144" s="20" t="n">
        <v>51645</v>
      </c>
      <c r="K144" s="20" t="n">
        <v>52089</v>
      </c>
      <c r="L144" s="20" t="n">
        <v>61661</v>
      </c>
      <c r="M144" s="20" t="n">
        <v>60676</v>
      </c>
      <c r="N144" s="20" t="n">
        <v>98751</v>
      </c>
      <c r="V144" s="20" t="n">
        <v>43409</v>
      </c>
      <c r="W144" s="20" t="n">
        <v>46640</v>
      </c>
      <c r="X144" s="20" t="n">
        <v>60676</v>
      </c>
    </row>
    <row r="145">
      <c r="A145" s="43" t="inlineStr">
        <is>
          <t>YoY</t>
        </is>
      </c>
      <c r="B145" s="3" t="inlineStr">
        <is>
          <t>전년 같은 분기·전년 대비</t>
        </is>
      </c>
      <c r="G145" s="15">
        <f>IF(OR(G144="",C144=""),"",IF(C144&lt;=0,"",IFERROR(G144/C144-1,"")))</f>
        <v/>
      </c>
      <c r="H145" s="15">
        <f>IF(OR(H144="",D144=""),"",IF(D144&lt;=0,"",IFERROR(H144/D144-1,"")))</f>
        <v/>
      </c>
      <c r="I145" s="15">
        <f>IF(OR(I144="",E144=""),"",IF(E144&lt;=0,"",IFERROR(I144/E144-1,"")))</f>
        <v/>
      </c>
      <c r="J145" s="15">
        <f>IF(OR(J144="",F144=""),"",IF(F144&lt;=0,"",IFERROR(J144/F144-1,"")))</f>
        <v/>
      </c>
      <c r="K145" s="15">
        <f>IF(OR(K144="",G144=""),"",IF(G144&lt;=0,"",IFERROR(K144/G144-1,"")))</f>
        <v/>
      </c>
      <c r="L145" s="15">
        <f>IF(OR(L144="",H144=""),"",IF(H144&lt;=0,"",IFERROR(L144/H144-1,"")))</f>
        <v/>
      </c>
      <c r="M145" s="15">
        <f>IF(OR(M144="",I144=""),"",IF(I144&lt;=0,"",IFERROR(M144/I144-1,"")))</f>
        <v/>
      </c>
      <c r="N145" s="15">
        <f>IF(OR(N144="",J144=""),"",IF(J144&lt;=0,"",IFERROR(N144/J144-1,"")))</f>
        <v/>
      </c>
      <c r="V145" s="15">
        <f>IF(OR(V144="",U144=""),"",IF(U144&lt;=0,"",IFERROR(V144/U144-1,"")))</f>
        <v/>
      </c>
      <c r="W145" s="15">
        <f>IF(OR(W144="",V144=""),"",IF(V144&lt;=0,"",IFERROR(W144/V144-1,"")))</f>
        <v/>
      </c>
      <c r="X145" s="15">
        <f>IF(OR(X144="",W144=""),"",IF(W144&lt;=0,"",IFERROR(X144/W144-1,"")))</f>
        <v/>
      </c>
    </row>
    <row r="146">
      <c r="A146" s="18" t="inlineStr">
        <is>
          <t>LeasingReportableSegmentMember · Revenues From External Customers</t>
        </is>
      </c>
      <c r="C146" s="20" t="n">
        <v>2761</v>
      </c>
      <c r="D146" s="20" t="n">
        <v>3084</v>
      </c>
      <c r="E146" s="20" t="n">
        <v>3355</v>
      </c>
      <c r="F146" s="20" t="n">
        <v>3056</v>
      </c>
      <c r="G146" s="20" t="n">
        <v>4981</v>
      </c>
      <c r="H146" s="20" t="n">
        <v>3305</v>
      </c>
      <c r="I146" s="20" t="n">
        <v>3210</v>
      </c>
      <c r="J146" s="20" t="n">
        <v>3457</v>
      </c>
      <c r="K146" s="20" t="n">
        <v>3577</v>
      </c>
      <c r="L146" s="20" t="n">
        <v>3682</v>
      </c>
      <c r="M146" s="20" t="n">
        <v>3699</v>
      </c>
      <c r="N146" s="20" t="n">
        <v>8233</v>
      </c>
      <c r="V146" s="20" t="n">
        <v>3355</v>
      </c>
      <c r="W146" s="20" t="n">
        <v>3210</v>
      </c>
      <c r="X146" s="20" t="n">
        <v>3699</v>
      </c>
    </row>
    <row r="147">
      <c r="A147" s="43" t="inlineStr">
        <is>
          <t>YoY</t>
        </is>
      </c>
      <c r="B147" s="3" t="inlineStr">
        <is>
          <t>전년 같은 분기·전년 대비</t>
        </is>
      </c>
      <c r="G147" s="15">
        <f>IF(OR(G146="",C146=""),"",IF(C146&lt;=0,"",IFERROR(G146/C146-1,"")))</f>
        <v/>
      </c>
      <c r="H147" s="15">
        <f>IF(OR(H146="",D146=""),"",IF(D146&lt;=0,"",IFERROR(H146/D146-1,"")))</f>
        <v/>
      </c>
      <c r="I147" s="15">
        <f>IF(OR(I146="",E146=""),"",IF(E146&lt;=0,"",IFERROR(I146/E146-1,"")))</f>
        <v/>
      </c>
      <c r="J147" s="15">
        <f>IF(OR(J146="",F146=""),"",IF(F146&lt;=0,"",IFERROR(J146/F146-1,"")))</f>
        <v/>
      </c>
      <c r="K147" s="15">
        <f>IF(OR(K146="",G146=""),"",IF(G146&lt;=0,"",IFERROR(K146/G146-1,"")))</f>
        <v/>
      </c>
      <c r="L147" s="15">
        <f>IF(OR(L146="",H146=""),"",IF(H146&lt;=0,"",IFERROR(L146/H146-1,"")))</f>
        <v/>
      </c>
      <c r="M147" s="15">
        <f>IF(OR(M146="",I146=""),"",IF(I146&lt;=0,"",IFERROR(M146/I146-1,"")))</f>
        <v/>
      </c>
      <c r="N147" s="15">
        <f>IF(OR(N146="",J146=""),"",IF(J146&lt;=0,"",IFERROR(N146/J146-1,"")))</f>
        <v/>
      </c>
      <c r="V147" s="15">
        <f>IF(OR(V146="",U146=""),"",IF(U146&lt;=0,"",IFERROR(V146/U146-1,"")))</f>
        <v/>
      </c>
      <c r="W147" s="15">
        <f>IF(OR(W146="",V146=""),"",IF(V146&lt;=0,"",IFERROR(W146/V146-1,"")))</f>
        <v/>
      </c>
      <c r="X147" s="15">
        <f>IF(OR(X146="",W146=""),"",IF(W146&lt;=0,"",IFERROR(X146/W146-1,"")))</f>
        <v/>
      </c>
    </row>
    <row r="148">
      <c r="A148" s="18" t="inlineStr">
        <is>
          <t>SecuritiesReportableSegmentMember · Revenues From External Customers</t>
        </is>
      </c>
      <c r="C148" s="20" t="n">
        <v>1045</v>
      </c>
      <c r="D148" s="20" t="n">
        <v>872</v>
      </c>
      <c r="E148" s="20" t="n">
        <v>1039</v>
      </c>
      <c r="F148" s="20" t="n">
        <v>1219</v>
      </c>
      <c r="G148" s="20" t="n">
        <v>932</v>
      </c>
      <c r="H148" s="20" t="n">
        <v>846</v>
      </c>
      <c r="I148" s="20" t="n">
        <v>881</v>
      </c>
      <c r="J148" s="20" t="n">
        <v>841</v>
      </c>
      <c r="K148" s="20" t="n">
        <v>1165</v>
      </c>
      <c r="L148" s="20" t="n">
        <v>1575</v>
      </c>
      <c r="M148" s="20" t="n">
        <v>1369</v>
      </c>
      <c r="N148" s="20" t="n">
        <v>1561</v>
      </c>
      <c r="V148" s="20" t="n">
        <v>1039</v>
      </c>
      <c r="W148" s="20" t="n">
        <v>881</v>
      </c>
      <c r="X148" s="20" t="n">
        <v>1369</v>
      </c>
    </row>
    <row r="149">
      <c r="A149" s="43" t="inlineStr">
        <is>
          <t>YoY</t>
        </is>
      </c>
      <c r="B149" s="3" t="inlineStr">
        <is>
          <t>전년 같은 분기·전년 대비</t>
        </is>
      </c>
      <c r="G149" s="15">
        <f>IF(OR(G148="",C148=""),"",IF(C148&lt;=0,"",IFERROR(G148/C148-1,"")))</f>
        <v/>
      </c>
      <c r="H149" s="15">
        <f>IF(OR(H148="",D148=""),"",IF(D148&lt;=0,"",IFERROR(H148/D148-1,"")))</f>
        <v/>
      </c>
      <c r="I149" s="15">
        <f>IF(OR(I148="",E148=""),"",IF(E148&lt;=0,"",IFERROR(I148/E148-1,"")))</f>
        <v/>
      </c>
      <c r="J149" s="15">
        <f>IF(OR(J148="",F148=""),"",IF(F148&lt;=0,"",IFERROR(J148/F148-1,"")))</f>
        <v/>
      </c>
      <c r="K149" s="15">
        <f>IF(OR(K148="",G148=""),"",IF(G148&lt;=0,"",IFERROR(K148/G148-1,"")))</f>
        <v/>
      </c>
      <c r="L149" s="15">
        <f>IF(OR(L148="",H148=""),"",IF(H148&lt;=0,"",IFERROR(L148/H148-1,"")))</f>
        <v/>
      </c>
      <c r="M149" s="15">
        <f>IF(OR(M148="",I148=""),"",IF(I148&lt;=0,"",IFERROR(M148/I148-1,"")))</f>
        <v/>
      </c>
      <c r="N149" s="15">
        <f>IF(OR(N148="",J148=""),"",IF(J148&lt;=0,"",IFERROR(N148/J148-1,"")))</f>
        <v/>
      </c>
      <c r="V149" s="15">
        <f>IF(OR(V148="",U148=""),"",IF(U148&lt;=0,"",IFERROR(V148/U148-1,"")))</f>
        <v/>
      </c>
      <c r="W149" s="15">
        <f>IF(OR(W148="",V148=""),"",IF(V148&lt;=0,"",IFERROR(W148/V148-1,"")))</f>
        <v/>
      </c>
      <c r="X149" s="15">
        <f>IF(OR(X148="",W148=""),"",IF(W148&lt;=0,"",IFERROR(X148/W148-1,"")))</f>
        <v/>
      </c>
    </row>
    <row r="150">
      <c r="A150" s="18" t="inlineStr">
        <is>
          <t>보고부문 합계 · Revenues From External Customers</t>
        </is>
      </c>
      <c r="C150" s="20" t="n">
        <v>43847</v>
      </c>
      <c r="D150" s="20" t="n">
        <v>47102</v>
      </c>
      <c r="E150" s="20" t="n">
        <v>47803</v>
      </c>
      <c r="F150" s="20" t="n">
        <v>51757</v>
      </c>
      <c r="G150" s="20" t="n">
        <v>49830</v>
      </c>
      <c r="H150" s="20" t="n">
        <v>56362</v>
      </c>
      <c r="I150" s="20" t="n">
        <v>50731</v>
      </c>
      <c r="J150" s="20" t="n">
        <v>55943</v>
      </c>
      <c r="K150" s="20" t="n">
        <v>56831</v>
      </c>
      <c r="L150" s="20" t="n">
        <v>66920</v>
      </c>
      <c r="M150" s="20" t="n">
        <v>65743</v>
      </c>
      <c r="N150" s="20" t="n">
        <v>108546</v>
      </c>
      <c r="V150" s="20" t="n">
        <v>47803</v>
      </c>
      <c r="W150" s="20" t="n">
        <v>50731</v>
      </c>
      <c r="X150" s="20" t="n">
        <v>65743</v>
      </c>
    </row>
    <row r="151">
      <c r="A151" s="43" t="inlineStr">
        <is>
          <t>YoY</t>
        </is>
      </c>
      <c r="B151" s="3" t="inlineStr">
        <is>
          <t>전년 같은 분기·전년 대비</t>
        </is>
      </c>
      <c r="G151" s="15">
        <f>IF(OR(G150="",C150=""),"",IF(C150&lt;=0,"",IFERROR(G150/C150-1,"")))</f>
        <v/>
      </c>
      <c r="H151" s="15">
        <f>IF(OR(H150="",D150=""),"",IF(D150&lt;=0,"",IFERROR(H150/D150-1,"")))</f>
        <v/>
      </c>
      <c r="I151" s="15">
        <f>IF(OR(I150="",E150=""),"",IF(E150&lt;=0,"",IFERROR(I150/E150-1,"")))</f>
        <v/>
      </c>
      <c r="J151" s="15">
        <f>IF(OR(J150="",F150=""),"",IF(F150&lt;=0,"",IFERROR(J150/F150-1,"")))</f>
        <v/>
      </c>
      <c r="K151" s="15">
        <f>IF(OR(K150="",G150=""),"",IF(G150&lt;=0,"",IFERROR(K150/G150-1,"")))</f>
        <v/>
      </c>
      <c r="L151" s="15">
        <f>IF(OR(L150="",H150=""),"",IF(H150&lt;=0,"",IFERROR(L150/H150-1,"")))</f>
        <v/>
      </c>
      <c r="M151" s="15">
        <f>IF(OR(M150="",I150=""),"",IF(I150&lt;=0,"",IFERROR(M150/I150-1,"")))</f>
        <v/>
      </c>
      <c r="N151" s="15">
        <f>IF(OR(N150="",J150=""),"",IF(J150&lt;=0,"",IFERROR(N150/J150-1,"")))</f>
        <v/>
      </c>
      <c r="V151" s="15">
        <f>IF(OR(V150="",U150=""),"",IF(U150&lt;=0,"",IFERROR(V150/U150-1,"")))</f>
        <v/>
      </c>
      <c r="W151" s="15">
        <f>IF(OR(W150="",V150=""),"",IF(V150&lt;=0,"",IFERROR(W150/V150-1,"")))</f>
        <v/>
      </c>
      <c r="X151" s="15">
        <f>IF(OR(X150="",W150=""),"",IF(W150&lt;=0,"",IFERROR(X150/W150-1,"")))</f>
        <v/>
      </c>
    </row>
    <row r="152">
      <c r="A152" s="18" t="inlineStr">
        <is>
          <t>기타 · Revenues From External Customers</t>
        </is>
      </c>
      <c r="C152" s="20" t="n">
        <v>643</v>
      </c>
      <c r="D152" s="20" t="n">
        <v>647</v>
      </c>
      <c r="E152" s="20" t="n">
        <v>754</v>
      </c>
      <c r="F152" s="20" t="n">
        <v>678</v>
      </c>
      <c r="G152" s="20" t="n">
        <v>735</v>
      </c>
      <c r="H152" s="20" t="n">
        <v>802</v>
      </c>
      <c r="I152" s="20" t="n">
        <v>838</v>
      </c>
      <c r="J152" s="20" t="n">
        <v>765</v>
      </c>
      <c r="K152" s="20" t="n">
        <v>983</v>
      </c>
      <c r="L152" s="20" t="n">
        <v>953</v>
      </c>
      <c r="M152" s="20" t="n">
        <v>935</v>
      </c>
      <c r="N152" s="20" t="n">
        <v>1121</v>
      </c>
      <c r="V152" s="20" t="n">
        <v>754</v>
      </c>
      <c r="W152" s="20" t="n">
        <v>838</v>
      </c>
      <c r="X152" s="20" t="n">
        <v>935</v>
      </c>
    </row>
    <row r="153">
      <c r="A153" s="43" t="inlineStr">
        <is>
          <t>YoY</t>
        </is>
      </c>
      <c r="B153" s="3" t="inlineStr">
        <is>
          <t>전년 같은 분기·전년 대비</t>
        </is>
      </c>
      <c r="G153" s="15">
        <f>IF(OR(G152="",C152=""),"",IF(C152&lt;=0,"",IFERROR(G152/C152-1,"")))</f>
        <v/>
      </c>
      <c r="H153" s="15">
        <f>IF(OR(H152="",D152=""),"",IF(D152&lt;=0,"",IFERROR(H152/D152-1,"")))</f>
        <v/>
      </c>
      <c r="I153" s="15">
        <f>IF(OR(I152="",E152=""),"",IF(E152&lt;=0,"",IFERROR(I152/E152-1,"")))</f>
        <v/>
      </c>
      <c r="J153" s="15">
        <f>IF(OR(J152="",F152=""),"",IF(F152&lt;=0,"",IFERROR(J152/F152-1,"")))</f>
        <v/>
      </c>
      <c r="K153" s="15">
        <f>IF(OR(K152="",G152=""),"",IF(G152&lt;=0,"",IFERROR(K152/G152-1,"")))</f>
        <v/>
      </c>
      <c r="L153" s="15">
        <f>IF(OR(L152="",H152=""),"",IF(H152&lt;=0,"",IFERROR(L152/H152-1,"")))</f>
        <v/>
      </c>
      <c r="M153" s="15">
        <f>IF(OR(M152="",I152=""),"",IF(I152&lt;=0,"",IFERROR(M152/I152-1,"")))</f>
        <v/>
      </c>
      <c r="N153" s="15">
        <f>IF(OR(N152="",J152=""),"",IF(J152&lt;=0,"",IFERROR(N152/J152-1,"")))</f>
        <v/>
      </c>
      <c r="V153" s="15">
        <f>IF(OR(V152="",U152=""),"",IF(U152&lt;=0,"",IFERROR(V152/U152-1,"")))</f>
        <v/>
      </c>
      <c r="W153" s="15">
        <f>IF(OR(W152="",V152=""),"",IF(V152&lt;=0,"",IFERROR(W152/V152-1,"")))</f>
        <v/>
      </c>
      <c r="X153" s="15">
        <f>IF(OR(X152="",W152=""),"",IF(W152&lt;=0,"",IFERROR(X152/W152-1,"")))</f>
        <v/>
      </c>
    </row>
    <row r="154">
      <c r="A154" s="18" t="inlineStr">
        <is>
          <t>합계 · Revenues From External Customers</t>
        </is>
      </c>
      <c r="C154" s="20" t="n">
        <v>44491</v>
      </c>
      <c r="D154" s="20" t="n">
        <v>47749</v>
      </c>
      <c r="E154" s="20" t="n">
        <v>48557</v>
      </c>
      <c r="F154" s="20" t="n">
        <v>52435</v>
      </c>
      <c r="G154" s="20" t="n">
        <v>50565</v>
      </c>
      <c r="H154" s="20" t="n">
        <v>57165</v>
      </c>
      <c r="I154" s="20" t="n">
        <v>51569</v>
      </c>
      <c r="J154" s="20" t="n">
        <v>56709</v>
      </c>
      <c r="K154" s="20" t="n">
        <v>57814</v>
      </c>
      <c r="L154" s="20" t="n">
        <v>67872</v>
      </c>
      <c r="M154" s="20" t="n">
        <v>66679</v>
      </c>
      <c r="N154" s="20" t="n">
        <v>109667</v>
      </c>
      <c r="V154" s="20" t="n">
        <v>48557</v>
      </c>
      <c r="W154" s="20" t="n">
        <v>51569</v>
      </c>
      <c r="X154" s="20" t="n">
        <v>66679</v>
      </c>
    </row>
    <row r="155">
      <c r="A155" s="43" t="inlineStr">
        <is>
          <t>YoY</t>
        </is>
      </c>
      <c r="B155" s="3" t="inlineStr">
        <is>
          <t>전년 같은 분기·전년 대비</t>
        </is>
      </c>
      <c r="G155" s="15">
        <f>IF(OR(G154="",C154=""),"",IF(C154&lt;=0,"",IFERROR(G154/C154-1,"")))</f>
        <v/>
      </c>
      <c r="H155" s="15">
        <f>IF(OR(H154="",D154=""),"",IF(D154&lt;=0,"",IFERROR(H154/D154-1,"")))</f>
        <v/>
      </c>
      <c r="I155" s="15">
        <f>IF(OR(I154="",E154=""),"",IF(E154&lt;=0,"",IFERROR(I154/E154-1,"")))</f>
        <v/>
      </c>
      <c r="J155" s="15">
        <f>IF(OR(J154="",F154=""),"",IF(F154&lt;=0,"",IFERROR(J154/F154-1,"")))</f>
        <v/>
      </c>
      <c r="K155" s="15">
        <f>IF(OR(K154="",G154=""),"",IF(G154&lt;=0,"",IFERROR(K154/G154-1,"")))</f>
        <v/>
      </c>
      <c r="L155" s="15">
        <f>IF(OR(L154="",H154=""),"",IF(H154&lt;=0,"",IFERROR(L154/H154-1,"")))</f>
        <v/>
      </c>
      <c r="M155" s="15">
        <f>IF(OR(M154="",I154=""),"",IF(I154&lt;=0,"",IFERROR(M154/I154-1,"")))</f>
        <v/>
      </c>
      <c r="N155" s="15">
        <f>IF(OR(N154="",J154=""),"",IF(J154&lt;=0,"",IFERROR(N154/J154-1,"")))</f>
        <v/>
      </c>
      <c r="V155" s="15">
        <f>IF(OR(V154="",U154=""),"",IF(U154&lt;=0,"",IFERROR(V154/U154-1,"")))</f>
        <v/>
      </c>
      <c r="W155" s="15">
        <f>IF(OR(W154="",V154=""),"",IF(V154&lt;=0,"",IFERROR(W154/V154-1,"")))</f>
        <v/>
      </c>
      <c r="X155" s="15">
        <f>IF(OR(X154="",W154=""),"",IF(W154&lt;=0,"",IFERROR(X154/W154-1,"")))</f>
        <v/>
      </c>
    </row>
    <row r="156">
      <c r="A156" s="18" t="inlineStr">
        <is>
          <t>조정액 · Revenues From External Customers</t>
        </is>
      </c>
      <c r="C156" s="20" t="n">
        <v>10</v>
      </c>
      <c r="D156" s="20" t="n">
        <v>0</v>
      </c>
      <c r="E156" s="20" t="n">
        <v>0</v>
      </c>
      <c r="F156" s="20" t="n">
        <v>0</v>
      </c>
      <c r="G156" s="20" t="n">
        <v>-81</v>
      </c>
      <c r="H156" s="20" t="n">
        <v>-3</v>
      </c>
      <c r="I156" s="20" t="n">
        <v>84</v>
      </c>
      <c r="J156" s="20" t="n">
        <v>-103</v>
      </c>
      <c r="K156" s="20" t="n">
        <v>96</v>
      </c>
      <c r="L156" s="20" t="n">
        <v>-1</v>
      </c>
      <c r="M156" s="20" t="n">
        <v>8</v>
      </c>
      <c r="N156" s="20" t="n">
        <v>-27</v>
      </c>
      <c r="V156" s="20" t="n">
        <v>0</v>
      </c>
      <c r="W156" s="20" t="n">
        <v>84</v>
      </c>
      <c r="X156" s="20" t="n">
        <v>8</v>
      </c>
    </row>
    <row r="157">
      <c r="A157" s="9" t="inlineStr">
        <is>
          <t>Revenues From External Customers</t>
        </is>
      </c>
      <c r="C157" s="12" t="n">
        <v>44501</v>
      </c>
      <c r="D157" s="12" t="n">
        <v>47749</v>
      </c>
      <c r="E157" s="12" t="n">
        <v>48557</v>
      </c>
      <c r="F157" s="12" t="n">
        <v>52435</v>
      </c>
      <c r="G157" s="12" t="n">
        <v>50484</v>
      </c>
      <c r="H157" s="12" t="n">
        <v>57162</v>
      </c>
      <c r="I157" s="12" t="n">
        <v>51653</v>
      </c>
      <c r="V157" s="12" t="n">
        <v>48557</v>
      </c>
      <c r="W157" s="12" t="n">
        <v>51653</v>
      </c>
    </row>
    <row r="158">
      <c r="A158" s="43" t="inlineStr">
        <is>
          <t>YoY</t>
        </is>
      </c>
      <c r="B158" s="3" t="inlineStr">
        <is>
          <t>전년 같은 분기·전년 대비</t>
        </is>
      </c>
      <c r="G158" s="15">
        <f>IF(OR(G157="",C157=""),"",IF(C157&lt;=0,"",IFERROR(G157/C157-1,"")))</f>
        <v/>
      </c>
      <c r="H158" s="15">
        <f>IF(OR(H157="",D157=""),"",IF(D157&lt;=0,"",IFERROR(H157/D157-1,"")))</f>
        <v/>
      </c>
      <c r="I158" s="15">
        <f>IF(OR(I157="",E157=""),"",IF(E157&lt;=0,"",IFERROR(I157/E157-1,"")))</f>
        <v/>
      </c>
      <c r="V158" s="15">
        <f>IF(OR(V157="",U157=""),"",IF(U157&lt;=0,"",IFERROR(V157/U157-1,"")))</f>
        <v/>
      </c>
      <c r="W158" s="15">
        <f>IF(OR(W157="",V157=""),"",IF(V157&lt;=0,"",IFERROR(W157/V157-1,"")))</f>
        <v/>
      </c>
    </row>
    <row r="159">
      <c r="A159" s="18" t="inlineStr">
        <is>
          <t>EntityTotalMember · Revenues From External Customers</t>
        </is>
      </c>
      <c r="F159" s="20" t="n">
        <v>52435</v>
      </c>
      <c r="J159" s="20" t="n">
        <v>56606</v>
      </c>
      <c r="N159" s="20" t="n">
        <v>109640</v>
      </c>
    </row>
    <row r="160">
      <c r="A160" s="18" t="inlineStr">
        <is>
          <t>BankingReportableSegmentMember · Transactions With Other Segments</t>
        </is>
      </c>
      <c r="C160" s="20" t="n">
        <v>517</v>
      </c>
      <c r="D160" s="20" t="n">
        <v>363</v>
      </c>
      <c r="E160" s="20" t="n">
        <v>538</v>
      </c>
      <c r="F160" s="20" t="n">
        <v>719</v>
      </c>
      <c r="G160" s="20" t="n">
        <v>238</v>
      </c>
      <c r="H160" s="20" t="n">
        <v>435</v>
      </c>
      <c r="I160" s="20" t="n">
        <v>391</v>
      </c>
      <c r="J160" s="20" t="n">
        <v>408</v>
      </c>
      <c r="K160" s="20" t="n">
        <v>512</v>
      </c>
      <c r="L160" s="20" t="n">
        <v>642</v>
      </c>
      <c r="M160" s="20" t="n">
        <v>716</v>
      </c>
      <c r="N160" s="20" t="n">
        <v>660</v>
      </c>
      <c r="V160" s="20" t="n">
        <v>538</v>
      </c>
      <c r="W160" s="20" t="n">
        <v>391</v>
      </c>
      <c r="X160" s="20" t="n">
        <v>716</v>
      </c>
    </row>
    <row r="161">
      <c r="A161" s="18" t="inlineStr">
        <is>
          <t>LeasingReportableSegmentMember · Transactions With Other Segments</t>
        </is>
      </c>
      <c r="C161" s="20" t="n">
        <v>41</v>
      </c>
      <c r="D161" s="20" t="n">
        <v>39</v>
      </c>
      <c r="E161" s="20" t="n">
        <v>44</v>
      </c>
      <c r="F161" s="20" t="n">
        <v>41</v>
      </c>
      <c r="G161" s="20" t="n">
        <v>40</v>
      </c>
      <c r="H161" s="20" t="n">
        <v>40</v>
      </c>
      <c r="I161" s="20" t="n">
        <v>41</v>
      </c>
      <c r="J161" s="20" t="n">
        <v>39</v>
      </c>
      <c r="K161" s="20" t="n">
        <v>41</v>
      </c>
      <c r="L161" s="20" t="n">
        <v>40</v>
      </c>
      <c r="M161" s="20" t="n">
        <v>43</v>
      </c>
      <c r="N161" s="20" t="n">
        <v>43</v>
      </c>
      <c r="V161" s="20" t="n">
        <v>44</v>
      </c>
      <c r="W161" s="20" t="n">
        <v>41</v>
      </c>
      <c r="X161" s="20" t="n">
        <v>43</v>
      </c>
    </row>
    <row r="162">
      <c r="A162" s="18" t="inlineStr">
        <is>
          <t>SecuritiesReportableSegmentMember · Transactions With Other Segments</t>
        </is>
      </c>
      <c r="C162" s="20" t="n">
        <v>20</v>
      </c>
      <c r="D162" s="20" t="n">
        <v>21</v>
      </c>
      <c r="E162" s="20" t="n">
        <v>22</v>
      </c>
      <c r="F162" s="20" t="n">
        <v>23</v>
      </c>
      <c r="G162" s="20" t="n">
        <v>24</v>
      </c>
      <c r="H162" s="20" t="n">
        <v>23</v>
      </c>
      <c r="I162" s="20" t="n">
        <v>26</v>
      </c>
      <c r="J162" s="20" t="n">
        <v>23</v>
      </c>
      <c r="K162" s="20" t="n">
        <v>29</v>
      </c>
      <c r="L162" s="20" t="n">
        <v>27</v>
      </c>
      <c r="M162" s="20" t="n">
        <v>33</v>
      </c>
      <c r="N162" s="20" t="n">
        <v>30</v>
      </c>
      <c r="V162" s="20" t="n">
        <v>22</v>
      </c>
      <c r="W162" s="20" t="n">
        <v>26</v>
      </c>
      <c r="X162" s="20" t="n">
        <v>33</v>
      </c>
    </row>
    <row r="163">
      <c r="A163" s="18" t="inlineStr">
        <is>
          <t>보고부문 합계 · Transactions With Other Segments</t>
        </is>
      </c>
      <c r="C163" s="20" t="n">
        <v>577</v>
      </c>
      <c r="D163" s="20" t="n">
        <v>422</v>
      </c>
      <c r="E163" s="20" t="n">
        <v>604</v>
      </c>
      <c r="F163" s="20" t="n">
        <v>784</v>
      </c>
      <c r="G163" s="20" t="n">
        <v>301</v>
      </c>
      <c r="H163" s="20" t="n">
        <v>499</v>
      </c>
      <c r="I163" s="20" t="n">
        <v>459</v>
      </c>
      <c r="J163" s="20" t="n">
        <v>471</v>
      </c>
      <c r="K163" s="20" t="n">
        <v>582</v>
      </c>
      <c r="L163" s="20" t="n">
        <v>710</v>
      </c>
      <c r="M163" s="20" t="n">
        <v>792</v>
      </c>
      <c r="N163" s="20" t="n">
        <v>735</v>
      </c>
      <c r="V163" s="20" t="n">
        <v>604</v>
      </c>
      <c r="W163" s="20" t="n">
        <v>459</v>
      </c>
      <c r="X163" s="20" t="n">
        <v>792</v>
      </c>
    </row>
    <row r="164">
      <c r="A164" s="18" t="inlineStr">
        <is>
          <t>기타 · Transactions With Other Segments</t>
        </is>
      </c>
      <c r="C164" s="20" t="n">
        <v>487</v>
      </c>
      <c r="D164" s="20" t="n">
        <v>3986</v>
      </c>
      <c r="E164" s="20" t="n">
        <v>486</v>
      </c>
      <c r="F164" s="20" t="n">
        <v>6640</v>
      </c>
      <c r="G164" s="20" t="n">
        <v>584</v>
      </c>
      <c r="H164" s="20" t="n">
        <v>13092</v>
      </c>
      <c r="I164" s="20" t="n">
        <v>1031</v>
      </c>
      <c r="J164" s="20" t="n">
        <v>11065</v>
      </c>
      <c r="K164" s="20" t="n">
        <v>1075</v>
      </c>
      <c r="L164" s="20" t="n">
        <v>27649</v>
      </c>
      <c r="M164" s="20" t="n">
        <v>1177</v>
      </c>
      <c r="N164" s="20" t="n">
        <v>11926</v>
      </c>
      <c r="V164" s="20" t="n">
        <v>486</v>
      </c>
      <c r="W164" s="20" t="n">
        <v>1031</v>
      </c>
      <c r="X164" s="20" t="n">
        <v>1177</v>
      </c>
    </row>
    <row r="165">
      <c r="A165" s="18" t="inlineStr">
        <is>
          <t>합계 · Transactions With Other Segments</t>
        </is>
      </c>
      <c r="C165" s="20" t="n">
        <v>1065</v>
      </c>
      <c r="D165" s="20" t="n">
        <v>4408</v>
      </c>
      <c r="E165" s="20" t="n">
        <v>1090</v>
      </c>
      <c r="F165" s="20" t="n">
        <v>7424</v>
      </c>
      <c r="G165" s="20" t="n">
        <v>885</v>
      </c>
      <c r="H165" s="20" t="n">
        <v>13592</v>
      </c>
      <c r="I165" s="20" t="n">
        <v>1490</v>
      </c>
      <c r="J165" s="20" t="n">
        <v>11537</v>
      </c>
      <c r="K165" s="20" t="n">
        <v>1657</v>
      </c>
      <c r="L165" s="20" t="n">
        <v>28359</v>
      </c>
      <c r="M165" s="20" t="n">
        <v>1968</v>
      </c>
      <c r="N165" s="20" t="n">
        <v>12661</v>
      </c>
      <c r="V165" s="20" t="n">
        <v>1090</v>
      </c>
      <c r="W165" s="20" t="n">
        <v>1490</v>
      </c>
      <c r="X165" s="20" t="n">
        <v>1968</v>
      </c>
    </row>
    <row r="166">
      <c r="A166" s="18" t="inlineStr">
        <is>
          <t>조정액 · Transactions With Other Segments</t>
        </is>
      </c>
      <c r="C166" s="20" t="n">
        <v>-1065</v>
      </c>
      <c r="D166" s="20" t="n">
        <v>-4408</v>
      </c>
      <c r="E166" s="20" t="n">
        <v>-1090</v>
      </c>
      <c r="F166" s="20" t="n">
        <v>-7424</v>
      </c>
      <c r="G166" s="20" t="n">
        <v>-885</v>
      </c>
      <c r="H166" s="20" t="n">
        <v>-13592</v>
      </c>
      <c r="I166" s="20" t="n">
        <v>-1490</v>
      </c>
      <c r="J166" s="20" t="n">
        <v>-11537</v>
      </c>
      <c r="K166" s="20" t="n">
        <v>-1657</v>
      </c>
      <c r="L166" s="20" t="n">
        <v>-28359</v>
      </c>
      <c r="M166" s="20" t="n">
        <v>-1968</v>
      </c>
      <c r="N166" s="20" t="n">
        <v>-12661</v>
      </c>
      <c r="V166" s="20" t="n">
        <v>-1090</v>
      </c>
      <c r="W166" s="20" t="n">
        <v>-1490</v>
      </c>
      <c r="X166" s="20" t="n">
        <v>-1968</v>
      </c>
    </row>
    <row r="167">
      <c r="A167" s="18" t="inlineStr">
        <is>
          <t>Transactions With Other Segments</t>
        </is>
      </c>
      <c r="C167" s="20" t="n">
        <v>0</v>
      </c>
      <c r="D167" s="20" t="n">
        <v>0</v>
      </c>
      <c r="E167" s="20" t="n">
        <v>0</v>
      </c>
      <c r="F167" s="20" t="n">
        <v>0</v>
      </c>
      <c r="G167" s="20" t="n">
        <v>0</v>
      </c>
      <c r="H167" s="20" t="n">
        <v>0</v>
      </c>
      <c r="I167" s="20" t="n">
        <v>0</v>
      </c>
      <c r="V167" s="20" t="n">
        <v>0</v>
      </c>
      <c r="W167" s="20" t="n">
        <v>0</v>
      </c>
    </row>
    <row r="168">
      <c r="A168" s="18" t="inlineStr">
        <is>
          <t>EntityTotalMember · Transactions With Other Segments</t>
        </is>
      </c>
      <c r="F168" s="20" t="n">
        <v>0</v>
      </c>
      <c r="J168" s="20" t="n">
        <v>0</v>
      </c>
      <c r="N168" s="20" t="n">
        <v>0</v>
      </c>
    </row>
    <row r="169">
      <c r="A169" s="18" t="inlineStr">
        <is>
          <t>BankingReportableSegmentMember · 계</t>
        </is>
      </c>
      <c r="C169" s="20" t="n">
        <v>40558</v>
      </c>
      <c r="D169" s="20" t="n">
        <v>43508</v>
      </c>
      <c r="E169" s="20" t="n">
        <v>43948</v>
      </c>
      <c r="F169" s="20" t="n">
        <v>48201</v>
      </c>
      <c r="G169" s="20" t="n">
        <v>44154</v>
      </c>
      <c r="H169" s="20" t="n">
        <v>52646</v>
      </c>
      <c r="I169" s="20" t="n">
        <v>47032</v>
      </c>
      <c r="J169" s="20" t="n">
        <v>52053</v>
      </c>
      <c r="K169" s="20" t="n">
        <v>52601</v>
      </c>
      <c r="L169" s="20" t="n">
        <v>62304</v>
      </c>
      <c r="M169" s="20" t="n">
        <v>61392</v>
      </c>
      <c r="N169" s="20" t="n">
        <v>99412</v>
      </c>
      <c r="V169" s="20" t="n">
        <v>43948</v>
      </c>
      <c r="W169" s="20" t="n">
        <v>47032</v>
      </c>
      <c r="X169" s="20" t="n">
        <v>61392</v>
      </c>
    </row>
    <row r="170">
      <c r="A170" s="18" t="inlineStr">
        <is>
          <t>LeasingReportableSegmentMember · 계</t>
        </is>
      </c>
      <c r="C170" s="20" t="n">
        <v>2801</v>
      </c>
      <c r="D170" s="20" t="n">
        <v>3124</v>
      </c>
      <c r="E170" s="20" t="n">
        <v>3398</v>
      </c>
      <c r="F170" s="20" t="n">
        <v>3097</v>
      </c>
      <c r="G170" s="20" t="n">
        <v>5021</v>
      </c>
      <c r="H170" s="20" t="n">
        <v>3346</v>
      </c>
      <c r="I170" s="20" t="n">
        <v>3251</v>
      </c>
      <c r="J170" s="20" t="n">
        <v>3497</v>
      </c>
      <c r="K170" s="20" t="n">
        <v>3617</v>
      </c>
      <c r="L170" s="20" t="n">
        <v>3723</v>
      </c>
      <c r="M170" s="20" t="n">
        <v>3742</v>
      </c>
      <c r="N170" s="20" t="n">
        <v>8276</v>
      </c>
      <c r="V170" s="20" t="n">
        <v>3398</v>
      </c>
      <c r="W170" s="20" t="n">
        <v>3251</v>
      </c>
      <c r="X170" s="20" t="n">
        <v>3742</v>
      </c>
    </row>
    <row r="171">
      <c r="A171" s="18" t="inlineStr">
        <is>
          <t>SecuritiesReportableSegmentMember · 계</t>
        </is>
      </c>
      <c r="C171" s="20" t="n">
        <v>1065</v>
      </c>
      <c r="D171" s="20" t="n">
        <v>892</v>
      </c>
      <c r="E171" s="20" t="n">
        <v>1061</v>
      </c>
      <c r="F171" s="20" t="n">
        <v>1242</v>
      </c>
      <c r="G171" s="20" t="n">
        <v>956</v>
      </c>
      <c r="H171" s="20" t="n">
        <v>870</v>
      </c>
      <c r="I171" s="20" t="n">
        <v>907</v>
      </c>
      <c r="J171" s="20" t="n">
        <v>865</v>
      </c>
      <c r="K171" s="20" t="n">
        <v>1194</v>
      </c>
      <c r="L171" s="20" t="n">
        <v>1602</v>
      </c>
      <c r="M171" s="20" t="n">
        <v>1402</v>
      </c>
      <c r="N171" s="20" t="n">
        <v>1592</v>
      </c>
      <c r="V171" s="20" t="n">
        <v>1061</v>
      </c>
      <c r="W171" s="20" t="n">
        <v>907</v>
      </c>
      <c r="X171" s="20" t="n">
        <v>1402</v>
      </c>
    </row>
    <row r="172">
      <c r="A172" s="18" t="inlineStr">
        <is>
          <t>보고부문 합계 · 계</t>
        </is>
      </c>
      <c r="C172" s="20" t="n">
        <v>44424</v>
      </c>
      <c r="D172" s="20" t="n">
        <v>47524</v>
      </c>
      <c r="E172" s="20" t="n">
        <v>48407</v>
      </c>
      <c r="F172" s="20" t="n">
        <v>52541</v>
      </c>
      <c r="G172" s="20" t="n">
        <v>50131</v>
      </c>
      <c r="H172" s="20" t="n">
        <v>56862</v>
      </c>
      <c r="I172" s="20" t="n">
        <v>51190</v>
      </c>
      <c r="J172" s="20" t="n">
        <v>56415</v>
      </c>
      <c r="K172" s="20" t="n">
        <v>57413</v>
      </c>
      <c r="L172" s="20" t="n">
        <v>67629</v>
      </c>
      <c r="M172" s="20" t="n">
        <v>66535</v>
      </c>
      <c r="N172" s="20" t="n">
        <v>109281</v>
      </c>
      <c r="V172" s="20" t="n">
        <v>48407</v>
      </c>
      <c r="W172" s="20" t="n">
        <v>51190</v>
      </c>
      <c r="X172" s="20" t="n">
        <v>66535</v>
      </c>
    </row>
    <row r="173">
      <c r="A173" s="18" t="inlineStr">
        <is>
          <t>기타 · 계</t>
        </is>
      </c>
      <c r="C173" s="20" t="n">
        <v>1131</v>
      </c>
      <c r="D173" s="20" t="n">
        <v>4633</v>
      </c>
      <c r="E173" s="20" t="n">
        <v>1240</v>
      </c>
      <c r="F173" s="20" t="n">
        <v>7318</v>
      </c>
      <c r="G173" s="20" t="n">
        <v>1319</v>
      </c>
      <c r="H173" s="20" t="n">
        <v>13894</v>
      </c>
      <c r="I173" s="20" t="n">
        <v>1870</v>
      </c>
      <c r="J173" s="20" t="n">
        <v>11831</v>
      </c>
      <c r="K173" s="20" t="n">
        <v>2058</v>
      </c>
      <c r="L173" s="20" t="n">
        <v>28602</v>
      </c>
      <c r="M173" s="20" t="n">
        <v>2112</v>
      </c>
      <c r="N173" s="20" t="n">
        <v>13047</v>
      </c>
      <c r="V173" s="20" t="n">
        <v>1240</v>
      </c>
      <c r="W173" s="20" t="n">
        <v>1870</v>
      </c>
      <c r="X173" s="20" t="n">
        <v>2112</v>
      </c>
    </row>
    <row r="174">
      <c r="A174" s="18" t="inlineStr">
        <is>
          <t>합계 · 계</t>
        </is>
      </c>
      <c r="C174" s="20" t="n">
        <v>45555</v>
      </c>
      <c r="D174" s="20" t="n">
        <v>52158</v>
      </c>
      <c r="E174" s="20" t="n">
        <v>49646</v>
      </c>
      <c r="F174" s="20" t="n">
        <v>59859</v>
      </c>
      <c r="G174" s="20" t="n">
        <v>51451</v>
      </c>
      <c r="H174" s="20" t="n">
        <v>70756</v>
      </c>
      <c r="I174" s="20" t="n">
        <v>53059</v>
      </c>
      <c r="J174" s="20" t="n">
        <v>68247</v>
      </c>
      <c r="K174" s="20" t="n">
        <v>59470</v>
      </c>
      <c r="L174" s="20" t="n">
        <v>96232</v>
      </c>
      <c r="M174" s="20" t="n">
        <v>68647</v>
      </c>
      <c r="N174" s="20" t="n">
        <v>122329</v>
      </c>
      <c r="V174" s="20" t="n">
        <v>49646</v>
      </c>
      <c r="W174" s="20" t="n">
        <v>53059</v>
      </c>
      <c r="X174" s="20" t="n">
        <v>68647</v>
      </c>
    </row>
    <row r="175">
      <c r="A175" s="18" t="inlineStr">
        <is>
          <t>조정액 · 계</t>
        </is>
      </c>
      <c r="C175" s="20" t="n">
        <v>-1054</v>
      </c>
      <c r="D175" s="20" t="n">
        <v>-4408</v>
      </c>
      <c r="E175" s="20" t="n">
        <v>-1090</v>
      </c>
      <c r="F175" s="20" t="n">
        <v>-7424</v>
      </c>
      <c r="G175" s="20" t="n">
        <v>-966</v>
      </c>
      <c r="H175" s="20" t="n">
        <v>-13595</v>
      </c>
      <c r="I175" s="20" t="n">
        <v>-1406</v>
      </c>
      <c r="J175" s="20" t="n">
        <v>-11640</v>
      </c>
      <c r="K175" s="20" t="n">
        <v>-1561</v>
      </c>
      <c r="L175" s="20" t="n">
        <v>-28361</v>
      </c>
      <c r="M175" s="20" t="n">
        <v>-1959</v>
      </c>
      <c r="N175" s="20" t="n">
        <v>-12689</v>
      </c>
      <c r="V175" s="20" t="n">
        <v>-1090</v>
      </c>
      <c r="W175" s="20" t="n">
        <v>-1406</v>
      </c>
      <c r="X175" s="20" t="n">
        <v>-1959</v>
      </c>
    </row>
    <row r="176">
      <c r="A176" s="9" t="inlineStr">
        <is>
          <t>계</t>
        </is>
      </c>
      <c r="C176" s="12" t="n">
        <v>44501</v>
      </c>
      <c r="D176" s="12" t="n">
        <v>47749</v>
      </c>
      <c r="E176" s="12" t="n">
        <v>48557</v>
      </c>
      <c r="F176" s="12" t="n">
        <v>52435</v>
      </c>
      <c r="G176" s="12" t="n">
        <v>50484</v>
      </c>
      <c r="H176" s="12" t="n">
        <v>57162</v>
      </c>
      <c r="I176" s="12" t="n">
        <v>51653</v>
      </c>
      <c r="V176" s="12" t="n">
        <v>48557</v>
      </c>
      <c r="W176" s="12" t="n">
        <v>51653</v>
      </c>
    </row>
    <row r="177">
      <c r="A177" s="43" t="inlineStr">
        <is>
          <t>YoY</t>
        </is>
      </c>
      <c r="B177" s="3" t="inlineStr">
        <is>
          <t>전년 같은 분기·전년 대비</t>
        </is>
      </c>
      <c r="G177" s="15">
        <f>IF(OR(G176="",C176=""),"",IF(C176&lt;=0,"",IFERROR(G176/C176-1,"")))</f>
        <v/>
      </c>
      <c r="H177" s="15">
        <f>IF(OR(H176="",D176=""),"",IF(D176&lt;=0,"",IFERROR(H176/D176-1,"")))</f>
        <v/>
      </c>
      <c r="I177" s="15">
        <f>IF(OR(I176="",E176=""),"",IF(E176&lt;=0,"",IFERROR(I176/E176-1,"")))</f>
        <v/>
      </c>
      <c r="V177" s="15">
        <f>IF(OR(V176="",U176=""),"",IF(U176&lt;=0,"",IFERROR(V176/U176-1,"")))</f>
        <v/>
      </c>
      <c r="W177" s="15">
        <f>IF(OR(W176="",V176=""),"",IF(V176&lt;=0,"",IFERROR(W176/V176-1,"")))</f>
        <v/>
      </c>
    </row>
    <row r="178">
      <c r="A178" s="18" t="inlineStr">
        <is>
          <t>EntityTotalMember · 계</t>
        </is>
      </c>
      <c r="F178" s="20" t="n">
        <v>52435</v>
      </c>
      <c r="J178" s="20" t="n">
        <v>56606</v>
      </c>
      <c r="N178" s="20" t="n">
        <v>109640</v>
      </c>
    </row>
    <row r="179">
      <c r="A179" s="18" t="inlineStr">
        <is>
          <t>BankingReportableSegmentMember · 부문 이익</t>
        </is>
      </c>
      <c r="C179" s="20" t="n">
        <v>4371</v>
      </c>
      <c r="D179" s="20" t="n">
        <v>10554</v>
      </c>
      <c r="E179" s="20" t="n">
        <v>4153</v>
      </c>
      <c r="F179" s="20" t="n">
        <v>13033</v>
      </c>
      <c r="G179" s="20" t="n">
        <v>6230</v>
      </c>
      <c r="H179" s="20" t="n">
        <v>7961</v>
      </c>
      <c r="I179" s="20" t="n">
        <v>8572</v>
      </c>
      <c r="J179" s="20" t="n">
        <v>14326</v>
      </c>
      <c r="K179" s="20" t="n">
        <v>9267</v>
      </c>
      <c r="L179" s="20" t="n">
        <v>19024</v>
      </c>
      <c r="M179" s="20" t="n">
        <v>9863</v>
      </c>
      <c r="N179" s="20" t="n">
        <v>18687</v>
      </c>
      <c r="V179" s="20" t="n">
        <v>4153</v>
      </c>
      <c r="W179" s="20" t="n">
        <v>8572</v>
      </c>
      <c r="X179" s="20" t="n">
        <v>9863</v>
      </c>
    </row>
    <row r="180">
      <c r="A180" s="18" t="inlineStr">
        <is>
          <t>LeasingReportableSegmentMember · 부문 이익</t>
        </is>
      </c>
      <c r="C180" s="20" t="n">
        <v>38</v>
      </c>
      <c r="D180" s="20" t="n">
        <v>384</v>
      </c>
      <c r="E180" s="20" t="n">
        <v>252</v>
      </c>
      <c r="F180" s="20" t="n">
        <v>139</v>
      </c>
      <c r="G180" s="20" t="n">
        <v>615</v>
      </c>
      <c r="H180" s="20" t="n">
        <v>129</v>
      </c>
      <c r="I180" s="20" t="n">
        <v>-198</v>
      </c>
      <c r="J180" s="20" t="n">
        <v>100</v>
      </c>
      <c r="K180" s="20" t="n">
        <v>183</v>
      </c>
      <c r="L180" s="20" t="n">
        <v>210</v>
      </c>
      <c r="M180" s="20" t="n">
        <v>57</v>
      </c>
      <c r="N180" s="20" t="n">
        <v>298</v>
      </c>
      <c r="V180" s="20" t="n">
        <v>252</v>
      </c>
      <c r="W180" s="20" t="n">
        <v>-198</v>
      </c>
      <c r="X180" s="20" t="n">
        <v>57</v>
      </c>
    </row>
    <row r="181">
      <c r="A181" s="18" t="inlineStr">
        <is>
          <t>SecuritiesReportableSegmentMember · 부문 이익</t>
        </is>
      </c>
      <c r="C181" s="20" t="n">
        <v>226</v>
      </c>
      <c r="D181" s="20" t="n">
        <v>162</v>
      </c>
      <c r="E181" s="20" t="n">
        <v>236</v>
      </c>
      <c r="F181" s="20" t="n">
        <v>354</v>
      </c>
      <c r="G181" s="20" t="n">
        <v>215</v>
      </c>
      <c r="H181" s="20" t="n">
        <v>137</v>
      </c>
      <c r="I181" s="20" t="n">
        <v>162</v>
      </c>
      <c r="J181" s="20" t="n">
        <v>110</v>
      </c>
      <c r="K181" s="20" t="n">
        <v>306</v>
      </c>
      <c r="L181" s="20" t="n">
        <v>567</v>
      </c>
      <c r="M181" s="20" t="n">
        <v>377</v>
      </c>
      <c r="N181" s="20" t="n">
        <v>524</v>
      </c>
      <c r="V181" s="20" t="n">
        <v>236</v>
      </c>
      <c r="W181" s="20" t="n">
        <v>162</v>
      </c>
      <c r="X181" s="20" t="n">
        <v>377</v>
      </c>
    </row>
    <row r="182">
      <c r="A182" s="18" t="inlineStr">
        <is>
          <t>보고부문 합계 · 부문 이익</t>
        </is>
      </c>
      <c r="C182" s="20" t="n">
        <v>4636</v>
      </c>
      <c r="D182" s="20" t="n">
        <v>11099</v>
      </c>
      <c r="E182" s="20" t="n">
        <v>4641</v>
      </c>
      <c r="F182" s="20" t="n">
        <v>13526</v>
      </c>
      <c r="G182" s="20" t="n">
        <v>7061</v>
      </c>
      <c r="H182" s="20" t="n">
        <v>8227</v>
      </c>
      <c r="I182" s="20" t="n">
        <v>8537</v>
      </c>
      <c r="J182" s="20" t="n">
        <v>14537</v>
      </c>
      <c r="K182" s="20" t="n">
        <v>9756</v>
      </c>
      <c r="L182" s="20" t="n">
        <v>19801</v>
      </c>
      <c r="M182" s="20" t="n">
        <v>10298</v>
      </c>
      <c r="N182" s="20" t="n">
        <v>19509</v>
      </c>
      <c r="V182" s="20" t="n">
        <v>4641</v>
      </c>
      <c r="W182" s="20" t="n">
        <v>8537</v>
      </c>
      <c r="X182" s="20" t="n">
        <v>10298</v>
      </c>
    </row>
    <row r="183">
      <c r="A183" s="18" t="inlineStr">
        <is>
          <t>기타 · 부문 이익</t>
        </is>
      </c>
      <c r="C183" s="20" t="n">
        <v>124</v>
      </c>
      <c r="D183" s="20" t="n">
        <v>3681</v>
      </c>
      <c r="E183" s="20" t="n">
        <v>194</v>
      </c>
      <c r="F183" s="20" t="n">
        <v>6267</v>
      </c>
      <c r="G183" s="20" t="n">
        <v>168</v>
      </c>
      <c r="H183" s="20" t="n">
        <v>12492</v>
      </c>
      <c r="I183" s="20" t="n">
        <v>555</v>
      </c>
      <c r="J183" s="20" t="n">
        <v>10459</v>
      </c>
      <c r="K183" s="20" t="n">
        <v>468</v>
      </c>
      <c r="L183" s="20" t="n">
        <v>26967</v>
      </c>
      <c r="M183" s="20" t="n">
        <v>391</v>
      </c>
      <c r="N183" s="20" t="n">
        <v>11422</v>
      </c>
      <c r="V183" s="20" t="n">
        <v>194</v>
      </c>
      <c r="W183" s="20" t="n">
        <v>555</v>
      </c>
      <c r="X183" s="20" t="n">
        <v>391</v>
      </c>
    </row>
    <row r="184">
      <c r="A184" s="18" t="inlineStr">
        <is>
          <t>합계 · 부문 이익</t>
        </is>
      </c>
      <c r="C184" s="20" t="n">
        <v>4760</v>
      </c>
      <c r="D184" s="20" t="n">
        <v>14780</v>
      </c>
      <c r="E184" s="20" t="n">
        <v>4835</v>
      </c>
      <c r="F184" s="20" t="n">
        <v>19794</v>
      </c>
      <c r="G184" s="20" t="n">
        <v>7228</v>
      </c>
      <c r="H184" s="20" t="n">
        <v>20719</v>
      </c>
      <c r="I184" s="20" t="n">
        <v>9092</v>
      </c>
      <c r="J184" s="20" t="n">
        <v>24996</v>
      </c>
      <c r="K184" s="20" t="n">
        <v>10224</v>
      </c>
      <c r="L184" s="20" t="n">
        <v>46769</v>
      </c>
      <c r="M184" s="20" t="n">
        <v>10689</v>
      </c>
      <c r="N184" s="20" t="n">
        <v>30932</v>
      </c>
      <c r="V184" s="20" t="n">
        <v>4835</v>
      </c>
      <c r="W184" s="20" t="n">
        <v>9092</v>
      </c>
      <c r="X184" s="20" t="n">
        <v>10689</v>
      </c>
    </row>
    <row r="185">
      <c r="A185" s="18" t="inlineStr">
        <is>
          <t>조정액 · 부문 이익</t>
        </is>
      </c>
      <c r="C185" s="20" t="n">
        <v>1</v>
      </c>
      <c r="D185" s="20" t="n">
        <v>-3496</v>
      </c>
      <c r="E185" s="20" t="n">
        <v>37</v>
      </c>
      <c r="F185" s="20" t="n">
        <v>-6065</v>
      </c>
      <c r="G185" s="20" t="n">
        <v>27</v>
      </c>
      <c r="H185" s="20" t="n">
        <v>-12492</v>
      </c>
      <c r="I185" s="20" t="n">
        <v>5</v>
      </c>
      <c r="J185" s="20" t="n">
        <v>-10012</v>
      </c>
      <c r="K185" s="20" t="n">
        <v>-7</v>
      </c>
      <c r="L185" s="20" t="n">
        <v>-26474</v>
      </c>
      <c r="M185" s="20" t="n">
        <v>-146</v>
      </c>
      <c r="N185" s="20" t="n">
        <v>-10663</v>
      </c>
      <c r="V185" s="20" t="n">
        <v>37</v>
      </c>
      <c r="W185" s="20" t="n">
        <v>5</v>
      </c>
      <c r="X185" s="20" t="n">
        <v>-146</v>
      </c>
    </row>
    <row r="186">
      <c r="A186" s="9" t="inlineStr">
        <is>
          <t>부문 이익</t>
        </is>
      </c>
      <c r="C186" s="12" t="n">
        <v>4761</v>
      </c>
      <c r="D186" s="12" t="n">
        <v>11283</v>
      </c>
      <c r="E186" s="12" t="n">
        <v>4872</v>
      </c>
      <c r="F186" s="12" t="n">
        <v>13728</v>
      </c>
      <c r="G186" s="12" t="n">
        <v>7256</v>
      </c>
      <c r="H186" s="12" t="n">
        <v>8226</v>
      </c>
      <c r="I186" s="12" t="n">
        <v>9098</v>
      </c>
      <c r="V186" s="12" t="n">
        <v>4872</v>
      </c>
      <c r="W186" s="12" t="n">
        <v>9098</v>
      </c>
    </row>
    <row r="187">
      <c r="A187" s="43" t="inlineStr">
        <is>
          <t>YoY</t>
        </is>
      </c>
      <c r="B187" s="3" t="inlineStr">
        <is>
          <t>전년 같은 분기·전년 대비</t>
        </is>
      </c>
      <c r="G187" s="15">
        <f>IF(OR(G186="",C186=""),"",IF(C186&lt;=0,"",IFERROR(G186/C186-1,"")))</f>
        <v/>
      </c>
      <c r="H187" s="15">
        <f>IF(OR(H186="",D186=""),"",IF(D186&lt;=0,"",IFERROR(H186/D186-1,"")))</f>
        <v/>
      </c>
      <c r="I187" s="15">
        <f>IF(OR(I186="",E186=""),"",IF(E186&lt;=0,"",IFERROR(I186/E186-1,"")))</f>
        <v/>
      </c>
      <c r="V187" s="15">
        <f>IF(OR(V186="",U186=""),"",IF(U186&lt;=0,"",IFERROR(V186/U186-1,"")))</f>
        <v/>
      </c>
      <c r="W187" s="15">
        <f>IF(OR(W186="",V186=""),"",IF(V186&lt;=0,"",IFERROR(W186/V186-1,"")))</f>
        <v/>
      </c>
    </row>
    <row r="188">
      <c r="A188" s="18" t="inlineStr">
        <is>
          <t>EntityTotalMember · 부문 이익</t>
        </is>
      </c>
      <c r="F188" s="20" t="n">
        <v>13728</v>
      </c>
      <c r="J188" s="20" t="n">
        <v>14984</v>
      </c>
      <c r="N188" s="20" t="n">
        <v>20269</v>
      </c>
    </row>
    <row r="190">
      <c r="A190" s="16" t="inlineStr">
        <is>
          <t>현금흐름표 · 전 항목</t>
        </is>
      </c>
      <c r="B190" s="42" t="inlineStr">
        <is>
          <t>분기 = 결산기 첫날부터 누계(공시 그대로)</t>
        </is>
      </c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16" t="n"/>
      <c r="AA190" s="16" t="n"/>
      <c r="AB190" s="16" t="n"/>
      <c r="AC190" s="16" t="n"/>
    </row>
    <row r="191">
      <c r="A191" s="5" t="inlineStr">
        <is>
          <t>항목</t>
        </is>
      </c>
      <c r="B191" s="5" t="inlineStr">
        <is>
          <t>참고</t>
        </is>
      </c>
      <c r="C191" s="5" t="inlineStr">
        <is>
          <t>2024.2Q</t>
        </is>
      </c>
      <c r="D191" s="5" t="inlineStr">
        <is>
          <t>2024.3Q</t>
        </is>
      </c>
      <c r="E191" s="5" t="inlineStr">
        <is>
          <t>2024.4Q</t>
        </is>
      </c>
      <c r="F191" s="5" t="inlineStr">
        <is>
          <t>2025.1Q</t>
        </is>
      </c>
      <c r="G191" s="5" t="inlineStr">
        <is>
          <t>2025.2Q</t>
        </is>
      </c>
      <c r="H191" s="5" t="inlineStr">
        <is>
          <t>2025.3Q</t>
        </is>
      </c>
      <c r="I191" s="5" t="inlineStr">
        <is>
          <t>2025.4Q</t>
        </is>
      </c>
      <c r="J191" s="5" t="inlineStr">
        <is>
          <t>2026.1Q</t>
        </is>
      </c>
      <c r="K191" s="5" t="inlineStr">
        <is>
          <t>2026.2Q</t>
        </is>
      </c>
      <c r="L191" s="5" t="inlineStr">
        <is>
          <t>2026.3Q</t>
        </is>
      </c>
      <c r="M191" s="5" t="inlineStr">
        <is>
          <t>2026.4Q</t>
        </is>
      </c>
      <c r="N191" s="5" t="inlineStr">
        <is>
          <t>2027.1Q</t>
        </is>
      </c>
      <c r="O191" s="5" t="inlineStr">
        <is>
          <t>2017</t>
        </is>
      </c>
      <c r="P191" s="5" t="inlineStr">
        <is>
          <t>2018</t>
        </is>
      </c>
      <c r="Q191" s="5" t="inlineStr">
        <is>
          <t>2019</t>
        </is>
      </c>
      <c r="R191" s="5" t="inlineStr">
        <is>
          <t>2020</t>
        </is>
      </c>
      <c r="S191" s="5" t="inlineStr">
        <is>
          <t>2021</t>
        </is>
      </c>
      <c r="T191" s="5" t="inlineStr">
        <is>
          <t>2022</t>
        </is>
      </c>
      <c r="U191" s="5" t="inlineStr">
        <is>
          <t>2023</t>
        </is>
      </c>
      <c r="V191" s="5" t="inlineStr">
        <is>
          <t>2024</t>
        </is>
      </c>
      <c r="W191" s="5" t="inlineStr">
        <is>
          <t>2025</t>
        </is>
      </c>
      <c r="X191" s="5" t="inlineStr">
        <is>
          <t>2026</t>
        </is>
      </c>
      <c r="Y191" s="5" t="inlineStr">
        <is>
          <t>2027(MW)</t>
        </is>
      </c>
      <c r="Z191" s="5" t="inlineStr">
        <is>
          <t>2028(MW)</t>
        </is>
      </c>
      <c r="AA191" s="5" t="inlineStr">
        <is>
          <t>2029(MW)</t>
        </is>
      </c>
      <c r="AB191" s="5" t="inlineStr">
        <is>
          <t>2030(MW)</t>
        </is>
      </c>
      <c r="AC191" s="5" t="inlineStr">
        <is>
          <t>2031(MW)</t>
        </is>
      </c>
    </row>
    <row r="192">
      <c r="A192" s="9" t="inlineStr">
        <is>
          <t>법인세차감전 순이익</t>
        </is>
      </c>
      <c r="E192" s="12" t="n">
        <v>30899</v>
      </c>
      <c r="I192" s="12" t="n">
        <v>38282</v>
      </c>
      <c r="M192" s="12" t="n">
        <v>55666</v>
      </c>
      <c r="U192" s="12" t="n">
        <v>29518</v>
      </c>
      <c r="V192" s="12" t="n">
        <v>30899</v>
      </c>
      <c r="W192" s="12" t="n">
        <v>38282</v>
      </c>
      <c r="X192" s="12" t="n">
        <v>55666</v>
      </c>
    </row>
    <row r="193">
      <c r="A193" s="18" t="inlineStr">
        <is>
          <t>감가상각비</t>
        </is>
      </c>
      <c r="E193" s="20" t="n">
        <v>3312</v>
      </c>
      <c r="I193" s="20" t="n">
        <v>4249</v>
      </c>
      <c r="M193" s="20" t="n">
        <v>5268</v>
      </c>
      <c r="U193" s="20" t="n">
        <v>3177</v>
      </c>
      <c r="V193" s="20" t="n">
        <v>3312</v>
      </c>
      <c r="W193" s="20" t="n">
        <v>4249</v>
      </c>
      <c r="X193" s="20" t="n">
        <v>5268</v>
      </c>
    </row>
    <row r="194">
      <c r="A194" s="18" t="inlineStr">
        <is>
          <t>손상차손</t>
        </is>
      </c>
      <c r="E194" s="20" t="n">
        <v>122</v>
      </c>
      <c r="I194" s="20" t="n">
        <v>100</v>
      </c>
      <c r="M194" s="20" t="n">
        <v>30</v>
      </c>
      <c r="U194" s="20" t="n">
        <v>55</v>
      </c>
      <c r="V194" s="20" t="n">
        <v>122</v>
      </c>
      <c r="W194" s="20" t="n">
        <v>100</v>
      </c>
      <c r="X194" s="20" t="n">
        <v>30</v>
      </c>
    </row>
    <row r="195">
      <c r="A195" s="18" t="inlineStr">
        <is>
          <t>영업권 상각</t>
        </is>
      </c>
      <c r="I195" s="20" t="n">
        <v>0</v>
      </c>
      <c r="M195" s="20" t="n">
        <v>61</v>
      </c>
      <c r="W195" s="20" t="n">
        <v>0</v>
      </c>
      <c r="X195" s="20" t="n">
        <v>61</v>
      </c>
    </row>
    <row r="196">
      <c r="A196" s="18" t="inlineStr">
        <is>
          <t>주식보상비용</t>
        </is>
      </c>
      <c r="E196" s="20" t="n">
        <v>97</v>
      </c>
      <c r="I196" s="20" t="n">
        <v>89</v>
      </c>
      <c r="M196" s="20" t="n">
        <v>345</v>
      </c>
      <c r="U196" s="20" t="n">
        <v>39</v>
      </c>
      <c r="V196" s="20" t="n">
        <v>97</v>
      </c>
      <c r="W196" s="20" t="n">
        <v>89</v>
      </c>
      <c r="X196" s="20" t="n">
        <v>345</v>
      </c>
    </row>
    <row r="197">
      <c r="A197" s="18" t="inlineStr">
        <is>
          <t>대손충당금 전입</t>
        </is>
      </c>
      <c r="E197" s="20" t="n">
        <v>8942</v>
      </c>
      <c r="I197" s="20" t="n">
        <v>14034</v>
      </c>
      <c r="M197" s="20" t="n">
        <v>6737</v>
      </c>
      <c r="U197" s="20" t="n">
        <v>5717</v>
      </c>
      <c r="V197" s="20" t="n">
        <v>8942</v>
      </c>
      <c r="W197" s="20" t="n">
        <v>14034</v>
      </c>
      <c r="X197" s="20" t="n">
        <v>6737</v>
      </c>
    </row>
    <row r="198">
      <c r="A198" s="18" t="inlineStr">
        <is>
          <t>상여충당금 증감</t>
        </is>
      </c>
      <c r="E198" s="20" t="n">
        <v>26</v>
      </c>
      <c r="I198" s="20" t="n">
        <v>205</v>
      </c>
      <c r="M198" s="20" t="n">
        <v>267</v>
      </c>
      <c r="U198" s="20" t="n">
        <v>67</v>
      </c>
      <c r="V198" s="20" t="n">
        <v>26</v>
      </c>
      <c r="W198" s="20" t="n">
        <v>205</v>
      </c>
      <c r="X198" s="20" t="n">
        <v>267</v>
      </c>
    </row>
    <row r="199">
      <c r="A199" s="18" t="inlineStr">
        <is>
          <t>임원 상여충당금 증감</t>
        </is>
      </c>
      <c r="E199" s="20" t="n">
        <v>18</v>
      </c>
      <c r="I199" s="20" t="n">
        <v>-1</v>
      </c>
      <c r="M199" s="20" t="n">
        <v>-12</v>
      </c>
      <c r="U199" s="20" t="n">
        <v>0</v>
      </c>
      <c r="V199" s="20" t="n">
        <v>18</v>
      </c>
      <c r="W199" s="20" t="n">
        <v>-1</v>
      </c>
      <c r="X199" s="20" t="n">
        <v>-12</v>
      </c>
    </row>
    <row r="200">
      <c r="A200" s="18" t="inlineStr">
        <is>
          <t>퇴직급여부채 증감</t>
        </is>
      </c>
      <c r="E200" s="20" t="n">
        <v>288</v>
      </c>
      <c r="I200" s="20" t="n">
        <v>-763</v>
      </c>
      <c r="M200" s="20" t="n">
        <v>-462</v>
      </c>
      <c r="U200" s="20" t="n">
        <v>-290</v>
      </c>
      <c r="V200" s="20" t="n">
        <v>288</v>
      </c>
      <c r="W200" s="20" t="n">
        <v>-763</v>
      </c>
      <c r="X200" s="20" t="n">
        <v>-462</v>
      </c>
    </row>
    <row r="201">
      <c r="A201" s="18" t="inlineStr">
        <is>
          <t>임원 퇴직위로 충당금 증감</t>
        </is>
      </c>
      <c r="E201" s="20" t="n">
        <v>5</v>
      </c>
      <c r="I201" s="20" t="n">
        <v>-0</v>
      </c>
      <c r="M201" s="20" t="n">
        <v>-24</v>
      </c>
      <c r="U201" s="20" t="n">
        <v>2</v>
      </c>
      <c r="V201" s="20" t="n">
        <v>5</v>
      </c>
      <c r="W201" s="20" t="n">
        <v>-0</v>
      </c>
      <c r="X201" s="20" t="n">
        <v>-24</v>
      </c>
    </row>
    <row r="202">
      <c r="A202" s="18" t="inlineStr">
        <is>
          <t>Increase Decrease In Provision For Reimbursement Of Deposits Ope CFBNK</t>
        </is>
      </c>
      <c r="E202" s="20" t="n">
        <v>550</v>
      </c>
      <c r="I202" s="20" t="n">
        <v>-150</v>
      </c>
      <c r="M202" s="20" t="n">
        <v>-100</v>
      </c>
      <c r="U202" s="20" t="n">
        <v>190</v>
      </c>
      <c r="V202" s="20" t="n">
        <v>550</v>
      </c>
      <c r="W202" s="20" t="n">
        <v>-150</v>
      </c>
      <c r="X202" s="20" t="n">
        <v>-100</v>
      </c>
    </row>
    <row r="203">
      <c r="A203" s="18" t="inlineStr">
        <is>
          <t>포인트 충당금 증감</t>
        </is>
      </c>
      <c r="E203" s="20" t="n">
        <v>18</v>
      </c>
      <c r="I203" s="20" t="n">
        <v>9</v>
      </c>
      <c r="M203" s="20" t="n">
        <v>1</v>
      </c>
      <c r="U203" s="20" t="n">
        <v>6</v>
      </c>
      <c r="V203" s="20" t="n">
        <v>18</v>
      </c>
      <c r="W203" s="20" t="n">
        <v>9</v>
      </c>
      <c r="X203" s="20" t="n">
        <v>1</v>
      </c>
    </row>
    <row r="204">
      <c r="A204" s="18" t="inlineStr">
        <is>
          <t>자금운용수익</t>
        </is>
      </c>
      <c r="E204" s="20" t="n">
        <v>-124120</v>
      </c>
      <c r="I204" s="20" t="n">
        <v>-150045</v>
      </c>
      <c r="M204" s="20" t="n">
        <v>-169963</v>
      </c>
      <c r="U204" s="20" t="n">
        <v>-93157</v>
      </c>
      <c r="V204" s="20" t="n">
        <v>-124120</v>
      </c>
      <c r="W204" s="20" t="n">
        <v>-150045</v>
      </c>
      <c r="X204" s="20" t="n">
        <v>-169963</v>
      </c>
    </row>
    <row r="205">
      <c r="A205" s="18" t="inlineStr">
        <is>
          <t>자금조달비용</t>
        </is>
      </c>
      <c r="E205" s="20" t="n">
        <v>61843</v>
      </c>
      <c r="I205" s="20" t="n">
        <v>74680</v>
      </c>
      <c r="M205" s="20" t="n">
        <v>76395</v>
      </c>
      <c r="U205" s="20" t="n">
        <v>28134</v>
      </c>
      <c r="V205" s="20" t="n">
        <v>61843</v>
      </c>
      <c r="W205" s="20" t="n">
        <v>74680</v>
      </c>
      <c r="X205" s="20" t="n">
        <v>76395</v>
      </c>
    </row>
    <row r="206">
      <c r="A206" s="18" t="inlineStr">
        <is>
          <t>유가증권 관련 손익</t>
        </is>
      </c>
      <c r="E206" s="20" t="n">
        <v>-5713</v>
      </c>
      <c r="I206" s="20" t="n">
        <v>-3534</v>
      </c>
      <c r="M206" s="20" t="n">
        <v>736</v>
      </c>
      <c r="U206" s="20" t="n">
        <v>1745</v>
      </c>
      <c r="V206" s="20" t="n">
        <v>-5713</v>
      </c>
      <c r="W206" s="20" t="n">
        <v>-3534</v>
      </c>
      <c r="X206" s="20" t="n">
        <v>736</v>
      </c>
    </row>
    <row r="207">
      <c r="A207" s="18" t="inlineStr">
        <is>
          <t>금전신탁 운용손익</t>
        </is>
      </c>
      <c r="E207" s="20" t="n">
        <v>134</v>
      </c>
      <c r="I207" s="20" t="n">
        <v>266</v>
      </c>
      <c r="M207" s="20" t="n">
        <v>18</v>
      </c>
      <c r="U207" s="20" t="n">
        <v>297</v>
      </c>
      <c r="V207" s="20" t="n">
        <v>134</v>
      </c>
      <c r="W207" s="20" t="n">
        <v>266</v>
      </c>
      <c r="X207" s="20" t="n">
        <v>18</v>
      </c>
    </row>
    <row r="208">
      <c r="A208" s="18" t="inlineStr">
        <is>
          <t>외환차손익</t>
        </is>
      </c>
      <c r="E208" s="20" t="n">
        <v>-49425</v>
      </c>
      <c r="I208" s="20" t="n">
        <v>5980</v>
      </c>
      <c r="M208" s="20" t="n">
        <v>-35524</v>
      </c>
      <c r="U208" s="20" t="n">
        <v>-36402</v>
      </c>
      <c r="V208" s="20" t="n">
        <v>-49425</v>
      </c>
      <c r="W208" s="20" t="n">
        <v>5980</v>
      </c>
      <c r="X208" s="20" t="n">
        <v>-35524</v>
      </c>
    </row>
    <row r="209">
      <c r="A209" s="18" t="inlineStr">
        <is>
          <t>고정자산 처분손익</t>
        </is>
      </c>
      <c r="E209" s="20" t="n">
        <v>7</v>
      </c>
      <c r="I209" s="20" t="n">
        <v>-104</v>
      </c>
      <c r="M209" s="20" t="n">
        <v>49</v>
      </c>
      <c r="U209" s="20" t="n">
        <v>1</v>
      </c>
      <c r="V209" s="20" t="n">
        <v>7</v>
      </c>
      <c r="W209" s="20" t="n">
        <v>-104</v>
      </c>
      <c r="X209" s="20" t="n">
        <v>49</v>
      </c>
    </row>
    <row r="210">
      <c r="A210" s="18" t="inlineStr">
        <is>
          <t>Net Decrease Increase In Trading Account Securities Ope CFBNK</t>
        </is>
      </c>
      <c r="E210" s="20" t="n">
        <v>1005</v>
      </c>
      <c r="I210" s="20" t="n">
        <v>506</v>
      </c>
      <c r="M210" s="20" t="n">
        <v>-13</v>
      </c>
      <c r="U210" s="20" t="n">
        <v>811</v>
      </c>
      <c r="V210" s="20" t="n">
        <v>1005</v>
      </c>
      <c r="W210" s="20" t="n">
        <v>506</v>
      </c>
      <c r="X210" s="20" t="n">
        <v>-13</v>
      </c>
    </row>
    <row r="211">
      <c r="A211" s="18" t="inlineStr">
        <is>
          <t>기타 자산 증감</t>
        </is>
      </c>
      <c r="E211" s="20" t="n">
        <v>-34707</v>
      </c>
      <c r="I211" s="20" t="n">
        <v>54963</v>
      </c>
      <c r="M211" s="20" t="n">
        <v>-71041</v>
      </c>
      <c r="U211" s="20" t="n">
        <v>-14089</v>
      </c>
      <c r="V211" s="20" t="n">
        <v>-34707</v>
      </c>
      <c r="W211" s="20" t="n">
        <v>54963</v>
      </c>
      <c r="X211" s="20" t="n">
        <v>-71041</v>
      </c>
    </row>
    <row r="212">
      <c r="A212" s="18" t="inlineStr">
        <is>
          <t>Net Decrease Increase In Lease Receivables And Investment Assets Ope CF</t>
        </is>
      </c>
      <c r="E212" s="20" t="n">
        <v>-3446</v>
      </c>
      <c r="I212" s="20" t="n">
        <v>-2908</v>
      </c>
      <c r="M212" s="20" t="n">
        <v>-3461</v>
      </c>
      <c r="U212" s="20" t="n">
        <v>-1606</v>
      </c>
      <c r="V212" s="20" t="n">
        <v>-3446</v>
      </c>
      <c r="W212" s="20" t="n">
        <v>-2908</v>
      </c>
      <c r="X212" s="20" t="n">
        <v>-3461</v>
      </c>
    </row>
    <row r="213">
      <c r="A213" s="18" t="inlineStr">
        <is>
          <t>기타 부채 증감</t>
        </is>
      </c>
      <c r="E213" s="20" t="n">
        <v>14421</v>
      </c>
      <c r="I213" s="20" t="n">
        <v>52540</v>
      </c>
      <c r="M213" s="20" t="n">
        <v>143271</v>
      </c>
      <c r="U213" s="20" t="n">
        <v>21106</v>
      </c>
      <c r="V213" s="20" t="n">
        <v>14421</v>
      </c>
      <c r="W213" s="20" t="n">
        <v>52540</v>
      </c>
      <c r="X213" s="20" t="n">
        <v>143271</v>
      </c>
    </row>
    <row r="214">
      <c r="A214" s="18" t="inlineStr">
        <is>
          <t>대출금 순증감</t>
        </is>
      </c>
      <c r="E214" s="20" t="n">
        <v>-678242</v>
      </c>
      <c r="I214" s="20" t="n">
        <v>-342025</v>
      </c>
      <c r="M214" s="20" t="n">
        <v>-229903</v>
      </c>
      <c r="U214" s="20" t="n">
        <v>-300191</v>
      </c>
      <c r="V214" s="20" t="n">
        <v>-678242</v>
      </c>
      <c r="W214" s="20" t="n">
        <v>-342025</v>
      </c>
      <c r="X214" s="20" t="n">
        <v>-229903</v>
      </c>
    </row>
    <row r="215">
      <c r="A215" s="18" t="inlineStr">
        <is>
          <t>예금 순증감</t>
        </is>
      </c>
      <c r="E215" s="20" t="n">
        <v>313518</v>
      </c>
      <c r="I215" s="20" t="n">
        <v>45163</v>
      </c>
      <c r="M215" s="20" t="n">
        <v>188317</v>
      </c>
      <c r="U215" s="20" t="n">
        <v>247526</v>
      </c>
      <c r="V215" s="20" t="n">
        <v>313518</v>
      </c>
      <c r="W215" s="20" t="n">
        <v>45163</v>
      </c>
      <c r="X215" s="20" t="n">
        <v>188317</v>
      </c>
    </row>
    <row r="216">
      <c r="A216" s="18" t="inlineStr">
        <is>
          <t>양도성예금 순증감</t>
        </is>
      </c>
      <c r="E216" s="20" t="n">
        <v>-57468</v>
      </c>
      <c r="I216" s="20" t="n">
        <v>9054</v>
      </c>
      <c r="M216" s="20" t="n">
        <v>-48206</v>
      </c>
      <c r="U216" s="20" t="n">
        <v>-55678</v>
      </c>
      <c r="V216" s="20" t="n">
        <v>-57468</v>
      </c>
      <c r="W216" s="20" t="n">
        <v>9054</v>
      </c>
      <c r="X216" s="20" t="n">
        <v>-48206</v>
      </c>
    </row>
    <row r="217">
      <c r="A217" s="18" t="inlineStr">
        <is>
          <t>차용금(후순위차입금 제외) 순증감</t>
        </is>
      </c>
      <c r="E217" s="20" t="n">
        <v>423263</v>
      </c>
      <c r="I217" s="20" t="n">
        <v>19591</v>
      </c>
      <c r="M217" s="20" t="n">
        <v>86879</v>
      </c>
      <c r="U217" s="20" t="n">
        <v>-353291</v>
      </c>
      <c r="V217" s="20" t="n">
        <v>423263</v>
      </c>
      <c r="W217" s="20" t="n">
        <v>19591</v>
      </c>
      <c r="X217" s="20" t="n">
        <v>86879</v>
      </c>
    </row>
    <row r="218">
      <c r="A218" s="18" t="inlineStr">
        <is>
          <t>콜론 등 순증감</t>
        </is>
      </c>
      <c r="E218" s="20" t="n">
        <v>-14677</v>
      </c>
      <c r="I218" s="20" t="n">
        <v>2039</v>
      </c>
      <c r="M218" s="20" t="n">
        <v>65294</v>
      </c>
      <c r="U218" s="20" t="n">
        <v>265676</v>
      </c>
      <c r="V218" s="20" t="n">
        <v>-14677</v>
      </c>
      <c r="W218" s="20" t="n">
        <v>2039</v>
      </c>
      <c r="X218" s="20" t="n">
        <v>65294</v>
      </c>
    </row>
    <row r="219">
      <c r="A219" s="18" t="inlineStr">
        <is>
          <t>Net Increase Decrease In Payables Under Repurchase Agreements Ope CF</t>
        </is>
      </c>
      <c r="E219" s="20" t="n">
        <v>64108</v>
      </c>
      <c r="I219" s="20" t="n">
        <v>-8254</v>
      </c>
      <c r="M219" s="20" t="n">
        <v>-71224</v>
      </c>
      <c r="U219" s="20" t="n">
        <v>-97093</v>
      </c>
      <c r="V219" s="20" t="n">
        <v>64108</v>
      </c>
      <c r="W219" s="20" t="n">
        <v>-8254</v>
      </c>
      <c r="X219" s="20" t="n">
        <v>-71224</v>
      </c>
    </row>
    <row r="220">
      <c r="A220" s="18" t="inlineStr">
        <is>
          <t>콜머니 등 순증감</t>
        </is>
      </c>
      <c r="E220" s="20" t="n">
        <v>-34964</v>
      </c>
      <c r="I220" s="20" t="n">
        <v>20402</v>
      </c>
      <c r="M220" s="20" t="n">
        <v>-14193</v>
      </c>
      <c r="U220" s="20" t="n">
        <v>69278</v>
      </c>
      <c r="V220" s="20" t="n">
        <v>-34964</v>
      </c>
      <c r="W220" s="20" t="n">
        <v>20402</v>
      </c>
      <c r="X220" s="20" t="n">
        <v>-14193</v>
      </c>
    </row>
    <row r="221">
      <c r="A221" s="18" t="inlineStr">
        <is>
          <t>채권대차거래 수입담보금 순증감</t>
        </is>
      </c>
      <c r="E221" s="20" t="n">
        <v>180619</v>
      </c>
      <c r="I221" s="20" t="n">
        <v>161628</v>
      </c>
      <c r="M221" s="20" t="n">
        <v>-2660</v>
      </c>
      <c r="U221" s="20" t="n">
        <v>-164925</v>
      </c>
      <c r="V221" s="20" t="n">
        <v>180619</v>
      </c>
      <c r="W221" s="20" t="n">
        <v>161628</v>
      </c>
      <c r="X221" s="20" t="n">
        <v>-2660</v>
      </c>
    </row>
    <row r="222">
      <c r="A222" s="18" t="inlineStr">
        <is>
          <t>Net Decrease Increase In Deposit Excluding Deposit Paid To Bank Of Japan Ope CFBNK</t>
        </is>
      </c>
      <c r="E222" s="20" t="n">
        <v>1440</v>
      </c>
      <c r="I222" s="20" t="n">
        <v>1016</v>
      </c>
      <c r="M222" s="20" t="n">
        <v>37</v>
      </c>
      <c r="U222" s="20" t="n">
        <v>-256</v>
      </c>
      <c r="V222" s="20" t="n">
        <v>1440</v>
      </c>
      <c r="W222" s="20" t="n">
        <v>1016</v>
      </c>
      <c r="X222" s="20" t="n">
        <v>37</v>
      </c>
    </row>
    <row r="223">
      <c r="A223" s="18" t="inlineStr">
        <is>
          <t>Net Increase Decrease In Commercial Papers Ope CFBNK</t>
        </is>
      </c>
      <c r="E223" s="20" t="n">
        <v>-46530</v>
      </c>
      <c r="I223" s="20" t="n">
        <v>0</v>
      </c>
      <c r="U223" s="20" t="n">
        <v>-8486</v>
      </c>
      <c r="V223" s="20" t="n">
        <v>-46530</v>
      </c>
      <c r="W223" s="20" t="n">
        <v>0</v>
      </c>
    </row>
    <row r="224">
      <c r="A224" s="18" t="inlineStr">
        <is>
          <t>외국환(자산) 순증감</t>
        </is>
      </c>
      <c r="E224" s="20" t="n">
        <v>664</v>
      </c>
      <c r="I224" s="20" t="n">
        <v>-11406</v>
      </c>
      <c r="M224" s="20" t="n">
        <v>10307</v>
      </c>
      <c r="U224" s="20" t="n">
        <v>-8459</v>
      </c>
      <c r="V224" s="20" t="n">
        <v>664</v>
      </c>
      <c r="W224" s="20" t="n">
        <v>-11406</v>
      </c>
      <c r="X224" s="20" t="n">
        <v>10307</v>
      </c>
    </row>
    <row r="225">
      <c r="A225" s="18" t="inlineStr">
        <is>
          <t>외국환(부채) 순증감</t>
        </is>
      </c>
      <c r="E225" s="20" t="n">
        <v>-51</v>
      </c>
      <c r="I225" s="20" t="n">
        <v>-31</v>
      </c>
      <c r="M225" s="20" t="n">
        <v>283</v>
      </c>
      <c r="U225" s="20" t="n">
        <v>-133</v>
      </c>
      <c r="V225" s="20" t="n">
        <v>-51</v>
      </c>
      <c r="W225" s="20" t="n">
        <v>-31</v>
      </c>
      <c r="X225" s="20" t="n">
        <v>283</v>
      </c>
    </row>
    <row r="226">
      <c r="A226" s="18" t="inlineStr">
        <is>
          <t>신탁계정 차변 순증감</t>
        </is>
      </c>
      <c r="E226" s="20" t="n">
        <v>1492</v>
      </c>
      <c r="I226" s="20" t="n">
        <v>1945</v>
      </c>
      <c r="M226" s="20" t="n">
        <v>2251</v>
      </c>
      <c r="U226" s="20" t="n">
        <v>1560</v>
      </c>
      <c r="V226" s="20" t="n">
        <v>1492</v>
      </c>
      <c r="W226" s="20" t="n">
        <v>1945</v>
      </c>
      <c r="X226" s="20" t="n">
        <v>2251</v>
      </c>
    </row>
    <row r="227">
      <c r="A227" s="18" t="inlineStr">
        <is>
          <t>자금운용 수입</t>
        </is>
      </c>
      <c r="E227" s="20" t="n">
        <v>120079</v>
      </c>
      <c r="I227" s="20" t="n">
        <v>148850</v>
      </c>
      <c r="M227" s="20" t="n">
        <v>167378</v>
      </c>
      <c r="U227" s="20" t="n">
        <v>91567</v>
      </c>
      <c r="V227" s="20" t="n">
        <v>120079</v>
      </c>
      <c r="W227" s="20" t="n">
        <v>148850</v>
      </c>
      <c r="X227" s="20" t="n">
        <v>167378</v>
      </c>
    </row>
    <row r="228">
      <c r="A228" s="18" t="inlineStr">
        <is>
          <t>자금조달 지출</t>
        </is>
      </c>
      <c r="E228" s="20" t="n">
        <v>-52933</v>
      </c>
      <c r="I228" s="20" t="n">
        <v>-73896</v>
      </c>
      <c r="M228" s="20" t="n">
        <v>-77052</v>
      </c>
      <c r="U228" s="20" t="n">
        <v>-28113</v>
      </c>
      <c r="V228" s="20" t="n">
        <v>-52933</v>
      </c>
      <c r="W228" s="20" t="n">
        <v>-73896</v>
      </c>
      <c r="X228" s="20" t="n">
        <v>-77052</v>
      </c>
    </row>
    <row r="229">
      <c r="A229" s="18" t="inlineStr">
        <is>
          <t>소계</t>
        </is>
      </c>
      <c r="E229" s="20" t="n">
        <v>124599</v>
      </c>
      <c r="I229" s="20" t="n">
        <v>62481</v>
      </c>
      <c r="M229" s="20" t="n">
        <v>85755</v>
      </c>
      <c r="U229" s="20" t="n">
        <v>-395694</v>
      </c>
      <c r="V229" s="20" t="n">
        <v>124599</v>
      </c>
      <c r="W229" s="20" t="n">
        <v>62481</v>
      </c>
      <c r="X229" s="20" t="n">
        <v>85755</v>
      </c>
    </row>
    <row r="230">
      <c r="A230" s="18" t="inlineStr">
        <is>
          <t>법인세 납부</t>
        </is>
      </c>
      <c r="E230" s="20" t="n">
        <v>-9008</v>
      </c>
      <c r="I230" s="20" t="n">
        <v>-15536</v>
      </c>
      <c r="M230" s="20" t="n">
        <v>-14851</v>
      </c>
      <c r="U230" s="20" t="n">
        <v>-7787</v>
      </c>
      <c r="V230" s="20" t="n">
        <v>-9008</v>
      </c>
      <c r="W230" s="20" t="n">
        <v>-15536</v>
      </c>
      <c r="X230" s="20" t="n">
        <v>-14851</v>
      </c>
    </row>
    <row r="231">
      <c r="A231" s="18" t="inlineStr">
        <is>
          <t>법인세 환급</t>
        </is>
      </c>
      <c r="E231" s="20" t="n">
        <v>4</v>
      </c>
      <c r="I231" s="20" t="n">
        <v>0</v>
      </c>
      <c r="U231" s="20" t="n">
        <v>0</v>
      </c>
      <c r="V231" s="20" t="n">
        <v>4</v>
      </c>
      <c r="W231" s="20" t="n">
        <v>0</v>
      </c>
    </row>
    <row r="232">
      <c r="A232" s="9" t="inlineStr">
        <is>
          <t>영업활동 현금흐름</t>
        </is>
      </c>
      <c r="E232" s="12" t="n">
        <v>115595</v>
      </c>
      <c r="I232" s="12" t="n">
        <v>46944</v>
      </c>
      <c r="M232" s="12" t="n">
        <v>70904</v>
      </c>
      <c r="U232" s="12" t="n">
        <v>-403482</v>
      </c>
      <c r="V232" s="12" t="n">
        <v>115595</v>
      </c>
      <c r="W232" s="12" t="n">
        <v>46944</v>
      </c>
      <c r="X232" s="12" t="n">
        <v>70904</v>
      </c>
    </row>
    <row r="233">
      <c r="A233" s="18" t="inlineStr">
        <is>
          <t>유가증권 취득</t>
        </is>
      </c>
      <c r="E233" s="20" t="n">
        <v>-806215</v>
      </c>
      <c r="I233" s="20" t="n">
        <v>-837497</v>
      </c>
      <c r="M233" s="20" t="n">
        <v>-1183899</v>
      </c>
      <c r="U233" s="20" t="n">
        <v>-1390078</v>
      </c>
      <c r="V233" s="20" t="n">
        <v>-806215</v>
      </c>
      <c r="W233" s="20" t="n">
        <v>-837497</v>
      </c>
      <c r="X233" s="20" t="n">
        <v>-1183899</v>
      </c>
    </row>
    <row r="234">
      <c r="A234" s="18" t="inlineStr">
        <is>
          <t>유가증권 매각</t>
        </is>
      </c>
      <c r="E234" s="20" t="n">
        <v>413801</v>
      </c>
      <c r="I234" s="20" t="n">
        <v>359821</v>
      </c>
      <c r="M234" s="20" t="n">
        <v>665913</v>
      </c>
      <c r="U234" s="20" t="n">
        <v>1273089</v>
      </c>
      <c r="V234" s="20" t="n">
        <v>413801</v>
      </c>
      <c r="W234" s="20" t="n">
        <v>359821</v>
      </c>
      <c r="X234" s="20" t="n">
        <v>665913</v>
      </c>
    </row>
    <row r="235">
      <c r="A235" s="18" t="inlineStr">
        <is>
          <t>유가증권 상환 수입</t>
        </is>
      </c>
      <c r="E235" s="20" t="n">
        <v>205573</v>
      </c>
      <c r="I235" s="20" t="n">
        <v>203445</v>
      </c>
      <c r="M235" s="20" t="n">
        <v>241133</v>
      </c>
      <c r="U235" s="20" t="n">
        <v>280810</v>
      </c>
      <c r="V235" s="20" t="n">
        <v>205573</v>
      </c>
      <c r="W235" s="20" t="n">
        <v>203445</v>
      </c>
      <c r="X235" s="20" t="n">
        <v>241133</v>
      </c>
    </row>
    <row r="236">
      <c r="A236" s="18" t="inlineStr">
        <is>
          <t>금전신탁 증가 지출</t>
        </is>
      </c>
      <c r="E236" s="20" t="n">
        <v>-7562</v>
      </c>
      <c r="I236" s="20" t="n">
        <v>0</v>
      </c>
      <c r="M236" s="20" t="n">
        <v>-6347</v>
      </c>
      <c r="U236" s="20" t="n">
        <v>-7323</v>
      </c>
      <c r="V236" s="20" t="n">
        <v>-7562</v>
      </c>
      <c r="W236" s="20" t="n">
        <v>0</v>
      </c>
      <c r="X236" s="20" t="n">
        <v>-6347</v>
      </c>
    </row>
    <row r="237">
      <c r="A237" s="18" t="inlineStr">
        <is>
          <t>금전신탁 감소 수입</t>
        </is>
      </c>
      <c r="E237" s="20" t="n">
        <v>28</v>
      </c>
      <c r="I237" s="20" t="n">
        <v>20300</v>
      </c>
      <c r="M237" s="20" t="n">
        <v>29</v>
      </c>
      <c r="U237" s="20" t="n">
        <v>10025</v>
      </c>
      <c r="V237" s="20" t="n">
        <v>28</v>
      </c>
      <c r="W237" s="20" t="n">
        <v>20300</v>
      </c>
      <c r="X237" s="20" t="n">
        <v>29</v>
      </c>
    </row>
    <row r="238">
      <c r="A238" s="18" t="inlineStr">
        <is>
          <t>유형자산 취득(설비투자)</t>
        </is>
      </c>
      <c r="E238" s="20" t="n">
        <v>-3500</v>
      </c>
      <c r="I238" s="20" t="n">
        <v>-11006</v>
      </c>
      <c r="M238" s="20" t="n">
        <v>-6645</v>
      </c>
      <c r="U238" s="20" t="n">
        <v>-2143</v>
      </c>
      <c r="V238" s="20" t="n">
        <v>-3500</v>
      </c>
      <c r="W238" s="20" t="n">
        <v>-11006</v>
      </c>
      <c r="X238" s="20" t="n">
        <v>-6645</v>
      </c>
    </row>
    <row r="239">
      <c r="A239" s="18" t="inlineStr">
        <is>
          <t>유형자산 매각</t>
        </is>
      </c>
      <c r="E239" s="20" t="n">
        <v>524</v>
      </c>
      <c r="I239" s="20" t="n">
        <v>762</v>
      </c>
      <c r="M239" s="20" t="n">
        <v>425</v>
      </c>
      <c r="U239" s="20" t="n">
        <v>562</v>
      </c>
      <c r="V239" s="20" t="n">
        <v>524</v>
      </c>
      <c r="W239" s="20" t="n">
        <v>762</v>
      </c>
      <c r="X239" s="20" t="n">
        <v>425</v>
      </c>
    </row>
    <row r="240">
      <c r="A240" s="18" t="inlineStr">
        <is>
          <t>무형자산 취득</t>
        </is>
      </c>
      <c r="E240" s="20" t="n">
        <v>-1044</v>
      </c>
      <c r="I240" s="20" t="n">
        <v>-899</v>
      </c>
      <c r="M240" s="20" t="n">
        <v>-2266</v>
      </c>
      <c r="U240" s="20" t="n">
        <v>-642</v>
      </c>
      <c r="V240" s="20" t="n">
        <v>-1044</v>
      </c>
      <c r="W240" s="20" t="n">
        <v>-899</v>
      </c>
      <c r="X240" s="20" t="n">
        <v>-2266</v>
      </c>
    </row>
    <row r="241">
      <c r="A241" s="18" t="inlineStr">
        <is>
          <t>연결범위 변경 자회사 주식 취득</t>
        </is>
      </c>
      <c r="I241" s="20" t="n">
        <v>0</v>
      </c>
      <c r="M241" s="20" t="n">
        <v>-1519</v>
      </c>
      <c r="W241" s="20" t="n">
        <v>0</v>
      </c>
      <c r="X241" s="20" t="n">
        <v>-1519</v>
      </c>
    </row>
    <row r="242">
      <c r="A242" s="9" t="inlineStr">
        <is>
          <t>투자활동 현금흐름</t>
        </is>
      </c>
      <c r="E242" s="12" t="n">
        <v>-198394</v>
      </c>
      <c r="I242" s="12" t="n">
        <v>-265073</v>
      </c>
      <c r="M242" s="12" t="n">
        <v>-293176</v>
      </c>
      <c r="U242" s="12" t="n">
        <v>164298</v>
      </c>
      <c r="V242" s="12" t="n">
        <v>-198394</v>
      </c>
      <c r="W242" s="12" t="n">
        <v>-265073</v>
      </c>
      <c r="X242" s="12" t="n">
        <v>-293176</v>
      </c>
    </row>
    <row r="243">
      <c r="A243" s="18" t="inlineStr">
        <is>
          <t>Issuance Of Subordinated Bonds Fin CFBNK</t>
        </is>
      </c>
      <c r="E243" s="20" t="n">
        <v>0</v>
      </c>
      <c r="I243" s="20" t="n">
        <v>20000</v>
      </c>
      <c r="M243" s="20" t="n">
        <v>20000</v>
      </c>
      <c r="V243" s="20" t="n">
        <v>0</v>
      </c>
      <c r="W243" s="20" t="n">
        <v>20000</v>
      </c>
      <c r="X243" s="20" t="n">
        <v>20000</v>
      </c>
    </row>
    <row r="244">
      <c r="A244" s="18" t="inlineStr">
        <is>
          <t>Redemption Of Subordinated Bonds Fin CFBNK</t>
        </is>
      </c>
      <c r="I244" s="20" t="n">
        <v>0</v>
      </c>
      <c r="M244" s="20" t="n">
        <v>-10000</v>
      </c>
      <c r="W244" s="20" t="n">
        <v>0</v>
      </c>
      <c r="X244" s="20" t="n">
        <v>-10000</v>
      </c>
    </row>
    <row r="245">
      <c r="A245" s="18" t="inlineStr">
        <is>
          <t>배당금 지급</t>
        </is>
      </c>
      <c r="E245" s="20" t="n">
        <v>-5678</v>
      </c>
      <c r="I245" s="20" t="n">
        <v>-10566</v>
      </c>
      <c r="M245" s="20" t="n">
        <v>-12928</v>
      </c>
      <c r="U245" s="20" t="n">
        <v>-5651</v>
      </c>
      <c r="V245" s="20" t="n">
        <v>-5678</v>
      </c>
      <c r="W245" s="20" t="n">
        <v>-10566</v>
      </c>
      <c r="X245" s="20" t="n">
        <v>-12928</v>
      </c>
    </row>
    <row r="246">
      <c r="A246" s="18" t="inlineStr">
        <is>
          <t>리스부채 상환</t>
        </is>
      </c>
      <c r="E246" s="20" t="n">
        <v>-251</v>
      </c>
      <c r="I246" s="20" t="n">
        <v>-218</v>
      </c>
      <c r="M246" s="20" t="n">
        <v>-185</v>
      </c>
      <c r="U246" s="20" t="n">
        <v>-251</v>
      </c>
      <c r="V246" s="20" t="n">
        <v>-251</v>
      </c>
      <c r="W246" s="20" t="n">
        <v>-218</v>
      </c>
      <c r="X246" s="20" t="n">
        <v>-185</v>
      </c>
    </row>
    <row r="247">
      <c r="A247" s="18" t="inlineStr">
        <is>
          <t>자기주식 취득</t>
        </is>
      </c>
      <c r="E247" s="20" t="n">
        <v>-2000</v>
      </c>
      <c r="I247" s="20" t="n">
        <v>-5000</v>
      </c>
      <c r="M247" s="20" t="n">
        <v>-3001</v>
      </c>
      <c r="U247" s="20" t="n">
        <v>-1941</v>
      </c>
      <c r="V247" s="20" t="n">
        <v>-2000</v>
      </c>
      <c r="W247" s="20" t="n">
        <v>-5000</v>
      </c>
      <c r="X247" s="20" t="n">
        <v>-3001</v>
      </c>
    </row>
    <row r="248">
      <c r="A248" s="18" t="inlineStr">
        <is>
          <t>자기주식 매각</t>
        </is>
      </c>
      <c r="E248" s="20" t="n">
        <v>0</v>
      </c>
      <c r="I248" s="20" t="n">
        <v>0</v>
      </c>
      <c r="M248" s="20" t="n">
        <v>1</v>
      </c>
      <c r="U248" s="20" t="n">
        <v>0</v>
      </c>
      <c r="V248" s="20" t="n">
        <v>0</v>
      </c>
      <c r="W248" s="20" t="n">
        <v>0</v>
      </c>
      <c r="X248" s="20" t="n">
        <v>1</v>
      </c>
    </row>
    <row r="249">
      <c r="A249" s="18" t="inlineStr">
        <is>
          <t>스톡옵션 행사 수입</t>
        </is>
      </c>
      <c r="E249" s="20" t="n">
        <v>0</v>
      </c>
      <c r="I249" s="20" t="n">
        <v>0</v>
      </c>
      <c r="M249" s="20" t="n">
        <v>0</v>
      </c>
      <c r="U249" s="20" t="n">
        <v>0</v>
      </c>
      <c r="V249" s="20" t="n">
        <v>0</v>
      </c>
      <c r="W249" s="20" t="n">
        <v>0</v>
      </c>
      <c r="X249" s="20" t="n">
        <v>0</v>
      </c>
    </row>
    <row r="250">
      <c r="A250" s="9" t="inlineStr">
        <is>
          <t>재무활동 현금흐름</t>
        </is>
      </c>
      <c r="E250" s="12" t="n">
        <v>-7930</v>
      </c>
      <c r="I250" s="12" t="n">
        <v>4214</v>
      </c>
      <c r="M250" s="12" t="n">
        <v>-6114</v>
      </c>
      <c r="U250" s="12" t="n">
        <v>-7844</v>
      </c>
      <c r="V250" s="12" t="n">
        <v>-7930</v>
      </c>
      <c r="W250" s="12" t="n">
        <v>4214</v>
      </c>
      <c r="X250" s="12" t="n">
        <v>-6114</v>
      </c>
    </row>
    <row r="251">
      <c r="A251" s="18" t="inlineStr">
        <is>
          <t>현금성자산 환산차이</t>
        </is>
      </c>
      <c r="E251" s="20" t="n">
        <v>0</v>
      </c>
      <c r="I251" s="20" t="n">
        <v>0</v>
      </c>
      <c r="M251" s="20" t="n">
        <v>0</v>
      </c>
      <c r="U251" s="20" t="n">
        <v>0</v>
      </c>
      <c r="V251" s="20" t="n">
        <v>0</v>
      </c>
      <c r="W251" s="20" t="n">
        <v>0</v>
      </c>
      <c r="X251" s="20" t="n">
        <v>0</v>
      </c>
    </row>
    <row r="252">
      <c r="A252" s="18" t="inlineStr">
        <is>
          <t>현금성자산 증감</t>
        </is>
      </c>
      <c r="E252" s="20" t="n">
        <v>-90729</v>
      </c>
      <c r="I252" s="20" t="n">
        <v>-213913</v>
      </c>
      <c r="M252" s="20" t="n">
        <v>-228386</v>
      </c>
      <c r="U252" s="20" t="n">
        <v>-247028</v>
      </c>
      <c r="V252" s="20" t="n">
        <v>-90729</v>
      </c>
      <c r="W252" s="20" t="n">
        <v>-213913</v>
      </c>
      <c r="X252" s="20" t="n">
        <v>-228386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29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30" customHeight="1">
      <c r="A1" s="1" t="inlineStr">
        <is>
          <t>5832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2023</t>
        </is>
      </c>
      <c r="I3" s="5" t="inlineStr">
        <is>
          <t>2024</t>
        </is>
      </c>
      <c r="J3" s="5" t="inlineStr">
        <is>
          <t>2025</t>
        </is>
      </c>
      <c r="K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</row>
    <row r="5">
      <c r="A5" s="9" t="inlineStr">
        <is>
          <t>유동자산</t>
        </is>
      </c>
      <c r="B5" s="10" t="n"/>
      <c r="C5" s="11" t="n"/>
      <c r="D5" s="12" t="n"/>
      <c r="E5" s="12" t="n"/>
      <c r="F5" s="12" t="n"/>
      <c r="G5" s="12" t="n"/>
      <c r="H5" s="11" t="n"/>
      <c r="I5" s="12" t="n"/>
      <c r="J5" s="12" t="n"/>
      <c r="K5" s="12" t="n"/>
    </row>
    <row r="6">
      <c r="A6" s="18" t="inlineStr">
        <is>
          <t>현금및현금성자산</t>
        </is>
      </c>
      <c r="B6" s="10" t="n"/>
      <c r="C6" s="19" t="n"/>
      <c r="D6" s="20" t="n"/>
      <c r="E6" s="20" t="n"/>
      <c r="F6" s="20" t="n"/>
      <c r="G6" s="20" t="n"/>
      <c r="H6" s="19" t="n"/>
      <c r="I6" s="20" t="n"/>
      <c r="J6" s="20" t="n"/>
      <c r="K6" s="20" t="n"/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</row>
    <row r="8">
      <c r="A8" s="18" t="inlineStr">
        <is>
          <t>매출채권</t>
        </is>
      </c>
      <c r="B8" s="10" t="n"/>
      <c r="C8" s="19" t="n"/>
      <c r="D8" s="20" t="n"/>
      <c r="E8" s="20" t="n"/>
      <c r="F8" s="20" t="n"/>
      <c r="G8" s="20" t="n"/>
      <c r="H8" s="19" t="n"/>
      <c r="I8" s="20" t="n"/>
      <c r="J8" s="20" t="n"/>
      <c r="K8" s="20" t="n"/>
    </row>
    <row r="9">
      <c r="A9" s="18" t="inlineStr">
        <is>
          <t>재고자산</t>
        </is>
      </c>
      <c r="B9" s="10" t="n"/>
      <c r="C9" s="19" t="n"/>
      <c r="D9" s="20" t="n"/>
      <c r="E9" s="20" t="n"/>
      <c r="F9" s="20" t="n"/>
      <c r="G9" s="20" t="n"/>
      <c r="H9" s="19" t="n"/>
      <c r="I9" s="20" t="n"/>
      <c r="J9" s="20" t="n"/>
      <c r="K9" s="20" t="n"/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</row>
    <row r="11">
      <c r="A11" s="9" t="inlineStr">
        <is>
          <t>비유동자산</t>
        </is>
      </c>
      <c r="B11" s="10" t="n"/>
      <c r="C11" s="11" t="n"/>
      <c r="D11" s="12" t="n"/>
      <c r="E11" s="12" t="n"/>
      <c r="F11" s="12" t="n"/>
      <c r="G11" s="12" t="n"/>
      <c r="H11" s="11" t="n"/>
      <c r="I11" s="12" t="n"/>
      <c r="J11" s="12" t="n"/>
      <c r="K11" s="12" t="n"/>
    </row>
    <row r="12">
      <c r="A12" s="18" t="inlineStr">
        <is>
          <t>유형자산</t>
        </is>
      </c>
      <c r="B12" s="10" t="n"/>
      <c r="C12" s="19" t="n">
        <v>42616</v>
      </c>
      <c r="D12" s="20" t="n">
        <v>44728</v>
      </c>
      <c r="E12" s="20" t="n">
        <v>45173</v>
      </c>
      <c r="F12" s="20" t="n">
        <v>46701</v>
      </c>
      <c r="G12" s="20" t="n">
        <v>42884</v>
      </c>
      <c r="H12" s="19" t="n">
        <v>35631</v>
      </c>
      <c r="I12" s="20" t="n">
        <v>35622</v>
      </c>
      <c r="J12" s="20" t="n">
        <v>42315</v>
      </c>
      <c r="K12" s="20" t="n">
        <v>46701</v>
      </c>
    </row>
    <row r="13">
      <c r="A13" s="18" t="inlineStr">
        <is>
          <t>무형자산</t>
        </is>
      </c>
      <c r="B13" s="10" t="n"/>
      <c r="C13" s="19" t="n">
        <v>2562</v>
      </c>
      <c r="D13" s="20" t="n">
        <v>4116</v>
      </c>
      <c r="E13" s="20" t="n">
        <v>4341</v>
      </c>
      <c r="F13" s="20" t="n">
        <v>5088</v>
      </c>
      <c r="G13" s="20" t="n">
        <v>5769</v>
      </c>
      <c r="H13" s="19" t="n">
        <v>1712</v>
      </c>
      <c r="I13" s="20" t="n">
        <v>2301</v>
      </c>
      <c r="J13" s="20" t="n">
        <v>2523</v>
      </c>
      <c r="K13" s="20" t="n">
        <v>5088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</row>
    <row r="16">
      <c r="A16" s="9" t="inlineStr">
        <is>
          <t>자산총계</t>
        </is>
      </c>
      <c r="B16" s="10" t="n"/>
      <c r="C16" s="11" t="n">
        <v>11236333</v>
      </c>
      <c r="D16" s="12" t="n">
        <v>11270811</v>
      </c>
      <c r="E16" s="12" t="n">
        <v>11465093</v>
      </c>
      <c r="F16" s="12" t="n">
        <v>11370252</v>
      </c>
      <c r="G16" s="12" t="n">
        <v>11397875</v>
      </c>
      <c r="H16" s="11" t="n">
        <v>9849196</v>
      </c>
      <c r="I16" s="12" t="n">
        <v>10763804</v>
      </c>
      <c r="J16" s="12" t="n">
        <v>11045576</v>
      </c>
      <c r="K16" s="12" t="n">
        <v>11370252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</row>
    <row r="18">
      <c r="A18" s="9" t="inlineStr">
        <is>
          <t>유동부채</t>
        </is>
      </c>
      <c r="B18" s="10" t="n"/>
      <c r="C18" s="11" t="n"/>
      <c r="D18" s="12" t="n"/>
      <c r="E18" s="12" t="n"/>
      <c r="F18" s="12" t="n"/>
      <c r="G18" s="12" t="n"/>
      <c r="H18" s="11" t="n"/>
      <c r="I18" s="12" t="n"/>
      <c r="J18" s="12" t="n"/>
      <c r="K18" s="12" t="n"/>
    </row>
    <row r="19">
      <c r="A19" s="18" t="inlineStr">
        <is>
          <t>매입채무</t>
        </is>
      </c>
      <c r="B19" s="10" t="n"/>
      <c r="C19" s="19" t="n"/>
      <c r="D19" s="20" t="n"/>
      <c r="E19" s="20" t="n"/>
      <c r="F19" s="20" t="n"/>
      <c r="G19" s="20" t="n"/>
      <c r="H19" s="19" t="n"/>
      <c r="I19" s="20" t="n"/>
      <c r="J19" s="20" t="n"/>
      <c r="K19" s="20" t="n"/>
    </row>
    <row r="20">
      <c r="A20" s="18" t="inlineStr">
        <is>
          <t>단기차입금</t>
        </is>
      </c>
      <c r="B20" s="10" t="n"/>
      <c r="C20" s="19" t="n"/>
      <c r="D20" s="20" t="n"/>
      <c r="E20" s="20" t="n"/>
      <c r="F20" s="20" t="n"/>
      <c r="G20" s="20" t="n"/>
      <c r="H20" s="19" t="n">
        <v>46530</v>
      </c>
      <c r="I20" s="20" t="n">
        <v>0</v>
      </c>
      <c r="J20" s="20" t="n"/>
      <c r="K20" s="20" t="n"/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/>
      <c r="I21" s="20" t="n"/>
      <c r="J21" s="20" t="n"/>
      <c r="K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</row>
    <row r="23">
      <c r="A23" s="9" t="inlineStr">
        <is>
          <t>비유동부채</t>
        </is>
      </c>
      <c r="B23" s="10" t="n"/>
      <c r="C23" s="11" t="n"/>
      <c r="D23" s="12" t="n"/>
      <c r="E23" s="12" t="n"/>
      <c r="F23" s="12" t="n"/>
      <c r="G23" s="12" t="n"/>
      <c r="H23" s="11" t="n"/>
      <c r="I23" s="12" t="n"/>
      <c r="J23" s="12" t="n"/>
      <c r="K23" s="12" t="n"/>
    </row>
    <row r="24">
      <c r="A24" s="18" t="inlineStr">
        <is>
          <t>장기차입금</t>
        </is>
      </c>
      <c r="B24" s="10" t="n"/>
      <c r="C24" s="19" t="n"/>
      <c r="D24" s="20" t="n"/>
      <c r="E24" s="20" t="n"/>
      <c r="F24" s="20" t="n"/>
      <c r="G24" s="20" t="n"/>
      <c r="H24" s="19" t="n"/>
      <c r="I24" s="20" t="n"/>
      <c r="J24" s="20" t="n"/>
      <c r="K24" s="20" t="n"/>
    </row>
    <row r="25">
      <c r="A25" s="18" t="inlineStr">
        <is>
          <t>사채</t>
        </is>
      </c>
      <c r="B25" s="10" t="n"/>
      <c r="C25" s="19" t="n">
        <v>30000</v>
      </c>
      <c r="D25" s="20" t="n">
        <v>50000</v>
      </c>
      <c r="E25" s="20" t="n">
        <v>40000</v>
      </c>
      <c r="F25" s="20" t="n">
        <v>40000</v>
      </c>
      <c r="G25" s="20" t="n">
        <v>40000</v>
      </c>
      <c r="H25" s="19" t="n">
        <v>10000</v>
      </c>
      <c r="I25" s="20" t="n">
        <v>10000</v>
      </c>
      <c r="J25" s="20" t="n">
        <v>30000</v>
      </c>
      <c r="K25" s="20" t="n">
        <v>40000</v>
      </c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</row>
    <row r="27">
      <c r="A27" s="9" t="inlineStr">
        <is>
          <t>부채총계</t>
        </is>
      </c>
      <c r="B27" s="10" t="n"/>
      <c r="C27" s="11" t="n">
        <v>10670212</v>
      </c>
      <c r="D27" s="12" t="n">
        <v>10676816</v>
      </c>
      <c r="E27" s="12" t="n">
        <v>10854456</v>
      </c>
      <c r="F27" s="12" t="n">
        <v>10749551</v>
      </c>
      <c r="G27" s="12" t="n">
        <v>10724437</v>
      </c>
      <c r="H27" s="11" t="n">
        <v>9321248</v>
      </c>
      <c r="I27" s="12" t="n">
        <v>10182689</v>
      </c>
      <c r="J27" s="12" t="n">
        <v>10503210</v>
      </c>
      <c r="K27" s="12" t="n">
        <v>10749551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</row>
    <row r="31">
      <c r="A31" s="9" t="inlineStr">
        <is>
          <t>지배주주지분</t>
        </is>
      </c>
      <c r="B31" s="10" t="n"/>
      <c r="C31" s="11" t="n">
        <v>566006</v>
      </c>
      <c r="D31" s="12" t="n">
        <v>593881</v>
      </c>
      <c r="E31" s="12" t="n">
        <v>610522</v>
      </c>
      <c r="F31" s="12" t="n">
        <v>620586</v>
      </c>
      <c r="G31" s="12" t="n">
        <v>673386</v>
      </c>
      <c r="H31" s="11" t="n">
        <v>527676</v>
      </c>
      <c r="I31" s="12" t="n">
        <v>580895</v>
      </c>
      <c r="J31" s="12" t="n">
        <v>542225</v>
      </c>
      <c r="K31" s="12" t="n">
        <v>620586</v>
      </c>
    </row>
    <row r="32">
      <c r="A32" s="18" t="inlineStr">
        <is>
          <t>자본금</t>
        </is>
      </c>
      <c r="B32" s="10" t="n"/>
      <c r="C32" s="19" t="n">
        <v>16000</v>
      </c>
      <c r="D32" s="20" t="n">
        <v>16000</v>
      </c>
      <c r="E32" s="20" t="n">
        <v>16000</v>
      </c>
      <c r="F32" s="20" t="n">
        <v>16000</v>
      </c>
      <c r="G32" s="20" t="n">
        <v>16000</v>
      </c>
      <c r="H32" s="19" t="n">
        <v>16000</v>
      </c>
      <c r="I32" s="20" t="n">
        <v>16000</v>
      </c>
      <c r="J32" s="20" t="n">
        <v>16000</v>
      </c>
      <c r="K32" s="20" t="n">
        <v>16000</v>
      </c>
    </row>
    <row r="33">
      <c r="A33" s="18" t="inlineStr">
        <is>
          <t>이익잉여금</t>
        </is>
      </c>
      <c r="B33" s="10" t="n"/>
      <c r="C33" s="19" t="n">
        <v>515392</v>
      </c>
      <c r="D33" s="20" t="n">
        <v>522872</v>
      </c>
      <c r="E33" s="20" t="n">
        <v>530504</v>
      </c>
      <c r="F33" s="20" t="n">
        <v>538633</v>
      </c>
      <c r="G33" s="20" t="n">
        <v>543092</v>
      </c>
      <c r="H33" s="19" t="n">
        <v>479276</v>
      </c>
      <c r="I33" s="20" t="n">
        <v>494988</v>
      </c>
      <c r="J33" s="20" t="n">
        <v>511855</v>
      </c>
      <c r="K33" s="20" t="n">
        <v>538633</v>
      </c>
    </row>
    <row r="34">
      <c r="A34" s="18" t="inlineStr">
        <is>
          <t>비지배지분</t>
        </is>
      </c>
      <c r="B34" s="10" t="n"/>
      <c r="C34" s="19" t="n"/>
      <c r="D34" s="20" t="n"/>
      <c r="E34" s="20" t="n"/>
      <c r="F34" s="20" t="n"/>
      <c r="G34" s="20" t="n"/>
      <c r="H34" s="19" t="n"/>
      <c r="I34" s="20" t="n"/>
      <c r="J34" s="20" t="n"/>
      <c r="K34" s="20" t="n"/>
    </row>
    <row r="35">
      <c r="A35" s="9" t="inlineStr">
        <is>
          <t>자본총계</t>
        </is>
      </c>
      <c r="B35" s="10" t="n"/>
      <c r="C35" s="11" t="n">
        <v>566120</v>
      </c>
      <c r="D35" s="12" t="n">
        <v>593995</v>
      </c>
      <c r="E35" s="12" t="n">
        <v>610636</v>
      </c>
      <c r="F35" s="12" t="n">
        <v>620700</v>
      </c>
      <c r="G35" s="12" t="n">
        <v>673437</v>
      </c>
      <c r="H35" s="11" t="n">
        <v>527948</v>
      </c>
      <c r="I35" s="12" t="n">
        <v>581115</v>
      </c>
      <c r="J35" s="12" t="n">
        <v>542366</v>
      </c>
      <c r="K35" s="12" t="n">
        <v>620700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</row>
    <row r="37">
      <c r="A37" s="9" t="inlineStr">
        <is>
          <t>영업활동현금흐름</t>
        </is>
      </c>
      <c r="B37" s="10" t="n"/>
      <c r="C37" s="11" t="n"/>
      <c r="D37" s="12" t="n"/>
      <c r="E37" s="12" t="n"/>
      <c r="F37" s="12" t="n">
        <v>70904</v>
      </c>
      <c r="G37" s="12" t="n"/>
      <c r="H37" s="11" t="n">
        <v>-403482</v>
      </c>
      <c r="I37" s="12" t="n">
        <v>115595</v>
      </c>
      <c r="J37" s="12" t="n">
        <v>46944</v>
      </c>
      <c r="K37" s="12" t="n">
        <v>70904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/>
      <c r="E38" s="20" t="n"/>
      <c r="F38" s="20" t="n">
        <v>8911</v>
      </c>
      <c r="G38" s="20" t="n"/>
      <c r="H38" s="19" t="n">
        <v>2785</v>
      </c>
      <c r="I38" s="20" t="n">
        <v>4544</v>
      </c>
      <c r="J38" s="20" t="n">
        <v>11905</v>
      </c>
      <c r="K38" s="20" t="n">
        <v>8911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/>
      <c r="E40" s="20" t="n"/>
      <c r="F40" s="20" t="n">
        <v>12928</v>
      </c>
      <c r="G40" s="20" t="n"/>
      <c r="H40" s="19" t="n">
        <v>5651</v>
      </c>
      <c r="I40" s="20" t="n">
        <v>5678</v>
      </c>
      <c r="J40" s="20" t="n">
        <v>10566</v>
      </c>
      <c r="K40" s="20" t="n">
        <v>12928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IFERROR((IF(COUNT('연간'!G31:J31)&lt;4,"",SUM('연간'!G31:J31)))/(IF(COUNT('연간'!G53:J53)&lt;4,"",SUM('연간'!G53:J53))),"")</f>
        <v/>
      </c>
      <c r="D48" s="31">
        <f>IFERROR((IF(COUNT('연간'!H31:K31)&lt;4,"",SUM('연간'!H31:K31)))/(IF(COUNT('연간'!H53:K53)&lt;4,"",SUM('연간'!H53:K53))),"")</f>
        <v/>
      </c>
      <c r="E48" s="31">
        <f>IFERROR((IF(COUNT('연간'!I31:L31)&lt;4,"",SUM('연간'!I31:L31)))/(IF(COUNT('연간'!I53:L53)&lt;4,"",SUM('연간'!I53:L53))),"")</f>
        <v/>
      </c>
      <c r="F48" s="31">
        <f>IFERROR((IF(COUNT('연간'!J31:M31)&lt;4,"",SUM('연간'!J31:M31)))/(IF(COUNT('연간'!J53:M53)&lt;4,"",SUM('연간'!J53:M53))),"")</f>
        <v/>
      </c>
      <c r="G48" s="31">
        <f>IFERROR((IF(COUNT('연간'!K31:N31)&lt;4,"",SUM('연간'!K31:N31)))/(IF(COUNT('연간'!K53:N53)&lt;4,"",SUM('연간'!K53:N53))),"")</f>
        <v/>
      </c>
      <c r="H48" s="30">
        <f>IFERROR(('연간'!U31)/('연간'!U53),"")</f>
        <v/>
      </c>
      <c r="I48" s="31">
        <f>IFERROR(('연간'!V31)/('연간'!V53),"")</f>
        <v/>
      </c>
      <c r="J48" s="31">
        <f>IFERROR(('연간'!W31)/('연간'!W53),"")</f>
        <v/>
      </c>
      <c r="K48" s="31">
        <f>IFERROR(('연간'!X31)/('연간'!X53),"")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IFERROR(IF((IF(COUNT('연간'!G61:J61)&lt;4,"",SUM('연간'!G61:J61)))&lt;=0,"적자",C28/(IF(COUNT('연간'!G61:J61)&lt;4,"",SUM('연간'!G61:J61)))),"")</f>
        <v/>
      </c>
      <c r="D49" s="47">
        <f>IFERROR(IF((IF(COUNT('연간'!H61:K61)&lt;4,"",SUM('연간'!H61:K61)))&lt;=0,"적자",D28/(IF(COUNT('연간'!H61:K61)&lt;4,"",SUM('연간'!H61:K61)))),"")</f>
        <v/>
      </c>
      <c r="E49" s="47">
        <f>IFERROR(IF((IF(COUNT('연간'!I61:L61)&lt;4,"",SUM('연간'!I61:L61)))&lt;=0,"적자",E28/(IF(COUNT('연간'!I61:L61)&lt;4,"",SUM('연간'!I61:L61)))),"")</f>
        <v/>
      </c>
      <c r="F49" s="47">
        <f>IFERROR(IF((IF(COUNT('연간'!J61:M61)&lt;4,"",SUM('연간'!J61:M61)))&lt;=0,"적자",F28/(IF(COUNT('연간'!J61:M61)&lt;4,"",SUM('연간'!J61:M61)))),"")</f>
        <v/>
      </c>
      <c r="G49" s="47">
        <f>IFERROR(IF((IF(COUNT('연간'!K61:N61)&lt;4,"",SUM('연간'!K61:N61)))&lt;=0,"적자",G28/(IF(COUNT('연간'!K61:N61)&lt;4,"",SUM('연간'!K61:N61)))),"")</f>
        <v/>
      </c>
      <c r="H49" s="46">
        <f>IFERROR(IF(('연간'!U61)&lt;=0,"적자",H28/('연간'!U61)),"")</f>
        <v/>
      </c>
      <c r="I49" s="47">
        <f>IFERROR(IF(('연간'!V61)&lt;=0,"적자",I28/('연간'!V61)),"")</f>
        <v/>
      </c>
      <c r="J49" s="47">
        <f>IFERROR(IF(('연간'!W61)&lt;=0,"적자",J28/('연간'!W61)),"")</f>
        <v/>
      </c>
      <c r="K49" s="47">
        <f>IFERROR(IF(('연간'!X61)&lt;=0,"적자",K28/('연간'!X61)),"")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IFERROR((IF(COUNT('연간'!G61:J61)&lt;4,"",SUM('연간'!G61:J61)))/C31,"")</f>
        <v/>
      </c>
      <c r="D51" s="36">
        <f>IFERROR((IF(COUNT('연간'!H61:K61)&lt;4,"",SUM('연간'!H61:K61)))/D31,"")</f>
        <v/>
      </c>
      <c r="E51" s="36">
        <f>IFERROR((IF(COUNT('연간'!I61:L61)&lt;4,"",SUM('연간'!I61:L61)))/E31,"")</f>
        <v/>
      </c>
      <c r="F51" s="36">
        <f>IFERROR((IF(COUNT('연간'!J61:M61)&lt;4,"",SUM('연간'!J61:M61)))/F31,"")</f>
        <v/>
      </c>
      <c r="G51" s="36">
        <f>IFERROR((IF(COUNT('연간'!K61:N61)&lt;4,"",SUM('연간'!K61:N61)))/G31,"")</f>
        <v/>
      </c>
      <c r="H51" s="35">
        <f>IFERROR(('연간'!U61)/H31,"")</f>
        <v/>
      </c>
      <c r="I51" s="36">
        <f>IFERROR(('연간'!V61)/I31,"")</f>
        <v/>
      </c>
      <c r="J51" s="36">
        <f>IFERROR(('연간'!W61)/J31,"")</f>
        <v/>
      </c>
      <c r="K51" s="36">
        <f>IFERROR(('연간'!X61)/K31,"")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IFERROR((IF(COUNT('연간'!G59:J59)&lt;4,"",SUM('연간'!G59:J59)))/C16,"")</f>
        <v/>
      </c>
      <c r="D52" s="36">
        <f>IFERROR((IF(COUNT('연간'!H59:K59)&lt;4,"",SUM('연간'!H59:K59)))/D16,"")</f>
        <v/>
      </c>
      <c r="E52" s="36">
        <f>IFERROR((IF(COUNT('연간'!I59:L59)&lt;4,"",SUM('연간'!I59:L59)))/E16,"")</f>
        <v/>
      </c>
      <c r="F52" s="36">
        <f>IFERROR((IF(COUNT('연간'!J59:M59)&lt;4,"",SUM('연간'!J59:M59)))/F16,"")</f>
        <v/>
      </c>
      <c r="G52" s="36">
        <f>IFERROR((IF(COUNT('연간'!K59:N59)&lt;4,"",SUM('연간'!K59:N59)))/G16,"")</f>
        <v/>
      </c>
      <c r="H52" s="35">
        <f>IFERROR(('연간'!U59)/H16,"")</f>
        <v/>
      </c>
      <c r="I52" s="36">
        <f>IFERROR(('연간'!V59)/I16,"")</f>
        <v/>
      </c>
      <c r="J52" s="36">
        <f>IFERROR(('연간'!W59)/J16,"")</f>
        <v/>
      </c>
      <c r="K52" s="36">
        <f>IFERROR(('연간'!X59)/K16,"")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IFERROR((IF(COUNT('연간'!G31:J31)&lt;4,"",SUM('연간'!G31:J31)))*(1-0.3)/(C35+C29),"")</f>
        <v/>
      </c>
      <c r="D53" s="36">
        <f>IFERROR((IF(COUNT('연간'!H31:K31)&lt;4,"",SUM('연간'!H31:K31)))*(1-0.3)/(D35+D29),"")</f>
        <v/>
      </c>
      <c r="E53" s="36">
        <f>IFERROR((IF(COUNT('연간'!I31:L31)&lt;4,"",SUM('연간'!I31:L31)))*(1-0.3)/(E35+E29),"")</f>
        <v/>
      </c>
      <c r="F53" s="36">
        <f>IFERROR((IF(COUNT('연간'!J31:M31)&lt;4,"",SUM('연간'!J31:M31)))*(1-0.3)/(F35+F29),"")</f>
        <v/>
      </c>
      <c r="G53" s="36">
        <f>IFERROR((IF(COUNT('연간'!K31:N31)&lt;4,"",SUM('연간'!K31:N31)))*(1-0.3)/(G35+G29),"")</f>
        <v/>
      </c>
      <c r="H53" s="35">
        <f>IFERROR(('연간'!U31)*(1-0.3)/(H35+H29),"")</f>
        <v/>
      </c>
      <c r="I53" s="36">
        <f>IFERROR(('연간'!V31)*(1-0.3)/(I35+I29),"")</f>
        <v/>
      </c>
      <c r="J53" s="36">
        <f>IFERROR(('연간'!W31)*(1-0.3)/(J35+J29),"")</f>
        <v/>
      </c>
      <c r="K53" s="36">
        <f>IFERROR(('연간'!X31)*(1-0.3)/(K35+K29),"")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IFERROR((IF(COUNT('연간'!G25:J25)&lt;4,"",SUM('연간'!G25:J25)))/(IF(COUNT('연간'!G4:J4)&lt;4,"",SUM('연간'!G4:J4))),"")</f>
        <v/>
      </c>
      <c r="D54" s="36">
        <f>IFERROR((IF(COUNT('연간'!H25:K25)&lt;4,"",SUM('연간'!H25:K25)))/(IF(COUNT('연간'!H4:K4)&lt;4,"",SUM('연간'!H4:K4))),"")</f>
        <v/>
      </c>
      <c r="E54" s="36">
        <f>IFERROR((IF(COUNT('연간'!I25:L25)&lt;4,"",SUM('연간'!I25:L25)))/(IF(COUNT('연간'!I4:L4)&lt;4,"",SUM('연간'!I4:L4))),"")</f>
        <v/>
      </c>
      <c r="F54" s="36">
        <f>IFERROR((IF(COUNT('연간'!J25:M25)&lt;4,"",SUM('연간'!J25:M25)))/(IF(COUNT('연간'!J4:M4)&lt;4,"",SUM('연간'!J4:M4))),"")</f>
        <v/>
      </c>
      <c r="G54" s="36">
        <f>IFERROR((IF(COUNT('연간'!K25:N25)&lt;4,"",SUM('연간'!K25:N25)))/(IF(COUNT('연간'!K4:N4)&lt;4,"",SUM('연간'!K4:N4))),"")</f>
        <v/>
      </c>
      <c r="H54" s="35">
        <f>IFERROR(('연간'!U25)/('연간'!U4),"")</f>
        <v/>
      </c>
      <c r="I54" s="36">
        <f>IFERROR(('연간'!V25)/('연간'!V4),"")</f>
        <v/>
      </c>
      <c r="J54" s="36">
        <f>IFERROR(('연간'!W25)/('연간'!W4),"")</f>
        <v/>
      </c>
      <c r="K54" s="36">
        <f>IFERROR(('연간'!X25)/('연간'!X4),"")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IFERROR((IF(COUNT('연간'!G31:J31)&lt;4,"",SUM('연간'!G31:J31)))/(IF(COUNT('연간'!G4:J4)&lt;4,"",SUM('연간'!G4:J4))),"")</f>
        <v/>
      </c>
      <c r="D55" s="36">
        <f>IFERROR((IF(COUNT('연간'!H31:K31)&lt;4,"",SUM('연간'!H31:K31)))/(IF(COUNT('연간'!H4:K4)&lt;4,"",SUM('연간'!H4:K4))),"")</f>
        <v/>
      </c>
      <c r="E55" s="36">
        <f>IFERROR((IF(COUNT('연간'!I31:L31)&lt;4,"",SUM('연간'!I31:L31)))/(IF(COUNT('연간'!I4:L4)&lt;4,"",SUM('연간'!I4:L4))),"")</f>
        <v/>
      </c>
      <c r="F55" s="36">
        <f>IFERROR((IF(COUNT('연간'!J31:M31)&lt;4,"",SUM('연간'!J31:M31)))/(IF(COUNT('연간'!J4:M4)&lt;4,"",SUM('연간'!J4:M4))),"")</f>
        <v/>
      </c>
      <c r="G55" s="36">
        <f>IFERROR((IF(COUNT('연간'!K31:N31)&lt;4,"",SUM('연간'!K31:N31)))/(IF(COUNT('연간'!K4:N4)&lt;4,"",SUM('연간'!K4:N4))),"")</f>
        <v/>
      </c>
      <c r="H55" s="35">
        <f>IFERROR(('연간'!U31)/('연간'!U4),"")</f>
        <v/>
      </c>
      <c r="I55" s="36">
        <f>IFERROR(('연간'!V31)/('연간'!V4),"")</f>
        <v/>
      </c>
      <c r="J55" s="36">
        <f>IFERROR(('연간'!W31)/('연간'!W4),"")</f>
        <v/>
      </c>
      <c r="K55" s="36">
        <f>IFERROR(('연간'!X31)/('연간'!X4),"")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IFERROR((IF(COUNT('연간'!G59:J59)&lt;4,"",SUM('연간'!G59:J59)))/(IF(COUNT('연간'!G4:J4)&lt;4,"",SUM('연간'!G4:J4))),"")</f>
        <v/>
      </c>
      <c r="D56" s="36">
        <f>IFERROR((IF(COUNT('연간'!H59:K59)&lt;4,"",SUM('연간'!H59:K59)))/(IF(COUNT('연간'!H4:K4)&lt;4,"",SUM('연간'!H4:K4))),"")</f>
        <v/>
      </c>
      <c r="E56" s="36">
        <f>IFERROR((IF(COUNT('연간'!I59:L59)&lt;4,"",SUM('연간'!I59:L59)))/(IF(COUNT('연간'!I4:L4)&lt;4,"",SUM('연간'!I4:L4))),"")</f>
        <v/>
      </c>
      <c r="F56" s="36">
        <f>IFERROR((IF(COUNT('연간'!J59:M59)&lt;4,"",SUM('연간'!J59:M59)))/(IF(COUNT('연간'!J4:M4)&lt;4,"",SUM('연간'!J4:M4))),"")</f>
        <v/>
      </c>
      <c r="G56" s="36">
        <f>IFERROR((IF(COUNT('연간'!K59:N59)&lt;4,"",SUM('연간'!K59:N59)))/(IF(COUNT('연간'!K4:N4)&lt;4,"",SUM('연간'!K4:N4))),"")</f>
        <v/>
      </c>
      <c r="H56" s="35">
        <f>IFERROR(('연간'!U59)/('연간'!U4),"")</f>
        <v/>
      </c>
      <c r="I56" s="36">
        <f>IFERROR(('연간'!V59)/('연간'!V4),"")</f>
        <v/>
      </c>
      <c r="J56" s="36">
        <f>IFERROR(('연간'!W59)/('연간'!W4),"")</f>
        <v/>
      </c>
      <c r="K56" s="36">
        <f>IFERROR(('연간'!X59)/('연간'!X4),"")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IFERROR(('연간'!U4)/H16,"")</f>
        <v/>
      </c>
      <c r="I58" s="31">
        <f>IFERROR(('연간'!V4)/I16,"")</f>
        <v/>
      </c>
      <c r="J58" s="31">
        <f>IFERROR(('연간'!W4)/J16,"")</f>
        <v/>
      </c>
      <c r="K58" s="31">
        <f>IFERROR(('연간'!X4)/K16,"")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IFERROR(H8/('연간'!U4)*365,"")</f>
        <v/>
      </c>
      <c r="I59" s="49">
        <f>IFERROR(I8/('연간'!V4)*365,"")</f>
        <v/>
      </c>
      <c r="J59" s="49">
        <f>IFERROR(J8/('연간'!W4)*365,"")</f>
        <v/>
      </c>
      <c r="K59" s="49">
        <f>IFERROR(K8/('연간'!X4)*365,"")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IFERROR(C9/(IF(COUNT('연간'!G23:J23)&lt;4,"",SUM('연간'!G23:J23)))*365,"")</f>
        <v/>
      </c>
      <c r="D60" s="49">
        <f>IFERROR(D9/(IF(COUNT('연간'!H23:K23)&lt;4,"",SUM('연간'!H23:K23)))*365,"")</f>
        <v/>
      </c>
      <c r="E60" s="49">
        <f>IFERROR(E9/(IF(COUNT('연간'!I23:L23)&lt;4,"",SUM('연간'!I23:L23)))*365,"")</f>
        <v/>
      </c>
      <c r="F60" s="49">
        <f>IFERROR(F9/(IF(COUNT('연간'!J23:M23)&lt;4,"",SUM('연간'!J23:M23)))*365,"")</f>
        <v/>
      </c>
      <c r="G60" s="49">
        <f>IFERROR(G9/(IF(COUNT('연간'!K23:N23)&lt;4,"",SUM('연간'!K23:N23)))*365,"")</f>
        <v/>
      </c>
      <c r="H60" s="48">
        <f>IFERROR(H9/('연간'!U23)*365,"")</f>
        <v/>
      </c>
      <c r="I60" s="49">
        <f>IFERROR(I9/('연간'!V23)*365,"")</f>
        <v/>
      </c>
      <c r="J60" s="49">
        <f>IFERROR(J9/('연간'!W23)*365,"")</f>
        <v/>
      </c>
      <c r="K60" s="49">
        <f>IFERROR(K9/('연간'!X23)*365,"")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IFERROR(C19/(IF(COUNT('연간'!G23:J23)&lt;4,"",SUM('연간'!G23:J23)))*365,"")</f>
        <v/>
      </c>
      <c r="D61" s="49">
        <f>IFERROR(D19/(IF(COUNT('연간'!H23:K23)&lt;4,"",SUM('연간'!H23:K23)))*365,"")</f>
        <v/>
      </c>
      <c r="E61" s="49">
        <f>IFERROR(E19/(IF(COUNT('연간'!I23:L23)&lt;4,"",SUM('연간'!I23:L23)))*365,"")</f>
        <v/>
      </c>
      <c r="F61" s="49">
        <f>IFERROR(F19/(IF(COUNT('연간'!J23:M23)&lt;4,"",SUM('연간'!J23:M23)))*365,"")</f>
        <v/>
      </c>
      <c r="G61" s="49">
        <f>IFERROR(G19/(IF(COUNT('연간'!K23:N23)&lt;4,"",SUM('연간'!K23:N23)))*365,"")</f>
        <v/>
      </c>
      <c r="H61" s="48">
        <f>IFERROR(H19/('연간'!U23)*365,"")</f>
        <v/>
      </c>
      <c r="I61" s="49">
        <f>IFERROR(I19/('연간'!V23)*365,"")</f>
        <v/>
      </c>
      <c r="J61" s="49">
        <f>IFERROR(J19/('연간'!W23)*365,"")</f>
        <v/>
      </c>
      <c r="K61" s="49">
        <f>IFERROR(K19/('연간'!X23)*365,"")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IF(C37="","",IFERROR(C37/(IF(COUNT('연간'!G59:J59)&lt;4,"",SUM('연간'!G59:J59))),""))</f>
        <v/>
      </c>
      <c r="D64" s="31">
        <f>IF(D37="","",IFERROR(D37/(IF(COUNT('연간'!H59:K59)&lt;4,"",SUM('연간'!H59:K59))),""))</f>
        <v/>
      </c>
      <c r="E64" s="31">
        <f>IF(E37="","",IFERROR(E37/(IF(COUNT('연간'!I59:L59)&lt;4,"",SUM('연간'!I59:L59))),""))</f>
        <v/>
      </c>
      <c r="F64" s="31">
        <f>IF(F37="","",IFERROR(F37/(IF(COUNT('연간'!J59:M59)&lt;4,"",SUM('연간'!J59:M59))),""))</f>
        <v/>
      </c>
      <c r="G64" s="31">
        <f>IF(G37="","",IFERROR(G37/(IF(COUNT('연간'!K59:N59)&lt;4,"",SUM('연간'!K59:N59))),""))</f>
        <v/>
      </c>
      <c r="H64" s="30">
        <f>IF(H37="","",IFERROR(H37/('연간'!U59),""))</f>
        <v/>
      </c>
      <c r="I64" s="31">
        <f>IF(I37="","",IFERROR(I37/('연간'!V59),""))</f>
        <v/>
      </c>
      <c r="J64" s="31">
        <f>IF(J37="","",IFERROR(J37/('연간'!W59),""))</f>
        <v/>
      </c>
      <c r="K64" s="31">
        <f>IF(K37="","",IFERROR(K37/('연간'!X59),""))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IF(H39="","",IFERROR(H39/('연간'!U4),""))</f>
        <v/>
      </c>
      <c r="I65" s="36">
        <f>IF(I39="","",IFERROR(I39/('연간'!V4),""))</f>
        <v/>
      </c>
      <c r="J65" s="36">
        <f>IF(J39="","",IFERROR(J39/('연간'!W4),""))</f>
        <v/>
      </c>
      <c r="K65" s="36">
        <f>IF(K39="","",IFERROR(K39/('연간'!X4),""))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IF(H38="","",IFERROR(H38/('연간'!U4),""))</f>
        <v/>
      </c>
      <c r="I66" s="36">
        <f>IF(I38="","",IFERROR(I38/('연간'!V4),""))</f>
        <v/>
      </c>
      <c r="J66" s="36">
        <f>IF(J38="","",IFERROR(J38/('연간'!W4),""))</f>
        <v/>
      </c>
      <c r="K66" s="36">
        <f>IF(K38="","",IFERROR(K38/('연간'!X4),""))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IF(C40="","",IFERROR(C40/(IF(COUNT('연간'!G61:J61)&lt;4,"",SUM('연간'!G61:J61))),""))</f>
        <v/>
      </c>
      <c r="D67" s="36">
        <f>IF(D40="","",IFERROR(D40/(IF(COUNT('연간'!H61:K61)&lt;4,"",SUM('연간'!H61:K61))),""))</f>
        <v/>
      </c>
      <c r="E67" s="36">
        <f>IF(E40="","",IFERROR(E40/(IF(COUNT('연간'!I61:L61)&lt;4,"",SUM('연간'!I61:L61))),""))</f>
        <v/>
      </c>
      <c r="F67" s="36">
        <f>IF(F40="","",IFERROR(F40/(IF(COUNT('연간'!J61:M61)&lt;4,"",SUM('연간'!J61:M61))),""))</f>
        <v/>
      </c>
      <c r="G67" s="36">
        <f>IF(G40="","",IFERROR(G40/(IF(COUNT('연간'!K61:N61)&lt;4,"",SUM('연간'!K61:N61))),""))</f>
        <v/>
      </c>
      <c r="H67" s="35">
        <f>IF(H40="","",IFERROR(H40/('연간'!U61),""))</f>
        <v/>
      </c>
      <c r="I67" s="36">
        <f>IF(I40="","",IFERROR(I40/('연간'!V61),""))</f>
        <v/>
      </c>
      <c r="J67" s="36">
        <f>IF(J40="","",IFERROR(J40/('연간'!W61),""))</f>
        <v/>
      </c>
      <c r="K67" s="36">
        <f>IF(K40="","",IFERROR(K40/('연간'!X61),""))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2023</t>
        </is>
      </c>
      <c r="I70" s="5" t="inlineStr">
        <is>
          <t>2024</t>
        </is>
      </c>
      <c r="J70" s="5" t="inlineStr">
        <is>
          <t>2025</t>
        </is>
      </c>
      <c r="K70" s="5" t="inlineStr">
        <is>
          <t>2026</t>
        </is>
      </c>
    </row>
    <row r="71">
      <c r="A71" s="18" t="inlineStr">
        <is>
          <t>Cash And Due From Banks Assets BNK</t>
        </is>
      </c>
      <c r="C71" s="20" t="n">
        <v>1341858</v>
      </c>
      <c r="D71" s="20" t="n">
        <v>1282031</v>
      </c>
      <c r="E71" s="20" t="n">
        <v>1098148</v>
      </c>
      <c r="F71" s="20" t="n">
        <v>975274</v>
      </c>
      <c r="G71" s="20" t="n">
        <v>1009678</v>
      </c>
      <c r="H71" s="20" t="n">
        <v>1510394</v>
      </c>
      <c r="I71" s="20" t="n">
        <v>1418224</v>
      </c>
      <c r="J71" s="20" t="n">
        <v>1203294</v>
      </c>
      <c r="K71" s="20" t="n">
        <v>975274</v>
      </c>
    </row>
    <row r="72">
      <c r="A72" s="18" t="inlineStr">
        <is>
          <t>콜론</t>
        </is>
      </c>
      <c r="C72" s="20" t="n">
        <v>114861</v>
      </c>
      <c r="D72" s="20" t="n">
        <v>85690</v>
      </c>
      <c r="E72" s="20" t="n">
        <v>201511</v>
      </c>
      <c r="F72" s="20" t="n">
        <v>131994</v>
      </c>
      <c r="G72" s="20" t="n">
        <v>198871</v>
      </c>
      <c r="H72" s="20" t="n">
        <v>178907</v>
      </c>
      <c r="I72" s="20" t="n">
        <v>192117</v>
      </c>
      <c r="J72" s="20" t="n">
        <v>193782</v>
      </c>
      <c r="K72" s="20" t="n">
        <v>131994</v>
      </c>
    </row>
    <row r="73">
      <c r="A73" s="18" t="inlineStr">
        <is>
          <t>매입금전채권</t>
        </is>
      </c>
      <c r="C73" s="20" t="n">
        <v>20047</v>
      </c>
      <c r="D73" s="20" t="n">
        <v>19179</v>
      </c>
      <c r="E73" s="20" t="n">
        <v>18979</v>
      </c>
      <c r="F73" s="20" t="n">
        <v>16586</v>
      </c>
      <c r="G73" s="20" t="n">
        <v>15917</v>
      </c>
      <c r="H73" s="20" t="n">
        <v>22329</v>
      </c>
      <c r="I73" s="20" t="n">
        <v>23797</v>
      </c>
      <c r="J73" s="20" t="n">
        <v>20092</v>
      </c>
      <c r="K73" s="20" t="n">
        <v>16586</v>
      </c>
    </row>
    <row r="74">
      <c r="A74" s="18" t="inlineStr">
        <is>
          <t>Trading Account Securities Assets BNK</t>
        </is>
      </c>
      <c r="C74" s="20" t="n">
        <v>498</v>
      </c>
      <c r="D74" s="20" t="n">
        <v>503</v>
      </c>
      <c r="E74" s="20" t="n">
        <v>476</v>
      </c>
      <c r="F74" s="20" t="n">
        <v>524</v>
      </c>
      <c r="G74" s="20" t="n">
        <v>536</v>
      </c>
      <c r="H74" s="20" t="n">
        <v>2023</v>
      </c>
      <c r="I74" s="20" t="n">
        <v>1017</v>
      </c>
      <c r="J74" s="20" t="n">
        <v>510</v>
      </c>
      <c r="K74" s="20" t="n">
        <v>524</v>
      </c>
    </row>
    <row r="75">
      <c r="A75" s="18" t="inlineStr">
        <is>
          <t>금전신탁</t>
        </is>
      </c>
      <c r="C75" s="20" t="n">
        <v>17014</v>
      </c>
      <c r="D75" s="20" t="n">
        <v>20534</v>
      </c>
      <c r="E75" s="20" t="n">
        <v>17972</v>
      </c>
      <c r="F75" s="20" t="n">
        <v>18000</v>
      </c>
      <c r="G75" s="20" t="n">
        <v>18104</v>
      </c>
      <c r="H75" s="20" t="n">
        <v>24600</v>
      </c>
      <c r="I75" s="20" t="n">
        <v>32000</v>
      </c>
      <c r="J75" s="20" t="n">
        <v>11700</v>
      </c>
      <c r="K75" s="20" t="n">
        <v>18000</v>
      </c>
    </row>
    <row r="76">
      <c r="A76" s="18" t="inlineStr">
        <is>
          <t>유가증권</t>
        </is>
      </c>
      <c r="C76" s="20" t="n">
        <v>2908590</v>
      </c>
      <c r="D76" s="20" t="n">
        <v>2973643</v>
      </c>
      <c r="E76" s="20" t="n">
        <v>3050143</v>
      </c>
      <c r="F76" s="20" t="n">
        <v>3107354</v>
      </c>
      <c r="G76" s="20" t="n">
        <v>3033488</v>
      </c>
      <c r="H76" s="20" t="n">
        <v>2324053</v>
      </c>
      <c r="I76" s="20" t="n">
        <v>2596411</v>
      </c>
      <c r="J76" s="20" t="n">
        <v>2776089</v>
      </c>
      <c r="K76" s="20" t="n">
        <v>3107354</v>
      </c>
    </row>
    <row r="77">
      <c r="A77" s="18" t="inlineStr">
        <is>
          <t>대출금</t>
        </is>
      </c>
      <c r="C77" s="20" t="n">
        <v>6589520</v>
      </c>
      <c r="D77" s="20" t="n">
        <v>6640134</v>
      </c>
      <c r="E77" s="20" t="n">
        <v>6777280</v>
      </c>
      <c r="F77" s="20" t="n">
        <v>6797024</v>
      </c>
      <c r="G77" s="20" t="n">
        <v>6784903</v>
      </c>
      <c r="H77" s="20" t="n">
        <v>5555795</v>
      </c>
      <c r="I77" s="20" t="n">
        <v>6231363</v>
      </c>
      <c r="J77" s="20" t="n">
        <v>6571458</v>
      </c>
      <c r="K77" s="20" t="n">
        <v>6797024</v>
      </c>
    </row>
    <row r="78">
      <c r="A78" s="18" t="inlineStr">
        <is>
          <t>외국환</t>
        </is>
      </c>
      <c r="C78" s="20" t="n">
        <v>17291</v>
      </c>
      <c r="D78" s="20" t="n">
        <v>13073</v>
      </c>
      <c r="E78" s="20" t="n">
        <v>12891</v>
      </c>
      <c r="F78" s="20" t="n">
        <v>15177</v>
      </c>
      <c r="G78" s="20" t="n">
        <v>26457</v>
      </c>
      <c r="H78" s="20" t="n">
        <v>14742</v>
      </c>
      <c r="I78" s="20" t="n">
        <v>14078</v>
      </c>
      <c r="J78" s="20" t="n">
        <v>25485</v>
      </c>
      <c r="K78" s="20" t="n">
        <v>15177</v>
      </c>
    </row>
    <row r="79">
      <c r="A79" s="18" t="inlineStr">
        <is>
          <t>Lease Receivables And Investment Assets CA</t>
        </is>
      </c>
      <c r="C79" s="20" t="n">
        <v>34838</v>
      </c>
      <c r="D79" s="20" t="n">
        <v>34906</v>
      </c>
      <c r="E79" s="20" t="n">
        <v>35971</v>
      </c>
      <c r="F79" s="20" t="n">
        <v>36826</v>
      </c>
      <c r="G79" s="20" t="n">
        <v>37312</v>
      </c>
      <c r="H79" s="20" t="n">
        <v>27010</v>
      </c>
      <c r="I79" s="20" t="n">
        <v>30456</v>
      </c>
      <c r="J79" s="20" t="n">
        <v>33365</v>
      </c>
      <c r="K79" s="20" t="n">
        <v>36826</v>
      </c>
    </row>
    <row r="80">
      <c r="A80" s="18" t="inlineStr">
        <is>
          <t>기타 자산</t>
        </is>
      </c>
      <c r="C80" s="20" t="n">
        <v>136353</v>
      </c>
      <c r="D80" s="20" t="n">
        <v>154141</v>
      </c>
      <c r="E80" s="20" t="n">
        <v>205506</v>
      </c>
      <c r="F80" s="20" t="n">
        <v>216881</v>
      </c>
      <c r="G80" s="20" t="n">
        <v>220572</v>
      </c>
      <c r="H80" s="20" t="n">
        <v>157594</v>
      </c>
      <c r="I80" s="20" t="n">
        <v>198940</v>
      </c>
      <c r="J80" s="20" t="n">
        <v>144413</v>
      </c>
      <c r="K80" s="20" t="n">
        <v>216881</v>
      </c>
    </row>
    <row r="81">
      <c r="A81" s="18" t="inlineStr">
        <is>
          <t>유형자산</t>
        </is>
      </c>
      <c r="C81" s="20" t="n">
        <v>42616</v>
      </c>
      <c r="D81" s="20" t="n">
        <v>44728</v>
      </c>
      <c r="E81" s="20" t="n">
        <v>45173</v>
      </c>
      <c r="F81" s="20" t="n">
        <v>46701</v>
      </c>
      <c r="G81" s="20" t="n">
        <v>42884</v>
      </c>
      <c r="H81" s="20" t="n">
        <v>35631</v>
      </c>
      <c r="I81" s="20" t="n">
        <v>35622</v>
      </c>
      <c r="J81" s="20" t="n">
        <v>42315</v>
      </c>
      <c r="K81" s="20" t="n">
        <v>46701</v>
      </c>
    </row>
    <row r="82">
      <c r="A82" s="18" t="inlineStr">
        <is>
          <t>건물</t>
        </is>
      </c>
      <c r="F82" s="20" t="n">
        <v>9781</v>
      </c>
      <c r="H82" s="20" t="n">
        <v>10043</v>
      </c>
      <c r="I82" s="20" t="n">
        <v>9391</v>
      </c>
      <c r="J82" s="20" t="n">
        <v>9123</v>
      </c>
      <c r="K82" s="20" t="n">
        <v>9781</v>
      </c>
    </row>
    <row r="83">
      <c r="A83" s="18" t="inlineStr">
        <is>
          <t>토지</t>
        </is>
      </c>
      <c r="F83" s="20" t="n">
        <v>19100</v>
      </c>
      <c r="H83" s="20" t="n">
        <v>18827</v>
      </c>
      <c r="I83" s="20" t="n">
        <v>19030</v>
      </c>
      <c r="J83" s="20" t="n">
        <v>19043</v>
      </c>
      <c r="K83" s="20" t="n">
        <v>19100</v>
      </c>
    </row>
    <row r="84">
      <c r="A84" s="18" t="inlineStr">
        <is>
          <t>건설중인자산</t>
        </is>
      </c>
      <c r="F84" s="20" t="n">
        <v>486</v>
      </c>
      <c r="H84" s="20" t="n">
        <v>62</v>
      </c>
      <c r="I84" s="20" t="n">
        <v>177</v>
      </c>
      <c r="J84" s="20" t="n">
        <v>255</v>
      </c>
      <c r="K84" s="20" t="n">
        <v>486</v>
      </c>
    </row>
    <row r="85">
      <c r="A85" s="18" t="inlineStr">
        <is>
          <t>리스자산</t>
        </is>
      </c>
      <c r="F85" s="20" t="n">
        <v>2104</v>
      </c>
      <c r="H85" s="20" t="n">
        <v>1595</v>
      </c>
      <c r="I85" s="20" t="n">
        <v>1344</v>
      </c>
      <c r="J85" s="20" t="n">
        <v>1095</v>
      </c>
      <c r="K85" s="20" t="n">
        <v>2104</v>
      </c>
    </row>
    <row r="86">
      <c r="A86" s="18" t="inlineStr">
        <is>
          <t>기타 유형자산</t>
        </is>
      </c>
      <c r="F86" s="20" t="n">
        <v>15228</v>
      </c>
      <c r="H86" s="20" t="n">
        <v>5101</v>
      </c>
      <c r="I86" s="20" t="n">
        <v>5679</v>
      </c>
      <c r="J86" s="20" t="n">
        <v>12796</v>
      </c>
      <c r="K86" s="20" t="n">
        <v>15228</v>
      </c>
    </row>
    <row r="87">
      <c r="A87" s="18" t="inlineStr">
        <is>
          <t>무형자산</t>
        </is>
      </c>
      <c r="C87" s="20" t="n">
        <v>2562</v>
      </c>
      <c r="D87" s="20" t="n">
        <v>4116</v>
      </c>
      <c r="E87" s="20" t="n">
        <v>4341</v>
      </c>
      <c r="F87" s="20" t="n">
        <v>5088</v>
      </c>
      <c r="G87" s="20" t="n">
        <v>5769</v>
      </c>
      <c r="H87" s="20" t="n">
        <v>1712</v>
      </c>
      <c r="I87" s="20" t="n">
        <v>2301</v>
      </c>
      <c r="J87" s="20" t="n">
        <v>2523</v>
      </c>
      <c r="K87" s="20" t="n">
        <v>5088</v>
      </c>
    </row>
    <row r="88">
      <c r="A88" s="18" t="inlineStr">
        <is>
          <t>소프트웨어</t>
        </is>
      </c>
      <c r="F88" s="20" t="n">
        <v>2118</v>
      </c>
      <c r="H88" s="20" t="n">
        <v>1251</v>
      </c>
      <c r="I88" s="20" t="n">
        <v>1994</v>
      </c>
      <c r="J88" s="20" t="n">
        <v>2063</v>
      </c>
      <c r="K88" s="20" t="n">
        <v>2118</v>
      </c>
    </row>
    <row r="89">
      <c r="A89" s="18" t="inlineStr">
        <is>
          <t>개발 중 소프트웨어</t>
        </is>
      </c>
      <c r="F89" s="20" t="n">
        <v>1696</v>
      </c>
      <c r="H89" s="20" t="n">
        <v>367</v>
      </c>
      <c r="I89" s="20" t="n">
        <v>213</v>
      </c>
      <c r="J89" s="20" t="n">
        <v>333</v>
      </c>
      <c r="K89" s="20" t="n">
        <v>1696</v>
      </c>
    </row>
    <row r="90">
      <c r="A90" s="18" t="inlineStr">
        <is>
          <t>영업권</t>
        </is>
      </c>
      <c r="F90" s="20" t="n">
        <v>1137</v>
      </c>
      <c r="J90" s="20" t="n">
        <v>0</v>
      </c>
      <c r="K90" s="20" t="n">
        <v>1137</v>
      </c>
    </row>
    <row r="91">
      <c r="A91" s="18" t="inlineStr">
        <is>
          <t>기타 무형자산</t>
        </is>
      </c>
      <c r="F91" s="20" t="n">
        <v>135</v>
      </c>
      <c r="H91" s="20" t="n">
        <v>93</v>
      </c>
      <c r="I91" s="20" t="n">
        <v>93</v>
      </c>
      <c r="J91" s="20" t="n">
        <v>126</v>
      </c>
      <c r="K91" s="20" t="n">
        <v>135</v>
      </c>
    </row>
    <row r="92">
      <c r="A92" s="18" t="inlineStr">
        <is>
          <t>퇴직급여자산</t>
        </is>
      </c>
      <c r="C92" s="20" t="n">
        <v>9487</v>
      </c>
      <c r="D92" s="20" t="n">
        <v>9785</v>
      </c>
      <c r="E92" s="20" t="n">
        <v>10075</v>
      </c>
      <c r="F92" s="20" t="n">
        <v>20536</v>
      </c>
      <c r="G92" s="20" t="n">
        <v>20893</v>
      </c>
      <c r="H92" s="20" t="n">
        <v>0</v>
      </c>
      <c r="I92" s="20" t="n">
        <v>9010</v>
      </c>
      <c r="J92" s="20" t="n">
        <v>9195</v>
      </c>
      <c r="K92" s="20" t="n">
        <v>20536</v>
      </c>
    </row>
    <row r="93">
      <c r="A93" s="18" t="inlineStr">
        <is>
          <t>이연법인세자산</t>
        </is>
      </c>
      <c r="C93" s="20" t="n">
        <v>19281</v>
      </c>
      <c r="D93" s="20" t="n">
        <v>9655</v>
      </c>
      <c r="E93" s="20" t="n">
        <v>5472</v>
      </c>
      <c r="F93" s="20" t="n">
        <v>5511</v>
      </c>
      <c r="G93" s="20" t="n">
        <v>872</v>
      </c>
      <c r="H93" s="20" t="n">
        <v>17594</v>
      </c>
      <c r="I93" s="20" t="n">
        <v>4582</v>
      </c>
      <c r="J93" s="20" t="n">
        <v>28534</v>
      </c>
      <c r="K93" s="20" t="n">
        <v>5511</v>
      </c>
    </row>
    <row r="94">
      <c r="A94" s="18" t="inlineStr">
        <is>
          <t>Customers Liabilities For Acceptances And Guarantees Assets BNK</t>
        </is>
      </c>
      <c r="C94" s="20" t="n">
        <v>53679</v>
      </c>
      <c r="D94" s="20" t="n">
        <v>53686</v>
      </c>
      <c r="E94" s="20" t="n">
        <v>54790</v>
      </c>
      <c r="F94" s="20" t="n">
        <v>51844</v>
      </c>
      <c r="G94" s="20" t="n">
        <v>56867</v>
      </c>
      <c r="H94" s="20" t="n">
        <v>31110</v>
      </c>
      <c r="I94" s="20" t="n">
        <v>34450</v>
      </c>
      <c r="J94" s="20" t="n">
        <v>55491</v>
      </c>
      <c r="K94" s="20" t="n">
        <v>51844</v>
      </c>
    </row>
    <row r="95">
      <c r="A95" s="18" t="inlineStr">
        <is>
          <t>대손충당금</t>
        </is>
      </c>
      <c r="C95" s="20" t="n">
        <v>-72169</v>
      </c>
      <c r="D95" s="20" t="n">
        <v>-75000</v>
      </c>
      <c r="E95" s="20" t="n">
        <v>-73641</v>
      </c>
      <c r="F95" s="20" t="n">
        <v>-75075</v>
      </c>
      <c r="G95" s="20" t="n">
        <v>-75256</v>
      </c>
      <c r="H95" s="20" t="n">
        <v>-54302</v>
      </c>
      <c r="I95" s="20" t="n">
        <v>-60570</v>
      </c>
      <c r="J95" s="20" t="n">
        <v>-72674</v>
      </c>
      <c r="K95" s="20" t="n">
        <v>-75075</v>
      </c>
    </row>
    <row r="96">
      <c r="A96" s="9" t="inlineStr">
        <is>
          <t>자산 합계</t>
        </is>
      </c>
      <c r="C96" s="12" t="n">
        <v>11236333</v>
      </c>
      <c r="D96" s="12" t="n">
        <v>11270811</v>
      </c>
      <c r="E96" s="12" t="n">
        <v>11465093</v>
      </c>
      <c r="F96" s="12" t="n">
        <v>11370252</v>
      </c>
      <c r="G96" s="12" t="n">
        <v>11397875</v>
      </c>
      <c r="H96" s="12" t="n">
        <v>9849196</v>
      </c>
      <c r="I96" s="12" t="n">
        <v>10763804</v>
      </c>
      <c r="J96" s="12" t="n">
        <v>11045576</v>
      </c>
      <c r="K96" s="12" t="n">
        <v>11370252</v>
      </c>
    </row>
    <row r="97">
      <c r="A97" s="18" t="inlineStr">
        <is>
          <t>예금</t>
        </is>
      </c>
      <c r="C97" s="20" t="n">
        <v>8452482</v>
      </c>
      <c r="D97" s="20" t="n">
        <v>8437450</v>
      </c>
      <c r="E97" s="20" t="n">
        <v>8591289</v>
      </c>
      <c r="F97" s="20" t="n">
        <v>8445033</v>
      </c>
      <c r="G97" s="20" t="n">
        <v>8523231</v>
      </c>
      <c r="H97" s="20" t="n">
        <v>7898033</v>
      </c>
      <c r="I97" s="20" t="n">
        <v>8211551</v>
      </c>
      <c r="J97" s="20" t="n">
        <v>8256715</v>
      </c>
      <c r="K97" s="20" t="n">
        <v>8445033</v>
      </c>
    </row>
    <row r="98">
      <c r="A98" s="18" t="inlineStr">
        <is>
          <t>양도성예금</t>
        </is>
      </c>
      <c r="C98" s="20" t="n">
        <v>86488</v>
      </c>
      <c r="D98" s="20" t="n">
        <v>75134</v>
      </c>
      <c r="E98" s="20" t="n">
        <v>73754</v>
      </c>
      <c r="F98" s="20" t="n">
        <v>58869</v>
      </c>
      <c r="G98" s="20" t="n">
        <v>62724</v>
      </c>
      <c r="H98" s="20" t="n">
        <v>155489</v>
      </c>
      <c r="I98" s="20" t="n">
        <v>98020</v>
      </c>
      <c r="J98" s="20" t="n">
        <v>107075</v>
      </c>
      <c r="K98" s="20" t="n">
        <v>58869</v>
      </c>
    </row>
    <row r="99">
      <c r="A99" s="18" t="inlineStr">
        <is>
          <t>콜머니</t>
        </is>
      </c>
      <c r="C99" s="20" t="n">
        <v>171166</v>
      </c>
      <c r="D99" s="20" t="n">
        <v>152969</v>
      </c>
      <c r="E99" s="20" t="n">
        <v>168960</v>
      </c>
      <c r="F99" s="20" t="n">
        <v>151232</v>
      </c>
      <c r="G99" s="20" t="n">
        <v>130452</v>
      </c>
      <c r="H99" s="20" t="n">
        <v>179987</v>
      </c>
      <c r="I99" s="20" t="n">
        <v>145023</v>
      </c>
      <c r="J99" s="20" t="n">
        <v>165426</v>
      </c>
      <c r="K99" s="20" t="n">
        <v>151232</v>
      </c>
    </row>
    <row r="100">
      <c r="A100" s="18" t="inlineStr">
        <is>
          <t>매도현선(RP)계정</t>
        </is>
      </c>
      <c r="C100" s="20" t="n">
        <v>117560</v>
      </c>
      <c r="D100" s="20" t="n">
        <v>75722</v>
      </c>
      <c r="E100" s="20" t="n">
        <v>72756</v>
      </c>
      <c r="F100" s="20" t="n">
        <v>78543</v>
      </c>
      <c r="G100" s="20" t="n">
        <v>126389</v>
      </c>
      <c r="H100" s="20" t="n">
        <v>93913</v>
      </c>
      <c r="I100" s="20" t="n">
        <v>158022</v>
      </c>
      <c r="J100" s="20" t="n">
        <v>149768</v>
      </c>
      <c r="K100" s="20" t="n">
        <v>78543</v>
      </c>
    </row>
    <row r="101">
      <c r="A101" s="18" t="inlineStr">
        <is>
          <t>채권대차거래 수입담보금</t>
        </is>
      </c>
      <c r="C101" s="20" t="n">
        <v>798876</v>
      </c>
      <c r="D101" s="20" t="n">
        <v>842535</v>
      </c>
      <c r="E101" s="20" t="n">
        <v>842825</v>
      </c>
      <c r="F101" s="20" t="n">
        <v>763018</v>
      </c>
      <c r="G101" s="20" t="n">
        <v>610359</v>
      </c>
      <c r="H101" s="20" t="n">
        <v>423430</v>
      </c>
      <c r="I101" s="20" t="n">
        <v>604049</v>
      </c>
      <c r="J101" s="20" t="n">
        <v>765678</v>
      </c>
      <c r="K101" s="20" t="n">
        <v>763018</v>
      </c>
    </row>
    <row r="102">
      <c r="A102" s="18" t="inlineStr">
        <is>
          <t>기업어음(CP)</t>
        </is>
      </c>
      <c r="H102" s="20" t="n">
        <v>46530</v>
      </c>
      <c r="I102" s="20" t="n">
        <v>0</v>
      </c>
    </row>
    <row r="103">
      <c r="A103" s="18" t="inlineStr">
        <is>
          <t>차용금</t>
        </is>
      </c>
      <c r="C103" s="20" t="n">
        <v>760783</v>
      </c>
      <c r="D103" s="20" t="n">
        <v>759382</v>
      </c>
      <c r="E103" s="20" t="n">
        <v>760962</v>
      </c>
      <c r="F103" s="20" t="n">
        <v>851857</v>
      </c>
      <c r="G103" s="20" t="n">
        <v>832315</v>
      </c>
      <c r="H103" s="20" t="n">
        <v>320843</v>
      </c>
      <c r="I103" s="20" t="n">
        <v>744106</v>
      </c>
      <c r="J103" s="20" t="n">
        <v>763697</v>
      </c>
      <c r="K103" s="20" t="n">
        <v>851857</v>
      </c>
    </row>
    <row r="104">
      <c r="A104" s="18" t="inlineStr">
        <is>
          <t>외국환</t>
        </is>
      </c>
      <c r="C104" s="20" t="n">
        <v>694</v>
      </c>
      <c r="D104" s="20" t="n">
        <v>304</v>
      </c>
      <c r="E104" s="20" t="n">
        <v>832</v>
      </c>
      <c r="F104" s="20" t="n">
        <v>692</v>
      </c>
      <c r="G104" s="20" t="n">
        <v>267</v>
      </c>
      <c r="H104" s="20" t="n">
        <v>492</v>
      </c>
      <c r="I104" s="20" t="n">
        <v>440</v>
      </c>
      <c r="J104" s="20" t="n">
        <v>409</v>
      </c>
      <c r="K104" s="20" t="n">
        <v>692</v>
      </c>
    </row>
    <row r="105">
      <c r="A105" s="18" t="inlineStr">
        <is>
          <t>사채</t>
        </is>
      </c>
      <c r="C105" s="20" t="n">
        <v>30000</v>
      </c>
      <c r="D105" s="20" t="n">
        <v>50000</v>
      </c>
      <c r="E105" s="20" t="n">
        <v>40000</v>
      </c>
      <c r="F105" s="20" t="n">
        <v>40000</v>
      </c>
      <c r="G105" s="20" t="n">
        <v>40000</v>
      </c>
      <c r="H105" s="20" t="n">
        <v>10000</v>
      </c>
      <c r="I105" s="20" t="n">
        <v>10000</v>
      </c>
      <c r="J105" s="20" t="n">
        <v>30000</v>
      </c>
      <c r="K105" s="20" t="n">
        <v>40000</v>
      </c>
    </row>
    <row r="106">
      <c r="A106" s="18" t="inlineStr">
        <is>
          <t>신탁계정 차변</t>
        </is>
      </c>
      <c r="C106" s="20" t="n">
        <v>12748</v>
      </c>
      <c r="D106" s="20" t="n">
        <v>13500</v>
      </c>
      <c r="E106" s="20" t="n">
        <v>14160</v>
      </c>
      <c r="F106" s="20" t="n">
        <v>14185</v>
      </c>
      <c r="G106" s="20" t="n">
        <v>15103</v>
      </c>
      <c r="H106" s="20" t="n">
        <v>8496</v>
      </c>
      <c r="I106" s="20" t="n">
        <v>9988</v>
      </c>
      <c r="J106" s="20" t="n">
        <v>11933</v>
      </c>
      <c r="K106" s="20" t="n">
        <v>14185</v>
      </c>
    </row>
    <row r="107">
      <c r="A107" s="18" t="inlineStr">
        <is>
          <t>기타 부채</t>
        </is>
      </c>
      <c r="C107" s="20" t="n">
        <v>182902</v>
      </c>
      <c r="D107" s="20" t="n">
        <v>211664</v>
      </c>
      <c r="E107" s="20" t="n">
        <v>231561</v>
      </c>
      <c r="F107" s="20" t="n">
        <v>290495</v>
      </c>
      <c r="G107" s="20" t="n">
        <v>307301</v>
      </c>
      <c r="H107" s="20" t="n">
        <v>147012</v>
      </c>
      <c r="I107" s="20" t="n">
        <v>163073</v>
      </c>
      <c r="J107" s="20" t="n">
        <v>192454</v>
      </c>
      <c r="K107" s="20" t="n">
        <v>290495</v>
      </c>
    </row>
    <row r="108">
      <c r="A108" s="18" t="inlineStr">
        <is>
          <t>상여충당금</t>
        </is>
      </c>
      <c r="C108" s="20" t="n">
        <v>0</v>
      </c>
      <c r="D108" s="20" t="n">
        <v>1791</v>
      </c>
      <c r="E108" s="20" t="n">
        <v>0</v>
      </c>
      <c r="F108" s="20" t="n">
        <v>2046</v>
      </c>
      <c r="G108" s="20" t="n">
        <v>0</v>
      </c>
      <c r="H108" s="20" t="n">
        <v>1547</v>
      </c>
      <c r="I108" s="20" t="n">
        <v>1573</v>
      </c>
      <c r="J108" s="20" t="n">
        <v>1779</v>
      </c>
      <c r="K108" s="20" t="n">
        <v>2046</v>
      </c>
    </row>
    <row r="109">
      <c r="A109" s="18" t="inlineStr">
        <is>
          <t>임원 상여충당금</t>
        </is>
      </c>
      <c r="C109" s="20" t="n">
        <v>1</v>
      </c>
      <c r="D109" s="20" t="n">
        <v>2</v>
      </c>
      <c r="E109" s="20" t="n">
        <v>3</v>
      </c>
      <c r="F109" s="20" t="n">
        <v>30</v>
      </c>
      <c r="G109" s="20" t="n">
        <v>1</v>
      </c>
      <c r="H109" s="20" t="n">
        <v>25</v>
      </c>
      <c r="I109" s="20" t="n">
        <v>44</v>
      </c>
      <c r="J109" s="20" t="n">
        <v>43</v>
      </c>
      <c r="K109" s="20" t="n">
        <v>30</v>
      </c>
    </row>
    <row r="110">
      <c r="A110" s="18" t="inlineStr">
        <is>
          <t>퇴직급여부채</t>
        </is>
      </c>
      <c r="C110" s="20" t="n">
        <v>1533</v>
      </c>
      <c r="D110" s="20" t="n">
        <v>1263</v>
      </c>
      <c r="E110" s="20" t="n">
        <v>1212</v>
      </c>
      <c r="F110" s="20" t="n">
        <v>253</v>
      </c>
      <c r="G110" s="20" t="n">
        <v>258</v>
      </c>
      <c r="H110" s="20" t="n">
        <v>3466</v>
      </c>
      <c r="I110" s="20" t="n">
        <v>429</v>
      </c>
      <c r="J110" s="20" t="n">
        <v>1625</v>
      </c>
      <c r="K110" s="20" t="n">
        <v>253</v>
      </c>
    </row>
    <row r="111">
      <c r="A111" s="18" t="inlineStr">
        <is>
          <t>임원 퇴직위로 충당금</t>
        </is>
      </c>
      <c r="C111" s="20" t="n">
        <v>27</v>
      </c>
      <c r="D111" s="20" t="n">
        <v>30</v>
      </c>
      <c r="E111" s="20" t="n">
        <v>27</v>
      </c>
      <c r="F111" s="20" t="n">
        <v>29</v>
      </c>
      <c r="G111" s="20" t="n">
        <v>22</v>
      </c>
      <c r="H111" s="20" t="n">
        <v>49</v>
      </c>
      <c r="I111" s="20" t="n">
        <v>54</v>
      </c>
      <c r="J111" s="20" t="n">
        <v>53</v>
      </c>
      <c r="K111" s="20" t="n">
        <v>29</v>
      </c>
    </row>
    <row r="112">
      <c r="A112" s="18" t="inlineStr">
        <is>
          <t>Provision For Reimbursement Of Deposits Liabilities BNK</t>
        </is>
      </c>
      <c r="C112" s="20" t="n">
        <v>592</v>
      </c>
      <c r="D112" s="20" t="n">
        <v>563</v>
      </c>
      <c r="E112" s="20" t="n">
        <v>545</v>
      </c>
      <c r="F112" s="20" t="n">
        <v>550</v>
      </c>
      <c r="G112" s="20" t="n">
        <v>515</v>
      </c>
      <c r="H112" s="20" t="n">
        <v>250</v>
      </c>
      <c r="I112" s="20" t="n">
        <v>800</v>
      </c>
      <c r="J112" s="20" t="n">
        <v>650</v>
      </c>
      <c r="K112" s="20" t="n">
        <v>550</v>
      </c>
    </row>
    <row r="113">
      <c r="A113" s="18" t="inlineStr">
        <is>
          <t>포인트 충당금</t>
        </is>
      </c>
      <c r="C113" s="20" t="n">
        <v>157</v>
      </c>
      <c r="D113" s="20" t="n">
        <v>158</v>
      </c>
      <c r="E113" s="20" t="n">
        <v>158</v>
      </c>
      <c r="F113" s="20" t="n">
        <v>145</v>
      </c>
      <c r="G113" s="20" t="n">
        <v>157</v>
      </c>
      <c r="H113" s="20" t="n">
        <v>114</v>
      </c>
      <c r="I113" s="20" t="n">
        <v>133</v>
      </c>
      <c r="J113" s="20" t="n">
        <v>143</v>
      </c>
      <c r="K113" s="20" t="n">
        <v>145</v>
      </c>
    </row>
    <row r="114">
      <c r="A114" s="18" t="inlineStr">
        <is>
          <t>특별법상 충당금</t>
        </is>
      </c>
      <c r="C114" s="20" t="n">
        <v>8</v>
      </c>
      <c r="D114" s="20" t="n">
        <v>8</v>
      </c>
      <c r="E114" s="20" t="n">
        <v>8</v>
      </c>
      <c r="F114" s="20" t="n">
        <v>10</v>
      </c>
      <c r="G114" s="20" t="n">
        <v>10</v>
      </c>
      <c r="H114" s="20" t="n">
        <v>7</v>
      </c>
      <c r="I114" s="20" t="n">
        <v>8</v>
      </c>
      <c r="J114" s="20" t="n">
        <v>8</v>
      </c>
      <c r="K114" s="20" t="n">
        <v>10</v>
      </c>
    </row>
    <row r="115">
      <c r="A115" s="18" t="inlineStr">
        <is>
          <t>이연법인세부채</t>
        </is>
      </c>
      <c r="C115" s="20" t="n">
        <v>509</v>
      </c>
      <c r="D115" s="20" t="n">
        <v>646</v>
      </c>
      <c r="E115" s="20" t="n">
        <v>606</v>
      </c>
      <c r="F115" s="20" t="n">
        <v>712</v>
      </c>
      <c r="G115" s="20" t="n">
        <v>18459</v>
      </c>
      <c r="H115" s="20" t="n">
        <v>449</v>
      </c>
      <c r="I115" s="20" t="n">
        <v>918</v>
      </c>
      <c r="J115" s="20" t="n">
        <v>255</v>
      </c>
      <c r="K115" s="20" t="n">
        <v>712</v>
      </c>
    </row>
    <row r="116">
      <c r="A116" s="18" t="inlineStr">
        <is>
          <t>Acceptances And Guarantees Liabilities BNK</t>
        </is>
      </c>
      <c r="C116" s="20" t="n">
        <v>53679</v>
      </c>
      <c r="D116" s="20" t="n">
        <v>53686</v>
      </c>
      <c r="E116" s="20" t="n">
        <v>54790</v>
      </c>
      <c r="F116" s="20" t="n">
        <v>51844</v>
      </c>
      <c r="G116" s="20" t="n">
        <v>56867</v>
      </c>
      <c r="H116" s="20" t="n">
        <v>31110</v>
      </c>
      <c r="I116" s="20" t="n">
        <v>34450</v>
      </c>
      <c r="J116" s="20" t="n">
        <v>55491</v>
      </c>
      <c r="K116" s="20" t="n">
        <v>51844</v>
      </c>
    </row>
    <row r="117">
      <c r="A117" s="9" t="inlineStr">
        <is>
          <t>부채 합계</t>
        </is>
      </c>
      <c r="C117" s="12" t="n">
        <v>10670212</v>
      </c>
      <c r="D117" s="12" t="n">
        <v>10676816</v>
      </c>
      <c r="E117" s="12" t="n">
        <v>10854456</v>
      </c>
      <c r="F117" s="12" t="n">
        <v>10749551</v>
      </c>
      <c r="G117" s="12" t="n">
        <v>10724437</v>
      </c>
      <c r="H117" s="12" t="n">
        <v>9321248</v>
      </c>
      <c r="I117" s="12" t="n">
        <v>10182689</v>
      </c>
      <c r="J117" s="12" t="n">
        <v>10503210</v>
      </c>
      <c r="K117" s="12" t="n">
        <v>10749551</v>
      </c>
    </row>
    <row r="118">
      <c r="A118" s="18" t="inlineStr">
        <is>
          <t>자본금</t>
        </is>
      </c>
      <c r="C118" s="20" t="n">
        <v>16000</v>
      </c>
      <c r="D118" s="20" t="n">
        <v>16000</v>
      </c>
      <c r="E118" s="20" t="n">
        <v>16000</v>
      </c>
      <c r="F118" s="20" t="n">
        <v>16000</v>
      </c>
      <c r="G118" s="20" t="n">
        <v>16000</v>
      </c>
      <c r="H118" s="20" t="n">
        <v>16000</v>
      </c>
      <c r="I118" s="20" t="n">
        <v>16000</v>
      </c>
      <c r="J118" s="20" t="n">
        <v>16000</v>
      </c>
      <c r="K118" s="20" t="n">
        <v>16000</v>
      </c>
    </row>
    <row r="119">
      <c r="A119" s="18" t="inlineStr">
        <is>
          <t>자본잉여금</t>
        </is>
      </c>
      <c r="C119" s="20" t="n">
        <v>7427</v>
      </c>
      <c r="D119" s="20" t="n">
        <v>7453</v>
      </c>
      <c r="E119" s="20" t="n">
        <v>7453</v>
      </c>
      <c r="F119" s="20" t="n">
        <v>7453</v>
      </c>
      <c r="G119" s="20" t="n">
        <v>7404</v>
      </c>
      <c r="H119" s="20" t="n">
        <v>7302</v>
      </c>
      <c r="I119" s="20" t="n">
        <v>7292</v>
      </c>
      <c r="J119" s="20" t="n">
        <v>7314</v>
      </c>
      <c r="K119" s="20" t="n">
        <v>7453</v>
      </c>
    </row>
    <row r="120">
      <c r="A120" s="18" t="inlineStr">
        <is>
          <t>이익잉여금</t>
        </is>
      </c>
      <c r="C120" s="20" t="n">
        <v>515392</v>
      </c>
      <c r="D120" s="20" t="n">
        <v>522872</v>
      </c>
      <c r="E120" s="20" t="n">
        <v>530504</v>
      </c>
      <c r="F120" s="20" t="n">
        <v>538633</v>
      </c>
      <c r="G120" s="20" t="n">
        <v>543092</v>
      </c>
      <c r="H120" s="20" t="n">
        <v>479276</v>
      </c>
      <c r="I120" s="20" t="n">
        <v>494988</v>
      </c>
      <c r="J120" s="20" t="n">
        <v>511855</v>
      </c>
      <c r="K120" s="20" t="n">
        <v>538633</v>
      </c>
    </row>
    <row r="121">
      <c r="A121" s="18" t="inlineStr">
        <is>
          <t>자기주식</t>
        </is>
      </c>
      <c r="C121" s="20" t="n">
        <v>-8245</v>
      </c>
      <c r="D121" s="20" t="n">
        <v>-10016</v>
      </c>
      <c r="E121" s="20" t="n">
        <v>-10016</v>
      </c>
      <c r="F121" s="20" t="n">
        <v>-10017</v>
      </c>
      <c r="G121" s="20" t="n">
        <v>-9906</v>
      </c>
      <c r="H121" s="20" t="n">
        <v>-1000</v>
      </c>
      <c r="I121" s="20" t="n">
        <v>-2812</v>
      </c>
      <c r="J121" s="20" t="n">
        <v>-7637</v>
      </c>
      <c r="K121" s="20" t="n">
        <v>-10017</v>
      </c>
    </row>
    <row r="122">
      <c r="A122" s="9" t="inlineStr">
        <is>
          <t>주주자본 합계</t>
        </is>
      </c>
      <c r="C122" s="12" t="n">
        <v>530574</v>
      </c>
      <c r="D122" s="12" t="n">
        <v>536309</v>
      </c>
      <c r="E122" s="12" t="n">
        <v>543940</v>
      </c>
      <c r="F122" s="12" t="n">
        <v>552069</v>
      </c>
      <c r="G122" s="12" t="n">
        <v>556590</v>
      </c>
      <c r="H122" s="12" t="n">
        <v>501579</v>
      </c>
      <c r="I122" s="12" t="n">
        <v>515468</v>
      </c>
      <c r="J122" s="12" t="n">
        <v>527533</v>
      </c>
      <c r="K122" s="12" t="n">
        <v>552069</v>
      </c>
    </row>
    <row r="123">
      <c r="A123" s="18" t="inlineStr">
        <is>
          <t>기타유가증권 평가차액</t>
        </is>
      </c>
      <c r="C123" s="20" t="n">
        <v>10496</v>
      </c>
      <c r="D123" s="20" t="n">
        <v>22117</v>
      </c>
      <c r="E123" s="20" t="n">
        <v>13316</v>
      </c>
      <c r="F123" s="20" t="n">
        <v>-2080</v>
      </c>
      <c r="G123" s="20" t="n">
        <v>44221</v>
      </c>
      <c r="H123" s="20" t="n">
        <v>34234</v>
      </c>
      <c r="I123" s="20" t="n">
        <v>55647</v>
      </c>
      <c r="J123" s="20" t="n">
        <v>-8643</v>
      </c>
      <c r="K123" s="20" t="n">
        <v>-2080</v>
      </c>
    </row>
    <row r="124">
      <c r="A124" s="18" t="inlineStr">
        <is>
          <t>이연헤지손익</t>
        </is>
      </c>
      <c r="C124" s="20" t="n">
        <v>22292</v>
      </c>
      <c r="D124" s="20" t="n">
        <v>32505</v>
      </c>
      <c r="E124" s="20" t="n">
        <v>50178</v>
      </c>
      <c r="F124" s="20" t="n">
        <v>59704</v>
      </c>
      <c r="G124" s="20" t="n">
        <v>61922</v>
      </c>
      <c r="H124" s="20" t="n">
        <v>-3320</v>
      </c>
      <c r="I124" s="20" t="n">
        <v>6024</v>
      </c>
      <c r="J124" s="20" t="n">
        <v>20852</v>
      </c>
      <c r="K124" s="20" t="n">
        <v>59704</v>
      </c>
    </row>
    <row r="125">
      <c r="A125" s="18" t="inlineStr">
        <is>
          <t>퇴직급여 조정누계액</t>
        </is>
      </c>
      <c r="C125" s="20" t="n">
        <v>2641</v>
      </c>
      <c r="D125" s="20" t="n">
        <v>2949</v>
      </c>
      <c r="E125" s="20" t="n">
        <v>3086</v>
      </c>
      <c r="F125" s="20" t="n">
        <v>10893</v>
      </c>
      <c r="G125" s="20" t="n">
        <v>10651</v>
      </c>
      <c r="H125" s="20" t="n">
        <v>-4818</v>
      </c>
      <c r="I125" s="20" t="n">
        <v>3754</v>
      </c>
      <c r="J125" s="20" t="n">
        <v>2481</v>
      </c>
      <c r="K125" s="20" t="n">
        <v>10893</v>
      </c>
    </row>
    <row r="126">
      <c r="A126" s="18" t="inlineStr">
        <is>
          <t>기타포괄손익누계액 합계</t>
        </is>
      </c>
      <c r="C126" s="20" t="n">
        <v>35431</v>
      </c>
      <c r="D126" s="20" t="n">
        <v>57571</v>
      </c>
      <c r="E126" s="20" t="n">
        <v>66581</v>
      </c>
      <c r="F126" s="20" t="n">
        <v>68517</v>
      </c>
      <c r="G126" s="20" t="n">
        <v>116795</v>
      </c>
      <c r="H126" s="20" t="n">
        <v>26096</v>
      </c>
      <c r="I126" s="20" t="n">
        <v>65426</v>
      </c>
      <c r="J126" s="20" t="n">
        <v>14690</v>
      </c>
      <c r="K126" s="20" t="n">
        <v>68517</v>
      </c>
    </row>
    <row r="127">
      <c r="A127" s="18" t="inlineStr">
        <is>
          <t>신주예약권</t>
        </is>
      </c>
      <c r="C127" s="20" t="n">
        <v>114</v>
      </c>
      <c r="D127" s="20" t="n">
        <v>114</v>
      </c>
      <c r="E127" s="20" t="n">
        <v>114</v>
      </c>
      <c r="F127" s="20" t="n">
        <v>114</v>
      </c>
      <c r="G127" s="20" t="n">
        <v>51</v>
      </c>
      <c r="H127" s="20" t="n">
        <v>272</v>
      </c>
      <c r="I127" s="20" t="n">
        <v>220</v>
      </c>
      <c r="J127" s="20" t="n">
        <v>141</v>
      </c>
      <c r="K127" s="20" t="n">
        <v>114</v>
      </c>
    </row>
    <row r="128">
      <c r="A128" s="9" t="inlineStr">
        <is>
          <t>순자산 합계</t>
        </is>
      </c>
      <c r="C128" s="12" t="n">
        <v>566120</v>
      </c>
      <c r="D128" s="12" t="n">
        <v>593995</v>
      </c>
      <c r="E128" s="12" t="n">
        <v>610636</v>
      </c>
      <c r="F128" s="12" t="n">
        <v>620700</v>
      </c>
      <c r="G128" s="12" t="n">
        <v>673437</v>
      </c>
      <c r="H128" s="12" t="n">
        <v>527948</v>
      </c>
      <c r="I128" s="12" t="n">
        <v>581115</v>
      </c>
      <c r="J128" s="12" t="n">
        <v>542366</v>
      </c>
      <c r="K128" s="12" t="n">
        <v>620700</v>
      </c>
    </row>
    <row r="129">
      <c r="A129" s="9" t="inlineStr">
        <is>
          <t>부채 및 순자산 합계</t>
        </is>
      </c>
      <c r="C129" s="12" t="n">
        <v>11236333</v>
      </c>
      <c r="D129" s="12" t="n">
        <v>11270811</v>
      </c>
      <c r="E129" s="12" t="n">
        <v>11465093</v>
      </c>
      <c r="F129" s="12" t="n">
        <v>11370252</v>
      </c>
      <c r="G129" s="12" t="n">
        <v>11397875</v>
      </c>
      <c r="H129" s="12" t="n">
        <v>9849196</v>
      </c>
      <c r="I129" s="12" t="n">
        <v>10763804</v>
      </c>
      <c r="J129" s="12" t="n">
        <v>11045576</v>
      </c>
      <c r="K129" s="12" t="n">
        <v>11370252</v>
      </c>
    </row>
  </sheetData>
  <conditionalFormatting sqref="C43:K43">
    <cfRule type="expression" priority="1" dxfId="0">
      <formula>AND(ISNUMBER(C43),C43&gt;1.0)</formula>
    </cfRule>
  </conditionalFormatting>
  <conditionalFormatting sqref="C44:K44">
    <cfRule type="expression" priority="2" dxfId="0">
      <formula>AND(ISNUMBER(C44),C44&gt;0.5)</formula>
    </cfRule>
  </conditionalFormatting>
  <conditionalFormatting sqref="C45:K45">
    <cfRule type="expression" priority="3" dxfId="0">
      <formula>AND(ISNUMBER(C45),C45&lt;0.5)</formula>
    </cfRule>
  </conditionalFormatting>
  <conditionalFormatting sqref="C46:K46">
    <cfRule type="expression" priority="4" dxfId="0">
      <formula>AND(ISNUMBER(C46),C46&lt;1.5)</formula>
    </cfRule>
  </conditionalFormatting>
  <conditionalFormatting sqref="C47:K47">
    <cfRule type="expression" priority="5" dxfId="0">
      <formula>AND(ISNUMBER(C47),C47&lt;1.0)</formula>
    </cfRule>
  </conditionalFormatting>
  <conditionalFormatting sqref="C48:K48">
    <cfRule type="expression" priority="6" dxfId="0">
      <formula>AND(ISNUMBER(C48),C48&lt;5)</formula>
    </cfRule>
  </conditionalFormatting>
  <conditionalFormatting sqref="C49:K49">
    <cfRule type="expression" priority="7" dxfId="0">
      <formula>AND(ISNUMBER(C49),C49&gt;4)</formula>
    </cfRule>
  </conditionalFormatting>
  <conditionalFormatting sqref="C51:K51">
    <cfRule type="expression" priority="8" dxfId="0">
      <formula>AND(ISNUMBER(C51),C51&lt;0.15)</formula>
    </cfRule>
  </conditionalFormatting>
  <conditionalFormatting sqref="C52:K52">
    <cfRule type="expression" priority="9" dxfId="0">
      <formula>AND(ISNUMBER(C52),C52&lt;0.05)</formula>
    </cfRule>
  </conditionalFormatting>
  <conditionalFormatting sqref="C53:K53">
    <cfRule type="expression" priority="10" dxfId="0">
      <formula>AND(ISNUMBER(C53),C53&lt;0.1)</formula>
    </cfRule>
  </conditionalFormatting>
  <conditionalFormatting sqref="C54:K54">
    <cfRule type="expression" priority="11" dxfId="0">
      <formula>AND(ISNUMBER(C54),C54&lt;0.4)</formula>
    </cfRule>
  </conditionalFormatting>
  <conditionalFormatting sqref="C55:K55">
    <cfRule type="expression" priority="12" dxfId="0">
      <formula>AND(ISNUMBER(C55),C55&lt;0.15)</formula>
    </cfRule>
  </conditionalFormatting>
  <conditionalFormatting sqref="C56:K56">
    <cfRule type="expression" priority="13" dxfId="0">
      <formula>AND(ISNUMBER(C56),C56&lt;0.1)</formula>
    </cfRule>
  </conditionalFormatting>
  <conditionalFormatting sqref="C64:K64">
    <cfRule type="expression" priority="14" dxfId="0">
      <formula>AND(ISNUMBER(C64),C64&lt;1.0)</formula>
    </cfRule>
  </conditionalFormatting>
  <conditionalFormatting sqref="C65:K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1" t="inlineStr">
        <is>
          <t>공시일</t>
        </is>
      </c>
      <c r="B3" s="51" t="inlineStr">
        <is>
          <t>문서</t>
        </is>
      </c>
      <c r="C3" s="51" t="inlineStr">
        <is>
          <t>PDF</t>
        </is>
      </c>
    </row>
    <row r="4">
      <c r="A4" t="inlineStr">
        <is>
          <t>2026-07-30</t>
        </is>
      </c>
      <c r="B4" t="inlineStr">
        <is>
          <t>2027년 3월 결산기 １분기 결산단신</t>
        </is>
      </c>
      <c r="C4" t="inlineStr">
        <is>
          <t>https://www2.jpx.co.jp/disc/58320/140120260729502340.pdf</t>
        </is>
      </c>
    </row>
    <row r="5">
      <c r="A5" t="inlineStr">
        <is>
          <t>2026-05-01</t>
        </is>
      </c>
      <c r="B5" t="inlineStr">
        <is>
          <t>2026년 3월 결산기 연간 결산단신</t>
        </is>
      </c>
      <c r="C5" t="inlineStr">
        <is>
          <t>https://www2.jpx.co.jp/disc/58320/140120260430515131.pdf</t>
        </is>
      </c>
    </row>
    <row r="6">
      <c r="A6" t="inlineStr">
        <is>
          <t>2026-02-04</t>
        </is>
      </c>
      <c r="B6" t="inlineStr">
        <is>
          <t>2026년 3월 결산기 ３분기 결산단신</t>
        </is>
      </c>
      <c r="C6" t="inlineStr">
        <is>
          <t>https://www2.jpx.co.jp/disc/58320/140120260204546592.pdf</t>
        </is>
      </c>
    </row>
    <row r="7">
      <c r="A7" t="inlineStr">
        <is>
          <t>2025-11-14</t>
        </is>
      </c>
      <c r="B7" t="inlineStr">
        <is>
          <t>2026년 3월 결산기 ２분기 결산단신</t>
        </is>
      </c>
      <c r="C7" t="inlineStr">
        <is>
          <t>https://www2.jpx.co.jp/disc/58320/140120251113501886.pdf</t>
        </is>
      </c>
    </row>
    <row r="8">
      <c r="A8" t="inlineStr">
        <is>
          <t>2025-07-30</t>
        </is>
      </c>
      <c r="B8" t="inlineStr">
        <is>
          <t>2026년 3월 결산기 １분기 결산단신</t>
        </is>
      </c>
      <c r="C8" t="inlineStr">
        <is>
          <t>https://www2.jpx.co.jp/disc/58320/140120250729522122.pdf</t>
        </is>
      </c>
    </row>
    <row r="9">
      <c r="A9" t="inlineStr">
        <is>
          <t>2025-05-14</t>
        </is>
      </c>
      <c r="B9" t="inlineStr">
        <is>
          <t>2025년 3월 결산기 연간 결산단신</t>
        </is>
      </c>
      <c r="C9" t="inlineStr">
        <is>
          <t>https://www2.jpx.co.jp/disc/58320/140120250513547944.pdf</t>
        </is>
      </c>
    </row>
    <row r="10">
      <c r="A10" t="inlineStr">
        <is>
          <t>2025-02-04</t>
        </is>
      </c>
      <c r="B10" t="inlineStr">
        <is>
          <t>2025년 3월 결산기 ３분기 결산단신</t>
        </is>
      </c>
      <c r="C10" t="inlineStr">
        <is>
          <t>https://www2.jpx.co.jp/disc/58320/140120250203561410.pdf</t>
        </is>
      </c>
    </row>
    <row r="11">
      <c r="A11" t="inlineStr">
        <is>
          <t>2024-11-08</t>
        </is>
      </c>
      <c r="B11" t="inlineStr">
        <is>
          <t>2025년 3월 결산기 ２분기 결산단신</t>
        </is>
      </c>
      <c r="C11" t="inlineStr">
        <is>
          <t>https://www2.jpx.co.jp/disc/58320/140120241107514896.pdf</t>
        </is>
      </c>
    </row>
    <row r="12">
      <c r="A12" t="inlineStr">
        <is>
          <t>2024-07-30</t>
        </is>
      </c>
      <c r="B12" t="inlineStr">
        <is>
          <t>2025년 3월 결산기 １분기 결산단신</t>
        </is>
      </c>
      <c r="C12" t="inlineStr">
        <is>
          <t>https://www2.jpx.co.jp/disc/58320/140120240729556680.pdf</t>
        </is>
      </c>
    </row>
    <row r="13">
      <c r="A13" t="inlineStr">
        <is>
          <t>2024-05-10</t>
        </is>
      </c>
      <c r="B13" t="inlineStr">
        <is>
          <t>2024년 3월 결산기 연간 결산단신</t>
        </is>
      </c>
      <c r="C13" t="inlineStr">
        <is>
          <t>https://www2.jpx.co.jp/disc/58320/140120240509587222.pdf</t>
        </is>
      </c>
    </row>
    <row r="14">
      <c r="A14" t="inlineStr">
        <is>
          <t>2024-02-02</t>
        </is>
      </c>
      <c r="B14" t="inlineStr">
        <is>
          <t>2024년 3월 결산기 ３분기 결산단신</t>
        </is>
      </c>
      <c r="C14" t="inlineStr">
        <is>
          <t>https://www2.jpx.co.jp/disc/58320/140120240201524617.pdf</t>
        </is>
      </c>
    </row>
    <row r="15">
      <c r="A15" t="inlineStr">
        <is>
          <t>2023-11-10</t>
        </is>
      </c>
      <c r="B15" t="inlineStr">
        <is>
          <t>2024년 3월 결산기 ２분기 결산단신</t>
        </is>
      </c>
      <c r="C15" t="inlineStr">
        <is>
          <t>https://www2.jpx.co.jp/disc/58320/140120231110585992.pdf</t>
        </is>
      </c>
    </row>
    <row r="16">
      <c r="A16" t="inlineStr">
        <is>
          <t>2023-07-28</t>
        </is>
      </c>
      <c r="B16" t="inlineStr">
        <is>
          <t>2024년 3월 결산기 １분기 결산단신</t>
        </is>
      </c>
      <c r="C16" t="inlineStr">
        <is>
          <t>https://www2.jpx.co.jp/disc/58320/140120230728528842.pdf</t>
        </is>
      </c>
    </row>
    <row r="17">
      <c r="A17" t="inlineStr">
        <is>
          <t>2023-05-12</t>
        </is>
      </c>
      <c r="B17" t="inlineStr">
        <is>
          <t>2023년 3월 결산기 연간 결산단신</t>
        </is>
      </c>
      <c r="C17" t="inlineStr">
        <is>
          <t>https://www2.jpx.co.jp/disc/58320/140120230511567138.pdf</t>
        </is>
      </c>
    </row>
    <row r="18">
      <c r="A18" t="inlineStr">
        <is>
          <t>2023-02-02</t>
        </is>
      </c>
      <c r="B18" t="inlineStr">
        <is>
          <t>2023년 3월 결산기 ３분기 결산단신</t>
        </is>
      </c>
      <c r="C18" t="inlineStr">
        <is>
          <t>https://www2.jpx.co.jp/disc/58320/140120230202598983.pdf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2026-10-28T07:03:51Z</dcterms:created>
  <dcterms:modified xmlns:dcterms="http://purl.org/dc/terms/" xmlns:xsi="http://www.w3.org/2001/XMLSchema-instance" xsi:type="dcterms:W3CDTF">2026-10-28T07:03:52Z</dcterms:modified>
</cp:coreProperties>
</file>