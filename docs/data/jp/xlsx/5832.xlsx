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5832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44501</v>
      </c>
      <c r="D4" s="12" t="n">
        <v>47749</v>
      </c>
      <c r="E4" s="12" t="n">
        <v>48557</v>
      </c>
      <c r="F4" s="12" t="n">
        <v>52435</v>
      </c>
      <c r="G4" s="12" t="n">
        <v>50484</v>
      </c>
      <c r="H4" s="12" t="n">
        <v>57162</v>
      </c>
      <c r="I4" s="12" t="n">
        <v>51653</v>
      </c>
      <c r="J4" s="12" t="n">
        <v>56606</v>
      </c>
      <c r="K4" s="12" t="n">
        <v>57909</v>
      </c>
      <c r="L4" s="12" t="n">
        <v>67871</v>
      </c>
      <c r="M4" s="12" t="n">
        <v>66688</v>
      </c>
      <c r="N4" s="12" t="n">
        <v>109640</v>
      </c>
      <c r="O4" s="11" t="n"/>
      <c r="P4" s="12" t="n"/>
      <c r="Q4" s="12" t="n"/>
      <c r="R4" s="12" t="n"/>
      <c r="S4" s="12" t="n"/>
      <c r="T4" s="12" t="n"/>
      <c r="U4" s="12" t="n">
        <v>179860</v>
      </c>
      <c r="V4" s="12" t="n">
        <v>184661</v>
      </c>
      <c r="W4" s="12" t="n">
        <v>211734</v>
      </c>
      <c r="X4" s="12" t="n">
        <v>249074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BankingReportableSegmentMember</t>
        </is>
      </c>
      <c r="B7" s="10" t="n"/>
      <c r="C7" s="19" t="n">
        <v>40042</v>
      </c>
      <c r="D7" s="20" t="n">
        <v>43145</v>
      </c>
      <c r="E7" s="20" t="n">
        <v>43409</v>
      </c>
      <c r="F7" s="20" t="n">
        <v>47481</v>
      </c>
      <c r="G7" s="20" t="n">
        <v>43916</v>
      </c>
      <c r="H7" s="20" t="n">
        <v>52212</v>
      </c>
      <c r="I7" s="20" t="n">
        <v>46640</v>
      </c>
      <c r="J7" s="20" t="n">
        <v>51645</v>
      </c>
      <c r="K7" s="20" t="n">
        <v>52089</v>
      </c>
      <c r="L7" s="20" t="n">
        <v>61661</v>
      </c>
      <c r="M7" s="20" t="n">
        <v>60676</v>
      </c>
      <c r="N7" s="20" t="n">
        <v>98751</v>
      </c>
      <c r="O7" s="19" t="n"/>
      <c r="P7" s="20" t="n"/>
      <c r="Q7" s="20" t="n"/>
      <c r="R7" s="20" t="n"/>
      <c r="S7" s="20" t="n"/>
      <c r="T7" s="20" t="n"/>
      <c r="U7" s="20" t="n"/>
      <c r="V7" s="20" t="n">
        <v>166215</v>
      </c>
      <c r="W7" s="20" t="n">
        <v>190249</v>
      </c>
      <c r="X7" s="20" t="n">
        <v>226071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LeasingReportableSegmentMember</t>
        </is>
      </c>
      <c r="B10" s="10" t="n"/>
      <c r="C10" s="19" t="n">
        <v>2761</v>
      </c>
      <c r="D10" s="20" t="n">
        <v>3084</v>
      </c>
      <c r="E10" s="20" t="n">
        <v>3355</v>
      </c>
      <c r="F10" s="20" t="n">
        <v>3056</v>
      </c>
      <c r="G10" s="20" t="n">
        <v>4981</v>
      </c>
      <c r="H10" s="20" t="n">
        <v>3305</v>
      </c>
      <c r="I10" s="20" t="n">
        <v>3210</v>
      </c>
      <c r="J10" s="20" t="n">
        <v>3457</v>
      </c>
      <c r="K10" s="20" t="n">
        <v>3577</v>
      </c>
      <c r="L10" s="20" t="n">
        <v>3682</v>
      </c>
      <c r="M10" s="20" t="n">
        <v>3699</v>
      </c>
      <c r="N10" s="20" t="n">
        <v>8233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11918</v>
      </c>
      <c r="W10" s="20" t="n">
        <v>14552</v>
      </c>
      <c r="X10" s="20" t="n">
        <v>14415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SecuritiesReportableSegmentMember</t>
        </is>
      </c>
      <c r="B13" s="10" t="n"/>
      <c r="C13" s="19" t="n">
        <v>1045</v>
      </c>
      <c r="D13" s="20" t="n">
        <v>872</v>
      </c>
      <c r="E13" s="20" t="n">
        <v>1039</v>
      </c>
      <c r="F13" s="20" t="n">
        <v>1219</v>
      </c>
      <c r="G13" s="20" t="n">
        <v>932</v>
      </c>
      <c r="H13" s="20" t="n">
        <v>846</v>
      </c>
      <c r="I13" s="20" t="n">
        <v>881</v>
      </c>
      <c r="J13" s="20" t="n">
        <v>841</v>
      </c>
      <c r="K13" s="20" t="n">
        <v>1165</v>
      </c>
      <c r="L13" s="20" t="n">
        <v>1575</v>
      </c>
      <c r="M13" s="20" t="n">
        <v>1369</v>
      </c>
      <c r="N13" s="20" t="n">
        <v>1561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3895</v>
      </c>
      <c r="W13" s="20" t="n">
        <v>3878</v>
      </c>
      <c r="X13" s="20" t="n">
        <v>4950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643</v>
      </c>
      <c r="D16" s="20" t="n">
        <v>647</v>
      </c>
      <c r="E16" s="20" t="n">
        <v>754</v>
      </c>
      <c r="F16" s="20" t="n">
        <v>678</v>
      </c>
      <c r="G16" s="20" t="n">
        <v>735</v>
      </c>
      <c r="H16" s="20" t="n">
        <v>802</v>
      </c>
      <c r="I16" s="20" t="n">
        <v>838</v>
      </c>
      <c r="J16" s="20" t="n">
        <v>765</v>
      </c>
      <c r="K16" s="20" t="n">
        <v>983</v>
      </c>
      <c r="L16" s="20" t="n">
        <v>953</v>
      </c>
      <c r="M16" s="20" t="n">
        <v>935</v>
      </c>
      <c r="N16" s="20" t="n">
        <v>1121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2631</v>
      </c>
      <c r="W16" s="20" t="n">
        <v>3053</v>
      </c>
      <c r="X16" s="20" t="n">
        <v>3636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52435</v>
      </c>
      <c r="G19" s="20" t="n"/>
      <c r="H19" s="20" t="n"/>
      <c r="I19" s="20" t="n"/>
      <c r="J19" s="20" t="n">
        <v>56606</v>
      </c>
      <c r="K19" s="20" t="n"/>
      <c r="L19" s="20" t="n"/>
      <c r="M19" s="20" t="n"/>
      <c r="N19" s="20" t="n">
        <v>109640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19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1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19</v>
      </c>
      <c r="D44" s="20" t="n">
        <v>0</v>
      </c>
      <c r="E44" s="20" t="n">
        <v>15</v>
      </c>
      <c r="F44" s="20" t="n">
        <v>2</v>
      </c>
      <c r="G44" s="20" t="n">
        <v>1</v>
      </c>
      <c r="H44" s="20" t="n">
        <v>5</v>
      </c>
      <c r="I44" s="20" t="n">
        <v>111</v>
      </c>
      <c r="J44" s="20" t="n">
        <v>0</v>
      </c>
      <c r="K44" s="20" t="n">
        <v>0</v>
      </c>
      <c r="L44" s="20" t="n">
        <v>0</v>
      </c>
      <c r="M44" s="20" t="n">
        <v>13</v>
      </c>
      <c r="N44" s="20" t="n">
        <v>21</v>
      </c>
      <c r="O44" s="19" t="n"/>
      <c r="P44" s="20" t="n"/>
      <c r="Q44" s="20" t="n"/>
      <c r="R44" s="20" t="n"/>
      <c r="S44" s="20" t="n"/>
      <c r="T44" s="20" t="n"/>
      <c r="U44" s="20" t="n">
        <v>89</v>
      </c>
      <c r="V44" s="20" t="n">
        <v>48</v>
      </c>
      <c r="W44" s="20" t="n">
        <v>119</v>
      </c>
      <c r="X44" s="20" t="n">
        <v>13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55</v>
      </c>
      <c r="D46" s="20" t="n">
        <v>29</v>
      </c>
      <c r="E46" s="20" t="n">
        <v>182</v>
      </c>
      <c r="F46" s="20" t="n">
        <v>56</v>
      </c>
      <c r="G46" s="20" t="n">
        <v>10</v>
      </c>
      <c r="H46" s="20" t="n">
        <v>21</v>
      </c>
      <c r="I46" s="20" t="n">
        <v>58</v>
      </c>
      <c r="J46" s="20" t="n">
        <v>254</v>
      </c>
      <c r="K46" s="20" t="n">
        <v>6</v>
      </c>
      <c r="L46" s="20" t="n">
        <v>15</v>
      </c>
      <c r="M46" s="20" t="n">
        <v>110</v>
      </c>
      <c r="N46" s="20" t="n">
        <v>67</v>
      </c>
      <c r="O46" s="19" t="n"/>
      <c r="P46" s="20" t="n"/>
      <c r="Q46" s="20" t="n"/>
      <c r="R46" s="20" t="n"/>
      <c r="S46" s="20" t="n"/>
      <c r="T46" s="20" t="n"/>
      <c r="U46" s="20" t="n">
        <v>179</v>
      </c>
      <c r="V46" s="20" t="n">
        <v>339</v>
      </c>
      <c r="W46" s="20" t="n">
        <v>145</v>
      </c>
      <c r="X46" s="20" t="n">
        <v>385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4724</v>
      </c>
      <c r="D52" s="12" t="n">
        <v>11254</v>
      </c>
      <c r="E52" s="12" t="n">
        <v>4704</v>
      </c>
      <c r="F52" s="12" t="n">
        <v>13674</v>
      </c>
      <c r="G52" s="12" t="n">
        <v>7246</v>
      </c>
      <c r="H52" s="12" t="n">
        <v>8211</v>
      </c>
      <c r="I52" s="12" t="n">
        <v>9151</v>
      </c>
      <c r="J52" s="12" t="n">
        <v>14729</v>
      </c>
      <c r="K52" s="12" t="n">
        <v>10212</v>
      </c>
      <c r="L52" s="12" t="n">
        <v>20279</v>
      </c>
      <c r="M52" s="12" t="n">
        <v>10446</v>
      </c>
      <c r="N52" s="12" t="n">
        <v>20222</v>
      </c>
      <c r="O52" s="11" t="n"/>
      <c r="P52" s="12" t="n"/>
      <c r="Q52" s="12" t="n"/>
      <c r="R52" s="12" t="n"/>
      <c r="S52" s="12" t="n"/>
      <c r="T52" s="12" t="n"/>
      <c r="U52" s="12" t="n">
        <v>29518</v>
      </c>
      <c r="V52" s="12" t="n">
        <v>30899</v>
      </c>
      <c r="W52" s="12" t="n">
        <v>38282</v>
      </c>
      <c r="X52" s="12" t="n">
        <v>55666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1486</v>
      </c>
      <c r="D53" s="20" t="n">
        <v>3317</v>
      </c>
      <c r="E53" s="20" t="n">
        <v>1688</v>
      </c>
      <c r="F53" s="20" t="n">
        <v>4276</v>
      </c>
      <c r="G53" s="20" t="n">
        <v>2024</v>
      </c>
      <c r="H53" s="20" t="n">
        <v>2448</v>
      </c>
      <c r="I53" s="20" t="n">
        <v>2100</v>
      </c>
      <c r="J53" s="20" t="n">
        <v>4841</v>
      </c>
      <c r="K53" s="20" t="n">
        <v>2731</v>
      </c>
      <c r="L53" s="20" t="n">
        <v>6071</v>
      </c>
      <c r="M53" s="20" t="n">
        <v>2317</v>
      </c>
      <c r="N53" s="20" t="n">
        <v>6342</v>
      </c>
      <c r="O53" s="19" t="n"/>
      <c r="P53" s="20" t="n"/>
      <c r="Q53" s="20" t="n"/>
      <c r="R53" s="20" t="n"/>
      <c r="S53" s="20" t="n"/>
      <c r="T53" s="20" t="n"/>
      <c r="U53" s="20" t="n">
        <v>9031</v>
      </c>
      <c r="V53" s="20" t="n">
        <v>9510</v>
      </c>
      <c r="W53" s="20" t="n">
        <v>10848</v>
      </c>
      <c r="X53" s="20" t="n">
        <v>15960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3239</v>
      </c>
      <c r="D55" s="12" t="n">
        <v>7937</v>
      </c>
      <c r="E55" s="12" t="n">
        <v>3016</v>
      </c>
      <c r="F55" s="12" t="n">
        <v>9398</v>
      </c>
      <c r="G55" s="12" t="n">
        <v>5221</v>
      </c>
      <c r="H55" s="12" t="n">
        <v>5764</v>
      </c>
      <c r="I55" s="12" t="n">
        <v>7051</v>
      </c>
      <c r="J55" s="12" t="n">
        <v>9887</v>
      </c>
      <c r="K55" s="12" t="n">
        <v>7481</v>
      </c>
      <c r="L55" s="12" t="n">
        <v>14209</v>
      </c>
      <c r="M55" s="12" t="n">
        <v>8128</v>
      </c>
      <c r="N55" s="12" t="n">
        <v>13880</v>
      </c>
      <c r="O55" s="11" t="n"/>
      <c r="P55" s="12" t="n"/>
      <c r="Q55" s="12" t="n"/>
      <c r="R55" s="12" t="n"/>
      <c r="S55" s="12" t="n"/>
      <c r="T55" s="12" t="n"/>
      <c r="U55" s="12" t="n">
        <v>20486</v>
      </c>
      <c r="V55" s="12" t="n">
        <v>21389</v>
      </c>
      <c r="W55" s="12" t="n">
        <v>27434</v>
      </c>
      <c r="X55" s="12" t="n">
        <v>39705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3239</v>
      </c>
      <c r="D56" s="12" t="n">
        <v>7937</v>
      </c>
      <c r="E56" s="12" t="n">
        <v>3016</v>
      </c>
      <c r="F56" s="12" t="n">
        <v>9398</v>
      </c>
      <c r="G56" s="12" t="n">
        <v>5221</v>
      </c>
      <c r="H56" s="12" t="n">
        <v>5764</v>
      </c>
      <c r="I56" s="12" t="n">
        <v>7051</v>
      </c>
      <c r="J56" s="12" t="n">
        <v>9887</v>
      </c>
      <c r="K56" s="12" t="n">
        <v>7481</v>
      </c>
      <c r="L56" s="12" t="n">
        <v>14209</v>
      </c>
      <c r="M56" s="12" t="n">
        <v>8128</v>
      </c>
      <c r="N56" s="12" t="n">
        <v>13880</v>
      </c>
      <c r="O56" s="11" t="n"/>
      <c r="P56" s="12" t="n"/>
      <c r="Q56" s="12" t="n"/>
      <c r="R56" s="12" t="n"/>
      <c r="S56" s="12" t="n"/>
      <c r="T56" s="12" t="n"/>
      <c r="U56" s="12" t="n">
        <v>20486</v>
      </c>
      <c r="V56" s="12" t="n">
        <v>21389</v>
      </c>
      <c r="W56" s="12" t="n">
        <v>27434</v>
      </c>
      <c r="X56" s="12" t="n">
        <v>39705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경상수익</t>
        </is>
      </c>
      <c r="C90" s="12" t="n">
        <v>44501</v>
      </c>
      <c r="D90" s="12" t="n">
        <v>47749</v>
      </c>
      <c r="E90" s="12" t="n">
        <v>48557</v>
      </c>
      <c r="F90" s="12" t="n">
        <v>52435</v>
      </c>
      <c r="G90" s="12" t="n">
        <v>50484</v>
      </c>
      <c r="H90" s="12" t="n">
        <v>57162</v>
      </c>
      <c r="I90" s="12" t="n">
        <v>51653</v>
      </c>
      <c r="J90" s="12" t="n">
        <v>56606</v>
      </c>
      <c r="K90" s="12" t="n">
        <v>57909</v>
      </c>
      <c r="L90" s="12" t="n">
        <v>67871</v>
      </c>
      <c r="M90" s="12" t="n">
        <v>66688</v>
      </c>
      <c r="N90" s="12" t="n">
        <v>109640</v>
      </c>
      <c r="U90" s="12" t="n">
        <v>43715</v>
      </c>
      <c r="V90" s="12" t="n">
        <v>48557</v>
      </c>
      <c r="W90" s="12" t="n">
        <v>51653</v>
      </c>
      <c r="X90" s="12" t="n">
        <v>66688</v>
      </c>
    </row>
    <row r="91">
      <c r="A91" s="18" t="inlineStr">
        <is>
          <t>자금운용수익</t>
        </is>
      </c>
      <c r="C91" s="20" t="n">
        <v>29694</v>
      </c>
      <c r="D91" s="20" t="n">
        <v>31865</v>
      </c>
      <c r="E91" s="20" t="n">
        <v>33094</v>
      </c>
      <c r="F91" s="20" t="n">
        <v>37822</v>
      </c>
      <c r="G91" s="20" t="n">
        <v>34916</v>
      </c>
      <c r="H91" s="20" t="n">
        <v>40607</v>
      </c>
      <c r="I91" s="20" t="n">
        <v>36700</v>
      </c>
      <c r="J91" s="20" t="n">
        <v>40428</v>
      </c>
      <c r="K91" s="20" t="n">
        <v>40234</v>
      </c>
      <c r="L91" s="20" t="n">
        <v>45749</v>
      </c>
      <c r="M91" s="20" t="n">
        <v>43552</v>
      </c>
      <c r="N91" s="20" t="n">
        <v>50265</v>
      </c>
      <c r="U91" s="20" t="n">
        <v>24907</v>
      </c>
      <c r="V91" s="20" t="n">
        <v>33094</v>
      </c>
      <c r="W91" s="20" t="n">
        <v>36700</v>
      </c>
      <c r="X91" s="20" t="n">
        <v>43552</v>
      </c>
    </row>
    <row r="92">
      <c r="A92" s="18" t="inlineStr">
        <is>
          <t>(이 중 대출금 이자)</t>
        </is>
      </c>
      <c r="C92" s="20" t="n">
        <v>20839</v>
      </c>
      <c r="D92" s="20" t="n">
        <v>21695</v>
      </c>
      <c r="E92" s="20" t="n">
        <v>22533</v>
      </c>
      <c r="F92" s="20" t="n">
        <v>24609</v>
      </c>
      <c r="G92" s="20" t="n">
        <v>23635</v>
      </c>
      <c r="H92" s="20" t="n">
        <v>26081</v>
      </c>
      <c r="I92" s="20" t="n">
        <v>24521</v>
      </c>
      <c r="J92" s="20" t="n">
        <v>25743</v>
      </c>
      <c r="K92" s="20" t="n">
        <v>26575</v>
      </c>
      <c r="L92" s="20" t="n">
        <v>27431</v>
      </c>
      <c r="M92" s="20" t="n">
        <v>27587</v>
      </c>
      <c r="N92" s="20" t="n">
        <v>29596</v>
      </c>
      <c r="U92" s="20" t="n">
        <v>17277</v>
      </c>
      <c r="V92" s="20" t="n">
        <v>22533</v>
      </c>
      <c r="W92" s="20" t="n">
        <v>24521</v>
      </c>
      <c r="X92" s="20" t="n">
        <v>27587</v>
      </c>
    </row>
    <row r="93">
      <c r="A93" s="18" t="inlineStr">
        <is>
          <t>(이 중 유가증권 이자·배당금)</t>
        </is>
      </c>
      <c r="C93" s="20" t="n">
        <v>7872</v>
      </c>
      <c r="D93" s="20" t="n">
        <v>8933</v>
      </c>
      <c r="E93" s="20" t="n">
        <v>9258</v>
      </c>
      <c r="F93" s="20" t="n">
        <v>11423</v>
      </c>
      <c r="G93" s="20" t="n">
        <v>9311</v>
      </c>
      <c r="H93" s="20" t="n">
        <v>12577</v>
      </c>
      <c r="I93" s="20" t="n">
        <v>10047</v>
      </c>
      <c r="J93" s="20" t="n">
        <v>12785</v>
      </c>
      <c r="K93" s="20" t="n">
        <v>11803</v>
      </c>
      <c r="L93" s="20" t="n">
        <v>16393</v>
      </c>
      <c r="M93" s="20" t="n">
        <v>13711</v>
      </c>
      <c r="N93" s="20" t="n">
        <v>18479</v>
      </c>
      <c r="U93" s="20" t="n">
        <v>6863</v>
      </c>
      <c r="V93" s="20" t="n">
        <v>9258</v>
      </c>
      <c r="W93" s="20" t="n">
        <v>10047</v>
      </c>
      <c r="X93" s="20" t="n">
        <v>13711</v>
      </c>
    </row>
    <row r="94">
      <c r="A94" s="18" t="inlineStr">
        <is>
          <t>신탁보수</t>
        </is>
      </c>
      <c r="C94" s="20" t="n">
        <v>0</v>
      </c>
      <c r="D94" s="20" t="n">
        <v>0</v>
      </c>
      <c r="E94" s="20" t="n">
        <v>0</v>
      </c>
      <c r="F94" s="20" t="n">
        <v>0</v>
      </c>
      <c r="G94" s="20" t="n">
        <v>1</v>
      </c>
      <c r="H94" s="20" t="n">
        <v>0</v>
      </c>
      <c r="I94" s="20" t="n">
        <v>8</v>
      </c>
      <c r="J94" s="20" t="n">
        <v>0</v>
      </c>
      <c r="K94" s="20" t="n">
        <v>14</v>
      </c>
      <c r="L94" s="20" t="n">
        <v>1</v>
      </c>
      <c r="M94" s="20" t="n">
        <v>19</v>
      </c>
      <c r="N94" s="20" t="n">
        <v>0</v>
      </c>
      <c r="U94" s="20" t="n">
        <v>0</v>
      </c>
      <c r="V94" s="20" t="n">
        <v>0</v>
      </c>
      <c r="W94" s="20" t="n">
        <v>8</v>
      </c>
      <c r="X94" s="20" t="n">
        <v>19</v>
      </c>
    </row>
    <row r="95">
      <c r="A95" s="18" t="inlineStr">
        <is>
          <t>용역거래 수익</t>
        </is>
      </c>
      <c r="C95" s="20" t="n">
        <v>5475</v>
      </c>
      <c r="D95" s="20" t="n">
        <v>5222</v>
      </c>
      <c r="E95" s="20" t="n">
        <v>6432</v>
      </c>
      <c r="F95" s="20" t="n">
        <v>5698</v>
      </c>
      <c r="G95" s="20" t="n">
        <v>6592</v>
      </c>
      <c r="H95" s="20" t="n">
        <v>5748</v>
      </c>
      <c r="I95" s="20" t="n">
        <v>6125</v>
      </c>
      <c r="J95" s="20" t="n">
        <v>6171</v>
      </c>
      <c r="K95" s="20" t="n">
        <v>6442</v>
      </c>
      <c r="L95" s="20" t="n">
        <v>6292</v>
      </c>
      <c r="M95" s="20" t="n">
        <v>7159</v>
      </c>
      <c r="N95" s="20" t="n">
        <v>6344</v>
      </c>
      <c r="U95" s="20" t="n">
        <v>5362</v>
      </c>
      <c r="V95" s="20" t="n">
        <v>6432</v>
      </c>
      <c r="W95" s="20" t="n">
        <v>6125</v>
      </c>
      <c r="X95" s="20" t="n">
        <v>7159</v>
      </c>
    </row>
    <row r="96">
      <c r="A96" s="18" t="inlineStr">
        <is>
          <t>기타 업무수익</t>
        </is>
      </c>
      <c r="C96" s="20" t="n">
        <v>7163</v>
      </c>
      <c r="D96" s="20" t="n">
        <v>7971</v>
      </c>
      <c r="E96" s="20" t="n">
        <v>5664</v>
      </c>
      <c r="F96" s="20" t="n">
        <v>7446</v>
      </c>
      <c r="G96" s="20" t="n">
        <v>7571</v>
      </c>
      <c r="H96" s="20" t="n">
        <v>7036</v>
      </c>
      <c r="I96" s="20" t="n">
        <v>6779</v>
      </c>
      <c r="J96" s="20" t="n">
        <v>6602</v>
      </c>
      <c r="K96" s="20" t="n">
        <v>7216</v>
      </c>
      <c r="L96" s="20" t="n">
        <v>8003</v>
      </c>
      <c r="M96" s="20" t="n">
        <v>8733</v>
      </c>
      <c r="N96" s="20" t="n">
        <v>33329</v>
      </c>
      <c r="U96" s="20" t="n">
        <v>12197</v>
      </c>
      <c r="V96" s="20" t="n">
        <v>5664</v>
      </c>
      <c r="W96" s="20" t="n">
        <v>6779</v>
      </c>
      <c r="X96" s="20" t="n">
        <v>8733</v>
      </c>
    </row>
    <row r="97">
      <c r="A97" s="18" t="inlineStr">
        <is>
          <t>기타 경상수익</t>
        </is>
      </c>
      <c r="C97" s="20" t="n">
        <v>2170</v>
      </c>
      <c r="D97" s="20" t="n">
        <v>2692</v>
      </c>
      <c r="E97" s="20" t="n">
        <v>3366</v>
      </c>
      <c r="F97" s="20" t="n">
        <v>1467</v>
      </c>
      <c r="G97" s="20" t="n">
        <v>1404</v>
      </c>
      <c r="H97" s="20" t="n">
        <v>3771</v>
      </c>
      <c r="I97" s="20" t="n">
        <v>2040</v>
      </c>
      <c r="J97" s="20" t="n">
        <v>3403</v>
      </c>
      <c r="K97" s="20" t="n">
        <v>4004</v>
      </c>
      <c r="L97" s="20" t="n">
        <v>7826</v>
      </c>
      <c r="M97" s="20" t="n">
        <v>7224</v>
      </c>
      <c r="N97" s="20" t="n">
        <v>19700</v>
      </c>
      <c r="U97" s="20" t="n">
        <v>1249</v>
      </c>
      <c r="V97" s="20" t="n">
        <v>3366</v>
      </c>
      <c r="W97" s="20" t="n">
        <v>2040</v>
      </c>
      <c r="X97" s="20" t="n">
        <v>7224</v>
      </c>
    </row>
    <row r="98">
      <c r="A98" s="18" t="inlineStr">
        <is>
          <t>경상비용</t>
        </is>
      </c>
      <c r="C98" s="20" t="n">
        <v>39740</v>
      </c>
      <c r="D98" s="20" t="n">
        <v>36466</v>
      </c>
      <c r="E98" s="20" t="n">
        <v>43685</v>
      </c>
      <c r="F98" s="20" t="n">
        <v>38706</v>
      </c>
      <c r="G98" s="20" t="n">
        <v>43229</v>
      </c>
      <c r="H98" s="20" t="n">
        <v>48935</v>
      </c>
      <c r="I98" s="20" t="n">
        <v>42555</v>
      </c>
      <c r="J98" s="20" t="n">
        <v>41622</v>
      </c>
      <c r="K98" s="20" t="n">
        <v>47692</v>
      </c>
      <c r="L98" s="20" t="n">
        <v>47576</v>
      </c>
      <c r="M98" s="20" t="n">
        <v>56146</v>
      </c>
      <c r="N98" s="20" t="n">
        <v>89370</v>
      </c>
      <c r="U98" s="20" t="n">
        <v>39572</v>
      </c>
      <c r="V98" s="20" t="n">
        <v>43685</v>
      </c>
      <c r="W98" s="20" t="n">
        <v>42555</v>
      </c>
      <c r="X98" s="20" t="n">
        <v>56146</v>
      </c>
    </row>
    <row r="99">
      <c r="A99" s="18" t="inlineStr">
        <is>
          <t>자금조달비용</t>
        </is>
      </c>
      <c r="C99" s="20" t="n">
        <v>15127</v>
      </c>
      <c r="D99" s="20" t="n">
        <v>15851</v>
      </c>
      <c r="E99" s="20" t="n">
        <v>17878</v>
      </c>
      <c r="F99" s="20" t="n">
        <v>19294</v>
      </c>
      <c r="G99" s="20" t="n">
        <v>17431</v>
      </c>
      <c r="H99" s="20" t="n">
        <v>20338</v>
      </c>
      <c r="I99" s="20" t="n">
        <v>17617</v>
      </c>
      <c r="J99" s="20" t="n">
        <v>18308</v>
      </c>
      <c r="K99" s="20" t="n">
        <v>19041</v>
      </c>
      <c r="L99" s="20" t="n">
        <v>19466</v>
      </c>
      <c r="M99" s="20" t="n">
        <v>19580</v>
      </c>
      <c r="N99" s="20" t="n">
        <v>19922</v>
      </c>
      <c r="U99" s="20" t="n">
        <v>10769</v>
      </c>
      <c r="V99" s="20" t="n">
        <v>17878</v>
      </c>
      <c r="W99" s="20" t="n">
        <v>17617</v>
      </c>
      <c r="X99" s="20" t="n">
        <v>19580</v>
      </c>
    </row>
    <row r="100">
      <c r="A100" s="18" t="inlineStr">
        <is>
          <t>(이 중 예금 이자)</t>
        </is>
      </c>
      <c r="C100" s="20" t="n">
        <v>2749</v>
      </c>
      <c r="D100" s="20" t="n">
        <v>3136</v>
      </c>
      <c r="E100" s="20" t="n">
        <v>3648</v>
      </c>
      <c r="F100" s="20" t="n">
        <v>3676</v>
      </c>
      <c r="G100" s="20" t="n">
        <v>3593</v>
      </c>
      <c r="H100" s="20" t="n">
        <v>5297</v>
      </c>
      <c r="I100" s="20" t="n">
        <v>5564</v>
      </c>
      <c r="J100" s="20" t="n">
        <v>7223</v>
      </c>
      <c r="K100" s="20" t="n">
        <v>8327</v>
      </c>
      <c r="L100" s="20" t="n">
        <v>9148</v>
      </c>
      <c r="M100" s="20" t="n">
        <v>9545</v>
      </c>
      <c r="N100" s="20" t="n">
        <v>9551</v>
      </c>
      <c r="U100" s="20" t="n">
        <v>1706</v>
      </c>
      <c r="V100" s="20" t="n">
        <v>3648</v>
      </c>
      <c r="W100" s="20" t="n">
        <v>5564</v>
      </c>
      <c r="X100" s="20" t="n">
        <v>9545</v>
      </c>
    </row>
    <row r="101">
      <c r="A101" s="18" t="inlineStr">
        <is>
          <t>용역거래 비용</t>
        </is>
      </c>
      <c r="C101" s="20" t="n">
        <v>1090</v>
      </c>
      <c r="D101" s="20" t="n">
        <v>1102</v>
      </c>
      <c r="E101" s="20" t="n">
        <v>1109</v>
      </c>
      <c r="F101" s="20" t="n">
        <v>367</v>
      </c>
      <c r="G101" s="20" t="n">
        <v>1150</v>
      </c>
      <c r="H101" s="20" t="n">
        <v>1213</v>
      </c>
      <c r="I101" s="20" t="n">
        <v>1190</v>
      </c>
      <c r="J101" s="20" t="n">
        <v>350</v>
      </c>
      <c r="K101" s="20" t="n">
        <v>1273</v>
      </c>
      <c r="L101" s="20" t="n">
        <v>1357</v>
      </c>
      <c r="M101" s="20" t="n">
        <v>1337</v>
      </c>
      <c r="N101" s="20" t="n">
        <v>646</v>
      </c>
      <c r="U101" s="20" t="n">
        <v>1043</v>
      </c>
      <c r="V101" s="20" t="n">
        <v>1109</v>
      </c>
      <c r="W101" s="20" t="n">
        <v>1190</v>
      </c>
      <c r="X101" s="20" t="n">
        <v>1337</v>
      </c>
    </row>
    <row r="102">
      <c r="A102" s="18" t="inlineStr">
        <is>
          <t>기타 업무비용</t>
        </is>
      </c>
      <c r="C102" s="20" t="n">
        <v>5274</v>
      </c>
      <c r="D102" s="20" t="n">
        <v>4143</v>
      </c>
      <c r="E102" s="20" t="n">
        <v>3293</v>
      </c>
      <c r="F102" s="20" t="n">
        <v>3806</v>
      </c>
      <c r="G102" s="20" t="n">
        <v>6282</v>
      </c>
      <c r="H102" s="20" t="n">
        <v>4260</v>
      </c>
      <c r="I102" s="20" t="n">
        <v>4897</v>
      </c>
      <c r="J102" s="20" t="n">
        <v>6278</v>
      </c>
      <c r="K102" s="20" t="n">
        <v>5952</v>
      </c>
      <c r="L102" s="20" t="n">
        <v>8988</v>
      </c>
      <c r="M102" s="20" t="n">
        <v>13385</v>
      </c>
      <c r="N102" s="20" t="n">
        <v>49191</v>
      </c>
      <c r="U102" s="20" t="n">
        <v>8895</v>
      </c>
      <c r="V102" s="20" t="n">
        <v>3293</v>
      </c>
      <c r="W102" s="20" t="n">
        <v>4897</v>
      </c>
      <c r="X102" s="20" t="n">
        <v>13385</v>
      </c>
    </row>
    <row r="103">
      <c r="A103" s="18" t="inlineStr">
        <is>
          <t>General And Administrative Expenses OEBNK</t>
        </is>
      </c>
      <c r="C103" s="20" t="n">
        <v>14204</v>
      </c>
      <c r="D103" s="20" t="n">
        <v>14173</v>
      </c>
      <c r="E103" s="20" t="n">
        <v>15235</v>
      </c>
      <c r="F103" s="20" t="n">
        <v>14324</v>
      </c>
      <c r="G103" s="20" t="n">
        <v>14553</v>
      </c>
      <c r="H103" s="20" t="n">
        <v>15119</v>
      </c>
      <c r="I103" s="20" t="n">
        <v>15530</v>
      </c>
      <c r="J103" s="20" t="n">
        <v>16365</v>
      </c>
      <c r="K103" s="20" t="n">
        <v>15955</v>
      </c>
      <c r="L103" s="20" t="n">
        <v>16829</v>
      </c>
      <c r="M103" s="20" t="n">
        <v>17416</v>
      </c>
      <c r="N103" s="20" t="n">
        <v>17653</v>
      </c>
      <c r="U103" s="20" t="n">
        <v>14144</v>
      </c>
      <c r="V103" s="20" t="n">
        <v>15235</v>
      </c>
      <c r="W103" s="20" t="n">
        <v>15530</v>
      </c>
      <c r="X103" s="20" t="n">
        <v>17416</v>
      </c>
    </row>
    <row r="104">
      <c r="A104" s="18" t="inlineStr">
        <is>
          <t>기타 경상비용</t>
        </is>
      </c>
      <c r="C104" s="20" t="n">
        <v>4045</v>
      </c>
      <c r="D104" s="20" t="n">
        <v>1198</v>
      </c>
      <c r="E104" s="20" t="n">
        <v>6169</v>
      </c>
      <c r="F104" s="20" t="n">
        <v>913</v>
      </c>
      <c r="G104" s="20" t="n">
        <v>3814</v>
      </c>
      <c r="H104" s="20" t="n">
        <v>8004</v>
      </c>
      <c r="I104" s="20" t="n">
        <v>3320</v>
      </c>
      <c r="J104" s="20" t="n">
        <v>318</v>
      </c>
      <c r="K104" s="20" t="n">
        <v>5471</v>
      </c>
      <c r="L104" s="20" t="n">
        <v>938</v>
      </c>
      <c r="M104" s="20" t="n">
        <v>4426</v>
      </c>
      <c r="N104" s="20" t="n">
        <v>1957</v>
      </c>
      <c r="U104" s="20" t="n">
        <v>4723</v>
      </c>
      <c r="V104" s="20" t="n">
        <v>6169</v>
      </c>
      <c r="W104" s="20" t="n">
        <v>3320</v>
      </c>
      <c r="X104" s="20" t="n">
        <v>4426</v>
      </c>
    </row>
    <row r="105">
      <c r="A105" s="9" t="inlineStr">
        <is>
          <t>경상이익</t>
        </is>
      </c>
      <c r="C105" s="12" t="n">
        <v>4761</v>
      </c>
      <c r="D105" s="12" t="n">
        <v>11283</v>
      </c>
      <c r="E105" s="12" t="n">
        <v>4872</v>
      </c>
      <c r="F105" s="12" t="n">
        <v>13728</v>
      </c>
      <c r="G105" s="12" t="n">
        <v>7256</v>
      </c>
      <c r="H105" s="12" t="n">
        <v>8226</v>
      </c>
      <c r="I105" s="12" t="n">
        <v>9098</v>
      </c>
      <c r="J105" s="12" t="n">
        <v>14984</v>
      </c>
      <c r="K105" s="12" t="n">
        <v>10217</v>
      </c>
      <c r="L105" s="12" t="n">
        <v>20295</v>
      </c>
      <c r="M105" s="12" t="n">
        <v>10542</v>
      </c>
      <c r="N105" s="12" t="n">
        <v>20269</v>
      </c>
      <c r="U105" s="12" t="n">
        <v>4142</v>
      </c>
      <c r="V105" s="12" t="n">
        <v>4872</v>
      </c>
      <c r="W105" s="12" t="n">
        <v>9098</v>
      </c>
      <c r="X105" s="12" t="n">
        <v>10542</v>
      </c>
    </row>
    <row r="106">
      <c r="A106" s="18" t="inlineStr">
        <is>
          <t>특별이익</t>
        </is>
      </c>
      <c r="C106" s="20" t="n">
        <v>19</v>
      </c>
      <c r="D106" s="20" t="n">
        <v>0</v>
      </c>
      <c r="E106" s="20" t="n">
        <v>15</v>
      </c>
      <c r="F106" s="20" t="n">
        <v>2</v>
      </c>
      <c r="G106" s="20" t="n">
        <v>1</v>
      </c>
      <c r="H106" s="20" t="n">
        <v>5</v>
      </c>
      <c r="I106" s="20" t="n">
        <v>111</v>
      </c>
      <c r="J106" s="20" t="n">
        <v>0</v>
      </c>
      <c r="K106" s="20" t="n">
        <v>0</v>
      </c>
      <c r="L106" s="20" t="n">
        <v>0</v>
      </c>
      <c r="M106" s="20" t="n">
        <v>13</v>
      </c>
      <c r="N106" s="20" t="n">
        <v>21</v>
      </c>
      <c r="U106" s="20" t="n">
        <v>1</v>
      </c>
      <c r="V106" s="20" t="n">
        <v>15</v>
      </c>
      <c r="W106" s="20" t="n">
        <v>111</v>
      </c>
      <c r="X106" s="20" t="n">
        <v>13</v>
      </c>
    </row>
    <row r="107">
      <c r="A107" s="18" t="inlineStr">
        <is>
          <t>고정자산 처분이익</t>
        </is>
      </c>
      <c r="C107" s="20" t="n">
        <v>19</v>
      </c>
      <c r="D107" s="20" t="n">
        <v>0</v>
      </c>
      <c r="E107" s="20" t="n">
        <v>15</v>
      </c>
      <c r="F107" s="20" t="n">
        <v>2</v>
      </c>
      <c r="G107" s="20" t="n">
        <v>1</v>
      </c>
      <c r="H107" s="20" t="n">
        <v>5</v>
      </c>
      <c r="I107" s="20" t="n">
        <v>111</v>
      </c>
      <c r="J107" s="20" t="n">
        <v>0</v>
      </c>
      <c r="K107" s="20" t="n">
        <v>0</v>
      </c>
      <c r="L107" s="20" t="n">
        <v>0</v>
      </c>
      <c r="M107" s="20" t="n">
        <v>13</v>
      </c>
      <c r="N107" s="20" t="n">
        <v>21</v>
      </c>
      <c r="U107" s="20" t="n">
        <v>1</v>
      </c>
      <c r="V107" s="20" t="n">
        <v>15</v>
      </c>
      <c r="W107" s="20" t="n">
        <v>111</v>
      </c>
      <c r="X107" s="20" t="n">
        <v>13</v>
      </c>
    </row>
    <row r="108">
      <c r="A108" s="18" t="inlineStr">
        <is>
          <t>특별손실</t>
        </is>
      </c>
      <c r="C108" s="20" t="n">
        <v>55</v>
      </c>
      <c r="D108" s="20" t="n">
        <v>29</v>
      </c>
      <c r="E108" s="20" t="n">
        <v>182</v>
      </c>
      <c r="F108" s="20" t="n">
        <v>56</v>
      </c>
      <c r="G108" s="20" t="n">
        <v>10</v>
      </c>
      <c r="H108" s="20" t="n">
        <v>21</v>
      </c>
      <c r="I108" s="20" t="n">
        <v>58</v>
      </c>
      <c r="J108" s="20" t="n">
        <v>254</v>
      </c>
      <c r="K108" s="20" t="n">
        <v>6</v>
      </c>
      <c r="L108" s="20" t="n">
        <v>15</v>
      </c>
      <c r="M108" s="20" t="n">
        <v>110</v>
      </c>
      <c r="N108" s="20" t="n">
        <v>67</v>
      </c>
      <c r="U108" s="20" t="n">
        <v>52</v>
      </c>
      <c r="V108" s="20" t="n">
        <v>182</v>
      </c>
      <c r="W108" s="20" t="n">
        <v>58</v>
      </c>
      <c r="X108" s="20" t="n">
        <v>110</v>
      </c>
    </row>
    <row r="109">
      <c r="A109" s="18" t="inlineStr">
        <is>
          <t>고정자산 처분손실</t>
        </is>
      </c>
      <c r="C109" s="20" t="n">
        <v>26</v>
      </c>
      <c r="D109" s="20" t="n">
        <v>14</v>
      </c>
      <c r="E109" s="20" t="n">
        <v>134</v>
      </c>
      <c r="F109" s="20" t="n">
        <v>12</v>
      </c>
      <c r="G109" s="20" t="n">
        <v>10</v>
      </c>
      <c r="H109" s="20" t="n">
        <v>10</v>
      </c>
      <c r="I109" s="20" t="n">
        <v>13</v>
      </c>
      <c r="J109" s="20" t="n">
        <v>229</v>
      </c>
      <c r="K109" s="20" t="n">
        <v>6</v>
      </c>
      <c r="L109" s="20" t="n">
        <v>16</v>
      </c>
      <c r="M109" s="20" t="n">
        <v>102</v>
      </c>
      <c r="N109" s="20" t="n">
        <v>67</v>
      </c>
      <c r="U109" s="20" t="n">
        <v>51</v>
      </c>
      <c r="V109" s="20" t="n">
        <v>134</v>
      </c>
      <c r="W109" s="20" t="n">
        <v>13</v>
      </c>
      <c r="X109" s="20" t="n">
        <v>102</v>
      </c>
    </row>
    <row r="110">
      <c r="A110" s="18" t="inlineStr">
        <is>
          <t>손상차손</t>
        </is>
      </c>
      <c r="C110" s="20" t="n">
        <v>28</v>
      </c>
      <c r="D110" s="20" t="n">
        <v>16</v>
      </c>
      <c r="E110" s="20" t="n">
        <v>47</v>
      </c>
      <c r="F110" s="20" t="n">
        <v>43</v>
      </c>
      <c r="G110" s="20" t="n">
        <v>0</v>
      </c>
      <c r="H110" s="20" t="n">
        <v>11</v>
      </c>
      <c r="I110" s="20" t="n">
        <v>46</v>
      </c>
      <c r="J110" s="20" t="n">
        <v>24</v>
      </c>
      <c r="K110" s="20" t="n">
        <v>0</v>
      </c>
      <c r="L110" s="20" t="n">
        <v>0</v>
      </c>
      <c r="M110" s="20" t="n">
        <v>6</v>
      </c>
      <c r="N110" s="20" t="n">
        <v>0</v>
      </c>
      <c r="U110" s="20" t="n">
        <v>1</v>
      </c>
      <c r="V110" s="20" t="n">
        <v>47</v>
      </c>
      <c r="W110" s="20" t="n">
        <v>46</v>
      </c>
      <c r="X110" s="20" t="n">
        <v>6</v>
      </c>
    </row>
    <row r="111">
      <c r="A111" s="9" t="inlineStr">
        <is>
          <t>법인세차감전 순이익</t>
        </is>
      </c>
      <c r="C111" s="12" t="n">
        <v>4724</v>
      </c>
      <c r="D111" s="12" t="n">
        <v>11254</v>
      </c>
      <c r="E111" s="12" t="n">
        <v>4704</v>
      </c>
      <c r="F111" s="12" t="n">
        <v>13674</v>
      </c>
      <c r="G111" s="12" t="n">
        <v>7246</v>
      </c>
      <c r="H111" s="12" t="n">
        <v>8211</v>
      </c>
      <c r="I111" s="12" t="n">
        <v>9151</v>
      </c>
      <c r="J111" s="12" t="n">
        <v>14729</v>
      </c>
      <c r="K111" s="12" t="n">
        <v>10212</v>
      </c>
      <c r="L111" s="12" t="n">
        <v>20279</v>
      </c>
      <c r="M111" s="12" t="n">
        <v>10446</v>
      </c>
      <c r="N111" s="12" t="n">
        <v>20222</v>
      </c>
      <c r="U111" s="12" t="n">
        <v>4091</v>
      </c>
      <c r="V111" s="12" t="n">
        <v>4704</v>
      </c>
      <c r="W111" s="12" t="n">
        <v>9151</v>
      </c>
      <c r="X111" s="12" t="n">
        <v>10446</v>
      </c>
    </row>
    <row r="112">
      <c r="A112" s="18" t="inlineStr">
        <is>
          <t>법인세 등</t>
        </is>
      </c>
      <c r="C112" s="20" t="n">
        <v>1486</v>
      </c>
      <c r="D112" s="20" t="n">
        <v>3317</v>
      </c>
      <c r="E112" s="20" t="n">
        <v>1688</v>
      </c>
      <c r="F112" s="20" t="n">
        <v>4276</v>
      </c>
      <c r="G112" s="20" t="n">
        <v>2024</v>
      </c>
      <c r="H112" s="20" t="n">
        <v>2448</v>
      </c>
      <c r="I112" s="20" t="n">
        <v>2100</v>
      </c>
      <c r="J112" s="20" t="n">
        <v>4841</v>
      </c>
      <c r="K112" s="20" t="n">
        <v>2731</v>
      </c>
      <c r="L112" s="20" t="n">
        <v>6071</v>
      </c>
      <c r="M112" s="20" t="n">
        <v>2317</v>
      </c>
      <c r="N112" s="20" t="n">
        <v>6342</v>
      </c>
      <c r="U112" s="20" t="n">
        <v>1473</v>
      </c>
      <c r="V112" s="20" t="n">
        <v>1688</v>
      </c>
      <c r="W112" s="20" t="n">
        <v>2100</v>
      </c>
      <c r="X112" s="20" t="n">
        <v>2317</v>
      </c>
    </row>
    <row r="113">
      <c r="A113" s="9" t="inlineStr">
        <is>
          <t>순이익</t>
        </is>
      </c>
      <c r="C113" s="12" t="n">
        <v>3239</v>
      </c>
      <c r="D113" s="12" t="n">
        <v>7937</v>
      </c>
      <c r="E113" s="12" t="n">
        <v>3016</v>
      </c>
      <c r="F113" s="12" t="n">
        <v>9398</v>
      </c>
      <c r="G113" s="12" t="n">
        <v>5221</v>
      </c>
      <c r="H113" s="12" t="n">
        <v>5764</v>
      </c>
      <c r="I113" s="12" t="n">
        <v>7051</v>
      </c>
      <c r="J113" s="12" t="n">
        <v>9887</v>
      </c>
      <c r="K113" s="12" t="n">
        <v>7481</v>
      </c>
      <c r="L113" s="12" t="n">
        <v>14209</v>
      </c>
      <c r="M113" s="12" t="n">
        <v>8128</v>
      </c>
      <c r="N113" s="12" t="n">
        <v>13880</v>
      </c>
      <c r="U113" s="12" t="n">
        <v>2618</v>
      </c>
      <c r="V113" s="12" t="n">
        <v>3016</v>
      </c>
      <c r="W113" s="12" t="n">
        <v>7051</v>
      </c>
      <c r="X113" s="12" t="n">
        <v>8128</v>
      </c>
    </row>
    <row r="114">
      <c r="A114" s="9" t="inlineStr">
        <is>
          <t>비지배주주 순이익</t>
        </is>
      </c>
      <c r="C114" s="12" t="n">
        <v>0</v>
      </c>
      <c r="D114" s="12" t="n">
        <v>0</v>
      </c>
      <c r="E114" s="12" t="n">
        <v>0</v>
      </c>
      <c r="F114" s="12" t="n">
        <v>0</v>
      </c>
      <c r="G114" s="12" t="n">
        <v>0</v>
      </c>
      <c r="H114" s="12" t="n">
        <v>0</v>
      </c>
      <c r="I114" s="12" t="n">
        <v>0</v>
      </c>
      <c r="J114" s="12" t="n">
        <v>0</v>
      </c>
      <c r="K114" s="12" t="n">
        <v>0</v>
      </c>
      <c r="L114" s="12" t="n">
        <v>0</v>
      </c>
      <c r="M114" s="12" t="n">
        <v>0</v>
      </c>
      <c r="N114" s="12" t="n">
        <v>0</v>
      </c>
      <c r="U114" s="12" t="n">
        <v>0</v>
      </c>
      <c r="V114" s="12" t="n">
        <v>0</v>
      </c>
      <c r="W114" s="12" t="n">
        <v>0</v>
      </c>
      <c r="X114" s="12" t="n">
        <v>0</v>
      </c>
    </row>
    <row r="115">
      <c r="A115" s="9" t="inlineStr">
        <is>
          <t>지배주주 순이익</t>
        </is>
      </c>
      <c r="C115" s="12" t="n">
        <v>3239</v>
      </c>
      <c r="D115" s="12" t="n">
        <v>7937</v>
      </c>
      <c r="E115" s="12" t="n">
        <v>3016</v>
      </c>
      <c r="F115" s="12" t="n">
        <v>9398</v>
      </c>
      <c r="G115" s="12" t="n">
        <v>5221</v>
      </c>
      <c r="H115" s="12" t="n">
        <v>5764</v>
      </c>
      <c r="I115" s="12" t="n">
        <v>7051</v>
      </c>
      <c r="J115" s="12" t="n">
        <v>9887</v>
      </c>
      <c r="K115" s="12" t="n">
        <v>7481</v>
      </c>
      <c r="L115" s="12" t="n">
        <v>14209</v>
      </c>
      <c r="M115" s="12" t="n">
        <v>8128</v>
      </c>
      <c r="N115" s="12" t="n">
        <v>13880</v>
      </c>
      <c r="U115" s="12" t="n">
        <v>2618</v>
      </c>
      <c r="V115" s="12" t="n">
        <v>3016</v>
      </c>
      <c r="W115" s="12" t="n">
        <v>7051</v>
      </c>
      <c r="X115" s="12" t="n">
        <v>8128</v>
      </c>
    </row>
    <row r="117">
      <c r="A117" s="16" t="inlineStr">
        <is>
          <t>포괄손익 · 전 항목</t>
        </is>
      </c>
      <c r="B117" s="42" t="inlineStr">
        <is>
          <t>분기 = 3개월 단독</t>
        </is>
      </c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</row>
    <row r="118">
      <c r="A118" s="5" t="inlineStr">
        <is>
          <t>항목</t>
        </is>
      </c>
      <c r="B118" s="5" t="inlineStr">
        <is>
          <t>참고</t>
        </is>
      </c>
      <c r="C118" s="5" t="inlineStr">
        <is>
          <t>2024.2Q</t>
        </is>
      </c>
      <c r="D118" s="5" t="inlineStr">
        <is>
          <t>2024.3Q</t>
        </is>
      </c>
      <c r="E118" s="5" t="inlineStr">
        <is>
          <t>2024.4Q</t>
        </is>
      </c>
      <c r="F118" s="5" t="inlineStr">
        <is>
          <t>2025.1Q</t>
        </is>
      </c>
      <c r="G118" s="5" t="inlineStr">
        <is>
          <t>2025.2Q</t>
        </is>
      </c>
      <c r="H118" s="5" t="inlineStr">
        <is>
          <t>2025.3Q</t>
        </is>
      </c>
      <c r="I118" s="5" t="inlineStr">
        <is>
          <t>2025.4Q</t>
        </is>
      </c>
      <c r="J118" s="5" t="inlineStr">
        <is>
          <t>2026.1Q</t>
        </is>
      </c>
      <c r="K118" s="5" t="inlineStr">
        <is>
          <t>2026.2Q</t>
        </is>
      </c>
      <c r="L118" s="5" t="inlineStr">
        <is>
          <t>2026.3Q</t>
        </is>
      </c>
      <c r="M118" s="5" t="inlineStr">
        <is>
          <t>2026.4Q</t>
        </is>
      </c>
      <c r="N118" s="5" t="inlineStr">
        <is>
          <t>2027.1Q</t>
        </is>
      </c>
      <c r="O118" s="5" t="inlineStr">
        <is>
          <t>2017</t>
        </is>
      </c>
      <c r="P118" s="5" t="inlineStr">
        <is>
          <t>2018</t>
        </is>
      </c>
      <c r="Q118" s="5" t="inlineStr">
        <is>
          <t>2019</t>
        </is>
      </c>
      <c r="R118" s="5" t="inlineStr">
        <is>
          <t>2020</t>
        </is>
      </c>
      <c r="S118" s="5" t="inlineStr">
        <is>
          <t>2021</t>
        </is>
      </c>
      <c r="T118" s="5" t="inlineStr">
        <is>
          <t>2022</t>
        </is>
      </c>
      <c r="U118" s="5" t="inlineStr">
        <is>
          <t>2023</t>
        </is>
      </c>
      <c r="V118" s="5" t="inlineStr">
        <is>
          <t>2024</t>
        </is>
      </c>
      <c r="W118" s="5" t="inlineStr">
        <is>
          <t>2025</t>
        </is>
      </c>
      <c r="X118" s="5" t="inlineStr">
        <is>
          <t>2026</t>
        </is>
      </c>
      <c r="Y118" s="5" t="inlineStr">
        <is>
          <t>2027(MW)</t>
        </is>
      </c>
      <c r="Z118" s="5" t="inlineStr">
        <is>
          <t>2028(MW)</t>
        </is>
      </c>
      <c r="AA118" s="5" t="inlineStr">
        <is>
          <t>2029(MW)</t>
        </is>
      </c>
      <c r="AB118" s="5" t="inlineStr">
        <is>
          <t>2030(MW)</t>
        </is>
      </c>
      <c r="AC118" s="5" t="inlineStr">
        <is>
          <t>2031(MW)</t>
        </is>
      </c>
    </row>
    <row r="119">
      <c r="A119" s="9" t="inlineStr">
        <is>
          <t>순이익</t>
        </is>
      </c>
      <c r="C119" s="12" t="n">
        <v>3239</v>
      </c>
      <c r="D119" s="12" t="n">
        <v>7937</v>
      </c>
      <c r="E119" s="12" t="n">
        <v>3016</v>
      </c>
      <c r="F119" s="12" t="n">
        <v>9398</v>
      </c>
      <c r="G119" s="12" t="n">
        <v>5221</v>
      </c>
      <c r="H119" s="12" t="n">
        <v>5764</v>
      </c>
      <c r="I119" s="12" t="n">
        <v>7051</v>
      </c>
      <c r="J119" s="12" t="n">
        <v>9887</v>
      </c>
      <c r="K119" s="12" t="n">
        <v>7481</v>
      </c>
      <c r="L119" s="12" t="n">
        <v>14209</v>
      </c>
      <c r="M119" s="12" t="n">
        <v>8128</v>
      </c>
      <c r="N119" s="12" t="n">
        <v>13880</v>
      </c>
      <c r="U119" s="12" t="n">
        <v>2618</v>
      </c>
      <c r="V119" s="12" t="n">
        <v>3016</v>
      </c>
      <c r="W119" s="12" t="n">
        <v>7051</v>
      </c>
      <c r="X119" s="12" t="n">
        <v>8128</v>
      </c>
    </row>
    <row r="120">
      <c r="A120" s="18" t="inlineStr">
        <is>
          <t>기타포괄손익</t>
        </is>
      </c>
      <c r="C120" s="20" t="n">
        <v>-10012</v>
      </c>
      <c r="D120" s="20" t="n">
        <v>10965</v>
      </c>
      <c r="E120" s="20" t="n">
        <v>24456</v>
      </c>
      <c r="F120" s="20" t="n">
        <v>-12860</v>
      </c>
      <c r="G120" s="20" t="n">
        <v>-1421</v>
      </c>
      <c r="H120" s="20" t="n">
        <v>-7977</v>
      </c>
      <c r="I120" s="20" t="n">
        <v>-28477</v>
      </c>
      <c r="J120" s="20" t="n">
        <v>20740</v>
      </c>
      <c r="K120" s="20" t="n">
        <v>22140</v>
      </c>
      <c r="L120" s="20" t="n">
        <v>9010</v>
      </c>
      <c r="M120" s="20" t="n">
        <v>1936</v>
      </c>
      <c r="N120" s="20" t="n">
        <v>48278</v>
      </c>
      <c r="U120" s="20" t="n">
        <v>12006</v>
      </c>
      <c r="V120" s="20" t="n">
        <v>24456</v>
      </c>
      <c r="W120" s="20" t="n">
        <v>-28477</v>
      </c>
      <c r="X120" s="20" t="n">
        <v>1936</v>
      </c>
    </row>
    <row r="121">
      <c r="A121" s="18" t="inlineStr">
        <is>
          <t>기타유가증권 평가차액</t>
        </is>
      </c>
      <c r="C121" s="20" t="n">
        <v>-26947</v>
      </c>
      <c r="D121" s="20" t="n">
        <v>22147</v>
      </c>
      <c r="E121" s="20" t="n">
        <v>14747</v>
      </c>
      <c r="F121" s="20" t="n">
        <v>-22890</v>
      </c>
      <c r="G121" s="20" t="n">
        <v>14927</v>
      </c>
      <c r="H121" s="20" t="n">
        <v>-24974</v>
      </c>
      <c r="I121" s="20" t="n">
        <v>-31353</v>
      </c>
      <c r="J121" s="20" t="n">
        <v>19140</v>
      </c>
      <c r="K121" s="20" t="n">
        <v>11620</v>
      </c>
      <c r="L121" s="20" t="n">
        <v>-8801</v>
      </c>
      <c r="M121" s="20" t="n">
        <v>-15397</v>
      </c>
      <c r="N121" s="20" t="n">
        <v>46301</v>
      </c>
      <c r="U121" s="20" t="n">
        <v>25440</v>
      </c>
      <c r="V121" s="20" t="n">
        <v>14747</v>
      </c>
      <c r="W121" s="20" t="n">
        <v>-31353</v>
      </c>
      <c r="X121" s="20" t="n">
        <v>-15397</v>
      </c>
    </row>
    <row r="122">
      <c r="A122" s="18" t="inlineStr">
        <is>
          <t>이연헤지손익</t>
        </is>
      </c>
      <c r="C122" s="20" t="n">
        <v>16674</v>
      </c>
      <c r="D122" s="20" t="n">
        <v>-11445</v>
      </c>
      <c r="E122" s="20" t="n">
        <v>1922</v>
      </c>
      <c r="F122" s="20" t="n">
        <v>9941</v>
      </c>
      <c r="G122" s="20" t="n">
        <v>-16436</v>
      </c>
      <c r="H122" s="20" t="n">
        <v>16908</v>
      </c>
      <c r="I122" s="20" t="n">
        <v>4415</v>
      </c>
      <c r="J122" s="20" t="n">
        <v>1439</v>
      </c>
      <c r="K122" s="20" t="n">
        <v>10213</v>
      </c>
      <c r="L122" s="20" t="n">
        <v>17673</v>
      </c>
      <c r="M122" s="20" t="n">
        <v>9526</v>
      </c>
      <c r="N122" s="20" t="n">
        <v>2218</v>
      </c>
      <c r="U122" s="20" t="n">
        <v>-11603</v>
      </c>
      <c r="V122" s="20" t="n">
        <v>1922</v>
      </c>
      <c r="W122" s="20" t="n">
        <v>4415</v>
      </c>
      <c r="X122" s="20" t="n">
        <v>9526</v>
      </c>
    </row>
    <row r="123">
      <c r="A123" s="18" t="inlineStr">
        <is>
          <t>퇴직급여 조정액</t>
        </is>
      </c>
      <c r="C123" s="20" t="n">
        <v>262</v>
      </c>
      <c r="D123" s="20" t="n">
        <v>262</v>
      </c>
      <c r="E123" s="20" t="n">
        <v>7788</v>
      </c>
      <c r="F123" s="20" t="n">
        <v>88</v>
      </c>
      <c r="G123" s="20" t="n">
        <v>89</v>
      </c>
      <c r="H123" s="20" t="n">
        <v>88</v>
      </c>
      <c r="I123" s="20" t="n">
        <v>-1538</v>
      </c>
      <c r="J123" s="20" t="n">
        <v>160</v>
      </c>
      <c r="K123" s="20" t="n">
        <v>308</v>
      </c>
      <c r="L123" s="20" t="n">
        <v>137</v>
      </c>
      <c r="M123" s="20" t="n">
        <v>7807</v>
      </c>
      <c r="N123" s="20" t="n">
        <v>-242</v>
      </c>
      <c r="U123" s="20" t="n">
        <v>-1829</v>
      </c>
      <c r="V123" s="20" t="n">
        <v>7788</v>
      </c>
      <c r="W123" s="20" t="n">
        <v>-1538</v>
      </c>
      <c r="X123" s="20" t="n">
        <v>7807</v>
      </c>
    </row>
    <row r="124">
      <c r="A124" s="9" t="inlineStr">
        <is>
          <t>포괄이익</t>
        </is>
      </c>
      <c r="C124" s="12" t="n">
        <v>-6774</v>
      </c>
      <c r="D124" s="12" t="n">
        <v>18902</v>
      </c>
      <c r="E124" s="12" t="n">
        <v>27473</v>
      </c>
      <c r="F124" s="12" t="n">
        <v>-3462</v>
      </c>
      <c r="G124" s="12" t="n">
        <v>3800</v>
      </c>
      <c r="H124" s="12" t="n">
        <v>-2212</v>
      </c>
      <c r="I124" s="12" t="n">
        <v>-21427</v>
      </c>
      <c r="J124" s="12" t="n">
        <v>30627</v>
      </c>
      <c r="K124" s="12" t="n">
        <v>29621</v>
      </c>
      <c r="L124" s="12" t="n">
        <v>23219</v>
      </c>
      <c r="M124" s="12" t="n">
        <v>10065</v>
      </c>
      <c r="N124" s="12" t="n">
        <v>62159</v>
      </c>
      <c r="U124" s="12" t="n">
        <v>14624</v>
      </c>
      <c r="V124" s="12" t="n">
        <v>27473</v>
      </c>
      <c r="W124" s="12" t="n">
        <v>-21427</v>
      </c>
      <c r="X124" s="12" t="n">
        <v>10065</v>
      </c>
    </row>
    <row r="125">
      <c r="A125" s="9" t="inlineStr">
        <is>
          <t>지배주주 포괄이익</t>
        </is>
      </c>
      <c r="C125" s="12" t="n">
        <v>-6774</v>
      </c>
      <c r="D125" s="12" t="n">
        <v>18902</v>
      </c>
      <c r="E125" s="12" t="n">
        <v>27473</v>
      </c>
      <c r="F125" s="12" t="n">
        <v>-3462</v>
      </c>
      <c r="G125" s="12" t="n">
        <v>3800</v>
      </c>
      <c r="H125" s="12" t="n">
        <v>-2212</v>
      </c>
      <c r="I125" s="12" t="n">
        <v>-21427</v>
      </c>
      <c r="J125" s="12" t="n">
        <v>30627</v>
      </c>
      <c r="K125" s="12" t="n">
        <v>29621</v>
      </c>
      <c r="L125" s="12" t="n">
        <v>23219</v>
      </c>
      <c r="M125" s="12" t="n">
        <v>10065</v>
      </c>
      <c r="N125" s="12" t="n">
        <v>62159</v>
      </c>
      <c r="U125" s="12" t="n">
        <v>14624</v>
      </c>
      <c r="V125" s="12" t="n">
        <v>27473</v>
      </c>
      <c r="W125" s="12" t="n">
        <v>-21427</v>
      </c>
      <c r="X125" s="12" t="n">
        <v>10065</v>
      </c>
    </row>
    <row r="126">
      <c r="A126" s="9" t="inlineStr">
        <is>
          <t>비지배주주 포괄이익</t>
        </is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U126" s="12" t="n">
        <v>0</v>
      </c>
      <c r="V126" s="12" t="n">
        <v>0</v>
      </c>
      <c r="W126" s="12" t="n">
        <v>0</v>
      </c>
      <c r="X126" s="12" t="n">
        <v>0</v>
      </c>
    </row>
    <row r="128">
      <c r="A128" s="16" t="inlineStr">
        <is>
          <t>부문 · 전 항목</t>
        </is>
      </c>
      <c r="B128" s="42" t="inlineStr">
        <is>
          <t>부문 · 항목</t>
        </is>
      </c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2024.2Q</t>
        </is>
      </c>
      <c r="D129" s="5" t="inlineStr">
        <is>
          <t>2024.3Q</t>
        </is>
      </c>
      <c r="E129" s="5" t="inlineStr">
        <is>
          <t>2024.4Q</t>
        </is>
      </c>
      <c r="F129" s="5" t="inlineStr">
        <is>
          <t>2025.1Q</t>
        </is>
      </c>
      <c r="G129" s="5" t="inlineStr">
        <is>
          <t>2025.2Q</t>
        </is>
      </c>
      <c r="H129" s="5" t="inlineStr">
        <is>
          <t>2025.3Q</t>
        </is>
      </c>
      <c r="I129" s="5" t="inlineStr">
        <is>
          <t>2025.4Q</t>
        </is>
      </c>
      <c r="J129" s="5" t="inlineStr">
        <is>
          <t>2026.1Q</t>
        </is>
      </c>
      <c r="K129" s="5" t="inlineStr">
        <is>
          <t>2026.2Q</t>
        </is>
      </c>
      <c r="L129" s="5" t="inlineStr">
        <is>
          <t>2026.3Q</t>
        </is>
      </c>
      <c r="M129" s="5" t="inlineStr">
        <is>
          <t>2026.4Q</t>
        </is>
      </c>
      <c r="N129" s="5" t="inlineStr">
        <is>
          <t>2027.1Q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18" t="inlineStr">
        <is>
          <t>BankingReportableSegmentMember · Revenues From External Customers</t>
        </is>
      </c>
      <c r="C130" s="20" t="n">
        <v>40042</v>
      </c>
      <c r="D130" s="20" t="n">
        <v>43145</v>
      </c>
      <c r="E130" s="20" t="n">
        <v>43409</v>
      </c>
      <c r="F130" s="20" t="n">
        <v>47481</v>
      </c>
      <c r="G130" s="20" t="n">
        <v>43916</v>
      </c>
      <c r="H130" s="20" t="n">
        <v>52212</v>
      </c>
      <c r="I130" s="20" t="n">
        <v>46640</v>
      </c>
      <c r="J130" s="20" t="n">
        <v>51645</v>
      </c>
      <c r="K130" s="20" t="n">
        <v>52089</v>
      </c>
      <c r="L130" s="20" t="n">
        <v>61661</v>
      </c>
      <c r="M130" s="20" t="n">
        <v>60676</v>
      </c>
      <c r="N130" s="20" t="n">
        <v>98751</v>
      </c>
      <c r="V130" s="20" t="n">
        <v>43409</v>
      </c>
      <c r="W130" s="20" t="n">
        <v>46640</v>
      </c>
      <c r="X130" s="20" t="n">
        <v>60676</v>
      </c>
    </row>
    <row r="131">
      <c r="A131" s="18" t="inlineStr">
        <is>
          <t>LeasingReportableSegmentMember · Revenues From External Customers</t>
        </is>
      </c>
      <c r="C131" s="20" t="n">
        <v>2761</v>
      </c>
      <c r="D131" s="20" t="n">
        <v>3084</v>
      </c>
      <c r="E131" s="20" t="n">
        <v>3355</v>
      </c>
      <c r="F131" s="20" t="n">
        <v>3056</v>
      </c>
      <c r="G131" s="20" t="n">
        <v>4981</v>
      </c>
      <c r="H131" s="20" t="n">
        <v>3305</v>
      </c>
      <c r="I131" s="20" t="n">
        <v>3210</v>
      </c>
      <c r="J131" s="20" t="n">
        <v>3457</v>
      </c>
      <c r="K131" s="20" t="n">
        <v>3577</v>
      </c>
      <c r="L131" s="20" t="n">
        <v>3682</v>
      </c>
      <c r="M131" s="20" t="n">
        <v>3699</v>
      </c>
      <c r="N131" s="20" t="n">
        <v>8233</v>
      </c>
      <c r="V131" s="20" t="n">
        <v>3355</v>
      </c>
      <c r="W131" s="20" t="n">
        <v>3210</v>
      </c>
      <c r="X131" s="20" t="n">
        <v>3699</v>
      </c>
    </row>
    <row r="132">
      <c r="A132" s="18" t="inlineStr">
        <is>
          <t>SecuritiesReportableSegmentMember · Revenues From External Customers</t>
        </is>
      </c>
      <c r="C132" s="20" t="n">
        <v>1045</v>
      </c>
      <c r="D132" s="20" t="n">
        <v>872</v>
      </c>
      <c r="E132" s="20" t="n">
        <v>1039</v>
      </c>
      <c r="F132" s="20" t="n">
        <v>1219</v>
      </c>
      <c r="G132" s="20" t="n">
        <v>932</v>
      </c>
      <c r="H132" s="20" t="n">
        <v>846</v>
      </c>
      <c r="I132" s="20" t="n">
        <v>881</v>
      </c>
      <c r="J132" s="20" t="n">
        <v>841</v>
      </c>
      <c r="K132" s="20" t="n">
        <v>1165</v>
      </c>
      <c r="L132" s="20" t="n">
        <v>1575</v>
      </c>
      <c r="M132" s="20" t="n">
        <v>1369</v>
      </c>
      <c r="N132" s="20" t="n">
        <v>1561</v>
      </c>
      <c r="V132" s="20" t="n">
        <v>1039</v>
      </c>
      <c r="W132" s="20" t="n">
        <v>881</v>
      </c>
      <c r="X132" s="20" t="n">
        <v>1369</v>
      </c>
    </row>
    <row r="133">
      <c r="A133" s="18" t="inlineStr">
        <is>
          <t>보고부문 합계 · Revenues From External Customers</t>
        </is>
      </c>
      <c r="C133" s="20" t="n">
        <v>43847</v>
      </c>
      <c r="D133" s="20" t="n">
        <v>47102</v>
      </c>
      <c r="E133" s="20" t="n">
        <v>47803</v>
      </c>
      <c r="F133" s="20" t="n">
        <v>51757</v>
      </c>
      <c r="G133" s="20" t="n">
        <v>49830</v>
      </c>
      <c r="H133" s="20" t="n">
        <v>56362</v>
      </c>
      <c r="I133" s="20" t="n">
        <v>50731</v>
      </c>
      <c r="J133" s="20" t="n">
        <v>55943</v>
      </c>
      <c r="K133" s="20" t="n">
        <v>56831</v>
      </c>
      <c r="L133" s="20" t="n">
        <v>66920</v>
      </c>
      <c r="M133" s="20" t="n">
        <v>65743</v>
      </c>
      <c r="N133" s="20" t="n">
        <v>108546</v>
      </c>
      <c r="V133" s="20" t="n">
        <v>47803</v>
      </c>
      <c r="W133" s="20" t="n">
        <v>50731</v>
      </c>
      <c r="X133" s="20" t="n">
        <v>65743</v>
      </c>
    </row>
    <row r="134">
      <c r="A134" s="18" t="inlineStr">
        <is>
          <t>기타 · Revenues From External Customers</t>
        </is>
      </c>
      <c r="C134" s="20" t="n">
        <v>643</v>
      </c>
      <c r="D134" s="20" t="n">
        <v>647</v>
      </c>
      <c r="E134" s="20" t="n">
        <v>754</v>
      </c>
      <c r="F134" s="20" t="n">
        <v>678</v>
      </c>
      <c r="G134" s="20" t="n">
        <v>735</v>
      </c>
      <c r="H134" s="20" t="n">
        <v>802</v>
      </c>
      <c r="I134" s="20" t="n">
        <v>838</v>
      </c>
      <c r="J134" s="20" t="n">
        <v>765</v>
      </c>
      <c r="K134" s="20" t="n">
        <v>983</v>
      </c>
      <c r="L134" s="20" t="n">
        <v>953</v>
      </c>
      <c r="M134" s="20" t="n">
        <v>935</v>
      </c>
      <c r="N134" s="20" t="n">
        <v>1121</v>
      </c>
      <c r="V134" s="20" t="n">
        <v>754</v>
      </c>
      <c r="W134" s="20" t="n">
        <v>838</v>
      </c>
      <c r="X134" s="20" t="n">
        <v>935</v>
      </c>
    </row>
    <row r="135">
      <c r="A135" s="18" t="inlineStr">
        <is>
          <t>합계 · Revenues From External Customers</t>
        </is>
      </c>
      <c r="C135" s="20" t="n">
        <v>44491</v>
      </c>
      <c r="D135" s="20" t="n">
        <v>47749</v>
      </c>
      <c r="E135" s="20" t="n">
        <v>48557</v>
      </c>
      <c r="F135" s="20" t="n">
        <v>52435</v>
      </c>
      <c r="G135" s="20" t="n">
        <v>50565</v>
      </c>
      <c r="H135" s="20" t="n">
        <v>57165</v>
      </c>
      <c r="I135" s="20" t="n">
        <v>51569</v>
      </c>
      <c r="J135" s="20" t="n">
        <v>56709</v>
      </c>
      <c r="K135" s="20" t="n">
        <v>57814</v>
      </c>
      <c r="L135" s="20" t="n">
        <v>67872</v>
      </c>
      <c r="M135" s="20" t="n">
        <v>66679</v>
      </c>
      <c r="N135" s="20" t="n">
        <v>109667</v>
      </c>
      <c r="V135" s="20" t="n">
        <v>48557</v>
      </c>
      <c r="W135" s="20" t="n">
        <v>51569</v>
      </c>
      <c r="X135" s="20" t="n">
        <v>66679</v>
      </c>
    </row>
    <row r="136">
      <c r="A136" s="18" t="inlineStr">
        <is>
          <t>조정액 · Revenues From External Customers</t>
        </is>
      </c>
      <c r="C136" s="20" t="n">
        <v>10</v>
      </c>
      <c r="D136" s="20" t="n">
        <v>0</v>
      </c>
      <c r="E136" s="20" t="n">
        <v>0</v>
      </c>
      <c r="F136" s="20" t="n">
        <v>0</v>
      </c>
      <c r="G136" s="20" t="n">
        <v>-81</v>
      </c>
      <c r="H136" s="20" t="n">
        <v>-3</v>
      </c>
      <c r="I136" s="20" t="n">
        <v>84</v>
      </c>
      <c r="J136" s="20" t="n">
        <v>-103</v>
      </c>
      <c r="K136" s="20" t="n">
        <v>96</v>
      </c>
      <c r="L136" s="20" t="n">
        <v>-1</v>
      </c>
      <c r="M136" s="20" t="n">
        <v>8</v>
      </c>
      <c r="N136" s="20" t="n">
        <v>-27</v>
      </c>
      <c r="V136" s="20" t="n">
        <v>0</v>
      </c>
      <c r="W136" s="20" t="n">
        <v>84</v>
      </c>
      <c r="X136" s="20" t="n">
        <v>8</v>
      </c>
    </row>
    <row r="137">
      <c r="A137" s="9" t="inlineStr">
        <is>
          <t>Revenues From External Customers</t>
        </is>
      </c>
      <c r="C137" s="12" t="n">
        <v>44501</v>
      </c>
      <c r="D137" s="12" t="n">
        <v>47749</v>
      </c>
      <c r="E137" s="12" t="n">
        <v>48557</v>
      </c>
      <c r="F137" s="12" t="n">
        <v>52435</v>
      </c>
      <c r="G137" s="12" t="n">
        <v>50484</v>
      </c>
      <c r="H137" s="12" t="n">
        <v>57162</v>
      </c>
      <c r="I137" s="12" t="n">
        <v>51653</v>
      </c>
      <c r="V137" s="12" t="n">
        <v>48557</v>
      </c>
      <c r="W137" s="12" t="n">
        <v>51653</v>
      </c>
    </row>
    <row r="138">
      <c r="A138" s="18" t="inlineStr">
        <is>
          <t>EntityTotalMember · Revenues From External Customers</t>
        </is>
      </c>
      <c r="F138" s="20" t="n">
        <v>52435</v>
      </c>
      <c r="J138" s="20" t="n">
        <v>56606</v>
      </c>
      <c r="N138" s="20" t="n">
        <v>109640</v>
      </c>
    </row>
    <row r="139">
      <c r="A139" s="18" t="inlineStr">
        <is>
          <t>BankingReportableSegmentMember · Transactions With Other Segments</t>
        </is>
      </c>
      <c r="C139" s="20" t="n">
        <v>517</v>
      </c>
      <c r="D139" s="20" t="n">
        <v>363</v>
      </c>
      <c r="E139" s="20" t="n">
        <v>538</v>
      </c>
      <c r="F139" s="20" t="n">
        <v>719</v>
      </c>
      <c r="G139" s="20" t="n">
        <v>238</v>
      </c>
      <c r="H139" s="20" t="n">
        <v>435</v>
      </c>
      <c r="I139" s="20" t="n">
        <v>391</v>
      </c>
      <c r="J139" s="20" t="n">
        <v>408</v>
      </c>
      <c r="K139" s="20" t="n">
        <v>512</v>
      </c>
      <c r="L139" s="20" t="n">
        <v>642</v>
      </c>
      <c r="M139" s="20" t="n">
        <v>716</v>
      </c>
      <c r="N139" s="20" t="n">
        <v>660</v>
      </c>
      <c r="V139" s="20" t="n">
        <v>538</v>
      </c>
      <c r="W139" s="20" t="n">
        <v>391</v>
      </c>
      <c r="X139" s="20" t="n">
        <v>716</v>
      </c>
    </row>
    <row r="140">
      <c r="A140" s="18" t="inlineStr">
        <is>
          <t>LeasingReportableSegmentMember · Transactions With Other Segments</t>
        </is>
      </c>
      <c r="C140" s="20" t="n">
        <v>41</v>
      </c>
      <c r="D140" s="20" t="n">
        <v>39</v>
      </c>
      <c r="E140" s="20" t="n">
        <v>44</v>
      </c>
      <c r="F140" s="20" t="n">
        <v>41</v>
      </c>
      <c r="G140" s="20" t="n">
        <v>40</v>
      </c>
      <c r="H140" s="20" t="n">
        <v>40</v>
      </c>
      <c r="I140" s="20" t="n">
        <v>41</v>
      </c>
      <c r="J140" s="20" t="n">
        <v>39</v>
      </c>
      <c r="K140" s="20" t="n">
        <v>41</v>
      </c>
      <c r="L140" s="20" t="n">
        <v>40</v>
      </c>
      <c r="M140" s="20" t="n">
        <v>43</v>
      </c>
      <c r="N140" s="20" t="n">
        <v>43</v>
      </c>
      <c r="V140" s="20" t="n">
        <v>44</v>
      </c>
      <c r="W140" s="20" t="n">
        <v>41</v>
      </c>
      <c r="X140" s="20" t="n">
        <v>43</v>
      </c>
    </row>
    <row r="141">
      <c r="A141" s="18" t="inlineStr">
        <is>
          <t>SecuritiesReportableSegmentMember · Transactions With Other Segments</t>
        </is>
      </c>
      <c r="C141" s="20" t="n">
        <v>20</v>
      </c>
      <c r="D141" s="20" t="n">
        <v>21</v>
      </c>
      <c r="E141" s="20" t="n">
        <v>22</v>
      </c>
      <c r="F141" s="20" t="n">
        <v>23</v>
      </c>
      <c r="G141" s="20" t="n">
        <v>24</v>
      </c>
      <c r="H141" s="20" t="n">
        <v>23</v>
      </c>
      <c r="I141" s="20" t="n">
        <v>26</v>
      </c>
      <c r="J141" s="20" t="n">
        <v>23</v>
      </c>
      <c r="K141" s="20" t="n">
        <v>29</v>
      </c>
      <c r="L141" s="20" t="n">
        <v>27</v>
      </c>
      <c r="M141" s="20" t="n">
        <v>33</v>
      </c>
      <c r="N141" s="20" t="n">
        <v>30</v>
      </c>
      <c r="V141" s="20" t="n">
        <v>22</v>
      </c>
      <c r="W141" s="20" t="n">
        <v>26</v>
      </c>
      <c r="X141" s="20" t="n">
        <v>33</v>
      </c>
    </row>
    <row r="142">
      <c r="A142" s="18" t="inlineStr">
        <is>
          <t>보고부문 합계 · Transactions With Other Segments</t>
        </is>
      </c>
      <c r="C142" s="20" t="n">
        <v>577</v>
      </c>
      <c r="D142" s="20" t="n">
        <v>422</v>
      </c>
      <c r="E142" s="20" t="n">
        <v>604</v>
      </c>
      <c r="F142" s="20" t="n">
        <v>784</v>
      </c>
      <c r="G142" s="20" t="n">
        <v>301</v>
      </c>
      <c r="H142" s="20" t="n">
        <v>499</v>
      </c>
      <c r="I142" s="20" t="n">
        <v>459</v>
      </c>
      <c r="J142" s="20" t="n">
        <v>471</v>
      </c>
      <c r="K142" s="20" t="n">
        <v>582</v>
      </c>
      <c r="L142" s="20" t="n">
        <v>710</v>
      </c>
      <c r="M142" s="20" t="n">
        <v>792</v>
      </c>
      <c r="N142" s="20" t="n">
        <v>735</v>
      </c>
      <c r="V142" s="20" t="n">
        <v>604</v>
      </c>
      <c r="W142" s="20" t="n">
        <v>459</v>
      </c>
      <c r="X142" s="20" t="n">
        <v>792</v>
      </c>
    </row>
    <row r="143">
      <c r="A143" s="18" t="inlineStr">
        <is>
          <t>기타 · Transactions With Other Segments</t>
        </is>
      </c>
      <c r="C143" s="20" t="n">
        <v>487</v>
      </c>
      <c r="D143" s="20" t="n">
        <v>3986</v>
      </c>
      <c r="E143" s="20" t="n">
        <v>486</v>
      </c>
      <c r="F143" s="20" t="n">
        <v>6640</v>
      </c>
      <c r="G143" s="20" t="n">
        <v>584</v>
      </c>
      <c r="H143" s="20" t="n">
        <v>13092</v>
      </c>
      <c r="I143" s="20" t="n">
        <v>1031</v>
      </c>
      <c r="J143" s="20" t="n">
        <v>11065</v>
      </c>
      <c r="K143" s="20" t="n">
        <v>1075</v>
      </c>
      <c r="L143" s="20" t="n">
        <v>27649</v>
      </c>
      <c r="M143" s="20" t="n">
        <v>1177</v>
      </c>
      <c r="N143" s="20" t="n">
        <v>11926</v>
      </c>
      <c r="V143" s="20" t="n">
        <v>486</v>
      </c>
      <c r="W143" s="20" t="n">
        <v>1031</v>
      </c>
      <c r="X143" s="20" t="n">
        <v>1177</v>
      </c>
    </row>
    <row r="144">
      <c r="A144" s="18" t="inlineStr">
        <is>
          <t>합계 · Transactions With Other Segments</t>
        </is>
      </c>
      <c r="C144" s="20" t="n">
        <v>1065</v>
      </c>
      <c r="D144" s="20" t="n">
        <v>4408</v>
      </c>
      <c r="E144" s="20" t="n">
        <v>1090</v>
      </c>
      <c r="F144" s="20" t="n">
        <v>7424</v>
      </c>
      <c r="G144" s="20" t="n">
        <v>885</v>
      </c>
      <c r="H144" s="20" t="n">
        <v>13592</v>
      </c>
      <c r="I144" s="20" t="n">
        <v>1490</v>
      </c>
      <c r="J144" s="20" t="n">
        <v>11537</v>
      </c>
      <c r="K144" s="20" t="n">
        <v>1657</v>
      </c>
      <c r="L144" s="20" t="n">
        <v>28359</v>
      </c>
      <c r="M144" s="20" t="n">
        <v>1968</v>
      </c>
      <c r="N144" s="20" t="n">
        <v>12661</v>
      </c>
      <c r="V144" s="20" t="n">
        <v>1090</v>
      </c>
      <c r="W144" s="20" t="n">
        <v>1490</v>
      </c>
      <c r="X144" s="20" t="n">
        <v>1968</v>
      </c>
    </row>
    <row r="145">
      <c r="A145" s="18" t="inlineStr">
        <is>
          <t>조정액 · Transactions With Other Segments</t>
        </is>
      </c>
      <c r="C145" s="20" t="n">
        <v>-1065</v>
      </c>
      <c r="D145" s="20" t="n">
        <v>-4408</v>
      </c>
      <c r="E145" s="20" t="n">
        <v>-1090</v>
      </c>
      <c r="F145" s="20" t="n">
        <v>-7424</v>
      </c>
      <c r="G145" s="20" t="n">
        <v>-885</v>
      </c>
      <c r="H145" s="20" t="n">
        <v>-13592</v>
      </c>
      <c r="I145" s="20" t="n">
        <v>-1490</v>
      </c>
      <c r="J145" s="20" t="n">
        <v>-11537</v>
      </c>
      <c r="K145" s="20" t="n">
        <v>-1657</v>
      </c>
      <c r="L145" s="20" t="n">
        <v>-28359</v>
      </c>
      <c r="M145" s="20" t="n">
        <v>-1968</v>
      </c>
      <c r="N145" s="20" t="n">
        <v>-12661</v>
      </c>
      <c r="V145" s="20" t="n">
        <v>-1090</v>
      </c>
      <c r="W145" s="20" t="n">
        <v>-1490</v>
      </c>
      <c r="X145" s="20" t="n">
        <v>-1968</v>
      </c>
    </row>
    <row r="146">
      <c r="A146" s="18" t="inlineStr">
        <is>
          <t>Transactions With Other Segments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V146" s="20" t="n">
        <v>0</v>
      </c>
      <c r="W146" s="20" t="n">
        <v>0</v>
      </c>
    </row>
    <row r="147">
      <c r="A147" s="18" t="inlineStr">
        <is>
          <t>EntityTotalMember · Transactions With Other Segments</t>
        </is>
      </c>
      <c r="F147" s="20" t="n">
        <v>0</v>
      </c>
      <c r="J147" s="20" t="n">
        <v>0</v>
      </c>
      <c r="N147" s="20" t="n">
        <v>0</v>
      </c>
    </row>
    <row r="148">
      <c r="A148" s="18" t="inlineStr">
        <is>
          <t>BankingReportableSegmentMember · 계</t>
        </is>
      </c>
      <c r="C148" s="20" t="n">
        <v>40558</v>
      </c>
      <c r="D148" s="20" t="n">
        <v>43508</v>
      </c>
      <c r="E148" s="20" t="n">
        <v>43948</v>
      </c>
      <c r="F148" s="20" t="n">
        <v>48201</v>
      </c>
      <c r="G148" s="20" t="n">
        <v>44154</v>
      </c>
      <c r="H148" s="20" t="n">
        <v>52646</v>
      </c>
      <c r="I148" s="20" t="n">
        <v>47032</v>
      </c>
      <c r="J148" s="20" t="n">
        <v>52053</v>
      </c>
      <c r="K148" s="20" t="n">
        <v>52601</v>
      </c>
      <c r="L148" s="20" t="n">
        <v>62304</v>
      </c>
      <c r="M148" s="20" t="n">
        <v>61392</v>
      </c>
      <c r="N148" s="20" t="n">
        <v>99412</v>
      </c>
      <c r="V148" s="20" t="n">
        <v>43948</v>
      </c>
      <c r="W148" s="20" t="n">
        <v>47032</v>
      </c>
      <c r="X148" s="20" t="n">
        <v>61392</v>
      </c>
    </row>
    <row r="149">
      <c r="A149" s="18" t="inlineStr">
        <is>
          <t>LeasingReportableSegmentMember · 계</t>
        </is>
      </c>
      <c r="C149" s="20" t="n">
        <v>2801</v>
      </c>
      <c r="D149" s="20" t="n">
        <v>3124</v>
      </c>
      <c r="E149" s="20" t="n">
        <v>3398</v>
      </c>
      <c r="F149" s="20" t="n">
        <v>3097</v>
      </c>
      <c r="G149" s="20" t="n">
        <v>5021</v>
      </c>
      <c r="H149" s="20" t="n">
        <v>3346</v>
      </c>
      <c r="I149" s="20" t="n">
        <v>3251</v>
      </c>
      <c r="J149" s="20" t="n">
        <v>3497</v>
      </c>
      <c r="K149" s="20" t="n">
        <v>3617</v>
      </c>
      <c r="L149" s="20" t="n">
        <v>3723</v>
      </c>
      <c r="M149" s="20" t="n">
        <v>3742</v>
      </c>
      <c r="N149" s="20" t="n">
        <v>8276</v>
      </c>
      <c r="V149" s="20" t="n">
        <v>3398</v>
      </c>
      <c r="W149" s="20" t="n">
        <v>3251</v>
      </c>
      <c r="X149" s="20" t="n">
        <v>3742</v>
      </c>
    </row>
    <row r="150">
      <c r="A150" s="18" t="inlineStr">
        <is>
          <t>SecuritiesReportableSegmentMember · 계</t>
        </is>
      </c>
      <c r="C150" s="20" t="n">
        <v>1065</v>
      </c>
      <c r="D150" s="20" t="n">
        <v>892</v>
      </c>
      <c r="E150" s="20" t="n">
        <v>1061</v>
      </c>
      <c r="F150" s="20" t="n">
        <v>1242</v>
      </c>
      <c r="G150" s="20" t="n">
        <v>956</v>
      </c>
      <c r="H150" s="20" t="n">
        <v>870</v>
      </c>
      <c r="I150" s="20" t="n">
        <v>907</v>
      </c>
      <c r="J150" s="20" t="n">
        <v>865</v>
      </c>
      <c r="K150" s="20" t="n">
        <v>1194</v>
      </c>
      <c r="L150" s="20" t="n">
        <v>1602</v>
      </c>
      <c r="M150" s="20" t="n">
        <v>1402</v>
      </c>
      <c r="N150" s="20" t="n">
        <v>1592</v>
      </c>
      <c r="V150" s="20" t="n">
        <v>1061</v>
      </c>
      <c r="W150" s="20" t="n">
        <v>907</v>
      </c>
      <c r="X150" s="20" t="n">
        <v>1402</v>
      </c>
    </row>
    <row r="151">
      <c r="A151" s="18" t="inlineStr">
        <is>
          <t>보고부문 합계 · 계</t>
        </is>
      </c>
      <c r="C151" s="20" t="n">
        <v>44424</v>
      </c>
      <c r="D151" s="20" t="n">
        <v>47524</v>
      </c>
      <c r="E151" s="20" t="n">
        <v>48407</v>
      </c>
      <c r="F151" s="20" t="n">
        <v>52541</v>
      </c>
      <c r="G151" s="20" t="n">
        <v>50131</v>
      </c>
      <c r="H151" s="20" t="n">
        <v>56862</v>
      </c>
      <c r="I151" s="20" t="n">
        <v>51190</v>
      </c>
      <c r="J151" s="20" t="n">
        <v>56415</v>
      </c>
      <c r="K151" s="20" t="n">
        <v>57413</v>
      </c>
      <c r="L151" s="20" t="n">
        <v>67629</v>
      </c>
      <c r="M151" s="20" t="n">
        <v>66535</v>
      </c>
      <c r="N151" s="20" t="n">
        <v>109281</v>
      </c>
      <c r="V151" s="20" t="n">
        <v>48407</v>
      </c>
      <c r="W151" s="20" t="n">
        <v>51190</v>
      </c>
      <c r="X151" s="20" t="n">
        <v>66535</v>
      </c>
    </row>
    <row r="152">
      <c r="A152" s="18" t="inlineStr">
        <is>
          <t>기타 · 계</t>
        </is>
      </c>
      <c r="C152" s="20" t="n">
        <v>1131</v>
      </c>
      <c r="D152" s="20" t="n">
        <v>4633</v>
      </c>
      <c r="E152" s="20" t="n">
        <v>1240</v>
      </c>
      <c r="F152" s="20" t="n">
        <v>7318</v>
      </c>
      <c r="G152" s="20" t="n">
        <v>1319</v>
      </c>
      <c r="H152" s="20" t="n">
        <v>13894</v>
      </c>
      <c r="I152" s="20" t="n">
        <v>1870</v>
      </c>
      <c r="J152" s="20" t="n">
        <v>11831</v>
      </c>
      <c r="K152" s="20" t="n">
        <v>2058</v>
      </c>
      <c r="L152" s="20" t="n">
        <v>28602</v>
      </c>
      <c r="M152" s="20" t="n">
        <v>2112</v>
      </c>
      <c r="N152" s="20" t="n">
        <v>13047</v>
      </c>
      <c r="V152" s="20" t="n">
        <v>1240</v>
      </c>
      <c r="W152" s="20" t="n">
        <v>1870</v>
      </c>
      <c r="X152" s="20" t="n">
        <v>2112</v>
      </c>
    </row>
    <row r="153">
      <c r="A153" s="18" t="inlineStr">
        <is>
          <t>합계 · 계</t>
        </is>
      </c>
      <c r="C153" s="20" t="n">
        <v>45555</v>
      </c>
      <c r="D153" s="20" t="n">
        <v>52158</v>
      </c>
      <c r="E153" s="20" t="n">
        <v>49646</v>
      </c>
      <c r="F153" s="20" t="n">
        <v>59859</v>
      </c>
      <c r="G153" s="20" t="n">
        <v>51451</v>
      </c>
      <c r="H153" s="20" t="n">
        <v>70756</v>
      </c>
      <c r="I153" s="20" t="n">
        <v>53059</v>
      </c>
      <c r="J153" s="20" t="n">
        <v>68247</v>
      </c>
      <c r="K153" s="20" t="n">
        <v>59470</v>
      </c>
      <c r="L153" s="20" t="n">
        <v>96232</v>
      </c>
      <c r="M153" s="20" t="n">
        <v>68647</v>
      </c>
      <c r="N153" s="20" t="n">
        <v>122329</v>
      </c>
      <c r="V153" s="20" t="n">
        <v>49646</v>
      </c>
      <c r="W153" s="20" t="n">
        <v>53059</v>
      </c>
      <c r="X153" s="20" t="n">
        <v>68647</v>
      </c>
    </row>
    <row r="154">
      <c r="A154" s="18" t="inlineStr">
        <is>
          <t>조정액 · 계</t>
        </is>
      </c>
      <c r="C154" s="20" t="n">
        <v>-1054</v>
      </c>
      <c r="D154" s="20" t="n">
        <v>-4408</v>
      </c>
      <c r="E154" s="20" t="n">
        <v>-1090</v>
      </c>
      <c r="F154" s="20" t="n">
        <v>-7424</v>
      </c>
      <c r="G154" s="20" t="n">
        <v>-966</v>
      </c>
      <c r="H154" s="20" t="n">
        <v>-13595</v>
      </c>
      <c r="I154" s="20" t="n">
        <v>-1406</v>
      </c>
      <c r="J154" s="20" t="n">
        <v>-11640</v>
      </c>
      <c r="K154" s="20" t="n">
        <v>-1561</v>
      </c>
      <c r="L154" s="20" t="n">
        <v>-28361</v>
      </c>
      <c r="M154" s="20" t="n">
        <v>-1959</v>
      </c>
      <c r="N154" s="20" t="n">
        <v>-12689</v>
      </c>
      <c r="V154" s="20" t="n">
        <v>-1090</v>
      </c>
      <c r="W154" s="20" t="n">
        <v>-1406</v>
      </c>
      <c r="X154" s="20" t="n">
        <v>-1959</v>
      </c>
    </row>
    <row r="155">
      <c r="A155" s="9" t="inlineStr">
        <is>
          <t>계</t>
        </is>
      </c>
      <c r="C155" s="12" t="n">
        <v>44501</v>
      </c>
      <c r="D155" s="12" t="n">
        <v>47749</v>
      </c>
      <c r="E155" s="12" t="n">
        <v>48557</v>
      </c>
      <c r="F155" s="12" t="n">
        <v>52435</v>
      </c>
      <c r="G155" s="12" t="n">
        <v>50484</v>
      </c>
      <c r="H155" s="12" t="n">
        <v>57162</v>
      </c>
      <c r="I155" s="12" t="n">
        <v>51653</v>
      </c>
      <c r="V155" s="12" t="n">
        <v>48557</v>
      </c>
      <c r="W155" s="12" t="n">
        <v>51653</v>
      </c>
    </row>
    <row r="156">
      <c r="A156" s="18" t="inlineStr">
        <is>
          <t>EntityTotalMember · 계</t>
        </is>
      </c>
      <c r="F156" s="20" t="n">
        <v>52435</v>
      </c>
      <c r="J156" s="20" t="n">
        <v>56606</v>
      </c>
      <c r="N156" s="20" t="n">
        <v>109640</v>
      </c>
    </row>
    <row r="157">
      <c r="A157" s="18" t="inlineStr">
        <is>
          <t>BankingReportableSegmentMember · 부문 이익</t>
        </is>
      </c>
      <c r="C157" s="20" t="n">
        <v>4371</v>
      </c>
      <c r="D157" s="20" t="n">
        <v>10554</v>
      </c>
      <c r="E157" s="20" t="n">
        <v>4153</v>
      </c>
      <c r="F157" s="20" t="n">
        <v>13033</v>
      </c>
      <c r="G157" s="20" t="n">
        <v>6230</v>
      </c>
      <c r="H157" s="20" t="n">
        <v>7961</v>
      </c>
      <c r="I157" s="20" t="n">
        <v>8572</v>
      </c>
      <c r="J157" s="20" t="n">
        <v>14326</v>
      </c>
      <c r="K157" s="20" t="n">
        <v>9267</v>
      </c>
      <c r="L157" s="20" t="n">
        <v>19024</v>
      </c>
      <c r="M157" s="20" t="n">
        <v>9863</v>
      </c>
      <c r="N157" s="20" t="n">
        <v>18687</v>
      </c>
      <c r="V157" s="20" t="n">
        <v>4153</v>
      </c>
      <c r="W157" s="20" t="n">
        <v>8572</v>
      </c>
      <c r="X157" s="20" t="n">
        <v>9863</v>
      </c>
    </row>
    <row r="158">
      <c r="A158" s="18" t="inlineStr">
        <is>
          <t>LeasingReportableSegmentMember · 부문 이익</t>
        </is>
      </c>
      <c r="C158" s="20" t="n">
        <v>38</v>
      </c>
      <c r="D158" s="20" t="n">
        <v>384</v>
      </c>
      <c r="E158" s="20" t="n">
        <v>252</v>
      </c>
      <c r="F158" s="20" t="n">
        <v>139</v>
      </c>
      <c r="G158" s="20" t="n">
        <v>615</v>
      </c>
      <c r="H158" s="20" t="n">
        <v>129</v>
      </c>
      <c r="I158" s="20" t="n">
        <v>-198</v>
      </c>
      <c r="J158" s="20" t="n">
        <v>100</v>
      </c>
      <c r="K158" s="20" t="n">
        <v>183</v>
      </c>
      <c r="L158" s="20" t="n">
        <v>210</v>
      </c>
      <c r="M158" s="20" t="n">
        <v>57</v>
      </c>
      <c r="N158" s="20" t="n">
        <v>298</v>
      </c>
      <c r="V158" s="20" t="n">
        <v>252</v>
      </c>
      <c r="W158" s="20" t="n">
        <v>-198</v>
      </c>
      <c r="X158" s="20" t="n">
        <v>57</v>
      </c>
    </row>
    <row r="159">
      <c r="A159" s="18" t="inlineStr">
        <is>
          <t>SecuritiesReportableSegmentMember · 부문 이익</t>
        </is>
      </c>
      <c r="C159" s="20" t="n">
        <v>226</v>
      </c>
      <c r="D159" s="20" t="n">
        <v>162</v>
      </c>
      <c r="E159" s="20" t="n">
        <v>236</v>
      </c>
      <c r="F159" s="20" t="n">
        <v>354</v>
      </c>
      <c r="G159" s="20" t="n">
        <v>215</v>
      </c>
      <c r="H159" s="20" t="n">
        <v>137</v>
      </c>
      <c r="I159" s="20" t="n">
        <v>162</v>
      </c>
      <c r="J159" s="20" t="n">
        <v>110</v>
      </c>
      <c r="K159" s="20" t="n">
        <v>306</v>
      </c>
      <c r="L159" s="20" t="n">
        <v>567</v>
      </c>
      <c r="M159" s="20" t="n">
        <v>377</v>
      </c>
      <c r="N159" s="20" t="n">
        <v>524</v>
      </c>
      <c r="V159" s="20" t="n">
        <v>236</v>
      </c>
      <c r="W159" s="20" t="n">
        <v>162</v>
      </c>
      <c r="X159" s="20" t="n">
        <v>377</v>
      </c>
    </row>
    <row r="160">
      <c r="A160" s="18" t="inlineStr">
        <is>
          <t>보고부문 합계 · 부문 이익</t>
        </is>
      </c>
      <c r="C160" s="20" t="n">
        <v>4636</v>
      </c>
      <c r="D160" s="20" t="n">
        <v>11099</v>
      </c>
      <c r="E160" s="20" t="n">
        <v>4641</v>
      </c>
      <c r="F160" s="20" t="n">
        <v>13526</v>
      </c>
      <c r="G160" s="20" t="n">
        <v>7061</v>
      </c>
      <c r="H160" s="20" t="n">
        <v>8227</v>
      </c>
      <c r="I160" s="20" t="n">
        <v>8537</v>
      </c>
      <c r="J160" s="20" t="n">
        <v>14537</v>
      </c>
      <c r="K160" s="20" t="n">
        <v>9756</v>
      </c>
      <c r="L160" s="20" t="n">
        <v>19801</v>
      </c>
      <c r="M160" s="20" t="n">
        <v>10298</v>
      </c>
      <c r="N160" s="20" t="n">
        <v>19509</v>
      </c>
      <c r="V160" s="20" t="n">
        <v>4641</v>
      </c>
      <c r="W160" s="20" t="n">
        <v>8537</v>
      </c>
      <c r="X160" s="20" t="n">
        <v>10298</v>
      </c>
    </row>
    <row r="161">
      <c r="A161" s="18" t="inlineStr">
        <is>
          <t>기타 · 부문 이익</t>
        </is>
      </c>
      <c r="C161" s="20" t="n">
        <v>124</v>
      </c>
      <c r="D161" s="20" t="n">
        <v>3681</v>
      </c>
      <c r="E161" s="20" t="n">
        <v>194</v>
      </c>
      <c r="F161" s="20" t="n">
        <v>6267</v>
      </c>
      <c r="G161" s="20" t="n">
        <v>168</v>
      </c>
      <c r="H161" s="20" t="n">
        <v>12492</v>
      </c>
      <c r="I161" s="20" t="n">
        <v>555</v>
      </c>
      <c r="J161" s="20" t="n">
        <v>10459</v>
      </c>
      <c r="K161" s="20" t="n">
        <v>468</v>
      </c>
      <c r="L161" s="20" t="n">
        <v>26967</v>
      </c>
      <c r="M161" s="20" t="n">
        <v>391</v>
      </c>
      <c r="N161" s="20" t="n">
        <v>11422</v>
      </c>
      <c r="V161" s="20" t="n">
        <v>194</v>
      </c>
      <c r="W161" s="20" t="n">
        <v>555</v>
      </c>
      <c r="X161" s="20" t="n">
        <v>391</v>
      </c>
    </row>
    <row r="162">
      <c r="A162" s="18" t="inlineStr">
        <is>
          <t>합계 · 부문 이익</t>
        </is>
      </c>
      <c r="C162" s="20" t="n">
        <v>4760</v>
      </c>
      <c r="D162" s="20" t="n">
        <v>14780</v>
      </c>
      <c r="E162" s="20" t="n">
        <v>4835</v>
      </c>
      <c r="F162" s="20" t="n">
        <v>19794</v>
      </c>
      <c r="G162" s="20" t="n">
        <v>7228</v>
      </c>
      <c r="H162" s="20" t="n">
        <v>20719</v>
      </c>
      <c r="I162" s="20" t="n">
        <v>9092</v>
      </c>
      <c r="J162" s="20" t="n">
        <v>24996</v>
      </c>
      <c r="K162" s="20" t="n">
        <v>10224</v>
      </c>
      <c r="L162" s="20" t="n">
        <v>46769</v>
      </c>
      <c r="M162" s="20" t="n">
        <v>10689</v>
      </c>
      <c r="N162" s="20" t="n">
        <v>30932</v>
      </c>
      <c r="V162" s="20" t="n">
        <v>4835</v>
      </c>
      <c r="W162" s="20" t="n">
        <v>9092</v>
      </c>
      <c r="X162" s="20" t="n">
        <v>10689</v>
      </c>
    </row>
    <row r="163">
      <c r="A163" s="18" t="inlineStr">
        <is>
          <t>조정액 · 부문 이익</t>
        </is>
      </c>
      <c r="C163" s="20" t="n">
        <v>1</v>
      </c>
      <c r="D163" s="20" t="n">
        <v>-3496</v>
      </c>
      <c r="E163" s="20" t="n">
        <v>37</v>
      </c>
      <c r="F163" s="20" t="n">
        <v>-6065</v>
      </c>
      <c r="G163" s="20" t="n">
        <v>27</v>
      </c>
      <c r="H163" s="20" t="n">
        <v>-12492</v>
      </c>
      <c r="I163" s="20" t="n">
        <v>5</v>
      </c>
      <c r="J163" s="20" t="n">
        <v>-10012</v>
      </c>
      <c r="K163" s="20" t="n">
        <v>-7</v>
      </c>
      <c r="L163" s="20" t="n">
        <v>-26474</v>
      </c>
      <c r="M163" s="20" t="n">
        <v>-146</v>
      </c>
      <c r="N163" s="20" t="n">
        <v>-10663</v>
      </c>
      <c r="V163" s="20" t="n">
        <v>37</v>
      </c>
      <c r="W163" s="20" t="n">
        <v>5</v>
      </c>
      <c r="X163" s="20" t="n">
        <v>-146</v>
      </c>
    </row>
    <row r="164">
      <c r="A164" s="9" t="inlineStr">
        <is>
          <t>부문 이익</t>
        </is>
      </c>
      <c r="C164" s="12" t="n">
        <v>4761</v>
      </c>
      <c r="D164" s="12" t="n">
        <v>11283</v>
      </c>
      <c r="E164" s="12" t="n">
        <v>4872</v>
      </c>
      <c r="F164" s="12" t="n">
        <v>13728</v>
      </c>
      <c r="G164" s="12" t="n">
        <v>7256</v>
      </c>
      <c r="H164" s="12" t="n">
        <v>8226</v>
      </c>
      <c r="I164" s="12" t="n">
        <v>9098</v>
      </c>
      <c r="V164" s="12" t="n">
        <v>4872</v>
      </c>
      <c r="W164" s="12" t="n">
        <v>9098</v>
      </c>
    </row>
    <row r="165">
      <c r="A165" s="18" t="inlineStr">
        <is>
          <t>EntityTotalMember · 부문 이익</t>
        </is>
      </c>
      <c r="F165" s="20" t="n">
        <v>13728</v>
      </c>
      <c r="J165" s="20" t="n">
        <v>14984</v>
      </c>
      <c r="N165" s="20" t="n">
        <v>20269</v>
      </c>
    </row>
    <row r="167">
      <c r="A167" s="16" t="inlineStr">
        <is>
          <t>현금흐름표 · 전 항목</t>
        </is>
      </c>
      <c r="B167" s="42" t="inlineStr">
        <is>
          <t>분기 = 결산기 첫날부터 누계(공시 그대로)</t>
        </is>
      </c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</row>
    <row r="168">
      <c r="A168" s="5" t="inlineStr">
        <is>
          <t>항목</t>
        </is>
      </c>
      <c r="B168" s="5" t="inlineStr">
        <is>
          <t>참고</t>
        </is>
      </c>
      <c r="C168" s="5" t="inlineStr">
        <is>
          <t>2024.2Q</t>
        </is>
      </c>
      <c r="D168" s="5" t="inlineStr">
        <is>
          <t>2024.3Q</t>
        </is>
      </c>
      <c r="E168" s="5" t="inlineStr">
        <is>
          <t>2024.4Q</t>
        </is>
      </c>
      <c r="F168" s="5" t="inlineStr">
        <is>
          <t>2025.1Q</t>
        </is>
      </c>
      <c r="G168" s="5" t="inlineStr">
        <is>
          <t>2025.2Q</t>
        </is>
      </c>
      <c r="H168" s="5" t="inlineStr">
        <is>
          <t>2025.3Q</t>
        </is>
      </c>
      <c r="I168" s="5" t="inlineStr">
        <is>
          <t>2025.4Q</t>
        </is>
      </c>
      <c r="J168" s="5" t="inlineStr">
        <is>
          <t>2026.1Q</t>
        </is>
      </c>
      <c r="K168" s="5" t="inlineStr">
        <is>
          <t>2026.2Q</t>
        </is>
      </c>
      <c r="L168" s="5" t="inlineStr">
        <is>
          <t>2026.3Q</t>
        </is>
      </c>
      <c r="M168" s="5" t="inlineStr">
        <is>
          <t>2026.4Q</t>
        </is>
      </c>
      <c r="N168" s="5" t="inlineStr">
        <is>
          <t>2027.1Q</t>
        </is>
      </c>
      <c r="O168" s="5" t="inlineStr">
        <is>
          <t>2017</t>
        </is>
      </c>
      <c r="P168" s="5" t="inlineStr">
        <is>
          <t>2018</t>
        </is>
      </c>
      <c r="Q168" s="5" t="inlineStr">
        <is>
          <t>2019</t>
        </is>
      </c>
      <c r="R168" s="5" t="inlineStr">
        <is>
          <t>2020</t>
        </is>
      </c>
      <c r="S168" s="5" t="inlineStr">
        <is>
          <t>2021</t>
        </is>
      </c>
      <c r="T168" s="5" t="inlineStr">
        <is>
          <t>2022</t>
        </is>
      </c>
      <c r="U168" s="5" t="inlineStr">
        <is>
          <t>2023</t>
        </is>
      </c>
      <c r="V168" s="5" t="inlineStr">
        <is>
          <t>2024</t>
        </is>
      </c>
      <c r="W168" s="5" t="inlineStr">
        <is>
          <t>2025</t>
        </is>
      </c>
      <c r="X168" s="5" t="inlineStr">
        <is>
          <t>2026</t>
        </is>
      </c>
      <c r="Y168" s="5" t="inlineStr">
        <is>
          <t>2027(MW)</t>
        </is>
      </c>
      <c r="Z168" s="5" t="inlineStr">
        <is>
          <t>2028(MW)</t>
        </is>
      </c>
      <c r="AA168" s="5" t="inlineStr">
        <is>
          <t>2029(MW)</t>
        </is>
      </c>
      <c r="AB168" s="5" t="inlineStr">
        <is>
          <t>2030(MW)</t>
        </is>
      </c>
      <c r="AC168" s="5" t="inlineStr">
        <is>
          <t>2031(MW)</t>
        </is>
      </c>
    </row>
    <row r="169">
      <c r="A169" s="9" t="inlineStr">
        <is>
          <t>법인세차감전 순이익</t>
        </is>
      </c>
      <c r="E169" s="12" t="n">
        <v>30899</v>
      </c>
      <c r="I169" s="12" t="n">
        <v>38282</v>
      </c>
      <c r="M169" s="12" t="n">
        <v>55666</v>
      </c>
      <c r="U169" s="12" t="n">
        <v>29518</v>
      </c>
      <c r="V169" s="12" t="n">
        <v>30899</v>
      </c>
      <c r="W169" s="12" t="n">
        <v>38282</v>
      </c>
      <c r="X169" s="12" t="n">
        <v>55666</v>
      </c>
    </row>
    <row r="170">
      <c r="A170" s="18" t="inlineStr">
        <is>
          <t>감가상각비</t>
        </is>
      </c>
      <c r="E170" s="20" t="n">
        <v>3312</v>
      </c>
      <c r="I170" s="20" t="n">
        <v>4249</v>
      </c>
      <c r="M170" s="20" t="n">
        <v>5268</v>
      </c>
      <c r="U170" s="20" t="n">
        <v>3177</v>
      </c>
      <c r="V170" s="20" t="n">
        <v>3312</v>
      </c>
      <c r="W170" s="20" t="n">
        <v>4249</v>
      </c>
      <c r="X170" s="20" t="n">
        <v>5268</v>
      </c>
    </row>
    <row r="171">
      <c r="A171" s="18" t="inlineStr">
        <is>
          <t>손상차손</t>
        </is>
      </c>
      <c r="E171" s="20" t="n">
        <v>122</v>
      </c>
      <c r="I171" s="20" t="n">
        <v>100</v>
      </c>
      <c r="M171" s="20" t="n">
        <v>30</v>
      </c>
      <c r="U171" s="20" t="n">
        <v>55</v>
      </c>
      <c r="V171" s="20" t="n">
        <v>122</v>
      </c>
      <c r="W171" s="20" t="n">
        <v>100</v>
      </c>
      <c r="X171" s="20" t="n">
        <v>30</v>
      </c>
    </row>
    <row r="172">
      <c r="A172" s="18" t="inlineStr">
        <is>
          <t>영업권 상각</t>
        </is>
      </c>
      <c r="I172" s="20" t="n">
        <v>0</v>
      </c>
      <c r="M172" s="20" t="n">
        <v>61</v>
      </c>
      <c r="W172" s="20" t="n">
        <v>0</v>
      </c>
      <c r="X172" s="20" t="n">
        <v>61</v>
      </c>
    </row>
    <row r="173">
      <c r="A173" s="18" t="inlineStr">
        <is>
          <t>주식보상비용</t>
        </is>
      </c>
      <c r="E173" s="20" t="n">
        <v>97</v>
      </c>
      <c r="I173" s="20" t="n">
        <v>89</v>
      </c>
      <c r="M173" s="20" t="n">
        <v>345</v>
      </c>
      <c r="U173" s="20" t="n">
        <v>39</v>
      </c>
      <c r="V173" s="20" t="n">
        <v>97</v>
      </c>
      <c r="W173" s="20" t="n">
        <v>89</v>
      </c>
      <c r="X173" s="20" t="n">
        <v>345</v>
      </c>
    </row>
    <row r="174">
      <c r="A174" s="18" t="inlineStr">
        <is>
          <t>대손충당금 전입</t>
        </is>
      </c>
      <c r="E174" s="20" t="n">
        <v>8942</v>
      </c>
      <c r="I174" s="20" t="n">
        <v>14034</v>
      </c>
      <c r="M174" s="20" t="n">
        <v>6737</v>
      </c>
      <c r="U174" s="20" t="n">
        <v>5717</v>
      </c>
      <c r="V174" s="20" t="n">
        <v>8942</v>
      </c>
      <c r="W174" s="20" t="n">
        <v>14034</v>
      </c>
      <c r="X174" s="20" t="n">
        <v>6737</v>
      </c>
    </row>
    <row r="175">
      <c r="A175" s="18" t="inlineStr">
        <is>
          <t>상여충당금 증감</t>
        </is>
      </c>
      <c r="E175" s="20" t="n">
        <v>26</v>
      </c>
      <c r="I175" s="20" t="n">
        <v>205</v>
      </c>
      <c r="M175" s="20" t="n">
        <v>267</v>
      </c>
      <c r="U175" s="20" t="n">
        <v>67</v>
      </c>
      <c r="V175" s="20" t="n">
        <v>26</v>
      </c>
      <c r="W175" s="20" t="n">
        <v>205</v>
      </c>
      <c r="X175" s="20" t="n">
        <v>267</v>
      </c>
    </row>
    <row r="176">
      <c r="A176" s="18" t="inlineStr">
        <is>
          <t>임원 상여충당금 증감</t>
        </is>
      </c>
      <c r="E176" s="20" t="n">
        <v>18</v>
      </c>
      <c r="I176" s="20" t="n">
        <v>-1</v>
      </c>
      <c r="M176" s="20" t="n">
        <v>-12</v>
      </c>
      <c r="U176" s="20" t="n">
        <v>0</v>
      </c>
      <c r="V176" s="20" t="n">
        <v>18</v>
      </c>
      <c r="W176" s="20" t="n">
        <v>-1</v>
      </c>
      <c r="X176" s="20" t="n">
        <v>-12</v>
      </c>
    </row>
    <row r="177">
      <c r="A177" s="18" t="inlineStr">
        <is>
          <t>퇴직급여부채 증감</t>
        </is>
      </c>
      <c r="E177" s="20" t="n">
        <v>288</v>
      </c>
      <c r="I177" s="20" t="n">
        <v>-763</v>
      </c>
      <c r="M177" s="20" t="n">
        <v>-462</v>
      </c>
      <c r="U177" s="20" t="n">
        <v>-290</v>
      </c>
      <c r="V177" s="20" t="n">
        <v>288</v>
      </c>
      <c r="W177" s="20" t="n">
        <v>-763</v>
      </c>
      <c r="X177" s="20" t="n">
        <v>-462</v>
      </c>
    </row>
    <row r="178">
      <c r="A178" s="18" t="inlineStr">
        <is>
          <t>임원 퇴직위로 충당금 증감</t>
        </is>
      </c>
      <c r="E178" s="20" t="n">
        <v>5</v>
      </c>
      <c r="I178" s="20" t="n">
        <v>-0</v>
      </c>
      <c r="M178" s="20" t="n">
        <v>-24</v>
      </c>
      <c r="U178" s="20" t="n">
        <v>2</v>
      </c>
      <c r="V178" s="20" t="n">
        <v>5</v>
      </c>
      <c r="W178" s="20" t="n">
        <v>-0</v>
      </c>
      <c r="X178" s="20" t="n">
        <v>-24</v>
      </c>
    </row>
    <row r="179">
      <c r="A179" s="18" t="inlineStr">
        <is>
          <t>Increase Decrease In Provision For Reimbursement Of Deposits Ope CFBNK</t>
        </is>
      </c>
      <c r="E179" s="20" t="n">
        <v>550</v>
      </c>
      <c r="I179" s="20" t="n">
        <v>-150</v>
      </c>
      <c r="M179" s="20" t="n">
        <v>-100</v>
      </c>
      <c r="U179" s="20" t="n">
        <v>190</v>
      </c>
      <c r="V179" s="20" t="n">
        <v>550</v>
      </c>
      <c r="W179" s="20" t="n">
        <v>-150</v>
      </c>
      <c r="X179" s="20" t="n">
        <v>-100</v>
      </c>
    </row>
    <row r="180">
      <c r="A180" s="18" t="inlineStr">
        <is>
          <t>포인트 충당금 증감</t>
        </is>
      </c>
      <c r="E180" s="20" t="n">
        <v>18</v>
      </c>
      <c r="I180" s="20" t="n">
        <v>9</v>
      </c>
      <c r="M180" s="20" t="n">
        <v>1</v>
      </c>
      <c r="U180" s="20" t="n">
        <v>6</v>
      </c>
      <c r="V180" s="20" t="n">
        <v>18</v>
      </c>
      <c r="W180" s="20" t="n">
        <v>9</v>
      </c>
      <c r="X180" s="20" t="n">
        <v>1</v>
      </c>
    </row>
    <row r="181">
      <c r="A181" s="18" t="inlineStr">
        <is>
          <t>자금운용수익</t>
        </is>
      </c>
      <c r="E181" s="20" t="n">
        <v>-124120</v>
      </c>
      <c r="I181" s="20" t="n">
        <v>-150045</v>
      </c>
      <c r="M181" s="20" t="n">
        <v>-169963</v>
      </c>
      <c r="U181" s="20" t="n">
        <v>-93157</v>
      </c>
      <c r="V181" s="20" t="n">
        <v>-124120</v>
      </c>
      <c r="W181" s="20" t="n">
        <v>-150045</v>
      </c>
      <c r="X181" s="20" t="n">
        <v>-169963</v>
      </c>
    </row>
    <row r="182">
      <c r="A182" s="18" t="inlineStr">
        <is>
          <t>자금조달비용</t>
        </is>
      </c>
      <c r="E182" s="20" t="n">
        <v>61843</v>
      </c>
      <c r="I182" s="20" t="n">
        <v>74680</v>
      </c>
      <c r="M182" s="20" t="n">
        <v>76395</v>
      </c>
      <c r="U182" s="20" t="n">
        <v>28134</v>
      </c>
      <c r="V182" s="20" t="n">
        <v>61843</v>
      </c>
      <c r="W182" s="20" t="n">
        <v>74680</v>
      </c>
      <c r="X182" s="20" t="n">
        <v>76395</v>
      </c>
    </row>
    <row r="183">
      <c r="A183" s="18" t="inlineStr">
        <is>
          <t>유가증권 관련 손익</t>
        </is>
      </c>
      <c r="E183" s="20" t="n">
        <v>-5713</v>
      </c>
      <c r="I183" s="20" t="n">
        <v>-3534</v>
      </c>
      <c r="M183" s="20" t="n">
        <v>736</v>
      </c>
      <c r="U183" s="20" t="n">
        <v>1745</v>
      </c>
      <c r="V183" s="20" t="n">
        <v>-5713</v>
      </c>
      <c r="W183" s="20" t="n">
        <v>-3534</v>
      </c>
      <c r="X183" s="20" t="n">
        <v>736</v>
      </c>
    </row>
    <row r="184">
      <c r="A184" s="18" t="inlineStr">
        <is>
          <t>금전신탁 운용손익</t>
        </is>
      </c>
      <c r="E184" s="20" t="n">
        <v>134</v>
      </c>
      <c r="I184" s="20" t="n">
        <v>266</v>
      </c>
      <c r="M184" s="20" t="n">
        <v>18</v>
      </c>
      <c r="U184" s="20" t="n">
        <v>297</v>
      </c>
      <c r="V184" s="20" t="n">
        <v>134</v>
      </c>
      <c r="W184" s="20" t="n">
        <v>266</v>
      </c>
      <c r="X184" s="20" t="n">
        <v>18</v>
      </c>
    </row>
    <row r="185">
      <c r="A185" s="18" t="inlineStr">
        <is>
          <t>외환차손익</t>
        </is>
      </c>
      <c r="E185" s="20" t="n">
        <v>-49425</v>
      </c>
      <c r="I185" s="20" t="n">
        <v>5980</v>
      </c>
      <c r="M185" s="20" t="n">
        <v>-35524</v>
      </c>
      <c r="U185" s="20" t="n">
        <v>-36402</v>
      </c>
      <c r="V185" s="20" t="n">
        <v>-49425</v>
      </c>
      <c r="W185" s="20" t="n">
        <v>5980</v>
      </c>
      <c r="X185" s="20" t="n">
        <v>-35524</v>
      </c>
    </row>
    <row r="186">
      <c r="A186" s="18" t="inlineStr">
        <is>
          <t>고정자산 처분손익</t>
        </is>
      </c>
      <c r="E186" s="20" t="n">
        <v>7</v>
      </c>
      <c r="I186" s="20" t="n">
        <v>-104</v>
      </c>
      <c r="M186" s="20" t="n">
        <v>49</v>
      </c>
      <c r="U186" s="20" t="n">
        <v>1</v>
      </c>
      <c r="V186" s="20" t="n">
        <v>7</v>
      </c>
      <c r="W186" s="20" t="n">
        <v>-104</v>
      </c>
      <c r="X186" s="20" t="n">
        <v>49</v>
      </c>
    </row>
    <row r="187">
      <c r="A187" s="18" t="inlineStr">
        <is>
          <t>Net Decrease Increase In Trading Account Securities Ope CFBNK</t>
        </is>
      </c>
      <c r="E187" s="20" t="n">
        <v>1005</v>
      </c>
      <c r="I187" s="20" t="n">
        <v>506</v>
      </c>
      <c r="M187" s="20" t="n">
        <v>-13</v>
      </c>
      <c r="U187" s="20" t="n">
        <v>811</v>
      </c>
      <c r="V187" s="20" t="n">
        <v>1005</v>
      </c>
      <c r="W187" s="20" t="n">
        <v>506</v>
      </c>
      <c r="X187" s="20" t="n">
        <v>-13</v>
      </c>
    </row>
    <row r="188">
      <c r="A188" s="18" t="inlineStr">
        <is>
          <t>기타 자산 증감</t>
        </is>
      </c>
      <c r="E188" s="20" t="n">
        <v>-34707</v>
      </c>
      <c r="I188" s="20" t="n">
        <v>54963</v>
      </c>
      <c r="M188" s="20" t="n">
        <v>-71041</v>
      </c>
      <c r="U188" s="20" t="n">
        <v>-14089</v>
      </c>
      <c r="V188" s="20" t="n">
        <v>-34707</v>
      </c>
      <c r="W188" s="20" t="n">
        <v>54963</v>
      </c>
      <c r="X188" s="20" t="n">
        <v>-71041</v>
      </c>
    </row>
    <row r="189">
      <c r="A189" s="18" t="inlineStr">
        <is>
          <t>Net Decrease Increase In Lease Receivables And Investment Assets Ope CF</t>
        </is>
      </c>
      <c r="E189" s="20" t="n">
        <v>-3446</v>
      </c>
      <c r="I189" s="20" t="n">
        <v>-2908</v>
      </c>
      <c r="M189" s="20" t="n">
        <v>-3461</v>
      </c>
      <c r="U189" s="20" t="n">
        <v>-1606</v>
      </c>
      <c r="V189" s="20" t="n">
        <v>-3446</v>
      </c>
      <c r="W189" s="20" t="n">
        <v>-2908</v>
      </c>
      <c r="X189" s="20" t="n">
        <v>-3461</v>
      </c>
    </row>
    <row r="190">
      <c r="A190" s="18" t="inlineStr">
        <is>
          <t>기타 부채 증감</t>
        </is>
      </c>
      <c r="E190" s="20" t="n">
        <v>14421</v>
      </c>
      <c r="I190" s="20" t="n">
        <v>52540</v>
      </c>
      <c r="M190" s="20" t="n">
        <v>143271</v>
      </c>
      <c r="U190" s="20" t="n">
        <v>21106</v>
      </c>
      <c r="V190" s="20" t="n">
        <v>14421</v>
      </c>
      <c r="W190" s="20" t="n">
        <v>52540</v>
      </c>
      <c r="X190" s="20" t="n">
        <v>143271</v>
      </c>
    </row>
    <row r="191">
      <c r="A191" s="18" t="inlineStr">
        <is>
          <t>대출금 순증감</t>
        </is>
      </c>
      <c r="E191" s="20" t="n">
        <v>-678242</v>
      </c>
      <c r="I191" s="20" t="n">
        <v>-342025</v>
      </c>
      <c r="M191" s="20" t="n">
        <v>-229903</v>
      </c>
      <c r="U191" s="20" t="n">
        <v>-300191</v>
      </c>
      <c r="V191" s="20" t="n">
        <v>-678242</v>
      </c>
      <c r="W191" s="20" t="n">
        <v>-342025</v>
      </c>
      <c r="X191" s="20" t="n">
        <v>-229903</v>
      </c>
    </row>
    <row r="192">
      <c r="A192" s="18" t="inlineStr">
        <is>
          <t>예금 순증감</t>
        </is>
      </c>
      <c r="E192" s="20" t="n">
        <v>313518</v>
      </c>
      <c r="I192" s="20" t="n">
        <v>45163</v>
      </c>
      <c r="M192" s="20" t="n">
        <v>188317</v>
      </c>
      <c r="U192" s="20" t="n">
        <v>247526</v>
      </c>
      <c r="V192" s="20" t="n">
        <v>313518</v>
      </c>
      <c r="W192" s="20" t="n">
        <v>45163</v>
      </c>
      <c r="X192" s="20" t="n">
        <v>188317</v>
      </c>
    </row>
    <row r="193">
      <c r="A193" s="18" t="inlineStr">
        <is>
          <t>양도성예금 순증감</t>
        </is>
      </c>
      <c r="E193" s="20" t="n">
        <v>-57468</v>
      </c>
      <c r="I193" s="20" t="n">
        <v>9054</v>
      </c>
      <c r="M193" s="20" t="n">
        <v>-48206</v>
      </c>
      <c r="U193" s="20" t="n">
        <v>-55678</v>
      </c>
      <c r="V193" s="20" t="n">
        <v>-57468</v>
      </c>
      <c r="W193" s="20" t="n">
        <v>9054</v>
      </c>
      <c r="X193" s="20" t="n">
        <v>-48206</v>
      </c>
    </row>
    <row r="194">
      <c r="A194" s="18" t="inlineStr">
        <is>
          <t>차용금(후순위차입금 제외) 순증감</t>
        </is>
      </c>
      <c r="E194" s="20" t="n">
        <v>423263</v>
      </c>
      <c r="I194" s="20" t="n">
        <v>19591</v>
      </c>
      <c r="M194" s="20" t="n">
        <v>86879</v>
      </c>
      <c r="U194" s="20" t="n">
        <v>-353291</v>
      </c>
      <c r="V194" s="20" t="n">
        <v>423263</v>
      </c>
      <c r="W194" s="20" t="n">
        <v>19591</v>
      </c>
      <c r="X194" s="20" t="n">
        <v>86879</v>
      </c>
    </row>
    <row r="195">
      <c r="A195" s="18" t="inlineStr">
        <is>
          <t>콜론 등 순증감</t>
        </is>
      </c>
      <c r="E195" s="20" t="n">
        <v>-14677</v>
      </c>
      <c r="I195" s="20" t="n">
        <v>2039</v>
      </c>
      <c r="M195" s="20" t="n">
        <v>65294</v>
      </c>
      <c r="U195" s="20" t="n">
        <v>265676</v>
      </c>
      <c r="V195" s="20" t="n">
        <v>-14677</v>
      </c>
      <c r="W195" s="20" t="n">
        <v>2039</v>
      </c>
      <c r="X195" s="20" t="n">
        <v>65294</v>
      </c>
    </row>
    <row r="196">
      <c r="A196" s="18" t="inlineStr">
        <is>
          <t>Net Increase Decrease In Payables Under Repurchase Agreements Ope CF</t>
        </is>
      </c>
      <c r="E196" s="20" t="n">
        <v>64108</v>
      </c>
      <c r="I196" s="20" t="n">
        <v>-8254</v>
      </c>
      <c r="M196" s="20" t="n">
        <v>-71224</v>
      </c>
      <c r="U196" s="20" t="n">
        <v>-97093</v>
      </c>
      <c r="V196" s="20" t="n">
        <v>64108</v>
      </c>
      <c r="W196" s="20" t="n">
        <v>-8254</v>
      </c>
      <c r="X196" s="20" t="n">
        <v>-71224</v>
      </c>
    </row>
    <row r="197">
      <c r="A197" s="18" t="inlineStr">
        <is>
          <t>콜머니 등 순증감</t>
        </is>
      </c>
      <c r="E197" s="20" t="n">
        <v>-34964</v>
      </c>
      <c r="I197" s="20" t="n">
        <v>20402</v>
      </c>
      <c r="M197" s="20" t="n">
        <v>-14193</v>
      </c>
      <c r="U197" s="20" t="n">
        <v>69278</v>
      </c>
      <c r="V197" s="20" t="n">
        <v>-34964</v>
      </c>
      <c r="W197" s="20" t="n">
        <v>20402</v>
      </c>
      <c r="X197" s="20" t="n">
        <v>-14193</v>
      </c>
    </row>
    <row r="198">
      <c r="A198" s="18" t="inlineStr">
        <is>
          <t>채권대차거래 수입담보금 순증감</t>
        </is>
      </c>
      <c r="E198" s="20" t="n">
        <v>180619</v>
      </c>
      <c r="I198" s="20" t="n">
        <v>161628</v>
      </c>
      <c r="M198" s="20" t="n">
        <v>-2660</v>
      </c>
      <c r="U198" s="20" t="n">
        <v>-164925</v>
      </c>
      <c r="V198" s="20" t="n">
        <v>180619</v>
      </c>
      <c r="W198" s="20" t="n">
        <v>161628</v>
      </c>
      <c r="X198" s="20" t="n">
        <v>-2660</v>
      </c>
    </row>
    <row r="199">
      <c r="A199" s="18" t="inlineStr">
        <is>
          <t>Net Decrease Increase In Deposit Excluding Deposit Paid To Bank Of Japan Ope CFBNK</t>
        </is>
      </c>
      <c r="E199" s="20" t="n">
        <v>1440</v>
      </c>
      <c r="I199" s="20" t="n">
        <v>1016</v>
      </c>
      <c r="M199" s="20" t="n">
        <v>37</v>
      </c>
      <c r="U199" s="20" t="n">
        <v>-256</v>
      </c>
      <c r="V199" s="20" t="n">
        <v>1440</v>
      </c>
      <c r="W199" s="20" t="n">
        <v>1016</v>
      </c>
      <c r="X199" s="20" t="n">
        <v>37</v>
      </c>
    </row>
    <row r="200">
      <c r="A200" s="18" t="inlineStr">
        <is>
          <t>Net Increase Decrease In Commercial Papers Ope CFBNK</t>
        </is>
      </c>
      <c r="E200" s="20" t="n">
        <v>-46530</v>
      </c>
      <c r="I200" s="20" t="n">
        <v>0</v>
      </c>
      <c r="U200" s="20" t="n">
        <v>-8486</v>
      </c>
      <c r="V200" s="20" t="n">
        <v>-46530</v>
      </c>
      <c r="W200" s="20" t="n">
        <v>0</v>
      </c>
    </row>
    <row r="201">
      <c r="A201" s="18" t="inlineStr">
        <is>
          <t>외국환(자산) 순증감</t>
        </is>
      </c>
      <c r="E201" s="20" t="n">
        <v>664</v>
      </c>
      <c r="I201" s="20" t="n">
        <v>-11406</v>
      </c>
      <c r="M201" s="20" t="n">
        <v>10307</v>
      </c>
      <c r="U201" s="20" t="n">
        <v>-8459</v>
      </c>
      <c r="V201" s="20" t="n">
        <v>664</v>
      </c>
      <c r="W201" s="20" t="n">
        <v>-11406</v>
      </c>
      <c r="X201" s="20" t="n">
        <v>10307</v>
      </c>
    </row>
    <row r="202">
      <c r="A202" s="18" t="inlineStr">
        <is>
          <t>외국환(부채) 순증감</t>
        </is>
      </c>
      <c r="E202" s="20" t="n">
        <v>-51</v>
      </c>
      <c r="I202" s="20" t="n">
        <v>-31</v>
      </c>
      <c r="M202" s="20" t="n">
        <v>283</v>
      </c>
      <c r="U202" s="20" t="n">
        <v>-133</v>
      </c>
      <c r="V202" s="20" t="n">
        <v>-51</v>
      </c>
      <c r="W202" s="20" t="n">
        <v>-31</v>
      </c>
      <c r="X202" s="20" t="n">
        <v>283</v>
      </c>
    </row>
    <row r="203">
      <c r="A203" s="18" t="inlineStr">
        <is>
          <t>신탁계정 차변 순증감</t>
        </is>
      </c>
      <c r="E203" s="20" t="n">
        <v>1492</v>
      </c>
      <c r="I203" s="20" t="n">
        <v>1945</v>
      </c>
      <c r="M203" s="20" t="n">
        <v>2251</v>
      </c>
      <c r="U203" s="20" t="n">
        <v>1560</v>
      </c>
      <c r="V203" s="20" t="n">
        <v>1492</v>
      </c>
      <c r="W203" s="20" t="n">
        <v>1945</v>
      </c>
      <c r="X203" s="20" t="n">
        <v>2251</v>
      </c>
    </row>
    <row r="204">
      <c r="A204" s="18" t="inlineStr">
        <is>
          <t>자금운용 수입</t>
        </is>
      </c>
      <c r="E204" s="20" t="n">
        <v>120079</v>
      </c>
      <c r="I204" s="20" t="n">
        <v>148850</v>
      </c>
      <c r="M204" s="20" t="n">
        <v>167378</v>
      </c>
      <c r="U204" s="20" t="n">
        <v>91567</v>
      </c>
      <c r="V204" s="20" t="n">
        <v>120079</v>
      </c>
      <c r="W204" s="20" t="n">
        <v>148850</v>
      </c>
      <c r="X204" s="20" t="n">
        <v>167378</v>
      </c>
    </row>
    <row r="205">
      <c r="A205" s="18" t="inlineStr">
        <is>
          <t>자금조달 지출</t>
        </is>
      </c>
      <c r="E205" s="20" t="n">
        <v>-52933</v>
      </c>
      <c r="I205" s="20" t="n">
        <v>-73896</v>
      </c>
      <c r="M205" s="20" t="n">
        <v>-77052</v>
      </c>
      <c r="U205" s="20" t="n">
        <v>-28113</v>
      </c>
      <c r="V205" s="20" t="n">
        <v>-52933</v>
      </c>
      <c r="W205" s="20" t="n">
        <v>-73896</v>
      </c>
      <c r="X205" s="20" t="n">
        <v>-77052</v>
      </c>
    </row>
    <row r="206">
      <c r="A206" s="18" t="inlineStr">
        <is>
          <t>소계</t>
        </is>
      </c>
      <c r="E206" s="20" t="n">
        <v>124599</v>
      </c>
      <c r="I206" s="20" t="n">
        <v>62481</v>
      </c>
      <c r="M206" s="20" t="n">
        <v>85755</v>
      </c>
      <c r="U206" s="20" t="n">
        <v>-395694</v>
      </c>
      <c r="V206" s="20" t="n">
        <v>124599</v>
      </c>
      <c r="W206" s="20" t="n">
        <v>62481</v>
      </c>
      <c r="X206" s="20" t="n">
        <v>85755</v>
      </c>
    </row>
    <row r="207">
      <c r="A207" s="18" t="inlineStr">
        <is>
          <t>법인세 납부</t>
        </is>
      </c>
      <c r="E207" s="20" t="n">
        <v>-9008</v>
      </c>
      <c r="I207" s="20" t="n">
        <v>-15536</v>
      </c>
      <c r="M207" s="20" t="n">
        <v>-14851</v>
      </c>
      <c r="U207" s="20" t="n">
        <v>-7787</v>
      </c>
      <c r="V207" s="20" t="n">
        <v>-9008</v>
      </c>
      <c r="W207" s="20" t="n">
        <v>-15536</v>
      </c>
      <c r="X207" s="20" t="n">
        <v>-14851</v>
      </c>
    </row>
    <row r="208">
      <c r="A208" s="18" t="inlineStr">
        <is>
          <t>법인세 환급</t>
        </is>
      </c>
      <c r="E208" s="20" t="n">
        <v>4</v>
      </c>
      <c r="I208" s="20" t="n">
        <v>0</v>
      </c>
      <c r="U208" s="20" t="n">
        <v>0</v>
      </c>
      <c r="V208" s="20" t="n">
        <v>4</v>
      </c>
      <c r="W208" s="20" t="n">
        <v>0</v>
      </c>
    </row>
    <row r="209">
      <c r="A209" s="9" t="inlineStr">
        <is>
          <t>영업활동 현금흐름</t>
        </is>
      </c>
      <c r="E209" s="12" t="n">
        <v>115595</v>
      </c>
      <c r="I209" s="12" t="n">
        <v>46944</v>
      </c>
      <c r="M209" s="12" t="n">
        <v>70904</v>
      </c>
      <c r="U209" s="12" t="n">
        <v>-403482</v>
      </c>
      <c r="V209" s="12" t="n">
        <v>115595</v>
      </c>
      <c r="W209" s="12" t="n">
        <v>46944</v>
      </c>
      <c r="X209" s="12" t="n">
        <v>70904</v>
      </c>
    </row>
    <row r="210">
      <c r="A210" s="18" t="inlineStr">
        <is>
          <t>유가증권 취득</t>
        </is>
      </c>
      <c r="E210" s="20" t="n">
        <v>-806215</v>
      </c>
      <c r="I210" s="20" t="n">
        <v>-837497</v>
      </c>
      <c r="M210" s="20" t="n">
        <v>-1183899</v>
      </c>
      <c r="U210" s="20" t="n">
        <v>-1390078</v>
      </c>
      <c r="V210" s="20" t="n">
        <v>-806215</v>
      </c>
      <c r="W210" s="20" t="n">
        <v>-837497</v>
      </c>
      <c r="X210" s="20" t="n">
        <v>-1183899</v>
      </c>
    </row>
    <row r="211">
      <c r="A211" s="18" t="inlineStr">
        <is>
          <t>유가증권 매각</t>
        </is>
      </c>
      <c r="E211" s="20" t="n">
        <v>413801</v>
      </c>
      <c r="I211" s="20" t="n">
        <v>359821</v>
      </c>
      <c r="M211" s="20" t="n">
        <v>665913</v>
      </c>
      <c r="U211" s="20" t="n">
        <v>1273089</v>
      </c>
      <c r="V211" s="20" t="n">
        <v>413801</v>
      </c>
      <c r="W211" s="20" t="n">
        <v>359821</v>
      </c>
      <c r="X211" s="20" t="n">
        <v>665913</v>
      </c>
    </row>
    <row r="212">
      <c r="A212" s="18" t="inlineStr">
        <is>
          <t>유가증권 상환 수입</t>
        </is>
      </c>
      <c r="E212" s="20" t="n">
        <v>205573</v>
      </c>
      <c r="I212" s="20" t="n">
        <v>203445</v>
      </c>
      <c r="M212" s="20" t="n">
        <v>241133</v>
      </c>
      <c r="U212" s="20" t="n">
        <v>280810</v>
      </c>
      <c r="V212" s="20" t="n">
        <v>205573</v>
      </c>
      <c r="W212" s="20" t="n">
        <v>203445</v>
      </c>
      <c r="X212" s="20" t="n">
        <v>241133</v>
      </c>
    </row>
    <row r="213">
      <c r="A213" s="18" t="inlineStr">
        <is>
          <t>금전신탁 증가 지출</t>
        </is>
      </c>
      <c r="E213" s="20" t="n">
        <v>-7562</v>
      </c>
      <c r="I213" s="20" t="n">
        <v>0</v>
      </c>
      <c r="M213" s="20" t="n">
        <v>-6347</v>
      </c>
      <c r="U213" s="20" t="n">
        <v>-7323</v>
      </c>
      <c r="V213" s="20" t="n">
        <v>-7562</v>
      </c>
      <c r="W213" s="20" t="n">
        <v>0</v>
      </c>
      <c r="X213" s="20" t="n">
        <v>-6347</v>
      </c>
    </row>
    <row r="214">
      <c r="A214" s="18" t="inlineStr">
        <is>
          <t>금전신탁 감소 수입</t>
        </is>
      </c>
      <c r="E214" s="20" t="n">
        <v>28</v>
      </c>
      <c r="I214" s="20" t="n">
        <v>20300</v>
      </c>
      <c r="M214" s="20" t="n">
        <v>29</v>
      </c>
      <c r="U214" s="20" t="n">
        <v>10025</v>
      </c>
      <c r="V214" s="20" t="n">
        <v>28</v>
      </c>
      <c r="W214" s="20" t="n">
        <v>20300</v>
      </c>
      <c r="X214" s="20" t="n">
        <v>29</v>
      </c>
    </row>
    <row r="215">
      <c r="A215" s="18" t="inlineStr">
        <is>
          <t>유형자산 취득(설비투자)</t>
        </is>
      </c>
      <c r="E215" s="20" t="n">
        <v>-3500</v>
      </c>
      <c r="I215" s="20" t="n">
        <v>-11006</v>
      </c>
      <c r="M215" s="20" t="n">
        <v>-6645</v>
      </c>
      <c r="U215" s="20" t="n">
        <v>-2143</v>
      </c>
      <c r="V215" s="20" t="n">
        <v>-3500</v>
      </c>
      <c r="W215" s="20" t="n">
        <v>-11006</v>
      </c>
      <c r="X215" s="20" t="n">
        <v>-6645</v>
      </c>
    </row>
    <row r="216">
      <c r="A216" s="18" t="inlineStr">
        <is>
          <t>유형자산 매각</t>
        </is>
      </c>
      <c r="E216" s="20" t="n">
        <v>524</v>
      </c>
      <c r="I216" s="20" t="n">
        <v>762</v>
      </c>
      <c r="M216" s="20" t="n">
        <v>425</v>
      </c>
      <c r="U216" s="20" t="n">
        <v>562</v>
      </c>
      <c r="V216" s="20" t="n">
        <v>524</v>
      </c>
      <c r="W216" s="20" t="n">
        <v>762</v>
      </c>
      <c r="X216" s="20" t="n">
        <v>425</v>
      </c>
    </row>
    <row r="217">
      <c r="A217" s="18" t="inlineStr">
        <is>
          <t>무형자산 취득</t>
        </is>
      </c>
      <c r="E217" s="20" t="n">
        <v>-1044</v>
      </c>
      <c r="I217" s="20" t="n">
        <v>-899</v>
      </c>
      <c r="M217" s="20" t="n">
        <v>-2266</v>
      </c>
      <c r="U217" s="20" t="n">
        <v>-642</v>
      </c>
      <c r="V217" s="20" t="n">
        <v>-1044</v>
      </c>
      <c r="W217" s="20" t="n">
        <v>-899</v>
      </c>
      <c r="X217" s="20" t="n">
        <v>-2266</v>
      </c>
    </row>
    <row r="218">
      <c r="A218" s="18" t="inlineStr">
        <is>
          <t>연결범위 변경 자회사 주식 취득</t>
        </is>
      </c>
      <c r="I218" s="20" t="n">
        <v>0</v>
      </c>
      <c r="M218" s="20" t="n">
        <v>-1519</v>
      </c>
      <c r="W218" s="20" t="n">
        <v>0</v>
      </c>
      <c r="X218" s="20" t="n">
        <v>-1519</v>
      </c>
    </row>
    <row r="219">
      <c r="A219" s="9" t="inlineStr">
        <is>
          <t>투자활동 현금흐름</t>
        </is>
      </c>
      <c r="E219" s="12" t="n">
        <v>-198394</v>
      </c>
      <c r="I219" s="12" t="n">
        <v>-265073</v>
      </c>
      <c r="M219" s="12" t="n">
        <v>-293176</v>
      </c>
      <c r="U219" s="12" t="n">
        <v>164298</v>
      </c>
      <c r="V219" s="12" t="n">
        <v>-198394</v>
      </c>
      <c r="W219" s="12" t="n">
        <v>-265073</v>
      </c>
      <c r="X219" s="12" t="n">
        <v>-293176</v>
      </c>
    </row>
    <row r="220">
      <c r="A220" s="18" t="inlineStr">
        <is>
          <t>Issuance Of Subordinated Bonds Fin CFBNK</t>
        </is>
      </c>
      <c r="E220" s="20" t="n">
        <v>0</v>
      </c>
      <c r="I220" s="20" t="n">
        <v>20000</v>
      </c>
      <c r="M220" s="20" t="n">
        <v>20000</v>
      </c>
      <c r="V220" s="20" t="n">
        <v>0</v>
      </c>
      <c r="W220" s="20" t="n">
        <v>20000</v>
      </c>
      <c r="X220" s="20" t="n">
        <v>20000</v>
      </c>
    </row>
    <row r="221">
      <c r="A221" s="18" t="inlineStr">
        <is>
          <t>Redemption Of Subordinated Bonds Fin CFBNK</t>
        </is>
      </c>
      <c r="I221" s="20" t="n">
        <v>0</v>
      </c>
      <c r="M221" s="20" t="n">
        <v>-10000</v>
      </c>
      <c r="W221" s="20" t="n">
        <v>0</v>
      </c>
      <c r="X221" s="20" t="n">
        <v>-10000</v>
      </c>
    </row>
    <row r="222">
      <c r="A222" s="18" t="inlineStr">
        <is>
          <t>배당금 지급</t>
        </is>
      </c>
      <c r="E222" s="20" t="n">
        <v>-5678</v>
      </c>
      <c r="I222" s="20" t="n">
        <v>-10566</v>
      </c>
      <c r="M222" s="20" t="n">
        <v>-12928</v>
      </c>
      <c r="U222" s="20" t="n">
        <v>-5651</v>
      </c>
      <c r="V222" s="20" t="n">
        <v>-5678</v>
      </c>
      <c r="W222" s="20" t="n">
        <v>-10566</v>
      </c>
      <c r="X222" s="20" t="n">
        <v>-12928</v>
      </c>
    </row>
    <row r="223">
      <c r="A223" s="18" t="inlineStr">
        <is>
          <t>리스부채 상환</t>
        </is>
      </c>
      <c r="E223" s="20" t="n">
        <v>-251</v>
      </c>
      <c r="I223" s="20" t="n">
        <v>-218</v>
      </c>
      <c r="M223" s="20" t="n">
        <v>-185</v>
      </c>
      <c r="U223" s="20" t="n">
        <v>-251</v>
      </c>
      <c r="V223" s="20" t="n">
        <v>-251</v>
      </c>
      <c r="W223" s="20" t="n">
        <v>-218</v>
      </c>
      <c r="X223" s="20" t="n">
        <v>-185</v>
      </c>
    </row>
    <row r="224">
      <c r="A224" s="18" t="inlineStr">
        <is>
          <t>자기주식 취득</t>
        </is>
      </c>
      <c r="E224" s="20" t="n">
        <v>-2000</v>
      </c>
      <c r="I224" s="20" t="n">
        <v>-5000</v>
      </c>
      <c r="M224" s="20" t="n">
        <v>-3001</v>
      </c>
      <c r="U224" s="20" t="n">
        <v>-1941</v>
      </c>
      <c r="V224" s="20" t="n">
        <v>-2000</v>
      </c>
      <c r="W224" s="20" t="n">
        <v>-5000</v>
      </c>
      <c r="X224" s="20" t="n">
        <v>-3001</v>
      </c>
    </row>
    <row r="225">
      <c r="A225" s="18" t="inlineStr">
        <is>
          <t>자기주식 매각</t>
        </is>
      </c>
      <c r="E225" s="20" t="n">
        <v>0</v>
      </c>
      <c r="I225" s="20" t="n">
        <v>0</v>
      </c>
      <c r="M225" s="20" t="n">
        <v>1</v>
      </c>
      <c r="U225" s="20" t="n">
        <v>0</v>
      </c>
      <c r="V225" s="20" t="n">
        <v>0</v>
      </c>
      <c r="W225" s="20" t="n">
        <v>0</v>
      </c>
      <c r="X225" s="20" t="n">
        <v>1</v>
      </c>
    </row>
    <row r="226">
      <c r="A226" s="18" t="inlineStr">
        <is>
          <t>스톡옵션 행사 수입</t>
        </is>
      </c>
      <c r="E226" s="20" t="n">
        <v>0</v>
      </c>
      <c r="I226" s="20" t="n">
        <v>0</v>
      </c>
      <c r="M226" s="20" t="n">
        <v>0</v>
      </c>
      <c r="U226" s="20" t="n">
        <v>0</v>
      </c>
      <c r="V226" s="20" t="n">
        <v>0</v>
      </c>
      <c r="W226" s="20" t="n">
        <v>0</v>
      </c>
      <c r="X226" s="20" t="n">
        <v>0</v>
      </c>
    </row>
    <row r="227">
      <c r="A227" s="9" t="inlineStr">
        <is>
          <t>재무활동 현금흐름</t>
        </is>
      </c>
      <c r="E227" s="12" t="n">
        <v>-7930</v>
      </c>
      <c r="I227" s="12" t="n">
        <v>4214</v>
      </c>
      <c r="M227" s="12" t="n">
        <v>-6114</v>
      </c>
      <c r="U227" s="12" t="n">
        <v>-7844</v>
      </c>
      <c r="V227" s="12" t="n">
        <v>-7930</v>
      </c>
      <c r="W227" s="12" t="n">
        <v>4214</v>
      </c>
      <c r="X227" s="12" t="n">
        <v>-6114</v>
      </c>
    </row>
    <row r="228">
      <c r="A228" s="18" t="inlineStr">
        <is>
          <t>현금성자산 환산차이</t>
        </is>
      </c>
      <c r="E228" s="20" t="n">
        <v>0</v>
      </c>
      <c r="I228" s="20" t="n">
        <v>0</v>
      </c>
      <c r="M228" s="20" t="n">
        <v>0</v>
      </c>
      <c r="U228" s="20" t="n">
        <v>0</v>
      </c>
      <c r="V228" s="20" t="n">
        <v>0</v>
      </c>
      <c r="W228" s="20" t="n">
        <v>0</v>
      </c>
      <c r="X228" s="20" t="n">
        <v>0</v>
      </c>
    </row>
    <row r="229">
      <c r="A229" s="18" t="inlineStr">
        <is>
          <t>현금성자산 증감</t>
        </is>
      </c>
      <c r="E229" s="20" t="n">
        <v>-90729</v>
      </c>
      <c r="I229" s="20" t="n">
        <v>-213913</v>
      </c>
      <c r="M229" s="20" t="n">
        <v>-228386</v>
      </c>
      <c r="U229" s="20" t="n">
        <v>-247028</v>
      </c>
      <c r="V229" s="20" t="n">
        <v>-90729</v>
      </c>
      <c r="W229" s="20" t="n">
        <v>-213913</v>
      </c>
      <c r="X229" s="20" t="n">
        <v>-228386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5832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/>
      <c r="D5" s="12" t="n"/>
      <c r="E5" s="12" t="n"/>
      <c r="F5" s="12" t="n"/>
      <c r="G5" s="12" t="n"/>
      <c r="H5" s="11" t="n"/>
      <c r="I5" s="12" t="n"/>
      <c r="J5" s="12" t="n"/>
      <c r="K5" s="12" t="n"/>
    </row>
    <row r="6">
      <c r="A6" s="18" t="inlineStr">
        <is>
          <t>현금및현금성자산</t>
        </is>
      </c>
      <c r="B6" s="10" t="n"/>
      <c r="C6" s="19" t="n"/>
      <c r="D6" s="20" t="n"/>
      <c r="E6" s="20" t="n"/>
      <c r="F6" s="20" t="n"/>
      <c r="G6" s="20" t="n"/>
      <c r="H6" s="19" t="n"/>
      <c r="I6" s="20" t="n"/>
      <c r="J6" s="20" t="n"/>
      <c r="K6" s="20" t="n"/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/>
      <c r="D11" s="12" t="n"/>
      <c r="E11" s="12" t="n"/>
      <c r="F11" s="12" t="n"/>
      <c r="G11" s="12" t="n"/>
      <c r="H11" s="11" t="n"/>
      <c r="I11" s="12" t="n"/>
      <c r="J11" s="12" t="n"/>
      <c r="K11" s="12" t="n"/>
    </row>
    <row r="12">
      <c r="A12" s="18" t="inlineStr">
        <is>
          <t>유형자산</t>
        </is>
      </c>
      <c r="B12" s="10" t="n"/>
      <c r="C12" s="19" t="n">
        <v>42616</v>
      </c>
      <c r="D12" s="20" t="n">
        <v>44728</v>
      </c>
      <c r="E12" s="20" t="n">
        <v>45173</v>
      </c>
      <c r="F12" s="20" t="n">
        <v>46701</v>
      </c>
      <c r="G12" s="20" t="n">
        <v>42884</v>
      </c>
      <c r="H12" s="19" t="n">
        <v>35631</v>
      </c>
      <c r="I12" s="20" t="n">
        <v>35622</v>
      </c>
      <c r="J12" s="20" t="n">
        <v>42315</v>
      </c>
      <c r="K12" s="20" t="n">
        <v>46701</v>
      </c>
    </row>
    <row r="13">
      <c r="A13" s="18" t="inlineStr">
        <is>
          <t>무형자산</t>
        </is>
      </c>
      <c r="B13" s="10" t="n"/>
      <c r="C13" s="19" t="n">
        <v>2562</v>
      </c>
      <c r="D13" s="20" t="n">
        <v>4116</v>
      </c>
      <c r="E13" s="20" t="n">
        <v>4341</v>
      </c>
      <c r="F13" s="20" t="n">
        <v>5088</v>
      </c>
      <c r="G13" s="20" t="n">
        <v>5769</v>
      </c>
      <c r="H13" s="19" t="n">
        <v>1712</v>
      </c>
      <c r="I13" s="20" t="n">
        <v>2301</v>
      </c>
      <c r="J13" s="20" t="n">
        <v>2523</v>
      </c>
      <c r="K13" s="20" t="n">
        <v>5088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11236333</v>
      </c>
      <c r="D16" s="12" t="n">
        <v>11270811</v>
      </c>
      <c r="E16" s="12" t="n">
        <v>11465093</v>
      </c>
      <c r="F16" s="12" t="n">
        <v>11370252</v>
      </c>
      <c r="G16" s="12" t="n">
        <v>11397875</v>
      </c>
      <c r="H16" s="11" t="n">
        <v>9849196</v>
      </c>
      <c r="I16" s="12" t="n">
        <v>10763804</v>
      </c>
      <c r="J16" s="12" t="n">
        <v>11045576</v>
      </c>
      <c r="K16" s="12" t="n">
        <v>11370252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/>
      <c r="D18" s="12" t="n"/>
      <c r="E18" s="12" t="n"/>
      <c r="F18" s="12" t="n"/>
      <c r="G18" s="12" t="n"/>
      <c r="H18" s="11" t="n"/>
      <c r="I18" s="12" t="n"/>
      <c r="J18" s="12" t="n"/>
      <c r="K18" s="12" t="n"/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46530</v>
      </c>
      <c r="I20" s="20" t="n">
        <v>0</v>
      </c>
      <c r="J20" s="20" t="n"/>
      <c r="K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/>
      <c r="I23" s="12" t="n"/>
      <c r="J23" s="12" t="n"/>
      <c r="K23" s="12" t="n"/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</row>
    <row r="25">
      <c r="A25" s="18" t="inlineStr">
        <is>
          <t>사채</t>
        </is>
      </c>
      <c r="B25" s="10" t="n"/>
      <c r="C25" s="19" t="n">
        <v>30000</v>
      </c>
      <c r="D25" s="20" t="n">
        <v>50000</v>
      </c>
      <c r="E25" s="20" t="n">
        <v>40000</v>
      </c>
      <c r="F25" s="20" t="n">
        <v>40000</v>
      </c>
      <c r="G25" s="20" t="n">
        <v>40000</v>
      </c>
      <c r="H25" s="19" t="n">
        <v>10000</v>
      </c>
      <c r="I25" s="20" t="n">
        <v>10000</v>
      </c>
      <c r="J25" s="20" t="n">
        <v>30000</v>
      </c>
      <c r="K25" s="20" t="n">
        <v>40000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10670212</v>
      </c>
      <c r="D27" s="12" t="n">
        <v>10676816</v>
      </c>
      <c r="E27" s="12" t="n">
        <v>10854456</v>
      </c>
      <c r="F27" s="12" t="n">
        <v>10749551</v>
      </c>
      <c r="G27" s="12" t="n">
        <v>10724437</v>
      </c>
      <c r="H27" s="11" t="n">
        <v>9321248</v>
      </c>
      <c r="I27" s="12" t="n">
        <v>10182689</v>
      </c>
      <c r="J27" s="12" t="n">
        <v>10503210</v>
      </c>
      <c r="K27" s="12" t="n">
        <v>10749551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566006</v>
      </c>
      <c r="D31" s="12" t="n">
        <v>593881</v>
      </c>
      <c r="E31" s="12" t="n">
        <v>610522</v>
      </c>
      <c r="F31" s="12" t="n">
        <v>620586</v>
      </c>
      <c r="G31" s="12" t="n">
        <v>673386</v>
      </c>
      <c r="H31" s="11" t="n">
        <v>527676</v>
      </c>
      <c r="I31" s="12" t="n">
        <v>580895</v>
      </c>
      <c r="J31" s="12" t="n">
        <v>542225</v>
      </c>
      <c r="K31" s="12" t="n">
        <v>620586</v>
      </c>
    </row>
    <row r="32">
      <c r="A32" s="18" t="inlineStr">
        <is>
          <t>자본금</t>
        </is>
      </c>
      <c r="B32" s="10" t="n"/>
      <c r="C32" s="19" t="n">
        <v>16000</v>
      </c>
      <c r="D32" s="20" t="n">
        <v>16000</v>
      </c>
      <c r="E32" s="20" t="n">
        <v>16000</v>
      </c>
      <c r="F32" s="20" t="n">
        <v>16000</v>
      </c>
      <c r="G32" s="20" t="n">
        <v>16000</v>
      </c>
      <c r="H32" s="19" t="n">
        <v>16000</v>
      </c>
      <c r="I32" s="20" t="n">
        <v>16000</v>
      </c>
      <c r="J32" s="20" t="n">
        <v>16000</v>
      </c>
      <c r="K32" s="20" t="n">
        <v>16000</v>
      </c>
    </row>
    <row r="33">
      <c r="A33" s="18" t="inlineStr">
        <is>
          <t>이익잉여금</t>
        </is>
      </c>
      <c r="B33" s="10" t="n"/>
      <c r="C33" s="19" t="n">
        <v>515392</v>
      </c>
      <c r="D33" s="20" t="n">
        <v>522872</v>
      </c>
      <c r="E33" s="20" t="n">
        <v>530504</v>
      </c>
      <c r="F33" s="20" t="n">
        <v>538633</v>
      </c>
      <c r="G33" s="20" t="n">
        <v>543092</v>
      </c>
      <c r="H33" s="19" t="n">
        <v>479276</v>
      </c>
      <c r="I33" s="20" t="n">
        <v>494988</v>
      </c>
      <c r="J33" s="20" t="n">
        <v>511855</v>
      </c>
      <c r="K33" s="20" t="n">
        <v>538633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566120</v>
      </c>
      <c r="D35" s="12" t="n">
        <v>593995</v>
      </c>
      <c r="E35" s="12" t="n">
        <v>610636</v>
      </c>
      <c r="F35" s="12" t="n">
        <v>620700</v>
      </c>
      <c r="G35" s="12" t="n">
        <v>673437</v>
      </c>
      <c r="H35" s="11" t="n">
        <v>527948</v>
      </c>
      <c r="I35" s="12" t="n">
        <v>581115</v>
      </c>
      <c r="J35" s="12" t="n">
        <v>542366</v>
      </c>
      <c r="K35" s="12" t="n">
        <v>620700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70904</v>
      </c>
      <c r="G37" s="12" t="n"/>
      <c r="H37" s="11" t="n">
        <v>-403482</v>
      </c>
      <c r="I37" s="12" t="n">
        <v>115595</v>
      </c>
      <c r="J37" s="12" t="n">
        <v>46944</v>
      </c>
      <c r="K37" s="12" t="n">
        <v>70904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8911</v>
      </c>
      <c r="G38" s="20" t="n"/>
      <c r="H38" s="19" t="n">
        <v>2785</v>
      </c>
      <c r="I38" s="20" t="n">
        <v>4544</v>
      </c>
      <c r="J38" s="20" t="n">
        <v>11905</v>
      </c>
      <c r="K38" s="20" t="n">
        <v>8911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12928</v>
      </c>
      <c r="G40" s="20" t="n"/>
      <c r="H40" s="19" t="n">
        <v>5651</v>
      </c>
      <c r="I40" s="20" t="n">
        <v>5678</v>
      </c>
      <c r="J40" s="20" t="n">
        <v>10566</v>
      </c>
      <c r="K40" s="20" t="n">
        <v>12928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IFERROR(('연간'!U28)/('연간'!U50),"")</f>
        <v/>
      </c>
      <c r="I48" s="31">
        <f>IFERROR(('연간'!V28)/('연간'!V50),"")</f>
        <v/>
      </c>
      <c r="J48" s="31">
        <f>IFERROR(('연간'!W28)/('연간'!W50),"")</f>
        <v/>
      </c>
      <c r="K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IFERROR(IF(('연간'!U56)&lt;=0,"적자",H28/('연간'!U56)),"")</f>
        <v/>
      </c>
      <c r="I49" s="46">
        <f>IFERROR(IF(('연간'!V56)&lt;=0,"적자",I28/('연간'!V56)),"")</f>
        <v/>
      </c>
      <c r="J49" s="46">
        <f>IFERROR(IF(('연간'!W56)&lt;=0,"적자",J28/('연간'!W56)),"")</f>
        <v/>
      </c>
      <c r="K49" s="46">
        <f>IFERROR(IF(('연간'!X56)&lt;=0,"적자",K28/('연간'!X56)),"")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IFERROR(('연간'!U56)/H31,"")</f>
        <v/>
      </c>
      <c r="I51" s="36">
        <f>IFERROR(('연간'!V56)/I31,"")</f>
        <v/>
      </c>
      <c r="J51" s="36">
        <f>IFERROR(('연간'!W56)/J31,"")</f>
        <v/>
      </c>
      <c r="K51" s="36">
        <f>IFERROR(('연간'!X56)/K31,"")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IFERROR(('연간'!U55)/H16,"")</f>
        <v/>
      </c>
      <c r="I52" s="36">
        <f>IFERROR(('연간'!V55)/I16,"")</f>
        <v/>
      </c>
      <c r="J52" s="36">
        <f>IFERROR(('연간'!W55)/J16,"")</f>
        <v/>
      </c>
      <c r="K52" s="36">
        <f>IFERROR(('연간'!X55)/K16,"")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IFERROR(('연간'!U28)*(1-0.3)/(H35+H29),"")</f>
        <v/>
      </c>
      <c r="I53" s="36">
        <f>IFERROR(('연간'!V28)*(1-0.3)/(I35+I29),"")</f>
        <v/>
      </c>
      <c r="J53" s="36">
        <f>IFERROR(('연간'!W28)*(1-0.3)/(J35+J29),"")</f>
        <v/>
      </c>
      <c r="K53" s="36">
        <f>IFERROR(('연간'!X28)*(1-0.3)/(K35+K29),"")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IFERROR(('연간'!U24)/('연간'!U4),"")</f>
        <v/>
      </c>
      <c r="I54" s="36">
        <f>IFERROR(('연간'!V24)/('연간'!V4),"")</f>
        <v/>
      </c>
      <c r="J54" s="36">
        <f>IFERROR(('연간'!W24)/('연간'!W4),"")</f>
        <v/>
      </c>
      <c r="K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IFERROR(('연간'!U28)/('연간'!U4),"")</f>
        <v/>
      </c>
      <c r="I55" s="36">
        <f>IFERROR(('연간'!V28)/('연간'!V4),"")</f>
        <v/>
      </c>
      <c r="J55" s="36">
        <f>IFERROR(('연간'!W28)/('연간'!W4),"")</f>
        <v/>
      </c>
      <c r="K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IFERROR(('연간'!U55)/('연간'!U4),"")</f>
        <v/>
      </c>
      <c r="I56" s="36">
        <f>IFERROR(('연간'!V55)/('연간'!V4),"")</f>
        <v/>
      </c>
      <c r="J56" s="36">
        <f>IFERROR(('연간'!W55)/('연간'!W4),"")</f>
        <v/>
      </c>
      <c r="K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IFERROR(H8/('연간'!U4)*365,"")</f>
        <v/>
      </c>
      <c r="I59" s="48">
        <f>IFERROR(I8/('연간'!V4)*365,"")</f>
        <v/>
      </c>
      <c r="J59" s="48">
        <f>IFERROR(J8/('연간'!W4)*365,"")</f>
        <v/>
      </c>
      <c r="K59" s="48">
        <f>IFERROR(K8/('연간'!X4)*365,"")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IFERROR(H9/('연간'!U23)*365,"")</f>
        <v/>
      </c>
      <c r="I60" s="48">
        <f>IFERROR(I9/('연간'!V23)*365,"")</f>
        <v/>
      </c>
      <c r="J60" s="48">
        <f>IFERROR(J9/('연간'!W23)*365,"")</f>
        <v/>
      </c>
      <c r="K60" s="48">
        <f>IFERROR(K9/('연간'!X23)*365,"")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IFERROR(H19/('연간'!U23)*365,"")</f>
        <v/>
      </c>
      <c r="I61" s="48">
        <f>IFERROR(I19/('연간'!V23)*365,"")</f>
        <v/>
      </c>
      <c r="J61" s="48">
        <f>IFERROR(J19/('연간'!W23)*365,"")</f>
        <v/>
      </c>
      <c r="K61" s="48">
        <f>IFERROR(K19/('연간'!X23)*365,"")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IF(H37="","",IFERROR(H37/('연간'!U55),""))</f>
        <v/>
      </c>
      <c r="I64" s="31">
        <f>IF(I37="","",IFERROR(I37/('연간'!V55),""))</f>
        <v/>
      </c>
      <c r="J64" s="31">
        <f>IF(J37="","",IFERROR(J37/('연간'!W55),""))</f>
        <v/>
      </c>
      <c r="K64" s="31">
        <f>IF(K37="","",IFERROR(K37/('연간'!X55),""))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IF(H40="","",IFERROR(H40/('연간'!U56),""))</f>
        <v/>
      </c>
      <c r="I67" s="36">
        <f>IF(I40="","",IFERROR(I40/('연간'!V56),""))</f>
        <v/>
      </c>
      <c r="J67" s="36">
        <f>IF(J40="","",IFERROR(J40/('연간'!W56),""))</f>
        <v/>
      </c>
      <c r="K67" s="36">
        <f>IF(K40="","",IFERROR(K40/('연간'!X56),""))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Cash And Due From Banks Assets BNK</t>
        </is>
      </c>
      <c r="C71" s="20" t="n">
        <v>1341858</v>
      </c>
      <c r="D71" s="20" t="n">
        <v>1282031</v>
      </c>
      <c r="E71" s="20" t="n">
        <v>1098148</v>
      </c>
      <c r="F71" s="20" t="n">
        <v>975274</v>
      </c>
      <c r="G71" s="20" t="n">
        <v>1009678</v>
      </c>
      <c r="H71" s="20" t="n">
        <v>1510394</v>
      </c>
      <c r="I71" s="20" t="n">
        <v>1418224</v>
      </c>
      <c r="J71" s="20" t="n">
        <v>1203294</v>
      </c>
      <c r="K71" s="20" t="n">
        <v>975274</v>
      </c>
    </row>
    <row r="72">
      <c r="A72" s="18" t="inlineStr">
        <is>
          <t>콜론</t>
        </is>
      </c>
      <c r="C72" s="20" t="n">
        <v>114861</v>
      </c>
      <c r="D72" s="20" t="n">
        <v>85690</v>
      </c>
      <c r="E72" s="20" t="n">
        <v>201511</v>
      </c>
      <c r="F72" s="20" t="n">
        <v>131994</v>
      </c>
      <c r="G72" s="20" t="n">
        <v>198871</v>
      </c>
      <c r="H72" s="20" t="n">
        <v>178907</v>
      </c>
      <c r="I72" s="20" t="n">
        <v>192117</v>
      </c>
      <c r="J72" s="20" t="n">
        <v>193782</v>
      </c>
      <c r="K72" s="20" t="n">
        <v>131994</v>
      </c>
    </row>
    <row r="73">
      <c r="A73" s="18" t="inlineStr">
        <is>
          <t>매입금전채권</t>
        </is>
      </c>
      <c r="C73" s="20" t="n">
        <v>20047</v>
      </c>
      <c r="D73" s="20" t="n">
        <v>19179</v>
      </c>
      <c r="E73" s="20" t="n">
        <v>18979</v>
      </c>
      <c r="F73" s="20" t="n">
        <v>16586</v>
      </c>
      <c r="G73" s="20" t="n">
        <v>15917</v>
      </c>
      <c r="H73" s="20" t="n">
        <v>22329</v>
      </c>
      <c r="I73" s="20" t="n">
        <v>23797</v>
      </c>
      <c r="J73" s="20" t="n">
        <v>20092</v>
      </c>
      <c r="K73" s="20" t="n">
        <v>16586</v>
      </c>
    </row>
    <row r="74">
      <c r="A74" s="18" t="inlineStr">
        <is>
          <t>Trading Account Securities Assets BNK</t>
        </is>
      </c>
      <c r="C74" s="20" t="n">
        <v>498</v>
      </c>
      <c r="D74" s="20" t="n">
        <v>503</v>
      </c>
      <c r="E74" s="20" t="n">
        <v>476</v>
      </c>
      <c r="F74" s="20" t="n">
        <v>524</v>
      </c>
      <c r="G74" s="20" t="n">
        <v>536</v>
      </c>
      <c r="H74" s="20" t="n">
        <v>2023</v>
      </c>
      <c r="I74" s="20" t="n">
        <v>1017</v>
      </c>
      <c r="J74" s="20" t="n">
        <v>510</v>
      </c>
      <c r="K74" s="20" t="n">
        <v>524</v>
      </c>
    </row>
    <row r="75">
      <c r="A75" s="18" t="inlineStr">
        <is>
          <t>금전신탁</t>
        </is>
      </c>
      <c r="C75" s="20" t="n">
        <v>17014</v>
      </c>
      <c r="D75" s="20" t="n">
        <v>20534</v>
      </c>
      <c r="E75" s="20" t="n">
        <v>17972</v>
      </c>
      <c r="F75" s="20" t="n">
        <v>18000</v>
      </c>
      <c r="G75" s="20" t="n">
        <v>18104</v>
      </c>
      <c r="H75" s="20" t="n">
        <v>24600</v>
      </c>
      <c r="I75" s="20" t="n">
        <v>32000</v>
      </c>
      <c r="J75" s="20" t="n">
        <v>11700</v>
      </c>
      <c r="K75" s="20" t="n">
        <v>18000</v>
      </c>
    </row>
    <row r="76">
      <c r="A76" s="18" t="inlineStr">
        <is>
          <t>유가증권</t>
        </is>
      </c>
      <c r="C76" s="20" t="n">
        <v>2908590</v>
      </c>
      <c r="D76" s="20" t="n">
        <v>2973643</v>
      </c>
      <c r="E76" s="20" t="n">
        <v>3050143</v>
      </c>
      <c r="F76" s="20" t="n">
        <v>3107354</v>
      </c>
      <c r="G76" s="20" t="n">
        <v>3033488</v>
      </c>
      <c r="H76" s="20" t="n">
        <v>2324053</v>
      </c>
      <c r="I76" s="20" t="n">
        <v>2596411</v>
      </c>
      <c r="J76" s="20" t="n">
        <v>2776089</v>
      </c>
      <c r="K76" s="20" t="n">
        <v>3107354</v>
      </c>
    </row>
    <row r="77">
      <c r="A77" s="18" t="inlineStr">
        <is>
          <t>대출금</t>
        </is>
      </c>
      <c r="C77" s="20" t="n">
        <v>6589520</v>
      </c>
      <c r="D77" s="20" t="n">
        <v>6640134</v>
      </c>
      <c r="E77" s="20" t="n">
        <v>6777280</v>
      </c>
      <c r="F77" s="20" t="n">
        <v>6797024</v>
      </c>
      <c r="G77" s="20" t="n">
        <v>6784903</v>
      </c>
      <c r="H77" s="20" t="n">
        <v>5555795</v>
      </c>
      <c r="I77" s="20" t="n">
        <v>6231363</v>
      </c>
      <c r="J77" s="20" t="n">
        <v>6571458</v>
      </c>
      <c r="K77" s="20" t="n">
        <v>6797024</v>
      </c>
    </row>
    <row r="78">
      <c r="A78" s="18" t="inlineStr">
        <is>
          <t>외국환</t>
        </is>
      </c>
      <c r="C78" s="20" t="n">
        <v>17291</v>
      </c>
      <c r="D78" s="20" t="n">
        <v>13073</v>
      </c>
      <c r="E78" s="20" t="n">
        <v>12891</v>
      </c>
      <c r="F78" s="20" t="n">
        <v>15177</v>
      </c>
      <c r="G78" s="20" t="n">
        <v>26457</v>
      </c>
      <c r="H78" s="20" t="n">
        <v>14742</v>
      </c>
      <c r="I78" s="20" t="n">
        <v>14078</v>
      </c>
      <c r="J78" s="20" t="n">
        <v>25485</v>
      </c>
      <c r="K78" s="20" t="n">
        <v>15177</v>
      </c>
    </row>
    <row r="79">
      <c r="A79" s="18" t="inlineStr">
        <is>
          <t>Lease Receivables And Investment Assets CA</t>
        </is>
      </c>
      <c r="C79" s="20" t="n">
        <v>34838</v>
      </c>
      <c r="D79" s="20" t="n">
        <v>34906</v>
      </c>
      <c r="E79" s="20" t="n">
        <v>35971</v>
      </c>
      <c r="F79" s="20" t="n">
        <v>36826</v>
      </c>
      <c r="G79" s="20" t="n">
        <v>37312</v>
      </c>
      <c r="H79" s="20" t="n">
        <v>27010</v>
      </c>
      <c r="I79" s="20" t="n">
        <v>30456</v>
      </c>
      <c r="J79" s="20" t="n">
        <v>33365</v>
      </c>
      <c r="K79" s="20" t="n">
        <v>36826</v>
      </c>
    </row>
    <row r="80">
      <c r="A80" s="18" t="inlineStr">
        <is>
          <t>기타 자산</t>
        </is>
      </c>
      <c r="C80" s="20" t="n">
        <v>136353</v>
      </c>
      <c r="D80" s="20" t="n">
        <v>154141</v>
      </c>
      <c r="E80" s="20" t="n">
        <v>205506</v>
      </c>
      <c r="F80" s="20" t="n">
        <v>216881</v>
      </c>
      <c r="G80" s="20" t="n">
        <v>220572</v>
      </c>
      <c r="H80" s="20" t="n">
        <v>157594</v>
      </c>
      <c r="I80" s="20" t="n">
        <v>198940</v>
      </c>
      <c r="J80" s="20" t="n">
        <v>144413</v>
      </c>
      <c r="K80" s="20" t="n">
        <v>216881</v>
      </c>
    </row>
    <row r="81">
      <c r="A81" s="18" t="inlineStr">
        <is>
          <t>유형자산</t>
        </is>
      </c>
      <c r="C81" s="20" t="n">
        <v>42616</v>
      </c>
      <c r="D81" s="20" t="n">
        <v>44728</v>
      </c>
      <c r="E81" s="20" t="n">
        <v>45173</v>
      </c>
      <c r="F81" s="20" t="n">
        <v>46701</v>
      </c>
      <c r="G81" s="20" t="n">
        <v>42884</v>
      </c>
      <c r="H81" s="20" t="n">
        <v>35631</v>
      </c>
      <c r="I81" s="20" t="n">
        <v>35622</v>
      </c>
      <c r="J81" s="20" t="n">
        <v>42315</v>
      </c>
      <c r="K81" s="20" t="n">
        <v>46701</v>
      </c>
    </row>
    <row r="82">
      <c r="A82" s="18" t="inlineStr">
        <is>
          <t>건물</t>
        </is>
      </c>
      <c r="F82" s="20" t="n">
        <v>9781</v>
      </c>
      <c r="H82" s="20" t="n">
        <v>10043</v>
      </c>
      <c r="I82" s="20" t="n">
        <v>9391</v>
      </c>
      <c r="J82" s="20" t="n">
        <v>9123</v>
      </c>
      <c r="K82" s="20" t="n">
        <v>9781</v>
      </c>
    </row>
    <row r="83">
      <c r="A83" s="18" t="inlineStr">
        <is>
          <t>토지</t>
        </is>
      </c>
      <c r="F83" s="20" t="n">
        <v>19100</v>
      </c>
      <c r="H83" s="20" t="n">
        <v>18827</v>
      </c>
      <c r="I83" s="20" t="n">
        <v>19030</v>
      </c>
      <c r="J83" s="20" t="n">
        <v>19043</v>
      </c>
      <c r="K83" s="20" t="n">
        <v>19100</v>
      </c>
    </row>
    <row r="84">
      <c r="A84" s="18" t="inlineStr">
        <is>
          <t>건설중인자산</t>
        </is>
      </c>
      <c r="F84" s="20" t="n">
        <v>486</v>
      </c>
      <c r="H84" s="20" t="n">
        <v>62</v>
      </c>
      <c r="I84" s="20" t="n">
        <v>177</v>
      </c>
      <c r="J84" s="20" t="n">
        <v>255</v>
      </c>
      <c r="K84" s="20" t="n">
        <v>486</v>
      </c>
    </row>
    <row r="85">
      <c r="A85" s="18" t="inlineStr">
        <is>
          <t>리스자산</t>
        </is>
      </c>
      <c r="F85" s="20" t="n">
        <v>2104</v>
      </c>
      <c r="H85" s="20" t="n">
        <v>1595</v>
      </c>
      <c r="I85" s="20" t="n">
        <v>1344</v>
      </c>
      <c r="J85" s="20" t="n">
        <v>1095</v>
      </c>
      <c r="K85" s="20" t="n">
        <v>2104</v>
      </c>
    </row>
    <row r="86">
      <c r="A86" s="18" t="inlineStr">
        <is>
          <t>기타 유형자산</t>
        </is>
      </c>
      <c r="F86" s="20" t="n">
        <v>15228</v>
      </c>
      <c r="H86" s="20" t="n">
        <v>5101</v>
      </c>
      <c r="I86" s="20" t="n">
        <v>5679</v>
      </c>
      <c r="J86" s="20" t="n">
        <v>12796</v>
      </c>
      <c r="K86" s="20" t="n">
        <v>15228</v>
      </c>
    </row>
    <row r="87">
      <c r="A87" s="18" t="inlineStr">
        <is>
          <t>무형자산</t>
        </is>
      </c>
      <c r="C87" s="20" t="n">
        <v>2562</v>
      </c>
      <c r="D87" s="20" t="n">
        <v>4116</v>
      </c>
      <c r="E87" s="20" t="n">
        <v>4341</v>
      </c>
      <c r="F87" s="20" t="n">
        <v>5088</v>
      </c>
      <c r="G87" s="20" t="n">
        <v>5769</v>
      </c>
      <c r="H87" s="20" t="n">
        <v>1712</v>
      </c>
      <c r="I87" s="20" t="n">
        <v>2301</v>
      </c>
      <c r="J87" s="20" t="n">
        <v>2523</v>
      </c>
      <c r="K87" s="20" t="n">
        <v>5088</v>
      </c>
    </row>
    <row r="88">
      <c r="A88" s="18" t="inlineStr">
        <is>
          <t>소프트웨어</t>
        </is>
      </c>
      <c r="F88" s="20" t="n">
        <v>2118</v>
      </c>
      <c r="H88" s="20" t="n">
        <v>1251</v>
      </c>
      <c r="I88" s="20" t="n">
        <v>1994</v>
      </c>
      <c r="J88" s="20" t="n">
        <v>2063</v>
      </c>
      <c r="K88" s="20" t="n">
        <v>2118</v>
      </c>
    </row>
    <row r="89">
      <c r="A89" s="18" t="inlineStr">
        <is>
          <t>개발 중 소프트웨어</t>
        </is>
      </c>
      <c r="F89" s="20" t="n">
        <v>1696</v>
      </c>
      <c r="H89" s="20" t="n">
        <v>367</v>
      </c>
      <c r="I89" s="20" t="n">
        <v>213</v>
      </c>
      <c r="J89" s="20" t="n">
        <v>333</v>
      </c>
      <c r="K89" s="20" t="n">
        <v>1696</v>
      </c>
    </row>
    <row r="90">
      <c r="A90" s="18" t="inlineStr">
        <is>
          <t>영업권</t>
        </is>
      </c>
      <c r="F90" s="20" t="n">
        <v>1137</v>
      </c>
      <c r="J90" s="20" t="n">
        <v>0</v>
      </c>
      <c r="K90" s="20" t="n">
        <v>1137</v>
      </c>
    </row>
    <row r="91">
      <c r="A91" s="18" t="inlineStr">
        <is>
          <t>기타 무형자산</t>
        </is>
      </c>
      <c r="F91" s="20" t="n">
        <v>135</v>
      </c>
      <c r="H91" s="20" t="n">
        <v>93</v>
      </c>
      <c r="I91" s="20" t="n">
        <v>93</v>
      </c>
      <c r="J91" s="20" t="n">
        <v>126</v>
      </c>
      <c r="K91" s="20" t="n">
        <v>135</v>
      </c>
    </row>
    <row r="92">
      <c r="A92" s="18" t="inlineStr">
        <is>
          <t>퇴직급여자산</t>
        </is>
      </c>
      <c r="C92" s="20" t="n">
        <v>9487</v>
      </c>
      <c r="D92" s="20" t="n">
        <v>9785</v>
      </c>
      <c r="E92" s="20" t="n">
        <v>10075</v>
      </c>
      <c r="F92" s="20" t="n">
        <v>20536</v>
      </c>
      <c r="G92" s="20" t="n">
        <v>20893</v>
      </c>
      <c r="H92" s="20" t="n">
        <v>0</v>
      </c>
      <c r="I92" s="20" t="n">
        <v>9010</v>
      </c>
      <c r="J92" s="20" t="n">
        <v>9195</v>
      </c>
      <c r="K92" s="20" t="n">
        <v>20536</v>
      </c>
    </row>
    <row r="93">
      <c r="A93" s="18" t="inlineStr">
        <is>
          <t>이연법인세자산</t>
        </is>
      </c>
      <c r="C93" s="20" t="n">
        <v>19281</v>
      </c>
      <c r="D93" s="20" t="n">
        <v>9655</v>
      </c>
      <c r="E93" s="20" t="n">
        <v>5472</v>
      </c>
      <c r="F93" s="20" t="n">
        <v>5511</v>
      </c>
      <c r="G93" s="20" t="n">
        <v>872</v>
      </c>
      <c r="H93" s="20" t="n">
        <v>17594</v>
      </c>
      <c r="I93" s="20" t="n">
        <v>4582</v>
      </c>
      <c r="J93" s="20" t="n">
        <v>28534</v>
      </c>
      <c r="K93" s="20" t="n">
        <v>5511</v>
      </c>
    </row>
    <row r="94">
      <c r="A94" s="18" t="inlineStr">
        <is>
          <t>Customers Liabilities For Acceptances And Guarantees Assets BNK</t>
        </is>
      </c>
      <c r="C94" s="20" t="n">
        <v>53679</v>
      </c>
      <c r="D94" s="20" t="n">
        <v>53686</v>
      </c>
      <c r="E94" s="20" t="n">
        <v>54790</v>
      </c>
      <c r="F94" s="20" t="n">
        <v>51844</v>
      </c>
      <c r="G94" s="20" t="n">
        <v>56867</v>
      </c>
      <c r="H94" s="20" t="n">
        <v>31110</v>
      </c>
      <c r="I94" s="20" t="n">
        <v>34450</v>
      </c>
      <c r="J94" s="20" t="n">
        <v>55491</v>
      </c>
      <c r="K94" s="20" t="n">
        <v>51844</v>
      </c>
    </row>
    <row r="95">
      <c r="A95" s="18" t="inlineStr">
        <is>
          <t>대손충당금</t>
        </is>
      </c>
      <c r="C95" s="20" t="n">
        <v>-72169</v>
      </c>
      <c r="D95" s="20" t="n">
        <v>-75000</v>
      </c>
      <c r="E95" s="20" t="n">
        <v>-73641</v>
      </c>
      <c r="F95" s="20" t="n">
        <v>-75075</v>
      </c>
      <c r="G95" s="20" t="n">
        <v>-75256</v>
      </c>
      <c r="H95" s="20" t="n">
        <v>-54302</v>
      </c>
      <c r="I95" s="20" t="n">
        <v>-60570</v>
      </c>
      <c r="J95" s="20" t="n">
        <v>-72674</v>
      </c>
      <c r="K95" s="20" t="n">
        <v>-75075</v>
      </c>
    </row>
    <row r="96">
      <c r="A96" s="9" t="inlineStr">
        <is>
          <t>자산 합계</t>
        </is>
      </c>
      <c r="C96" s="12" t="n">
        <v>11236333</v>
      </c>
      <c r="D96" s="12" t="n">
        <v>11270811</v>
      </c>
      <c r="E96" s="12" t="n">
        <v>11465093</v>
      </c>
      <c r="F96" s="12" t="n">
        <v>11370252</v>
      </c>
      <c r="G96" s="12" t="n">
        <v>11397875</v>
      </c>
      <c r="H96" s="12" t="n">
        <v>9849196</v>
      </c>
      <c r="I96" s="12" t="n">
        <v>10763804</v>
      </c>
      <c r="J96" s="12" t="n">
        <v>11045576</v>
      </c>
      <c r="K96" s="12" t="n">
        <v>11370252</v>
      </c>
    </row>
    <row r="97">
      <c r="A97" s="18" t="inlineStr">
        <is>
          <t>예금</t>
        </is>
      </c>
      <c r="C97" s="20" t="n">
        <v>8452482</v>
      </c>
      <c r="D97" s="20" t="n">
        <v>8437450</v>
      </c>
      <c r="E97" s="20" t="n">
        <v>8591289</v>
      </c>
      <c r="F97" s="20" t="n">
        <v>8445033</v>
      </c>
      <c r="G97" s="20" t="n">
        <v>8523231</v>
      </c>
      <c r="H97" s="20" t="n">
        <v>7898033</v>
      </c>
      <c r="I97" s="20" t="n">
        <v>8211551</v>
      </c>
      <c r="J97" s="20" t="n">
        <v>8256715</v>
      </c>
      <c r="K97" s="20" t="n">
        <v>8445033</v>
      </c>
    </row>
    <row r="98">
      <c r="A98" s="18" t="inlineStr">
        <is>
          <t>양도성예금</t>
        </is>
      </c>
      <c r="C98" s="20" t="n">
        <v>86488</v>
      </c>
      <c r="D98" s="20" t="n">
        <v>75134</v>
      </c>
      <c r="E98" s="20" t="n">
        <v>73754</v>
      </c>
      <c r="F98" s="20" t="n">
        <v>58869</v>
      </c>
      <c r="G98" s="20" t="n">
        <v>62724</v>
      </c>
      <c r="H98" s="20" t="n">
        <v>155489</v>
      </c>
      <c r="I98" s="20" t="n">
        <v>98020</v>
      </c>
      <c r="J98" s="20" t="n">
        <v>107075</v>
      </c>
      <c r="K98" s="20" t="n">
        <v>58869</v>
      </c>
    </row>
    <row r="99">
      <c r="A99" s="18" t="inlineStr">
        <is>
          <t>콜머니</t>
        </is>
      </c>
      <c r="C99" s="20" t="n">
        <v>171166</v>
      </c>
      <c r="D99" s="20" t="n">
        <v>152969</v>
      </c>
      <c r="E99" s="20" t="n">
        <v>168960</v>
      </c>
      <c r="F99" s="20" t="n">
        <v>151232</v>
      </c>
      <c r="G99" s="20" t="n">
        <v>130452</v>
      </c>
      <c r="H99" s="20" t="n">
        <v>179987</v>
      </c>
      <c r="I99" s="20" t="n">
        <v>145023</v>
      </c>
      <c r="J99" s="20" t="n">
        <v>165426</v>
      </c>
      <c r="K99" s="20" t="n">
        <v>151232</v>
      </c>
    </row>
    <row r="100">
      <c r="A100" s="18" t="inlineStr">
        <is>
          <t>매도현선(RP)계정</t>
        </is>
      </c>
      <c r="C100" s="20" t="n">
        <v>117560</v>
      </c>
      <c r="D100" s="20" t="n">
        <v>75722</v>
      </c>
      <c r="E100" s="20" t="n">
        <v>72756</v>
      </c>
      <c r="F100" s="20" t="n">
        <v>78543</v>
      </c>
      <c r="G100" s="20" t="n">
        <v>126389</v>
      </c>
      <c r="H100" s="20" t="n">
        <v>93913</v>
      </c>
      <c r="I100" s="20" t="n">
        <v>158022</v>
      </c>
      <c r="J100" s="20" t="n">
        <v>149768</v>
      </c>
      <c r="K100" s="20" t="n">
        <v>78543</v>
      </c>
    </row>
    <row r="101">
      <c r="A101" s="18" t="inlineStr">
        <is>
          <t>채권대차거래 수입담보금</t>
        </is>
      </c>
      <c r="C101" s="20" t="n">
        <v>798876</v>
      </c>
      <c r="D101" s="20" t="n">
        <v>842535</v>
      </c>
      <c r="E101" s="20" t="n">
        <v>842825</v>
      </c>
      <c r="F101" s="20" t="n">
        <v>763018</v>
      </c>
      <c r="G101" s="20" t="n">
        <v>610359</v>
      </c>
      <c r="H101" s="20" t="n">
        <v>423430</v>
      </c>
      <c r="I101" s="20" t="n">
        <v>604049</v>
      </c>
      <c r="J101" s="20" t="n">
        <v>765678</v>
      </c>
      <c r="K101" s="20" t="n">
        <v>763018</v>
      </c>
    </row>
    <row r="102">
      <c r="A102" s="18" t="inlineStr">
        <is>
          <t>기업어음(CP)</t>
        </is>
      </c>
      <c r="H102" s="20" t="n">
        <v>46530</v>
      </c>
      <c r="I102" s="20" t="n">
        <v>0</v>
      </c>
    </row>
    <row r="103">
      <c r="A103" s="18" t="inlineStr">
        <is>
          <t>차용금</t>
        </is>
      </c>
      <c r="C103" s="20" t="n">
        <v>760783</v>
      </c>
      <c r="D103" s="20" t="n">
        <v>759382</v>
      </c>
      <c r="E103" s="20" t="n">
        <v>760962</v>
      </c>
      <c r="F103" s="20" t="n">
        <v>851857</v>
      </c>
      <c r="G103" s="20" t="n">
        <v>832315</v>
      </c>
      <c r="H103" s="20" t="n">
        <v>320843</v>
      </c>
      <c r="I103" s="20" t="n">
        <v>744106</v>
      </c>
      <c r="J103" s="20" t="n">
        <v>763697</v>
      </c>
      <c r="K103" s="20" t="n">
        <v>851857</v>
      </c>
    </row>
    <row r="104">
      <c r="A104" s="18" t="inlineStr">
        <is>
          <t>외국환</t>
        </is>
      </c>
      <c r="C104" s="20" t="n">
        <v>694</v>
      </c>
      <c r="D104" s="20" t="n">
        <v>304</v>
      </c>
      <c r="E104" s="20" t="n">
        <v>832</v>
      </c>
      <c r="F104" s="20" t="n">
        <v>692</v>
      </c>
      <c r="G104" s="20" t="n">
        <v>267</v>
      </c>
      <c r="H104" s="20" t="n">
        <v>492</v>
      </c>
      <c r="I104" s="20" t="n">
        <v>440</v>
      </c>
      <c r="J104" s="20" t="n">
        <v>409</v>
      </c>
      <c r="K104" s="20" t="n">
        <v>692</v>
      </c>
    </row>
    <row r="105">
      <c r="A105" s="18" t="inlineStr">
        <is>
          <t>사채</t>
        </is>
      </c>
      <c r="C105" s="20" t="n">
        <v>30000</v>
      </c>
      <c r="D105" s="20" t="n">
        <v>50000</v>
      </c>
      <c r="E105" s="20" t="n">
        <v>40000</v>
      </c>
      <c r="F105" s="20" t="n">
        <v>40000</v>
      </c>
      <c r="G105" s="20" t="n">
        <v>40000</v>
      </c>
      <c r="H105" s="20" t="n">
        <v>10000</v>
      </c>
      <c r="I105" s="20" t="n">
        <v>10000</v>
      </c>
      <c r="J105" s="20" t="n">
        <v>30000</v>
      </c>
      <c r="K105" s="20" t="n">
        <v>40000</v>
      </c>
    </row>
    <row r="106">
      <c r="A106" s="18" t="inlineStr">
        <is>
          <t>신탁계정 차변</t>
        </is>
      </c>
      <c r="C106" s="20" t="n">
        <v>12748</v>
      </c>
      <c r="D106" s="20" t="n">
        <v>13500</v>
      </c>
      <c r="E106" s="20" t="n">
        <v>14160</v>
      </c>
      <c r="F106" s="20" t="n">
        <v>14185</v>
      </c>
      <c r="G106" s="20" t="n">
        <v>15103</v>
      </c>
      <c r="H106" s="20" t="n">
        <v>8496</v>
      </c>
      <c r="I106" s="20" t="n">
        <v>9988</v>
      </c>
      <c r="J106" s="20" t="n">
        <v>11933</v>
      </c>
      <c r="K106" s="20" t="n">
        <v>14185</v>
      </c>
    </row>
    <row r="107">
      <c r="A107" s="18" t="inlineStr">
        <is>
          <t>기타 부채</t>
        </is>
      </c>
      <c r="C107" s="20" t="n">
        <v>182902</v>
      </c>
      <c r="D107" s="20" t="n">
        <v>211664</v>
      </c>
      <c r="E107" s="20" t="n">
        <v>231561</v>
      </c>
      <c r="F107" s="20" t="n">
        <v>290495</v>
      </c>
      <c r="G107" s="20" t="n">
        <v>307301</v>
      </c>
      <c r="H107" s="20" t="n">
        <v>147012</v>
      </c>
      <c r="I107" s="20" t="n">
        <v>163073</v>
      </c>
      <c r="J107" s="20" t="n">
        <v>192454</v>
      </c>
      <c r="K107" s="20" t="n">
        <v>290495</v>
      </c>
    </row>
    <row r="108">
      <c r="A108" s="18" t="inlineStr">
        <is>
          <t>상여충당금</t>
        </is>
      </c>
      <c r="C108" s="20" t="n">
        <v>0</v>
      </c>
      <c r="D108" s="20" t="n">
        <v>1791</v>
      </c>
      <c r="E108" s="20" t="n">
        <v>0</v>
      </c>
      <c r="F108" s="20" t="n">
        <v>2046</v>
      </c>
      <c r="G108" s="20" t="n">
        <v>0</v>
      </c>
      <c r="H108" s="20" t="n">
        <v>1547</v>
      </c>
      <c r="I108" s="20" t="n">
        <v>1573</v>
      </c>
      <c r="J108" s="20" t="n">
        <v>1779</v>
      </c>
      <c r="K108" s="20" t="n">
        <v>2046</v>
      </c>
    </row>
    <row r="109">
      <c r="A109" s="18" t="inlineStr">
        <is>
          <t>임원 상여충당금</t>
        </is>
      </c>
      <c r="C109" s="20" t="n">
        <v>1</v>
      </c>
      <c r="D109" s="20" t="n">
        <v>2</v>
      </c>
      <c r="E109" s="20" t="n">
        <v>3</v>
      </c>
      <c r="F109" s="20" t="n">
        <v>30</v>
      </c>
      <c r="G109" s="20" t="n">
        <v>1</v>
      </c>
      <c r="H109" s="20" t="n">
        <v>25</v>
      </c>
      <c r="I109" s="20" t="n">
        <v>44</v>
      </c>
      <c r="J109" s="20" t="n">
        <v>43</v>
      </c>
      <c r="K109" s="20" t="n">
        <v>30</v>
      </c>
    </row>
    <row r="110">
      <c r="A110" s="18" t="inlineStr">
        <is>
          <t>퇴직급여부채</t>
        </is>
      </c>
      <c r="C110" s="20" t="n">
        <v>1533</v>
      </c>
      <c r="D110" s="20" t="n">
        <v>1263</v>
      </c>
      <c r="E110" s="20" t="n">
        <v>1212</v>
      </c>
      <c r="F110" s="20" t="n">
        <v>253</v>
      </c>
      <c r="G110" s="20" t="n">
        <v>258</v>
      </c>
      <c r="H110" s="20" t="n">
        <v>3466</v>
      </c>
      <c r="I110" s="20" t="n">
        <v>429</v>
      </c>
      <c r="J110" s="20" t="n">
        <v>1625</v>
      </c>
      <c r="K110" s="20" t="n">
        <v>253</v>
      </c>
    </row>
    <row r="111">
      <c r="A111" s="18" t="inlineStr">
        <is>
          <t>임원 퇴직위로 충당금</t>
        </is>
      </c>
      <c r="C111" s="20" t="n">
        <v>27</v>
      </c>
      <c r="D111" s="20" t="n">
        <v>30</v>
      </c>
      <c r="E111" s="20" t="n">
        <v>27</v>
      </c>
      <c r="F111" s="20" t="n">
        <v>29</v>
      </c>
      <c r="G111" s="20" t="n">
        <v>22</v>
      </c>
      <c r="H111" s="20" t="n">
        <v>49</v>
      </c>
      <c r="I111" s="20" t="n">
        <v>54</v>
      </c>
      <c r="J111" s="20" t="n">
        <v>53</v>
      </c>
      <c r="K111" s="20" t="n">
        <v>29</v>
      </c>
    </row>
    <row r="112">
      <c r="A112" s="18" t="inlineStr">
        <is>
          <t>Provision For Reimbursement Of Deposits Liabilities BNK</t>
        </is>
      </c>
      <c r="C112" s="20" t="n">
        <v>592</v>
      </c>
      <c r="D112" s="20" t="n">
        <v>563</v>
      </c>
      <c r="E112" s="20" t="n">
        <v>545</v>
      </c>
      <c r="F112" s="20" t="n">
        <v>550</v>
      </c>
      <c r="G112" s="20" t="n">
        <v>515</v>
      </c>
      <c r="H112" s="20" t="n">
        <v>250</v>
      </c>
      <c r="I112" s="20" t="n">
        <v>800</v>
      </c>
      <c r="J112" s="20" t="n">
        <v>650</v>
      </c>
      <c r="K112" s="20" t="n">
        <v>550</v>
      </c>
    </row>
    <row r="113">
      <c r="A113" s="18" t="inlineStr">
        <is>
          <t>포인트 충당금</t>
        </is>
      </c>
      <c r="C113" s="20" t="n">
        <v>157</v>
      </c>
      <c r="D113" s="20" t="n">
        <v>158</v>
      </c>
      <c r="E113" s="20" t="n">
        <v>158</v>
      </c>
      <c r="F113" s="20" t="n">
        <v>145</v>
      </c>
      <c r="G113" s="20" t="n">
        <v>157</v>
      </c>
      <c r="H113" s="20" t="n">
        <v>114</v>
      </c>
      <c r="I113" s="20" t="n">
        <v>133</v>
      </c>
      <c r="J113" s="20" t="n">
        <v>143</v>
      </c>
      <c r="K113" s="20" t="n">
        <v>145</v>
      </c>
    </row>
    <row r="114">
      <c r="A114" s="18" t="inlineStr">
        <is>
          <t>특별법상 충당금</t>
        </is>
      </c>
      <c r="C114" s="20" t="n">
        <v>8</v>
      </c>
      <c r="D114" s="20" t="n">
        <v>8</v>
      </c>
      <c r="E114" s="20" t="n">
        <v>8</v>
      </c>
      <c r="F114" s="20" t="n">
        <v>10</v>
      </c>
      <c r="G114" s="20" t="n">
        <v>10</v>
      </c>
      <c r="H114" s="20" t="n">
        <v>7</v>
      </c>
      <c r="I114" s="20" t="n">
        <v>8</v>
      </c>
      <c r="J114" s="20" t="n">
        <v>8</v>
      </c>
      <c r="K114" s="20" t="n">
        <v>10</v>
      </c>
    </row>
    <row r="115">
      <c r="A115" s="18" t="inlineStr">
        <is>
          <t>이연법인세부채</t>
        </is>
      </c>
      <c r="C115" s="20" t="n">
        <v>509</v>
      </c>
      <c r="D115" s="20" t="n">
        <v>646</v>
      </c>
      <c r="E115" s="20" t="n">
        <v>606</v>
      </c>
      <c r="F115" s="20" t="n">
        <v>712</v>
      </c>
      <c r="G115" s="20" t="n">
        <v>18459</v>
      </c>
      <c r="H115" s="20" t="n">
        <v>449</v>
      </c>
      <c r="I115" s="20" t="n">
        <v>918</v>
      </c>
      <c r="J115" s="20" t="n">
        <v>255</v>
      </c>
      <c r="K115" s="20" t="n">
        <v>712</v>
      </c>
    </row>
    <row r="116">
      <c r="A116" s="18" t="inlineStr">
        <is>
          <t>Acceptances And Guarantees Liabilities BNK</t>
        </is>
      </c>
      <c r="C116" s="20" t="n">
        <v>53679</v>
      </c>
      <c r="D116" s="20" t="n">
        <v>53686</v>
      </c>
      <c r="E116" s="20" t="n">
        <v>54790</v>
      </c>
      <c r="F116" s="20" t="n">
        <v>51844</v>
      </c>
      <c r="G116" s="20" t="n">
        <v>56867</v>
      </c>
      <c r="H116" s="20" t="n">
        <v>31110</v>
      </c>
      <c r="I116" s="20" t="n">
        <v>34450</v>
      </c>
      <c r="J116" s="20" t="n">
        <v>55491</v>
      </c>
      <c r="K116" s="20" t="n">
        <v>51844</v>
      </c>
    </row>
    <row r="117">
      <c r="A117" s="9" t="inlineStr">
        <is>
          <t>부채 합계</t>
        </is>
      </c>
      <c r="C117" s="12" t="n">
        <v>10670212</v>
      </c>
      <c r="D117" s="12" t="n">
        <v>10676816</v>
      </c>
      <c r="E117" s="12" t="n">
        <v>10854456</v>
      </c>
      <c r="F117" s="12" t="n">
        <v>10749551</v>
      </c>
      <c r="G117" s="12" t="n">
        <v>10724437</v>
      </c>
      <c r="H117" s="12" t="n">
        <v>9321248</v>
      </c>
      <c r="I117" s="12" t="n">
        <v>10182689</v>
      </c>
      <c r="J117" s="12" t="n">
        <v>10503210</v>
      </c>
      <c r="K117" s="12" t="n">
        <v>10749551</v>
      </c>
    </row>
    <row r="118">
      <c r="A118" s="18" t="inlineStr">
        <is>
          <t>자본금</t>
        </is>
      </c>
      <c r="C118" s="20" t="n">
        <v>16000</v>
      </c>
      <c r="D118" s="20" t="n">
        <v>16000</v>
      </c>
      <c r="E118" s="20" t="n">
        <v>16000</v>
      </c>
      <c r="F118" s="20" t="n">
        <v>16000</v>
      </c>
      <c r="G118" s="20" t="n">
        <v>16000</v>
      </c>
      <c r="H118" s="20" t="n">
        <v>16000</v>
      </c>
      <c r="I118" s="20" t="n">
        <v>16000</v>
      </c>
      <c r="J118" s="20" t="n">
        <v>16000</v>
      </c>
      <c r="K118" s="20" t="n">
        <v>16000</v>
      </c>
    </row>
    <row r="119">
      <c r="A119" s="18" t="inlineStr">
        <is>
          <t>자본잉여금</t>
        </is>
      </c>
      <c r="C119" s="20" t="n">
        <v>7427</v>
      </c>
      <c r="D119" s="20" t="n">
        <v>7453</v>
      </c>
      <c r="E119" s="20" t="n">
        <v>7453</v>
      </c>
      <c r="F119" s="20" t="n">
        <v>7453</v>
      </c>
      <c r="G119" s="20" t="n">
        <v>7404</v>
      </c>
      <c r="H119" s="20" t="n">
        <v>7302</v>
      </c>
      <c r="I119" s="20" t="n">
        <v>7292</v>
      </c>
      <c r="J119" s="20" t="n">
        <v>7314</v>
      </c>
      <c r="K119" s="20" t="n">
        <v>7453</v>
      </c>
    </row>
    <row r="120">
      <c r="A120" s="18" t="inlineStr">
        <is>
          <t>이익잉여금</t>
        </is>
      </c>
      <c r="C120" s="20" t="n">
        <v>515392</v>
      </c>
      <c r="D120" s="20" t="n">
        <v>522872</v>
      </c>
      <c r="E120" s="20" t="n">
        <v>530504</v>
      </c>
      <c r="F120" s="20" t="n">
        <v>538633</v>
      </c>
      <c r="G120" s="20" t="n">
        <v>543092</v>
      </c>
      <c r="H120" s="20" t="n">
        <v>479276</v>
      </c>
      <c r="I120" s="20" t="n">
        <v>494988</v>
      </c>
      <c r="J120" s="20" t="n">
        <v>511855</v>
      </c>
      <c r="K120" s="20" t="n">
        <v>538633</v>
      </c>
    </row>
    <row r="121">
      <c r="A121" s="18" t="inlineStr">
        <is>
          <t>자기주식</t>
        </is>
      </c>
      <c r="C121" s="20" t="n">
        <v>-8245</v>
      </c>
      <c r="D121" s="20" t="n">
        <v>-10016</v>
      </c>
      <c r="E121" s="20" t="n">
        <v>-10016</v>
      </c>
      <c r="F121" s="20" t="n">
        <v>-10017</v>
      </c>
      <c r="G121" s="20" t="n">
        <v>-9906</v>
      </c>
      <c r="H121" s="20" t="n">
        <v>-1000</v>
      </c>
      <c r="I121" s="20" t="n">
        <v>-2812</v>
      </c>
      <c r="J121" s="20" t="n">
        <v>-7637</v>
      </c>
      <c r="K121" s="20" t="n">
        <v>-10017</v>
      </c>
    </row>
    <row r="122">
      <c r="A122" s="9" t="inlineStr">
        <is>
          <t>주주자본 합계</t>
        </is>
      </c>
      <c r="C122" s="12" t="n">
        <v>530574</v>
      </c>
      <c r="D122" s="12" t="n">
        <v>536309</v>
      </c>
      <c r="E122" s="12" t="n">
        <v>543940</v>
      </c>
      <c r="F122" s="12" t="n">
        <v>552069</v>
      </c>
      <c r="G122" s="12" t="n">
        <v>556590</v>
      </c>
      <c r="H122" s="12" t="n">
        <v>501579</v>
      </c>
      <c r="I122" s="12" t="n">
        <v>515468</v>
      </c>
      <c r="J122" s="12" t="n">
        <v>527533</v>
      </c>
      <c r="K122" s="12" t="n">
        <v>552069</v>
      </c>
    </row>
    <row r="123">
      <c r="A123" s="18" t="inlineStr">
        <is>
          <t>기타유가증권 평가차액</t>
        </is>
      </c>
      <c r="C123" s="20" t="n">
        <v>10496</v>
      </c>
      <c r="D123" s="20" t="n">
        <v>22117</v>
      </c>
      <c r="E123" s="20" t="n">
        <v>13316</v>
      </c>
      <c r="F123" s="20" t="n">
        <v>-2080</v>
      </c>
      <c r="G123" s="20" t="n">
        <v>44221</v>
      </c>
      <c r="H123" s="20" t="n">
        <v>34234</v>
      </c>
      <c r="I123" s="20" t="n">
        <v>55647</v>
      </c>
      <c r="J123" s="20" t="n">
        <v>-8643</v>
      </c>
      <c r="K123" s="20" t="n">
        <v>-2080</v>
      </c>
    </row>
    <row r="124">
      <c r="A124" s="18" t="inlineStr">
        <is>
          <t>이연헤지손익</t>
        </is>
      </c>
      <c r="C124" s="20" t="n">
        <v>22292</v>
      </c>
      <c r="D124" s="20" t="n">
        <v>32505</v>
      </c>
      <c r="E124" s="20" t="n">
        <v>50178</v>
      </c>
      <c r="F124" s="20" t="n">
        <v>59704</v>
      </c>
      <c r="G124" s="20" t="n">
        <v>61922</v>
      </c>
      <c r="H124" s="20" t="n">
        <v>-3320</v>
      </c>
      <c r="I124" s="20" t="n">
        <v>6024</v>
      </c>
      <c r="J124" s="20" t="n">
        <v>20852</v>
      </c>
      <c r="K124" s="20" t="n">
        <v>59704</v>
      </c>
    </row>
    <row r="125">
      <c r="A125" s="18" t="inlineStr">
        <is>
          <t>퇴직급여 조정누계액</t>
        </is>
      </c>
      <c r="C125" s="20" t="n">
        <v>2641</v>
      </c>
      <c r="D125" s="20" t="n">
        <v>2949</v>
      </c>
      <c r="E125" s="20" t="n">
        <v>3086</v>
      </c>
      <c r="F125" s="20" t="n">
        <v>10893</v>
      </c>
      <c r="G125" s="20" t="n">
        <v>10651</v>
      </c>
      <c r="H125" s="20" t="n">
        <v>-4818</v>
      </c>
      <c r="I125" s="20" t="n">
        <v>3754</v>
      </c>
      <c r="J125" s="20" t="n">
        <v>2481</v>
      </c>
      <c r="K125" s="20" t="n">
        <v>10893</v>
      </c>
    </row>
    <row r="126">
      <c r="A126" s="18" t="inlineStr">
        <is>
          <t>기타포괄손익누계액 합계</t>
        </is>
      </c>
      <c r="C126" s="20" t="n">
        <v>35431</v>
      </c>
      <c r="D126" s="20" t="n">
        <v>57571</v>
      </c>
      <c r="E126" s="20" t="n">
        <v>66581</v>
      </c>
      <c r="F126" s="20" t="n">
        <v>68517</v>
      </c>
      <c r="G126" s="20" t="n">
        <v>116795</v>
      </c>
      <c r="H126" s="20" t="n">
        <v>26096</v>
      </c>
      <c r="I126" s="20" t="n">
        <v>65426</v>
      </c>
      <c r="J126" s="20" t="n">
        <v>14690</v>
      </c>
      <c r="K126" s="20" t="n">
        <v>68517</v>
      </c>
    </row>
    <row r="127">
      <c r="A127" s="18" t="inlineStr">
        <is>
          <t>신주예약권</t>
        </is>
      </c>
      <c r="C127" s="20" t="n">
        <v>114</v>
      </c>
      <c r="D127" s="20" t="n">
        <v>114</v>
      </c>
      <c r="E127" s="20" t="n">
        <v>114</v>
      </c>
      <c r="F127" s="20" t="n">
        <v>114</v>
      </c>
      <c r="G127" s="20" t="n">
        <v>51</v>
      </c>
      <c r="H127" s="20" t="n">
        <v>272</v>
      </c>
      <c r="I127" s="20" t="n">
        <v>220</v>
      </c>
      <c r="J127" s="20" t="n">
        <v>141</v>
      </c>
      <c r="K127" s="20" t="n">
        <v>114</v>
      </c>
    </row>
    <row r="128">
      <c r="A128" s="9" t="inlineStr">
        <is>
          <t>순자산 합계</t>
        </is>
      </c>
      <c r="C128" s="12" t="n">
        <v>566120</v>
      </c>
      <c r="D128" s="12" t="n">
        <v>593995</v>
      </c>
      <c r="E128" s="12" t="n">
        <v>610636</v>
      </c>
      <c r="F128" s="12" t="n">
        <v>620700</v>
      </c>
      <c r="G128" s="12" t="n">
        <v>673437</v>
      </c>
      <c r="H128" s="12" t="n">
        <v>527948</v>
      </c>
      <c r="I128" s="12" t="n">
        <v>581115</v>
      </c>
      <c r="J128" s="12" t="n">
        <v>542366</v>
      </c>
      <c r="K128" s="12" t="n">
        <v>620700</v>
      </c>
    </row>
    <row r="129">
      <c r="A129" s="9" t="inlineStr">
        <is>
          <t>부채 및 순자산 합계</t>
        </is>
      </c>
      <c r="C129" s="12" t="n">
        <v>11236333</v>
      </c>
      <c r="D129" s="12" t="n">
        <v>11270811</v>
      </c>
      <c r="E129" s="12" t="n">
        <v>11465093</v>
      </c>
      <c r="F129" s="12" t="n">
        <v>11370252</v>
      </c>
      <c r="G129" s="12" t="n">
        <v>11397875</v>
      </c>
      <c r="H129" s="12" t="n">
        <v>9849196</v>
      </c>
      <c r="I129" s="12" t="n">
        <v>10763804</v>
      </c>
      <c r="J129" s="12" t="n">
        <v>11045576</v>
      </c>
      <c r="K129" s="12" t="n">
        <v>11370252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https://www2.jpx.co.jp/disc/58320/140120260729502340.pdf</t>
        </is>
      </c>
    </row>
    <row r="5">
      <c r="A5" t="inlineStr">
        <is>
          <t>2026-05-01</t>
        </is>
      </c>
      <c r="B5" t="inlineStr">
        <is>
          <t>2026년 3월 결산기 연간 결산단신</t>
        </is>
      </c>
      <c r="C5" t="inlineStr">
        <is>
          <t>https://www2.jpx.co.jp/disc/58320/140120260430515131.pdf</t>
        </is>
      </c>
    </row>
    <row r="6">
      <c r="A6" t="inlineStr">
        <is>
          <t>2026-02-04</t>
        </is>
      </c>
      <c r="B6" t="inlineStr">
        <is>
          <t>2026년 3월 결산기 ３분기 결산단신</t>
        </is>
      </c>
      <c r="C6" t="inlineStr">
        <is>
          <t>https://www2.jpx.co.jp/disc/58320/140120260204546592.pdf</t>
        </is>
      </c>
    </row>
    <row r="7">
      <c r="A7" t="inlineStr">
        <is>
          <t>2025-11-14</t>
        </is>
      </c>
      <c r="B7" t="inlineStr">
        <is>
          <t>2026년 3월 결산기 ２분기 결산단신</t>
        </is>
      </c>
      <c r="C7" t="inlineStr">
        <is>
          <t>https://www2.jpx.co.jp/disc/58320/140120251113501886.pdf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https://www2.jpx.co.jp/disc/58320/140120250729522122.pdf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https://www2.jpx.co.jp/disc/58320/140120250513547944.pdf</t>
        </is>
      </c>
    </row>
    <row r="10">
      <c r="A10" t="inlineStr">
        <is>
          <t>2025-02-04</t>
        </is>
      </c>
      <c r="B10" t="inlineStr">
        <is>
          <t>2025년 3월 결산기 ３분기 결산단신</t>
        </is>
      </c>
      <c r="C10" t="inlineStr">
        <is>
          <t>https://www2.jpx.co.jp/disc/58320/140120250203561410.pdf</t>
        </is>
      </c>
    </row>
    <row r="11">
      <c r="A11" t="inlineStr">
        <is>
          <t>2024-11-08</t>
        </is>
      </c>
      <c r="B11" t="inlineStr">
        <is>
          <t>2025년 3월 결산기 ２분기 결산단신</t>
        </is>
      </c>
      <c r="C11" t="inlineStr">
        <is>
          <t>https://www2.jpx.co.jp/disc/58320/140120241107514896.pdf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https://www2.jpx.co.jp/disc/58320/140120240729556680.pdf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https://www2.jpx.co.jp/disc/58320/140120240509587222.pdf</t>
        </is>
      </c>
    </row>
    <row r="14">
      <c r="A14" t="inlineStr">
        <is>
          <t>2024-02-02</t>
        </is>
      </c>
      <c r="B14" t="inlineStr">
        <is>
          <t>2024년 3월 결산기 ３분기 결산단신</t>
        </is>
      </c>
      <c r="C14" t="inlineStr">
        <is>
          <t>https://www2.jpx.co.jp/disc/58320/140120240201524617.pdf</t>
        </is>
      </c>
    </row>
    <row r="15">
      <c r="A15" t="inlineStr">
        <is>
          <t>2023-11-10</t>
        </is>
      </c>
      <c r="B15" t="inlineStr">
        <is>
          <t>2024년 3월 결산기 ２분기 결산단신</t>
        </is>
      </c>
      <c r="C15" t="inlineStr">
        <is>
          <t>https://www2.jpx.co.jp/disc/58320/140120231110585992.pdf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https://www2.jpx.co.jp/disc/58320/140120230728528842.pdf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https://www2.jpx.co.jp/disc/58320/140120230511567138.pdf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https://www2.jpx.co.jp/disc/58320/140120230202598983.pdf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2026-10-25T14:51:28Z</dcterms:created>
  <dcterms:modified xmlns:dcterms="http://purl.org/dc/terms/" xmlns:xsi="http://www.w3.org/2001/XMLSchema-instance" xsi:type="dcterms:W3CDTF">2026-10-25T14:51:28Z</dcterms:modified>
</cp:coreProperties>
</file>