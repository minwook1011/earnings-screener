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1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84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7867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52976</v>
      </c>
      <c r="D4" s="12" t="n">
        <v>64173</v>
      </c>
      <c r="E4" s="12" t="n">
        <v>48075</v>
      </c>
      <c r="F4" s="12" t="n">
        <v>53586</v>
      </c>
      <c r="G4" s="12" t="n">
        <v>67123</v>
      </c>
      <c r="H4" s="12" t="n">
        <v>74263</v>
      </c>
      <c r="I4" s="12" t="n">
        <v>55263</v>
      </c>
      <c r="J4" s="12" t="n">
        <v>59479</v>
      </c>
      <c r="K4" s="12" t="n">
        <v>68405</v>
      </c>
      <c r="L4" s="12" t="n">
        <v>80754</v>
      </c>
      <c r="M4" s="12" t="n">
        <v>61817</v>
      </c>
      <c r="N4" s="12" t="n">
        <v>64047</v>
      </c>
      <c r="O4" s="11" t="n">
        <v>167661</v>
      </c>
      <c r="P4" s="12" t="n">
        <v>177366</v>
      </c>
      <c r="Q4" s="12" t="n">
        <v>176853</v>
      </c>
      <c r="R4" s="12" t="n">
        <v>164837</v>
      </c>
      <c r="S4" s="12" t="n">
        <v>141218</v>
      </c>
      <c r="T4" s="12" t="n">
        <v>165448</v>
      </c>
      <c r="U4" s="12" t="n">
        <v>187297</v>
      </c>
      <c r="V4" s="12" t="n">
        <v>208326</v>
      </c>
      <c r="W4" s="12" t="n">
        <v>250235</v>
      </c>
      <c r="X4" s="12" t="n">
        <v>270455</v>
      </c>
      <c r="Y4" s="11">
        <f>IF(COUNT(Y7,Y10,Y13,Y16,Y19,Y22)=0,"",SUM(Y7,Y10,Y13,Y16,Y19,Y22))</f>
        <v/>
      </c>
      <c r="Z4" s="12">
        <f>IF(COUNT(Z7,Z10,Z13,Z16,Z19,Z22)=0,"",SUM(Z7,Z10,Z13,Z16,Z19,Z22))</f>
        <v/>
      </c>
      <c r="AA4" s="12">
        <f>IF(COUNT(AA7,AA10,AA13,AA16,AA19,AA22)=0,"",SUM(AA7,AA10,AA13,AA16,AA19,AA22))</f>
        <v/>
      </c>
      <c r="AB4" s="12">
        <f>IF(COUNT(AB7,AB10,AB13,AB16,AB19,AB22)=0,"",SUM(AB7,AB10,AB13,AB16,AB19,AB22))</f>
        <v/>
      </c>
      <c r="AC4" s="12">
        <f>IF(COUNT(AC7,AC10,AC13,AC16,AC19,AC22)=0,"",SUM(AC7,AC10,AC13,AC16,AC19,AC22))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일본</t>
        </is>
      </c>
      <c r="B7" s="10" t="n"/>
      <c r="C7" s="19" t="n">
        <v>39252</v>
      </c>
      <c r="D7" s="20" t="n">
        <v>47021</v>
      </c>
      <c r="E7" s="20" t="n">
        <v>35396</v>
      </c>
      <c r="F7" s="20" t="n">
        <v>41955</v>
      </c>
      <c r="G7" s="20" t="n">
        <v>52835</v>
      </c>
      <c r="H7" s="20" t="n">
        <v>55776</v>
      </c>
      <c r="I7" s="20" t="n">
        <v>42751</v>
      </c>
      <c r="J7" s="20" t="n">
        <v>48300</v>
      </c>
      <c r="K7" s="20" t="n">
        <v>53735</v>
      </c>
      <c r="L7" s="20" t="n">
        <v>61007</v>
      </c>
      <c r="M7" s="20" t="n">
        <v>47392</v>
      </c>
      <c r="N7" s="20" t="n">
        <v>50339</v>
      </c>
      <c r="O7" s="19" t="n"/>
      <c r="P7" s="20" t="n"/>
      <c r="Q7" s="20" t="n"/>
      <c r="R7" s="20" t="n"/>
      <c r="S7" s="20" t="n"/>
      <c r="T7" s="20" t="n"/>
      <c r="U7" s="20" t="n"/>
      <c r="V7" s="20" t="n">
        <v>154192</v>
      </c>
      <c r="W7" s="20" t="n">
        <v>193317</v>
      </c>
      <c r="X7" s="20" t="n">
        <v>210434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아메리카</t>
        </is>
      </c>
      <c r="B10" s="10" t="n"/>
      <c r="C10" s="19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19" t="n"/>
      <c r="P10" s="20" t="n"/>
      <c r="Q10" s="20" t="n"/>
      <c r="R10" s="20" t="n"/>
      <c r="S10" s="20" t="n"/>
      <c r="T10" s="20" t="n"/>
      <c r="U10" s="20" t="n"/>
      <c r="V10" s="20" t="n">
        <v>30021</v>
      </c>
      <c r="W10" s="20" t="n">
        <v>31061</v>
      </c>
      <c r="X10" s="20" t="n">
        <v>30405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아메리카</t>
        </is>
      </c>
      <c r="B13" s="10" t="n"/>
      <c r="C13" s="19" t="n">
        <v>7655</v>
      </c>
      <c r="D13" s="20" t="n">
        <v>9781</v>
      </c>
      <c r="E13" s="20" t="n"/>
      <c r="F13" s="20" t="n">
        <v>6368</v>
      </c>
      <c r="G13" s="20" t="n">
        <v>7692</v>
      </c>
      <c r="H13" s="20" t="n">
        <v>10723</v>
      </c>
      <c r="I13" s="20" t="n"/>
      <c r="J13" s="20" t="n">
        <v>5457</v>
      </c>
      <c r="K13" s="20" t="n">
        <v>6908</v>
      </c>
      <c r="L13" s="20" t="n">
        <v>10620</v>
      </c>
      <c r="M13" s="20" t="n"/>
      <c r="N13" s="20" t="n">
        <v>5092</v>
      </c>
      <c r="O13" s="19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유럽</t>
        </is>
      </c>
      <c r="B16" s="10" t="n"/>
      <c r="C16" s="19" t="n">
        <v>2081</v>
      </c>
      <c r="D16" s="20" t="n">
        <v>2571</v>
      </c>
      <c r="E16" s="20" t="n">
        <v>1203</v>
      </c>
      <c r="F16" s="20" t="n">
        <v>931</v>
      </c>
      <c r="G16" s="20" t="n">
        <v>2068</v>
      </c>
      <c r="H16" s="20" t="n">
        <v>2808</v>
      </c>
      <c r="I16" s="20" t="n">
        <v>1343</v>
      </c>
      <c r="J16" s="20" t="n">
        <v>1010</v>
      </c>
      <c r="K16" s="20" t="n">
        <v>2350</v>
      </c>
      <c r="L16" s="20" t="n">
        <v>2864</v>
      </c>
      <c r="M16" s="20" t="n">
        <v>1552</v>
      </c>
      <c r="N16" s="20" t="n">
        <v>1462</v>
      </c>
      <c r="O16" s="19" t="n"/>
      <c r="P16" s="20" t="n"/>
      <c r="Q16" s="20" t="n"/>
      <c r="R16" s="20" t="n"/>
      <c r="S16" s="20" t="n"/>
      <c r="T16" s="20" t="n"/>
      <c r="U16" s="20" t="n"/>
      <c r="V16" s="20" t="n">
        <v>6620</v>
      </c>
      <c r="W16" s="20" t="n">
        <v>7150</v>
      </c>
      <c r="X16" s="20" t="n">
        <v>7776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오세아니아</t>
        </is>
      </c>
      <c r="B19" s="10" t="n"/>
      <c r="C19" s="19" t="n">
        <v>655</v>
      </c>
      <c r="D19" s="20" t="n">
        <v>723</v>
      </c>
      <c r="E19" s="20" t="n">
        <v>574</v>
      </c>
      <c r="F19" s="20" t="n">
        <v>603</v>
      </c>
      <c r="G19" s="20" t="n">
        <v>726</v>
      </c>
      <c r="H19" s="20" t="n">
        <v>913</v>
      </c>
      <c r="I19" s="20" t="n">
        <v>513</v>
      </c>
      <c r="J19" s="20" t="n">
        <v>518</v>
      </c>
      <c r="K19" s="20" t="n">
        <v>673</v>
      </c>
      <c r="L19" s="20" t="n">
        <v>999</v>
      </c>
      <c r="M19" s="20" t="n">
        <v>672</v>
      </c>
      <c r="N19" s="20" t="n">
        <v>727</v>
      </c>
      <c r="O19" s="19" t="n"/>
      <c r="P19" s="20" t="n"/>
      <c r="Q19" s="20" t="n"/>
      <c r="R19" s="20" t="n"/>
      <c r="S19" s="20" t="n"/>
      <c r="T19" s="20" t="n"/>
      <c r="U19" s="20" t="n"/>
      <c r="V19" s="20" t="n">
        <v>2545</v>
      </c>
      <c r="W19" s="20" t="n">
        <v>2755</v>
      </c>
      <c r="X19" s="20" t="n">
        <v>2862</v>
      </c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8" t="inlineStr">
        <is>
          <t>아시아</t>
        </is>
      </c>
      <c r="B22" s="10" t="n"/>
      <c r="C22" s="19" t="n">
        <v>3333</v>
      </c>
      <c r="D22" s="20" t="n">
        <v>4077</v>
      </c>
      <c r="E22" s="20" t="n">
        <v>4239</v>
      </c>
      <c r="F22" s="20" t="n">
        <v>3728</v>
      </c>
      <c r="G22" s="20" t="n">
        <v>3801</v>
      </c>
      <c r="H22" s="20" t="n">
        <v>4043</v>
      </c>
      <c r="I22" s="20" t="n">
        <v>4379</v>
      </c>
      <c r="J22" s="20" t="n">
        <v>4193</v>
      </c>
      <c r="K22" s="20" t="n">
        <v>4739</v>
      </c>
      <c r="L22" s="20" t="n">
        <v>5263</v>
      </c>
      <c r="M22" s="20" t="n">
        <v>4780</v>
      </c>
      <c r="N22" s="20" t="n">
        <v>6425</v>
      </c>
      <c r="O22" s="19" t="n"/>
      <c r="P22" s="20" t="n"/>
      <c r="Q22" s="20" t="n"/>
      <c r="R22" s="20" t="n"/>
      <c r="S22" s="20" t="n"/>
      <c r="T22" s="20" t="n"/>
      <c r="U22" s="20" t="n"/>
      <c r="V22" s="20" t="n">
        <v>14946</v>
      </c>
      <c r="W22" s="20" t="n">
        <v>15951</v>
      </c>
      <c r="X22" s="20" t="n">
        <v>18975</v>
      </c>
      <c r="Y22" s="21" t="n"/>
      <c r="Z22" s="22" t="n"/>
      <c r="AA22" s="22" t="n"/>
      <c r="AB22" s="22" t="n"/>
      <c r="AC22" s="22" t="n"/>
    </row>
    <row r="23">
      <c r="A23" s="13" t="inlineStr">
        <is>
          <t>비중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6" t="inlineStr">
        <is>
          <t>매출원가</t>
        </is>
      </c>
      <c r="B25" s="16" t="n"/>
      <c r="C25" s="17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7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7" t="n"/>
      <c r="Z25" s="16" t="n"/>
      <c r="AA25" s="16" t="n"/>
      <c r="AB25" s="16" t="n"/>
      <c r="AC25" s="16" t="n"/>
    </row>
    <row r="26">
      <c r="A26" s="18" t="inlineStr">
        <is>
          <t>전체 매출원가</t>
        </is>
      </c>
      <c r="B26" s="10" t="n"/>
      <c r="C26" s="19" t="n">
        <v>31915</v>
      </c>
      <c r="D26" s="20" t="n">
        <v>36217</v>
      </c>
      <c r="E26" s="20" t="n">
        <v>29125</v>
      </c>
      <c r="F26" s="20" t="n">
        <v>32721</v>
      </c>
      <c r="G26" s="20" t="n">
        <v>39564</v>
      </c>
      <c r="H26" s="20" t="n">
        <v>42667</v>
      </c>
      <c r="I26" s="20" t="n">
        <v>33934</v>
      </c>
      <c r="J26" s="20" t="n">
        <v>36122</v>
      </c>
      <c r="K26" s="20" t="n">
        <v>40529</v>
      </c>
      <c r="L26" s="20" t="n">
        <v>47062</v>
      </c>
      <c r="M26" s="20" t="n">
        <v>37830</v>
      </c>
      <c r="N26" s="20" t="n">
        <v>36946</v>
      </c>
      <c r="O26" s="19" t="n">
        <v>103924</v>
      </c>
      <c r="P26" s="20" t="n">
        <v>105148</v>
      </c>
      <c r="Q26" s="20" t="n">
        <v>103375</v>
      </c>
      <c r="R26" s="20" t="n">
        <v>98472</v>
      </c>
      <c r="S26" s="20" t="n">
        <v>85961</v>
      </c>
      <c r="T26" s="20" t="n">
        <v>98842</v>
      </c>
      <c r="U26" s="20" t="n">
        <v>114948</v>
      </c>
      <c r="V26" s="20" t="n">
        <v>123366</v>
      </c>
      <c r="W26" s="20" t="n">
        <v>148886</v>
      </c>
      <c r="X26" s="20" t="n">
        <v>161543</v>
      </c>
      <c r="Y26" s="19" t="n"/>
      <c r="Z26" s="20" t="n"/>
      <c r="AA26" s="20" t="n"/>
      <c r="AB26" s="20" t="n"/>
      <c r="AC26" s="20" t="n"/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IF(OR(G26="",C26=""),"",IF(C26&lt;=0,"",IFERROR(G26/C26-1,"")))</f>
        <v/>
      </c>
      <c r="H27" s="15">
        <f>IF(OR(H26="",D26=""),"",IF(D26&lt;=0,"",IFERROR(H26/D26-1,"")))</f>
        <v/>
      </c>
      <c r="I27" s="15">
        <f>IF(OR(I26="",E26=""),"",IF(E26&lt;=0,"",IFERROR(I26/E26-1,"")))</f>
        <v/>
      </c>
      <c r="J27" s="15">
        <f>IF(OR(J26="",F26=""),"",IF(F26&lt;=0,"",IFERROR(J26/F26-1,"")))</f>
        <v/>
      </c>
      <c r="K27" s="15">
        <f>IF(OR(K26="",G26=""),"",IF(G26&lt;=0,"",IFERROR(K26/G26-1,"")))</f>
        <v/>
      </c>
      <c r="L27" s="15">
        <f>IF(OR(L26="",H26=""),"",IF(H26&lt;=0,"",IFERROR(L26/H26-1,"")))</f>
        <v/>
      </c>
      <c r="M27" s="15">
        <f>IF(OR(M26="",I26=""),"",IF(I26&lt;=0,"",IFERROR(M26/I26-1,"")))</f>
        <v/>
      </c>
      <c r="N27" s="15">
        <f>IF(OR(N26="",J26=""),"",IF(J26&lt;=0,"",IFERROR(N26/J26-1,"")))</f>
        <v/>
      </c>
      <c r="O27" s="14" t="n"/>
      <c r="P27" s="15">
        <f>IF(OR(P26="",O26=""),"",IF(O26&lt;=0,"",IFERROR(P26/O26-1,"")))</f>
        <v/>
      </c>
      <c r="Q27" s="15">
        <f>IF(OR(Q26="",P26=""),"",IF(P26&lt;=0,"",IFERROR(Q26/P26-1,"")))</f>
        <v/>
      </c>
      <c r="R27" s="15">
        <f>IF(OR(R26="",Q26=""),"",IF(Q26&lt;=0,"",IFERROR(R26/Q26-1,"")))</f>
        <v/>
      </c>
      <c r="S27" s="15">
        <f>IF(OR(S26="",R26=""),"",IF(R26&lt;=0,"",IFERROR(S26/R26-1,"")))</f>
        <v/>
      </c>
      <c r="T27" s="15">
        <f>IF(OR(T26="",S26=""),"",IF(S26&lt;=0,"",IFERROR(T26/S26-1,"")))</f>
        <v/>
      </c>
      <c r="U27" s="15">
        <f>IF(OR(U26="",T26=""),"",IF(T26&lt;=0,"",IFERROR(U26/T26-1,"")))</f>
        <v/>
      </c>
      <c r="V27" s="15">
        <f>IF(OR(V26="",U26=""),"",IF(U26&lt;=0,"",IFERROR(V26/U26-1,"")))</f>
        <v/>
      </c>
      <c r="W27" s="15">
        <f>IF(OR(W26="",V26=""),"",IF(V26&lt;=0,"",IFERROR(W26/V26-1,"")))</f>
        <v/>
      </c>
      <c r="X27" s="15">
        <f>IF(OR(X26="",W26=""),"",IF(W26&lt;=0,"",IFERROR(X26/W26-1,"")))</f>
        <v/>
      </c>
      <c r="Y27" s="14">
        <f>IF(OR(Y26="",X26=""),"",IF(X26&lt;=0,"",IFERROR(Y26/X26-1,"")))</f>
        <v/>
      </c>
      <c r="Z27" s="15">
        <f>IF(OR(Z26="",Y26=""),"",IF(Y26&lt;=0,"",IFERROR(Z26/Y26-1,"")))</f>
        <v/>
      </c>
      <c r="AA27" s="15">
        <f>IF(OR(AA26="",Z26=""),"",IF(Z26&lt;=0,"",IFERROR(AA26/Z26-1,"")))</f>
        <v/>
      </c>
      <c r="AB27" s="15">
        <f>IF(OR(AB26="",AA26=""),"",IF(AA26&lt;=0,"",IFERROR(AB26/AA26-1,"")))</f>
        <v/>
      </c>
      <c r="AC27" s="15">
        <f>IF(OR(AC26="",AB26=""),"",IF(AB26&lt;=0,"",IFERROR(AC26/AB26-1,"")))</f>
        <v/>
      </c>
    </row>
    <row r="28">
      <c r="A28" s="18" t="inlineStr">
        <is>
          <t>매출총이익</t>
        </is>
      </c>
      <c r="B28" s="10" t="n"/>
      <c r="C28" s="19">
        <f>IF(OR(C4="",C26=""),"",IFERROR(C4-C26,""))</f>
        <v/>
      </c>
      <c r="D28" s="20">
        <f>IF(OR(D4="",D26=""),"",IFERROR(D4-D26,""))</f>
        <v/>
      </c>
      <c r="E28" s="20">
        <f>IF(OR(E4="",E26=""),"",IFERROR(E4-E26,""))</f>
        <v/>
      </c>
      <c r="F28" s="20">
        <f>IF(OR(F4="",F26=""),"",IFERROR(F4-F26,""))</f>
        <v/>
      </c>
      <c r="G28" s="20">
        <f>IF(OR(G4="",G26=""),"",IFERROR(G4-G26,""))</f>
        <v/>
      </c>
      <c r="H28" s="20">
        <f>IF(OR(H4="",H26=""),"",IFERROR(H4-H26,""))</f>
        <v/>
      </c>
      <c r="I28" s="20">
        <f>IF(OR(I4="",I26=""),"",IFERROR(I4-I26,""))</f>
        <v/>
      </c>
      <c r="J28" s="20">
        <f>IF(OR(J4="",J26=""),"",IFERROR(J4-J26,""))</f>
        <v/>
      </c>
      <c r="K28" s="20">
        <f>IF(OR(K4="",K26=""),"",IFERROR(K4-K26,""))</f>
        <v/>
      </c>
      <c r="L28" s="20">
        <f>IF(OR(L4="",L26=""),"",IFERROR(L4-L26,""))</f>
        <v/>
      </c>
      <c r="M28" s="20">
        <f>IF(OR(M4="",M26=""),"",IFERROR(M4-M26,""))</f>
        <v/>
      </c>
      <c r="N28" s="20">
        <f>IF(OR(N4="",N26=""),"",IFERROR(N4-N26,""))</f>
        <v/>
      </c>
      <c r="O28" s="19">
        <f>IF(OR(O4="",O26=""),"",IFERROR(O4-O26,""))</f>
        <v/>
      </c>
      <c r="P28" s="20">
        <f>IF(OR(P4="",P26=""),"",IFERROR(P4-P26,""))</f>
        <v/>
      </c>
      <c r="Q28" s="20">
        <f>IF(OR(Q4="",Q26=""),"",IFERROR(Q4-Q26,""))</f>
        <v/>
      </c>
      <c r="R28" s="20">
        <f>IF(OR(R4="",R26=""),"",IFERROR(R4-R26,""))</f>
        <v/>
      </c>
      <c r="S28" s="20">
        <f>IF(OR(S4="",S26=""),"",IFERROR(S4-S26,""))</f>
        <v/>
      </c>
      <c r="T28" s="20">
        <f>IF(OR(T4="",T26=""),"",IFERROR(T4-T26,""))</f>
        <v/>
      </c>
      <c r="U28" s="20">
        <f>IF(OR(U4="",U26=""),"",IFERROR(U4-U26,""))</f>
        <v/>
      </c>
      <c r="V28" s="20">
        <f>IF(OR(V4="",V26=""),"",IFERROR(V4-V26,""))</f>
        <v/>
      </c>
      <c r="W28" s="20">
        <f>IF(OR(W4="",W26=""),"",IFERROR(W4-W26,""))</f>
        <v/>
      </c>
      <c r="X28" s="20">
        <f>IF(OR(X4="",X26=""),"",IFERROR(X4-X26,""))</f>
        <v/>
      </c>
      <c r="Y28" s="19" t="n"/>
      <c r="Z28" s="20" t="n"/>
      <c r="AA28" s="20" t="n"/>
      <c r="AB28" s="20" t="n"/>
      <c r="AC28" s="20" t="n"/>
    </row>
    <row r="29">
      <c r="A29" s="13" t="inlineStr">
        <is>
          <t>GPM</t>
        </is>
      </c>
      <c r="B29" s="10" t="n"/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14">
        <f>IF(OR(Y28="",Y4=""),"",IFERROR(Y28/Y4,""))</f>
        <v/>
      </c>
      <c r="Z29" s="15">
        <f>IF(OR(Z28="",Z4=""),"",IFERROR(Z28/Z4,""))</f>
        <v/>
      </c>
      <c r="AA29" s="15">
        <f>IF(OR(AA28="",AA4=""),"",IFERROR(AA28/AA4,""))</f>
        <v/>
      </c>
      <c r="AB29" s="15">
        <f>IF(OR(AB28="",AB4=""),"",IFERROR(AB28/AB4,""))</f>
        <v/>
      </c>
      <c r="AC29" s="15">
        <f>IF(OR(AC28="",AC4=""),"",IFERROR(AC28/AC4,""))</f>
        <v/>
      </c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IF(OR(G28="",C28=""),"",IF(C28&lt;=0,"",IFERROR(G28/C28-1,"")))</f>
        <v/>
      </c>
      <c r="H30" s="15">
        <f>IF(OR(H28="",D28=""),"",IF(D28&lt;=0,"",IFERROR(H28/D28-1,"")))</f>
        <v/>
      </c>
      <c r="I30" s="15">
        <f>IF(OR(I28="",E28=""),"",IF(E28&lt;=0,"",IFERROR(I28/E28-1,"")))</f>
        <v/>
      </c>
      <c r="J30" s="15">
        <f>IF(OR(J28="",F28=""),"",IF(F28&lt;=0,"",IFERROR(J28/F28-1,"")))</f>
        <v/>
      </c>
      <c r="K30" s="15">
        <f>IF(OR(K28="",G28=""),"",IF(G28&lt;=0,"",IFERROR(K28/G28-1,"")))</f>
        <v/>
      </c>
      <c r="L30" s="15">
        <f>IF(OR(L28="",H28=""),"",IF(H28&lt;=0,"",IFERROR(L28/H28-1,"")))</f>
        <v/>
      </c>
      <c r="M30" s="15">
        <f>IF(OR(M28="",I28=""),"",IF(I28&lt;=0,"",IFERROR(M28/I28-1,"")))</f>
        <v/>
      </c>
      <c r="N30" s="15">
        <f>IF(OR(N28="",J28=""),"",IF(J28&lt;=0,"",IFERROR(N28/J28-1,"")))</f>
        <v/>
      </c>
      <c r="O30" s="14" t="n"/>
      <c r="P30" s="15">
        <f>IF(OR(P28="",O28=""),"",IF(O28&lt;=0,"",IFERROR(P28/O28-1,"")))</f>
        <v/>
      </c>
      <c r="Q30" s="15">
        <f>IF(OR(Q28="",P28=""),"",IF(P28&lt;=0,"",IFERROR(Q28/P28-1,"")))</f>
        <v/>
      </c>
      <c r="R30" s="15">
        <f>IF(OR(R28="",Q28=""),"",IF(Q28&lt;=0,"",IFERROR(R28/Q28-1,"")))</f>
        <v/>
      </c>
      <c r="S30" s="15">
        <f>IF(OR(S28="",R28=""),"",IF(R28&lt;=0,"",IFERROR(S28/R28-1,"")))</f>
        <v/>
      </c>
      <c r="T30" s="15">
        <f>IF(OR(T28="",S28=""),"",IF(S28&lt;=0,"",IFERROR(T28/S28-1,"")))</f>
        <v/>
      </c>
      <c r="U30" s="15">
        <f>IF(OR(U28="",T28=""),"",IF(T28&lt;=0,"",IFERROR(U28/T28-1,"")))</f>
        <v/>
      </c>
      <c r="V30" s="15">
        <f>IF(OR(V28="",U28=""),"",IF(U28&lt;=0,"",IFERROR(V28/U28-1,"")))</f>
        <v/>
      </c>
      <c r="W30" s="15">
        <f>IF(OR(W28="",V28=""),"",IF(V28&lt;=0,"",IFERROR(W28/V28-1,"")))</f>
        <v/>
      </c>
      <c r="X30" s="15">
        <f>IF(OR(X28="",W28=""),"",IF(W28&lt;=0,"",IFERROR(X28/W28-1,"")))</f>
        <v/>
      </c>
      <c r="Y30" s="14">
        <f>IF(OR(Y28="",X28=""),"",IF(X28&lt;=0,"",IFERROR(Y28/X28-1,"")))</f>
        <v/>
      </c>
      <c r="Z30" s="15">
        <f>IF(OR(Z28="",Y28=""),"",IF(Y28&lt;=0,"",IFERROR(Z28/Y28-1,"")))</f>
        <v/>
      </c>
      <c r="AA30" s="15">
        <f>IF(OR(AA28="",Z28=""),"",IF(Z28&lt;=0,"",IFERROR(AA28/Z28-1,"")))</f>
        <v/>
      </c>
      <c r="AB30" s="15">
        <f>IF(OR(AB28="",AA28=""),"",IF(AA28&lt;=0,"",IFERROR(AB28/AA28-1,"")))</f>
        <v/>
      </c>
      <c r="AC30" s="15">
        <f>IF(OR(AC28="",AB28=""),"",IF(AB28&lt;=0,"",IFERROR(AC28/AB28-1,"")))</f>
        <v/>
      </c>
    </row>
    <row r="31">
      <c r="A31" s="23" t="inlineStr">
        <is>
          <t>판매관리비</t>
        </is>
      </c>
      <c r="B31" s="23" t="n"/>
      <c r="C31" s="24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4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4" t="n"/>
      <c r="Z31" s="23" t="n"/>
      <c r="AA31" s="23" t="n"/>
      <c r="AB31" s="23" t="n"/>
      <c r="AC31" s="23" t="n"/>
    </row>
    <row r="32">
      <c r="A32" s="18" t="inlineStr">
        <is>
          <t>전체 판관비</t>
        </is>
      </c>
      <c r="B32" s="10" t="n"/>
      <c r="C32" s="19" t="n">
        <v>15553</v>
      </c>
      <c r="D32" s="20" t="n">
        <v>18703</v>
      </c>
      <c r="E32" s="20" t="n">
        <v>17399</v>
      </c>
      <c r="F32" s="20" t="n">
        <v>16707</v>
      </c>
      <c r="G32" s="20" t="n">
        <v>19355</v>
      </c>
      <c r="H32" s="20" t="n">
        <v>20872</v>
      </c>
      <c r="I32" s="20" t="n">
        <v>19544</v>
      </c>
      <c r="J32" s="20" t="n">
        <v>18760</v>
      </c>
      <c r="K32" s="20" t="n">
        <v>20742</v>
      </c>
      <c r="L32" s="20" t="n">
        <v>23827</v>
      </c>
      <c r="M32" s="20" t="n">
        <v>21337</v>
      </c>
      <c r="N32" s="20" t="n">
        <v>21588</v>
      </c>
      <c r="O32" s="19" t="n">
        <v>55992</v>
      </c>
      <c r="P32" s="20" t="n">
        <v>59018</v>
      </c>
      <c r="Q32" s="20" t="n">
        <v>59071</v>
      </c>
      <c r="R32" s="20" t="n">
        <v>55681</v>
      </c>
      <c r="S32" s="20" t="n">
        <v>48177</v>
      </c>
      <c r="T32" s="20" t="n">
        <v>54261</v>
      </c>
      <c r="U32" s="20" t="n">
        <v>59229</v>
      </c>
      <c r="V32" s="20" t="n">
        <v>66141</v>
      </c>
      <c r="W32" s="20" t="n">
        <v>76478</v>
      </c>
      <c r="X32" s="20" t="n">
        <v>84666</v>
      </c>
      <c r="Y32" s="19" t="n"/>
      <c r="Z32" s="20" t="n"/>
      <c r="AA32" s="20" t="n"/>
      <c r="AB32" s="20" t="n"/>
      <c r="AC32" s="20" t="n"/>
    </row>
    <row r="33">
      <c r="A33" s="13" t="inlineStr">
        <is>
          <t>YoY</t>
        </is>
      </c>
      <c r="B33" s="10" t="n"/>
      <c r="C33" s="14" t="n"/>
      <c r="D33" s="15" t="n"/>
      <c r="E33" s="15" t="n"/>
      <c r="F33" s="15" t="n"/>
      <c r="G33" s="15">
        <f>IF(OR(G32="",C32=""),"",IF(C32&lt;=0,"",IFERROR(G32/C32-1,"")))</f>
        <v/>
      </c>
      <c r="H33" s="15">
        <f>IF(OR(H32="",D32=""),"",IF(D32&lt;=0,"",IFERROR(H32/D32-1,"")))</f>
        <v/>
      </c>
      <c r="I33" s="15">
        <f>IF(OR(I32="",E32=""),"",IF(E32&lt;=0,"",IFERROR(I32/E32-1,"")))</f>
        <v/>
      </c>
      <c r="J33" s="15">
        <f>IF(OR(J32="",F32=""),"",IF(F32&lt;=0,"",IFERROR(J32/F32-1,"")))</f>
        <v/>
      </c>
      <c r="K33" s="15">
        <f>IF(OR(K32="",G32=""),"",IF(G32&lt;=0,"",IFERROR(K32/G32-1,"")))</f>
        <v/>
      </c>
      <c r="L33" s="15">
        <f>IF(OR(L32="",H32=""),"",IF(H32&lt;=0,"",IFERROR(L32/H32-1,"")))</f>
        <v/>
      </c>
      <c r="M33" s="15">
        <f>IF(OR(M32="",I32=""),"",IF(I32&lt;=0,"",IFERROR(M32/I32-1,"")))</f>
        <v/>
      </c>
      <c r="N33" s="15">
        <f>IF(OR(N32="",J32=""),"",IF(J32&lt;=0,"",IFERROR(N32/J32-1,"")))</f>
        <v/>
      </c>
      <c r="O33" s="14" t="n"/>
      <c r="P33" s="15">
        <f>IF(OR(P32="",O32=""),"",IF(O32&lt;=0,"",IFERROR(P32/O32-1,"")))</f>
        <v/>
      </c>
      <c r="Q33" s="15">
        <f>IF(OR(Q32="",P32=""),"",IF(P32&lt;=0,"",IFERROR(Q32/P32-1,"")))</f>
        <v/>
      </c>
      <c r="R33" s="15">
        <f>IF(OR(R32="",Q32=""),"",IF(Q32&lt;=0,"",IFERROR(R32/Q32-1,"")))</f>
        <v/>
      </c>
      <c r="S33" s="15">
        <f>IF(OR(S32="",R32=""),"",IF(R32&lt;=0,"",IFERROR(S32/R32-1,"")))</f>
        <v/>
      </c>
      <c r="T33" s="15">
        <f>IF(OR(T32="",S32=""),"",IF(S32&lt;=0,"",IFERROR(T32/S32-1,"")))</f>
        <v/>
      </c>
      <c r="U33" s="15">
        <f>IF(OR(U32="",T32=""),"",IF(T32&lt;=0,"",IFERROR(U32/T32-1,"")))</f>
        <v/>
      </c>
      <c r="V33" s="15">
        <f>IF(OR(V32="",U32=""),"",IF(U32&lt;=0,"",IFERROR(V32/U32-1,"")))</f>
        <v/>
      </c>
      <c r="W33" s="15">
        <f>IF(OR(W32="",V32=""),"",IF(V32&lt;=0,"",IFERROR(W32/V32-1,"")))</f>
        <v/>
      </c>
      <c r="X33" s="15">
        <f>IF(OR(X32="",W32=""),"",IF(W32&lt;=0,"",IFERROR(X32/W32-1,"")))</f>
        <v/>
      </c>
      <c r="Y33" s="14">
        <f>IF(OR(Y32="",X32=""),"",IF(X32&lt;=0,"",IFERROR(Y32/X32-1,"")))</f>
        <v/>
      </c>
      <c r="Z33" s="15">
        <f>IF(OR(Z32="",Y32=""),"",IF(Y32&lt;=0,"",IFERROR(Z32/Y32-1,"")))</f>
        <v/>
      </c>
      <c r="AA33" s="15">
        <f>IF(OR(AA32="",Z32=""),"",IF(Z32&lt;=0,"",IFERROR(AA32/Z32-1,"")))</f>
        <v/>
      </c>
      <c r="AB33" s="15">
        <f>IF(OR(AB32="",AA32=""),"",IF(AA32&lt;=0,"",IFERROR(AB32/AA32-1,"")))</f>
        <v/>
      </c>
      <c r="AC33" s="15">
        <f>IF(OR(AC32="",AB32=""),"",IF(AB32&lt;=0,"",IFERROR(AC32/AB32-1,"")))</f>
        <v/>
      </c>
    </row>
    <row r="34">
      <c r="A34" s="9" t="inlineStr">
        <is>
          <t>영업이익</t>
        </is>
      </c>
      <c r="B34" s="10" t="inlineStr">
        <is>
          <t>MW = 매출 × OPM</t>
        </is>
      </c>
      <c r="C34" s="11" t="n">
        <v>5507</v>
      </c>
      <c r="D34" s="12" t="n">
        <v>9254</v>
      </c>
      <c r="E34" s="12" t="n">
        <v>1551</v>
      </c>
      <c r="F34" s="12" t="n">
        <v>4157</v>
      </c>
      <c r="G34" s="12" t="n">
        <v>8204</v>
      </c>
      <c r="H34" s="12" t="n">
        <v>10723</v>
      </c>
      <c r="I34" s="12" t="n">
        <v>1786</v>
      </c>
      <c r="J34" s="12" t="n">
        <v>4597</v>
      </c>
      <c r="K34" s="12" t="n">
        <v>7133</v>
      </c>
      <c r="L34" s="12" t="n">
        <v>9865</v>
      </c>
      <c r="M34" s="12" t="n">
        <v>2651</v>
      </c>
      <c r="N34" s="12" t="n">
        <v>5512</v>
      </c>
      <c r="O34" s="11" t="n">
        <v>7744</v>
      </c>
      <c r="P34" s="12" t="n">
        <v>13199</v>
      </c>
      <c r="Q34" s="12" t="n">
        <v>14407</v>
      </c>
      <c r="R34" s="12" t="n">
        <v>10683</v>
      </c>
      <c r="S34" s="12" t="n">
        <v>7079</v>
      </c>
      <c r="T34" s="12" t="n">
        <v>12344</v>
      </c>
      <c r="U34" s="12" t="n">
        <v>13119</v>
      </c>
      <c r="V34" s="12" t="n">
        <v>18818</v>
      </c>
      <c r="W34" s="12" t="n">
        <v>24870</v>
      </c>
      <c r="X34" s="12" t="n">
        <v>24246</v>
      </c>
      <c r="Y34" s="11">
        <f>IF(OR(Y4="",Y35=""),"",IFERROR(Y4*Y35,""))</f>
        <v/>
      </c>
      <c r="Z34" s="12">
        <f>IF(OR(Z4="",Z35=""),"",IFERROR(Z4*Z35,""))</f>
        <v/>
      </c>
      <c r="AA34" s="12">
        <f>IF(OR(AA4="",AA35=""),"",IFERROR(AA4*AA35,""))</f>
        <v/>
      </c>
      <c r="AB34" s="12">
        <f>IF(OR(AB4="",AB35=""),"",IFERROR(AB4*AB35,""))</f>
        <v/>
      </c>
      <c r="AC34" s="12">
        <f>IF(OR(AC4="",AC35=""),"",IFERROR(AC4*AC35,""))</f>
        <v/>
      </c>
    </row>
    <row r="35">
      <c r="A35" s="13" t="inlineStr">
        <is>
          <t>OPM</t>
        </is>
      </c>
      <c r="B35" s="10" t="inlineStr">
        <is>
          <t>MW 입력</t>
        </is>
      </c>
      <c r="C35" s="14">
        <f>IF(OR(C34="",C4=""),"",IFERROR(C34/C4,""))</f>
        <v/>
      </c>
      <c r="D35" s="15">
        <f>IF(OR(D34="",D4=""),"",IFERROR(D34/D4,""))</f>
        <v/>
      </c>
      <c r="E35" s="15">
        <f>IF(OR(E34="",E4=""),"",IFERROR(E34/E4,""))</f>
        <v/>
      </c>
      <c r="F35" s="15">
        <f>IF(OR(F34="",F4=""),"",IFERROR(F34/F4,""))</f>
        <v/>
      </c>
      <c r="G35" s="15">
        <f>IF(OR(G34="",G4=""),"",IFERROR(G34/G4,""))</f>
        <v/>
      </c>
      <c r="H35" s="15">
        <f>IF(OR(H34="",H4=""),"",IFERROR(H34/H4,""))</f>
        <v/>
      </c>
      <c r="I35" s="15">
        <f>IF(OR(I34="",I4=""),"",IFERROR(I34/I4,""))</f>
        <v/>
      </c>
      <c r="J35" s="15">
        <f>IF(OR(J34="",J4=""),"",IFERROR(J34/J4,""))</f>
        <v/>
      </c>
      <c r="K35" s="15">
        <f>IF(OR(K34="",K4=""),"",IFERROR(K34/K4,""))</f>
        <v/>
      </c>
      <c r="L35" s="15">
        <f>IF(OR(L34="",L4=""),"",IFERROR(L34/L4,""))</f>
        <v/>
      </c>
      <c r="M35" s="15">
        <f>IF(OR(M34="",M4=""),"",IFERROR(M34/M4,""))</f>
        <v/>
      </c>
      <c r="N35" s="15">
        <f>IF(OR(N34="",N4=""),"",IFERROR(N34/N4,""))</f>
        <v/>
      </c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25" t="n"/>
      <c r="Z35" s="26" t="n"/>
      <c r="AA35" s="26" t="n"/>
      <c r="AB35" s="26" t="n"/>
      <c r="AC35" s="26" t="n"/>
    </row>
    <row r="36">
      <c r="A36" s="13" t="inlineStr">
        <is>
          <t>증가율</t>
        </is>
      </c>
      <c r="B36" s="10" t="n"/>
      <c r="C36" s="14" t="n"/>
      <c r="D36" s="15" t="n"/>
      <c r="E36" s="15" t="n"/>
      <c r="F36" s="15" t="n"/>
      <c r="G36" s="15">
        <f>IF(OR(G34="",C34=""),"",IFERROR(G34/C34-1,""))</f>
        <v/>
      </c>
      <c r="H36" s="15">
        <f>IF(OR(H34="",D34=""),"",IFERROR(H34/D34-1,""))</f>
        <v/>
      </c>
      <c r="I36" s="15">
        <f>IF(OR(I34="",E34=""),"",IFERROR(I34/E34-1,""))</f>
        <v/>
      </c>
      <c r="J36" s="15">
        <f>IF(OR(J34="",F34=""),"",IFERROR(J34/F34-1,""))</f>
        <v/>
      </c>
      <c r="K36" s="15">
        <f>IF(OR(K34="",G34=""),"",IFERROR(K34/G34-1,""))</f>
        <v/>
      </c>
      <c r="L36" s="15">
        <f>IF(OR(L34="",H34=""),"",IFERROR(L34/H34-1,""))</f>
        <v/>
      </c>
      <c r="M36" s="15">
        <f>IF(OR(M34="",I34=""),"",IFERROR(M34/I34-1,""))</f>
        <v/>
      </c>
      <c r="N36" s="15">
        <f>IF(OR(N34="",J34=""),"",IFERROR(N34/J34-1,""))</f>
        <v/>
      </c>
      <c r="O36" s="14" t="n"/>
      <c r="P36" s="15">
        <f>IF(OR(P34="",O34=""),"",IFERROR(P34/O34-1,""))</f>
        <v/>
      </c>
      <c r="Q36" s="15">
        <f>IF(OR(Q34="",P34=""),"",IFERROR(Q34/P34-1,""))</f>
        <v/>
      </c>
      <c r="R36" s="15">
        <f>IF(OR(R34="",Q34=""),"",IFERROR(R34/Q34-1,""))</f>
        <v/>
      </c>
      <c r="S36" s="15">
        <f>IF(OR(S34="",R34=""),"",IFERROR(S34/R34-1,""))</f>
        <v/>
      </c>
      <c r="T36" s="15">
        <f>IF(OR(T34="",S34=""),"",IFERROR(T34/S34-1,""))</f>
        <v/>
      </c>
      <c r="U36" s="15">
        <f>IF(OR(U34="",T34=""),"",IFERROR(U34/T34-1,""))</f>
        <v/>
      </c>
      <c r="V36" s="15">
        <f>IF(OR(V34="",U34=""),"",IFERROR(V34/U34-1,""))</f>
        <v/>
      </c>
      <c r="W36" s="15">
        <f>IF(OR(W34="",V34=""),"",IFERROR(W34/V34-1,""))</f>
        <v/>
      </c>
      <c r="X36" s="15">
        <f>IF(OR(X34="",W34=""),"",IFERROR(X34/W34-1,""))</f>
        <v/>
      </c>
      <c r="Y36" s="14">
        <f>IF(OR(Y34="",X34=""),"",IFERROR(Y34/X34-1,""))</f>
        <v/>
      </c>
      <c r="Z36" s="15">
        <f>IF(OR(Z34="",Y34=""),"",IFERROR(Z34/Y34-1,""))</f>
        <v/>
      </c>
      <c r="AA36" s="15">
        <f>IF(OR(AA34="",Z34=""),"",IFERROR(AA34/Z34-1,""))</f>
        <v/>
      </c>
      <c r="AB36" s="15">
        <f>IF(OR(AB34="",AA34=""),"",IFERROR(AB34/AA34-1,""))</f>
        <v/>
      </c>
      <c r="AC36" s="15">
        <f>IF(OR(AC34="",AB34=""),"",IFERROR(AC34/AB34-1,""))</f>
        <v/>
      </c>
    </row>
    <row r="37">
      <c r="A37" s="16" t="inlineStr">
        <is>
          <t>비용의 성격별 분류</t>
        </is>
      </c>
      <c r="B37" s="16" t="inlineStr">
        <is>
          <t>참고 데이터</t>
        </is>
      </c>
      <c r="C37" s="17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7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7" t="n"/>
      <c r="Z37" s="16" t="n"/>
      <c r="AA37" s="16" t="n"/>
      <c r="AB37" s="16" t="n"/>
      <c r="AC37" s="16" t="n"/>
    </row>
    <row r="38">
      <c r="A38" s="9" t="inlineStr">
        <is>
          <t>총 판관비</t>
        </is>
      </c>
      <c r="B38" s="10" t="n"/>
      <c r="C38" s="11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1">
        <f>IF(O32="","",O32)</f>
        <v/>
      </c>
      <c r="P38" s="12">
        <f>IF(P32="","",P32)</f>
        <v/>
      </c>
      <c r="Q38" s="12">
        <f>IF(Q32="","",Q32)</f>
        <v/>
      </c>
      <c r="R38" s="12">
        <f>IF(R32="","",R32)</f>
        <v/>
      </c>
      <c r="S38" s="12">
        <f>IF(S32="","",S32)</f>
        <v/>
      </c>
      <c r="T38" s="12">
        <f>IF(T32="","",T32)</f>
        <v/>
      </c>
      <c r="U38" s="12">
        <f>IF(U32="","",U32)</f>
        <v/>
      </c>
      <c r="V38" s="12">
        <f>IF(V32="","",V32)</f>
        <v/>
      </c>
      <c r="W38" s="12">
        <f>IF(W32="","",W32)</f>
        <v/>
      </c>
      <c r="X38" s="12">
        <f>IF(X32="","",X32)</f>
        <v/>
      </c>
      <c r="Y38" s="11" t="n"/>
      <c r="Z38" s="12" t="n"/>
      <c r="AA38" s="12" t="n"/>
      <c r="AB38" s="12" t="n"/>
      <c r="AC38" s="12" t="n"/>
    </row>
    <row r="39">
      <c r="A39" s="18" t="inlineStr">
        <is>
          <t>급여</t>
        </is>
      </c>
      <c r="B39" s="10" t="inlineStr">
        <is>
          <t>고정비</t>
        </is>
      </c>
      <c r="C39" s="19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19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19" t="n"/>
      <c r="Z39" s="20" t="n"/>
      <c r="AA39" s="20" t="n"/>
      <c r="AB39" s="20" t="n"/>
      <c r="AC39" s="20" t="n"/>
    </row>
    <row r="40">
      <c r="A40" s="13" t="inlineStr">
        <is>
          <t>% of Sales</t>
        </is>
      </c>
      <c r="B40" s="10" t="n"/>
      <c r="C40" s="14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4">
        <f>IF(OR(O39="",O4=""),"",IFERROR(O39/O4,""))</f>
        <v/>
      </c>
      <c r="P40" s="15">
        <f>IF(OR(P39="",P4=""),"",IFERROR(P39/P4,""))</f>
        <v/>
      </c>
      <c r="Q40" s="15">
        <f>IF(OR(Q39="",Q4=""),"",IFERROR(Q39/Q4,""))</f>
        <v/>
      </c>
      <c r="R40" s="15">
        <f>IF(OR(R39="",R4=""),"",IFERROR(R39/R4,""))</f>
        <v/>
      </c>
      <c r="S40" s="15">
        <f>IF(OR(S39="",S4=""),"",IFERROR(S39/S4,""))</f>
        <v/>
      </c>
      <c r="T40" s="15">
        <f>IF(OR(T39="",T4=""),"",IFERROR(T39/T4,""))</f>
        <v/>
      </c>
      <c r="U40" s="15">
        <f>IF(OR(U39="",U4=""),"",IFERROR(U39/U4,""))</f>
        <v/>
      </c>
      <c r="V40" s="15">
        <f>IF(OR(V39="",V4=""),"",IFERROR(V39/V4,""))</f>
        <v/>
      </c>
      <c r="W40" s="15">
        <f>IF(OR(W39="",W4=""),"",IFERROR(W39/W4,""))</f>
        <v/>
      </c>
      <c r="X40" s="15">
        <f>IF(OR(X39="",X4=""),"",IFERROR(X39/X4,""))</f>
        <v/>
      </c>
      <c r="Y40" s="14" t="n"/>
      <c r="Z40" s="15" t="n"/>
      <c r="AA40" s="15" t="n"/>
      <c r="AB40" s="15" t="n"/>
      <c r="AC40" s="15" t="n"/>
    </row>
    <row r="41">
      <c r="A41" s="18" t="inlineStr">
        <is>
          <t>감가상각비</t>
        </is>
      </c>
      <c r="B41" s="10" t="inlineStr">
        <is>
          <t>고정비</t>
        </is>
      </c>
      <c r="C41" s="19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19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19" t="n"/>
      <c r="Z41" s="20" t="n"/>
      <c r="AA41" s="20" t="n"/>
      <c r="AB41" s="20" t="n"/>
      <c r="AC41" s="20" t="n"/>
    </row>
    <row r="42">
      <c r="A42" s="13" t="inlineStr">
        <is>
          <t>% of Sales</t>
        </is>
      </c>
      <c r="B42" s="10" t="n"/>
      <c r="C42" s="14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14" t="n"/>
      <c r="Z42" s="15" t="n"/>
      <c r="AA42" s="15" t="n"/>
      <c r="AB42" s="15" t="n"/>
      <c r="AC42" s="15" t="n"/>
    </row>
    <row r="43">
      <c r="A43" s="18" t="inlineStr">
        <is>
          <t>지급수수료</t>
        </is>
      </c>
      <c r="B43" s="10" t="inlineStr">
        <is>
          <t>고정비</t>
        </is>
      </c>
      <c r="C43" s="19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19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19" t="n"/>
      <c r="Z43" s="20" t="n"/>
      <c r="AA43" s="20" t="n"/>
      <c r="AB43" s="20" t="n"/>
      <c r="AC43" s="20" t="n"/>
    </row>
    <row r="44">
      <c r="A44" s="13" t="inlineStr">
        <is>
          <t>% of Sales</t>
        </is>
      </c>
      <c r="B44" s="10" t="n"/>
      <c r="C44" s="14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14" t="n"/>
      <c r="Z44" s="15" t="n"/>
      <c r="AA44" s="15" t="n"/>
      <c r="AB44" s="15" t="n"/>
      <c r="AC44" s="15" t="n"/>
    </row>
    <row r="45">
      <c r="A45" s="18" t="inlineStr">
        <is>
          <t>연구개발비</t>
        </is>
      </c>
      <c r="B45" s="10" t="inlineStr">
        <is>
          <t>변동비</t>
        </is>
      </c>
      <c r="C45" s="19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19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19" t="n"/>
      <c r="Z45" s="20" t="n"/>
      <c r="AA45" s="20" t="n"/>
      <c r="AB45" s="20" t="n"/>
      <c r="AC45" s="20" t="n"/>
    </row>
    <row r="46">
      <c r="A46" s="13" t="inlineStr">
        <is>
          <t>% of Sales</t>
        </is>
      </c>
      <c r="B46" s="10" t="n"/>
      <c r="C46" s="14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14" t="n"/>
      <c r="Z46" s="15" t="n"/>
      <c r="AA46" s="15" t="n"/>
      <c r="AB46" s="15" t="n"/>
      <c r="AC46" s="15" t="n"/>
    </row>
    <row r="47">
      <c r="A47" s="18" t="inlineStr">
        <is>
          <t>기타비용</t>
        </is>
      </c>
      <c r="B47" s="10" t="inlineStr">
        <is>
          <t>변동비</t>
        </is>
      </c>
      <c r="C47" s="19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19">
        <f>IF(OR(O38="",O39="",O41="",O43="",O45=""),"",IFERROR(O38-O39-O41-O43-O45,""))</f>
        <v/>
      </c>
      <c r="P47" s="20">
        <f>IF(OR(P38="",P39="",P41="",P43="",P45=""),"",IFERROR(P38-P39-P41-P43-P45,""))</f>
        <v/>
      </c>
      <c r="Q47" s="20">
        <f>IF(OR(Q38="",Q39="",Q41="",Q43="",Q45=""),"",IFERROR(Q38-Q39-Q41-Q43-Q45,""))</f>
        <v/>
      </c>
      <c r="R47" s="20">
        <f>IF(OR(R38="",R39="",R41="",R43="",R45=""),"",IFERROR(R38-R39-R41-R43-R45,""))</f>
        <v/>
      </c>
      <c r="S47" s="20">
        <f>IF(OR(S38="",S39="",S41="",S43="",S45=""),"",IFERROR(S38-S39-S41-S43-S45,""))</f>
        <v/>
      </c>
      <c r="T47" s="20">
        <f>IF(OR(T38="",T39="",T41="",T43="",T45=""),"",IFERROR(T38-T39-T41-T43-T45,""))</f>
        <v/>
      </c>
      <c r="U47" s="20">
        <f>IF(OR(U38="",U39="",U41="",U43="",U45=""),"",IFERROR(U38-U39-U41-U43-U45,""))</f>
        <v/>
      </c>
      <c r="V47" s="20">
        <f>IF(OR(V38="",V39="",V41="",V43="",V45=""),"",IFERROR(V38-V39-V41-V43-V45,""))</f>
        <v/>
      </c>
      <c r="W47" s="20">
        <f>IF(OR(W38="",W39="",W41="",W43="",W45=""),"",IFERROR(W38-W39-W41-W43-W45,""))</f>
        <v/>
      </c>
      <c r="X47" s="20">
        <f>IF(OR(X38="",X39="",X41="",X43="",X45=""),"",IFERROR(X38-X39-X41-X43-X45,""))</f>
        <v/>
      </c>
      <c r="Y47" s="19" t="n"/>
      <c r="Z47" s="20" t="n"/>
      <c r="AA47" s="20" t="n"/>
      <c r="AB47" s="20" t="n"/>
      <c r="AC47" s="20" t="n"/>
    </row>
    <row r="48">
      <c r="A48" s="13" t="inlineStr">
        <is>
          <t>% of Sales</t>
        </is>
      </c>
      <c r="B48" s="10" t="n"/>
      <c r="C48" s="14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14" t="n"/>
      <c r="Z48" s="15" t="n"/>
      <c r="AA48" s="15" t="n"/>
      <c r="AB48" s="15" t="n"/>
      <c r="AC48" s="15" t="n"/>
    </row>
    <row r="49">
      <c r="A49" s="16" t="inlineStr">
        <is>
          <t>당기순이익 추정</t>
        </is>
      </c>
      <c r="B49" s="16" t="n"/>
      <c r="C49" s="17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7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7" t="n"/>
      <c r="Z49" s="16" t="n"/>
      <c r="AA49" s="16" t="n"/>
      <c r="AB49" s="16" t="n"/>
      <c r="AC49" s="16" t="n"/>
    </row>
    <row r="50">
      <c r="A50" s="18" t="inlineStr">
        <is>
          <t>특별이익</t>
        </is>
      </c>
      <c r="B50" s="10" t="n"/>
      <c r="C50" s="19" t="n">
        <v>18</v>
      </c>
      <c r="D50" s="20" t="n">
        <v>1</v>
      </c>
      <c r="E50" s="20" t="n">
        <v>1</v>
      </c>
      <c r="F50" s="20" t="n">
        <v>0</v>
      </c>
      <c r="G50" s="20" t="n">
        <v>3</v>
      </c>
      <c r="H50" s="20" t="n">
        <v>1</v>
      </c>
      <c r="I50" s="20" t="n">
        <v>19</v>
      </c>
      <c r="J50" s="20" t="n">
        <v>1</v>
      </c>
      <c r="K50" s="20" t="n">
        <v>0</v>
      </c>
      <c r="L50" s="20" t="n">
        <v>2</v>
      </c>
      <c r="M50" s="20" t="n">
        <v>2</v>
      </c>
      <c r="N50" s="20" t="n">
        <v>0</v>
      </c>
      <c r="O50" s="19" t="n">
        <v>103</v>
      </c>
      <c r="P50" s="20" t="n">
        <v>239</v>
      </c>
      <c r="Q50" s="20" t="n">
        <v>424</v>
      </c>
      <c r="R50" s="20" t="n">
        <v>214</v>
      </c>
      <c r="S50" s="20" t="n">
        <v>1619</v>
      </c>
      <c r="T50" s="20" t="n">
        <v>2175</v>
      </c>
      <c r="U50" s="20" t="n">
        <v>61</v>
      </c>
      <c r="V50" s="20" t="n">
        <v>22</v>
      </c>
      <c r="W50" s="20" t="n">
        <v>23</v>
      </c>
      <c r="X50" s="20" t="n">
        <v>5</v>
      </c>
      <c r="Y50" s="19">
        <f>IF(OR(Y4="",Y51=""),"",IFERROR(Y4*Y51,""))</f>
        <v/>
      </c>
      <c r="Z50" s="20">
        <f>IF(OR(Z4="",Z51=""),"",IFERROR(Z4*Z51,""))</f>
        <v/>
      </c>
      <c r="AA50" s="20">
        <f>IF(OR(AA4="",AA51=""),"",IFERROR(AA4*AA51,""))</f>
        <v/>
      </c>
      <c r="AB50" s="20">
        <f>IF(OR(AB4="",AB51=""),"",IFERROR(AB4*AB51,""))</f>
        <v/>
      </c>
      <c r="AC50" s="20">
        <f>IF(OR(AC4="",AC51=""),"",IFERROR(AC4*AC51,""))</f>
        <v/>
      </c>
    </row>
    <row r="51">
      <c r="A51" s="13" t="inlineStr">
        <is>
          <t>% of Sales</t>
        </is>
      </c>
      <c r="B51" s="10" t="inlineStr">
        <is>
          <t>MW = 최근 3년 평균</t>
        </is>
      </c>
      <c r="C51" s="14">
        <f>IF(OR(C50="",C4=""),"",IFERROR(C50/C4,""))</f>
        <v/>
      </c>
      <c r="D51" s="15">
        <f>IF(OR(D50="",D4=""),"",IFERROR(D50/D4,""))</f>
        <v/>
      </c>
      <c r="E51" s="15">
        <f>IF(OR(E50="",E4=""),"",IFERROR(E50/E4,""))</f>
        <v/>
      </c>
      <c r="F51" s="15">
        <f>IF(OR(F50="",F4=""),"",IFERROR(F50/F4,""))</f>
        <v/>
      </c>
      <c r="G51" s="15">
        <f>IF(OR(G50="",G4=""),"",IFERROR(G50/G4,""))</f>
        <v/>
      </c>
      <c r="H51" s="15">
        <f>IF(OR(H50="",H4=""),"",IFERROR(H50/H4,""))</f>
        <v/>
      </c>
      <c r="I51" s="15">
        <f>IF(OR(I50="",I4=""),"",IFERROR(I50/I4,""))</f>
        <v/>
      </c>
      <c r="J51" s="15">
        <f>IF(OR(J50="",J4=""),"",IFERROR(J50/J4,""))</f>
        <v/>
      </c>
      <c r="K51" s="15">
        <f>IF(OR(K50="",K4=""),"",IFERROR(K50/K4,""))</f>
        <v/>
      </c>
      <c r="L51" s="15">
        <f>IF(OR(L50="",L4=""),"",IFERROR(L50/L4,""))</f>
        <v/>
      </c>
      <c r="M51" s="15">
        <f>IF(OR(M50="",M4=""),"",IFERROR(M50/M4,""))</f>
        <v/>
      </c>
      <c r="N51" s="15">
        <f>IF(OR(N50="",N4=""),"",IFERROR(N50/N4,""))</f>
        <v/>
      </c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25">
        <f>IFERROR(AVERAGE(V51,W51,X51),"")</f>
        <v/>
      </c>
      <c r="Z51" s="26">
        <f>Y51</f>
        <v/>
      </c>
      <c r="AA51" s="26">
        <f>Z51</f>
        <v/>
      </c>
      <c r="AB51" s="26">
        <f>AA51</f>
        <v/>
      </c>
      <c r="AC51" s="26">
        <f>AB51</f>
        <v/>
      </c>
    </row>
    <row r="52">
      <c r="A52" s="18" t="inlineStr">
        <is>
          <t>특별손실</t>
        </is>
      </c>
      <c r="B52" s="10" t="n"/>
      <c r="C52" s="19" t="n">
        <v>1</v>
      </c>
      <c r="D52" s="20" t="n">
        <v>2855</v>
      </c>
      <c r="E52" s="20" t="n">
        <v>98</v>
      </c>
      <c r="F52" s="20" t="n">
        <v>10</v>
      </c>
      <c r="G52" s="20" t="n">
        <v>2</v>
      </c>
      <c r="H52" s="20" t="n">
        <v>16</v>
      </c>
      <c r="I52" s="20" t="n">
        <v>224</v>
      </c>
      <c r="J52" s="20" t="n">
        <v>60</v>
      </c>
      <c r="K52" s="20" t="n">
        <v>450</v>
      </c>
      <c r="L52" s="20" t="n">
        <v>4887</v>
      </c>
      <c r="M52" s="20" t="n">
        <v>54</v>
      </c>
      <c r="N52" s="20" t="n">
        <v>3</v>
      </c>
      <c r="O52" s="19" t="n">
        <v>799</v>
      </c>
      <c r="P52" s="20" t="n">
        <v>2692</v>
      </c>
      <c r="Q52" s="20" t="n">
        <v>943</v>
      </c>
      <c r="R52" s="20" t="n">
        <v>2816</v>
      </c>
      <c r="S52" s="20" t="n">
        <v>1327</v>
      </c>
      <c r="T52" s="20" t="n">
        <v>1070</v>
      </c>
      <c r="U52" s="20" t="n">
        <v>462</v>
      </c>
      <c r="V52" s="20" t="n">
        <v>2960</v>
      </c>
      <c r="W52" s="20" t="n">
        <v>252</v>
      </c>
      <c r="X52" s="20" t="n">
        <v>5451</v>
      </c>
      <c r="Y52" s="19">
        <f>IF(OR(Y4="",Y53=""),"",IFERROR(Y4*Y53,""))</f>
        <v/>
      </c>
      <c r="Z52" s="20">
        <f>IF(OR(Z4="",Z53=""),"",IFERROR(Z4*Z53,""))</f>
        <v/>
      </c>
      <c r="AA52" s="20">
        <f>IF(OR(AA4="",AA53=""),"",IFERROR(AA4*AA53,""))</f>
        <v/>
      </c>
      <c r="AB52" s="20">
        <f>IF(OR(AB4="",AB53=""),"",IFERROR(AB4*AB53,""))</f>
        <v/>
      </c>
      <c r="AC52" s="20">
        <f>IF(OR(AC4="",AC53=""),"",IFERROR(AC4*AC53,""))</f>
        <v/>
      </c>
    </row>
    <row r="53">
      <c r="A53" s="13" t="inlineStr">
        <is>
          <t>% of Sales</t>
        </is>
      </c>
      <c r="B53" s="10" t="n"/>
      <c r="C53" s="14">
        <f>IF(OR(C52="",C4=""),"",IFERROR(C52/C4,""))</f>
        <v/>
      </c>
      <c r="D53" s="15">
        <f>IF(OR(D52="",D4=""),"",IFERROR(D52/D4,""))</f>
        <v/>
      </c>
      <c r="E53" s="15">
        <f>IF(OR(E52="",E4=""),"",IFERROR(E52/E4,""))</f>
        <v/>
      </c>
      <c r="F53" s="15">
        <f>IF(OR(F52="",F4=""),"",IFERROR(F52/F4,""))</f>
        <v/>
      </c>
      <c r="G53" s="15">
        <f>IF(OR(G52="",G4=""),"",IFERROR(G52/G4,""))</f>
        <v/>
      </c>
      <c r="H53" s="15">
        <f>IF(OR(H52="",H4=""),"",IFERROR(H52/H4,""))</f>
        <v/>
      </c>
      <c r="I53" s="15">
        <f>IF(OR(I52="",I4=""),"",IFERROR(I52/I4,""))</f>
        <v/>
      </c>
      <c r="J53" s="15">
        <f>IF(OR(J52="",J4=""),"",IFERROR(J52/J4,""))</f>
        <v/>
      </c>
      <c r="K53" s="15">
        <f>IF(OR(K52="",K4=""),"",IFERROR(K52/K4,""))</f>
        <v/>
      </c>
      <c r="L53" s="15">
        <f>IF(OR(L52="",L4=""),"",IFERROR(L52/L4,""))</f>
        <v/>
      </c>
      <c r="M53" s="15">
        <f>IF(OR(M52="",M4=""),"",IFERROR(M52/M4,""))</f>
        <v/>
      </c>
      <c r="N53" s="15">
        <f>IF(OR(N52="",N4=""),"",IFERROR(N52/N4,""))</f>
        <v/>
      </c>
      <c r="O53" s="14">
        <f>IF(OR(O52="",O4=""),"",IFERROR(O52/O4,""))</f>
        <v/>
      </c>
      <c r="P53" s="15">
        <f>IF(OR(P52="",P4=""),"",IFERROR(P52/P4,""))</f>
        <v/>
      </c>
      <c r="Q53" s="15">
        <f>IF(OR(Q52="",Q4=""),"",IFERROR(Q52/Q4,""))</f>
        <v/>
      </c>
      <c r="R53" s="15">
        <f>IF(OR(R52="",R4=""),"",IFERROR(R52/R4,""))</f>
        <v/>
      </c>
      <c r="S53" s="15">
        <f>IF(OR(S52="",S4=""),"",IFERROR(S52/S4,""))</f>
        <v/>
      </c>
      <c r="T53" s="15">
        <f>IF(OR(T52="",T4=""),"",IFERROR(T52/T4,""))</f>
        <v/>
      </c>
      <c r="U53" s="15">
        <f>IF(OR(U52="",U4=""),"",IFERROR(U52/U4,""))</f>
        <v/>
      </c>
      <c r="V53" s="15">
        <f>IF(OR(V52="",V4=""),"",IFERROR(V52/V4,""))</f>
        <v/>
      </c>
      <c r="W53" s="15">
        <f>IF(OR(W52="",W4=""),"",IFERROR(W52/W4,""))</f>
        <v/>
      </c>
      <c r="X53" s="15">
        <f>IF(OR(X52="",X4=""),"",IFERROR(X52/X4,""))</f>
        <v/>
      </c>
      <c r="Y53" s="25">
        <f>IFERROR(AVERAGE(V53,W53,X53),"")</f>
        <v/>
      </c>
      <c r="Z53" s="26">
        <f>Y53</f>
        <v/>
      </c>
      <c r="AA53" s="26">
        <f>Z53</f>
        <v/>
      </c>
      <c r="AB53" s="26">
        <f>AA53</f>
        <v/>
      </c>
      <c r="AC53" s="26">
        <f>AB53</f>
        <v/>
      </c>
    </row>
    <row r="54">
      <c r="A54" s="18" t="inlineStr">
        <is>
          <t>영업외수익</t>
        </is>
      </c>
      <c r="B54" s="10" t="n"/>
      <c r="C54" s="19" t="n">
        <v>164</v>
      </c>
      <c r="D54" s="20" t="n">
        <v>184</v>
      </c>
      <c r="E54" s="20" t="n">
        <v>206</v>
      </c>
      <c r="F54" s="20" t="n">
        <v>158</v>
      </c>
      <c r="G54" s="20" t="n">
        <v>215</v>
      </c>
      <c r="H54" s="20" t="n">
        <v>153</v>
      </c>
      <c r="I54" s="20" t="n">
        <v>196</v>
      </c>
      <c r="J54" s="20" t="n">
        <v>530</v>
      </c>
      <c r="K54" s="20" t="n">
        <v>-79</v>
      </c>
      <c r="L54" s="20" t="n">
        <v>107</v>
      </c>
      <c r="M54" s="20" t="n">
        <v>400</v>
      </c>
      <c r="N54" s="20" t="n">
        <v>374</v>
      </c>
      <c r="O54" s="19" t="n">
        <v>961</v>
      </c>
      <c r="P54" s="20" t="n">
        <v>536</v>
      </c>
      <c r="Q54" s="20" t="n">
        <v>527</v>
      </c>
      <c r="R54" s="20" t="n">
        <v>552</v>
      </c>
      <c r="S54" s="20" t="n">
        <v>670</v>
      </c>
      <c r="T54" s="20" t="n">
        <v>816</v>
      </c>
      <c r="U54" s="20" t="n">
        <v>579</v>
      </c>
      <c r="V54" s="20" t="n">
        <v>791</v>
      </c>
      <c r="W54" s="20" t="n">
        <v>722</v>
      </c>
      <c r="X54" s="20" t="n">
        <v>958</v>
      </c>
      <c r="Y54" s="19">
        <f>IF(OR(Y4="",Y55=""),"",IFERROR(Y4*Y55,""))</f>
        <v/>
      </c>
      <c r="Z54" s="20">
        <f>IF(OR(Z4="",Z55=""),"",IFERROR(Z4*Z55,""))</f>
        <v/>
      </c>
      <c r="AA54" s="20">
        <f>IF(OR(AA4="",AA55=""),"",IFERROR(AA4*AA55,""))</f>
        <v/>
      </c>
      <c r="AB54" s="20">
        <f>IF(OR(AB4="",AB55=""),"",IFERROR(AB4*AB55,""))</f>
        <v/>
      </c>
      <c r="AC54" s="20">
        <f>IF(OR(AC4="",AC55=""),"",IFERROR(AC4*AC55,""))</f>
        <v/>
      </c>
    </row>
    <row r="55">
      <c r="A55" s="13" t="inlineStr">
        <is>
          <t>% of Sales</t>
        </is>
      </c>
      <c r="B55" s="10" t="n"/>
      <c r="C55" s="14">
        <f>IF(OR(C54="",C4=""),"",IFERROR(C54/C4,""))</f>
        <v/>
      </c>
      <c r="D55" s="15">
        <f>IF(OR(D54="",D4=""),"",IFERROR(D54/D4,""))</f>
        <v/>
      </c>
      <c r="E55" s="15">
        <f>IF(OR(E54="",E4=""),"",IFERROR(E54/E4,""))</f>
        <v/>
      </c>
      <c r="F55" s="15">
        <f>IF(OR(F54="",F4=""),"",IFERROR(F54/F4,""))</f>
        <v/>
      </c>
      <c r="G55" s="15">
        <f>IF(OR(G54="",G4=""),"",IFERROR(G54/G4,""))</f>
        <v/>
      </c>
      <c r="H55" s="15">
        <f>IF(OR(H54="",H4=""),"",IFERROR(H54/H4,""))</f>
        <v/>
      </c>
      <c r="I55" s="15">
        <f>IF(OR(I54="",I4=""),"",IFERROR(I54/I4,""))</f>
        <v/>
      </c>
      <c r="J55" s="15">
        <f>IF(OR(J54="",J4=""),"",IFERROR(J54/J4,""))</f>
        <v/>
      </c>
      <c r="K55" s="15">
        <f>IF(OR(K54="",K4=""),"",IFERROR(K54/K4,""))</f>
        <v/>
      </c>
      <c r="L55" s="15">
        <f>IF(OR(L54="",L4=""),"",IFERROR(L54/L4,""))</f>
        <v/>
      </c>
      <c r="M55" s="15">
        <f>IF(OR(M54="",M4=""),"",IFERROR(M54/M4,""))</f>
        <v/>
      </c>
      <c r="N55" s="15">
        <f>IF(OR(N54="",N4=""),"",IFERROR(N54/N4,""))</f>
        <v/>
      </c>
      <c r="O55" s="14">
        <f>IF(OR(O54="",O4=""),"",IFERROR(O54/O4,""))</f>
        <v/>
      </c>
      <c r="P55" s="15">
        <f>IF(OR(P54="",P4=""),"",IFERROR(P54/P4,""))</f>
        <v/>
      </c>
      <c r="Q55" s="15">
        <f>IF(OR(Q54="",Q4=""),"",IFERROR(Q54/Q4,""))</f>
        <v/>
      </c>
      <c r="R55" s="15">
        <f>IF(OR(R54="",R4=""),"",IFERROR(R54/R4,""))</f>
        <v/>
      </c>
      <c r="S55" s="15">
        <f>IF(OR(S54="",S4=""),"",IFERROR(S54/S4,""))</f>
        <v/>
      </c>
      <c r="T55" s="15">
        <f>IF(OR(T54="",T4=""),"",IFERROR(T54/T4,""))</f>
        <v/>
      </c>
      <c r="U55" s="15">
        <f>IF(OR(U54="",U4=""),"",IFERROR(U54/U4,""))</f>
        <v/>
      </c>
      <c r="V55" s="15">
        <f>IF(OR(V54="",V4=""),"",IFERROR(V54/V4,""))</f>
        <v/>
      </c>
      <c r="W55" s="15">
        <f>IF(OR(W54="",W4=""),"",IFERROR(W54/W4,""))</f>
        <v/>
      </c>
      <c r="X55" s="15">
        <f>IF(OR(X54="",X4=""),"",IFERROR(X54/X4,""))</f>
        <v/>
      </c>
      <c r="Y55" s="25">
        <f>IFERROR(AVERAGE(V55,W55,X55),"")</f>
        <v/>
      </c>
      <c r="Z55" s="26">
        <f>Y55</f>
        <v/>
      </c>
      <c r="AA55" s="26">
        <f>Z55</f>
        <v/>
      </c>
      <c r="AB55" s="26">
        <f>AA55</f>
        <v/>
      </c>
      <c r="AC55" s="26">
        <f>AB55</f>
        <v/>
      </c>
    </row>
    <row r="56">
      <c r="A56" s="18" t="inlineStr">
        <is>
          <t>영업외비용</t>
        </is>
      </c>
      <c r="B56" s="10" t="n"/>
      <c r="C56" s="19" t="n">
        <v>641</v>
      </c>
      <c r="D56" s="20" t="n">
        <v>221</v>
      </c>
      <c r="E56" s="20" t="n">
        <v>528</v>
      </c>
      <c r="F56" s="20" t="n">
        <v>654</v>
      </c>
      <c r="G56" s="20" t="n">
        <v>189</v>
      </c>
      <c r="H56" s="20" t="n">
        <v>568</v>
      </c>
      <c r="I56" s="20" t="n">
        <v>148</v>
      </c>
      <c r="J56" s="20" t="n">
        <v>162</v>
      </c>
      <c r="K56" s="20" t="n">
        <v>193</v>
      </c>
      <c r="L56" s="20" t="n">
        <v>182</v>
      </c>
      <c r="M56" s="20" t="n">
        <v>115</v>
      </c>
      <c r="N56" s="20" t="n">
        <v>258</v>
      </c>
      <c r="O56" s="19" t="n">
        <v>882</v>
      </c>
      <c r="P56" s="20" t="n">
        <v>1315</v>
      </c>
      <c r="Q56" s="20" t="n">
        <v>631</v>
      </c>
      <c r="R56" s="20" t="n">
        <v>1032</v>
      </c>
      <c r="S56" s="20" t="n">
        <v>579</v>
      </c>
      <c r="T56" s="20" t="n">
        <v>493</v>
      </c>
      <c r="U56" s="20" t="n">
        <v>1654</v>
      </c>
      <c r="V56" s="20" t="n">
        <v>1802</v>
      </c>
      <c r="W56" s="20" t="n">
        <v>1559</v>
      </c>
      <c r="X56" s="20" t="n">
        <v>652</v>
      </c>
      <c r="Y56" s="19">
        <f>IF(OR(Y4="",Y57=""),"",IFERROR(Y4*Y57,""))</f>
        <v/>
      </c>
      <c r="Z56" s="20">
        <f>IF(OR(Z4="",Z57=""),"",IFERROR(Z4*Z57,""))</f>
        <v/>
      </c>
      <c r="AA56" s="20">
        <f>IF(OR(AA4="",AA57=""),"",IFERROR(AA4*AA57,""))</f>
        <v/>
      </c>
      <c r="AB56" s="20">
        <f>IF(OR(AB4="",AB57=""),"",IFERROR(AB4*AB57,""))</f>
        <v/>
      </c>
      <c r="AC56" s="20">
        <f>IF(OR(AC4="",AC57=""),"",IFERROR(AC4*AC57,""))</f>
        <v/>
      </c>
    </row>
    <row r="57">
      <c r="A57" s="13" t="inlineStr">
        <is>
          <t>% of Sales</t>
        </is>
      </c>
      <c r="B57" s="10" t="n"/>
      <c r="C57" s="14">
        <f>IF(OR(C56="",C4=""),"",IFERROR(C56/C4,""))</f>
        <v/>
      </c>
      <c r="D57" s="15">
        <f>IF(OR(D56="",D4=""),"",IFERROR(D56/D4,""))</f>
        <v/>
      </c>
      <c r="E57" s="15">
        <f>IF(OR(E56="",E4=""),"",IFERROR(E56/E4,""))</f>
        <v/>
      </c>
      <c r="F57" s="15">
        <f>IF(OR(F56="",F4=""),"",IFERROR(F56/F4,""))</f>
        <v/>
      </c>
      <c r="G57" s="15">
        <f>IF(OR(G56="",G4=""),"",IFERROR(G56/G4,""))</f>
        <v/>
      </c>
      <c r="H57" s="15">
        <f>IF(OR(H56="",H4=""),"",IFERROR(H56/H4,""))</f>
        <v/>
      </c>
      <c r="I57" s="15">
        <f>IF(OR(I56="",I4=""),"",IFERROR(I56/I4,""))</f>
        <v/>
      </c>
      <c r="J57" s="15">
        <f>IF(OR(J56="",J4=""),"",IFERROR(J56/J4,""))</f>
        <v/>
      </c>
      <c r="K57" s="15">
        <f>IF(OR(K56="",K4=""),"",IFERROR(K56/K4,""))</f>
        <v/>
      </c>
      <c r="L57" s="15">
        <f>IF(OR(L56="",L4=""),"",IFERROR(L56/L4,""))</f>
        <v/>
      </c>
      <c r="M57" s="15">
        <f>IF(OR(M56="",M4=""),"",IFERROR(M56/M4,""))</f>
        <v/>
      </c>
      <c r="N57" s="15">
        <f>IF(OR(N56="",N4=""),"",IFERROR(N56/N4,""))</f>
        <v/>
      </c>
      <c r="O57" s="14">
        <f>IF(OR(O56="",O4=""),"",IFERROR(O56/O4,""))</f>
        <v/>
      </c>
      <c r="P57" s="15">
        <f>IF(OR(P56="",P4=""),"",IFERROR(P56/P4,""))</f>
        <v/>
      </c>
      <c r="Q57" s="15">
        <f>IF(OR(Q56="",Q4=""),"",IFERROR(Q56/Q4,""))</f>
        <v/>
      </c>
      <c r="R57" s="15">
        <f>IF(OR(R56="",R4=""),"",IFERROR(R56/R4,""))</f>
        <v/>
      </c>
      <c r="S57" s="15">
        <f>IF(OR(S56="",S4=""),"",IFERROR(S56/S4,""))</f>
        <v/>
      </c>
      <c r="T57" s="15">
        <f>IF(OR(T56="",T4=""),"",IFERROR(T56/T4,""))</f>
        <v/>
      </c>
      <c r="U57" s="15">
        <f>IF(OR(U56="",U4=""),"",IFERROR(U56/U4,""))</f>
        <v/>
      </c>
      <c r="V57" s="15">
        <f>IF(OR(V56="",V4=""),"",IFERROR(V56/V4,""))</f>
        <v/>
      </c>
      <c r="W57" s="15">
        <f>IF(OR(W56="",W4=""),"",IFERROR(W56/W4,""))</f>
        <v/>
      </c>
      <c r="X57" s="15">
        <f>IF(OR(X56="",X4=""),"",IFERROR(X56/X4,""))</f>
        <v/>
      </c>
      <c r="Y57" s="25">
        <f>IFERROR(AVERAGE(V57,W57,X57),"")</f>
        <v/>
      </c>
      <c r="Z57" s="26">
        <f>Y57</f>
        <v/>
      </c>
      <c r="AA57" s="26">
        <f>Z57</f>
        <v/>
      </c>
      <c r="AB57" s="26">
        <f>AA57</f>
        <v/>
      </c>
      <c r="AC57" s="26">
        <f>AB57</f>
        <v/>
      </c>
    </row>
    <row r="58">
      <c r="A58" s="9" t="inlineStr">
        <is>
          <t>법인세비용차감전순이익(손실)</t>
        </is>
      </c>
      <c r="B58" s="10" t="n"/>
      <c r="C58" s="11" t="n">
        <v>5047</v>
      </c>
      <c r="D58" s="12" t="n">
        <v>6364</v>
      </c>
      <c r="E58" s="12" t="n">
        <v>1131</v>
      </c>
      <c r="F58" s="12" t="n">
        <v>3650</v>
      </c>
      <c r="G58" s="12" t="n">
        <v>8233</v>
      </c>
      <c r="H58" s="12" t="n">
        <v>10292</v>
      </c>
      <c r="I58" s="12" t="n">
        <v>1630</v>
      </c>
      <c r="J58" s="12" t="n">
        <v>4906</v>
      </c>
      <c r="K58" s="12" t="n">
        <v>6411</v>
      </c>
      <c r="L58" s="12" t="n">
        <v>4905</v>
      </c>
      <c r="M58" s="12" t="n">
        <v>2882</v>
      </c>
      <c r="N58" s="12" t="n">
        <v>5626</v>
      </c>
      <c r="O58" s="11" t="n">
        <v>7127</v>
      </c>
      <c r="P58" s="12" t="n">
        <v>9967</v>
      </c>
      <c r="Q58" s="12" t="n">
        <v>13784</v>
      </c>
      <c r="R58" s="12" t="n">
        <v>7601</v>
      </c>
      <c r="S58" s="12" t="n">
        <v>7462</v>
      </c>
      <c r="T58" s="12" t="n">
        <v>13772</v>
      </c>
      <c r="U58" s="12" t="n">
        <v>11642</v>
      </c>
      <c r="V58" s="12" t="n">
        <v>14869</v>
      </c>
      <c r="W58" s="12" t="n">
        <v>23805</v>
      </c>
      <c r="X58" s="12" t="n">
        <v>19104</v>
      </c>
      <c r="Y58" s="11">
        <f>IF(OR(Y34=""),"",IFERROR(Y34+N(Y50)-N(Y52)+N(Y54)-N(Y56),""))</f>
        <v/>
      </c>
      <c r="Z58" s="12">
        <f>IF(OR(Z34=""),"",IFERROR(Z34+N(Z50)-N(Z52)+N(Z54)-N(Z56),""))</f>
        <v/>
      </c>
      <c r="AA58" s="12">
        <f>IF(OR(AA34=""),"",IFERROR(AA34+N(AA50)-N(AA52)+N(AA54)-N(AA56),""))</f>
        <v/>
      </c>
      <c r="AB58" s="12">
        <f>IF(OR(AB34=""),"",IFERROR(AB34+N(AB50)-N(AB52)+N(AB54)-N(AB56),""))</f>
        <v/>
      </c>
      <c r="AC58" s="12">
        <f>IF(OR(AC34=""),"",IFERROR(AC34+N(AC50)-N(AC52)+N(AC54)-N(AC56),""))</f>
        <v/>
      </c>
    </row>
    <row r="59">
      <c r="A59" s="13" t="inlineStr">
        <is>
          <t>YoY</t>
        </is>
      </c>
      <c r="B59" s="10" t="n"/>
      <c r="C59" s="14" t="n"/>
      <c r="D59" s="15" t="n"/>
      <c r="E59" s="15" t="n"/>
      <c r="F59" s="15" t="n"/>
      <c r="G59" s="15">
        <f>IF(OR(G58="",C58=""),"",IF(C58&lt;=0,"",IFERROR(G58/C58-1,"")))</f>
        <v/>
      </c>
      <c r="H59" s="15">
        <f>IF(OR(H58="",D58=""),"",IF(D58&lt;=0,"",IFERROR(H58/D58-1,"")))</f>
        <v/>
      </c>
      <c r="I59" s="15">
        <f>IF(OR(I58="",E58=""),"",IF(E58&lt;=0,"",IFERROR(I58/E58-1,"")))</f>
        <v/>
      </c>
      <c r="J59" s="15">
        <f>IF(OR(J58="",F58=""),"",IF(F58&lt;=0,"",IFERROR(J58/F58-1,"")))</f>
        <v/>
      </c>
      <c r="K59" s="15">
        <f>IF(OR(K58="",G58=""),"",IF(G58&lt;=0,"",IFERROR(K58/G58-1,"")))</f>
        <v/>
      </c>
      <c r="L59" s="15">
        <f>IF(OR(L58="",H58=""),"",IF(H58&lt;=0,"",IFERROR(L58/H58-1,"")))</f>
        <v/>
      </c>
      <c r="M59" s="15">
        <f>IF(OR(M58="",I58=""),"",IF(I58&lt;=0,"",IFERROR(M58/I58-1,"")))</f>
        <v/>
      </c>
      <c r="N59" s="15">
        <f>IF(OR(N58="",J58=""),"",IF(J58&lt;=0,"",IFERROR(N58/J58-1,"")))</f>
        <v/>
      </c>
      <c r="O59" s="14" t="n"/>
      <c r="P59" s="15">
        <f>IF(OR(P58="",O58=""),"",IF(O58&lt;=0,"",IFERROR(P58/O58-1,"")))</f>
        <v/>
      </c>
      <c r="Q59" s="15">
        <f>IF(OR(Q58="",P58=""),"",IF(P58&lt;=0,"",IFERROR(Q58/P58-1,"")))</f>
        <v/>
      </c>
      <c r="R59" s="15">
        <f>IF(OR(R58="",Q58=""),"",IF(Q58&lt;=0,"",IFERROR(R58/Q58-1,"")))</f>
        <v/>
      </c>
      <c r="S59" s="15">
        <f>IF(OR(S58="",R58=""),"",IF(R58&lt;=0,"",IFERROR(S58/R58-1,"")))</f>
        <v/>
      </c>
      <c r="T59" s="15">
        <f>IF(OR(T58="",S58=""),"",IF(S58&lt;=0,"",IFERROR(T58/S58-1,"")))</f>
        <v/>
      </c>
      <c r="U59" s="15">
        <f>IF(OR(U58="",T58=""),"",IF(T58&lt;=0,"",IFERROR(U58/T58-1,"")))</f>
        <v/>
      </c>
      <c r="V59" s="15">
        <f>IF(OR(V58="",U58=""),"",IF(U58&lt;=0,"",IFERROR(V58/U58-1,"")))</f>
        <v/>
      </c>
      <c r="W59" s="15">
        <f>IF(OR(W58="",V58=""),"",IF(V58&lt;=0,"",IFERROR(W58/V58-1,"")))</f>
        <v/>
      </c>
      <c r="X59" s="15">
        <f>IF(OR(X58="",W58=""),"",IF(W58&lt;=0,"",IFERROR(X58/W58-1,"")))</f>
        <v/>
      </c>
      <c r="Y59" s="14">
        <f>IF(OR(Y58="",X58=""),"",IF(X58&lt;=0,"",IFERROR(Y58/X58-1,"")))</f>
        <v/>
      </c>
      <c r="Z59" s="15">
        <f>IF(OR(Z58="",Y58=""),"",IF(Y58&lt;=0,"",IFERROR(Z58/Y58-1,"")))</f>
        <v/>
      </c>
      <c r="AA59" s="15">
        <f>IF(OR(AA58="",Z58=""),"",IF(Z58&lt;=0,"",IFERROR(AA58/Z58-1,"")))</f>
        <v/>
      </c>
      <c r="AB59" s="15">
        <f>IF(OR(AB58="",AA58=""),"",IF(AA58&lt;=0,"",IFERROR(AB58/AA58-1,"")))</f>
        <v/>
      </c>
      <c r="AC59" s="15">
        <f>IF(OR(AC58="",AB58=""),"",IF(AB58&lt;=0,"",IFERROR(AC58/AB58-1,"")))</f>
        <v/>
      </c>
    </row>
    <row r="60">
      <c r="A60" s="18" t="inlineStr">
        <is>
          <t>법인세비용(수익)</t>
        </is>
      </c>
      <c r="B60" s="10" t="n"/>
      <c r="C60" s="19" t="n">
        <v>1240</v>
      </c>
      <c r="D60" s="20" t="n">
        <v>2940</v>
      </c>
      <c r="E60" s="20" t="n">
        <v>360</v>
      </c>
      <c r="F60" s="20" t="n">
        <v>1143</v>
      </c>
      <c r="G60" s="20" t="n">
        <v>2286</v>
      </c>
      <c r="H60" s="20" t="n">
        <v>4312</v>
      </c>
      <c r="I60" s="20" t="n">
        <v>-287</v>
      </c>
      <c r="J60" s="20" t="n">
        <v>1514</v>
      </c>
      <c r="K60" s="20" t="n">
        <v>1677</v>
      </c>
      <c r="L60" s="20" t="n">
        <v>3483</v>
      </c>
      <c r="M60" s="20" t="n">
        <v>751</v>
      </c>
      <c r="N60" s="20" t="n">
        <v>1567</v>
      </c>
      <c r="O60" s="19" t="n">
        <v>1730</v>
      </c>
      <c r="P60" s="20" t="n">
        <v>1980</v>
      </c>
      <c r="Q60" s="20" t="n">
        <v>4450</v>
      </c>
      <c r="R60" s="20" t="n">
        <v>3066</v>
      </c>
      <c r="S60" s="20" t="n">
        <v>2125</v>
      </c>
      <c r="T60" s="20" t="n">
        <v>4658</v>
      </c>
      <c r="U60" s="20" t="n">
        <v>3328</v>
      </c>
      <c r="V60" s="20" t="n">
        <v>5061</v>
      </c>
      <c r="W60" s="20" t="n">
        <v>7454</v>
      </c>
      <c r="X60" s="20" t="n">
        <v>7425</v>
      </c>
      <c r="Y60" s="19">
        <f>IF(OR(Y58="",Y61=""),"",IFERROR(MAX(Y58,0)*Y61,""))</f>
        <v/>
      </c>
      <c r="Z60" s="20">
        <f>IF(OR(Z58="",Z61=""),"",IFERROR(MAX(Z58,0)*Z61,""))</f>
        <v/>
      </c>
      <c r="AA60" s="20">
        <f>IF(OR(AA58="",AA61=""),"",IFERROR(MAX(AA58,0)*AA61,""))</f>
        <v/>
      </c>
      <c r="AB60" s="20">
        <f>IF(OR(AB58="",AB61=""),"",IFERROR(MAX(AB58,0)*AB61,""))</f>
        <v/>
      </c>
      <c r="AC60" s="20">
        <f>IF(OR(AC58="",AC61=""),"",IFERROR(MAX(AC58,0)*AC61,""))</f>
        <v/>
      </c>
    </row>
    <row r="61">
      <c r="A61" s="13" t="inlineStr">
        <is>
          <t>법인세율</t>
        </is>
      </c>
      <c r="B61" s="10" t="inlineStr">
        <is>
          <t>MW 기본 30%</t>
        </is>
      </c>
      <c r="C61" s="14">
        <f>IF(OR(C60="",C58=""),"",IFERROR(C60/C58,""))</f>
        <v/>
      </c>
      <c r="D61" s="15">
        <f>IF(OR(D60="",D58=""),"",IFERROR(D60/D58,""))</f>
        <v/>
      </c>
      <c r="E61" s="15">
        <f>IF(OR(E60="",E58=""),"",IFERROR(E60/E58,""))</f>
        <v/>
      </c>
      <c r="F61" s="15">
        <f>IF(OR(F60="",F58=""),"",IFERROR(F60/F58,""))</f>
        <v/>
      </c>
      <c r="G61" s="15">
        <f>IF(OR(G60="",G58=""),"",IFERROR(G60/G58,""))</f>
        <v/>
      </c>
      <c r="H61" s="15">
        <f>IF(OR(H60="",H58=""),"",IFERROR(H60/H58,""))</f>
        <v/>
      </c>
      <c r="I61" s="15">
        <f>IF(OR(I60="",I58=""),"",IFERROR(I60/I58,""))</f>
        <v/>
      </c>
      <c r="J61" s="15">
        <f>IF(OR(J60="",J58=""),"",IFERROR(J60/J58,""))</f>
        <v/>
      </c>
      <c r="K61" s="15">
        <f>IF(OR(K60="",K58=""),"",IFERROR(K60/K58,""))</f>
        <v/>
      </c>
      <c r="L61" s="15">
        <f>IF(OR(L60="",L58=""),"",IFERROR(L60/L58,""))</f>
        <v/>
      </c>
      <c r="M61" s="15">
        <f>IF(OR(M60="",M58=""),"",IFERROR(M60/M58,""))</f>
        <v/>
      </c>
      <c r="N61" s="15">
        <f>IF(OR(N60="",N58=""),"",IFERROR(N60/N58,""))</f>
        <v/>
      </c>
      <c r="O61" s="14">
        <f>IF(OR(O60="",O58=""),"",IFERROR(O60/O58,""))</f>
        <v/>
      </c>
      <c r="P61" s="15">
        <f>IF(OR(P60="",P58=""),"",IFERROR(P60/P58,""))</f>
        <v/>
      </c>
      <c r="Q61" s="15">
        <f>IF(OR(Q60="",Q58=""),"",IFERROR(Q60/Q58,""))</f>
        <v/>
      </c>
      <c r="R61" s="15">
        <f>IF(OR(R60="",R58=""),"",IFERROR(R60/R58,""))</f>
        <v/>
      </c>
      <c r="S61" s="15">
        <f>IF(OR(S60="",S58=""),"",IFERROR(S60/S58,""))</f>
        <v/>
      </c>
      <c r="T61" s="15">
        <f>IF(OR(T60="",T58=""),"",IFERROR(T60/T58,""))</f>
        <v/>
      </c>
      <c r="U61" s="15">
        <f>IF(OR(U60="",U58=""),"",IFERROR(U60/U58,""))</f>
        <v/>
      </c>
      <c r="V61" s="15">
        <f>IF(OR(V60="",V58=""),"",IFERROR(V60/V58,""))</f>
        <v/>
      </c>
      <c r="W61" s="15">
        <f>IF(OR(W60="",W58=""),"",IFERROR(W60/W58,""))</f>
        <v/>
      </c>
      <c r="X61" s="15">
        <f>IF(OR(X60="",X58=""),"",IFERROR(X60/X58,""))</f>
        <v/>
      </c>
      <c r="Y61" s="25" t="n">
        <v>0.3</v>
      </c>
      <c r="Z61" s="26" t="n">
        <v>0.3</v>
      </c>
      <c r="AA61" s="26" t="n">
        <v>0.3</v>
      </c>
      <c r="AB61" s="26" t="n">
        <v>0.3</v>
      </c>
      <c r="AC61" s="26" t="n">
        <v>0.3</v>
      </c>
    </row>
    <row r="62">
      <c r="A62" s="9" t="inlineStr">
        <is>
          <t>당기순이익(손실)</t>
        </is>
      </c>
      <c r="B62" s="10" t="n"/>
      <c r="C62" s="11" t="n">
        <v>3808</v>
      </c>
      <c r="D62" s="12" t="n">
        <v>3423</v>
      </c>
      <c r="E62" s="12" t="n">
        <v>772</v>
      </c>
      <c r="F62" s="12" t="n">
        <v>2507</v>
      </c>
      <c r="G62" s="12" t="n">
        <v>5947</v>
      </c>
      <c r="H62" s="12" t="n">
        <v>5979</v>
      </c>
      <c r="I62" s="12" t="n">
        <v>1917</v>
      </c>
      <c r="J62" s="12" t="n">
        <v>3392</v>
      </c>
      <c r="K62" s="12" t="n">
        <v>4733</v>
      </c>
      <c r="L62" s="12" t="n">
        <v>1422</v>
      </c>
      <c r="M62" s="12" t="n">
        <v>2132</v>
      </c>
      <c r="N62" s="12" t="n">
        <v>4058</v>
      </c>
      <c r="O62" s="11" t="n">
        <v>5397</v>
      </c>
      <c r="P62" s="12" t="n">
        <v>7986</v>
      </c>
      <c r="Q62" s="12" t="n">
        <v>9334</v>
      </c>
      <c r="R62" s="12" t="n">
        <v>4535</v>
      </c>
      <c r="S62" s="12" t="n">
        <v>5336</v>
      </c>
      <c r="T62" s="12" t="n">
        <v>9114</v>
      </c>
      <c r="U62" s="12" t="n">
        <v>8314</v>
      </c>
      <c r="V62" s="12" t="n">
        <v>9808</v>
      </c>
      <c r="W62" s="12" t="n">
        <v>16350</v>
      </c>
      <c r="X62" s="12" t="n">
        <v>11679</v>
      </c>
      <c r="Y62" s="11">
        <f>IF(OR(Y58=""),"",IFERROR(Y58-Y60,""))</f>
        <v/>
      </c>
      <c r="Z62" s="12">
        <f>IF(OR(Z58=""),"",IFERROR(Z58-Z60,""))</f>
        <v/>
      </c>
      <c r="AA62" s="12">
        <f>IF(OR(AA58=""),"",IFERROR(AA58-AA60,""))</f>
        <v/>
      </c>
      <c r="AB62" s="12">
        <f>IF(OR(AB58=""),"",IFERROR(AB58-AB60,""))</f>
        <v/>
      </c>
      <c r="AC62" s="12">
        <f>IF(OR(AC58=""),"",IFERROR(AC58-AC60,""))</f>
        <v/>
      </c>
    </row>
    <row r="63">
      <c r="A63" s="13" t="inlineStr">
        <is>
          <t>YoY</t>
        </is>
      </c>
      <c r="B63" s="10" t="n"/>
      <c r="C63" s="14" t="n"/>
      <c r="D63" s="15" t="n"/>
      <c r="E63" s="15" t="n"/>
      <c r="F63" s="15" t="n"/>
      <c r="G63" s="15">
        <f>IF(OR(G62="",C62=""),"",IF(C62&lt;=0,"",IFERROR(G62/C62-1,"")))</f>
        <v/>
      </c>
      <c r="H63" s="15">
        <f>IF(OR(H62="",D62=""),"",IF(D62&lt;=0,"",IFERROR(H62/D62-1,"")))</f>
        <v/>
      </c>
      <c r="I63" s="15">
        <f>IF(OR(I62="",E62=""),"",IF(E62&lt;=0,"",IFERROR(I62/E62-1,"")))</f>
        <v/>
      </c>
      <c r="J63" s="15">
        <f>IF(OR(J62="",F62=""),"",IF(F62&lt;=0,"",IFERROR(J62/F62-1,"")))</f>
        <v/>
      </c>
      <c r="K63" s="15">
        <f>IF(OR(K62="",G62=""),"",IF(G62&lt;=0,"",IFERROR(K62/G62-1,"")))</f>
        <v/>
      </c>
      <c r="L63" s="15">
        <f>IF(OR(L62="",H62=""),"",IF(H62&lt;=0,"",IFERROR(L62/H62-1,"")))</f>
        <v/>
      </c>
      <c r="M63" s="15">
        <f>IF(OR(M62="",I62=""),"",IF(I62&lt;=0,"",IFERROR(M62/I62-1,"")))</f>
        <v/>
      </c>
      <c r="N63" s="15">
        <f>IF(OR(N62="",J62=""),"",IF(J62&lt;=0,"",IFERROR(N62/J62-1,"")))</f>
        <v/>
      </c>
      <c r="O63" s="14" t="n"/>
      <c r="P63" s="15">
        <f>IF(OR(P62="",O62=""),"",IF(O62&lt;=0,"",IFERROR(P62/O62-1,"")))</f>
        <v/>
      </c>
      <c r="Q63" s="15">
        <f>IF(OR(Q62="",P62=""),"",IF(P62&lt;=0,"",IFERROR(Q62/P62-1,"")))</f>
        <v/>
      </c>
      <c r="R63" s="15">
        <f>IF(OR(R62="",Q62=""),"",IF(Q62&lt;=0,"",IFERROR(R62/Q62-1,"")))</f>
        <v/>
      </c>
      <c r="S63" s="15">
        <f>IF(OR(S62="",R62=""),"",IF(R62&lt;=0,"",IFERROR(S62/R62-1,"")))</f>
        <v/>
      </c>
      <c r="T63" s="15">
        <f>IF(OR(T62="",S62=""),"",IF(S62&lt;=0,"",IFERROR(T62/S62-1,"")))</f>
        <v/>
      </c>
      <c r="U63" s="15">
        <f>IF(OR(U62="",T62=""),"",IF(T62&lt;=0,"",IFERROR(U62/T62-1,"")))</f>
        <v/>
      </c>
      <c r="V63" s="15">
        <f>IF(OR(V62="",U62=""),"",IF(U62&lt;=0,"",IFERROR(V62/U62-1,"")))</f>
        <v/>
      </c>
      <c r="W63" s="15">
        <f>IF(OR(W62="",V62=""),"",IF(V62&lt;=0,"",IFERROR(W62/V62-1,"")))</f>
        <v/>
      </c>
      <c r="X63" s="15">
        <f>IF(OR(X62="",W62=""),"",IF(W62&lt;=0,"",IFERROR(X62/W62-1,"")))</f>
        <v/>
      </c>
      <c r="Y63" s="14">
        <f>IF(OR(Y62="",X62=""),"",IF(X62&lt;=0,"",IFERROR(Y62/X62-1,"")))</f>
        <v/>
      </c>
      <c r="Z63" s="15">
        <f>IF(OR(Z62="",Y62=""),"",IF(Y62&lt;=0,"",IFERROR(Z62/Y62-1,"")))</f>
        <v/>
      </c>
      <c r="AA63" s="15">
        <f>IF(OR(AA62="",Z62=""),"",IF(Z62&lt;=0,"",IFERROR(AA62/Z62-1,"")))</f>
        <v/>
      </c>
      <c r="AB63" s="15">
        <f>IF(OR(AB62="",AA62=""),"",IF(AA62&lt;=0,"",IFERROR(AB62/AA62-1,"")))</f>
        <v/>
      </c>
      <c r="AC63" s="15">
        <f>IF(OR(AC62="",AB62=""),"",IF(AB62&lt;=0,"",IFERROR(AC62/AB62-1,"")))</f>
        <v/>
      </c>
    </row>
    <row r="64">
      <c r="A64" s="9" t="inlineStr">
        <is>
          <t>지배주주 순이익</t>
        </is>
      </c>
      <c r="B64" s="10" t="n"/>
      <c r="C64" s="11" t="n">
        <v>3808</v>
      </c>
      <c r="D64" s="12" t="n">
        <v>3423</v>
      </c>
      <c r="E64" s="12" t="n">
        <v>772</v>
      </c>
      <c r="F64" s="12" t="n">
        <v>2507</v>
      </c>
      <c r="G64" s="12" t="n">
        <v>5947</v>
      </c>
      <c r="H64" s="12" t="n">
        <v>5979</v>
      </c>
      <c r="I64" s="12" t="n">
        <v>1917</v>
      </c>
      <c r="J64" s="12" t="n">
        <v>3392</v>
      </c>
      <c r="K64" s="12" t="n">
        <v>4733</v>
      </c>
      <c r="L64" s="12" t="n">
        <v>1422</v>
      </c>
      <c r="M64" s="12" t="n">
        <v>2132</v>
      </c>
      <c r="N64" s="12" t="n">
        <v>4058</v>
      </c>
      <c r="O64" s="11" t="n">
        <v>5372</v>
      </c>
      <c r="P64" s="12" t="n">
        <v>7962</v>
      </c>
      <c r="Q64" s="12" t="n">
        <v>9302</v>
      </c>
      <c r="R64" s="12" t="n">
        <v>4507</v>
      </c>
      <c r="S64" s="12" t="n">
        <v>5374</v>
      </c>
      <c r="T64" s="12" t="n">
        <v>9114</v>
      </c>
      <c r="U64" s="12" t="n">
        <v>8314</v>
      </c>
      <c r="V64" s="12" t="n">
        <v>9808</v>
      </c>
      <c r="W64" s="12" t="n">
        <v>16350</v>
      </c>
      <c r="X64" s="12" t="n">
        <v>11679</v>
      </c>
      <c r="Y64" s="11">
        <f>IF(OR(Y62="",Y65=""),"",IFERROR(Y62*Y65,""))</f>
        <v/>
      </c>
      <c r="Z64" s="12">
        <f>IF(OR(Z62="",Z65=""),"",IFERROR(Z62*Z65,""))</f>
        <v/>
      </c>
      <c r="AA64" s="12">
        <f>IF(OR(AA62="",AA65=""),"",IFERROR(AA62*AA65,""))</f>
        <v/>
      </c>
      <c r="AB64" s="12">
        <f>IF(OR(AB62="",AB65=""),"",IFERROR(AB62*AB65,""))</f>
        <v/>
      </c>
      <c r="AC64" s="12">
        <f>IF(OR(AC62="",AC65=""),"",IFERROR(AC62*AC65,""))</f>
        <v/>
      </c>
    </row>
    <row r="65">
      <c r="A65" s="13" t="inlineStr">
        <is>
          <t>지배주주 순이익률</t>
        </is>
      </c>
      <c r="B65" s="10" t="inlineStr">
        <is>
          <t>MW 기본 100%</t>
        </is>
      </c>
      <c r="C65" s="14">
        <f>IF(OR(C64="",C62=""),"",IFERROR(C64/C62,""))</f>
        <v/>
      </c>
      <c r="D65" s="15">
        <f>IF(OR(D64="",D62=""),"",IFERROR(D64/D62,""))</f>
        <v/>
      </c>
      <c r="E65" s="15">
        <f>IF(OR(E64="",E62=""),"",IFERROR(E64/E62,""))</f>
        <v/>
      </c>
      <c r="F65" s="15">
        <f>IF(OR(F64="",F62=""),"",IFERROR(F64/F62,""))</f>
        <v/>
      </c>
      <c r="G65" s="15">
        <f>IF(OR(G64="",G62=""),"",IFERROR(G64/G62,""))</f>
        <v/>
      </c>
      <c r="H65" s="15">
        <f>IF(OR(H64="",H62=""),"",IFERROR(H64/H62,""))</f>
        <v/>
      </c>
      <c r="I65" s="15">
        <f>IF(OR(I64="",I62=""),"",IFERROR(I64/I62,""))</f>
        <v/>
      </c>
      <c r="J65" s="15">
        <f>IF(OR(J64="",J62=""),"",IFERROR(J64/J62,""))</f>
        <v/>
      </c>
      <c r="K65" s="15">
        <f>IF(OR(K64="",K62=""),"",IFERROR(K64/K62,""))</f>
        <v/>
      </c>
      <c r="L65" s="15">
        <f>IF(OR(L64="",L62=""),"",IFERROR(L64/L62,""))</f>
        <v/>
      </c>
      <c r="M65" s="15">
        <f>IF(OR(M64="",M62=""),"",IFERROR(M64/M62,""))</f>
        <v/>
      </c>
      <c r="N65" s="15">
        <f>IF(OR(N64="",N62=""),"",IFERROR(N64/N62,""))</f>
        <v/>
      </c>
      <c r="O65" s="14">
        <f>IF(OR(O64="",O62=""),"",IFERROR(O64/O62,""))</f>
        <v/>
      </c>
      <c r="P65" s="15">
        <f>IF(OR(P64="",P62=""),"",IFERROR(P64/P62,""))</f>
        <v/>
      </c>
      <c r="Q65" s="15">
        <f>IF(OR(Q64="",Q62=""),"",IFERROR(Q64/Q62,""))</f>
        <v/>
      </c>
      <c r="R65" s="15">
        <f>IF(OR(R64="",R62=""),"",IFERROR(R64/R62,""))</f>
        <v/>
      </c>
      <c r="S65" s="15">
        <f>IF(OR(S64="",S62=""),"",IFERROR(S64/S62,""))</f>
        <v/>
      </c>
      <c r="T65" s="15">
        <f>IF(OR(T64="",T62=""),"",IFERROR(T64/T62,""))</f>
        <v/>
      </c>
      <c r="U65" s="15">
        <f>IF(OR(U64="",U62=""),"",IFERROR(U64/U62,""))</f>
        <v/>
      </c>
      <c r="V65" s="15">
        <f>IF(OR(V64="",V62=""),"",IFERROR(V64/V62,""))</f>
        <v/>
      </c>
      <c r="W65" s="15">
        <f>IF(OR(W64="",W62=""),"",IFERROR(W64/W62,""))</f>
        <v/>
      </c>
      <c r="X65" s="15">
        <f>IF(OR(X64="",X62=""),"",IFERROR(X64/X62,""))</f>
        <v/>
      </c>
      <c r="Y65" s="25" t="n">
        <v>1</v>
      </c>
      <c r="Z65" s="26" t="n">
        <v>1</v>
      </c>
      <c r="AA65" s="26" t="n">
        <v>1</v>
      </c>
      <c r="AB65" s="26" t="n">
        <v>1</v>
      </c>
      <c r="AC65" s="26" t="n">
        <v>1</v>
      </c>
    </row>
    <row r="66">
      <c r="A66" s="13" t="inlineStr">
        <is>
          <t>지배주주 순이익 YoY</t>
        </is>
      </c>
      <c r="B66" s="10" t="n"/>
      <c r="C66" s="14" t="n"/>
      <c r="D66" s="15" t="n"/>
      <c r="E66" s="15" t="n"/>
      <c r="F66" s="15" t="n"/>
      <c r="G66" s="15">
        <f>IF(OR(G64="",C64=""),"",IF(C64&lt;=0,"",IFERROR(G64/C64-1,"")))</f>
        <v/>
      </c>
      <c r="H66" s="15">
        <f>IF(OR(H64="",D64=""),"",IF(D64&lt;=0,"",IFERROR(H64/D64-1,"")))</f>
        <v/>
      </c>
      <c r="I66" s="15">
        <f>IF(OR(I64="",E64=""),"",IF(E64&lt;=0,"",IFERROR(I64/E64-1,"")))</f>
        <v/>
      </c>
      <c r="J66" s="15">
        <f>IF(OR(J64="",F64=""),"",IF(F64&lt;=0,"",IFERROR(J64/F64-1,"")))</f>
        <v/>
      </c>
      <c r="K66" s="15">
        <f>IF(OR(K64="",G64=""),"",IF(G64&lt;=0,"",IFERROR(K64/G64-1,"")))</f>
        <v/>
      </c>
      <c r="L66" s="15">
        <f>IF(OR(L64="",H64=""),"",IF(H64&lt;=0,"",IFERROR(L64/H64-1,"")))</f>
        <v/>
      </c>
      <c r="M66" s="15">
        <f>IF(OR(M64="",I64=""),"",IF(I64&lt;=0,"",IFERROR(M64/I64-1,"")))</f>
        <v/>
      </c>
      <c r="N66" s="15">
        <f>IF(OR(N64="",J64=""),"",IF(J64&lt;=0,"",IFERROR(N64/J64-1,"")))</f>
        <v/>
      </c>
      <c r="O66" s="14" t="n"/>
      <c r="P66" s="15">
        <f>IF(OR(P64="",O64=""),"",IF(O64&lt;=0,"",IFERROR(P64/O64-1,"")))</f>
        <v/>
      </c>
      <c r="Q66" s="15">
        <f>IF(OR(Q64="",P64=""),"",IF(P64&lt;=0,"",IFERROR(Q64/P64-1,"")))</f>
        <v/>
      </c>
      <c r="R66" s="15">
        <f>IF(OR(R64="",Q64=""),"",IF(Q64&lt;=0,"",IFERROR(R64/Q64-1,"")))</f>
        <v/>
      </c>
      <c r="S66" s="15">
        <f>IF(OR(S64="",R64=""),"",IF(R64&lt;=0,"",IFERROR(S64/R64-1,"")))</f>
        <v/>
      </c>
      <c r="T66" s="15">
        <f>IF(OR(T64="",S64=""),"",IF(S64&lt;=0,"",IFERROR(T64/S64-1,"")))</f>
        <v/>
      </c>
      <c r="U66" s="15">
        <f>IF(OR(U64="",T64=""),"",IF(T64&lt;=0,"",IFERROR(U64/T64-1,"")))</f>
        <v/>
      </c>
      <c r="V66" s="15">
        <f>IF(OR(V64="",U64=""),"",IF(U64&lt;=0,"",IFERROR(V64/U64-1,"")))</f>
        <v/>
      </c>
      <c r="W66" s="15">
        <f>IF(OR(W64="",V64=""),"",IF(V64&lt;=0,"",IFERROR(W64/V64-1,"")))</f>
        <v/>
      </c>
      <c r="X66" s="15">
        <f>IF(OR(X64="",W64=""),"",IF(W64&lt;=0,"",IFERROR(X64/W64-1,"")))</f>
        <v/>
      </c>
      <c r="Y66" s="14">
        <f>IF(OR(Y64="",X64=""),"",IF(X64&lt;=0,"",IFERROR(Y64/X64-1,"")))</f>
        <v/>
      </c>
      <c r="Z66" s="15">
        <f>IF(OR(Z64="",Y64=""),"",IF(Y64&lt;=0,"",IFERROR(Z64/Y64-1,"")))</f>
        <v/>
      </c>
      <c r="AA66" s="15">
        <f>IF(OR(AA64="",Z64=""),"",IF(Z64&lt;=0,"",IFERROR(AA64/Z64-1,"")))</f>
        <v/>
      </c>
      <c r="AB66" s="15">
        <f>IF(OR(AB64="",AA64=""),"",IF(AA64&lt;=0,"",IFERROR(AB64/AA64-1,"")))</f>
        <v/>
      </c>
      <c r="AC66" s="15">
        <f>IF(OR(AC64="",AB64=""),"",IF(AB64&lt;=0,"",IFERROR(AC64/AB64-1,"")))</f>
        <v/>
      </c>
    </row>
    <row r="67">
      <c r="A67" s="16" t="inlineStr">
        <is>
          <t>목표주가 산출</t>
        </is>
      </c>
      <c r="B67" s="16" t="n"/>
      <c r="C67" s="17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7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7" t="n"/>
      <c r="Z67" s="16" t="n"/>
      <c r="AA67" s="16" t="n"/>
      <c r="AB67" s="16" t="n"/>
      <c r="AC67" s="16" t="n"/>
    </row>
    <row r="68">
      <c r="A68" s="18" t="inlineStr">
        <is>
          <t>현재 주가 ()</t>
        </is>
      </c>
      <c r="B68" s="27" t="n"/>
      <c r="C68" s="28" t="n"/>
      <c r="D68" s="29" t="n"/>
      <c r="E68" s="29" t="n"/>
      <c r="F68" s="29" t="n"/>
      <c r="G68" s="29" t="n"/>
      <c r="H68" s="29" t="n"/>
      <c r="I68" s="29" t="n"/>
      <c r="J68" s="29" t="n"/>
      <c r="K68" s="29" t="n"/>
      <c r="L68" s="29" t="n"/>
      <c r="M68" s="29" t="n"/>
      <c r="N68" s="29" t="n"/>
      <c r="O68" s="28" t="n"/>
      <c r="P68" s="29" t="n"/>
      <c r="Q68" s="29" t="n"/>
      <c r="R68" s="29" t="n"/>
      <c r="S68" s="29" t="n"/>
      <c r="T68" s="29" t="n"/>
      <c r="U68" s="29" t="n"/>
      <c r="V68" s="29" t="n"/>
      <c r="W68" s="29" t="n"/>
      <c r="X68" s="29" t="n"/>
      <c r="Y68" s="28" t="n"/>
      <c r="Z68" s="29" t="n"/>
      <c r="AA68" s="29" t="n"/>
      <c r="AB68" s="29" t="n"/>
      <c r="AC68" s="29" t="n"/>
    </row>
    <row r="69">
      <c r="A69" s="18" t="inlineStr">
        <is>
          <t>발행주식수 (보통주)</t>
        </is>
      </c>
      <c r="B69" s="27" t="n"/>
      <c r="C69" s="28" t="n"/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8" t="n"/>
      <c r="P69" s="29" t="n"/>
      <c r="Q69" s="29" t="n"/>
      <c r="R69" s="29" t="n"/>
      <c r="S69" s="29" t="n"/>
      <c r="T69" s="29" t="n"/>
      <c r="U69" s="29" t="n"/>
      <c r="V69" s="29" t="n"/>
      <c r="W69" s="29" t="n"/>
      <c r="X69" s="29" t="n"/>
      <c r="Y69" s="28" t="n"/>
      <c r="Z69" s="29" t="n"/>
      <c r="AA69" s="29" t="n"/>
      <c r="AB69" s="29" t="n"/>
      <c r="AC69" s="29" t="n"/>
    </row>
    <row r="70">
      <c r="A70" s="18" t="inlineStr">
        <is>
          <t>시가총액 (백만엔)</t>
        </is>
      </c>
      <c r="B70" s="12">
        <f>IF(OR(B68="",B69=""),"",B68*B69/1000000.0)</f>
        <v/>
      </c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19" t="n"/>
      <c r="Z70" s="20" t="n"/>
      <c r="AA70" s="20" t="n"/>
      <c r="AB70" s="20" t="n"/>
      <c r="AC70" s="20" t="n"/>
    </row>
    <row r="71">
      <c r="A71" s="13" t="inlineStr">
        <is>
          <t>OPM</t>
        </is>
      </c>
      <c r="B71" s="10" t="n"/>
      <c r="C71" s="14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4">
        <f>IF(O35="","",O35)</f>
        <v/>
      </c>
      <c r="P71" s="15">
        <f>IF(P35="","",P35)</f>
        <v/>
      </c>
      <c r="Q71" s="15">
        <f>IF(Q35="","",Q35)</f>
        <v/>
      </c>
      <c r="R71" s="15">
        <f>IF(R35="","",R35)</f>
        <v/>
      </c>
      <c r="S71" s="15">
        <f>IF(S35="","",S35)</f>
        <v/>
      </c>
      <c r="T71" s="15">
        <f>IF(T35="","",T35)</f>
        <v/>
      </c>
      <c r="U71" s="15">
        <f>IF(U35="","",U35)</f>
        <v/>
      </c>
      <c r="V71" s="15">
        <f>IF(V35="","",V35)</f>
        <v/>
      </c>
      <c r="W71" s="15">
        <f>IF(W35="","",W35)</f>
        <v/>
      </c>
      <c r="X71" s="15">
        <f>IF(X35="","",X35)</f>
        <v/>
      </c>
      <c r="Y71" s="14">
        <f>IF(Y35="","",Y35)</f>
        <v/>
      </c>
      <c r="Z71" s="15">
        <f>IF(Z35="","",Z35)</f>
        <v/>
      </c>
      <c r="AA71" s="15">
        <f>IF(AA35="","",AA35)</f>
        <v/>
      </c>
      <c r="AB71" s="15">
        <f>IF(AB35="","",AB35)</f>
        <v/>
      </c>
      <c r="AC71" s="15">
        <f>IF(AC35="","",AC35)</f>
        <v/>
      </c>
    </row>
    <row r="72">
      <c r="A72" s="13" t="inlineStr">
        <is>
          <t>지배주주 순이익 증가율</t>
        </is>
      </c>
      <c r="B72" s="10" t="n"/>
      <c r="C72" s="14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4" t="n"/>
      <c r="P72" s="15">
        <f>IF(OR(P64="",O64=""),"",IFERROR(P64/O64-1,""))</f>
        <v/>
      </c>
      <c r="Q72" s="15">
        <f>IF(OR(Q64="",P64=""),"",IFERROR(Q64/P64-1,""))</f>
        <v/>
      </c>
      <c r="R72" s="15">
        <f>IF(OR(R64="",Q64=""),"",IFERROR(R64/Q64-1,""))</f>
        <v/>
      </c>
      <c r="S72" s="15">
        <f>IF(OR(S64="",R64=""),"",IFERROR(S64/R64-1,""))</f>
        <v/>
      </c>
      <c r="T72" s="15">
        <f>IF(OR(T64="",S64=""),"",IFERROR(T64/S64-1,""))</f>
        <v/>
      </c>
      <c r="U72" s="15">
        <f>IF(OR(U64="",T64=""),"",IFERROR(U64/T64-1,""))</f>
        <v/>
      </c>
      <c r="V72" s="15">
        <f>IF(OR(V64="",U64=""),"",IFERROR(V64/U64-1,""))</f>
        <v/>
      </c>
      <c r="W72" s="15">
        <f>IF(OR(W64="",V64=""),"",IFERROR(W64/V64-1,""))</f>
        <v/>
      </c>
      <c r="X72" s="15">
        <f>IF(OR(X64="",W64=""),"",IFERROR(X64/W64-1,""))</f>
        <v/>
      </c>
      <c r="Y72" s="14">
        <f>IF(OR(Y64="",X64=""),"",IFERROR(Y64/X64-1,""))</f>
        <v/>
      </c>
      <c r="Z72" s="15">
        <f>IF(OR(Z64="",Y64=""),"",IFERROR(Z64/Y64-1,""))</f>
        <v/>
      </c>
      <c r="AA72" s="15">
        <f>IF(OR(AA64="",Z64=""),"",IFERROR(AA64/Z64-1,""))</f>
        <v/>
      </c>
      <c r="AB72" s="15">
        <f>IF(OR(AB64="",AA64=""),"",IFERROR(AB64/AA64-1,""))</f>
        <v/>
      </c>
      <c r="AC72" s="15">
        <f>IF(OR(AC64="",AB64=""),"",IFERROR(AC64/AB64-1,""))</f>
        <v/>
      </c>
    </row>
    <row r="73">
      <c r="A73" s="18" t="inlineStr">
        <is>
          <t>P/E (현재 주가)</t>
        </is>
      </c>
      <c r="B73" s="10" t="inlineStr">
        <is>
          <t>시총 ÷ 지배순이익</t>
        </is>
      </c>
      <c r="C73" s="30" t="n"/>
      <c r="D73" s="31" t="n"/>
      <c r="E73" s="31" t="n"/>
      <c r="F73" s="31" t="n"/>
      <c r="G73" s="31" t="n"/>
      <c r="H73" s="31" t="n"/>
      <c r="I73" s="31" t="n"/>
      <c r="J73" s="31" t="n"/>
      <c r="K73" s="31" t="n"/>
      <c r="L73" s="31" t="n"/>
      <c r="M73" s="31" t="n"/>
      <c r="N73" s="31" t="n"/>
      <c r="O73" s="30" t="n"/>
      <c r="P73" s="31" t="n"/>
      <c r="Q73" s="31" t="n"/>
      <c r="R73" s="31" t="n"/>
      <c r="S73" s="31" t="n"/>
      <c r="T73" s="31" t="n"/>
      <c r="U73" s="31" t="n"/>
      <c r="V73" s="31" t="n"/>
      <c r="W73" s="31" t="n"/>
      <c r="X73" s="31">
        <f>IF(OR($B$70="",X64=""),"",IFERROR($B$70/X64,""))</f>
        <v/>
      </c>
      <c r="Y73" s="30">
        <f>IF(OR($B$70="",Y64=""),"",IFERROR($B$70/Y64,""))</f>
        <v/>
      </c>
      <c r="Z73" s="31">
        <f>IF(OR($B$70="",Z64=""),"",IFERROR($B$70/Z64,""))</f>
        <v/>
      </c>
      <c r="AA73" s="31">
        <f>IF(OR($B$70="",AA64=""),"",IFERROR($B$70/AA64,""))</f>
        <v/>
      </c>
      <c r="AB73" s="31">
        <f>IF(OR($B$70="",AB64=""),"",IFERROR($B$70/AB64,""))</f>
        <v/>
      </c>
      <c r="AC73" s="31">
        <f>IF(OR($B$70="",AC64=""),"",IFERROR($B$70/AC64,""))</f>
        <v/>
      </c>
    </row>
    <row r="74">
      <c r="A74" s="18" t="inlineStr">
        <is>
          <t>Target P/E</t>
        </is>
      </c>
      <c r="B74" s="10" t="inlineStr">
        <is>
          <t>직접 입력</t>
        </is>
      </c>
      <c r="C74" s="30" t="n"/>
      <c r="D74" s="31" t="n"/>
      <c r="E74" s="31" t="n"/>
      <c r="F74" s="31" t="n"/>
      <c r="G74" s="31" t="n"/>
      <c r="H74" s="31" t="n"/>
      <c r="I74" s="31" t="n"/>
      <c r="J74" s="31" t="n"/>
      <c r="K74" s="31" t="n"/>
      <c r="L74" s="31" t="n"/>
      <c r="M74" s="31" t="n"/>
      <c r="N74" s="31" t="n"/>
      <c r="O74" s="30" t="n"/>
      <c r="P74" s="31" t="n"/>
      <c r="Q74" s="31" t="n"/>
      <c r="R74" s="31" t="n"/>
      <c r="S74" s="31" t="n"/>
      <c r="T74" s="31" t="n"/>
      <c r="U74" s="31" t="n"/>
      <c r="V74" s="31" t="n"/>
      <c r="W74" s="31" t="n"/>
      <c r="X74" s="31" t="n"/>
      <c r="Y74" s="32" t="n"/>
      <c r="Z74" s="33" t="n"/>
      <c r="AA74" s="33" t="n"/>
      <c r="AB74" s="33" t="n"/>
      <c r="AC74" s="33" t="n"/>
    </row>
    <row r="75">
      <c r="A75" s="18" t="inlineStr">
        <is>
          <t>EPS</t>
        </is>
      </c>
      <c r="B75" s="10" t="inlineStr">
        <is>
          <t>지배순이익 ÷ 주식수</t>
        </is>
      </c>
      <c r="C75" s="28" t="n"/>
      <c r="D75" s="29" t="n"/>
      <c r="E75" s="29" t="n"/>
      <c r="F75" s="29" t="n"/>
      <c r="G75" s="29" t="n"/>
      <c r="H75" s="29" t="n"/>
      <c r="I75" s="29" t="n"/>
      <c r="J75" s="29" t="n"/>
      <c r="K75" s="29" t="n"/>
      <c r="L75" s="29" t="n"/>
      <c r="M75" s="29" t="n"/>
      <c r="N75" s="29" t="n"/>
      <c r="O75" s="28">
        <f>IF(OR(O64="",$B$69=""),"",IFERROR(O64*1000000.0/$B$69,""))</f>
        <v/>
      </c>
      <c r="P75" s="29">
        <f>IF(OR(P64="",$B$69=""),"",IFERROR(P64*1000000.0/$B$69,""))</f>
        <v/>
      </c>
      <c r="Q75" s="29">
        <f>IF(OR(Q64="",$B$69=""),"",IFERROR(Q64*1000000.0/$B$69,""))</f>
        <v/>
      </c>
      <c r="R75" s="29">
        <f>IF(OR(R64="",$B$69=""),"",IFERROR(R64*1000000.0/$B$69,""))</f>
        <v/>
      </c>
      <c r="S75" s="29">
        <f>IF(OR(S64="",$B$69=""),"",IFERROR(S64*1000000.0/$B$69,""))</f>
        <v/>
      </c>
      <c r="T75" s="29">
        <f>IF(OR(T64="",$B$69=""),"",IFERROR(T64*1000000.0/$B$69,""))</f>
        <v/>
      </c>
      <c r="U75" s="29">
        <f>IF(OR(U64="",$B$69=""),"",IFERROR(U64*1000000.0/$B$69,""))</f>
        <v/>
      </c>
      <c r="V75" s="29">
        <f>IF(OR(V64="",$B$69=""),"",IFERROR(V64*1000000.0/$B$69,""))</f>
        <v/>
      </c>
      <c r="W75" s="29">
        <f>IF(OR(W64="",$B$69=""),"",IFERROR(W64*1000000.0/$B$69,""))</f>
        <v/>
      </c>
      <c r="X75" s="29">
        <f>IF(OR(X64="",$B$69=""),"",IFERROR(X64*1000000.0/$B$69,""))</f>
        <v/>
      </c>
      <c r="Y75" s="28">
        <f>IF(OR(Y64="",$B$69=""),"",IFERROR(Y64*1000000.0/$B$69,""))</f>
        <v/>
      </c>
      <c r="Z75" s="29">
        <f>IF(OR(Z64="",$B$69=""),"",IFERROR(Z64*1000000.0/$B$69,""))</f>
        <v/>
      </c>
      <c r="AA75" s="29">
        <f>IF(OR(AA64="",$B$69=""),"",IFERROR(AA64*1000000.0/$B$69,""))</f>
        <v/>
      </c>
      <c r="AB75" s="29">
        <f>IF(OR(AB64="",$B$69=""),"",IFERROR(AB64*1000000.0/$B$69,""))</f>
        <v/>
      </c>
      <c r="AC75" s="29">
        <f>IF(OR(AC64="",$B$69=""),"",IFERROR(AC64*1000000.0/$B$69,""))</f>
        <v/>
      </c>
    </row>
    <row r="76">
      <c r="A76" s="9" t="inlineStr">
        <is>
          <t>목표주가</t>
        </is>
      </c>
      <c r="B76" s="10" t="n"/>
      <c r="C76" s="34" t="n"/>
      <c r="D76" s="27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34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34">
        <f>IF(OR(Y75="",Y74=""),"",IFERROR(Y75*Y74,""))</f>
        <v/>
      </c>
      <c r="Z76" s="27">
        <f>IF(OR(Z75="",Z74=""),"",IFERROR(Z75*Z74,""))</f>
        <v/>
      </c>
      <c r="AA76" s="27">
        <f>IF(OR(AA75="",AA74=""),"",IFERROR(AA75*AA74,""))</f>
        <v/>
      </c>
      <c r="AB76" s="27">
        <f>IF(OR(AB75="",AB74=""),"",IFERROR(AB75*AB74,""))</f>
        <v/>
      </c>
      <c r="AC76" s="27">
        <f>IF(OR(AC75="",AC74=""),"",IFERROR(AC75*AC74,""))</f>
        <v/>
      </c>
    </row>
    <row r="77">
      <c r="A77" s="18" t="inlineStr">
        <is>
          <t>상승여력</t>
        </is>
      </c>
      <c r="B77" s="10" t="n"/>
      <c r="C77" s="35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5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7">
        <f>IF(OR(Y76="",$B$68=""),"",IFERROR(Y76/$B$68-1,""))</f>
        <v/>
      </c>
      <c r="Z77" s="38">
        <f>IF(OR(Z76="",$B$68=""),"",IFERROR(Z76/$B$68-1,""))</f>
        <v/>
      </c>
      <c r="AA77" s="38">
        <f>IF(OR(AA76="",$B$68=""),"",IFERROR(AA76/$B$68-1,""))</f>
        <v/>
      </c>
      <c r="AB77" s="38">
        <f>IF(OR(AB76="",$B$68=""),"",IFERROR(AB76/$B$68-1,""))</f>
        <v/>
      </c>
      <c r="AC77" s="38">
        <f>IF(OR(AC76="",$B$68=""),"",IFERROR(AC76/$B$68-1,""))</f>
        <v/>
      </c>
    </row>
    <row r="78">
      <c r="A78" s="16" t="inlineStr">
        <is>
          <t>자산가치 산출</t>
        </is>
      </c>
      <c r="B78" s="16" t="inlineStr">
        <is>
          <t>최신 분기 BS</t>
        </is>
      </c>
      <c r="C78" s="17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7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7" t="n"/>
      <c r="Z78" s="16" t="n"/>
      <c r="AA78" s="16" t="n"/>
      <c r="AB78" s="16" t="n"/>
      <c r="AC78" s="16" t="n"/>
    </row>
    <row r="79">
      <c r="A79" s="18" t="inlineStr">
        <is>
          <t>현금및현금성자산</t>
        </is>
      </c>
      <c r="B79" s="10" t="n"/>
      <c r="C79" s="19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19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>
        <f>'재무상태표'!G6</f>
        <v/>
      </c>
      <c r="Y79" s="19">
        <f>'재무상태표'!G6</f>
        <v/>
      </c>
      <c r="Z79" s="20">
        <f>'재무상태표'!G6</f>
        <v/>
      </c>
      <c r="AA79" s="20">
        <f>'재무상태표'!G6</f>
        <v/>
      </c>
      <c r="AB79" s="20">
        <f>'재무상태표'!G6</f>
        <v/>
      </c>
      <c r="AC79" s="20">
        <f>'재무상태표'!G6</f>
        <v/>
      </c>
    </row>
    <row r="80">
      <c r="A80" s="18" t="inlineStr">
        <is>
          <t>단기금융상품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>
        <f>'재무상태표'!G7</f>
        <v/>
      </c>
      <c r="Y80" s="19">
        <f>'재무상태표'!G7</f>
        <v/>
      </c>
      <c r="Z80" s="20">
        <f>'재무상태표'!G7</f>
        <v/>
      </c>
      <c r="AA80" s="20">
        <f>'재무상태표'!G7</f>
        <v/>
      </c>
      <c r="AB80" s="20">
        <f>'재무상태표'!G7</f>
        <v/>
      </c>
      <c r="AC80" s="20">
        <f>'재무상태표'!G7</f>
        <v/>
      </c>
    </row>
    <row r="81">
      <c r="A81" s="18" t="inlineStr">
        <is>
          <t>투자부동산</t>
        </is>
      </c>
      <c r="B81" s="10" t="n"/>
      <c r="C81" s="19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19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>
        <f>'재무상태표'!G14</f>
        <v/>
      </c>
      <c r="Y81" s="19">
        <f>'재무상태표'!G14</f>
        <v/>
      </c>
      <c r="Z81" s="20">
        <f>'재무상태표'!G14</f>
        <v/>
      </c>
      <c r="AA81" s="20">
        <f>'재무상태표'!G14</f>
        <v/>
      </c>
      <c r="AB81" s="20">
        <f>'재무상태표'!G14</f>
        <v/>
      </c>
      <c r="AC81" s="20">
        <f>'재무상태표'!G14</f>
        <v/>
      </c>
    </row>
    <row r="82">
      <c r="A82" s="18" t="inlineStr">
        <is>
          <t>지배자본</t>
        </is>
      </c>
      <c r="B82" s="10" t="n"/>
      <c r="C82" s="19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19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>
        <f>'재무상태표'!G31</f>
        <v/>
      </c>
      <c r="Y82" s="19">
        <f>'재무상태표'!G31</f>
        <v/>
      </c>
      <c r="Z82" s="20">
        <f>'재무상태표'!G31</f>
        <v/>
      </c>
      <c r="AA82" s="20">
        <f>'재무상태표'!G31</f>
        <v/>
      </c>
      <c r="AB82" s="20">
        <f>'재무상태표'!G31</f>
        <v/>
      </c>
      <c r="AC82" s="20">
        <f>'재무상태표'!G31</f>
        <v/>
      </c>
    </row>
    <row r="83">
      <c r="A83" s="18" t="inlineStr">
        <is>
          <t>부채</t>
        </is>
      </c>
      <c r="B83" s="10" t="n"/>
      <c r="C83" s="19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19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>
        <f>'재무상태표'!G27</f>
        <v/>
      </c>
      <c r="Y83" s="19">
        <f>'재무상태표'!G27</f>
        <v/>
      </c>
      <c r="Z83" s="20">
        <f>'재무상태표'!G27</f>
        <v/>
      </c>
      <c r="AA83" s="20">
        <f>'재무상태표'!G27</f>
        <v/>
      </c>
      <c r="AB83" s="20">
        <f>'재무상태표'!G27</f>
        <v/>
      </c>
      <c r="AC83" s="20">
        <f>'재무상태표'!G27</f>
        <v/>
      </c>
    </row>
    <row r="84">
      <c r="A84" s="13" t="inlineStr">
        <is>
          <t>부채비율</t>
        </is>
      </c>
      <c r="B84" s="10" t="n"/>
      <c r="C84" s="14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4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>
        <f>IF(OR(X83="",X82=""),"",IFERROR(X83/X82,""))</f>
        <v/>
      </c>
      <c r="Y84" s="14">
        <f>IF(OR(Y83="",Y82=""),"",IFERROR(Y83/Y82,""))</f>
        <v/>
      </c>
      <c r="Z84" s="15">
        <f>IF(OR(Z83="",Z82=""),"",IFERROR(Z83/Z82,""))</f>
        <v/>
      </c>
      <c r="AA84" s="15">
        <f>IF(OR(AA83="",AA82=""),"",IFERROR(AA83/AA82,""))</f>
        <v/>
      </c>
      <c r="AB84" s="15">
        <f>IF(OR(AB83="",AB82=""),"",IFERROR(AB83/AB82,""))</f>
        <v/>
      </c>
      <c r="AC84" s="15">
        <f>IF(OR(AC83="",AC82=""),"",IFERROR(AC83/AC82,""))</f>
        <v/>
      </c>
    </row>
    <row r="85">
      <c r="A85" s="9" t="inlineStr">
        <is>
          <t>자산가치</t>
        </is>
      </c>
      <c r="B85" s="10" t="inlineStr">
        <is>
          <t>현금+단기금융+투자부동산</t>
        </is>
      </c>
      <c r="C85" s="11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1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>
        <f>SUM(X79,X80,X81)</f>
        <v/>
      </c>
      <c r="Y85" s="11">
        <f>SUM(Y79,Y80,Y81)</f>
        <v/>
      </c>
      <c r="Z85" s="12">
        <f>SUM(Z79,Z80,Z81)</f>
        <v/>
      </c>
      <c r="AA85" s="12">
        <f>SUM(AA79,AA80,AA81)</f>
        <v/>
      </c>
      <c r="AB85" s="12">
        <f>SUM(AB79,AB80,AB81)</f>
        <v/>
      </c>
      <c r="AC85" s="12">
        <f>SUM(AC79,AC80,AC81)</f>
        <v/>
      </c>
    </row>
    <row r="86">
      <c r="A86" s="16" t="inlineStr">
        <is>
          <t>기업가치 산출</t>
        </is>
      </c>
      <c r="B86" s="16" t="n"/>
      <c r="C86" s="17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7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7" t="n"/>
      <c r="Z86" s="16" t="n"/>
      <c r="AA86" s="16" t="n"/>
      <c r="AB86" s="16" t="n"/>
      <c r="AC86" s="16" t="n"/>
    </row>
    <row r="87">
      <c r="A87" s="18" t="inlineStr">
        <is>
          <t>목표 시가총액 (P/E)</t>
        </is>
      </c>
      <c r="B87" s="10" t="inlineStr">
        <is>
          <t>지배순이익 × Target P/E</t>
        </is>
      </c>
      <c r="C87" s="19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19" t="n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 t="n"/>
      <c r="Y87" s="19">
        <f>IF(OR(Y64="",Y74=""),"",IFERROR(Y64*Y74,""))</f>
        <v/>
      </c>
      <c r="Z87" s="20">
        <f>IF(OR(Z64="",Z74=""),"",IFERROR(Z64*Z74,""))</f>
        <v/>
      </c>
      <c r="AA87" s="20">
        <f>IF(OR(AA64="",AA74=""),"",IFERROR(AA64*AA74,""))</f>
        <v/>
      </c>
      <c r="AB87" s="20">
        <f>IF(OR(AB64="",AB74=""),"",IFERROR(AB64*AB74,""))</f>
        <v/>
      </c>
      <c r="AC87" s="20">
        <f>IF(OR(AC64="",AC74=""),"",IFERROR(AC64*AC74,""))</f>
        <v/>
      </c>
    </row>
    <row r="88">
      <c r="A88" s="9" t="inlineStr">
        <is>
          <t>기업가치</t>
        </is>
      </c>
      <c r="B88" s="10" t="inlineStr">
        <is>
          <t>목표시총 + 자산가치</t>
        </is>
      </c>
      <c r="C88" s="11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1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1">
        <f>IF(OR(Y87=""),"",IFERROR(Y87+Y85,""))</f>
        <v/>
      </c>
      <c r="Z88" s="12">
        <f>IF(OR(Z87=""),"",IFERROR(Z87+Z85,""))</f>
        <v/>
      </c>
      <c r="AA88" s="12">
        <f>IF(OR(AA87=""),"",IFERROR(AA87+AA85,""))</f>
        <v/>
      </c>
      <c r="AB88" s="12">
        <f>IF(OR(AB87=""),"",IFERROR(AB87+AB85,""))</f>
        <v/>
      </c>
      <c r="AC88" s="12">
        <f>IF(OR(AC87=""),"",IFERROR(AC87+AC85,""))</f>
        <v/>
      </c>
    </row>
    <row r="89">
      <c r="A89" s="18" t="inlineStr">
        <is>
          <t>현재 시가총액</t>
        </is>
      </c>
      <c r="B89" s="10" t="n"/>
      <c r="C89" s="19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19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19">
        <f>$B$70</f>
        <v/>
      </c>
      <c r="Z89" s="20">
        <f>$B$70</f>
        <v/>
      </c>
      <c r="AA89" s="20">
        <f>$B$70</f>
        <v/>
      </c>
      <c r="AB89" s="20">
        <f>$B$70</f>
        <v/>
      </c>
      <c r="AC89" s="20">
        <f>$B$70</f>
        <v/>
      </c>
    </row>
    <row r="90">
      <c r="A90" s="18" t="inlineStr">
        <is>
          <t>상승여력</t>
        </is>
      </c>
      <c r="B90" s="10" t="n"/>
      <c r="C90" s="35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5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7">
        <f>IF(OR(Y88="",Y89=""),"",IFERROR(Y88/Y89-1,""))</f>
        <v/>
      </c>
      <c r="Z90" s="38">
        <f>IF(OR(Z88="",Z89=""),"",IFERROR(Z88/Z89-1,""))</f>
        <v/>
      </c>
      <c r="AA90" s="38">
        <f>IF(OR(AA88="",AA89=""),"",IFERROR(AA88/AA89-1,""))</f>
        <v/>
      </c>
      <c r="AB90" s="38">
        <f>IF(OR(AB88="",AB89=""),"",IFERROR(AB88/AB89-1,""))</f>
        <v/>
      </c>
      <c r="AC90" s="38">
        <f>IF(OR(AC88="",AC89=""),"",IFERROR(AC88/AC89-1,""))</f>
        <v/>
      </c>
    </row>
    <row r="91">
      <c r="C91" s="39" t="n"/>
      <c r="O91" s="39" t="n"/>
      <c r="Y91" s="39" t="n"/>
    </row>
    <row r="92">
      <c r="A92" s="40" t="inlineStr">
        <is>
          <t>출처</t>
        </is>
      </c>
      <c r="C92" s="39" t="n"/>
      <c r="O92" s="39" t="n"/>
      <c r="Y92" s="39" t="n"/>
    </row>
    <row r="93">
      <c r="A93" s="41" t="inlineStr">
        <is>
          <t>결산단신 XBRL(TDnet·JPX 보관소) — 쓴 문서는 '출처' 시트</t>
        </is>
      </c>
      <c r="C93" s="39" t="n"/>
      <c r="O93" s="39" t="n"/>
      <c r="Y93" s="39" t="n"/>
    </row>
    <row r="94">
      <c r="A94" s="41" t="inlineStr">
        <is>
          <t>분기 = 누계에서 앞 분기를 뺀 3개월 값</t>
        </is>
      </c>
      <c r="C94" s="39" t="n"/>
      <c r="O94" s="39" t="n"/>
      <c r="Y94" s="39" t="n"/>
    </row>
    <row r="95">
      <c r="A95" s="41" t="inlineStr">
        <is>
          <t>주가: 야후 파이낸스 일봉</t>
        </is>
      </c>
      <c r="C95" s="39" t="n"/>
      <c r="O95" s="39" t="n"/>
      <c r="Y95" s="39" t="n"/>
    </row>
    <row r="97">
      <c r="A97" s="16" t="inlineStr">
        <is>
          <t>손익계산서 · 전 항목</t>
        </is>
      </c>
      <c r="B97" s="42" t="inlineStr">
        <is>
          <t>분기 = 3개월 단독</t>
        </is>
      </c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</row>
    <row r="98">
      <c r="A98" s="5" t="inlineStr">
        <is>
          <t>항목</t>
        </is>
      </c>
      <c r="B98" s="5" t="inlineStr">
        <is>
          <t>참고</t>
        </is>
      </c>
      <c r="C98" s="5" t="inlineStr">
        <is>
          <t>2024.2Q</t>
        </is>
      </c>
      <c r="D98" s="5" t="inlineStr">
        <is>
          <t>2024.3Q</t>
        </is>
      </c>
      <c r="E98" s="5" t="inlineStr">
        <is>
          <t>2024.4Q</t>
        </is>
      </c>
      <c r="F98" s="5" t="inlineStr">
        <is>
          <t>2025.1Q</t>
        </is>
      </c>
      <c r="G98" s="5" t="inlineStr">
        <is>
          <t>2025.2Q</t>
        </is>
      </c>
      <c r="H98" s="5" t="inlineStr">
        <is>
          <t>2025.3Q</t>
        </is>
      </c>
      <c r="I98" s="5" t="inlineStr">
        <is>
          <t>2025.4Q</t>
        </is>
      </c>
      <c r="J98" s="5" t="inlineStr">
        <is>
          <t>2026.1Q</t>
        </is>
      </c>
      <c r="K98" s="5" t="inlineStr">
        <is>
          <t>2026.2Q</t>
        </is>
      </c>
      <c r="L98" s="5" t="inlineStr">
        <is>
          <t>2026.3Q</t>
        </is>
      </c>
      <c r="M98" s="5" t="inlineStr">
        <is>
          <t>2026.4Q</t>
        </is>
      </c>
      <c r="N98" s="5" t="inlineStr">
        <is>
          <t>2027.1Q</t>
        </is>
      </c>
      <c r="O98" s="5" t="inlineStr">
        <is>
          <t>2017</t>
        </is>
      </c>
      <c r="P98" s="5" t="inlineStr">
        <is>
          <t>2018</t>
        </is>
      </c>
      <c r="Q98" s="5" t="inlineStr">
        <is>
          <t>2019</t>
        </is>
      </c>
      <c r="R98" s="5" t="inlineStr">
        <is>
          <t>2020</t>
        </is>
      </c>
      <c r="S98" s="5" t="inlineStr">
        <is>
          <t>2021</t>
        </is>
      </c>
      <c r="T98" s="5" t="inlineStr">
        <is>
          <t>2022</t>
        </is>
      </c>
      <c r="U98" s="5" t="inlineStr">
        <is>
          <t>2023</t>
        </is>
      </c>
      <c r="V98" s="5" t="inlineStr">
        <is>
          <t>2024</t>
        </is>
      </c>
      <c r="W98" s="5" t="inlineStr">
        <is>
          <t>2025</t>
        </is>
      </c>
      <c r="X98" s="5" t="inlineStr">
        <is>
          <t>2026</t>
        </is>
      </c>
      <c r="Y98" s="5" t="inlineStr">
        <is>
          <t>2027(MW)</t>
        </is>
      </c>
      <c r="Z98" s="5" t="inlineStr">
        <is>
          <t>2028(MW)</t>
        </is>
      </c>
      <c r="AA98" s="5" t="inlineStr">
        <is>
          <t>2029(MW)</t>
        </is>
      </c>
      <c r="AB98" s="5" t="inlineStr">
        <is>
          <t>2030(MW)</t>
        </is>
      </c>
      <c r="AC98" s="5" t="inlineStr">
        <is>
          <t>2031(MW)</t>
        </is>
      </c>
    </row>
    <row r="99">
      <c r="A99" s="9" t="inlineStr">
        <is>
          <t>매출액</t>
        </is>
      </c>
      <c r="C99" s="12" t="n">
        <v>52976</v>
      </c>
      <c r="D99" s="12" t="n">
        <v>64173</v>
      </c>
      <c r="E99" s="12" t="n">
        <v>48075</v>
      </c>
      <c r="F99" s="12" t="n">
        <v>53586</v>
      </c>
      <c r="G99" s="12" t="n">
        <v>67123</v>
      </c>
      <c r="H99" s="12" t="n">
        <v>74263</v>
      </c>
      <c r="I99" s="12" t="n">
        <v>55263</v>
      </c>
      <c r="J99" s="12" t="n">
        <v>59479</v>
      </c>
      <c r="K99" s="12" t="n">
        <v>68405</v>
      </c>
      <c r="L99" s="12" t="n">
        <v>80754</v>
      </c>
      <c r="M99" s="12" t="n">
        <v>61817</v>
      </c>
      <c r="N99" s="12" t="n">
        <v>64047</v>
      </c>
      <c r="T99" s="12" t="n">
        <v>34236</v>
      </c>
      <c r="U99" s="12" t="n">
        <v>38537</v>
      </c>
      <c r="V99" s="12" t="n">
        <v>48075</v>
      </c>
      <c r="W99" s="12" t="n">
        <v>55263</v>
      </c>
      <c r="X99" s="12" t="n">
        <v>61817</v>
      </c>
    </row>
    <row r="100">
      <c r="A100" s="43" t="inlineStr">
        <is>
          <t>YoY</t>
        </is>
      </c>
      <c r="B100" s="3" t="inlineStr">
        <is>
          <t>전년 같은 분기·전년 대비</t>
        </is>
      </c>
      <c r="G100" s="15">
        <f>IF(OR(G99="",C99=""),"",IF(C99&lt;=0,"",IFERROR(G99/C99-1,"")))</f>
        <v/>
      </c>
      <c r="H100" s="15">
        <f>IF(OR(H99="",D99=""),"",IF(D99&lt;=0,"",IFERROR(H99/D99-1,"")))</f>
        <v/>
      </c>
      <c r="I100" s="15">
        <f>IF(OR(I99="",E99=""),"",IF(E99&lt;=0,"",IFERROR(I99/E99-1,"")))</f>
        <v/>
      </c>
      <c r="J100" s="15">
        <f>IF(OR(J99="",F99=""),"",IF(F99&lt;=0,"",IFERROR(J99/F99-1,"")))</f>
        <v/>
      </c>
      <c r="K100" s="15">
        <f>IF(OR(K99="",G99=""),"",IF(G99&lt;=0,"",IFERROR(K99/G99-1,"")))</f>
        <v/>
      </c>
      <c r="L100" s="15">
        <f>IF(OR(L99="",H99=""),"",IF(H99&lt;=0,"",IFERROR(L99/H99-1,"")))</f>
        <v/>
      </c>
      <c r="M100" s="15">
        <f>IF(OR(M99="",I99=""),"",IF(I99&lt;=0,"",IFERROR(M99/I99-1,"")))</f>
        <v/>
      </c>
      <c r="N100" s="15">
        <f>IF(OR(N99="",J99=""),"",IF(J99&lt;=0,"",IFERROR(N99/J99-1,"")))</f>
        <v/>
      </c>
      <c r="T100" s="15">
        <f>IF(OR(T99="",S99=""),"",IF(S99&lt;=0,"",IFERROR(T99/S99-1,"")))</f>
        <v/>
      </c>
      <c r="U100" s="15">
        <f>IF(OR(U99="",T99=""),"",IF(T99&lt;=0,"",IFERROR(U99/T99-1,"")))</f>
        <v/>
      </c>
      <c r="V100" s="15">
        <f>IF(OR(V99="",U99=""),"",IF(U99&lt;=0,"",IFERROR(V99/U99-1,"")))</f>
        <v/>
      </c>
      <c r="W100" s="15">
        <f>IF(OR(W99="",V99=""),"",IF(V99&lt;=0,"",IFERROR(W99/V99-1,"")))</f>
        <v/>
      </c>
      <c r="X100" s="15">
        <f>IF(OR(X99="",W99=""),"",IF(W99&lt;=0,"",IFERROR(X99/W99-1,"")))</f>
        <v/>
      </c>
    </row>
    <row r="101">
      <c r="A101" s="18" t="inlineStr">
        <is>
          <t>매출원가</t>
        </is>
      </c>
      <c r="C101" s="20" t="n">
        <v>31915</v>
      </c>
      <c r="D101" s="20" t="n">
        <v>36217</v>
      </c>
      <c r="E101" s="20" t="n">
        <v>29125</v>
      </c>
      <c r="F101" s="20" t="n">
        <v>32721</v>
      </c>
      <c r="G101" s="20" t="n">
        <v>39564</v>
      </c>
      <c r="H101" s="20" t="n">
        <v>42667</v>
      </c>
      <c r="I101" s="20" t="n">
        <v>33934</v>
      </c>
      <c r="J101" s="20" t="n">
        <v>36122</v>
      </c>
      <c r="K101" s="20" t="n">
        <v>40529</v>
      </c>
      <c r="L101" s="20" t="n">
        <v>47062</v>
      </c>
      <c r="M101" s="20" t="n">
        <v>37830</v>
      </c>
      <c r="N101" s="20" t="n">
        <v>36946</v>
      </c>
      <c r="T101" s="20" t="n">
        <v>21733</v>
      </c>
      <c r="U101" s="20" t="n">
        <v>24581</v>
      </c>
      <c r="V101" s="20" t="n">
        <v>29125</v>
      </c>
      <c r="W101" s="20" t="n">
        <v>33934</v>
      </c>
      <c r="X101" s="20" t="n">
        <v>37830</v>
      </c>
    </row>
    <row r="102">
      <c r="A102" s="43" t="inlineStr">
        <is>
          <t>YoY</t>
        </is>
      </c>
      <c r="B102" s="3" t="inlineStr">
        <is>
          <t>전년 같은 분기·전년 대비</t>
        </is>
      </c>
      <c r="G102" s="15">
        <f>IF(OR(G101="",C101=""),"",IF(G101*C101&lt;=0,"",IFERROR(G101/C101-1,"")))</f>
        <v/>
      </c>
      <c r="H102" s="15">
        <f>IF(OR(H101="",D101=""),"",IF(H101*D101&lt;=0,"",IFERROR(H101/D101-1,"")))</f>
        <v/>
      </c>
      <c r="I102" s="15">
        <f>IF(OR(I101="",E101=""),"",IF(I101*E101&lt;=0,"",IFERROR(I101/E101-1,"")))</f>
        <v/>
      </c>
      <c r="J102" s="15">
        <f>IF(OR(J101="",F101=""),"",IF(J101*F101&lt;=0,"",IFERROR(J101/F101-1,"")))</f>
        <v/>
      </c>
      <c r="K102" s="15">
        <f>IF(OR(K101="",G101=""),"",IF(K101*G101&lt;=0,"",IFERROR(K101/G101-1,"")))</f>
        <v/>
      </c>
      <c r="L102" s="15">
        <f>IF(OR(L101="",H101=""),"",IF(L101*H101&lt;=0,"",IFERROR(L101/H101-1,"")))</f>
        <v/>
      </c>
      <c r="M102" s="15">
        <f>IF(OR(M101="",I101=""),"",IF(M101*I101&lt;=0,"",IFERROR(M101/I101-1,"")))</f>
        <v/>
      </c>
      <c r="N102" s="15">
        <f>IF(OR(N101="",J101=""),"",IF(N101*J101&lt;=0,"",IFERROR(N101/J101-1,"")))</f>
        <v/>
      </c>
      <c r="T102" s="15">
        <f>IF(OR(T101="",S101=""),"",IF(T101*S101&lt;=0,"",IFERROR(T101/S101-1,"")))</f>
        <v/>
      </c>
      <c r="U102" s="15">
        <f>IF(OR(U101="",T101=""),"",IF(U101*T101&lt;=0,"",IFERROR(U101/T101-1,"")))</f>
        <v/>
      </c>
      <c r="V102" s="15">
        <f>IF(OR(V101="",U101=""),"",IF(V101*U101&lt;=0,"",IFERROR(V101/U101-1,"")))</f>
        <v/>
      </c>
      <c r="W102" s="15">
        <f>IF(OR(W101="",V101=""),"",IF(W101*V101&lt;=0,"",IFERROR(W101/V101-1,"")))</f>
        <v/>
      </c>
      <c r="X102" s="15">
        <f>IF(OR(X101="",W101=""),"",IF(X101*W101&lt;=0,"",IFERROR(X101/W101-1,"")))</f>
        <v/>
      </c>
    </row>
    <row r="103">
      <c r="A103" s="9" t="inlineStr">
        <is>
          <t>매출총이익</t>
        </is>
      </c>
      <c r="C103" s="12" t="n">
        <v>21060</v>
      </c>
      <c r="D103" s="12" t="n">
        <v>27957</v>
      </c>
      <c r="E103" s="12" t="n">
        <v>18950</v>
      </c>
      <c r="F103" s="12" t="n">
        <v>20865</v>
      </c>
      <c r="G103" s="12" t="n">
        <v>27558</v>
      </c>
      <c r="H103" s="12" t="n">
        <v>31596</v>
      </c>
      <c r="I103" s="12" t="n">
        <v>21330</v>
      </c>
      <c r="J103" s="12" t="n">
        <v>23357</v>
      </c>
      <c r="K103" s="12" t="n">
        <v>27875</v>
      </c>
      <c r="L103" s="12" t="n">
        <v>33693</v>
      </c>
      <c r="M103" s="12" t="n">
        <v>23987</v>
      </c>
      <c r="N103" s="12" t="n">
        <v>27101</v>
      </c>
      <c r="T103" s="12" t="n">
        <v>12503</v>
      </c>
      <c r="U103" s="12" t="n">
        <v>13956</v>
      </c>
      <c r="V103" s="12" t="n">
        <v>18950</v>
      </c>
      <c r="W103" s="12" t="n">
        <v>21330</v>
      </c>
      <c r="X103" s="12" t="n">
        <v>23987</v>
      </c>
    </row>
    <row r="104">
      <c r="A104" s="43" t="inlineStr">
        <is>
          <t>YoY</t>
        </is>
      </c>
      <c r="B104" s="3" t="inlineStr">
        <is>
          <t>전년 같은 분기·전년 대비</t>
        </is>
      </c>
      <c r="G104" s="15">
        <f>IF(OR(G103="",C103=""),"",IF(C103&lt;=0,"",IFERROR(G103/C103-1,"")))</f>
        <v/>
      </c>
      <c r="H104" s="15">
        <f>IF(OR(H103="",D103=""),"",IF(D103&lt;=0,"",IFERROR(H103/D103-1,"")))</f>
        <v/>
      </c>
      <c r="I104" s="15">
        <f>IF(OR(I103="",E103=""),"",IF(E103&lt;=0,"",IFERROR(I103/E103-1,"")))</f>
        <v/>
      </c>
      <c r="J104" s="15">
        <f>IF(OR(J103="",F103=""),"",IF(F103&lt;=0,"",IFERROR(J103/F103-1,"")))</f>
        <v/>
      </c>
      <c r="K104" s="15">
        <f>IF(OR(K103="",G103=""),"",IF(G103&lt;=0,"",IFERROR(K103/G103-1,"")))</f>
        <v/>
      </c>
      <c r="L104" s="15">
        <f>IF(OR(L103="",H103=""),"",IF(H103&lt;=0,"",IFERROR(L103/H103-1,"")))</f>
        <v/>
      </c>
      <c r="M104" s="15">
        <f>IF(OR(M103="",I103=""),"",IF(I103&lt;=0,"",IFERROR(M103/I103-1,"")))</f>
        <v/>
      </c>
      <c r="N104" s="15">
        <f>IF(OR(N103="",J103=""),"",IF(J103&lt;=0,"",IFERROR(N103/J103-1,"")))</f>
        <v/>
      </c>
      <c r="T104" s="15">
        <f>IF(OR(T103="",S103=""),"",IF(S103&lt;=0,"",IFERROR(T103/S103-1,"")))</f>
        <v/>
      </c>
      <c r="U104" s="15">
        <f>IF(OR(U103="",T103=""),"",IF(T103&lt;=0,"",IFERROR(U103/T103-1,"")))</f>
        <v/>
      </c>
      <c r="V104" s="15">
        <f>IF(OR(V103="",U103=""),"",IF(U103&lt;=0,"",IFERROR(V103/U103-1,"")))</f>
        <v/>
      </c>
      <c r="W104" s="15">
        <f>IF(OR(W103="",V103=""),"",IF(V103&lt;=0,"",IFERROR(W103/V103-1,"")))</f>
        <v/>
      </c>
      <c r="X104" s="15">
        <f>IF(OR(X103="",W103=""),"",IF(W103&lt;=0,"",IFERROR(X103/W103-1,"")))</f>
        <v/>
      </c>
    </row>
    <row r="105">
      <c r="A105" s="18" t="inlineStr">
        <is>
          <t>판매비와 관리비</t>
        </is>
      </c>
      <c r="C105" s="20" t="n">
        <v>15553</v>
      </c>
      <c r="D105" s="20" t="n">
        <v>18703</v>
      </c>
      <c r="E105" s="20" t="n">
        <v>17399</v>
      </c>
      <c r="F105" s="20" t="n">
        <v>16707</v>
      </c>
      <c r="G105" s="20" t="n">
        <v>19355</v>
      </c>
      <c r="H105" s="20" t="n">
        <v>20872</v>
      </c>
      <c r="I105" s="20" t="n">
        <v>19544</v>
      </c>
      <c r="J105" s="20" t="n">
        <v>18760</v>
      </c>
      <c r="K105" s="20" t="n">
        <v>20742</v>
      </c>
      <c r="L105" s="20" t="n">
        <v>23827</v>
      </c>
      <c r="M105" s="20" t="n">
        <v>21337</v>
      </c>
      <c r="N105" s="20" t="n">
        <v>21588</v>
      </c>
      <c r="T105" s="20" t="n">
        <v>13571</v>
      </c>
      <c r="U105" s="20" t="n">
        <v>13889</v>
      </c>
      <c r="V105" s="20" t="n">
        <v>17399</v>
      </c>
      <c r="W105" s="20" t="n">
        <v>19544</v>
      </c>
      <c r="X105" s="20" t="n">
        <v>21337</v>
      </c>
    </row>
    <row r="106">
      <c r="A106" s="43" t="inlineStr">
        <is>
          <t>YoY</t>
        </is>
      </c>
      <c r="B106" s="3" t="inlineStr">
        <is>
          <t>전년 같은 분기·전년 대비</t>
        </is>
      </c>
      <c r="G106" s="15">
        <f>IF(OR(G105="",C105=""),"",IF(G105*C105&lt;=0,"",IFERROR(G105/C105-1,"")))</f>
        <v/>
      </c>
      <c r="H106" s="15">
        <f>IF(OR(H105="",D105=""),"",IF(H105*D105&lt;=0,"",IFERROR(H105/D105-1,"")))</f>
        <v/>
      </c>
      <c r="I106" s="15">
        <f>IF(OR(I105="",E105=""),"",IF(I105*E105&lt;=0,"",IFERROR(I105/E105-1,"")))</f>
        <v/>
      </c>
      <c r="J106" s="15">
        <f>IF(OR(J105="",F105=""),"",IF(J105*F105&lt;=0,"",IFERROR(J105/F105-1,"")))</f>
        <v/>
      </c>
      <c r="K106" s="15">
        <f>IF(OR(K105="",G105=""),"",IF(K105*G105&lt;=0,"",IFERROR(K105/G105-1,"")))</f>
        <v/>
      </c>
      <c r="L106" s="15">
        <f>IF(OR(L105="",H105=""),"",IF(L105*H105&lt;=0,"",IFERROR(L105/H105-1,"")))</f>
        <v/>
      </c>
      <c r="M106" s="15">
        <f>IF(OR(M105="",I105=""),"",IF(M105*I105&lt;=0,"",IFERROR(M105/I105-1,"")))</f>
        <v/>
      </c>
      <c r="N106" s="15">
        <f>IF(OR(N105="",J105=""),"",IF(N105*J105&lt;=0,"",IFERROR(N105/J105-1,"")))</f>
        <v/>
      </c>
      <c r="T106" s="15">
        <f>IF(OR(T105="",S105=""),"",IF(T105*S105&lt;=0,"",IFERROR(T105/S105-1,"")))</f>
        <v/>
      </c>
      <c r="U106" s="15">
        <f>IF(OR(U105="",T105=""),"",IF(U105*T105&lt;=0,"",IFERROR(U105/T105-1,"")))</f>
        <v/>
      </c>
      <c r="V106" s="15">
        <f>IF(OR(V105="",U105=""),"",IF(V105*U105&lt;=0,"",IFERROR(V105/U105-1,"")))</f>
        <v/>
      </c>
      <c r="W106" s="15">
        <f>IF(OR(W105="",V105=""),"",IF(W105*V105&lt;=0,"",IFERROR(W105/V105-1,"")))</f>
        <v/>
      </c>
      <c r="X106" s="15">
        <f>IF(OR(X105="",W105=""),"",IF(X105*W105&lt;=0,"",IFERROR(X105/W105-1,"")))</f>
        <v/>
      </c>
    </row>
    <row r="107">
      <c r="A107" s="9" t="inlineStr">
        <is>
          <t>영업이익</t>
        </is>
      </c>
      <c r="C107" s="12" t="n">
        <v>5507</v>
      </c>
      <c r="D107" s="12" t="n">
        <v>9254</v>
      </c>
      <c r="E107" s="12" t="n">
        <v>1551</v>
      </c>
      <c r="F107" s="12" t="n">
        <v>4157</v>
      </c>
      <c r="G107" s="12" t="n">
        <v>8204</v>
      </c>
      <c r="H107" s="12" t="n">
        <v>10723</v>
      </c>
      <c r="I107" s="12" t="n">
        <v>1786</v>
      </c>
      <c r="J107" s="12" t="n">
        <v>4597</v>
      </c>
      <c r="K107" s="12" t="n">
        <v>7133</v>
      </c>
      <c r="L107" s="12" t="n">
        <v>9865</v>
      </c>
      <c r="M107" s="12" t="n">
        <v>2651</v>
      </c>
      <c r="N107" s="12" t="n">
        <v>5512</v>
      </c>
      <c r="T107" s="12" t="n">
        <v>-1068</v>
      </c>
      <c r="U107" s="12" t="n">
        <v>67</v>
      </c>
      <c r="V107" s="12" t="n">
        <v>1551</v>
      </c>
      <c r="W107" s="12" t="n">
        <v>1786</v>
      </c>
      <c r="X107" s="12" t="n">
        <v>2651</v>
      </c>
    </row>
    <row r="108">
      <c r="A108" s="43" t="inlineStr">
        <is>
          <t>OPM</t>
        </is>
      </c>
      <c r="B108" s="3" t="inlineStr">
        <is>
          <t>영업이익 ÷ 매출</t>
        </is>
      </c>
      <c r="C108" s="15">
        <f>IF(OR(C107="",C99=""),"",IF(C99&lt;=0,"",IFERROR(C107/C99,"")))</f>
        <v/>
      </c>
      <c r="D108" s="15">
        <f>IF(OR(D107="",D99=""),"",IF(D99&lt;=0,"",IFERROR(D107/D99,"")))</f>
        <v/>
      </c>
      <c r="E108" s="15">
        <f>IF(OR(E107="",E99=""),"",IF(E99&lt;=0,"",IFERROR(E107/E99,"")))</f>
        <v/>
      </c>
      <c r="F108" s="15">
        <f>IF(OR(F107="",F99=""),"",IF(F99&lt;=0,"",IFERROR(F107/F99,"")))</f>
        <v/>
      </c>
      <c r="G108" s="15">
        <f>IF(OR(G107="",G99=""),"",IF(G99&lt;=0,"",IFERROR(G107/G99,"")))</f>
        <v/>
      </c>
      <c r="H108" s="15">
        <f>IF(OR(H107="",H99=""),"",IF(H99&lt;=0,"",IFERROR(H107/H99,"")))</f>
        <v/>
      </c>
      <c r="I108" s="15">
        <f>IF(OR(I107="",I99=""),"",IF(I99&lt;=0,"",IFERROR(I107/I99,"")))</f>
        <v/>
      </c>
      <c r="J108" s="15">
        <f>IF(OR(J107="",J99=""),"",IF(J99&lt;=0,"",IFERROR(J107/J99,"")))</f>
        <v/>
      </c>
      <c r="K108" s="15">
        <f>IF(OR(K107="",K99=""),"",IF(K99&lt;=0,"",IFERROR(K107/K99,"")))</f>
        <v/>
      </c>
      <c r="L108" s="15">
        <f>IF(OR(L107="",L99=""),"",IF(L99&lt;=0,"",IFERROR(L107/L99,"")))</f>
        <v/>
      </c>
      <c r="M108" s="15">
        <f>IF(OR(M107="",M99=""),"",IF(M99&lt;=0,"",IFERROR(M107/M99,"")))</f>
        <v/>
      </c>
      <c r="N108" s="15">
        <f>IF(OR(N107="",N99=""),"",IF(N99&lt;=0,"",IFERROR(N107/N99,"")))</f>
        <v/>
      </c>
      <c r="T108" s="15">
        <f>IF(OR(T107="",T99=""),"",IF(T99&lt;=0,"",IFERROR(T107/T99,"")))</f>
        <v/>
      </c>
      <c r="U108" s="15">
        <f>IF(OR(U107="",U99=""),"",IF(U99&lt;=0,"",IFERROR(U107/U99,"")))</f>
        <v/>
      </c>
      <c r="V108" s="15">
        <f>IF(OR(V107="",V99=""),"",IF(V99&lt;=0,"",IFERROR(V107/V99,"")))</f>
        <v/>
      </c>
      <c r="W108" s="15">
        <f>IF(OR(W107="",W99=""),"",IF(W99&lt;=0,"",IFERROR(W107/W99,"")))</f>
        <v/>
      </c>
      <c r="X108" s="15">
        <f>IF(OR(X107="",X99=""),"",IF(X99&lt;=0,"",IFERROR(X107/X99,"")))</f>
        <v/>
      </c>
    </row>
    <row r="109">
      <c r="A109" s="43" t="inlineStr">
        <is>
          <t>YoY</t>
        </is>
      </c>
      <c r="B109" s="3" t="inlineStr">
        <is>
          <t>전년 같은 분기·전년 대비</t>
        </is>
      </c>
      <c r="G109" s="15">
        <f>IF(OR(G107="",C107=""),"",IF(C107&lt;=0,"",IFERROR(G107/C107-1,"")))</f>
        <v/>
      </c>
      <c r="H109" s="15">
        <f>IF(OR(H107="",D107=""),"",IF(D107&lt;=0,"",IFERROR(H107/D107-1,"")))</f>
        <v/>
      </c>
      <c r="I109" s="15">
        <f>IF(OR(I107="",E107=""),"",IF(E107&lt;=0,"",IFERROR(I107/E107-1,"")))</f>
        <v/>
      </c>
      <c r="J109" s="15">
        <f>IF(OR(J107="",F107=""),"",IF(F107&lt;=0,"",IFERROR(J107/F107-1,"")))</f>
        <v/>
      </c>
      <c r="K109" s="15">
        <f>IF(OR(K107="",G107=""),"",IF(G107&lt;=0,"",IFERROR(K107/G107-1,"")))</f>
        <v/>
      </c>
      <c r="L109" s="15">
        <f>IF(OR(L107="",H107=""),"",IF(H107&lt;=0,"",IFERROR(L107/H107-1,"")))</f>
        <v/>
      </c>
      <c r="M109" s="15">
        <f>IF(OR(M107="",I107=""),"",IF(I107&lt;=0,"",IFERROR(M107/I107-1,"")))</f>
        <v/>
      </c>
      <c r="N109" s="15">
        <f>IF(OR(N107="",J107=""),"",IF(J107&lt;=0,"",IFERROR(N107/J107-1,"")))</f>
        <v/>
      </c>
      <c r="T109" s="15">
        <f>IF(OR(T107="",S107=""),"",IF(S107&lt;=0,"",IFERROR(T107/S107-1,"")))</f>
        <v/>
      </c>
      <c r="U109" s="15">
        <f>IF(OR(U107="",T107=""),"",IF(T107&lt;=0,"",IFERROR(U107/T107-1,"")))</f>
        <v/>
      </c>
      <c r="V109" s="15">
        <f>IF(OR(V107="",U107=""),"",IF(U107&lt;=0,"",IFERROR(V107/U107-1,"")))</f>
        <v/>
      </c>
      <c r="W109" s="15">
        <f>IF(OR(W107="",V107=""),"",IF(V107&lt;=0,"",IFERROR(W107/V107-1,"")))</f>
        <v/>
      </c>
      <c r="X109" s="15">
        <f>IF(OR(X107="",W107=""),"",IF(W107&lt;=0,"",IFERROR(X107/W107-1,"")))</f>
        <v/>
      </c>
    </row>
    <row r="110">
      <c r="A110" s="18" t="inlineStr">
        <is>
          <t>이자·배당금 수익</t>
        </is>
      </c>
      <c r="C110" s="20" t="n">
        <v>87</v>
      </c>
      <c r="D110" s="20" t="n">
        <v>94</v>
      </c>
      <c r="E110" s="20" t="n">
        <v>106</v>
      </c>
      <c r="F110" s="20" t="n">
        <v>73</v>
      </c>
      <c r="G110" s="20" t="n">
        <v>96</v>
      </c>
      <c r="H110" s="20" t="n">
        <v>59</v>
      </c>
      <c r="I110" s="20" t="n">
        <v>94</v>
      </c>
      <c r="J110" s="20" t="n">
        <v>66</v>
      </c>
      <c r="K110" s="20" t="n">
        <v>113</v>
      </c>
      <c r="L110" s="20" t="n">
        <v>53</v>
      </c>
      <c r="M110" s="20" t="n">
        <v>80</v>
      </c>
      <c r="N110" s="20" t="n">
        <v>221</v>
      </c>
      <c r="T110" s="20" t="n">
        <v>8</v>
      </c>
      <c r="U110" s="20" t="n">
        <v>81</v>
      </c>
      <c r="V110" s="20" t="n">
        <v>106</v>
      </c>
      <c r="W110" s="20" t="n">
        <v>94</v>
      </c>
      <c r="X110" s="20" t="n">
        <v>80</v>
      </c>
    </row>
    <row r="111">
      <c r="A111" s="18" t="inlineStr">
        <is>
          <t>임대료 수익</t>
        </is>
      </c>
      <c r="C111" s="20" t="n">
        <v>23</v>
      </c>
      <c r="D111" s="20" t="n">
        <v>48</v>
      </c>
      <c r="E111" s="20" t="n">
        <v>48</v>
      </c>
      <c r="F111" s="20" t="n">
        <v>49</v>
      </c>
      <c r="G111" s="20" t="n">
        <v>49</v>
      </c>
      <c r="H111" s="20" t="n">
        <v>48</v>
      </c>
      <c r="I111" s="20" t="n">
        <v>48</v>
      </c>
      <c r="J111" s="20" t="n">
        <v>44</v>
      </c>
      <c r="K111" s="20" t="n">
        <v>45</v>
      </c>
      <c r="L111" s="20" t="n">
        <v>48</v>
      </c>
      <c r="M111" s="20" t="n">
        <v>50</v>
      </c>
      <c r="N111" s="20" t="n">
        <v>50</v>
      </c>
      <c r="T111" s="20" t="n">
        <v>37</v>
      </c>
      <c r="U111" s="20" t="n">
        <v>37</v>
      </c>
      <c r="V111" s="20" t="n">
        <v>48</v>
      </c>
      <c r="W111" s="20" t="n">
        <v>48</v>
      </c>
      <c r="X111" s="20" t="n">
        <v>50</v>
      </c>
    </row>
    <row r="112">
      <c r="A112" s="18" t="inlineStr">
        <is>
          <t>외환차익</t>
        </is>
      </c>
      <c r="F112" s="20" t="n">
        <v>0</v>
      </c>
      <c r="G112" s="20" t="n">
        <v>0</v>
      </c>
      <c r="J112" s="20" t="n">
        <v>343</v>
      </c>
      <c r="K112" s="20" t="n">
        <v>-286</v>
      </c>
      <c r="N112" s="20" t="n">
        <v>0</v>
      </c>
      <c r="T112" s="20" t="n">
        <v>197</v>
      </c>
      <c r="U112" s="20" t="n">
        <v>0</v>
      </c>
    </row>
    <row r="113">
      <c r="A113" s="18" t="inlineStr">
        <is>
          <t>기타</t>
        </is>
      </c>
      <c r="C113" s="20" t="n">
        <v>54</v>
      </c>
      <c r="D113" s="20" t="n">
        <v>42</v>
      </c>
      <c r="E113" s="20" t="n">
        <v>51</v>
      </c>
      <c r="F113" s="20" t="n">
        <v>35</v>
      </c>
      <c r="G113" s="20" t="n">
        <v>71</v>
      </c>
      <c r="H113" s="20" t="n">
        <v>44</v>
      </c>
      <c r="I113" s="20" t="n">
        <v>55</v>
      </c>
      <c r="J113" s="20" t="n">
        <v>76</v>
      </c>
      <c r="K113" s="20" t="n">
        <v>49</v>
      </c>
      <c r="L113" s="20" t="n">
        <v>63</v>
      </c>
      <c r="M113" s="20" t="n">
        <v>69</v>
      </c>
      <c r="N113" s="20" t="n">
        <v>102</v>
      </c>
      <c r="T113" s="20" t="n">
        <v>-5</v>
      </c>
      <c r="U113" s="20" t="n">
        <v>34</v>
      </c>
      <c r="V113" s="20" t="n">
        <v>51</v>
      </c>
      <c r="W113" s="20" t="n">
        <v>55</v>
      </c>
      <c r="X113" s="20" t="n">
        <v>69</v>
      </c>
    </row>
    <row r="114">
      <c r="A114" s="18" t="inlineStr">
        <is>
          <t>영업외수익 합계</t>
        </is>
      </c>
      <c r="C114" s="20" t="n">
        <v>164</v>
      </c>
      <c r="D114" s="20" t="n">
        <v>184</v>
      </c>
      <c r="E114" s="20" t="n">
        <v>206</v>
      </c>
      <c r="F114" s="20" t="n">
        <v>158</v>
      </c>
      <c r="G114" s="20" t="n">
        <v>215</v>
      </c>
      <c r="H114" s="20" t="n">
        <v>153</v>
      </c>
      <c r="I114" s="20" t="n">
        <v>196</v>
      </c>
      <c r="J114" s="20" t="n">
        <v>530</v>
      </c>
      <c r="K114" s="20" t="n">
        <v>-79</v>
      </c>
      <c r="L114" s="20" t="n">
        <v>107</v>
      </c>
      <c r="M114" s="20" t="n">
        <v>400</v>
      </c>
      <c r="N114" s="20" t="n">
        <v>374</v>
      </c>
      <c r="T114" s="20" t="n">
        <v>324</v>
      </c>
      <c r="U114" s="20" t="n">
        <v>153</v>
      </c>
      <c r="V114" s="20" t="n">
        <v>206</v>
      </c>
      <c r="W114" s="20" t="n">
        <v>196</v>
      </c>
      <c r="X114" s="20" t="n">
        <v>400</v>
      </c>
    </row>
    <row r="115">
      <c r="A115" s="43" t="inlineStr">
        <is>
          <t>YoY</t>
        </is>
      </c>
      <c r="B115" s="3" t="inlineStr">
        <is>
          <t>전년 같은 분기·전년 대비</t>
        </is>
      </c>
      <c r="G115" s="15">
        <f>IF(OR(G114="",C114=""),"",IF(G114*C114&lt;=0,"",IFERROR(G114/C114-1,"")))</f>
        <v/>
      </c>
      <c r="H115" s="15">
        <f>IF(OR(H114="",D114=""),"",IF(H114*D114&lt;=0,"",IFERROR(H114/D114-1,"")))</f>
        <v/>
      </c>
      <c r="I115" s="15">
        <f>IF(OR(I114="",E114=""),"",IF(I114*E114&lt;=0,"",IFERROR(I114/E114-1,"")))</f>
        <v/>
      </c>
      <c r="J115" s="15">
        <f>IF(OR(J114="",F114=""),"",IF(J114*F114&lt;=0,"",IFERROR(J114/F114-1,"")))</f>
        <v/>
      </c>
      <c r="K115" s="15">
        <f>IF(OR(K114="",G114=""),"",IF(K114*G114&lt;=0,"",IFERROR(K114/G114-1,"")))</f>
        <v/>
      </c>
      <c r="L115" s="15">
        <f>IF(OR(L114="",H114=""),"",IF(L114*H114&lt;=0,"",IFERROR(L114/H114-1,"")))</f>
        <v/>
      </c>
      <c r="M115" s="15">
        <f>IF(OR(M114="",I114=""),"",IF(M114*I114&lt;=0,"",IFERROR(M114/I114-1,"")))</f>
        <v/>
      </c>
      <c r="N115" s="15">
        <f>IF(OR(N114="",J114=""),"",IF(N114*J114&lt;=0,"",IFERROR(N114/J114-1,"")))</f>
        <v/>
      </c>
      <c r="T115" s="15">
        <f>IF(OR(T114="",S114=""),"",IF(T114*S114&lt;=0,"",IFERROR(T114/S114-1,"")))</f>
        <v/>
      </c>
      <c r="U115" s="15">
        <f>IF(OR(U114="",T114=""),"",IF(U114*T114&lt;=0,"",IFERROR(U114/T114-1,"")))</f>
        <v/>
      </c>
      <c r="V115" s="15">
        <f>IF(OR(V114="",U114=""),"",IF(V114*U114&lt;=0,"",IFERROR(V114/U114-1,"")))</f>
        <v/>
      </c>
      <c r="W115" s="15">
        <f>IF(OR(W114="",V114=""),"",IF(W114*V114&lt;=0,"",IFERROR(W114/V114-1,"")))</f>
        <v/>
      </c>
      <c r="X115" s="15">
        <f>IF(OR(X114="",W114=""),"",IF(X114*W114&lt;=0,"",IFERROR(X114/W114-1,"")))</f>
        <v/>
      </c>
    </row>
    <row r="116">
      <c r="A116" s="18" t="inlineStr">
        <is>
          <t>이자비용</t>
        </is>
      </c>
      <c r="C116" s="20" t="n">
        <v>262</v>
      </c>
      <c r="D116" s="20" t="n">
        <v>120</v>
      </c>
      <c r="E116" s="20" t="n">
        <v>83</v>
      </c>
      <c r="F116" s="20" t="n">
        <v>103</v>
      </c>
      <c r="G116" s="20" t="n">
        <v>91</v>
      </c>
      <c r="H116" s="20" t="n">
        <v>96</v>
      </c>
      <c r="I116" s="20" t="n">
        <v>77</v>
      </c>
      <c r="J116" s="20" t="n">
        <v>95</v>
      </c>
      <c r="K116" s="20" t="n">
        <v>109</v>
      </c>
      <c r="L116" s="20" t="n">
        <v>101</v>
      </c>
      <c r="M116" s="20" t="n">
        <v>82</v>
      </c>
      <c r="N116" s="20" t="n">
        <v>121</v>
      </c>
      <c r="T116" s="20" t="n">
        <v>80</v>
      </c>
      <c r="U116" s="20" t="n">
        <v>188</v>
      </c>
      <c r="V116" s="20" t="n">
        <v>83</v>
      </c>
      <c r="W116" s="20" t="n">
        <v>77</v>
      </c>
      <c r="X116" s="20" t="n">
        <v>82</v>
      </c>
    </row>
    <row r="117">
      <c r="A117" s="18" t="inlineStr">
        <is>
          <t>외환차손</t>
        </is>
      </c>
      <c r="C117" s="20" t="n">
        <v>264</v>
      </c>
      <c r="D117" s="20" t="n">
        <v>-22</v>
      </c>
      <c r="E117" s="20" t="n">
        <v>313</v>
      </c>
      <c r="F117" s="20" t="n">
        <v>455</v>
      </c>
      <c r="G117" s="20" t="n">
        <v>-25</v>
      </c>
      <c r="H117" s="20" t="n">
        <v>398</v>
      </c>
      <c r="I117" s="20" t="n">
        <v>-67</v>
      </c>
      <c r="J117" s="20" t="n">
        <v>0</v>
      </c>
      <c r="K117" s="20" t="n">
        <v>0</v>
      </c>
      <c r="L117" s="20" t="n">
        <v>31</v>
      </c>
      <c r="M117" s="20" t="n">
        <v>-31</v>
      </c>
      <c r="N117" s="20" t="n">
        <v>77</v>
      </c>
      <c r="T117" s="20" t="n">
        <v>0</v>
      </c>
      <c r="U117" s="20" t="n">
        <v>149</v>
      </c>
      <c r="V117" s="20" t="n">
        <v>313</v>
      </c>
      <c r="W117" s="20" t="n">
        <v>-67</v>
      </c>
      <c r="X117" s="20" t="n">
        <v>-31</v>
      </c>
    </row>
    <row r="118">
      <c r="A118" s="18" t="inlineStr">
        <is>
          <t>기타</t>
        </is>
      </c>
      <c r="C118" s="20" t="n">
        <v>115</v>
      </c>
      <c r="D118" s="20" t="n">
        <v>122</v>
      </c>
      <c r="E118" s="20" t="n">
        <v>-122</v>
      </c>
      <c r="F118" s="20" t="n">
        <v>95</v>
      </c>
      <c r="G118" s="20" t="n">
        <v>122</v>
      </c>
      <c r="H118" s="20" t="n">
        <v>74</v>
      </c>
      <c r="I118" s="20" t="n">
        <v>-111</v>
      </c>
      <c r="J118" s="20" t="n">
        <v>66</v>
      </c>
      <c r="K118" s="20" t="n">
        <v>84</v>
      </c>
      <c r="L118" s="20" t="n">
        <v>50</v>
      </c>
      <c r="M118" s="20" t="n">
        <v>-56</v>
      </c>
      <c r="N118" s="20" t="n">
        <v>58</v>
      </c>
      <c r="T118" s="20" t="n">
        <v>27</v>
      </c>
      <c r="U118" s="20" t="n">
        <v>-272</v>
      </c>
      <c r="V118" s="20" t="n">
        <v>-122</v>
      </c>
      <c r="W118" s="20" t="n">
        <v>-111</v>
      </c>
      <c r="X118" s="20" t="n">
        <v>-56</v>
      </c>
    </row>
    <row r="119">
      <c r="A119" s="18" t="inlineStr">
        <is>
          <t>영업외비용 합계</t>
        </is>
      </c>
      <c r="C119" s="20" t="n">
        <v>641</v>
      </c>
      <c r="D119" s="20" t="n">
        <v>221</v>
      </c>
      <c r="E119" s="20" t="n">
        <v>528</v>
      </c>
      <c r="F119" s="20" t="n">
        <v>654</v>
      </c>
      <c r="G119" s="20" t="n">
        <v>189</v>
      </c>
      <c r="H119" s="20" t="n">
        <v>568</v>
      </c>
      <c r="I119" s="20" t="n">
        <v>148</v>
      </c>
      <c r="J119" s="20" t="n">
        <v>162</v>
      </c>
      <c r="K119" s="20" t="n">
        <v>193</v>
      </c>
      <c r="L119" s="20" t="n">
        <v>182</v>
      </c>
      <c r="M119" s="20" t="n">
        <v>115</v>
      </c>
      <c r="N119" s="20" t="n">
        <v>258</v>
      </c>
      <c r="T119" s="20" t="n">
        <v>142</v>
      </c>
      <c r="U119" s="20" t="n">
        <v>342</v>
      </c>
      <c r="V119" s="20" t="n">
        <v>528</v>
      </c>
      <c r="W119" s="20" t="n">
        <v>148</v>
      </c>
      <c r="X119" s="20" t="n">
        <v>115</v>
      </c>
    </row>
    <row r="120">
      <c r="A120" s="43" t="inlineStr">
        <is>
          <t>YoY</t>
        </is>
      </c>
      <c r="B120" s="3" t="inlineStr">
        <is>
          <t>전년 같은 분기·전년 대비</t>
        </is>
      </c>
      <c r="G120" s="15">
        <f>IF(OR(G119="",C119=""),"",IF(G119*C119&lt;=0,"",IFERROR(G119/C119-1,"")))</f>
        <v/>
      </c>
      <c r="H120" s="15">
        <f>IF(OR(H119="",D119=""),"",IF(H119*D119&lt;=0,"",IFERROR(H119/D119-1,"")))</f>
        <v/>
      </c>
      <c r="I120" s="15">
        <f>IF(OR(I119="",E119=""),"",IF(I119*E119&lt;=0,"",IFERROR(I119/E119-1,"")))</f>
        <v/>
      </c>
      <c r="J120" s="15">
        <f>IF(OR(J119="",F119=""),"",IF(J119*F119&lt;=0,"",IFERROR(J119/F119-1,"")))</f>
        <v/>
      </c>
      <c r="K120" s="15">
        <f>IF(OR(K119="",G119=""),"",IF(K119*G119&lt;=0,"",IFERROR(K119/G119-1,"")))</f>
        <v/>
      </c>
      <c r="L120" s="15">
        <f>IF(OR(L119="",H119=""),"",IF(L119*H119&lt;=0,"",IFERROR(L119/H119-1,"")))</f>
        <v/>
      </c>
      <c r="M120" s="15">
        <f>IF(OR(M119="",I119=""),"",IF(M119*I119&lt;=0,"",IFERROR(M119/I119-1,"")))</f>
        <v/>
      </c>
      <c r="N120" s="15">
        <f>IF(OR(N119="",J119=""),"",IF(N119*J119&lt;=0,"",IFERROR(N119/J119-1,"")))</f>
        <v/>
      </c>
      <c r="T120" s="15">
        <f>IF(OR(T119="",S119=""),"",IF(T119*S119&lt;=0,"",IFERROR(T119/S119-1,"")))</f>
        <v/>
      </c>
      <c r="U120" s="15">
        <f>IF(OR(U119="",T119=""),"",IF(U119*T119&lt;=0,"",IFERROR(U119/T119-1,"")))</f>
        <v/>
      </c>
      <c r="V120" s="15">
        <f>IF(OR(V119="",U119=""),"",IF(V119*U119&lt;=0,"",IFERROR(V119/U119-1,"")))</f>
        <v/>
      </c>
      <c r="W120" s="15">
        <f>IF(OR(W119="",V119=""),"",IF(W119*V119&lt;=0,"",IFERROR(W119/V119-1,"")))</f>
        <v/>
      </c>
      <c r="X120" s="15">
        <f>IF(OR(X119="",W119=""),"",IF(X119*W119&lt;=0,"",IFERROR(X119/W119-1,"")))</f>
        <v/>
      </c>
    </row>
    <row r="121">
      <c r="A121" s="9" t="inlineStr">
        <is>
          <t>경상이익</t>
        </is>
      </c>
      <c r="C121" s="12" t="n">
        <v>5031</v>
      </c>
      <c r="D121" s="12" t="n">
        <v>9218</v>
      </c>
      <c r="E121" s="12" t="n">
        <v>1228</v>
      </c>
      <c r="F121" s="12" t="n">
        <v>3661</v>
      </c>
      <c r="G121" s="12" t="n">
        <v>8231</v>
      </c>
      <c r="H121" s="12" t="n">
        <v>10307</v>
      </c>
      <c r="I121" s="12" t="n">
        <v>1834</v>
      </c>
      <c r="J121" s="12" t="n">
        <v>4965</v>
      </c>
      <c r="K121" s="12" t="n">
        <v>6861</v>
      </c>
      <c r="L121" s="12" t="n">
        <v>9790</v>
      </c>
      <c r="M121" s="12" t="n">
        <v>2935</v>
      </c>
      <c r="N121" s="12" t="n">
        <v>5629</v>
      </c>
      <c r="T121" s="12" t="n">
        <v>-888</v>
      </c>
      <c r="U121" s="12" t="n">
        <v>-123</v>
      </c>
      <c r="V121" s="12" t="n">
        <v>1228</v>
      </c>
      <c r="W121" s="12" t="n">
        <v>1834</v>
      </c>
      <c r="X121" s="12" t="n">
        <v>2935</v>
      </c>
    </row>
    <row r="122">
      <c r="A122" s="43" t="inlineStr">
        <is>
          <t>YoY</t>
        </is>
      </c>
      <c r="B122" s="3" t="inlineStr">
        <is>
          <t>전년 같은 분기·전년 대비</t>
        </is>
      </c>
      <c r="G122" s="15">
        <f>IF(OR(G121="",C121=""),"",IF(C121&lt;=0,"",IFERROR(G121/C121-1,"")))</f>
        <v/>
      </c>
      <c r="H122" s="15">
        <f>IF(OR(H121="",D121=""),"",IF(D121&lt;=0,"",IFERROR(H121/D121-1,"")))</f>
        <v/>
      </c>
      <c r="I122" s="15">
        <f>IF(OR(I121="",E121=""),"",IF(E121&lt;=0,"",IFERROR(I121/E121-1,"")))</f>
        <v/>
      </c>
      <c r="J122" s="15">
        <f>IF(OR(J121="",F121=""),"",IF(F121&lt;=0,"",IFERROR(J121/F121-1,"")))</f>
        <v/>
      </c>
      <c r="K122" s="15">
        <f>IF(OR(K121="",G121=""),"",IF(G121&lt;=0,"",IFERROR(K121/G121-1,"")))</f>
        <v/>
      </c>
      <c r="L122" s="15">
        <f>IF(OR(L121="",H121=""),"",IF(H121&lt;=0,"",IFERROR(L121/H121-1,"")))</f>
        <v/>
      </c>
      <c r="M122" s="15">
        <f>IF(OR(M121="",I121=""),"",IF(I121&lt;=0,"",IFERROR(M121/I121-1,"")))</f>
        <v/>
      </c>
      <c r="N122" s="15">
        <f>IF(OR(N121="",J121=""),"",IF(J121&lt;=0,"",IFERROR(N121/J121-1,"")))</f>
        <v/>
      </c>
      <c r="T122" s="15">
        <f>IF(OR(T121="",S121=""),"",IF(S121&lt;=0,"",IFERROR(T121/S121-1,"")))</f>
        <v/>
      </c>
      <c r="U122" s="15">
        <f>IF(OR(U121="",T121=""),"",IF(T121&lt;=0,"",IFERROR(U121/T121-1,"")))</f>
        <v/>
      </c>
      <c r="V122" s="15">
        <f>IF(OR(V121="",U121=""),"",IF(U121&lt;=0,"",IFERROR(V121/U121-1,"")))</f>
        <v/>
      </c>
      <c r="W122" s="15">
        <f>IF(OR(W121="",V121=""),"",IF(V121&lt;=0,"",IFERROR(W121/V121-1,"")))</f>
        <v/>
      </c>
      <c r="X122" s="15">
        <f>IF(OR(X121="",W121=""),"",IF(W121&lt;=0,"",IFERROR(X121/W121-1,"")))</f>
        <v/>
      </c>
    </row>
    <row r="123">
      <c r="A123" s="18" t="inlineStr">
        <is>
          <t>고정자산 매각이익</t>
        </is>
      </c>
      <c r="C123" s="20" t="n">
        <v>2</v>
      </c>
      <c r="D123" s="20" t="n">
        <v>0</v>
      </c>
      <c r="E123" s="20" t="n">
        <v>1</v>
      </c>
      <c r="F123" s="20" t="n">
        <v>0</v>
      </c>
      <c r="G123" s="20" t="n">
        <v>3</v>
      </c>
      <c r="H123" s="20" t="n">
        <v>1</v>
      </c>
      <c r="I123" s="20" t="n">
        <v>19</v>
      </c>
      <c r="J123" s="20" t="n">
        <v>1</v>
      </c>
      <c r="K123" s="20" t="n">
        <v>0</v>
      </c>
      <c r="L123" s="20" t="n">
        <v>2</v>
      </c>
      <c r="M123" s="20" t="n">
        <v>2</v>
      </c>
      <c r="N123" s="20" t="n">
        <v>0</v>
      </c>
      <c r="T123" s="20" t="n">
        <v>21</v>
      </c>
      <c r="U123" s="20" t="n">
        <v>0</v>
      </c>
      <c r="V123" s="20" t="n">
        <v>1</v>
      </c>
      <c r="W123" s="20" t="n">
        <v>19</v>
      </c>
      <c r="X123" s="20" t="n">
        <v>2</v>
      </c>
    </row>
    <row r="124">
      <c r="A124" s="18" t="inlineStr">
        <is>
          <t>신주예약권 환입이익</t>
        </is>
      </c>
      <c r="D124" s="20" t="n">
        <v>0</v>
      </c>
      <c r="E124" s="20" t="n">
        <v>0</v>
      </c>
      <c r="H124" s="20" t="n">
        <v>0</v>
      </c>
      <c r="I124" s="20" t="n">
        <v>0</v>
      </c>
      <c r="T124" s="20" t="n">
        <v>0</v>
      </c>
      <c r="U124" s="20" t="n">
        <v>0</v>
      </c>
      <c r="V124" s="20" t="n">
        <v>0</v>
      </c>
      <c r="W124" s="20" t="n">
        <v>0</v>
      </c>
    </row>
    <row r="125">
      <c r="A125" s="18" t="inlineStr">
        <is>
          <t>고용조정 조성금 등</t>
        </is>
      </c>
      <c r="T125" s="20" t="n">
        <v>0</v>
      </c>
      <c r="U125" s="20" t="n">
        <v>0</v>
      </c>
    </row>
    <row r="126">
      <c r="A126" s="18" t="inlineStr">
        <is>
          <t>기타</t>
        </is>
      </c>
      <c r="T126" s="20" t="n">
        <v>0</v>
      </c>
      <c r="U126" s="20" t="n">
        <v>0</v>
      </c>
    </row>
    <row r="127">
      <c r="A127" s="18" t="inlineStr">
        <is>
          <t>특별이익 합계</t>
        </is>
      </c>
      <c r="C127" s="20" t="n">
        <v>18</v>
      </c>
      <c r="D127" s="20" t="n">
        <v>1</v>
      </c>
      <c r="E127" s="20" t="n">
        <v>1</v>
      </c>
      <c r="F127" s="20" t="n">
        <v>0</v>
      </c>
      <c r="G127" s="20" t="n">
        <v>3</v>
      </c>
      <c r="H127" s="20" t="n">
        <v>1</v>
      </c>
      <c r="I127" s="20" t="n">
        <v>19</v>
      </c>
      <c r="J127" s="20" t="n">
        <v>1</v>
      </c>
      <c r="K127" s="20" t="n">
        <v>0</v>
      </c>
      <c r="L127" s="20" t="n">
        <v>2</v>
      </c>
      <c r="M127" s="20" t="n">
        <v>2</v>
      </c>
      <c r="N127" s="20" t="n">
        <v>0</v>
      </c>
      <c r="T127" s="20" t="n">
        <v>21</v>
      </c>
      <c r="U127" s="20" t="n">
        <v>0</v>
      </c>
      <c r="V127" s="20" t="n">
        <v>1</v>
      </c>
      <c r="W127" s="20" t="n">
        <v>19</v>
      </c>
      <c r="X127" s="20" t="n">
        <v>2</v>
      </c>
    </row>
    <row r="128">
      <c r="A128" s="43" t="inlineStr">
        <is>
          <t>YoY</t>
        </is>
      </c>
      <c r="B128" s="3" t="inlineStr">
        <is>
          <t>전년 같은 분기·전년 대비</t>
        </is>
      </c>
      <c r="G128" s="15">
        <f>IF(OR(G127="",C127=""),"",IF(G127*C127&lt;=0,"",IFERROR(G127/C127-1,"")))</f>
        <v/>
      </c>
      <c r="H128" s="15">
        <f>IF(OR(H127="",D127=""),"",IF(H127*D127&lt;=0,"",IFERROR(H127/D127-1,"")))</f>
        <v/>
      </c>
      <c r="I128" s="15">
        <f>IF(OR(I127="",E127=""),"",IF(I127*E127&lt;=0,"",IFERROR(I127/E127-1,"")))</f>
        <v/>
      </c>
      <c r="J128" s="15">
        <f>IF(OR(J127="",F127=""),"",IF(J127*F127&lt;=0,"",IFERROR(J127/F127-1,"")))</f>
        <v/>
      </c>
      <c r="K128" s="15">
        <f>IF(OR(K127="",G127=""),"",IF(K127*G127&lt;=0,"",IFERROR(K127/G127-1,"")))</f>
        <v/>
      </c>
      <c r="L128" s="15">
        <f>IF(OR(L127="",H127=""),"",IF(L127*H127&lt;=0,"",IFERROR(L127/H127-1,"")))</f>
        <v/>
      </c>
      <c r="M128" s="15">
        <f>IF(OR(M127="",I127=""),"",IF(M127*I127&lt;=0,"",IFERROR(M127/I127-1,"")))</f>
        <v/>
      </c>
      <c r="N128" s="15">
        <f>IF(OR(N127="",J127=""),"",IF(N127*J127&lt;=0,"",IFERROR(N127/J127-1,"")))</f>
        <v/>
      </c>
      <c r="T128" s="15">
        <f>IF(OR(T127="",S127=""),"",IF(T127*S127&lt;=0,"",IFERROR(T127/S127-1,"")))</f>
        <v/>
      </c>
      <c r="U128" s="15">
        <f>IF(OR(U127="",T127=""),"",IF(U127*T127&lt;=0,"",IFERROR(U127/T127-1,"")))</f>
        <v/>
      </c>
      <c r="V128" s="15">
        <f>IF(OR(V127="",U127=""),"",IF(V127*U127&lt;=0,"",IFERROR(V127/U127-1,"")))</f>
        <v/>
      </c>
      <c r="W128" s="15">
        <f>IF(OR(W127="",V127=""),"",IF(W127*V127&lt;=0,"",IFERROR(W127/V127-1,"")))</f>
        <v/>
      </c>
      <c r="X128" s="15">
        <f>IF(OR(X127="",W127=""),"",IF(X127*W127&lt;=0,"",IFERROR(X127/W127-1,"")))</f>
        <v/>
      </c>
    </row>
    <row r="129">
      <c r="A129" s="18" t="inlineStr">
        <is>
          <t>고정자산 매각손실</t>
        </is>
      </c>
      <c r="C129" s="20" t="n">
        <v>0</v>
      </c>
      <c r="D129" s="20" t="n">
        <v>0</v>
      </c>
      <c r="F129" s="20" t="n">
        <v>0</v>
      </c>
      <c r="G129" s="20" t="n">
        <v>0</v>
      </c>
      <c r="H129" s="20" t="n">
        <v>0</v>
      </c>
      <c r="J129" s="20" t="n">
        <v>0</v>
      </c>
      <c r="K129" s="20" t="n">
        <v>1</v>
      </c>
      <c r="L129" s="20" t="n">
        <v>0</v>
      </c>
      <c r="N129" s="20" t="n">
        <v>0</v>
      </c>
    </row>
    <row r="130">
      <c r="A130" s="18" t="inlineStr">
        <is>
          <t>고정자산 제각손실</t>
        </is>
      </c>
      <c r="C130" s="20" t="n">
        <v>0</v>
      </c>
      <c r="D130" s="20" t="n">
        <v>1</v>
      </c>
      <c r="E130" s="20" t="n">
        <v>0</v>
      </c>
      <c r="F130" s="20" t="n">
        <v>10</v>
      </c>
      <c r="G130" s="20" t="n">
        <v>2</v>
      </c>
      <c r="H130" s="20" t="n">
        <v>4</v>
      </c>
      <c r="I130" s="20" t="n">
        <v>13</v>
      </c>
      <c r="J130" s="20" t="n">
        <v>12</v>
      </c>
      <c r="K130" s="20" t="n">
        <v>0</v>
      </c>
      <c r="L130" s="20" t="n">
        <v>3</v>
      </c>
      <c r="M130" s="20" t="n">
        <v>25</v>
      </c>
      <c r="N130" s="20" t="n">
        <v>3</v>
      </c>
      <c r="V130" s="20" t="n">
        <v>0</v>
      </c>
      <c r="W130" s="20" t="n">
        <v>13</v>
      </c>
      <c r="X130" s="20" t="n">
        <v>25</v>
      </c>
    </row>
    <row r="131">
      <c r="A131" s="18" t="inlineStr">
        <is>
          <t>손상차손</t>
        </is>
      </c>
      <c r="D131" s="20" t="n">
        <v>2672</v>
      </c>
      <c r="E131" s="20" t="n">
        <v>55</v>
      </c>
      <c r="H131" s="20" t="n">
        <v>12</v>
      </c>
      <c r="I131" s="20" t="n">
        <v>17</v>
      </c>
      <c r="M131" s="20" t="n">
        <v>19</v>
      </c>
      <c r="T131" s="20" t="n">
        <v>63</v>
      </c>
      <c r="U131" s="20" t="n">
        <v>14</v>
      </c>
      <c r="V131" s="20" t="n">
        <v>55</v>
      </c>
      <c r="W131" s="20" t="n">
        <v>17</v>
      </c>
      <c r="X131" s="20" t="n">
        <v>19</v>
      </c>
    </row>
    <row r="132">
      <c r="A132" s="18" t="inlineStr">
        <is>
          <t>코로나19 관련 손실</t>
        </is>
      </c>
      <c r="C132" s="20" t="n">
        <v>0</v>
      </c>
      <c r="D132" s="20" t="n">
        <v>0</v>
      </c>
      <c r="E132" s="20" t="n">
        <v>0</v>
      </c>
      <c r="T132" s="20" t="n">
        <v>0</v>
      </c>
      <c r="U132" s="20" t="n">
        <v>-1</v>
      </c>
      <c r="V132" s="20" t="n">
        <v>0</v>
      </c>
    </row>
    <row r="133">
      <c r="A133" s="18" t="inlineStr">
        <is>
          <t>사업구조개선비용</t>
        </is>
      </c>
      <c r="E133" s="20" t="n">
        <v>43</v>
      </c>
      <c r="I133" s="20" t="n">
        <v>51</v>
      </c>
      <c r="T133" s="20" t="n">
        <v>0</v>
      </c>
      <c r="U133" s="20" t="n">
        <v>91</v>
      </c>
      <c r="V133" s="20" t="n">
        <v>43</v>
      </c>
      <c r="W133" s="20" t="n">
        <v>51</v>
      </c>
    </row>
    <row r="134">
      <c r="A134" s="18" t="inlineStr">
        <is>
          <t>재개발 관련 비용</t>
        </is>
      </c>
      <c r="F134" s="20" t="n">
        <v>0</v>
      </c>
      <c r="G134" s="20" t="n">
        <v>0</v>
      </c>
      <c r="H134" s="20" t="n">
        <v>0</v>
      </c>
      <c r="I134" s="20" t="n">
        <v>138</v>
      </c>
      <c r="J134" s="20" t="n">
        <v>48</v>
      </c>
      <c r="K134" s="20" t="n">
        <v>0</v>
      </c>
      <c r="L134" s="20" t="n">
        <v>0</v>
      </c>
      <c r="M134" s="20" t="n">
        <v>0</v>
      </c>
      <c r="N134" s="20" t="n">
        <v>0</v>
      </c>
      <c r="W134" s="20" t="n">
        <v>138</v>
      </c>
      <c r="X134" s="20" t="n">
        <v>0</v>
      </c>
    </row>
    <row r="135">
      <c r="A135" s="18" t="inlineStr">
        <is>
          <t>제품 자진회수 관련 손실</t>
        </is>
      </c>
      <c r="H135" s="20" t="n">
        <v>0</v>
      </c>
      <c r="I135" s="20" t="n">
        <v>0</v>
      </c>
      <c r="L135" s="20" t="n">
        <v>0</v>
      </c>
      <c r="M135" s="20" t="n">
        <v>0</v>
      </c>
      <c r="W135" s="20" t="n">
        <v>0</v>
      </c>
      <c r="X135" s="20" t="n">
        <v>0</v>
      </c>
    </row>
    <row r="136">
      <c r="A136" s="18" t="inlineStr">
        <is>
          <t>기타</t>
        </is>
      </c>
      <c r="E136" s="20" t="n">
        <v>4</v>
      </c>
      <c r="I136" s="20" t="n">
        <v>3</v>
      </c>
      <c r="T136" s="20" t="n">
        <v>25</v>
      </c>
      <c r="U136" s="20" t="n">
        <v>6</v>
      </c>
      <c r="V136" s="20" t="n">
        <v>4</v>
      </c>
      <c r="W136" s="20" t="n">
        <v>3</v>
      </c>
    </row>
    <row r="137">
      <c r="A137" s="18" t="inlineStr">
        <is>
          <t>특별손실 합계</t>
        </is>
      </c>
      <c r="C137" s="20" t="n">
        <v>1</v>
      </c>
      <c r="D137" s="20" t="n">
        <v>2855</v>
      </c>
      <c r="E137" s="20" t="n">
        <v>98</v>
      </c>
      <c r="F137" s="20" t="n">
        <v>10</v>
      </c>
      <c r="G137" s="20" t="n">
        <v>2</v>
      </c>
      <c r="H137" s="20" t="n">
        <v>16</v>
      </c>
      <c r="I137" s="20" t="n">
        <v>224</v>
      </c>
      <c r="J137" s="20" t="n">
        <v>60</v>
      </c>
      <c r="K137" s="20" t="n">
        <v>450</v>
      </c>
      <c r="L137" s="20" t="n">
        <v>4887</v>
      </c>
      <c r="M137" s="20" t="n">
        <v>54</v>
      </c>
      <c r="N137" s="20" t="n">
        <v>3</v>
      </c>
      <c r="T137" s="20" t="n">
        <v>87</v>
      </c>
      <c r="U137" s="20" t="n">
        <v>367</v>
      </c>
      <c r="V137" s="20" t="n">
        <v>98</v>
      </c>
      <c r="W137" s="20" t="n">
        <v>224</v>
      </c>
      <c r="X137" s="20" t="n">
        <v>54</v>
      </c>
    </row>
    <row r="138">
      <c r="A138" s="43" t="inlineStr">
        <is>
          <t>YoY</t>
        </is>
      </c>
      <c r="B138" s="3" t="inlineStr">
        <is>
          <t>전년 같은 분기·전년 대비</t>
        </is>
      </c>
      <c r="G138" s="15">
        <f>IF(OR(G137="",C137=""),"",IF(G137*C137&lt;=0,"",IFERROR(G137/C137-1,"")))</f>
        <v/>
      </c>
      <c r="H138" s="15">
        <f>IF(OR(H137="",D137=""),"",IF(H137*D137&lt;=0,"",IFERROR(H137/D137-1,"")))</f>
        <v/>
      </c>
      <c r="I138" s="15">
        <f>IF(OR(I137="",E137=""),"",IF(I137*E137&lt;=0,"",IFERROR(I137/E137-1,"")))</f>
        <v/>
      </c>
      <c r="J138" s="15">
        <f>IF(OR(J137="",F137=""),"",IF(J137*F137&lt;=0,"",IFERROR(J137/F137-1,"")))</f>
        <v/>
      </c>
      <c r="K138" s="15">
        <f>IF(OR(K137="",G137=""),"",IF(K137*G137&lt;=0,"",IFERROR(K137/G137-1,"")))</f>
        <v/>
      </c>
      <c r="L138" s="15">
        <f>IF(OR(L137="",H137=""),"",IF(L137*H137&lt;=0,"",IFERROR(L137/H137-1,"")))</f>
        <v/>
      </c>
      <c r="M138" s="15">
        <f>IF(OR(M137="",I137=""),"",IF(M137*I137&lt;=0,"",IFERROR(M137/I137-1,"")))</f>
        <v/>
      </c>
      <c r="N138" s="15">
        <f>IF(OR(N137="",J137=""),"",IF(N137*J137&lt;=0,"",IFERROR(N137/J137-1,"")))</f>
        <v/>
      </c>
      <c r="T138" s="15">
        <f>IF(OR(T137="",S137=""),"",IF(T137*S137&lt;=0,"",IFERROR(T137/S137-1,"")))</f>
        <v/>
      </c>
      <c r="U138" s="15">
        <f>IF(OR(U137="",T137=""),"",IF(U137*T137&lt;=0,"",IFERROR(U137/T137-1,"")))</f>
        <v/>
      </c>
      <c r="V138" s="15">
        <f>IF(OR(V137="",U137=""),"",IF(V137*U137&lt;=0,"",IFERROR(V137/U137-1,"")))</f>
        <v/>
      </c>
      <c r="W138" s="15">
        <f>IF(OR(W137="",V137=""),"",IF(W137*V137&lt;=0,"",IFERROR(W137/V137-1,"")))</f>
        <v/>
      </c>
      <c r="X138" s="15">
        <f>IF(OR(X137="",W137=""),"",IF(X137*W137&lt;=0,"",IFERROR(X137/W137-1,"")))</f>
        <v/>
      </c>
    </row>
    <row r="139">
      <c r="A139" s="9" t="inlineStr">
        <is>
          <t>법인세차감전 순이익</t>
        </is>
      </c>
      <c r="C139" s="12" t="n">
        <v>5047</v>
      </c>
      <c r="D139" s="12" t="n">
        <v>6364</v>
      </c>
      <c r="E139" s="12" t="n">
        <v>1131</v>
      </c>
      <c r="F139" s="12" t="n">
        <v>3650</v>
      </c>
      <c r="G139" s="12" t="n">
        <v>8233</v>
      </c>
      <c r="H139" s="12" t="n">
        <v>10292</v>
      </c>
      <c r="I139" s="12" t="n">
        <v>1630</v>
      </c>
      <c r="J139" s="12" t="n">
        <v>4906</v>
      </c>
      <c r="K139" s="12" t="n">
        <v>6411</v>
      </c>
      <c r="L139" s="12" t="n">
        <v>4905</v>
      </c>
      <c r="M139" s="12" t="n">
        <v>2882</v>
      </c>
      <c r="N139" s="12" t="n">
        <v>5626</v>
      </c>
      <c r="T139" s="12" t="n">
        <v>-953</v>
      </c>
      <c r="U139" s="12" t="n">
        <v>-490</v>
      </c>
      <c r="V139" s="12" t="n">
        <v>1131</v>
      </c>
      <c r="W139" s="12" t="n">
        <v>1630</v>
      </c>
      <c r="X139" s="12" t="n">
        <v>2882</v>
      </c>
    </row>
    <row r="140">
      <c r="A140" s="43" t="inlineStr">
        <is>
          <t>YoY</t>
        </is>
      </c>
      <c r="B140" s="3" t="inlineStr">
        <is>
          <t>전년 같은 분기·전년 대비</t>
        </is>
      </c>
      <c r="G140" s="15">
        <f>IF(OR(G139="",C139=""),"",IF(C139&lt;=0,"",IFERROR(G139/C139-1,"")))</f>
        <v/>
      </c>
      <c r="H140" s="15">
        <f>IF(OR(H139="",D139=""),"",IF(D139&lt;=0,"",IFERROR(H139/D139-1,"")))</f>
        <v/>
      </c>
      <c r="I140" s="15">
        <f>IF(OR(I139="",E139=""),"",IF(E139&lt;=0,"",IFERROR(I139/E139-1,"")))</f>
        <v/>
      </c>
      <c r="J140" s="15">
        <f>IF(OR(J139="",F139=""),"",IF(F139&lt;=0,"",IFERROR(J139/F139-1,"")))</f>
        <v/>
      </c>
      <c r="K140" s="15">
        <f>IF(OR(K139="",G139=""),"",IF(G139&lt;=0,"",IFERROR(K139/G139-1,"")))</f>
        <v/>
      </c>
      <c r="L140" s="15">
        <f>IF(OR(L139="",H139=""),"",IF(H139&lt;=0,"",IFERROR(L139/H139-1,"")))</f>
        <v/>
      </c>
      <c r="M140" s="15">
        <f>IF(OR(M139="",I139=""),"",IF(I139&lt;=0,"",IFERROR(M139/I139-1,"")))</f>
        <v/>
      </c>
      <c r="N140" s="15">
        <f>IF(OR(N139="",J139=""),"",IF(J139&lt;=0,"",IFERROR(N139/J139-1,"")))</f>
        <v/>
      </c>
      <c r="T140" s="15">
        <f>IF(OR(T139="",S139=""),"",IF(S139&lt;=0,"",IFERROR(T139/S139-1,"")))</f>
        <v/>
      </c>
      <c r="U140" s="15">
        <f>IF(OR(U139="",T139=""),"",IF(T139&lt;=0,"",IFERROR(U139/T139-1,"")))</f>
        <v/>
      </c>
      <c r="V140" s="15">
        <f>IF(OR(V139="",U139=""),"",IF(U139&lt;=0,"",IFERROR(V139/U139-1,"")))</f>
        <v/>
      </c>
      <c r="W140" s="15">
        <f>IF(OR(W139="",V139=""),"",IF(V139&lt;=0,"",IFERROR(W139/V139-1,"")))</f>
        <v/>
      </c>
      <c r="X140" s="15">
        <f>IF(OR(X139="",W139=""),"",IF(W139&lt;=0,"",IFERROR(X139/W139-1,"")))</f>
        <v/>
      </c>
    </row>
    <row r="141">
      <c r="A141" s="18" t="inlineStr">
        <is>
          <t>법인세 등</t>
        </is>
      </c>
      <c r="C141" s="20" t="n">
        <v>1240</v>
      </c>
      <c r="D141" s="20" t="n">
        <v>2940</v>
      </c>
      <c r="E141" s="20" t="n">
        <v>360</v>
      </c>
      <c r="F141" s="20" t="n">
        <v>1143</v>
      </c>
      <c r="G141" s="20" t="n">
        <v>2286</v>
      </c>
      <c r="H141" s="20" t="n">
        <v>4312</v>
      </c>
      <c r="I141" s="20" t="n">
        <v>-287</v>
      </c>
      <c r="J141" s="20" t="n">
        <v>1514</v>
      </c>
      <c r="K141" s="20" t="n">
        <v>1677</v>
      </c>
      <c r="L141" s="20" t="n">
        <v>3483</v>
      </c>
      <c r="M141" s="20" t="n">
        <v>751</v>
      </c>
      <c r="N141" s="20" t="n">
        <v>1567</v>
      </c>
      <c r="T141" s="20" t="n">
        <v>-168</v>
      </c>
      <c r="U141" s="20" t="n">
        <v>-671</v>
      </c>
      <c r="V141" s="20" t="n">
        <v>360</v>
      </c>
      <c r="W141" s="20" t="n">
        <v>-287</v>
      </c>
      <c r="X141" s="20" t="n">
        <v>751</v>
      </c>
    </row>
    <row r="142">
      <c r="A142" s="43" t="inlineStr">
        <is>
          <t>YoY</t>
        </is>
      </c>
      <c r="B142" s="3" t="inlineStr">
        <is>
          <t>전년 같은 분기·전년 대비</t>
        </is>
      </c>
      <c r="G142" s="15">
        <f>IF(OR(G141="",C141=""),"",IF(G141*C141&lt;=0,"",IFERROR(G141/C141-1,"")))</f>
        <v/>
      </c>
      <c r="H142" s="15">
        <f>IF(OR(H141="",D141=""),"",IF(H141*D141&lt;=0,"",IFERROR(H141/D141-1,"")))</f>
        <v/>
      </c>
      <c r="I142" s="15">
        <f>IF(OR(I141="",E141=""),"",IF(I141*E141&lt;=0,"",IFERROR(I141/E141-1,"")))</f>
        <v/>
      </c>
      <c r="J142" s="15">
        <f>IF(OR(J141="",F141=""),"",IF(J141*F141&lt;=0,"",IFERROR(J141/F141-1,"")))</f>
        <v/>
      </c>
      <c r="K142" s="15">
        <f>IF(OR(K141="",G141=""),"",IF(K141*G141&lt;=0,"",IFERROR(K141/G141-1,"")))</f>
        <v/>
      </c>
      <c r="L142" s="15">
        <f>IF(OR(L141="",H141=""),"",IF(L141*H141&lt;=0,"",IFERROR(L141/H141-1,"")))</f>
        <v/>
      </c>
      <c r="M142" s="15">
        <f>IF(OR(M141="",I141=""),"",IF(M141*I141&lt;=0,"",IFERROR(M141/I141-1,"")))</f>
        <v/>
      </c>
      <c r="N142" s="15">
        <f>IF(OR(N141="",J141=""),"",IF(N141*J141&lt;=0,"",IFERROR(N141/J141-1,"")))</f>
        <v/>
      </c>
      <c r="T142" s="15">
        <f>IF(OR(T141="",S141=""),"",IF(T141*S141&lt;=0,"",IFERROR(T141/S141-1,"")))</f>
        <v/>
      </c>
      <c r="U142" s="15">
        <f>IF(OR(U141="",T141=""),"",IF(U141*T141&lt;=0,"",IFERROR(U141/T141-1,"")))</f>
        <v/>
      </c>
      <c r="V142" s="15">
        <f>IF(OR(V141="",U141=""),"",IF(V141*U141&lt;=0,"",IFERROR(V141/U141-1,"")))</f>
        <v/>
      </c>
      <c r="W142" s="15">
        <f>IF(OR(W141="",V141=""),"",IF(W141*V141&lt;=0,"",IFERROR(W141/V141-1,"")))</f>
        <v/>
      </c>
      <c r="X142" s="15">
        <f>IF(OR(X141="",W141=""),"",IF(X141*W141&lt;=0,"",IFERROR(X141/W141-1,"")))</f>
        <v/>
      </c>
    </row>
    <row r="143">
      <c r="A143" s="9" t="inlineStr">
        <is>
          <t>순이익</t>
        </is>
      </c>
      <c r="C143" s="12" t="n">
        <v>3808</v>
      </c>
      <c r="D143" s="12" t="n">
        <v>3423</v>
      </c>
      <c r="E143" s="12" t="n">
        <v>772</v>
      </c>
      <c r="F143" s="12" t="n">
        <v>2507</v>
      </c>
      <c r="G143" s="12" t="n">
        <v>5947</v>
      </c>
      <c r="H143" s="12" t="n">
        <v>5979</v>
      </c>
      <c r="I143" s="12" t="n">
        <v>1917</v>
      </c>
      <c r="J143" s="12" t="n">
        <v>3392</v>
      </c>
      <c r="K143" s="12" t="n">
        <v>4733</v>
      </c>
      <c r="L143" s="12" t="n">
        <v>1422</v>
      </c>
      <c r="M143" s="12" t="n">
        <v>2132</v>
      </c>
      <c r="N143" s="12" t="n">
        <v>4058</v>
      </c>
      <c r="T143" s="12" t="n">
        <v>-784</v>
      </c>
      <c r="U143" s="12" t="n">
        <v>182</v>
      </c>
      <c r="V143" s="12" t="n">
        <v>772</v>
      </c>
      <c r="W143" s="12" t="n">
        <v>1917</v>
      </c>
      <c r="X143" s="12" t="n">
        <v>2132</v>
      </c>
    </row>
    <row r="144">
      <c r="A144" s="43" t="inlineStr">
        <is>
          <t>YoY</t>
        </is>
      </c>
      <c r="B144" s="3" t="inlineStr">
        <is>
          <t>전년 같은 분기·전년 대비</t>
        </is>
      </c>
      <c r="G144" s="15">
        <f>IF(OR(G143="",C143=""),"",IF(C143&lt;=0,"",IFERROR(G143/C143-1,"")))</f>
        <v/>
      </c>
      <c r="H144" s="15">
        <f>IF(OR(H143="",D143=""),"",IF(D143&lt;=0,"",IFERROR(H143/D143-1,"")))</f>
        <v/>
      </c>
      <c r="I144" s="15">
        <f>IF(OR(I143="",E143=""),"",IF(E143&lt;=0,"",IFERROR(I143/E143-1,"")))</f>
        <v/>
      </c>
      <c r="J144" s="15">
        <f>IF(OR(J143="",F143=""),"",IF(F143&lt;=0,"",IFERROR(J143/F143-1,"")))</f>
        <v/>
      </c>
      <c r="K144" s="15">
        <f>IF(OR(K143="",G143=""),"",IF(G143&lt;=0,"",IFERROR(K143/G143-1,"")))</f>
        <v/>
      </c>
      <c r="L144" s="15">
        <f>IF(OR(L143="",H143=""),"",IF(H143&lt;=0,"",IFERROR(L143/H143-1,"")))</f>
        <v/>
      </c>
      <c r="M144" s="15">
        <f>IF(OR(M143="",I143=""),"",IF(I143&lt;=0,"",IFERROR(M143/I143-1,"")))</f>
        <v/>
      </c>
      <c r="N144" s="15">
        <f>IF(OR(N143="",J143=""),"",IF(J143&lt;=0,"",IFERROR(N143/J143-1,"")))</f>
        <v/>
      </c>
      <c r="T144" s="15">
        <f>IF(OR(T143="",S143=""),"",IF(S143&lt;=0,"",IFERROR(T143/S143-1,"")))</f>
        <v/>
      </c>
      <c r="U144" s="15">
        <f>IF(OR(U143="",T143=""),"",IF(T143&lt;=0,"",IFERROR(U143/T143-1,"")))</f>
        <v/>
      </c>
      <c r="V144" s="15">
        <f>IF(OR(V143="",U143=""),"",IF(U143&lt;=0,"",IFERROR(V143/U143-1,"")))</f>
        <v/>
      </c>
      <c r="W144" s="15">
        <f>IF(OR(W143="",V143=""),"",IF(V143&lt;=0,"",IFERROR(W143/V143-1,"")))</f>
        <v/>
      </c>
      <c r="X144" s="15">
        <f>IF(OR(X143="",W143=""),"",IF(W143&lt;=0,"",IFERROR(X143/W143-1,"")))</f>
        <v/>
      </c>
    </row>
    <row r="145">
      <c r="A145" s="9" t="inlineStr">
        <is>
          <t>지배주주 순이익</t>
        </is>
      </c>
      <c r="C145" s="12" t="n">
        <v>3808</v>
      </c>
      <c r="D145" s="12" t="n">
        <v>3423</v>
      </c>
      <c r="E145" s="12" t="n">
        <v>772</v>
      </c>
      <c r="F145" s="12" t="n">
        <v>2507</v>
      </c>
      <c r="G145" s="12" t="n">
        <v>5947</v>
      </c>
      <c r="H145" s="12" t="n">
        <v>5979</v>
      </c>
      <c r="I145" s="12" t="n">
        <v>1917</v>
      </c>
      <c r="J145" s="12" t="n">
        <v>3392</v>
      </c>
      <c r="K145" s="12" t="n">
        <v>4733</v>
      </c>
      <c r="L145" s="12" t="n">
        <v>1422</v>
      </c>
      <c r="M145" s="12" t="n">
        <v>2132</v>
      </c>
      <c r="N145" s="12" t="n">
        <v>4058</v>
      </c>
      <c r="T145" s="12" t="n">
        <v>-784</v>
      </c>
      <c r="U145" s="12" t="n">
        <v>182</v>
      </c>
      <c r="V145" s="12" t="n">
        <v>772</v>
      </c>
      <c r="W145" s="12" t="n">
        <v>1917</v>
      </c>
      <c r="X145" s="12" t="n">
        <v>2132</v>
      </c>
    </row>
    <row r="146">
      <c r="A146" s="43" t="inlineStr">
        <is>
          <t>YoY</t>
        </is>
      </c>
      <c r="B146" s="3" t="inlineStr">
        <is>
          <t>전년 같은 분기·전년 대비</t>
        </is>
      </c>
      <c r="G146" s="15">
        <f>IF(OR(G145="",C145=""),"",IF(C145&lt;=0,"",IFERROR(G145/C145-1,"")))</f>
        <v/>
      </c>
      <c r="H146" s="15">
        <f>IF(OR(H145="",D145=""),"",IF(D145&lt;=0,"",IFERROR(H145/D145-1,"")))</f>
        <v/>
      </c>
      <c r="I146" s="15">
        <f>IF(OR(I145="",E145=""),"",IF(E145&lt;=0,"",IFERROR(I145/E145-1,"")))</f>
        <v/>
      </c>
      <c r="J146" s="15">
        <f>IF(OR(J145="",F145=""),"",IF(F145&lt;=0,"",IFERROR(J145/F145-1,"")))</f>
        <v/>
      </c>
      <c r="K146" s="15">
        <f>IF(OR(K145="",G145=""),"",IF(G145&lt;=0,"",IFERROR(K145/G145-1,"")))</f>
        <v/>
      </c>
      <c r="L146" s="15">
        <f>IF(OR(L145="",H145=""),"",IF(H145&lt;=0,"",IFERROR(L145/H145-1,"")))</f>
        <v/>
      </c>
      <c r="M146" s="15">
        <f>IF(OR(M145="",I145=""),"",IF(I145&lt;=0,"",IFERROR(M145/I145-1,"")))</f>
        <v/>
      </c>
      <c r="N146" s="15">
        <f>IF(OR(N145="",J145=""),"",IF(J145&lt;=0,"",IFERROR(N145/J145-1,"")))</f>
        <v/>
      </c>
      <c r="T146" s="15">
        <f>IF(OR(T145="",S145=""),"",IF(S145&lt;=0,"",IFERROR(T145/S145-1,"")))</f>
        <v/>
      </c>
      <c r="U146" s="15">
        <f>IF(OR(U145="",T145=""),"",IF(T145&lt;=0,"",IFERROR(U145/T145-1,"")))</f>
        <v/>
      </c>
      <c r="V146" s="15">
        <f>IF(OR(V145="",U145=""),"",IF(U145&lt;=0,"",IFERROR(V145/U145-1,"")))</f>
        <v/>
      </c>
      <c r="W146" s="15">
        <f>IF(OR(W145="",V145=""),"",IF(V145&lt;=0,"",IFERROR(W145/V145-1,"")))</f>
        <v/>
      </c>
      <c r="X146" s="15">
        <f>IF(OR(X145="",W145=""),"",IF(W145&lt;=0,"",IFERROR(X145/W145-1,"")))</f>
        <v/>
      </c>
    </row>
    <row r="148">
      <c r="A148" s="16" t="inlineStr">
        <is>
          <t>포괄손익 · 전 항목</t>
        </is>
      </c>
      <c r="B148" s="42" t="inlineStr">
        <is>
          <t>분기 = 3개월 단독</t>
        </is>
      </c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6" t="n"/>
      <c r="AC148" s="16" t="n"/>
    </row>
    <row r="149">
      <c r="A149" s="5" t="inlineStr">
        <is>
          <t>항목</t>
        </is>
      </c>
      <c r="B149" s="5" t="inlineStr">
        <is>
          <t>참고</t>
        </is>
      </c>
      <c r="C149" s="5" t="inlineStr">
        <is>
          <t>2024.2Q</t>
        </is>
      </c>
      <c r="D149" s="5" t="inlineStr">
        <is>
          <t>2024.3Q</t>
        </is>
      </c>
      <c r="E149" s="5" t="inlineStr">
        <is>
          <t>2024.4Q</t>
        </is>
      </c>
      <c r="F149" s="5" t="inlineStr">
        <is>
          <t>2025.1Q</t>
        </is>
      </c>
      <c r="G149" s="5" t="inlineStr">
        <is>
          <t>2025.2Q</t>
        </is>
      </c>
      <c r="H149" s="5" t="inlineStr">
        <is>
          <t>2025.3Q</t>
        </is>
      </c>
      <c r="I149" s="5" t="inlineStr">
        <is>
          <t>2025.4Q</t>
        </is>
      </c>
      <c r="J149" s="5" t="inlineStr">
        <is>
          <t>2026.1Q</t>
        </is>
      </c>
      <c r="K149" s="5" t="inlineStr">
        <is>
          <t>2026.2Q</t>
        </is>
      </c>
      <c r="L149" s="5" t="inlineStr">
        <is>
          <t>2026.3Q</t>
        </is>
      </c>
      <c r="M149" s="5" t="inlineStr">
        <is>
          <t>2026.4Q</t>
        </is>
      </c>
      <c r="N149" s="5" t="inlineStr">
        <is>
          <t>2027.1Q</t>
        </is>
      </c>
      <c r="O149" s="5" t="inlineStr">
        <is>
          <t>2017</t>
        </is>
      </c>
      <c r="P149" s="5" t="inlineStr">
        <is>
          <t>2018</t>
        </is>
      </c>
      <c r="Q149" s="5" t="inlineStr">
        <is>
          <t>2019</t>
        </is>
      </c>
      <c r="R149" s="5" t="inlineStr">
        <is>
          <t>2020</t>
        </is>
      </c>
      <c r="S149" s="5" t="inlineStr">
        <is>
          <t>2021</t>
        </is>
      </c>
      <c r="T149" s="5" t="inlineStr">
        <is>
          <t>2022</t>
        </is>
      </c>
      <c r="U149" s="5" t="inlineStr">
        <is>
          <t>2023</t>
        </is>
      </c>
      <c r="V149" s="5" t="inlineStr">
        <is>
          <t>2024</t>
        </is>
      </c>
      <c r="W149" s="5" t="inlineStr">
        <is>
          <t>2025</t>
        </is>
      </c>
      <c r="X149" s="5" t="inlineStr">
        <is>
          <t>2026</t>
        </is>
      </c>
      <c r="Y149" s="5" t="inlineStr">
        <is>
          <t>2027(MW)</t>
        </is>
      </c>
      <c r="Z149" s="5" t="inlineStr">
        <is>
          <t>2028(MW)</t>
        </is>
      </c>
      <c r="AA149" s="5" t="inlineStr">
        <is>
          <t>2029(MW)</t>
        </is>
      </c>
      <c r="AB149" s="5" t="inlineStr">
        <is>
          <t>2030(MW)</t>
        </is>
      </c>
      <c r="AC149" s="5" t="inlineStr">
        <is>
          <t>2031(MW)</t>
        </is>
      </c>
    </row>
    <row r="150">
      <c r="A150" s="9" t="inlineStr">
        <is>
          <t>순이익</t>
        </is>
      </c>
      <c r="C150" s="12" t="n">
        <v>3808</v>
      </c>
      <c r="D150" s="12" t="n">
        <v>3423</v>
      </c>
      <c r="E150" s="12" t="n">
        <v>772</v>
      </c>
      <c r="F150" s="12" t="n">
        <v>2507</v>
      </c>
      <c r="G150" s="12" t="n">
        <v>5947</v>
      </c>
      <c r="H150" s="12" t="n">
        <v>5979</v>
      </c>
      <c r="I150" s="12" t="n">
        <v>1917</v>
      </c>
      <c r="J150" s="12" t="n">
        <v>3392</v>
      </c>
      <c r="K150" s="12" t="n">
        <v>4733</v>
      </c>
      <c r="L150" s="12" t="n">
        <v>1422</v>
      </c>
      <c r="M150" s="12" t="n">
        <v>2132</v>
      </c>
      <c r="N150" s="12" t="n">
        <v>4058</v>
      </c>
      <c r="T150" s="12" t="n">
        <v>-784</v>
      </c>
      <c r="U150" s="12" t="n">
        <v>182</v>
      </c>
      <c r="V150" s="12" t="n">
        <v>772</v>
      </c>
      <c r="W150" s="12" t="n">
        <v>1917</v>
      </c>
      <c r="X150" s="12" t="n">
        <v>2132</v>
      </c>
    </row>
    <row r="151">
      <c r="A151" s="18" t="inlineStr">
        <is>
          <t>기타유가증권 평가차액</t>
        </is>
      </c>
      <c r="C151" s="20" t="n">
        <v>-73</v>
      </c>
      <c r="D151" s="20" t="n">
        <v>23</v>
      </c>
      <c r="E151" s="20" t="n">
        <v>128</v>
      </c>
      <c r="F151" s="20" t="n">
        <v>-58</v>
      </c>
      <c r="G151" s="20" t="n">
        <v>51</v>
      </c>
      <c r="H151" s="20" t="n">
        <v>193</v>
      </c>
      <c r="I151" s="20" t="n">
        <v>110</v>
      </c>
      <c r="J151" s="20" t="n">
        <v>141</v>
      </c>
      <c r="K151" s="20" t="n">
        <v>171</v>
      </c>
      <c r="L151" s="20" t="n">
        <v>-403</v>
      </c>
      <c r="M151" s="20" t="n">
        <v>-116</v>
      </c>
      <c r="N151" s="20" t="n">
        <v>74</v>
      </c>
      <c r="T151" s="20" t="n">
        <v>186</v>
      </c>
      <c r="U151" s="20" t="n">
        <v>195</v>
      </c>
      <c r="V151" s="20" t="n">
        <v>128</v>
      </c>
      <c r="W151" s="20" t="n">
        <v>110</v>
      </c>
      <c r="X151" s="20" t="n">
        <v>-116</v>
      </c>
    </row>
    <row r="152">
      <c r="A152" s="18" t="inlineStr">
        <is>
          <t>이연헤지손익</t>
        </is>
      </c>
      <c r="C152" s="20" t="n">
        <v>505</v>
      </c>
      <c r="D152" s="20" t="n">
        <v>-1245</v>
      </c>
      <c r="E152" s="20" t="n">
        <v>980</v>
      </c>
      <c r="F152" s="20" t="n">
        <v>1155</v>
      </c>
      <c r="G152" s="20" t="n">
        <v>-3102</v>
      </c>
      <c r="H152" s="20" t="n">
        <v>1798</v>
      </c>
      <c r="I152" s="20" t="n">
        <v>-1390</v>
      </c>
      <c r="J152" s="20" t="n">
        <v>-453</v>
      </c>
      <c r="K152" s="20" t="n">
        <v>696</v>
      </c>
      <c r="L152" s="20" t="n">
        <v>787</v>
      </c>
      <c r="M152" s="20" t="n">
        <v>98</v>
      </c>
      <c r="N152" s="20" t="n">
        <v>45</v>
      </c>
      <c r="T152" s="20" t="n">
        <v>356</v>
      </c>
      <c r="U152" s="20" t="n">
        <v>40</v>
      </c>
      <c r="V152" s="20" t="n">
        <v>980</v>
      </c>
      <c r="W152" s="20" t="n">
        <v>-1390</v>
      </c>
      <c r="X152" s="20" t="n">
        <v>98</v>
      </c>
    </row>
    <row r="153">
      <c r="A153" s="18" t="inlineStr">
        <is>
          <t>해외사업환산조정</t>
        </is>
      </c>
      <c r="C153" s="20" t="n">
        <v>1600</v>
      </c>
      <c r="D153" s="20" t="n">
        <v>-2483</v>
      </c>
      <c r="E153" s="20" t="n">
        <v>3379</v>
      </c>
      <c r="F153" s="20" t="n">
        <v>3636</v>
      </c>
      <c r="G153" s="20" t="n">
        <v>-6164</v>
      </c>
      <c r="H153" s="20" t="n">
        <v>5095</v>
      </c>
      <c r="I153" s="20" t="n">
        <v>-3103</v>
      </c>
      <c r="J153" s="20" t="n">
        <v>-1522</v>
      </c>
      <c r="K153" s="20" t="n">
        <v>1650</v>
      </c>
      <c r="L153" s="20" t="n">
        <v>2795</v>
      </c>
      <c r="M153" s="20" t="n">
        <v>854</v>
      </c>
      <c r="N153" s="20" t="n">
        <v>921</v>
      </c>
      <c r="T153" s="20" t="n">
        <v>2463</v>
      </c>
      <c r="U153" s="20" t="n">
        <v>-33</v>
      </c>
      <c r="V153" s="20" t="n">
        <v>3379</v>
      </c>
      <c r="W153" s="20" t="n">
        <v>-3103</v>
      </c>
      <c r="X153" s="20" t="n">
        <v>854</v>
      </c>
    </row>
    <row r="154">
      <c r="A154" s="18" t="inlineStr">
        <is>
          <t>퇴직급여 조정액</t>
        </is>
      </c>
      <c r="C154" s="20" t="n">
        <v>-14</v>
      </c>
      <c r="D154" s="20" t="n">
        <v>26</v>
      </c>
      <c r="E154" s="20" t="n">
        <v>375</v>
      </c>
      <c r="F154" s="20" t="n">
        <v>-25</v>
      </c>
      <c r="G154" s="20" t="n">
        <v>21</v>
      </c>
      <c r="H154" s="20" t="n">
        <v>-35</v>
      </c>
      <c r="I154" s="20" t="n">
        <v>-46</v>
      </c>
      <c r="J154" s="20" t="n">
        <v>1</v>
      </c>
      <c r="K154" s="20" t="n">
        <v>-16</v>
      </c>
      <c r="L154" s="20" t="n">
        <v>-25</v>
      </c>
      <c r="M154" s="20" t="n">
        <v>346</v>
      </c>
      <c r="N154" s="20" t="n">
        <v>-24</v>
      </c>
      <c r="T154" s="20" t="n">
        <v>-14</v>
      </c>
      <c r="U154" s="20" t="n">
        <v>-30</v>
      </c>
      <c r="V154" s="20" t="n">
        <v>375</v>
      </c>
      <c r="W154" s="20" t="n">
        <v>-46</v>
      </c>
      <c r="X154" s="20" t="n">
        <v>346</v>
      </c>
    </row>
    <row r="155">
      <c r="A155" s="18" t="inlineStr">
        <is>
          <t>기타포괄손익 합계</t>
        </is>
      </c>
      <c r="C155" s="20" t="n">
        <v>2017</v>
      </c>
      <c r="D155" s="20" t="n">
        <v>-3678</v>
      </c>
      <c r="E155" s="20" t="n">
        <v>4863</v>
      </c>
      <c r="F155" s="20" t="n">
        <v>4708</v>
      </c>
      <c r="G155" s="20" t="n">
        <v>-9195</v>
      </c>
      <c r="H155" s="20" t="n">
        <v>7051</v>
      </c>
      <c r="I155" s="20" t="n">
        <v>-4442</v>
      </c>
      <c r="J155" s="20" t="n">
        <v>-1833</v>
      </c>
      <c r="K155" s="20" t="n">
        <v>2502</v>
      </c>
      <c r="L155" s="20" t="n">
        <v>3152</v>
      </c>
      <c r="M155" s="20" t="n">
        <v>1183</v>
      </c>
      <c r="N155" s="20" t="n">
        <v>1017</v>
      </c>
      <c r="T155" s="20" t="n">
        <v>2990</v>
      </c>
      <c r="U155" s="20" t="n">
        <v>171</v>
      </c>
      <c r="V155" s="20" t="n">
        <v>4863</v>
      </c>
      <c r="W155" s="20" t="n">
        <v>-4442</v>
      </c>
      <c r="X155" s="20" t="n">
        <v>1183</v>
      </c>
    </row>
    <row r="156">
      <c r="A156" s="9" t="inlineStr">
        <is>
          <t>포괄이익</t>
        </is>
      </c>
      <c r="C156" s="12" t="n">
        <v>5824</v>
      </c>
      <c r="D156" s="12" t="n">
        <v>-255</v>
      </c>
      <c r="E156" s="12" t="n">
        <v>5635</v>
      </c>
      <c r="F156" s="12" t="n">
        <v>7215</v>
      </c>
      <c r="G156" s="12" t="n">
        <v>-3249</v>
      </c>
      <c r="H156" s="12" t="n">
        <v>13031</v>
      </c>
      <c r="I156" s="12" t="n">
        <v>-2525</v>
      </c>
      <c r="J156" s="12" t="n">
        <v>1558</v>
      </c>
      <c r="K156" s="12" t="n">
        <v>7236</v>
      </c>
      <c r="L156" s="12" t="n">
        <v>4575</v>
      </c>
      <c r="M156" s="12" t="n">
        <v>3315</v>
      </c>
      <c r="N156" s="12" t="n">
        <v>5075</v>
      </c>
      <c r="T156" s="12" t="n">
        <v>2205</v>
      </c>
      <c r="U156" s="12" t="n">
        <v>353</v>
      </c>
      <c r="V156" s="12" t="n">
        <v>5635</v>
      </c>
      <c r="W156" s="12" t="n">
        <v>-2525</v>
      </c>
      <c r="X156" s="12" t="n">
        <v>3315</v>
      </c>
    </row>
    <row r="157">
      <c r="A157" s="9" t="inlineStr">
        <is>
          <t>지배주주 포괄이익</t>
        </is>
      </c>
      <c r="C157" s="12" t="n">
        <v>5824</v>
      </c>
      <c r="D157" s="12" t="n">
        <v>-255</v>
      </c>
      <c r="E157" s="12" t="n">
        <v>5635</v>
      </c>
      <c r="F157" s="12" t="n">
        <v>7215</v>
      </c>
      <c r="G157" s="12" t="n">
        <v>-3249</v>
      </c>
      <c r="H157" s="12" t="n">
        <v>13031</v>
      </c>
      <c r="I157" s="12" t="n">
        <v>-2525</v>
      </c>
      <c r="J157" s="12" t="n">
        <v>1558</v>
      </c>
      <c r="K157" s="12" t="n">
        <v>7236</v>
      </c>
      <c r="L157" s="12" t="n">
        <v>4575</v>
      </c>
      <c r="M157" s="12" t="n">
        <v>3315</v>
      </c>
      <c r="N157" s="12" t="n">
        <v>5075</v>
      </c>
      <c r="T157" s="12" t="n">
        <v>2205</v>
      </c>
      <c r="U157" s="12" t="n">
        <v>353</v>
      </c>
      <c r="V157" s="12" t="n">
        <v>5635</v>
      </c>
      <c r="W157" s="12" t="n">
        <v>-2525</v>
      </c>
      <c r="X157" s="12" t="n">
        <v>3315</v>
      </c>
    </row>
    <row r="158">
      <c r="A158" s="9" t="inlineStr">
        <is>
          <t>비지배주주 포괄이익</t>
        </is>
      </c>
      <c r="C158" s="12" t="n">
        <v>0</v>
      </c>
      <c r="D158" s="12" t="n">
        <v>0</v>
      </c>
      <c r="E158" s="12" t="n">
        <v>0</v>
      </c>
      <c r="F158" s="12" t="n">
        <v>0</v>
      </c>
      <c r="G158" s="12" t="n">
        <v>0</v>
      </c>
      <c r="H158" s="12" t="n">
        <v>0</v>
      </c>
      <c r="I158" s="12" t="n">
        <v>0</v>
      </c>
      <c r="J158" s="12" t="n">
        <v>0</v>
      </c>
      <c r="K158" s="12" t="n">
        <v>0</v>
      </c>
      <c r="L158" s="12" t="n">
        <v>0</v>
      </c>
      <c r="M158" s="12" t="n">
        <v>0</v>
      </c>
      <c r="N158" s="12" t="n">
        <v>0</v>
      </c>
      <c r="T158" s="12" t="n">
        <v>0</v>
      </c>
      <c r="U158" s="12" t="n">
        <v>0</v>
      </c>
      <c r="V158" s="12" t="n">
        <v>0</v>
      </c>
      <c r="W158" s="12" t="n">
        <v>0</v>
      </c>
      <c r="X158" s="12" t="n">
        <v>0</v>
      </c>
    </row>
    <row r="160">
      <c r="A160" s="16" t="inlineStr">
        <is>
          <t>부문 · 전 항목</t>
        </is>
      </c>
      <c r="B160" s="42" t="inlineStr">
        <is>
          <t>부문 · 항목</t>
        </is>
      </c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6" t="n"/>
      <c r="AC160" s="16" t="n"/>
    </row>
    <row r="161">
      <c r="A161" s="5" t="inlineStr">
        <is>
          <t>항목</t>
        </is>
      </c>
      <c r="B161" s="5" t="inlineStr">
        <is>
          <t>참고</t>
        </is>
      </c>
      <c r="C161" s="5" t="inlineStr">
        <is>
          <t>2024.2Q</t>
        </is>
      </c>
      <c r="D161" s="5" t="inlineStr">
        <is>
          <t>2024.3Q</t>
        </is>
      </c>
      <c r="E161" s="5" t="inlineStr">
        <is>
          <t>2024.4Q</t>
        </is>
      </c>
      <c r="F161" s="5" t="inlineStr">
        <is>
          <t>2025.1Q</t>
        </is>
      </c>
      <c r="G161" s="5" t="inlineStr">
        <is>
          <t>2025.2Q</t>
        </is>
      </c>
      <c r="H161" s="5" t="inlineStr">
        <is>
          <t>2025.3Q</t>
        </is>
      </c>
      <c r="I161" s="5" t="inlineStr">
        <is>
          <t>2025.4Q</t>
        </is>
      </c>
      <c r="J161" s="5" t="inlineStr">
        <is>
          <t>2026.1Q</t>
        </is>
      </c>
      <c r="K161" s="5" t="inlineStr">
        <is>
          <t>2026.2Q</t>
        </is>
      </c>
      <c r="L161" s="5" t="inlineStr">
        <is>
          <t>2026.3Q</t>
        </is>
      </c>
      <c r="M161" s="5" t="inlineStr">
        <is>
          <t>2026.4Q</t>
        </is>
      </c>
      <c r="N161" s="5" t="inlineStr">
        <is>
          <t>2027.1Q</t>
        </is>
      </c>
      <c r="O161" s="5" t="inlineStr">
        <is>
          <t>2017</t>
        </is>
      </c>
      <c r="P161" s="5" t="inlineStr">
        <is>
          <t>2018</t>
        </is>
      </c>
      <c r="Q161" s="5" t="inlineStr">
        <is>
          <t>2019</t>
        </is>
      </c>
      <c r="R161" s="5" t="inlineStr">
        <is>
          <t>2020</t>
        </is>
      </c>
      <c r="S161" s="5" t="inlineStr">
        <is>
          <t>2021</t>
        </is>
      </c>
      <c r="T161" s="5" t="inlineStr">
        <is>
          <t>2022</t>
        </is>
      </c>
      <c r="U161" s="5" t="inlineStr">
        <is>
          <t>2023</t>
        </is>
      </c>
      <c r="V161" s="5" t="inlineStr">
        <is>
          <t>2024</t>
        </is>
      </c>
      <c r="W161" s="5" t="inlineStr">
        <is>
          <t>2025</t>
        </is>
      </c>
      <c r="X161" s="5" t="inlineStr">
        <is>
          <t>2026</t>
        </is>
      </c>
      <c r="Y161" s="5" t="inlineStr">
        <is>
          <t>2027(MW)</t>
        </is>
      </c>
      <c r="Z161" s="5" t="inlineStr">
        <is>
          <t>2028(MW)</t>
        </is>
      </c>
      <c r="AA161" s="5" t="inlineStr">
        <is>
          <t>2029(MW)</t>
        </is>
      </c>
      <c r="AB161" s="5" t="inlineStr">
        <is>
          <t>2030(MW)</t>
        </is>
      </c>
      <c r="AC161" s="5" t="inlineStr">
        <is>
          <t>2031(MW)</t>
        </is>
      </c>
    </row>
    <row r="162">
      <c r="A162" s="18" t="inlineStr">
        <is>
          <t>일본 · 외부 고객 매출</t>
        </is>
      </c>
      <c r="C162" s="20" t="n">
        <v>39252</v>
      </c>
      <c r="D162" s="20" t="n">
        <v>47021</v>
      </c>
      <c r="E162" s="20" t="n">
        <v>35396</v>
      </c>
      <c r="F162" s="20" t="n">
        <v>41955</v>
      </c>
      <c r="G162" s="20" t="n">
        <v>52835</v>
      </c>
      <c r="H162" s="20" t="n">
        <v>55776</v>
      </c>
      <c r="I162" s="20" t="n">
        <v>42751</v>
      </c>
      <c r="J162" s="20" t="n">
        <v>48300</v>
      </c>
      <c r="K162" s="20" t="n">
        <v>53735</v>
      </c>
      <c r="L162" s="20" t="n">
        <v>61007</v>
      </c>
      <c r="M162" s="20" t="n">
        <v>47392</v>
      </c>
      <c r="N162" s="20" t="n">
        <v>50339</v>
      </c>
      <c r="V162" s="20" t="n">
        <v>35396</v>
      </c>
      <c r="W162" s="20" t="n">
        <v>42751</v>
      </c>
      <c r="X162" s="20" t="n">
        <v>47392</v>
      </c>
    </row>
    <row r="163">
      <c r="A163" s="43" t="inlineStr">
        <is>
          <t>YoY</t>
        </is>
      </c>
      <c r="B163" s="3" t="inlineStr">
        <is>
          <t>전년 같은 분기·전년 대비</t>
        </is>
      </c>
      <c r="G163" s="15">
        <f>IF(OR(G162="",C162=""),"",IF(C162&lt;=0,"",IFERROR(G162/C162-1,"")))</f>
        <v/>
      </c>
      <c r="H163" s="15">
        <f>IF(OR(H162="",D162=""),"",IF(D162&lt;=0,"",IFERROR(H162/D162-1,"")))</f>
        <v/>
      </c>
      <c r="I163" s="15">
        <f>IF(OR(I162="",E162=""),"",IF(E162&lt;=0,"",IFERROR(I162/E162-1,"")))</f>
        <v/>
      </c>
      <c r="J163" s="15">
        <f>IF(OR(J162="",F162=""),"",IF(F162&lt;=0,"",IFERROR(J162/F162-1,"")))</f>
        <v/>
      </c>
      <c r="K163" s="15">
        <f>IF(OR(K162="",G162=""),"",IF(G162&lt;=0,"",IFERROR(K162/G162-1,"")))</f>
        <v/>
      </c>
      <c r="L163" s="15">
        <f>IF(OR(L162="",H162=""),"",IF(H162&lt;=0,"",IFERROR(L162/H162-1,"")))</f>
        <v/>
      </c>
      <c r="M163" s="15">
        <f>IF(OR(M162="",I162=""),"",IF(I162&lt;=0,"",IFERROR(M162/I162-1,"")))</f>
        <v/>
      </c>
      <c r="N163" s="15">
        <f>IF(OR(N162="",J162=""),"",IF(J162&lt;=0,"",IFERROR(N162/J162-1,"")))</f>
        <v/>
      </c>
      <c r="V163" s="15">
        <f>IF(OR(V162="",U162=""),"",IF(U162&lt;=0,"",IFERROR(V162/U162-1,"")))</f>
        <v/>
      </c>
      <c r="W163" s="15">
        <f>IF(OR(W162="",V162=""),"",IF(V162&lt;=0,"",IFERROR(W162/V162-1,"")))</f>
        <v/>
      </c>
      <c r="X163" s="15">
        <f>IF(OR(X162="",W162=""),"",IF(W162&lt;=0,"",IFERROR(X162/W162-1,"")))</f>
        <v/>
      </c>
    </row>
    <row r="164">
      <c r="A164" s="18" t="inlineStr">
        <is>
          <t>아메리카 · 외부 고객 매출</t>
        </is>
      </c>
      <c r="C164" s="20" t="n">
        <v>7655</v>
      </c>
      <c r="D164" s="20" t="n">
        <v>9781</v>
      </c>
      <c r="F164" s="20" t="n">
        <v>6368</v>
      </c>
      <c r="G164" s="20" t="n">
        <v>7692</v>
      </c>
      <c r="H164" s="20" t="n">
        <v>10723</v>
      </c>
      <c r="J164" s="20" t="n">
        <v>5457</v>
      </c>
      <c r="K164" s="20" t="n">
        <v>6908</v>
      </c>
      <c r="L164" s="20" t="n">
        <v>10620</v>
      </c>
      <c r="N164" s="20" t="n">
        <v>5092</v>
      </c>
    </row>
    <row r="165">
      <c r="A165" s="43" t="inlineStr">
        <is>
          <t>YoY</t>
        </is>
      </c>
      <c r="B165" s="3" t="inlineStr">
        <is>
          <t>전년 같은 분기·전년 대비</t>
        </is>
      </c>
      <c r="G165" s="15">
        <f>IF(OR(G164="",C164=""),"",IF(C164&lt;=0,"",IFERROR(G164/C164-1,"")))</f>
        <v/>
      </c>
      <c r="H165" s="15">
        <f>IF(OR(H164="",D164=""),"",IF(D164&lt;=0,"",IFERROR(H164/D164-1,"")))</f>
        <v/>
      </c>
      <c r="J165" s="15">
        <f>IF(OR(J164="",F164=""),"",IF(F164&lt;=0,"",IFERROR(J164/F164-1,"")))</f>
        <v/>
      </c>
      <c r="K165" s="15">
        <f>IF(OR(K164="",G164=""),"",IF(G164&lt;=0,"",IFERROR(K164/G164-1,"")))</f>
        <v/>
      </c>
      <c r="L165" s="15">
        <f>IF(OR(L164="",H164=""),"",IF(H164&lt;=0,"",IFERROR(L164/H164-1,"")))</f>
        <v/>
      </c>
      <c r="N165" s="15">
        <f>IF(OR(N164="",J164=""),"",IF(J164&lt;=0,"",IFERROR(N164/J164-1,"")))</f>
        <v/>
      </c>
    </row>
    <row r="166">
      <c r="A166" s="18" t="inlineStr">
        <is>
          <t>유럽 · 외부 고객 매출</t>
        </is>
      </c>
      <c r="C166" s="20" t="n">
        <v>2081</v>
      </c>
      <c r="D166" s="20" t="n">
        <v>2571</v>
      </c>
      <c r="E166" s="20" t="n">
        <v>1203</v>
      </c>
      <c r="F166" s="20" t="n">
        <v>931</v>
      </c>
      <c r="G166" s="20" t="n">
        <v>2068</v>
      </c>
      <c r="H166" s="20" t="n">
        <v>2808</v>
      </c>
      <c r="I166" s="20" t="n">
        <v>1343</v>
      </c>
      <c r="J166" s="20" t="n">
        <v>1010</v>
      </c>
      <c r="K166" s="20" t="n">
        <v>2350</v>
      </c>
      <c r="L166" s="20" t="n">
        <v>2864</v>
      </c>
      <c r="M166" s="20" t="n">
        <v>1552</v>
      </c>
      <c r="N166" s="20" t="n">
        <v>1462</v>
      </c>
      <c r="V166" s="20" t="n">
        <v>1203</v>
      </c>
      <c r="W166" s="20" t="n">
        <v>1343</v>
      </c>
      <c r="X166" s="20" t="n">
        <v>1552</v>
      </c>
    </row>
    <row r="167">
      <c r="A167" s="43" t="inlineStr">
        <is>
          <t>YoY</t>
        </is>
      </c>
      <c r="B167" s="3" t="inlineStr">
        <is>
          <t>전년 같은 분기·전년 대비</t>
        </is>
      </c>
      <c r="G167" s="15">
        <f>IF(OR(G166="",C166=""),"",IF(C166&lt;=0,"",IFERROR(G166/C166-1,"")))</f>
        <v/>
      </c>
      <c r="H167" s="15">
        <f>IF(OR(H166="",D166=""),"",IF(D166&lt;=0,"",IFERROR(H166/D166-1,"")))</f>
        <v/>
      </c>
      <c r="I167" s="15">
        <f>IF(OR(I166="",E166=""),"",IF(E166&lt;=0,"",IFERROR(I166/E166-1,"")))</f>
        <v/>
      </c>
      <c r="J167" s="15">
        <f>IF(OR(J166="",F166=""),"",IF(F166&lt;=0,"",IFERROR(J166/F166-1,"")))</f>
        <v/>
      </c>
      <c r="K167" s="15">
        <f>IF(OR(K166="",G166=""),"",IF(G166&lt;=0,"",IFERROR(K166/G166-1,"")))</f>
        <v/>
      </c>
      <c r="L167" s="15">
        <f>IF(OR(L166="",H166=""),"",IF(H166&lt;=0,"",IFERROR(L166/H166-1,"")))</f>
        <v/>
      </c>
      <c r="M167" s="15">
        <f>IF(OR(M166="",I166=""),"",IF(I166&lt;=0,"",IFERROR(M166/I166-1,"")))</f>
        <v/>
      </c>
      <c r="N167" s="15">
        <f>IF(OR(N166="",J166=""),"",IF(J166&lt;=0,"",IFERROR(N166/J166-1,"")))</f>
        <v/>
      </c>
      <c r="V167" s="15">
        <f>IF(OR(V166="",U166=""),"",IF(U166&lt;=0,"",IFERROR(V166/U166-1,"")))</f>
        <v/>
      </c>
      <c r="W167" s="15">
        <f>IF(OR(W166="",V166=""),"",IF(V166&lt;=0,"",IFERROR(W166/V166-1,"")))</f>
        <v/>
      </c>
      <c r="X167" s="15">
        <f>IF(OR(X166="",W166=""),"",IF(W166&lt;=0,"",IFERROR(X166/W166-1,"")))</f>
        <v/>
      </c>
    </row>
    <row r="168">
      <c r="A168" s="18" t="inlineStr">
        <is>
          <t>오세아니아 · 외부 고객 매출</t>
        </is>
      </c>
      <c r="C168" s="20" t="n">
        <v>655</v>
      </c>
      <c r="D168" s="20" t="n">
        <v>723</v>
      </c>
      <c r="E168" s="20" t="n">
        <v>574</v>
      </c>
      <c r="F168" s="20" t="n">
        <v>603</v>
      </c>
      <c r="G168" s="20" t="n">
        <v>726</v>
      </c>
      <c r="H168" s="20" t="n">
        <v>913</v>
      </c>
      <c r="I168" s="20" t="n">
        <v>513</v>
      </c>
      <c r="J168" s="20" t="n">
        <v>518</v>
      </c>
      <c r="K168" s="20" t="n">
        <v>673</v>
      </c>
      <c r="L168" s="20" t="n">
        <v>999</v>
      </c>
      <c r="M168" s="20" t="n">
        <v>672</v>
      </c>
      <c r="N168" s="20" t="n">
        <v>727</v>
      </c>
      <c r="V168" s="20" t="n">
        <v>574</v>
      </c>
      <c r="W168" s="20" t="n">
        <v>513</v>
      </c>
      <c r="X168" s="20" t="n">
        <v>672</v>
      </c>
    </row>
    <row r="169">
      <c r="A169" s="43" t="inlineStr">
        <is>
          <t>YoY</t>
        </is>
      </c>
      <c r="B169" s="3" t="inlineStr">
        <is>
          <t>전년 같은 분기·전년 대비</t>
        </is>
      </c>
      <c r="G169" s="15">
        <f>IF(OR(G168="",C168=""),"",IF(C168&lt;=0,"",IFERROR(G168/C168-1,"")))</f>
        <v/>
      </c>
      <c r="H169" s="15">
        <f>IF(OR(H168="",D168=""),"",IF(D168&lt;=0,"",IFERROR(H168/D168-1,"")))</f>
        <v/>
      </c>
      <c r="I169" s="15">
        <f>IF(OR(I168="",E168=""),"",IF(E168&lt;=0,"",IFERROR(I168/E168-1,"")))</f>
        <v/>
      </c>
      <c r="J169" s="15">
        <f>IF(OR(J168="",F168=""),"",IF(F168&lt;=0,"",IFERROR(J168/F168-1,"")))</f>
        <v/>
      </c>
      <c r="K169" s="15">
        <f>IF(OR(K168="",G168=""),"",IF(G168&lt;=0,"",IFERROR(K168/G168-1,"")))</f>
        <v/>
      </c>
      <c r="L169" s="15">
        <f>IF(OR(L168="",H168=""),"",IF(H168&lt;=0,"",IFERROR(L168/H168-1,"")))</f>
        <v/>
      </c>
      <c r="M169" s="15">
        <f>IF(OR(M168="",I168=""),"",IF(I168&lt;=0,"",IFERROR(M168/I168-1,"")))</f>
        <v/>
      </c>
      <c r="N169" s="15">
        <f>IF(OR(N168="",J168=""),"",IF(J168&lt;=0,"",IFERROR(N168/J168-1,"")))</f>
        <v/>
      </c>
      <c r="V169" s="15">
        <f>IF(OR(V168="",U168=""),"",IF(U168&lt;=0,"",IFERROR(V168/U168-1,"")))</f>
        <v/>
      </c>
      <c r="W169" s="15">
        <f>IF(OR(W168="",V168=""),"",IF(V168&lt;=0,"",IFERROR(W168/V168-1,"")))</f>
        <v/>
      </c>
      <c r="X169" s="15">
        <f>IF(OR(X168="",W168=""),"",IF(W168&lt;=0,"",IFERROR(X168/W168-1,"")))</f>
        <v/>
      </c>
    </row>
    <row r="170">
      <c r="A170" s="18" t="inlineStr">
        <is>
          <t>아시아 · 외부 고객 매출</t>
        </is>
      </c>
      <c r="C170" s="20" t="n">
        <v>3333</v>
      </c>
      <c r="D170" s="20" t="n">
        <v>4077</v>
      </c>
      <c r="E170" s="20" t="n">
        <v>4239</v>
      </c>
      <c r="F170" s="20" t="n">
        <v>3728</v>
      </c>
      <c r="G170" s="20" t="n">
        <v>3801</v>
      </c>
      <c r="H170" s="20" t="n">
        <v>4043</v>
      </c>
      <c r="I170" s="20" t="n">
        <v>4379</v>
      </c>
      <c r="J170" s="20" t="n">
        <v>4193</v>
      </c>
      <c r="K170" s="20" t="n">
        <v>4739</v>
      </c>
      <c r="L170" s="20" t="n">
        <v>5263</v>
      </c>
      <c r="M170" s="20" t="n">
        <v>4780</v>
      </c>
      <c r="N170" s="20" t="n">
        <v>6425</v>
      </c>
      <c r="V170" s="20" t="n">
        <v>4239</v>
      </c>
      <c r="W170" s="20" t="n">
        <v>4379</v>
      </c>
      <c r="X170" s="20" t="n">
        <v>4780</v>
      </c>
    </row>
    <row r="171">
      <c r="A171" s="43" t="inlineStr">
        <is>
          <t>YoY</t>
        </is>
      </c>
      <c r="B171" s="3" t="inlineStr">
        <is>
          <t>전년 같은 분기·전년 대비</t>
        </is>
      </c>
      <c r="G171" s="15">
        <f>IF(OR(G170="",C170=""),"",IF(C170&lt;=0,"",IFERROR(G170/C170-1,"")))</f>
        <v/>
      </c>
      <c r="H171" s="15">
        <f>IF(OR(H170="",D170=""),"",IF(D170&lt;=0,"",IFERROR(H170/D170-1,"")))</f>
        <v/>
      </c>
      <c r="I171" s="15">
        <f>IF(OR(I170="",E170=""),"",IF(E170&lt;=0,"",IFERROR(I170/E170-1,"")))</f>
        <v/>
      </c>
      <c r="J171" s="15">
        <f>IF(OR(J170="",F170=""),"",IF(F170&lt;=0,"",IFERROR(J170/F170-1,"")))</f>
        <v/>
      </c>
      <c r="K171" s="15">
        <f>IF(OR(K170="",G170=""),"",IF(G170&lt;=0,"",IFERROR(K170/G170-1,"")))</f>
        <v/>
      </c>
      <c r="L171" s="15">
        <f>IF(OR(L170="",H170=""),"",IF(H170&lt;=0,"",IFERROR(L170/H170-1,"")))</f>
        <v/>
      </c>
      <c r="M171" s="15">
        <f>IF(OR(M170="",I170=""),"",IF(I170&lt;=0,"",IFERROR(M170/I170-1,"")))</f>
        <v/>
      </c>
      <c r="N171" s="15">
        <f>IF(OR(N170="",J170=""),"",IF(J170&lt;=0,"",IFERROR(N170/J170-1,"")))</f>
        <v/>
      </c>
      <c r="V171" s="15">
        <f>IF(OR(V170="",U170=""),"",IF(U170&lt;=0,"",IFERROR(V170/U170-1,"")))</f>
        <v/>
      </c>
      <c r="W171" s="15">
        <f>IF(OR(W170="",V170=""),"",IF(V170&lt;=0,"",IFERROR(W170/V170-1,"")))</f>
        <v/>
      </c>
      <c r="X171" s="15">
        <f>IF(OR(X170="",W170=""),"",IF(W170&lt;=0,"",IFERROR(X170/W170-1,"")))</f>
        <v/>
      </c>
    </row>
    <row r="172">
      <c r="A172" s="18" t="inlineStr">
        <is>
          <t>합계 · 외부 고객 매출</t>
        </is>
      </c>
      <c r="C172" s="20" t="n">
        <v>52976</v>
      </c>
      <c r="D172" s="20" t="n">
        <v>64173</v>
      </c>
      <c r="E172" s="20" t="n">
        <v>48075</v>
      </c>
      <c r="F172" s="20" t="n">
        <v>53586</v>
      </c>
      <c r="G172" s="20" t="n">
        <v>67123</v>
      </c>
      <c r="H172" s="20" t="n">
        <v>74263</v>
      </c>
      <c r="I172" s="20" t="n">
        <v>55263</v>
      </c>
      <c r="J172" s="20" t="n">
        <v>59479</v>
      </c>
      <c r="K172" s="20" t="n">
        <v>68405</v>
      </c>
      <c r="L172" s="20" t="n">
        <v>80754</v>
      </c>
      <c r="M172" s="20" t="n">
        <v>61817</v>
      </c>
      <c r="N172" s="20" t="n">
        <v>64047</v>
      </c>
      <c r="V172" s="20" t="n">
        <v>48075</v>
      </c>
      <c r="W172" s="20" t="n">
        <v>55263</v>
      </c>
      <c r="X172" s="20" t="n">
        <v>61817</v>
      </c>
    </row>
    <row r="173">
      <c r="A173" s="43" t="inlineStr">
        <is>
          <t>YoY</t>
        </is>
      </c>
      <c r="B173" s="3" t="inlineStr">
        <is>
          <t>전년 같은 분기·전년 대비</t>
        </is>
      </c>
      <c r="G173" s="15">
        <f>IF(OR(G172="",C172=""),"",IF(C172&lt;=0,"",IFERROR(G172/C172-1,"")))</f>
        <v/>
      </c>
      <c r="H173" s="15">
        <f>IF(OR(H172="",D172=""),"",IF(D172&lt;=0,"",IFERROR(H172/D172-1,"")))</f>
        <v/>
      </c>
      <c r="I173" s="15">
        <f>IF(OR(I172="",E172=""),"",IF(E172&lt;=0,"",IFERROR(I172/E172-1,"")))</f>
        <v/>
      </c>
      <c r="J173" s="15">
        <f>IF(OR(J172="",F172=""),"",IF(F172&lt;=0,"",IFERROR(J172/F172-1,"")))</f>
        <v/>
      </c>
      <c r="K173" s="15">
        <f>IF(OR(K172="",G172=""),"",IF(G172&lt;=0,"",IFERROR(K172/G172-1,"")))</f>
        <v/>
      </c>
      <c r="L173" s="15">
        <f>IF(OR(L172="",H172=""),"",IF(H172&lt;=0,"",IFERROR(L172/H172-1,"")))</f>
        <v/>
      </c>
      <c r="M173" s="15">
        <f>IF(OR(M172="",I172=""),"",IF(I172&lt;=0,"",IFERROR(M172/I172-1,"")))</f>
        <v/>
      </c>
      <c r="N173" s="15">
        <f>IF(OR(N172="",J172=""),"",IF(J172&lt;=0,"",IFERROR(N172/J172-1,"")))</f>
        <v/>
      </c>
      <c r="V173" s="15">
        <f>IF(OR(V172="",U172=""),"",IF(U172&lt;=0,"",IFERROR(V172/U172-1,"")))</f>
        <v/>
      </c>
      <c r="W173" s="15">
        <f>IF(OR(W172="",V172=""),"",IF(V172&lt;=0,"",IFERROR(W172/V172-1,"")))</f>
        <v/>
      </c>
      <c r="X173" s="15">
        <f>IF(OR(X172="",W172=""),"",IF(W172&lt;=0,"",IFERROR(X172/W172-1,"")))</f>
        <v/>
      </c>
    </row>
    <row r="174">
      <c r="A174" s="18" t="inlineStr">
        <is>
          <t>일본 · 부문 간 내부매출·대체</t>
        </is>
      </c>
      <c r="C174" s="20" t="n">
        <v>4109</v>
      </c>
      <c r="D174" s="20" t="n">
        <v>4788</v>
      </c>
      <c r="E174" s="20" t="n">
        <v>3011</v>
      </c>
      <c r="F174" s="20" t="n">
        <v>4566</v>
      </c>
      <c r="G174" s="20" t="n">
        <v>5423</v>
      </c>
      <c r="H174" s="20" t="n">
        <v>5171</v>
      </c>
      <c r="I174" s="20" t="n">
        <v>2545</v>
      </c>
      <c r="J174" s="20" t="n">
        <v>3969</v>
      </c>
      <c r="K174" s="20" t="n">
        <v>4171</v>
      </c>
      <c r="L174" s="20" t="n">
        <v>4412</v>
      </c>
      <c r="M174" s="20" t="n">
        <v>3241</v>
      </c>
      <c r="N174" s="20" t="n">
        <v>6088</v>
      </c>
      <c r="V174" s="20" t="n">
        <v>3011</v>
      </c>
      <c r="W174" s="20" t="n">
        <v>2545</v>
      </c>
      <c r="X174" s="20" t="n">
        <v>3241</v>
      </c>
    </row>
    <row r="175">
      <c r="A175" s="18" t="inlineStr">
        <is>
          <t>아메리카 · 부문 간 내부매출·대체</t>
        </is>
      </c>
      <c r="C175" s="20" t="n">
        <v>7</v>
      </c>
      <c r="D175" s="20" t="n">
        <v>2</v>
      </c>
      <c r="F175" s="20" t="n">
        <v>15</v>
      </c>
      <c r="G175" s="20" t="n">
        <v>0</v>
      </c>
      <c r="H175" s="20" t="n">
        <v>11</v>
      </c>
      <c r="J175" s="20" t="n">
        <v>4</v>
      </c>
      <c r="K175" s="20" t="n">
        <v>12</v>
      </c>
      <c r="L175" s="20" t="n">
        <v>23</v>
      </c>
      <c r="N175" s="20" t="n">
        <v>3</v>
      </c>
    </row>
    <row r="176">
      <c r="A176" s="18" t="inlineStr">
        <is>
          <t>유럽 · 부문 간 내부매출·대체</t>
        </is>
      </c>
      <c r="C176" s="20" t="n">
        <v>11</v>
      </c>
      <c r="D176" s="20" t="n">
        <v>5</v>
      </c>
      <c r="E176" s="20" t="n">
        <v>0</v>
      </c>
      <c r="F176" s="20" t="n">
        <v>0</v>
      </c>
      <c r="G176" s="20" t="n">
        <v>4</v>
      </c>
      <c r="H176" s="20" t="n">
        <v>0</v>
      </c>
      <c r="I176" s="20" t="n">
        <v>0</v>
      </c>
      <c r="J176" s="20" t="n">
        <v>0</v>
      </c>
      <c r="K176" s="20" t="n">
        <v>0</v>
      </c>
      <c r="L176" s="20" t="n">
        <v>8</v>
      </c>
      <c r="M176" s="20" t="n">
        <v>13</v>
      </c>
      <c r="N176" s="20" t="n">
        <v>6</v>
      </c>
      <c r="V176" s="20" t="n">
        <v>0</v>
      </c>
      <c r="W176" s="20" t="n">
        <v>0</v>
      </c>
      <c r="X176" s="20" t="n">
        <v>13</v>
      </c>
    </row>
    <row r="177">
      <c r="A177" s="18" t="inlineStr">
        <is>
          <t>오세아니아 · 부문 간 내부매출·대체</t>
        </is>
      </c>
      <c r="C177" s="20" t="n">
        <v>0</v>
      </c>
      <c r="D177" s="20" t="n">
        <v>0</v>
      </c>
      <c r="E177" s="20" t="n">
        <v>0</v>
      </c>
      <c r="F177" s="20" t="n">
        <v>0</v>
      </c>
      <c r="G177" s="20" t="n">
        <v>0</v>
      </c>
      <c r="H177" s="20" t="n">
        <v>0</v>
      </c>
      <c r="I177" s="20" t="n">
        <v>0</v>
      </c>
      <c r="J177" s="20" t="n">
        <v>0</v>
      </c>
      <c r="K177" s="20" t="n">
        <v>0</v>
      </c>
      <c r="L177" s="20" t="n">
        <v>0</v>
      </c>
      <c r="M177" s="20" t="n">
        <v>0</v>
      </c>
      <c r="N177" s="20" t="n">
        <v>0</v>
      </c>
      <c r="V177" s="20" t="n">
        <v>0</v>
      </c>
      <c r="W177" s="20" t="n">
        <v>0</v>
      </c>
      <c r="X177" s="20" t="n">
        <v>0</v>
      </c>
    </row>
    <row r="178">
      <c r="A178" s="18" t="inlineStr">
        <is>
          <t>아시아 · 부문 간 내부매출·대체</t>
        </is>
      </c>
      <c r="C178" s="20" t="n">
        <v>11967</v>
      </c>
      <c r="D178" s="20" t="n">
        <v>11283</v>
      </c>
      <c r="E178" s="20" t="n">
        <v>8892</v>
      </c>
      <c r="F178" s="20" t="n">
        <v>13753</v>
      </c>
      <c r="G178" s="20" t="n">
        <v>15234</v>
      </c>
      <c r="H178" s="20" t="n">
        <v>13263</v>
      </c>
      <c r="I178" s="20" t="n">
        <v>10075</v>
      </c>
      <c r="J178" s="20" t="n">
        <v>12721</v>
      </c>
      <c r="K178" s="20" t="n">
        <v>12561</v>
      </c>
      <c r="L178" s="20" t="n">
        <v>12949</v>
      </c>
      <c r="M178" s="20" t="n">
        <v>10312</v>
      </c>
      <c r="N178" s="20" t="n">
        <v>14030</v>
      </c>
      <c r="V178" s="20" t="n">
        <v>8892</v>
      </c>
      <c r="W178" s="20" t="n">
        <v>10075</v>
      </c>
      <c r="X178" s="20" t="n">
        <v>10312</v>
      </c>
    </row>
    <row r="179">
      <c r="A179" s="18" t="inlineStr">
        <is>
          <t>합계 · 부문 간 내부매출·대체</t>
        </is>
      </c>
      <c r="C179" s="20" t="n">
        <v>16094</v>
      </c>
      <c r="D179" s="20" t="n">
        <v>16077</v>
      </c>
      <c r="E179" s="20" t="n">
        <v>11923</v>
      </c>
      <c r="F179" s="20" t="n">
        <v>18335</v>
      </c>
      <c r="G179" s="20" t="n">
        <v>20661</v>
      </c>
      <c r="H179" s="20" t="n">
        <v>18446</v>
      </c>
      <c r="I179" s="20" t="n">
        <v>12641</v>
      </c>
      <c r="J179" s="20" t="n">
        <v>16695</v>
      </c>
      <c r="K179" s="20" t="n">
        <v>16744</v>
      </c>
      <c r="L179" s="20" t="n">
        <v>17391</v>
      </c>
      <c r="M179" s="20" t="n">
        <v>13569</v>
      </c>
      <c r="N179" s="20" t="n">
        <v>20129</v>
      </c>
      <c r="V179" s="20" t="n">
        <v>11923</v>
      </c>
      <c r="W179" s="20" t="n">
        <v>12641</v>
      </c>
      <c r="X179" s="20" t="n">
        <v>13569</v>
      </c>
    </row>
    <row r="180">
      <c r="A180" s="18" t="inlineStr">
        <is>
          <t>일본 · 계</t>
        </is>
      </c>
      <c r="C180" s="20" t="n">
        <v>43360</v>
      </c>
      <c r="D180" s="20" t="n">
        <v>51810</v>
      </c>
      <c r="E180" s="20" t="n">
        <v>38406</v>
      </c>
      <c r="F180" s="20" t="n">
        <v>46521</v>
      </c>
      <c r="G180" s="20" t="n">
        <v>58259</v>
      </c>
      <c r="H180" s="20" t="n">
        <v>60947</v>
      </c>
      <c r="I180" s="20" t="n">
        <v>45295</v>
      </c>
      <c r="J180" s="20" t="n">
        <v>52269</v>
      </c>
      <c r="K180" s="20" t="n">
        <v>57907</v>
      </c>
      <c r="L180" s="20" t="n">
        <v>65418</v>
      </c>
      <c r="M180" s="20" t="n">
        <v>50634</v>
      </c>
      <c r="N180" s="20" t="n">
        <v>56428</v>
      </c>
      <c r="V180" s="20" t="n">
        <v>38406</v>
      </c>
      <c r="W180" s="20" t="n">
        <v>45295</v>
      </c>
      <c r="X180" s="20" t="n">
        <v>50634</v>
      </c>
    </row>
    <row r="181">
      <c r="A181" s="43" t="inlineStr">
        <is>
          <t>YoY</t>
        </is>
      </c>
      <c r="B181" s="3" t="inlineStr">
        <is>
          <t>전년 같은 분기·전년 대비</t>
        </is>
      </c>
      <c r="G181" s="15">
        <f>IF(OR(G180="",C180=""),"",IF(C180&lt;=0,"",IFERROR(G180/C180-1,"")))</f>
        <v/>
      </c>
      <c r="H181" s="15">
        <f>IF(OR(H180="",D180=""),"",IF(D180&lt;=0,"",IFERROR(H180/D180-1,"")))</f>
        <v/>
      </c>
      <c r="I181" s="15">
        <f>IF(OR(I180="",E180=""),"",IF(E180&lt;=0,"",IFERROR(I180/E180-1,"")))</f>
        <v/>
      </c>
      <c r="J181" s="15">
        <f>IF(OR(J180="",F180=""),"",IF(F180&lt;=0,"",IFERROR(J180/F180-1,"")))</f>
        <v/>
      </c>
      <c r="K181" s="15">
        <f>IF(OR(K180="",G180=""),"",IF(G180&lt;=0,"",IFERROR(K180/G180-1,"")))</f>
        <v/>
      </c>
      <c r="L181" s="15">
        <f>IF(OR(L180="",H180=""),"",IF(H180&lt;=0,"",IFERROR(L180/H180-1,"")))</f>
        <v/>
      </c>
      <c r="M181" s="15">
        <f>IF(OR(M180="",I180=""),"",IF(I180&lt;=0,"",IFERROR(M180/I180-1,"")))</f>
        <v/>
      </c>
      <c r="N181" s="15">
        <f>IF(OR(N180="",J180=""),"",IF(J180&lt;=0,"",IFERROR(N180/J180-1,"")))</f>
        <v/>
      </c>
      <c r="V181" s="15">
        <f>IF(OR(V180="",U180=""),"",IF(U180&lt;=0,"",IFERROR(V180/U180-1,"")))</f>
        <v/>
      </c>
      <c r="W181" s="15">
        <f>IF(OR(W180="",V180=""),"",IF(V180&lt;=0,"",IFERROR(W180/V180-1,"")))</f>
        <v/>
      </c>
      <c r="X181" s="15">
        <f>IF(OR(X180="",W180=""),"",IF(W180&lt;=0,"",IFERROR(X180/W180-1,"")))</f>
        <v/>
      </c>
    </row>
    <row r="182">
      <c r="A182" s="18" t="inlineStr">
        <is>
          <t>아메리카 · 계</t>
        </is>
      </c>
      <c r="C182" s="20" t="n">
        <v>7662</v>
      </c>
      <c r="D182" s="20" t="n">
        <v>9782</v>
      </c>
      <c r="F182" s="20" t="n">
        <v>6383</v>
      </c>
      <c r="G182" s="20" t="n">
        <v>7693</v>
      </c>
      <c r="H182" s="20" t="n">
        <v>10733</v>
      </c>
      <c r="J182" s="20" t="n">
        <v>5461</v>
      </c>
      <c r="K182" s="20" t="n">
        <v>6920</v>
      </c>
      <c r="L182" s="20" t="n">
        <v>10644</v>
      </c>
      <c r="N182" s="20" t="n">
        <v>5096</v>
      </c>
    </row>
    <row r="183">
      <c r="A183" s="43" t="inlineStr">
        <is>
          <t>YoY</t>
        </is>
      </c>
      <c r="B183" s="3" t="inlineStr">
        <is>
          <t>전년 같은 분기·전년 대비</t>
        </is>
      </c>
      <c r="G183" s="15">
        <f>IF(OR(G182="",C182=""),"",IF(C182&lt;=0,"",IFERROR(G182/C182-1,"")))</f>
        <v/>
      </c>
      <c r="H183" s="15">
        <f>IF(OR(H182="",D182=""),"",IF(D182&lt;=0,"",IFERROR(H182/D182-1,"")))</f>
        <v/>
      </c>
      <c r="J183" s="15">
        <f>IF(OR(J182="",F182=""),"",IF(F182&lt;=0,"",IFERROR(J182/F182-1,"")))</f>
        <v/>
      </c>
      <c r="K183" s="15">
        <f>IF(OR(K182="",G182=""),"",IF(G182&lt;=0,"",IFERROR(K182/G182-1,"")))</f>
        <v/>
      </c>
      <c r="L183" s="15">
        <f>IF(OR(L182="",H182=""),"",IF(H182&lt;=0,"",IFERROR(L182/H182-1,"")))</f>
        <v/>
      </c>
      <c r="N183" s="15">
        <f>IF(OR(N182="",J182=""),"",IF(J182&lt;=0,"",IFERROR(N182/J182-1,"")))</f>
        <v/>
      </c>
    </row>
    <row r="184">
      <c r="A184" s="18" t="inlineStr">
        <is>
          <t>유럽 · 계</t>
        </is>
      </c>
      <c r="C184" s="20" t="n">
        <v>2091</v>
      </c>
      <c r="D184" s="20" t="n">
        <v>2576</v>
      </c>
      <c r="E184" s="20" t="n">
        <v>1203</v>
      </c>
      <c r="F184" s="20" t="n">
        <v>931</v>
      </c>
      <c r="G184" s="20" t="n">
        <v>2072</v>
      </c>
      <c r="H184" s="20" t="n">
        <v>2809</v>
      </c>
      <c r="I184" s="20" t="n">
        <v>1342</v>
      </c>
      <c r="J184" s="20" t="n">
        <v>1010</v>
      </c>
      <c r="K184" s="20" t="n">
        <v>2350</v>
      </c>
      <c r="L184" s="20" t="n">
        <v>2872</v>
      </c>
      <c r="M184" s="20" t="n">
        <v>1565</v>
      </c>
      <c r="N184" s="20" t="n">
        <v>1468</v>
      </c>
      <c r="V184" s="20" t="n">
        <v>1203</v>
      </c>
      <c r="W184" s="20" t="n">
        <v>1342</v>
      </c>
      <c r="X184" s="20" t="n">
        <v>1565</v>
      </c>
    </row>
    <row r="185">
      <c r="A185" s="43" t="inlineStr">
        <is>
          <t>YoY</t>
        </is>
      </c>
      <c r="B185" s="3" t="inlineStr">
        <is>
          <t>전년 같은 분기·전년 대비</t>
        </is>
      </c>
      <c r="G185" s="15">
        <f>IF(OR(G184="",C184=""),"",IF(C184&lt;=0,"",IFERROR(G184/C184-1,"")))</f>
        <v/>
      </c>
      <c r="H185" s="15">
        <f>IF(OR(H184="",D184=""),"",IF(D184&lt;=0,"",IFERROR(H184/D184-1,"")))</f>
        <v/>
      </c>
      <c r="I185" s="15">
        <f>IF(OR(I184="",E184=""),"",IF(E184&lt;=0,"",IFERROR(I184/E184-1,"")))</f>
        <v/>
      </c>
      <c r="J185" s="15">
        <f>IF(OR(J184="",F184=""),"",IF(F184&lt;=0,"",IFERROR(J184/F184-1,"")))</f>
        <v/>
      </c>
      <c r="K185" s="15">
        <f>IF(OR(K184="",G184=""),"",IF(G184&lt;=0,"",IFERROR(K184/G184-1,"")))</f>
        <v/>
      </c>
      <c r="L185" s="15">
        <f>IF(OR(L184="",H184=""),"",IF(H184&lt;=0,"",IFERROR(L184/H184-1,"")))</f>
        <v/>
      </c>
      <c r="M185" s="15">
        <f>IF(OR(M184="",I184=""),"",IF(I184&lt;=0,"",IFERROR(M184/I184-1,"")))</f>
        <v/>
      </c>
      <c r="N185" s="15">
        <f>IF(OR(N184="",J184=""),"",IF(J184&lt;=0,"",IFERROR(N184/J184-1,"")))</f>
        <v/>
      </c>
      <c r="V185" s="15">
        <f>IF(OR(V184="",U184=""),"",IF(U184&lt;=0,"",IFERROR(V184/U184-1,"")))</f>
        <v/>
      </c>
      <c r="W185" s="15">
        <f>IF(OR(W184="",V184=""),"",IF(V184&lt;=0,"",IFERROR(W184/V184-1,"")))</f>
        <v/>
      </c>
      <c r="X185" s="15">
        <f>IF(OR(X184="",W184=""),"",IF(W184&lt;=0,"",IFERROR(X184/W184-1,"")))</f>
        <v/>
      </c>
    </row>
    <row r="186">
      <c r="A186" s="18" t="inlineStr">
        <is>
          <t>오세아니아 · 계</t>
        </is>
      </c>
      <c r="C186" s="20" t="n">
        <v>655</v>
      </c>
      <c r="D186" s="20" t="n">
        <v>723</v>
      </c>
      <c r="E186" s="20" t="n">
        <v>574</v>
      </c>
      <c r="F186" s="20" t="n">
        <v>603</v>
      </c>
      <c r="G186" s="20" t="n">
        <v>726</v>
      </c>
      <c r="H186" s="20" t="n">
        <v>913</v>
      </c>
      <c r="I186" s="20" t="n">
        <v>513</v>
      </c>
      <c r="J186" s="20" t="n">
        <v>518</v>
      </c>
      <c r="K186" s="20" t="n">
        <v>673</v>
      </c>
      <c r="L186" s="20" t="n">
        <v>999</v>
      </c>
      <c r="M186" s="20" t="n">
        <v>672</v>
      </c>
      <c r="N186" s="20" t="n">
        <v>727</v>
      </c>
      <c r="V186" s="20" t="n">
        <v>574</v>
      </c>
      <c r="W186" s="20" t="n">
        <v>513</v>
      </c>
      <c r="X186" s="20" t="n">
        <v>672</v>
      </c>
    </row>
    <row r="187">
      <c r="A187" s="43" t="inlineStr">
        <is>
          <t>YoY</t>
        </is>
      </c>
      <c r="B187" s="3" t="inlineStr">
        <is>
          <t>전년 같은 분기·전년 대비</t>
        </is>
      </c>
      <c r="G187" s="15">
        <f>IF(OR(G186="",C186=""),"",IF(C186&lt;=0,"",IFERROR(G186/C186-1,"")))</f>
        <v/>
      </c>
      <c r="H187" s="15">
        <f>IF(OR(H186="",D186=""),"",IF(D186&lt;=0,"",IFERROR(H186/D186-1,"")))</f>
        <v/>
      </c>
      <c r="I187" s="15">
        <f>IF(OR(I186="",E186=""),"",IF(E186&lt;=0,"",IFERROR(I186/E186-1,"")))</f>
        <v/>
      </c>
      <c r="J187" s="15">
        <f>IF(OR(J186="",F186=""),"",IF(F186&lt;=0,"",IFERROR(J186/F186-1,"")))</f>
        <v/>
      </c>
      <c r="K187" s="15">
        <f>IF(OR(K186="",G186=""),"",IF(G186&lt;=0,"",IFERROR(K186/G186-1,"")))</f>
        <v/>
      </c>
      <c r="L187" s="15">
        <f>IF(OR(L186="",H186=""),"",IF(H186&lt;=0,"",IFERROR(L186/H186-1,"")))</f>
        <v/>
      </c>
      <c r="M187" s="15">
        <f>IF(OR(M186="",I186=""),"",IF(I186&lt;=0,"",IFERROR(M186/I186-1,"")))</f>
        <v/>
      </c>
      <c r="N187" s="15">
        <f>IF(OR(N186="",J186=""),"",IF(J186&lt;=0,"",IFERROR(N186/J186-1,"")))</f>
        <v/>
      </c>
      <c r="V187" s="15">
        <f>IF(OR(V186="",U186=""),"",IF(U186&lt;=0,"",IFERROR(V186/U186-1,"")))</f>
        <v/>
      </c>
      <c r="W187" s="15">
        <f>IF(OR(W186="",V186=""),"",IF(V186&lt;=0,"",IFERROR(W186/V186-1,"")))</f>
        <v/>
      </c>
      <c r="X187" s="15">
        <f>IF(OR(X186="",W186=""),"",IF(W186&lt;=0,"",IFERROR(X186/W186-1,"")))</f>
        <v/>
      </c>
    </row>
    <row r="188">
      <c r="A188" s="18" t="inlineStr">
        <is>
          <t>아시아 · 계</t>
        </is>
      </c>
      <c r="C188" s="20" t="n">
        <v>15300</v>
      </c>
      <c r="D188" s="20" t="n">
        <v>15360</v>
      </c>
      <c r="E188" s="20" t="n">
        <v>13130</v>
      </c>
      <c r="F188" s="20" t="n">
        <v>17481</v>
      </c>
      <c r="G188" s="20" t="n">
        <v>19036</v>
      </c>
      <c r="H188" s="20" t="n">
        <v>17305</v>
      </c>
      <c r="I188" s="20" t="n">
        <v>14455</v>
      </c>
      <c r="J188" s="20" t="n">
        <v>16915</v>
      </c>
      <c r="K188" s="20" t="n">
        <v>17300</v>
      </c>
      <c r="L188" s="20" t="n">
        <v>18211</v>
      </c>
      <c r="M188" s="20" t="n">
        <v>15093</v>
      </c>
      <c r="N188" s="20" t="n">
        <v>20455</v>
      </c>
      <c r="V188" s="20" t="n">
        <v>13130</v>
      </c>
      <c r="W188" s="20" t="n">
        <v>14455</v>
      </c>
      <c r="X188" s="20" t="n">
        <v>15093</v>
      </c>
    </row>
    <row r="189">
      <c r="A189" s="43" t="inlineStr">
        <is>
          <t>YoY</t>
        </is>
      </c>
      <c r="B189" s="3" t="inlineStr">
        <is>
          <t>전년 같은 분기·전년 대비</t>
        </is>
      </c>
      <c r="G189" s="15">
        <f>IF(OR(G188="",C188=""),"",IF(C188&lt;=0,"",IFERROR(G188/C188-1,"")))</f>
        <v/>
      </c>
      <c r="H189" s="15">
        <f>IF(OR(H188="",D188=""),"",IF(D188&lt;=0,"",IFERROR(H188/D188-1,"")))</f>
        <v/>
      </c>
      <c r="I189" s="15">
        <f>IF(OR(I188="",E188=""),"",IF(E188&lt;=0,"",IFERROR(I188/E188-1,"")))</f>
        <v/>
      </c>
      <c r="J189" s="15">
        <f>IF(OR(J188="",F188=""),"",IF(F188&lt;=0,"",IFERROR(J188/F188-1,"")))</f>
        <v/>
      </c>
      <c r="K189" s="15">
        <f>IF(OR(K188="",G188=""),"",IF(G188&lt;=0,"",IFERROR(K188/G188-1,"")))</f>
        <v/>
      </c>
      <c r="L189" s="15">
        <f>IF(OR(L188="",H188=""),"",IF(H188&lt;=0,"",IFERROR(L188/H188-1,"")))</f>
        <v/>
      </c>
      <c r="M189" s="15">
        <f>IF(OR(M188="",I188=""),"",IF(I188&lt;=0,"",IFERROR(M188/I188-1,"")))</f>
        <v/>
      </c>
      <c r="N189" s="15">
        <f>IF(OR(N188="",J188=""),"",IF(J188&lt;=0,"",IFERROR(N188/J188-1,"")))</f>
        <v/>
      </c>
      <c r="V189" s="15">
        <f>IF(OR(V188="",U188=""),"",IF(U188&lt;=0,"",IFERROR(V188/U188-1,"")))</f>
        <v/>
      </c>
      <c r="W189" s="15">
        <f>IF(OR(W188="",V188=""),"",IF(V188&lt;=0,"",IFERROR(W188/V188-1,"")))</f>
        <v/>
      </c>
      <c r="X189" s="15">
        <f>IF(OR(X188="",W188=""),"",IF(W188&lt;=0,"",IFERROR(X188/W188-1,"")))</f>
        <v/>
      </c>
    </row>
    <row r="190">
      <c r="A190" s="18" t="inlineStr">
        <is>
          <t>합계 · 계</t>
        </is>
      </c>
      <c r="C190" s="20" t="n">
        <v>69070</v>
      </c>
      <c r="D190" s="20" t="n">
        <v>80250</v>
      </c>
      <c r="E190" s="20" t="n">
        <v>59997</v>
      </c>
      <c r="F190" s="20" t="n">
        <v>71921</v>
      </c>
      <c r="G190" s="20" t="n">
        <v>87785</v>
      </c>
      <c r="H190" s="20" t="n">
        <v>92708</v>
      </c>
      <c r="I190" s="20" t="n">
        <v>67904</v>
      </c>
      <c r="J190" s="20" t="n">
        <v>76175</v>
      </c>
      <c r="K190" s="20" t="n">
        <v>85149</v>
      </c>
      <c r="L190" s="20" t="n">
        <v>98145</v>
      </c>
      <c r="M190" s="20" t="n">
        <v>75385</v>
      </c>
      <c r="N190" s="20" t="n">
        <v>84177</v>
      </c>
      <c r="V190" s="20" t="n">
        <v>59997</v>
      </c>
      <c r="W190" s="20" t="n">
        <v>67904</v>
      </c>
      <c r="X190" s="20" t="n">
        <v>75385</v>
      </c>
    </row>
    <row r="191">
      <c r="A191" s="43" t="inlineStr">
        <is>
          <t>YoY</t>
        </is>
      </c>
      <c r="B191" s="3" t="inlineStr">
        <is>
          <t>전년 같은 분기·전년 대비</t>
        </is>
      </c>
      <c r="G191" s="15">
        <f>IF(OR(G190="",C190=""),"",IF(C190&lt;=0,"",IFERROR(G190/C190-1,"")))</f>
        <v/>
      </c>
      <c r="H191" s="15">
        <f>IF(OR(H190="",D190=""),"",IF(D190&lt;=0,"",IFERROR(H190/D190-1,"")))</f>
        <v/>
      </c>
      <c r="I191" s="15">
        <f>IF(OR(I190="",E190=""),"",IF(E190&lt;=0,"",IFERROR(I190/E190-1,"")))</f>
        <v/>
      </c>
      <c r="J191" s="15">
        <f>IF(OR(J190="",F190=""),"",IF(F190&lt;=0,"",IFERROR(J190/F190-1,"")))</f>
        <v/>
      </c>
      <c r="K191" s="15">
        <f>IF(OR(K190="",G190=""),"",IF(G190&lt;=0,"",IFERROR(K190/G190-1,"")))</f>
        <v/>
      </c>
      <c r="L191" s="15">
        <f>IF(OR(L190="",H190=""),"",IF(H190&lt;=0,"",IFERROR(L190/H190-1,"")))</f>
        <v/>
      </c>
      <c r="M191" s="15">
        <f>IF(OR(M190="",I190=""),"",IF(I190&lt;=0,"",IFERROR(M190/I190-1,"")))</f>
        <v/>
      </c>
      <c r="N191" s="15">
        <f>IF(OR(N190="",J190=""),"",IF(J190&lt;=0,"",IFERROR(N190/J190-1,"")))</f>
        <v/>
      </c>
      <c r="V191" s="15">
        <f>IF(OR(V190="",U190=""),"",IF(U190&lt;=0,"",IFERROR(V190/U190-1,"")))</f>
        <v/>
      </c>
      <c r="W191" s="15">
        <f>IF(OR(W190="",V190=""),"",IF(V190&lt;=0,"",IFERROR(W190/V190-1,"")))</f>
        <v/>
      </c>
      <c r="X191" s="15">
        <f>IF(OR(X190="",W190=""),"",IF(W190&lt;=0,"",IFERROR(X190/W190-1,"")))</f>
        <v/>
      </c>
    </row>
    <row r="192">
      <c r="A192" s="18" t="inlineStr">
        <is>
          <t>일본 · 부문 이익(손실)</t>
        </is>
      </c>
      <c r="C192" s="20" t="n">
        <v>6397</v>
      </c>
      <c r="D192" s="20" t="n">
        <v>9361</v>
      </c>
      <c r="E192" s="20" t="n">
        <v>2788</v>
      </c>
      <c r="F192" s="20" t="n">
        <v>5457</v>
      </c>
      <c r="G192" s="20" t="n">
        <v>8141</v>
      </c>
      <c r="H192" s="20" t="n">
        <v>11221</v>
      </c>
      <c r="I192" s="20" t="n">
        <v>2863</v>
      </c>
      <c r="J192" s="20" t="n">
        <v>5847</v>
      </c>
      <c r="K192" s="20" t="n">
        <v>8300</v>
      </c>
      <c r="L192" s="20" t="n">
        <v>10304</v>
      </c>
      <c r="M192" s="20" t="n">
        <v>3857</v>
      </c>
      <c r="N192" s="20" t="n">
        <v>6159</v>
      </c>
      <c r="V192" s="20" t="n">
        <v>2788</v>
      </c>
      <c r="W192" s="20" t="n">
        <v>2863</v>
      </c>
      <c r="X192" s="20" t="n">
        <v>3857</v>
      </c>
    </row>
    <row r="193">
      <c r="A193" s="43" t="inlineStr">
        <is>
          <t>OPM</t>
        </is>
      </c>
      <c r="B193" s="3" t="inlineStr">
        <is>
          <t>영업이익 ÷ 매출</t>
        </is>
      </c>
      <c r="C193" s="15">
        <f>IF(OR(C192="",C180=""),"",IF(C180&lt;=0,"",IFERROR(C192/C180,"")))</f>
        <v/>
      </c>
      <c r="D193" s="15">
        <f>IF(OR(D192="",D180=""),"",IF(D180&lt;=0,"",IFERROR(D192/D180,"")))</f>
        <v/>
      </c>
      <c r="E193" s="15">
        <f>IF(OR(E192="",E180=""),"",IF(E180&lt;=0,"",IFERROR(E192/E180,"")))</f>
        <v/>
      </c>
      <c r="F193" s="15">
        <f>IF(OR(F192="",F180=""),"",IF(F180&lt;=0,"",IFERROR(F192/F180,"")))</f>
        <v/>
      </c>
      <c r="G193" s="15">
        <f>IF(OR(G192="",G180=""),"",IF(G180&lt;=0,"",IFERROR(G192/G180,"")))</f>
        <v/>
      </c>
      <c r="H193" s="15">
        <f>IF(OR(H192="",H180=""),"",IF(H180&lt;=0,"",IFERROR(H192/H180,"")))</f>
        <v/>
      </c>
      <c r="I193" s="15">
        <f>IF(OR(I192="",I180=""),"",IF(I180&lt;=0,"",IFERROR(I192/I180,"")))</f>
        <v/>
      </c>
      <c r="J193" s="15">
        <f>IF(OR(J192="",J180=""),"",IF(J180&lt;=0,"",IFERROR(J192/J180,"")))</f>
        <v/>
      </c>
      <c r="K193" s="15">
        <f>IF(OR(K192="",K180=""),"",IF(K180&lt;=0,"",IFERROR(K192/K180,"")))</f>
        <v/>
      </c>
      <c r="L193" s="15">
        <f>IF(OR(L192="",L180=""),"",IF(L180&lt;=0,"",IFERROR(L192/L180,"")))</f>
        <v/>
      </c>
      <c r="M193" s="15">
        <f>IF(OR(M192="",M180=""),"",IF(M180&lt;=0,"",IFERROR(M192/M180,"")))</f>
        <v/>
      </c>
      <c r="N193" s="15">
        <f>IF(OR(N192="",N180=""),"",IF(N180&lt;=0,"",IFERROR(N192/N180,"")))</f>
        <v/>
      </c>
      <c r="V193" s="15">
        <f>IF(OR(V192="",V180=""),"",IF(V180&lt;=0,"",IFERROR(V192/V180,"")))</f>
        <v/>
      </c>
      <c r="W193" s="15">
        <f>IF(OR(W192="",W180=""),"",IF(W180&lt;=0,"",IFERROR(W192/W180,"")))</f>
        <v/>
      </c>
      <c r="X193" s="15">
        <f>IF(OR(X192="",X180=""),"",IF(X180&lt;=0,"",IFERROR(X192/X180,"")))</f>
        <v/>
      </c>
    </row>
    <row r="194">
      <c r="A194" s="43" t="inlineStr">
        <is>
          <t>YoY</t>
        </is>
      </c>
      <c r="B194" s="3" t="inlineStr">
        <is>
          <t>전년 같은 분기·전년 대비</t>
        </is>
      </c>
      <c r="G194" s="15">
        <f>IF(OR(G192="",C192=""),"",IF(C192&lt;=0,"",IFERROR(G192/C192-1,"")))</f>
        <v/>
      </c>
      <c r="H194" s="15">
        <f>IF(OR(H192="",D192=""),"",IF(D192&lt;=0,"",IFERROR(H192/D192-1,"")))</f>
        <v/>
      </c>
      <c r="I194" s="15">
        <f>IF(OR(I192="",E192=""),"",IF(E192&lt;=0,"",IFERROR(I192/E192-1,"")))</f>
        <v/>
      </c>
      <c r="J194" s="15">
        <f>IF(OR(J192="",F192=""),"",IF(F192&lt;=0,"",IFERROR(J192/F192-1,"")))</f>
        <v/>
      </c>
      <c r="K194" s="15">
        <f>IF(OR(K192="",G192=""),"",IF(G192&lt;=0,"",IFERROR(K192/G192-1,"")))</f>
        <v/>
      </c>
      <c r="L194" s="15">
        <f>IF(OR(L192="",H192=""),"",IF(H192&lt;=0,"",IFERROR(L192/H192-1,"")))</f>
        <v/>
      </c>
      <c r="M194" s="15">
        <f>IF(OR(M192="",I192=""),"",IF(I192&lt;=0,"",IFERROR(M192/I192-1,"")))</f>
        <v/>
      </c>
      <c r="N194" s="15">
        <f>IF(OR(N192="",J192=""),"",IF(J192&lt;=0,"",IFERROR(N192/J192-1,"")))</f>
        <v/>
      </c>
      <c r="V194" s="15">
        <f>IF(OR(V192="",U192=""),"",IF(U192&lt;=0,"",IFERROR(V192/U192-1,"")))</f>
        <v/>
      </c>
      <c r="W194" s="15">
        <f>IF(OR(W192="",V192=""),"",IF(V192&lt;=0,"",IFERROR(W192/V192-1,"")))</f>
        <v/>
      </c>
      <c r="X194" s="15">
        <f>IF(OR(X192="",W192=""),"",IF(W192&lt;=0,"",IFERROR(X192/W192-1,"")))</f>
        <v/>
      </c>
    </row>
    <row r="195">
      <c r="A195" s="18" t="inlineStr">
        <is>
          <t>아메리카 · 부문 이익(손실)</t>
        </is>
      </c>
      <c r="C195" s="20" t="n">
        <v>-185</v>
      </c>
      <c r="D195" s="20" t="n">
        <v>167</v>
      </c>
      <c r="F195" s="20" t="n">
        <v>-221</v>
      </c>
      <c r="G195" s="20" t="n">
        <v>-91</v>
      </c>
      <c r="H195" s="20" t="n">
        <v>343</v>
      </c>
      <c r="J195" s="20" t="n">
        <v>-254</v>
      </c>
      <c r="K195" s="20" t="n">
        <v>-118</v>
      </c>
      <c r="L195" s="20" t="n">
        <v>833</v>
      </c>
      <c r="N195" s="20" t="n">
        <v>397</v>
      </c>
    </row>
    <row r="196">
      <c r="A196" s="43" t="inlineStr">
        <is>
          <t>OPM</t>
        </is>
      </c>
      <c r="B196" s="3" t="inlineStr">
        <is>
          <t>영업이익 ÷ 매출</t>
        </is>
      </c>
      <c r="C196" s="15">
        <f>IF(OR(C195="",C182=""),"",IF(C182&lt;=0,"",IFERROR(C195/C182,"")))</f>
        <v/>
      </c>
      <c r="D196" s="15">
        <f>IF(OR(D195="",D182=""),"",IF(D182&lt;=0,"",IFERROR(D195/D182,"")))</f>
        <v/>
      </c>
      <c r="F196" s="15">
        <f>IF(OR(F195="",F182=""),"",IF(F182&lt;=0,"",IFERROR(F195/F182,"")))</f>
        <v/>
      </c>
      <c r="G196" s="15">
        <f>IF(OR(G195="",G182=""),"",IF(G182&lt;=0,"",IFERROR(G195/G182,"")))</f>
        <v/>
      </c>
      <c r="H196" s="15">
        <f>IF(OR(H195="",H182=""),"",IF(H182&lt;=0,"",IFERROR(H195/H182,"")))</f>
        <v/>
      </c>
      <c r="J196" s="15">
        <f>IF(OR(J195="",J182=""),"",IF(J182&lt;=0,"",IFERROR(J195/J182,"")))</f>
        <v/>
      </c>
      <c r="K196" s="15">
        <f>IF(OR(K195="",K182=""),"",IF(K182&lt;=0,"",IFERROR(K195/K182,"")))</f>
        <v/>
      </c>
      <c r="L196" s="15">
        <f>IF(OR(L195="",L182=""),"",IF(L182&lt;=0,"",IFERROR(L195/L182,"")))</f>
        <v/>
      </c>
      <c r="N196" s="15">
        <f>IF(OR(N195="",N182=""),"",IF(N182&lt;=0,"",IFERROR(N195/N182,"")))</f>
        <v/>
      </c>
    </row>
    <row r="197">
      <c r="A197" s="43" t="inlineStr">
        <is>
          <t>YoY</t>
        </is>
      </c>
      <c r="B197" s="3" t="inlineStr">
        <is>
          <t>전년 같은 분기·전년 대비</t>
        </is>
      </c>
      <c r="G197" s="15">
        <f>IF(OR(G195="",C195=""),"",IF(C195&lt;=0,"",IFERROR(G195/C195-1,"")))</f>
        <v/>
      </c>
      <c r="H197" s="15">
        <f>IF(OR(H195="",D195=""),"",IF(D195&lt;=0,"",IFERROR(H195/D195-1,"")))</f>
        <v/>
      </c>
      <c r="J197" s="15">
        <f>IF(OR(J195="",F195=""),"",IF(F195&lt;=0,"",IFERROR(J195/F195-1,"")))</f>
        <v/>
      </c>
      <c r="K197" s="15">
        <f>IF(OR(K195="",G195=""),"",IF(G195&lt;=0,"",IFERROR(K195/G195-1,"")))</f>
        <v/>
      </c>
      <c r="L197" s="15">
        <f>IF(OR(L195="",H195=""),"",IF(H195&lt;=0,"",IFERROR(L195/H195-1,"")))</f>
        <v/>
      </c>
      <c r="N197" s="15">
        <f>IF(OR(N195="",J195=""),"",IF(J195&lt;=0,"",IFERROR(N195/J195-1,"")))</f>
        <v/>
      </c>
    </row>
    <row r="198">
      <c r="A198" s="18" t="inlineStr">
        <is>
          <t>유럽 · 부문 이익(손실)</t>
        </is>
      </c>
      <c r="C198" s="20" t="n">
        <v>-30</v>
      </c>
      <c r="D198" s="20" t="n">
        <v>-145</v>
      </c>
      <c r="E198" s="20" t="n">
        <v>-277</v>
      </c>
      <c r="F198" s="20" t="n">
        <v>-261</v>
      </c>
      <c r="G198" s="20" t="n">
        <v>133</v>
      </c>
      <c r="H198" s="20" t="n">
        <v>-77</v>
      </c>
      <c r="I198" s="20" t="n">
        <v>-128</v>
      </c>
      <c r="J198" s="20" t="n">
        <v>-213</v>
      </c>
      <c r="K198" s="20" t="n">
        <v>79</v>
      </c>
      <c r="L198" s="20" t="n">
        <v>-29</v>
      </c>
      <c r="M198" s="20" t="n">
        <v>-156</v>
      </c>
      <c r="N198" s="20" t="n">
        <v>-129</v>
      </c>
      <c r="V198" s="20" t="n">
        <v>-277</v>
      </c>
      <c r="W198" s="20" t="n">
        <v>-128</v>
      </c>
      <c r="X198" s="20" t="n">
        <v>-156</v>
      </c>
    </row>
    <row r="199">
      <c r="A199" s="43" t="inlineStr">
        <is>
          <t>OPM</t>
        </is>
      </c>
      <c r="B199" s="3" t="inlineStr">
        <is>
          <t>영업이익 ÷ 매출</t>
        </is>
      </c>
      <c r="C199" s="15">
        <f>IF(OR(C198="",C184=""),"",IF(C184&lt;=0,"",IFERROR(C198/C184,"")))</f>
        <v/>
      </c>
      <c r="D199" s="15">
        <f>IF(OR(D198="",D184=""),"",IF(D184&lt;=0,"",IFERROR(D198/D184,"")))</f>
        <v/>
      </c>
      <c r="E199" s="15">
        <f>IF(OR(E198="",E184=""),"",IF(E184&lt;=0,"",IFERROR(E198/E184,"")))</f>
        <v/>
      </c>
      <c r="F199" s="15">
        <f>IF(OR(F198="",F184=""),"",IF(F184&lt;=0,"",IFERROR(F198/F184,"")))</f>
        <v/>
      </c>
      <c r="G199" s="15">
        <f>IF(OR(G198="",G184=""),"",IF(G184&lt;=0,"",IFERROR(G198/G184,"")))</f>
        <v/>
      </c>
      <c r="H199" s="15">
        <f>IF(OR(H198="",H184=""),"",IF(H184&lt;=0,"",IFERROR(H198/H184,"")))</f>
        <v/>
      </c>
      <c r="I199" s="15">
        <f>IF(OR(I198="",I184=""),"",IF(I184&lt;=0,"",IFERROR(I198/I184,"")))</f>
        <v/>
      </c>
      <c r="J199" s="15">
        <f>IF(OR(J198="",J184=""),"",IF(J184&lt;=0,"",IFERROR(J198/J184,"")))</f>
        <v/>
      </c>
      <c r="K199" s="15">
        <f>IF(OR(K198="",K184=""),"",IF(K184&lt;=0,"",IFERROR(K198/K184,"")))</f>
        <v/>
      </c>
      <c r="L199" s="15">
        <f>IF(OR(L198="",L184=""),"",IF(L184&lt;=0,"",IFERROR(L198/L184,"")))</f>
        <v/>
      </c>
      <c r="M199" s="15">
        <f>IF(OR(M198="",M184=""),"",IF(M184&lt;=0,"",IFERROR(M198/M184,"")))</f>
        <v/>
      </c>
      <c r="N199" s="15">
        <f>IF(OR(N198="",N184=""),"",IF(N184&lt;=0,"",IFERROR(N198/N184,"")))</f>
        <v/>
      </c>
      <c r="V199" s="15">
        <f>IF(OR(V198="",V184=""),"",IF(V184&lt;=0,"",IFERROR(V198/V184,"")))</f>
        <v/>
      </c>
      <c r="W199" s="15">
        <f>IF(OR(W198="",W184=""),"",IF(W184&lt;=0,"",IFERROR(W198/W184,"")))</f>
        <v/>
      </c>
      <c r="X199" s="15">
        <f>IF(OR(X198="",X184=""),"",IF(X184&lt;=0,"",IFERROR(X198/X184,"")))</f>
        <v/>
      </c>
    </row>
    <row r="200">
      <c r="A200" s="43" t="inlineStr">
        <is>
          <t>YoY</t>
        </is>
      </c>
      <c r="B200" s="3" t="inlineStr">
        <is>
          <t>전년 같은 분기·전년 대비</t>
        </is>
      </c>
      <c r="G200" s="15">
        <f>IF(OR(G198="",C198=""),"",IF(C198&lt;=0,"",IFERROR(G198/C198-1,"")))</f>
        <v/>
      </c>
      <c r="H200" s="15">
        <f>IF(OR(H198="",D198=""),"",IF(D198&lt;=0,"",IFERROR(H198/D198-1,"")))</f>
        <v/>
      </c>
      <c r="I200" s="15">
        <f>IF(OR(I198="",E198=""),"",IF(E198&lt;=0,"",IFERROR(I198/E198-1,"")))</f>
        <v/>
      </c>
      <c r="J200" s="15">
        <f>IF(OR(J198="",F198=""),"",IF(F198&lt;=0,"",IFERROR(J198/F198-1,"")))</f>
        <v/>
      </c>
      <c r="K200" s="15">
        <f>IF(OR(K198="",G198=""),"",IF(G198&lt;=0,"",IFERROR(K198/G198-1,"")))</f>
        <v/>
      </c>
      <c r="L200" s="15">
        <f>IF(OR(L198="",H198=""),"",IF(H198&lt;=0,"",IFERROR(L198/H198-1,"")))</f>
        <v/>
      </c>
      <c r="M200" s="15">
        <f>IF(OR(M198="",I198=""),"",IF(I198&lt;=0,"",IFERROR(M198/I198-1,"")))</f>
        <v/>
      </c>
      <c r="N200" s="15">
        <f>IF(OR(N198="",J198=""),"",IF(J198&lt;=0,"",IFERROR(N198/J198-1,"")))</f>
        <v/>
      </c>
      <c r="V200" s="15">
        <f>IF(OR(V198="",U198=""),"",IF(U198&lt;=0,"",IFERROR(V198/U198-1,"")))</f>
        <v/>
      </c>
      <c r="W200" s="15">
        <f>IF(OR(W198="",V198=""),"",IF(V198&lt;=0,"",IFERROR(W198/V198-1,"")))</f>
        <v/>
      </c>
      <c r="X200" s="15">
        <f>IF(OR(X198="",W198=""),"",IF(W198&lt;=0,"",IFERROR(X198/W198-1,"")))</f>
        <v/>
      </c>
    </row>
    <row r="201">
      <c r="A201" s="18" t="inlineStr">
        <is>
          <t>오세아니아 · 부문 이익(손실)</t>
        </is>
      </c>
      <c r="C201" s="20" t="n">
        <v>78</v>
      </c>
      <c r="D201" s="20" t="n">
        <v>47</v>
      </c>
      <c r="E201" s="20" t="n">
        <v>6</v>
      </c>
      <c r="F201" s="20" t="n">
        <v>9</v>
      </c>
      <c r="G201" s="20" t="n">
        <v>53</v>
      </c>
      <c r="H201" s="20" t="n">
        <v>63</v>
      </c>
      <c r="I201" s="20" t="n">
        <v>7</v>
      </c>
      <c r="J201" s="20" t="n">
        <v>0</v>
      </c>
      <c r="K201" s="20" t="n">
        <v>34</v>
      </c>
      <c r="L201" s="20" t="n">
        <v>96</v>
      </c>
      <c r="M201" s="20" t="n">
        <v>52</v>
      </c>
      <c r="N201" s="20" t="n">
        <v>37</v>
      </c>
      <c r="V201" s="20" t="n">
        <v>6</v>
      </c>
      <c r="W201" s="20" t="n">
        <v>7</v>
      </c>
      <c r="X201" s="20" t="n">
        <v>52</v>
      </c>
    </row>
    <row r="202">
      <c r="A202" s="43" t="inlineStr">
        <is>
          <t>OPM</t>
        </is>
      </c>
      <c r="B202" s="3" t="inlineStr">
        <is>
          <t>영업이익 ÷ 매출</t>
        </is>
      </c>
      <c r="C202" s="15">
        <f>IF(OR(C201="",C186=""),"",IF(C186&lt;=0,"",IFERROR(C201/C186,"")))</f>
        <v/>
      </c>
      <c r="D202" s="15">
        <f>IF(OR(D201="",D186=""),"",IF(D186&lt;=0,"",IFERROR(D201/D186,"")))</f>
        <v/>
      </c>
      <c r="E202" s="15">
        <f>IF(OR(E201="",E186=""),"",IF(E186&lt;=0,"",IFERROR(E201/E186,"")))</f>
        <v/>
      </c>
      <c r="F202" s="15">
        <f>IF(OR(F201="",F186=""),"",IF(F186&lt;=0,"",IFERROR(F201/F186,"")))</f>
        <v/>
      </c>
      <c r="G202" s="15">
        <f>IF(OR(G201="",G186=""),"",IF(G186&lt;=0,"",IFERROR(G201/G186,"")))</f>
        <v/>
      </c>
      <c r="H202" s="15">
        <f>IF(OR(H201="",H186=""),"",IF(H186&lt;=0,"",IFERROR(H201/H186,"")))</f>
        <v/>
      </c>
      <c r="I202" s="15">
        <f>IF(OR(I201="",I186=""),"",IF(I186&lt;=0,"",IFERROR(I201/I186,"")))</f>
        <v/>
      </c>
      <c r="J202" s="15">
        <f>IF(OR(J201="",J186=""),"",IF(J186&lt;=0,"",IFERROR(J201/J186,"")))</f>
        <v/>
      </c>
      <c r="K202" s="15">
        <f>IF(OR(K201="",K186=""),"",IF(K186&lt;=0,"",IFERROR(K201/K186,"")))</f>
        <v/>
      </c>
      <c r="L202" s="15">
        <f>IF(OR(L201="",L186=""),"",IF(L186&lt;=0,"",IFERROR(L201/L186,"")))</f>
        <v/>
      </c>
      <c r="M202" s="15">
        <f>IF(OR(M201="",M186=""),"",IF(M186&lt;=0,"",IFERROR(M201/M186,"")))</f>
        <v/>
      </c>
      <c r="N202" s="15">
        <f>IF(OR(N201="",N186=""),"",IF(N186&lt;=0,"",IFERROR(N201/N186,"")))</f>
        <v/>
      </c>
      <c r="V202" s="15">
        <f>IF(OR(V201="",V186=""),"",IF(V186&lt;=0,"",IFERROR(V201/V186,"")))</f>
        <v/>
      </c>
      <c r="W202" s="15">
        <f>IF(OR(W201="",W186=""),"",IF(W186&lt;=0,"",IFERROR(W201/W186,"")))</f>
        <v/>
      </c>
      <c r="X202" s="15">
        <f>IF(OR(X201="",X186=""),"",IF(X186&lt;=0,"",IFERROR(X201/X186,"")))</f>
        <v/>
      </c>
    </row>
    <row r="203">
      <c r="A203" s="43" t="inlineStr">
        <is>
          <t>YoY</t>
        </is>
      </c>
      <c r="B203" s="3" t="inlineStr">
        <is>
          <t>전년 같은 분기·전년 대비</t>
        </is>
      </c>
      <c r="G203" s="15">
        <f>IF(OR(G201="",C201=""),"",IF(C201&lt;=0,"",IFERROR(G201/C201-1,"")))</f>
        <v/>
      </c>
      <c r="H203" s="15">
        <f>IF(OR(H201="",D201=""),"",IF(D201&lt;=0,"",IFERROR(H201/D201-1,"")))</f>
        <v/>
      </c>
      <c r="I203" s="15">
        <f>IF(OR(I201="",E201=""),"",IF(E201&lt;=0,"",IFERROR(I201/E201-1,"")))</f>
        <v/>
      </c>
      <c r="J203" s="15">
        <f>IF(OR(J201="",F201=""),"",IF(F201&lt;=0,"",IFERROR(J201/F201-1,"")))</f>
        <v/>
      </c>
      <c r="K203" s="15">
        <f>IF(OR(K201="",G201=""),"",IF(G201&lt;=0,"",IFERROR(K201/G201-1,"")))</f>
        <v/>
      </c>
      <c r="L203" s="15">
        <f>IF(OR(L201="",H201=""),"",IF(H201&lt;=0,"",IFERROR(L201/H201-1,"")))</f>
        <v/>
      </c>
      <c r="M203" s="15">
        <f>IF(OR(M201="",I201=""),"",IF(I201&lt;=0,"",IFERROR(M201/I201-1,"")))</f>
        <v/>
      </c>
      <c r="N203" s="15">
        <f>IF(OR(N201="",J201=""),"",IF(J201&lt;=0,"",IFERROR(N201/J201-1,"")))</f>
        <v/>
      </c>
      <c r="V203" s="15">
        <f>IF(OR(V201="",U201=""),"",IF(U201&lt;=0,"",IFERROR(V201/U201-1,"")))</f>
        <v/>
      </c>
      <c r="W203" s="15">
        <f>IF(OR(W201="",V201=""),"",IF(V201&lt;=0,"",IFERROR(W201/V201-1,"")))</f>
        <v/>
      </c>
      <c r="X203" s="15">
        <f>IF(OR(X201="",W201=""),"",IF(W201&lt;=0,"",IFERROR(X201/W201-1,"")))</f>
        <v/>
      </c>
    </row>
    <row r="204">
      <c r="A204" s="18" t="inlineStr">
        <is>
          <t>아시아 · 부문 이익(손실)</t>
        </is>
      </c>
      <c r="C204" s="20" t="n">
        <v>487</v>
      </c>
      <c r="D204" s="20" t="n">
        <v>646</v>
      </c>
      <c r="E204" s="20" t="n">
        <v>357</v>
      </c>
      <c r="F204" s="20" t="n">
        <v>746</v>
      </c>
      <c r="G204" s="20" t="n">
        <v>956</v>
      </c>
      <c r="H204" s="20" t="n">
        <v>574</v>
      </c>
      <c r="I204" s="20" t="n">
        <v>392</v>
      </c>
      <c r="J204" s="20" t="n">
        <v>651</v>
      </c>
      <c r="K204" s="20" t="n">
        <v>588</v>
      </c>
      <c r="L204" s="20" t="n">
        <v>595</v>
      </c>
      <c r="M204" s="20" t="n">
        <v>299</v>
      </c>
      <c r="N204" s="20" t="n">
        <v>845</v>
      </c>
      <c r="V204" s="20" t="n">
        <v>357</v>
      </c>
      <c r="W204" s="20" t="n">
        <v>392</v>
      </c>
      <c r="X204" s="20" t="n">
        <v>299</v>
      </c>
    </row>
    <row r="205">
      <c r="A205" s="43" t="inlineStr">
        <is>
          <t>OPM</t>
        </is>
      </c>
      <c r="B205" s="3" t="inlineStr">
        <is>
          <t>영업이익 ÷ 매출</t>
        </is>
      </c>
      <c r="C205" s="15">
        <f>IF(OR(C204="",C188=""),"",IF(C188&lt;=0,"",IFERROR(C204/C188,"")))</f>
        <v/>
      </c>
      <c r="D205" s="15">
        <f>IF(OR(D204="",D188=""),"",IF(D188&lt;=0,"",IFERROR(D204/D188,"")))</f>
        <v/>
      </c>
      <c r="E205" s="15">
        <f>IF(OR(E204="",E188=""),"",IF(E188&lt;=0,"",IFERROR(E204/E188,"")))</f>
        <v/>
      </c>
      <c r="F205" s="15">
        <f>IF(OR(F204="",F188=""),"",IF(F188&lt;=0,"",IFERROR(F204/F188,"")))</f>
        <v/>
      </c>
      <c r="G205" s="15">
        <f>IF(OR(G204="",G188=""),"",IF(G188&lt;=0,"",IFERROR(G204/G188,"")))</f>
        <v/>
      </c>
      <c r="H205" s="15">
        <f>IF(OR(H204="",H188=""),"",IF(H188&lt;=0,"",IFERROR(H204/H188,"")))</f>
        <v/>
      </c>
      <c r="I205" s="15">
        <f>IF(OR(I204="",I188=""),"",IF(I188&lt;=0,"",IFERROR(I204/I188,"")))</f>
        <v/>
      </c>
      <c r="J205" s="15">
        <f>IF(OR(J204="",J188=""),"",IF(J188&lt;=0,"",IFERROR(J204/J188,"")))</f>
        <v/>
      </c>
      <c r="K205" s="15">
        <f>IF(OR(K204="",K188=""),"",IF(K188&lt;=0,"",IFERROR(K204/K188,"")))</f>
        <v/>
      </c>
      <c r="L205" s="15">
        <f>IF(OR(L204="",L188=""),"",IF(L188&lt;=0,"",IFERROR(L204/L188,"")))</f>
        <v/>
      </c>
      <c r="M205" s="15">
        <f>IF(OR(M204="",M188=""),"",IF(M188&lt;=0,"",IFERROR(M204/M188,"")))</f>
        <v/>
      </c>
      <c r="N205" s="15">
        <f>IF(OR(N204="",N188=""),"",IF(N188&lt;=0,"",IFERROR(N204/N188,"")))</f>
        <v/>
      </c>
      <c r="V205" s="15">
        <f>IF(OR(V204="",V188=""),"",IF(V188&lt;=0,"",IFERROR(V204/V188,"")))</f>
        <v/>
      </c>
      <c r="W205" s="15">
        <f>IF(OR(W204="",W188=""),"",IF(W188&lt;=0,"",IFERROR(W204/W188,"")))</f>
        <v/>
      </c>
      <c r="X205" s="15">
        <f>IF(OR(X204="",X188=""),"",IF(X188&lt;=0,"",IFERROR(X204/X188,"")))</f>
        <v/>
      </c>
    </row>
    <row r="206">
      <c r="A206" s="43" t="inlineStr">
        <is>
          <t>YoY</t>
        </is>
      </c>
      <c r="B206" s="3" t="inlineStr">
        <is>
          <t>전년 같은 분기·전년 대비</t>
        </is>
      </c>
      <c r="G206" s="15">
        <f>IF(OR(G204="",C204=""),"",IF(C204&lt;=0,"",IFERROR(G204/C204-1,"")))</f>
        <v/>
      </c>
      <c r="H206" s="15">
        <f>IF(OR(H204="",D204=""),"",IF(D204&lt;=0,"",IFERROR(H204/D204-1,"")))</f>
        <v/>
      </c>
      <c r="I206" s="15">
        <f>IF(OR(I204="",E204=""),"",IF(E204&lt;=0,"",IFERROR(I204/E204-1,"")))</f>
        <v/>
      </c>
      <c r="J206" s="15">
        <f>IF(OR(J204="",F204=""),"",IF(F204&lt;=0,"",IFERROR(J204/F204-1,"")))</f>
        <v/>
      </c>
      <c r="K206" s="15">
        <f>IF(OR(K204="",G204=""),"",IF(G204&lt;=0,"",IFERROR(K204/G204-1,"")))</f>
        <v/>
      </c>
      <c r="L206" s="15">
        <f>IF(OR(L204="",H204=""),"",IF(H204&lt;=0,"",IFERROR(L204/H204-1,"")))</f>
        <v/>
      </c>
      <c r="M206" s="15">
        <f>IF(OR(M204="",I204=""),"",IF(I204&lt;=0,"",IFERROR(M204/I204-1,"")))</f>
        <v/>
      </c>
      <c r="N206" s="15">
        <f>IF(OR(N204="",J204=""),"",IF(J204&lt;=0,"",IFERROR(N204/J204-1,"")))</f>
        <v/>
      </c>
      <c r="V206" s="15">
        <f>IF(OR(V204="",U204=""),"",IF(U204&lt;=0,"",IFERROR(V204/U204-1,"")))</f>
        <v/>
      </c>
      <c r="W206" s="15">
        <f>IF(OR(W204="",V204=""),"",IF(V204&lt;=0,"",IFERROR(W204/V204-1,"")))</f>
        <v/>
      </c>
      <c r="X206" s="15">
        <f>IF(OR(X204="",W204=""),"",IF(W204&lt;=0,"",IFERROR(X204/W204-1,"")))</f>
        <v/>
      </c>
    </row>
    <row r="207">
      <c r="A207" s="18" t="inlineStr">
        <is>
          <t>합계 · 부문 이익(손실)</t>
        </is>
      </c>
      <c r="C207" s="20" t="n">
        <v>6747</v>
      </c>
      <c r="D207" s="20" t="n">
        <v>10076</v>
      </c>
      <c r="E207" s="20" t="n">
        <v>2672</v>
      </c>
      <c r="F207" s="20" t="n">
        <v>5731</v>
      </c>
      <c r="G207" s="20" t="n">
        <v>9191</v>
      </c>
      <c r="H207" s="20" t="n">
        <v>12125</v>
      </c>
      <c r="I207" s="20" t="n">
        <v>2947</v>
      </c>
      <c r="J207" s="20" t="n">
        <v>6031</v>
      </c>
      <c r="K207" s="20" t="n">
        <v>8883</v>
      </c>
      <c r="L207" s="20" t="n">
        <v>11800</v>
      </c>
      <c r="M207" s="20" t="n">
        <v>4166</v>
      </c>
      <c r="N207" s="20" t="n">
        <v>7310</v>
      </c>
      <c r="V207" s="20" t="n">
        <v>2672</v>
      </c>
      <c r="W207" s="20" t="n">
        <v>2947</v>
      </c>
      <c r="X207" s="20" t="n">
        <v>4166</v>
      </c>
    </row>
    <row r="208">
      <c r="A208" s="43" t="inlineStr">
        <is>
          <t>OPM</t>
        </is>
      </c>
      <c r="B208" s="3" t="inlineStr">
        <is>
          <t>영업이익 ÷ 매출</t>
        </is>
      </c>
      <c r="C208" s="15">
        <f>IF(OR(C207="",C190=""),"",IF(C190&lt;=0,"",IFERROR(C207/C190,"")))</f>
        <v/>
      </c>
      <c r="D208" s="15">
        <f>IF(OR(D207="",D190=""),"",IF(D190&lt;=0,"",IFERROR(D207/D190,"")))</f>
        <v/>
      </c>
      <c r="E208" s="15">
        <f>IF(OR(E207="",E190=""),"",IF(E190&lt;=0,"",IFERROR(E207/E190,"")))</f>
        <v/>
      </c>
      <c r="F208" s="15">
        <f>IF(OR(F207="",F190=""),"",IF(F190&lt;=0,"",IFERROR(F207/F190,"")))</f>
        <v/>
      </c>
      <c r="G208" s="15">
        <f>IF(OR(G207="",G190=""),"",IF(G190&lt;=0,"",IFERROR(G207/G190,"")))</f>
        <v/>
      </c>
      <c r="H208" s="15">
        <f>IF(OR(H207="",H190=""),"",IF(H190&lt;=0,"",IFERROR(H207/H190,"")))</f>
        <v/>
      </c>
      <c r="I208" s="15">
        <f>IF(OR(I207="",I190=""),"",IF(I190&lt;=0,"",IFERROR(I207/I190,"")))</f>
        <v/>
      </c>
      <c r="J208" s="15">
        <f>IF(OR(J207="",J190=""),"",IF(J190&lt;=0,"",IFERROR(J207/J190,"")))</f>
        <v/>
      </c>
      <c r="K208" s="15">
        <f>IF(OR(K207="",K190=""),"",IF(K190&lt;=0,"",IFERROR(K207/K190,"")))</f>
        <v/>
      </c>
      <c r="L208" s="15">
        <f>IF(OR(L207="",L190=""),"",IF(L190&lt;=0,"",IFERROR(L207/L190,"")))</f>
        <v/>
      </c>
      <c r="M208" s="15">
        <f>IF(OR(M207="",M190=""),"",IF(M190&lt;=0,"",IFERROR(M207/M190,"")))</f>
        <v/>
      </c>
      <c r="N208" s="15">
        <f>IF(OR(N207="",N190=""),"",IF(N190&lt;=0,"",IFERROR(N207/N190,"")))</f>
        <v/>
      </c>
      <c r="V208" s="15">
        <f>IF(OR(V207="",V190=""),"",IF(V190&lt;=0,"",IFERROR(V207/V190,"")))</f>
        <v/>
      </c>
      <c r="W208" s="15">
        <f>IF(OR(W207="",W190=""),"",IF(W190&lt;=0,"",IFERROR(W207/W190,"")))</f>
        <v/>
      </c>
      <c r="X208" s="15">
        <f>IF(OR(X207="",X190=""),"",IF(X190&lt;=0,"",IFERROR(X207/X190,"")))</f>
        <v/>
      </c>
    </row>
    <row r="209">
      <c r="A209" s="43" t="inlineStr">
        <is>
          <t>YoY</t>
        </is>
      </c>
      <c r="B209" s="3" t="inlineStr">
        <is>
          <t>전년 같은 분기·전년 대비</t>
        </is>
      </c>
      <c r="G209" s="15">
        <f>IF(OR(G207="",C207=""),"",IF(C207&lt;=0,"",IFERROR(G207/C207-1,"")))</f>
        <v/>
      </c>
      <c r="H209" s="15">
        <f>IF(OR(H207="",D207=""),"",IF(D207&lt;=0,"",IFERROR(H207/D207-1,"")))</f>
        <v/>
      </c>
      <c r="I209" s="15">
        <f>IF(OR(I207="",E207=""),"",IF(E207&lt;=0,"",IFERROR(I207/E207-1,"")))</f>
        <v/>
      </c>
      <c r="J209" s="15">
        <f>IF(OR(J207="",F207=""),"",IF(F207&lt;=0,"",IFERROR(J207/F207-1,"")))</f>
        <v/>
      </c>
      <c r="K209" s="15">
        <f>IF(OR(K207="",G207=""),"",IF(G207&lt;=0,"",IFERROR(K207/G207-1,"")))</f>
        <v/>
      </c>
      <c r="L209" s="15">
        <f>IF(OR(L207="",H207=""),"",IF(H207&lt;=0,"",IFERROR(L207/H207-1,"")))</f>
        <v/>
      </c>
      <c r="M209" s="15">
        <f>IF(OR(M207="",I207=""),"",IF(I207&lt;=0,"",IFERROR(M207/I207-1,"")))</f>
        <v/>
      </c>
      <c r="N209" s="15">
        <f>IF(OR(N207="",J207=""),"",IF(J207&lt;=0,"",IFERROR(N207/J207-1,"")))</f>
        <v/>
      </c>
      <c r="V209" s="15">
        <f>IF(OR(V207="",U207=""),"",IF(U207&lt;=0,"",IFERROR(V207/U207-1,"")))</f>
        <v/>
      </c>
      <c r="W209" s="15">
        <f>IF(OR(W207="",V207=""),"",IF(V207&lt;=0,"",IFERROR(W207/V207-1,"")))</f>
        <v/>
      </c>
      <c r="X209" s="15">
        <f>IF(OR(X207="",W207=""),"",IF(W207&lt;=0,"",IFERROR(X207/W207-1,"")))</f>
        <v/>
      </c>
    </row>
    <row r="211">
      <c r="A211" s="16" t="inlineStr">
        <is>
          <t>현금흐름표 · 전 항목</t>
        </is>
      </c>
      <c r="B211" s="42" t="inlineStr">
        <is>
          <t>분기 = 결산기 첫날부터 누계(공시 그대로)</t>
        </is>
      </c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16" t="n"/>
      <c r="AA211" s="16" t="n"/>
      <c r="AB211" s="16" t="n"/>
      <c r="AC211" s="16" t="n"/>
    </row>
    <row r="212">
      <c r="A212" s="5" t="inlineStr">
        <is>
          <t>항목</t>
        </is>
      </c>
      <c r="B212" s="5" t="inlineStr">
        <is>
          <t>참고</t>
        </is>
      </c>
      <c r="C212" s="5" t="inlineStr">
        <is>
          <t>2024.2Q</t>
        </is>
      </c>
      <c r="D212" s="5" t="inlineStr">
        <is>
          <t>2024.3Q</t>
        </is>
      </c>
      <c r="E212" s="5" t="inlineStr">
        <is>
          <t>2024.4Q</t>
        </is>
      </c>
      <c r="F212" s="5" t="inlineStr">
        <is>
          <t>2025.1Q</t>
        </is>
      </c>
      <c r="G212" s="5" t="inlineStr">
        <is>
          <t>2025.2Q</t>
        </is>
      </c>
      <c r="H212" s="5" t="inlineStr">
        <is>
          <t>2025.3Q</t>
        </is>
      </c>
      <c r="I212" s="5" t="inlineStr">
        <is>
          <t>2025.4Q</t>
        </is>
      </c>
      <c r="J212" s="5" t="inlineStr">
        <is>
          <t>2026.1Q</t>
        </is>
      </c>
      <c r="K212" s="5" t="inlineStr">
        <is>
          <t>2026.2Q</t>
        </is>
      </c>
      <c r="L212" s="5" t="inlineStr">
        <is>
          <t>2026.3Q</t>
        </is>
      </c>
      <c r="M212" s="5" t="inlineStr">
        <is>
          <t>2026.4Q</t>
        </is>
      </c>
      <c r="N212" s="5" t="inlineStr">
        <is>
          <t>2027.1Q</t>
        </is>
      </c>
      <c r="O212" s="5" t="inlineStr">
        <is>
          <t>2017</t>
        </is>
      </c>
      <c r="P212" s="5" t="inlineStr">
        <is>
          <t>2018</t>
        </is>
      </c>
      <c r="Q212" s="5" t="inlineStr">
        <is>
          <t>2019</t>
        </is>
      </c>
      <c r="R212" s="5" t="inlineStr">
        <is>
          <t>2020</t>
        </is>
      </c>
      <c r="S212" s="5" t="inlineStr">
        <is>
          <t>2021</t>
        </is>
      </c>
      <c r="T212" s="5" t="inlineStr">
        <is>
          <t>2022</t>
        </is>
      </c>
      <c r="U212" s="5" t="inlineStr">
        <is>
          <t>2023</t>
        </is>
      </c>
      <c r="V212" s="5" t="inlineStr">
        <is>
          <t>2024</t>
        </is>
      </c>
      <c r="W212" s="5" t="inlineStr">
        <is>
          <t>2025</t>
        </is>
      </c>
      <c r="X212" s="5" t="inlineStr">
        <is>
          <t>2026</t>
        </is>
      </c>
      <c r="Y212" s="5" t="inlineStr">
        <is>
          <t>2027(MW)</t>
        </is>
      </c>
      <c r="Z212" s="5" t="inlineStr">
        <is>
          <t>2028(MW)</t>
        </is>
      </c>
      <c r="AA212" s="5" t="inlineStr">
        <is>
          <t>2029(MW)</t>
        </is>
      </c>
      <c r="AB212" s="5" t="inlineStr">
        <is>
          <t>2030(MW)</t>
        </is>
      </c>
      <c r="AC212" s="5" t="inlineStr">
        <is>
          <t>2031(MW)</t>
        </is>
      </c>
    </row>
    <row r="213">
      <c r="A213" s="9" t="inlineStr">
        <is>
          <t>법인세차감전 순이익</t>
        </is>
      </c>
      <c r="C213" s="12" t="n">
        <v>7374</v>
      </c>
      <c r="E213" s="12" t="n">
        <v>14869</v>
      </c>
      <c r="G213" s="12" t="n">
        <v>11883</v>
      </c>
      <c r="I213" s="12" t="n">
        <v>23805</v>
      </c>
      <c r="K213" s="12" t="n">
        <v>11317</v>
      </c>
      <c r="M213" s="12" t="n">
        <v>19104</v>
      </c>
      <c r="O213" s="12" t="n">
        <v>7127</v>
      </c>
      <c r="P213" s="12" t="n">
        <v>9967</v>
      </c>
      <c r="Q213" s="12" t="n">
        <v>13784</v>
      </c>
      <c r="R213" s="12" t="n">
        <v>7601</v>
      </c>
      <c r="S213" s="12" t="n">
        <v>7462</v>
      </c>
      <c r="T213" s="12" t="n">
        <v>13772</v>
      </c>
      <c r="U213" s="12" t="n">
        <v>11642</v>
      </c>
      <c r="V213" s="12" t="n">
        <v>14869</v>
      </c>
      <c r="W213" s="12" t="n">
        <v>23805</v>
      </c>
      <c r="X213" s="12" t="n">
        <v>19104</v>
      </c>
    </row>
    <row r="214">
      <c r="A214" s="18" t="inlineStr">
        <is>
          <t>감가상각비</t>
        </is>
      </c>
      <c r="C214" s="20" t="n">
        <v>3169</v>
      </c>
      <c r="E214" s="20" t="n">
        <v>6036</v>
      </c>
      <c r="G214" s="20" t="n">
        <v>2975</v>
      </c>
      <c r="I214" s="20" t="n">
        <v>6450</v>
      </c>
      <c r="K214" s="20" t="n">
        <v>3786</v>
      </c>
      <c r="M214" s="20" t="n">
        <v>7758</v>
      </c>
      <c r="O214" s="20" t="n">
        <v>7300</v>
      </c>
      <c r="P214" s="20" t="n">
        <v>7986</v>
      </c>
      <c r="Q214" s="20" t="n">
        <v>6930</v>
      </c>
      <c r="R214" s="20" t="n">
        <v>6773</v>
      </c>
      <c r="S214" s="20" t="n">
        <v>6069</v>
      </c>
      <c r="T214" s="20" t="n">
        <v>5806</v>
      </c>
      <c r="U214" s="20" t="n">
        <v>6216</v>
      </c>
      <c r="V214" s="20" t="n">
        <v>6036</v>
      </c>
      <c r="W214" s="20" t="n">
        <v>6450</v>
      </c>
      <c r="X214" s="20" t="n">
        <v>7758</v>
      </c>
    </row>
    <row r="215">
      <c r="A215" s="18" t="inlineStr">
        <is>
          <t>고정자산 제각손실</t>
        </is>
      </c>
      <c r="C215" s="20" t="n">
        <v>3</v>
      </c>
      <c r="G215" s="20" t="n">
        <v>12</v>
      </c>
      <c r="K215" s="20" t="n">
        <v>12</v>
      </c>
    </row>
    <row r="216">
      <c r="A216" s="18" t="inlineStr">
        <is>
          <t>손상차손</t>
        </is>
      </c>
      <c r="C216" s="20" t="n">
        <v>0</v>
      </c>
      <c r="E216" s="20" t="n">
        <v>2727</v>
      </c>
      <c r="G216" s="20" t="n">
        <v>0</v>
      </c>
      <c r="I216" s="20" t="n">
        <v>29</v>
      </c>
      <c r="M216" s="20" t="n">
        <v>4902</v>
      </c>
      <c r="O216" s="20" t="n">
        <v>689</v>
      </c>
      <c r="P216" s="20" t="n">
        <v>1359</v>
      </c>
      <c r="Q216" s="20" t="n">
        <v>915</v>
      </c>
      <c r="R216" s="20" t="n">
        <v>2793</v>
      </c>
      <c r="S216" s="20" t="n">
        <v>188</v>
      </c>
      <c r="T216" s="20" t="n">
        <v>790</v>
      </c>
      <c r="U216" s="20" t="n">
        <v>15</v>
      </c>
      <c r="V216" s="20" t="n">
        <v>2727</v>
      </c>
      <c r="W216" s="20" t="n">
        <v>29</v>
      </c>
      <c r="X216" s="20" t="n">
        <v>4902</v>
      </c>
    </row>
    <row r="217">
      <c r="A217" s="18" t="inlineStr">
        <is>
          <t>영업권 상각</t>
        </is>
      </c>
      <c r="C217" s="20" t="n">
        <v>964</v>
      </c>
      <c r="E217" s="20" t="n">
        <v>1927</v>
      </c>
      <c r="G217" s="20" t="n">
        <v>934</v>
      </c>
      <c r="I217" s="20" t="n">
        <v>1868</v>
      </c>
      <c r="K217" s="20" t="n">
        <v>894</v>
      </c>
      <c r="M217" s="20" t="n">
        <v>1615</v>
      </c>
      <c r="O217" s="20" t="n">
        <v>1404</v>
      </c>
      <c r="P217" s="20" t="n">
        <v>1436</v>
      </c>
      <c r="Q217" s="20" t="n">
        <v>1436</v>
      </c>
      <c r="R217" s="20" t="n">
        <v>1389</v>
      </c>
      <c r="S217" s="20" t="n">
        <v>1362</v>
      </c>
      <c r="T217" s="20" t="n">
        <v>1551</v>
      </c>
      <c r="U217" s="20" t="n">
        <v>1853</v>
      </c>
      <c r="V217" s="20" t="n">
        <v>1927</v>
      </c>
      <c r="W217" s="20" t="n">
        <v>1868</v>
      </c>
      <c r="X217" s="20" t="n">
        <v>1615</v>
      </c>
    </row>
    <row r="218">
      <c r="A218" s="18" t="inlineStr">
        <is>
          <t>신주예약권 환입이익</t>
        </is>
      </c>
      <c r="C218" s="20" t="n">
        <v>-16</v>
      </c>
      <c r="E218" s="20" t="n">
        <v>-16</v>
      </c>
      <c r="G218" s="20" t="n">
        <v>0</v>
      </c>
      <c r="I218" s="20" t="n">
        <v>0</v>
      </c>
      <c r="O218" s="20" t="n">
        <v>-56</v>
      </c>
      <c r="P218" s="20" t="n">
        <v>-8</v>
      </c>
      <c r="Q218" s="20" t="n">
        <v>-16</v>
      </c>
      <c r="R218" s="20" t="n">
        <v>-2</v>
      </c>
      <c r="S218" s="20" t="n">
        <v>-64</v>
      </c>
      <c r="T218" s="20" t="n">
        <v>-137</v>
      </c>
      <c r="U218" s="20" t="n">
        <v>-54</v>
      </c>
      <c r="V218" s="20" t="n">
        <v>-16</v>
      </c>
      <c r="W218" s="20" t="n">
        <v>0</v>
      </c>
    </row>
    <row r="219">
      <c r="A219" s="18" t="inlineStr">
        <is>
          <t>출자금 매각이익</t>
        </is>
      </c>
      <c r="O219" s="20" t="n">
        <v>0</v>
      </c>
      <c r="P219" s="20" t="n">
        <v>-208</v>
      </c>
      <c r="Q219" s="20" t="n">
        <v>-164</v>
      </c>
      <c r="R219" s="20" t="n">
        <v>0</v>
      </c>
    </row>
    <row r="220">
      <c r="A220" s="18" t="inlineStr">
        <is>
          <t>우발손실충당금 증감</t>
        </is>
      </c>
      <c r="O220" s="20" t="n">
        <v>-49</v>
      </c>
      <c r="P220" s="20" t="n">
        <v>0</v>
      </c>
    </row>
    <row r="221">
      <c r="A221" s="18" t="inlineStr">
        <is>
          <t>수취 합의금</t>
        </is>
      </c>
      <c r="Q221" s="20" t="n">
        <v>0</v>
      </c>
      <c r="R221" s="20" t="n">
        <v>-189</v>
      </c>
      <c r="S221" s="20" t="n">
        <v>0</v>
      </c>
    </row>
    <row r="222">
      <c r="A222" s="18" t="inlineStr">
        <is>
          <t>고용조정 조성금 등</t>
        </is>
      </c>
      <c r="R222" s="20" t="n">
        <v>0</v>
      </c>
      <c r="S222" s="20" t="n">
        <v>-180</v>
      </c>
      <c r="T222" s="20" t="n">
        <v>-38</v>
      </c>
      <c r="U222" s="20" t="n">
        <v>0</v>
      </c>
    </row>
    <row r="223">
      <c r="A223" s="18" t="inlineStr">
        <is>
          <t>코로나19 관련 손실</t>
        </is>
      </c>
      <c r="C223" s="20" t="n">
        <v>0</v>
      </c>
      <c r="E223" s="20" t="n">
        <v>0</v>
      </c>
      <c r="R223" s="20" t="n">
        <v>0</v>
      </c>
      <c r="S223" s="20" t="n">
        <v>729</v>
      </c>
      <c r="T223" s="20" t="n">
        <v>221</v>
      </c>
      <c r="U223" s="20" t="n">
        <v>32</v>
      </c>
      <c r="V223" s="20" t="n">
        <v>0</v>
      </c>
    </row>
    <row r="224">
      <c r="A224" s="18" t="inlineStr">
        <is>
          <t>사업구조개선비용</t>
        </is>
      </c>
      <c r="E224" s="20" t="n">
        <v>212</v>
      </c>
      <c r="I224" s="20" t="n">
        <v>51</v>
      </c>
      <c r="M224" s="20" t="n">
        <v>0</v>
      </c>
      <c r="T224" s="20" t="n">
        <v>0</v>
      </c>
      <c r="U224" s="20" t="n">
        <v>147</v>
      </c>
      <c r="V224" s="20" t="n">
        <v>212</v>
      </c>
      <c r="W224" s="20" t="n">
        <v>51</v>
      </c>
      <c r="X224" s="20" t="n">
        <v>0</v>
      </c>
    </row>
    <row r="225">
      <c r="A225" s="18" t="inlineStr">
        <is>
          <t>사업 철수 손실</t>
        </is>
      </c>
      <c r="E225" s="20" t="n">
        <v>0</v>
      </c>
      <c r="T225" s="20" t="n">
        <v>0</v>
      </c>
      <c r="U225" s="20" t="n">
        <v>260</v>
      </c>
      <c r="V225" s="20" t="n">
        <v>0</v>
      </c>
    </row>
    <row r="226">
      <c r="A226" s="18" t="inlineStr">
        <is>
          <t>재개발 관련 비용</t>
        </is>
      </c>
      <c r="E226" s="20" t="n">
        <v>0</v>
      </c>
      <c r="G226" s="20" t="n">
        <v>0</v>
      </c>
      <c r="I226" s="20" t="n">
        <v>138</v>
      </c>
      <c r="K226" s="20" t="n">
        <v>48</v>
      </c>
      <c r="M226" s="20" t="n">
        <v>48</v>
      </c>
      <c r="V226" s="20" t="n">
        <v>0</v>
      </c>
      <c r="W226" s="20" t="n">
        <v>138</v>
      </c>
      <c r="X226" s="20" t="n">
        <v>48</v>
      </c>
    </row>
    <row r="227">
      <c r="A227" s="18" t="inlineStr">
        <is>
          <t>제품 자진회수 관련 손실</t>
        </is>
      </c>
      <c r="G227" s="20" t="n">
        <v>0</v>
      </c>
      <c r="I227" s="20" t="n">
        <v>0</v>
      </c>
      <c r="K227" s="20" t="n">
        <v>448</v>
      </c>
      <c r="M227" s="20" t="n">
        <v>448</v>
      </c>
      <c r="W227" s="20" t="n">
        <v>0</v>
      </c>
      <c r="X227" s="20" t="n">
        <v>448</v>
      </c>
    </row>
    <row r="228">
      <c r="A228" s="18" t="inlineStr">
        <is>
          <t>대손충당금 증감</t>
        </is>
      </c>
      <c r="C228" s="20" t="n">
        <v>10</v>
      </c>
      <c r="E228" s="20" t="n">
        <v>9</v>
      </c>
      <c r="G228" s="20" t="n">
        <v>22</v>
      </c>
      <c r="I228" s="20" t="n">
        <v>52</v>
      </c>
      <c r="K228" s="20" t="n">
        <v>55</v>
      </c>
      <c r="M228" s="20" t="n">
        <v>65</v>
      </c>
      <c r="O228" s="20" t="n">
        <v>-29</v>
      </c>
      <c r="P228" s="20" t="n">
        <v>486</v>
      </c>
      <c r="Q228" s="20" t="n">
        <v>-154</v>
      </c>
      <c r="R228" s="20" t="n">
        <v>-346</v>
      </c>
      <c r="S228" s="20" t="n">
        <v>6</v>
      </c>
      <c r="T228" s="20" t="n">
        <v>0</v>
      </c>
      <c r="U228" s="20" t="n">
        <v>-39</v>
      </c>
      <c r="V228" s="20" t="n">
        <v>9</v>
      </c>
      <c r="W228" s="20" t="n">
        <v>52</v>
      </c>
      <c r="X228" s="20" t="n">
        <v>65</v>
      </c>
    </row>
    <row r="229">
      <c r="A229" s="18" t="inlineStr">
        <is>
          <t>충당금 증감</t>
        </is>
      </c>
      <c r="C229" s="20" t="n">
        <v>-132</v>
      </c>
      <c r="E229" s="20" t="n">
        <v>67</v>
      </c>
      <c r="G229" s="20" t="n">
        <v>-131</v>
      </c>
      <c r="I229" s="20" t="n">
        <v>164</v>
      </c>
      <c r="K229" s="20" t="n">
        <v>-149</v>
      </c>
      <c r="M229" s="20" t="n">
        <v>53</v>
      </c>
      <c r="P229" s="20" t="n">
        <v>387</v>
      </c>
      <c r="Q229" s="20" t="n">
        <v>-286</v>
      </c>
      <c r="R229" s="20" t="n">
        <v>-121</v>
      </c>
      <c r="S229" s="20" t="n">
        <v>-297</v>
      </c>
      <c r="T229" s="20" t="n">
        <v>389</v>
      </c>
      <c r="U229" s="20" t="n">
        <v>7</v>
      </c>
      <c r="V229" s="20" t="n">
        <v>67</v>
      </c>
      <c r="W229" s="20" t="n">
        <v>164</v>
      </c>
      <c r="X229" s="20" t="n">
        <v>53</v>
      </c>
    </row>
    <row r="230">
      <c r="A230" s="18" t="inlineStr">
        <is>
          <t>퇴직급여부채 증감</t>
        </is>
      </c>
      <c r="C230" s="20" t="n">
        <v>14</v>
      </c>
      <c r="E230" s="20" t="n">
        <v>6</v>
      </c>
      <c r="G230" s="20" t="n">
        <v>-39</v>
      </c>
      <c r="I230" s="20" t="n">
        <v>-66</v>
      </c>
      <c r="K230" s="20" t="n">
        <v>-81</v>
      </c>
      <c r="M230" s="20" t="n">
        <v>-135</v>
      </c>
      <c r="O230" s="20" t="n">
        <v>-140</v>
      </c>
      <c r="P230" s="20" t="n">
        <v>-247</v>
      </c>
      <c r="Q230" s="20" t="n">
        <v>-55</v>
      </c>
      <c r="R230" s="20" t="n">
        <v>54</v>
      </c>
      <c r="S230" s="20" t="n">
        <v>189</v>
      </c>
      <c r="T230" s="20" t="n">
        <v>66</v>
      </c>
      <c r="U230" s="20" t="n">
        <v>41</v>
      </c>
      <c r="V230" s="20" t="n">
        <v>6</v>
      </c>
      <c r="W230" s="20" t="n">
        <v>-66</v>
      </c>
      <c r="X230" s="20" t="n">
        <v>-135</v>
      </c>
    </row>
    <row r="231">
      <c r="A231" s="18" t="inlineStr">
        <is>
          <t>이자·배당금 수익</t>
        </is>
      </c>
      <c r="C231" s="20" t="n">
        <v>-230</v>
      </c>
      <c r="E231" s="20" t="n">
        <v>-430</v>
      </c>
      <c r="G231" s="20" t="n">
        <v>-169</v>
      </c>
      <c r="I231" s="20" t="n">
        <v>-322</v>
      </c>
      <c r="K231" s="20" t="n">
        <v>-179</v>
      </c>
      <c r="M231" s="20" t="n">
        <v>-312</v>
      </c>
      <c r="O231" s="20" t="n">
        <v>-97</v>
      </c>
      <c r="P231" s="20" t="n">
        <v>-198</v>
      </c>
      <c r="Q231" s="20" t="n">
        <v>-237</v>
      </c>
      <c r="R231" s="20" t="n">
        <v>-206</v>
      </c>
      <c r="S231" s="20" t="n">
        <v>-69</v>
      </c>
      <c r="T231" s="20" t="n">
        <v>-56</v>
      </c>
      <c r="U231" s="20" t="n">
        <v>-195</v>
      </c>
      <c r="V231" s="20" t="n">
        <v>-430</v>
      </c>
      <c r="W231" s="20" t="n">
        <v>-322</v>
      </c>
      <c r="X231" s="20" t="n">
        <v>-312</v>
      </c>
    </row>
    <row r="232">
      <c r="A232" s="18" t="inlineStr">
        <is>
          <t>이자비용</t>
        </is>
      </c>
      <c r="C232" s="20" t="n">
        <v>488</v>
      </c>
      <c r="E232" s="20" t="n">
        <v>691</v>
      </c>
      <c r="G232" s="20" t="n">
        <v>194</v>
      </c>
      <c r="I232" s="20" t="n">
        <v>367</v>
      </c>
      <c r="K232" s="20" t="n">
        <v>204</v>
      </c>
      <c r="M232" s="20" t="n">
        <v>387</v>
      </c>
      <c r="O232" s="20" t="n">
        <v>624</v>
      </c>
      <c r="P232" s="20" t="n">
        <v>539</v>
      </c>
      <c r="Q232" s="20" t="n">
        <v>361</v>
      </c>
      <c r="R232" s="20" t="n">
        <v>266</v>
      </c>
      <c r="S232" s="20" t="n">
        <v>255</v>
      </c>
      <c r="T232" s="20" t="n">
        <v>332</v>
      </c>
      <c r="U232" s="20" t="n">
        <v>612</v>
      </c>
      <c r="V232" s="20" t="n">
        <v>691</v>
      </c>
      <c r="W232" s="20" t="n">
        <v>367</v>
      </c>
      <c r="X232" s="20" t="n">
        <v>387</v>
      </c>
    </row>
    <row r="233">
      <c r="A233" s="18" t="inlineStr">
        <is>
          <t>외환차손익</t>
        </is>
      </c>
      <c r="C233" s="20" t="n">
        <v>666</v>
      </c>
      <c r="E233" s="20" t="n">
        <v>615</v>
      </c>
      <c r="G233" s="20" t="n">
        <v>-583</v>
      </c>
      <c r="I233" s="20" t="n">
        <v>-191</v>
      </c>
      <c r="K233" s="20" t="n">
        <v>-259</v>
      </c>
      <c r="M233" s="20" t="n">
        <v>205</v>
      </c>
      <c r="O233" s="20" t="n">
        <v>316</v>
      </c>
      <c r="P233" s="20" t="n">
        <v>-162</v>
      </c>
      <c r="Q233" s="20" t="n">
        <v>73</v>
      </c>
      <c r="R233" s="20" t="n">
        <v>479</v>
      </c>
      <c r="S233" s="20" t="n">
        <v>-369</v>
      </c>
      <c r="T233" s="20" t="n">
        <v>219</v>
      </c>
      <c r="U233" s="20" t="n">
        <v>295</v>
      </c>
      <c r="V233" s="20" t="n">
        <v>615</v>
      </c>
      <c r="W233" s="20" t="n">
        <v>-191</v>
      </c>
      <c r="X233" s="20" t="n">
        <v>205</v>
      </c>
    </row>
    <row r="234">
      <c r="A234" s="18" t="inlineStr">
        <is>
          <t>유형자산 매각손익</t>
        </is>
      </c>
      <c r="O234" s="20" t="n">
        <v>50</v>
      </c>
      <c r="P234" s="20" t="n">
        <v>-23</v>
      </c>
      <c r="Q234" s="20" t="n">
        <v>-7</v>
      </c>
      <c r="R234" s="20" t="n">
        <v>0</v>
      </c>
      <c r="S234" s="20" t="n">
        <v>-10</v>
      </c>
      <c r="T234" s="20" t="n">
        <v>-1895</v>
      </c>
      <c r="U234" s="20" t="n">
        <v>-3</v>
      </c>
    </row>
    <row r="235">
      <c r="A235" s="18" t="inlineStr">
        <is>
          <t>투자유가증권 매각손익</t>
        </is>
      </c>
      <c r="P235" s="20" t="n">
        <v>0</v>
      </c>
      <c r="Q235" s="20" t="n">
        <v>-29</v>
      </c>
      <c r="R235" s="20" t="n">
        <v>0</v>
      </c>
      <c r="S235" s="20" t="n">
        <v>-950</v>
      </c>
      <c r="T235" s="20" t="n">
        <v>-23</v>
      </c>
      <c r="U235" s="20" t="n">
        <v>-31</v>
      </c>
    </row>
    <row r="236">
      <c r="A236" s="18" t="inlineStr">
        <is>
          <t>고정자산 매각손익</t>
        </is>
      </c>
      <c r="C236" s="20" t="n">
        <v>-0</v>
      </c>
      <c r="G236" s="20" t="n">
        <v>-3</v>
      </c>
      <c r="K236" s="20" t="n">
        <v>0</v>
      </c>
    </row>
    <row r="237">
      <c r="A237" s="18" t="inlineStr">
        <is>
          <t>매출채권 증감</t>
        </is>
      </c>
      <c r="C237" s="20" t="n">
        <v>-7570</v>
      </c>
      <c r="E237" s="20" t="n">
        <v>-3338</v>
      </c>
      <c r="G237" s="20" t="n">
        <v>-9731</v>
      </c>
      <c r="I237" s="20" t="n">
        <v>-4340</v>
      </c>
      <c r="K237" s="20" t="n">
        <v>-5459</v>
      </c>
      <c r="M237" s="20" t="n">
        <v>742</v>
      </c>
      <c r="O237" s="20" t="n">
        <v>-1038</v>
      </c>
      <c r="P237" s="20" t="n">
        <v>-2812</v>
      </c>
      <c r="Q237" s="20" t="n">
        <v>3381</v>
      </c>
      <c r="R237" s="20" t="n">
        <v>2188</v>
      </c>
      <c r="S237" s="20" t="n">
        <v>284</v>
      </c>
      <c r="T237" s="20" t="n">
        <v>-1373</v>
      </c>
      <c r="U237" s="20" t="n">
        <v>38</v>
      </c>
      <c r="V237" s="20" t="n">
        <v>-3338</v>
      </c>
      <c r="W237" s="20" t="n">
        <v>-4340</v>
      </c>
      <c r="X237" s="20" t="n">
        <v>742</v>
      </c>
    </row>
    <row r="238">
      <c r="A238" s="18" t="inlineStr">
        <is>
          <t>재고자산 증감</t>
        </is>
      </c>
      <c r="C238" s="20" t="n">
        <v>-3098</v>
      </c>
      <c r="E238" s="20" t="n">
        <v>376</v>
      </c>
      <c r="G238" s="20" t="n">
        <v>-5663</v>
      </c>
      <c r="I238" s="20" t="n">
        <v>-2690</v>
      </c>
      <c r="K238" s="20" t="n">
        <v>-6169</v>
      </c>
      <c r="M238" s="20" t="n">
        <v>-2107</v>
      </c>
      <c r="O238" s="20" t="n">
        <v>4045</v>
      </c>
      <c r="P238" s="20" t="n">
        <v>1087</v>
      </c>
      <c r="Q238" s="20" t="n">
        <v>321</v>
      </c>
      <c r="R238" s="20" t="n">
        <v>-1204</v>
      </c>
      <c r="S238" s="20" t="n">
        <v>1608</v>
      </c>
      <c r="T238" s="20" t="n">
        <v>-2432</v>
      </c>
      <c r="U238" s="20" t="n">
        <v>195</v>
      </c>
      <c r="V238" s="20" t="n">
        <v>376</v>
      </c>
      <c r="W238" s="20" t="n">
        <v>-2690</v>
      </c>
      <c r="X238" s="20" t="n">
        <v>-2107</v>
      </c>
    </row>
    <row r="239">
      <c r="A239" s="18" t="inlineStr">
        <is>
          <t>선급비용 증감</t>
        </is>
      </c>
      <c r="C239" s="20" t="n">
        <v>211</v>
      </c>
      <c r="E239" s="20" t="n">
        <v>451</v>
      </c>
      <c r="G239" s="20" t="n">
        <v>-745</v>
      </c>
      <c r="I239" s="20" t="n">
        <v>-236</v>
      </c>
      <c r="K239" s="20" t="n">
        <v>-303</v>
      </c>
      <c r="M239" s="20" t="n">
        <v>-554</v>
      </c>
      <c r="O239" s="20" t="n">
        <v>758</v>
      </c>
      <c r="P239" s="20" t="n">
        <v>691</v>
      </c>
      <c r="Q239" s="20" t="n">
        <v>-591</v>
      </c>
      <c r="R239" s="20" t="n">
        <v>-528</v>
      </c>
      <c r="S239" s="20" t="n">
        <v>877</v>
      </c>
      <c r="T239" s="20" t="n">
        <v>-296</v>
      </c>
      <c r="U239" s="20" t="n">
        <v>-133</v>
      </c>
      <c r="V239" s="20" t="n">
        <v>451</v>
      </c>
      <c r="W239" s="20" t="n">
        <v>-236</v>
      </c>
      <c r="X239" s="20" t="n">
        <v>-554</v>
      </c>
    </row>
    <row r="240">
      <c r="A240" s="18" t="inlineStr">
        <is>
          <t>선급금 증감</t>
        </is>
      </c>
      <c r="E240" s="20" t="n">
        <v>104</v>
      </c>
      <c r="I240" s="20" t="n">
        <v>-18</v>
      </c>
      <c r="M240" s="20" t="n">
        <v>20</v>
      </c>
      <c r="O240" s="20" t="n">
        <v>801</v>
      </c>
      <c r="P240" s="20" t="n">
        <v>-147</v>
      </c>
      <c r="Q240" s="20" t="n">
        <v>-348</v>
      </c>
      <c r="R240" s="20" t="n">
        <v>-231</v>
      </c>
      <c r="S240" s="20" t="n">
        <v>818</v>
      </c>
      <c r="T240" s="20" t="n">
        <v>-457</v>
      </c>
      <c r="U240" s="20" t="n">
        <v>731</v>
      </c>
      <c r="V240" s="20" t="n">
        <v>104</v>
      </c>
      <c r="W240" s="20" t="n">
        <v>-18</v>
      </c>
      <c r="X240" s="20" t="n">
        <v>20</v>
      </c>
    </row>
    <row r="241">
      <c r="A241" s="18" t="inlineStr">
        <is>
          <t>매입채무 증감</t>
        </is>
      </c>
      <c r="C241" s="20" t="n">
        <v>5845</v>
      </c>
      <c r="E241" s="20" t="n">
        <v>4899</v>
      </c>
      <c r="G241" s="20" t="n">
        <v>2218</v>
      </c>
      <c r="I241" s="20" t="n">
        <v>242</v>
      </c>
      <c r="K241" s="20" t="n">
        <v>2949</v>
      </c>
      <c r="M241" s="20" t="n">
        <v>-3230</v>
      </c>
      <c r="O241" s="20" t="n">
        <v>1069</v>
      </c>
      <c r="P241" s="20" t="n">
        <v>721</v>
      </c>
      <c r="Q241" s="20" t="n">
        <v>-648</v>
      </c>
      <c r="R241" s="20" t="n">
        <v>-820</v>
      </c>
      <c r="S241" s="20" t="n">
        <v>-789</v>
      </c>
      <c r="T241" s="20" t="n">
        <v>450</v>
      </c>
      <c r="U241" s="20" t="n">
        <v>-118</v>
      </c>
      <c r="V241" s="20" t="n">
        <v>4899</v>
      </c>
      <c r="W241" s="20" t="n">
        <v>242</v>
      </c>
      <c r="X241" s="20" t="n">
        <v>-3230</v>
      </c>
    </row>
    <row r="242">
      <c r="A242" s="18" t="inlineStr">
        <is>
          <t>미지급금 증감</t>
        </is>
      </c>
      <c r="C242" s="20" t="n">
        <v>437</v>
      </c>
      <c r="E242" s="20" t="n">
        <v>2450</v>
      </c>
      <c r="G242" s="20" t="n">
        <v>-1878</v>
      </c>
      <c r="I242" s="20" t="n">
        <v>389</v>
      </c>
      <c r="K242" s="20" t="n">
        <v>-886</v>
      </c>
      <c r="M242" s="20" t="n">
        <v>-682</v>
      </c>
      <c r="O242" s="20" t="n">
        <v>2214</v>
      </c>
      <c r="P242" s="20" t="n">
        <v>-0</v>
      </c>
      <c r="Q242" s="20" t="n">
        <v>799</v>
      </c>
      <c r="R242" s="20" t="n">
        <v>-1716</v>
      </c>
      <c r="S242" s="20" t="n">
        <v>21</v>
      </c>
      <c r="T242" s="20" t="n">
        <v>1688</v>
      </c>
      <c r="U242" s="20" t="n">
        <v>-217</v>
      </c>
      <c r="V242" s="20" t="n">
        <v>2450</v>
      </c>
      <c r="W242" s="20" t="n">
        <v>389</v>
      </c>
      <c r="X242" s="20" t="n">
        <v>-682</v>
      </c>
    </row>
    <row r="243">
      <c r="A243" s="18" t="inlineStr">
        <is>
          <t>미지급비용 증감</t>
        </is>
      </c>
      <c r="C243" s="20" t="n">
        <v>705</v>
      </c>
      <c r="E243" s="20" t="n">
        <v>2362</v>
      </c>
      <c r="G243" s="20" t="n">
        <v>95</v>
      </c>
      <c r="I243" s="20" t="n">
        <v>578</v>
      </c>
      <c r="K243" s="20" t="n">
        <v>-437</v>
      </c>
      <c r="M243" s="20" t="n">
        <v>90</v>
      </c>
      <c r="O243" s="20" t="n">
        <v>2234</v>
      </c>
      <c r="P243" s="20" t="n">
        <v>-622</v>
      </c>
      <c r="Q243" s="20" t="n">
        <v>-349</v>
      </c>
      <c r="R243" s="20" t="n">
        <v>-1905</v>
      </c>
      <c r="S243" s="20" t="n">
        <v>822</v>
      </c>
      <c r="T243" s="20" t="n">
        <v>837</v>
      </c>
      <c r="U243" s="20" t="n">
        <v>-399</v>
      </c>
      <c r="V243" s="20" t="n">
        <v>2362</v>
      </c>
      <c r="W243" s="20" t="n">
        <v>578</v>
      </c>
      <c r="X243" s="20" t="n">
        <v>90</v>
      </c>
    </row>
    <row r="244">
      <c r="A244" s="18" t="inlineStr">
        <is>
          <t>예수금 증감</t>
        </is>
      </c>
      <c r="R244" s="20" t="n">
        <v>-128</v>
      </c>
      <c r="S244" s="20" t="n">
        <v>876</v>
      </c>
    </row>
    <row r="245">
      <c r="A245" s="18" t="inlineStr">
        <is>
          <t>선수수익 증감</t>
        </is>
      </c>
      <c r="R245" s="20" t="n">
        <v>-64</v>
      </c>
      <c r="S245" s="20" t="n">
        <v>490</v>
      </c>
    </row>
    <row r="246">
      <c r="A246" s="18" t="inlineStr">
        <is>
          <t>장기 선수수익 증감(△는 감소)</t>
        </is>
      </c>
      <c r="R246" s="20" t="n">
        <v>-39</v>
      </c>
      <c r="S246" s="20" t="n">
        <v>578</v>
      </c>
    </row>
    <row r="247">
      <c r="A247" s="18" t="inlineStr">
        <is>
          <t>기타</t>
        </is>
      </c>
      <c r="C247" s="20" t="n">
        <v>-2252</v>
      </c>
      <c r="E247" s="20" t="n">
        <v>-910</v>
      </c>
      <c r="G247" s="20" t="n">
        <v>-1193</v>
      </c>
      <c r="I247" s="20" t="n">
        <v>-1451</v>
      </c>
      <c r="K247" s="20" t="n">
        <v>898</v>
      </c>
      <c r="M247" s="20" t="n">
        <v>489</v>
      </c>
      <c r="O247" s="20" t="n">
        <v>136</v>
      </c>
      <c r="P247" s="20" t="n">
        <v>-283</v>
      </c>
      <c r="Q247" s="20" t="n">
        <v>-465</v>
      </c>
      <c r="R247" s="20" t="n">
        <v>99</v>
      </c>
      <c r="S247" s="20" t="n">
        <v>3716</v>
      </c>
      <c r="T247" s="20" t="n">
        <v>221</v>
      </c>
      <c r="U247" s="20" t="n">
        <v>674</v>
      </c>
      <c r="V247" s="20" t="n">
        <v>-910</v>
      </c>
      <c r="W247" s="20" t="n">
        <v>-1451</v>
      </c>
      <c r="X247" s="20" t="n">
        <v>489</v>
      </c>
    </row>
    <row r="248">
      <c r="A248" s="18" t="inlineStr">
        <is>
          <t>소계</t>
        </is>
      </c>
      <c r="C248" s="20" t="n">
        <v>6590</v>
      </c>
      <c r="E248" s="20" t="n">
        <v>33115</v>
      </c>
      <c r="G248" s="20" t="n">
        <v>-1802</v>
      </c>
      <c r="I248" s="20" t="n">
        <v>24820</v>
      </c>
      <c r="K248" s="20" t="n">
        <v>6690</v>
      </c>
      <c r="M248" s="20" t="n">
        <v>28911</v>
      </c>
      <c r="O248" s="20" t="n">
        <v>27361</v>
      </c>
      <c r="P248" s="20" t="n">
        <v>19949</v>
      </c>
      <c r="Q248" s="20" t="n">
        <v>24651</v>
      </c>
      <c r="R248" s="20" t="n">
        <v>14142</v>
      </c>
      <c r="S248" s="20" t="n">
        <v>20865</v>
      </c>
      <c r="T248" s="20" t="n">
        <v>19633</v>
      </c>
      <c r="U248" s="20" t="n">
        <v>21607</v>
      </c>
      <c r="V248" s="20" t="n">
        <v>33115</v>
      </c>
      <c r="W248" s="20" t="n">
        <v>24820</v>
      </c>
      <c r="X248" s="20" t="n">
        <v>28911</v>
      </c>
    </row>
    <row r="249">
      <c r="A249" s="18" t="inlineStr">
        <is>
          <t>이자·배당금 수취</t>
        </is>
      </c>
      <c r="C249" s="20" t="n">
        <v>231</v>
      </c>
      <c r="E249" s="20" t="n">
        <v>427</v>
      </c>
      <c r="G249" s="20" t="n">
        <v>170</v>
      </c>
      <c r="I249" s="20" t="n">
        <v>315</v>
      </c>
      <c r="K249" s="20" t="n">
        <v>177</v>
      </c>
      <c r="M249" s="20" t="n">
        <v>297</v>
      </c>
      <c r="O249" s="20" t="n">
        <v>98</v>
      </c>
      <c r="P249" s="20" t="n">
        <v>194</v>
      </c>
      <c r="Q249" s="20" t="n">
        <v>236</v>
      </c>
      <c r="R249" s="20" t="n">
        <v>207</v>
      </c>
      <c r="S249" s="20" t="n">
        <v>67</v>
      </c>
      <c r="T249" s="20" t="n">
        <v>55</v>
      </c>
      <c r="U249" s="20" t="n">
        <v>189</v>
      </c>
      <c r="V249" s="20" t="n">
        <v>427</v>
      </c>
      <c r="W249" s="20" t="n">
        <v>315</v>
      </c>
      <c r="X249" s="20" t="n">
        <v>297</v>
      </c>
    </row>
    <row r="250">
      <c r="A250" s="18" t="inlineStr">
        <is>
          <t>이자 지급</t>
        </is>
      </c>
      <c r="C250" s="20" t="n">
        <v>-466</v>
      </c>
      <c r="E250" s="20" t="n">
        <v>-714</v>
      </c>
      <c r="G250" s="20" t="n">
        <v>-200</v>
      </c>
      <c r="I250" s="20" t="n">
        <v>-378</v>
      </c>
      <c r="K250" s="20" t="n">
        <v>-210</v>
      </c>
      <c r="M250" s="20" t="n">
        <v>-397</v>
      </c>
      <c r="O250" s="20" t="n">
        <v>-624</v>
      </c>
      <c r="P250" s="20" t="n">
        <v>-538</v>
      </c>
      <c r="Q250" s="20" t="n">
        <v>-358</v>
      </c>
      <c r="R250" s="20" t="n">
        <v>-283</v>
      </c>
      <c r="S250" s="20" t="n">
        <v>-237</v>
      </c>
      <c r="T250" s="20" t="n">
        <v>-331</v>
      </c>
      <c r="U250" s="20" t="n">
        <v>-589</v>
      </c>
      <c r="V250" s="20" t="n">
        <v>-714</v>
      </c>
      <c r="W250" s="20" t="n">
        <v>-378</v>
      </c>
      <c r="X250" s="20" t="n">
        <v>-397</v>
      </c>
    </row>
    <row r="251">
      <c r="A251" s="18" t="inlineStr">
        <is>
          <t>특별퇴직금 지급액</t>
        </is>
      </c>
      <c r="O251" s="20" t="n">
        <v>-257</v>
      </c>
      <c r="P251" s="20" t="n">
        <v>0</v>
      </c>
    </row>
    <row r="252">
      <c r="A252" s="18" t="inlineStr">
        <is>
          <t>합의금 수취액</t>
        </is>
      </c>
      <c r="Q252" s="20" t="n">
        <v>0</v>
      </c>
      <c r="R252" s="20" t="n">
        <v>189</v>
      </c>
      <c r="S252" s="20" t="n">
        <v>0</v>
      </c>
    </row>
    <row r="253">
      <c r="A253" s="18" t="inlineStr">
        <is>
          <t>고용조정 조성금 등 수취액</t>
        </is>
      </c>
      <c r="R253" s="20" t="n">
        <v>0</v>
      </c>
      <c r="S253" s="20" t="n">
        <v>180</v>
      </c>
      <c r="T253" s="20" t="n">
        <v>38</v>
      </c>
      <c r="U253" s="20" t="n">
        <v>0</v>
      </c>
    </row>
    <row r="254">
      <c r="A254" s="18" t="inlineStr">
        <is>
          <t>코로나19 손실 지급</t>
        </is>
      </c>
      <c r="C254" s="20" t="n">
        <v>0</v>
      </c>
      <c r="E254" s="20" t="n">
        <v>0</v>
      </c>
      <c r="R254" s="20" t="n">
        <v>0</v>
      </c>
      <c r="S254" s="20" t="n">
        <v>-510</v>
      </c>
      <c r="T254" s="20" t="n">
        <v>-153</v>
      </c>
      <c r="U254" s="20" t="n">
        <v>-27</v>
      </c>
      <c r="V254" s="20" t="n">
        <v>0</v>
      </c>
    </row>
    <row r="255">
      <c r="A255" s="18" t="inlineStr">
        <is>
          <t>사업구조개선 비용 지급액</t>
        </is>
      </c>
      <c r="E255" s="20" t="n">
        <v>-212</v>
      </c>
      <c r="I255" s="20" t="n">
        <v>-51</v>
      </c>
      <c r="M255" s="20" t="n">
        <v>0</v>
      </c>
      <c r="T255" s="20" t="n">
        <v>0</v>
      </c>
      <c r="U255" s="20" t="n">
        <v>-147</v>
      </c>
      <c r="V255" s="20" t="n">
        <v>-212</v>
      </c>
      <c r="W255" s="20" t="n">
        <v>-51</v>
      </c>
      <c r="X255" s="20" t="n">
        <v>0</v>
      </c>
    </row>
    <row r="256">
      <c r="A256" s="18" t="inlineStr">
        <is>
          <t>재개발 관련 비용 지급액</t>
        </is>
      </c>
      <c r="G256" s="20" t="n">
        <v>0</v>
      </c>
      <c r="I256" s="20" t="n">
        <v>0</v>
      </c>
      <c r="K256" s="20" t="n">
        <v>-168</v>
      </c>
      <c r="M256" s="20" t="n">
        <v>-168</v>
      </c>
      <c r="W256" s="20" t="n">
        <v>0</v>
      </c>
      <c r="X256" s="20" t="n">
        <v>-168</v>
      </c>
    </row>
    <row r="257">
      <c r="A257" s="18" t="inlineStr">
        <is>
          <t>제품 자진회수 관련 손실 지급액</t>
        </is>
      </c>
      <c r="G257" s="20" t="n">
        <v>0</v>
      </c>
      <c r="I257" s="20" t="n">
        <v>0</v>
      </c>
      <c r="K257" s="20" t="n">
        <v>-126</v>
      </c>
      <c r="M257" s="20" t="n">
        <v>-417</v>
      </c>
      <c r="W257" s="20" t="n">
        <v>0</v>
      </c>
      <c r="X257" s="20" t="n">
        <v>-417</v>
      </c>
    </row>
    <row r="258">
      <c r="A258" s="18" t="inlineStr">
        <is>
          <t>법인세 납부</t>
        </is>
      </c>
      <c r="C258" s="20" t="n">
        <v>-1332</v>
      </c>
      <c r="E258" s="20" t="n">
        <v>-3440</v>
      </c>
      <c r="G258" s="20" t="n">
        <v>-4217</v>
      </c>
      <c r="I258" s="20" t="n">
        <v>-7706</v>
      </c>
      <c r="K258" s="20" t="n">
        <v>-4236</v>
      </c>
      <c r="M258" s="20" t="n">
        <v>-8171</v>
      </c>
      <c r="O258" s="20" t="n">
        <v>-1681</v>
      </c>
      <c r="P258" s="20" t="n">
        <v>-3259</v>
      </c>
      <c r="Q258" s="20" t="n">
        <v>-3036</v>
      </c>
      <c r="R258" s="20" t="n">
        <v>-5249</v>
      </c>
      <c r="S258" s="20" t="n">
        <v>-2301</v>
      </c>
      <c r="T258" s="20" t="n">
        <v>-2836</v>
      </c>
      <c r="U258" s="20" t="n">
        <v>-4808</v>
      </c>
      <c r="V258" s="20" t="n">
        <v>-3440</v>
      </c>
      <c r="W258" s="20" t="n">
        <v>-7706</v>
      </c>
      <c r="X258" s="20" t="n">
        <v>-8171</v>
      </c>
    </row>
    <row r="259">
      <c r="A259" s="9" t="inlineStr">
        <is>
          <t>영업활동 현금흐름</t>
        </is>
      </c>
      <c r="C259" s="12" t="n">
        <v>5022</v>
      </c>
      <c r="E259" s="12" t="n">
        <v>29175</v>
      </c>
      <c r="G259" s="12" t="n">
        <v>-6049</v>
      </c>
      <c r="I259" s="12" t="n">
        <v>16999</v>
      </c>
      <c r="K259" s="12" t="n">
        <v>2124</v>
      </c>
      <c r="M259" s="12" t="n">
        <v>20053</v>
      </c>
      <c r="O259" s="12" t="n">
        <v>24896</v>
      </c>
      <c r="P259" s="12" t="n">
        <v>16346</v>
      </c>
      <c r="Q259" s="12" t="n">
        <v>21492</v>
      </c>
      <c r="R259" s="12" t="n">
        <v>9006</v>
      </c>
      <c r="S259" s="12" t="n">
        <v>18064</v>
      </c>
      <c r="T259" s="12" t="n">
        <v>16405</v>
      </c>
      <c r="U259" s="12" t="n">
        <v>16223</v>
      </c>
      <c r="V259" s="12" t="n">
        <v>29175</v>
      </c>
      <c r="W259" s="12" t="n">
        <v>16999</v>
      </c>
      <c r="X259" s="12" t="n">
        <v>20053</v>
      </c>
    </row>
    <row r="260">
      <c r="A260" s="18" t="inlineStr">
        <is>
          <t>유형자산 취득(설비투자)</t>
        </is>
      </c>
      <c r="C260" s="20" t="n">
        <v>-739</v>
      </c>
      <c r="E260" s="20" t="n">
        <v>-1560</v>
      </c>
      <c r="G260" s="20" t="n">
        <v>-3923</v>
      </c>
      <c r="I260" s="20" t="n">
        <v>-5828</v>
      </c>
      <c r="K260" s="20" t="n">
        <v>-3622</v>
      </c>
      <c r="M260" s="20" t="n">
        <v>-5572</v>
      </c>
      <c r="O260" s="20" t="n">
        <v>-3560</v>
      </c>
      <c r="P260" s="20" t="n">
        <v>-2956</v>
      </c>
      <c r="Q260" s="20" t="n">
        <v>-2835</v>
      </c>
      <c r="R260" s="20" t="n">
        <v>-1658</v>
      </c>
      <c r="S260" s="20" t="n">
        <v>-4240</v>
      </c>
      <c r="T260" s="20" t="n">
        <v>-2939</v>
      </c>
      <c r="U260" s="20" t="n">
        <v>-1526</v>
      </c>
      <c r="V260" s="20" t="n">
        <v>-1560</v>
      </c>
      <c r="W260" s="20" t="n">
        <v>-5828</v>
      </c>
      <c r="X260" s="20" t="n">
        <v>-5572</v>
      </c>
    </row>
    <row r="261">
      <c r="A261" s="18" t="inlineStr">
        <is>
          <t>유형자산 매각</t>
        </is>
      </c>
      <c r="C261" s="20" t="n">
        <v>4</v>
      </c>
      <c r="E261" s="20" t="n">
        <v>7</v>
      </c>
      <c r="G261" s="20" t="n">
        <v>13</v>
      </c>
      <c r="I261" s="20" t="n">
        <v>40</v>
      </c>
      <c r="K261" s="20" t="n">
        <v>2</v>
      </c>
      <c r="M261" s="20" t="n">
        <v>6</v>
      </c>
      <c r="O261" s="20" t="n">
        <v>334</v>
      </c>
      <c r="P261" s="20" t="n">
        <v>203</v>
      </c>
      <c r="Q261" s="20" t="n">
        <v>81</v>
      </c>
      <c r="R261" s="20" t="n">
        <v>0</v>
      </c>
      <c r="S261" s="20" t="n">
        <v>209</v>
      </c>
      <c r="T261" s="20" t="n">
        <v>1811</v>
      </c>
      <c r="U261" s="20" t="n">
        <v>2</v>
      </c>
      <c r="V261" s="20" t="n">
        <v>7</v>
      </c>
      <c r="W261" s="20" t="n">
        <v>40</v>
      </c>
      <c r="X261" s="20" t="n">
        <v>6</v>
      </c>
    </row>
    <row r="262">
      <c r="A262" s="18" t="inlineStr">
        <is>
          <t>무형자산 취득</t>
        </is>
      </c>
      <c r="C262" s="20" t="n">
        <v>-844</v>
      </c>
      <c r="E262" s="20" t="n">
        <v>-3099</v>
      </c>
      <c r="G262" s="20" t="n">
        <v>-823</v>
      </c>
      <c r="I262" s="20" t="n">
        <v>-2102</v>
      </c>
      <c r="K262" s="20" t="n">
        <v>-1010</v>
      </c>
      <c r="M262" s="20" t="n">
        <v>-2072</v>
      </c>
      <c r="O262" s="20" t="n">
        <v>-1388</v>
      </c>
      <c r="P262" s="20" t="n">
        <v>-1189</v>
      </c>
      <c r="Q262" s="20" t="n">
        <v>-1397</v>
      </c>
      <c r="R262" s="20" t="n">
        <v>-1645</v>
      </c>
      <c r="S262" s="20" t="n">
        <v>-1360</v>
      </c>
      <c r="T262" s="20" t="n">
        <v>-1467</v>
      </c>
      <c r="U262" s="20" t="n">
        <v>-1083</v>
      </c>
      <c r="V262" s="20" t="n">
        <v>-3099</v>
      </c>
      <c r="W262" s="20" t="n">
        <v>-2102</v>
      </c>
      <c r="X262" s="20" t="n">
        <v>-2072</v>
      </c>
    </row>
    <row r="263">
      <c r="A263" s="18" t="inlineStr">
        <is>
          <t>설비 부담금 수입</t>
        </is>
      </c>
      <c r="O263" s="20" t="n">
        <v>812</v>
      </c>
      <c r="P263" s="20" t="n">
        <v>0</v>
      </c>
    </row>
    <row r="264">
      <c r="A264" s="18" t="inlineStr">
        <is>
          <t>출자금 매각 수입</t>
        </is>
      </c>
      <c r="O264" s="20" t="n">
        <v>0</v>
      </c>
      <c r="P264" s="20" t="n">
        <v>208</v>
      </c>
      <c r="Q264" s="20" t="n">
        <v>164</v>
      </c>
      <c r="R264" s="20" t="n">
        <v>0</v>
      </c>
    </row>
    <row r="265">
      <c r="A265" s="18" t="inlineStr">
        <is>
          <t>투자유가증권 매각</t>
        </is>
      </c>
      <c r="E265" s="20" t="n">
        <v>25</v>
      </c>
      <c r="I265" s="20" t="n">
        <v>1</v>
      </c>
      <c r="M265" s="20" t="n">
        <v>0</v>
      </c>
      <c r="R265" s="20" t="n">
        <v>0</v>
      </c>
      <c r="S265" s="20" t="n">
        <v>1091</v>
      </c>
      <c r="T265" s="20" t="n">
        <v>69</v>
      </c>
      <c r="U265" s="20" t="n">
        <v>316</v>
      </c>
      <c r="V265" s="20" t="n">
        <v>25</v>
      </c>
      <c r="W265" s="20" t="n">
        <v>1</v>
      </c>
      <c r="X265" s="20" t="n">
        <v>0</v>
      </c>
    </row>
    <row r="266">
      <c r="A266" s="18" t="inlineStr">
        <is>
          <t>연결범위 변경 자회사 주식 취득</t>
        </is>
      </c>
      <c r="R266" s="20" t="n">
        <v>0</v>
      </c>
      <c r="S266" s="20" t="n">
        <v>-4317</v>
      </c>
      <c r="T266" s="20" t="n">
        <v>0</v>
      </c>
    </row>
    <row r="267">
      <c r="A267" s="18" t="inlineStr">
        <is>
          <t>자회사 주식 조건부 취득대가 지급액</t>
        </is>
      </c>
      <c r="C267" s="20" t="n">
        <v>-677</v>
      </c>
      <c r="E267" s="20" t="n">
        <v>-677</v>
      </c>
      <c r="G267" s="20" t="n">
        <v>0</v>
      </c>
      <c r="I267" s="20" t="n">
        <v>0</v>
      </c>
      <c r="U267" s="20" t="n">
        <v>0</v>
      </c>
      <c r="V267" s="20" t="n">
        <v>-677</v>
      </c>
      <c r="W267" s="20" t="n">
        <v>0</v>
      </c>
    </row>
    <row r="268">
      <c r="A268" s="18" t="inlineStr">
        <is>
          <t>기타</t>
        </is>
      </c>
      <c r="C268" s="20" t="n">
        <v>44</v>
      </c>
      <c r="E268" s="20" t="n">
        <v>-20</v>
      </c>
      <c r="G268" s="20" t="n">
        <v>-7</v>
      </c>
      <c r="I268" s="20" t="n">
        <v>-209</v>
      </c>
      <c r="K268" s="20" t="n">
        <v>-197</v>
      </c>
      <c r="M268" s="20" t="n">
        <v>-416</v>
      </c>
      <c r="O268" s="20" t="n">
        <v>8</v>
      </c>
      <c r="P268" s="20" t="n">
        <v>41</v>
      </c>
      <c r="Q268" s="20" t="n">
        <v>-52</v>
      </c>
      <c r="R268" s="20" t="n">
        <v>-77</v>
      </c>
      <c r="S268" s="20" t="n">
        <v>9</v>
      </c>
      <c r="T268" s="20" t="n">
        <v>36</v>
      </c>
      <c r="U268" s="20" t="n">
        <v>156</v>
      </c>
      <c r="V268" s="20" t="n">
        <v>-20</v>
      </c>
      <c r="W268" s="20" t="n">
        <v>-209</v>
      </c>
      <c r="X268" s="20" t="n">
        <v>-416</v>
      </c>
    </row>
    <row r="269">
      <c r="A269" s="9" t="inlineStr">
        <is>
          <t>투자활동 현금흐름</t>
        </is>
      </c>
      <c r="C269" s="12" t="n">
        <v>-2213</v>
      </c>
      <c r="E269" s="12" t="n">
        <v>-5324</v>
      </c>
      <c r="G269" s="12" t="n">
        <v>-4741</v>
      </c>
      <c r="I269" s="12" t="n">
        <v>-8099</v>
      </c>
      <c r="K269" s="12" t="n">
        <v>-4828</v>
      </c>
      <c r="M269" s="12" t="n">
        <v>-8054</v>
      </c>
      <c r="O269" s="12" t="n">
        <v>-3793</v>
      </c>
      <c r="P269" s="12" t="n">
        <v>-3692</v>
      </c>
      <c r="Q269" s="12" t="n">
        <v>-4038</v>
      </c>
      <c r="R269" s="12" t="n">
        <v>-3381</v>
      </c>
      <c r="S269" s="12" t="n">
        <v>-8606</v>
      </c>
      <c r="T269" s="12" t="n">
        <v>-2488</v>
      </c>
      <c r="U269" s="12" t="n">
        <v>-2134</v>
      </c>
      <c r="V269" s="12" t="n">
        <v>-5324</v>
      </c>
      <c r="W269" s="12" t="n">
        <v>-8099</v>
      </c>
      <c r="X269" s="12" t="n">
        <v>-8054</v>
      </c>
    </row>
    <row r="270">
      <c r="A270" s="18" t="inlineStr">
        <is>
          <t>단기차입금 순증감</t>
        </is>
      </c>
      <c r="C270" s="20" t="n">
        <v>971</v>
      </c>
      <c r="E270" s="20" t="n">
        <v>-10839</v>
      </c>
      <c r="G270" s="20" t="n">
        <v>0</v>
      </c>
      <c r="I270" s="20" t="n">
        <v>0</v>
      </c>
      <c r="O270" s="20" t="n">
        <v>-3471</v>
      </c>
      <c r="P270" s="20" t="n">
        <v>193</v>
      </c>
      <c r="Q270" s="20" t="n">
        <v>-299</v>
      </c>
      <c r="R270" s="20" t="n">
        <v>-967</v>
      </c>
      <c r="S270" s="20" t="n">
        <v>231</v>
      </c>
      <c r="T270" s="20" t="n">
        <v>507</v>
      </c>
      <c r="U270" s="20" t="n">
        <v>2067</v>
      </c>
      <c r="V270" s="20" t="n">
        <v>-10839</v>
      </c>
      <c r="W270" s="20" t="n">
        <v>0</v>
      </c>
    </row>
    <row r="271">
      <c r="A271" s="18" t="inlineStr">
        <is>
          <t>장기차입</t>
        </is>
      </c>
      <c r="O271" s="20" t="n">
        <v>2000</v>
      </c>
      <c r="P271" s="20" t="n">
        <v>0</v>
      </c>
      <c r="Q271" s="20" t="n">
        <v>10000</v>
      </c>
      <c r="R271" s="20" t="n">
        <v>16500</v>
      </c>
      <c r="S271" s="20" t="n">
        <v>17133</v>
      </c>
      <c r="T271" s="20" t="n">
        <v>0</v>
      </c>
    </row>
    <row r="272">
      <c r="A272" s="18" t="inlineStr">
        <is>
          <t>장기차입금 상환</t>
        </is>
      </c>
      <c r="C272" s="20" t="n">
        <v>-4363</v>
      </c>
      <c r="E272" s="20" t="n">
        <v>-8726</v>
      </c>
      <c r="G272" s="20" t="n">
        <v>-3363</v>
      </c>
      <c r="I272" s="20" t="n">
        <v>-5901</v>
      </c>
      <c r="K272" s="20" t="n">
        <v>-1713</v>
      </c>
      <c r="M272" s="20" t="n">
        <v>-3270</v>
      </c>
      <c r="O272" s="20" t="n">
        <v>-4396</v>
      </c>
      <c r="P272" s="20" t="n">
        <v>-22375</v>
      </c>
      <c r="Q272" s="20" t="n">
        <v>-6946</v>
      </c>
      <c r="R272" s="20" t="n">
        <v>-21039</v>
      </c>
      <c r="S272" s="20" t="n">
        <v>-5456</v>
      </c>
      <c r="T272" s="20" t="n">
        <v>-8026</v>
      </c>
      <c r="U272" s="20" t="n">
        <v>-8726</v>
      </c>
      <c r="V272" s="20" t="n">
        <v>-8726</v>
      </c>
      <c r="W272" s="20" t="n">
        <v>-5901</v>
      </c>
      <c r="X272" s="20" t="n">
        <v>-3270</v>
      </c>
    </row>
    <row r="273">
      <c r="A273" s="18" t="inlineStr">
        <is>
          <t>사채 상환</t>
        </is>
      </c>
      <c r="P273" s="20" t="n">
        <v>0</v>
      </c>
      <c r="Q273" s="20" t="n">
        <v>-10000</v>
      </c>
      <c r="R273" s="20" t="n">
        <v>0</v>
      </c>
    </row>
    <row r="274">
      <c r="A274" s="18" t="inlineStr">
        <is>
          <t>배당금 지급</t>
        </is>
      </c>
      <c r="C274" s="20" t="n">
        <v>-1382</v>
      </c>
      <c r="E274" s="20" t="n">
        <v>-2980</v>
      </c>
      <c r="G274" s="20" t="n">
        <v>-2949</v>
      </c>
      <c r="I274" s="20" t="n">
        <v>-5464</v>
      </c>
      <c r="K274" s="20" t="n">
        <v>-3232</v>
      </c>
      <c r="M274" s="20" t="n">
        <v>-6077</v>
      </c>
      <c r="O274" s="20" t="n">
        <v>-863</v>
      </c>
      <c r="P274" s="20" t="n">
        <v>-1123</v>
      </c>
      <c r="Q274" s="20" t="n">
        <v>-1322</v>
      </c>
      <c r="R274" s="20" t="n">
        <v>-3040</v>
      </c>
      <c r="S274" s="20" t="n">
        <v>-2125</v>
      </c>
      <c r="T274" s="20" t="n">
        <v>-1869</v>
      </c>
      <c r="U274" s="20" t="n">
        <v>-3691</v>
      </c>
      <c r="V274" s="20" t="n">
        <v>-2980</v>
      </c>
      <c r="W274" s="20" t="n">
        <v>-5464</v>
      </c>
      <c r="X274" s="20" t="n">
        <v>-6077</v>
      </c>
    </row>
    <row r="275">
      <c r="A275" s="18" t="inlineStr">
        <is>
          <t>금융리스부채 상환</t>
        </is>
      </c>
      <c r="C275" s="20" t="n">
        <v>-1418</v>
      </c>
      <c r="E275" s="20" t="n">
        <v>-2798</v>
      </c>
      <c r="G275" s="20" t="n">
        <v>-1520</v>
      </c>
      <c r="I275" s="20" t="n">
        <v>-2986</v>
      </c>
      <c r="K275" s="20" t="n">
        <v>-1559</v>
      </c>
      <c r="M275" s="20" t="n">
        <v>-3249</v>
      </c>
      <c r="O275" s="20" t="n">
        <v>-4025</v>
      </c>
      <c r="P275" s="20" t="n">
        <v>-3018</v>
      </c>
      <c r="Q275" s="20" t="n">
        <v>-3317</v>
      </c>
      <c r="R275" s="20" t="n">
        <v>-3313</v>
      </c>
      <c r="S275" s="20" t="n">
        <v>-4337</v>
      </c>
      <c r="T275" s="20" t="n">
        <v>-2751</v>
      </c>
      <c r="U275" s="20" t="n">
        <v>-3106</v>
      </c>
      <c r="V275" s="20" t="n">
        <v>-2798</v>
      </c>
      <c r="W275" s="20" t="n">
        <v>-2986</v>
      </c>
      <c r="X275" s="20" t="n">
        <v>-3249</v>
      </c>
    </row>
    <row r="276">
      <c r="A276" s="18" t="inlineStr">
        <is>
          <t>자기주식 취득</t>
        </is>
      </c>
      <c r="C276" s="20" t="n">
        <v>-1265</v>
      </c>
      <c r="E276" s="20" t="n">
        <v>-2326</v>
      </c>
      <c r="G276" s="20" t="n">
        <v>-2712</v>
      </c>
      <c r="I276" s="20" t="n">
        <v>-2714</v>
      </c>
      <c r="K276" s="20" t="n">
        <v>-3000</v>
      </c>
      <c r="M276" s="20" t="n">
        <v>-7517</v>
      </c>
      <c r="O276" s="20" t="n">
        <v>-4</v>
      </c>
      <c r="P276" s="20" t="n">
        <v>-7</v>
      </c>
      <c r="Q276" s="20" t="n">
        <v>-1</v>
      </c>
      <c r="R276" s="20" t="n">
        <v>-707</v>
      </c>
      <c r="S276" s="20" t="n">
        <v>-1050</v>
      </c>
      <c r="T276" s="20" t="n">
        <v>-2265</v>
      </c>
      <c r="U276" s="20" t="n">
        <v>-669</v>
      </c>
      <c r="V276" s="20" t="n">
        <v>-2326</v>
      </c>
      <c r="W276" s="20" t="n">
        <v>-2714</v>
      </c>
      <c r="X276" s="20" t="n">
        <v>-7517</v>
      </c>
    </row>
    <row r="277">
      <c r="A277" s="18" t="inlineStr">
        <is>
          <t>자기주식 처분</t>
        </is>
      </c>
      <c r="C277" s="20" t="n">
        <v>413</v>
      </c>
      <c r="E277" s="20" t="n">
        <v>413</v>
      </c>
      <c r="G277" s="20" t="n">
        <v>0</v>
      </c>
      <c r="I277" s="20" t="n">
        <v>0</v>
      </c>
      <c r="K277" s="20" t="n">
        <v>0</v>
      </c>
      <c r="M277" s="20" t="n">
        <v>1463</v>
      </c>
      <c r="O277" s="20" t="n">
        <v>7215</v>
      </c>
      <c r="P277" s="20" t="n">
        <v>757</v>
      </c>
      <c r="Q277" s="20" t="n">
        <v>568</v>
      </c>
      <c r="R277" s="20" t="n">
        <v>158</v>
      </c>
      <c r="S277" s="20" t="n">
        <v>0</v>
      </c>
      <c r="T277" s="20" t="n">
        <v>1</v>
      </c>
      <c r="U277" s="20" t="n">
        <v>309</v>
      </c>
      <c r="V277" s="20" t="n">
        <v>413</v>
      </c>
      <c r="W277" s="20" t="n">
        <v>0</v>
      </c>
      <c r="X277" s="20" t="n">
        <v>1463</v>
      </c>
    </row>
    <row r="278">
      <c r="A278" s="18" t="inlineStr">
        <is>
          <t>세일앤리스백 수입</t>
        </is>
      </c>
      <c r="C278" s="20" t="n">
        <v>133</v>
      </c>
      <c r="E278" s="20" t="n">
        <v>286</v>
      </c>
      <c r="G278" s="20" t="n">
        <v>244</v>
      </c>
      <c r="I278" s="20" t="n">
        <v>468</v>
      </c>
      <c r="K278" s="20" t="n">
        <v>269</v>
      </c>
      <c r="M278" s="20" t="n">
        <v>554</v>
      </c>
      <c r="O278" s="20" t="n">
        <v>1625</v>
      </c>
      <c r="P278" s="20" t="n">
        <v>905</v>
      </c>
      <c r="Q278" s="20" t="n">
        <v>1264</v>
      </c>
      <c r="R278" s="20" t="n">
        <v>272</v>
      </c>
      <c r="S278" s="20" t="n">
        <v>2950</v>
      </c>
      <c r="T278" s="20" t="n">
        <v>1584</v>
      </c>
      <c r="U278" s="20" t="n">
        <v>306</v>
      </c>
      <c r="V278" s="20" t="n">
        <v>286</v>
      </c>
      <c r="W278" s="20" t="n">
        <v>468</v>
      </c>
      <c r="X278" s="20" t="n">
        <v>554</v>
      </c>
    </row>
    <row r="279">
      <c r="A279" s="18" t="inlineStr">
        <is>
          <t>채권 유동화 수입</t>
        </is>
      </c>
      <c r="R279" s="20" t="n">
        <v>0</v>
      </c>
      <c r="S279" s="20" t="n">
        <v>700</v>
      </c>
      <c r="T279" s="20" t="n">
        <v>0</v>
      </c>
    </row>
    <row r="280">
      <c r="A280" s="18" t="inlineStr">
        <is>
          <t>채권 유동화 상환 지출</t>
        </is>
      </c>
      <c r="R280" s="20" t="n">
        <v>0</v>
      </c>
      <c r="S280" s="20" t="n">
        <v>-700</v>
      </c>
      <c r="T280" s="20" t="n">
        <v>0</v>
      </c>
    </row>
    <row r="281">
      <c r="A281" s="18" t="inlineStr">
        <is>
          <t>기타</t>
        </is>
      </c>
      <c r="C281" s="20" t="n">
        <v>-92</v>
      </c>
      <c r="E281" s="20" t="n">
        <v>-178</v>
      </c>
      <c r="G281" s="20" t="n">
        <v>-94</v>
      </c>
      <c r="I281" s="20" t="n">
        <v>-173</v>
      </c>
      <c r="K281" s="20" t="n">
        <v>-81</v>
      </c>
      <c r="M281" s="20" t="n">
        <v>-154</v>
      </c>
      <c r="O281" s="20" t="n">
        <v>-5</v>
      </c>
      <c r="P281" s="20" t="n">
        <v>-1</v>
      </c>
      <c r="Q281" s="20" t="n">
        <v>-3</v>
      </c>
      <c r="R281" s="20" t="n">
        <v>-136</v>
      </c>
      <c r="S281" s="20" t="n">
        <v>-529</v>
      </c>
      <c r="T281" s="20" t="n">
        <v>-171</v>
      </c>
      <c r="U281" s="20" t="n">
        <v>-179</v>
      </c>
      <c r="V281" s="20" t="n">
        <v>-178</v>
      </c>
      <c r="W281" s="20" t="n">
        <v>-173</v>
      </c>
      <c r="X281" s="20" t="n">
        <v>-154</v>
      </c>
    </row>
    <row r="282">
      <c r="A282" s="9" t="inlineStr">
        <is>
          <t>재무활동 현금흐름</t>
        </is>
      </c>
      <c r="C282" s="12" t="n">
        <v>-7005</v>
      </c>
      <c r="E282" s="12" t="n">
        <v>-27149</v>
      </c>
      <c r="G282" s="12" t="n">
        <v>-10395</v>
      </c>
      <c r="I282" s="12" t="n">
        <v>-16771</v>
      </c>
      <c r="K282" s="12" t="n">
        <v>-9317</v>
      </c>
      <c r="M282" s="12" t="n">
        <v>-18251</v>
      </c>
      <c r="O282" s="12" t="n">
        <v>-1927</v>
      </c>
      <c r="P282" s="12" t="n">
        <v>-24670</v>
      </c>
      <c r="Q282" s="12" t="n">
        <v>-10057</v>
      </c>
      <c r="R282" s="12" t="n">
        <v>-12274</v>
      </c>
      <c r="S282" s="12" t="n">
        <v>6817</v>
      </c>
      <c r="T282" s="12" t="n">
        <v>-12991</v>
      </c>
      <c r="U282" s="12" t="n">
        <v>-13689</v>
      </c>
      <c r="V282" s="12" t="n">
        <v>-27149</v>
      </c>
      <c r="W282" s="12" t="n">
        <v>-16771</v>
      </c>
      <c r="X282" s="12" t="n">
        <v>-18251</v>
      </c>
    </row>
    <row r="283">
      <c r="A283" s="18" t="inlineStr">
        <is>
          <t>현금성자산 환산차이</t>
        </is>
      </c>
      <c r="C283" s="20" t="n">
        <v>851</v>
      </c>
      <c r="E283" s="20" t="n">
        <v>1121</v>
      </c>
      <c r="G283" s="20" t="n">
        <v>-412</v>
      </c>
      <c r="I283" s="20" t="n">
        <v>-244</v>
      </c>
      <c r="K283" s="20" t="n">
        <v>130</v>
      </c>
      <c r="M283" s="20" t="n">
        <v>1175</v>
      </c>
      <c r="O283" s="20" t="n">
        <v>-547</v>
      </c>
      <c r="P283" s="20" t="n">
        <v>-308</v>
      </c>
      <c r="Q283" s="20" t="n">
        <v>215</v>
      </c>
      <c r="R283" s="20" t="n">
        <v>-262</v>
      </c>
      <c r="S283" s="20" t="n">
        <v>368</v>
      </c>
      <c r="T283" s="20" t="n">
        <v>837</v>
      </c>
      <c r="U283" s="20" t="n">
        <v>649</v>
      </c>
      <c r="V283" s="20" t="n">
        <v>1121</v>
      </c>
      <c r="W283" s="20" t="n">
        <v>-244</v>
      </c>
      <c r="X283" s="20" t="n">
        <v>1175</v>
      </c>
    </row>
    <row r="284">
      <c r="A284" s="18" t="inlineStr">
        <is>
          <t>현금성자산 증감</t>
        </is>
      </c>
      <c r="C284" s="20" t="n">
        <v>-3344</v>
      </c>
      <c r="E284" s="20" t="n">
        <v>-2177</v>
      </c>
      <c r="G284" s="20" t="n">
        <v>-21599</v>
      </c>
      <c r="I284" s="20" t="n">
        <v>-8115</v>
      </c>
      <c r="K284" s="20" t="n">
        <v>-11890</v>
      </c>
      <c r="M284" s="20" t="n">
        <v>-5076</v>
      </c>
      <c r="O284" s="20" t="n">
        <v>18627</v>
      </c>
      <c r="P284" s="20" t="n">
        <v>-12324</v>
      </c>
      <c r="Q284" s="20" t="n">
        <v>7611</v>
      </c>
      <c r="R284" s="20" t="n">
        <v>-6912</v>
      </c>
      <c r="S284" s="20" t="n">
        <v>16643</v>
      </c>
      <c r="T284" s="20" t="n">
        <v>1762</v>
      </c>
      <c r="U284" s="20" t="n">
        <v>1049</v>
      </c>
      <c r="V284" s="20" t="n">
        <v>-2177</v>
      </c>
      <c r="W284" s="20" t="n">
        <v>-8115</v>
      </c>
      <c r="X284" s="20" t="n">
        <v>-5076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52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7867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105795</v>
      </c>
      <c r="D5" s="12" t="n">
        <v>115136</v>
      </c>
      <c r="E5" s="12" t="n">
        <v>128403</v>
      </c>
      <c r="F5" s="12" t="n">
        <v>115544</v>
      </c>
      <c r="G5" s="12" t="n">
        <v>112252</v>
      </c>
      <c r="H5" s="11" t="n">
        <v>110324</v>
      </c>
      <c r="I5" s="12" t="n">
        <v>111664</v>
      </c>
      <c r="J5" s="12" t="n">
        <v>117561</v>
      </c>
      <c r="K5" s="12" t="n">
        <v>114402</v>
      </c>
      <c r="L5" s="12" t="n">
        <v>115544</v>
      </c>
    </row>
    <row r="6">
      <c r="A6" s="18" t="inlineStr">
        <is>
          <t>현금및현금성자산</t>
        </is>
      </c>
      <c r="B6" s="10" t="n"/>
      <c r="C6" s="19" t="n">
        <v>42594</v>
      </c>
      <c r="D6" s="20" t="n">
        <v>44272</v>
      </c>
      <c r="E6" s="20" t="n">
        <v>46496</v>
      </c>
      <c r="F6" s="20" t="n">
        <v>51086</v>
      </c>
      <c r="G6" s="20" t="n">
        <v>38628</v>
      </c>
      <c r="H6" s="19" t="n">
        <v>65424</v>
      </c>
      <c r="I6" s="20" t="n">
        <v>66455</v>
      </c>
      <c r="J6" s="20" t="n">
        <v>64279</v>
      </c>
      <c r="K6" s="20" t="n">
        <v>56163</v>
      </c>
      <c r="L6" s="20" t="n">
        <v>51086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30117</v>
      </c>
      <c r="D8" s="20" t="n">
        <v>35029</v>
      </c>
      <c r="E8" s="20" t="n">
        <v>46059</v>
      </c>
      <c r="F8" s="20" t="n">
        <v>29353</v>
      </c>
      <c r="G8" s="20" t="n">
        <v>33472</v>
      </c>
      <c r="H8" s="19" t="n">
        <v>20291</v>
      </c>
      <c r="I8" s="20" t="n">
        <v>20905</v>
      </c>
      <c r="J8" s="20" t="n">
        <v>25260</v>
      </c>
      <c r="K8" s="20" t="n">
        <v>29498</v>
      </c>
      <c r="L8" s="20" t="n">
        <v>29353</v>
      </c>
    </row>
    <row r="9">
      <c r="A9" s="18" t="inlineStr">
        <is>
          <t>재고자산</t>
        </is>
      </c>
      <c r="B9" s="10" t="n"/>
      <c r="C9" s="19" t="n">
        <v>26132</v>
      </c>
      <c r="D9" s="20" t="n">
        <v>28370</v>
      </c>
      <c r="E9" s="20" t="n">
        <v>26943</v>
      </c>
      <c r="F9" s="20" t="n">
        <v>25203</v>
      </c>
      <c r="G9" s="20" t="n">
        <v>29277</v>
      </c>
      <c r="H9" s="19" t="n">
        <v>18015</v>
      </c>
      <c r="I9" s="20" t="n">
        <v>18524</v>
      </c>
      <c r="J9" s="20" t="n">
        <v>19462</v>
      </c>
      <c r="K9" s="20" t="n">
        <v>22001</v>
      </c>
      <c r="L9" s="20" t="n">
        <v>25203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52358</v>
      </c>
      <c r="D11" s="12" t="n">
        <v>52443</v>
      </c>
      <c r="E11" s="12" t="n">
        <v>48040</v>
      </c>
      <c r="F11" s="12" t="n">
        <v>47816</v>
      </c>
      <c r="G11" s="12" t="n">
        <v>48196</v>
      </c>
      <c r="H11" s="11" t="n">
        <v>45766</v>
      </c>
      <c r="I11" s="12" t="n">
        <v>47854</v>
      </c>
      <c r="J11" s="12" t="n">
        <v>48690</v>
      </c>
      <c r="K11" s="12" t="n">
        <v>51367</v>
      </c>
      <c r="L11" s="12" t="n">
        <v>47816</v>
      </c>
    </row>
    <row r="12">
      <c r="A12" s="18" t="inlineStr">
        <is>
          <t>유형자산</t>
        </is>
      </c>
      <c r="B12" s="10" t="n"/>
      <c r="C12" s="19" t="n">
        <v>20371</v>
      </c>
      <c r="D12" s="20" t="n">
        <v>20326</v>
      </c>
      <c r="E12" s="20" t="n">
        <v>20979</v>
      </c>
      <c r="F12" s="20" t="n">
        <v>20581</v>
      </c>
      <c r="G12" s="20" t="n">
        <v>20420</v>
      </c>
      <c r="H12" s="19" t="n">
        <v>13526</v>
      </c>
      <c r="I12" s="20" t="n">
        <v>15638</v>
      </c>
      <c r="J12" s="20" t="n">
        <v>15901</v>
      </c>
      <c r="K12" s="20" t="n">
        <v>19099</v>
      </c>
      <c r="L12" s="20" t="n">
        <v>20581</v>
      </c>
    </row>
    <row r="13">
      <c r="A13" s="18" t="inlineStr">
        <is>
          <t>무형자산</t>
        </is>
      </c>
      <c r="B13" s="10" t="n"/>
      <c r="C13" s="19" t="n">
        <v>22832</v>
      </c>
      <c r="D13" s="20" t="n">
        <v>22986</v>
      </c>
      <c r="E13" s="20" t="n">
        <v>18444</v>
      </c>
      <c r="F13" s="20" t="n">
        <v>18851</v>
      </c>
      <c r="G13" s="20" t="n">
        <v>19226</v>
      </c>
      <c r="H13" s="19" t="n">
        <v>25890</v>
      </c>
      <c r="I13" s="20" t="n">
        <v>25731</v>
      </c>
      <c r="J13" s="20" t="n">
        <v>25600</v>
      </c>
      <c r="K13" s="20" t="n">
        <v>23927</v>
      </c>
      <c r="L13" s="20" t="n">
        <v>18851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158153</v>
      </c>
      <c r="D16" s="12" t="n">
        <v>167580</v>
      </c>
      <c r="E16" s="12" t="n">
        <v>176444</v>
      </c>
      <c r="F16" s="12" t="n">
        <v>163360</v>
      </c>
      <c r="G16" s="12" t="n">
        <v>160449</v>
      </c>
      <c r="H16" s="11" t="n">
        <v>156090</v>
      </c>
      <c r="I16" s="12" t="n">
        <v>159519</v>
      </c>
      <c r="J16" s="12" t="n">
        <v>166252</v>
      </c>
      <c r="K16" s="12" t="n">
        <v>165770</v>
      </c>
      <c r="L16" s="12" t="n">
        <v>163360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48952</v>
      </c>
      <c r="D18" s="12" t="n">
        <v>50431</v>
      </c>
      <c r="E18" s="12" t="n">
        <v>57410</v>
      </c>
      <c r="F18" s="12" t="n">
        <v>44848</v>
      </c>
      <c r="G18" s="12" t="n">
        <v>44474</v>
      </c>
      <c r="H18" s="11" t="n">
        <v>49927</v>
      </c>
      <c r="I18" s="12" t="n">
        <v>53056</v>
      </c>
      <c r="J18" s="12" t="n">
        <v>53722</v>
      </c>
      <c r="K18" s="12" t="n">
        <v>50933</v>
      </c>
      <c r="L18" s="12" t="n">
        <v>44848</v>
      </c>
    </row>
    <row r="19">
      <c r="A19" s="18" t="inlineStr">
        <is>
          <t>매입채무</t>
        </is>
      </c>
      <c r="B19" s="10" t="n"/>
      <c r="C19" s="19" t="n">
        <v>17507</v>
      </c>
      <c r="D19" s="20" t="n">
        <v>17762</v>
      </c>
      <c r="E19" s="20" t="n">
        <v>20472</v>
      </c>
      <c r="F19" s="20" t="n">
        <v>11867</v>
      </c>
      <c r="G19" s="20" t="n">
        <v>15861</v>
      </c>
      <c r="H19" s="19" t="n">
        <v>8958</v>
      </c>
      <c r="I19" s="20" t="n">
        <v>9213</v>
      </c>
      <c r="J19" s="20" t="n">
        <v>14598</v>
      </c>
      <c r="K19" s="20" t="n">
        <v>14805</v>
      </c>
      <c r="L19" s="20" t="n">
        <v>11867</v>
      </c>
    </row>
    <row r="20">
      <c r="A20" s="18" t="inlineStr">
        <is>
          <t>단기차입금</t>
        </is>
      </c>
      <c r="B20" s="10" t="n"/>
      <c r="C20" s="19" t="n"/>
      <c r="D20" s="20" t="n"/>
      <c r="E20" s="20" t="n"/>
      <c r="F20" s="20" t="n"/>
      <c r="G20" s="20" t="n"/>
      <c r="H20" s="19" t="n">
        <v>7628</v>
      </c>
      <c r="I20" s="20" t="n">
        <v>10043</v>
      </c>
      <c r="J20" s="20" t="n">
        <v>0</v>
      </c>
      <c r="K20" s="20" t="n"/>
      <c r="L20" s="20" t="n"/>
    </row>
    <row r="21">
      <c r="A21" s="18" t="inlineStr">
        <is>
          <t>유동성장기부채</t>
        </is>
      </c>
      <c r="B21" s="10" t="n"/>
      <c r="C21" s="19" t="n">
        <v>3234</v>
      </c>
      <c r="D21" s="20" t="n">
        <v>2323</v>
      </c>
      <c r="E21" s="20" t="n">
        <v>1400</v>
      </c>
      <c r="F21" s="20" t="n">
        <v>700</v>
      </c>
      <c r="G21" s="20" t="n">
        <v>0</v>
      </c>
      <c r="H21" s="19" t="n">
        <v>8834</v>
      </c>
      <c r="I21" s="20" t="n">
        <v>8901</v>
      </c>
      <c r="J21" s="20" t="n">
        <v>6183</v>
      </c>
      <c r="K21" s="20" t="n">
        <v>3472</v>
      </c>
      <c r="L21" s="20" t="n">
        <v>700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7483</v>
      </c>
      <c r="D23" s="12" t="n">
        <v>7969</v>
      </c>
      <c r="E23" s="12" t="n">
        <v>8129</v>
      </c>
      <c r="F23" s="12" t="n">
        <v>7345</v>
      </c>
      <c r="G23" s="12" t="n">
        <v>7004</v>
      </c>
      <c r="H23" s="11" t="n">
        <v>26989</v>
      </c>
      <c r="I23" s="12" t="n">
        <v>19295</v>
      </c>
      <c r="J23" s="12" t="n">
        <v>12530</v>
      </c>
      <c r="K23" s="12" t="n">
        <v>8438</v>
      </c>
      <c r="L23" s="12" t="n">
        <v>7345</v>
      </c>
    </row>
    <row r="24">
      <c r="A24" s="18" t="inlineStr">
        <is>
          <t>장기차입금</t>
        </is>
      </c>
      <c r="B24" s="10" t="n"/>
      <c r="C24" s="19" t="n">
        <v>0</v>
      </c>
      <c r="D24" s="20" t="n">
        <v>0</v>
      </c>
      <c r="E24" s="20" t="n">
        <v>0</v>
      </c>
      <c r="F24" s="20" t="n">
        <v>0</v>
      </c>
      <c r="G24" s="20" t="n"/>
      <c r="H24" s="19" t="n">
        <v>18894</v>
      </c>
      <c r="I24" s="20" t="n">
        <v>10177</v>
      </c>
      <c r="J24" s="20" t="n">
        <v>4181</v>
      </c>
      <c r="K24" s="20" t="n">
        <v>700</v>
      </c>
      <c r="L24" s="20" t="n">
        <v>0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56436</v>
      </c>
      <c r="D27" s="12" t="n">
        <v>58401</v>
      </c>
      <c r="E27" s="12" t="n">
        <v>65539</v>
      </c>
      <c r="F27" s="12" t="n">
        <v>52193</v>
      </c>
      <c r="G27" s="12" t="n">
        <v>51478</v>
      </c>
      <c r="H27" s="11" t="n">
        <v>76916</v>
      </c>
      <c r="I27" s="12" t="n">
        <v>72352</v>
      </c>
      <c r="J27" s="12" t="n">
        <v>66252</v>
      </c>
      <c r="K27" s="12" t="n">
        <v>59372</v>
      </c>
      <c r="L27" s="12" t="n">
        <v>52193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101684</v>
      </c>
      <c r="D31" s="12" t="n">
        <v>109146</v>
      </c>
      <c r="E31" s="12" t="n">
        <v>110871</v>
      </c>
      <c r="F31" s="12" t="n">
        <v>111134</v>
      </c>
      <c r="G31" s="12" t="n">
        <v>108970</v>
      </c>
      <c r="H31" s="11" t="n">
        <v>78864</v>
      </c>
      <c r="I31" s="12" t="n">
        <v>87013</v>
      </c>
      <c r="J31" s="12" t="n">
        <v>99966</v>
      </c>
      <c r="K31" s="12" t="n">
        <v>106365</v>
      </c>
      <c r="L31" s="12" t="n">
        <v>111134</v>
      </c>
    </row>
    <row r="32">
      <c r="A32" s="18" t="inlineStr">
        <is>
          <t>자본금</t>
        </is>
      </c>
      <c r="B32" s="10" t="n"/>
      <c r="C32" s="19" t="n">
        <v>3459</v>
      </c>
      <c r="D32" s="20" t="n">
        <v>3459</v>
      </c>
      <c r="E32" s="20" t="n">
        <v>3459</v>
      </c>
      <c r="F32" s="20" t="n">
        <v>3459</v>
      </c>
      <c r="G32" s="20" t="n">
        <v>3459</v>
      </c>
      <c r="H32" s="19" t="n">
        <v>3459</v>
      </c>
      <c r="I32" s="20" t="n">
        <v>3459</v>
      </c>
      <c r="J32" s="20" t="n">
        <v>3459</v>
      </c>
      <c r="K32" s="20" t="n">
        <v>3459</v>
      </c>
      <c r="L32" s="20" t="n">
        <v>3459</v>
      </c>
    </row>
    <row r="33">
      <c r="A33" s="18" t="inlineStr">
        <is>
          <t>이익잉여금</t>
        </is>
      </c>
      <c r="B33" s="10" t="n"/>
      <c r="C33" s="19" t="n">
        <v>77934</v>
      </c>
      <c r="D33" s="20" t="n">
        <v>82667</v>
      </c>
      <c r="E33" s="20" t="n">
        <v>81242</v>
      </c>
      <c r="F33" s="20" t="n">
        <v>83373</v>
      </c>
      <c r="G33" s="20" t="n">
        <v>84603</v>
      </c>
      <c r="H33" s="19" t="n">
        <v>55472</v>
      </c>
      <c r="I33" s="20" t="n">
        <v>60092</v>
      </c>
      <c r="J33" s="20" t="n">
        <v>66920</v>
      </c>
      <c r="K33" s="20" t="n">
        <v>77781</v>
      </c>
      <c r="L33" s="20" t="n">
        <v>83373</v>
      </c>
    </row>
    <row r="34">
      <c r="A34" s="18" t="inlineStr">
        <is>
          <t>비지배지분</t>
        </is>
      </c>
      <c r="B34" s="10" t="n"/>
      <c r="C34" s="19" t="n"/>
      <c r="D34" s="20" t="n"/>
      <c r="E34" s="20" t="n"/>
      <c r="F34" s="20" t="n"/>
      <c r="G34" s="20" t="n"/>
      <c r="H34" s="19" t="n"/>
      <c r="I34" s="20" t="n"/>
      <c r="J34" s="20" t="n"/>
      <c r="K34" s="20" t="n"/>
      <c r="L34" s="20" t="n"/>
    </row>
    <row r="35">
      <c r="A35" s="9" t="inlineStr">
        <is>
          <t>자본총계</t>
        </is>
      </c>
      <c r="B35" s="10" t="n"/>
      <c r="C35" s="11" t="n">
        <v>101717</v>
      </c>
      <c r="D35" s="12" t="n">
        <v>109179</v>
      </c>
      <c r="E35" s="12" t="n">
        <v>110904</v>
      </c>
      <c r="F35" s="12" t="n">
        <v>111167</v>
      </c>
      <c r="G35" s="12" t="n">
        <v>108970</v>
      </c>
      <c r="H35" s="11" t="n">
        <v>79174</v>
      </c>
      <c r="I35" s="12" t="n">
        <v>87167</v>
      </c>
      <c r="J35" s="12" t="n">
        <v>99999</v>
      </c>
      <c r="K35" s="12" t="n">
        <v>106398</v>
      </c>
      <c r="L35" s="12" t="n">
        <v>111167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>
        <v>25172</v>
      </c>
      <c r="E37" s="12" t="n"/>
      <c r="F37" s="12" t="n">
        <v>20053</v>
      </c>
      <c r="G37" s="12" t="n"/>
      <c r="H37" s="11" t="n">
        <v>16405</v>
      </c>
      <c r="I37" s="12" t="n">
        <v>16223</v>
      </c>
      <c r="J37" s="12" t="n">
        <v>29175</v>
      </c>
      <c r="K37" s="12" t="n">
        <v>16999</v>
      </c>
      <c r="L37" s="12" t="n">
        <v>20053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>
        <v>7816</v>
      </c>
      <c r="E38" s="20" t="n"/>
      <c r="F38" s="20" t="n">
        <v>7644</v>
      </c>
      <c r="G38" s="20" t="n"/>
      <c r="H38" s="19" t="n">
        <v>4406</v>
      </c>
      <c r="I38" s="20" t="n">
        <v>2609</v>
      </c>
      <c r="J38" s="20" t="n">
        <v>4659</v>
      </c>
      <c r="K38" s="20" t="n">
        <v>7930</v>
      </c>
      <c r="L38" s="20" t="n">
        <v>7644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>
        <v>5747</v>
      </c>
      <c r="E40" s="20" t="n"/>
      <c r="F40" s="20" t="n">
        <v>6077</v>
      </c>
      <c r="G40" s="20" t="n"/>
      <c r="H40" s="19" t="n">
        <v>1869</v>
      </c>
      <c r="I40" s="20" t="n">
        <v>3691</v>
      </c>
      <c r="J40" s="20" t="n">
        <v>2980</v>
      </c>
      <c r="K40" s="20" t="n">
        <v>5464</v>
      </c>
      <c r="L40" s="20" t="n">
        <v>6077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IFERROR((IF(COUNT('연간'!G34:J34)&lt;4,"",SUM('연간'!G34:J34)))/(IF(COUNT('연간'!G56:J56)&lt;4,"",SUM('연간'!G56:J56))),"")</f>
        <v/>
      </c>
      <c r="D48" s="31">
        <f>IFERROR((IF(COUNT('연간'!H34:K34)&lt;4,"",SUM('연간'!H34:K34)))/(IF(COUNT('연간'!H56:K56)&lt;4,"",SUM('연간'!H56:K56))),"")</f>
        <v/>
      </c>
      <c r="E48" s="31">
        <f>IFERROR((IF(COUNT('연간'!I34:L34)&lt;4,"",SUM('연간'!I34:L34)))/(IF(COUNT('연간'!I56:L56)&lt;4,"",SUM('연간'!I56:L56))),"")</f>
        <v/>
      </c>
      <c r="F48" s="31">
        <f>IFERROR((IF(COUNT('연간'!J34:M34)&lt;4,"",SUM('연간'!J34:M34)))/(IF(COUNT('연간'!J56:M56)&lt;4,"",SUM('연간'!J56:M56))),"")</f>
        <v/>
      </c>
      <c r="G48" s="31">
        <f>IFERROR((IF(COUNT('연간'!K34:N34)&lt;4,"",SUM('연간'!K34:N34)))/(IF(COUNT('연간'!K56:N56)&lt;4,"",SUM('연간'!K56:N56))),"")</f>
        <v/>
      </c>
      <c r="H48" s="30">
        <f>IFERROR(('연간'!T34)/('연간'!T56),"")</f>
        <v/>
      </c>
      <c r="I48" s="31">
        <f>IFERROR(('연간'!U34)/('연간'!U56),"")</f>
        <v/>
      </c>
      <c r="J48" s="31">
        <f>IFERROR(('연간'!V34)/('연간'!V56),"")</f>
        <v/>
      </c>
      <c r="K48" s="31">
        <f>IFERROR(('연간'!W34)/('연간'!W56),"")</f>
        <v/>
      </c>
      <c r="L48" s="31">
        <f>IFERROR(('연간'!X34)/('연간'!X56),"")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IFERROR(IF((IF(COUNT('연간'!G64:J64)&lt;4,"",SUM('연간'!G64:J64)))&lt;=0,"적자",C28/(IF(COUNT('연간'!G64:J64)&lt;4,"",SUM('연간'!G64:J64)))),"")</f>
        <v/>
      </c>
      <c r="D49" s="47">
        <f>IFERROR(IF((IF(COUNT('연간'!H64:K64)&lt;4,"",SUM('연간'!H64:K64)))&lt;=0,"적자",D28/(IF(COUNT('연간'!H64:K64)&lt;4,"",SUM('연간'!H64:K64)))),"")</f>
        <v/>
      </c>
      <c r="E49" s="47">
        <f>IFERROR(IF((IF(COUNT('연간'!I64:L64)&lt;4,"",SUM('연간'!I64:L64)))&lt;=0,"적자",E28/(IF(COUNT('연간'!I64:L64)&lt;4,"",SUM('연간'!I64:L64)))),"")</f>
        <v/>
      </c>
      <c r="F49" s="47">
        <f>IFERROR(IF((IF(COUNT('연간'!J64:M64)&lt;4,"",SUM('연간'!J64:M64)))&lt;=0,"적자",F28/(IF(COUNT('연간'!J64:M64)&lt;4,"",SUM('연간'!J64:M64)))),"")</f>
        <v/>
      </c>
      <c r="G49" s="47">
        <f>IFERROR(IF((IF(COUNT('연간'!K64:N64)&lt;4,"",SUM('연간'!K64:N64)))&lt;=0,"적자",G28/(IF(COUNT('연간'!K64:N64)&lt;4,"",SUM('연간'!K64:N64)))),"")</f>
        <v/>
      </c>
      <c r="H49" s="46">
        <f>IFERROR(IF(('연간'!T64)&lt;=0,"적자",H28/('연간'!T64)),"")</f>
        <v/>
      </c>
      <c r="I49" s="47">
        <f>IFERROR(IF(('연간'!U64)&lt;=0,"적자",I28/('연간'!U64)),"")</f>
        <v/>
      </c>
      <c r="J49" s="47">
        <f>IFERROR(IF(('연간'!V64)&lt;=0,"적자",J28/('연간'!V64)),"")</f>
        <v/>
      </c>
      <c r="K49" s="47">
        <f>IFERROR(IF(('연간'!W64)&lt;=0,"적자",K28/('연간'!W64)),"")</f>
        <v/>
      </c>
      <c r="L49" s="47">
        <f>IFERROR(IF(('연간'!X64)&lt;=0,"적자",L28/('연간'!X64)),"")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IFERROR((IF(COUNT('연간'!G64:J64)&lt;4,"",SUM('연간'!G64:J64)))/C31,"")</f>
        <v/>
      </c>
      <c r="D51" s="36">
        <f>IFERROR((IF(COUNT('연간'!H64:K64)&lt;4,"",SUM('연간'!H64:K64)))/D31,"")</f>
        <v/>
      </c>
      <c r="E51" s="36">
        <f>IFERROR((IF(COUNT('연간'!I64:L64)&lt;4,"",SUM('연간'!I64:L64)))/E31,"")</f>
        <v/>
      </c>
      <c r="F51" s="36">
        <f>IFERROR((IF(COUNT('연간'!J64:M64)&lt;4,"",SUM('연간'!J64:M64)))/F31,"")</f>
        <v/>
      </c>
      <c r="G51" s="36">
        <f>IFERROR((IF(COUNT('연간'!K64:N64)&lt;4,"",SUM('연간'!K64:N64)))/G31,"")</f>
        <v/>
      </c>
      <c r="H51" s="35">
        <f>IFERROR(('연간'!T64)/H31,"")</f>
        <v/>
      </c>
      <c r="I51" s="36">
        <f>IFERROR(('연간'!U64)/I31,"")</f>
        <v/>
      </c>
      <c r="J51" s="36">
        <f>IFERROR(('연간'!V64)/J31,"")</f>
        <v/>
      </c>
      <c r="K51" s="36">
        <f>IFERROR(('연간'!W64)/K31,"")</f>
        <v/>
      </c>
      <c r="L51" s="36">
        <f>IFERROR(('연간'!X64)/L31,"")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IFERROR((IF(COUNT('연간'!G62:J62)&lt;4,"",SUM('연간'!G62:J62)))/C16,"")</f>
        <v/>
      </c>
      <c r="D52" s="36">
        <f>IFERROR((IF(COUNT('연간'!H62:K62)&lt;4,"",SUM('연간'!H62:K62)))/D16,"")</f>
        <v/>
      </c>
      <c r="E52" s="36">
        <f>IFERROR((IF(COUNT('연간'!I62:L62)&lt;4,"",SUM('연간'!I62:L62)))/E16,"")</f>
        <v/>
      </c>
      <c r="F52" s="36">
        <f>IFERROR((IF(COUNT('연간'!J62:M62)&lt;4,"",SUM('연간'!J62:M62)))/F16,"")</f>
        <v/>
      </c>
      <c r="G52" s="36">
        <f>IFERROR((IF(COUNT('연간'!K62:N62)&lt;4,"",SUM('연간'!K62:N62)))/G16,"")</f>
        <v/>
      </c>
      <c r="H52" s="35">
        <f>IFERROR(('연간'!T62)/H16,"")</f>
        <v/>
      </c>
      <c r="I52" s="36">
        <f>IFERROR(('연간'!U62)/I16,"")</f>
        <v/>
      </c>
      <c r="J52" s="36">
        <f>IFERROR(('연간'!V62)/J16,"")</f>
        <v/>
      </c>
      <c r="K52" s="36">
        <f>IFERROR(('연간'!W62)/K16,"")</f>
        <v/>
      </c>
      <c r="L52" s="36">
        <f>IFERROR(('연간'!X62)/L16,"")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IFERROR((IF(COUNT('연간'!G34:J34)&lt;4,"",SUM('연간'!G34:J34)))*(1-0.3)/(C35+C29),"")</f>
        <v/>
      </c>
      <c r="D53" s="36">
        <f>IFERROR((IF(COUNT('연간'!H34:K34)&lt;4,"",SUM('연간'!H34:K34)))*(1-0.3)/(D35+D29),"")</f>
        <v/>
      </c>
      <c r="E53" s="36">
        <f>IFERROR((IF(COUNT('연간'!I34:L34)&lt;4,"",SUM('연간'!I34:L34)))*(1-0.3)/(E35+E29),"")</f>
        <v/>
      </c>
      <c r="F53" s="36">
        <f>IFERROR((IF(COUNT('연간'!J34:M34)&lt;4,"",SUM('연간'!J34:M34)))*(1-0.3)/(F35+F29),"")</f>
        <v/>
      </c>
      <c r="G53" s="36">
        <f>IFERROR((IF(COUNT('연간'!K34:N34)&lt;4,"",SUM('연간'!K34:N34)))*(1-0.3)/(G35+G29),"")</f>
        <v/>
      </c>
      <c r="H53" s="35">
        <f>IFERROR(('연간'!T34)*(1-0.3)/(H35+H29),"")</f>
        <v/>
      </c>
      <c r="I53" s="36">
        <f>IFERROR(('연간'!U34)*(1-0.3)/(I35+I29),"")</f>
        <v/>
      </c>
      <c r="J53" s="36">
        <f>IFERROR(('연간'!V34)*(1-0.3)/(J35+J29),"")</f>
        <v/>
      </c>
      <c r="K53" s="36">
        <f>IFERROR(('연간'!W34)*(1-0.3)/(K35+K29),"")</f>
        <v/>
      </c>
      <c r="L53" s="36">
        <f>IFERROR(('연간'!X34)*(1-0.3)/(L35+L29),"")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IFERROR((IF(COUNT('연간'!G28:J28)&lt;4,"",SUM('연간'!G28:J28)))/(IF(COUNT('연간'!G4:J4)&lt;4,"",SUM('연간'!G4:J4))),"")</f>
        <v/>
      </c>
      <c r="D54" s="36">
        <f>IFERROR((IF(COUNT('연간'!H28:K28)&lt;4,"",SUM('연간'!H28:K28)))/(IF(COUNT('연간'!H4:K4)&lt;4,"",SUM('연간'!H4:K4))),"")</f>
        <v/>
      </c>
      <c r="E54" s="36">
        <f>IFERROR((IF(COUNT('연간'!I28:L28)&lt;4,"",SUM('연간'!I28:L28)))/(IF(COUNT('연간'!I4:L4)&lt;4,"",SUM('연간'!I4:L4))),"")</f>
        <v/>
      </c>
      <c r="F54" s="36">
        <f>IFERROR((IF(COUNT('연간'!J28:M28)&lt;4,"",SUM('연간'!J28:M28)))/(IF(COUNT('연간'!J4:M4)&lt;4,"",SUM('연간'!J4:M4))),"")</f>
        <v/>
      </c>
      <c r="G54" s="36">
        <f>IFERROR((IF(COUNT('연간'!K28:N28)&lt;4,"",SUM('연간'!K28:N28)))/(IF(COUNT('연간'!K4:N4)&lt;4,"",SUM('연간'!K4:N4))),"")</f>
        <v/>
      </c>
      <c r="H54" s="35">
        <f>IFERROR(('연간'!T28)/('연간'!T4),"")</f>
        <v/>
      </c>
      <c r="I54" s="36">
        <f>IFERROR(('연간'!U28)/('연간'!U4),"")</f>
        <v/>
      </c>
      <c r="J54" s="36">
        <f>IFERROR(('연간'!V28)/('연간'!V4),"")</f>
        <v/>
      </c>
      <c r="K54" s="36">
        <f>IFERROR(('연간'!W28)/('연간'!W4),"")</f>
        <v/>
      </c>
      <c r="L54" s="36">
        <f>IFERROR(('연간'!X28)/('연간'!X4),"")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IFERROR((IF(COUNT('연간'!G34:J34)&lt;4,"",SUM('연간'!G34:J34)))/(IF(COUNT('연간'!G4:J4)&lt;4,"",SUM('연간'!G4:J4))),"")</f>
        <v/>
      </c>
      <c r="D55" s="36">
        <f>IFERROR((IF(COUNT('연간'!H34:K34)&lt;4,"",SUM('연간'!H34:K34)))/(IF(COUNT('연간'!H4:K4)&lt;4,"",SUM('연간'!H4:K4))),"")</f>
        <v/>
      </c>
      <c r="E55" s="36">
        <f>IFERROR((IF(COUNT('연간'!I34:L34)&lt;4,"",SUM('연간'!I34:L34)))/(IF(COUNT('연간'!I4:L4)&lt;4,"",SUM('연간'!I4:L4))),"")</f>
        <v/>
      </c>
      <c r="F55" s="36">
        <f>IFERROR((IF(COUNT('연간'!J34:M34)&lt;4,"",SUM('연간'!J34:M34)))/(IF(COUNT('연간'!J4:M4)&lt;4,"",SUM('연간'!J4:M4))),"")</f>
        <v/>
      </c>
      <c r="G55" s="36">
        <f>IFERROR((IF(COUNT('연간'!K34:N34)&lt;4,"",SUM('연간'!K34:N34)))/(IF(COUNT('연간'!K4:N4)&lt;4,"",SUM('연간'!K4:N4))),"")</f>
        <v/>
      </c>
      <c r="H55" s="35">
        <f>IFERROR(('연간'!T34)/('연간'!T4),"")</f>
        <v/>
      </c>
      <c r="I55" s="36">
        <f>IFERROR(('연간'!U34)/('연간'!U4),"")</f>
        <v/>
      </c>
      <c r="J55" s="36">
        <f>IFERROR(('연간'!V34)/('연간'!V4),"")</f>
        <v/>
      </c>
      <c r="K55" s="36">
        <f>IFERROR(('연간'!W34)/('연간'!W4),"")</f>
        <v/>
      </c>
      <c r="L55" s="36">
        <f>IFERROR(('연간'!X34)/('연간'!X4),"")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IFERROR((IF(COUNT('연간'!G62:J62)&lt;4,"",SUM('연간'!G62:J62)))/(IF(COUNT('연간'!G4:J4)&lt;4,"",SUM('연간'!G4:J4))),"")</f>
        <v/>
      </c>
      <c r="D56" s="36">
        <f>IFERROR((IF(COUNT('연간'!H62:K62)&lt;4,"",SUM('연간'!H62:K62)))/(IF(COUNT('연간'!H4:K4)&lt;4,"",SUM('연간'!H4:K4))),"")</f>
        <v/>
      </c>
      <c r="E56" s="36">
        <f>IFERROR((IF(COUNT('연간'!I62:L62)&lt;4,"",SUM('연간'!I62:L62)))/(IF(COUNT('연간'!I4:L4)&lt;4,"",SUM('연간'!I4:L4))),"")</f>
        <v/>
      </c>
      <c r="F56" s="36">
        <f>IFERROR((IF(COUNT('연간'!J62:M62)&lt;4,"",SUM('연간'!J62:M62)))/(IF(COUNT('연간'!J4:M4)&lt;4,"",SUM('연간'!J4:M4))),"")</f>
        <v/>
      </c>
      <c r="G56" s="36">
        <f>IFERROR((IF(COUNT('연간'!K62:N62)&lt;4,"",SUM('연간'!K62:N62)))/(IF(COUNT('연간'!K4:N4)&lt;4,"",SUM('연간'!K4:N4))),"")</f>
        <v/>
      </c>
      <c r="H56" s="35">
        <f>IFERROR(('연간'!T62)/('연간'!T4),"")</f>
        <v/>
      </c>
      <c r="I56" s="36">
        <f>IFERROR(('연간'!U62)/('연간'!U4),"")</f>
        <v/>
      </c>
      <c r="J56" s="36">
        <f>IFERROR(('연간'!V62)/('연간'!V4),"")</f>
        <v/>
      </c>
      <c r="K56" s="36">
        <f>IFERROR(('연간'!W62)/('연간'!W4),"")</f>
        <v/>
      </c>
      <c r="L56" s="36">
        <f>IFERROR(('연간'!X62)/('연간'!X4),"")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IFERROR(C9/(IF(COUNT('연간'!G26:J26)&lt;4,"",SUM('연간'!G26:J26)))*365,"")</f>
        <v/>
      </c>
      <c r="D60" s="49">
        <f>IFERROR(D9/(IF(COUNT('연간'!H26:K26)&lt;4,"",SUM('연간'!H26:K26)))*365,"")</f>
        <v/>
      </c>
      <c r="E60" s="49">
        <f>IFERROR(E9/(IF(COUNT('연간'!I26:L26)&lt;4,"",SUM('연간'!I26:L26)))*365,"")</f>
        <v/>
      </c>
      <c r="F60" s="49">
        <f>IFERROR(F9/(IF(COUNT('연간'!J26:M26)&lt;4,"",SUM('연간'!J26:M26)))*365,"")</f>
        <v/>
      </c>
      <c r="G60" s="49">
        <f>IFERROR(G9/(IF(COUNT('연간'!K26:N26)&lt;4,"",SUM('연간'!K26:N26)))*365,"")</f>
        <v/>
      </c>
      <c r="H60" s="48">
        <f>IFERROR(H9/('연간'!T26)*365,"")</f>
        <v/>
      </c>
      <c r="I60" s="49">
        <f>IFERROR(I9/('연간'!U26)*365,"")</f>
        <v/>
      </c>
      <c r="J60" s="49">
        <f>IFERROR(J9/('연간'!V26)*365,"")</f>
        <v/>
      </c>
      <c r="K60" s="49">
        <f>IFERROR(K9/('연간'!W26)*365,"")</f>
        <v/>
      </c>
      <c r="L60" s="49">
        <f>IFERROR(L9/('연간'!X26)*365,"")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IFERROR(C19/(IF(COUNT('연간'!G26:J26)&lt;4,"",SUM('연간'!G26:J26)))*365,"")</f>
        <v/>
      </c>
      <c r="D61" s="49">
        <f>IFERROR(D19/(IF(COUNT('연간'!H26:K26)&lt;4,"",SUM('연간'!H26:K26)))*365,"")</f>
        <v/>
      </c>
      <c r="E61" s="49">
        <f>IFERROR(E19/(IF(COUNT('연간'!I26:L26)&lt;4,"",SUM('연간'!I26:L26)))*365,"")</f>
        <v/>
      </c>
      <c r="F61" s="49">
        <f>IFERROR(F19/(IF(COUNT('연간'!J26:M26)&lt;4,"",SUM('연간'!J26:M26)))*365,"")</f>
        <v/>
      </c>
      <c r="G61" s="49">
        <f>IFERROR(G19/(IF(COUNT('연간'!K26:N26)&lt;4,"",SUM('연간'!K26:N26)))*365,"")</f>
        <v/>
      </c>
      <c r="H61" s="48">
        <f>IFERROR(H19/('연간'!T26)*365,"")</f>
        <v/>
      </c>
      <c r="I61" s="49">
        <f>IFERROR(I19/('연간'!U26)*365,"")</f>
        <v/>
      </c>
      <c r="J61" s="49">
        <f>IFERROR(J19/('연간'!V26)*365,"")</f>
        <v/>
      </c>
      <c r="K61" s="49">
        <f>IFERROR(K19/('연간'!W26)*365,"")</f>
        <v/>
      </c>
      <c r="L61" s="49">
        <f>IFERROR(L19/('연간'!X26)*365,"")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IF(C37="","",IFERROR(C37/(IF(COUNT('연간'!G62:J62)&lt;4,"",SUM('연간'!G62:J62))),""))</f>
        <v/>
      </c>
      <c r="D64" s="31">
        <f>IF(D37="","",IFERROR(D37/(IF(COUNT('연간'!H62:K62)&lt;4,"",SUM('연간'!H62:K62))),""))</f>
        <v/>
      </c>
      <c r="E64" s="31">
        <f>IF(E37="","",IFERROR(E37/(IF(COUNT('연간'!I62:L62)&lt;4,"",SUM('연간'!I62:L62))),""))</f>
        <v/>
      </c>
      <c r="F64" s="31">
        <f>IF(F37="","",IFERROR(F37/(IF(COUNT('연간'!J62:M62)&lt;4,"",SUM('연간'!J62:M62))),""))</f>
        <v/>
      </c>
      <c r="G64" s="31">
        <f>IF(G37="","",IFERROR(G37/(IF(COUNT('연간'!K62:N62)&lt;4,"",SUM('연간'!K62:N62))),""))</f>
        <v/>
      </c>
      <c r="H64" s="30">
        <f>IF(H37="","",IFERROR(H37/('연간'!T62),""))</f>
        <v/>
      </c>
      <c r="I64" s="31">
        <f>IF(I37="","",IFERROR(I37/('연간'!U62),""))</f>
        <v/>
      </c>
      <c r="J64" s="31">
        <f>IF(J37="","",IFERROR(J37/('연간'!V62),""))</f>
        <v/>
      </c>
      <c r="K64" s="31">
        <f>IF(K37="","",IFERROR(K37/('연간'!W62),""))</f>
        <v/>
      </c>
      <c r="L64" s="31">
        <f>IF(L37="","",IFERROR(L37/('연간'!X62),""))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IF(C40="","",IFERROR(C40/(IF(COUNT('연간'!G64:J64)&lt;4,"",SUM('연간'!G64:J64))),""))</f>
        <v/>
      </c>
      <c r="D67" s="36">
        <f>IF(D40="","",IFERROR(D40/(IF(COUNT('연간'!H64:K64)&lt;4,"",SUM('연간'!H64:K64))),""))</f>
        <v/>
      </c>
      <c r="E67" s="36">
        <f>IF(E40="","",IFERROR(E40/(IF(COUNT('연간'!I64:L64)&lt;4,"",SUM('연간'!I64:L64))),""))</f>
        <v/>
      </c>
      <c r="F67" s="36">
        <f>IF(F40="","",IFERROR(F40/(IF(COUNT('연간'!J64:M64)&lt;4,"",SUM('연간'!J64:M64))),""))</f>
        <v/>
      </c>
      <c r="G67" s="36">
        <f>IF(G40="","",IFERROR(G40/(IF(COUNT('연간'!K64:N64)&lt;4,"",SUM('연간'!K64:N64))),""))</f>
        <v/>
      </c>
      <c r="H67" s="35">
        <f>IF(H40="","",IFERROR(H40/('연간'!T64),""))</f>
        <v/>
      </c>
      <c r="I67" s="36">
        <f>IF(I40="","",IFERROR(I40/('연간'!U64),""))</f>
        <v/>
      </c>
      <c r="J67" s="36">
        <f>IF(J40="","",IFERROR(J40/('연간'!V64),""))</f>
        <v/>
      </c>
      <c r="K67" s="36">
        <f>IF(K40="","",IFERROR(K40/('연간'!W64),""))</f>
        <v/>
      </c>
      <c r="L67" s="36">
        <f>IF(L40="","",IFERROR(L40/('연간'!X64),""))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42594</v>
      </c>
      <c r="D71" s="20" t="n">
        <v>44272</v>
      </c>
      <c r="E71" s="20" t="n">
        <v>46496</v>
      </c>
      <c r="F71" s="20" t="n">
        <v>51086</v>
      </c>
      <c r="G71" s="20" t="n">
        <v>38628</v>
      </c>
      <c r="H71" s="20" t="n">
        <v>65424</v>
      </c>
      <c r="I71" s="20" t="n">
        <v>66455</v>
      </c>
      <c r="J71" s="20" t="n">
        <v>64279</v>
      </c>
      <c r="K71" s="20" t="n">
        <v>56163</v>
      </c>
      <c r="L71" s="20" t="n">
        <v>51086</v>
      </c>
    </row>
    <row r="72">
      <c r="A72" s="18" t="inlineStr">
        <is>
          <t>받을어음</t>
        </is>
      </c>
      <c r="F72" s="20" t="n">
        <v>860</v>
      </c>
      <c r="H72" s="20" t="n">
        <v>938</v>
      </c>
      <c r="I72" s="20" t="n">
        <v>779</v>
      </c>
      <c r="J72" s="20" t="n">
        <v>740</v>
      </c>
      <c r="K72" s="20" t="n">
        <v>807</v>
      </c>
      <c r="L72" s="20" t="n">
        <v>860</v>
      </c>
    </row>
    <row r="73">
      <c r="A73" s="18" t="inlineStr">
        <is>
          <t>매출채권</t>
        </is>
      </c>
      <c r="F73" s="20" t="n">
        <v>28493</v>
      </c>
      <c r="H73" s="20" t="n">
        <v>19352</v>
      </c>
      <c r="I73" s="20" t="n">
        <v>20125</v>
      </c>
      <c r="J73" s="20" t="n">
        <v>24520</v>
      </c>
      <c r="K73" s="20" t="n">
        <v>28690</v>
      </c>
      <c r="L73" s="20" t="n">
        <v>28493</v>
      </c>
    </row>
    <row r="74">
      <c r="A74" s="18" t="inlineStr">
        <is>
          <t>받을어음·매출채권</t>
        </is>
      </c>
      <c r="C74" s="20" t="n">
        <v>30117</v>
      </c>
      <c r="D74" s="20" t="n">
        <v>35029</v>
      </c>
      <c r="E74" s="20" t="n">
        <v>46059</v>
      </c>
      <c r="F74" s="20" t="n">
        <v>29353</v>
      </c>
      <c r="G74" s="20" t="n">
        <v>33472</v>
      </c>
      <c r="H74" s="20" t="n">
        <v>20291</v>
      </c>
      <c r="I74" s="20" t="n">
        <v>20905</v>
      </c>
      <c r="J74" s="20" t="n">
        <v>25260</v>
      </c>
      <c r="K74" s="20" t="n">
        <v>29498</v>
      </c>
      <c r="L74" s="20" t="n">
        <v>29353</v>
      </c>
    </row>
    <row r="75">
      <c r="A75" s="18" t="inlineStr">
        <is>
          <t>상품·제품</t>
        </is>
      </c>
      <c r="C75" s="20" t="n">
        <v>23939</v>
      </c>
      <c r="D75" s="20" t="n">
        <v>26327</v>
      </c>
      <c r="E75" s="20" t="n">
        <v>24939</v>
      </c>
      <c r="F75" s="20" t="n">
        <v>23052</v>
      </c>
      <c r="G75" s="20" t="n">
        <v>26761</v>
      </c>
      <c r="H75" s="20" t="n">
        <v>16082</v>
      </c>
      <c r="I75" s="20" t="n">
        <v>16694</v>
      </c>
      <c r="J75" s="20" t="n">
        <v>17716</v>
      </c>
      <c r="K75" s="20" t="n">
        <v>19979</v>
      </c>
      <c r="L75" s="20" t="n">
        <v>23052</v>
      </c>
    </row>
    <row r="76">
      <c r="A76" s="18" t="inlineStr">
        <is>
          <t>재공품</t>
        </is>
      </c>
      <c r="C76" s="20" t="n">
        <v>843</v>
      </c>
      <c r="D76" s="20" t="n">
        <v>806</v>
      </c>
      <c r="E76" s="20" t="n">
        <v>846</v>
      </c>
      <c r="F76" s="20" t="n">
        <v>891</v>
      </c>
      <c r="G76" s="20" t="n">
        <v>1098</v>
      </c>
      <c r="H76" s="20" t="n">
        <v>837</v>
      </c>
      <c r="I76" s="20" t="n">
        <v>730</v>
      </c>
      <c r="J76" s="20" t="n">
        <v>653</v>
      </c>
      <c r="K76" s="20" t="n">
        <v>696</v>
      </c>
      <c r="L76" s="20" t="n">
        <v>891</v>
      </c>
    </row>
    <row r="77">
      <c r="A77" s="18" t="inlineStr">
        <is>
          <t>원재료·저장품</t>
        </is>
      </c>
      <c r="C77" s="20" t="n">
        <v>1350</v>
      </c>
      <c r="D77" s="20" t="n">
        <v>1237</v>
      </c>
      <c r="E77" s="20" t="n">
        <v>1158</v>
      </c>
      <c r="F77" s="20" t="n">
        <v>1260</v>
      </c>
      <c r="G77" s="20" t="n">
        <v>1418</v>
      </c>
      <c r="H77" s="20" t="n">
        <v>1096</v>
      </c>
      <c r="I77" s="20" t="n">
        <v>1100</v>
      </c>
      <c r="J77" s="20" t="n">
        <v>1093</v>
      </c>
      <c r="K77" s="20" t="n">
        <v>1326</v>
      </c>
      <c r="L77" s="20" t="n">
        <v>1260</v>
      </c>
    </row>
    <row r="78">
      <c r="A78" s="18" t="inlineStr">
        <is>
          <t>기타</t>
        </is>
      </c>
      <c r="C78" s="20" t="n">
        <v>7158</v>
      </c>
      <c r="D78" s="20" t="n">
        <v>7706</v>
      </c>
      <c r="E78" s="20" t="n">
        <v>9136</v>
      </c>
      <c r="F78" s="20" t="n">
        <v>10129</v>
      </c>
      <c r="G78" s="20" t="n">
        <v>11114</v>
      </c>
      <c r="H78" s="20" t="n">
        <v>6758</v>
      </c>
      <c r="I78" s="20" t="n">
        <v>5972</v>
      </c>
      <c r="J78" s="20" t="n">
        <v>8778</v>
      </c>
      <c r="K78" s="20" t="n">
        <v>6935</v>
      </c>
      <c r="L78" s="20" t="n">
        <v>10129</v>
      </c>
    </row>
    <row r="79">
      <c r="A79" s="18" t="inlineStr">
        <is>
          <t>대손충당금</t>
        </is>
      </c>
      <c r="C79" s="20" t="n">
        <v>-208</v>
      </c>
      <c r="D79" s="20" t="n">
        <v>-242</v>
      </c>
      <c r="E79" s="20" t="n">
        <v>-232</v>
      </c>
      <c r="F79" s="20" t="n">
        <v>-230</v>
      </c>
      <c r="G79" s="20" t="n">
        <v>-239</v>
      </c>
      <c r="H79" s="20" t="n">
        <v>-165</v>
      </c>
      <c r="I79" s="20" t="n">
        <v>-194</v>
      </c>
      <c r="J79" s="20" t="n">
        <v>-220</v>
      </c>
      <c r="K79" s="20" t="n">
        <v>-196</v>
      </c>
      <c r="L79" s="20" t="n">
        <v>-230</v>
      </c>
    </row>
    <row r="80">
      <c r="A80" s="9" t="inlineStr">
        <is>
          <t>유동자산 합계</t>
        </is>
      </c>
      <c r="C80" s="12" t="n">
        <v>105795</v>
      </c>
      <c r="D80" s="12" t="n">
        <v>115136</v>
      </c>
      <c r="E80" s="12" t="n">
        <v>128403</v>
      </c>
      <c r="F80" s="12" t="n">
        <v>115544</v>
      </c>
      <c r="G80" s="12" t="n">
        <v>112252</v>
      </c>
      <c r="H80" s="12" t="n">
        <v>110324</v>
      </c>
      <c r="I80" s="12" t="n">
        <v>111664</v>
      </c>
      <c r="J80" s="12" t="n">
        <v>117561</v>
      </c>
      <c r="K80" s="12" t="n">
        <v>114402</v>
      </c>
      <c r="L80" s="12" t="n">
        <v>115544</v>
      </c>
    </row>
    <row r="81">
      <c r="A81" s="18" t="inlineStr">
        <is>
          <t>건물·구축물</t>
        </is>
      </c>
      <c r="C81" s="20" t="n">
        <v>15976</v>
      </c>
      <c r="D81" s="20" t="n">
        <v>16124</v>
      </c>
      <c r="E81" s="20" t="n">
        <v>16479</v>
      </c>
      <c r="F81" s="20" t="n">
        <v>16371</v>
      </c>
      <c r="G81" s="20" t="n">
        <v>16732</v>
      </c>
      <c r="H81" s="20" t="n">
        <v>13347</v>
      </c>
      <c r="I81" s="20" t="n">
        <v>13593</v>
      </c>
      <c r="J81" s="20" t="n">
        <v>14010</v>
      </c>
      <c r="K81" s="20" t="n">
        <v>14989</v>
      </c>
      <c r="L81" s="20" t="n">
        <v>16371</v>
      </c>
    </row>
    <row r="82">
      <c r="A82" s="18" t="inlineStr">
        <is>
          <t>감가상각누계액</t>
        </is>
      </c>
      <c r="C82" s="20" t="n">
        <v>-9388</v>
      </c>
      <c r="D82" s="20" t="n">
        <v>-9562</v>
      </c>
      <c r="E82" s="20" t="n">
        <v>-9840</v>
      </c>
      <c r="F82" s="20" t="n">
        <v>-9879</v>
      </c>
      <c r="G82" s="20" t="n">
        <v>-10036</v>
      </c>
      <c r="H82" s="20" t="n">
        <v>-9034</v>
      </c>
      <c r="I82" s="20" t="n">
        <v>-9357</v>
      </c>
      <c r="J82" s="20" t="n">
        <v>-9787</v>
      </c>
      <c r="K82" s="20" t="n">
        <v>-9465</v>
      </c>
      <c r="L82" s="20" t="n">
        <v>-9879</v>
      </c>
    </row>
    <row r="83">
      <c r="A83" s="18" t="inlineStr">
        <is>
          <t>손상차손누계액</t>
        </is>
      </c>
      <c r="C83" s="20" t="n">
        <v>-849</v>
      </c>
      <c r="D83" s="20" t="n">
        <v>-838</v>
      </c>
      <c r="E83" s="20" t="n">
        <v>-843</v>
      </c>
      <c r="F83" s="20" t="n">
        <v>-813</v>
      </c>
      <c r="G83" s="20" t="n">
        <v>-814</v>
      </c>
      <c r="H83" s="20" t="n">
        <v>-941</v>
      </c>
      <c r="I83" s="20" t="n">
        <v>-910</v>
      </c>
      <c r="J83" s="20" t="n">
        <v>-921</v>
      </c>
      <c r="K83" s="20" t="n">
        <v>-847</v>
      </c>
      <c r="L83" s="20" t="n">
        <v>-813</v>
      </c>
    </row>
    <row r="84">
      <c r="A84" s="18" t="inlineStr">
        <is>
          <t>건물·구축물(순액)</t>
        </is>
      </c>
      <c r="C84" s="20" t="n">
        <v>5738</v>
      </c>
      <c r="D84" s="20" t="n">
        <v>5724</v>
      </c>
      <c r="E84" s="20" t="n">
        <v>5795</v>
      </c>
      <c r="F84" s="20" t="n">
        <v>5677</v>
      </c>
      <c r="G84" s="20" t="n">
        <v>5882</v>
      </c>
      <c r="H84" s="20" t="n">
        <v>3370</v>
      </c>
      <c r="I84" s="20" t="n">
        <v>3325</v>
      </c>
      <c r="J84" s="20" t="n">
        <v>3301</v>
      </c>
      <c r="K84" s="20" t="n">
        <v>4676</v>
      </c>
      <c r="L84" s="20" t="n">
        <v>5677</v>
      </c>
    </row>
    <row r="85">
      <c r="A85" s="18" t="inlineStr">
        <is>
          <t>기계장치·운반구</t>
        </is>
      </c>
      <c r="C85" s="20" t="n">
        <v>3150</v>
      </c>
      <c r="D85" s="20" t="n">
        <v>3204</v>
      </c>
      <c r="E85" s="20" t="n">
        <v>3318</v>
      </c>
      <c r="F85" s="20" t="n">
        <v>3350</v>
      </c>
      <c r="G85" s="20" t="n">
        <v>3385</v>
      </c>
      <c r="H85" s="20" t="n">
        <v>2892</v>
      </c>
      <c r="I85" s="20" t="n">
        <v>2862</v>
      </c>
      <c r="J85" s="20" t="n">
        <v>2949</v>
      </c>
      <c r="K85" s="20" t="n">
        <v>3013</v>
      </c>
      <c r="L85" s="20" t="n">
        <v>3350</v>
      </c>
    </row>
    <row r="86">
      <c r="A86" s="18" t="inlineStr">
        <is>
          <t>감가상각누계액</t>
        </is>
      </c>
      <c r="C86" s="20" t="n">
        <v>-2491</v>
      </c>
      <c r="D86" s="20" t="n">
        <v>-2546</v>
      </c>
      <c r="E86" s="20" t="n">
        <v>-2645</v>
      </c>
      <c r="F86" s="20" t="n">
        <v>-2647</v>
      </c>
      <c r="G86" s="20" t="n">
        <v>-2693</v>
      </c>
      <c r="H86" s="20" t="n">
        <v>-2305</v>
      </c>
      <c r="I86" s="20" t="n">
        <v>-2335</v>
      </c>
      <c r="J86" s="20" t="n">
        <v>-2496</v>
      </c>
      <c r="K86" s="20" t="n">
        <v>-2473</v>
      </c>
      <c r="L86" s="20" t="n">
        <v>-2647</v>
      </c>
    </row>
    <row r="87">
      <c r="A87" s="18" t="inlineStr">
        <is>
          <t>손상차손누계액</t>
        </is>
      </c>
      <c r="C87" s="20" t="n">
        <v>-35</v>
      </c>
      <c r="D87" s="20" t="n">
        <v>-35</v>
      </c>
      <c r="E87" s="20" t="n">
        <v>-37</v>
      </c>
      <c r="F87" s="20" t="n">
        <v>-37</v>
      </c>
      <c r="G87" s="20" t="n">
        <v>-38</v>
      </c>
      <c r="H87" s="20" t="n">
        <v>-36</v>
      </c>
      <c r="I87" s="20" t="n">
        <v>-35</v>
      </c>
      <c r="J87" s="20" t="n">
        <v>-36</v>
      </c>
      <c r="K87" s="20" t="n">
        <v>-35</v>
      </c>
      <c r="L87" s="20" t="n">
        <v>-37</v>
      </c>
    </row>
    <row r="88">
      <c r="A88" s="18" t="inlineStr">
        <is>
          <t>기계장치·운반구(순액)</t>
        </is>
      </c>
      <c r="C88" s="20" t="n">
        <v>623</v>
      </c>
      <c r="D88" s="20" t="n">
        <v>622</v>
      </c>
      <c r="E88" s="20" t="n">
        <v>635</v>
      </c>
      <c r="F88" s="20" t="n">
        <v>664</v>
      </c>
      <c r="G88" s="20" t="n">
        <v>653</v>
      </c>
      <c r="H88" s="20" t="n">
        <v>549</v>
      </c>
      <c r="I88" s="20" t="n">
        <v>492</v>
      </c>
      <c r="J88" s="20" t="n">
        <v>417</v>
      </c>
      <c r="K88" s="20" t="n">
        <v>505</v>
      </c>
      <c r="L88" s="20" t="n">
        <v>664</v>
      </c>
    </row>
    <row r="89">
      <c r="A89" s="18" t="inlineStr">
        <is>
          <t>공구·기구·비품</t>
        </is>
      </c>
      <c r="C89" s="20" t="n">
        <v>29959</v>
      </c>
      <c r="D89" s="20" t="n">
        <v>30399</v>
      </c>
      <c r="E89" s="20" t="n">
        <v>31588</v>
      </c>
      <c r="F89" s="20" t="n">
        <v>31717</v>
      </c>
      <c r="G89" s="20" t="n">
        <v>33116</v>
      </c>
      <c r="H89" s="20" t="n">
        <v>24209</v>
      </c>
      <c r="I89" s="20" t="n">
        <v>24725</v>
      </c>
      <c r="J89" s="20" t="n">
        <v>26371</v>
      </c>
      <c r="K89" s="20" t="n">
        <v>29371</v>
      </c>
      <c r="L89" s="20" t="n">
        <v>31717</v>
      </c>
    </row>
    <row r="90">
      <c r="A90" s="18" t="inlineStr">
        <is>
          <t>감가상각누계액</t>
        </is>
      </c>
      <c r="C90" s="20" t="n">
        <v>-25941</v>
      </c>
      <c r="D90" s="20" t="n">
        <v>-26284</v>
      </c>
      <c r="E90" s="20" t="n">
        <v>-27055</v>
      </c>
      <c r="F90" s="20" t="n">
        <v>-27453</v>
      </c>
      <c r="G90" s="20" t="n">
        <v>-28052</v>
      </c>
      <c r="H90" s="20" t="n">
        <v>-22344</v>
      </c>
      <c r="I90" s="20" t="n">
        <v>-22779</v>
      </c>
      <c r="J90" s="20" t="n">
        <v>-24240</v>
      </c>
      <c r="K90" s="20" t="n">
        <v>-25495</v>
      </c>
      <c r="L90" s="20" t="n">
        <v>-27453</v>
      </c>
    </row>
    <row r="91">
      <c r="A91" s="18" t="inlineStr">
        <is>
          <t>손상차손누계액</t>
        </is>
      </c>
      <c r="C91" s="20" t="n">
        <v>-1105</v>
      </c>
      <c r="D91" s="20" t="n">
        <v>-1105</v>
      </c>
      <c r="E91" s="20" t="n">
        <v>-1161</v>
      </c>
      <c r="F91" s="20" t="n">
        <v>-1156</v>
      </c>
      <c r="G91" s="20" t="n">
        <v>-1175</v>
      </c>
      <c r="H91" s="20" t="n">
        <v>-947</v>
      </c>
      <c r="I91" s="20" t="n">
        <v>-960</v>
      </c>
      <c r="J91" s="20" t="n">
        <v>-1080</v>
      </c>
      <c r="K91" s="20" t="n">
        <v>-1082</v>
      </c>
      <c r="L91" s="20" t="n">
        <v>-1156</v>
      </c>
    </row>
    <row r="92">
      <c r="A92" s="18" t="inlineStr">
        <is>
          <t>공구·기구·비품(순액)</t>
        </is>
      </c>
      <c r="C92" s="20" t="n">
        <v>2912</v>
      </c>
      <c r="D92" s="20" t="n">
        <v>3009</v>
      </c>
      <c r="E92" s="20" t="n">
        <v>3372</v>
      </c>
      <c r="F92" s="20" t="n">
        <v>3107</v>
      </c>
      <c r="G92" s="20" t="n">
        <v>3888</v>
      </c>
      <c r="H92" s="20" t="n">
        <v>918</v>
      </c>
      <c r="I92" s="20" t="n">
        <v>985</v>
      </c>
      <c r="J92" s="20" t="n">
        <v>1050</v>
      </c>
      <c r="K92" s="20" t="n">
        <v>2793</v>
      </c>
      <c r="L92" s="20" t="n">
        <v>3107</v>
      </c>
    </row>
    <row r="93">
      <c r="A93" s="18" t="inlineStr">
        <is>
          <t>토지</t>
        </is>
      </c>
      <c r="C93" s="20" t="n">
        <v>3952</v>
      </c>
      <c r="D93" s="20" t="n">
        <v>3961</v>
      </c>
      <c r="E93" s="20" t="n">
        <v>3979</v>
      </c>
      <c r="F93" s="20" t="n">
        <v>3979</v>
      </c>
      <c r="G93" s="20" t="n">
        <v>3983</v>
      </c>
      <c r="H93" s="20" t="n">
        <v>3916</v>
      </c>
      <c r="I93" s="20" t="n">
        <v>3933</v>
      </c>
      <c r="J93" s="20" t="n">
        <v>3958</v>
      </c>
      <c r="K93" s="20" t="n">
        <v>3956</v>
      </c>
      <c r="L93" s="20" t="n">
        <v>3979</v>
      </c>
    </row>
    <row r="94">
      <c r="A94" s="18" t="inlineStr">
        <is>
          <t>리스자산</t>
        </is>
      </c>
      <c r="C94" s="20" t="n">
        <v>7764</v>
      </c>
      <c r="D94" s="20" t="n">
        <v>8240</v>
      </c>
      <c r="E94" s="20" t="n">
        <v>8846</v>
      </c>
      <c r="F94" s="20" t="n">
        <v>8930</v>
      </c>
      <c r="G94" s="20" t="n">
        <v>8282</v>
      </c>
      <c r="H94" s="20" t="n">
        <v>8425</v>
      </c>
      <c r="I94" s="20" t="n">
        <v>8746</v>
      </c>
      <c r="J94" s="20" t="n">
        <v>7137</v>
      </c>
      <c r="K94" s="20" t="n">
        <v>7370</v>
      </c>
      <c r="L94" s="20" t="n">
        <v>8930</v>
      </c>
    </row>
    <row r="95">
      <c r="A95" s="18" t="inlineStr">
        <is>
          <t>감가상각누계액</t>
        </is>
      </c>
      <c r="C95" s="20" t="n">
        <v>-3156</v>
      </c>
      <c r="D95" s="20" t="n">
        <v>-3371</v>
      </c>
      <c r="E95" s="20" t="n">
        <v>-3723</v>
      </c>
      <c r="F95" s="20" t="n">
        <v>-3733</v>
      </c>
      <c r="G95" s="20" t="n">
        <v>-3863</v>
      </c>
      <c r="H95" s="20" t="n">
        <v>-3663</v>
      </c>
      <c r="I95" s="20" t="n">
        <v>-4791</v>
      </c>
      <c r="J95" s="20" t="n">
        <v>-3457</v>
      </c>
      <c r="K95" s="20" t="n">
        <v>-3015</v>
      </c>
      <c r="L95" s="20" t="n">
        <v>-3733</v>
      </c>
    </row>
    <row r="96">
      <c r="A96" s="18" t="inlineStr">
        <is>
          <t>손상차손누계액</t>
        </is>
      </c>
      <c r="C96" s="20" t="n">
        <v>-481</v>
      </c>
      <c r="D96" s="20" t="n">
        <v>-487</v>
      </c>
      <c r="E96" s="20" t="n">
        <v>-515</v>
      </c>
      <c r="F96" s="20" t="n">
        <v>-514</v>
      </c>
      <c r="G96" s="20" t="n">
        <v>-522</v>
      </c>
      <c r="H96" s="20" t="n">
        <v>-378</v>
      </c>
      <c r="I96" s="20" t="n">
        <v>-393</v>
      </c>
      <c r="J96" s="20" t="n">
        <v>-449</v>
      </c>
      <c r="K96" s="20" t="n">
        <v>-466</v>
      </c>
      <c r="L96" s="20" t="n">
        <v>-514</v>
      </c>
    </row>
    <row r="97">
      <c r="A97" s="18" t="inlineStr">
        <is>
          <t>리스자산(순액)</t>
        </is>
      </c>
      <c r="C97" s="20" t="n">
        <v>4126</v>
      </c>
      <c r="D97" s="20" t="n">
        <v>4381</v>
      </c>
      <c r="E97" s="20" t="n">
        <v>4606</v>
      </c>
      <c r="F97" s="20" t="n">
        <v>4683</v>
      </c>
      <c r="G97" s="20" t="n">
        <v>3895</v>
      </c>
      <c r="H97" s="20" t="n">
        <v>4383</v>
      </c>
      <c r="I97" s="20" t="n">
        <v>3561</v>
      </c>
      <c r="J97" s="20" t="n">
        <v>3229</v>
      </c>
      <c r="K97" s="20" t="n">
        <v>3889</v>
      </c>
      <c r="L97" s="20" t="n">
        <v>4683</v>
      </c>
    </row>
    <row r="98">
      <c r="A98" s="18" t="inlineStr">
        <is>
          <t>사용권자산</t>
        </is>
      </c>
      <c r="H98" s="20" t="n">
        <v>0</v>
      </c>
      <c r="I98" s="20" t="n">
        <v>2916</v>
      </c>
      <c r="J98" s="20" t="n">
        <v>2760</v>
      </c>
      <c r="K98" s="20" t="n">
        <v>2302</v>
      </c>
    </row>
    <row r="99">
      <c r="A99" s="18" t="inlineStr">
        <is>
          <t>사용권자산</t>
        </is>
      </c>
      <c r="F99" s="20" t="n">
        <v>1819</v>
      </c>
      <c r="K99" s="20" t="n">
        <v>2302</v>
      </c>
      <c r="L99" s="20" t="n">
        <v>1819</v>
      </c>
    </row>
    <row r="100">
      <c r="A100" s="18" t="inlineStr">
        <is>
          <t>사용권자산</t>
        </is>
      </c>
      <c r="C100" s="20" t="n">
        <v>2100</v>
      </c>
      <c r="D100" s="20" t="n">
        <v>1990</v>
      </c>
      <c r="E100" s="20" t="n">
        <v>1937</v>
      </c>
      <c r="F100" s="20" t="n">
        <v>1819</v>
      </c>
      <c r="G100" s="20" t="n">
        <v>1674</v>
      </c>
      <c r="H100" s="20" t="n">
        <v>0</v>
      </c>
      <c r="I100" s="20" t="n">
        <v>2916</v>
      </c>
      <c r="J100" s="20" t="n">
        <v>2760</v>
      </c>
      <c r="K100" s="20" t="n">
        <v>2302</v>
      </c>
      <c r="L100" s="20" t="n">
        <v>1819</v>
      </c>
    </row>
    <row r="101">
      <c r="A101" s="18" t="inlineStr">
        <is>
          <t>건설중인자산</t>
        </is>
      </c>
      <c r="C101" s="20" t="n">
        <v>917</v>
      </c>
      <c r="D101" s="20" t="n">
        <v>636</v>
      </c>
      <c r="E101" s="20" t="n">
        <v>651</v>
      </c>
      <c r="F101" s="20" t="n">
        <v>649</v>
      </c>
      <c r="G101" s="20" t="n">
        <v>443</v>
      </c>
      <c r="H101" s="20" t="n">
        <v>387</v>
      </c>
      <c r="I101" s="20" t="n">
        <v>423</v>
      </c>
      <c r="J101" s="20" t="n">
        <v>1183</v>
      </c>
      <c r="K101" s="20" t="n">
        <v>975</v>
      </c>
      <c r="L101" s="20" t="n">
        <v>649</v>
      </c>
    </row>
    <row r="102">
      <c r="A102" s="18" t="inlineStr">
        <is>
          <t>유형자산 합계</t>
        </is>
      </c>
      <c r="C102" s="20" t="n">
        <v>20371</v>
      </c>
      <c r="D102" s="20" t="n">
        <v>20326</v>
      </c>
      <c r="E102" s="20" t="n">
        <v>20979</v>
      </c>
      <c r="F102" s="20" t="n">
        <v>20581</v>
      </c>
      <c r="G102" s="20" t="n">
        <v>20420</v>
      </c>
      <c r="H102" s="20" t="n">
        <v>13526</v>
      </c>
      <c r="I102" s="20" t="n">
        <v>15638</v>
      </c>
      <c r="J102" s="20" t="n">
        <v>15901</v>
      </c>
      <c r="K102" s="20" t="n">
        <v>19099</v>
      </c>
      <c r="L102" s="20" t="n">
        <v>20581</v>
      </c>
    </row>
    <row r="103">
      <c r="A103" s="18" t="inlineStr">
        <is>
          <t>영업권</t>
        </is>
      </c>
      <c r="C103" s="20" t="n">
        <v>10345</v>
      </c>
      <c r="D103" s="20" t="n">
        <v>10180</v>
      </c>
      <c r="E103" s="20" t="n">
        <v>5108</v>
      </c>
      <c r="F103" s="20" t="n">
        <v>4972</v>
      </c>
      <c r="G103" s="20" t="n">
        <v>4802</v>
      </c>
      <c r="H103" s="20" t="n">
        <v>15988</v>
      </c>
      <c r="I103" s="20" t="n">
        <v>15616</v>
      </c>
      <c r="J103" s="20" t="n">
        <v>13135</v>
      </c>
      <c r="K103" s="20" t="n">
        <v>11140</v>
      </c>
      <c r="L103" s="20" t="n">
        <v>4972</v>
      </c>
    </row>
    <row r="104">
      <c r="A104" s="18" t="inlineStr">
        <is>
          <t>상표 이용권</t>
        </is>
      </c>
      <c r="F104" s="20" t="n">
        <v>4187</v>
      </c>
      <c r="H104" s="20" t="n">
        <v>3740</v>
      </c>
      <c r="I104" s="20" t="n">
        <v>3935</v>
      </c>
      <c r="J104" s="20" t="n">
        <v>4296</v>
      </c>
      <c r="K104" s="20" t="n">
        <v>4079</v>
      </c>
      <c r="L104" s="20" t="n">
        <v>4187</v>
      </c>
    </row>
    <row r="105">
      <c r="A105" s="18" t="inlineStr">
        <is>
          <t>기타</t>
        </is>
      </c>
      <c r="C105" s="20" t="n">
        <v>12487</v>
      </c>
      <c r="D105" s="20" t="n">
        <v>12806</v>
      </c>
      <c r="E105" s="20" t="n">
        <v>13335</v>
      </c>
      <c r="F105" s="20" t="n">
        <v>13879</v>
      </c>
      <c r="G105" s="20" t="n">
        <v>14424</v>
      </c>
      <c r="H105" s="20" t="n">
        <v>6161</v>
      </c>
      <c r="I105" s="20" t="n">
        <v>6179</v>
      </c>
      <c r="J105" s="20" t="n">
        <v>8168</v>
      </c>
      <c r="K105" s="20" t="n">
        <v>8707</v>
      </c>
      <c r="L105" s="20" t="n">
        <v>13879</v>
      </c>
    </row>
    <row r="106">
      <c r="A106" s="18" t="inlineStr">
        <is>
          <t>무형자산 합계</t>
        </is>
      </c>
      <c r="C106" s="20" t="n">
        <v>22832</v>
      </c>
      <c r="D106" s="20" t="n">
        <v>22986</v>
      </c>
      <c r="E106" s="20" t="n">
        <v>18444</v>
      </c>
      <c r="F106" s="20" t="n">
        <v>18851</v>
      </c>
      <c r="G106" s="20" t="n">
        <v>19226</v>
      </c>
      <c r="H106" s="20" t="n">
        <v>25890</v>
      </c>
      <c r="I106" s="20" t="n">
        <v>25731</v>
      </c>
      <c r="J106" s="20" t="n">
        <v>25600</v>
      </c>
      <c r="K106" s="20" t="n">
        <v>23927</v>
      </c>
      <c r="L106" s="20" t="n">
        <v>18851</v>
      </c>
    </row>
    <row r="107">
      <c r="A107" s="18" t="inlineStr">
        <is>
          <t>투자유가증권</t>
        </is>
      </c>
      <c r="C107" s="20" t="n">
        <v>4223</v>
      </c>
      <c r="D107" s="20" t="n">
        <v>4468</v>
      </c>
      <c r="E107" s="20" t="n">
        <v>3883</v>
      </c>
      <c r="F107" s="20" t="n">
        <v>3736</v>
      </c>
      <c r="G107" s="20" t="n">
        <v>3883</v>
      </c>
      <c r="H107" s="20" t="n">
        <v>2970</v>
      </c>
      <c r="I107" s="20" t="n">
        <v>2979</v>
      </c>
      <c r="J107" s="20" t="n">
        <v>3426</v>
      </c>
      <c r="K107" s="20" t="n">
        <v>3890</v>
      </c>
      <c r="L107" s="20" t="n">
        <v>3736</v>
      </c>
    </row>
    <row r="108">
      <c r="A108" s="18" t="inlineStr">
        <is>
          <t>이연법인세자산</t>
        </is>
      </c>
      <c r="C108" s="20" t="n">
        <v>2377</v>
      </c>
      <c r="D108" s="20" t="n">
        <v>2128</v>
      </c>
      <c r="E108" s="20" t="n">
        <v>1942</v>
      </c>
      <c r="F108" s="20" t="n">
        <v>1848</v>
      </c>
      <c r="G108" s="20" t="n">
        <v>1861</v>
      </c>
      <c r="H108" s="20" t="n">
        <v>1215</v>
      </c>
      <c r="I108" s="20" t="n">
        <v>1483</v>
      </c>
      <c r="J108" s="20" t="n">
        <v>1671</v>
      </c>
      <c r="K108" s="20" t="n">
        <v>2125</v>
      </c>
      <c r="L108" s="20" t="n">
        <v>1848</v>
      </c>
    </row>
    <row r="109">
      <c r="A109" s="18" t="inlineStr">
        <is>
          <t>기타</t>
        </is>
      </c>
      <c r="C109" s="20" t="n">
        <v>2645</v>
      </c>
      <c r="D109" s="20" t="n">
        <v>2637</v>
      </c>
      <c r="E109" s="20" t="n">
        <v>2930</v>
      </c>
      <c r="F109" s="20" t="n">
        <v>2943</v>
      </c>
      <c r="G109" s="20" t="n">
        <v>2951</v>
      </c>
      <c r="H109" s="20" t="n">
        <v>2230</v>
      </c>
      <c r="I109" s="20" t="n">
        <v>2033</v>
      </c>
      <c r="J109" s="20" t="n">
        <v>2109</v>
      </c>
      <c r="K109" s="20" t="n">
        <v>2417</v>
      </c>
      <c r="L109" s="20" t="n">
        <v>2943</v>
      </c>
    </row>
    <row r="110">
      <c r="A110" s="18" t="inlineStr">
        <is>
          <t>대손충당금</t>
        </is>
      </c>
      <c r="C110" s="20" t="n">
        <v>-93</v>
      </c>
      <c r="D110" s="20" t="n">
        <v>-103</v>
      </c>
      <c r="E110" s="20" t="n">
        <v>-138</v>
      </c>
      <c r="F110" s="20" t="n">
        <v>-145</v>
      </c>
      <c r="G110" s="20" t="n">
        <v>-147</v>
      </c>
      <c r="H110" s="20" t="n">
        <v>-66</v>
      </c>
      <c r="I110" s="20" t="n">
        <v>-10</v>
      </c>
      <c r="J110" s="20" t="n">
        <v>-19</v>
      </c>
      <c r="K110" s="20" t="n">
        <v>-92</v>
      </c>
      <c r="L110" s="20" t="n">
        <v>-145</v>
      </c>
    </row>
    <row r="111">
      <c r="A111" s="18" t="inlineStr">
        <is>
          <t>투자 및 기타자산 합계</t>
        </is>
      </c>
      <c r="C111" s="20" t="n">
        <v>9154</v>
      </c>
      <c r="D111" s="20" t="n">
        <v>9130</v>
      </c>
      <c r="E111" s="20" t="n">
        <v>8617</v>
      </c>
      <c r="F111" s="20" t="n">
        <v>8383</v>
      </c>
      <c r="G111" s="20" t="n">
        <v>8548</v>
      </c>
      <c r="H111" s="20" t="n">
        <v>6349</v>
      </c>
      <c r="I111" s="20" t="n">
        <v>6485</v>
      </c>
      <c r="J111" s="20" t="n">
        <v>7188</v>
      </c>
      <c r="K111" s="20" t="n">
        <v>8340</v>
      </c>
      <c r="L111" s="20" t="n">
        <v>8383</v>
      </c>
    </row>
    <row r="112">
      <c r="A112" s="9" t="inlineStr">
        <is>
          <t>비유동자산 합계</t>
        </is>
      </c>
      <c r="C112" s="12" t="n">
        <v>52358</v>
      </c>
      <c r="D112" s="12" t="n">
        <v>52443</v>
      </c>
      <c r="E112" s="12" t="n">
        <v>48040</v>
      </c>
      <c r="F112" s="12" t="n">
        <v>47816</v>
      </c>
      <c r="G112" s="12" t="n">
        <v>48196</v>
      </c>
      <c r="H112" s="12" t="n">
        <v>45766</v>
      </c>
      <c r="I112" s="12" t="n">
        <v>47854</v>
      </c>
      <c r="J112" s="12" t="n">
        <v>48690</v>
      </c>
      <c r="K112" s="12" t="n">
        <v>51367</v>
      </c>
      <c r="L112" s="12" t="n">
        <v>47816</v>
      </c>
    </row>
    <row r="113">
      <c r="A113" s="9" t="inlineStr">
        <is>
          <t>자산 합계</t>
        </is>
      </c>
      <c r="C113" s="12" t="n">
        <v>158153</v>
      </c>
      <c r="D113" s="12" t="n">
        <v>167580</v>
      </c>
      <c r="E113" s="12" t="n">
        <v>176444</v>
      </c>
      <c r="F113" s="12" t="n">
        <v>163360</v>
      </c>
      <c r="G113" s="12" t="n">
        <v>160449</v>
      </c>
      <c r="H113" s="12" t="n">
        <v>156090</v>
      </c>
      <c r="I113" s="12" t="n">
        <v>159519</v>
      </c>
      <c r="J113" s="12" t="n">
        <v>166252</v>
      </c>
      <c r="K113" s="12" t="n">
        <v>165770</v>
      </c>
      <c r="L113" s="12" t="n">
        <v>163360</v>
      </c>
    </row>
    <row r="114">
      <c r="A114" s="18" t="inlineStr">
        <is>
          <t>지급어음·매입채무</t>
        </is>
      </c>
      <c r="C114" s="20" t="n">
        <v>17507</v>
      </c>
      <c r="D114" s="20" t="n">
        <v>17762</v>
      </c>
      <c r="E114" s="20" t="n">
        <v>20472</v>
      </c>
      <c r="F114" s="20" t="n">
        <v>11867</v>
      </c>
      <c r="G114" s="20" t="n">
        <v>15861</v>
      </c>
      <c r="H114" s="20" t="n">
        <v>8958</v>
      </c>
      <c r="I114" s="20" t="n">
        <v>9213</v>
      </c>
      <c r="J114" s="20" t="n">
        <v>14598</v>
      </c>
      <c r="K114" s="20" t="n">
        <v>14805</v>
      </c>
      <c r="L114" s="20" t="n">
        <v>11867</v>
      </c>
    </row>
    <row r="115">
      <c r="A115" s="18" t="inlineStr">
        <is>
          <t>단기차입금</t>
        </is>
      </c>
      <c r="H115" s="20" t="n">
        <v>7628</v>
      </c>
      <c r="I115" s="20" t="n">
        <v>10043</v>
      </c>
      <c r="J115" s="20" t="n">
        <v>0</v>
      </c>
    </row>
    <row r="116">
      <c r="A116" s="18" t="inlineStr">
        <is>
          <t>1년 내 상환 장기차입금</t>
        </is>
      </c>
      <c r="C116" s="20" t="n">
        <v>3234</v>
      </c>
      <c r="D116" s="20" t="n">
        <v>2323</v>
      </c>
      <c r="E116" s="20" t="n">
        <v>1400</v>
      </c>
      <c r="F116" s="20" t="n">
        <v>700</v>
      </c>
      <c r="G116" s="20" t="n">
        <v>0</v>
      </c>
      <c r="H116" s="20" t="n">
        <v>8834</v>
      </c>
      <c r="I116" s="20" t="n">
        <v>8901</v>
      </c>
      <c r="J116" s="20" t="n">
        <v>6183</v>
      </c>
      <c r="K116" s="20" t="n">
        <v>3472</v>
      </c>
      <c r="L116" s="20" t="n">
        <v>700</v>
      </c>
    </row>
    <row r="117">
      <c r="A117" s="18" t="inlineStr">
        <is>
          <t>리스부채</t>
        </is>
      </c>
      <c r="C117" s="20" t="n">
        <v>3481</v>
      </c>
      <c r="D117" s="20" t="n">
        <v>3538</v>
      </c>
      <c r="E117" s="20" t="n">
        <v>3864</v>
      </c>
      <c r="F117" s="20" t="n">
        <v>3959</v>
      </c>
      <c r="G117" s="20" t="n">
        <v>3374</v>
      </c>
      <c r="H117" s="20" t="n">
        <v>2686</v>
      </c>
      <c r="I117" s="20" t="n">
        <v>3198</v>
      </c>
      <c r="J117" s="20" t="n">
        <v>3274</v>
      </c>
      <c r="K117" s="20" t="n">
        <v>3506</v>
      </c>
      <c r="L117" s="20" t="n">
        <v>3959</v>
      </c>
    </row>
    <row r="118">
      <c r="A118" s="18" t="inlineStr">
        <is>
          <t>미지급금</t>
        </is>
      </c>
      <c r="C118" s="20" t="n">
        <v>8628</v>
      </c>
      <c r="D118" s="20" t="n">
        <v>8971</v>
      </c>
      <c r="E118" s="20" t="n">
        <v>11911</v>
      </c>
      <c r="F118" s="20" t="n">
        <v>9419</v>
      </c>
      <c r="G118" s="20" t="n">
        <v>7769</v>
      </c>
      <c r="H118" s="20" t="n">
        <v>7502</v>
      </c>
      <c r="I118" s="20" t="n">
        <v>7276</v>
      </c>
      <c r="J118" s="20" t="n">
        <v>10425</v>
      </c>
      <c r="K118" s="20" t="n">
        <v>10253</v>
      </c>
      <c r="L118" s="20" t="n">
        <v>9419</v>
      </c>
    </row>
    <row r="119">
      <c r="A119" s="18" t="inlineStr">
        <is>
          <t>미지급비용</t>
        </is>
      </c>
      <c r="C119" s="20" t="n">
        <v>9549</v>
      </c>
      <c r="D119" s="20" t="n">
        <v>10929</v>
      </c>
      <c r="E119" s="20" t="n">
        <v>12748</v>
      </c>
      <c r="F119" s="20" t="n">
        <v>11801</v>
      </c>
      <c r="G119" s="20" t="n">
        <v>10841</v>
      </c>
      <c r="H119" s="20" t="n">
        <v>8183</v>
      </c>
      <c r="I119" s="20" t="n">
        <v>8058</v>
      </c>
      <c r="J119" s="20" t="n">
        <v>10913</v>
      </c>
      <c r="K119" s="20" t="n">
        <v>11442</v>
      </c>
      <c r="L119" s="20" t="n">
        <v>11801</v>
      </c>
    </row>
    <row r="120">
      <c r="A120" s="18" t="inlineStr">
        <is>
          <t>미지급법인세</t>
        </is>
      </c>
      <c r="C120" s="20" t="n">
        <v>1692</v>
      </c>
      <c r="D120" s="20" t="n">
        <v>3402</v>
      </c>
      <c r="E120" s="20" t="n">
        <v>2764</v>
      </c>
      <c r="F120" s="20" t="n">
        <v>3837</v>
      </c>
      <c r="G120" s="20" t="n">
        <v>1936</v>
      </c>
      <c r="H120" s="20" t="n">
        <v>2422</v>
      </c>
      <c r="I120" s="20" t="n">
        <v>1562</v>
      </c>
      <c r="J120" s="20" t="n">
        <v>4520</v>
      </c>
      <c r="K120" s="20" t="n">
        <v>4423</v>
      </c>
      <c r="L120" s="20" t="n">
        <v>3837</v>
      </c>
    </row>
    <row r="121">
      <c r="A121" s="18" t="inlineStr">
        <is>
          <t>제품보증 충당금</t>
        </is>
      </c>
      <c r="F121" s="20" t="n">
        <v>134</v>
      </c>
      <c r="H121" s="20" t="n">
        <v>297</v>
      </c>
      <c r="I121" s="20" t="n">
        <v>245</v>
      </c>
      <c r="J121" s="20" t="n">
        <v>201</v>
      </c>
      <c r="K121" s="20" t="n">
        <v>157</v>
      </c>
      <c r="L121" s="20" t="n">
        <v>134</v>
      </c>
    </row>
    <row r="122">
      <c r="A122" s="18" t="inlineStr">
        <is>
          <t>임원 상여충당금</t>
        </is>
      </c>
      <c r="F122" s="20" t="n">
        <v>245</v>
      </c>
      <c r="H122" s="20" t="n">
        <v>246</v>
      </c>
      <c r="I122" s="20" t="n">
        <v>139</v>
      </c>
      <c r="J122" s="20" t="n">
        <v>233</v>
      </c>
      <c r="K122" s="20" t="n">
        <v>296</v>
      </c>
      <c r="L122" s="20" t="n">
        <v>245</v>
      </c>
    </row>
    <row r="123">
      <c r="A123" s="18" t="inlineStr">
        <is>
          <t>임원 주식급여 충당금</t>
        </is>
      </c>
      <c r="F123" s="20" t="n">
        <v>112</v>
      </c>
      <c r="H123" s="20" t="n">
        <v>85</v>
      </c>
      <c r="I123" s="20" t="n">
        <v>47</v>
      </c>
      <c r="J123" s="20" t="n">
        <v>46</v>
      </c>
      <c r="K123" s="20" t="n">
        <v>103</v>
      </c>
      <c r="L123" s="20" t="n">
        <v>112</v>
      </c>
    </row>
    <row r="124">
      <c r="A124" s="18" t="inlineStr">
        <is>
          <t>주식급여 충당금</t>
        </is>
      </c>
      <c r="F124" s="20" t="n">
        <v>151</v>
      </c>
      <c r="H124" s="20" t="n">
        <v>85</v>
      </c>
      <c r="I124" s="20" t="n">
        <v>41</v>
      </c>
      <c r="J124" s="20" t="n">
        <v>73</v>
      </c>
      <c r="K124" s="20" t="n">
        <v>128</v>
      </c>
      <c r="L124" s="20" t="n">
        <v>151</v>
      </c>
    </row>
    <row r="125">
      <c r="A125" s="18" t="inlineStr">
        <is>
          <t>충당금</t>
        </is>
      </c>
      <c r="C125" s="20" t="n">
        <v>526</v>
      </c>
      <c r="D125" s="20" t="n">
        <v>451</v>
      </c>
      <c r="E125" s="20" t="n">
        <v>513</v>
      </c>
      <c r="F125" s="20" t="n">
        <v>644</v>
      </c>
      <c r="G125" s="20" t="n">
        <v>544</v>
      </c>
      <c r="H125" s="20" t="n">
        <v>714</v>
      </c>
      <c r="I125" s="20" t="n">
        <v>473</v>
      </c>
      <c r="J125" s="20" t="n">
        <v>555</v>
      </c>
      <c r="K125" s="20" t="n">
        <v>685</v>
      </c>
      <c r="L125" s="20" t="n">
        <v>644</v>
      </c>
    </row>
    <row r="126">
      <c r="A126" s="18" t="inlineStr">
        <is>
          <t>기타</t>
        </is>
      </c>
      <c r="C126" s="20" t="n">
        <v>4333</v>
      </c>
      <c r="D126" s="20" t="n">
        <v>3053</v>
      </c>
      <c r="E126" s="20" t="n">
        <v>3735</v>
      </c>
      <c r="F126" s="20" t="n">
        <v>2618</v>
      </c>
      <c r="G126" s="20" t="n">
        <v>4145</v>
      </c>
      <c r="H126" s="20" t="n">
        <v>2995</v>
      </c>
      <c r="I126" s="20" t="n">
        <v>4328</v>
      </c>
      <c r="J126" s="20" t="n">
        <v>3250</v>
      </c>
      <c r="K126" s="20" t="n">
        <v>2343</v>
      </c>
      <c r="L126" s="20" t="n">
        <v>2618</v>
      </c>
    </row>
    <row r="127">
      <c r="A127" s="9" t="inlineStr">
        <is>
          <t>유동부채 합계</t>
        </is>
      </c>
      <c r="C127" s="12" t="n">
        <v>48952</v>
      </c>
      <c r="D127" s="12" t="n">
        <v>50431</v>
      </c>
      <c r="E127" s="12" t="n">
        <v>57410</v>
      </c>
      <c r="F127" s="12" t="n">
        <v>44848</v>
      </c>
      <c r="G127" s="12" t="n">
        <v>44474</v>
      </c>
      <c r="H127" s="12" t="n">
        <v>49927</v>
      </c>
      <c r="I127" s="12" t="n">
        <v>53056</v>
      </c>
      <c r="J127" s="12" t="n">
        <v>53722</v>
      </c>
      <c r="K127" s="12" t="n">
        <v>50933</v>
      </c>
      <c r="L127" s="12" t="n">
        <v>44848</v>
      </c>
    </row>
    <row r="128">
      <c r="A128" s="18" t="inlineStr">
        <is>
          <t>장기차입금</t>
        </is>
      </c>
      <c r="C128" s="20" t="n">
        <v>0</v>
      </c>
      <c r="D128" s="20" t="n">
        <v>0</v>
      </c>
      <c r="E128" s="20" t="n">
        <v>0</v>
      </c>
      <c r="F128" s="20" t="n">
        <v>0</v>
      </c>
      <c r="H128" s="20" t="n">
        <v>18894</v>
      </c>
      <c r="I128" s="20" t="n">
        <v>10177</v>
      </c>
      <c r="J128" s="20" t="n">
        <v>4181</v>
      </c>
      <c r="K128" s="20" t="n">
        <v>700</v>
      </c>
      <c r="L128" s="20" t="n">
        <v>0</v>
      </c>
    </row>
    <row r="129">
      <c r="A129" s="18" t="inlineStr">
        <is>
          <t>리스부채</t>
        </is>
      </c>
      <c r="C129" s="20" t="n">
        <v>3034</v>
      </c>
      <c r="D129" s="20" t="n">
        <v>3121</v>
      </c>
      <c r="E129" s="20" t="n">
        <v>2994</v>
      </c>
      <c r="F129" s="20" t="n">
        <v>2851</v>
      </c>
      <c r="G129" s="20" t="n">
        <v>2424</v>
      </c>
      <c r="H129" s="20" t="n">
        <v>1626</v>
      </c>
      <c r="I129" s="20" t="n">
        <v>3669</v>
      </c>
      <c r="J129" s="20" t="n">
        <v>3259</v>
      </c>
      <c r="K129" s="20" t="n">
        <v>3124</v>
      </c>
      <c r="L129" s="20" t="n">
        <v>2851</v>
      </c>
    </row>
    <row r="130">
      <c r="A130" s="18" t="inlineStr">
        <is>
          <t>이연법인세부채</t>
        </is>
      </c>
      <c r="C130" s="20" t="n">
        <v>0</v>
      </c>
      <c r="D130" s="20" t="n">
        <v>49</v>
      </c>
      <c r="E130" s="20" t="n">
        <v>532</v>
      </c>
      <c r="F130" s="20" t="n">
        <v>429</v>
      </c>
      <c r="G130" s="20" t="n">
        <v>530</v>
      </c>
      <c r="H130" s="20" t="n">
        <v>770</v>
      </c>
      <c r="I130" s="20" t="n">
        <v>431</v>
      </c>
      <c r="J130" s="20" t="n">
        <v>385</v>
      </c>
      <c r="K130" s="20" t="n">
        <v>13</v>
      </c>
      <c r="L130" s="20" t="n">
        <v>429</v>
      </c>
    </row>
    <row r="131">
      <c r="A131" s="18" t="inlineStr">
        <is>
          <t>재평가 관련 이연법인세부채</t>
        </is>
      </c>
      <c r="C131" s="20" t="n">
        <v>485</v>
      </c>
      <c r="D131" s="20" t="n">
        <v>485</v>
      </c>
      <c r="E131" s="20" t="n">
        <v>485</v>
      </c>
      <c r="F131" s="20" t="n">
        <v>485</v>
      </c>
      <c r="G131" s="20" t="n">
        <v>485</v>
      </c>
      <c r="H131" s="20" t="n">
        <v>472</v>
      </c>
      <c r="I131" s="20" t="n">
        <v>472</v>
      </c>
      <c r="J131" s="20" t="n">
        <v>472</v>
      </c>
      <c r="K131" s="20" t="n">
        <v>485</v>
      </c>
      <c r="L131" s="20" t="n">
        <v>485</v>
      </c>
    </row>
    <row r="132">
      <c r="A132" s="18" t="inlineStr">
        <is>
          <t>충당금</t>
        </is>
      </c>
      <c r="C132" s="20" t="n">
        <v>267</v>
      </c>
      <c r="D132" s="20" t="n">
        <v>598</v>
      </c>
      <c r="E132" s="20" t="n">
        <v>359</v>
      </c>
      <c r="F132" s="20" t="n">
        <v>330</v>
      </c>
      <c r="G132" s="20" t="n">
        <v>358</v>
      </c>
      <c r="H132" s="20" t="n">
        <v>243</v>
      </c>
      <c r="I132" s="20" t="n">
        <v>401</v>
      </c>
      <c r="J132" s="20" t="n">
        <v>376</v>
      </c>
      <c r="K132" s="20" t="n">
        <v>325</v>
      </c>
      <c r="L132" s="20" t="n">
        <v>330</v>
      </c>
    </row>
    <row r="133">
      <c r="A133" s="18" t="inlineStr">
        <is>
          <t>퇴직급여부채</t>
        </is>
      </c>
      <c r="C133" s="20" t="n">
        <v>2185</v>
      </c>
      <c r="D133" s="20" t="n">
        <v>2191</v>
      </c>
      <c r="E133" s="20" t="n">
        <v>2187</v>
      </c>
      <c r="F133" s="20" t="n">
        <v>1647</v>
      </c>
      <c r="G133" s="20" t="n">
        <v>1593</v>
      </c>
      <c r="H133" s="20" t="n">
        <v>2585</v>
      </c>
      <c r="I133" s="20" t="n">
        <v>2597</v>
      </c>
      <c r="J133" s="20" t="n">
        <v>2132</v>
      </c>
      <c r="K133" s="20" t="n">
        <v>2236</v>
      </c>
      <c r="L133" s="20" t="n">
        <v>1647</v>
      </c>
    </row>
    <row r="134">
      <c r="A134" s="18" t="inlineStr">
        <is>
          <t>임원 퇴직위로 충당금</t>
        </is>
      </c>
      <c r="F134" s="20" t="n">
        <v>153</v>
      </c>
      <c r="H134" s="20" t="n">
        <v>206</v>
      </c>
      <c r="I134" s="20" t="n">
        <v>214</v>
      </c>
      <c r="J134" s="20" t="n">
        <v>208</v>
      </c>
      <c r="K134" s="20" t="n">
        <v>178</v>
      </c>
      <c r="L134" s="20" t="n">
        <v>153</v>
      </c>
    </row>
    <row r="135">
      <c r="A135" s="18" t="inlineStr">
        <is>
          <t>제품 자진회수 충당금</t>
        </is>
      </c>
      <c r="F135" s="20" t="n">
        <v>176</v>
      </c>
      <c r="H135" s="20" t="n">
        <v>37</v>
      </c>
      <c r="I135" s="20" t="n">
        <v>186</v>
      </c>
      <c r="J135" s="20" t="n">
        <v>167</v>
      </c>
      <c r="K135" s="20" t="n">
        <v>147</v>
      </c>
      <c r="L135" s="20" t="n">
        <v>176</v>
      </c>
    </row>
    <row r="136">
      <c r="A136" s="18" t="inlineStr">
        <is>
          <t>기타</t>
        </is>
      </c>
      <c r="C136" s="20" t="n">
        <v>1509</v>
      </c>
      <c r="D136" s="20" t="n">
        <v>1521</v>
      </c>
      <c r="E136" s="20" t="n">
        <v>1570</v>
      </c>
      <c r="F136" s="20" t="n">
        <v>1599</v>
      </c>
      <c r="G136" s="20" t="n">
        <v>1610</v>
      </c>
      <c r="H136" s="20" t="n">
        <v>2396</v>
      </c>
      <c r="I136" s="20" t="n">
        <v>1546</v>
      </c>
      <c r="J136" s="20" t="n">
        <v>1724</v>
      </c>
      <c r="K136" s="20" t="n">
        <v>1552</v>
      </c>
      <c r="L136" s="20" t="n">
        <v>1599</v>
      </c>
    </row>
    <row r="137">
      <c r="A137" s="9" t="inlineStr">
        <is>
          <t>비유동부채 합계</t>
        </is>
      </c>
      <c r="C137" s="12" t="n">
        <v>7483</v>
      </c>
      <c r="D137" s="12" t="n">
        <v>7969</v>
      </c>
      <c r="E137" s="12" t="n">
        <v>8129</v>
      </c>
      <c r="F137" s="12" t="n">
        <v>7345</v>
      </c>
      <c r="G137" s="12" t="n">
        <v>7004</v>
      </c>
      <c r="H137" s="12" t="n">
        <v>26989</v>
      </c>
      <c r="I137" s="12" t="n">
        <v>19295</v>
      </c>
      <c r="J137" s="12" t="n">
        <v>12530</v>
      </c>
      <c r="K137" s="12" t="n">
        <v>8438</v>
      </c>
      <c r="L137" s="12" t="n">
        <v>7345</v>
      </c>
    </row>
    <row r="138">
      <c r="A138" s="9" t="inlineStr">
        <is>
          <t>부채 합계</t>
        </is>
      </c>
      <c r="C138" s="12" t="n">
        <v>56436</v>
      </c>
      <c r="D138" s="12" t="n">
        <v>58401</v>
      </c>
      <c r="E138" s="12" t="n">
        <v>65539</v>
      </c>
      <c r="F138" s="12" t="n">
        <v>52193</v>
      </c>
      <c r="G138" s="12" t="n">
        <v>51478</v>
      </c>
      <c r="H138" s="12" t="n">
        <v>76916</v>
      </c>
      <c r="I138" s="12" t="n">
        <v>72352</v>
      </c>
      <c r="J138" s="12" t="n">
        <v>66252</v>
      </c>
      <c r="K138" s="12" t="n">
        <v>59372</v>
      </c>
      <c r="L138" s="12" t="n">
        <v>52193</v>
      </c>
    </row>
    <row r="139">
      <c r="A139" s="18" t="inlineStr">
        <is>
          <t>자본금</t>
        </is>
      </c>
      <c r="C139" s="20" t="n">
        <v>3459</v>
      </c>
      <c r="D139" s="20" t="n">
        <v>3459</v>
      </c>
      <c r="E139" s="20" t="n">
        <v>3459</v>
      </c>
      <c r="F139" s="20" t="n">
        <v>3459</v>
      </c>
      <c r="G139" s="20" t="n">
        <v>3459</v>
      </c>
      <c r="H139" s="20" t="n">
        <v>3459</v>
      </c>
      <c r="I139" s="20" t="n">
        <v>3459</v>
      </c>
      <c r="J139" s="20" t="n">
        <v>3459</v>
      </c>
      <c r="K139" s="20" t="n">
        <v>3459</v>
      </c>
      <c r="L139" s="20" t="n">
        <v>3459</v>
      </c>
    </row>
    <row r="140">
      <c r="A140" s="18" t="inlineStr">
        <is>
          <t>자본잉여금</t>
        </is>
      </c>
      <c r="C140" s="20" t="n">
        <v>6819</v>
      </c>
      <c r="D140" s="20" t="n">
        <v>6819</v>
      </c>
      <c r="E140" s="20" t="n">
        <v>6819</v>
      </c>
      <c r="F140" s="20" t="n">
        <v>7192</v>
      </c>
      <c r="G140" s="20" t="n">
        <v>7154</v>
      </c>
      <c r="H140" s="20" t="n">
        <v>8014</v>
      </c>
      <c r="I140" s="20" t="n">
        <v>8147</v>
      </c>
      <c r="J140" s="20" t="n">
        <v>6818</v>
      </c>
      <c r="K140" s="20" t="n">
        <v>6819</v>
      </c>
      <c r="L140" s="20" t="n">
        <v>7192</v>
      </c>
    </row>
    <row r="141">
      <c r="A141" s="18" t="inlineStr">
        <is>
          <t>이익잉여금</t>
        </is>
      </c>
      <c r="C141" s="20" t="n">
        <v>77934</v>
      </c>
      <c r="D141" s="20" t="n">
        <v>82667</v>
      </c>
      <c r="E141" s="20" t="n">
        <v>81242</v>
      </c>
      <c r="F141" s="20" t="n">
        <v>83373</v>
      </c>
      <c r="G141" s="20" t="n">
        <v>84603</v>
      </c>
      <c r="H141" s="20" t="n">
        <v>55472</v>
      </c>
      <c r="I141" s="20" t="n">
        <v>60092</v>
      </c>
      <c r="J141" s="20" t="n">
        <v>66920</v>
      </c>
      <c r="K141" s="20" t="n">
        <v>77781</v>
      </c>
      <c r="L141" s="20" t="n">
        <v>83373</v>
      </c>
    </row>
    <row r="142">
      <c r="A142" s="18" t="inlineStr">
        <is>
          <t>자기주식</t>
        </is>
      </c>
      <c r="C142" s="20" t="n">
        <v>-9578</v>
      </c>
      <c r="D142" s="20" t="n">
        <v>-9353</v>
      </c>
      <c r="E142" s="20" t="n">
        <v>-9354</v>
      </c>
      <c r="F142" s="20" t="n">
        <v>-12779</v>
      </c>
      <c r="G142" s="20" t="n">
        <v>-17152</v>
      </c>
      <c r="H142" s="20" t="n">
        <v>-3374</v>
      </c>
      <c r="I142" s="20" t="n">
        <v>-3587</v>
      </c>
      <c r="J142" s="20" t="n">
        <v>-3980</v>
      </c>
      <c r="K142" s="20" t="n">
        <v>-6578</v>
      </c>
      <c r="L142" s="20" t="n">
        <v>-12779</v>
      </c>
    </row>
    <row r="143">
      <c r="A143" s="9" t="inlineStr">
        <is>
          <t>주주자본 합계</t>
        </is>
      </c>
      <c r="C143" s="12" t="n">
        <v>78633</v>
      </c>
      <c r="D143" s="12" t="n">
        <v>83593</v>
      </c>
      <c r="E143" s="12" t="n">
        <v>82166</v>
      </c>
      <c r="F143" s="12" t="n">
        <v>81245</v>
      </c>
      <c r="G143" s="12" t="n">
        <v>78064</v>
      </c>
      <c r="H143" s="12" t="n">
        <v>63571</v>
      </c>
      <c r="I143" s="12" t="n">
        <v>68112</v>
      </c>
      <c r="J143" s="12" t="n">
        <v>73218</v>
      </c>
      <c r="K143" s="12" t="n">
        <v>81481</v>
      </c>
      <c r="L143" s="12" t="n">
        <v>81245</v>
      </c>
    </row>
    <row r="144">
      <c r="A144" s="18" t="inlineStr">
        <is>
          <t>기타유가증권 평가차액</t>
        </is>
      </c>
      <c r="C144" s="20" t="n">
        <v>2120</v>
      </c>
      <c r="D144" s="20" t="n">
        <v>2291</v>
      </c>
      <c r="E144" s="20" t="n">
        <v>1887</v>
      </c>
      <c r="F144" s="20" t="n">
        <v>1771</v>
      </c>
      <c r="G144" s="20" t="n">
        <v>1845</v>
      </c>
      <c r="H144" s="20" t="n">
        <v>1103</v>
      </c>
      <c r="I144" s="20" t="n">
        <v>1317</v>
      </c>
      <c r="J144" s="20" t="n">
        <v>1682</v>
      </c>
      <c r="K144" s="20" t="n">
        <v>1979</v>
      </c>
      <c r="L144" s="20" t="n">
        <v>1771</v>
      </c>
    </row>
    <row r="145">
      <c r="A145" s="18" t="inlineStr">
        <is>
          <t>이연헤지손익</t>
        </is>
      </c>
      <c r="C145" s="20" t="n">
        <v>355</v>
      </c>
      <c r="D145" s="20" t="n">
        <v>1053</v>
      </c>
      <c r="E145" s="20" t="n">
        <v>1840</v>
      </c>
      <c r="F145" s="20" t="n">
        <v>1937</v>
      </c>
      <c r="G145" s="20" t="n">
        <v>1982</v>
      </c>
      <c r="H145" s="20" t="n">
        <v>800</v>
      </c>
      <c r="I145" s="20" t="n">
        <v>680</v>
      </c>
      <c r="J145" s="20" t="n">
        <v>2348</v>
      </c>
      <c r="K145" s="20" t="n">
        <v>809</v>
      </c>
      <c r="L145" s="20" t="n">
        <v>1937</v>
      </c>
    </row>
    <row r="146">
      <c r="A146" s="18" t="inlineStr">
        <is>
          <t>토지재평가차액금</t>
        </is>
      </c>
      <c r="C146" s="20" t="n">
        <v>624</v>
      </c>
      <c r="D146" s="20" t="n">
        <v>624</v>
      </c>
      <c r="E146" s="20" t="n">
        <v>624</v>
      </c>
      <c r="F146" s="20" t="n">
        <v>624</v>
      </c>
      <c r="G146" s="20" t="n">
        <v>624</v>
      </c>
      <c r="H146" s="20" t="n">
        <v>624</v>
      </c>
      <c r="I146" s="20" t="n">
        <v>624</v>
      </c>
      <c r="J146" s="20" t="n">
        <v>624</v>
      </c>
      <c r="K146" s="20" t="n">
        <v>624</v>
      </c>
      <c r="L146" s="20" t="n">
        <v>624</v>
      </c>
    </row>
    <row r="147">
      <c r="A147" s="18" t="inlineStr">
        <is>
          <t>해외사업환산조정</t>
        </is>
      </c>
      <c r="C147" s="20" t="n">
        <v>20116</v>
      </c>
      <c r="D147" s="20" t="n">
        <v>21767</v>
      </c>
      <c r="E147" s="20" t="n">
        <v>24562</v>
      </c>
      <c r="F147" s="20" t="n">
        <v>25416</v>
      </c>
      <c r="G147" s="20" t="n">
        <v>26338</v>
      </c>
      <c r="H147" s="20" t="n">
        <v>13158</v>
      </c>
      <c r="I147" s="20" t="n">
        <v>16712</v>
      </c>
      <c r="J147" s="20" t="n">
        <v>22174</v>
      </c>
      <c r="K147" s="20" t="n">
        <v>21638</v>
      </c>
      <c r="L147" s="20" t="n">
        <v>25416</v>
      </c>
    </row>
    <row r="148">
      <c r="A148" s="18" t="inlineStr">
        <is>
          <t>퇴직급여 조정누계액</t>
        </is>
      </c>
      <c r="C148" s="20" t="n">
        <v>-166</v>
      </c>
      <c r="D148" s="20" t="n">
        <v>-183</v>
      </c>
      <c r="E148" s="20" t="n">
        <v>-208</v>
      </c>
      <c r="F148" s="20" t="n">
        <v>138</v>
      </c>
      <c r="G148" s="20" t="n">
        <v>114</v>
      </c>
      <c r="H148" s="20" t="n">
        <v>-395</v>
      </c>
      <c r="I148" s="20" t="n">
        <v>-433</v>
      </c>
      <c r="J148" s="20" t="n">
        <v>-82</v>
      </c>
      <c r="K148" s="20" t="n">
        <v>-167</v>
      </c>
      <c r="L148" s="20" t="n">
        <v>138</v>
      </c>
    </row>
    <row r="149">
      <c r="A149" s="18" t="inlineStr">
        <is>
          <t>기타포괄손익누계액 합계</t>
        </is>
      </c>
      <c r="C149" s="20" t="n">
        <v>23050</v>
      </c>
      <c r="D149" s="20" t="n">
        <v>25552</v>
      </c>
      <c r="E149" s="20" t="n">
        <v>28705</v>
      </c>
      <c r="F149" s="20" t="n">
        <v>29888</v>
      </c>
      <c r="G149" s="20" t="n">
        <v>30905</v>
      </c>
      <c r="H149" s="20" t="n">
        <v>15291</v>
      </c>
      <c r="I149" s="20" t="n">
        <v>18900</v>
      </c>
      <c r="J149" s="20" t="n">
        <v>26747</v>
      </c>
      <c r="K149" s="20" t="n">
        <v>24883</v>
      </c>
      <c r="L149" s="20" t="n">
        <v>29888</v>
      </c>
    </row>
    <row r="150">
      <c r="A150" s="18" t="inlineStr">
        <is>
          <t>신주예약권</t>
        </is>
      </c>
      <c r="C150" s="20" t="n">
        <v>33</v>
      </c>
      <c r="D150" s="20" t="n">
        <v>33</v>
      </c>
      <c r="E150" s="20" t="n">
        <v>33</v>
      </c>
      <c r="F150" s="20" t="n">
        <v>33</v>
      </c>
      <c r="G150" s="20" t="n">
        <v>0</v>
      </c>
      <c r="H150" s="20" t="n">
        <v>310</v>
      </c>
      <c r="I150" s="20" t="n">
        <v>154</v>
      </c>
      <c r="J150" s="20" t="n">
        <v>33</v>
      </c>
      <c r="K150" s="20" t="n">
        <v>33</v>
      </c>
      <c r="L150" s="20" t="n">
        <v>33</v>
      </c>
    </row>
    <row r="151">
      <c r="A151" s="9" t="inlineStr">
        <is>
          <t>순자산 합계</t>
        </is>
      </c>
      <c r="C151" s="12" t="n">
        <v>101717</v>
      </c>
      <c r="D151" s="12" t="n">
        <v>109179</v>
      </c>
      <c r="E151" s="12" t="n">
        <v>110904</v>
      </c>
      <c r="F151" s="12" t="n">
        <v>111167</v>
      </c>
      <c r="G151" s="12" t="n">
        <v>108970</v>
      </c>
      <c r="H151" s="12" t="n">
        <v>79174</v>
      </c>
      <c r="I151" s="12" t="n">
        <v>87167</v>
      </c>
      <c r="J151" s="12" t="n">
        <v>99999</v>
      </c>
      <c r="K151" s="12" t="n">
        <v>106398</v>
      </c>
      <c r="L151" s="12" t="n">
        <v>111167</v>
      </c>
    </row>
    <row r="152">
      <c r="A152" s="9" t="inlineStr">
        <is>
          <t>부채·순자산 합계</t>
        </is>
      </c>
      <c r="C152" s="12" t="n">
        <v>158153</v>
      </c>
      <c r="D152" s="12" t="n">
        <v>167580</v>
      </c>
      <c r="E152" s="12" t="n">
        <v>176444</v>
      </c>
      <c r="F152" s="12" t="n">
        <v>163360</v>
      </c>
      <c r="G152" s="12" t="n">
        <v>160449</v>
      </c>
      <c r="H152" s="12" t="n">
        <v>156090</v>
      </c>
      <c r="I152" s="12" t="n">
        <v>159519</v>
      </c>
      <c r="J152" s="12" t="n">
        <v>166252</v>
      </c>
      <c r="K152" s="12" t="n">
        <v>165770</v>
      </c>
      <c r="L152" s="12" t="n">
        <v>163360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44" customWidth="1" min="7" max="7"/>
  </cols>
  <sheetData>
    <row r="1">
      <c r="A1" s="50" t="inlineStr">
        <is>
          <t>7867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revision 2026 10 29 · 상반기 new</t>
        </is>
      </c>
      <c r="B4" s="52" t="n"/>
      <c r="C4" s="52" t="n"/>
      <c r="D4" s="52" t="n"/>
      <c r="E4" s="52" t="n"/>
      <c r="F4" s="52" t="n"/>
      <c r="G4" s="52" t="n"/>
    </row>
    <row r="5">
      <c r="A5" s="53" t="inlineStr">
        <is>
          <t>항목</t>
        </is>
      </c>
      <c r="B5" s="53" t="inlineStr">
        <is>
          <t>값</t>
        </is>
      </c>
      <c r="G5" s="53" t="inlineStr">
        <is>
          <t>출처</t>
        </is>
      </c>
    </row>
    <row r="6">
      <c r="A6" s="54" t="inlineStr">
        <is>
          <t>매출</t>
        </is>
      </c>
      <c r="B6" s="55" t="n">
        <v>1500</v>
      </c>
      <c r="G6" s="56" t="inlineStr">
        <is>
          <t>2단계 보고서 자료(회사 설명회 자료·공시)</t>
        </is>
      </c>
    </row>
    <row r="7">
      <c r="A7" s="54" t="inlineStr">
        <is>
          <t>영업이익</t>
        </is>
      </c>
      <c r="B7" s="55" t="n">
        <v>163</v>
      </c>
    </row>
    <row r="8">
      <c r="A8" s="54" t="inlineStr">
        <is>
          <t>ordinary</t>
        </is>
      </c>
      <c r="B8" s="55" t="n">
        <v>161</v>
      </c>
    </row>
    <row r="9">
      <c r="A9" s="54" t="inlineStr">
        <is>
          <t>순이익</t>
        </is>
      </c>
      <c r="B9" s="55" t="n">
        <v>122</v>
      </c>
    </row>
    <row r="10">
      <c r="A10" s="54" t="inlineStr">
        <is>
          <t>EPS</t>
        </is>
      </c>
      <c r="B10" s="55" t="n">
        <v>141.09</v>
      </c>
    </row>
    <row r="12">
      <c r="A12" s="52" t="inlineStr">
        <is>
          <t>revision 2026 10 29 · 상반기 직전 예상 2026 05 12</t>
        </is>
      </c>
      <c r="B12" s="52" t="n"/>
      <c r="C12" s="52" t="n"/>
      <c r="D12" s="52" t="n"/>
      <c r="E12" s="52" t="n"/>
      <c r="F12" s="52" t="n"/>
      <c r="G12" s="52" t="n"/>
    </row>
    <row r="13">
      <c r="A13" s="53" t="inlineStr">
        <is>
          <t>항목</t>
        </is>
      </c>
      <c r="B13" s="53" t="inlineStr">
        <is>
          <t>값</t>
        </is>
      </c>
      <c r="G13" s="53" t="inlineStr">
        <is>
          <t>출처</t>
        </is>
      </c>
    </row>
    <row r="14">
      <c r="A14" s="54" t="inlineStr">
        <is>
          <t>매출</t>
        </is>
      </c>
      <c r="B14" s="55" t="n">
        <v>1300</v>
      </c>
      <c r="G14" s="56" t="inlineStr">
        <is>
          <t>2단계 보고서 자료(회사 설명회 자료·공시)</t>
        </is>
      </c>
    </row>
    <row r="15">
      <c r="A15" s="54" t="inlineStr">
        <is>
          <t>영업이익</t>
        </is>
      </c>
      <c r="B15" s="55" t="n">
        <v>115</v>
      </c>
    </row>
    <row r="16">
      <c r="A16" s="54" t="inlineStr">
        <is>
          <t>ordinary</t>
        </is>
      </c>
      <c r="B16" s="55" t="n">
        <v>115</v>
      </c>
    </row>
    <row r="17">
      <c r="A17" s="54" t="inlineStr">
        <is>
          <t>순이익</t>
        </is>
      </c>
      <c r="B17" s="55" t="n">
        <v>80</v>
      </c>
    </row>
    <row r="18">
      <c r="A18" s="54" t="inlineStr">
        <is>
          <t>EPS</t>
        </is>
      </c>
      <c r="B18" s="55" t="n">
        <v>92.11</v>
      </c>
    </row>
    <row r="20">
      <c r="A20" s="52" t="inlineStr">
        <is>
          <t>revision 2026 10 29 · 상반기 last year 실적</t>
        </is>
      </c>
      <c r="B20" s="52" t="n"/>
      <c r="C20" s="52" t="n"/>
      <c r="D20" s="52" t="n"/>
      <c r="E20" s="52" t="n"/>
      <c r="F20" s="52" t="n"/>
      <c r="G20" s="52" t="n"/>
    </row>
    <row r="21">
      <c r="A21" s="53" t="inlineStr">
        <is>
          <t>항목</t>
        </is>
      </c>
      <c r="B21" s="53" t="inlineStr">
        <is>
          <t>값</t>
        </is>
      </c>
      <c r="G21" s="53" t="inlineStr">
        <is>
          <t>출처</t>
        </is>
      </c>
    </row>
    <row r="22">
      <c r="A22" s="54" t="inlineStr">
        <is>
          <t>매출</t>
        </is>
      </c>
      <c r="B22" s="55" t="n">
        <v>1278.84</v>
      </c>
      <c r="G22" s="56" t="inlineStr">
        <is>
          <t>2단계 보고서 자료(회사 설명회 자료·공시)</t>
        </is>
      </c>
    </row>
    <row r="23">
      <c r="A23" s="54" t="inlineStr">
        <is>
          <t>영업이익</t>
        </is>
      </c>
      <c r="B23" s="55" t="n">
        <v>117.3</v>
      </c>
    </row>
    <row r="24">
      <c r="A24" s="54" t="inlineStr">
        <is>
          <t>ordinary</t>
        </is>
      </c>
      <c r="B24" s="55" t="n">
        <v>118.26</v>
      </c>
    </row>
    <row r="25">
      <c r="A25" s="54" t="inlineStr">
        <is>
          <t>순이익</t>
        </is>
      </c>
      <c r="B25" s="55" t="n">
        <v>81.25</v>
      </c>
    </row>
    <row r="26">
      <c r="A26" s="54" t="inlineStr">
        <is>
          <t>EPS</t>
        </is>
      </c>
      <c r="B26" s="55" t="n">
        <v>91.25</v>
      </c>
    </row>
    <row r="28">
      <c r="A28" s="52" t="inlineStr">
        <is>
          <t>revision 2026 10 29 · 상반기 change vs 직전 %</t>
        </is>
      </c>
      <c r="B28" s="52" t="n"/>
      <c r="C28" s="52" t="n"/>
      <c r="D28" s="52" t="n"/>
      <c r="E28" s="52" t="n"/>
      <c r="F28" s="52" t="n"/>
      <c r="G28" s="52" t="n"/>
    </row>
    <row r="29">
      <c r="A29" s="53" t="inlineStr">
        <is>
          <t>항목</t>
        </is>
      </c>
      <c r="B29" s="53" t="inlineStr">
        <is>
          <t>값</t>
        </is>
      </c>
      <c r="G29" s="53" t="inlineStr">
        <is>
          <t>출처</t>
        </is>
      </c>
    </row>
    <row r="30">
      <c r="A30" s="54" t="inlineStr">
        <is>
          <t>매출</t>
        </is>
      </c>
      <c r="B30" s="55" t="n">
        <v>15.4</v>
      </c>
      <c r="G30" s="56" t="inlineStr">
        <is>
          <t>2단계 보고서 자료(회사 설명회 자료·공시)</t>
        </is>
      </c>
    </row>
    <row r="31">
      <c r="A31" s="54" t="inlineStr">
        <is>
          <t>영업이익</t>
        </is>
      </c>
      <c r="B31" s="55" t="n">
        <v>41.7</v>
      </c>
    </row>
    <row r="32">
      <c r="A32" s="54" t="inlineStr">
        <is>
          <t>ordinary</t>
        </is>
      </c>
      <c r="B32" s="55" t="n">
        <v>40</v>
      </c>
    </row>
    <row r="33">
      <c r="A33" s="54" t="inlineStr">
        <is>
          <t>순이익</t>
        </is>
      </c>
      <c r="B33" s="55" t="n">
        <v>52.5</v>
      </c>
    </row>
    <row r="35">
      <c r="A35" s="52" t="inlineStr">
        <is>
          <t>revision 2026 10 29 · FY new</t>
        </is>
      </c>
      <c r="B35" s="52" t="n"/>
      <c r="C35" s="52" t="n"/>
      <c r="D35" s="52" t="n"/>
      <c r="E35" s="52" t="n"/>
      <c r="F35" s="52" t="n"/>
      <c r="G35" s="52" t="n"/>
    </row>
    <row r="36">
      <c r="A36" s="53" t="inlineStr">
        <is>
          <t>항목</t>
        </is>
      </c>
      <c r="B36" s="53" t="inlineStr">
        <is>
          <t>값</t>
        </is>
      </c>
      <c r="G36" s="53" t="inlineStr">
        <is>
          <t>출처</t>
        </is>
      </c>
    </row>
    <row r="37">
      <c r="A37" s="54" t="inlineStr">
        <is>
          <t>매출</t>
        </is>
      </c>
      <c r="B37" s="55" t="n">
        <v>3000</v>
      </c>
      <c r="G37" s="56" t="inlineStr">
        <is>
          <t>2단계 보고서 자료(회사 설명회 자료·공시)</t>
        </is>
      </c>
    </row>
    <row r="38">
      <c r="A38" s="54" t="inlineStr">
        <is>
          <t>영업이익</t>
        </is>
      </c>
      <c r="B38" s="55" t="n">
        <v>300</v>
      </c>
    </row>
    <row r="39">
      <c r="A39" s="54" t="inlineStr">
        <is>
          <t>ordinary</t>
        </is>
      </c>
      <c r="B39" s="55" t="n">
        <v>300</v>
      </c>
    </row>
    <row r="40">
      <c r="A40" s="54" t="inlineStr">
        <is>
          <t>순이익</t>
        </is>
      </c>
      <c r="B40" s="55" t="n">
        <v>200</v>
      </c>
    </row>
    <row r="41">
      <c r="A41" s="54" t="inlineStr">
        <is>
          <t>EPS</t>
        </is>
      </c>
      <c r="B41" s="55" t="n">
        <v>231.29</v>
      </c>
    </row>
    <row r="43">
      <c r="A43" s="52" t="inlineStr">
        <is>
          <t>revision 2026 10 29 · FY 직전 예상</t>
        </is>
      </c>
      <c r="B43" s="52" t="n"/>
      <c r="C43" s="52" t="n"/>
      <c r="D43" s="52" t="n"/>
      <c r="E43" s="52" t="n"/>
      <c r="F43" s="52" t="n"/>
      <c r="G43" s="52" t="n"/>
    </row>
    <row r="44">
      <c r="A44" s="53" t="inlineStr">
        <is>
          <t>항목</t>
        </is>
      </c>
      <c r="B44" s="53" t="inlineStr">
        <is>
          <t>값</t>
        </is>
      </c>
      <c r="G44" s="53" t="inlineStr">
        <is>
          <t>출처</t>
        </is>
      </c>
    </row>
    <row r="45">
      <c r="A45" s="54" t="inlineStr">
        <is>
          <t>매출</t>
        </is>
      </c>
      <c r="B45" s="55" t="n">
        <v>2850</v>
      </c>
      <c r="G45" s="56" t="inlineStr">
        <is>
          <t>2단계 보고서 자료(회사 설명회 자료·공시)</t>
        </is>
      </c>
    </row>
    <row r="46">
      <c r="A46" s="54" t="inlineStr">
        <is>
          <t>영업이익</t>
        </is>
      </c>
      <c r="B46" s="55" t="n">
        <v>260</v>
      </c>
    </row>
    <row r="47">
      <c r="A47" s="54" t="inlineStr">
        <is>
          <t>ordinary</t>
        </is>
      </c>
      <c r="B47" s="55" t="n">
        <v>260</v>
      </c>
    </row>
    <row r="48">
      <c r="A48" s="54" t="inlineStr">
        <is>
          <t>순이익</t>
        </is>
      </c>
      <c r="B48" s="55" t="n">
        <v>180</v>
      </c>
    </row>
    <row r="49">
      <c r="A49" s="54" t="inlineStr">
        <is>
          <t>EPS</t>
        </is>
      </c>
      <c r="B49" s="55" t="n">
        <v>207.26</v>
      </c>
    </row>
    <row r="51">
      <c r="A51" s="52" t="inlineStr">
        <is>
          <t>revision 2026 10 29 · FY last year 실적</t>
        </is>
      </c>
      <c r="B51" s="52" t="n"/>
      <c r="C51" s="52" t="n"/>
      <c r="D51" s="52" t="n"/>
      <c r="E51" s="52" t="n"/>
      <c r="F51" s="52" t="n"/>
      <c r="G51" s="52" t="n"/>
    </row>
    <row r="52">
      <c r="A52" s="53" t="inlineStr">
        <is>
          <t>항목</t>
        </is>
      </c>
      <c r="B52" s="53" t="inlineStr">
        <is>
          <t>값</t>
        </is>
      </c>
      <c r="G52" s="53" t="inlineStr">
        <is>
          <t>출처</t>
        </is>
      </c>
    </row>
    <row r="53">
      <c r="A53" s="54" t="inlineStr">
        <is>
          <t>매출</t>
        </is>
      </c>
      <c r="B53" s="55" t="n">
        <v>2704.55</v>
      </c>
      <c r="G53" s="56" t="inlineStr">
        <is>
          <t>2단계 보고서 자료(회사 설명회 자료·공시)</t>
        </is>
      </c>
    </row>
    <row r="54">
      <c r="A54" s="54" t="inlineStr">
        <is>
          <t>영업이익</t>
        </is>
      </c>
      <c r="B54" s="55" t="n">
        <v>242.46</v>
      </c>
    </row>
    <row r="55">
      <c r="A55" s="54" t="inlineStr">
        <is>
          <t>ordinary</t>
        </is>
      </c>
      <c r="B55" s="55" t="n">
        <v>245.51</v>
      </c>
    </row>
    <row r="56">
      <c r="A56" s="54" t="inlineStr">
        <is>
          <t>순이익</t>
        </is>
      </c>
      <c r="B56" s="55" t="n">
        <v>116.79</v>
      </c>
    </row>
    <row r="57">
      <c r="A57" s="54" t="inlineStr">
        <is>
          <t>EPS</t>
        </is>
      </c>
      <c r="B57" s="55" t="n">
        <v>131.38</v>
      </c>
    </row>
    <row r="59">
      <c r="A59" s="52" t="inlineStr">
        <is>
          <t>revision 2026 10 29 · FY change vs 직전 %</t>
        </is>
      </c>
      <c r="B59" s="52" t="n"/>
      <c r="C59" s="52" t="n"/>
      <c r="D59" s="52" t="n"/>
      <c r="E59" s="52" t="n"/>
      <c r="F59" s="52" t="n"/>
      <c r="G59" s="52" t="n"/>
    </row>
    <row r="60">
      <c r="A60" s="53" t="inlineStr">
        <is>
          <t>항목</t>
        </is>
      </c>
      <c r="B60" s="53" t="inlineStr">
        <is>
          <t>값</t>
        </is>
      </c>
      <c r="G60" s="53" t="inlineStr">
        <is>
          <t>출처</t>
        </is>
      </c>
    </row>
    <row r="61">
      <c r="A61" s="54" t="inlineStr">
        <is>
          <t>매출</t>
        </is>
      </c>
      <c r="B61" s="55" t="n">
        <v>5.3</v>
      </c>
      <c r="G61" s="56" t="inlineStr">
        <is>
          <t>2단계 보고서 자료(회사 설명회 자료·공시)</t>
        </is>
      </c>
    </row>
    <row r="62">
      <c r="A62" s="54" t="inlineStr">
        <is>
          <t>영업이익</t>
        </is>
      </c>
      <c r="B62" s="55" t="n">
        <v>15.4</v>
      </c>
    </row>
    <row r="63">
      <c r="A63" s="54" t="inlineStr">
        <is>
          <t>ordinary</t>
        </is>
      </c>
      <c r="B63" s="55" t="n">
        <v>15.4</v>
      </c>
    </row>
    <row r="64">
      <c r="A64" s="54" t="inlineStr">
        <is>
          <t>순이익</t>
        </is>
      </c>
      <c r="B64" s="55" t="n">
        <v>11.1</v>
      </c>
    </row>
    <row r="66">
      <c r="A66" s="52" t="inlineStr">
        <is>
          <t>1Q 실적 fy27</t>
        </is>
      </c>
      <c r="B66" s="52" t="n"/>
      <c r="C66" s="52" t="n"/>
      <c r="D66" s="52" t="n"/>
      <c r="E66" s="52" t="n"/>
      <c r="F66" s="52" t="n"/>
      <c r="G66" s="52" t="n"/>
    </row>
    <row r="67">
      <c r="A67" s="53" t="inlineStr">
        <is>
          <t>항목</t>
        </is>
      </c>
      <c r="B67" s="53" t="inlineStr">
        <is>
          <t>값</t>
        </is>
      </c>
      <c r="G67" s="53" t="inlineStr">
        <is>
          <t>출처</t>
        </is>
      </c>
    </row>
    <row r="68">
      <c r="A68" s="54" t="inlineStr">
        <is>
          <t>매출</t>
        </is>
      </c>
      <c r="B68" s="55" t="n">
        <v>640.47</v>
      </c>
      <c r="G68" s="56" t="inlineStr">
        <is>
          <t>2단계 보고서 자료(회사 설명회 자료·공시)</t>
        </is>
      </c>
    </row>
    <row r="69">
      <c r="A69" s="54" t="inlineStr">
        <is>
          <t>영업이익</t>
        </is>
      </c>
      <c r="B69" s="55" t="n">
        <v>55.12</v>
      </c>
    </row>
    <row r="70">
      <c r="A70" s="54" t="inlineStr">
        <is>
          <t>ordinary</t>
        </is>
      </c>
      <c r="B70" s="55" t="n">
        <v>56.29</v>
      </c>
    </row>
    <row r="71">
      <c r="A71" s="54" t="inlineStr">
        <is>
          <t>순이익</t>
        </is>
      </c>
      <c r="B71" s="55" t="n">
        <v>40.58</v>
      </c>
    </row>
    <row r="72">
      <c r="A72" s="54" t="inlineStr">
        <is>
          <t>EPS</t>
        </is>
      </c>
      <c r="B72" s="55" t="n">
        <v>46.7</v>
      </c>
    </row>
    <row r="74">
      <c r="A74" s="52" t="inlineStr">
        <is>
          <t>2Q fy26 실적</t>
        </is>
      </c>
      <c r="B74" s="52" t="n"/>
      <c r="C74" s="52" t="n"/>
      <c r="D74" s="52" t="n"/>
      <c r="E74" s="52" t="n"/>
      <c r="F74" s="52" t="n"/>
      <c r="G74" s="52" t="n"/>
    </row>
    <row r="75">
      <c r="A75" s="53" t="inlineStr">
        <is>
          <t>항목</t>
        </is>
      </c>
      <c r="B75" s="53" t="inlineStr">
        <is>
          <t>값</t>
        </is>
      </c>
      <c r="G75" s="53" t="inlineStr">
        <is>
          <t>출처</t>
        </is>
      </c>
    </row>
    <row r="76">
      <c r="A76" s="54" t="inlineStr">
        <is>
          <t>매출</t>
        </is>
      </c>
      <c r="B76" s="55" t="n">
        <v>684.05</v>
      </c>
      <c r="G76" s="56" t="inlineStr">
        <is>
          <t>2단계 보고서 자료(회사 설명회 자료·공시)</t>
        </is>
      </c>
    </row>
    <row r="77">
      <c r="A77" s="54" t="inlineStr">
        <is>
          <t>영업이익</t>
        </is>
      </c>
      <c r="B77" s="55" t="n">
        <v>71.33</v>
      </c>
    </row>
    <row r="78">
      <c r="A78" s="54" t="inlineStr">
        <is>
          <t>ordinary</t>
        </is>
      </c>
      <c r="B78" s="55" t="n">
        <v>68.61</v>
      </c>
    </row>
    <row r="79">
      <c r="A79" s="54" t="inlineStr">
        <is>
          <t>순이익</t>
        </is>
      </c>
      <c r="B79" s="55" t="n">
        <v>47.33</v>
      </c>
    </row>
    <row r="80">
      <c r="A80" s="54" t="inlineStr">
        <is>
          <t>EPS</t>
        </is>
      </c>
      <c r="B80" s="55" t="n">
        <v>53.29</v>
      </c>
    </row>
    <row r="82">
      <c r="A82" s="52" t="inlineStr">
        <is>
          <t>2Q implied fy27 calc</t>
        </is>
      </c>
      <c r="B82" s="52" t="n"/>
      <c r="C82" s="52" t="n"/>
      <c r="D82" s="52" t="n"/>
      <c r="E82" s="52" t="n"/>
      <c r="F82" s="52" t="n"/>
      <c r="G82" s="52" t="n"/>
    </row>
    <row r="83">
      <c r="A83" s="53" t="inlineStr">
        <is>
          <t>항목</t>
        </is>
      </c>
      <c r="B83" s="53" t="inlineStr">
        <is>
          <t>값</t>
        </is>
      </c>
      <c r="G83" s="53" t="inlineStr">
        <is>
          <t>출처</t>
        </is>
      </c>
    </row>
    <row r="84">
      <c r="A84" s="54" t="inlineStr">
        <is>
          <t>매출</t>
        </is>
      </c>
      <c r="B84" s="55" t="n">
        <v>859.53</v>
      </c>
      <c r="G84" s="56" t="inlineStr">
        <is>
          <t>2단계 보고서 자료(회사 설명회 자료·공시)</t>
        </is>
      </c>
    </row>
    <row r="85">
      <c r="A85" s="54" t="inlineStr">
        <is>
          <t>영업이익</t>
        </is>
      </c>
      <c r="B85" s="55" t="n">
        <v>107.88</v>
      </c>
    </row>
    <row r="86">
      <c r="A86" s="54" t="inlineStr">
        <is>
          <t>ordinary</t>
        </is>
      </c>
      <c r="B86" s="55" t="n">
        <v>104.71</v>
      </c>
    </row>
    <row r="87">
      <c r="A87" s="54" t="inlineStr">
        <is>
          <t>순이익</t>
        </is>
      </c>
      <c r="B87" s="55" t="n">
        <v>81.42</v>
      </c>
    </row>
    <row r="88">
      <c r="A88" s="54" t="inlineStr">
        <is>
          <t>EPS</t>
        </is>
      </c>
      <c r="B88" s="55" t="n">
        <v>94.39</v>
      </c>
    </row>
    <row r="90">
      <c r="A90" s="52" t="inlineStr">
        <is>
          <t>2Q implied YoY % calc</t>
        </is>
      </c>
      <c r="B90" s="52" t="n"/>
      <c r="C90" s="52" t="n"/>
      <c r="D90" s="52" t="n"/>
      <c r="E90" s="52" t="n"/>
      <c r="F90" s="52" t="n"/>
      <c r="G90" s="52" t="n"/>
    </row>
    <row r="91">
      <c r="A91" s="53" t="inlineStr">
        <is>
          <t>항목</t>
        </is>
      </c>
      <c r="B91" s="53" t="inlineStr">
        <is>
          <t>값</t>
        </is>
      </c>
      <c r="G91" s="53" t="inlineStr">
        <is>
          <t>출처</t>
        </is>
      </c>
    </row>
    <row r="92">
      <c r="A92" s="54" t="inlineStr">
        <is>
          <t>매출</t>
        </is>
      </c>
      <c r="B92" s="55" t="n">
        <v>25.7</v>
      </c>
      <c r="G92" s="56" t="inlineStr">
        <is>
          <t>2단계 보고서 자료(회사 설명회 자료·공시)</t>
        </is>
      </c>
    </row>
    <row r="93">
      <c r="A93" s="54" t="inlineStr">
        <is>
          <t>영업이익</t>
        </is>
      </c>
      <c r="B93" s="55" t="n">
        <v>51.2</v>
      </c>
    </row>
    <row r="94">
      <c r="A94" s="54" t="inlineStr">
        <is>
          <t>ordinary</t>
        </is>
      </c>
      <c r="B94" s="55" t="n">
        <v>52.6</v>
      </c>
    </row>
    <row r="95">
      <c r="A95" s="54" t="inlineStr">
        <is>
          <t>순이익</t>
        </is>
      </c>
      <c r="B95" s="55" t="n">
        <v>72</v>
      </c>
    </row>
    <row r="97">
      <c r="A97" s="52" t="inlineStr">
        <is>
          <t>하반기 implied fy27 calc</t>
        </is>
      </c>
      <c r="B97" s="52" t="n"/>
      <c r="C97" s="52" t="n"/>
      <c r="D97" s="52" t="n"/>
      <c r="E97" s="52" t="n"/>
      <c r="F97" s="52" t="n"/>
      <c r="G97" s="52" t="n"/>
    </row>
    <row r="98">
      <c r="A98" s="53" t="inlineStr">
        <is>
          <t>항목</t>
        </is>
      </c>
      <c r="B98" s="53" t="inlineStr">
        <is>
          <t>값</t>
        </is>
      </c>
      <c r="G98" s="53" t="inlineStr">
        <is>
          <t>출처</t>
        </is>
      </c>
    </row>
    <row r="99">
      <c r="A99" s="54" t="inlineStr">
        <is>
          <t>매출</t>
        </is>
      </c>
      <c r="B99" s="55" t="n">
        <v>1500</v>
      </c>
      <c r="G99" s="56" t="inlineStr">
        <is>
          <t>2단계 보고서 자료(회사 설명회 자료·공시)</t>
        </is>
      </c>
    </row>
    <row r="100">
      <c r="A100" s="54" t="inlineStr">
        <is>
          <t>영업이익</t>
        </is>
      </c>
      <c r="B100" s="55" t="n">
        <v>137</v>
      </c>
    </row>
    <row r="101">
      <c r="A101" s="54" t="inlineStr">
        <is>
          <t>ordinary</t>
        </is>
      </c>
      <c r="B101" s="55" t="n">
        <v>139</v>
      </c>
    </row>
    <row r="102">
      <c r="A102" s="54" t="inlineStr">
        <is>
          <t>순이익</t>
        </is>
      </c>
      <c r="B102" s="55" t="n">
        <v>78</v>
      </c>
    </row>
    <row r="104">
      <c r="A104" s="52" t="inlineStr">
        <is>
          <t>하반기 fy26 실적 calc</t>
        </is>
      </c>
      <c r="B104" s="52" t="n"/>
      <c r="C104" s="52" t="n"/>
      <c r="D104" s="52" t="n"/>
      <c r="E104" s="52" t="n"/>
      <c r="F104" s="52" t="n"/>
      <c r="G104" s="52" t="n"/>
    </row>
    <row r="105">
      <c r="A105" s="53" t="inlineStr">
        <is>
          <t>항목</t>
        </is>
      </c>
      <c r="B105" s="53" t="inlineStr">
        <is>
          <t>값</t>
        </is>
      </c>
      <c r="G105" s="53" t="inlineStr">
        <is>
          <t>출처</t>
        </is>
      </c>
    </row>
    <row r="106">
      <c r="A106" s="54" t="inlineStr">
        <is>
          <t>매출</t>
        </is>
      </c>
      <c r="B106" s="55" t="n">
        <v>1425.71</v>
      </c>
      <c r="G106" s="56" t="inlineStr">
        <is>
          <t>2단계 보고서 자료(회사 설명회 자료·공시)</t>
        </is>
      </c>
    </row>
    <row r="107">
      <c r="A107" s="54" t="inlineStr">
        <is>
          <t>영업이익</t>
        </is>
      </c>
      <c r="B107" s="55" t="n">
        <v>125.16</v>
      </c>
    </row>
    <row r="108">
      <c r="A108" s="54" t="inlineStr">
        <is>
          <t>ordinary</t>
        </is>
      </c>
      <c r="B108" s="55" t="n">
        <v>127.25</v>
      </c>
    </row>
    <row r="109">
      <c r="A109" s="54" t="inlineStr">
        <is>
          <t>순이익</t>
        </is>
      </c>
      <c r="B109" s="55" t="n">
        <v>35.54</v>
      </c>
    </row>
    <row r="111">
      <c r="A111" s="52" t="inlineStr">
        <is>
          <t>하반기 implied YoY % calc</t>
        </is>
      </c>
      <c r="B111" s="52" t="n"/>
      <c r="C111" s="52" t="n"/>
      <c r="D111" s="52" t="n"/>
      <c r="E111" s="52" t="n"/>
      <c r="F111" s="52" t="n"/>
      <c r="G111" s="52" t="n"/>
    </row>
    <row r="112">
      <c r="A112" s="53" t="inlineStr">
        <is>
          <t>항목</t>
        </is>
      </c>
      <c r="B112" s="53" t="inlineStr">
        <is>
          <t>값</t>
        </is>
      </c>
      <c r="G112" s="53" t="inlineStr">
        <is>
          <t>출처</t>
        </is>
      </c>
    </row>
    <row r="113">
      <c r="A113" s="54" t="inlineStr">
        <is>
          <t>매출</t>
        </is>
      </c>
      <c r="B113" s="55" t="n">
        <v>5.2</v>
      </c>
      <c r="G113" s="56" t="inlineStr">
        <is>
          <t>2단계 보고서 자료(회사 설명회 자료·공시)</t>
        </is>
      </c>
    </row>
    <row r="114">
      <c r="A114" s="54" t="inlineStr">
        <is>
          <t>영업이익</t>
        </is>
      </c>
      <c r="B114" s="55" t="n">
        <v>9.5</v>
      </c>
    </row>
    <row r="115">
      <c r="A115" s="54" t="inlineStr">
        <is>
          <t>ordinary</t>
        </is>
      </c>
      <c r="B115" s="55" t="n">
        <v>9.199999999999999</v>
      </c>
    </row>
    <row r="116">
      <c r="A116" s="54" t="inlineStr">
        <is>
          <t>순이익</t>
        </is>
      </c>
      <c r="B116" s="55" t="n">
        <v>119.5</v>
      </c>
    </row>
    <row r="118">
      <c r="A118" s="52" t="inlineStr">
        <is>
          <t>컨센서스 2026 10 30</t>
        </is>
      </c>
      <c r="B118" s="52" t="n"/>
      <c r="C118" s="52" t="n"/>
      <c r="D118" s="52" t="n"/>
      <c r="E118" s="52" t="n"/>
      <c r="F118" s="52" t="n"/>
      <c r="G118" s="52" t="n"/>
    </row>
    <row r="119">
      <c r="A119" s="53" t="inlineStr">
        <is>
          <t>항목</t>
        </is>
      </c>
      <c r="B119" s="53" t="inlineStr">
        <is>
          <t>값</t>
        </is>
      </c>
      <c r="G119" s="53" t="inlineStr">
        <is>
          <t>출처</t>
        </is>
      </c>
    </row>
    <row r="120">
      <c r="A120" s="54" t="inlineStr">
        <is>
          <t>2Q 매출 avg</t>
        </is>
      </c>
      <c r="B120" s="55" t="n">
        <v>714.9</v>
      </c>
      <c r="G120" s="56" t="inlineStr">
        <is>
          <t>야후 파이낸스(jp_consensus) 26.10.30 · 애널리스트 3명 추정 — 컨센이라 부르지 말고 애널리스트 3명 추정으로. 10/29 수정 반영 여부 불확실(7일 전 대비 EPS 상향 1건).</t>
        </is>
      </c>
    </row>
    <row r="121">
      <c r="A121" s="54" t="inlineStr">
        <is>
          <t>2Q 애널리스트 수</t>
        </is>
      </c>
      <c r="B121" s="57" t="n">
        <v>3</v>
      </c>
    </row>
    <row r="122">
      <c r="A122" s="54" t="inlineStr">
        <is>
          <t>3Q 매출 avg</t>
        </is>
      </c>
      <c r="B122" s="55" t="n">
        <v>854.5</v>
      </c>
    </row>
    <row r="123">
      <c r="A123" s="54" t="inlineStr">
        <is>
          <t>fy27 매출 avg</t>
        </is>
      </c>
      <c r="B123" s="55" t="n">
        <v>2899.3</v>
      </c>
    </row>
    <row r="124">
      <c r="A124" s="54" t="inlineStr">
        <is>
          <t>fy27 EPS avg</t>
        </is>
      </c>
      <c r="B124" s="55" t="n">
        <v>223.77</v>
      </c>
    </row>
    <row r="125">
      <c r="A125" s="54" t="inlineStr">
        <is>
          <t>fy27 애널리스트 수</t>
        </is>
      </c>
      <c r="B125" s="57" t="n">
        <v>3</v>
      </c>
    </row>
    <row r="126">
      <c r="A126" s="54" t="inlineStr">
        <is>
          <t>fy28 매출 avg</t>
        </is>
      </c>
      <c r="B126" s="55" t="n">
        <v>3055.3</v>
      </c>
    </row>
    <row r="127">
      <c r="A127" s="54" t="inlineStr">
        <is>
          <t>fy28 EPS avg</t>
        </is>
      </c>
      <c r="B127" s="55" t="n">
        <v>240.43</v>
      </c>
    </row>
    <row r="129">
      <c r="A129" s="52" t="inlineStr">
        <is>
          <t>컨센서스 2026 10 30 · EPS trend fy27</t>
        </is>
      </c>
      <c r="B129" s="52" t="n"/>
      <c r="C129" s="52" t="n"/>
      <c r="D129" s="52" t="n"/>
      <c r="E129" s="52" t="n"/>
      <c r="F129" s="52" t="n"/>
      <c r="G129" s="52" t="n"/>
    </row>
    <row r="130">
      <c r="A130" s="53" t="inlineStr">
        <is>
          <t>항목</t>
        </is>
      </c>
      <c r="B130" s="53" t="inlineStr">
        <is>
          <t>값</t>
        </is>
      </c>
      <c r="G130" s="53" t="inlineStr">
        <is>
          <t>출처</t>
        </is>
      </c>
    </row>
    <row r="131">
      <c r="A131" s="54" t="inlineStr">
        <is>
          <t>now</t>
        </is>
      </c>
      <c r="B131" s="55" t="n">
        <v>223.77</v>
      </c>
      <c r="G131" s="56" t="inlineStr">
        <is>
          <t>야후 파이낸스(jp_consensus) 26.10.30 · 애널리스트 3명 추정 — 컨센이라 부르지 말고 애널리스트 3명 추정으로. 10/29 수정 반영 여부 불확실(7일 전 대비 EPS 상향 1건).</t>
        </is>
      </c>
    </row>
    <row r="132">
      <c r="A132" s="54" t="inlineStr">
        <is>
          <t>7d</t>
        </is>
      </c>
      <c r="B132" s="55" t="n">
        <v>214.67</v>
      </c>
    </row>
    <row r="133">
      <c r="A133" s="54" t="inlineStr">
        <is>
          <t>30d</t>
        </is>
      </c>
      <c r="B133" s="55" t="n">
        <v>210.57</v>
      </c>
    </row>
    <row r="134">
      <c r="A134" s="54" t="inlineStr">
        <is>
          <t>90d</t>
        </is>
      </c>
      <c r="B134" s="55" t="n">
        <v>207.9</v>
      </c>
    </row>
    <row r="136">
      <c r="A136" s="52" t="inlineStr">
        <is>
          <t>컨센서스 2026 10 30 · 목표주가 가격</t>
        </is>
      </c>
      <c r="B136" s="52" t="n"/>
      <c r="C136" s="52" t="n"/>
      <c r="D136" s="52" t="n"/>
      <c r="E136" s="52" t="n"/>
      <c r="F136" s="52" t="n"/>
      <c r="G136" s="52" t="n"/>
    </row>
    <row r="137">
      <c r="A137" s="53" t="inlineStr">
        <is>
          <t>항목</t>
        </is>
      </c>
      <c r="B137" s="53" t="inlineStr">
        <is>
          <t>값</t>
        </is>
      </c>
      <c r="G137" s="53" t="inlineStr">
        <is>
          <t>출처</t>
        </is>
      </c>
    </row>
    <row r="138">
      <c r="A138" s="54" t="inlineStr">
        <is>
          <t>평균</t>
        </is>
      </c>
      <c r="B138" s="57" t="n">
        <v>4105</v>
      </c>
      <c r="G138" s="56" t="inlineStr">
        <is>
          <t>야후 파이낸스(jp_consensus) 26.10.30 · 애널리스트 3명 추정 — 컨센이라 부르지 말고 애널리스트 3명 추정으로. 10/29 수정 반영 여부 불확실(7일 전 대비 EPS 상향 1건).</t>
        </is>
      </c>
    </row>
    <row r="139">
      <c r="A139" s="54" t="inlineStr">
        <is>
          <t>최고</t>
        </is>
      </c>
      <c r="B139" s="57" t="n">
        <v>4210</v>
      </c>
    </row>
    <row r="140">
      <c r="A140" s="54" t="inlineStr">
        <is>
          <t>최저</t>
        </is>
      </c>
      <c r="B140" s="57" t="n">
        <v>4000</v>
      </c>
    </row>
    <row r="141">
      <c r="A141" s="54" t="inlineStr">
        <is>
          <t>애널리스트 수</t>
        </is>
      </c>
      <c r="B141" s="57" t="n">
        <v>2</v>
      </c>
    </row>
    <row r="143">
      <c r="A143" s="52" t="inlineStr">
        <is>
          <t>가격 now</t>
        </is>
      </c>
      <c r="B143" s="52" t="n"/>
      <c r="C143" s="52" t="n"/>
      <c r="D143" s="52" t="n"/>
      <c r="E143" s="52" t="n"/>
      <c r="F143" s="52" t="n"/>
      <c r="G143" s="52" t="n"/>
    </row>
    <row r="144">
      <c r="A144" s="53" t="inlineStr">
        <is>
          <t>항목</t>
        </is>
      </c>
      <c r="B144" s="53" t="inlineStr">
        <is>
          <t>값</t>
        </is>
      </c>
      <c r="G144" s="53" t="inlineStr">
        <is>
          <t>출처</t>
        </is>
      </c>
    </row>
    <row r="145">
      <c r="A145" s="54" t="inlineStr">
        <is>
          <t>가격</t>
        </is>
      </c>
      <c r="B145" s="55" t="n">
        <v>4881</v>
      </c>
      <c r="G145" s="56" t="inlineStr">
        <is>
          <t>2단계 보고서 자료(회사 설명회 자료·공시)</t>
        </is>
      </c>
    </row>
    <row r="146">
      <c r="A146" s="54" t="inlineStr">
        <is>
          <t>close 10 29</t>
        </is>
      </c>
      <c r="B146" s="55" t="n">
        <v>4408</v>
      </c>
    </row>
    <row r="147">
      <c r="A147" s="54" t="inlineStr">
        <is>
          <t>reaction % calc</t>
        </is>
      </c>
      <c r="B147" s="55" t="n">
        <v>10.7</v>
      </c>
    </row>
    <row r="148">
      <c r="A148" s="54" t="inlineStr">
        <is>
          <t>shares m ex treasury approx</t>
        </is>
      </c>
      <c r="B148" s="55" t="n">
        <v>85.95999999999999</v>
      </c>
    </row>
    <row r="149">
      <c r="A149" s="54" t="inlineStr">
        <is>
          <t>mcap oku calc</t>
        </is>
      </c>
      <c r="B149" s="55" t="n">
        <v>4196</v>
      </c>
    </row>
    <row r="150">
      <c r="A150" s="54" t="inlineStr">
        <is>
          <t>PER new 가이던스 calc</t>
        </is>
      </c>
      <c r="B150" s="55" t="n">
        <v>21.1</v>
      </c>
    </row>
    <row r="151">
      <c r="A151" s="54" t="inlineStr">
        <is>
          <t>PER old 가이던스 calc</t>
        </is>
      </c>
      <c r="B151" s="55" t="n">
        <v>23.6</v>
      </c>
    </row>
    <row r="152">
      <c r="A152" s="54" t="inlineStr">
        <is>
          <t>dps fc</t>
        </is>
      </c>
      <c r="B152" s="57" t="n">
        <v>70</v>
      </c>
    </row>
    <row r="153">
      <c r="A153" s="54" t="inlineStr">
        <is>
          <t>div yield % calc</t>
        </is>
      </c>
      <c r="B153" s="55" t="n">
        <v>1.43</v>
      </c>
    </row>
    <row r="154">
      <c r="A154" s="54" t="inlineStr">
        <is>
          <t>환율 jpykrw</t>
        </is>
      </c>
      <c r="B154" s="55" t="n">
        <v>8.5</v>
      </c>
    </row>
    <row r="156">
      <c r="A156" s="52" t="inlineStr">
        <is>
          <t>quarterly ordinary</t>
        </is>
      </c>
      <c r="B156" s="52" t="n"/>
      <c r="C156" s="52" t="n"/>
      <c r="D156" s="52" t="n"/>
      <c r="E156" s="52" t="n"/>
      <c r="F156" s="52" t="n"/>
      <c r="G156" s="52" t="n"/>
    </row>
    <row r="157">
      <c r="A157" s="53" t="inlineStr">
        <is>
          <t>항목</t>
        </is>
      </c>
      <c r="B157" s="53" t="inlineStr">
        <is>
          <t>값</t>
        </is>
      </c>
      <c r="G157" s="53" t="inlineStr">
        <is>
          <t>출처</t>
        </is>
      </c>
    </row>
    <row r="158">
      <c r="A158" s="54" t="inlineStr">
        <is>
          <t>2024.2Q</t>
        </is>
      </c>
      <c r="B158" s="55" t="n">
        <v>50.31</v>
      </c>
      <c r="G158" s="56" t="inlineStr">
        <is>
          <t>2단계 보고서 자료(회사 설명회 자료·공시)</t>
        </is>
      </c>
    </row>
    <row r="159">
      <c r="A159" s="54" t="inlineStr">
        <is>
          <t>2024.3Q</t>
        </is>
      </c>
      <c r="B159" s="55" t="n">
        <v>92.18000000000001</v>
      </c>
    </row>
    <row r="160">
      <c r="A160" s="54" t="inlineStr">
        <is>
          <t>2024.4Q</t>
        </is>
      </c>
      <c r="B160" s="55" t="n">
        <v>12.28</v>
      </c>
    </row>
    <row r="161">
      <c r="A161" s="54" t="inlineStr">
        <is>
          <t>2025.1Q</t>
        </is>
      </c>
      <c r="B161" s="55" t="n">
        <v>36.61</v>
      </c>
    </row>
    <row r="162">
      <c r="A162" s="54" t="inlineStr">
        <is>
          <t>2025.2Q</t>
        </is>
      </c>
      <c r="B162" s="55" t="n">
        <v>82.31</v>
      </c>
    </row>
    <row r="163">
      <c r="A163" s="54" t="inlineStr">
        <is>
          <t>2025.3Q</t>
        </is>
      </c>
      <c r="B163" s="55" t="n">
        <v>103.07</v>
      </c>
    </row>
    <row r="164">
      <c r="A164" s="54" t="inlineStr">
        <is>
          <t>2025.4Q</t>
        </is>
      </c>
      <c r="B164" s="55" t="n">
        <v>18.34</v>
      </c>
    </row>
    <row r="165">
      <c r="A165" s="54" t="inlineStr">
        <is>
          <t>2026.1Q</t>
        </is>
      </c>
      <c r="B165" s="55" t="n">
        <v>49.65</v>
      </c>
    </row>
    <row r="166">
      <c r="A166" s="54" t="inlineStr">
        <is>
          <t>2026.2Q</t>
        </is>
      </c>
      <c r="B166" s="55" t="n">
        <v>68.61</v>
      </c>
    </row>
    <row r="167">
      <c r="A167" s="54" t="inlineStr">
        <is>
          <t>2026.3Q</t>
        </is>
      </c>
      <c r="B167" s="55" t="n">
        <v>97.90000000000001</v>
      </c>
    </row>
    <row r="168">
      <c r="A168" s="54" t="inlineStr">
        <is>
          <t>2026.4Q</t>
        </is>
      </c>
      <c r="B168" s="55" t="n">
        <v>29.35</v>
      </c>
    </row>
    <row r="169">
      <c r="A169" s="54" t="inlineStr">
        <is>
          <t>2027.1Q</t>
        </is>
      </c>
      <c r="B169" s="55" t="n">
        <v>56.29</v>
      </c>
    </row>
    <row r="171">
      <c r="A171" s="52" t="inlineStr">
        <is>
          <t>quarterly EPS</t>
        </is>
      </c>
      <c r="B171" s="52" t="n"/>
      <c r="C171" s="52" t="n"/>
      <c r="D171" s="52" t="n"/>
      <c r="E171" s="52" t="n"/>
      <c r="F171" s="52" t="n"/>
      <c r="G171" s="52" t="n"/>
    </row>
    <row r="172">
      <c r="A172" s="53" t="inlineStr">
        <is>
          <t>항목</t>
        </is>
      </c>
      <c r="B172" s="53" t="inlineStr">
        <is>
          <t>값</t>
        </is>
      </c>
      <c r="G172" s="53" t="inlineStr">
        <is>
          <t>출처</t>
        </is>
      </c>
    </row>
    <row r="173">
      <c r="A173" s="54" t="inlineStr">
        <is>
          <t>2025.1Q</t>
        </is>
      </c>
      <c r="B173" s="55" t="n">
        <v>27.84</v>
      </c>
      <c r="G173" s="56" t="inlineStr">
        <is>
          <t>2단계 보고서 자료(회사 설명회 자료·공시)</t>
        </is>
      </c>
    </row>
    <row r="174">
      <c r="A174" s="54" t="inlineStr">
        <is>
          <t>2025.2Q</t>
        </is>
      </c>
      <c r="B174" s="55" t="n">
        <v>66.28</v>
      </c>
    </row>
    <row r="175">
      <c r="A175" s="54" t="inlineStr">
        <is>
          <t>2025.3Q</t>
        </is>
      </c>
      <c r="B175" s="55" t="n">
        <v>66.67</v>
      </c>
    </row>
    <row r="176">
      <c r="A176" s="54" t="inlineStr">
        <is>
          <t>2025.4Q</t>
        </is>
      </c>
      <c r="B176" s="55" t="n">
        <v>21.41</v>
      </c>
    </row>
    <row r="177">
      <c r="A177" s="54" t="inlineStr">
        <is>
          <t>2026.1Q</t>
        </is>
      </c>
      <c r="B177" s="55" t="n">
        <v>37.96</v>
      </c>
    </row>
    <row r="178">
      <c r="A178" s="54" t="inlineStr">
        <is>
          <t>2026.2Q</t>
        </is>
      </c>
      <c r="B178" s="55" t="n">
        <v>53.29</v>
      </c>
    </row>
    <row r="179">
      <c r="A179" s="54" t="inlineStr">
        <is>
          <t>2026.3Q</t>
        </is>
      </c>
      <c r="B179" s="55" t="n">
        <v>16.04</v>
      </c>
    </row>
    <row r="180">
      <c r="A180" s="54" t="inlineStr">
        <is>
          <t>2026.4Q</t>
        </is>
      </c>
      <c r="B180" s="55" t="n">
        <v>24.09</v>
      </c>
    </row>
    <row r="181">
      <c r="A181" s="54" t="inlineStr">
        <is>
          <t>2027.1Q</t>
        </is>
      </c>
      <c r="B181" s="55" t="n">
        <v>46.7</v>
      </c>
    </row>
    <row r="183">
      <c r="A183" s="52" t="inlineStr">
        <is>
          <t>annual ordinary</t>
        </is>
      </c>
      <c r="B183" s="52" t="n"/>
      <c r="C183" s="52" t="n"/>
      <c r="D183" s="52" t="n"/>
      <c r="E183" s="52" t="n"/>
      <c r="F183" s="52" t="n"/>
      <c r="G183" s="52" t="n"/>
    </row>
    <row r="184">
      <c r="A184" s="53" t="inlineStr">
        <is>
          <t>항목</t>
        </is>
      </c>
      <c r="B184" s="53" t="inlineStr">
        <is>
          <t>값</t>
        </is>
      </c>
      <c r="G184" s="53" t="inlineStr">
        <is>
          <t>출처</t>
        </is>
      </c>
    </row>
    <row r="185">
      <c r="A185" s="54" t="inlineStr">
        <is>
          <t>2017</t>
        </is>
      </c>
      <c r="B185" s="55" t="n">
        <v>78.2</v>
      </c>
      <c r="G185" s="56" t="inlineStr">
        <is>
          <t>2단계 보고서 자료(회사 설명회 자료·공시)</t>
        </is>
      </c>
    </row>
    <row r="186">
      <c r="A186" s="54" t="inlineStr">
        <is>
          <t>2018</t>
        </is>
      </c>
      <c r="B186" s="55" t="n">
        <v>124.2</v>
      </c>
    </row>
    <row r="187">
      <c r="A187" s="54" t="inlineStr">
        <is>
          <t>2019</t>
        </is>
      </c>
      <c r="B187" s="55" t="n">
        <v>143</v>
      </c>
    </row>
    <row r="188">
      <c r="A188" s="54" t="inlineStr">
        <is>
          <t>2020</t>
        </is>
      </c>
      <c r="B188" s="55" t="n">
        <v>102</v>
      </c>
    </row>
    <row r="189">
      <c r="A189" s="54" t="inlineStr">
        <is>
          <t>2021</t>
        </is>
      </c>
      <c r="B189" s="55" t="n">
        <v>71.7</v>
      </c>
    </row>
    <row r="190">
      <c r="A190" s="54" t="inlineStr">
        <is>
          <t>2022</t>
        </is>
      </c>
      <c r="B190" s="55" t="n">
        <v>126.7</v>
      </c>
    </row>
    <row r="191">
      <c r="A191" s="54" t="inlineStr">
        <is>
          <t>2023</t>
        </is>
      </c>
      <c r="B191" s="55" t="n">
        <v>120.4</v>
      </c>
    </row>
    <row r="192">
      <c r="A192" s="54" t="inlineStr">
        <is>
          <t>2024</t>
        </is>
      </c>
      <c r="B192" s="55" t="n">
        <v>178.1</v>
      </c>
    </row>
    <row r="193">
      <c r="A193" s="54" t="inlineStr">
        <is>
          <t>2025</t>
        </is>
      </c>
      <c r="B193" s="55" t="n">
        <v>240.3</v>
      </c>
    </row>
    <row r="194">
      <c r="A194" s="54" t="inlineStr">
        <is>
          <t>2026</t>
        </is>
      </c>
      <c r="B194" s="55" t="n">
        <v>245.5</v>
      </c>
    </row>
    <row r="196">
      <c r="A196" s="52" t="inlineStr">
        <is>
          <t>annual EPS</t>
        </is>
      </c>
      <c r="B196" s="52" t="n"/>
      <c r="C196" s="52" t="n"/>
      <c r="D196" s="52" t="n"/>
      <c r="E196" s="52" t="n"/>
      <c r="F196" s="52" t="n"/>
      <c r="G196" s="52" t="n"/>
    </row>
    <row r="197">
      <c r="A197" s="53" t="inlineStr">
        <is>
          <t>항목</t>
        </is>
      </c>
      <c r="B197" s="53" t="inlineStr">
        <is>
          <t>값</t>
        </is>
      </c>
      <c r="G197" s="53" t="inlineStr">
        <is>
          <t>출처</t>
        </is>
      </c>
    </row>
    <row r="198">
      <c r="A198" s="54" t="inlineStr">
        <is>
          <t>2017</t>
        </is>
      </c>
      <c r="B198" s="55" t="n">
        <v>61.88</v>
      </c>
      <c r="G198" s="56" t="inlineStr">
        <is>
          <t>2단계 보고서 자료(회사 설명회 자료·공시)</t>
        </is>
      </c>
    </row>
    <row r="199">
      <c r="A199" s="54" t="inlineStr">
        <is>
          <t>2018</t>
        </is>
      </c>
      <c r="B199" s="55" t="n">
        <v>84.73999999999999</v>
      </c>
    </row>
    <row r="200">
      <c r="A200" s="54" t="inlineStr">
        <is>
          <t>2019</t>
        </is>
      </c>
      <c r="B200" s="55" t="n">
        <v>97.84999999999999</v>
      </c>
    </row>
    <row r="201">
      <c r="A201" s="54" t="inlineStr">
        <is>
          <t>2020</t>
        </is>
      </c>
      <c r="B201" s="55" t="n">
        <v>47.3</v>
      </c>
    </row>
    <row r="202">
      <c r="A202" s="54" t="inlineStr">
        <is>
          <t>2021</t>
        </is>
      </c>
      <c r="B202" s="55" t="n">
        <v>57.07</v>
      </c>
    </row>
    <row r="203">
      <c r="A203" s="54" t="inlineStr">
        <is>
          <t>2022</t>
        </is>
      </c>
      <c r="B203" s="55" t="n">
        <v>98.23</v>
      </c>
    </row>
    <row r="204">
      <c r="A204" s="54" t="inlineStr">
        <is>
          <t>2023</t>
        </is>
      </c>
      <c r="B204" s="55" t="n">
        <v>90.66</v>
      </c>
    </row>
    <row r="205">
      <c r="A205" s="54" t="inlineStr">
        <is>
          <t>2024</t>
        </is>
      </c>
      <c r="B205" s="55" t="n">
        <v>107.73</v>
      </c>
    </row>
    <row r="206">
      <c r="A206" s="54" t="inlineStr">
        <is>
          <t>2025</t>
        </is>
      </c>
      <c r="B206" s="55" t="n">
        <v>182.2</v>
      </c>
    </row>
    <row r="207">
      <c r="A207" s="54" t="inlineStr">
        <is>
          <t>2026</t>
        </is>
      </c>
      <c r="B207" s="55" t="n">
        <v>131.38</v>
      </c>
    </row>
    <row r="209">
      <c r="A209" s="52" t="inlineStr">
        <is>
          <t>annual dps</t>
        </is>
      </c>
      <c r="B209" s="52" t="n"/>
      <c r="C209" s="52" t="n"/>
      <c r="D209" s="52" t="n"/>
      <c r="E209" s="52" t="n"/>
      <c r="F209" s="52" t="n"/>
      <c r="G209" s="52" t="n"/>
    </row>
    <row r="210">
      <c r="A210" s="53" t="inlineStr">
        <is>
          <t>항목</t>
        </is>
      </c>
      <c r="B210" s="53" t="inlineStr">
        <is>
          <t>값</t>
        </is>
      </c>
      <c r="G210" s="53" t="inlineStr">
        <is>
          <t>출처</t>
        </is>
      </c>
    </row>
    <row r="211">
      <c r="A211" s="54" t="inlineStr">
        <is>
          <t>2017</t>
        </is>
      </c>
      <c r="B211" s="57" t="n">
        <v>10</v>
      </c>
      <c r="G211" s="56" t="inlineStr">
        <is>
          <t>2단계 보고서 자료(회사 설명회 자료·공시)</t>
        </is>
      </c>
    </row>
    <row r="212">
      <c r="A212" s="54" t="inlineStr">
        <is>
          <t>2018</t>
        </is>
      </c>
      <c r="B212" s="57" t="n">
        <v>14</v>
      </c>
    </row>
    <row r="213">
      <c r="A213" s="54" t="inlineStr">
        <is>
          <t>2019</t>
        </is>
      </c>
      <c r="B213" s="57" t="n">
        <v>24</v>
      </c>
    </row>
    <row r="214">
      <c r="A214" s="54" t="inlineStr">
        <is>
          <t>2020</t>
        </is>
      </c>
      <c r="B214" s="57" t="n">
        <v>30</v>
      </c>
    </row>
    <row r="215">
      <c r="A215" s="54" t="inlineStr">
        <is>
          <t>2021</t>
        </is>
      </c>
      <c r="B215" s="55" t="n">
        <v>17.5</v>
      </c>
    </row>
    <row r="216">
      <c r="A216" s="54" t="inlineStr">
        <is>
          <t>2022</t>
        </is>
      </c>
      <c r="B216" s="55" t="n">
        <v>32.5</v>
      </c>
    </row>
    <row r="217">
      <c r="A217" s="54" t="inlineStr">
        <is>
          <t>2023</t>
        </is>
      </c>
      <c r="B217" s="55" t="n">
        <v>32.5</v>
      </c>
    </row>
    <row r="218">
      <c r="A218" s="54" t="inlineStr">
        <is>
          <t>2024</t>
        </is>
      </c>
      <c r="B218" s="57" t="n">
        <v>50</v>
      </c>
    </row>
    <row r="219">
      <c r="A219" s="54" t="inlineStr">
        <is>
          <t>2025</t>
        </is>
      </c>
      <c r="B219" s="57" t="n">
        <v>64</v>
      </c>
    </row>
    <row r="220">
      <c r="A220" s="54" t="inlineStr">
        <is>
          <t>2026</t>
        </is>
      </c>
      <c r="B220" s="57" t="n">
        <v>64</v>
      </c>
    </row>
    <row r="221">
      <c r="A221" s="54" t="inlineStr">
        <is>
          <t>2027fc</t>
        </is>
      </c>
      <c r="B221" s="57" t="n">
        <v>70</v>
      </c>
    </row>
    <row r="223">
      <c r="A223" s="52" t="inlineStr">
        <is>
          <t>segment_q1_fy27 · 일본</t>
        </is>
      </c>
      <c r="B223" s="52" t="n"/>
      <c r="C223" s="52" t="n"/>
      <c r="D223" s="52" t="n"/>
      <c r="E223" s="52" t="n"/>
      <c r="F223" s="52" t="n"/>
      <c r="G223" s="52" t="n"/>
    </row>
    <row r="224">
      <c r="A224" s="53" t="inlineStr">
        <is>
          <t>항목</t>
        </is>
      </c>
      <c r="B224" s="53" t="inlineStr">
        <is>
          <t>값</t>
        </is>
      </c>
      <c r="G224" s="53" t="inlineStr">
        <is>
          <t>출처</t>
        </is>
      </c>
    </row>
    <row r="225">
      <c r="A225" s="54" t="inlineStr">
        <is>
          <t>매출</t>
        </is>
      </c>
      <c r="B225" s="55" t="n">
        <v>503.39</v>
      </c>
      <c r="G225" s="56" t="inlineStr">
        <is>
          <t>2단계 보고서 자료(회사 설명회 자료·공시)</t>
        </is>
      </c>
    </row>
    <row r="226">
      <c r="A226" s="54" t="inlineStr">
        <is>
          <t>매출 ly</t>
        </is>
      </c>
      <c r="B226" s="55" t="n">
        <v>483</v>
      </c>
    </row>
    <row r="227">
      <c r="A227" s="54" t="inlineStr">
        <is>
          <t>profit</t>
        </is>
      </c>
      <c r="B227" s="55" t="n">
        <v>61.59</v>
      </c>
    </row>
    <row r="228">
      <c r="A228" s="54" t="inlineStr">
        <is>
          <t>profit ly</t>
        </is>
      </c>
      <c r="B228" s="55" t="n">
        <v>58.47</v>
      </c>
    </row>
    <row r="230">
      <c r="A230" s="52" t="inlineStr">
        <is>
          <t>segment_q1_fy27 · 아메리카</t>
        </is>
      </c>
      <c r="B230" s="52" t="n"/>
      <c r="C230" s="52" t="n"/>
      <c r="D230" s="52" t="n"/>
      <c r="E230" s="52" t="n"/>
      <c r="F230" s="52" t="n"/>
      <c r="G230" s="52" t="n"/>
    </row>
    <row r="231">
      <c r="A231" s="53" t="inlineStr">
        <is>
          <t>항목</t>
        </is>
      </c>
      <c r="B231" s="53" t="inlineStr">
        <is>
          <t>값</t>
        </is>
      </c>
      <c r="G231" s="53" t="inlineStr">
        <is>
          <t>출처</t>
        </is>
      </c>
    </row>
    <row r="232">
      <c r="A232" s="54" t="inlineStr">
        <is>
          <t>매출</t>
        </is>
      </c>
      <c r="B232" s="55" t="n">
        <v>50.92</v>
      </c>
      <c r="G232" s="56" t="inlineStr">
        <is>
          <t>2단계 보고서 자료(회사 설명회 자료·공시)</t>
        </is>
      </c>
    </row>
    <row r="233">
      <c r="A233" s="54" t="inlineStr">
        <is>
          <t>매출 ly</t>
        </is>
      </c>
      <c r="B233" s="55" t="n">
        <v>54.57</v>
      </c>
    </row>
    <row r="234">
      <c r="A234" s="54" t="inlineStr">
        <is>
          <t>profit</t>
        </is>
      </c>
      <c r="B234" s="55" t="n">
        <v>3.97</v>
      </c>
    </row>
    <row r="235">
      <c r="A235" s="54" t="inlineStr">
        <is>
          <t>profit ly</t>
        </is>
      </c>
      <c r="B235" s="55" t="n">
        <v>-2.54</v>
      </c>
    </row>
    <row r="237">
      <c r="A237" s="52" t="inlineStr">
        <is>
          <t>segment_q1_fy27 · 유럽</t>
        </is>
      </c>
      <c r="B237" s="52" t="n"/>
      <c r="C237" s="52" t="n"/>
      <c r="D237" s="52" t="n"/>
      <c r="E237" s="52" t="n"/>
      <c r="F237" s="52" t="n"/>
      <c r="G237" s="52" t="n"/>
    </row>
    <row r="238">
      <c r="A238" s="53" t="inlineStr">
        <is>
          <t>항목</t>
        </is>
      </c>
      <c r="B238" s="53" t="inlineStr">
        <is>
          <t>값</t>
        </is>
      </c>
      <c r="G238" s="53" t="inlineStr">
        <is>
          <t>출처</t>
        </is>
      </c>
    </row>
    <row r="239">
      <c r="A239" s="54" t="inlineStr">
        <is>
          <t>매출</t>
        </is>
      </c>
      <c r="B239" s="55" t="n">
        <v>14.62</v>
      </c>
      <c r="G239" s="56" t="inlineStr">
        <is>
          <t>2단계 보고서 자료(회사 설명회 자료·공시)</t>
        </is>
      </c>
    </row>
    <row r="240">
      <c r="A240" s="54" t="inlineStr">
        <is>
          <t>매출 ly</t>
        </is>
      </c>
      <c r="B240" s="55" t="n">
        <v>10.1</v>
      </c>
    </row>
    <row r="241">
      <c r="A241" s="54" t="inlineStr">
        <is>
          <t>profit</t>
        </is>
      </c>
      <c r="B241" s="55" t="n">
        <v>-1.29</v>
      </c>
    </row>
    <row r="242">
      <c r="A242" s="54" t="inlineStr">
        <is>
          <t>profit ly</t>
        </is>
      </c>
      <c r="B242" s="55" t="n">
        <v>-2.13</v>
      </c>
    </row>
    <row r="244">
      <c r="A244" s="52" t="inlineStr">
        <is>
          <t>segment_q1_fy27 · 오세아니아</t>
        </is>
      </c>
      <c r="B244" s="52" t="n"/>
      <c r="C244" s="52" t="n"/>
      <c r="D244" s="52" t="n"/>
      <c r="E244" s="52" t="n"/>
      <c r="F244" s="52" t="n"/>
      <c r="G244" s="52" t="n"/>
    </row>
    <row r="245">
      <c r="A245" s="53" t="inlineStr">
        <is>
          <t>항목</t>
        </is>
      </c>
      <c r="B245" s="53" t="inlineStr">
        <is>
          <t>값</t>
        </is>
      </c>
      <c r="G245" s="53" t="inlineStr">
        <is>
          <t>출처</t>
        </is>
      </c>
    </row>
    <row r="246">
      <c r="A246" s="54" t="inlineStr">
        <is>
          <t>매출</t>
        </is>
      </c>
      <c r="B246" s="55" t="n">
        <v>7.27</v>
      </c>
      <c r="G246" s="56" t="inlineStr">
        <is>
          <t>2단계 보고서 자료(회사 설명회 자료·공시)</t>
        </is>
      </c>
    </row>
    <row r="247">
      <c r="A247" s="54" t="inlineStr">
        <is>
          <t>매출 ly</t>
        </is>
      </c>
      <c r="B247" s="55" t="n">
        <v>5.18</v>
      </c>
    </row>
    <row r="248">
      <c r="A248" s="54" t="inlineStr">
        <is>
          <t>profit</t>
        </is>
      </c>
      <c r="B248" s="55" t="n">
        <v>0.37</v>
      </c>
    </row>
    <row r="249">
      <c r="A249" s="54" t="inlineStr">
        <is>
          <t>profit ly</t>
        </is>
      </c>
      <c r="B249" s="55" t="n">
        <v>0</v>
      </c>
    </row>
    <row r="251">
      <c r="A251" s="52" t="inlineStr">
        <is>
          <t>segment_q1_fy27 · 아시아</t>
        </is>
      </c>
      <c r="B251" s="52" t="n"/>
      <c r="C251" s="52" t="n"/>
      <c r="D251" s="52" t="n"/>
      <c r="E251" s="52" t="n"/>
      <c r="F251" s="52" t="n"/>
      <c r="G251" s="52" t="n"/>
    </row>
    <row r="252">
      <c r="A252" s="53" t="inlineStr">
        <is>
          <t>항목</t>
        </is>
      </c>
      <c r="B252" s="53" t="inlineStr">
        <is>
          <t>값</t>
        </is>
      </c>
      <c r="G252" s="53" t="inlineStr">
        <is>
          <t>출처</t>
        </is>
      </c>
    </row>
    <row r="253">
      <c r="A253" s="54" t="inlineStr">
        <is>
          <t>매출</t>
        </is>
      </c>
      <c r="B253" s="55" t="n">
        <v>64.25</v>
      </c>
      <c r="G253" s="56" t="inlineStr">
        <is>
          <t>2단계 보고서 자료(회사 설명회 자료·공시)</t>
        </is>
      </c>
    </row>
    <row r="254">
      <c r="A254" s="54" t="inlineStr">
        <is>
          <t>매출 ly</t>
        </is>
      </c>
      <c r="B254" s="55" t="n">
        <v>41.93</v>
      </c>
    </row>
    <row r="255">
      <c r="A255" s="54" t="inlineStr">
        <is>
          <t>profit</t>
        </is>
      </c>
      <c r="B255" s="55" t="n">
        <v>8.449999999999999</v>
      </c>
    </row>
    <row r="256">
      <c r="A256" s="54" t="inlineStr">
        <is>
          <t>profit ly</t>
        </is>
      </c>
      <c r="B256" s="55" t="n">
        <v>6.51</v>
      </c>
    </row>
    <row r="258">
      <c r="A258" s="52" t="inlineStr">
        <is>
          <t>segment_q1_fy27 · 조정</t>
        </is>
      </c>
      <c r="B258" s="52" t="n"/>
      <c r="C258" s="52" t="n"/>
      <c r="D258" s="52" t="n"/>
      <c r="E258" s="52" t="n"/>
      <c r="F258" s="52" t="n"/>
      <c r="G258" s="52" t="n"/>
    </row>
    <row r="259">
      <c r="A259" s="53" t="inlineStr">
        <is>
          <t>항목</t>
        </is>
      </c>
      <c r="B259" s="53" t="inlineStr">
        <is>
          <t>값</t>
        </is>
      </c>
      <c r="G259" s="53" t="inlineStr">
        <is>
          <t>출처</t>
        </is>
      </c>
    </row>
    <row r="260">
      <c r="A260" s="54" t="inlineStr">
        <is>
          <t>elim</t>
        </is>
      </c>
      <c r="B260" s="55" t="n">
        <v>-3.11</v>
      </c>
      <c r="G260" s="56" t="inlineStr">
        <is>
          <t>2단계 보고서 자료(회사 설명회 자료·공시)</t>
        </is>
      </c>
    </row>
    <row r="261">
      <c r="A261" s="54" t="inlineStr">
        <is>
          <t>corp</t>
        </is>
      </c>
      <c r="B261" s="55" t="n">
        <v>-14.87</v>
      </c>
    </row>
    <row r="263">
      <c r="A263" s="52" t="inlineStr">
        <is>
          <t>segment_annual_profit · FY3/25</t>
        </is>
      </c>
      <c r="B263" s="52" t="n"/>
      <c r="C263" s="52" t="n"/>
      <c r="D263" s="52" t="n"/>
      <c r="E263" s="52" t="n"/>
      <c r="F263" s="52" t="n"/>
      <c r="G263" s="52" t="n"/>
    </row>
    <row r="264">
      <c r="A264" s="53" t="inlineStr">
        <is>
          <t>항목</t>
        </is>
      </c>
      <c r="B264" s="53" t="inlineStr">
        <is>
          <t>값</t>
        </is>
      </c>
      <c r="G264" s="53" t="inlineStr">
        <is>
          <t>출처</t>
        </is>
      </c>
    </row>
    <row r="265">
      <c r="A265" s="54" t="inlineStr">
        <is>
          <t>일본</t>
        </is>
      </c>
      <c r="B265" s="55" t="n">
        <v>276.82</v>
      </c>
      <c r="G265" s="56" t="inlineStr">
        <is>
          <t>2단계 보고서 자료(회사 설명회 자료·공시)</t>
        </is>
      </c>
    </row>
    <row r="266">
      <c r="A266" s="54" t="inlineStr">
        <is>
          <t>아메리카</t>
        </is>
      </c>
      <c r="B266" s="55" t="n">
        <v>-1.55</v>
      </c>
    </row>
    <row r="267">
      <c r="A267" s="54" t="inlineStr">
        <is>
          <t>유럽</t>
        </is>
      </c>
      <c r="B267" s="55" t="n">
        <v>-3.33</v>
      </c>
    </row>
    <row r="268">
      <c r="A268" s="54" t="inlineStr">
        <is>
          <t>오세아니아</t>
        </is>
      </c>
      <c r="B268" s="55" t="n">
        <v>1.32</v>
      </c>
    </row>
    <row r="269">
      <c r="A269" s="54" t="inlineStr">
        <is>
          <t>아시아</t>
        </is>
      </c>
      <c r="B269" s="55" t="n">
        <v>26.68</v>
      </c>
    </row>
    <row r="271">
      <c r="A271" s="52" t="inlineStr">
        <is>
          <t>segment_annual_profit · FY3/26</t>
        </is>
      </c>
      <c r="B271" s="52" t="n"/>
      <c r="C271" s="52" t="n"/>
      <c r="D271" s="52" t="n"/>
      <c r="E271" s="52" t="n"/>
      <c r="F271" s="52" t="n"/>
      <c r="G271" s="52" t="n"/>
    </row>
    <row r="272">
      <c r="A272" s="53" t="inlineStr">
        <is>
          <t>항목</t>
        </is>
      </c>
      <c r="B272" s="53" t="inlineStr">
        <is>
          <t>값</t>
        </is>
      </c>
      <c r="G272" s="53" t="inlineStr">
        <is>
          <t>출처</t>
        </is>
      </c>
    </row>
    <row r="273">
      <c r="A273" s="54" t="inlineStr">
        <is>
          <t>일본</t>
        </is>
      </c>
      <c r="B273" s="55" t="n">
        <v>283.08</v>
      </c>
      <c r="G273" s="56" t="inlineStr">
        <is>
          <t>2단계 보고서 자료(회사 설명회 자료·공시)</t>
        </is>
      </c>
    </row>
    <row r="274">
      <c r="A274" s="54" t="inlineStr">
        <is>
          <t>아메리카</t>
        </is>
      </c>
      <c r="B274" s="55" t="n">
        <v>5.76</v>
      </c>
    </row>
    <row r="275">
      <c r="A275" s="54" t="inlineStr">
        <is>
          <t>유럽</t>
        </is>
      </c>
      <c r="B275" s="55" t="n">
        <v>-3.19</v>
      </c>
    </row>
    <row r="276">
      <c r="A276" s="54" t="inlineStr">
        <is>
          <t>오세아니아</t>
        </is>
      </c>
      <c r="B276" s="55" t="n">
        <v>1.82</v>
      </c>
    </row>
    <row r="277">
      <c r="A277" s="54" t="inlineStr">
        <is>
          <t>아시아</t>
        </is>
      </c>
      <c r="B277" s="55" t="n">
        <v>21.33</v>
      </c>
    </row>
    <row r="279">
      <c r="A279" s="52" t="inlineStr">
        <is>
          <t>segment_annual_sales_ext · FY3/25</t>
        </is>
      </c>
      <c r="B279" s="52" t="n"/>
      <c r="C279" s="52" t="n"/>
      <c r="D279" s="52" t="n"/>
      <c r="E279" s="52" t="n"/>
      <c r="F279" s="52" t="n"/>
      <c r="G279" s="52" t="n"/>
    </row>
    <row r="280">
      <c r="A280" s="53" t="inlineStr">
        <is>
          <t>항목</t>
        </is>
      </c>
      <c r="B280" s="53" t="inlineStr">
        <is>
          <t>값</t>
        </is>
      </c>
      <c r="G280" s="53" t="inlineStr">
        <is>
          <t>출처</t>
        </is>
      </c>
    </row>
    <row r="281">
      <c r="A281" s="54" t="inlineStr">
        <is>
          <t>일본</t>
        </is>
      </c>
      <c r="B281" s="55" t="n">
        <v>1933.17</v>
      </c>
      <c r="G281" s="56" t="inlineStr">
        <is>
          <t>2단계 보고서 자료(회사 설명회 자료·공시)</t>
        </is>
      </c>
    </row>
    <row r="282">
      <c r="A282" s="54" t="inlineStr">
        <is>
          <t>아메리카</t>
        </is>
      </c>
      <c r="B282" s="55" t="n">
        <v>310.61</v>
      </c>
    </row>
    <row r="283">
      <c r="A283" s="54" t="inlineStr">
        <is>
          <t>유럽</t>
        </is>
      </c>
      <c r="B283" s="55" t="n">
        <v>71.5</v>
      </c>
    </row>
    <row r="284">
      <c r="A284" s="54" t="inlineStr">
        <is>
          <t>오세아니아</t>
        </is>
      </c>
      <c r="B284" s="55" t="n">
        <v>27.55</v>
      </c>
    </row>
    <row r="285">
      <c r="A285" s="54" t="inlineStr">
        <is>
          <t>아시아</t>
        </is>
      </c>
      <c r="B285" s="55" t="n">
        <v>159.51</v>
      </c>
    </row>
    <row r="287">
      <c r="A287" s="52" t="inlineStr">
        <is>
          <t>segment_annual_sales_ext · FY3/26</t>
        </is>
      </c>
      <c r="B287" s="52" t="n"/>
      <c r="C287" s="52" t="n"/>
      <c r="D287" s="52" t="n"/>
      <c r="E287" s="52" t="n"/>
      <c r="F287" s="52" t="n"/>
      <c r="G287" s="52" t="n"/>
    </row>
    <row r="288">
      <c r="A288" s="53" t="inlineStr">
        <is>
          <t>항목</t>
        </is>
      </c>
      <c r="B288" s="53" t="inlineStr">
        <is>
          <t>값</t>
        </is>
      </c>
      <c r="G288" s="53" t="inlineStr">
        <is>
          <t>출처</t>
        </is>
      </c>
    </row>
    <row r="289">
      <c r="A289" s="54" t="inlineStr">
        <is>
          <t>일본</t>
        </is>
      </c>
      <c r="B289" s="55" t="n">
        <v>2104.34</v>
      </c>
      <c r="G289" s="56" t="inlineStr">
        <is>
          <t>2단계 보고서 자료(회사 설명회 자료·공시)</t>
        </is>
      </c>
    </row>
    <row r="290">
      <c r="A290" s="54" t="inlineStr">
        <is>
          <t>아메리카</t>
        </is>
      </c>
      <c r="B290" s="55" t="n">
        <v>304.05</v>
      </c>
    </row>
    <row r="291">
      <c r="A291" s="54" t="inlineStr">
        <is>
          <t>유럽</t>
        </is>
      </c>
      <c r="B291" s="55" t="n">
        <v>77.76000000000001</v>
      </c>
    </row>
    <row r="292">
      <c r="A292" s="54" t="inlineStr">
        <is>
          <t>오세아니아</t>
        </is>
      </c>
      <c r="B292" s="55" t="n">
        <v>28.62</v>
      </c>
    </row>
    <row r="293">
      <c r="A293" s="54" t="inlineStr">
        <is>
          <t>아시아</t>
        </is>
      </c>
      <c r="B293" s="55" t="n">
        <v>189.75</v>
      </c>
    </row>
    <row r="295">
      <c r="A295" s="52" t="inlineStr">
        <is>
          <t>지역별 매출 FY3 26</t>
        </is>
      </c>
      <c r="B295" s="52" t="n"/>
      <c r="C295" s="52" t="n"/>
      <c r="D295" s="52" t="n"/>
      <c r="E295" s="52" t="n"/>
      <c r="F295" s="52" t="n"/>
      <c r="G295" s="52" t="n"/>
    </row>
    <row r="296">
      <c r="A296" s="53" t="inlineStr">
        <is>
          <t>항목</t>
        </is>
      </c>
      <c r="B296" s="53" t="inlineStr">
        <is>
          <t>값</t>
        </is>
      </c>
      <c r="G296" s="53" t="inlineStr">
        <is>
          <t>출처</t>
        </is>
      </c>
    </row>
    <row r="297">
      <c r="A297" s="54" t="inlineStr">
        <is>
          <t>일본</t>
        </is>
      </c>
      <c r="B297" s="55" t="n">
        <v>1798.54</v>
      </c>
      <c r="G297" s="56" t="inlineStr">
        <is>
          <t>2단계 보고서 자료(회사 설명회 자료·공시)</t>
        </is>
      </c>
    </row>
    <row r="298">
      <c r="A298" s="54" t="inlineStr">
        <is>
          <t>북미</t>
        </is>
      </c>
      <c r="B298" s="55" t="n">
        <v>454</v>
      </c>
    </row>
    <row r="299">
      <c r="A299" s="54" t="inlineStr">
        <is>
          <t>그중 미국</t>
        </is>
      </c>
      <c r="B299" s="55" t="n">
        <v>435.51</v>
      </c>
    </row>
    <row r="300">
      <c r="A300" s="54" t="inlineStr">
        <is>
          <t>기타</t>
        </is>
      </c>
      <c r="B300" s="55" t="n">
        <v>452</v>
      </c>
    </row>
    <row r="302">
      <c r="A302" s="52" t="inlineStr">
        <is>
          <t>bs annual</t>
        </is>
      </c>
      <c r="B302" s="52" t="n"/>
      <c r="C302" s="52" t="n"/>
      <c r="D302" s="52" t="n"/>
      <c r="E302" s="52" t="n"/>
      <c r="F302" s="52" t="n"/>
      <c r="G302" s="52" t="n"/>
    </row>
    <row r="303">
      <c r="A303" s="53" t="inlineStr">
        <is>
          <t>항목</t>
        </is>
      </c>
      <c r="B303" s="53" t="inlineStr">
        <is>
          <t>2022</t>
        </is>
      </c>
      <c r="C303" s="53" t="inlineStr">
        <is>
          <t>2023</t>
        </is>
      </c>
      <c r="D303" s="53" t="inlineStr">
        <is>
          <t>2024</t>
        </is>
      </c>
      <c r="E303" s="53" t="inlineStr">
        <is>
          <t>2025</t>
        </is>
      </c>
      <c r="F303" s="53" t="inlineStr">
        <is>
          <t>2026</t>
        </is>
      </c>
      <c r="G303" s="53" t="inlineStr">
        <is>
          <t>출처</t>
        </is>
      </c>
    </row>
    <row r="304">
      <c r="A304" s="54" t="inlineStr">
        <is>
          <t>labels</t>
        </is>
      </c>
      <c r="B304" s="57" t="n">
        <v>2022</v>
      </c>
      <c r="C304" s="57" t="n">
        <v>2023</v>
      </c>
      <c r="D304" s="57" t="n">
        <v>2024</v>
      </c>
      <c r="E304" s="57" t="n">
        <v>2025</v>
      </c>
      <c r="F304" s="57" t="n">
        <v>2026</v>
      </c>
      <c r="G304" s="56" t="inlineStr">
        <is>
          <t>2단계 보고서 자료(회사 설명회 자료·공시)</t>
        </is>
      </c>
    </row>
    <row r="305">
      <c r="A305" s="54" t="inlineStr">
        <is>
          <t>current assets</t>
        </is>
      </c>
      <c r="B305" s="55" t="n">
        <v>1103.2</v>
      </c>
      <c r="C305" s="55" t="n">
        <v>1116.6</v>
      </c>
      <c r="D305" s="55" t="n">
        <v>1175.6</v>
      </c>
      <c r="E305" s="55" t="n">
        <v>1144</v>
      </c>
      <c r="F305" s="55" t="n">
        <v>1155.4</v>
      </c>
    </row>
    <row r="306">
      <c r="A306" s="54" t="inlineStr">
        <is>
          <t>cash</t>
        </is>
      </c>
      <c r="B306" s="55" t="n">
        <v>654.2</v>
      </c>
      <c r="C306" s="55" t="n">
        <v>664.5</v>
      </c>
      <c r="D306" s="55" t="n">
        <v>642.8</v>
      </c>
      <c r="E306" s="55" t="n">
        <v>561.6</v>
      </c>
      <c r="F306" s="55" t="n">
        <v>510.9</v>
      </c>
    </row>
    <row r="307">
      <c r="A307" s="54" t="inlineStr">
        <is>
          <t>st fin</t>
        </is>
      </c>
      <c r="B307" s="58" t="n"/>
      <c r="C307" s="58" t="n"/>
      <c r="D307" s="58" t="n"/>
      <c r="E307" s="58" t="n"/>
      <c r="F307" s="58" t="n"/>
    </row>
    <row r="308">
      <c r="A308" s="54" t="inlineStr">
        <is>
          <t>receivables</t>
        </is>
      </c>
      <c r="B308" s="55" t="n">
        <v>202.9</v>
      </c>
      <c r="C308" s="55" t="n">
        <v>209.1</v>
      </c>
      <c r="D308" s="55" t="n">
        <v>252.6</v>
      </c>
      <c r="E308" s="55" t="n">
        <v>295</v>
      </c>
      <c r="F308" s="55" t="n">
        <v>293.5</v>
      </c>
    </row>
    <row r="309">
      <c r="A309" s="54" t="inlineStr">
        <is>
          <t>inventory</t>
        </is>
      </c>
      <c r="B309" s="55" t="n">
        <v>180.2</v>
      </c>
      <c r="C309" s="55" t="n">
        <v>185.2</v>
      </c>
      <c r="D309" s="55" t="n">
        <v>194.6</v>
      </c>
      <c r="E309" s="55" t="n">
        <v>220</v>
      </c>
      <c r="F309" s="55" t="n">
        <v>252</v>
      </c>
    </row>
    <row r="310">
      <c r="A310" s="54" t="inlineStr">
        <is>
          <t>noncurrent assets</t>
        </is>
      </c>
      <c r="B310" s="55" t="n">
        <v>457.7</v>
      </c>
      <c r="C310" s="55" t="n">
        <v>478.5</v>
      </c>
      <c r="D310" s="55" t="n">
        <v>486.9</v>
      </c>
      <c r="E310" s="55" t="n">
        <v>513.7</v>
      </c>
      <c r="F310" s="55" t="n">
        <v>478.2</v>
      </c>
    </row>
    <row r="311">
      <c r="A311" s="54" t="inlineStr">
        <is>
          <t>ppe</t>
        </is>
      </c>
      <c r="B311" s="55" t="n">
        <v>135.3</v>
      </c>
      <c r="C311" s="55" t="n">
        <v>156.4</v>
      </c>
      <c r="D311" s="55" t="n">
        <v>159</v>
      </c>
      <c r="E311" s="55" t="n">
        <v>191</v>
      </c>
      <c r="F311" s="55" t="n">
        <v>205.8</v>
      </c>
    </row>
    <row r="312">
      <c r="A312" s="54" t="inlineStr">
        <is>
          <t>intangibles</t>
        </is>
      </c>
      <c r="B312" s="55" t="n">
        <v>258.9</v>
      </c>
      <c r="C312" s="55" t="n">
        <v>257.3</v>
      </c>
      <c r="D312" s="55" t="n">
        <v>256</v>
      </c>
      <c r="E312" s="55" t="n">
        <v>239.3</v>
      </c>
      <c r="F312" s="55" t="n">
        <v>188.5</v>
      </c>
    </row>
    <row r="313">
      <c r="A313" s="54" t="inlineStr">
        <is>
          <t>inv property</t>
        </is>
      </c>
      <c r="B313" s="58" t="n"/>
      <c r="C313" s="58" t="n"/>
      <c r="D313" s="58" t="n"/>
      <c r="E313" s="58" t="n"/>
      <c r="F313" s="58" t="n"/>
    </row>
    <row r="314">
      <c r="A314" s="54" t="inlineStr">
        <is>
          <t>합계 assets</t>
        </is>
      </c>
      <c r="B314" s="55" t="n">
        <v>1560.9</v>
      </c>
      <c r="C314" s="55" t="n">
        <v>1595.2</v>
      </c>
      <c r="D314" s="55" t="n">
        <v>1662.5</v>
      </c>
      <c r="E314" s="55" t="n">
        <v>1657.7</v>
      </c>
      <c r="F314" s="55" t="n">
        <v>1633.6</v>
      </c>
    </row>
    <row r="315">
      <c r="A315" s="54" t="inlineStr">
        <is>
          <t>current liab</t>
        </is>
      </c>
      <c r="B315" s="55" t="n">
        <v>499.3</v>
      </c>
      <c r="C315" s="55" t="n">
        <v>530.6</v>
      </c>
      <c r="D315" s="55" t="n">
        <v>537.2</v>
      </c>
      <c r="E315" s="55" t="n">
        <v>509.3</v>
      </c>
      <c r="F315" s="55" t="n">
        <v>448.5</v>
      </c>
    </row>
    <row r="316">
      <c r="A316" s="54" t="inlineStr">
        <is>
          <t>payables</t>
        </is>
      </c>
      <c r="B316" s="55" t="n">
        <v>89.59999999999999</v>
      </c>
      <c r="C316" s="55" t="n">
        <v>92.09999999999999</v>
      </c>
      <c r="D316" s="55" t="n">
        <v>146</v>
      </c>
      <c r="E316" s="55" t="n">
        <v>148.1</v>
      </c>
      <c r="F316" s="55" t="n">
        <v>118.7</v>
      </c>
    </row>
    <row r="317">
      <c r="A317" s="54" t="inlineStr">
        <is>
          <t>st debt</t>
        </is>
      </c>
      <c r="B317" s="55" t="n">
        <v>76.3</v>
      </c>
      <c r="C317" s="55" t="n">
        <v>100.4</v>
      </c>
      <c r="D317" s="55" t="n">
        <v>0</v>
      </c>
      <c r="E317" s="58" t="n"/>
      <c r="F317" s="58" t="n"/>
    </row>
    <row r="318">
      <c r="A318" s="54" t="inlineStr">
        <is>
          <t>noncurrent liab</t>
        </is>
      </c>
      <c r="B318" s="55" t="n">
        <v>269.9</v>
      </c>
      <c r="C318" s="55" t="n">
        <v>192.9</v>
      </c>
      <c r="D318" s="55" t="n">
        <v>125.3</v>
      </c>
      <c r="E318" s="55" t="n">
        <v>84.40000000000001</v>
      </c>
      <c r="F318" s="55" t="n">
        <v>73.5</v>
      </c>
    </row>
    <row r="319">
      <c r="A319" s="54" t="inlineStr">
        <is>
          <t>lt debt</t>
        </is>
      </c>
      <c r="B319" s="55" t="n">
        <v>188.9</v>
      </c>
      <c r="C319" s="55" t="n">
        <v>101.8</v>
      </c>
      <c r="D319" s="55" t="n">
        <v>41.8</v>
      </c>
      <c r="E319" s="55" t="n">
        <v>7</v>
      </c>
      <c r="F319" s="55" t="n">
        <v>0</v>
      </c>
    </row>
    <row r="320">
      <c r="A320" s="54" t="inlineStr">
        <is>
          <t>bonds</t>
        </is>
      </c>
      <c r="B320" s="58" t="n"/>
      <c r="C320" s="58" t="n"/>
      <c r="D320" s="58" t="n"/>
      <c r="E320" s="58" t="n"/>
      <c r="F320" s="58" t="n"/>
    </row>
    <row r="321">
      <c r="A321" s="54" t="inlineStr">
        <is>
          <t>합계 liab</t>
        </is>
      </c>
      <c r="B321" s="55" t="n">
        <v>769.2</v>
      </c>
      <c r="C321" s="55" t="n">
        <v>723.5</v>
      </c>
      <c r="D321" s="55" t="n">
        <v>662.5</v>
      </c>
      <c r="E321" s="55" t="n">
        <v>593.7</v>
      </c>
      <c r="F321" s="55" t="n">
        <v>521.9</v>
      </c>
    </row>
    <row r="322">
      <c r="A322" s="54" t="inlineStr">
        <is>
          <t>capital stock</t>
        </is>
      </c>
      <c r="B322" s="55" t="n">
        <v>34.6</v>
      </c>
      <c r="C322" s="55" t="n">
        <v>34.6</v>
      </c>
      <c r="D322" s="55" t="n">
        <v>34.6</v>
      </c>
      <c r="E322" s="55" t="n">
        <v>34.6</v>
      </c>
      <c r="F322" s="55" t="n">
        <v>34.6</v>
      </c>
    </row>
    <row r="323">
      <c r="A323" s="54" t="inlineStr">
        <is>
          <t>retained</t>
        </is>
      </c>
      <c r="B323" s="55" t="n">
        <v>554.7</v>
      </c>
      <c r="C323" s="55" t="n">
        <v>600.9</v>
      </c>
      <c r="D323" s="55" t="n">
        <v>669.2</v>
      </c>
      <c r="E323" s="55" t="n">
        <v>777.8</v>
      </c>
      <c r="F323" s="55" t="n">
        <v>833.7</v>
      </c>
    </row>
    <row r="324">
      <c r="A324" s="54" t="inlineStr">
        <is>
          <t>nci</t>
        </is>
      </c>
      <c r="B324" s="58" t="n"/>
      <c r="C324" s="58" t="n"/>
      <c r="D324" s="58" t="n"/>
      <c r="E324" s="58" t="n"/>
      <c r="F324" s="58" t="n"/>
    </row>
    <row r="325">
      <c r="A325" s="54" t="inlineStr">
        <is>
          <t>합계 equity</t>
        </is>
      </c>
      <c r="B325" s="55" t="n">
        <v>791.7</v>
      </c>
      <c r="C325" s="55" t="n">
        <v>871.7</v>
      </c>
      <c r="D325" s="55" t="n">
        <v>1000</v>
      </c>
      <c r="E325" s="55" t="n">
        <v>1064</v>
      </c>
      <c r="F325" s="55" t="n">
        <v>1111.7</v>
      </c>
    </row>
    <row r="326">
      <c r="A326" s="54" t="inlineStr">
        <is>
          <t>current ltd</t>
        </is>
      </c>
      <c r="B326" s="55" t="n">
        <v>88.3</v>
      </c>
      <c r="C326" s="55" t="n">
        <v>89</v>
      </c>
      <c r="D326" s="55" t="n">
        <v>61.8</v>
      </c>
      <c r="E326" s="55" t="n">
        <v>34.7</v>
      </c>
      <c r="F326" s="55" t="n">
        <v>7</v>
      </c>
    </row>
    <row r="327">
      <c r="A327" s="54" t="inlineStr">
        <is>
          <t>equity owner</t>
        </is>
      </c>
      <c r="B327" s="55" t="n">
        <v>788.6</v>
      </c>
      <c r="C327" s="55" t="n">
        <v>870.1</v>
      </c>
      <c r="D327" s="55" t="n">
        <v>999.7</v>
      </c>
      <c r="E327" s="55" t="n">
        <v>1063.7</v>
      </c>
      <c r="F327" s="55" t="n">
        <v>1111.3</v>
      </c>
    </row>
    <row r="329">
      <c r="A329" s="52" t="inlineStr">
        <is>
          <t>cf annual</t>
        </is>
      </c>
      <c r="B329" s="52" t="n"/>
      <c r="C329" s="52" t="n"/>
      <c r="D329" s="52" t="n"/>
      <c r="E329" s="52" t="n"/>
      <c r="F329" s="52" t="n"/>
      <c r="G329" s="52" t="n"/>
    </row>
    <row r="330">
      <c r="A330" s="53" t="inlineStr">
        <is>
          <t>항목</t>
        </is>
      </c>
      <c r="B330" s="53" t="inlineStr">
        <is>
          <t>2022</t>
        </is>
      </c>
      <c r="C330" s="53" t="inlineStr">
        <is>
          <t>2023</t>
        </is>
      </c>
      <c r="D330" s="53" t="inlineStr">
        <is>
          <t>2024</t>
        </is>
      </c>
      <c r="E330" s="53" t="inlineStr">
        <is>
          <t>2025</t>
        </is>
      </c>
      <c r="F330" s="53" t="inlineStr">
        <is>
          <t>2026</t>
        </is>
      </c>
      <c r="G330" s="53" t="inlineStr">
        <is>
          <t>출처</t>
        </is>
      </c>
    </row>
    <row r="331">
      <c r="A331" s="54" t="inlineStr">
        <is>
          <t>labels</t>
        </is>
      </c>
      <c r="B331" s="57" t="n">
        <v>2022</v>
      </c>
      <c r="C331" s="57" t="n">
        <v>2023</v>
      </c>
      <c r="D331" s="57" t="n">
        <v>2024</v>
      </c>
      <c r="E331" s="57" t="n">
        <v>2025</v>
      </c>
      <c r="F331" s="57" t="n">
        <v>2026</v>
      </c>
      <c r="G331" s="56" t="inlineStr">
        <is>
          <t>2단계 보고서 자료(회사 설명회 자료·공시)</t>
        </is>
      </c>
    </row>
    <row r="332">
      <c r="A332" s="54" t="inlineStr">
        <is>
          <t>ocf</t>
        </is>
      </c>
      <c r="B332" s="55" t="n">
        <v>164.1</v>
      </c>
      <c r="C332" s="55" t="n">
        <v>162.2</v>
      </c>
      <c r="D332" s="55" t="n">
        <v>291.8</v>
      </c>
      <c r="E332" s="55" t="n">
        <v>170</v>
      </c>
      <c r="F332" s="55" t="n">
        <v>200.5</v>
      </c>
    </row>
    <row r="333">
      <c r="A333" s="54" t="inlineStr">
        <is>
          <t>설비투자</t>
        </is>
      </c>
      <c r="B333" s="55" t="n">
        <v>44.1</v>
      </c>
      <c r="C333" s="55" t="n">
        <v>26.1</v>
      </c>
      <c r="D333" s="55" t="n">
        <v>46.6</v>
      </c>
      <c r="E333" s="55" t="n">
        <v>79.3</v>
      </c>
      <c r="F333" s="55" t="n">
        <v>76.40000000000001</v>
      </c>
    </row>
    <row r="334">
      <c r="A334" s="54" t="inlineStr">
        <is>
          <t>dividends</t>
        </is>
      </c>
      <c r="B334" s="55" t="n">
        <v>18.7</v>
      </c>
      <c r="C334" s="55" t="n">
        <v>36.9</v>
      </c>
      <c r="D334" s="55" t="n">
        <v>29.8</v>
      </c>
      <c r="E334" s="55" t="n">
        <v>54.6</v>
      </c>
      <c r="F334" s="55" t="n">
        <v>60.8</v>
      </c>
    </row>
    <row r="336">
      <c r="A336" s="52" t="inlineStr">
        <is>
          <t>reactions</t>
        </is>
      </c>
      <c r="B336" s="52" t="n"/>
      <c r="C336" s="52" t="n"/>
      <c r="D336" s="52" t="n"/>
      <c r="E336" s="52" t="n"/>
      <c r="F336" s="52" t="n"/>
      <c r="G336" s="52" t="n"/>
    </row>
    <row r="337">
      <c r="A337" s="53" t="inlineStr">
        <is>
          <t>항목</t>
        </is>
      </c>
      <c r="B337" s="53" t="inlineStr">
        <is>
          <t>기준일</t>
        </is>
      </c>
      <c r="C337" s="53" t="inlineStr">
        <is>
          <t>다음날</t>
        </is>
      </c>
      <c r="D337" s="53" t="inlineStr">
        <is>
          <t>등락%</t>
        </is>
      </c>
      <c r="G337" s="53" t="inlineStr">
        <is>
          <t>출처</t>
        </is>
      </c>
    </row>
    <row r="338">
      <c r="A338" s="54" t="inlineStr">
        <is>
          <t>2024-11-12</t>
        </is>
      </c>
      <c r="B338" s="58" t="inlineStr">
        <is>
          <t>2024-11-12</t>
        </is>
      </c>
      <c r="C338" s="58" t="inlineStr">
        <is>
          <t>2024-11-13</t>
        </is>
      </c>
      <c r="D338" s="55" t="n">
        <v>-3.7</v>
      </c>
      <c r="G338" s="56" t="inlineStr">
        <is>
          <t>2단계 보고서 자료(회사 설명회 자료·공시)</t>
        </is>
      </c>
    </row>
    <row r="339">
      <c r="A339" s="54" t="inlineStr">
        <is>
          <t>2025-02-12</t>
        </is>
      </c>
      <c r="B339" s="58" t="inlineStr">
        <is>
          <t>2025-02-12</t>
        </is>
      </c>
      <c r="C339" s="58" t="inlineStr">
        <is>
          <t>2025-02-13</t>
        </is>
      </c>
      <c r="D339" s="55" t="n">
        <v>-13.6</v>
      </c>
    </row>
    <row r="340">
      <c r="A340" s="54" t="inlineStr">
        <is>
          <t>2025-05-13</t>
        </is>
      </c>
      <c r="B340" s="58" t="inlineStr">
        <is>
          <t>2025-05-13</t>
        </is>
      </c>
      <c r="C340" s="58" t="inlineStr">
        <is>
          <t>2025-05-14</t>
        </is>
      </c>
      <c r="D340" s="55" t="n">
        <v>-5.7</v>
      </c>
    </row>
    <row r="341">
      <c r="A341" s="54" t="inlineStr">
        <is>
          <t>2025-08-05</t>
        </is>
      </c>
      <c r="B341" s="58" t="inlineStr">
        <is>
          <t>2025-08-05</t>
        </is>
      </c>
      <c r="C341" s="58" t="inlineStr">
        <is>
          <t>2025-08-06</t>
        </is>
      </c>
      <c r="D341" s="55" t="n">
        <v>2.8</v>
      </c>
    </row>
    <row r="342">
      <c r="A342" s="54" t="inlineStr">
        <is>
          <t>2025-11-11</t>
        </is>
      </c>
      <c r="B342" s="58" t="inlineStr">
        <is>
          <t>2025-11-11</t>
        </is>
      </c>
      <c r="C342" s="58" t="inlineStr">
        <is>
          <t>2025-11-12</t>
        </is>
      </c>
      <c r="D342" s="55" t="n">
        <v>-7.6</v>
      </c>
    </row>
    <row r="343">
      <c r="A343" s="54" t="inlineStr">
        <is>
          <t>2026-02-10</t>
        </is>
      </c>
      <c r="B343" s="58" t="inlineStr">
        <is>
          <t>2026-02-10</t>
        </is>
      </c>
      <c r="C343" s="58" t="inlineStr">
        <is>
          <t>2026-02-12</t>
        </is>
      </c>
      <c r="D343" s="55" t="n">
        <v>1.7</v>
      </c>
    </row>
    <row r="344">
      <c r="A344" s="54" t="inlineStr">
        <is>
          <t>2026-05-12</t>
        </is>
      </c>
      <c r="B344" s="58" t="inlineStr">
        <is>
          <t>2026-05-12</t>
        </is>
      </c>
      <c r="C344" s="58" t="inlineStr">
        <is>
          <t>2026-05-13</t>
        </is>
      </c>
      <c r="D344" s="55" t="n">
        <v>6.2</v>
      </c>
    </row>
    <row r="345">
      <c r="A345" s="54" t="inlineStr">
        <is>
          <t>2026-08-04</t>
        </is>
      </c>
      <c r="B345" s="58" t="inlineStr">
        <is>
          <t>2026-08-04</t>
        </is>
      </c>
      <c r="C345" s="58" t="inlineStr">
        <is>
          <t>2026-08-05</t>
        </is>
      </c>
      <c r="D345" s="55" t="n">
        <v>-8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9" t="inlineStr">
        <is>
          <t>공시일</t>
        </is>
      </c>
      <c r="B3" s="59" t="inlineStr">
        <is>
          <t>문서</t>
        </is>
      </c>
      <c r="C3" s="59" t="inlineStr">
        <is>
          <t>PDF</t>
        </is>
      </c>
    </row>
    <row r="4">
      <c r="A4" t="inlineStr">
        <is>
          <t>2026-08-04</t>
        </is>
      </c>
      <c r="B4" t="inlineStr">
        <is>
          <t>2027년 3월 결산기 １분기 결산단신</t>
        </is>
      </c>
      <c r="C4" t="inlineStr">
        <is>
          <t>https://www2.jpx.co.jp/disc/78670/140120260803507498.pdf</t>
        </is>
      </c>
    </row>
    <row r="5">
      <c r="A5" t="inlineStr">
        <is>
          <t>2026-05-12</t>
        </is>
      </c>
      <c r="B5" t="inlineStr">
        <is>
          <t>2026년 3월 결산기 연간 결산단신</t>
        </is>
      </c>
      <c r="C5" t="inlineStr">
        <is>
          <t>https://www2.jpx.co.jp/disc/78670/140120260511522379.pdf</t>
        </is>
      </c>
    </row>
    <row r="6">
      <c r="A6" t="inlineStr">
        <is>
          <t>2026-02-10</t>
        </is>
      </c>
      <c r="B6" t="inlineStr">
        <is>
          <t>2026년 3월 결산기 ３분기 결산단신</t>
        </is>
      </c>
      <c r="C6" t="inlineStr">
        <is>
          <t>https://www2.jpx.co.jp/disc/78670/140120260209551973.pdf</t>
        </is>
      </c>
    </row>
    <row r="7">
      <c r="A7" t="inlineStr">
        <is>
          <t>2025-11-11</t>
        </is>
      </c>
      <c r="B7" t="inlineStr">
        <is>
          <t>2026년 3월 결산기 ２분기 결산단신</t>
        </is>
      </c>
      <c r="C7" t="inlineStr">
        <is>
          <t>https://www2.jpx.co.jp/disc/78670/140120251107592321.pdf</t>
        </is>
      </c>
    </row>
    <row r="8">
      <c r="A8" t="inlineStr">
        <is>
          <t>2025-08-05</t>
        </is>
      </c>
      <c r="B8" t="inlineStr">
        <is>
          <t>2026년 3월 결산기 １분기 결산단신</t>
        </is>
      </c>
      <c r="C8" t="inlineStr">
        <is>
          <t>https://www2.jpx.co.jp/disc/78670/140120250804529065.pdf</t>
        </is>
      </c>
    </row>
    <row r="9">
      <c r="A9" t="inlineStr">
        <is>
          <t>2025-05-13</t>
        </is>
      </c>
      <c r="B9" t="inlineStr">
        <is>
          <t>2025년 3월 결산기 연간 결산단신</t>
        </is>
      </c>
      <c r="C9" t="inlineStr">
        <is>
          <t>https://www2.jpx.co.jp/disc/78670/140120250512542345.pdf</t>
        </is>
      </c>
    </row>
    <row r="10">
      <c r="A10" t="inlineStr">
        <is>
          <t>2025-02-12</t>
        </is>
      </c>
      <c r="B10" t="inlineStr">
        <is>
          <t>2025년 3월 결산기 ３분기 결산단신</t>
        </is>
      </c>
      <c r="C10" t="inlineStr">
        <is>
          <t>https://www2.jpx.co.jp/disc/78670/140120250207566666.pdf</t>
        </is>
      </c>
    </row>
    <row r="11">
      <c r="A11" t="inlineStr">
        <is>
          <t>2024-11-12</t>
        </is>
      </c>
      <c r="B11" t="inlineStr">
        <is>
          <t>2025년 3월 결산기 ２분기 결산단신</t>
        </is>
      </c>
      <c r="C11" t="inlineStr">
        <is>
          <t>https://www2.jpx.co.jp/disc/78670/140120241108516968.pdf</t>
        </is>
      </c>
    </row>
    <row r="12">
      <c r="A12" t="inlineStr">
        <is>
          <t>2024-08-06</t>
        </is>
      </c>
      <c r="B12" t="inlineStr">
        <is>
          <t>2025년 3월 결산기 １분기 결산단신</t>
        </is>
      </c>
      <c r="C12" t="inlineStr">
        <is>
          <t>https://www2.jpx.co.jp/disc/78670/140120240805562519.pdf</t>
        </is>
      </c>
    </row>
    <row r="13">
      <c r="A13" t="inlineStr">
        <is>
          <t>2024-05-14</t>
        </is>
      </c>
      <c r="B13" t="inlineStr">
        <is>
          <t>2024년 3월 결산기 연간 결산단신</t>
        </is>
      </c>
      <c r="C13" t="inlineStr">
        <is>
          <t>https://www2.jpx.co.jp/disc/78670/140120240513593212.pdf</t>
        </is>
      </c>
    </row>
    <row r="14">
      <c r="A14" t="inlineStr">
        <is>
          <t>2024-02-06</t>
        </is>
      </c>
      <c r="B14" t="inlineStr">
        <is>
          <t>2024년 3월 결산기 ３분기 결산단신</t>
        </is>
      </c>
      <c r="C14" t="inlineStr">
        <is>
          <t>https://www2.jpx.co.jp/disc/78670/140120240205526302.pdf</t>
        </is>
      </c>
    </row>
    <row r="15">
      <c r="A15" t="inlineStr">
        <is>
          <t>2023-11-07</t>
        </is>
      </c>
      <c r="B15" t="inlineStr">
        <is>
          <t>2024년 3월 결산기 ２분기 결산단신</t>
        </is>
      </c>
      <c r="C15" t="inlineStr">
        <is>
          <t>https://www2.jpx.co.jp/disc/78670/140120231107580379.pdf</t>
        </is>
      </c>
    </row>
    <row r="16">
      <c r="A16" t="inlineStr">
        <is>
          <t>2023-08-08</t>
        </is>
      </c>
      <c r="B16" t="inlineStr">
        <is>
          <t>2024년 3월 결산기 1분기 결산단신</t>
        </is>
      </c>
      <c r="C16" t="inlineStr">
        <is>
          <t>https://www2.jpx.co.jp/disc/78670/140120230807536253.pdf</t>
        </is>
      </c>
    </row>
    <row r="17">
      <c r="A17" t="inlineStr">
        <is>
          <t>2023-05-09</t>
        </is>
      </c>
      <c r="B17" t="inlineStr">
        <is>
          <t>2023년 3월 결산기 연간 결산단신</t>
        </is>
      </c>
      <c r="C17" t="inlineStr">
        <is>
          <t>https://www2.jpx.co.jp/disc/78670/140120230508560107.pdf</t>
        </is>
      </c>
    </row>
    <row r="18">
      <c r="A18" t="inlineStr">
        <is>
          <t>2023-02-07</t>
        </is>
      </c>
      <c r="B18" t="inlineStr">
        <is>
          <t>2023년 3월 결산기 ３분기 결산단신</t>
        </is>
      </c>
      <c r="C18" t="inlineStr">
        <is>
          <t>https://www2.jpx.co.jp/disc/78670/140120230206500688.pdf</t>
        </is>
      </c>
    </row>
    <row r="19">
      <c r="A19" t="inlineStr">
        <is>
          <t>2022-11-08</t>
        </is>
      </c>
      <c r="B19" t="inlineStr">
        <is>
          <t>2023년 3월 결산기 ２분기 결산단신</t>
        </is>
      </c>
      <c r="C19" t="inlineStr">
        <is>
          <t>https://www2.jpx.co.jp/disc/78670/140120221107557575.pdf</t>
        </is>
      </c>
    </row>
    <row r="20">
      <c r="A20" t="inlineStr">
        <is>
          <t>2022-05-10</t>
        </is>
      </c>
      <c r="B20" t="inlineStr">
        <is>
          <t>2022년 3월 결산기 연간 결산단신</t>
        </is>
      </c>
      <c r="C20" t="inlineStr">
        <is>
          <t>https://www2.jpx.co.jp/disc/78670/140120220509535658.pdf</t>
        </is>
      </c>
    </row>
    <row r="21">
      <c r="A21" t="inlineStr">
        <is>
          <t>2021-05-11</t>
        </is>
      </c>
      <c r="B21" t="inlineStr">
        <is>
          <t>2021년 3월 결산기 연간 결산단신</t>
        </is>
      </c>
      <c r="C21" t="inlineStr">
        <is>
          <t>https://www2.jpx.co.jp/disc/78670/140120210510408871.pdf</t>
        </is>
      </c>
    </row>
    <row r="22">
      <c r="A22" t="inlineStr">
        <is>
          <t>2020-05-19</t>
        </is>
      </c>
      <c r="B22" t="inlineStr">
        <is>
          <t>2020년 3월 결산기 연간 결산단신</t>
        </is>
      </c>
      <c r="C22" t="inlineStr">
        <is>
          <t>https://www2.jpx.co.jp/disc/78670/140120200515416190.pdf</t>
        </is>
      </c>
    </row>
    <row r="23">
      <c r="A23" t="inlineStr">
        <is>
          <t>2019-05-10</t>
        </is>
      </c>
      <c r="B23" t="inlineStr">
        <is>
          <t>2019년 3월 결산기 연간 결산단신</t>
        </is>
      </c>
      <c r="C23" t="inlineStr">
        <is>
          <t>https://www2.jpx.co.jp/disc/78670/140120190509419272.pdf</t>
        </is>
      </c>
    </row>
    <row r="24">
      <c r="A24" t="inlineStr">
        <is>
          <t>2018-05-11</t>
        </is>
      </c>
      <c r="B24" t="inlineStr">
        <is>
          <t>연간 결산단신</t>
        </is>
      </c>
      <c r="C24" t="inlineStr">
        <is>
          <t>https://www2.jpx.co.jp/disc/78670/140120180507428491.pdf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2026-10-30T01:04:43Z</dcterms:created>
  <dcterms:modified xmlns:dcterms="http://purl.org/dc/terms/" xmlns:xsi="http://www.w3.org/2001/XMLSchema-instance" xsi:type="dcterms:W3CDTF">2026-10-30T01:04:43Z</dcterms:modified>
</cp:coreProperties>
</file>