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출처" sheetId="3" state="visible" r:id="rId3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</numFmts>
  <fonts count="17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6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81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8699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2027.1Q = 2027년 3월 결산기 1분기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2024.2Q</t>
        </is>
      </c>
      <c r="D3" s="5" t="inlineStr">
        <is>
          <t>2024.3Q</t>
        </is>
      </c>
      <c r="E3" s="5" t="inlineStr">
        <is>
          <t>2024.4Q</t>
        </is>
      </c>
      <c r="F3" s="5" t="inlineStr">
        <is>
          <t>2025.1Q</t>
        </is>
      </c>
      <c r="G3" s="5" t="inlineStr">
        <is>
          <t>2025.2Q</t>
        </is>
      </c>
      <c r="H3" s="5" t="inlineStr">
        <is>
          <t>2025.3Q</t>
        </is>
      </c>
      <c r="I3" s="5" t="inlineStr">
        <is>
          <t>2025.4Q</t>
        </is>
      </c>
      <c r="J3" s="5" t="inlineStr">
        <is>
          <t>2026.1Q</t>
        </is>
      </c>
      <c r="K3" s="5" t="inlineStr">
        <is>
          <t>2026.2Q</t>
        </is>
      </c>
      <c r="L3" s="5" t="inlineStr">
        <is>
          <t>2026.3Q</t>
        </is>
      </c>
      <c r="M3" s="5" t="inlineStr">
        <is>
          <t>2026.4Q</t>
        </is>
      </c>
      <c r="N3" s="5" t="inlineStr">
        <is>
          <t>2027.1Q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6661</v>
      </c>
      <c r="D4" s="12" t="n">
        <v>7628</v>
      </c>
      <c r="E4" s="12" t="n">
        <v>7875</v>
      </c>
      <c r="F4" s="12" t="n">
        <v>8388</v>
      </c>
      <c r="G4" s="12" t="n">
        <v>8756</v>
      </c>
      <c r="H4" s="12" t="n">
        <v>8458</v>
      </c>
      <c r="I4" s="12" t="n">
        <v>9255</v>
      </c>
      <c r="J4" s="12" t="n">
        <v>8958</v>
      </c>
      <c r="K4" s="12" t="n">
        <v>14925</v>
      </c>
      <c r="L4" s="12" t="n">
        <v>15592</v>
      </c>
      <c r="M4" s="12" t="n">
        <v>15788</v>
      </c>
      <c r="N4" s="12" t="n">
        <v>16194</v>
      </c>
      <c r="O4" s="11" t="n">
        <v>3600</v>
      </c>
      <c r="P4" s="12" t="n">
        <v>4167</v>
      </c>
      <c r="Q4" s="12" t="n">
        <v>4510</v>
      </c>
      <c r="R4" s="12" t="n">
        <v>5441</v>
      </c>
      <c r="S4" s="12" t="n">
        <v>4987</v>
      </c>
      <c r="T4" s="12" t="n">
        <v>2957</v>
      </c>
      <c r="U4" s="12" t="n">
        <v>4817</v>
      </c>
      <c r="V4" s="12" t="n">
        <v>29142</v>
      </c>
      <c r="W4" s="12" t="n">
        <v>34857</v>
      </c>
      <c r="X4" s="12" t="n">
        <v>55263</v>
      </c>
      <c r="Y4" s="11">
        <f>IF(COUNT(Y7,Y10,Y13,Y16,Y19)=0,"",SUM(Y7,Y10,Y13,Y16,Y19))</f>
        <v/>
      </c>
      <c r="Z4" s="12">
        <f>IF(COUNT(Z7,Z10,Z13,Z16,Z19)=0,"",SUM(Z7,Z10,Z13,Z16,Z19))</f>
        <v/>
      </c>
      <c r="AA4" s="12">
        <f>IF(COUNT(AA7,AA10,AA13,AA16,AA19)=0,"",SUM(AA7,AA10,AA13,AA16,AA19))</f>
        <v/>
      </c>
      <c r="AB4" s="12">
        <f>IF(COUNT(AB7,AB10,AB13,AB16,AB19)=0,"",SUM(AB7,AB10,AB13,AB16,AB19))</f>
        <v/>
      </c>
      <c r="AC4" s="12">
        <f>IF(COUNT(AC7,AC10,AC13,AC16,AC19)=0,"",SUM(AC7,AC10,AC13,AC16,AC19))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BankingBusinessReportableSegmentMember</t>
        </is>
      </c>
      <c r="B7" s="10" t="n"/>
      <c r="C7" s="19" t="n">
        <v>501</v>
      </c>
      <c r="D7" s="20" t="n">
        <v>560</v>
      </c>
      <c r="E7" s="20" t="n">
        <v>679</v>
      </c>
      <c r="F7" s="20" t="n">
        <v>738</v>
      </c>
      <c r="G7" s="20" t="n">
        <v>866</v>
      </c>
      <c r="H7" s="20" t="n">
        <v>614</v>
      </c>
      <c r="I7" s="20" t="n">
        <v>690</v>
      </c>
      <c r="J7" s="20" t="n">
        <v>663</v>
      </c>
      <c r="K7" s="20" t="n">
        <v>594</v>
      </c>
      <c r="L7" s="20" t="n">
        <v>602</v>
      </c>
      <c r="M7" s="20" t="n">
        <v>756</v>
      </c>
      <c r="N7" s="20" t="n">
        <v>747</v>
      </c>
      <c r="O7" s="19" t="n"/>
      <c r="P7" s="20" t="n"/>
      <c r="Q7" s="20" t="n"/>
      <c r="R7" s="20" t="n"/>
      <c r="S7" s="20" t="n"/>
      <c r="T7" s="20" t="n"/>
      <c r="U7" s="20" t="n"/>
      <c r="V7" s="20" t="n">
        <v>20455</v>
      </c>
      <c r="W7" s="20" t="n">
        <v>2908</v>
      </c>
      <c r="X7" s="20" t="n">
        <v>2615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ReuseBusinessReportableSegmentMember</t>
        </is>
      </c>
      <c r="B10" s="10" t="n"/>
      <c r="C10" s="19" t="n">
        <v>6657</v>
      </c>
      <c r="D10" s="20" t="n">
        <v>7624</v>
      </c>
      <c r="E10" s="20" t="n">
        <v>7874</v>
      </c>
      <c r="F10" s="20" t="n">
        <v>8386</v>
      </c>
      <c r="G10" s="20" t="n">
        <v>8752</v>
      </c>
      <c r="H10" s="20" t="n">
        <v>8455</v>
      </c>
      <c r="I10" s="20" t="n">
        <v>9252</v>
      </c>
      <c r="J10" s="20" t="n">
        <v>8955</v>
      </c>
      <c r="K10" s="20" t="n">
        <v>14921</v>
      </c>
      <c r="L10" s="20" t="n">
        <v>15588</v>
      </c>
      <c r="M10" s="20" t="n">
        <v>15785</v>
      </c>
      <c r="N10" s="20" t="n">
        <v>16190</v>
      </c>
      <c r="O10" s="19" t="n"/>
      <c r="P10" s="20" t="n"/>
      <c r="Q10" s="20" t="n"/>
      <c r="R10" s="20" t="n"/>
      <c r="S10" s="20" t="n"/>
      <c r="T10" s="20" t="n"/>
      <c r="U10" s="20" t="n"/>
      <c r="V10" s="20" t="n">
        <v>29133</v>
      </c>
      <c r="W10" s="20" t="n">
        <v>34845</v>
      </c>
      <c r="X10" s="20" t="n">
        <v>55249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OtherBusinessReportableSegmentMember</t>
        </is>
      </c>
      <c r="B13" s="10" t="n"/>
      <c r="C13" s="19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19" t="n"/>
      <c r="P13" s="20" t="n"/>
      <c r="Q13" s="20" t="n"/>
      <c r="R13" s="20" t="n"/>
      <c r="S13" s="20" t="n"/>
      <c r="T13" s="20" t="n"/>
      <c r="U13" s="20" t="n"/>
      <c r="V13" s="20" t="n">
        <v>9</v>
      </c>
      <c r="W13" s="20" t="n">
        <v>11</v>
      </c>
      <c r="X13" s="20" t="n">
        <v>14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OtherReportableSegmentsMember</t>
        </is>
      </c>
      <c r="B16" s="10" t="n"/>
      <c r="C16" s="19" t="n">
        <v>3</v>
      </c>
      <c r="D16" s="20" t="n">
        <v>4</v>
      </c>
      <c r="E16" s="20" t="n"/>
      <c r="F16" s="20" t="n">
        <v>2</v>
      </c>
      <c r="G16" s="20" t="n">
        <v>3</v>
      </c>
      <c r="H16" s="20" t="n">
        <v>3</v>
      </c>
      <c r="I16" s="20" t="n"/>
      <c r="J16" s="20" t="n">
        <v>3</v>
      </c>
      <c r="K16" s="20" t="n">
        <v>3</v>
      </c>
      <c r="L16" s="20" t="n">
        <v>4</v>
      </c>
      <c r="M16" s="20" t="n"/>
      <c r="N16" s="20" t="n">
        <v>4</v>
      </c>
      <c r="O16" s="19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8" t="inlineStr">
        <is>
          <t>EntityTotalMember</t>
        </is>
      </c>
      <c r="B19" s="10" t="n"/>
      <c r="C19" s="19" t="n"/>
      <c r="D19" s="20" t="n"/>
      <c r="E19" s="20" t="n"/>
      <c r="F19" s="20" t="n">
        <v>9127</v>
      </c>
      <c r="G19" s="20" t="n"/>
      <c r="H19" s="20" t="n"/>
      <c r="I19" s="20" t="n"/>
      <c r="J19" s="20" t="n">
        <v>9622</v>
      </c>
      <c r="K19" s="20" t="n"/>
      <c r="L19" s="20" t="n"/>
      <c r="M19" s="20" t="n"/>
      <c r="N19" s="20" t="n">
        <v>16941</v>
      </c>
      <c r="O19" s="19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1" t="n"/>
      <c r="Z19" s="22" t="n"/>
      <c r="AA19" s="22" t="n"/>
      <c r="AB19" s="22" t="n"/>
      <c r="AC19" s="22" t="n"/>
    </row>
    <row r="20">
      <c r="A20" s="13" t="inlineStr">
        <is>
          <t>비중</t>
        </is>
      </c>
      <c r="B20" s="10" t="n"/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14">
        <f>IF(OR(Y19="",Y4=""),"",IFERROR(Y19/Y4,""))</f>
        <v/>
      </c>
      <c r="Z20" s="15">
        <f>IF(OR(Z19="",Z4=""),"",IFERROR(Z19/Z4,""))</f>
        <v/>
      </c>
      <c r="AA20" s="15">
        <f>IF(OR(AA19="",AA4=""),"",IFERROR(AA19/AA4,""))</f>
        <v/>
      </c>
      <c r="AB20" s="15">
        <f>IF(OR(AB19="",AB4=""),"",IFERROR(AB19/AB4,""))</f>
        <v/>
      </c>
      <c r="AC20" s="15">
        <f>IF(OR(AC19="",AC4=""),"",IFERROR(AC19/AC4,""))</f>
        <v/>
      </c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IF(OR(G19="",C19=""),"",IFERROR(G19/C19-1,""))</f>
        <v/>
      </c>
      <c r="H21" s="15">
        <f>IF(OR(H19="",D19=""),"",IFERROR(H19/D19-1,""))</f>
        <v/>
      </c>
      <c r="I21" s="15">
        <f>IF(OR(I19="",E19=""),"",IFERROR(I19/E19-1,""))</f>
        <v/>
      </c>
      <c r="J21" s="15">
        <f>IF(OR(J19="",F19=""),"",IFERROR(J19/F19-1,""))</f>
        <v/>
      </c>
      <c r="K21" s="15">
        <f>IF(OR(K19="",G19=""),"",IFERROR(K19/G19-1,""))</f>
        <v/>
      </c>
      <c r="L21" s="15">
        <f>IF(OR(L19="",H19=""),"",IFERROR(L19/H19-1,""))</f>
        <v/>
      </c>
      <c r="M21" s="15">
        <f>IF(OR(M19="",I19=""),"",IFERROR(M19/I19-1,""))</f>
        <v/>
      </c>
      <c r="N21" s="15">
        <f>IF(OR(N19="",J19=""),"",IFERROR(N19/J19-1,""))</f>
        <v/>
      </c>
      <c r="O21" s="14" t="n"/>
      <c r="P21" s="15">
        <f>IF(OR(P19="",O19=""),"",IFERROR(P19/O19-1,""))</f>
        <v/>
      </c>
      <c r="Q21" s="15">
        <f>IF(OR(Q19="",P19=""),"",IFERROR(Q19/P19-1,""))</f>
        <v/>
      </c>
      <c r="R21" s="15">
        <f>IF(OR(R19="",Q19=""),"",IFERROR(R19/Q19-1,""))</f>
        <v/>
      </c>
      <c r="S21" s="15">
        <f>IF(OR(S19="",R19=""),"",IFERROR(S19/R19-1,""))</f>
        <v/>
      </c>
      <c r="T21" s="15">
        <f>IF(OR(T19="",S19=""),"",IFERROR(T19/S19-1,""))</f>
        <v/>
      </c>
      <c r="U21" s="15">
        <f>IF(OR(U19="",T19=""),"",IFERROR(U19/T19-1,""))</f>
        <v/>
      </c>
      <c r="V21" s="15">
        <f>IF(OR(V19="",U19=""),"",IFERROR(V19/U19-1,""))</f>
        <v/>
      </c>
      <c r="W21" s="15">
        <f>IF(OR(W19="",V19=""),"",IFERROR(W19/V19-1,""))</f>
        <v/>
      </c>
      <c r="X21" s="15">
        <f>IF(OR(X19="",W19=""),"",IFERROR(X19/W19-1,""))</f>
        <v/>
      </c>
      <c r="Y21" s="14">
        <f>IF(OR(Y19="",X19=""),"",IFERROR(Y19/X19-1,""))</f>
        <v/>
      </c>
      <c r="Z21" s="15">
        <f>IF(OR(Z19="",Y19=""),"",IFERROR(Z19/Y19-1,""))</f>
        <v/>
      </c>
      <c r="AA21" s="15">
        <f>IF(OR(AA19="",Z19=""),"",IFERROR(AA19/Z19-1,""))</f>
        <v/>
      </c>
      <c r="AB21" s="15">
        <f>IF(OR(AB19="",AA19=""),"",IFERROR(AB19/AA19-1,""))</f>
        <v/>
      </c>
      <c r="AC21" s="15">
        <f>IF(OR(AC19="",AB19=""),"",IFERROR(AC19/AB19-1,""))</f>
        <v/>
      </c>
    </row>
    <row r="22">
      <c r="A22" s="16" t="inlineStr">
        <is>
          <t>매출원가</t>
        </is>
      </c>
      <c r="B22" s="16" t="n"/>
      <c r="C22" s="17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7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7" t="n"/>
      <c r="Z22" s="16" t="n"/>
      <c r="AA22" s="16" t="n"/>
      <c r="AB22" s="16" t="n"/>
      <c r="AC22" s="16" t="n"/>
    </row>
    <row r="23">
      <c r="A23" s="18" t="inlineStr">
        <is>
          <t>전체 매출원가</t>
        </is>
      </c>
      <c r="B23" s="10" t="n"/>
      <c r="C23" s="19" t="n">
        <v>5189</v>
      </c>
      <c r="D23" s="20" t="n">
        <v>6093</v>
      </c>
      <c r="E23" s="20" t="n">
        <v>6241</v>
      </c>
      <c r="F23" s="20" t="n">
        <v>6449</v>
      </c>
      <c r="G23" s="20" t="n">
        <v>6978</v>
      </c>
      <c r="H23" s="20" t="n">
        <v>6590</v>
      </c>
      <c r="I23" s="20" t="n">
        <v>7021</v>
      </c>
      <c r="J23" s="20" t="n">
        <v>6941</v>
      </c>
      <c r="K23" s="20" t="n">
        <v>12355</v>
      </c>
      <c r="L23" s="20" t="n">
        <v>12712</v>
      </c>
      <c r="M23" s="20" t="n">
        <v>12585</v>
      </c>
      <c r="N23" s="20" t="n">
        <v>12987</v>
      </c>
      <c r="O23" s="19" t="n">
        <v>2124</v>
      </c>
      <c r="P23" s="20" t="n">
        <v>2681</v>
      </c>
      <c r="Q23" s="20" t="n">
        <v>2927</v>
      </c>
      <c r="R23" s="20" t="n">
        <v>3655</v>
      </c>
      <c r="S23" s="20" t="n">
        <v>3542</v>
      </c>
      <c r="T23" s="20" t="n">
        <v>1369</v>
      </c>
      <c r="U23" s="20" t="n">
        <v>3247</v>
      </c>
      <c r="V23" s="20" t="n">
        <v>22915</v>
      </c>
      <c r="W23" s="20" t="n">
        <v>27038</v>
      </c>
      <c r="X23" s="20" t="n">
        <v>44593</v>
      </c>
      <c r="Y23" s="19" t="n"/>
      <c r="Z23" s="20" t="n"/>
      <c r="AA23" s="20" t="n"/>
      <c r="AB23" s="20" t="n"/>
      <c r="AC23" s="20" t="n"/>
    </row>
    <row r="24">
      <c r="A24" s="18" t="inlineStr">
        <is>
          <t>매출총이익</t>
        </is>
      </c>
      <c r="B24" s="10" t="n"/>
      <c r="C24" s="19">
        <f>IF(OR(C4="",C23=""),"",IFERROR(C4-C23,""))</f>
        <v/>
      </c>
      <c r="D24" s="20">
        <f>IF(OR(D4="",D23=""),"",IFERROR(D4-D23,""))</f>
        <v/>
      </c>
      <c r="E24" s="20">
        <f>IF(OR(E4="",E23=""),"",IFERROR(E4-E23,""))</f>
        <v/>
      </c>
      <c r="F24" s="20">
        <f>IF(OR(F4="",F23=""),"",IFERROR(F4-F23,""))</f>
        <v/>
      </c>
      <c r="G24" s="20">
        <f>IF(OR(G4="",G23=""),"",IFERROR(G4-G23,""))</f>
        <v/>
      </c>
      <c r="H24" s="20">
        <f>IF(OR(H4="",H23=""),"",IFERROR(H4-H23,""))</f>
        <v/>
      </c>
      <c r="I24" s="20">
        <f>IF(OR(I4="",I23=""),"",IFERROR(I4-I23,""))</f>
        <v/>
      </c>
      <c r="J24" s="20">
        <f>IF(OR(J4="",J23=""),"",IFERROR(J4-J23,""))</f>
        <v/>
      </c>
      <c r="K24" s="20">
        <f>IF(OR(K4="",K23=""),"",IFERROR(K4-K23,""))</f>
        <v/>
      </c>
      <c r="L24" s="20">
        <f>IF(OR(L4="",L23=""),"",IFERROR(L4-L23,""))</f>
        <v/>
      </c>
      <c r="M24" s="20">
        <f>IF(OR(M4="",M23=""),"",IFERROR(M4-M23,""))</f>
        <v/>
      </c>
      <c r="N24" s="20">
        <f>IF(OR(N4="",N23=""),"",IFERROR(N4-N23,""))</f>
        <v/>
      </c>
      <c r="O24" s="19">
        <f>IF(OR(O4="",O23=""),"",IFERROR(O4-O23,""))</f>
        <v/>
      </c>
      <c r="P24" s="20">
        <f>IF(OR(P4="",P23=""),"",IFERROR(P4-P23,""))</f>
        <v/>
      </c>
      <c r="Q24" s="20">
        <f>IF(OR(Q4="",Q23=""),"",IFERROR(Q4-Q23,""))</f>
        <v/>
      </c>
      <c r="R24" s="20">
        <f>IF(OR(R4="",R23=""),"",IFERROR(R4-R23,""))</f>
        <v/>
      </c>
      <c r="S24" s="20">
        <f>IF(OR(S4="",S23=""),"",IFERROR(S4-S23,""))</f>
        <v/>
      </c>
      <c r="T24" s="20">
        <f>IF(OR(T4="",T23=""),"",IFERROR(T4-T23,""))</f>
        <v/>
      </c>
      <c r="U24" s="20">
        <f>IF(OR(U4="",U23=""),"",IFERROR(U4-U23,""))</f>
        <v/>
      </c>
      <c r="V24" s="20">
        <f>IF(OR(V4="",V23=""),"",IFERROR(V4-V23,""))</f>
        <v/>
      </c>
      <c r="W24" s="20">
        <f>IF(OR(W4="",W23=""),"",IFERROR(W4-W23,""))</f>
        <v/>
      </c>
      <c r="X24" s="20">
        <f>IF(OR(X4="",X23=""),"",IFERROR(X4-X23,""))</f>
        <v/>
      </c>
      <c r="Y24" s="19" t="n"/>
      <c r="Z24" s="20" t="n"/>
      <c r="AA24" s="20" t="n"/>
      <c r="AB24" s="20" t="n"/>
      <c r="AC24" s="20" t="n"/>
    </row>
    <row r="25">
      <c r="A25" s="13" t="inlineStr">
        <is>
          <t>GPM</t>
        </is>
      </c>
      <c r="B25" s="10" t="n"/>
      <c r="C25" s="14">
        <f>IF(OR(C24="",C4=""),"",IFERROR(C24/C4,""))</f>
        <v/>
      </c>
      <c r="D25" s="15">
        <f>IF(OR(D24="",D4=""),"",IFERROR(D24/D4,""))</f>
        <v/>
      </c>
      <c r="E25" s="15">
        <f>IF(OR(E24="",E4=""),"",IFERROR(E24/E4,""))</f>
        <v/>
      </c>
      <c r="F25" s="15">
        <f>IF(OR(F24="",F4=""),"",IFERROR(F24/F4,""))</f>
        <v/>
      </c>
      <c r="G25" s="15">
        <f>IF(OR(G24="",G4=""),"",IFERROR(G24/G4,""))</f>
        <v/>
      </c>
      <c r="H25" s="15">
        <f>IF(OR(H24="",H4=""),"",IFERROR(H24/H4,""))</f>
        <v/>
      </c>
      <c r="I25" s="15">
        <f>IF(OR(I24="",I4=""),"",IFERROR(I24/I4,""))</f>
        <v/>
      </c>
      <c r="J25" s="15">
        <f>IF(OR(J24="",J4=""),"",IFERROR(J24/J4,""))</f>
        <v/>
      </c>
      <c r="K25" s="15">
        <f>IF(OR(K24="",K4=""),"",IFERROR(K24/K4,""))</f>
        <v/>
      </c>
      <c r="L25" s="15">
        <f>IF(OR(L24="",L4=""),"",IFERROR(L24/L4,""))</f>
        <v/>
      </c>
      <c r="M25" s="15">
        <f>IF(OR(M24="",M4=""),"",IFERROR(M24/M4,""))</f>
        <v/>
      </c>
      <c r="N25" s="15">
        <f>IF(OR(N24="",N4=""),"",IFERROR(N24/N4,""))</f>
        <v/>
      </c>
      <c r="O25" s="14">
        <f>IF(OR(O24="",O4=""),"",IFERROR(O24/O4,""))</f>
        <v/>
      </c>
      <c r="P25" s="15">
        <f>IF(OR(P24="",P4=""),"",IFERROR(P24/P4,""))</f>
        <v/>
      </c>
      <c r="Q25" s="15">
        <f>IF(OR(Q24="",Q4=""),"",IFERROR(Q24/Q4,""))</f>
        <v/>
      </c>
      <c r="R25" s="15">
        <f>IF(OR(R24="",R4=""),"",IFERROR(R24/R4,""))</f>
        <v/>
      </c>
      <c r="S25" s="15">
        <f>IF(OR(S24="",S4=""),"",IFERROR(S24/S4,""))</f>
        <v/>
      </c>
      <c r="T25" s="15">
        <f>IF(OR(T24="",T4=""),"",IFERROR(T24/T4,""))</f>
        <v/>
      </c>
      <c r="U25" s="15">
        <f>IF(OR(U24="",U4=""),"",IFERROR(U24/U4,""))</f>
        <v/>
      </c>
      <c r="V25" s="15">
        <f>IF(OR(V24="",V4=""),"",IFERROR(V24/V4,""))</f>
        <v/>
      </c>
      <c r="W25" s="15">
        <f>IF(OR(W24="",W4=""),"",IFERROR(W24/W4,""))</f>
        <v/>
      </c>
      <c r="X25" s="15">
        <f>IF(OR(X24="",X4=""),"",IFERROR(X24/X4,""))</f>
        <v/>
      </c>
      <c r="Y25" s="14">
        <f>IF(OR(Y24="",Y4=""),"",IFERROR(Y24/Y4,""))</f>
        <v/>
      </c>
      <c r="Z25" s="15">
        <f>IF(OR(Z24="",Z4=""),"",IFERROR(Z24/Z4,""))</f>
        <v/>
      </c>
      <c r="AA25" s="15">
        <f>IF(OR(AA24="",AA4=""),"",IFERROR(AA24/AA4,""))</f>
        <v/>
      </c>
      <c r="AB25" s="15">
        <f>IF(OR(AB24="",AB4=""),"",IFERROR(AB24/AB4,""))</f>
        <v/>
      </c>
      <c r="AC25" s="15">
        <f>IF(OR(AC24="",AC4=""),"",IFERROR(AC24/AC4,""))</f>
        <v/>
      </c>
    </row>
    <row r="26">
      <c r="A26" s="23" t="inlineStr">
        <is>
          <t>판매관리비</t>
        </is>
      </c>
      <c r="B26" s="23" t="n"/>
      <c r="C26" s="24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4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4" t="n"/>
      <c r="Z26" s="23" t="n"/>
      <c r="AA26" s="23" t="n"/>
      <c r="AB26" s="23" t="n"/>
      <c r="AC26" s="23" t="n"/>
    </row>
    <row r="27">
      <c r="A27" s="18" t="inlineStr">
        <is>
          <t>전체 판관비</t>
        </is>
      </c>
      <c r="B27" s="10" t="n"/>
      <c r="C27" s="19" t="n">
        <v>1966</v>
      </c>
      <c r="D27" s="20" t="n">
        <v>2080</v>
      </c>
      <c r="E27" s="20" t="n">
        <v>2393</v>
      </c>
      <c r="F27" s="20" t="n">
        <v>2321</v>
      </c>
      <c r="G27" s="20" t="n">
        <v>2351</v>
      </c>
      <c r="H27" s="20" t="n">
        <v>2410</v>
      </c>
      <c r="I27" s="20" t="n">
        <v>3034</v>
      </c>
      <c r="J27" s="20" t="n">
        <v>2614</v>
      </c>
      <c r="K27" s="20" t="n">
        <v>3046</v>
      </c>
      <c r="L27" s="20" t="n">
        <v>3081</v>
      </c>
      <c r="M27" s="20" t="n">
        <v>3154</v>
      </c>
      <c r="N27" s="20" t="n">
        <v>3426</v>
      </c>
      <c r="O27" s="19" t="n">
        <v>15822</v>
      </c>
      <c r="P27" s="20" t="n">
        <v>17957</v>
      </c>
      <c r="Q27" s="20" t="n">
        <v>17328</v>
      </c>
      <c r="R27" s="20" t="n">
        <v>18608</v>
      </c>
      <c r="S27" s="20" t="n">
        <v>19293</v>
      </c>
      <c r="T27" s="20" t="n">
        <v>22123</v>
      </c>
      <c r="U27" s="20" t="n">
        <v>26877</v>
      </c>
      <c r="V27" s="20" t="n">
        <v>13243</v>
      </c>
      <c r="W27" s="20" t="n">
        <v>10116</v>
      </c>
      <c r="X27" s="20" t="n">
        <v>11895</v>
      </c>
      <c r="Y27" s="19" t="n"/>
      <c r="Z27" s="20" t="n"/>
      <c r="AA27" s="20" t="n"/>
      <c r="AB27" s="20" t="n"/>
      <c r="AC27" s="20" t="n"/>
    </row>
    <row r="28">
      <c r="A28" s="9" t="inlineStr">
        <is>
          <t>영업이익</t>
        </is>
      </c>
      <c r="B28" s="10" t="inlineStr">
        <is>
          <t>MW = 매출 × OPM</t>
        </is>
      </c>
      <c r="C28" s="11" t="n">
        <v>-267</v>
      </c>
      <c r="D28" s="12" t="n">
        <v>-284</v>
      </c>
      <c r="E28" s="12" t="n">
        <v>-223</v>
      </c>
      <c r="F28" s="12" t="n">
        <v>-28</v>
      </c>
      <c r="G28" s="12" t="n">
        <v>-146</v>
      </c>
      <c r="H28" s="12" t="n">
        <v>-251</v>
      </c>
      <c r="I28" s="12" t="n">
        <v>-681</v>
      </c>
      <c r="J28" s="12" t="n">
        <v>-260</v>
      </c>
      <c r="K28" s="12" t="n">
        <v>-526</v>
      </c>
      <c r="L28" s="12" t="n">
        <v>50</v>
      </c>
      <c r="M28" s="12" t="n">
        <v>373</v>
      </c>
      <c r="N28" s="12" t="n">
        <v>137</v>
      </c>
      <c r="O28" s="11" t="n">
        <v>5764</v>
      </c>
      <c r="P28" s="12" t="n">
        <v>7192</v>
      </c>
      <c r="Q28" s="12" t="n">
        <v>9682</v>
      </c>
      <c r="R28" s="12" t="n">
        <v>10901</v>
      </c>
      <c r="S28" s="12" t="n">
        <v>8871</v>
      </c>
      <c r="T28" s="12" t="n">
        <v>15993</v>
      </c>
      <c r="U28" s="12" t="n">
        <v>24142</v>
      </c>
      <c r="V28" s="12" t="n">
        <v>5008</v>
      </c>
      <c r="W28" s="12" t="n">
        <v>-1106</v>
      </c>
      <c r="X28" s="12" t="n">
        <v>-363</v>
      </c>
      <c r="Y28" s="11">
        <f>IF(OR(Y4="",Y29=""),"",IFERROR(Y4*Y29,""))</f>
        <v/>
      </c>
      <c r="Z28" s="12">
        <f>IF(OR(Z4="",Z29=""),"",IFERROR(Z4*Z29,""))</f>
        <v/>
      </c>
      <c r="AA28" s="12">
        <f>IF(OR(AA4="",AA29=""),"",IFERROR(AA4*AA29,""))</f>
        <v/>
      </c>
      <c r="AB28" s="12">
        <f>IF(OR(AB4="",AB29=""),"",IFERROR(AB4*AB29,""))</f>
        <v/>
      </c>
      <c r="AC28" s="12">
        <f>IF(OR(AC4="",AC29=""),"",IFERROR(AC4*AC29,""))</f>
        <v/>
      </c>
    </row>
    <row r="29">
      <c r="A29" s="13" t="inlineStr">
        <is>
          <t>OPM</t>
        </is>
      </c>
      <c r="B29" s="10" t="inlineStr">
        <is>
          <t>MW 입력</t>
        </is>
      </c>
      <c r="C29" s="14">
        <f>IF(OR(C28="",C4=""),"",IFERROR(C28/C4,""))</f>
        <v/>
      </c>
      <c r="D29" s="15">
        <f>IF(OR(D28="",D4=""),"",IFERROR(D28/D4,""))</f>
        <v/>
      </c>
      <c r="E29" s="15">
        <f>IF(OR(E28="",E4=""),"",IFERROR(E28/E4,""))</f>
        <v/>
      </c>
      <c r="F29" s="15">
        <f>IF(OR(F28="",F4=""),"",IFERROR(F28/F4,""))</f>
        <v/>
      </c>
      <c r="G29" s="15">
        <f>IF(OR(G28="",G4=""),"",IFERROR(G28/G4,""))</f>
        <v/>
      </c>
      <c r="H29" s="15">
        <f>IF(OR(H28="",H4=""),"",IFERROR(H28/H4,""))</f>
        <v/>
      </c>
      <c r="I29" s="15">
        <f>IF(OR(I28="",I4=""),"",IFERROR(I28/I4,""))</f>
        <v/>
      </c>
      <c r="J29" s="15">
        <f>IF(OR(J28="",J4=""),"",IFERROR(J28/J4,""))</f>
        <v/>
      </c>
      <c r="K29" s="15">
        <f>IF(OR(K28="",K4=""),"",IFERROR(K28/K4,""))</f>
        <v/>
      </c>
      <c r="L29" s="15">
        <f>IF(OR(L28="",L4=""),"",IFERROR(L28/L4,""))</f>
        <v/>
      </c>
      <c r="M29" s="15">
        <f>IF(OR(M28="",M4=""),"",IFERROR(M28/M4,""))</f>
        <v/>
      </c>
      <c r="N29" s="15">
        <f>IF(OR(N28="",N4=""),"",IFERROR(N28/N4,""))</f>
        <v/>
      </c>
      <c r="O29" s="14">
        <f>IF(OR(O28="",O4=""),"",IFERROR(O28/O4,""))</f>
        <v/>
      </c>
      <c r="P29" s="15">
        <f>IF(OR(P28="",P4=""),"",IFERROR(P28/P4,""))</f>
        <v/>
      </c>
      <c r="Q29" s="15">
        <f>IF(OR(Q28="",Q4=""),"",IFERROR(Q28/Q4,""))</f>
        <v/>
      </c>
      <c r="R29" s="15">
        <f>IF(OR(R28="",R4=""),"",IFERROR(R28/R4,""))</f>
        <v/>
      </c>
      <c r="S29" s="15">
        <f>IF(OR(S28="",S4=""),"",IFERROR(S28/S4,""))</f>
        <v/>
      </c>
      <c r="T29" s="15">
        <f>IF(OR(T28="",T4=""),"",IFERROR(T28/T4,""))</f>
        <v/>
      </c>
      <c r="U29" s="15">
        <f>IF(OR(U28="",U4=""),"",IFERROR(U28/U4,""))</f>
        <v/>
      </c>
      <c r="V29" s="15">
        <f>IF(OR(V28="",V4=""),"",IFERROR(V28/V4,""))</f>
        <v/>
      </c>
      <c r="W29" s="15">
        <f>IF(OR(W28="",W4=""),"",IFERROR(W28/W4,""))</f>
        <v/>
      </c>
      <c r="X29" s="15">
        <f>IF(OR(X28="",X4=""),"",IFERROR(X28/X4,""))</f>
        <v/>
      </c>
      <c r="Y29" s="25" t="n"/>
      <c r="Z29" s="26" t="n"/>
      <c r="AA29" s="26" t="n"/>
      <c r="AB29" s="26" t="n"/>
      <c r="AC29" s="26" t="n"/>
    </row>
    <row r="30">
      <c r="A30" s="13" t="inlineStr">
        <is>
          <t>증가율</t>
        </is>
      </c>
      <c r="B30" s="10" t="n"/>
      <c r="C30" s="14" t="n"/>
      <c r="D30" s="15" t="n"/>
      <c r="E30" s="15" t="n"/>
      <c r="F30" s="15" t="n"/>
      <c r="G30" s="15">
        <f>IF(OR(G28="",C28=""),"",IFERROR(G28/C28-1,""))</f>
        <v/>
      </c>
      <c r="H30" s="15">
        <f>IF(OR(H28="",D28=""),"",IFERROR(H28/D28-1,""))</f>
        <v/>
      </c>
      <c r="I30" s="15">
        <f>IF(OR(I28="",E28=""),"",IFERROR(I28/E28-1,""))</f>
        <v/>
      </c>
      <c r="J30" s="15">
        <f>IF(OR(J28="",F28=""),"",IFERROR(J28/F28-1,""))</f>
        <v/>
      </c>
      <c r="K30" s="15">
        <f>IF(OR(K28="",G28=""),"",IFERROR(K28/G28-1,""))</f>
        <v/>
      </c>
      <c r="L30" s="15">
        <f>IF(OR(L28="",H28=""),"",IFERROR(L28/H28-1,""))</f>
        <v/>
      </c>
      <c r="M30" s="15">
        <f>IF(OR(M28="",I28=""),"",IFERROR(M28/I28-1,""))</f>
        <v/>
      </c>
      <c r="N30" s="15">
        <f>IF(OR(N28="",J28=""),"",IFERROR(N28/J28-1,""))</f>
        <v/>
      </c>
      <c r="O30" s="14" t="n"/>
      <c r="P30" s="15">
        <f>IF(OR(P28="",O28=""),"",IFERROR(P28/O28-1,""))</f>
        <v/>
      </c>
      <c r="Q30" s="15">
        <f>IF(OR(Q28="",P28=""),"",IFERROR(Q28/P28-1,""))</f>
        <v/>
      </c>
      <c r="R30" s="15">
        <f>IF(OR(R28="",Q28=""),"",IFERROR(R28/Q28-1,""))</f>
        <v/>
      </c>
      <c r="S30" s="15">
        <f>IF(OR(S28="",R28=""),"",IFERROR(S28/R28-1,""))</f>
        <v/>
      </c>
      <c r="T30" s="15">
        <f>IF(OR(T28="",S28=""),"",IFERROR(T28/S28-1,""))</f>
        <v/>
      </c>
      <c r="U30" s="15">
        <f>IF(OR(U28="",T28=""),"",IFERROR(U28/T28-1,""))</f>
        <v/>
      </c>
      <c r="V30" s="15">
        <f>IF(OR(V28="",U28=""),"",IFERROR(V28/U28-1,""))</f>
        <v/>
      </c>
      <c r="W30" s="15">
        <f>IF(OR(W28="",V28=""),"",IFERROR(W28/V28-1,""))</f>
        <v/>
      </c>
      <c r="X30" s="15">
        <f>IF(OR(X28="",W28=""),"",IFERROR(X28/W28-1,""))</f>
        <v/>
      </c>
      <c r="Y30" s="14">
        <f>IF(OR(Y28="",X28=""),"",IFERROR(Y28/X28-1,""))</f>
        <v/>
      </c>
      <c r="Z30" s="15">
        <f>IF(OR(Z28="",Y28=""),"",IFERROR(Z28/Y28-1,""))</f>
        <v/>
      </c>
      <c r="AA30" s="15">
        <f>IF(OR(AA28="",Z28=""),"",IFERROR(AA28/Z28-1,""))</f>
        <v/>
      </c>
      <c r="AB30" s="15">
        <f>IF(OR(AB28="",AA28=""),"",IFERROR(AB28/AA28-1,""))</f>
        <v/>
      </c>
      <c r="AC30" s="15">
        <f>IF(OR(AC28="",AB28=""),"",IFERROR(AC28/AB28-1,""))</f>
        <v/>
      </c>
    </row>
    <row r="31">
      <c r="A31" s="16" t="inlineStr">
        <is>
          <t>비용의 성격별 분류</t>
        </is>
      </c>
      <c r="B31" s="16" t="inlineStr">
        <is>
          <t>참고 데이터</t>
        </is>
      </c>
      <c r="C31" s="17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7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7" t="n"/>
      <c r="Z31" s="16" t="n"/>
      <c r="AA31" s="16" t="n"/>
      <c r="AB31" s="16" t="n"/>
      <c r="AC31" s="16" t="n"/>
    </row>
    <row r="32">
      <c r="A32" s="9" t="inlineStr">
        <is>
          <t>총 판관비</t>
        </is>
      </c>
      <c r="B32" s="10" t="n"/>
      <c r="C32" s="11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1">
        <f>IF(O27="","",O27)</f>
        <v/>
      </c>
      <c r="P32" s="12">
        <f>IF(P27="","",P27)</f>
        <v/>
      </c>
      <c r="Q32" s="12">
        <f>IF(Q27="","",Q27)</f>
        <v/>
      </c>
      <c r="R32" s="12">
        <f>IF(R27="","",R27)</f>
        <v/>
      </c>
      <c r="S32" s="12">
        <f>IF(S27="","",S27)</f>
        <v/>
      </c>
      <c r="T32" s="12">
        <f>IF(T27="","",T27)</f>
        <v/>
      </c>
      <c r="U32" s="12">
        <f>IF(U27="","",U27)</f>
        <v/>
      </c>
      <c r="V32" s="12">
        <f>IF(V27="","",V27)</f>
        <v/>
      </c>
      <c r="W32" s="12">
        <f>IF(W27="","",W27)</f>
        <v/>
      </c>
      <c r="X32" s="12">
        <f>IF(X27="","",X27)</f>
        <v/>
      </c>
      <c r="Y32" s="11" t="n"/>
      <c r="Z32" s="12" t="n"/>
      <c r="AA32" s="12" t="n"/>
      <c r="AB32" s="12" t="n"/>
      <c r="AC32" s="12" t="n"/>
    </row>
    <row r="33">
      <c r="A33" s="18" t="inlineStr">
        <is>
          <t>급여</t>
        </is>
      </c>
      <c r="B33" s="10" t="inlineStr">
        <is>
          <t>고정비</t>
        </is>
      </c>
      <c r="C33" s="19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19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19" t="n"/>
      <c r="Z33" s="20" t="n"/>
      <c r="AA33" s="20" t="n"/>
      <c r="AB33" s="20" t="n"/>
      <c r="AC33" s="20" t="n"/>
    </row>
    <row r="34">
      <c r="A34" s="13" t="inlineStr">
        <is>
          <t>% of Sales</t>
        </is>
      </c>
      <c r="B34" s="10" t="n"/>
      <c r="C34" s="14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4">
        <f>IF(OR(O33="",O4=""),"",IFERROR(O33/O4,""))</f>
        <v/>
      </c>
      <c r="P34" s="15">
        <f>IF(OR(P33="",P4=""),"",IFERROR(P33/P4,""))</f>
        <v/>
      </c>
      <c r="Q34" s="15">
        <f>IF(OR(Q33="",Q4=""),"",IFERROR(Q33/Q4,""))</f>
        <v/>
      </c>
      <c r="R34" s="15">
        <f>IF(OR(R33="",R4=""),"",IFERROR(R33/R4,""))</f>
        <v/>
      </c>
      <c r="S34" s="15">
        <f>IF(OR(S33="",S4=""),"",IFERROR(S33/S4,""))</f>
        <v/>
      </c>
      <c r="T34" s="15">
        <f>IF(OR(T33="",T4=""),"",IFERROR(T33/T4,""))</f>
        <v/>
      </c>
      <c r="U34" s="15">
        <f>IF(OR(U33="",U4=""),"",IFERROR(U33/U4,""))</f>
        <v/>
      </c>
      <c r="V34" s="15">
        <f>IF(OR(V33="",V4=""),"",IFERROR(V33/V4,""))</f>
        <v/>
      </c>
      <c r="W34" s="15">
        <f>IF(OR(W33="",W4=""),"",IFERROR(W33/W4,""))</f>
        <v/>
      </c>
      <c r="X34" s="15">
        <f>IF(OR(X33="",X4=""),"",IFERROR(X33/X4,""))</f>
        <v/>
      </c>
      <c r="Y34" s="14" t="n"/>
      <c r="Z34" s="15" t="n"/>
      <c r="AA34" s="15" t="n"/>
      <c r="AB34" s="15" t="n"/>
      <c r="AC34" s="15" t="n"/>
    </row>
    <row r="35">
      <c r="A35" s="18" t="inlineStr">
        <is>
          <t>감가상각비</t>
        </is>
      </c>
      <c r="B35" s="10" t="inlineStr">
        <is>
          <t>고정비</t>
        </is>
      </c>
      <c r="C35" s="19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19" t="n">
        <v>1277</v>
      </c>
      <c r="P35" s="20" t="n">
        <v>1466</v>
      </c>
      <c r="Q35" s="20" t="n">
        <v>1840</v>
      </c>
      <c r="R35" s="20" t="n">
        <v>2556</v>
      </c>
      <c r="S35" s="20" t="n">
        <v>2804</v>
      </c>
      <c r="T35" s="20" t="n">
        <v>3039</v>
      </c>
      <c r="U35" s="20" t="n">
        <v>3581</v>
      </c>
      <c r="V35" s="20" t="n">
        <v>1509</v>
      </c>
      <c r="W35" s="20" t="n">
        <v>898</v>
      </c>
      <c r="X35" s="20" t="n">
        <v>960</v>
      </c>
      <c r="Y35" s="19" t="n"/>
      <c r="Z35" s="20" t="n"/>
      <c r="AA35" s="20" t="n"/>
      <c r="AB35" s="20" t="n"/>
      <c r="AC35" s="20" t="n"/>
    </row>
    <row r="36">
      <c r="A36" s="13" t="inlineStr">
        <is>
          <t>% of Sales</t>
        </is>
      </c>
      <c r="B36" s="10" t="n"/>
      <c r="C36" s="14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4">
        <f>IF(OR(O35="",O4=""),"",IFERROR(O35/O4,""))</f>
        <v/>
      </c>
      <c r="P36" s="15">
        <f>IF(OR(P35="",P4=""),"",IFERROR(P35/P4,""))</f>
        <v/>
      </c>
      <c r="Q36" s="15">
        <f>IF(OR(Q35="",Q4=""),"",IFERROR(Q35/Q4,""))</f>
        <v/>
      </c>
      <c r="R36" s="15">
        <f>IF(OR(R35="",R4=""),"",IFERROR(R35/R4,""))</f>
        <v/>
      </c>
      <c r="S36" s="15">
        <f>IF(OR(S35="",S4=""),"",IFERROR(S35/S4,""))</f>
        <v/>
      </c>
      <c r="T36" s="15">
        <f>IF(OR(T35="",T4=""),"",IFERROR(T35/T4,""))</f>
        <v/>
      </c>
      <c r="U36" s="15">
        <f>IF(OR(U35="",U4=""),"",IFERROR(U35/U4,""))</f>
        <v/>
      </c>
      <c r="V36" s="15">
        <f>IF(OR(V35="",V4=""),"",IFERROR(V35/V4,""))</f>
        <v/>
      </c>
      <c r="W36" s="15">
        <f>IF(OR(W35="",W4=""),"",IFERROR(W35/W4,""))</f>
        <v/>
      </c>
      <c r="X36" s="15">
        <f>IF(OR(X35="",X4=""),"",IFERROR(X35/X4,""))</f>
        <v/>
      </c>
      <c r="Y36" s="14" t="n"/>
      <c r="Z36" s="15" t="n"/>
      <c r="AA36" s="15" t="n"/>
      <c r="AB36" s="15" t="n"/>
      <c r="AC36" s="15" t="n"/>
    </row>
    <row r="37">
      <c r="A37" s="18" t="inlineStr">
        <is>
          <t>지급수수료</t>
        </is>
      </c>
      <c r="B37" s="10" t="inlineStr">
        <is>
          <t>고정비</t>
        </is>
      </c>
      <c r="C37" s="19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19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19" t="n"/>
      <c r="Z37" s="20" t="n"/>
      <c r="AA37" s="20" t="n"/>
      <c r="AB37" s="20" t="n"/>
      <c r="AC37" s="20" t="n"/>
    </row>
    <row r="38">
      <c r="A38" s="13" t="inlineStr">
        <is>
          <t>% of Sales</t>
        </is>
      </c>
      <c r="B38" s="10" t="n"/>
      <c r="C38" s="14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4">
        <f>IF(OR(O37="",O4=""),"",IFERROR(O37/O4,""))</f>
        <v/>
      </c>
      <c r="P38" s="15">
        <f>IF(OR(P37="",P4=""),"",IFERROR(P37/P4,""))</f>
        <v/>
      </c>
      <c r="Q38" s="15">
        <f>IF(OR(Q37="",Q4=""),"",IFERROR(Q37/Q4,""))</f>
        <v/>
      </c>
      <c r="R38" s="15">
        <f>IF(OR(R37="",R4=""),"",IFERROR(R37/R4,""))</f>
        <v/>
      </c>
      <c r="S38" s="15">
        <f>IF(OR(S37="",S4=""),"",IFERROR(S37/S4,""))</f>
        <v/>
      </c>
      <c r="T38" s="15">
        <f>IF(OR(T37="",T4=""),"",IFERROR(T37/T4,""))</f>
        <v/>
      </c>
      <c r="U38" s="15">
        <f>IF(OR(U37="",U4=""),"",IFERROR(U37/U4,""))</f>
        <v/>
      </c>
      <c r="V38" s="15">
        <f>IF(OR(V37="",V4=""),"",IFERROR(V37/V4,""))</f>
        <v/>
      </c>
      <c r="W38" s="15">
        <f>IF(OR(W37="",W4=""),"",IFERROR(W37/W4,""))</f>
        <v/>
      </c>
      <c r="X38" s="15">
        <f>IF(OR(X37="",X4=""),"",IFERROR(X37/X4,""))</f>
        <v/>
      </c>
      <c r="Y38" s="14" t="n"/>
      <c r="Z38" s="15" t="n"/>
      <c r="AA38" s="15" t="n"/>
      <c r="AB38" s="15" t="n"/>
      <c r="AC38" s="15" t="n"/>
    </row>
    <row r="39">
      <c r="A39" s="18" t="inlineStr">
        <is>
          <t>연구개발비</t>
        </is>
      </c>
      <c r="B39" s="10" t="inlineStr">
        <is>
          <t>변동비</t>
        </is>
      </c>
      <c r="C39" s="19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19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19" t="n"/>
      <c r="Z39" s="20" t="n"/>
      <c r="AA39" s="20" t="n"/>
      <c r="AB39" s="20" t="n"/>
      <c r="AC39" s="20" t="n"/>
    </row>
    <row r="40">
      <c r="A40" s="13" t="inlineStr">
        <is>
          <t>% of Sales</t>
        </is>
      </c>
      <c r="B40" s="10" t="n"/>
      <c r="C40" s="14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4">
        <f>IF(OR(O39="",O4=""),"",IFERROR(O39/O4,""))</f>
        <v/>
      </c>
      <c r="P40" s="15">
        <f>IF(OR(P39="",P4=""),"",IFERROR(P39/P4,""))</f>
        <v/>
      </c>
      <c r="Q40" s="15">
        <f>IF(OR(Q39="",Q4=""),"",IFERROR(Q39/Q4,""))</f>
        <v/>
      </c>
      <c r="R40" s="15">
        <f>IF(OR(R39="",R4=""),"",IFERROR(R39/R4,""))</f>
        <v/>
      </c>
      <c r="S40" s="15">
        <f>IF(OR(S39="",S4=""),"",IFERROR(S39/S4,""))</f>
        <v/>
      </c>
      <c r="T40" s="15">
        <f>IF(OR(T39="",T4=""),"",IFERROR(T39/T4,""))</f>
        <v/>
      </c>
      <c r="U40" s="15">
        <f>IF(OR(U39="",U4=""),"",IFERROR(U39/U4,""))</f>
        <v/>
      </c>
      <c r="V40" s="15">
        <f>IF(OR(V39="",V4=""),"",IFERROR(V39/V4,""))</f>
        <v/>
      </c>
      <c r="W40" s="15">
        <f>IF(OR(W39="",W4=""),"",IFERROR(W39/W4,""))</f>
        <v/>
      </c>
      <c r="X40" s="15">
        <f>IF(OR(X39="",X4=""),"",IFERROR(X39/X4,""))</f>
        <v/>
      </c>
      <c r="Y40" s="14" t="n"/>
      <c r="Z40" s="15" t="n"/>
      <c r="AA40" s="15" t="n"/>
      <c r="AB40" s="15" t="n"/>
      <c r="AC40" s="15" t="n"/>
    </row>
    <row r="41">
      <c r="A41" s="18" t="inlineStr">
        <is>
          <t>기타비용</t>
        </is>
      </c>
      <c r="B41" s="10" t="inlineStr">
        <is>
          <t>변동비</t>
        </is>
      </c>
      <c r="C41" s="19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19">
        <f>IF(OR(O32="",O33="",O35="",O37="",O39=""),"",IFERROR(O32-O33-O35-O37-O39,""))</f>
        <v/>
      </c>
      <c r="P41" s="20">
        <f>IF(OR(P32="",P33="",P35="",P37="",P39=""),"",IFERROR(P32-P33-P35-P37-P39,""))</f>
        <v/>
      </c>
      <c r="Q41" s="20">
        <f>IF(OR(Q32="",Q33="",Q35="",Q37="",Q39=""),"",IFERROR(Q32-Q33-Q35-Q37-Q39,""))</f>
        <v/>
      </c>
      <c r="R41" s="20">
        <f>IF(OR(R32="",R33="",R35="",R37="",R39=""),"",IFERROR(R32-R33-R35-R37-R39,""))</f>
        <v/>
      </c>
      <c r="S41" s="20">
        <f>IF(OR(S32="",S33="",S35="",S37="",S39=""),"",IFERROR(S32-S33-S35-S37-S39,""))</f>
        <v/>
      </c>
      <c r="T41" s="20">
        <f>IF(OR(T32="",T33="",T35="",T37="",T39=""),"",IFERROR(T32-T33-T35-T37-T39,""))</f>
        <v/>
      </c>
      <c r="U41" s="20">
        <f>IF(OR(U32="",U33="",U35="",U37="",U39=""),"",IFERROR(U32-U33-U35-U37-U39,""))</f>
        <v/>
      </c>
      <c r="V41" s="20">
        <f>IF(OR(V32="",V33="",V35="",V37="",V39=""),"",IFERROR(V32-V33-V35-V37-V39,""))</f>
        <v/>
      </c>
      <c r="W41" s="20">
        <f>IF(OR(W32="",W33="",W35="",W37="",W39=""),"",IFERROR(W32-W33-W35-W37-W39,""))</f>
        <v/>
      </c>
      <c r="X41" s="20">
        <f>IF(OR(X32="",X33="",X35="",X37="",X39=""),"",IFERROR(X32-X33-X35-X37-X39,""))</f>
        <v/>
      </c>
      <c r="Y41" s="19" t="n"/>
      <c r="Z41" s="20" t="n"/>
      <c r="AA41" s="20" t="n"/>
      <c r="AB41" s="20" t="n"/>
      <c r="AC41" s="20" t="n"/>
    </row>
    <row r="42">
      <c r="A42" s="13" t="inlineStr">
        <is>
          <t>% of Sales</t>
        </is>
      </c>
      <c r="B42" s="10" t="n"/>
      <c r="C42" s="14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4">
        <f>IF(OR(O41="",O4=""),"",IFERROR(O41/O4,""))</f>
        <v/>
      </c>
      <c r="P42" s="15">
        <f>IF(OR(P41="",P4=""),"",IFERROR(P41/P4,""))</f>
        <v/>
      </c>
      <c r="Q42" s="15">
        <f>IF(OR(Q41="",Q4=""),"",IFERROR(Q41/Q4,""))</f>
        <v/>
      </c>
      <c r="R42" s="15">
        <f>IF(OR(R41="",R4=""),"",IFERROR(R41/R4,""))</f>
        <v/>
      </c>
      <c r="S42" s="15">
        <f>IF(OR(S41="",S4=""),"",IFERROR(S41/S4,""))</f>
        <v/>
      </c>
      <c r="T42" s="15">
        <f>IF(OR(T41="",T4=""),"",IFERROR(T41/T4,""))</f>
        <v/>
      </c>
      <c r="U42" s="15">
        <f>IF(OR(U41="",U4=""),"",IFERROR(U41/U4,""))</f>
        <v/>
      </c>
      <c r="V42" s="15">
        <f>IF(OR(V41="",V4=""),"",IFERROR(V41/V4,""))</f>
        <v/>
      </c>
      <c r="W42" s="15">
        <f>IF(OR(W41="",W4=""),"",IFERROR(W41/W4,""))</f>
        <v/>
      </c>
      <c r="X42" s="15">
        <f>IF(OR(X41="",X4=""),"",IFERROR(X41/X4,""))</f>
        <v/>
      </c>
      <c r="Y42" s="14" t="n"/>
      <c r="Z42" s="15" t="n"/>
      <c r="AA42" s="15" t="n"/>
      <c r="AB42" s="15" t="n"/>
      <c r="AC42" s="15" t="n"/>
    </row>
    <row r="43">
      <c r="A43" s="16" t="inlineStr">
        <is>
          <t>당기순이익 추정</t>
        </is>
      </c>
      <c r="B43" s="16" t="n"/>
      <c r="C43" s="17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7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7" t="n"/>
      <c r="Z43" s="16" t="n"/>
      <c r="AA43" s="16" t="n"/>
      <c r="AB43" s="16" t="n"/>
      <c r="AC43" s="16" t="n"/>
    </row>
    <row r="44">
      <c r="A44" s="18" t="inlineStr">
        <is>
          <t>특별이익</t>
        </is>
      </c>
      <c r="B44" s="10" t="n"/>
      <c r="C44" s="19" t="n">
        <v>16</v>
      </c>
      <c r="D44" s="20" t="n">
        <v>0</v>
      </c>
      <c r="E44" s="20" t="n">
        <v>0</v>
      </c>
      <c r="F44" s="20" t="n">
        <v>0</v>
      </c>
      <c r="G44" s="20" t="n">
        <v>0</v>
      </c>
      <c r="H44" s="20" t="n">
        <v>0</v>
      </c>
      <c r="I44" s="20" t="n">
        <v>79</v>
      </c>
      <c r="J44" s="20" t="n"/>
      <c r="K44" s="20" t="n"/>
      <c r="L44" s="20" t="n"/>
      <c r="M44" s="20" t="n">
        <v>37</v>
      </c>
      <c r="N44" s="20" t="n"/>
      <c r="O44" s="19" t="n">
        <v>2048</v>
      </c>
      <c r="P44" s="20" t="n">
        <v>561</v>
      </c>
      <c r="Q44" s="20" t="n">
        <v>747</v>
      </c>
      <c r="R44" s="20" t="n">
        <v>2600</v>
      </c>
      <c r="S44" s="20" t="n">
        <v>81</v>
      </c>
      <c r="T44" s="20" t="n">
        <v>672</v>
      </c>
      <c r="U44" s="20" t="n">
        <v>5773</v>
      </c>
      <c r="V44" s="20" t="n">
        <v>78</v>
      </c>
      <c r="W44" s="20" t="n">
        <v>79</v>
      </c>
      <c r="X44" s="20" t="n">
        <v>286</v>
      </c>
      <c r="Y44" s="19">
        <f>IF(OR(Y4="",Y45=""),"",IFERROR(Y4*Y45,""))</f>
        <v/>
      </c>
      <c r="Z44" s="20">
        <f>IF(OR(Z4="",Z45=""),"",IFERROR(Z4*Z45,""))</f>
        <v/>
      </c>
      <c r="AA44" s="20">
        <f>IF(OR(AA4="",AA45=""),"",IFERROR(AA4*AA45,""))</f>
        <v/>
      </c>
      <c r="AB44" s="20">
        <f>IF(OR(AB4="",AB45=""),"",IFERROR(AB4*AB45,""))</f>
        <v/>
      </c>
      <c r="AC44" s="20">
        <f>IF(OR(AC4="",AC45=""),"",IFERROR(AC4*AC45,""))</f>
        <v/>
      </c>
    </row>
    <row r="45">
      <c r="A45" s="13" t="inlineStr">
        <is>
          <t>% of Sales</t>
        </is>
      </c>
      <c r="B45" s="10" t="inlineStr">
        <is>
          <t>MW = 최근 3년 평균</t>
        </is>
      </c>
      <c r="C45" s="14">
        <f>IF(OR(C44="",C4=""),"",IFERROR(C44/C4,""))</f>
        <v/>
      </c>
      <c r="D45" s="15">
        <f>IF(OR(D44="",D4=""),"",IFERROR(D44/D4,""))</f>
        <v/>
      </c>
      <c r="E45" s="15">
        <f>IF(OR(E44="",E4=""),"",IFERROR(E44/E4,""))</f>
        <v/>
      </c>
      <c r="F45" s="15">
        <f>IF(OR(F44="",F4=""),"",IFERROR(F44/F4,""))</f>
        <v/>
      </c>
      <c r="G45" s="15">
        <f>IF(OR(G44="",G4=""),"",IFERROR(G44/G4,""))</f>
        <v/>
      </c>
      <c r="H45" s="15">
        <f>IF(OR(H44="",H4=""),"",IFERROR(H44/H4,""))</f>
        <v/>
      </c>
      <c r="I45" s="15">
        <f>IF(OR(I44="",I4=""),"",IFERROR(I44/I4,""))</f>
        <v/>
      </c>
      <c r="J45" s="15">
        <f>IF(OR(J44="",J4=""),"",IFERROR(J44/J4,""))</f>
        <v/>
      </c>
      <c r="K45" s="15">
        <f>IF(OR(K44="",K4=""),"",IFERROR(K44/K4,""))</f>
        <v/>
      </c>
      <c r="L45" s="15">
        <f>IF(OR(L44="",L4=""),"",IFERROR(L44/L4,""))</f>
        <v/>
      </c>
      <c r="M45" s="15">
        <f>IF(OR(M44="",M4=""),"",IFERROR(M44/M4,""))</f>
        <v/>
      </c>
      <c r="N45" s="15">
        <f>IF(OR(N44="",N4=""),"",IFERROR(N44/N4,""))</f>
        <v/>
      </c>
      <c r="O45" s="14">
        <f>IF(OR(O44="",O4=""),"",IFERROR(O44/O4,""))</f>
        <v/>
      </c>
      <c r="P45" s="15">
        <f>IF(OR(P44="",P4=""),"",IFERROR(P44/P4,""))</f>
        <v/>
      </c>
      <c r="Q45" s="15">
        <f>IF(OR(Q44="",Q4=""),"",IFERROR(Q44/Q4,""))</f>
        <v/>
      </c>
      <c r="R45" s="15">
        <f>IF(OR(R44="",R4=""),"",IFERROR(R44/R4,""))</f>
        <v/>
      </c>
      <c r="S45" s="15">
        <f>IF(OR(S44="",S4=""),"",IFERROR(S44/S4,""))</f>
        <v/>
      </c>
      <c r="T45" s="15">
        <f>IF(OR(T44="",T4=""),"",IFERROR(T44/T4,""))</f>
        <v/>
      </c>
      <c r="U45" s="15">
        <f>IF(OR(U44="",U4=""),"",IFERROR(U44/U4,""))</f>
        <v/>
      </c>
      <c r="V45" s="15">
        <f>IF(OR(V44="",V4=""),"",IFERROR(V44/V4,""))</f>
        <v/>
      </c>
      <c r="W45" s="15">
        <f>IF(OR(W44="",W4=""),"",IFERROR(W44/W4,""))</f>
        <v/>
      </c>
      <c r="X45" s="15">
        <f>IF(OR(X44="",X4=""),"",IFERROR(X44/X4,""))</f>
        <v/>
      </c>
      <c r="Y45" s="25">
        <f>IFERROR(AVERAGE(V45,W45,X45),"")</f>
        <v/>
      </c>
      <c r="Z45" s="26">
        <f>Y45</f>
        <v/>
      </c>
      <c r="AA45" s="26">
        <f>Z45</f>
        <v/>
      </c>
      <c r="AB45" s="26">
        <f>AA45</f>
        <v/>
      </c>
      <c r="AC45" s="26">
        <f>AB45</f>
        <v/>
      </c>
    </row>
    <row r="46">
      <c r="A46" s="18" t="inlineStr">
        <is>
          <t>특별손실</t>
        </is>
      </c>
      <c r="B46" s="10" t="n"/>
      <c r="C46" s="19" t="n">
        <v>38</v>
      </c>
      <c r="D46" s="20" t="n">
        <v>0</v>
      </c>
      <c r="E46" s="20" t="n">
        <v>18</v>
      </c>
      <c r="F46" s="20" t="n">
        <v>15</v>
      </c>
      <c r="G46" s="20" t="n">
        <v>0</v>
      </c>
      <c r="H46" s="20" t="n">
        <v>10</v>
      </c>
      <c r="I46" s="20" t="n">
        <v>252</v>
      </c>
      <c r="J46" s="20" t="n">
        <v>0</v>
      </c>
      <c r="K46" s="20" t="n">
        <v>3</v>
      </c>
      <c r="L46" s="20" t="n">
        <v>0</v>
      </c>
      <c r="M46" s="20" t="n">
        <v>5</v>
      </c>
      <c r="N46" s="20" t="n">
        <v>0</v>
      </c>
      <c r="O46" s="19" t="n">
        <v>187</v>
      </c>
      <c r="P46" s="20" t="n">
        <v>21</v>
      </c>
      <c r="Q46" s="20" t="n">
        <v>286</v>
      </c>
      <c r="R46" s="20" t="n">
        <v>341</v>
      </c>
      <c r="S46" s="20" t="n">
        <v>601</v>
      </c>
      <c r="T46" s="20" t="n">
        <v>314</v>
      </c>
      <c r="U46" s="20" t="n">
        <v>503</v>
      </c>
      <c r="V46" s="20" t="n">
        <v>558</v>
      </c>
      <c r="W46" s="20" t="n">
        <v>277</v>
      </c>
      <c r="X46" s="20" t="n">
        <v>8</v>
      </c>
      <c r="Y46" s="19">
        <f>IF(OR(Y4="",Y47=""),"",IFERROR(Y4*Y47,""))</f>
        <v/>
      </c>
      <c r="Z46" s="20">
        <f>IF(OR(Z4="",Z47=""),"",IFERROR(Z4*Z47,""))</f>
        <v/>
      </c>
      <c r="AA46" s="20">
        <f>IF(OR(AA4="",AA47=""),"",IFERROR(AA4*AA47,""))</f>
        <v/>
      </c>
      <c r="AB46" s="20">
        <f>IF(OR(AB4="",AB47=""),"",IFERROR(AB4*AB47,""))</f>
        <v/>
      </c>
      <c r="AC46" s="20">
        <f>IF(OR(AC4="",AC47=""),"",IFERROR(AC4*AC47,""))</f>
        <v/>
      </c>
    </row>
    <row r="47">
      <c r="A47" s="13" t="inlineStr">
        <is>
          <t>% of Sales</t>
        </is>
      </c>
      <c r="B47" s="10" t="n"/>
      <c r="C47" s="14">
        <f>IF(OR(C46="",C4=""),"",IFERROR(C46/C4,""))</f>
        <v/>
      </c>
      <c r="D47" s="15">
        <f>IF(OR(D46="",D4=""),"",IFERROR(D46/D4,""))</f>
        <v/>
      </c>
      <c r="E47" s="15">
        <f>IF(OR(E46="",E4=""),"",IFERROR(E46/E4,""))</f>
        <v/>
      </c>
      <c r="F47" s="15">
        <f>IF(OR(F46="",F4=""),"",IFERROR(F46/F4,""))</f>
        <v/>
      </c>
      <c r="G47" s="15">
        <f>IF(OR(G46="",G4=""),"",IFERROR(G46/G4,""))</f>
        <v/>
      </c>
      <c r="H47" s="15">
        <f>IF(OR(H46="",H4=""),"",IFERROR(H46/H4,""))</f>
        <v/>
      </c>
      <c r="I47" s="15">
        <f>IF(OR(I46="",I4=""),"",IFERROR(I46/I4,""))</f>
        <v/>
      </c>
      <c r="J47" s="15">
        <f>IF(OR(J46="",J4=""),"",IFERROR(J46/J4,""))</f>
        <v/>
      </c>
      <c r="K47" s="15">
        <f>IF(OR(K46="",K4=""),"",IFERROR(K46/K4,""))</f>
        <v/>
      </c>
      <c r="L47" s="15">
        <f>IF(OR(L46="",L4=""),"",IFERROR(L46/L4,""))</f>
        <v/>
      </c>
      <c r="M47" s="15">
        <f>IF(OR(M46="",M4=""),"",IFERROR(M46/M4,""))</f>
        <v/>
      </c>
      <c r="N47" s="15">
        <f>IF(OR(N46="",N4=""),"",IFERROR(N46/N4,""))</f>
        <v/>
      </c>
      <c r="O47" s="14">
        <f>IF(OR(O46="",O4=""),"",IFERROR(O46/O4,""))</f>
        <v/>
      </c>
      <c r="P47" s="15">
        <f>IF(OR(P46="",P4=""),"",IFERROR(P46/P4,""))</f>
        <v/>
      </c>
      <c r="Q47" s="15">
        <f>IF(OR(Q46="",Q4=""),"",IFERROR(Q46/Q4,""))</f>
        <v/>
      </c>
      <c r="R47" s="15">
        <f>IF(OR(R46="",R4=""),"",IFERROR(R46/R4,""))</f>
        <v/>
      </c>
      <c r="S47" s="15">
        <f>IF(OR(S46="",S4=""),"",IFERROR(S46/S4,""))</f>
        <v/>
      </c>
      <c r="T47" s="15">
        <f>IF(OR(T46="",T4=""),"",IFERROR(T46/T4,""))</f>
        <v/>
      </c>
      <c r="U47" s="15">
        <f>IF(OR(U46="",U4=""),"",IFERROR(U46/U4,""))</f>
        <v/>
      </c>
      <c r="V47" s="15">
        <f>IF(OR(V46="",V4=""),"",IFERROR(V46/V4,""))</f>
        <v/>
      </c>
      <c r="W47" s="15">
        <f>IF(OR(W46="",W4=""),"",IFERROR(W46/W4,""))</f>
        <v/>
      </c>
      <c r="X47" s="15">
        <f>IF(OR(X46="",X4=""),"",IFERROR(X46/X4,""))</f>
        <v/>
      </c>
      <c r="Y47" s="25">
        <f>IFERROR(AVERAGE(V47,W47,X47),"")</f>
        <v/>
      </c>
      <c r="Z47" s="26">
        <f>Y47</f>
        <v/>
      </c>
      <c r="AA47" s="26">
        <f>Z47</f>
        <v/>
      </c>
      <c r="AB47" s="26">
        <f>AA47</f>
        <v/>
      </c>
      <c r="AC47" s="26">
        <f>AB47</f>
        <v/>
      </c>
    </row>
    <row r="48">
      <c r="A48" s="18" t="inlineStr">
        <is>
          <t>영업외수익</t>
        </is>
      </c>
      <c r="B48" s="10" t="n"/>
      <c r="C48" s="19" t="n">
        <v>3405</v>
      </c>
      <c r="D48" s="20" t="n">
        <v>3114</v>
      </c>
      <c r="E48" s="20" t="n">
        <v>3745</v>
      </c>
      <c r="F48" s="20" t="n">
        <v>3766</v>
      </c>
      <c r="G48" s="20" t="n">
        <v>3542</v>
      </c>
      <c r="H48" s="20" t="n">
        <v>4749</v>
      </c>
      <c r="I48" s="20" t="n">
        <v>4276</v>
      </c>
      <c r="J48" s="20" t="n">
        <v>4684</v>
      </c>
      <c r="K48" s="20" t="n">
        <v>4838</v>
      </c>
      <c r="L48" s="20" t="n">
        <v>4499</v>
      </c>
      <c r="M48" s="20" t="n">
        <v>4132</v>
      </c>
      <c r="N48" s="20" t="n">
        <v>4621</v>
      </c>
      <c r="O48" s="19" t="n">
        <v>1213</v>
      </c>
      <c r="P48" s="20" t="n">
        <v>406</v>
      </c>
      <c r="Q48" s="20" t="n">
        <v>1307</v>
      </c>
      <c r="R48" s="20" t="n">
        <v>1218</v>
      </c>
      <c r="S48" s="20" t="n">
        <v>1092</v>
      </c>
      <c r="T48" s="20" t="n">
        <v>1938</v>
      </c>
      <c r="U48" s="20" t="n">
        <v>1672</v>
      </c>
      <c r="V48" s="20" t="n">
        <v>10831</v>
      </c>
      <c r="W48" s="20" t="n">
        <v>16333</v>
      </c>
      <c r="X48" s="20" t="n">
        <v>18153</v>
      </c>
      <c r="Y48" s="19">
        <f>IF(OR(Y4="",Y49=""),"",IFERROR(Y4*Y49,""))</f>
        <v/>
      </c>
      <c r="Z48" s="20">
        <f>IF(OR(Z4="",Z49=""),"",IFERROR(Z4*Z49,""))</f>
        <v/>
      </c>
      <c r="AA48" s="20">
        <f>IF(OR(AA4="",AA49=""),"",IFERROR(AA4*AA49,""))</f>
        <v/>
      </c>
      <c r="AB48" s="20">
        <f>IF(OR(AB4="",AB49=""),"",IFERROR(AB4*AB49,""))</f>
        <v/>
      </c>
      <c r="AC48" s="20">
        <f>IF(OR(AC4="",AC49=""),"",IFERROR(AC4*AC49,""))</f>
        <v/>
      </c>
    </row>
    <row r="49">
      <c r="A49" s="13" t="inlineStr">
        <is>
          <t>% of Sales</t>
        </is>
      </c>
      <c r="B49" s="10" t="n"/>
      <c r="C49" s="14">
        <f>IF(OR(C48="",C4=""),"",IFERROR(C48/C4,""))</f>
        <v/>
      </c>
      <c r="D49" s="15">
        <f>IF(OR(D48="",D4=""),"",IFERROR(D48/D4,""))</f>
        <v/>
      </c>
      <c r="E49" s="15">
        <f>IF(OR(E48="",E4=""),"",IFERROR(E48/E4,""))</f>
        <v/>
      </c>
      <c r="F49" s="15">
        <f>IF(OR(F48="",F4=""),"",IFERROR(F48/F4,""))</f>
        <v/>
      </c>
      <c r="G49" s="15">
        <f>IF(OR(G48="",G4=""),"",IFERROR(G48/G4,""))</f>
        <v/>
      </c>
      <c r="H49" s="15">
        <f>IF(OR(H48="",H4=""),"",IFERROR(H48/H4,""))</f>
        <v/>
      </c>
      <c r="I49" s="15">
        <f>IF(OR(I48="",I4=""),"",IFERROR(I48/I4,""))</f>
        <v/>
      </c>
      <c r="J49" s="15">
        <f>IF(OR(J48="",J4=""),"",IFERROR(J48/J4,""))</f>
        <v/>
      </c>
      <c r="K49" s="15">
        <f>IF(OR(K48="",K4=""),"",IFERROR(K48/K4,""))</f>
        <v/>
      </c>
      <c r="L49" s="15">
        <f>IF(OR(L48="",L4=""),"",IFERROR(L48/L4,""))</f>
        <v/>
      </c>
      <c r="M49" s="15">
        <f>IF(OR(M48="",M4=""),"",IFERROR(M48/M4,""))</f>
        <v/>
      </c>
      <c r="N49" s="15">
        <f>IF(OR(N48="",N4=""),"",IFERROR(N48/N4,""))</f>
        <v/>
      </c>
      <c r="O49" s="14">
        <f>IF(OR(O48="",O4=""),"",IFERROR(O48/O4,""))</f>
        <v/>
      </c>
      <c r="P49" s="15">
        <f>IF(OR(P48="",P4=""),"",IFERROR(P48/P4,""))</f>
        <v/>
      </c>
      <c r="Q49" s="15">
        <f>IF(OR(Q48="",Q4=""),"",IFERROR(Q48/Q4,""))</f>
        <v/>
      </c>
      <c r="R49" s="15">
        <f>IF(OR(R48="",R4=""),"",IFERROR(R48/R4,""))</f>
        <v/>
      </c>
      <c r="S49" s="15">
        <f>IF(OR(S48="",S4=""),"",IFERROR(S48/S4,""))</f>
        <v/>
      </c>
      <c r="T49" s="15">
        <f>IF(OR(T48="",T4=""),"",IFERROR(T48/T4,""))</f>
        <v/>
      </c>
      <c r="U49" s="15">
        <f>IF(OR(U48="",U4=""),"",IFERROR(U48/U4,""))</f>
        <v/>
      </c>
      <c r="V49" s="15">
        <f>IF(OR(V48="",V4=""),"",IFERROR(V48/V4,""))</f>
        <v/>
      </c>
      <c r="W49" s="15">
        <f>IF(OR(W48="",W4=""),"",IFERROR(W48/W4,""))</f>
        <v/>
      </c>
      <c r="X49" s="15">
        <f>IF(OR(X48="",X4=""),"",IFERROR(X48/X4,""))</f>
        <v/>
      </c>
      <c r="Y49" s="25">
        <f>IFERROR(AVERAGE(V49,W49,X49),"")</f>
        <v/>
      </c>
      <c r="Z49" s="26">
        <f>Y49</f>
        <v/>
      </c>
      <c r="AA49" s="26">
        <f>Z49</f>
        <v/>
      </c>
      <c r="AB49" s="26">
        <f>AA49</f>
        <v/>
      </c>
      <c r="AC49" s="26">
        <f>AB49</f>
        <v/>
      </c>
    </row>
    <row r="50">
      <c r="A50" s="18" t="inlineStr">
        <is>
          <t>영업외비용</t>
        </is>
      </c>
      <c r="B50" s="10" t="n"/>
      <c r="C50" s="19" t="n">
        <v>23</v>
      </c>
      <c r="D50" s="20" t="n">
        <v>8</v>
      </c>
      <c r="E50" s="20" t="n">
        <v>32</v>
      </c>
      <c r="F50" s="20" t="n">
        <v>5</v>
      </c>
      <c r="G50" s="20" t="n">
        <v>449</v>
      </c>
      <c r="H50" s="20" t="n">
        <v>-422</v>
      </c>
      <c r="I50" s="20" t="n">
        <v>72</v>
      </c>
      <c r="J50" s="20" t="n">
        <v>50</v>
      </c>
      <c r="K50" s="20" t="n">
        <v>13</v>
      </c>
      <c r="L50" s="20" t="n">
        <v>11</v>
      </c>
      <c r="M50" s="20" t="n">
        <v>2</v>
      </c>
      <c r="N50" s="20" t="n">
        <v>8</v>
      </c>
      <c r="O50" s="19" t="n">
        <v>133</v>
      </c>
      <c r="P50" s="20" t="n">
        <v>457</v>
      </c>
      <c r="Q50" s="20" t="n">
        <v>149</v>
      </c>
      <c r="R50" s="20" t="n">
        <v>555</v>
      </c>
      <c r="S50" s="20" t="n">
        <v>240</v>
      </c>
      <c r="T50" s="20" t="n">
        <v>118</v>
      </c>
      <c r="U50" s="20" t="n">
        <v>121</v>
      </c>
      <c r="V50" s="20" t="n">
        <v>65</v>
      </c>
      <c r="W50" s="20" t="n">
        <v>104</v>
      </c>
      <c r="X50" s="20" t="n">
        <v>76</v>
      </c>
      <c r="Y50" s="19">
        <f>IF(OR(Y4="",Y51=""),"",IFERROR(Y4*Y51,""))</f>
        <v/>
      </c>
      <c r="Z50" s="20">
        <f>IF(OR(Z4="",Z51=""),"",IFERROR(Z4*Z51,""))</f>
        <v/>
      </c>
      <c r="AA50" s="20">
        <f>IF(OR(AA4="",AA51=""),"",IFERROR(AA4*AA51,""))</f>
        <v/>
      </c>
      <c r="AB50" s="20">
        <f>IF(OR(AB4="",AB51=""),"",IFERROR(AB4*AB51,""))</f>
        <v/>
      </c>
      <c r="AC50" s="20">
        <f>IF(OR(AC4="",AC51=""),"",IFERROR(AC4*AC51,""))</f>
        <v/>
      </c>
    </row>
    <row r="51">
      <c r="A51" s="13" t="inlineStr">
        <is>
          <t>% of Sales</t>
        </is>
      </c>
      <c r="B51" s="10" t="n"/>
      <c r="C51" s="14">
        <f>IF(OR(C50="",C4=""),"",IFERROR(C50/C4,""))</f>
        <v/>
      </c>
      <c r="D51" s="15">
        <f>IF(OR(D50="",D4=""),"",IFERROR(D50/D4,""))</f>
        <v/>
      </c>
      <c r="E51" s="15">
        <f>IF(OR(E50="",E4=""),"",IFERROR(E50/E4,""))</f>
        <v/>
      </c>
      <c r="F51" s="15">
        <f>IF(OR(F50="",F4=""),"",IFERROR(F50/F4,""))</f>
        <v/>
      </c>
      <c r="G51" s="15">
        <f>IF(OR(G50="",G4=""),"",IFERROR(G50/G4,""))</f>
        <v/>
      </c>
      <c r="H51" s="15">
        <f>IF(OR(H50="",H4=""),"",IFERROR(H50/H4,""))</f>
        <v/>
      </c>
      <c r="I51" s="15">
        <f>IF(OR(I50="",I4=""),"",IFERROR(I50/I4,""))</f>
        <v/>
      </c>
      <c r="J51" s="15">
        <f>IF(OR(J50="",J4=""),"",IFERROR(J50/J4,""))</f>
        <v/>
      </c>
      <c r="K51" s="15">
        <f>IF(OR(K50="",K4=""),"",IFERROR(K50/K4,""))</f>
        <v/>
      </c>
      <c r="L51" s="15">
        <f>IF(OR(L50="",L4=""),"",IFERROR(L50/L4,""))</f>
        <v/>
      </c>
      <c r="M51" s="15">
        <f>IF(OR(M50="",M4=""),"",IFERROR(M50/M4,""))</f>
        <v/>
      </c>
      <c r="N51" s="15">
        <f>IF(OR(N50="",N4=""),"",IFERROR(N50/N4,""))</f>
        <v/>
      </c>
      <c r="O51" s="14">
        <f>IF(OR(O50="",O4=""),"",IFERROR(O50/O4,""))</f>
        <v/>
      </c>
      <c r="P51" s="15">
        <f>IF(OR(P50="",P4=""),"",IFERROR(P50/P4,""))</f>
        <v/>
      </c>
      <c r="Q51" s="15">
        <f>IF(OR(Q50="",Q4=""),"",IFERROR(Q50/Q4,""))</f>
        <v/>
      </c>
      <c r="R51" s="15">
        <f>IF(OR(R50="",R4=""),"",IFERROR(R50/R4,""))</f>
        <v/>
      </c>
      <c r="S51" s="15">
        <f>IF(OR(S50="",S4=""),"",IFERROR(S50/S4,""))</f>
        <v/>
      </c>
      <c r="T51" s="15">
        <f>IF(OR(T50="",T4=""),"",IFERROR(T50/T4,""))</f>
        <v/>
      </c>
      <c r="U51" s="15">
        <f>IF(OR(U50="",U4=""),"",IFERROR(U50/U4,""))</f>
        <v/>
      </c>
      <c r="V51" s="15">
        <f>IF(OR(V50="",V4=""),"",IFERROR(V50/V4,""))</f>
        <v/>
      </c>
      <c r="W51" s="15">
        <f>IF(OR(W50="",W4=""),"",IFERROR(W50/W4,""))</f>
        <v/>
      </c>
      <c r="X51" s="15">
        <f>IF(OR(X50="",X4=""),"",IFERROR(X50/X4,""))</f>
        <v/>
      </c>
      <c r="Y51" s="25">
        <f>IFERROR(AVERAGE(V51,W51,X51),"")</f>
        <v/>
      </c>
      <c r="Z51" s="26">
        <f>Y51</f>
        <v/>
      </c>
      <c r="AA51" s="26">
        <f>Z51</f>
        <v/>
      </c>
      <c r="AB51" s="26">
        <f>AA51</f>
        <v/>
      </c>
      <c r="AC51" s="26">
        <f>AB51</f>
        <v/>
      </c>
    </row>
    <row r="52">
      <c r="A52" s="9" t="inlineStr">
        <is>
          <t>법인세비용차감전순이익(손실)</t>
        </is>
      </c>
      <c r="B52" s="10" t="n"/>
      <c r="C52" s="11" t="n">
        <v>3092</v>
      </c>
      <c r="D52" s="12" t="n">
        <v>2823</v>
      </c>
      <c r="E52" s="12" t="n">
        <v>3473</v>
      </c>
      <c r="F52" s="12" t="n">
        <v>3717</v>
      </c>
      <c r="G52" s="12" t="n">
        <v>2946</v>
      </c>
      <c r="H52" s="12" t="n">
        <v>4911</v>
      </c>
      <c r="I52" s="12" t="n">
        <v>3351</v>
      </c>
      <c r="J52" s="12" t="n">
        <v>4373</v>
      </c>
      <c r="K52" s="12" t="n">
        <v>4296</v>
      </c>
      <c r="L52" s="12" t="n">
        <v>4788</v>
      </c>
      <c r="M52" s="12" t="n">
        <v>4534</v>
      </c>
      <c r="N52" s="12" t="n">
        <v>4750</v>
      </c>
      <c r="O52" s="11" t="n">
        <v>8705</v>
      </c>
      <c r="P52" s="12" t="n">
        <v>7681</v>
      </c>
      <c r="Q52" s="12" t="n">
        <v>11301</v>
      </c>
      <c r="R52" s="12" t="n">
        <v>13824</v>
      </c>
      <c r="S52" s="12" t="n">
        <v>9203</v>
      </c>
      <c r="T52" s="12" t="n">
        <v>18171</v>
      </c>
      <c r="U52" s="12" t="n">
        <v>30963</v>
      </c>
      <c r="V52" s="12" t="n">
        <v>15295</v>
      </c>
      <c r="W52" s="12" t="n">
        <v>14925</v>
      </c>
      <c r="X52" s="12" t="n">
        <v>17991</v>
      </c>
      <c r="Y52" s="11">
        <f>IF(OR(Y28=""),"",IFERROR(Y28+N(Y44)-N(Y46)+N(Y48)-N(Y50),""))</f>
        <v/>
      </c>
      <c r="Z52" s="12">
        <f>IF(OR(Z28=""),"",IFERROR(Z28+N(Z44)-N(Z46)+N(Z48)-N(Z50),""))</f>
        <v/>
      </c>
      <c r="AA52" s="12">
        <f>IF(OR(AA28=""),"",IFERROR(AA28+N(AA44)-N(AA46)+N(AA48)-N(AA50),""))</f>
        <v/>
      </c>
      <c r="AB52" s="12">
        <f>IF(OR(AB28=""),"",IFERROR(AB28+N(AB44)-N(AB46)+N(AB48)-N(AB50),""))</f>
        <v/>
      </c>
      <c r="AC52" s="12">
        <f>IF(OR(AC28=""),"",IFERROR(AC28+N(AC44)-N(AC46)+N(AC48)-N(AC50),""))</f>
        <v/>
      </c>
    </row>
    <row r="53">
      <c r="A53" s="18" t="inlineStr">
        <is>
          <t>법인세비용(수익)</t>
        </is>
      </c>
      <c r="B53" s="10" t="n"/>
      <c r="C53" s="19" t="n">
        <v>652</v>
      </c>
      <c r="D53" s="20" t="n">
        <v>467</v>
      </c>
      <c r="E53" s="20" t="n">
        <v>724</v>
      </c>
      <c r="F53" s="20" t="n">
        <v>665</v>
      </c>
      <c r="G53" s="20" t="n">
        <v>566</v>
      </c>
      <c r="H53" s="20" t="n">
        <v>998</v>
      </c>
      <c r="I53" s="20" t="n">
        <v>877</v>
      </c>
      <c r="J53" s="20" t="n">
        <v>651</v>
      </c>
      <c r="K53" s="20" t="n">
        <v>783</v>
      </c>
      <c r="L53" s="20" t="n">
        <v>935</v>
      </c>
      <c r="M53" s="20" t="n">
        <v>888</v>
      </c>
      <c r="N53" s="20" t="n">
        <v>1586</v>
      </c>
      <c r="O53" s="19" t="n">
        <v>618</v>
      </c>
      <c r="P53" s="20" t="n">
        <v>634</v>
      </c>
      <c r="Q53" s="20" t="n">
        <v>1926</v>
      </c>
      <c r="R53" s="20" t="n">
        <v>2943</v>
      </c>
      <c r="S53" s="20" t="n">
        <v>9583</v>
      </c>
      <c r="T53" s="20" t="n">
        <v>7430</v>
      </c>
      <c r="U53" s="20" t="n">
        <v>11168</v>
      </c>
      <c r="V53" s="20" t="n">
        <v>3791</v>
      </c>
      <c r="W53" s="20" t="n">
        <v>3106</v>
      </c>
      <c r="X53" s="20" t="n">
        <v>3257</v>
      </c>
      <c r="Y53" s="19">
        <f>IF(OR(Y52="",Y54=""),"",IFERROR(MAX(Y52,0)*Y54,""))</f>
        <v/>
      </c>
      <c r="Z53" s="20">
        <f>IF(OR(Z52="",Z54=""),"",IFERROR(MAX(Z52,0)*Z54,""))</f>
        <v/>
      </c>
      <c r="AA53" s="20">
        <f>IF(OR(AA52="",AA54=""),"",IFERROR(MAX(AA52,0)*AA54,""))</f>
        <v/>
      </c>
      <c r="AB53" s="20">
        <f>IF(OR(AB52="",AB54=""),"",IFERROR(MAX(AB52,0)*AB54,""))</f>
        <v/>
      </c>
      <c r="AC53" s="20">
        <f>IF(OR(AC52="",AC54=""),"",IFERROR(MAX(AC52,0)*AC54,""))</f>
        <v/>
      </c>
    </row>
    <row r="54">
      <c r="A54" s="13" t="inlineStr">
        <is>
          <t>법인세율</t>
        </is>
      </c>
      <c r="B54" s="10" t="inlineStr">
        <is>
          <t>MW 기본 30%</t>
        </is>
      </c>
      <c r="C54" s="14">
        <f>IF(OR(C53="",C52=""),"",IFERROR(C53/C52,""))</f>
        <v/>
      </c>
      <c r="D54" s="15">
        <f>IF(OR(D53="",D52=""),"",IFERROR(D53/D52,""))</f>
        <v/>
      </c>
      <c r="E54" s="15">
        <f>IF(OR(E53="",E52=""),"",IFERROR(E53/E52,""))</f>
        <v/>
      </c>
      <c r="F54" s="15">
        <f>IF(OR(F53="",F52=""),"",IFERROR(F53/F52,""))</f>
        <v/>
      </c>
      <c r="G54" s="15">
        <f>IF(OR(G53="",G52=""),"",IFERROR(G53/G52,""))</f>
        <v/>
      </c>
      <c r="H54" s="15">
        <f>IF(OR(H53="",H52=""),"",IFERROR(H53/H52,""))</f>
        <v/>
      </c>
      <c r="I54" s="15">
        <f>IF(OR(I53="",I52=""),"",IFERROR(I53/I52,""))</f>
        <v/>
      </c>
      <c r="J54" s="15">
        <f>IF(OR(J53="",J52=""),"",IFERROR(J53/J52,""))</f>
        <v/>
      </c>
      <c r="K54" s="15">
        <f>IF(OR(K53="",K52=""),"",IFERROR(K53/K52,""))</f>
        <v/>
      </c>
      <c r="L54" s="15">
        <f>IF(OR(L53="",L52=""),"",IFERROR(L53/L52,""))</f>
        <v/>
      </c>
      <c r="M54" s="15">
        <f>IF(OR(M53="",M52=""),"",IFERROR(M53/M52,""))</f>
        <v/>
      </c>
      <c r="N54" s="15">
        <f>IF(OR(N53="",N52=""),"",IFERROR(N53/N52,""))</f>
        <v/>
      </c>
      <c r="O54" s="14">
        <f>IF(OR(O53="",O52=""),"",IFERROR(O53/O52,""))</f>
        <v/>
      </c>
      <c r="P54" s="15">
        <f>IF(OR(P53="",P52=""),"",IFERROR(P53/P52,""))</f>
        <v/>
      </c>
      <c r="Q54" s="15">
        <f>IF(OR(Q53="",Q52=""),"",IFERROR(Q53/Q52,""))</f>
        <v/>
      </c>
      <c r="R54" s="15">
        <f>IF(OR(R53="",R52=""),"",IFERROR(R53/R52,""))</f>
        <v/>
      </c>
      <c r="S54" s="15">
        <f>IF(OR(S53="",S52=""),"",IFERROR(S53/S52,""))</f>
        <v/>
      </c>
      <c r="T54" s="15">
        <f>IF(OR(T53="",T52=""),"",IFERROR(T53/T52,""))</f>
        <v/>
      </c>
      <c r="U54" s="15">
        <f>IF(OR(U53="",U52=""),"",IFERROR(U53/U52,""))</f>
        <v/>
      </c>
      <c r="V54" s="15">
        <f>IF(OR(V53="",V52=""),"",IFERROR(V53/V52,""))</f>
        <v/>
      </c>
      <c r="W54" s="15">
        <f>IF(OR(W53="",W52=""),"",IFERROR(W53/W52,""))</f>
        <v/>
      </c>
      <c r="X54" s="15">
        <f>IF(OR(X53="",X52=""),"",IFERROR(X53/X52,""))</f>
        <v/>
      </c>
      <c r="Y54" s="25" t="n">
        <v>0.3</v>
      </c>
      <c r="Z54" s="26" t="n">
        <v>0.3</v>
      </c>
      <c r="AA54" s="26" t="n">
        <v>0.3</v>
      </c>
      <c r="AB54" s="26" t="n">
        <v>0.3</v>
      </c>
      <c r="AC54" s="26" t="n">
        <v>0.3</v>
      </c>
    </row>
    <row r="55">
      <c r="A55" s="9" t="inlineStr">
        <is>
          <t>당기순이익(손실)</t>
        </is>
      </c>
      <c r="B55" s="10" t="n"/>
      <c r="C55" s="11" t="n">
        <v>2440</v>
      </c>
      <c r="D55" s="12" t="n">
        <v>2356</v>
      </c>
      <c r="E55" s="12" t="n">
        <v>2749</v>
      </c>
      <c r="F55" s="12" t="n">
        <v>3052</v>
      </c>
      <c r="G55" s="12" t="n">
        <v>2379</v>
      </c>
      <c r="H55" s="12" t="n">
        <v>3913</v>
      </c>
      <c r="I55" s="12" t="n">
        <v>2474</v>
      </c>
      <c r="J55" s="12" t="n">
        <v>3721</v>
      </c>
      <c r="K55" s="12" t="n">
        <v>3513</v>
      </c>
      <c r="L55" s="12" t="n">
        <v>3853</v>
      </c>
      <c r="M55" s="12" t="n">
        <v>3647</v>
      </c>
      <c r="N55" s="12" t="n">
        <v>3163</v>
      </c>
      <c r="O55" s="11" t="n">
        <v>8086</v>
      </c>
      <c r="P55" s="12" t="n">
        <v>7047</v>
      </c>
      <c r="Q55" s="12" t="n">
        <v>9375</v>
      </c>
      <c r="R55" s="12" t="n">
        <v>10880</v>
      </c>
      <c r="S55" s="12" t="n">
        <v>-380</v>
      </c>
      <c r="T55" s="12" t="n">
        <v>10740</v>
      </c>
      <c r="U55" s="12" t="n">
        <v>19795</v>
      </c>
      <c r="V55" s="12" t="n">
        <v>11503</v>
      </c>
      <c r="W55" s="12" t="n">
        <v>11818</v>
      </c>
      <c r="X55" s="12" t="n">
        <v>14734</v>
      </c>
      <c r="Y55" s="11">
        <f>IF(OR(Y52=""),"",IFERROR(Y52-Y53,""))</f>
        <v/>
      </c>
      <c r="Z55" s="12">
        <f>IF(OR(Z52=""),"",IFERROR(Z52-Z53,""))</f>
        <v/>
      </c>
      <c r="AA55" s="12">
        <f>IF(OR(AA52=""),"",IFERROR(AA52-AA53,""))</f>
        <v/>
      </c>
      <c r="AB55" s="12">
        <f>IF(OR(AB52=""),"",IFERROR(AB52-AB53,""))</f>
        <v/>
      </c>
      <c r="AC55" s="12">
        <f>IF(OR(AC52=""),"",IFERROR(AC52-AC53,""))</f>
        <v/>
      </c>
    </row>
    <row r="56">
      <c r="A56" s="9" t="inlineStr">
        <is>
          <t>지배주주 순이익</t>
        </is>
      </c>
      <c r="B56" s="10" t="n"/>
      <c r="C56" s="11" t="n">
        <v>2441</v>
      </c>
      <c r="D56" s="12" t="n">
        <v>2328</v>
      </c>
      <c r="E56" s="12" t="n">
        <v>2728</v>
      </c>
      <c r="F56" s="12" t="n">
        <v>3071</v>
      </c>
      <c r="G56" s="12" t="n">
        <v>2325</v>
      </c>
      <c r="H56" s="12" t="n">
        <v>3915</v>
      </c>
      <c r="I56" s="12" t="n">
        <v>2789</v>
      </c>
      <c r="J56" s="12" t="n">
        <v>3660</v>
      </c>
      <c r="K56" s="12" t="n">
        <v>3584</v>
      </c>
      <c r="L56" s="12" t="n">
        <v>3883</v>
      </c>
      <c r="M56" s="12" t="n">
        <v>3561</v>
      </c>
      <c r="N56" s="12" t="n">
        <v>3155</v>
      </c>
      <c r="O56" s="11" t="n">
        <v>5591</v>
      </c>
      <c r="P56" s="12" t="n">
        <v>4219</v>
      </c>
      <c r="Q56" s="12" t="n">
        <v>5959</v>
      </c>
      <c r="R56" s="12" t="n">
        <v>7205</v>
      </c>
      <c r="S56" s="12" t="n">
        <v>-3015</v>
      </c>
      <c r="T56" s="12" t="n">
        <v>6545</v>
      </c>
      <c r="U56" s="12" t="n">
        <v>11372</v>
      </c>
      <c r="V56" s="12" t="n">
        <v>9463</v>
      </c>
      <c r="W56" s="12" t="n">
        <v>12100</v>
      </c>
      <c r="X56" s="12" t="n">
        <v>14688</v>
      </c>
      <c r="Y56" s="11">
        <f>IF(OR(Y55="",Y57=""),"",IFERROR(Y55*Y57,""))</f>
        <v/>
      </c>
      <c r="Z56" s="12">
        <f>IF(OR(Z55="",Z57=""),"",IFERROR(Z55*Z57,""))</f>
        <v/>
      </c>
      <c r="AA56" s="12">
        <f>IF(OR(AA55="",AA57=""),"",IFERROR(AA55*AA57,""))</f>
        <v/>
      </c>
      <c r="AB56" s="12">
        <f>IF(OR(AB55="",AB57=""),"",IFERROR(AB55*AB57,""))</f>
        <v/>
      </c>
      <c r="AC56" s="12">
        <f>IF(OR(AC55="",AC57=""),"",IFERROR(AC55*AC57,""))</f>
        <v/>
      </c>
    </row>
    <row r="57">
      <c r="A57" s="13" t="inlineStr">
        <is>
          <t>지배주주 순이익률</t>
        </is>
      </c>
      <c r="B57" s="10" t="inlineStr">
        <is>
          <t>MW 기본 100%</t>
        </is>
      </c>
      <c r="C57" s="14">
        <f>IF(OR(C56="",C55=""),"",IFERROR(C56/C55,""))</f>
        <v/>
      </c>
      <c r="D57" s="15">
        <f>IF(OR(D56="",D55=""),"",IFERROR(D56/D55,""))</f>
        <v/>
      </c>
      <c r="E57" s="15">
        <f>IF(OR(E56="",E55=""),"",IFERROR(E56/E55,""))</f>
        <v/>
      </c>
      <c r="F57" s="15">
        <f>IF(OR(F56="",F55=""),"",IFERROR(F56/F55,""))</f>
        <v/>
      </c>
      <c r="G57" s="15">
        <f>IF(OR(G56="",G55=""),"",IFERROR(G56/G55,""))</f>
        <v/>
      </c>
      <c r="H57" s="15">
        <f>IF(OR(H56="",H55=""),"",IFERROR(H56/H55,""))</f>
        <v/>
      </c>
      <c r="I57" s="15">
        <f>IF(OR(I56="",I55=""),"",IFERROR(I56/I55,""))</f>
        <v/>
      </c>
      <c r="J57" s="15">
        <f>IF(OR(J56="",J55=""),"",IFERROR(J56/J55,""))</f>
        <v/>
      </c>
      <c r="K57" s="15">
        <f>IF(OR(K56="",K55=""),"",IFERROR(K56/K55,""))</f>
        <v/>
      </c>
      <c r="L57" s="15">
        <f>IF(OR(L56="",L55=""),"",IFERROR(L56/L55,""))</f>
        <v/>
      </c>
      <c r="M57" s="15">
        <f>IF(OR(M56="",M55=""),"",IFERROR(M56/M55,""))</f>
        <v/>
      </c>
      <c r="N57" s="15">
        <f>IF(OR(N56="",N55=""),"",IFERROR(N56/N55,""))</f>
        <v/>
      </c>
      <c r="O57" s="14">
        <f>IF(OR(O56="",O55=""),"",IFERROR(O56/O55,""))</f>
        <v/>
      </c>
      <c r="P57" s="15">
        <f>IF(OR(P56="",P55=""),"",IFERROR(P56/P55,""))</f>
        <v/>
      </c>
      <c r="Q57" s="15">
        <f>IF(OR(Q56="",Q55=""),"",IFERROR(Q56/Q55,""))</f>
        <v/>
      </c>
      <c r="R57" s="15">
        <f>IF(OR(R56="",R55=""),"",IFERROR(R56/R55,""))</f>
        <v/>
      </c>
      <c r="S57" s="15">
        <f>IF(OR(S56="",S55=""),"",IFERROR(S56/S55,""))</f>
        <v/>
      </c>
      <c r="T57" s="15">
        <f>IF(OR(T56="",T55=""),"",IFERROR(T56/T55,""))</f>
        <v/>
      </c>
      <c r="U57" s="15">
        <f>IF(OR(U56="",U55=""),"",IFERROR(U56/U55,""))</f>
        <v/>
      </c>
      <c r="V57" s="15">
        <f>IF(OR(V56="",V55=""),"",IFERROR(V56/V55,""))</f>
        <v/>
      </c>
      <c r="W57" s="15">
        <f>IF(OR(W56="",W55=""),"",IFERROR(W56/W55,""))</f>
        <v/>
      </c>
      <c r="X57" s="15">
        <f>IF(OR(X56="",X55=""),"",IFERROR(X56/X55,""))</f>
        <v/>
      </c>
      <c r="Y57" s="25" t="n">
        <v>1</v>
      </c>
      <c r="Z57" s="26" t="n">
        <v>1</v>
      </c>
      <c r="AA57" s="26" t="n">
        <v>1</v>
      </c>
      <c r="AB57" s="26" t="n">
        <v>1</v>
      </c>
      <c r="AC57" s="26" t="n">
        <v>1</v>
      </c>
    </row>
    <row r="58">
      <c r="A58" s="16" t="inlineStr">
        <is>
          <t>목표주가 산출</t>
        </is>
      </c>
      <c r="B58" s="16" t="n"/>
      <c r="C58" s="17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7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7" t="n"/>
      <c r="Z58" s="16" t="n"/>
      <c r="AA58" s="16" t="n"/>
      <c r="AB58" s="16" t="n"/>
      <c r="AC58" s="16" t="n"/>
    </row>
    <row r="59">
      <c r="A59" s="18" t="inlineStr">
        <is>
          <t>현재 주가 ()</t>
        </is>
      </c>
      <c r="B59" s="27" t="n"/>
      <c r="C59" s="28" t="n"/>
      <c r="D59" s="29" t="n"/>
      <c r="E59" s="29" t="n"/>
      <c r="F59" s="29" t="n"/>
      <c r="G59" s="29" t="n"/>
      <c r="H59" s="29" t="n"/>
      <c r="I59" s="29" t="n"/>
      <c r="J59" s="29" t="n"/>
      <c r="K59" s="29" t="n"/>
      <c r="L59" s="29" t="n"/>
      <c r="M59" s="29" t="n"/>
      <c r="N59" s="29" t="n"/>
      <c r="O59" s="28" t="n"/>
      <c r="P59" s="29" t="n"/>
      <c r="Q59" s="29" t="n"/>
      <c r="R59" s="29" t="n"/>
      <c r="S59" s="29" t="n"/>
      <c r="T59" s="29" t="n"/>
      <c r="U59" s="29" t="n"/>
      <c r="V59" s="29" t="n"/>
      <c r="W59" s="29" t="n"/>
      <c r="X59" s="29" t="n"/>
      <c r="Y59" s="28" t="n"/>
      <c r="Z59" s="29" t="n"/>
      <c r="AA59" s="29" t="n"/>
      <c r="AB59" s="29" t="n"/>
      <c r="AC59" s="29" t="n"/>
    </row>
    <row r="60">
      <c r="A60" s="18" t="inlineStr">
        <is>
          <t>발행주식수 (보통주)</t>
        </is>
      </c>
      <c r="B60" s="27" t="n"/>
      <c r="C60" s="28" t="n"/>
      <c r="D60" s="29" t="n"/>
      <c r="E60" s="29" t="n"/>
      <c r="F60" s="29" t="n"/>
      <c r="G60" s="29" t="n"/>
      <c r="H60" s="29" t="n"/>
      <c r="I60" s="29" t="n"/>
      <c r="J60" s="29" t="n"/>
      <c r="K60" s="29" t="n"/>
      <c r="L60" s="29" t="n"/>
      <c r="M60" s="29" t="n"/>
      <c r="N60" s="29" t="n"/>
      <c r="O60" s="28" t="n"/>
      <c r="P60" s="29" t="n"/>
      <c r="Q60" s="29" t="n"/>
      <c r="R60" s="29" t="n"/>
      <c r="S60" s="29" t="n"/>
      <c r="T60" s="29" t="n"/>
      <c r="U60" s="29" t="n"/>
      <c r="V60" s="29" t="n"/>
      <c r="W60" s="29" t="n"/>
      <c r="X60" s="29" t="n"/>
      <c r="Y60" s="28" t="n"/>
      <c r="Z60" s="29" t="n"/>
      <c r="AA60" s="29" t="n"/>
      <c r="AB60" s="29" t="n"/>
      <c r="AC60" s="29" t="n"/>
    </row>
    <row r="61">
      <c r="A61" s="18" t="inlineStr">
        <is>
          <t>시가총액 (백만엔)</t>
        </is>
      </c>
      <c r="B61" s="12">
        <f>IF(OR(B59="",B60=""),"",B59*B60/1000000.0)</f>
        <v/>
      </c>
      <c r="C61" s="19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19" t="n"/>
      <c r="P61" s="20" t="n"/>
      <c r="Q61" s="20" t="n"/>
      <c r="R61" s="20" t="n"/>
      <c r="S61" s="20" t="n"/>
      <c r="T61" s="20" t="n"/>
      <c r="U61" s="20" t="n"/>
      <c r="V61" s="20" t="n"/>
      <c r="W61" s="20" t="n"/>
      <c r="X61" s="20" t="n"/>
      <c r="Y61" s="19" t="n"/>
      <c r="Z61" s="20" t="n"/>
      <c r="AA61" s="20" t="n"/>
      <c r="AB61" s="20" t="n"/>
      <c r="AC61" s="20" t="n"/>
    </row>
    <row r="62">
      <c r="A62" s="13" t="inlineStr">
        <is>
          <t>OPM</t>
        </is>
      </c>
      <c r="B62" s="10" t="n"/>
      <c r="C62" s="14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4">
        <f>IF(O29="","",O29)</f>
        <v/>
      </c>
      <c r="P62" s="15">
        <f>IF(P29="","",P29)</f>
        <v/>
      </c>
      <c r="Q62" s="15">
        <f>IF(Q29="","",Q29)</f>
        <v/>
      </c>
      <c r="R62" s="15">
        <f>IF(R29="","",R29)</f>
        <v/>
      </c>
      <c r="S62" s="15">
        <f>IF(S29="","",S29)</f>
        <v/>
      </c>
      <c r="T62" s="15">
        <f>IF(T29="","",T29)</f>
        <v/>
      </c>
      <c r="U62" s="15">
        <f>IF(U29="","",U29)</f>
        <v/>
      </c>
      <c r="V62" s="15">
        <f>IF(V29="","",V29)</f>
        <v/>
      </c>
      <c r="W62" s="15">
        <f>IF(W29="","",W29)</f>
        <v/>
      </c>
      <c r="X62" s="15">
        <f>IF(X29="","",X29)</f>
        <v/>
      </c>
      <c r="Y62" s="14">
        <f>IF(Y29="","",Y29)</f>
        <v/>
      </c>
      <c r="Z62" s="15">
        <f>IF(Z29="","",Z29)</f>
        <v/>
      </c>
      <c r="AA62" s="15">
        <f>IF(AA29="","",AA29)</f>
        <v/>
      </c>
      <c r="AB62" s="15">
        <f>IF(AB29="","",AB29)</f>
        <v/>
      </c>
      <c r="AC62" s="15">
        <f>IF(AC29="","",AC29)</f>
        <v/>
      </c>
    </row>
    <row r="63">
      <c r="A63" s="13" t="inlineStr">
        <is>
          <t>지배주주 순이익 증가율</t>
        </is>
      </c>
      <c r="B63" s="10" t="n"/>
      <c r="C63" s="14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4" t="n"/>
      <c r="P63" s="15">
        <f>IF(OR(P56="",O56=""),"",IFERROR(P56/O56-1,""))</f>
        <v/>
      </c>
      <c r="Q63" s="15">
        <f>IF(OR(Q56="",P56=""),"",IFERROR(Q56/P56-1,""))</f>
        <v/>
      </c>
      <c r="R63" s="15">
        <f>IF(OR(R56="",Q56=""),"",IFERROR(R56/Q56-1,""))</f>
        <v/>
      </c>
      <c r="S63" s="15">
        <f>IF(OR(S56="",R56=""),"",IFERROR(S56/R56-1,""))</f>
        <v/>
      </c>
      <c r="T63" s="15">
        <f>IF(OR(T56="",S56=""),"",IFERROR(T56/S56-1,""))</f>
        <v/>
      </c>
      <c r="U63" s="15">
        <f>IF(OR(U56="",T56=""),"",IFERROR(U56/T56-1,""))</f>
        <v/>
      </c>
      <c r="V63" s="15">
        <f>IF(OR(V56="",U56=""),"",IFERROR(V56/U56-1,""))</f>
        <v/>
      </c>
      <c r="W63" s="15">
        <f>IF(OR(W56="",V56=""),"",IFERROR(W56/V56-1,""))</f>
        <v/>
      </c>
      <c r="X63" s="15">
        <f>IF(OR(X56="",W56=""),"",IFERROR(X56/W56-1,""))</f>
        <v/>
      </c>
      <c r="Y63" s="14">
        <f>IF(OR(Y56="",X56=""),"",IFERROR(Y56/X56-1,""))</f>
        <v/>
      </c>
      <c r="Z63" s="15">
        <f>IF(OR(Z56="",Y56=""),"",IFERROR(Z56/Y56-1,""))</f>
        <v/>
      </c>
      <c r="AA63" s="15">
        <f>IF(OR(AA56="",Z56=""),"",IFERROR(AA56/Z56-1,""))</f>
        <v/>
      </c>
      <c r="AB63" s="15">
        <f>IF(OR(AB56="",AA56=""),"",IFERROR(AB56/AA56-1,""))</f>
        <v/>
      </c>
      <c r="AC63" s="15">
        <f>IF(OR(AC56="",AB56=""),"",IFERROR(AC56/AB56-1,""))</f>
        <v/>
      </c>
    </row>
    <row r="64">
      <c r="A64" s="18" t="inlineStr">
        <is>
          <t>P/E (현재 주가)</t>
        </is>
      </c>
      <c r="B64" s="10" t="inlineStr">
        <is>
          <t>시총 ÷ 지배순이익</t>
        </is>
      </c>
      <c r="C64" s="30" t="n"/>
      <c r="D64" s="31" t="n"/>
      <c r="E64" s="31" t="n"/>
      <c r="F64" s="31" t="n"/>
      <c r="G64" s="31" t="n"/>
      <c r="H64" s="31" t="n"/>
      <c r="I64" s="31" t="n"/>
      <c r="J64" s="31" t="n"/>
      <c r="K64" s="31" t="n"/>
      <c r="L64" s="31" t="n"/>
      <c r="M64" s="31" t="n"/>
      <c r="N64" s="31" t="n"/>
      <c r="O64" s="30" t="n"/>
      <c r="P64" s="31" t="n"/>
      <c r="Q64" s="31" t="n"/>
      <c r="R64" s="31" t="n"/>
      <c r="S64" s="31" t="n"/>
      <c r="T64" s="31" t="n"/>
      <c r="U64" s="31" t="n"/>
      <c r="V64" s="31" t="n"/>
      <c r="W64" s="31" t="n"/>
      <c r="X64" s="31">
        <f>IF(OR($B$61="",X56=""),"",IFERROR($B$61/X56,""))</f>
        <v/>
      </c>
      <c r="Y64" s="30">
        <f>IF(OR($B$61="",Y56=""),"",IFERROR($B$61/Y56,""))</f>
        <v/>
      </c>
      <c r="Z64" s="31">
        <f>IF(OR($B$61="",Z56=""),"",IFERROR($B$61/Z56,""))</f>
        <v/>
      </c>
      <c r="AA64" s="31">
        <f>IF(OR($B$61="",AA56=""),"",IFERROR($B$61/AA56,""))</f>
        <v/>
      </c>
      <c r="AB64" s="31">
        <f>IF(OR($B$61="",AB56=""),"",IFERROR($B$61/AB56,""))</f>
        <v/>
      </c>
      <c r="AC64" s="31">
        <f>IF(OR($B$61="",AC56=""),"",IFERROR($B$61/AC56,""))</f>
        <v/>
      </c>
    </row>
    <row r="65">
      <c r="A65" s="18" t="inlineStr">
        <is>
          <t>Target P/E</t>
        </is>
      </c>
      <c r="B65" s="10" t="inlineStr">
        <is>
          <t>직접 입력</t>
        </is>
      </c>
      <c r="C65" s="30" t="n"/>
      <c r="D65" s="31" t="n"/>
      <c r="E65" s="31" t="n"/>
      <c r="F65" s="31" t="n"/>
      <c r="G65" s="31" t="n"/>
      <c r="H65" s="31" t="n"/>
      <c r="I65" s="31" t="n"/>
      <c r="J65" s="31" t="n"/>
      <c r="K65" s="31" t="n"/>
      <c r="L65" s="31" t="n"/>
      <c r="M65" s="31" t="n"/>
      <c r="N65" s="31" t="n"/>
      <c r="O65" s="30" t="n"/>
      <c r="P65" s="31" t="n"/>
      <c r="Q65" s="31" t="n"/>
      <c r="R65" s="31" t="n"/>
      <c r="S65" s="31" t="n"/>
      <c r="T65" s="31" t="n"/>
      <c r="U65" s="31" t="n"/>
      <c r="V65" s="31" t="n"/>
      <c r="W65" s="31" t="n"/>
      <c r="X65" s="31" t="n"/>
      <c r="Y65" s="32" t="n"/>
      <c r="Z65" s="33" t="n"/>
      <c r="AA65" s="33" t="n"/>
      <c r="AB65" s="33" t="n"/>
      <c r="AC65" s="33" t="n"/>
    </row>
    <row r="66">
      <c r="A66" s="18" t="inlineStr">
        <is>
          <t>EPS</t>
        </is>
      </c>
      <c r="B66" s="10" t="inlineStr">
        <is>
          <t>지배순이익 ÷ 주식수</t>
        </is>
      </c>
      <c r="C66" s="28" t="n"/>
      <c r="D66" s="29" t="n"/>
      <c r="E66" s="29" t="n"/>
      <c r="F66" s="29" t="n"/>
      <c r="G66" s="29" t="n"/>
      <c r="H66" s="29" t="n"/>
      <c r="I66" s="29" t="n"/>
      <c r="J66" s="29" t="n"/>
      <c r="K66" s="29" t="n"/>
      <c r="L66" s="29" t="n"/>
      <c r="M66" s="29" t="n"/>
      <c r="N66" s="29" t="n"/>
      <c r="O66" s="28">
        <f>IF(OR(O56="",$B$60=""),"",IFERROR(O56*1000000.0/$B$60,""))</f>
        <v/>
      </c>
      <c r="P66" s="29">
        <f>IF(OR(P56="",$B$60=""),"",IFERROR(P56*1000000.0/$B$60,""))</f>
        <v/>
      </c>
      <c r="Q66" s="29">
        <f>IF(OR(Q56="",$B$60=""),"",IFERROR(Q56*1000000.0/$B$60,""))</f>
        <v/>
      </c>
      <c r="R66" s="29">
        <f>IF(OR(R56="",$B$60=""),"",IFERROR(R56*1000000.0/$B$60,""))</f>
        <v/>
      </c>
      <c r="S66" s="29">
        <f>IF(OR(S56="",$B$60=""),"",IFERROR(S56*1000000.0/$B$60,""))</f>
        <v/>
      </c>
      <c r="T66" s="29">
        <f>IF(OR(T56="",$B$60=""),"",IFERROR(T56*1000000.0/$B$60,""))</f>
        <v/>
      </c>
      <c r="U66" s="29">
        <f>IF(OR(U56="",$B$60=""),"",IFERROR(U56*1000000.0/$B$60,""))</f>
        <v/>
      </c>
      <c r="V66" s="29">
        <f>IF(OR(V56="",$B$60=""),"",IFERROR(V56*1000000.0/$B$60,""))</f>
        <v/>
      </c>
      <c r="W66" s="29">
        <f>IF(OR(W56="",$B$60=""),"",IFERROR(W56*1000000.0/$B$60,""))</f>
        <v/>
      </c>
      <c r="X66" s="29">
        <f>IF(OR(X56="",$B$60=""),"",IFERROR(X56*1000000.0/$B$60,""))</f>
        <v/>
      </c>
      <c r="Y66" s="28">
        <f>IF(OR(Y56="",$B$60=""),"",IFERROR(Y56*1000000.0/$B$60,""))</f>
        <v/>
      </c>
      <c r="Z66" s="29">
        <f>IF(OR(Z56="",$B$60=""),"",IFERROR(Z56*1000000.0/$B$60,""))</f>
        <v/>
      </c>
      <c r="AA66" s="29">
        <f>IF(OR(AA56="",$B$60=""),"",IFERROR(AA56*1000000.0/$B$60,""))</f>
        <v/>
      </c>
      <c r="AB66" s="29">
        <f>IF(OR(AB56="",$B$60=""),"",IFERROR(AB56*1000000.0/$B$60,""))</f>
        <v/>
      </c>
      <c r="AC66" s="29">
        <f>IF(OR(AC56="",$B$60=""),"",IFERROR(AC56*1000000.0/$B$60,""))</f>
        <v/>
      </c>
    </row>
    <row r="67">
      <c r="A67" s="9" t="inlineStr">
        <is>
          <t>목표주가</t>
        </is>
      </c>
      <c r="B67" s="10" t="n"/>
      <c r="C67" s="34" t="n"/>
      <c r="D67" s="27" t="n"/>
      <c r="E67" s="27" t="n"/>
      <c r="F67" s="27" t="n"/>
      <c r="G67" s="27" t="n"/>
      <c r="H67" s="27" t="n"/>
      <c r="I67" s="27" t="n"/>
      <c r="J67" s="27" t="n"/>
      <c r="K67" s="27" t="n"/>
      <c r="L67" s="27" t="n"/>
      <c r="M67" s="27" t="n"/>
      <c r="N67" s="27" t="n"/>
      <c r="O67" s="34" t="n"/>
      <c r="P67" s="27" t="n"/>
      <c r="Q67" s="27" t="n"/>
      <c r="R67" s="27" t="n"/>
      <c r="S67" s="27" t="n"/>
      <c r="T67" s="27" t="n"/>
      <c r="U67" s="27" t="n"/>
      <c r="V67" s="27" t="n"/>
      <c r="W67" s="27" t="n"/>
      <c r="X67" s="27" t="n"/>
      <c r="Y67" s="34">
        <f>IF(OR(Y66="",Y65=""),"",IFERROR(Y66*Y65,""))</f>
        <v/>
      </c>
      <c r="Z67" s="27">
        <f>IF(OR(Z66="",Z65=""),"",IFERROR(Z66*Z65,""))</f>
        <v/>
      </c>
      <c r="AA67" s="27">
        <f>IF(OR(AA66="",AA65=""),"",IFERROR(AA66*AA65,""))</f>
        <v/>
      </c>
      <c r="AB67" s="27">
        <f>IF(OR(AB66="",AB65=""),"",IFERROR(AB66*AB65,""))</f>
        <v/>
      </c>
      <c r="AC67" s="27">
        <f>IF(OR(AC66="",AC65=""),"",IFERROR(AC66*AC65,""))</f>
        <v/>
      </c>
    </row>
    <row r="68">
      <c r="A68" s="18" t="inlineStr">
        <is>
          <t>상승여력</t>
        </is>
      </c>
      <c r="B68" s="10" t="n"/>
      <c r="C68" s="35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5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7">
        <f>IF(OR(Y67="",$B$59=""),"",IFERROR(Y67/$B$59-1,""))</f>
        <v/>
      </c>
      <c r="Z68" s="38">
        <f>IF(OR(Z67="",$B$59=""),"",IFERROR(Z67/$B$59-1,""))</f>
        <v/>
      </c>
      <c r="AA68" s="38">
        <f>IF(OR(AA67="",$B$59=""),"",IFERROR(AA67/$B$59-1,""))</f>
        <v/>
      </c>
      <c r="AB68" s="38">
        <f>IF(OR(AB67="",$B$59=""),"",IFERROR(AB67/$B$59-1,""))</f>
        <v/>
      </c>
      <c r="AC68" s="38">
        <f>IF(OR(AC67="",$B$59=""),"",IFERROR(AC67/$B$59-1,""))</f>
        <v/>
      </c>
    </row>
    <row r="69">
      <c r="A69" s="16" t="inlineStr">
        <is>
          <t>자산가치 산출</t>
        </is>
      </c>
      <c r="B69" s="16" t="inlineStr">
        <is>
          <t>최신 분기 BS</t>
        </is>
      </c>
      <c r="C69" s="17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7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7" t="n"/>
      <c r="Z69" s="16" t="n"/>
      <c r="AA69" s="16" t="n"/>
      <c r="AB69" s="16" t="n"/>
      <c r="AC69" s="16" t="n"/>
    </row>
    <row r="70">
      <c r="A70" s="18" t="inlineStr">
        <is>
          <t>현금및현금성자산</t>
        </is>
      </c>
      <c r="B70" s="10" t="n"/>
      <c r="C70" s="19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19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>
        <f>'재무상태표'!G6</f>
        <v/>
      </c>
      <c r="Y70" s="19">
        <f>'재무상태표'!G6</f>
        <v/>
      </c>
      <c r="Z70" s="20">
        <f>'재무상태표'!G6</f>
        <v/>
      </c>
      <c r="AA70" s="20">
        <f>'재무상태표'!G6</f>
        <v/>
      </c>
      <c r="AB70" s="20">
        <f>'재무상태표'!G6</f>
        <v/>
      </c>
      <c r="AC70" s="20">
        <f>'재무상태표'!G6</f>
        <v/>
      </c>
    </row>
    <row r="71">
      <c r="A71" s="18" t="inlineStr">
        <is>
          <t>단기금융상품</t>
        </is>
      </c>
      <c r="B71" s="10" t="n"/>
      <c r="C71" s="19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19" t="n"/>
      <c r="P71" s="20" t="n"/>
      <c r="Q71" s="20" t="n"/>
      <c r="R71" s="20" t="n"/>
      <c r="S71" s="20" t="n"/>
      <c r="T71" s="20" t="n"/>
      <c r="U71" s="20" t="n"/>
      <c r="V71" s="20" t="n"/>
      <c r="W71" s="20" t="n"/>
      <c r="X71" s="20">
        <f>'재무상태표'!G7</f>
        <v/>
      </c>
      <c r="Y71" s="19">
        <f>'재무상태표'!G7</f>
        <v/>
      </c>
      <c r="Z71" s="20">
        <f>'재무상태표'!G7</f>
        <v/>
      </c>
      <c r="AA71" s="20">
        <f>'재무상태표'!G7</f>
        <v/>
      </c>
      <c r="AB71" s="20">
        <f>'재무상태표'!G7</f>
        <v/>
      </c>
      <c r="AC71" s="20">
        <f>'재무상태표'!G7</f>
        <v/>
      </c>
    </row>
    <row r="72">
      <c r="A72" s="18" t="inlineStr">
        <is>
          <t>투자부동산</t>
        </is>
      </c>
      <c r="B72" s="10" t="n"/>
      <c r="C72" s="19" t="n"/>
      <c r="D72" s="20" t="n"/>
      <c r="E72" s="20" t="n"/>
      <c r="F72" s="20" t="n"/>
      <c r="G72" s="20" t="n"/>
      <c r="H72" s="20" t="n"/>
      <c r="I72" s="20" t="n"/>
      <c r="J72" s="20" t="n"/>
      <c r="K72" s="20" t="n"/>
      <c r="L72" s="20" t="n"/>
      <c r="M72" s="20" t="n"/>
      <c r="N72" s="20" t="n"/>
      <c r="O72" s="19" t="n"/>
      <c r="P72" s="20" t="n"/>
      <c r="Q72" s="20" t="n"/>
      <c r="R72" s="20" t="n"/>
      <c r="S72" s="20" t="n"/>
      <c r="T72" s="20" t="n"/>
      <c r="U72" s="20" t="n"/>
      <c r="V72" s="20" t="n"/>
      <c r="W72" s="20" t="n"/>
      <c r="X72" s="20">
        <f>'재무상태표'!G14</f>
        <v/>
      </c>
      <c r="Y72" s="19">
        <f>'재무상태표'!G14</f>
        <v/>
      </c>
      <c r="Z72" s="20">
        <f>'재무상태표'!G14</f>
        <v/>
      </c>
      <c r="AA72" s="20">
        <f>'재무상태표'!G14</f>
        <v/>
      </c>
      <c r="AB72" s="20">
        <f>'재무상태표'!G14</f>
        <v/>
      </c>
      <c r="AC72" s="20">
        <f>'재무상태표'!G14</f>
        <v/>
      </c>
    </row>
    <row r="73">
      <c r="A73" s="18" t="inlineStr">
        <is>
          <t>지배자본</t>
        </is>
      </c>
      <c r="B73" s="10" t="n"/>
      <c r="C73" s="19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19" t="n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>
        <f>'재무상태표'!G31</f>
        <v/>
      </c>
      <c r="Y73" s="19">
        <f>'재무상태표'!G31</f>
        <v/>
      </c>
      <c r="Z73" s="20">
        <f>'재무상태표'!G31</f>
        <v/>
      </c>
      <c r="AA73" s="20">
        <f>'재무상태표'!G31</f>
        <v/>
      </c>
      <c r="AB73" s="20">
        <f>'재무상태표'!G31</f>
        <v/>
      </c>
      <c r="AC73" s="20">
        <f>'재무상태표'!G31</f>
        <v/>
      </c>
    </row>
    <row r="74">
      <c r="A74" s="18" t="inlineStr">
        <is>
          <t>부채</t>
        </is>
      </c>
      <c r="B74" s="10" t="n"/>
      <c r="C74" s="19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19" t="n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>
        <f>'재무상태표'!G27</f>
        <v/>
      </c>
      <c r="Y74" s="19">
        <f>'재무상태표'!G27</f>
        <v/>
      </c>
      <c r="Z74" s="20">
        <f>'재무상태표'!G27</f>
        <v/>
      </c>
      <c r="AA74" s="20">
        <f>'재무상태표'!G27</f>
        <v/>
      </c>
      <c r="AB74" s="20">
        <f>'재무상태표'!G27</f>
        <v/>
      </c>
      <c r="AC74" s="20">
        <f>'재무상태표'!G27</f>
        <v/>
      </c>
    </row>
    <row r="75">
      <c r="A75" s="13" t="inlineStr">
        <is>
          <t>부채비율</t>
        </is>
      </c>
      <c r="B75" s="10" t="n"/>
      <c r="C75" s="14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4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>
        <f>IF(OR(X74="",X73=""),"",IFERROR(X74/X73,""))</f>
        <v/>
      </c>
      <c r="Y75" s="14">
        <f>IF(OR(Y74="",Y73=""),"",IFERROR(Y74/Y73,""))</f>
        <v/>
      </c>
      <c r="Z75" s="15">
        <f>IF(OR(Z74="",Z73=""),"",IFERROR(Z74/Z73,""))</f>
        <v/>
      </c>
      <c r="AA75" s="15">
        <f>IF(OR(AA74="",AA73=""),"",IFERROR(AA74/AA73,""))</f>
        <v/>
      </c>
      <c r="AB75" s="15">
        <f>IF(OR(AB74="",AB73=""),"",IFERROR(AB74/AB73,""))</f>
        <v/>
      </c>
      <c r="AC75" s="15">
        <f>IF(OR(AC74="",AC73=""),"",IFERROR(AC74/AC73,""))</f>
        <v/>
      </c>
    </row>
    <row r="76">
      <c r="A76" s="9" t="inlineStr">
        <is>
          <t>자산가치</t>
        </is>
      </c>
      <c r="B76" s="10" t="inlineStr">
        <is>
          <t>현금+단기금융+투자부동산</t>
        </is>
      </c>
      <c r="C76" s="11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1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>
        <f>SUM(X70,X71,X72)</f>
        <v/>
      </c>
      <c r="Y76" s="11">
        <f>SUM(Y70,Y71,Y72)</f>
        <v/>
      </c>
      <c r="Z76" s="12">
        <f>SUM(Z70,Z71,Z72)</f>
        <v/>
      </c>
      <c r="AA76" s="12">
        <f>SUM(AA70,AA71,AA72)</f>
        <v/>
      </c>
      <c r="AB76" s="12">
        <f>SUM(AB70,AB71,AB72)</f>
        <v/>
      </c>
      <c r="AC76" s="12">
        <f>SUM(AC70,AC71,AC72)</f>
        <v/>
      </c>
    </row>
    <row r="77">
      <c r="A77" s="16" t="inlineStr">
        <is>
          <t>기업가치 산출</t>
        </is>
      </c>
      <c r="B77" s="16" t="n"/>
      <c r="C77" s="17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7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7" t="n"/>
      <c r="Z77" s="16" t="n"/>
      <c r="AA77" s="16" t="n"/>
      <c r="AB77" s="16" t="n"/>
      <c r="AC77" s="16" t="n"/>
    </row>
    <row r="78">
      <c r="A78" s="18" t="inlineStr">
        <is>
          <t>목표 시가총액 (P/E)</t>
        </is>
      </c>
      <c r="B78" s="10" t="inlineStr">
        <is>
          <t>지배순이익 × Target P/E</t>
        </is>
      </c>
      <c r="C78" s="19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19" t="n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 t="n"/>
      <c r="Y78" s="19">
        <f>IF(OR(Y56="",Y65=""),"",IFERROR(Y56*Y65,""))</f>
        <v/>
      </c>
      <c r="Z78" s="20">
        <f>IF(OR(Z56="",Z65=""),"",IFERROR(Z56*Z65,""))</f>
        <v/>
      </c>
      <c r="AA78" s="20">
        <f>IF(OR(AA56="",AA65=""),"",IFERROR(AA56*AA65,""))</f>
        <v/>
      </c>
      <c r="AB78" s="20">
        <f>IF(OR(AB56="",AB65=""),"",IFERROR(AB56*AB65,""))</f>
        <v/>
      </c>
      <c r="AC78" s="20">
        <f>IF(OR(AC56="",AC65=""),"",IFERROR(AC56*AC65,""))</f>
        <v/>
      </c>
    </row>
    <row r="79">
      <c r="A79" s="9" t="inlineStr">
        <is>
          <t>기업가치</t>
        </is>
      </c>
      <c r="B79" s="10" t="inlineStr">
        <is>
          <t>목표시총 + 자산가치</t>
        </is>
      </c>
      <c r="C79" s="11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1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1">
        <f>IF(OR(Y78=""),"",IFERROR(Y78+Y76,""))</f>
        <v/>
      </c>
      <c r="Z79" s="12">
        <f>IF(OR(Z78=""),"",IFERROR(Z78+Z76,""))</f>
        <v/>
      </c>
      <c r="AA79" s="12">
        <f>IF(OR(AA78=""),"",IFERROR(AA78+AA76,""))</f>
        <v/>
      </c>
      <c r="AB79" s="12">
        <f>IF(OR(AB78=""),"",IFERROR(AB78+AB76,""))</f>
        <v/>
      </c>
      <c r="AC79" s="12">
        <f>IF(OR(AC78=""),"",IFERROR(AC78+AC76,""))</f>
        <v/>
      </c>
    </row>
    <row r="80">
      <c r="A80" s="18" t="inlineStr">
        <is>
          <t>현재 시가총액</t>
        </is>
      </c>
      <c r="B80" s="10" t="n"/>
      <c r="C80" s="19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19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 t="n"/>
      <c r="Y80" s="19">
        <f>$B$61</f>
        <v/>
      </c>
      <c r="Z80" s="20">
        <f>$B$61</f>
        <v/>
      </c>
      <c r="AA80" s="20">
        <f>$B$61</f>
        <v/>
      </c>
      <c r="AB80" s="20">
        <f>$B$61</f>
        <v/>
      </c>
      <c r="AC80" s="20">
        <f>$B$61</f>
        <v/>
      </c>
    </row>
    <row r="81">
      <c r="A81" s="18" t="inlineStr">
        <is>
          <t>상승여력</t>
        </is>
      </c>
      <c r="B81" s="10" t="n"/>
      <c r="C81" s="35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5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7">
        <f>IF(OR(Y79="",Y80=""),"",IFERROR(Y79/Y80-1,""))</f>
        <v/>
      </c>
      <c r="Z81" s="38">
        <f>IF(OR(Z79="",Z80=""),"",IFERROR(Z79/Z80-1,""))</f>
        <v/>
      </c>
      <c r="AA81" s="38">
        <f>IF(OR(AA79="",AA80=""),"",IFERROR(AA79/AA80-1,""))</f>
        <v/>
      </c>
      <c r="AB81" s="38">
        <f>IF(OR(AB79="",AB80=""),"",IFERROR(AB79/AB80-1,""))</f>
        <v/>
      </c>
      <c r="AC81" s="38">
        <f>IF(OR(AC79="",AC80=""),"",IFERROR(AC79/AC80-1,""))</f>
        <v/>
      </c>
    </row>
    <row r="82">
      <c r="C82" s="39" t="n"/>
      <c r="O82" s="39" t="n"/>
      <c r="Y82" s="39" t="n"/>
    </row>
    <row r="83">
      <c r="A83" s="40" t="inlineStr">
        <is>
          <t>출처</t>
        </is>
      </c>
      <c r="C83" s="39" t="n"/>
      <c r="O83" s="39" t="n"/>
      <c r="Y83" s="39" t="n"/>
    </row>
    <row r="84">
      <c r="A84" s="41" t="inlineStr">
        <is>
          <t>결산단신 XBRL(TDnet·JPX 보관소) — 쓴 문서는 '출처' 시트</t>
        </is>
      </c>
      <c r="C84" s="39" t="n"/>
      <c r="O84" s="39" t="n"/>
      <c r="Y84" s="39" t="n"/>
    </row>
    <row r="85">
      <c r="A85" s="41" t="inlineStr">
        <is>
          <t>분기 = 누계에서 앞 분기를 뺀 3개월 값</t>
        </is>
      </c>
      <c r="C85" s="39" t="n"/>
      <c r="O85" s="39" t="n"/>
      <c r="Y85" s="39" t="n"/>
    </row>
    <row r="86">
      <c r="A86" s="41" t="inlineStr">
        <is>
          <t>주가: 야후 파이낸스 일봉</t>
        </is>
      </c>
      <c r="C86" s="39" t="n"/>
      <c r="O86" s="39" t="n"/>
      <c r="Y86" s="39" t="n"/>
    </row>
    <row r="88">
      <c r="A88" s="16" t="inlineStr">
        <is>
          <t>손익계산서 · 전 항목</t>
        </is>
      </c>
      <c r="B88" s="42" t="inlineStr">
        <is>
          <t>분기 = 3개월 단독</t>
        </is>
      </c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  <c r="AA88" s="16" t="n"/>
      <c r="AB88" s="16" t="n"/>
      <c r="AC88" s="16" t="n"/>
    </row>
    <row r="89">
      <c r="A89" s="5" t="inlineStr">
        <is>
          <t>항목</t>
        </is>
      </c>
      <c r="B89" s="5" t="inlineStr">
        <is>
          <t>참고</t>
        </is>
      </c>
      <c r="C89" s="5" t="inlineStr">
        <is>
          <t>2024.2Q</t>
        </is>
      </c>
      <c r="D89" s="5" t="inlineStr">
        <is>
          <t>2024.3Q</t>
        </is>
      </c>
      <c r="E89" s="5" t="inlineStr">
        <is>
          <t>2024.4Q</t>
        </is>
      </c>
      <c r="F89" s="5" t="inlineStr">
        <is>
          <t>2025.1Q</t>
        </is>
      </c>
      <c r="G89" s="5" t="inlineStr">
        <is>
          <t>2025.2Q</t>
        </is>
      </c>
      <c r="H89" s="5" t="inlineStr">
        <is>
          <t>2025.3Q</t>
        </is>
      </c>
      <c r="I89" s="5" t="inlineStr">
        <is>
          <t>2025.4Q</t>
        </is>
      </c>
      <c r="J89" s="5" t="inlineStr">
        <is>
          <t>2026.1Q</t>
        </is>
      </c>
      <c r="K89" s="5" t="inlineStr">
        <is>
          <t>2026.2Q</t>
        </is>
      </c>
      <c r="L89" s="5" t="inlineStr">
        <is>
          <t>2026.3Q</t>
        </is>
      </c>
      <c r="M89" s="5" t="inlineStr">
        <is>
          <t>2026.4Q</t>
        </is>
      </c>
      <c r="N89" s="5" t="inlineStr">
        <is>
          <t>2027.1Q</t>
        </is>
      </c>
      <c r="O89" s="5" t="inlineStr">
        <is>
          <t>2017</t>
        </is>
      </c>
      <c r="P89" s="5" t="inlineStr">
        <is>
          <t>2018</t>
        </is>
      </c>
      <c r="Q89" s="5" t="inlineStr">
        <is>
          <t>2019</t>
        </is>
      </c>
      <c r="R89" s="5" t="inlineStr">
        <is>
          <t>2020</t>
        </is>
      </c>
      <c r="S89" s="5" t="inlineStr">
        <is>
          <t>2021</t>
        </is>
      </c>
      <c r="T89" s="5" t="inlineStr">
        <is>
          <t>2022</t>
        </is>
      </c>
      <c r="U89" s="5" t="inlineStr">
        <is>
          <t>2023</t>
        </is>
      </c>
      <c r="V89" s="5" t="inlineStr">
        <is>
          <t>2024</t>
        </is>
      </c>
      <c r="W89" s="5" t="inlineStr">
        <is>
          <t>2025</t>
        </is>
      </c>
      <c r="X89" s="5" t="inlineStr">
        <is>
          <t>2026</t>
        </is>
      </c>
      <c r="Y89" s="5" t="inlineStr">
        <is>
          <t>2027(MW)</t>
        </is>
      </c>
      <c r="Z89" s="5" t="inlineStr">
        <is>
          <t>2028(MW)</t>
        </is>
      </c>
      <c r="AA89" s="5" t="inlineStr">
        <is>
          <t>2029(MW)</t>
        </is>
      </c>
      <c r="AB89" s="5" t="inlineStr">
        <is>
          <t>2030(MW)</t>
        </is>
      </c>
      <c r="AC89" s="5" t="inlineStr">
        <is>
          <t>2031(MW)</t>
        </is>
      </c>
    </row>
    <row r="90">
      <c r="A90" s="18" t="inlineStr">
        <is>
          <t>자금운용수익</t>
        </is>
      </c>
      <c r="C90" s="20" t="n">
        <v>268</v>
      </c>
      <c r="D90" s="20" t="n">
        <v>278</v>
      </c>
      <c r="E90" s="20" t="n">
        <v>386</v>
      </c>
      <c r="F90" s="20" t="n">
        <v>387</v>
      </c>
      <c r="G90" s="20" t="n">
        <v>401</v>
      </c>
      <c r="H90" s="20" t="n">
        <v>342</v>
      </c>
      <c r="I90" s="20" t="n">
        <v>392</v>
      </c>
      <c r="J90" s="20" t="n">
        <v>378</v>
      </c>
      <c r="K90" s="20" t="n">
        <v>311</v>
      </c>
      <c r="L90" s="20" t="n">
        <v>349</v>
      </c>
      <c r="M90" s="20" t="n">
        <v>369</v>
      </c>
      <c r="N90" s="20" t="n">
        <v>380</v>
      </c>
      <c r="T90" s="20" t="n">
        <v>12358</v>
      </c>
      <c r="U90" s="20" t="n">
        <v>15564</v>
      </c>
      <c r="V90" s="20" t="n">
        <v>386</v>
      </c>
      <c r="W90" s="20" t="n">
        <v>392</v>
      </c>
      <c r="X90" s="20" t="n">
        <v>369</v>
      </c>
    </row>
    <row r="91">
      <c r="A91" s="18" t="inlineStr">
        <is>
          <t>용역거래 수익</t>
        </is>
      </c>
      <c r="C91" s="20" t="n">
        <v>100</v>
      </c>
      <c r="D91" s="20" t="n">
        <v>183</v>
      </c>
      <c r="E91" s="20" t="n">
        <v>168</v>
      </c>
      <c r="F91" s="20" t="n">
        <v>171</v>
      </c>
      <c r="G91" s="20" t="n">
        <v>170</v>
      </c>
      <c r="H91" s="20" t="n">
        <v>119</v>
      </c>
      <c r="I91" s="20" t="n">
        <v>193</v>
      </c>
      <c r="J91" s="20" t="n">
        <v>165</v>
      </c>
      <c r="K91" s="20" t="n">
        <v>238</v>
      </c>
      <c r="L91" s="20" t="n">
        <v>208</v>
      </c>
      <c r="M91" s="20" t="n">
        <v>259</v>
      </c>
      <c r="N91" s="20" t="n">
        <v>276</v>
      </c>
      <c r="T91" s="20" t="n">
        <v>2515</v>
      </c>
      <c r="U91" s="20" t="n">
        <v>2990</v>
      </c>
      <c r="V91" s="20" t="n">
        <v>168</v>
      </c>
      <c r="W91" s="20" t="n">
        <v>193</v>
      </c>
      <c r="X91" s="20" t="n">
        <v>259</v>
      </c>
    </row>
    <row r="92">
      <c r="A92" s="18" t="inlineStr">
        <is>
          <t>기타 업무수익</t>
        </is>
      </c>
      <c r="C92" s="20" t="n">
        <v>133</v>
      </c>
      <c r="D92" s="20" t="n">
        <v>99</v>
      </c>
      <c r="E92" s="20" t="n">
        <v>125</v>
      </c>
      <c r="F92" s="20" t="n">
        <v>179</v>
      </c>
      <c r="G92" s="20" t="n">
        <v>295</v>
      </c>
      <c r="H92" s="20" t="n">
        <v>153</v>
      </c>
      <c r="I92" s="20" t="n">
        <v>105</v>
      </c>
      <c r="J92" s="20" t="n">
        <v>120</v>
      </c>
      <c r="K92" s="20" t="n">
        <v>43</v>
      </c>
      <c r="L92" s="20" t="n">
        <v>46</v>
      </c>
      <c r="M92" s="20" t="n">
        <v>128</v>
      </c>
      <c r="N92" s="20" t="n">
        <v>89</v>
      </c>
      <c r="T92" s="20" t="n">
        <v>173</v>
      </c>
      <c r="U92" s="20" t="n">
        <v>1406</v>
      </c>
      <c r="V92" s="20" t="n">
        <v>125</v>
      </c>
      <c r="W92" s="20" t="n">
        <v>105</v>
      </c>
      <c r="X92" s="20" t="n">
        <v>128</v>
      </c>
    </row>
    <row r="93">
      <c r="A93" s="9" t="inlineStr">
        <is>
          <t>매출액</t>
        </is>
      </c>
      <c r="C93" s="12" t="n">
        <v>6661</v>
      </c>
      <c r="D93" s="12" t="n">
        <v>7628</v>
      </c>
      <c r="E93" s="12" t="n">
        <v>7875</v>
      </c>
      <c r="F93" s="12" t="n">
        <v>8388</v>
      </c>
      <c r="G93" s="12" t="n">
        <v>8756</v>
      </c>
      <c r="H93" s="12" t="n">
        <v>8458</v>
      </c>
      <c r="I93" s="12" t="n">
        <v>9255</v>
      </c>
      <c r="J93" s="12" t="n">
        <v>8958</v>
      </c>
      <c r="K93" s="12" t="n">
        <v>14925</v>
      </c>
      <c r="L93" s="12" t="n">
        <v>15592</v>
      </c>
      <c r="M93" s="12" t="n">
        <v>15788</v>
      </c>
      <c r="N93" s="12" t="n">
        <v>16194</v>
      </c>
      <c r="T93" s="12" t="n">
        <v>570</v>
      </c>
      <c r="U93" s="12" t="n">
        <v>3203</v>
      </c>
      <c r="V93" s="12" t="n">
        <v>7875</v>
      </c>
      <c r="W93" s="12" t="n">
        <v>9255</v>
      </c>
      <c r="X93" s="12" t="n">
        <v>15788</v>
      </c>
    </row>
    <row r="94">
      <c r="A94" s="18" t="inlineStr">
        <is>
          <t>금융비용</t>
        </is>
      </c>
      <c r="T94" s="20" t="n">
        <v>16</v>
      </c>
      <c r="U94" s="20" t="n">
        <v>0</v>
      </c>
    </row>
    <row r="95">
      <c r="A95" s="18" t="inlineStr">
        <is>
          <t>Operating Revenue1</t>
        </is>
      </c>
      <c r="C95" s="20" t="n">
        <v>7162</v>
      </c>
      <c r="D95" s="20" t="n">
        <v>8187</v>
      </c>
      <c r="F95" s="20" t="n">
        <v>9127</v>
      </c>
      <c r="G95" s="20" t="n">
        <v>9622</v>
      </c>
      <c r="H95" s="20" t="n">
        <v>9071</v>
      </c>
      <c r="J95" s="20" t="n">
        <v>9622</v>
      </c>
      <c r="K95" s="20" t="n">
        <v>15518</v>
      </c>
      <c r="L95" s="20" t="n">
        <v>16194</v>
      </c>
      <c r="N95" s="20" t="n">
        <v>16941</v>
      </c>
    </row>
    <row r="96">
      <c r="A96" s="18" t="inlineStr">
        <is>
          <t>자금조달비용</t>
        </is>
      </c>
      <c r="C96" s="20" t="n">
        <v>251</v>
      </c>
      <c r="D96" s="20" t="n">
        <v>297</v>
      </c>
      <c r="E96" s="20" t="n">
        <v>167</v>
      </c>
      <c r="F96" s="20" t="n">
        <v>384</v>
      </c>
      <c r="G96" s="20" t="n">
        <v>439</v>
      </c>
      <c r="H96" s="20" t="n">
        <v>322</v>
      </c>
      <c r="I96" s="20" t="n">
        <v>572</v>
      </c>
      <c r="J96" s="20" t="n">
        <v>318</v>
      </c>
      <c r="K96" s="20" t="n">
        <v>651</v>
      </c>
      <c r="L96" s="20" t="n">
        <v>352</v>
      </c>
      <c r="M96" s="20" t="n">
        <v>434</v>
      </c>
      <c r="N96" s="20" t="n">
        <v>390</v>
      </c>
      <c r="U96" s="20" t="n">
        <v>5968</v>
      </c>
      <c r="V96" s="20" t="n">
        <v>167</v>
      </c>
      <c r="W96" s="20" t="n">
        <v>572</v>
      </c>
      <c r="X96" s="20" t="n">
        <v>434</v>
      </c>
    </row>
    <row r="97">
      <c r="A97" s="18" t="inlineStr">
        <is>
          <t>기타 업무비용</t>
        </is>
      </c>
      <c r="C97" s="20" t="n">
        <v>23</v>
      </c>
      <c r="D97" s="20" t="n">
        <v>1</v>
      </c>
      <c r="E97" s="20" t="n">
        <v>-24</v>
      </c>
      <c r="F97" s="20" t="n">
        <v>0</v>
      </c>
      <c r="G97" s="20" t="n">
        <v>0</v>
      </c>
      <c r="H97" s="20" t="n">
        <v>0</v>
      </c>
      <c r="I97" s="20" t="n">
        <v>0</v>
      </c>
      <c r="J97" s="20" t="n">
        <v>8</v>
      </c>
      <c r="N97" s="20" t="n">
        <v>0</v>
      </c>
      <c r="T97" s="20" t="n">
        <v>3</v>
      </c>
      <c r="U97" s="20" t="n">
        <v>301</v>
      </c>
      <c r="V97" s="20" t="n">
        <v>-24</v>
      </c>
      <c r="W97" s="20" t="n">
        <v>0</v>
      </c>
    </row>
    <row r="98">
      <c r="A98" s="18" t="inlineStr">
        <is>
          <t>매출원가</t>
        </is>
      </c>
      <c r="C98" s="20" t="n">
        <v>5189</v>
      </c>
      <c r="D98" s="20" t="n">
        <v>6093</v>
      </c>
      <c r="E98" s="20" t="n">
        <v>6241</v>
      </c>
      <c r="F98" s="20" t="n">
        <v>6449</v>
      </c>
      <c r="G98" s="20" t="n">
        <v>6978</v>
      </c>
      <c r="H98" s="20" t="n">
        <v>6590</v>
      </c>
      <c r="I98" s="20" t="n">
        <v>7021</v>
      </c>
      <c r="J98" s="20" t="n">
        <v>6941</v>
      </c>
      <c r="K98" s="20" t="n">
        <v>12355</v>
      </c>
      <c r="L98" s="20" t="n">
        <v>12712</v>
      </c>
      <c r="M98" s="20" t="n">
        <v>12585</v>
      </c>
      <c r="N98" s="20" t="n">
        <v>12987</v>
      </c>
      <c r="T98" s="20" t="n">
        <v>-36</v>
      </c>
      <c r="U98" s="20" t="n">
        <v>2512</v>
      </c>
      <c r="V98" s="20" t="n">
        <v>6241</v>
      </c>
      <c r="W98" s="20" t="n">
        <v>7021</v>
      </c>
      <c r="X98" s="20" t="n">
        <v>12585</v>
      </c>
    </row>
    <row r="99">
      <c r="A99" s="18" t="inlineStr">
        <is>
          <t>Net Operating Revenue SEC</t>
        </is>
      </c>
      <c r="C99" s="20" t="n">
        <v>1699</v>
      </c>
      <c r="D99" s="20" t="n">
        <v>1796</v>
      </c>
      <c r="E99" s="20" t="n">
        <v>2171</v>
      </c>
      <c r="F99" s="20" t="n">
        <v>2292</v>
      </c>
      <c r="G99" s="20" t="n">
        <v>2206</v>
      </c>
      <c r="H99" s="20" t="n">
        <v>2158</v>
      </c>
      <c r="I99" s="20" t="n">
        <v>2353</v>
      </c>
      <c r="J99" s="20" t="n">
        <v>2354</v>
      </c>
      <c r="K99" s="20" t="n">
        <v>2520</v>
      </c>
      <c r="L99" s="20" t="n">
        <v>3130</v>
      </c>
      <c r="M99" s="20" t="n">
        <v>3527</v>
      </c>
      <c r="N99" s="20" t="n">
        <v>3563</v>
      </c>
      <c r="T99" s="20" t="n">
        <v>10655</v>
      </c>
      <c r="U99" s="20" t="n">
        <v>14381</v>
      </c>
      <c r="V99" s="20" t="n">
        <v>2171</v>
      </c>
      <c r="W99" s="20" t="n">
        <v>2353</v>
      </c>
      <c r="X99" s="20" t="n">
        <v>3527</v>
      </c>
    </row>
    <row r="100">
      <c r="A100" s="18" t="inlineStr">
        <is>
          <t>Trading Related Expenses SGASEC</t>
        </is>
      </c>
      <c r="C100" s="20" t="n">
        <v>682</v>
      </c>
      <c r="D100" s="20" t="n">
        <v>855</v>
      </c>
      <c r="T100" s="20" t="n">
        <v>541</v>
      </c>
      <c r="U100" s="20" t="n">
        <v>670</v>
      </c>
    </row>
    <row r="101">
      <c r="A101" s="18" t="inlineStr">
        <is>
          <t>Personal Expenses SGA</t>
        </is>
      </c>
      <c r="C101" s="20" t="n">
        <v>637</v>
      </c>
      <c r="D101" s="20" t="n">
        <v>658</v>
      </c>
      <c r="T101" s="20" t="n">
        <v>1972</v>
      </c>
      <c r="U101" s="20" t="n">
        <v>2240</v>
      </c>
    </row>
    <row r="102">
      <c r="A102" s="18" t="inlineStr">
        <is>
          <t>Real Estate Expenses SGASEC</t>
        </is>
      </c>
      <c r="C102" s="20" t="n">
        <v>131</v>
      </c>
      <c r="D102" s="20" t="n">
        <v>146</v>
      </c>
      <c r="T102" s="20" t="n">
        <v>854</v>
      </c>
      <c r="U102" s="20" t="n">
        <v>867</v>
      </c>
    </row>
    <row r="103">
      <c r="A103" s="18" t="inlineStr">
        <is>
          <t>Office Cost SGA</t>
        </is>
      </c>
      <c r="C103" s="20" t="n">
        <v>90</v>
      </c>
      <c r="D103" s="20" t="n">
        <v>91</v>
      </c>
      <c r="T103" s="20" t="n">
        <v>200</v>
      </c>
      <c r="U103" s="20" t="n">
        <v>150</v>
      </c>
    </row>
    <row r="104">
      <c r="A104" s="18" t="inlineStr">
        <is>
          <t>Payroll And Allowances SGA</t>
        </is>
      </c>
      <c r="C104" s="20" t="n">
        <v>324</v>
      </c>
      <c r="D104" s="20" t="n">
        <v>335</v>
      </c>
      <c r="E104" s="20" t="n">
        <v>357</v>
      </c>
      <c r="F104" s="20" t="n">
        <v>399</v>
      </c>
      <c r="G104" s="20" t="n">
        <v>444</v>
      </c>
      <c r="H104" s="20" t="n">
        <v>441</v>
      </c>
      <c r="I104" s="20" t="n">
        <v>458</v>
      </c>
      <c r="J104" s="20" t="n">
        <v>497</v>
      </c>
      <c r="K104" s="20" t="n">
        <v>657</v>
      </c>
      <c r="L104" s="20" t="n">
        <v>621</v>
      </c>
      <c r="M104" s="20" t="n">
        <v>647</v>
      </c>
      <c r="N104" s="20" t="n">
        <v>670</v>
      </c>
      <c r="V104" s="20" t="n">
        <v>357</v>
      </c>
      <c r="W104" s="20" t="n">
        <v>458</v>
      </c>
      <c r="X104" s="20" t="n">
        <v>647</v>
      </c>
    </row>
    <row r="105">
      <c r="A105" s="18" t="inlineStr">
        <is>
          <t>광고선전비</t>
        </is>
      </c>
      <c r="C105" s="20" t="n">
        <v>484</v>
      </c>
      <c r="D105" s="20" t="n">
        <v>588</v>
      </c>
      <c r="E105" s="20" t="n">
        <v>597</v>
      </c>
      <c r="F105" s="20" t="n">
        <v>604</v>
      </c>
      <c r="G105" s="20" t="n">
        <v>606</v>
      </c>
      <c r="H105" s="20" t="n">
        <v>678</v>
      </c>
      <c r="I105" s="20" t="n">
        <v>631</v>
      </c>
      <c r="J105" s="20" t="n">
        <v>617</v>
      </c>
      <c r="K105" s="20" t="n">
        <v>607</v>
      </c>
      <c r="L105" s="20" t="n">
        <v>684</v>
      </c>
      <c r="M105" s="20" t="n">
        <v>746</v>
      </c>
      <c r="N105" s="20" t="n">
        <v>789</v>
      </c>
      <c r="V105" s="20" t="n">
        <v>597</v>
      </c>
      <c r="W105" s="20" t="n">
        <v>631</v>
      </c>
      <c r="X105" s="20" t="n">
        <v>746</v>
      </c>
    </row>
    <row r="106">
      <c r="A106" s="18" t="inlineStr">
        <is>
          <t>Repair Expenses SGA</t>
        </is>
      </c>
      <c r="C106" s="20" t="n">
        <v>10</v>
      </c>
      <c r="D106" s="20" t="n">
        <v>7</v>
      </c>
      <c r="E106" s="20" t="n">
        <v>44</v>
      </c>
      <c r="F106" s="20" t="n">
        <v>6</v>
      </c>
      <c r="G106" s="20" t="n">
        <v>10</v>
      </c>
      <c r="H106" s="20" t="n">
        <v>9</v>
      </c>
      <c r="I106" s="20" t="n">
        <v>9</v>
      </c>
      <c r="J106" s="20" t="n">
        <v>13</v>
      </c>
      <c r="K106" s="20" t="n">
        <v>14</v>
      </c>
      <c r="L106" s="20" t="n">
        <v>16</v>
      </c>
      <c r="M106" s="20" t="n">
        <v>13</v>
      </c>
      <c r="N106" s="20" t="n">
        <v>5</v>
      </c>
      <c r="V106" s="20" t="n">
        <v>44</v>
      </c>
      <c r="W106" s="20" t="n">
        <v>9</v>
      </c>
      <c r="X106" s="20" t="n">
        <v>13</v>
      </c>
    </row>
    <row r="107">
      <c r="A107" s="18" t="inlineStr">
        <is>
          <t>감가상각비</t>
        </is>
      </c>
      <c r="C107" s="20" t="n">
        <v>192</v>
      </c>
      <c r="D107" s="20" t="n">
        <v>193</v>
      </c>
      <c r="E107" s="20" t="n">
        <v>201</v>
      </c>
      <c r="F107" s="20" t="n">
        <v>216</v>
      </c>
      <c r="G107" s="20" t="n">
        <v>220</v>
      </c>
      <c r="H107" s="20" t="n">
        <v>222</v>
      </c>
      <c r="I107" s="20" t="n">
        <v>240</v>
      </c>
      <c r="J107" s="20" t="n">
        <v>216</v>
      </c>
      <c r="K107" s="20" t="n">
        <v>230</v>
      </c>
      <c r="L107" s="20" t="n">
        <v>229</v>
      </c>
      <c r="M107" s="20" t="n">
        <v>285</v>
      </c>
      <c r="N107" s="20" t="n">
        <v>248</v>
      </c>
      <c r="T107" s="20" t="n">
        <v>789</v>
      </c>
      <c r="U107" s="20" t="n">
        <v>997</v>
      </c>
      <c r="V107" s="20" t="n">
        <v>201</v>
      </c>
      <c r="W107" s="20" t="n">
        <v>240</v>
      </c>
      <c r="X107" s="20" t="n">
        <v>285</v>
      </c>
    </row>
    <row r="108">
      <c r="A108" s="18" t="inlineStr">
        <is>
          <t>세금과공과</t>
        </is>
      </c>
      <c r="C108" s="20" t="n">
        <v>34</v>
      </c>
      <c r="D108" s="20" t="n">
        <v>26</v>
      </c>
      <c r="T108" s="20" t="n">
        <v>114</v>
      </c>
      <c r="U108" s="20" t="n">
        <v>202</v>
      </c>
    </row>
    <row r="109">
      <c r="A109" s="18" t="inlineStr">
        <is>
          <t>대손충당금 전입</t>
        </is>
      </c>
      <c r="C109" s="20" t="n">
        <v>-8</v>
      </c>
      <c r="D109" s="20" t="n">
        <v>-25</v>
      </c>
      <c r="E109" s="20" t="n">
        <v>140</v>
      </c>
      <c r="F109" s="20" t="n">
        <v>113</v>
      </c>
      <c r="G109" s="20" t="n">
        <v>-11</v>
      </c>
      <c r="H109" s="20" t="n">
        <v>-14</v>
      </c>
      <c r="I109" s="20" t="n">
        <v>564</v>
      </c>
      <c r="J109" s="20" t="n">
        <v>0</v>
      </c>
      <c r="K109" s="20" t="n">
        <v>11</v>
      </c>
      <c r="L109" s="20" t="n">
        <v>0</v>
      </c>
      <c r="M109" s="20" t="n">
        <v>41</v>
      </c>
      <c r="N109" s="20" t="n">
        <v>49</v>
      </c>
      <c r="T109" s="20" t="n">
        <v>2173</v>
      </c>
      <c r="U109" s="20" t="n">
        <v>3319</v>
      </c>
      <c r="V109" s="20" t="n">
        <v>140</v>
      </c>
      <c r="W109" s="20" t="n">
        <v>564</v>
      </c>
      <c r="X109" s="20" t="n">
        <v>41</v>
      </c>
    </row>
    <row r="110">
      <c r="A110" s="18" t="inlineStr">
        <is>
          <t>상여충당금 전입</t>
        </is>
      </c>
      <c r="C110" s="20" t="n">
        <v>33</v>
      </c>
      <c r="D110" s="20" t="n">
        <v>34</v>
      </c>
      <c r="E110" s="20" t="n">
        <v>-49</v>
      </c>
      <c r="F110" s="20" t="n">
        <v>39</v>
      </c>
      <c r="G110" s="20" t="n">
        <v>51</v>
      </c>
      <c r="H110" s="20" t="n">
        <v>53</v>
      </c>
      <c r="I110" s="20" t="n">
        <v>-37</v>
      </c>
      <c r="J110" s="20" t="n">
        <v>68</v>
      </c>
      <c r="K110" s="20" t="n">
        <v>32</v>
      </c>
      <c r="L110" s="20" t="n">
        <v>39</v>
      </c>
      <c r="M110" s="20" t="n">
        <v>28</v>
      </c>
      <c r="N110" s="20" t="n">
        <v>76</v>
      </c>
      <c r="V110" s="20" t="n">
        <v>-49</v>
      </c>
      <c r="W110" s="20" t="n">
        <v>-37</v>
      </c>
      <c r="X110" s="20" t="n">
        <v>28</v>
      </c>
    </row>
    <row r="111">
      <c r="A111" s="18" t="inlineStr">
        <is>
          <t>기타</t>
        </is>
      </c>
      <c r="C111" s="20" t="n">
        <v>930</v>
      </c>
      <c r="D111" s="20" t="n">
        <v>946</v>
      </c>
      <c r="E111" s="20" t="n">
        <v>1105</v>
      </c>
      <c r="F111" s="20" t="n">
        <v>941</v>
      </c>
      <c r="G111" s="20" t="n">
        <v>1030</v>
      </c>
      <c r="H111" s="20" t="n">
        <v>1022</v>
      </c>
      <c r="I111" s="20" t="n">
        <v>1169</v>
      </c>
      <c r="J111" s="20" t="n">
        <v>1201</v>
      </c>
      <c r="K111" s="20" t="n">
        <v>1495</v>
      </c>
      <c r="L111" s="20" t="n">
        <v>1492</v>
      </c>
      <c r="M111" s="20" t="n">
        <v>1394</v>
      </c>
      <c r="N111" s="20" t="n">
        <v>1585</v>
      </c>
      <c r="T111" s="20" t="n">
        <v>624</v>
      </c>
      <c r="U111" s="20" t="n">
        <v>4617</v>
      </c>
      <c r="V111" s="20" t="n">
        <v>1105</v>
      </c>
      <c r="W111" s="20" t="n">
        <v>1169</v>
      </c>
      <c r="X111" s="20" t="n">
        <v>1394</v>
      </c>
    </row>
    <row r="112">
      <c r="A112" s="18" t="inlineStr">
        <is>
          <t>판매비와 관리비 합계</t>
        </is>
      </c>
      <c r="C112" s="20" t="n">
        <v>1966</v>
      </c>
      <c r="D112" s="20" t="n">
        <v>2080</v>
      </c>
      <c r="E112" s="20" t="n">
        <v>2393</v>
      </c>
      <c r="F112" s="20" t="n">
        <v>2321</v>
      </c>
      <c r="G112" s="20" t="n">
        <v>2351</v>
      </c>
      <c r="H112" s="20" t="n">
        <v>2410</v>
      </c>
      <c r="I112" s="20" t="n">
        <v>3034</v>
      </c>
      <c r="J112" s="20" t="n">
        <v>2614</v>
      </c>
      <c r="K112" s="20" t="n">
        <v>3046</v>
      </c>
      <c r="L112" s="20" t="n">
        <v>3081</v>
      </c>
      <c r="M112" s="20" t="n">
        <v>3154</v>
      </c>
      <c r="N112" s="20" t="n">
        <v>3426</v>
      </c>
      <c r="T112" s="20" t="n">
        <v>7267</v>
      </c>
      <c r="U112" s="20" t="n">
        <v>9410</v>
      </c>
      <c r="V112" s="20" t="n">
        <v>2393</v>
      </c>
      <c r="W112" s="20" t="n">
        <v>3034</v>
      </c>
      <c r="X112" s="20" t="n">
        <v>3154</v>
      </c>
    </row>
    <row r="113">
      <c r="A113" s="9" t="inlineStr">
        <is>
          <t>영업이익(손실)</t>
        </is>
      </c>
      <c r="C113" s="12" t="n">
        <v>-267</v>
      </c>
      <c r="D113" s="12" t="n">
        <v>-284</v>
      </c>
      <c r="E113" s="12" t="n">
        <v>-223</v>
      </c>
      <c r="F113" s="12" t="n">
        <v>-28</v>
      </c>
      <c r="G113" s="12" t="n">
        <v>-146</v>
      </c>
      <c r="H113" s="12" t="n">
        <v>-251</v>
      </c>
      <c r="I113" s="12" t="n">
        <v>-681</v>
      </c>
      <c r="J113" s="12" t="n">
        <v>-260</v>
      </c>
      <c r="K113" s="12" t="n">
        <v>-526</v>
      </c>
      <c r="L113" s="12" t="n">
        <v>50</v>
      </c>
      <c r="M113" s="12" t="n">
        <v>373</v>
      </c>
      <c r="N113" s="12" t="n">
        <v>137</v>
      </c>
      <c r="T113" s="12" t="n">
        <v>3389</v>
      </c>
      <c r="U113" s="12" t="n">
        <v>4971</v>
      </c>
      <c r="V113" s="12" t="n">
        <v>-223</v>
      </c>
      <c r="W113" s="12" t="n">
        <v>-681</v>
      </c>
      <c r="X113" s="12" t="n">
        <v>373</v>
      </c>
    </row>
    <row r="114">
      <c r="A114" s="18" t="inlineStr">
        <is>
          <t>이자·배당금 수익</t>
        </is>
      </c>
      <c r="C114" s="20" t="n">
        <v>63</v>
      </c>
      <c r="D114" s="20" t="n">
        <v>71</v>
      </c>
      <c r="E114" s="20" t="n">
        <v>73</v>
      </c>
      <c r="F114" s="20" t="n">
        <v>151</v>
      </c>
      <c r="G114" s="20" t="n">
        <v>68</v>
      </c>
      <c r="H114" s="20" t="n">
        <v>95</v>
      </c>
      <c r="I114" s="20" t="n">
        <v>96</v>
      </c>
      <c r="J114" s="20" t="n">
        <v>168</v>
      </c>
      <c r="K114" s="20" t="n">
        <v>100</v>
      </c>
      <c r="L114" s="20" t="n">
        <v>79</v>
      </c>
      <c r="M114" s="20" t="n">
        <v>97</v>
      </c>
      <c r="N114" s="20" t="n">
        <v>72</v>
      </c>
      <c r="T114" s="20" t="n">
        <v>30</v>
      </c>
      <c r="U114" s="20" t="n">
        <v>27</v>
      </c>
      <c r="V114" s="20" t="n">
        <v>73</v>
      </c>
      <c r="W114" s="20" t="n">
        <v>96</v>
      </c>
      <c r="X114" s="20" t="n">
        <v>97</v>
      </c>
    </row>
    <row r="115">
      <c r="A115" s="18" t="inlineStr">
        <is>
          <t>지분법이익</t>
        </is>
      </c>
      <c r="C115" s="20" t="n">
        <v>3306</v>
      </c>
      <c r="D115" s="20" t="n">
        <v>3269</v>
      </c>
      <c r="E115" s="20" t="n">
        <v>3282</v>
      </c>
      <c r="F115" s="20" t="n">
        <v>2897</v>
      </c>
      <c r="G115" s="20" t="n">
        <v>3874</v>
      </c>
      <c r="H115" s="20" t="n">
        <v>4505</v>
      </c>
      <c r="I115" s="20" t="n">
        <v>4171</v>
      </c>
      <c r="J115" s="20" t="n">
        <v>4267</v>
      </c>
      <c r="K115" s="20" t="n">
        <v>4391</v>
      </c>
      <c r="L115" s="20" t="n">
        <v>3863</v>
      </c>
      <c r="M115" s="20" t="n">
        <v>3788</v>
      </c>
      <c r="N115" s="20" t="n">
        <v>4111</v>
      </c>
      <c r="T115" s="20" t="n">
        <v>400</v>
      </c>
      <c r="U115" s="20" t="n">
        <v>6</v>
      </c>
      <c r="V115" s="20" t="n">
        <v>3282</v>
      </c>
      <c r="W115" s="20" t="n">
        <v>4171</v>
      </c>
      <c r="X115" s="20" t="n">
        <v>3788</v>
      </c>
    </row>
    <row r="116">
      <c r="A116" s="18" t="inlineStr">
        <is>
          <t>외환차익</t>
        </is>
      </c>
      <c r="C116" s="20" t="n">
        <v>19</v>
      </c>
      <c r="D116" s="20" t="n">
        <v>-210</v>
      </c>
      <c r="E116" s="20" t="n">
        <v>345</v>
      </c>
      <c r="F116" s="20" t="n">
        <v>676</v>
      </c>
      <c r="G116" s="20" t="n">
        <v>-676</v>
      </c>
      <c r="H116" s="20" t="n">
        <v>31</v>
      </c>
      <c r="I116" s="20" t="n">
        <v>-8</v>
      </c>
      <c r="J116" s="20" t="n">
        <v>3</v>
      </c>
      <c r="K116" s="20" t="n">
        <v>147</v>
      </c>
      <c r="L116" s="20" t="n">
        <v>577</v>
      </c>
      <c r="M116" s="20" t="n">
        <v>150</v>
      </c>
      <c r="N116" s="20" t="n">
        <v>256</v>
      </c>
      <c r="T116" s="20" t="n">
        <v>-8</v>
      </c>
      <c r="U116" s="20" t="n">
        <v>-86</v>
      </c>
      <c r="V116" s="20" t="n">
        <v>345</v>
      </c>
      <c r="W116" s="20" t="n">
        <v>-8</v>
      </c>
      <c r="X116" s="20" t="n">
        <v>150</v>
      </c>
    </row>
    <row r="117">
      <c r="A117" s="18" t="inlineStr">
        <is>
          <t>기타</t>
        </is>
      </c>
      <c r="C117" s="20" t="n">
        <v>17</v>
      </c>
      <c r="D117" s="20" t="n">
        <v>-16</v>
      </c>
      <c r="E117" s="20" t="n">
        <v>46</v>
      </c>
      <c r="F117" s="20" t="n">
        <v>41</v>
      </c>
      <c r="G117" s="20" t="n">
        <v>276</v>
      </c>
      <c r="H117" s="20" t="n">
        <v>118</v>
      </c>
      <c r="I117" s="20" t="n">
        <v>16</v>
      </c>
      <c r="J117" s="20" t="n">
        <v>244</v>
      </c>
      <c r="K117" s="20" t="n">
        <v>200</v>
      </c>
      <c r="L117" s="20" t="n">
        <v>-19</v>
      </c>
      <c r="M117" s="20" t="n">
        <v>97</v>
      </c>
      <c r="N117" s="20" t="n">
        <v>181</v>
      </c>
      <c r="T117" s="20" t="n">
        <v>26</v>
      </c>
      <c r="U117" s="20" t="n">
        <v>-16</v>
      </c>
      <c r="V117" s="20" t="n">
        <v>46</v>
      </c>
      <c r="W117" s="20" t="n">
        <v>16</v>
      </c>
      <c r="X117" s="20" t="n">
        <v>97</v>
      </c>
    </row>
    <row r="118">
      <c r="A118" s="18" t="inlineStr">
        <is>
          <t>영업외수익 합계</t>
        </is>
      </c>
      <c r="C118" s="20" t="n">
        <v>3405</v>
      </c>
      <c r="D118" s="20" t="n">
        <v>3114</v>
      </c>
      <c r="E118" s="20" t="n">
        <v>3745</v>
      </c>
      <c r="F118" s="20" t="n">
        <v>3766</v>
      </c>
      <c r="G118" s="20" t="n">
        <v>3542</v>
      </c>
      <c r="H118" s="20" t="n">
        <v>4749</v>
      </c>
      <c r="I118" s="20" t="n">
        <v>4276</v>
      </c>
      <c r="J118" s="20" t="n">
        <v>4684</v>
      </c>
      <c r="K118" s="20" t="n">
        <v>4838</v>
      </c>
      <c r="L118" s="20" t="n">
        <v>4499</v>
      </c>
      <c r="M118" s="20" t="n">
        <v>4132</v>
      </c>
      <c r="N118" s="20" t="n">
        <v>4621</v>
      </c>
      <c r="T118" s="20" t="n">
        <v>447</v>
      </c>
      <c r="U118" s="20" t="n">
        <v>-68</v>
      </c>
      <c r="V118" s="20" t="n">
        <v>3745</v>
      </c>
      <c r="W118" s="20" t="n">
        <v>4276</v>
      </c>
      <c r="X118" s="20" t="n">
        <v>4132</v>
      </c>
    </row>
    <row r="119">
      <c r="A119" s="18" t="inlineStr">
        <is>
          <t>이자비용</t>
        </is>
      </c>
      <c r="C119" s="20" t="n">
        <v>3</v>
      </c>
      <c r="D119" s="20" t="n">
        <v>2</v>
      </c>
      <c r="E119" s="20" t="n">
        <v>2</v>
      </c>
      <c r="F119" s="20" t="n">
        <v>2</v>
      </c>
      <c r="G119" s="20" t="n">
        <v>2</v>
      </c>
      <c r="H119" s="20" t="n">
        <v>2</v>
      </c>
      <c r="I119" s="20" t="n">
        <v>2</v>
      </c>
      <c r="J119" s="20" t="n">
        <v>1</v>
      </c>
      <c r="K119" s="20" t="n">
        <v>7</v>
      </c>
      <c r="L119" s="20" t="n">
        <v>5</v>
      </c>
      <c r="M119" s="20" t="n">
        <v>4</v>
      </c>
      <c r="N119" s="20" t="n">
        <v>6</v>
      </c>
      <c r="T119" s="20" t="n">
        <v>10</v>
      </c>
      <c r="U119" s="20" t="n">
        <v>5</v>
      </c>
      <c r="V119" s="20" t="n">
        <v>2</v>
      </c>
      <c r="W119" s="20" t="n">
        <v>2</v>
      </c>
      <c r="X119" s="20" t="n">
        <v>4</v>
      </c>
    </row>
    <row r="120">
      <c r="A120" s="18" t="inlineStr">
        <is>
          <t>지급수수료</t>
        </is>
      </c>
      <c r="D120" s="20" t="n">
        <v>0</v>
      </c>
      <c r="E120" s="20" t="n">
        <v>0</v>
      </c>
      <c r="H120" s="20" t="n">
        <v>0</v>
      </c>
      <c r="I120" s="20" t="n">
        <v>0</v>
      </c>
      <c r="U120" s="20" t="n">
        <v>0</v>
      </c>
      <c r="V120" s="20" t="n">
        <v>0</v>
      </c>
      <c r="W120" s="20" t="n">
        <v>0</v>
      </c>
    </row>
    <row r="121">
      <c r="A121" s="18" t="inlineStr">
        <is>
          <t>신디케이트론 수수료</t>
        </is>
      </c>
      <c r="C121" s="20" t="n">
        <v>0</v>
      </c>
      <c r="D121" s="20" t="n">
        <v>0</v>
      </c>
      <c r="E121" s="20" t="n">
        <v>0</v>
      </c>
      <c r="T121" s="20" t="n">
        <v>7</v>
      </c>
      <c r="U121" s="20" t="n">
        <v>0</v>
      </c>
      <c r="V121" s="20" t="n">
        <v>0</v>
      </c>
    </row>
    <row r="122">
      <c r="A122" s="18" t="inlineStr">
        <is>
          <t>Settlement Package NOE</t>
        </is>
      </c>
      <c r="F122" s="20" t="n">
        <v>0</v>
      </c>
      <c r="G122" s="20" t="n">
        <v>0</v>
      </c>
      <c r="H122" s="20" t="n">
        <v>0</v>
      </c>
      <c r="I122" s="20" t="n">
        <v>0</v>
      </c>
      <c r="J122" s="20" t="n">
        <v>21</v>
      </c>
      <c r="K122" s="20" t="n">
        <v>0</v>
      </c>
      <c r="L122" s="20" t="n">
        <v>0</v>
      </c>
      <c r="M122" s="20" t="n">
        <v>0</v>
      </c>
      <c r="N122" s="20" t="n">
        <v>0</v>
      </c>
      <c r="W122" s="20" t="n">
        <v>0</v>
      </c>
      <c r="X122" s="20" t="n">
        <v>0</v>
      </c>
    </row>
    <row r="123">
      <c r="A123" s="18" t="inlineStr">
        <is>
          <t>대손충당금 전입</t>
        </is>
      </c>
      <c r="D123" s="20" t="n">
        <v>0</v>
      </c>
      <c r="E123" s="20" t="n">
        <v>0</v>
      </c>
      <c r="T123" s="20" t="n">
        <v>0</v>
      </c>
      <c r="U123" s="20" t="n">
        <v>3</v>
      </c>
      <c r="V123" s="20" t="n">
        <v>0</v>
      </c>
    </row>
    <row r="124">
      <c r="A124" s="18" t="inlineStr">
        <is>
          <t>투자조합 운용손실</t>
        </is>
      </c>
      <c r="F124" s="20" t="n">
        <v>0</v>
      </c>
      <c r="J124" s="20" t="n">
        <v>16</v>
      </c>
      <c r="N124" s="20" t="n">
        <v>0</v>
      </c>
    </row>
    <row r="125">
      <c r="A125" s="18" t="inlineStr">
        <is>
          <t>Rent Expenses On Real Estates NOE</t>
        </is>
      </c>
      <c r="J125" s="20" t="n">
        <v>0</v>
      </c>
      <c r="N125" s="20" t="n">
        <v>1</v>
      </c>
    </row>
    <row r="126">
      <c r="A126" s="18" t="inlineStr">
        <is>
          <t>기타</t>
        </is>
      </c>
      <c r="C126" s="20" t="n">
        <v>10</v>
      </c>
      <c r="D126" s="20" t="n">
        <v>5</v>
      </c>
      <c r="E126" s="20" t="n">
        <v>13</v>
      </c>
      <c r="F126" s="20" t="n">
        <v>2</v>
      </c>
      <c r="G126" s="20" t="n">
        <v>17</v>
      </c>
      <c r="H126" s="20" t="n">
        <v>7</v>
      </c>
      <c r="I126" s="20" t="n">
        <v>11</v>
      </c>
      <c r="J126" s="20" t="n">
        <v>10</v>
      </c>
      <c r="K126" s="20" t="n">
        <v>23</v>
      </c>
      <c r="L126" s="20" t="n">
        <v>5</v>
      </c>
      <c r="M126" s="20" t="n">
        <v>-22</v>
      </c>
      <c r="N126" s="20" t="n">
        <v>0</v>
      </c>
      <c r="T126" s="20" t="n">
        <v>-4</v>
      </c>
      <c r="U126" s="20" t="n">
        <v>-1</v>
      </c>
      <c r="V126" s="20" t="n">
        <v>13</v>
      </c>
      <c r="W126" s="20" t="n">
        <v>11</v>
      </c>
      <c r="X126" s="20" t="n">
        <v>-22</v>
      </c>
    </row>
    <row r="127">
      <c r="A127" s="18" t="inlineStr">
        <is>
          <t>영업외비용 합계</t>
        </is>
      </c>
      <c r="C127" s="20" t="n">
        <v>23</v>
      </c>
      <c r="D127" s="20" t="n">
        <v>8</v>
      </c>
      <c r="E127" s="20" t="n">
        <v>32</v>
      </c>
      <c r="F127" s="20" t="n">
        <v>5</v>
      </c>
      <c r="G127" s="20" t="n">
        <v>449</v>
      </c>
      <c r="H127" s="20" t="n">
        <v>-422</v>
      </c>
      <c r="I127" s="20" t="n">
        <v>72</v>
      </c>
      <c r="J127" s="20" t="n">
        <v>50</v>
      </c>
      <c r="K127" s="20" t="n">
        <v>13</v>
      </c>
      <c r="L127" s="20" t="n">
        <v>11</v>
      </c>
      <c r="M127" s="20" t="n">
        <v>2</v>
      </c>
      <c r="N127" s="20" t="n">
        <v>8</v>
      </c>
      <c r="T127" s="20" t="n">
        <v>27</v>
      </c>
      <c r="U127" s="20" t="n">
        <v>76</v>
      </c>
      <c r="V127" s="20" t="n">
        <v>32</v>
      </c>
      <c r="W127" s="20" t="n">
        <v>72</v>
      </c>
      <c r="X127" s="20" t="n">
        <v>2</v>
      </c>
    </row>
    <row r="128">
      <c r="A128" s="9" t="inlineStr">
        <is>
          <t>경상이익</t>
        </is>
      </c>
      <c r="C128" s="12" t="n">
        <v>3114</v>
      </c>
      <c r="D128" s="12" t="n">
        <v>2823</v>
      </c>
      <c r="E128" s="12" t="n">
        <v>3491</v>
      </c>
      <c r="F128" s="12" t="n">
        <v>3733</v>
      </c>
      <c r="G128" s="12" t="n">
        <v>2946</v>
      </c>
      <c r="H128" s="12" t="n">
        <v>4920</v>
      </c>
      <c r="I128" s="12" t="n">
        <v>3523</v>
      </c>
      <c r="J128" s="12" t="n">
        <v>4373</v>
      </c>
      <c r="K128" s="12" t="n">
        <v>4300</v>
      </c>
      <c r="L128" s="12" t="n">
        <v>4538</v>
      </c>
      <c r="M128" s="12" t="n">
        <v>4502</v>
      </c>
      <c r="N128" s="12" t="n">
        <v>4750</v>
      </c>
      <c r="T128" s="12" t="n">
        <v>3810</v>
      </c>
      <c r="U128" s="12" t="n">
        <v>4826</v>
      </c>
      <c r="V128" s="12" t="n">
        <v>3491</v>
      </c>
      <c r="W128" s="12" t="n">
        <v>3523</v>
      </c>
      <c r="X128" s="12" t="n">
        <v>4502</v>
      </c>
    </row>
    <row r="129">
      <c r="A129" s="18" t="inlineStr">
        <is>
          <t>관계회사 주식 매각이익</t>
        </is>
      </c>
      <c r="D129" s="20" t="n">
        <v>0</v>
      </c>
      <c r="E129" s="20" t="n">
        <v>0</v>
      </c>
      <c r="T129" s="20" t="n">
        <v>468</v>
      </c>
      <c r="U129" s="20" t="n">
        <v>0</v>
      </c>
      <c r="V129" s="20" t="n">
        <v>0</v>
      </c>
    </row>
    <row r="130">
      <c r="A130" s="18" t="inlineStr">
        <is>
          <t>투자유가증권 매각이익</t>
        </is>
      </c>
      <c r="C130" s="20" t="n">
        <v>17</v>
      </c>
      <c r="D130" s="20" t="n">
        <v>0</v>
      </c>
      <c r="E130" s="20" t="n">
        <v>0</v>
      </c>
      <c r="F130" s="20" t="n">
        <v>0</v>
      </c>
      <c r="G130" s="20" t="n">
        <v>0</v>
      </c>
      <c r="H130" s="20" t="n">
        <v>0</v>
      </c>
      <c r="I130" s="20" t="n">
        <v>79</v>
      </c>
      <c r="M130" s="20" t="n">
        <v>37</v>
      </c>
      <c r="T130" s="20" t="n">
        <v>72</v>
      </c>
      <c r="U130" s="20" t="n">
        <v>0</v>
      </c>
      <c r="V130" s="20" t="n">
        <v>0</v>
      </c>
      <c r="W130" s="20" t="n">
        <v>79</v>
      </c>
      <c r="X130" s="20" t="n">
        <v>37</v>
      </c>
    </row>
    <row r="131">
      <c r="A131" s="18" t="inlineStr">
        <is>
          <t>고정자산 매각이익</t>
        </is>
      </c>
      <c r="F131" s="20" t="n">
        <v>0</v>
      </c>
    </row>
    <row r="132">
      <c r="A132" s="18" t="inlineStr">
        <is>
          <t>기타</t>
        </is>
      </c>
      <c r="D132" s="20" t="n">
        <v>0</v>
      </c>
      <c r="H132" s="20" t="n">
        <v>0</v>
      </c>
      <c r="T132" s="20" t="n">
        <v>6</v>
      </c>
      <c r="U132" s="20" t="n">
        <v>1</v>
      </c>
    </row>
    <row r="133">
      <c r="A133" s="18" t="inlineStr">
        <is>
          <t>Extraordinary Income</t>
        </is>
      </c>
      <c r="C133" s="20" t="n">
        <v>16</v>
      </c>
      <c r="D133" s="20" t="n">
        <v>0</v>
      </c>
      <c r="E133" s="20" t="n">
        <v>0</v>
      </c>
      <c r="F133" s="20" t="n">
        <v>0</v>
      </c>
      <c r="G133" s="20" t="n">
        <v>0</v>
      </c>
      <c r="H133" s="20" t="n">
        <v>0</v>
      </c>
      <c r="I133" s="20" t="n">
        <v>79</v>
      </c>
      <c r="M133" s="20" t="n">
        <v>37</v>
      </c>
      <c r="T133" s="20" t="n">
        <v>546</v>
      </c>
      <c r="U133" s="20" t="n">
        <v>1</v>
      </c>
      <c r="V133" s="20" t="n">
        <v>0</v>
      </c>
      <c r="W133" s="20" t="n">
        <v>79</v>
      </c>
      <c r="X133" s="20" t="n">
        <v>37</v>
      </c>
    </row>
    <row r="134">
      <c r="A134" s="18" t="inlineStr">
        <is>
          <t>투자유가증권 평가손실</t>
        </is>
      </c>
      <c r="C134" s="20" t="n">
        <v>38</v>
      </c>
      <c r="D134" s="20" t="n">
        <v>0</v>
      </c>
      <c r="E134" s="20" t="n">
        <v>0</v>
      </c>
      <c r="F134" s="20" t="n">
        <v>15</v>
      </c>
      <c r="G134" s="20" t="n">
        <v>0</v>
      </c>
      <c r="H134" s="20" t="n">
        <v>0</v>
      </c>
      <c r="I134" s="20" t="n">
        <v>0</v>
      </c>
      <c r="J134" s="20" t="n">
        <v>0</v>
      </c>
      <c r="K134" s="20" t="n">
        <v>0</v>
      </c>
      <c r="L134" s="20" t="n">
        <v>0</v>
      </c>
      <c r="M134" s="20" t="n">
        <v>0</v>
      </c>
      <c r="N134" s="20" t="n">
        <v>0</v>
      </c>
      <c r="U134" s="20" t="n">
        <v>307</v>
      </c>
      <c r="V134" s="20" t="n">
        <v>0</v>
      </c>
      <c r="W134" s="20" t="n">
        <v>0</v>
      </c>
      <c r="X134" s="20" t="n">
        <v>0</v>
      </c>
    </row>
    <row r="135">
      <c r="A135" s="18" t="inlineStr">
        <is>
          <t>Directors Retirement Benefits EL</t>
        </is>
      </c>
      <c r="T135" s="20" t="n">
        <v>0</v>
      </c>
      <c r="U135" s="20" t="n">
        <v>0</v>
      </c>
    </row>
    <row r="136">
      <c r="A136" s="18" t="inlineStr">
        <is>
          <t>지분변동 손실</t>
        </is>
      </c>
      <c r="C136" s="20" t="n">
        <v>0</v>
      </c>
      <c r="D136" s="20" t="n">
        <v>0</v>
      </c>
      <c r="E136" s="20" t="n">
        <v>0</v>
      </c>
      <c r="F136" s="20" t="n">
        <v>0</v>
      </c>
      <c r="G136" s="20" t="n">
        <v>0</v>
      </c>
      <c r="H136" s="20" t="n">
        <v>0</v>
      </c>
      <c r="I136" s="20" t="n">
        <v>0</v>
      </c>
      <c r="U136" s="20" t="n">
        <v>0</v>
      </c>
      <c r="V136" s="20" t="n">
        <v>0</v>
      </c>
      <c r="W136" s="20" t="n">
        <v>0</v>
      </c>
    </row>
    <row r="137">
      <c r="A137" s="18" t="inlineStr">
        <is>
          <t>손상차손</t>
        </is>
      </c>
      <c r="E137" s="20" t="n">
        <v>17</v>
      </c>
      <c r="H137" s="20" t="n">
        <v>9</v>
      </c>
      <c r="I137" s="20" t="n">
        <v>203</v>
      </c>
      <c r="L137" s="20" t="n">
        <v>0</v>
      </c>
      <c r="M137" s="20" t="n">
        <v>0</v>
      </c>
      <c r="V137" s="20" t="n">
        <v>17</v>
      </c>
      <c r="W137" s="20" t="n">
        <v>203</v>
      </c>
      <c r="X137" s="20" t="n">
        <v>0</v>
      </c>
    </row>
    <row r="138">
      <c r="A138" s="18" t="inlineStr">
        <is>
          <t>고정자산 매각손실</t>
        </is>
      </c>
      <c r="C138" s="20" t="n">
        <v>0</v>
      </c>
      <c r="D138" s="20" t="n">
        <v>0</v>
      </c>
      <c r="E138" s="20" t="n">
        <v>0</v>
      </c>
      <c r="F138" s="20" t="n">
        <v>0</v>
      </c>
      <c r="G138" s="20" t="n">
        <v>0</v>
      </c>
      <c r="H138" s="20" t="n">
        <v>0</v>
      </c>
      <c r="I138" s="20" t="n">
        <v>0</v>
      </c>
      <c r="U138" s="20" t="n">
        <v>0</v>
      </c>
      <c r="V138" s="20" t="n">
        <v>0</v>
      </c>
      <c r="W138" s="20" t="n">
        <v>0</v>
      </c>
    </row>
    <row r="139">
      <c r="A139" s="18" t="inlineStr">
        <is>
          <t>단계적 취득 차손</t>
        </is>
      </c>
      <c r="E139" s="20" t="n">
        <v>0</v>
      </c>
      <c r="T139" s="20" t="n">
        <v>0</v>
      </c>
      <c r="U139" s="20" t="n">
        <v>0</v>
      </c>
      <c r="V139" s="20" t="n">
        <v>0</v>
      </c>
    </row>
    <row r="140">
      <c r="A140" s="18" t="inlineStr">
        <is>
          <t>고정자산 제각손실</t>
        </is>
      </c>
      <c r="H140" s="20" t="n">
        <v>0</v>
      </c>
      <c r="I140" s="20" t="n">
        <v>0</v>
      </c>
      <c r="L140" s="20" t="n">
        <v>0</v>
      </c>
      <c r="M140" s="20" t="n">
        <v>5</v>
      </c>
      <c r="W140" s="20" t="n">
        <v>0</v>
      </c>
      <c r="X140" s="20" t="n">
        <v>5</v>
      </c>
    </row>
    <row r="141">
      <c r="A141" s="18" t="inlineStr">
        <is>
          <t>기타</t>
        </is>
      </c>
      <c r="C141" s="20" t="n">
        <v>0</v>
      </c>
      <c r="D141" s="20" t="n">
        <v>0</v>
      </c>
      <c r="E141" s="20" t="n">
        <v>0</v>
      </c>
      <c r="F141" s="20" t="n">
        <v>0</v>
      </c>
      <c r="G141" s="20" t="n">
        <v>0</v>
      </c>
      <c r="H141" s="20" t="n">
        <v>0</v>
      </c>
      <c r="I141" s="20" t="n">
        <v>0</v>
      </c>
      <c r="M141" s="20" t="n">
        <v>0</v>
      </c>
      <c r="T141" s="20" t="n">
        <v>-13</v>
      </c>
      <c r="U141" s="20" t="n">
        <v>2</v>
      </c>
      <c r="V141" s="20" t="n">
        <v>0</v>
      </c>
      <c r="W141" s="20" t="n">
        <v>0</v>
      </c>
      <c r="X141" s="20" t="n">
        <v>0</v>
      </c>
    </row>
    <row r="142">
      <c r="A142" s="18" t="inlineStr">
        <is>
          <t>특별손실 합계</t>
        </is>
      </c>
      <c r="C142" s="20" t="n">
        <v>38</v>
      </c>
      <c r="D142" s="20" t="n">
        <v>0</v>
      </c>
      <c r="E142" s="20" t="n">
        <v>18</v>
      </c>
      <c r="F142" s="20" t="n">
        <v>15</v>
      </c>
      <c r="G142" s="20" t="n">
        <v>0</v>
      </c>
      <c r="H142" s="20" t="n">
        <v>10</v>
      </c>
      <c r="I142" s="20" t="n">
        <v>252</v>
      </c>
      <c r="J142" s="20" t="n">
        <v>0</v>
      </c>
      <c r="K142" s="20" t="n">
        <v>3</v>
      </c>
      <c r="L142" s="20" t="n">
        <v>0</v>
      </c>
      <c r="M142" s="20" t="n">
        <v>5</v>
      </c>
      <c r="N142" s="20" t="n">
        <v>0</v>
      </c>
      <c r="T142" s="20" t="n">
        <v>30</v>
      </c>
      <c r="U142" s="20" t="n">
        <v>336</v>
      </c>
      <c r="V142" s="20" t="n">
        <v>18</v>
      </c>
      <c r="W142" s="20" t="n">
        <v>252</v>
      </c>
      <c r="X142" s="20" t="n">
        <v>5</v>
      </c>
    </row>
    <row r="143">
      <c r="A143" s="9" t="inlineStr">
        <is>
          <t>법인세차감전 순이익</t>
        </is>
      </c>
      <c r="C143" s="12" t="n">
        <v>3092</v>
      </c>
      <c r="D143" s="12" t="n">
        <v>2823</v>
      </c>
      <c r="E143" s="12" t="n">
        <v>3473</v>
      </c>
      <c r="F143" s="12" t="n">
        <v>3717</v>
      </c>
      <c r="G143" s="12" t="n">
        <v>2946</v>
      </c>
      <c r="H143" s="12" t="n">
        <v>4911</v>
      </c>
      <c r="I143" s="12" t="n">
        <v>3351</v>
      </c>
      <c r="J143" s="12" t="n">
        <v>4373</v>
      </c>
      <c r="K143" s="12" t="n">
        <v>4296</v>
      </c>
      <c r="L143" s="12" t="n">
        <v>4788</v>
      </c>
      <c r="M143" s="12" t="n">
        <v>4534</v>
      </c>
      <c r="N143" s="12" t="n">
        <v>4750</v>
      </c>
      <c r="T143" s="12" t="n">
        <v>4326</v>
      </c>
      <c r="U143" s="12" t="n">
        <v>4491</v>
      </c>
      <c r="V143" s="12" t="n">
        <v>3473</v>
      </c>
      <c r="W143" s="12" t="n">
        <v>3351</v>
      </c>
      <c r="X143" s="12" t="n">
        <v>4534</v>
      </c>
    </row>
    <row r="144">
      <c r="A144" s="18" t="inlineStr">
        <is>
          <t>법인세·주민세·사업세</t>
        </is>
      </c>
      <c r="C144" s="20" t="n">
        <v>44</v>
      </c>
      <c r="D144" s="20" t="n">
        <v>22</v>
      </c>
      <c r="E144" s="20" t="n">
        <v>12</v>
      </c>
      <c r="F144" s="20" t="n">
        <v>1492</v>
      </c>
      <c r="G144" s="20" t="n">
        <v>227</v>
      </c>
      <c r="H144" s="20" t="n">
        <v>179</v>
      </c>
      <c r="I144" s="20" t="n">
        <v>255</v>
      </c>
      <c r="J144" s="20" t="n">
        <v>1623</v>
      </c>
      <c r="K144" s="20" t="n">
        <v>83</v>
      </c>
      <c r="L144" s="20" t="n">
        <v>228</v>
      </c>
      <c r="M144" s="20" t="n">
        <v>23</v>
      </c>
      <c r="N144" s="20" t="n">
        <v>319</v>
      </c>
      <c r="T144" s="20" t="n">
        <v>1229</v>
      </c>
      <c r="U144" s="20" t="n">
        <v>2379</v>
      </c>
      <c r="V144" s="20" t="n">
        <v>12</v>
      </c>
      <c r="W144" s="20" t="n">
        <v>255</v>
      </c>
      <c r="X144" s="20" t="n">
        <v>23</v>
      </c>
    </row>
    <row r="145">
      <c r="A145" s="18" t="inlineStr">
        <is>
          <t>법인세 조정액</t>
        </is>
      </c>
      <c r="C145" s="20" t="n">
        <v>609</v>
      </c>
      <c r="D145" s="20" t="n">
        <v>444</v>
      </c>
      <c r="E145" s="20" t="n">
        <v>712</v>
      </c>
      <c r="F145" s="20" t="n">
        <v>-827</v>
      </c>
      <c r="G145" s="20" t="n">
        <v>340</v>
      </c>
      <c r="H145" s="20" t="n">
        <v>817</v>
      </c>
      <c r="I145" s="20" t="n">
        <v>623</v>
      </c>
      <c r="J145" s="20" t="n">
        <v>-971</v>
      </c>
      <c r="K145" s="20" t="n">
        <v>699</v>
      </c>
      <c r="L145" s="20" t="n">
        <v>707</v>
      </c>
      <c r="M145" s="20" t="n">
        <v>865</v>
      </c>
      <c r="N145" s="20" t="n">
        <v>1266</v>
      </c>
      <c r="T145" s="20" t="n">
        <v>-479</v>
      </c>
      <c r="U145" s="20" t="n">
        <v>583</v>
      </c>
      <c r="V145" s="20" t="n">
        <v>712</v>
      </c>
      <c r="W145" s="20" t="n">
        <v>623</v>
      </c>
      <c r="X145" s="20" t="n">
        <v>865</v>
      </c>
    </row>
    <row r="146">
      <c r="A146" s="18" t="inlineStr">
        <is>
          <t>법인세 등 합계</t>
        </is>
      </c>
      <c r="C146" s="20" t="n">
        <v>652</v>
      </c>
      <c r="D146" s="20" t="n">
        <v>467</v>
      </c>
      <c r="E146" s="20" t="n">
        <v>724</v>
      </c>
      <c r="F146" s="20" t="n">
        <v>665</v>
      </c>
      <c r="G146" s="20" t="n">
        <v>566</v>
      </c>
      <c r="H146" s="20" t="n">
        <v>998</v>
      </c>
      <c r="I146" s="20" t="n">
        <v>877</v>
      </c>
      <c r="J146" s="20" t="n">
        <v>651</v>
      </c>
      <c r="K146" s="20" t="n">
        <v>783</v>
      </c>
      <c r="L146" s="20" t="n">
        <v>935</v>
      </c>
      <c r="M146" s="20" t="n">
        <v>888</v>
      </c>
      <c r="N146" s="20" t="n">
        <v>1586</v>
      </c>
      <c r="T146" s="20" t="n">
        <v>751</v>
      </c>
      <c r="U146" s="20" t="n">
        <v>2961</v>
      </c>
      <c r="V146" s="20" t="n">
        <v>724</v>
      </c>
      <c r="W146" s="20" t="n">
        <v>877</v>
      </c>
      <c r="X146" s="20" t="n">
        <v>888</v>
      </c>
    </row>
    <row r="147">
      <c r="A147" s="9" t="inlineStr">
        <is>
          <t>순이익</t>
        </is>
      </c>
      <c r="C147" s="12" t="n">
        <v>2440</v>
      </c>
      <c r="D147" s="12" t="n">
        <v>2356</v>
      </c>
      <c r="E147" s="12" t="n">
        <v>2749</v>
      </c>
      <c r="F147" s="12" t="n">
        <v>3052</v>
      </c>
      <c r="G147" s="12" t="n">
        <v>2379</v>
      </c>
      <c r="H147" s="12" t="n">
        <v>3913</v>
      </c>
      <c r="I147" s="12" t="n">
        <v>2474</v>
      </c>
      <c r="J147" s="12" t="n">
        <v>3721</v>
      </c>
      <c r="K147" s="12" t="n">
        <v>3513</v>
      </c>
      <c r="L147" s="12" t="n">
        <v>3853</v>
      </c>
      <c r="M147" s="12" t="n">
        <v>3647</v>
      </c>
      <c r="N147" s="12" t="n">
        <v>3163</v>
      </c>
      <c r="T147" s="12" t="n">
        <v>3574</v>
      </c>
      <c r="U147" s="12" t="n">
        <v>1531</v>
      </c>
      <c r="V147" s="12" t="n">
        <v>2749</v>
      </c>
      <c r="W147" s="12" t="n">
        <v>2474</v>
      </c>
      <c r="X147" s="12" t="n">
        <v>3647</v>
      </c>
    </row>
    <row r="148">
      <c r="A148" s="9" t="inlineStr">
        <is>
          <t>비지배주주 순이익</t>
        </is>
      </c>
      <c r="C148" s="12" t="n">
        <v>-2</v>
      </c>
      <c r="D148" s="12" t="n">
        <v>29</v>
      </c>
      <c r="E148" s="12" t="n">
        <v>21</v>
      </c>
      <c r="F148" s="12" t="n">
        <v>-19</v>
      </c>
      <c r="G148" s="12" t="n">
        <v>54</v>
      </c>
      <c r="H148" s="12" t="n">
        <v>-2</v>
      </c>
      <c r="I148" s="12" t="n">
        <v>-315</v>
      </c>
      <c r="J148" s="12" t="n">
        <v>61</v>
      </c>
      <c r="K148" s="12" t="n">
        <v>-70</v>
      </c>
      <c r="L148" s="12" t="n">
        <v>-30</v>
      </c>
      <c r="M148" s="12" t="n">
        <v>84</v>
      </c>
      <c r="N148" s="12" t="n">
        <v>8</v>
      </c>
      <c r="T148" s="12" t="n">
        <v>943</v>
      </c>
      <c r="U148" s="12" t="n">
        <v>1409</v>
      </c>
      <c r="V148" s="12" t="n">
        <v>21</v>
      </c>
      <c r="W148" s="12" t="n">
        <v>-315</v>
      </c>
      <c r="X148" s="12" t="n">
        <v>84</v>
      </c>
    </row>
    <row r="149">
      <c r="A149" s="9" t="inlineStr">
        <is>
          <t>지배주주 순이익</t>
        </is>
      </c>
      <c r="C149" s="12" t="n">
        <v>2441</v>
      </c>
      <c r="D149" s="12" t="n">
        <v>2328</v>
      </c>
      <c r="E149" s="12" t="n">
        <v>2728</v>
      </c>
      <c r="F149" s="12" t="n">
        <v>3071</v>
      </c>
      <c r="G149" s="12" t="n">
        <v>2325</v>
      </c>
      <c r="H149" s="12" t="n">
        <v>3915</v>
      </c>
      <c r="I149" s="12" t="n">
        <v>2789</v>
      </c>
      <c r="J149" s="12" t="n">
        <v>3660</v>
      </c>
      <c r="K149" s="12" t="n">
        <v>3584</v>
      </c>
      <c r="L149" s="12" t="n">
        <v>3883</v>
      </c>
      <c r="M149" s="12" t="n">
        <v>3561</v>
      </c>
      <c r="N149" s="12" t="n">
        <v>3155</v>
      </c>
      <c r="T149" s="12" t="n">
        <v>2631</v>
      </c>
      <c r="U149" s="12" t="n">
        <v>121</v>
      </c>
      <c r="V149" s="12" t="n">
        <v>2728</v>
      </c>
      <c r="W149" s="12" t="n">
        <v>2789</v>
      </c>
      <c r="X149" s="12" t="n">
        <v>3561</v>
      </c>
    </row>
    <row r="150">
      <c r="A150" s="18" t="inlineStr">
        <is>
          <t>Commission Received ORSEC</t>
        </is>
      </c>
      <c r="T150" s="20" t="n">
        <v>334</v>
      </c>
      <c r="U150" s="20" t="n">
        <v>0</v>
      </c>
    </row>
    <row r="151">
      <c r="A151" s="18" t="inlineStr">
        <is>
          <t>Net Trading Income ORSEC</t>
        </is>
      </c>
      <c r="T151" s="20" t="n">
        <v>314</v>
      </c>
      <c r="U151" s="20" t="n">
        <v>0</v>
      </c>
    </row>
    <row r="152">
      <c r="A152" s="18" t="inlineStr">
        <is>
          <t>금융수익</t>
        </is>
      </c>
      <c r="T152" s="20" t="n">
        <v>104</v>
      </c>
      <c r="U152" s="20" t="n">
        <v>0</v>
      </c>
    </row>
    <row r="154">
      <c r="A154" s="16" t="inlineStr">
        <is>
          <t>포괄손익 · 전 항목</t>
        </is>
      </c>
      <c r="B154" s="42" t="inlineStr">
        <is>
          <t>분기 = 3개월 단독</t>
        </is>
      </c>
      <c r="C154" s="16" t="n"/>
      <c r="D154" s="16" t="n"/>
      <c r="E154" s="16" t="n"/>
      <c r="F154" s="16" t="n"/>
      <c r="G154" s="16" t="n"/>
      <c r="H154" s="16" t="n"/>
      <c r="I154" s="16" t="n"/>
      <c r="J154" s="16" t="n"/>
      <c r="K154" s="16" t="n"/>
      <c r="L154" s="16" t="n"/>
      <c r="M154" s="16" t="n"/>
      <c r="N154" s="16" t="n"/>
      <c r="O154" s="16" t="n"/>
      <c r="P154" s="16" t="n"/>
      <c r="Q154" s="16" t="n"/>
      <c r="R154" s="16" t="n"/>
      <c r="S154" s="16" t="n"/>
      <c r="T154" s="16" t="n"/>
      <c r="U154" s="16" t="n"/>
      <c r="V154" s="16" t="n"/>
      <c r="W154" s="16" t="n"/>
      <c r="X154" s="16" t="n"/>
      <c r="Y154" s="16" t="n"/>
      <c r="Z154" s="16" t="n"/>
      <c r="AA154" s="16" t="n"/>
      <c r="AB154" s="16" t="n"/>
      <c r="AC154" s="16" t="n"/>
    </row>
    <row r="155">
      <c r="A155" s="5" t="inlineStr">
        <is>
          <t>항목</t>
        </is>
      </c>
      <c r="B155" s="5" t="inlineStr">
        <is>
          <t>참고</t>
        </is>
      </c>
      <c r="C155" s="5" t="inlineStr">
        <is>
          <t>2024.2Q</t>
        </is>
      </c>
      <c r="D155" s="5" t="inlineStr">
        <is>
          <t>2024.3Q</t>
        </is>
      </c>
      <c r="E155" s="5" t="inlineStr">
        <is>
          <t>2024.4Q</t>
        </is>
      </c>
      <c r="F155" s="5" t="inlineStr">
        <is>
          <t>2025.1Q</t>
        </is>
      </c>
      <c r="G155" s="5" t="inlineStr">
        <is>
          <t>2025.2Q</t>
        </is>
      </c>
      <c r="H155" s="5" t="inlineStr">
        <is>
          <t>2025.3Q</t>
        </is>
      </c>
      <c r="I155" s="5" t="inlineStr">
        <is>
          <t>2025.4Q</t>
        </is>
      </c>
      <c r="J155" s="5" t="inlineStr">
        <is>
          <t>2026.1Q</t>
        </is>
      </c>
      <c r="K155" s="5" t="inlineStr">
        <is>
          <t>2026.2Q</t>
        </is>
      </c>
      <c r="L155" s="5" t="inlineStr">
        <is>
          <t>2026.3Q</t>
        </is>
      </c>
      <c r="M155" s="5" t="inlineStr">
        <is>
          <t>2026.4Q</t>
        </is>
      </c>
      <c r="N155" s="5" t="inlineStr">
        <is>
          <t>2027.1Q</t>
        </is>
      </c>
      <c r="O155" s="5" t="inlineStr">
        <is>
          <t>2017</t>
        </is>
      </c>
      <c r="P155" s="5" t="inlineStr">
        <is>
          <t>2018</t>
        </is>
      </c>
      <c r="Q155" s="5" t="inlineStr">
        <is>
          <t>2019</t>
        </is>
      </c>
      <c r="R155" s="5" t="inlineStr">
        <is>
          <t>2020</t>
        </is>
      </c>
      <c r="S155" s="5" t="inlineStr">
        <is>
          <t>2021</t>
        </is>
      </c>
      <c r="T155" s="5" t="inlineStr">
        <is>
          <t>2022</t>
        </is>
      </c>
      <c r="U155" s="5" t="inlineStr">
        <is>
          <t>2023</t>
        </is>
      </c>
      <c r="V155" s="5" t="inlineStr">
        <is>
          <t>2024</t>
        </is>
      </c>
      <c r="W155" s="5" t="inlineStr">
        <is>
          <t>2025</t>
        </is>
      </c>
      <c r="X155" s="5" t="inlineStr">
        <is>
          <t>2026</t>
        </is>
      </c>
      <c r="Y155" s="5" t="inlineStr">
        <is>
          <t>2027(MW)</t>
        </is>
      </c>
      <c r="Z155" s="5" t="inlineStr">
        <is>
          <t>2028(MW)</t>
        </is>
      </c>
      <c r="AA155" s="5" t="inlineStr">
        <is>
          <t>2029(MW)</t>
        </is>
      </c>
      <c r="AB155" s="5" t="inlineStr">
        <is>
          <t>2030(MW)</t>
        </is>
      </c>
      <c r="AC155" s="5" t="inlineStr">
        <is>
          <t>2031(MW)</t>
        </is>
      </c>
    </row>
    <row r="156">
      <c r="A156" s="9" t="inlineStr">
        <is>
          <t>순이익</t>
        </is>
      </c>
      <c r="C156" s="12" t="n">
        <v>2440</v>
      </c>
      <c r="D156" s="12" t="n">
        <v>2356</v>
      </c>
      <c r="E156" s="12" t="n">
        <v>2749</v>
      </c>
      <c r="F156" s="12" t="n">
        <v>3052</v>
      </c>
      <c r="G156" s="12" t="n">
        <v>2379</v>
      </c>
      <c r="H156" s="12" t="n">
        <v>3913</v>
      </c>
      <c r="I156" s="12" t="n">
        <v>2474</v>
      </c>
      <c r="J156" s="12" t="n">
        <v>3721</v>
      </c>
      <c r="K156" s="12" t="n">
        <v>3513</v>
      </c>
      <c r="L156" s="12" t="n">
        <v>3853</v>
      </c>
      <c r="M156" s="12" t="n">
        <v>3647</v>
      </c>
      <c r="N156" s="12" t="n">
        <v>3163</v>
      </c>
      <c r="T156" s="12" t="n">
        <v>3574</v>
      </c>
      <c r="U156" s="12" t="n">
        <v>1531</v>
      </c>
      <c r="V156" s="12" t="n">
        <v>2749</v>
      </c>
      <c r="W156" s="12" t="n">
        <v>2474</v>
      </c>
      <c r="X156" s="12" t="n">
        <v>3647</v>
      </c>
    </row>
    <row r="157">
      <c r="A157" s="18" t="inlineStr">
        <is>
          <t>기타유가증권 평가차액</t>
        </is>
      </c>
      <c r="C157" s="20" t="n">
        <v>261</v>
      </c>
      <c r="D157" s="20" t="n">
        <v>28</v>
      </c>
      <c r="E157" s="20" t="n">
        <v>1151</v>
      </c>
      <c r="F157" s="20" t="n">
        <v>-381</v>
      </c>
      <c r="G157" s="20" t="n">
        <v>-794</v>
      </c>
      <c r="H157" s="20" t="n">
        <v>514</v>
      </c>
      <c r="I157" s="20" t="n">
        <v>-602</v>
      </c>
      <c r="J157" s="20" t="n">
        <v>10</v>
      </c>
      <c r="K157" s="20" t="n">
        <v>137</v>
      </c>
      <c r="L157" s="20" t="n">
        <v>-52</v>
      </c>
      <c r="M157" s="20" t="n">
        <v>18</v>
      </c>
      <c r="N157" s="20" t="n">
        <v>-18</v>
      </c>
      <c r="T157" s="20" t="n">
        <v>-603</v>
      </c>
      <c r="U157" s="20" t="n">
        <v>248</v>
      </c>
      <c r="V157" s="20" t="n">
        <v>1151</v>
      </c>
      <c r="W157" s="20" t="n">
        <v>-602</v>
      </c>
      <c r="X157" s="20" t="n">
        <v>18</v>
      </c>
    </row>
    <row r="158">
      <c r="A158" s="18" t="inlineStr">
        <is>
          <t>이연헤지손익</t>
        </is>
      </c>
      <c r="C158" s="20" t="n">
        <v>-9</v>
      </c>
      <c r="D158" s="20" t="n">
        <v>-3</v>
      </c>
      <c r="E158" s="20" t="n">
        <v>-20</v>
      </c>
      <c r="F158" s="20" t="n">
        <v>-5</v>
      </c>
      <c r="G158" s="20" t="n">
        <v>-7</v>
      </c>
      <c r="H158" s="20" t="n">
        <v>-2</v>
      </c>
      <c r="I158" s="20" t="n">
        <v>7</v>
      </c>
      <c r="J158" s="20" t="n">
        <v>11</v>
      </c>
      <c r="K158" s="20" t="n">
        <v>0</v>
      </c>
      <c r="L158" s="20" t="n">
        <v>5</v>
      </c>
      <c r="M158" s="20" t="n">
        <v>1</v>
      </c>
      <c r="N158" s="20" t="n">
        <v>1</v>
      </c>
      <c r="T158" s="20" t="n">
        <v>-39</v>
      </c>
      <c r="U158" s="20" t="n">
        <v>-128</v>
      </c>
      <c r="V158" s="20" t="n">
        <v>-20</v>
      </c>
      <c r="W158" s="20" t="n">
        <v>7</v>
      </c>
      <c r="X158" s="20" t="n">
        <v>1</v>
      </c>
    </row>
    <row r="159">
      <c r="A159" s="18" t="inlineStr">
        <is>
          <t>해외사업환산조정</t>
        </is>
      </c>
      <c r="C159" s="20" t="n">
        <v>-540</v>
      </c>
      <c r="D159" s="20" t="n">
        <v>-113</v>
      </c>
      <c r="E159" s="20" t="n">
        <v>236</v>
      </c>
      <c r="F159" s="20" t="n">
        <v>-618</v>
      </c>
      <c r="G159" s="20" t="n">
        <v>-341</v>
      </c>
      <c r="H159" s="20" t="n">
        <v>897</v>
      </c>
      <c r="I159" s="20" t="n">
        <v>-681</v>
      </c>
      <c r="J159" s="20" t="n">
        <v>801</v>
      </c>
      <c r="K159" s="20" t="n">
        <v>468</v>
      </c>
      <c r="L159" s="20" t="n">
        <v>-184</v>
      </c>
      <c r="M159" s="20" t="n">
        <v>-613</v>
      </c>
      <c r="N159" s="20" t="n">
        <v>-163</v>
      </c>
      <c r="T159" s="20" t="n">
        <v>1099</v>
      </c>
      <c r="U159" s="20" t="n">
        <v>-6277</v>
      </c>
      <c r="V159" s="20" t="n">
        <v>236</v>
      </c>
      <c r="W159" s="20" t="n">
        <v>-681</v>
      </c>
      <c r="X159" s="20" t="n">
        <v>-613</v>
      </c>
    </row>
    <row r="160">
      <c r="A160" s="18" t="inlineStr">
        <is>
          <t>지분법 적용회사 지분 해당액</t>
        </is>
      </c>
      <c r="C160" s="20" t="n">
        <v>3630</v>
      </c>
      <c r="D160" s="20" t="n">
        <v>687</v>
      </c>
      <c r="E160" s="20" t="n">
        <v>-1409</v>
      </c>
      <c r="F160" s="20" t="n">
        <v>3762</v>
      </c>
      <c r="G160" s="20" t="n">
        <v>3126</v>
      </c>
      <c r="H160" s="20" t="n">
        <v>-6118</v>
      </c>
      <c r="I160" s="20" t="n">
        <v>4012</v>
      </c>
      <c r="J160" s="20" t="n">
        <v>-3834</v>
      </c>
      <c r="K160" s="20" t="n">
        <v>-2603</v>
      </c>
      <c r="L160" s="20" t="n">
        <v>1059</v>
      </c>
      <c r="M160" s="20" t="n">
        <v>4122</v>
      </c>
      <c r="N160" s="20" t="n">
        <v>802</v>
      </c>
      <c r="T160" s="20" t="n">
        <v>26</v>
      </c>
      <c r="U160" s="20" t="n">
        <v>-618</v>
      </c>
      <c r="V160" s="20" t="n">
        <v>-1409</v>
      </c>
      <c r="W160" s="20" t="n">
        <v>4012</v>
      </c>
      <c r="X160" s="20" t="n">
        <v>4122</v>
      </c>
    </row>
    <row r="161">
      <c r="A161" s="18" t="inlineStr">
        <is>
          <t>기타포괄손익 합계</t>
        </is>
      </c>
      <c r="C161" s="20" t="n">
        <v>3342</v>
      </c>
      <c r="D161" s="20" t="n">
        <v>599</v>
      </c>
      <c r="E161" s="20" t="n">
        <v>-41</v>
      </c>
      <c r="F161" s="20" t="n">
        <v>2757</v>
      </c>
      <c r="G161" s="20" t="n">
        <v>1983</v>
      </c>
      <c r="H161" s="20" t="n">
        <v>-4708</v>
      </c>
      <c r="I161" s="20" t="n">
        <v>2735</v>
      </c>
      <c r="J161" s="20" t="n">
        <v>-3011</v>
      </c>
      <c r="K161" s="20" t="n">
        <v>-1997</v>
      </c>
      <c r="L161" s="20" t="n">
        <v>827</v>
      </c>
      <c r="M161" s="20" t="n">
        <v>3529</v>
      </c>
      <c r="N161" s="20" t="n">
        <v>621</v>
      </c>
      <c r="T161" s="20" t="n">
        <v>483</v>
      </c>
      <c r="U161" s="20" t="n">
        <v>-6775</v>
      </c>
      <c r="V161" s="20" t="n">
        <v>-41</v>
      </c>
      <c r="W161" s="20" t="n">
        <v>2735</v>
      </c>
      <c r="X161" s="20" t="n">
        <v>3529</v>
      </c>
    </row>
    <row r="162">
      <c r="A162" s="9" t="inlineStr">
        <is>
          <t>포괄이익</t>
        </is>
      </c>
      <c r="C162" s="12" t="n">
        <v>5784</v>
      </c>
      <c r="D162" s="12" t="n">
        <v>2954</v>
      </c>
      <c r="E162" s="12" t="n">
        <v>2709</v>
      </c>
      <c r="F162" s="12" t="n">
        <v>5809</v>
      </c>
      <c r="G162" s="12" t="n">
        <v>4363</v>
      </c>
      <c r="H162" s="12" t="n">
        <v>-796</v>
      </c>
      <c r="I162" s="12" t="n">
        <v>5209</v>
      </c>
      <c r="J162" s="12" t="n">
        <v>710</v>
      </c>
      <c r="K162" s="12" t="n">
        <v>1515</v>
      </c>
      <c r="L162" s="12" t="n">
        <v>4681</v>
      </c>
      <c r="M162" s="12" t="n">
        <v>7175</v>
      </c>
      <c r="N162" s="12" t="n">
        <v>3785</v>
      </c>
      <c r="T162" s="12" t="n">
        <v>4057</v>
      </c>
      <c r="U162" s="12" t="n">
        <v>-5246</v>
      </c>
      <c r="V162" s="12" t="n">
        <v>2709</v>
      </c>
      <c r="W162" s="12" t="n">
        <v>5209</v>
      </c>
      <c r="X162" s="12" t="n">
        <v>7175</v>
      </c>
    </row>
    <row r="163">
      <c r="A163" s="9" t="inlineStr">
        <is>
          <t>지배주주 포괄이익</t>
        </is>
      </c>
      <c r="C163" s="12" t="n">
        <v>5737</v>
      </c>
      <c r="D163" s="12" t="n">
        <v>2912</v>
      </c>
      <c r="E163" s="12" t="n">
        <v>2717</v>
      </c>
      <c r="F163" s="12" t="n">
        <v>5793</v>
      </c>
      <c r="G163" s="12" t="n">
        <v>4247</v>
      </c>
      <c r="H163" s="12" t="n">
        <v>-736</v>
      </c>
      <c r="I163" s="12" t="n">
        <v>5499</v>
      </c>
      <c r="J163" s="12" t="n">
        <v>653</v>
      </c>
      <c r="K163" s="12" t="n">
        <v>1610</v>
      </c>
      <c r="L163" s="12" t="n">
        <v>4695</v>
      </c>
      <c r="M163" s="12" t="n">
        <v>7066</v>
      </c>
      <c r="N163" s="12" t="n">
        <v>3764</v>
      </c>
      <c r="T163" s="12" t="n">
        <v>2659</v>
      </c>
      <c r="U163" s="12" t="n">
        <v>-3725</v>
      </c>
      <c r="V163" s="12" t="n">
        <v>2717</v>
      </c>
      <c r="W163" s="12" t="n">
        <v>5499</v>
      </c>
      <c r="X163" s="12" t="n">
        <v>7066</v>
      </c>
    </row>
    <row r="164">
      <c r="A164" s="9" t="inlineStr">
        <is>
          <t>비지배주주 포괄이익</t>
        </is>
      </c>
      <c r="C164" s="12" t="n">
        <v>46</v>
      </c>
      <c r="D164" s="12" t="n">
        <v>43</v>
      </c>
      <c r="E164" s="12" t="n">
        <v>-9</v>
      </c>
      <c r="F164" s="12" t="n">
        <v>15</v>
      </c>
      <c r="G164" s="12" t="n">
        <v>116</v>
      </c>
      <c r="H164" s="12" t="n">
        <v>-59</v>
      </c>
      <c r="I164" s="12" t="n">
        <v>-289</v>
      </c>
      <c r="J164" s="12" t="n">
        <v>57</v>
      </c>
      <c r="K164" s="12" t="n">
        <v>-94</v>
      </c>
      <c r="L164" s="12" t="n">
        <v>-14</v>
      </c>
      <c r="M164" s="12" t="n">
        <v>107</v>
      </c>
      <c r="N164" s="12" t="n">
        <v>20</v>
      </c>
      <c r="T164" s="12" t="n">
        <v>1398</v>
      </c>
      <c r="U164" s="12" t="n">
        <v>-1520</v>
      </c>
      <c r="V164" s="12" t="n">
        <v>-9</v>
      </c>
      <c r="W164" s="12" t="n">
        <v>-289</v>
      </c>
      <c r="X164" s="12" t="n">
        <v>107</v>
      </c>
    </row>
    <row r="166">
      <c r="A166" s="16" t="inlineStr">
        <is>
          <t>부문 · 전 항목</t>
        </is>
      </c>
      <c r="B166" s="42" t="inlineStr">
        <is>
          <t>부문 · 항목</t>
        </is>
      </c>
      <c r="C166" s="16" t="n"/>
      <c r="D166" s="16" t="n"/>
      <c r="E166" s="16" t="n"/>
      <c r="F166" s="16" t="n"/>
      <c r="G166" s="16" t="n"/>
      <c r="H166" s="16" t="n"/>
      <c r="I166" s="16" t="n"/>
      <c r="J166" s="16" t="n"/>
      <c r="K166" s="16" t="n"/>
      <c r="L166" s="16" t="n"/>
      <c r="M166" s="16" t="n"/>
      <c r="N166" s="16" t="n"/>
      <c r="O166" s="16" t="n"/>
      <c r="P166" s="16" t="n"/>
      <c r="Q166" s="16" t="n"/>
      <c r="R166" s="16" t="n"/>
      <c r="S166" s="16" t="n"/>
      <c r="T166" s="16" t="n"/>
      <c r="U166" s="16" t="n"/>
      <c r="V166" s="16" t="n"/>
      <c r="W166" s="16" t="n"/>
      <c r="X166" s="16" t="n"/>
      <c r="Y166" s="16" t="n"/>
      <c r="Z166" s="16" t="n"/>
      <c r="AA166" s="16" t="n"/>
      <c r="AB166" s="16" t="n"/>
      <c r="AC166" s="16" t="n"/>
    </row>
    <row r="167">
      <c r="A167" s="5" t="inlineStr">
        <is>
          <t>항목</t>
        </is>
      </c>
      <c r="B167" s="5" t="inlineStr">
        <is>
          <t>참고</t>
        </is>
      </c>
      <c r="C167" s="5" t="inlineStr">
        <is>
          <t>2024.2Q</t>
        </is>
      </c>
      <c r="D167" s="5" t="inlineStr">
        <is>
          <t>2024.3Q</t>
        </is>
      </c>
      <c r="E167" s="5" t="inlineStr">
        <is>
          <t>2024.4Q</t>
        </is>
      </c>
      <c r="F167" s="5" t="inlineStr">
        <is>
          <t>2025.1Q</t>
        </is>
      </c>
      <c r="G167" s="5" t="inlineStr">
        <is>
          <t>2025.2Q</t>
        </is>
      </c>
      <c r="H167" s="5" t="inlineStr">
        <is>
          <t>2025.3Q</t>
        </is>
      </c>
      <c r="I167" s="5" t="inlineStr">
        <is>
          <t>2025.4Q</t>
        </is>
      </c>
      <c r="J167" s="5" t="inlineStr">
        <is>
          <t>2026.1Q</t>
        </is>
      </c>
      <c r="K167" s="5" t="inlineStr">
        <is>
          <t>2026.2Q</t>
        </is>
      </c>
      <c r="L167" s="5" t="inlineStr">
        <is>
          <t>2026.3Q</t>
        </is>
      </c>
      <c r="M167" s="5" t="inlineStr">
        <is>
          <t>2026.4Q</t>
        </is>
      </c>
      <c r="N167" s="5" t="inlineStr">
        <is>
          <t>2027.1Q</t>
        </is>
      </c>
      <c r="O167" s="5" t="inlineStr">
        <is>
          <t>2017</t>
        </is>
      </c>
      <c r="P167" s="5" t="inlineStr">
        <is>
          <t>2018</t>
        </is>
      </c>
      <c r="Q167" s="5" t="inlineStr">
        <is>
          <t>2019</t>
        </is>
      </c>
      <c r="R167" s="5" t="inlineStr">
        <is>
          <t>2020</t>
        </is>
      </c>
      <c r="S167" s="5" t="inlineStr">
        <is>
          <t>2021</t>
        </is>
      </c>
      <c r="T167" s="5" t="inlineStr">
        <is>
          <t>2022</t>
        </is>
      </c>
      <c r="U167" s="5" t="inlineStr">
        <is>
          <t>2023</t>
        </is>
      </c>
      <c r="V167" s="5" t="inlineStr">
        <is>
          <t>2024</t>
        </is>
      </c>
      <c r="W167" s="5" t="inlineStr">
        <is>
          <t>2025</t>
        </is>
      </c>
      <c r="X167" s="5" t="inlineStr">
        <is>
          <t>2026</t>
        </is>
      </c>
      <c r="Y167" s="5" t="inlineStr">
        <is>
          <t>2027(MW)</t>
        </is>
      </c>
      <c r="Z167" s="5" t="inlineStr">
        <is>
          <t>2028(MW)</t>
        </is>
      </c>
      <c r="AA167" s="5" t="inlineStr">
        <is>
          <t>2029(MW)</t>
        </is>
      </c>
      <c r="AB167" s="5" t="inlineStr">
        <is>
          <t>2030(MW)</t>
        </is>
      </c>
      <c r="AC167" s="5" t="inlineStr">
        <is>
          <t>2031(MW)</t>
        </is>
      </c>
    </row>
    <row r="168">
      <c r="A168" s="18" t="inlineStr">
        <is>
          <t>BankingBusinessReportableSegmentMember · Revenues From External Customers</t>
        </is>
      </c>
      <c r="C168" s="20" t="n">
        <v>501</v>
      </c>
      <c r="D168" s="20" t="n">
        <v>560</v>
      </c>
      <c r="E168" s="20" t="n">
        <v>679</v>
      </c>
      <c r="F168" s="20" t="n">
        <v>738</v>
      </c>
      <c r="G168" s="20" t="n">
        <v>866</v>
      </c>
      <c r="H168" s="20" t="n">
        <v>614</v>
      </c>
      <c r="I168" s="20" t="n">
        <v>690</v>
      </c>
      <c r="J168" s="20" t="n">
        <v>663</v>
      </c>
      <c r="K168" s="20" t="n">
        <v>594</v>
      </c>
      <c r="L168" s="20" t="n">
        <v>602</v>
      </c>
      <c r="M168" s="20" t="n">
        <v>756</v>
      </c>
      <c r="N168" s="20" t="n">
        <v>747</v>
      </c>
      <c r="V168" s="20" t="n">
        <v>679</v>
      </c>
      <c r="W168" s="20" t="n">
        <v>690</v>
      </c>
      <c r="X168" s="20" t="n">
        <v>756</v>
      </c>
    </row>
    <row r="169">
      <c r="A169" s="18" t="inlineStr">
        <is>
          <t>ReuseBusinessReportableSegmentMember · Revenues From External Customers</t>
        </is>
      </c>
      <c r="C169" s="20" t="n">
        <v>6657</v>
      </c>
      <c r="D169" s="20" t="n">
        <v>7624</v>
      </c>
      <c r="E169" s="20" t="n">
        <v>7874</v>
      </c>
      <c r="F169" s="20" t="n">
        <v>8386</v>
      </c>
      <c r="G169" s="20" t="n">
        <v>8752</v>
      </c>
      <c r="H169" s="20" t="n">
        <v>8455</v>
      </c>
      <c r="I169" s="20" t="n">
        <v>9252</v>
      </c>
      <c r="J169" s="20" t="n">
        <v>8955</v>
      </c>
      <c r="K169" s="20" t="n">
        <v>14921</v>
      </c>
      <c r="L169" s="20" t="n">
        <v>15588</v>
      </c>
      <c r="M169" s="20" t="n">
        <v>15785</v>
      </c>
      <c r="N169" s="20" t="n">
        <v>16190</v>
      </c>
      <c r="V169" s="20" t="n">
        <v>7874</v>
      </c>
      <c r="W169" s="20" t="n">
        <v>9252</v>
      </c>
      <c r="X169" s="20" t="n">
        <v>15785</v>
      </c>
    </row>
    <row r="170">
      <c r="A170" s="18" t="inlineStr">
        <is>
          <t>OtherReportableSegmentsMember · Revenues From External Customers</t>
        </is>
      </c>
      <c r="C170" s="20" t="n">
        <v>3</v>
      </c>
      <c r="D170" s="20" t="n">
        <v>4</v>
      </c>
      <c r="F170" s="20" t="n">
        <v>2</v>
      </c>
      <c r="G170" s="20" t="n">
        <v>3</v>
      </c>
      <c r="H170" s="20" t="n">
        <v>3</v>
      </c>
      <c r="J170" s="20" t="n">
        <v>3</v>
      </c>
      <c r="K170" s="20" t="n">
        <v>3</v>
      </c>
      <c r="L170" s="20" t="n">
        <v>4</v>
      </c>
      <c r="N170" s="20" t="n">
        <v>4</v>
      </c>
    </row>
    <row r="171">
      <c r="A171" s="18" t="inlineStr">
        <is>
          <t>보고부문 합계 · Revenues From External Customers</t>
        </is>
      </c>
      <c r="C171" s="20" t="n">
        <v>7162</v>
      </c>
      <c r="D171" s="20" t="n">
        <v>8187</v>
      </c>
      <c r="E171" s="20" t="n">
        <v>8554</v>
      </c>
      <c r="F171" s="20" t="n">
        <v>9127</v>
      </c>
      <c r="G171" s="20" t="n">
        <v>9622</v>
      </c>
      <c r="H171" s="20" t="n">
        <v>9071</v>
      </c>
      <c r="I171" s="20" t="n">
        <v>9946</v>
      </c>
      <c r="J171" s="20" t="n">
        <v>9622</v>
      </c>
      <c r="K171" s="20" t="n">
        <v>15518</v>
      </c>
      <c r="L171" s="20" t="n">
        <v>16194</v>
      </c>
      <c r="M171" s="20" t="n">
        <v>16545</v>
      </c>
      <c r="N171" s="20" t="n">
        <v>16941</v>
      </c>
      <c r="V171" s="20" t="n">
        <v>8554</v>
      </c>
      <c r="W171" s="20" t="n">
        <v>9946</v>
      </c>
      <c r="X171" s="20" t="n">
        <v>16545</v>
      </c>
    </row>
    <row r="172">
      <c r="A172" s="18" t="inlineStr">
        <is>
          <t>조정액 · Revenues From External Customers</t>
        </is>
      </c>
      <c r="C172" s="20" t="n">
        <v>0</v>
      </c>
      <c r="D172" s="20" t="n">
        <v>0</v>
      </c>
      <c r="E172" s="20" t="n">
        <v>0</v>
      </c>
      <c r="F172" s="20" t="n">
        <v>0</v>
      </c>
      <c r="G172" s="20" t="n">
        <v>0</v>
      </c>
      <c r="H172" s="20" t="n">
        <v>0</v>
      </c>
      <c r="I172" s="20" t="n">
        <v>0</v>
      </c>
      <c r="J172" s="20" t="n">
        <v>0</v>
      </c>
      <c r="K172" s="20" t="n">
        <v>0</v>
      </c>
      <c r="L172" s="20" t="n">
        <v>0</v>
      </c>
      <c r="M172" s="20" t="n">
        <v>0</v>
      </c>
      <c r="N172" s="20" t="n">
        <v>0</v>
      </c>
      <c r="V172" s="20" t="n">
        <v>0</v>
      </c>
      <c r="W172" s="20" t="n">
        <v>0</v>
      </c>
      <c r="X172" s="20" t="n">
        <v>0</v>
      </c>
    </row>
    <row r="173">
      <c r="A173" s="9" t="inlineStr">
        <is>
          <t>Revenues From External Customers</t>
        </is>
      </c>
      <c r="C173" s="12" t="n">
        <v>7162</v>
      </c>
      <c r="D173" s="12" t="n">
        <v>8187</v>
      </c>
      <c r="E173" s="12" t="n">
        <v>8554</v>
      </c>
      <c r="F173" s="12" t="n">
        <v>9127</v>
      </c>
      <c r="G173" s="12" t="n">
        <v>9622</v>
      </c>
      <c r="H173" s="12" t="n">
        <v>9071</v>
      </c>
      <c r="I173" s="12" t="n">
        <v>9946</v>
      </c>
      <c r="V173" s="12" t="n">
        <v>8554</v>
      </c>
      <c r="W173" s="12" t="n">
        <v>9946</v>
      </c>
    </row>
    <row r="174">
      <c r="A174" s="18" t="inlineStr">
        <is>
          <t>EntityTotalMember · Revenues From External Customers</t>
        </is>
      </c>
      <c r="F174" s="20" t="n">
        <v>9127</v>
      </c>
      <c r="J174" s="20" t="n">
        <v>9622</v>
      </c>
      <c r="N174" s="20" t="n">
        <v>16941</v>
      </c>
    </row>
    <row r="175">
      <c r="A175" s="18" t="inlineStr">
        <is>
          <t>BankingBusinessReportableSegmentMember · Transactions With Other Segments</t>
        </is>
      </c>
      <c r="C175" s="20" t="n">
        <v>0</v>
      </c>
      <c r="D175" s="20" t="n">
        <v>0</v>
      </c>
      <c r="E175" s="20" t="n">
        <v>0</v>
      </c>
      <c r="F175" s="20" t="n">
        <v>0</v>
      </c>
      <c r="G175" s="20" t="n">
        <v>0</v>
      </c>
      <c r="H175" s="20" t="n">
        <v>0</v>
      </c>
      <c r="I175" s="20" t="n">
        <v>0</v>
      </c>
      <c r="J175" s="20" t="n">
        <v>0</v>
      </c>
      <c r="K175" s="20" t="n">
        <v>0</v>
      </c>
      <c r="L175" s="20" t="n">
        <v>0</v>
      </c>
      <c r="M175" s="20" t="n">
        <v>0</v>
      </c>
      <c r="N175" s="20" t="n">
        <v>0</v>
      </c>
      <c r="V175" s="20" t="n">
        <v>0</v>
      </c>
      <c r="W175" s="20" t="n">
        <v>0</v>
      </c>
      <c r="X175" s="20" t="n">
        <v>0</v>
      </c>
    </row>
    <row r="176">
      <c r="A176" s="18" t="inlineStr">
        <is>
          <t>ReuseBusinessReportableSegmentMember · Transactions With Other Segments</t>
        </is>
      </c>
      <c r="C176" s="20" t="n">
        <v>0</v>
      </c>
      <c r="D176" s="20" t="n">
        <v>0</v>
      </c>
      <c r="E176" s="20" t="n">
        <v>0</v>
      </c>
      <c r="F176" s="20" t="n">
        <v>0</v>
      </c>
      <c r="G176" s="20" t="n">
        <v>0</v>
      </c>
      <c r="H176" s="20" t="n">
        <v>0</v>
      </c>
      <c r="I176" s="20" t="n">
        <v>0</v>
      </c>
      <c r="J176" s="20" t="n">
        <v>0</v>
      </c>
      <c r="K176" s="20" t="n">
        <v>0</v>
      </c>
      <c r="L176" s="20" t="n">
        <v>0</v>
      </c>
      <c r="M176" s="20" t="n">
        <v>1</v>
      </c>
      <c r="N176" s="20" t="n">
        <v>0</v>
      </c>
      <c r="V176" s="20" t="n">
        <v>0</v>
      </c>
      <c r="W176" s="20" t="n">
        <v>0</v>
      </c>
      <c r="X176" s="20" t="n">
        <v>1</v>
      </c>
    </row>
    <row r="177">
      <c r="A177" s="18" t="inlineStr">
        <is>
          <t>OtherReportableSegmentsMember · Transactions With Other Segments</t>
        </is>
      </c>
      <c r="C177" s="20" t="n">
        <v>1</v>
      </c>
      <c r="D177" s="20" t="n">
        <v>0</v>
      </c>
      <c r="F177" s="20" t="n">
        <v>6170</v>
      </c>
      <c r="G177" s="20" t="n">
        <v>1</v>
      </c>
      <c r="H177" s="20" t="n">
        <v>0</v>
      </c>
      <c r="J177" s="20" t="n">
        <v>7473</v>
      </c>
      <c r="K177" s="20" t="n">
        <v>0</v>
      </c>
      <c r="L177" s="20" t="n">
        <v>0</v>
      </c>
      <c r="N177" s="20" t="n">
        <v>0</v>
      </c>
    </row>
    <row r="178">
      <c r="A178" s="18" t="inlineStr">
        <is>
          <t>보고부문 합계 · Transactions With Other Segments</t>
        </is>
      </c>
      <c r="C178" s="20" t="n">
        <v>1</v>
      </c>
      <c r="D178" s="20" t="n">
        <v>0</v>
      </c>
      <c r="E178" s="20" t="n">
        <v>0</v>
      </c>
      <c r="F178" s="20" t="n">
        <v>6170</v>
      </c>
      <c r="G178" s="20" t="n">
        <v>1</v>
      </c>
      <c r="H178" s="20" t="n">
        <v>0</v>
      </c>
      <c r="I178" s="20" t="n">
        <v>1</v>
      </c>
      <c r="J178" s="20" t="n">
        <v>7473</v>
      </c>
      <c r="K178" s="20" t="n">
        <v>0</v>
      </c>
      <c r="L178" s="20" t="n">
        <v>0</v>
      </c>
      <c r="M178" s="20" t="n">
        <v>2</v>
      </c>
      <c r="N178" s="20" t="n">
        <v>0</v>
      </c>
      <c r="V178" s="20" t="n">
        <v>0</v>
      </c>
      <c r="W178" s="20" t="n">
        <v>1</v>
      </c>
      <c r="X178" s="20" t="n">
        <v>2</v>
      </c>
    </row>
    <row r="179">
      <c r="A179" s="18" t="inlineStr">
        <is>
          <t>조정액 · Transactions With Other Segments</t>
        </is>
      </c>
      <c r="C179" s="20" t="n">
        <v>-1</v>
      </c>
      <c r="D179" s="20" t="n">
        <v>0</v>
      </c>
      <c r="E179" s="20" t="n">
        <v>0</v>
      </c>
      <c r="F179" s="20" t="n">
        <v>-6170</v>
      </c>
      <c r="G179" s="20" t="n">
        <v>-1</v>
      </c>
      <c r="H179" s="20" t="n">
        <v>0</v>
      </c>
      <c r="I179" s="20" t="n">
        <v>-1</v>
      </c>
      <c r="J179" s="20" t="n">
        <v>-7473</v>
      </c>
      <c r="K179" s="20" t="n">
        <v>0</v>
      </c>
      <c r="L179" s="20" t="n">
        <v>0</v>
      </c>
      <c r="M179" s="20" t="n">
        <v>-2</v>
      </c>
      <c r="N179" s="20" t="n">
        <v>-0</v>
      </c>
      <c r="V179" s="20" t="n">
        <v>0</v>
      </c>
      <c r="W179" s="20" t="n">
        <v>-1</v>
      </c>
      <c r="X179" s="20" t="n">
        <v>-2</v>
      </c>
    </row>
    <row r="180">
      <c r="A180" s="18" t="inlineStr">
        <is>
          <t>Transactions With Other Segments</t>
        </is>
      </c>
      <c r="C180" s="20" t="n">
        <v>0</v>
      </c>
      <c r="D180" s="20" t="n">
        <v>0</v>
      </c>
      <c r="E180" s="20" t="n">
        <v>0</v>
      </c>
      <c r="F180" s="20" t="n">
        <v>0</v>
      </c>
      <c r="G180" s="20" t="n">
        <v>0</v>
      </c>
      <c r="H180" s="20" t="n">
        <v>0</v>
      </c>
      <c r="I180" s="20" t="n">
        <v>0</v>
      </c>
      <c r="V180" s="20" t="n">
        <v>0</v>
      </c>
      <c r="W180" s="20" t="n">
        <v>0</v>
      </c>
    </row>
    <row r="181">
      <c r="A181" s="18" t="inlineStr">
        <is>
          <t>EntityTotalMember · Transactions With Other Segments</t>
        </is>
      </c>
      <c r="F181" s="20" t="n">
        <v>0</v>
      </c>
      <c r="J181" s="20" t="n">
        <v>0</v>
      </c>
      <c r="N181" s="20" t="n">
        <v>0</v>
      </c>
    </row>
    <row r="182">
      <c r="A182" s="18" t="inlineStr">
        <is>
          <t>BankingBusinessReportableSegmentMember · 계</t>
        </is>
      </c>
      <c r="C182" s="20" t="n">
        <v>501</v>
      </c>
      <c r="D182" s="20" t="n">
        <v>560</v>
      </c>
      <c r="E182" s="20" t="n">
        <v>679</v>
      </c>
      <c r="F182" s="20" t="n">
        <v>738</v>
      </c>
      <c r="G182" s="20" t="n">
        <v>866</v>
      </c>
      <c r="H182" s="20" t="n">
        <v>614</v>
      </c>
      <c r="I182" s="20" t="n">
        <v>690</v>
      </c>
      <c r="J182" s="20" t="n">
        <v>663</v>
      </c>
      <c r="K182" s="20" t="n">
        <v>594</v>
      </c>
      <c r="L182" s="20" t="n">
        <v>602</v>
      </c>
      <c r="M182" s="20" t="n">
        <v>756</v>
      </c>
      <c r="N182" s="20" t="n">
        <v>747</v>
      </c>
      <c r="V182" s="20" t="n">
        <v>679</v>
      </c>
      <c r="W182" s="20" t="n">
        <v>690</v>
      </c>
      <c r="X182" s="20" t="n">
        <v>756</v>
      </c>
    </row>
    <row r="183">
      <c r="A183" s="18" t="inlineStr">
        <is>
          <t>ReuseBusinessReportableSegmentMember · 계</t>
        </is>
      </c>
      <c r="C183" s="20" t="n">
        <v>6657</v>
      </c>
      <c r="D183" s="20" t="n">
        <v>7624</v>
      </c>
      <c r="E183" s="20" t="n">
        <v>7874</v>
      </c>
      <c r="F183" s="20" t="n">
        <v>8386</v>
      </c>
      <c r="G183" s="20" t="n">
        <v>8752</v>
      </c>
      <c r="H183" s="20" t="n">
        <v>8455</v>
      </c>
      <c r="I183" s="20" t="n">
        <v>9252</v>
      </c>
      <c r="J183" s="20" t="n">
        <v>8955</v>
      </c>
      <c r="K183" s="20" t="n">
        <v>14921</v>
      </c>
      <c r="L183" s="20" t="n">
        <v>15588</v>
      </c>
      <c r="M183" s="20" t="n">
        <v>15787</v>
      </c>
      <c r="N183" s="20" t="n">
        <v>16190</v>
      </c>
      <c r="V183" s="20" t="n">
        <v>7874</v>
      </c>
      <c r="W183" s="20" t="n">
        <v>9252</v>
      </c>
      <c r="X183" s="20" t="n">
        <v>15787</v>
      </c>
    </row>
    <row r="184">
      <c r="A184" s="18" t="inlineStr">
        <is>
          <t>OtherReportableSegmentsMember · 계</t>
        </is>
      </c>
      <c r="C184" s="20" t="n">
        <v>3</v>
      </c>
      <c r="D184" s="20" t="n">
        <v>4</v>
      </c>
      <c r="F184" s="20" t="n">
        <v>6173</v>
      </c>
      <c r="G184" s="20" t="n">
        <v>3</v>
      </c>
      <c r="H184" s="20" t="n">
        <v>4</v>
      </c>
      <c r="J184" s="20" t="n">
        <v>7476</v>
      </c>
      <c r="K184" s="20" t="n">
        <v>4</v>
      </c>
      <c r="L184" s="20" t="n">
        <v>4</v>
      </c>
      <c r="N184" s="20" t="n">
        <v>4</v>
      </c>
    </row>
    <row r="185">
      <c r="A185" s="18" t="inlineStr">
        <is>
          <t>보고부문 합계 · 계</t>
        </is>
      </c>
      <c r="C185" s="20" t="n">
        <v>7162</v>
      </c>
      <c r="D185" s="20" t="n">
        <v>8187</v>
      </c>
      <c r="E185" s="20" t="n">
        <v>8555</v>
      </c>
      <c r="F185" s="20" t="n">
        <v>15298</v>
      </c>
      <c r="G185" s="20" t="n">
        <v>9622</v>
      </c>
      <c r="H185" s="20" t="n">
        <v>9072</v>
      </c>
      <c r="I185" s="20" t="n">
        <v>9946</v>
      </c>
      <c r="J185" s="20" t="n">
        <v>17095</v>
      </c>
      <c r="K185" s="20" t="n">
        <v>15518</v>
      </c>
      <c r="L185" s="20" t="n">
        <v>16195</v>
      </c>
      <c r="M185" s="20" t="n">
        <v>16547</v>
      </c>
      <c r="N185" s="20" t="n">
        <v>16942</v>
      </c>
      <c r="V185" s="20" t="n">
        <v>8555</v>
      </c>
      <c r="W185" s="20" t="n">
        <v>9946</v>
      </c>
      <c r="X185" s="20" t="n">
        <v>16547</v>
      </c>
    </row>
    <row r="186">
      <c r="A186" s="18" t="inlineStr">
        <is>
          <t>조정액 · 계</t>
        </is>
      </c>
      <c r="C186" s="20" t="n">
        <v>-1</v>
      </c>
      <c r="D186" s="20" t="n">
        <v>0</v>
      </c>
      <c r="E186" s="20" t="n">
        <v>0</v>
      </c>
      <c r="F186" s="20" t="n">
        <v>-6170</v>
      </c>
      <c r="G186" s="20" t="n">
        <v>-1</v>
      </c>
      <c r="H186" s="20" t="n">
        <v>0</v>
      </c>
      <c r="I186" s="20" t="n">
        <v>-1</v>
      </c>
      <c r="J186" s="20" t="n">
        <v>-7473</v>
      </c>
      <c r="K186" s="20" t="n">
        <v>0</v>
      </c>
      <c r="L186" s="20" t="n">
        <v>0</v>
      </c>
      <c r="M186" s="20" t="n">
        <v>-2</v>
      </c>
      <c r="N186" s="20" t="n">
        <v>-0</v>
      </c>
      <c r="V186" s="20" t="n">
        <v>0</v>
      </c>
      <c r="W186" s="20" t="n">
        <v>-1</v>
      </c>
      <c r="X186" s="20" t="n">
        <v>-2</v>
      </c>
    </row>
    <row r="187">
      <c r="A187" s="18" t="inlineStr">
        <is>
          <t>계</t>
        </is>
      </c>
      <c r="C187" s="20" t="n">
        <v>7162</v>
      </c>
      <c r="D187" s="20" t="n">
        <v>8187</v>
      </c>
      <c r="E187" s="20" t="n">
        <v>8554</v>
      </c>
      <c r="F187" s="20" t="n">
        <v>9127</v>
      </c>
      <c r="G187" s="20" t="n">
        <v>9622</v>
      </c>
      <c r="H187" s="20" t="n">
        <v>9071</v>
      </c>
      <c r="I187" s="20" t="n">
        <v>9946</v>
      </c>
      <c r="V187" s="20" t="n">
        <v>8554</v>
      </c>
      <c r="W187" s="20" t="n">
        <v>9946</v>
      </c>
    </row>
    <row r="188">
      <c r="A188" s="18" t="inlineStr">
        <is>
          <t>EntityTotalMember · 계</t>
        </is>
      </c>
      <c r="F188" s="20" t="n">
        <v>9127</v>
      </c>
      <c r="J188" s="20" t="n">
        <v>9622</v>
      </c>
      <c r="N188" s="20" t="n">
        <v>16941</v>
      </c>
    </row>
    <row r="189">
      <c r="A189" s="18" t="inlineStr">
        <is>
          <t>BankingBusinessReportableSegmentMember · 부문 이익(손실)</t>
        </is>
      </c>
      <c r="C189" s="20" t="n">
        <v>8</v>
      </c>
      <c r="D189" s="20" t="n">
        <v>71</v>
      </c>
      <c r="E189" s="20" t="n">
        <v>42</v>
      </c>
      <c r="F189" s="20" t="n">
        <v>-44</v>
      </c>
      <c r="G189" s="20" t="n">
        <v>124</v>
      </c>
      <c r="H189" s="20" t="n">
        <v>2</v>
      </c>
      <c r="I189" s="20" t="n">
        <v>-734</v>
      </c>
      <c r="J189" s="20" t="n">
        <v>34</v>
      </c>
      <c r="K189" s="20" t="n">
        <v>-339</v>
      </c>
      <c r="L189" s="20" t="n">
        <v>-26</v>
      </c>
      <c r="M189" s="20" t="n">
        <v>47</v>
      </c>
      <c r="N189" s="20" t="n">
        <v>14</v>
      </c>
      <c r="V189" s="20" t="n">
        <v>42</v>
      </c>
      <c r="W189" s="20" t="n">
        <v>-734</v>
      </c>
      <c r="X189" s="20" t="n">
        <v>47</v>
      </c>
    </row>
    <row r="190">
      <c r="A190" s="18" t="inlineStr">
        <is>
          <t>ReuseBusinessReportableSegmentMember · 부문 이익(손실)</t>
        </is>
      </c>
      <c r="C190" s="20" t="n">
        <v>-89</v>
      </c>
      <c r="D190" s="20" t="n">
        <v>-198</v>
      </c>
      <c r="E190" s="20" t="n">
        <v>-97</v>
      </c>
      <c r="F190" s="20" t="n">
        <v>100</v>
      </c>
      <c r="G190" s="20" t="n">
        <v>-130</v>
      </c>
      <c r="H190" s="20" t="n">
        <v>-137</v>
      </c>
      <c r="I190" s="20" t="n">
        <v>207</v>
      </c>
      <c r="J190" s="20" t="n">
        <v>-137</v>
      </c>
      <c r="K190" s="20" t="n">
        <v>-32</v>
      </c>
      <c r="L190" s="20" t="n">
        <v>284</v>
      </c>
      <c r="M190" s="20" t="n">
        <v>502</v>
      </c>
      <c r="N190" s="20" t="n">
        <v>341</v>
      </c>
      <c r="V190" s="20" t="n">
        <v>-97</v>
      </c>
      <c r="W190" s="20" t="n">
        <v>207</v>
      </c>
      <c r="X190" s="20" t="n">
        <v>502</v>
      </c>
    </row>
    <row r="191">
      <c r="A191" s="18" t="inlineStr">
        <is>
          <t>OtherReportableSegmentsMember · 부문 이익(손실)</t>
        </is>
      </c>
      <c r="C191" s="20" t="n">
        <v>-202</v>
      </c>
      <c r="D191" s="20" t="n">
        <v>-165</v>
      </c>
      <c r="F191" s="20" t="n">
        <v>6054</v>
      </c>
      <c r="G191" s="20" t="n">
        <v>-162</v>
      </c>
      <c r="H191" s="20" t="n">
        <v>-145</v>
      </c>
      <c r="J191" s="20" t="n">
        <v>7296</v>
      </c>
      <c r="K191" s="20" t="n">
        <v>-174</v>
      </c>
      <c r="L191" s="20" t="n">
        <v>-224</v>
      </c>
      <c r="N191" s="20" t="n">
        <v>-224</v>
      </c>
    </row>
    <row r="192">
      <c r="A192" s="18" t="inlineStr">
        <is>
          <t>보고부문 합계 · 부문 이익(손실)</t>
        </is>
      </c>
      <c r="C192" s="20" t="n">
        <v>-284</v>
      </c>
      <c r="D192" s="20" t="n">
        <v>-292</v>
      </c>
      <c r="E192" s="20" t="n">
        <v>-242</v>
      </c>
      <c r="F192" s="20" t="n">
        <v>6110</v>
      </c>
      <c r="G192" s="20" t="n">
        <v>-168</v>
      </c>
      <c r="H192" s="20" t="n">
        <v>-279</v>
      </c>
      <c r="I192" s="20" t="n">
        <v>-703</v>
      </c>
      <c r="J192" s="20" t="n">
        <v>7192</v>
      </c>
      <c r="K192" s="20" t="n">
        <v>-544</v>
      </c>
      <c r="L192" s="20" t="n">
        <v>35</v>
      </c>
      <c r="M192" s="20" t="n">
        <v>366</v>
      </c>
      <c r="N192" s="20" t="n">
        <v>131</v>
      </c>
      <c r="V192" s="20" t="n">
        <v>-242</v>
      </c>
      <c r="W192" s="20" t="n">
        <v>-703</v>
      </c>
      <c r="X192" s="20" t="n">
        <v>366</v>
      </c>
    </row>
    <row r="193">
      <c r="A193" s="18" t="inlineStr">
        <is>
          <t>조정액 · 부문 이익(손실)</t>
        </is>
      </c>
      <c r="C193" s="20" t="n">
        <v>16</v>
      </c>
      <c r="D193" s="20" t="n">
        <v>9</v>
      </c>
      <c r="E193" s="20" t="n">
        <v>19</v>
      </c>
      <c r="F193" s="20" t="n">
        <v>-6139</v>
      </c>
      <c r="G193" s="20" t="n">
        <v>23</v>
      </c>
      <c r="H193" s="20" t="n">
        <v>28</v>
      </c>
      <c r="I193" s="20" t="n">
        <v>22</v>
      </c>
      <c r="J193" s="20" t="n">
        <v>-7452</v>
      </c>
      <c r="K193" s="20" t="n">
        <v>18</v>
      </c>
      <c r="L193" s="20" t="n">
        <v>14</v>
      </c>
      <c r="M193" s="20" t="n">
        <v>7</v>
      </c>
      <c r="N193" s="20" t="n">
        <v>6</v>
      </c>
      <c r="V193" s="20" t="n">
        <v>19</v>
      </c>
      <c r="W193" s="20" t="n">
        <v>22</v>
      </c>
      <c r="X193" s="20" t="n">
        <v>7</v>
      </c>
    </row>
    <row r="194">
      <c r="A194" s="9" t="inlineStr">
        <is>
          <t>부문 이익(손실)</t>
        </is>
      </c>
      <c r="C194" s="12" t="n">
        <v>-267</v>
      </c>
      <c r="D194" s="12" t="n">
        <v>-284</v>
      </c>
      <c r="E194" s="12" t="n">
        <v>-223</v>
      </c>
      <c r="F194" s="12" t="n">
        <v>-28</v>
      </c>
      <c r="G194" s="12" t="n">
        <v>-146</v>
      </c>
      <c r="H194" s="12" t="n">
        <v>-251</v>
      </c>
      <c r="I194" s="12" t="n">
        <v>-681</v>
      </c>
      <c r="V194" s="12" t="n">
        <v>-223</v>
      </c>
      <c r="W194" s="12" t="n">
        <v>-681</v>
      </c>
    </row>
    <row r="195">
      <c r="A195" s="18" t="inlineStr">
        <is>
          <t>EntityTotalMember · 부문 이익(손실)</t>
        </is>
      </c>
      <c r="F195" s="20" t="n">
        <v>-28</v>
      </c>
      <c r="J195" s="20" t="n">
        <v>-260</v>
      </c>
      <c r="N195" s="20" t="n">
        <v>137</v>
      </c>
    </row>
    <row r="197">
      <c r="A197" s="16" t="inlineStr">
        <is>
          <t>현금흐름표 · 전 항목</t>
        </is>
      </c>
      <c r="B197" s="42" t="inlineStr">
        <is>
          <t>분기 = 결산기 첫날부터 누계(공시 그대로)</t>
        </is>
      </c>
      <c r="C197" s="16" t="n"/>
      <c r="D197" s="16" t="n"/>
      <c r="E197" s="16" t="n"/>
      <c r="F197" s="16" t="n"/>
      <c r="G197" s="16" t="n"/>
      <c r="H197" s="16" t="n"/>
      <c r="I197" s="16" t="n"/>
      <c r="J197" s="16" t="n"/>
      <c r="K197" s="16" t="n"/>
      <c r="L197" s="16" t="n"/>
      <c r="M197" s="16" t="n"/>
      <c r="N197" s="16" t="n"/>
      <c r="O197" s="16" t="n"/>
      <c r="P197" s="16" t="n"/>
      <c r="Q197" s="16" t="n"/>
      <c r="R197" s="16" t="n"/>
      <c r="S197" s="16" t="n"/>
      <c r="T197" s="16" t="n"/>
      <c r="U197" s="16" t="n"/>
      <c r="V197" s="16" t="n"/>
      <c r="W197" s="16" t="n"/>
      <c r="X197" s="16" t="n"/>
      <c r="Y197" s="16" t="n"/>
      <c r="Z197" s="16" t="n"/>
      <c r="AA197" s="16" t="n"/>
      <c r="AB197" s="16" t="n"/>
      <c r="AC197" s="16" t="n"/>
    </row>
    <row r="198">
      <c r="A198" s="5" t="inlineStr">
        <is>
          <t>항목</t>
        </is>
      </c>
      <c r="B198" s="5" t="inlineStr">
        <is>
          <t>참고</t>
        </is>
      </c>
      <c r="C198" s="5" t="inlineStr">
        <is>
          <t>2024.2Q</t>
        </is>
      </c>
      <c r="D198" s="5" t="inlineStr">
        <is>
          <t>2024.3Q</t>
        </is>
      </c>
      <c r="E198" s="5" t="inlineStr">
        <is>
          <t>2024.4Q</t>
        </is>
      </c>
      <c r="F198" s="5" t="inlineStr">
        <is>
          <t>2025.1Q</t>
        </is>
      </c>
      <c r="G198" s="5" t="inlineStr">
        <is>
          <t>2025.2Q</t>
        </is>
      </c>
      <c r="H198" s="5" t="inlineStr">
        <is>
          <t>2025.3Q</t>
        </is>
      </c>
      <c r="I198" s="5" t="inlineStr">
        <is>
          <t>2025.4Q</t>
        </is>
      </c>
      <c r="J198" s="5" t="inlineStr">
        <is>
          <t>2026.1Q</t>
        </is>
      </c>
      <c r="K198" s="5" t="inlineStr">
        <is>
          <t>2026.2Q</t>
        </is>
      </c>
      <c r="L198" s="5" t="inlineStr">
        <is>
          <t>2026.3Q</t>
        </is>
      </c>
      <c r="M198" s="5" t="inlineStr">
        <is>
          <t>2026.4Q</t>
        </is>
      </c>
      <c r="N198" s="5" t="inlineStr">
        <is>
          <t>2027.1Q</t>
        </is>
      </c>
      <c r="O198" s="5" t="inlineStr">
        <is>
          <t>2017</t>
        </is>
      </c>
      <c r="P198" s="5" t="inlineStr">
        <is>
          <t>2018</t>
        </is>
      </c>
      <c r="Q198" s="5" t="inlineStr">
        <is>
          <t>2019</t>
        </is>
      </c>
      <c r="R198" s="5" t="inlineStr">
        <is>
          <t>2020</t>
        </is>
      </c>
      <c r="S198" s="5" t="inlineStr">
        <is>
          <t>2021</t>
        </is>
      </c>
      <c r="T198" s="5" t="inlineStr">
        <is>
          <t>2022</t>
        </is>
      </c>
      <c r="U198" s="5" t="inlineStr">
        <is>
          <t>2023</t>
        </is>
      </c>
      <c r="V198" s="5" t="inlineStr">
        <is>
          <t>2024</t>
        </is>
      </c>
      <c r="W198" s="5" t="inlineStr">
        <is>
          <t>2025</t>
        </is>
      </c>
      <c r="X198" s="5" t="inlineStr">
        <is>
          <t>2026</t>
        </is>
      </c>
      <c r="Y198" s="5" t="inlineStr">
        <is>
          <t>2027(MW)</t>
        </is>
      </c>
      <c r="Z198" s="5" t="inlineStr">
        <is>
          <t>2028(MW)</t>
        </is>
      </c>
      <c r="AA198" s="5" t="inlineStr">
        <is>
          <t>2029(MW)</t>
        </is>
      </c>
      <c r="AB198" s="5" t="inlineStr">
        <is>
          <t>2030(MW)</t>
        </is>
      </c>
      <c r="AC198" s="5" t="inlineStr">
        <is>
          <t>2031(MW)</t>
        </is>
      </c>
    </row>
    <row r="199">
      <c r="A199" s="9" t="inlineStr">
        <is>
          <t>법인세차감전 순이익</t>
        </is>
      </c>
      <c r="E199" s="12" t="n">
        <v>15295</v>
      </c>
      <c r="I199" s="12" t="n">
        <v>14925</v>
      </c>
      <c r="M199" s="12" t="n">
        <v>17991</v>
      </c>
      <c r="O199" s="12" t="n">
        <v>8705</v>
      </c>
      <c r="P199" s="12" t="n">
        <v>7681</v>
      </c>
      <c r="Q199" s="12" t="n">
        <v>11301</v>
      </c>
      <c r="R199" s="12" t="n">
        <v>13824</v>
      </c>
      <c r="S199" s="12" t="n">
        <v>9203</v>
      </c>
      <c r="T199" s="12" t="n">
        <v>18171</v>
      </c>
      <c r="U199" s="12" t="n">
        <v>30963</v>
      </c>
      <c r="V199" s="12" t="n">
        <v>15295</v>
      </c>
      <c r="W199" s="12" t="n">
        <v>14925</v>
      </c>
      <c r="X199" s="12" t="n">
        <v>17991</v>
      </c>
    </row>
    <row r="200">
      <c r="A200" s="18" t="inlineStr">
        <is>
          <t>감가상각비</t>
        </is>
      </c>
      <c r="E200" s="20" t="n">
        <v>1509</v>
      </c>
      <c r="I200" s="20" t="n">
        <v>898</v>
      </c>
      <c r="M200" s="20" t="n">
        <v>960</v>
      </c>
      <c r="O200" s="20" t="n">
        <v>1292</v>
      </c>
      <c r="P200" s="20" t="n">
        <v>1473</v>
      </c>
      <c r="Q200" s="20" t="n">
        <v>1848</v>
      </c>
      <c r="R200" s="20" t="n">
        <v>2558</v>
      </c>
      <c r="S200" s="20" t="n">
        <v>2805</v>
      </c>
      <c r="T200" s="20" t="n">
        <v>3039</v>
      </c>
      <c r="U200" s="20" t="n">
        <v>3581</v>
      </c>
      <c r="V200" s="20" t="n">
        <v>1509</v>
      </c>
      <c r="W200" s="20" t="n">
        <v>898</v>
      </c>
      <c r="X200" s="20" t="n">
        <v>960</v>
      </c>
    </row>
    <row r="201">
      <c r="A201" s="18" t="inlineStr">
        <is>
          <t>손상차손</t>
        </is>
      </c>
      <c r="E201" s="20" t="n">
        <v>17</v>
      </c>
      <c r="I201" s="20" t="n">
        <v>212</v>
      </c>
      <c r="M201" s="20" t="n">
        <v>2</v>
      </c>
      <c r="O201" s="20" t="n">
        <v>54</v>
      </c>
      <c r="P201" s="20" t="n">
        <v>0</v>
      </c>
      <c r="Q201" s="20" t="n">
        <v>132</v>
      </c>
      <c r="R201" s="20" t="n">
        <v>13</v>
      </c>
      <c r="S201" s="20" t="n">
        <v>258</v>
      </c>
      <c r="T201" s="20" t="n">
        <v>0</v>
      </c>
      <c r="U201" s="20" t="n">
        <v>25</v>
      </c>
      <c r="V201" s="20" t="n">
        <v>17</v>
      </c>
      <c r="W201" s="20" t="n">
        <v>212</v>
      </c>
      <c r="X201" s="20" t="n">
        <v>2</v>
      </c>
    </row>
    <row r="202">
      <c r="A202" s="18" t="inlineStr">
        <is>
          <t>고정자산 매각손익</t>
        </is>
      </c>
      <c r="E202" s="20" t="n">
        <v>-7</v>
      </c>
      <c r="I202" s="20" t="n">
        <v>0</v>
      </c>
      <c r="T202" s="20" t="n">
        <v>40</v>
      </c>
      <c r="U202" s="20" t="n">
        <v>23</v>
      </c>
      <c r="V202" s="20" t="n">
        <v>-7</v>
      </c>
      <c r="W202" s="20" t="n">
        <v>0</v>
      </c>
    </row>
    <row r="203">
      <c r="A203" s="18" t="inlineStr">
        <is>
          <t>단계적 취득 차손익</t>
        </is>
      </c>
      <c r="E203" s="20" t="n">
        <v>0</v>
      </c>
      <c r="T203" s="20" t="n">
        <v>0</v>
      </c>
      <c r="U203" s="20" t="n">
        <v>142</v>
      </c>
      <c r="V203" s="20" t="n">
        <v>0</v>
      </c>
    </row>
    <row r="204">
      <c r="A204" s="18" t="inlineStr">
        <is>
          <t>고정자산 제각손실</t>
        </is>
      </c>
      <c r="I204" s="20" t="n">
        <v>0</v>
      </c>
      <c r="M204" s="20" t="n">
        <v>6</v>
      </c>
      <c r="W204" s="20" t="n">
        <v>0</v>
      </c>
      <c r="X204" s="20" t="n">
        <v>6</v>
      </c>
    </row>
    <row r="205">
      <c r="A205" s="18" t="inlineStr">
        <is>
          <t>영업권 상각</t>
        </is>
      </c>
      <c r="E205" s="20" t="n">
        <v>237</v>
      </c>
      <c r="I205" s="20" t="n">
        <v>237</v>
      </c>
      <c r="M205" s="20" t="n">
        <v>313</v>
      </c>
      <c r="O205" s="20" t="n">
        <v>100</v>
      </c>
      <c r="P205" s="20" t="n">
        <v>76</v>
      </c>
      <c r="Q205" s="20" t="n">
        <v>13</v>
      </c>
      <c r="R205" s="20" t="n">
        <v>11</v>
      </c>
      <c r="S205" s="20" t="n">
        <v>10</v>
      </c>
      <c r="T205" s="20" t="n">
        <v>0</v>
      </c>
      <c r="U205" s="20" t="n">
        <v>39</v>
      </c>
      <c r="V205" s="20" t="n">
        <v>237</v>
      </c>
      <c r="W205" s="20" t="n">
        <v>237</v>
      </c>
      <c r="X205" s="20" t="n">
        <v>313</v>
      </c>
    </row>
    <row r="206">
      <c r="A206" s="18" t="inlineStr">
        <is>
          <t>대손충당금 증감</t>
        </is>
      </c>
      <c r="E206" s="20" t="n">
        <v>694</v>
      </c>
      <c r="I206" s="20" t="n">
        <v>838</v>
      </c>
      <c r="M206" s="20" t="n">
        <v>-567</v>
      </c>
      <c r="O206" s="20" t="n">
        <v>3026</v>
      </c>
      <c r="P206" s="20" t="n">
        <v>4095</v>
      </c>
      <c r="Q206" s="20" t="n">
        <v>1952</v>
      </c>
      <c r="R206" s="20" t="n">
        <v>1766</v>
      </c>
      <c r="S206" s="20" t="n">
        <v>3113</v>
      </c>
      <c r="T206" s="20" t="n">
        <v>3378</v>
      </c>
      <c r="U206" s="20" t="n">
        <v>6652</v>
      </c>
      <c r="V206" s="20" t="n">
        <v>694</v>
      </c>
      <c r="W206" s="20" t="n">
        <v>838</v>
      </c>
      <c r="X206" s="20" t="n">
        <v>-567</v>
      </c>
    </row>
    <row r="207">
      <c r="A207" s="18" t="inlineStr">
        <is>
          <t>퇴직급여부채 증감</t>
        </is>
      </c>
      <c r="E207" s="20" t="n">
        <v>0</v>
      </c>
      <c r="I207" s="20" t="n">
        <v>0</v>
      </c>
      <c r="M207" s="20" t="n">
        <v>0</v>
      </c>
      <c r="O207" s="20" t="n">
        <v>18</v>
      </c>
      <c r="P207" s="20" t="n">
        <v>13</v>
      </c>
      <c r="Q207" s="20" t="n">
        <v>18</v>
      </c>
      <c r="R207" s="20" t="n">
        <v>12</v>
      </c>
      <c r="S207" s="20" t="n">
        <v>27</v>
      </c>
      <c r="T207" s="20" t="n">
        <v>8</v>
      </c>
      <c r="U207" s="20" t="n">
        <v>-1</v>
      </c>
      <c r="V207" s="20" t="n">
        <v>0</v>
      </c>
      <c r="W207" s="20" t="n">
        <v>0</v>
      </c>
      <c r="X207" s="20" t="n">
        <v>0</v>
      </c>
    </row>
    <row r="208">
      <c r="A208" s="18" t="inlineStr">
        <is>
          <t>임원 퇴직위로 충당금 증감</t>
        </is>
      </c>
      <c r="S208" s="20" t="n">
        <v>0</v>
      </c>
      <c r="T208" s="20" t="n">
        <v>-12</v>
      </c>
      <c r="U208" s="20" t="n">
        <v>0</v>
      </c>
    </row>
    <row r="209">
      <c r="A209" s="18" t="inlineStr">
        <is>
          <t>이자·배당금 수익</t>
        </is>
      </c>
      <c r="E209" s="20" t="n">
        <v>-308</v>
      </c>
      <c r="I209" s="20" t="n">
        <v>-410</v>
      </c>
      <c r="M209" s="20" t="n">
        <v>-444</v>
      </c>
      <c r="O209" s="20" t="n">
        <v>-131</v>
      </c>
      <c r="P209" s="20" t="n">
        <v>-150</v>
      </c>
      <c r="Q209" s="20" t="n">
        <v>-198</v>
      </c>
      <c r="R209" s="20" t="n">
        <v>-177</v>
      </c>
      <c r="S209" s="20" t="n">
        <v>-147</v>
      </c>
      <c r="T209" s="20" t="n">
        <v>-128</v>
      </c>
      <c r="U209" s="20" t="n">
        <v>-177</v>
      </c>
      <c r="V209" s="20" t="n">
        <v>-308</v>
      </c>
      <c r="W209" s="20" t="n">
        <v>-410</v>
      </c>
      <c r="X209" s="20" t="n">
        <v>-444</v>
      </c>
    </row>
    <row r="210">
      <c r="A210" s="18" t="inlineStr">
        <is>
          <t>이자비용</t>
        </is>
      </c>
      <c r="E210" s="20" t="n">
        <v>8</v>
      </c>
      <c r="I210" s="20" t="n">
        <v>8</v>
      </c>
      <c r="M210" s="20" t="n">
        <v>17</v>
      </c>
      <c r="O210" s="20" t="n">
        <v>66</v>
      </c>
      <c r="P210" s="20" t="n">
        <v>80</v>
      </c>
      <c r="Q210" s="20" t="n">
        <v>91</v>
      </c>
      <c r="R210" s="20" t="n">
        <v>70</v>
      </c>
      <c r="S210" s="20" t="n">
        <v>70</v>
      </c>
      <c r="T210" s="20" t="n">
        <v>47</v>
      </c>
      <c r="U210" s="20" t="n">
        <v>24</v>
      </c>
      <c r="V210" s="20" t="n">
        <v>8</v>
      </c>
      <c r="W210" s="20" t="n">
        <v>8</v>
      </c>
      <c r="X210" s="20" t="n">
        <v>17</v>
      </c>
    </row>
    <row r="211">
      <c r="A211" s="18" t="inlineStr">
        <is>
          <t>외환차손익</t>
        </is>
      </c>
      <c r="E211" s="20" t="n">
        <v>-1190</v>
      </c>
      <c r="I211" s="20" t="n">
        <v>-76</v>
      </c>
      <c r="M211" s="20" t="n">
        <v>-274</v>
      </c>
      <c r="O211" s="20" t="n">
        <v>13451</v>
      </c>
      <c r="P211" s="20" t="n">
        <v>-1454</v>
      </c>
      <c r="Q211" s="20" t="n">
        <v>2742</v>
      </c>
      <c r="R211" s="20" t="n">
        <v>1390</v>
      </c>
      <c r="S211" s="20" t="n">
        <v>420</v>
      </c>
      <c r="T211" s="20" t="n">
        <v>-410</v>
      </c>
      <c r="U211" s="20" t="n">
        <v>2608</v>
      </c>
      <c r="V211" s="20" t="n">
        <v>-1190</v>
      </c>
      <c r="W211" s="20" t="n">
        <v>-76</v>
      </c>
      <c r="X211" s="20" t="n">
        <v>-274</v>
      </c>
    </row>
    <row r="212">
      <c r="A212" s="18" t="inlineStr">
        <is>
          <t>지분법손익</t>
        </is>
      </c>
      <c r="E212" s="20" t="n">
        <v>-9918</v>
      </c>
      <c r="I212" s="20" t="n">
        <v>-15447</v>
      </c>
      <c r="M212" s="20" t="n">
        <v>-16309</v>
      </c>
      <c r="O212" s="20" t="n">
        <v>-963</v>
      </c>
      <c r="P212" s="20" t="n">
        <v>-5</v>
      </c>
      <c r="Q212" s="20" t="n">
        <v>-1034</v>
      </c>
      <c r="R212" s="20" t="n">
        <v>-934</v>
      </c>
      <c r="S212" s="20" t="n">
        <v>-687</v>
      </c>
      <c r="T212" s="20" t="n">
        <v>-1172</v>
      </c>
      <c r="U212" s="20" t="n">
        <v>-758</v>
      </c>
      <c r="V212" s="20" t="n">
        <v>-9918</v>
      </c>
      <c r="W212" s="20" t="n">
        <v>-15447</v>
      </c>
      <c r="X212" s="20" t="n">
        <v>-16309</v>
      </c>
    </row>
    <row r="213">
      <c r="A213" s="18" t="inlineStr">
        <is>
          <t>Loss Gain On Investments In Partnership Ope CF</t>
        </is>
      </c>
      <c r="O213" s="20" t="n">
        <v>0</v>
      </c>
      <c r="P213" s="20" t="n">
        <v>54</v>
      </c>
      <c r="Q213" s="20" t="n">
        <v>21</v>
      </c>
      <c r="R213" s="20" t="n">
        <v>-75</v>
      </c>
      <c r="S213" s="20" t="n">
        <v>125</v>
      </c>
      <c r="T213" s="20" t="n">
        <v>-88</v>
      </c>
      <c r="U213" s="20" t="n">
        <v>-0</v>
      </c>
    </row>
    <row r="214">
      <c r="A214" s="18" t="inlineStr">
        <is>
          <t>투자유가증권 매각손익</t>
        </is>
      </c>
      <c r="E214" s="20" t="n">
        <v>-65</v>
      </c>
      <c r="I214" s="20" t="n">
        <v>-79</v>
      </c>
      <c r="M214" s="20" t="n">
        <v>-286</v>
      </c>
      <c r="O214" s="20" t="n">
        <v>-430</v>
      </c>
      <c r="P214" s="20" t="n">
        <v>-532</v>
      </c>
      <c r="Q214" s="20" t="n">
        <v>-741</v>
      </c>
      <c r="R214" s="20" t="n">
        <v>-2598</v>
      </c>
      <c r="S214" s="20" t="n">
        <v>-73</v>
      </c>
      <c r="T214" s="20" t="n">
        <v>-190</v>
      </c>
      <c r="U214" s="20" t="n">
        <v>0</v>
      </c>
      <c r="V214" s="20" t="n">
        <v>-65</v>
      </c>
      <c r="W214" s="20" t="n">
        <v>-79</v>
      </c>
      <c r="X214" s="20" t="n">
        <v>-286</v>
      </c>
    </row>
    <row r="215">
      <c r="A215" s="18" t="inlineStr">
        <is>
          <t>투자유가증권 평가손익</t>
        </is>
      </c>
      <c r="E215" s="20" t="n">
        <v>95</v>
      </c>
      <c r="I215" s="20" t="n">
        <v>15</v>
      </c>
      <c r="M215" s="20" t="n">
        <v>0</v>
      </c>
      <c r="O215" s="20" t="n">
        <v>1</v>
      </c>
      <c r="P215" s="20" t="n">
        <v>0</v>
      </c>
      <c r="Q215" s="20" t="n">
        <v>0</v>
      </c>
      <c r="R215" s="20" t="n">
        <v>168</v>
      </c>
      <c r="S215" s="20" t="n">
        <v>55</v>
      </c>
      <c r="T215" s="20" t="n">
        <v>2</v>
      </c>
      <c r="U215" s="20" t="n">
        <v>307</v>
      </c>
      <c r="V215" s="20" t="n">
        <v>95</v>
      </c>
      <c r="W215" s="20" t="n">
        <v>15</v>
      </c>
      <c r="X215" s="20" t="n">
        <v>0</v>
      </c>
    </row>
    <row r="216">
      <c r="A216" s="18" t="inlineStr">
        <is>
          <t>관계회사 주식 매각손익</t>
        </is>
      </c>
      <c r="E216" s="20" t="n">
        <v>0</v>
      </c>
      <c r="O216" s="20" t="n">
        <v>-1560</v>
      </c>
      <c r="P216" s="20" t="n">
        <v>0</v>
      </c>
      <c r="Q216" s="20" t="n">
        <v>-0</v>
      </c>
      <c r="R216" s="20" t="n">
        <v>0</v>
      </c>
      <c r="S216" s="20" t="n">
        <v>104</v>
      </c>
      <c r="T216" s="20" t="n">
        <v>-468</v>
      </c>
      <c r="U216" s="20" t="n">
        <v>-5758</v>
      </c>
      <c r="V216" s="20" t="n">
        <v>0</v>
      </c>
    </row>
    <row r="217">
      <c r="A217" s="18" t="inlineStr">
        <is>
          <t>사업구조개선비용</t>
        </is>
      </c>
      <c r="O217" s="20" t="n">
        <v>21</v>
      </c>
      <c r="P217" s="20" t="n">
        <v>0</v>
      </c>
    </row>
    <row r="218">
      <c r="A218" s="18" t="inlineStr">
        <is>
          <t>관계회사 주식 평가손실</t>
        </is>
      </c>
      <c r="P218" s="20" t="n">
        <v>0</v>
      </c>
      <c r="Q218" s="20" t="n">
        <v>92</v>
      </c>
      <c r="R218" s="20" t="n">
        <v>0</v>
      </c>
    </row>
    <row r="219">
      <c r="A219" s="18" t="inlineStr">
        <is>
          <t>Decrease Increase In Cash Segregated As Deposits Ope CFSEC</t>
        </is>
      </c>
      <c r="S219" s="20" t="n">
        <v>0</v>
      </c>
      <c r="T219" s="20" t="n">
        <v>99</v>
      </c>
      <c r="U219" s="20" t="n">
        <v>49</v>
      </c>
    </row>
    <row r="220">
      <c r="A220" s="18" t="inlineStr">
        <is>
          <t>Decrease Increase In Trading Products Assets Ope CFSEC</t>
        </is>
      </c>
      <c r="O220" s="20" t="n">
        <v>324</v>
      </c>
      <c r="P220" s="20" t="n">
        <v>-779</v>
      </c>
      <c r="Q220" s="20" t="n">
        <v>189</v>
      </c>
      <c r="R220" s="20" t="n">
        <v>357</v>
      </c>
      <c r="S220" s="20" t="n">
        <v>-132</v>
      </c>
      <c r="T220" s="20" t="n">
        <v>-141</v>
      </c>
      <c r="U220" s="20" t="n">
        <v>0</v>
      </c>
    </row>
    <row r="221">
      <c r="A221" s="18" t="inlineStr">
        <is>
          <t>예수금 증감</t>
        </is>
      </c>
      <c r="E221" s="20" t="n">
        <v>43</v>
      </c>
      <c r="I221" s="20" t="n">
        <v>-32</v>
      </c>
      <c r="M221" s="20" t="n">
        <v>-3</v>
      </c>
      <c r="O221" s="20" t="n">
        <v>-194</v>
      </c>
      <c r="P221" s="20" t="n">
        <v>-158</v>
      </c>
      <c r="Q221" s="20" t="n">
        <v>-952</v>
      </c>
      <c r="R221" s="20" t="n">
        <v>1451</v>
      </c>
      <c r="S221" s="20" t="n">
        <v>1275</v>
      </c>
      <c r="T221" s="20" t="n">
        <v>-492</v>
      </c>
      <c r="U221" s="20" t="n">
        <v>-1</v>
      </c>
      <c r="V221" s="20" t="n">
        <v>43</v>
      </c>
      <c r="W221" s="20" t="n">
        <v>-32</v>
      </c>
      <c r="X221" s="20" t="n">
        <v>-3</v>
      </c>
    </row>
    <row r="222">
      <c r="A222" s="18" t="inlineStr">
        <is>
          <t>Increase Decrease In Guarantee Deposits Received Ope CFSEC</t>
        </is>
      </c>
      <c r="O222" s="20" t="n">
        <v>-659</v>
      </c>
      <c r="P222" s="20" t="n">
        <v>901</v>
      </c>
      <c r="Q222" s="20" t="n">
        <v>-1648</v>
      </c>
      <c r="R222" s="20" t="n">
        <v>230</v>
      </c>
      <c r="S222" s="20" t="n">
        <v>-391</v>
      </c>
      <c r="T222" s="20" t="n">
        <v>381</v>
      </c>
      <c r="U222" s="20" t="n">
        <v>0</v>
      </c>
    </row>
    <row r="223">
      <c r="A223" s="18" t="inlineStr">
        <is>
          <t>Decrease Increase In Margin Transaction Assets Ope CFSEC</t>
        </is>
      </c>
      <c r="O223" s="20" t="n">
        <v>823</v>
      </c>
      <c r="P223" s="20" t="n">
        <v>-2358</v>
      </c>
      <c r="Q223" s="20" t="n">
        <v>7151</v>
      </c>
      <c r="R223" s="20" t="n">
        <v>1882</v>
      </c>
      <c r="S223" s="20" t="n">
        <v>-1282</v>
      </c>
      <c r="T223" s="20" t="n">
        <v>264</v>
      </c>
      <c r="U223" s="20" t="n">
        <v>0</v>
      </c>
    </row>
    <row r="224">
      <c r="A224" s="18" t="inlineStr">
        <is>
          <t>Increase Decrease In Margin Transaction Liabilities Ope CFSEC</t>
        </is>
      </c>
      <c r="O224" s="20" t="n">
        <v>-1883</v>
      </c>
      <c r="P224" s="20" t="n">
        <v>580</v>
      </c>
      <c r="Q224" s="20" t="n">
        <v>-5919</v>
      </c>
      <c r="R224" s="20" t="n">
        <v>-1147</v>
      </c>
      <c r="S224" s="20" t="n">
        <v>2344</v>
      </c>
      <c r="T224" s="20" t="n">
        <v>805</v>
      </c>
      <c r="U224" s="20" t="n">
        <v>0</v>
      </c>
    </row>
    <row r="225">
      <c r="A225" s="18" t="inlineStr">
        <is>
          <t>Decrease Increase In Loans Secured By Securities Ope CFSEC</t>
        </is>
      </c>
      <c r="P225" s="20" t="n">
        <v>0</v>
      </c>
      <c r="Q225" s="20" t="n">
        <v>-76</v>
      </c>
      <c r="R225" s="20" t="n">
        <v>76</v>
      </c>
      <c r="S225" s="20" t="n">
        <v>0</v>
      </c>
    </row>
    <row r="226">
      <c r="A226" s="18" t="inlineStr">
        <is>
          <t>Increase Decrease In Borrowings Secured By Securities Ope CFSEC</t>
        </is>
      </c>
      <c r="P226" s="20" t="n">
        <v>0</v>
      </c>
      <c r="Q226" s="20" t="n">
        <v>369</v>
      </c>
      <c r="R226" s="20" t="n">
        <v>-161</v>
      </c>
      <c r="S226" s="20" t="n">
        <v>-93</v>
      </c>
      <c r="T226" s="20" t="n">
        <v>-114</v>
      </c>
      <c r="U226" s="20" t="n">
        <v>0</v>
      </c>
    </row>
    <row r="227">
      <c r="A227" s="18" t="inlineStr">
        <is>
          <t>Decrease Increase In Short Term Guarantee Deposits Ope CFSEC</t>
        </is>
      </c>
      <c r="O227" s="20" t="n">
        <v>40</v>
      </c>
      <c r="P227" s="20" t="n">
        <v>775</v>
      </c>
      <c r="Q227" s="20" t="n">
        <v>-15</v>
      </c>
      <c r="R227" s="20" t="n">
        <v>-17</v>
      </c>
      <c r="S227" s="20" t="n">
        <v>102</v>
      </c>
      <c r="T227" s="20" t="n">
        <v>-83</v>
      </c>
      <c r="U227" s="20" t="n">
        <v>0</v>
      </c>
    </row>
    <row r="228">
      <c r="A228" s="18" t="inlineStr">
        <is>
          <t>Decrease Increase In Cash Segregated As Deposits For Customers Ope CFSEC</t>
        </is>
      </c>
      <c r="O228" s="20" t="n">
        <v>321</v>
      </c>
      <c r="P228" s="20" t="n">
        <v>-2449</v>
      </c>
      <c r="Q228" s="20" t="n">
        <v>2310</v>
      </c>
      <c r="R228" s="20" t="n">
        <v>460</v>
      </c>
      <c r="S228" s="20" t="n">
        <v>-3264</v>
      </c>
      <c r="T228" s="20" t="n">
        <v>2300</v>
      </c>
      <c r="U228" s="20" t="n">
        <v>0</v>
      </c>
    </row>
    <row r="229">
      <c r="A229" s="18" t="inlineStr">
        <is>
          <t>Net Decrease Increase In Debentures Ope CF</t>
        </is>
      </c>
      <c r="E229" s="20" t="n">
        <v>2214</v>
      </c>
      <c r="I229" s="20" t="n">
        <v>0</v>
      </c>
      <c r="O229" s="20" t="n">
        <v>-22507</v>
      </c>
      <c r="P229" s="20" t="n">
        <v>3651</v>
      </c>
      <c r="Q229" s="20" t="n">
        <v>10896</v>
      </c>
      <c r="R229" s="20" t="n">
        <v>5526</v>
      </c>
      <c r="S229" s="20" t="n">
        <v>5454</v>
      </c>
      <c r="T229" s="20" t="n">
        <v>5525</v>
      </c>
      <c r="U229" s="20" t="n">
        <v>92</v>
      </c>
      <c r="V229" s="20" t="n">
        <v>2214</v>
      </c>
      <c r="W229" s="20" t="n">
        <v>0</v>
      </c>
    </row>
    <row r="230">
      <c r="A230" s="18" t="inlineStr">
        <is>
          <t>대출금 순증감</t>
        </is>
      </c>
      <c r="E230" s="20" t="n">
        <v>-19246</v>
      </c>
      <c r="I230" s="20" t="n">
        <v>1193</v>
      </c>
      <c r="M230" s="20" t="n">
        <v>-1241</v>
      </c>
      <c r="O230" s="20" t="n">
        <v>-12015</v>
      </c>
      <c r="P230" s="20" t="n">
        <v>-15306</v>
      </c>
      <c r="Q230" s="20" t="n">
        <v>-40297</v>
      </c>
      <c r="R230" s="20" t="n">
        <v>-20426</v>
      </c>
      <c r="S230" s="20" t="n">
        <v>-12181</v>
      </c>
      <c r="T230" s="20" t="n">
        <v>-67790</v>
      </c>
      <c r="U230" s="20" t="n">
        <v>-39526</v>
      </c>
      <c r="V230" s="20" t="n">
        <v>-19246</v>
      </c>
      <c r="W230" s="20" t="n">
        <v>1193</v>
      </c>
      <c r="X230" s="20" t="n">
        <v>-1241</v>
      </c>
    </row>
    <row r="231">
      <c r="A231" s="18" t="inlineStr">
        <is>
          <t>Net Increase Decrease In Payables Under Repurchase Agreements Ope CF</t>
        </is>
      </c>
      <c r="E231" s="20" t="n">
        <v>-2294</v>
      </c>
      <c r="I231" s="20" t="n">
        <v>0</v>
      </c>
      <c r="M231" s="20" t="n">
        <v>348</v>
      </c>
      <c r="Q231" s="20" t="n">
        <v>4460</v>
      </c>
      <c r="R231" s="20" t="n">
        <v>4005</v>
      </c>
      <c r="S231" s="20" t="n">
        <v>-4141</v>
      </c>
      <c r="T231" s="20" t="n">
        <v>6432</v>
      </c>
      <c r="U231" s="20" t="n">
        <v>-8088</v>
      </c>
      <c r="V231" s="20" t="n">
        <v>-2294</v>
      </c>
      <c r="W231" s="20" t="n">
        <v>0</v>
      </c>
      <c r="X231" s="20" t="n">
        <v>348</v>
      </c>
    </row>
    <row r="232">
      <c r="A232" s="18" t="inlineStr">
        <is>
          <t>예금 순증감</t>
        </is>
      </c>
      <c r="E232" s="20" t="n">
        <v>-2565</v>
      </c>
      <c r="I232" s="20" t="n">
        <v>-1662</v>
      </c>
      <c r="M232" s="20" t="n">
        <v>-534</v>
      </c>
      <c r="O232" s="20" t="n">
        <v>47525</v>
      </c>
      <c r="P232" s="20" t="n">
        <v>42958</v>
      </c>
      <c r="Q232" s="20" t="n">
        <v>67912</v>
      </c>
      <c r="R232" s="20" t="n">
        <v>37365</v>
      </c>
      <c r="S232" s="20" t="n">
        <v>75836</v>
      </c>
      <c r="T232" s="20" t="n">
        <v>36305</v>
      </c>
      <c r="U232" s="20" t="n">
        <v>43224</v>
      </c>
      <c r="V232" s="20" t="n">
        <v>-2565</v>
      </c>
      <c r="W232" s="20" t="n">
        <v>-1662</v>
      </c>
      <c r="X232" s="20" t="n">
        <v>-534</v>
      </c>
    </row>
    <row r="233">
      <c r="A233" s="18" t="inlineStr">
        <is>
          <t>Increase Decrease In Reserve For Financial Products Transaction Liabilities Ope CFSEC</t>
        </is>
      </c>
      <c r="O233" s="20" t="n">
        <v>6</v>
      </c>
      <c r="P233" s="20" t="n">
        <v>0</v>
      </c>
    </row>
    <row r="234">
      <c r="A234" s="18" t="inlineStr">
        <is>
          <t>Net Increase In Mandatory Cash Balances With The Bank Of Mongolia Ope CF</t>
        </is>
      </c>
      <c r="E234" s="20" t="n">
        <v>-4352</v>
      </c>
      <c r="I234" s="20" t="n">
        <v>0</v>
      </c>
      <c r="O234" s="20" t="n">
        <v>-6076</v>
      </c>
      <c r="P234" s="20" t="n">
        <v>-3498</v>
      </c>
      <c r="Q234" s="20" t="n">
        <v>-4115</v>
      </c>
      <c r="R234" s="20" t="n">
        <v>-5533</v>
      </c>
      <c r="S234" s="20" t="n">
        <v>168</v>
      </c>
      <c r="T234" s="20" t="n">
        <v>-2554</v>
      </c>
      <c r="U234" s="20" t="n">
        <v>-6722</v>
      </c>
      <c r="V234" s="20" t="n">
        <v>-4352</v>
      </c>
      <c r="W234" s="20" t="n">
        <v>0</v>
      </c>
    </row>
    <row r="235">
      <c r="A235" s="18" t="inlineStr">
        <is>
          <t>파생상품 평가손익</t>
        </is>
      </c>
      <c r="O235" s="20" t="n">
        <v>1193</v>
      </c>
      <c r="P235" s="20" t="n">
        <v>1189</v>
      </c>
      <c r="Q235" s="20" t="n">
        <v>592</v>
      </c>
      <c r="R235" s="20" t="n">
        <v>109</v>
      </c>
      <c r="S235" s="20" t="n">
        <v>160</v>
      </c>
      <c r="T235" s="20" t="n">
        <v>7</v>
      </c>
      <c r="U235" s="20" t="n">
        <v>-658</v>
      </c>
    </row>
    <row r="236">
      <c r="A236" s="18" t="inlineStr">
        <is>
          <t>재고자산 증감</t>
        </is>
      </c>
      <c r="E236" s="20" t="n">
        <v>-188</v>
      </c>
      <c r="I236" s="20" t="n">
        <v>-167</v>
      </c>
      <c r="M236" s="20" t="n">
        <v>-1511</v>
      </c>
      <c r="T236" s="20" t="n">
        <v>0</v>
      </c>
      <c r="U236" s="20" t="n">
        <v>-283</v>
      </c>
      <c r="V236" s="20" t="n">
        <v>-188</v>
      </c>
      <c r="W236" s="20" t="n">
        <v>-167</v>
      </c>
      <c r="X236" s="20" t="n">
        <v>-1511</v>
      </c>
    </row>
    <row r="237">
      <c r="A237" s="18" t="inlineStr">
        <is>
          <t>기타</t>
        </is>
      </c>
      <c r="E237" s="20" t="n">
        <v>-1328</v>
      </c>
      <c r="I237" s="20" t="n">
        <v>-955</v>
      </c>
      <c r="M237" s="20" t="n">
        <v>-1641</v>
      </c>
      <c r="O237" s="20" t="n">
        <v>-7454</v>
      </c>
      <c r="P237" s="20" t="n">
        <v>1025</v>
      </c>
      <c r="Q237" s="20" t="n">
        <v>-2852</v>
      </c>
      <c r="R237" s="20" t="n">
        <v>3130</v>
      </c>
      <c r="S237" s="20" t="n">
        <v>342</v>
      </c>
      <c r="T237" s="20" t="n">
        <v>-1313</v>
      </c>
      <c r="U237" s="20" t="n">
        <v>-1783</v>
      </c>
      <c r="V237" s="20" t="n">
        <v>-1328</v>
      </c>
      <c r="W237" s="20" t="n">
        <v>-955</v>
      </c>
      <c r="X237" s="20" t="n">
        <v>-1641</v>
      </c>
    </row>
    <row r="238">
      <c r="A238" s="18" t="inlineStr">
        <is>
          <t>소계</t>
        </is>
      </c>
      <c r="E238" s="20" t="n">
        <v>-21349</v>
      </c>
      <c r="I238" s="20" t="n">
        <v>-501</v>
      </c>
      <c r="M238" s="20" t="n">
        <v>-3174</v>
      </c>
      <c r="O238" s="20" t="n">
        <v>23096</v>
      </c>
      <c r="P238" s="20" t="n">
        <v>37864</v>
      </c>
      <c r="Q238" s="20" t="n">
        <v>54245</v>
      </c>
      <c r="R238" s="20" t="n">
        <v>43341</v>
      </c>
      <c r="S238" s="20" t="n">
        <v>79481</v>
      </c>
      <c r="T238" s="20" t="n">
        <v>1848</v>
      </c>
      <c r="U238" s="20" t="n">
        <v>24583</v>
      </c>
      <c r="V238" s="20" t="n">
        <v>-21349</v>
      </c>
      <c r="W238" s="20" t="n">
        <v>-501</v>
      </c>
      <c r="X238" s="20" t="n">
        <v>-3174</v>
      </c>
    </row>
    <row r="239">
      <c r="A239" s="18" t="inlineStr">
        <is>
          <t>이자·배당금 수취</t>
        </is>
      </c>
      <c r="E239" s="20" t="n">
        <v>337</v>
      </c>
      <c r="I239" s="20" t="n">
        <v>6522</v>
      </c>
      <c r="M239" s="20" t="n">
        <v>8033</v>
      </c>
      <c r="O239" s="20" t="n">
        <v>341</v>
      </c>
      <c r="P239" s="20" t="n">
        <v>388</v>
      </c>
      <c r="Q239" s="20" t="n">
        <v>429</v>
      </c>
      <c r="R239" s="20" t="n">
        <v>1000</v>
      </c>
      <c r="S239" s="20" t="n">
        <v>914</v>
      </c>
      <c r="T239" s="20" t="n">
        <v>818</v>
      </c>
      <c r="U239" s="20" t="n">
        <v>178</v>
      </c>
      <c r="V239" s="20" t="n">
        <v>337</v>
      </c>
      <c r="W239" s="20" t="n">
        <v>6522</v>
      </c>
      <c r="X239" s="20" t="n">
        <v>8033</v>
      </c>
    </row>
    <row r="240">
      <c r="A240" s="18" t="inlineStr">
        <is>
          <t>이자 지급</t>
        </is>
      </c>
      <c r="E240" s="20" t="n">
        <v>-16</v>
      </c>
      <c r="I240" s="20" t="n">
        <v>-16</v>
      </c>
      <c r="M240" s="20" t="n">
        <v>-23</v>
      </c>
      <c r="O240" s="20" t="n">
        <v>-66</v>
      </c>
      <c r="P240" s="20" t="n">
        <v>-80</v>
      </c>
      <c r="Q240" s="20" t="n">
        <v>-91</v>
      </c>
      <c r="R240" s="20" t="n">
        <v>-70</v>
      </c>
      <c r="S240" s="20" t="n">
        <v>-70</v>
      </c>
      <c r="T240" s="20" t="n">
        <v>-47</v>
      </c>
      <c r="U240" s="20" t="n">
        <v>-24</v>
      </c>
      <c r="V240" s="20" t="n">
        <v>-16</v>
      </c>
      <c r="W240" s="20" t="n">
        <v>-16</v>
      </c>
      <c r="X240" s="20" t="n">
        <v>-23</v>
      </c>
    </row>
    <row r="241">
      <c r="A241" s="18" t="inlineStr">
        <is>
          <t>법인세 납부</t>
        </is>
      </c>
      <c r="E241" s="20" t="n">
        <v>-4691</v>
      </c>
      <c r="I241" s="20" t="n">
        <v>-1506</v>
      </c>
      <c r="M241" s="20" t="n">
        <v>-2659</v>
      </c>
      <c r="O241" s="20" t="n">
        <v>-520</v>
      </c>
      <c r="P241" s="20" t="n">
        <v>-455</v>
      </c>
      <c r="Q241" s="20" t="n">
        <v>-2249</v>
      </c>
      <c r="R241" s="20" t="n">
        <v>-2932</v>
      </c>
      <c r="S241" s="20" t="n">
        <v>-2687</v>
      </c>
      <c r="T241" s="20" t="n">
        <v>-7641</v>
      </c>
      <c r="U241" s="20" t="n">
        <v>-7423</v>
      </c>
      <c r="V241" s="20" t="n">
        <v>-4691</v>
      </c>
      <c r="W241" s="20" t="n">
        <v>-1506</v>
      </c>
      <c r="X241" s="20" t="n">
        <v>-2659</v>
      </c>
    </row>
    <row r="242">
      <c r="A242" s="18" t="inlineStr">
        <is>
          <t>법인세 환급</t>
        </is>
      </c>
      <c r="E242" s="20" t="n">
        <v>133</v>
      </c>
      <c r="I242" s="20" t="n">
        <v>35</v>
      </c>
      <c r="M242" s="20" t="n">
        <v>0</v>
      </c>
      <c r="O242" s="20" t="n">
        <v>128</v>
      </c>
      <c r="P242" s="20" t="n">
        <v>17</v>
      </c>
      <c r="Q242" s="20" t="n">
        <v>79</v>
      </c>
      <c r="R242" s="20" t="n">
        <v>105</v>
      </c>
      <c r="S242" s="20" t="n">
        <v>0</v>
      </c>
      <c r="T242" s="20" t="n">
        <v>235</v>
      </c>
      <c r="U242" s="20" t="n">
        <v>1191</v>
      </c>
      <c r="V242" s="20" t="n">
        <v>133</v>
      </c>
      <c r="W242" s="20" t="n">
        <v>35</v>
      </c>
      <c r="X242" s="20" t="n">
        <v>0</v>
      </c>
    </row>
    <row r="243">
      <c r="A243" s="9" t="inlineStr">
        <is>
          <t>영업활동 현금흐름</t>
        </is>
      </c>
      <c r="E243" s="12" t="n">
        <v>-25586</v>
      </c>
      <c r="I243" s="12" t="n">
        <v>4532</v>
      </c>
      <c r="M243" s="12" t="n">
        <v>2176</v>
      </c>
      <c r="O243" s="12" t="n">
        <v>22979</v>
      </c>
      <c r="P243" s="12" t="n">
        <v>37735</v>
      </c>
      <c r="Q243" s="12" t="n">
        <v>52412</v>
      </c>
      <c r="R243" s="12" t="n">
        <v>41444</v>
      </c>
      <c r="S243" s="12" t="n">
        <v>77637</v>
      </c>
      <c r="T243" s="12" t="n">
        <v>-4785</v>
      </c>
      <c r="U243" s="12" t="n">
        <v>18505</v>
      </c>
      <c r="V243" s="12" t="n">
        <v>-25586</v>
      </c>
      <c r="W243" s="12" t="n">
        <v>4532</v>
      </c>
      <c r="X243" s="12" t="n">
        <v>2176</v>
      </c>
    </row>
    <row r="244">
      <c r="A244" s="18" t="inlineStr">
        <is>
          <t>유형자산 취득(설비투자)</t>
        </is>
      </c>
      <c r="E244" s="20" t="n">
        <v>-914</v>
      </c>
      <c r="I244" s="20" t="n">
        <v>-1821</v>
      </c>
      <c r="M244" s="20" t="n">
        <v>-444</v>
      </c>
      <c r="O244" s="20" t="n">
        <v>-5225</v>
      </c>
      <c r="P244" s="20" t="n">
        <v>-4015</v>
      </c>
      <c r="Q244" s="20" t="n">
        <v>-3223</v>
      </c>
      <c r="R244" s="20" t="n">
        <v>-4255</v>
      </c>
      <c r="S244" s="20" t="n">
        <v>-1990</v>
      </c>
      <c r="T244" s="20" t="n">
        <v>-1802</v>
      </c>
      <c r="U244" s="20" t="n">
        <v>-2660</v>
      </c>
      <c r="V244" s="20" t="n">
        <v>-914</v>
      </c>
      <c r="W244" s="20" t="n">
        <v>-1821</v>
      </c>
      <c r="X244" s="20" t="n">
        <v>-444</v>
      </c>
    </row>
    <row r="245">
      <c r="A245" s="18" t="inlineStr">
        <is>
          <t>유형자산 매각</t>
        </is>
      </c>
      <c r="E245" s="20" t="n">
        <v>8</v>
      </c>
      <c r="I245" s="20" t="n">
        <v>0</v>
      </c>
      <c r="O245" s="20" t="n">
        <v>57</v>
      </c>
      <c r="P245" s="20" t="n">
        <v>43</v>
      </c>
      <c r="Q245" s="20" t="n">
        <v>0</v>
      </c>
      <c r="R245" s="20" t="n">
        <v>0</v>
      </c>
      <c r="T245" s="20" t="n">
        <v>0</v>
      </c>
      <c r="U245" s="20" t="n">
        <v>87</v>
      </c>
      <c r="V245" s="20" t="n">
        <v>8</v>
      </c>
      <c r="W245" s="20" t="n">
        <v>0</v>
      </c>
    </row>
    <row r="246">
      <c r="A246" s="18" t="inlineStr">
        <is>
          <t>무형자산 취득</t>
        </is>
      </c>
      <c r="E246" s="20" t="n">
        <v>-131</v>
      </c>
      <c r="I246" s="20" t="n">
        <v>-60</v>
      </c>
      <c r="M246" s="20" t="n">
        <v>-120</v>
      </c>
      <c r="O246" s="20" t="n">
        <v>-889</v>
      </c>
      <c r="P246" s="20" t="n">
        <v>-509</v>
      </c>
      <c r="Q246" s="20" t="n">
        <v>-587</v>
      </c>
      <c r="R246" s="20" t="n">
        <v>-1115</v>
      </c>
      <c r="S246" s="20" t="n">
        <v>-832</v>
      </c>
      <c r="T246" s="20" t="n">
        <v>-885</v>
      </c>
      <c r="U246" s="20" t="n">
        <v>-725</v>
      </c>
      <c r="V246" s="20" t="n">
        <v>-131</v>
      </c>
      <c r="W246" s="20" t="n">
        <v>-60</v>
      </c>
      <c r="X246" s="20" t="n">
        <v>-120</v>
      </c>
    </row>
    <row r="247">
      <c r="A247" s="18" t="inlineStr">
        <is>
          <t>투자유가증권 취득</t>
        </is>
      </c>
      <c r="E247" s="20" t="n">
        <v>-12214</v>
      </c>
      <c r="I247" s="20" t="n">
        <v>-421</v>
      </c>
      <c r="M247" s="20" t="n">
        <v>-259</v>
      </c>
      <c r="O247" s="20" t="n">
        <v>-3648</v>
      </c>
      <c r="P247" s="20" t="n">
        <v>-13716</v>
      </c>
      <c r="Q247" s="20" t="n">
        <v>-4355</v>
      </c>
      <c r="R247" s="20" t="n">
        <v>-2753</v>
      </c>
      <c r="S247" s="20" t="n">
        <v>-13852</v>
      </c>
      <c r="T247" s="20" t="n">
        <v>-14310</v>
      </c>
      <c r="U247" s="20" t="n">
        <v>-32034</v>
      </c>
      <c r="V247" s="20" t="n">
        <v>-12214</v>
      </c>
      <c r="W247" s="20" t="n">
        <v>-421</v>
      </c>
      <c r="X247" s="20" t="n">
        <v>-259</v>
      </c>
    </row>
    <row r="248">
      <c r="A248" s="18" t="inlineStr">
        <is>
          <t>투자유가증권 매각·상환 수입</t>
        </is>
      </c>
      <c r="E248" s="20" t="n">
        <v>7899</v>
      </c>
      <c r="I248" s="20" t="n">
        <v>450</v>
      </c>
      <c r="M248" s="20" t="n">
        <v>2398</v>
      </c>
      <c r="O248" s="20" t="n">
        <v>6122</v>
      </c>
      <c r="P248" s="20" t="n">
        <v>17997</v>
      </c>
      <c r="Q248" s="20" t="n">
        <v>3959</v>
      </c>
      <c r="R248" s="20" t="n">
        <v>6401</v>
      </c>
      <c r="S248" s="20" t="n">
        <v>5627</v>
      </c>
      <c r="T248" s="20" t="n">
        <v>7335</v>
      </c>
      <c r="U248" s="20" t="n">
        <v>7690</v>
      </c>
      <c r="V248" s="20" t="n">
        <v>7899</v>
      </c>
      <c r="W248" s="20" t="n">
        <v>450</v>
      </c>
      <c r="X248" s="20" t="n">
        <v>2398</v>
      </c>
    </row>
    <row r="249">
      <c r="A249" s="18" t="inlineStr">
        <is>
          <t>관계회사 주식 매각</t>
        </is>
      </c>
      <c r="E249" s="20" t="n">
        <v>0</v>
      </c>
      <c r="I249" s="20" t="n">
        <v>0</v>
      </c>
      <c r="O249" s="20" t="n">
        <v>1033</v>
      </c>
      <c r="P249" s="20" t="n">
        <v>1</v>
      </c>
      <c r="Q249" s="20" t="n">
        <v>0</v>
      </c>
      <c r="R249" s="20" t="n">
        <v>0</v>
      </c>
      <c r="T249" s="20" t="n">
        <v>0</v>
      </c>
      <c r="U249" s="20" t="n">
        <v>12900</v>
      </c>
      <c r="V249" s="20" t="n">
        <v>0</v>
      </c>
      <c r="W249" s="20" t="n">
        <v>0</v>
      </c>
    </row>
    <row r="250">
      <c r="A250" s="18" t="inlineStr">
        <is>
          <t>연결범위 변경 자회사 주식 취득(수입)</t>
        </is>
      </c>
      <c r="O250" s="20" t="n">
        <v>0</v>
      </c>
      <c r="P250" s="20" t="n">
        <v>1077</v>
      </c>
      <c r="Q250" s="20" t="n">
        <v>0</v>
      </c>
    </row>
    <row r="251">
      <c r="A251" s="18" t="inlineStr">
        <is>
          <t>관계회사 정리 수입</t>
        </is>
      </c>
      <c r="O251" s="20" t="n">
        <v>0</v>
      </c>
      <c r="P251" s="20" t="n">
        <v>164</v>
      </c>
      <c r="Q251" s="20" t="n">
        <v>0</v>
      </c>
    </row>
    <row r="252">
      <c r="A252" s="18" t="inlineStr">
        <is>
          <t>Proceeds From Purchase Of Subsidiaries Resulting In Change In Scope Of Consolidation Inv CF</t>
        </is>
      </c>
      <c r="E252" s="20" t="n">
        <v>0</v>
      </c>
      <c r="T252" s="20" t="n">
        <v>0</v>
      </c>
      <c r="U252" s="20" t="n">
        <v>1646</v>
      </c>
      <c r="V252" s="20" t="n">
        <v>0</v>
      </c>
    </row>
    <row r="253">
      <c r="A253" s="18" t="inlineStr">
        <is>
          <t>연결범위 변경 자회사 주식 매각</t>
        </is>
      </c>
      <c r="E253" s="20" t="n">
        <v>0</v>
      </c>
      <c r="O253" s="20" t="n">
        <v>877</v>
      </c>
      <c r="P253" s="20" t="n">
        <v>0</v>
      </c>
      <c r="R253" s="20" t="n">
        <v>0</v>
      </c>
      <c r="S253" s="20" t="n">
        <v>39</v>
      </c>
      <c r="T253" s="20" t="n">
        <v>1676</v>
      </c>
      <c r="U253" s="20" t="n">
        <v>1763</v>
      </c>
      <c r="V253" s="20" t="n">
        <v>0</v>
      </c>
    </row>
    <row r="254">
      <c r="A254" s="18" t="inlineStr">
        <is>
          <t>관계회사 주식 취득</t>
        </is>
      </c>
      <c r="E254" s="20" t="n">
        <v>0</v>
      </c>
      <c r="I254" s="20" t="n">
        <v>0</v>
      </c>
      <c r="M254" s="20" t="n">
        <v>-4</v>
      </c>
      <c r="O254" s="20" t="n">
        <v>-75</v>
      </c>
      <c r="P254" s="20" t="n">
        <v>-67</v>
      </c>
      <c r="Q254" s="20" t="n">
        <v>-32</v>
      </c>
      <c r="R254" s="20" t="n">
        <v>0</v>
      </c>
      <c r="T254" s="20" t="n">
        <v>0</v>
      </c>
      <c r="U254" s="20" t="n">
        <v>-6642</v>
      </c>
      <c r="V254" s="20" t="n">
        <v>0</v>
      </c>
      <c r="W254" s="20" t="n">
        <v>0</v>
      </c>
      <c r="X254" s="20" t="n">
        <v>-4</v>
      </c>
    </row>
    <row r="255">
      <c r="A255" s="18" t="inlineStr">
        <is>
          <t>연결범위 변경 자회사 주식 취득</t>
        </is>
      </c>
      <c r="I255" s="20" t="n">
        <v>0</v>
      </c>
      <c r="M255" s="20" t="n">
        <v>-2934</v>
      </c>
      <c r="W255" s="20" t="n">
        <v>0</v>
      </c>
      <c r="X255" s="20" t="n">
        <v>-2934</v>
      </c>
    </row>
    <row r="256">
      <c r="A256" s="18" t="inlineStr">
        <is>
          <t>대여</t>
        </is>
      </c>
      <c r="E256" s="20" t="n">
        <v>-2000</v>
      </c>
      <c r="I256" s="20" t="n">
        <v>-4860</v>
      </c>
      <c r="M256" s="20" t="n">
        <v>-7925</v>
      </c>
      <c r="O256" s="20" t="n">
        <v>-10</v>
      </c>
      <c r="P256" s="20" t="n">
        <v>-812</v>
      </c>
      <c r="Q256" s="20" t="n">
        <v>-448</v>
      </c>
      <c r="R256" s="20" t="n">
        <v>-280</v>
      </c>
      <c r="S256" s="20" t="n">
        <v>0</v>
      </c>
      <c r="T256" s="20" t="n">
        <v>-3000</v>
      </c>
      <c r="U256" s="20" t="n">
        <v>-1000</v>
      </c>
      <c r="V256" s="20" t="n">
        <v>-2000</v>
      </c>
      <c r="W256" s="20" t="n">
        <v>-4860</v>
      </c>
      <c r="X256" s="20" t="n">
        <v>-7925</v>
      </c>
    </row>
    <row r="257">
      <c r="A257" s="18" t="inlineStr">
        <is>
          <t>대여금 회수</t>
        </is>
      </c>
      <c r="E257" s="20" t="n">
        <v>0</v>
      </c>
      <c r="I257" s="20" t="n">
        <v>750</v>
      </c>
      <c r="M257" s="20" t="n">
        <v>8558</v>
      </c>
      <c r="P257" s="20" t="n">
        <v>0</v>
      </c>
      <c r="Q257" s="20" t="n">
        <v>44</v>
      </c>
      <c r="R257" s="20" t="n">
        <v>35</v>
      </c>
      <c r="S257" s="20" t="n">
        <v>1041</v>
      </c>
      <c r="T257" s="20" t="n">
        <v>0</v>
      </c>
      <c r="U257" s="20" t="n">
        <v>1000</v>
      </c>
      <c r="V257" s="20" t="n">
        <v>0</v>
      </c>
      <c r="W257" s="20" t="n">
        <v>750</v>
      </c>
      <c r="X257" s="20" t="n">
        <v>8558</v>
      </c>
    </row>
    <row r="258">
      <c r="A258" s="18" t="inlineStr">
        <is>
          <t>정기예금 증감</t>
        </is>
      </c>
      <c r="E258" s="20" t="n">
        <v>-663</v>
      </c>
      <c r="I258" s="20" t="n">
        <v>-408</v>
      </c>
      <c r="M258" s="20" t="n">
        <v>397</v>
      </c>
      <c r="O258" s="20" t="n">
        <v>1258</v>
      </c>
      <c r="P258" s="20" t="n">
        <v>-10666</v>
      </c>
      <c r="Q258" s="20" t="n">
        <v>1812</v>
      </c>
      <c r="R258" s="20" t="n">
        <v>7147</v>
      </c>
      <c r="S258" s="20" t="n">
        <v>1264</v>
      </c>
      <c r="T258" s="20" t="n">
        <v>3334</v>
      </c>
      <c r="U258" s="20" t="n">
        <v>60</v>
      </c>
      <c r="V258" s="20" t="n">
        <v>-663</v>
      </c>
      <c r="W258" s="20" t="n">
        <v>-408</v>
      </c>
      <c r="X258" s="20" t="n">
        <v>397</v>
      </c>
    </row>
    <row r="259">
      <c r="A259" s="18" t="inlineStr">
        <is>
          <t>임차보증금·보증금 회수</t>
        </is>
      </c>
      <c r="E259" s="20" t="n">
        <v>13</v>
      </c>
      <c r="I259" s="20" t="n">
        <v>0</v>
      </c>
      <c r="M259" s="20" t="n">
        <v>121</v>
      </c>
      <c r="O259" s="20" t="n">
        <v>4</v>
      </c>
      <c r="P259" s="20" t="n">
        <v>3</v>
      </c>
      <c r="Q259" s="20" t="n">
        <v>2</v>
      </c>
      <c r="R259" s="20" t="n">
        <v>5</v>
      </c>
      <c r="S259" s="20" t="n">
        <v>1</v>
      </c>
      <c r="T259" s="20" t="n">
        <v>0</v>
      </c>
      <c r="U259" s="20" t="n">
        <v>0</v>
      </c>
      <c r="V259" s="20" t="n">
        <v>13</v>
      </c>
      <c r="W259" s="20" t="n">
        <v>0</v>
      </c>
      <c r="X259" s="20" t="n">
        <v>121</v>
      </c>
    </row>
    <row r="260">
      <c r="A260" s="18" t="inlineStr">
        <is>
          <t>임차보증금·보증금 납입</t>
        </is>
      </c>
      <c r="E260" s="20" t="n">
        <v>-88</v>
      </c>
      <c r="I260" s="20" t="n">
        <v>-41</v>
      </c>
      <c r="M260" s="20" t="n">
        <v>-121</v>
      </c>
      <c r="O260" s="20" t="n">
        <v>-0</v>
      </c>
      <c r="P260" s="20" t="n">
        <v>-8</v>
      </c>
      <c r="Q260" s="20" t="n">
        <v>-0</v>
      </c>
      <c r="R260" s="20" t="n">
        <v>-2</v>
      </c>
      <c r="S260" s="20" t="n">
        <v>-8</v>
      </c>
      <c r="T260" s="20" t="n">
        <v>-4</v>
      </c>
      <c r="U260" s="20" t="n">
        <v>-19</v>
      </c>
      <c r="V260" s="20" t="n">
        <v>-88</v>
      </c>
      <c r="W260" s="20" t="n">
        <v>-41</v>
      </c>
      <c r="X260" s="20" t="n">
        <v>-121</v>
      </c>
    </row>
    <row r="261">
      <c r="A261" s="18" t="inlineStr">
        <is>
          <t>기타</t>
        </is>
      </c>
      <c r="E261" s="20" t="n">
        <v>-14</v>
      </c>
      <c r="I261" s="20" t="n">
        <v>358</v>
      </c>
      <c r="M261" s="20" t="n">
        <v>66</v>
      </c>
      <c r="O261" s="20" t="n">
        <v>11</v>
      </c>
      <c r="P261" s="20" t="n">
        <v>1</v>
      </c>
      <c r="Q261" s="20" t="n">
        <v>28</v>
      </c>
      <c r="R261" s="20" t="n">
        <v>-27</v>
      </c>
      <c r="S261" s="20" t="n">
        <v>7</v>
      </c>
      <c r="T261" s="20" t="n">
        <v>0</v>
      </c>
      <c r="U261" s="20" t="n">
        <v>-5</v>
      </c>
      <c r="V261" s="20" t="n">
        <v>-14</v>
      </c>
      <c r="W261" s="20" t="n">
        <v>358</v>
      </c>
      <c r="X261" s="20" t="n">
        <v>66</v>
      </c>
    </row>
    <row r="262">
      <c r="A262" s="9" t="inlineStr">
        <is>
          <t>투자활동 현금흐름</t>
        </is>
      </c>
      <c r="E262" s="12" t="n">
        <v>-8104</v>
      </c>
      <c r="I262" s="12" t="n">
        <v>-6054</v>
      </c>
      <c r="M262" s="12" t="n">
        <v>-269</v>
      </c>
      <c r="O262" s="12" t="n">
        <v>-483</v>
      </c>
      <c r="P262" s="12" t="n">
        <v>-10505</v>
      </c>
      <c r="Q262" s="12" t="n">
        <v>-2800</v>
      </c>
      <c r="R262" s="12" t="n">
        <v>5155</v>
      </c>
      <c r="S262" s="12" t="n">
        <v>-8704</v>
      </c>
      <c r="T262" s="12" t="n">
        <v>-7656</v>
      </c>
      <c r="U262" s="12" t="n">
        <v>-17938</v>
      </c>
      <c r="V262" s="12" t="n">
        <v>-8104</v>
      </c>
      <c r="W262" s="12" t="n">
        <v>-6054</v>
      </c>
      <c r="X262" s="12" t="n">
        <v>-269</v>
      </c>
    </row>
    <row r="263">
      <c r="A263" s="18" t="inlineStr">
        <is>
          <t>단기차입금 순증감</t>
        </is>
      </c>
      <c r="E263" s="20" t="n">
        <v>0</v>
      </c>
      <c r="I263" s="20" t="n">
        <v>0</v>
      </c>
      <c r="M263" s="20" t="n">
        <v>-310</v>
      </c>
      <c r="O263" s="20" t="n">
        <v>551</v>
      </c>
      <c r="P263" s="20" t="n">
        <v>1888</v>
      </c>
      <c r="Q263" s="20" t="n">
        <v>-524</v>
      </c>
      <c r="R263" s="20" t="n">
        <v>267</v>
      </c>
      <c r="S263" s="20" t="n">
        <v>-780</v>
      </c>
      <c r="T263" s="20" t="n">
        <v>-39</v>
      </c>
      <c r="U263" s="20" t="n">
        <v>2284</v>
      </c>
      <c r="V263" s="20" t="n">
        <v>0</v>
      </c>
      <c r="W263" s="20" t="n">
        <v>0</v>
      </c>
      <c r="X263" s="20" t="n">
        <v>-310</v>
      </c>
    </row>
    <row r="264">
      <c r="A264" s="18" t="inlineStr">
        <is>
          <t>장기차입</t>
        </is>
      </c>
      <c r="E264" s="20" t="n">
        <v>18191</v>
      </c>
      <c r="I264" s="20" t="n">
        <v>260</v>
      </c>
      <c r="M264" s="20" t="n">
        <v>559</v>
      </c>
      <c r="O264" s="20" t="n">
        <v>33617</v>
      </c>
      <c r="P264" s="20" t="n">
        <v>24620</v>
      </c>
      <c r="Q264" s="20" t="n">
        <v>39852</v>
      </c>
      <c r="R264" s="20" t="n">
        <v>35353</v>
      </c>
      <c r="S264" s="20" t="n">
        <v>15552</v>
      </c>
      <c r="T264" s="20" t="n">
        <v>37636</v>
      </c>
      <c r="U264" s="20" t="n">
        <v>41978</v>
      </c>
      <c r="V264" s="20" t="n">
        <v>18191</v>
      </c>
      <c r="W264" s="20" t="n">
        <v>260</v>
      </c>
      <c r="X264" s="20" t="n">
        <v>559</v>
      </c>
    </row>
    <row r="265">
      <c r="A265" s="18" t="inlineStr">
        <is>
          <t>장기차입금 상환</t>
        </is>
      </c>
      <c r="E265" s="20" t="n">
        <v>-11405</v>
      </c>
      <c r="I265" s="20" t="n">
        <v>-190</v>
      </c>
      <c r="M265" s="20" t="n">
        <v>-296</v>
      </c>
      <c r="O265" s="20" t="n">
        <v>-32493</v>
      </c>
      <c r="P265" s="20" t="n">
        <v>-34562</v>
      </c>
      <c r="Q265" s="20" t="n">
        <v>-42018</v>
      </c>
      <c r="R265" s="20" t="n">
        <v>-43065</v>
      </c>
      <c r="S265" s="20" t="n">
        <v>-21725</v>
      </c>
      <c r="T265" s="20" t="n">
        <v>-27943</v>
      </c>
      <c r="U265" s="20" t="n">
        <v>-27659</v>
      </c>
      <c r="V265" s="20" t="n">
        <v>-11405</v>
      </c>
      <c r="W265" s="20" t="n">
        <v>-190</v>
      </c>
      <c r="X265" s="20" t="n">
        <v>-296</v>
      </c>
    </row>
    <row r="266">
      <c r="A266" s="18" t="inlineStr">
        <is>
          <t>자기주식 취득</t>
        </is>
      </c>
      <c r="E266" s="20" t="n">
        <v>-1198</v>
      </c>
      <c r="I266" s="20" t="n">
        <v>-0</v>
      </c>
      <c r="M266" s="20" t="n">
        <v>-0</v>
      </c>
      <c r="O266" s="20" t="n">
        <v>-0</v>
      </c>
      <c r="P266" s="20" t="n">
        <v>-0</v>
      </c>
      <c r="Q266" s="20" t="n">
        <v>-0</v>
      </c>
      <c r="R266" s="20" t="n">
        <v>-0</v>
      </c>
      <c r="S266" s="20" t="n">
        <v>-0</v>
      </c>
      <c r="T266" s="20" t="n">
        <v>-9620</v>
      </c>
      <c r="U266" s="20" t="n">
        <v>-0</v>
      </c>
      <c r="V266" s="20" t="n">
        <v>-1198</v>
      </c>
      <c r="W266" s="20" t="n">
        <v>-0</v>
      </c>
      <c r="X266" s="20" t="n">
        <v>-0</v>
      </c>
    </row>
    <row r="267">
      <c r="A267" s="18" t="inlineStr">
        <is>
          <t>사채 발행</t>
        </is>
      </c>
      <c r="E267" s="20" t="n">
        <v>0</v>
      </c>
      <c r="O267" s="20" t="n">
        <v>100</v>
      </c>
      <c r="P267" s="20" t="n">
        <v>100</v>
      </c>
      <c r="Q267" s="20" t="n">
        <v>0</v>
      </c>
      <c r="R267" s="20" t="n">
        <v>0</v>
      </c>
      <c r="S267" s="20" t="n">
        <v>180</v>
      </c>
      <c r="T267" s="20" t="n">
        <v>100</v>
      </c>
      <c r="U267" s="20" t="n">
        <v>168</v>
      </c>
      <c r="V267" s="20" t="n">
        <v>0</v>
      </c>
    </row>
    <row r="268">
      <c r="A268" s="18" t="inlineStr">
        <is>
          <t>사채 상환</t>
        </is>
      </c>
      <c r="E268" s="20" t="n">
        <v>0</v>
      </c>
      <c r="O268" s="20" t="n">
        <v>-192</v>
      </c>
      <c r="P268" s="20" t="n">
        <v>-247</v>
      </c>
      <c r="Q268" s="20" t="n">
        <v>-170</v>
      </c>
      <c r="R268" s="20" t="n">
        <v>-68</v>
      </c>
      <c r="S268" s="20" t="n">
        <v>-27</v>
      </c>
      <c r="T268" s="20" t="n">
        <v>-56</v>
      </c>
      <c r="U268" s="20" t="n">
        <v>-112</v>
      </c>
      <c r="V268" s="20" t="n">
        <v>0</v>
      </c>
    </row>
    <row r="269">
      <c r="A269" s="18" t="inlineStr">
        <is>
          <t>배당금 지급</t>
        </is>
      </c>
      <c r="E269" s="20" t="n">
        <v>-312</v>
      </c>
      <c r="I269" s="20" t="n">
        <v>-300</v>
      </c>
      <c r="M269" s="20" t="n">
        <v>-300</v>
      </c>
      <c r="O269" s="20" t="n">
        <v>-396</v>
      </c>
      <c r="P269" s="20" t="n">
        <v>-396</v>
      </c>
      <c r="Q269" s="20" t="n">
        <v>-396</v>
      </c>
      <c r="R269" s="20" t="n">
        <v>-475</v>
      </c>
      <c r="S269" s="20" t="n">
        <v>-475</v>
      </c>
      <c r="T269" s="20" t="n">
        <v>-475</v>
      </c>
      <c r="U269" s="20" t="n">
        <v>-312</v>
      </c>
      <c r="V269" s="20" t="n">
        <v>-312</v>
      </c>
      <c r="W269" s="20" t="n">
        <v>-300</v>
      </c>
      <c r="X269" s="20" t="n">
        <v>-300</v>
      </c>
    </row>
    <row r="270">
      <c r="A270" s="18" t="inlineStr">
        <is>
          <t>기타</t>
        </is>
      </c>
      <c r="O270" s="20" t="n">
        <v>-16</v>
      </c>
      <c r="P270" s="20" t="n">
        <v>-5</v>
      </c>
      <c r="Q270" s="20" t="n">
        <v>-9</v>
      </c>
    </row>
    <row r="271">
      <c r="A271" s="18" t="inlineStr">
        <is>
          <t>비지배주주 배당금 지급</t>
        </is>
      </c>
      <c r="E271" s="20" t="n">
        <v>0</v>
      </c>
      <c r="P271" s="20" t="n">
        <v>0</v>
      </c>
      <c r="Q271" s="20" t="n">
        <v>-245</v>
      </c>
      <c r="R271" s="20" t="n">
        <v>0</v>
      </c>
      <c r="S271" s="20" t="n">
        <v>0</v>
      </c>
      <c r="T271" s="20" t="n">
        <v>-3088</v>
      </c>
      <c r="U271" s="20" t="n">
        <v>-6909</v>
      </c>
      <c r="V271" s="20" t="n">
        <v>0</v>
      </c>
    </row>
    <row r="272">
      <c r="A272" s="18" t="inlineStr">
        <is>
          <t>Additional Purchase Of Shares Of Subsidiaries Not Resulting In Change In Scope Of Consolidation Fin CF</t>
        </is>
      </c>
      <c r="E272" s="20" t="n">
        <v>0</v>
      </c>
      <c r="T272" s="20" t="n">
        <v>0</v>
      </c>
      <c r="U272" s="20" t="n">
        <v>-6500</v>
      </c>
      <c r="V272" s="20" t="n">
        <v>0</v>
      </c>
    </row>
    <row r="273">
      <c r="A273" s="18" t="inlineStr">
        <is>
          <t>연결범위 변동 없는 자회사 주식 매각 수입</t>
        </is>
      </c>
      <c r="S273" s="20" t="n">
        <v>0</v>
      </c>
      <c r="T273" s="20" t="n">
        <v>2090</v>
      </c>
      <c r="U273" s="20" t="n">
        <v>0</v>
      </c>
    </row>
    <row r="274">
      <c r="A274" s="18" t="inlineStr">
        <is>
          <t>Purchase Of Treasury Stock Of Subsidiaries In Consolidation Fin CF</t>
        </is>
      </c>
      <c r="R274" s="20" t="n">
        <v>0</v>
      </c>
      <c r="S274" s="20" t="n">
        <v>-7177</v>
      </c>
      <c r="T274" s="20" t="n">
        <v>0</v>
      </c>
    </row>
    <row r="275">
      <c r="A275" s="18" t="inlineStr">
        <is>
          <t>비지배주주 납입</t>
        </is>
      </c>
      <c r="E275" s="20" t="n">
        <v>6972</v>
      </c>
      <c r="I275" s="20" t="n">
        <v>0</v>
      </c>
      <c r="M275" s="20" t="n">
        <v>154</v>
      </c>
      <c r="O275" s="20" t="n">
        <v>0</v>
      </c>
      <c r="P275" s="20" t="n">
        <v>20</v>
      </c>
      <c r="Q275" s="20" t="n">
        <v>0</v>
      </c>
      <c r="U275" s="20" t="n">
        <v>0</v>
      </c>
      <c r="V275" s="20" t="n">
        <v>6972</v>
      </c>
      <c r="W275" s="20" t="n">
        <v>0</v>
      </c>
      <c r="X275" s="20" t="n">
        <v>154</v>
      </c>
    </row>
    <row r="276">
      <c r="A276" s="18" t="inlineStr">
        <is>
          <t>리스부채 상환</t>
        </is>
      </c>
      <c r="E276" s="20" t="n">
        <v>-117</v>
      </c>
      <c r="I276" s="20" t="n">
        <v>-56</v>
      </c>
      <c r="M276" s="20" t="n">
        <v>-51</v>
      </c>
      <c r="Q276" s="20" t="n">
        <v>-9</v>
      </c>
      <c r="R276" s="20" t="n">
        <v>-213</v>
      </c>
      <c r="S276" s="20" t="n">
        <v>-296</v>
      </c>
      <c r="T276" s="20" t="n">
        <v>-321</v>
      </c>
      <c r="U276" s="20" t="n">
        <v>-358</v>
      </c>
      <c r="V276" s="20" t="n">
        <v>-117</v>
      </c>
      <c r="W276" s="20" t="n">
        <v>-56</v>
      </c>
      <c r="X276" s="20" t="n">
        <v>-51</v>
      </c>
    </row>
    <row r="277">
      <c r="A277" s="9" t="inlineStr">
        <is>
          <t>재무활동 현금흐름</t>
        </is>
      </c>
      <c r="E277" s="12" t="n">
        <v>12129</v>
      </c>
      <c r="I277" s="12" t="n">
        <v>-287</v>
      </c>
      <c r="M277" s="12" t="n">
        <v>-245</v>
      </c>
      <c r="O277" s="12" t="n">
        <v>1170</v>
      </c>
      <c r="P277" s="12" t="n">
        <v>-8582</v>
      </c>
      <c r="Q277" s="12" t="n">
        <v>-3511</v>
      </c>
      <c r="R277" s="12" t="n">
        <v>-8201</v>
      </c>
      <c r="S277" s="12" t="n">
        <v>-14749</v>
      </c>
      <c r="T277" s="12" t="n">
        <v>-1719</v>
      </c>
      <c r="U277" s="12" t="n">
        <v>2578</v>
      </c>
      <c r="V277" s="12" t="n">
        <v>12129</v>
      </c>
      <c r="W277" s="12" t="n">
        <v>-287</v>
      </c>
      <c r="X277" s="12" t="n">
        <v>-245</v>
      </c>
    </row>
    <row r="278">
      <c r="A278" s="18" t="inlineStr">
        <is>
          <t>현금성자산 환산차이</t>
        </is>
      </c>
      <c r="E278" s="20" t="n">
        <v>-2215</v>
      </c>
      <c r="I278" s="20" t="n">
        <v>747</v>
      </c>
      <c r="M278" s="20" t="n">
        <v>-263</v>
      </c>
      <c r="O278" s="20" t="n">
        <v>-10866</v>
      </c>
      <c r="P278" s="20" t="n">
        <v>-750</v>
      </c>
      <c r="Q278" s="20" t="n">
        <v>-10350</v>
      </c>
      <c r="R278" s="20" t="n">
        <v>-6108</v>
      </c>
      <c r="S278" s="20" t="n">
        <v>-14766</v>
      </c>
      <c r="T278" s="20" t="n">
        <v>19820</v>
      </c>
      <c r="U278" s="20" t="n">
        <v>-8159</v>
      </c>
      <c r="V278" s="20" t="n">
        <v>-2215</v>
      </c>
      <c r="W278" s="20" t="n">
        <v>747</v>
      </c>
      <c r="X278" s="20" t="n">
        <v>-263</v>
      </c>
    </row>
    <row r="279">
      <c r="A279" s="18" t="inlineStr">
        <is>
          <t>현금성자산 증감</t>
        </is>
      </c>
      <c r="E279" s="20" t="n">
        <v>-23776</v>
      </c>
      <c r="I279" s="20" t="n">
        <v>-1062</v>
      </c>
      <c r="M279" s="20" t="n">
        <v>1398</v>
      </c>
      <c r="O279" s="20" t="n">
        <v>12799</v>
      </c>
      <c r="P279" s="20" t="n">
        <v>17896</v>
      </c>
      <c r="Q279" s="20" t="n">
        <v>35751</v>
      </c>
      <c r="R279" s="20" t="n">
        <v>32290</v>
      </c>
      <c r="S279" s="20" t="n">
        <v>39416</v>
      </c>
      <c r="T279" s="20" t="n">
        <v>5658</v>
      </c>
      <c r="U279" s="20" t="n">
        <v>-5013</v>
      </c>
      <c r="V279" s="20" t="n">
        <v>-23776</v>
      </c>
      <c r="W279" s="20" t="n">
        <v>-1062</v>
      </c>
      <c r="X279" s="20" t="n">
        <v>1398</v>
      </c>
    </row>
    <row r="280">
      <c r="A280" s="18" t="inlineStr">
        <is>
          <t>신규 연결 현금성자산 증가</t>
        </is>
      </c>
      <c r="O280" s="20" t="n">
        <v>344</v>
      </c>
      <c r="P280" s="20" t="n">
        <v>0</v>
      </c>
    </row>
    <row r="281">
      <c r="A281" s="18" t="inlineStr">
        <is>
          <t>연결범위 변경에 따른 현금성자산 증감</t>
        </is>
      </c>
      <c r="E281" s="20" t="n">
        <v>-144081</v>
      </c>
      <c r="I281" s="20" t="n">
        <v>0</v>
      </c>
      <c r="U281" s="20" t="n">
        <v>0</v>
      </c>
      <c r="V281" s="20" t="n">
        <v>-144081</v>
      </c>
      <c r="W281" s="20" t="n">
        <v>0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58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8699 재무상태표</t>
        </is>
      </c>
    </row>
    <row r="2">
      <c r="A2" s="43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2026.1Q</t>
        </is>
      </c>
      <c r="D3" s="5" t="inlineStr">
        <is>
          <t>2026.2Q</t>
        </is>
      </c>
      <c r="E3" s="5" t="inlineStr">
        <is>
          <t>2026.3Q</t>
        </is>
      </c>
      <c r="F3" s="5" t="inlineStr">
        <is>
          <t>2026.4Q</t>
        </is>
      </c>
      <c r="G3" s="5" t="inlineStr">
        <is>
          <t>2027.1Q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39296</v>
      </c>
      <c r="D5" s="12" t="n">
        <v>37663</v>
      </c>
      <c r="E5" s="12" t="n">
        <v>41661</v>
      </c>
      <c r="F5" s="12" t="n">
        <v>43257</v>
      </c>
      <c r="G5" s="12" t="n">
        <v>44306</v>
      </c>
      <c r="H5" s="11" t="n">
        <v>514216</v>
      </c>
      <c r="I5" s="12" t="n">
        <v>552996</v>
      </c>
      <c r="J5" s="12" t="n">
        <v>31880</v>
      </c>
      <c r="K5" s="12" t="n">
        <v>36400</v>
      </c>
      <c r="L5" s="12" t="n">
        <v>43257</v>
      </c>
    </row>
    <row r="6">
      <c r="A6" s="18" t="inlineStr">
        <is>
          <t>현금및현금성자산</t>
        </is>
      </c>
      <c r="B6" s="10" t="n"/>
      <c r="C6" s="19" t="n">
        <v>17407</v>
      </c>
      <c r="D6" s="20" t="n">
        <v>19198</v>
      </c>
      <c r="E6" s="20" t="n">
        <v>17887</v>
      </c>
      <c r="F6" s="20" t="n">
        <v>18797</v>
      </c>
      <c r="G6" s="20" t="n">
        <v>19209</v>
      </c>
      <c r="H6" s="19" t="n">
        <v>88137</v>
      </c>
      <c r="I6" s="20" t="n">
        <v>149693</v>
      </c>
      <c r="J6" s="20" t="n">
        <v>18403</v>
      </c>
      <c r="K6" s="20" t="n">
        <v>17792</v>
      </c>
      <c r="L6" s="20" t="n">
        <v>18797</v>
      </c>
    </row>
    <row r="7">
      <c r="A7" s="18" t="inlineStr">
        <is>
          <t>단기금융상품</t>
        </is>
      </c>
      <c r="B7" s="10" t="n"/>
      <c r="C7" s="19" t="n">
        <v>447</v>
      </c>
      <c r="D7" s="20" t="n">
        <v>335</v>
      </c>
      <c r="E7" s="20" t="n">
        <v>346</v>
      </c>
      <c r="F7" s="20" t="n">
        <v>368</v>
      </c>
      <c r="G7" s="20" t="n">
        <v>83</v>
      </c>
      <c r="H7" s="19" t="n">
        <v>140099</v>
      </c>
      <c r="I7" s="20" t="n">
        <v>100892</v>
      </c>
      <c r="J7" s="20" t="n">
        <v>293</v>
      </c>
      <c r="K7" s="20" t="n">
        <v>261</v>
      </c>
      <c r="L7" s="20" t="n">
        <v>368</v>
      </c>
    </row>
    <row r="8">
      <c r="A8" s="18" t="inlineStr">
        <is>
          <t>매출채권</t>
        </is>
      </c>
      <c r="B8" s="10" t="n"/>
      <c r="C8" s="19" t="n">
        <v>908</v>
      </c>
      <c r="D8" s="20" t="n">
        <v>1077</v>
      </c>
      <c r="E8" s="20" t="n">
        <v>1202</v>
      </c>
      <c r="F8" s="20" t="n">
        <v>1058</v>
      </c>
      <c r="G8" s="20" t="n">
        <v>1349</v>
      </c>
      <c r="H8" s="19" t="n"/>
      <c r="I8" s="20" t="n">
        <v>277</v>
      </c>
      <c r="J8" s="20" t="n">
        <v>437</v>
      </c>
      <c r="K8" s="20" t="n">
        <v>479</v>
      </c>
      <c r="L8" s="20" t="n">
        <v>1058</v>
      </c>
    </row>
    <row r="9">
      <c r="A9" s="18" t="inlineStr">
        <is>
          <t>재고자산</t>
        </is>
      </c>
      <c r="B9" s="10" t="n"/>
      <c r="C9" s="19" t="n">
        <v>4161</v>
      </c>
      <c r="D9" s="20" t="n">
        <v>4291</v>
      </c>
      <c r="E9" s="20" t="n">
        <v>4870</v>
      </c>
      <c r="F9" s="20" t="n">
        <v>5022</v>
      </c>
      <c r="G9" s="20" t="n">
        <v>5828</v>
      </c>
      <c r="H9" s="19" t="n"/>
      <c r="I9" s="20" t="n">
        <v>1989</v>
      </c>
      <c r="J9" s="20" t="n">
        <v>2177</v>
      </c>
      <c r="K9" s="20" t="n">
        <v>2345</v>
      </c>
      <c r="L9" s="20" t="n">
        <v>5022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75273</v>
      </c>
      <c r="D11" s="12" t="n">
        <v>77076</v>
      </c>
      <c r="E11" s="12" t="n">
        <v>80021</v>
      </c>
      <c r="F11" s="12" t="n">
        <v>88738</v>
      </c>
      <c r="G11" s="12" t="n">
        <v>93673</v>
      </c>
      <c r="H11" s="11" t="n">
        <v>63233</v>
      </c>
      <c r="I11" s="12" t="n">
        <v>68730</v>
      </c>
      <c r="J11" s="12" t="n">
        <v>66894</v>
      </c>
      <c r="K11" s="12" t="n">
        <v>78933</v>
      </c>
      <c r="L11" s="12" t="n">
        <v>88738</v>
      </c>
    </row>
    <row r="12">
      <c r="A12" s="18" t="inlineStr">
        <is>
          <t>유형자산</t>
        </is>
      </c>
      <c r="B12" s="10" t="n"/>
      <c r="C12" s="19" t="n">
        <v>2981</v>
      </c>
      <c r="D12" s="20" t="n">
        <v>3107</v>
      </c>
      <c r="E12" s="20" t="n">
        <v>3138</v>
      </c>
      <c r="F12" s="20" t="n">
        <v>3332</v>
      </c>
      <c r="G12" s="20" t="n">
        <v>3342</v>
      </c>
      <c r="H12" s="19" t="n">
        <v>15534</v>
      </c>
      <c r="I12" s="20" t="n">
        <v>15548</v>
      </c>
      <c r="J12" s="20" t="n">
        <v>1490</v>
      </c>
      <c r="K12" s="20" t="n">
        <v>2924</v>
      </c>
      <c r="L12" s="20" t="n">
        <v>3332</v>
      </c>
    </row>
    <row r="13">
      <c r="A13" s="18" t="inlineStr">
        <is>
          <t>무형자산</t>
        </is>
      </c>
      <c r="B13" s="10" t="n"/>
      <c r="C13" s="19" t="n">
        <v>15150</v>
      </c>
      <c r="D13" s="20" t="n">
        <v>14870</v>
      </c>
      <c r="E13" s="20" t="n">
        <v>14618</v>
      </c>
      <c r="F13" s="20" t="n">
        <v>13375</v>
      </c>
      <c r="G13" s="20" t="n">
        <v>13129</v>
      </c>
      <c r="H13" s="19" t="n">
        <v>2286</v>
      </c>
      <c r="I13" s="20" t="n">
        <v>15393</v>
      </c>
      <c r="J13" s="20" t="n">
        <v>12758</v>
      </c>
      <c r="K13" s="20" t="n">
        <v>12012</v>
      </c>
      <c r="L13" s="20" t="n">
        <v>13375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114570</v>
      </c>
      <c r="D16" s="12" t="n">
        <v>114739</v>
      </c>
      <c r="E16" s="12" t="n">
        <v>121683</v>
      </c>
      <c r="F16" s="12" t="n">
        <v>131996</v>
      </c>
      <c r="G16" s="12" t="n">
        <v>137980</v>
      </c>
      <c r="H16" s="11" t="n">
        <v>577449</v>
      </c>
      <c r="I16" s="12" t="n">
        <v>621727</v>
      </c>
      <c r="J16" s="12" t="n">
        <v>98774</v>
      </c>
      <c r="K16" s="12" t="n">
        <v>115334</v>
      </c>
      <c r="L16" s="12" t="n">
        <v>131996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11985</v>
      </c>
      <c r="D18" s="12" t="n">
        <v>10627</v>
      </c>
      <c r="E18" s="12" t="n">
        <v>11884</v>
      </c>
      <c r="F18" s="12" t="n">
        <v>12586</v>
      </c>
      <c r="G18" s="12" t="n">
        <v>13667</v>
      </c>
      <c r="H18" s="11" t="n">
        <v>460056</v>
      </c>
      <c r="I18" s="12" t="n">
        <v>488521</v>
      </c>
      <c r="J18" s="12" t="n">
        <v>11963</v>
      </c>
      <c r="K18" s="12" t="n">
        <v>12485</v>
      </c>
      <c r="L18" s="12" t="n">
        <v>12586</v>
      </c>
    </row>
    <row r="19">
      <c r="A19" s="18" t="inlineStr">
        <is>
          <t>매입채무</t>
        </is>
      </c>
      <c r="B19" s="10" t="n"/>
      <c r="C19" s="19" t="n"/>
      <c r="D19" s="20" t="n"/>
      <c r="E19" s="20" t="n"/>
      <c r="F19" s="20" t="n"/>
      <c r="G19" s="20" t="n"/>
      <c r="H19" s="19" t="n"/>
      <c r="I19" s="20" t="n"/>
      <c r="J19" s="20" t="n"/>
      <c r="K19" s="20" t="n"/>
      <c r="L19" s="20" t="n"/>
    </row>
    <row r="20">
      <c r="A20" s="18" t="inlineStr">
        <is>
          <t>단기차입금</t>
        </is>
      </c>
      <c r="B20" s="10" t="n"/>
      <c r="C20" s="19" t="n">
        <v>318</v>
      </c>
      <c r="D20" s="20" t="n">
        <v>14</v>
      </c>
      <c r="E20" s="20" t="n">
        <v>11</v>
      </c>
      <c r="F20" s="20" t="n">
        <v>13</v>
      </c>
      <c r="G20" s="20" t="n">
        <v>5</v>
      </c>
      <c r="H20" s="19" t="n">
        <v>2306</v>
      </c>
      <c r="I20" s="20" t="n">
        <v>12</v>
      </c>
      <c r="J20" s="20" t="n">
        <v>0</v>
      </c>
      <c r="K20" s="20" t="n">
        <v>0</v>
      </c>
      <c r="L20" s="20" t="n">
        <v>13</v>
      </c>
    </row>
    <row r="21">
      <c r="A21" s="18" t="inlineStr">
        <is>
          <t>유동성장기부채</t>
        </is>
      </c>
      <c r="B21" s="10" t="n"/>
      <c r="C21" s="19" t="n">
        <v>261</v>
      </c>
      <c r="D21" s="20" t="n">
        <v>245</v>
      </c>
      <c r="E21" s="20" t="n">
        <v>244</v>
      </c>
      <c r="F21" s="20" t="n">
        <v>253</v>
      </c>
      <c r="G21" s="20" t="n">
        <v>243</v>
      </c>
      <c r="H21" s="19" t="n">
        <v>25168</v>
      </c>
      <c r="I21" s="20" t="n">
        <v>36161</v>
      </c>
      <c r="J21" s="20" t="n">
        <v>104</v>
      </c>
      <c r="K21" s="20" t="n">
        <v>79</v>
      </c>
      <c r="L21" s="20" t="n">
        <v>253</v>
      </c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15319</v>
      </c>
      <c r="D23" s="12" t="n">
        <v>15332</v>
      </c>
      <c r="E23" s="12" t="n">
        <v>16338</v>
      </c>
      <c r="F23" s="12" t="n">
        <v>18773</v>
      </c>
      <c r="G23" s="12" t="n">
        <v>20192</v>
      </c>
      <c r="H23" s="11" t="n">
        <v>42965</v>
      </c>
      <c r="I23" s="12" t="n">
        <v>51794</v>
      </c>
      <c r="J23" s="12" t="n">
        <v>14394</v>
      </c>
      <c r="K23" s="12" t="n">
        <v>16147</v>
      </c>
      <c r="L23" s="12" t="n">
        <v>18773</v>
      </c>
    </row>
    <row r="24">
      <c r="A24" s="18" t="inlineStr">
        <is>
          <t>장기차입금</t>
        </is>
      </c>
      <c r="B24" s="10" t="n"/>
      <c r="C24" s="19" t="n">
        <v>2111</v>
      </c>
      <c r="D24" s="20" t="n">
        <v>1983</v>
      </c>
      <c r="E24" s="20" t="n">
        <v>1964</v>
      </c>
      <c r="F24" s="20" t="n">
        <v>1960</v>
      </c>
      <c r="G24" s="20" t="n">
        <v>1902</v>
      </c>
      <c r="H24" s="19" t="n">
        <v>35674</v>
      </c>
      <c r="I24" s="20" t="n">
        <v>41334</v>
      </c>
      <c r="J24" s="20" t="n">
        <v>1035</v>
      </c>
      <c r="K24" s="20" t="n">
        <v>1235</v>
      </c>
      <c r="L24" s="20" t="n">
        <v>1960</v>
      </c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/>
      <c r="I25" s="20" t="n"/>
      <c r="J25" s="20" t="n"/>
      <c r="K25" s="20" t="n"/>
      <c r="L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27305</v>
      </c>
      <c r="D27" s="12" t="n">
        <v>25959</v>
      </c>
      <c r="E27" s="12" t="n">
        <v>28222</v>
      </c>
      <c r="F27" s="12" t="n">
        <v>31360</v>
      </c>
      <c r="G27" s="12" t="n">
        <v>33860</v>
      </c>
      <c r="H27" s="11" t="n">
        <v>503022</v>
      </c>
      <c r="I27" s="12" t="n">
        <v>540315</v>
      </c>
      <c r="J27" s="12" t="n">
        <v>26358</v>
      </c>
      <c r="K27" s="12" t="n">
        <v>28633</v>
      </c>
      <c r="L27" s="12" t="n">
        <v>31360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86725</v>
      </c>
      <c r="D31" s="12" t="n">
        <v>88337</v>
      </c>
      <c r="E31" s="12" t="n">
        <v>93031</v>
      </c>
      <c r="F31" s="12" t="n">
        <v>100097</v>
      </c>
      <c r="G31" s="12" t="n">
        <v>103561</v>
      </c>
      <c r="H31" s="11" t="n">
        <v>52540</v>
      </c>
      <c r="I31" s="12" t="n">
        <v>59631</v>
      </c>
      <c r="J31" s="12" t="n">
        <v>71872</v>
      </c>
      <c r="K31" s="12" t="n">
        <v>86374</v>
      </c>
      <c r="L31" s="12" t="n">
        <v>100097</v>
      </c>
    </row>
    <row r="32">
      <c r="A32" s="18" t="inlineStr">
        <is>
          <t>자본금</t>
        </is>
      </c>
      <c r="B32" s="10" t="n"/>
      <c r="C32" s="19" t="n">
        <v>12223</v>
      </c>
      <c r="D32" s="20" t="n">
        <v>12223</v>
      </c>
      <c r="E32" s="20" t="n">
        <v>12223</v>
      </c>
      <c r="F32" s="20" t="n">
        <v>12223</v>
      </c>
      <c r="G32" s="20" t="n">
        <v>12223</v>
      </c>
      <c r="H32" s="19" t="n">
        <v>12223</v>
      </c>
      <c r="I32" s="20" t="n">
        <v>12223</v>
      </c>
      <c r="J32" s="20" t="n">
        <v>12223</v>
      </c>
      <c r="K32" s="20" t="n">
        <v>12223</v>
      </c>
      <c r="L32" s="20" t="n">
        <v>12223</v>
      </c>
    </row>
    <row r="33">
      <c r="A33" s="18" t="inlineStr">
        <is>
          <t>이익잉여금</t>
        </is>
      </c>
      <c r="B33" s="10" t="n"/>
      <c r="C33" s="19" t="n">
        <v>88756</v>
      </c>
      <c r="D33" s="20" t="n">
        <v>92340</v>
      </c>
      <c r="E33" s="20" t="n">
        <v>96224</v>
      </c>
      <c r="F33" s="20" t="n">
        <v>99784</v>
      </c>
      <c r="G33" s="20" t="n">
        <v>102639</v>
      </c>
      <c r="H33" s="19" t="n">
        <v>53386</v>
      </c>
      <c r="I33" s="20" t="n">
        <v>64446</v>
      </c>
      <c r="J33" s="20" t="n">
        <v>73597</v>
      </c>
      <c r="K33" s="20" t="n">
        <v>85397</v>
      </c>
      <c r="L33" s="20" t="n">
        <v>99784</v>
      </c>
    </row>
    <row r="34">
      <c r="A34" s="18" t="inlineStr">
        <is>
          <t>비지배지분</t>
        </is>
      </c>
      <c r="B34" s="10" t="n"/>
      <c r="C34" s="19" t="n">
        <v>539</v>
      </c>
      <c r="D34" s="20" t="n">
        <v>443</v>
      </c>
      <c r="E34" s="20" t="n">
        <v>430</v>
      </c>
      <c r="F34" s="20" t="n">
        <v>538</v>
      </c>
      <c r="G34" s="20" t="n">
        <v>558</v>
      </c>
      <c r="H34" s="19" t="n">
        <v>21887</v>
      </c>
      <c r="I34" s="20" t="n">
        <v>21780</v>
      </c>
      <c r="J34" s="20" t="n">
        <v>544</v>
      </c>
      <c r="K34" s="20" t="n">
        <v>327</v>
      </c>
      <c r="L34" s="20" t="n">
        <v>538</v>
      </c>
    </row>
    <row r="35">
      <c r="A35" s="9" t="inlineStr">
        <is>
          <t>자본총계</t>
        </is>
      </c>
      <c r="B35" s="10" t="n"/>
      <c r="C35" s="11" t="n">
        <v>87264</v>
      </c>
      <c r="D35" s="12" t="n">
        <v>88780</v>
      </c>
      <c r="E35" s="12" t="n">
        <v>93461</v>
      </c>
      <c r="F35" s="12" t="n">
        <v>100635</v>
      </c>
      <c r="G35" s="12" t="n">
        <v>104119</v>
      </c>
      <c r="H35" s="11" t="n">
        <v>74427</v>
      </c>
      <c r="I35" s="12" t="n">
        <v>81411</v>
      </c>
      <c r="J35" s="12" t="n">
        <v>72416</v>
      </c>
      <c r="K35" s="12" t="n">
        <v>86701</v>
      </c>
      <c r="L35" s="12" t="n">
        <v>100635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/>
      <c r="D37" s="12" t="n"/>
      <c r="E37" s="12" t="n"/>
      <c r="F37" s="12" t="n">
        <v>2176</v>
      </c>
      <c r="G37" s="12" t="n"/>
      <c r="H37" s="11" t="n">
        <v>-4785</v>
      </c>
      <c r="I37" s="12" t="n">
        <v>18505</v>
      </c>
      <c r="J37" s="12" t="n">
        <v>-25586</v>
      </c>
      <c r="K37" s="12" t="n">
        <v>4532</v>
      </c>
      <c r="L37" s="12" t="n">
        <v>2176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/>
      <c r="D38" s="20" t="n"/>
      <c r="E38" s="20" t="n"/>
      <c r="F38" s="20" t="n">
        <v>564</v>
      </c>
      <c r="G38" s="20" t="n"/>
      <c r="H38" s="19" t="n">
        <v>2687</v>
      </c>
      <c r="I38" s="20" t="n">
        <v>3385</v>
      </c>
      <c r="J38" s="20" t="n">
        <v>1045</v>
      </c>
      <c r="K38" s="20" t="n">
        <v>1881</v>
      </c>
      <c r="L38" s="20" t="n">
        <v>564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/>
      <c r="D40" s="20" t="n"/>
      <c r="E40" s="20" t="n"/>
      <c r="F40" s="20" t="n">
        <v>300</v>
      </c>
      <c r="G40" s="20" t="n"/>
      <c r="H40" s="19" t="n">
        <v>475</v>
      </c>
      <c r="I40" s="20" t="n">
        <v>312</v>
      </c>
      <c r="J40" s="20" t="n">
        <v>312</v>
      </c>
      <c r="K40" s="20" t="n">
        <v>300</v>
      </c>
      <c r="L40" s="20" t="n">
        <v>300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4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4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4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4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4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4" t="inlineStr">
        <is>
          <t>이자보상배율</t>
        </is>
      </c>
      <c r="B48" s="10" t="inlineStr">
        <is>
          <t>5x↑ (금융원가 기준)</t>
        </is>
      </c>
      <c r="C48" s="30">
        <f>IFERROR((IF(COUNT('연간'!G28:J28)&lt;4,"",SUM('연간'!G28:J28)))/(IF(COUNT('연간'!G50:J50)&lt;4,"",SUM('연간'!G50:J50))),"")</f>
        <v/>
      </c>
      <c r="D48" s="31">
        <f>IFERROR((IF(COUNT('연간'!H28:K28)&lt;4,"",SUM('연간'!H28:K28)))/(IF(COUNT('연간'!H50:K50)&lt;4,"",SUM('연간'!H50:K50))),"")</f>
        <v/>
      </c>
      <c r="E48" s="31">
        <f>IFERROR((IF(COUNT('연간'!I28:L28)&lt;4,"",SUM('연간'!I28:L28)))/(IF(COUNT('연간'!I50:L50)&lt;4,"",SUM('연간'!I50:L50))),"")</f>
        <v/>
      </c>
      <c r="F48" s="31">
        <f>IFERROR((IF(COUNT('연간'!J28:M28)&lt;4,"",SUM('연간'!J28:M28)))/(IF(COUNT('연간'!J50:M50)&lt;4,"",SUM('연간'!J50:M50))),"")</f>
        <v/>
      </c>
      <c r="G48" s="31">
        <f>IFERROR((IF(COUNT('연간'!K28:N28)&lt;4,"",SUM('연간'!K28:N28)))/(IF(COUNT('연간'!K50:N50)&lt;4,"",SUM('연간'!K50:N50))),"")</f>
        <v/>
      </c>
      <c r="H48" s="30">
        <f>IFERROR(('연간'!T28)/('연간'!T50),"")</f>
        <v/>
      </c>
      <c r="I48" s="31">
        <f>IFERROR(('연간'!U28)/('연간'!U50),"")</f>
        <v/>
      </c>
      <c r="J48" s="31">
        <f>IFERROR(('연간'!V28)/('연간'!V50),"")</f>
        <v/>
      </c>
      <c r="K48" s="31">
        <f>IFERROR(('연간'!W28)/('연간'!W50),"")</f>
        <v/>
      </c>
      <c r="L48" s="31">
        <f>IFERROR(('연간'!X28)/('연간'!X50),"")</f>
        <v/>
      </c>
    </row>
    <row r="49">
      <c r="A49" s="44" t="inlineStr">
        <is>
          <t>차입금 상환연수</t>
        </is>
      </c>
      <c r="B49" s="10" t="inlineStr">
        <is>
          <t>4년↓ (버핏)</t>
        </is>
      </c>
      <c r="C49" s="45">
        <f>IFERROR(IF((IF(COUNT('연간'!G56:J56)&lt;4,"",SUM('연간'!G56:J56)))&lt;=0,"적자",C28/(IF(COUNT('연간'!G56:J56)&lt;4,"",SUM('연간'!G56:J56)))),"")</f>
        <v/>
      </c>
      <c r="D49" s="46">
        <f>IFERROR(IF((IF(COUNT('연간'!H56:K56)&lt;4,"",SUM('연간'!H56:K56)))&lt;=0,"적자",D28/(IF(COUNT('연간'!H56:K56)&lt;4,"",SUM('연간'!H56:K56)))),"")</f>
        <v/>
      </c>
      <c r="E49" s="46">
        <f>IFERROR(IF((IF(COUNT('연간'!I56:L56)&lt;4,"",SUM('연간'!I56:L56)))&lt;=0,"적자",E28/(IF(COUNT('연간'!I56:L56)&lt;4,"",SUM('연간'!I56:L56)))),"")</f>
        <v/>
      </c>
      <c r="F49" s="46">
        <f>IFERROR(IF((IF(COUNT('연간'!J56:M56)&lt;4,"",SUM('연간'!J56:M56)))&lt;=0,"적자",F28/(IF(COUNT('연간'!J56:M56)&lt;4,"",SUM('연간'!J56:M56)))),"")</f>
        <v/>
      </c>
      <c r="G49" s="46">
        <f>IFERROR(IF((IF(COUNT('연간'!K56:N56)&lt;4,"",SUM('연간'!K56:N56)))&lt;=0,"적자",G28/(IF(COUNT('연간'!K56:N56)&lt;4,"",SUM('연간'!K56:N56)))),"")</f>
        <v/>
      </c>
      <c r="H49" s="45">
        <f>IFERROR(IF(('연간'!T56)&lt;=0,"적자",H28/('연간'!T56)),"")</f>
        <v/>
      </c>
      <c r="I49" s="46">
        <f>IFERROR(IF(('연간'!U56)&lt;=0,"적자",I28/('연간'!U56)),"")</f>
        <v/>
      </c>
      <c r="J49" s="46">
        <f>IFERROR(IF(('연간'!V56)&lt;=0,"적자",J28/('연간'!V56)),"")</f>
        <v/>
      </c>
      <c r="K49" s="46">
        <f>IFERROR(IF(('연간'!W56)&lt;=0,"적자",K28/('연간'!W56)),"")</f>
        <v/>
      </c>
      <c r="L49" s="46">
        <f>IFERROR(IF(('연간'!X56)&lt;=0,"적자",L28/('연간'!X56)),"")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4" t="inlineStr">
        <is>
          <t>ROE</t>
        </is>
      </c>
      <c r="B51" s="10" t="inlineStr">
        <is>
          <t>15%↑ (버핏)</t>
        </is>
      </c>
      <c r="C51" s="35">
        <f>IFERROR((IF(COUNT('연간'!G56:J56)&lt;4,"",SUM('연간'!G56:J56)))/C31,"")</f>
        <v/>
      </c>
      <c r="D51" s="36">
        <f>IFERROR((IF(COUNT('연간'!H56:K56)&lt;4,"",SUM('연간'!H56:K56)))/D31,"")</f>
        <v/>
      </c>
      <c r="E51" s="36">
        <f>IFERROR((IF(COUNT('연간'!I56:L56)&lt;4,"",SUM('연간'!I56:L56)))/E31,"")</f>
        <v/>
      </c>
      <c r="F51" s="36">
        <f>IFERROR((IF(COUNT('연간'!J56:M56)&lt;4,"",SUM('연간'!J56:M56)))/F31,"")</f>
        <v/>
      </c>
      <c r="G51" s="36">
        <f>IFERROR((IF(COUNT('연간'!K56:N56)&lt;4,"",SUM('연간'!K56:N56)))/G31,"")</f>
        <v/>
      </c>
      <c r="H51" s="35">
        <f>IFERROR(('연간'!T56)/H31,"")</f>
        <v/>
      </c>
      <c r="I51" s="36">
        <f>IFERROR(('연간'!U56)/I31,"")</f>
        <v/>
      </c>
      <c r="J51" s="36">
        <f>IFERROR(('연간'!V56)/J31,"")</f>
        <v/>
      </c>
      <c r="K51" s="36">
        <f>IFERROR(('연간'!W56)/K31,"")</f>
        <v/>
      </c>
      <c r="L51" s="36">
        <f>IFERROR(('연간'!X56)/L31,"")</f>
        <v/>
      </c>
    </row>
    <row r="52">
      <c r="A52" s="44" t="inlineStr">
        <is>
          <t>ROA</t>
        </is>
      </c>
      <c r="B52" s="10" t="inlineStr">
        <is>
          <t>5%↑</t>
        </is>
      </c>
      <c r="C52" s="35">
        <f>IFERROR((IF(COUNT('연간'!G55:J55)&lt;4,"",SUM('연간'!G55:J55)))/C16,"")</f>
        <v/>
      </c>
      <c r="D52" s="36">
        <f>IFERROR((IF(COUNT('연간'!H55:K55)&lt;4,"",SUM('연간'!H55:K55)))/D16,"")</f>
        <v/>
      </c>
      <c r="E52" s="36">
        <f>IFERROR((IF(COUNT('연간'!I55:L55)&lt;4,"",SUM('연간'!I55:L55)))/E16,"")</f>
        <v/>
      </c>
      <c r="F52" s="36">
        <f>IFERROR((IF(COUNT('연간'!J55:M55)&lt;4,"",SUM('연간'!J55:M55)))/F16,"")</f>
        <v/>
      </c>
      <c r="G52" s="36">
        <f>IFERROR((IF(COUNT('연간'!K55:N55)&lt;4,"",SUM('연간'!K55:N55)))/G16,"")</f>
        <v/>
      </c>
      <c r="H52" s="35">
        <f>IFERROR(('연간'!T55)/H16,"")</f>
        <v/>
      </c>
      <c r="I52" s="36">
        <f>IFERROR(('연간'!U55)/I16,"")</f>
        <v/>
      </c>
      <c r="J52" s="36">
        <f>IFERROR(('연간'!V55)/J16,"")</f>
        <v/>
      </c>
      <c r="K52" s="36">
        <f>IFERROR(('연간'!W55)/K16,"")</f>
        <v/>
      </c>
      <c r="L52" s="36">
        <f>IFERROR(('연간'!X55)/L16,"")</f>
        <v/>
      </c>
    </row>
    <row r="53">
      <c r="A53" s="44" t="inlineStr">
        <is>
          <t>ROIC</t>
        </is>
      </c>
      <c r="B53" s="10" t="inlineStr">
        <is>
          <t>10%↑ (세후영업이익 기준)</t>
        </is>
      </c>
      <c r="C53" s="35">
        <f>IFERROR((IF(COUNT('연간'!G28:J28)&lt;4,"",SUM('연간'!G28:J28)))*(1-0.3)/(C35+C29),"")</f>
        <v/>
      </c>
      <c r="D53" s="36">
        <f>IFERROR((IF(COUNT('연간'!H28:K28)&lt;4,"",SUM('연간'!H28:K28)))*(1-0.3)/(D35+D29),"")</f>
        <v/>
      </c>
      <c r="E53" s="36">
        <f>IFERROR((IF(COUNT('연간'!I28:L28)&lt;4,"",SUM('연간'!I28:L28)))*(1-0.3)/(E35+E29),"")</f>
        <v/>
      </c>
      <c r="F53" s="36">
        <f>IFERROR((IF(COUNT('연간'!J28:M28)&lt;4,"",SUM('연간'!J28:M28)))*(1-0.3)/(F35+F29),"")</f>
        <v/>
      </c>
      <c r="G53" s="36">
        <f>IFERROR((IF(COUNT('연간'!K28:N28)&lt;4,"",SUM('연간'!K28:N28)))*(1-0.3)/(G35+G29),"")</f>
        <v/>
      </c>
      <c r="H53" s="35">
        <f>IFERROR(('연간'!T28)*(1-0.3)/(H35+H29),"")</f>
        <v/>
      </c>
      <c r="I53" s="36">
        <f>IFERROR(('연간'!U28)*(1-0.3)/(I35+I29),"")</f>
        <v/>
      </c>
      <c r="J53" s="36">
        <f>IFERROR(('연간'!V28)*(1-0.3)/(J35+J29),"")</f>
        <v/>
      </c>
      <c r="K53" s="36">
        <f>IFERROR(('연간'!W28)*(1-0.3)/(K35+K29),"")</f>
        <v/>
      </c>
      <c r="L53" s="36">
        <f>IFERROR(('연간'!X28)*(1-0.3)/(L35+L29),"")</f>
        <v/>
      </c>
    </row>
    <row r="54">
      <c r="A54" s="44" t="inlineStr">
        <is>
          <t>매출총이익률 (GPM)</t>
        </is>
      </c>
      <c r="B54" s="10" t="inlineStr">
        <is>
          <t>40%↑ (해자 신호)</t>
        </is>
      </c>
      <c r="C54" s="35">
        <f>IFERROR((IF(COUNT('연간'!G24:J24)&lt;4,"",SUM('연간'!G24:J24)))/(IF(COUNT('연간'!G4:J4)&lt;4,"",SUM('연간'!G4:J4))),"")</f>
        <v/>
      </c>
      <c r="D54" s="36">
        <f>IFERROR((IF(COUNT('연간'!H24:K24)&lt;4,"",SUM('연간'!H24:K24)))/(IF(COUNT('연간'!H4:K4)&lt;4,"",SUM('연간'!H4:K4))),"")</f>
        <v/>
      </c>
      <c r="E54" s="36">
        <f>IFERROR((IF(COUNT('연간'!I24:L24)&lt;4,"",SUM('연간'!I24:L24)))/(IF(COUNT('연간'!I4:L4)&lt;4,"",SUM('연간'!I4:L4))),"")</f>
        <v/>
      </c>
      <c r="F54" s="36">
        <f>IFERROR((IF(COUNT('연간'!J24:M24)&lt;4,"",SUM('연간'!J24:M24)))/(IF(COUNT('연간'!J4:M4)&lt;4,"",SUM('연간'!J4:M4))),"")</f>
        <v/>
      </c>
      <c r="G54" s="36">
        <f>IFERROR((IF(COUNT('연간'!K24:N24)&lt;4,"",SUM('연간'!K24:N24)))/(IF(COUNT('연간'!K4:N4)&lt;4,"",SUM('연간'!K4:N4))),"")</f>
        <v/>
      </c>
      <c r="H54" s="35">
        <f>IFERROR(('연간'!T24)/('연간'!T4),"")</f>
        <v/>
      </c>
      <c r="I54" s="36">
        <f>IFERROR(('연간'!U24)/('연간'!U4),"")</f>
        <v/>
      </c>
      <c r="J54" s="36">
        <f>IFERROR(('연간'!V24)/('연간'!V4),"")</f>
        <v/>
      </c>
      <c r="K54" s="36">
        <f>IFERROR(('연간'!W24)/('연간'!W4),"")</f>
        <v/>
      </c>
      <c r="L54" s="36">
        <f>IFERROR(('연간'!X24)/('연간'!X4),"")</f>
        <v/>
      </c>
    </row>
    <row r="55">
      <c r="A55" s="44" t="inlineStr">
        <is>
          <t>영업이익률 (OPM)</t>
        </is>
      </c>
      <c r="B55" s="10" t="inlineStr">
        <is>
          <t>15%↑</t>
        </is>
      </c>
      <c r="C55" s="35">
        <f>IFERROR((IF(COUNT('연간'!G28:J28)&lt;4,"",SUM('연간'!G28:J28)))/(IF(COUNT('연간'!G4:J4)&lt;4,"",SUM('연간'!G4:J4))),"")</f>
        <v/>
      </c>
      <c r="D55" s="36">
        <f>IFERROR((IF(COUNT('연간'!H28:K28)&lt;4,"",SUM('연간'!H28:K28)))/(IF(COUNT('연간'!H4:K4)&lt;4,"",SUM('연간'!H4:K4))),"")</f>
        <v/>
      </c>
      <c r="E55" s="36">
        <f>IFERROR((IF(COUNT('연간'!I28:L28)&lt;4,"",SUM('연간'!I28:L28)))/(IF(COUNT('연간'!I4:L4)&lt;4,"",SUM('연간'!I4:L4))),"")</f>
        <v/>
      </c>
      <c r="F55" s="36">
        <f>IFERROR((IF(COUNT('연간'!J28:M28)&lt;4,"",SUM('연간'!J28:M28)))/(IF(COUNT('연간'!J4:M4)&lt;4,"",SUM('연간'!J4:M4))),"")</f>
        <v/>
      </c>
      <c r="G55" s="36">
        <f>IFERROR((IF(COUNT('연간'!K28:N28)&lt;4,"",SUM('연간'!K28:N28)))/(IF(COUNT('연간'!K4:N4)&lt;4,"",SUM('연간'!K4:N4))),"")</f>
        <v/>
      </c>
      <c r="H55" s="35">
        <f>IFERROR(('연간'!T28)/('연간'!T4),"")</f>
        <v/>
      </c>
      <c r="I55" s="36">
        <f>IFERROR(('연간'!U28)/('연간'!U4),"")</f>
        <v/>
      </c>
      <c r="J55" s="36">
        <f>IFERROR(('연간'!V28)/('연간'!V4),"")</f>
        <v/>
      </c>
      <c r="K55" s="36">
        <f>IFERROR(('연간'!W28)/('연간'!W4),"")</f>
        <v/>
      </c>
      <c r="L55" s="36">
        <f>IFERROR(('연간'!X28)/('연간'!X4),"")</f>
        <v/>
      </c>
    </row>
    <row r="56">
      <c r="A56" s="44" t="inlineStr">
        <is>
          <t>순이익률</t>
        </is>
      </c>
      <c r="B56" s="10" t="inlineStr">
        <is>
          <t>10%↑</t>
        </is>
      </c>
      <c r="C56" s="35">
        <f>IFERROR((IF(COUNT('연간'!G55:J55)&lt;4,"",SUM('연간'!G55:J55)))/(IF(COUNT('연간'!G4:J4)&lt;4,"",SUM('연간'!G4:J4))),"")</f>
        <v/>
      </c>
      <c r="D56" s="36">
        <f>IFERROR((IF(COUNT('연간'!H55:K55)&lt;4,"",SUM('연간'!H55:K55)))/(IF(COUNT('연간'!H4:K4)&lt;4,"",SUM('연간'!H4:K4))),"")</f>
        <v/>
      </c>
      <c r="E56" s="36">
        <f>IFERROR((IF(COUNT('연간'!I55:L55)&lt;4,"",SUM('연간'!I55:L55)))/(IF(COUNT('연간'!I4:L4)&lt;4,"",SUM('연간'!I4:L4))),"")</f>
        <v/>
      </c>
      <c r="F56" s="36">
        <f>IFERROR((IF(COUNT('연간'!J55:M55)&lt;4,"",SUM('연간'!J55:M55)))/(IF(COUNT('연간'!J4:M4)&lt;4,"",SUM('연간'!J4:M4))),"")</f>
        <v/>
      </c>
      <c r="G56" s="36">
        <f>IFERROR((IF(COUNT('연간'!K55:N55)&lt;4,"",SUM('연간'!K55:N55)))/(IF(COUNT('연간'!K4:N4)&lt;4,"",SUM('연간'!K4:N4))),"")</f>
        <v/>
      </c>
      <c r="H56" s="35">
        <f>IFERROR(('연간'!T55)/('연간'!T4),"")</f>
        <v/>
      </c>
      <c r="I56" s="36">
        <f>IFERROR(('연간'!U55)/('연간'!U4),"")</f>
        <v/>
      </c>
      <c r="J56" s="36">
        <f>IFERROR(('연간'!V55)/('연간'!V4),"")</f>
        <v/>
      </c>
      <c r="K56" s="36">
        <f>IFERROR(('연간'!W55)/('연간'!W4),"")</f>
        <v/>
      </c>
      <c r="L56" s="36">
        <f>IFERROR(('연간'!X55)/('연간'!X4),"")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4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4" t="inlineStr">
        <is>
          <t>매출채권회전일수</t>
        </is>
      </c>
      <c r="B59" s="10" t="inlineStr">
        <is>
          <t>짧을수록↑</t>
        </is>
      </c>
      <c r="C59" s="47">
        <f>IFERROR(C8/(IF(COUNT('연간'!G4:J4)&lt;4,"",SUM('연간'!G4:J4)))*365,"")</f>
        <v/>
      </c>
      <c r="D59" s="48">
        <f>IFERROR(D8/(IF(COUNT('연간'!H4:K4)&lt;4,"",SUM('연간'!H4:K4)))*365,"")</f>
        <v/>
      </c>
      <c r="E59" s="48">
        <f>IFERROR(E8/(IF(COUNT('연간'!I4:L4)&lt;4,"",SUM('연간'!I4:L4)))*365,"")</f>
        <v/>
      </c>
      <c r="F59" s="48">
        <f>IFERROR(F8/(IF(COUNT('연간'!J4:M4)&lt;4,"",SUM('연간'!J4:M4)))*365,"")</f>
        <v/>
      </c>
      <c r="G59" s="48">
        <f>IFERROR(G8/(IF(COUNT('연간'!K4:N4)&lt;4,"",SUM('연간'!K4:N4)))*365,"")</f>
        <v/>
      </c>
      <c r="H59" s="47">
        <f>IFERROR(H8/('연간'!T4)*365,"")</f>
        <v/>
      </c>
      <c r="I59" s="48">
        <f>IFERROR(I8/('연간'!U4)*365,"")</f>
        <v/>
      </c>
      <c r="J59" s="48">
        <f>IFERROR(J8/('연간'!V4)*365,"")</f>
        <v/>
      </c>
      <c r="K59" s="48">
        <f>IFERROR(K8/('연간'!W4)*365,"")</f>
        <v/>
      </c>
      <c r="L59" s="48">
        <f>IFERROR(L8/('연간'!X4)*365,"")</f>
        <v/>
      </c>
    </row>
    <row r="60">
      <c r="A60" s="44" t="inlineStr">
        <is>
          <t>재고자산회전일수</t>
        </is>
      </c>
      <c r="B60" s="10" t="inlineStr">
        <is>
          <t>짧을수록↑</t>
        </is>
      </c>
      <c r="C60" s="47">
        <f>IFERROR(C9/(IF(COUNT('연간'!G23:J23)&lt;4,"",SUM('연간'!G23:J23)))*365,"")</f>
        <v/>
      </c>
      <c r="D60" s="48">
        <f>IFERROR(D9/(IF(COUNT('연간'!H23:K23)&lt;4,"",SUM('연간'!H23:K23)))*365,"")</f>
        <v/>
      </c>
      <c r="E60" s="48">
        <f>IFERROR(E9/(IF(COUNT('연간'!I23:L23)&lt;4,"",SUM('연간'!I23:L23)))*365,"")</f>
        <v/>
      </c>
      <c r="F60" s="48">
        <f>IFERROR(F9/(IF(COUNT('연간'!J23:M23)&lt;4,"",SUM('연간'!J23:M23)))*365,"")</f>
        <v/>
      </c>
      <c r="G60" s="48">
        <f>IFERROR(G9/(IF(COUNT('연간'!K23:N23)&lt;4,"",SUM('연간'!K23:N23)))*365,"")</f>
        <v/>
      </c>
      <c r="H60" s="47">
        <f>IFERROR(H9/('연간'!T23)*365,"")</f>
        <v/>
      </c>
      <c r="I60" s="48">
        <f>IFERROR(I9/('연간'!U23)*365,"")</f>
        <v/>
      </c>
      <c r="J60" s="48">
        <f>IFERROR(J9/('연간'!V23)*365,"")</f>
        <v/>
      </c>
      <c r="K60" s="48">
        <f>IFERROR(K9/('연간'!W23)*365,"")</f>
        <v/>
      </c>
      <c r="L60" s="48">
        <f>IFERROR(L9/('연간'!X23)*365,"")</f>
        <v/>
      </c>
    </row>
    <row r="61">
      <c r="A61" s="44" t="inlineStr">
        <is>
          <t>매입채무회전일수</t>
        </is>
      </c>
      <c r="B61" s="10" t="inlineStr">
        <is>
          <t>길수록 유리</t>
        </is>
      </c>
      <c r="C61" s="47">
        <f>IFERROR(C19/(IF(COUNT('연간'!G23:J23)&lt;4,"",SUM('연간'!G23:J23)))*365,"")</f>
        <v/>
      </c>
      <c r="D61" s="48">
        <f>IFERROR(D19/(IF(COUNT('연간'!H23:K23)&lt;4,"",SUM('연간'!H23:K23)))*365,"")</f>
        <v/>
      </c>
      <c r="E61" s="48">
        <f>IFERROR(E19/(IF(COUNT('연간'!I23:L23)&lt;4,"",SUM('연간'!I23:L23)))*365,"")</f>
        <v/>
      </c>
      <c r="F61" s="48">
        <f>IFERROR(F19/(IF(COUNT('연간'!J23:M23)&lt;4,"",SUM('연간'!J23:M23)))*365,"")</f>
        <v/>
      </c>
      <c r="G61" s="48">
        <f>IFERROR(G19/(IF(COUNT('연간'!K23:N23)&lt;4,"",SUM('연간'!K23:N23)))*365,"")</f>
        <v/>
      </c>
      <c r="H61" s="47">
        <f>IFERROR(H19/('연간'!T23)*365,"")</f>
        <v/>
      </c>
      <c r="I61" s="48">
        <f>IFERROR(I19/('연간'!U23)*365,"")</f>
        <v/>
      </c>
      <c r="J61" s="48">
        <f>IFERROR(J19/('연간'!V23)*365,"")</f>
        <v/>
      </c>
      <c r="K61" s="48">
        <f>IFERROR(K19/('연간'!W23)*365,"")</f>
        <v/>
      </c>
      <c r="L61" s="48">
        <f>IFERROR(L19/('연간'!X23)*365,"")</f>
        <v/>
      </c>
    </row>
    <row r="62">
      <c r="A62" s="44" t="inlineStr">
        <is>
          <t>현금전환주기 (CCC)</t>
        </is>
      </c>
      <c r="B62" s="10" t="inlineStr">
        <is>
          <t>짧을수록↑</t>
        </is>
      </c>
      <c r="C62" s="47">
        <f>IF(OR(C59="",C60="",C61=""),"",IFERROR(C59+C60-C61,""))</f>
        <v/>
      </c>
      <c r="D62" s="48">
        <f>IF(OR(D59="",D60="",D61=""),"",IFERROR(D59+D60-D61,""))</f>
        <v/>
      </c>
      <c r="E62" s="48">
        <f>IF(OR(E59="",E60="",E61=""),"",IFERROR(E59+E60-E61,""))</f>
        <v/>
      </c>
      <c r="F62" s="48">
        <f>IF(OR(F59="",F60="",F61=""),"",IFERROR(F59+F60-F61,""))</f>
        <v/>
      </c>
      <c r="G62" s="48">
        <f>IF(OR(G59="",G60="",G61=""),"",IFERROR(G59+G60-G61,""))</f>
        <v/>
      </c>
      <c r="H62" s="47">
        <f>IF(OR(H59="",H60="",H61=""),"",IFERROR(H59+H60-H61,""))</f>
        <v/>
      </c>
      <c r="I62" s="48">
        <f>IF(OR(I59="",I60="",I61=""),"",IFERROR(I59+I60-I61,""))</f>
        <v/>
      </c>
      <c r="J62" s="48">
        <f>IF(OR(J59="",J60="",J61=""),"",IFERROR(J59+J60-J61,""))</f>
        <v/>
      </c>
      <c r="K62" s="48">
        <f>IF(OR(K59="",K60="",K61=""),"",IFERROR(K59+K60-K61,""))</f>
        <v/>
      </c>
      <c r="L62" s="48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4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IF(C37="","",IFERROR(C37/(IF(COUNT('연간'!G55:J55)&lt;4,"",SUM('연간'!G55:J55))),""))</f>
        <v/>
      </c>
      <c r="D64" s="31">
        <f>IF(D37="","",IFERROR(D37/(IF(COUNT('연간'!H55:K55)&lt;4,"",SUM('연간'!H55:K55))),""))</f>
        <v/>
      </c>
      <c r="E64" s="31">
        <f>IF(E37="","",IFERROR(E37/(IF(COUNT('연간'!I55:L55)&lt;4,"",SUM('연간'!I55:L55))),""))</f>
        <v/>
      </c>
      <c r="F64" s="31">
        <f>IF(F37="","",IFERROR(F37/(IF(COUNT('연간'!J55:M55)&lt;4,"",SUM('연간'!J55:M55))),""))</f>
        <v/>
      </c>
      <c r="G64" s="31">
        <f>IF(G37="","",IFERROR(G37/(IF(COUNT('연간'!K55:N55)&lt;4,"",SUM('연간'!K55:N55))),""))</f>
        <v/>
      </c>
      <c r="H64" s="30">
        <f>IF(H37="","",IFERROR(H37/('연간'!T55),""))</f>
        <v/>
      </c>
      <c r="I64" s="31">
        <f>IF(I37="","",IFERROR(I37/('연간'!U55),""))</f>
        <v/>
      </c>
      <c r="J64" s="31">
        <f>IF(J37="","",IFERROR(J37/('연간'!V55),""))</f>
        <v/>
      </c>
      <c r="K64" s="31">
        <f>IF(K37="","",IFERROR(K37/('연간'!W55),""))</f>
        <v/>
      </c>
      <c r="L64" s="31">
        <f>IF(L37="","",IFERROR(L37/('연간'!X55),""))</f>
        <v/>
      </c>
    </row>
    <row r="65">
      <c r="A65" s="44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4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4" t="inlineStr">
        <is>
          <t>배당성향</t>
        </is>
      </c>
      <c r="B67" s="10" t="inlineStr">
        <is>
          <t>참고</t>
        </is>
      </c>
      <c r="C67" s="35">
        <f>IF(C40="","",IFERROR(C40/(IF(COUNT('연간'!G56:J56)&lt;4,"",SUM('연간'!G56:J56))),""))</f>
        <v/>
      </c>
      <c r="D67" s="36">
        <f>IF(D40="","",IFERROR(D40/(IF(COUNT('연간'!H56:K56)&lt;4,"",SUM('연간'!H56:K56))),""))</f>
        <v/>
      </c>
      <c r="E67" s="36">
        <f>IF(E40="","",IFERROR(E40/(IF(COUNT('연간'!I56:L56)&lt;4,"",SUM('연간'!I56:L56))),""))</f>
        <v/>
      </c>
      <c r="F67" s="36">
        <f>IF(F40="","",IFERROR(F40/(IF(COUNT('연간'!J56:M56)&lt;4,"",SUM('연간'!J56:M56))),""))</f>
        <v/>
      </c>
      <c r="G67" s="36">
        <f>IF(G40="","",IFERROR(G40/(IF(COUNT('연간'!K56:N56)&lt;4,"",SUM('연간'!K56:N56))),""))</f>
        <v/>
      </c>
      <c r="H67" s="35">
        <f>IF(H40="","",IFERROR(H40/('연간'!T56),""))</f>
        <v/>
      </c>
      <c r="I67" s="36">
        <f>IF(I40="","",IFERROR(I40/('연간'!U56),""))</f>
        <v/>
      </c>
      <c r="J67" s="36">
        <f>IF(J40="","",IFERROR(J40/('연간'!V56),""))</f>
        <v/>
      </c>
      <c r="K67" s="36">
        <f>IF(K40="","",IFERROR(K40/('연간'!W56),""))</f>
        <v/>
      </c>
      <c r="L67" s="36">
        <f>IF(L40="","",IFERROR(L40/('연간'!X56),""))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2026.1Q</t>
        </is>
      </c>
      <c r="D70" s="5" t="inlineStr">
        <is>
          <t>2026.2Q</t>
        </is>
      </c>
      <c r="E70" s="5" t="inlineStr">
        <is>
          <t>2026.3Q</t>
        </is>
      </c>
      <c r="F70" s="5" t="inlineStr">
        <is>
          <t>2026.4Q</t>
        </is>
      </c>
      <c r="G70" s="5" t="inlineStr">
        <is>
          <t>2027.1Q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17407</v>
      </c>
      <c r="D71" s="20" t="n">
        <v>19198</v>
      </c>
      <c r="E71" s="20" t="n">
        <v>17887</v>
      </c>
      <c r="F71" s="20" t="n">
        <v>18797</v>
      </c>
      <c r="G71" s="20" t="n">
        <v>19209</v>
      </c>
      <c r="H71" s="20" t="n">
        <v>88137</v>
      </c>
      <c r="I71" s="20" t="n">
        <v>149693</v>
      </c>
      <c r="J71" s="20" t="n">
        <v>18403</v>
      </c>
      <c r="K71" s="20" t="n">
        <v>17792</v>
      </c>
      <c r="L71" s="20" t="n">
        <v>18797</v>
      </c>
    </row>
    <row r="72">
      <c r="A72" s="18" t="inlineStr">
        <is>
          <t>매입현선(RP)계정</t>
        </is>
      </c>
      <c r="H72" s="20" t="n">
        <v>1211</v>
      </c>
      <c r="I72" s="20" t="n">
        <v>0</v>
      </c>
    </row>
    <row r="73">
      <c r="A73" s="18" t="inlineStr">
        <is>
          <t>Cash Segregated As Deposits CASEC</t>
        </is>
      </c>
      <c r="H73" s="20" t="n">
        <v>0</v>
      </c>
    </row>
    <row r="74">
      <c r="A74" s="18" t="inlineStr">
        <is>
          <t>고객 분별금 신탁</t>
        </is>
      </c>
      <c r="H74" s="20" t="n">
        <v>0</v>
      </c>
    </row>
    <row r="75">
      <c r="A75" s="18" t="inlineStr">
        <is>
          <t>Cash Segregated As Deposits For Others CASEC</t>
        </is>
      </c>
      <c r="H75" s="20" t="n">
        <v>0</v>
      </c>
    </row>
    <row r="76">
      <c r="A76" s="18" t="inlineStr">
        <is>
          <t>Trading Products CASEC</t>
        </is>
      </c>
      <c r="H76" s="20" t="n">
        <v>0</v>
      </c>
    </row>
    <row r="77">
      <c r="A77" s="18" t="inlineStr">
        <is>
          <t>Trading Securities And Other CASEC</t>
        </is>
      </c>
      <c r="H77" s="20" t="n">
        <v>0</v>
      </c>
    </row>
    <row r="78">
      <c r="A78" s="18" t="inlineStr">
        <is>
          <t>유가증권</t>
        </is>
      </c>
      <c r="C78" s="20" t="n">
        <v>447</v>
      </c>
      <c r="D78" s="20" t="n">
        <v>335</v>
      </c>
      <c r="E78" s="20" t="n">
        <v>346</v>
      </c>
      <c r="F78" s="20" t="n">
        <v>368</v>
      </c>
      <c r="G78" s="20" t="n">
        <v>83</v>
      </c>
      <c r="H78" s="20" t="n">
        <v>140099</v>
      </c>
      <c r="I78" s="20" t="n">
        <v>100892</v>
      </c>
      <c r="J78" s="20" t="n">
        <v>293</v>
      </c>
      <c r="K78" s="20" t="n">
        <v>261</v>
      </c>
      <c r="L78" s="20" t="n">
        <v>368</v>
      </c>
    </row>
    <row r="79">
      <c r="A79" s="18" t="inlineStr">
        <is>
          <t>Margin Transaction Assets CASEC</t>
        </is>
      </c>
      <c r="H79" s="20" t="n">
        <v>0</v>
      </c>
    </row>
    <row r="80">
      <c r="A80" s="18" t="inlineStr">
        <is>
          <t>Loans On Margin Transactions CASEC</t>
        </is>
      </c>
      <c r="H80" s="20" t="n">
        <v>0</v>
      </c>
    </row>
    <row r="81">
      <c r="A81" s="18" t="inlineStr">
        <is>
          <t>Cash Collateral Pledged For Securities Borrowing On Margin Transactions CASEC</t>
        </is>
      </c>
      <c r="H81" s="20" t="n">
        <v>0</v>
      </c>
    </row>
    <row r="82">
      <c r="A82" s="18" t="inlineStr">
        <is>
          <t>대출금</t>
        </is>
      </c>
      <c r="C82" s="20" t="n">
        <v>6724</v>
      </c>
      <c r="D82" s="20" t="n">
        <v>6807</v>
      </c>
      <c r="E82" s="20" t="n">
        <v>7401</v>
      </c>
      <c r="F82" s="20" t="n">
        <v>7743</v>
      </c>
      <c r="G82" s="20" t="n">
        <v>7738</v>
      </c>
      <c r="H82" s="20" t="n">
        <v>285094</v>
      </c>
      <c r="I82" s="20" t="n">
        <v>308495</v>
      </c>
      <c r="J82" s="20" t="n">
        <v>6826</v>
      </c>
      <c r="K82" s="20" t="n">
        <v>6551</v>
      </c>
      <c r="L82" s="20" t="n">
        <v>7743</v>
      </c>
    </row>
    <row r="83">
      <c r="A83" s="18" t="inlineStr">
        <is>
          <t>보증금</t>
        </is>
      </c>
      <c r="H83" s="20" t="n">
        <v>0</v>
      </c>
    </row>
    <row r="84">
      <c r="A84" s="18" t="inlineStr">
        <is>
          <t>Derivatives CA</t>
        </is>
      </c>
      <c r="H84" s="20" t="n">
        <v>1106</v>
      </c>
      <c r="I84" s="20" t="n">
        <v>4940</v>
      </c>
      <c r="J84" s="20" t="n">
        <v>0</v>
      </c>
    </row>
    <row r="85">
      <c r="A85" s="18" t="inlineStr">
        <is>
          <t>매출채권</t>
        </is>
      </c>
      <c r="C85" s="20" t="n">
        <v>908</v>
      </c>
      <c r="D85" s="20" t="n">
        <v>1077</v>
      </c>
      <c r="E85" s="20" t="n">
        <v>1202</v>
      </c>
      <c r="F85" s="20" t="n">
        <v>1058</v>
      </c>
      <c r="G85" s="20" t="n">
        <v>1349</v>
      </c>
      <c r="I85" s="20" t="n">
        <v>277</v>
      </c>
      <c r="J85" s="20" t="n">
        <v>437</v>
      </c>
      <c r="K85" s="20" t="n">
        <v>479</v>
      </c>
      <c r="L85" s="20" t="n">
        <v>1058</v>
      </c>
    </row>
    <row r="86">
      <c r="A86" s="18" t="inlineStr">
        <is>
          <t>재고자산</t>
        </is>
      </c>
      <c r="C86" s="20" t="n">
        <v>4161</v>
      </c>
      <c r="D86" s="20" t="n">
        <v>4291</v>
      </c>
      <c r="E86" s="20" t="n">
        <v>4870</v>
      </c>
      <c r="F86" s="20" t="n">
        <v>5022</v>
      </c>
      <c r="G86" s="20" t="n">
        <v>5828</v>
      </c>
      <c r="I86" s="20" t="n">
        <v>1989</v>
      </c>
      <c r="J86" s="20" t="n">
        <v>2177</v>
      </c>
      <c r="K86" s="20" t="n">
        <v>2345</v>
      </c>
      <c r="L86" s="20" t="n">
        <v>5022</v>
      </c>
    </row>
    <row r="87">
      <c r="A87" s="18" t="inlineStr">
        <is>
          <t>단기대여금</t>
        </is>
      </c>
      <c r="C87" s="20" t="n">
        <v>7558</v>
      </c>
      <c r="D87" s="20" t="n">
        <v>4098</v>
      </c>
      <c r="E87" s="20" t="n">
        <v>7675</v>
      </c>
      <c r="F87" s="20" t="n">
        <v>7223</v>
      </c>
      <c r="G87" s="20" t="n">
        <v>7169</v>
      </c>
      <c r="K87" s="20" t="n">
        <v>7605</v>
      </c>
      <c r="L87" s="20" t="n">
        <v>7223</v>
      </c>
    </row>
    <row r="88">
      <c r="A88" s="18" t="inlineStr">
        <is>
          <t>기타</t>
        </is>
      </c>
      <c r="C88" s="20" t="n">
        <v>2894</v>
      </c>
      <c r="D88" s="20" t="n">
        <v>2459</v>
      </c>
      <c r="E88" s="20" t="n">
        <v>2940</v>
      </c>
      <c r="F88" s="20" t="n">
        <v>3685</v>
      </c>
      <c r="G88" s="20" t="n">
        <v>3634</v>
      </c>
      <c r="H88" s="20" t="n">
        <v>19574</v>
      </c>
      <c r="I88" s="20" t="n">
        <v>10780</v>
      </c>
      <c r="J88" s="20" t="n">
        <v>4096</v>
      </c>
      <c r="K88" s="20" t="n">
        <v>2638</v>
      </c>
      <c r="L88" s="20" t="n">
        <v>3685</v>
      </c>
    </row>
    <row r="89">
      <c r="A89" s="18" t="inlineStr">
        <is>
          <t>대손충당금</t>
        </is>
      </c>
      <c r="C89" s="20" t="n">
        <v>-805</v>
      </c>
      <c r="D89" s="20" t="n">
        <v>-605</v>
      </c>
      <c r="E89" s="20" t="n">
        <v>-663</v>
      </c>
      <c r="F89" s="20" t="n">
        <v>-643</v>
      </c>
      <c r="G89" s="20" t="n">
        <v>-706</v>
      </c>
      <c r="H89" s="20" t="n">
        <v>-21006</v>
      </c>
      <c r="I89" s="20" t="n">
        <v>-24071</v>
      </c>
      <c r="J89" s="20" t="n">
        <v>-354</v>
      </c>
      <c r="K89" s="20" t="n">
        <v>-1273</v>
      </c>
      <c r="L89" s="20" t="n">
        <v>-643</v>
      </c>
    </row>
    <row r="90">
      <c r="A90" s="9" t="inlineStr">
        <is>
          <t>유동자산 합계</t>
        </is>
      </c>
      <c r="C90" s="12" t="n">
        <v>39296</v>
      </c>
      <c r="D90" s="12" t="n">
        <v>37663</v>
      </c>
      <c r="E90" s="12" t="n">
        <v>41661</v>
      </c>
      <c r="F90" s="12" t="n">
        <v>43257</v>
      </c>
      <c r="G90" s="12" t="n">
        <v>44306</v>
      </c>
      <c r="H90" s="12" t="n">
        <v>514216</v>
      </c>
      <c r="I90" s="12" t="n">
        <v>552996</v>
      </c>
      <c r="J90" s="12" t="n">
        <v>31880</v>
      </c>
      <c r="K90" s="12" t="n">
        <v>36400</v>
      </c>
      <c r="L90" s="12" t="n">
        <v>43257</v>
      </c>
    </row>
    <row r="91">
      <c r="A91" s="18" t="inlineStr">
        <is>
          <t>건물·구축물(순액)</t>
        </is>
      </c>
      <c r="C91" s="20" t="n">
        <v>1153</v>
      </c>
      <c r="D91" s="20" t="n">
        <v>1168</v>
      </c>
      <c r="E91" s="20" t="n">
        <v>1210</v>
      </c>
      <c r="F91" s="20" t="n">
        <v>1361</v>
      </c>
      <c r="G91" s="20" t="n">
        <v>1385</v>
      </c>
      <c r="H91" s="20" t="n">
        <v>7935</v>
      </c>
      <c r="I91" s="20" t="n">
        <v>8123</v>
      </c>
      <c r="J91" s="20" t="n">
        <v>578</v>
      </c>
      <c r="K91" s="20" t="n">
        <v>1040</v>
      </c>
      <c r="L91" s="20" t="n">
        <v>1361</v>
      </c>
    </row>
    <row r="92">
      <c r="A92" s="18" t="inlineStr">
        <is>
          <t>Furniture And Fixtures Net PPECMD</t>
        </is>
      </c>
      <c r="C92" s="20" t="n">
        <v>493</v>
      </c>
      <c r="D92" s="20" t="n">
        <v>473</v>
      </c>
      <c r="E92" s="20" t="n">
        <v>463</v>
      </c>
      <c r="F92" s="20" t="n">
        <v>501</v>
      </c>
      <c r="G92" s="20" t="n">
        <v>505</v>
      </c>
      <c r="H92" s="20" t="n">
        <v>6334</v>
      </c>
      <c r="I92" s="20" t="n">
        <v>6305</v>
      </c>
      <c r="J92" s="20" t="n">
        <v>473</v>
      </c>
      <c r="K92" s="20" t="n">
        <v>523</v>
      </c>
      <c r="L92" s="20" t="n">
        <v>501</v>
      </c>
    </row>
    <row r="93">
      <c r="A93" s="18" t="inlineStr">
        <is>
          <t>토지</t>
        </is>
      </c>
      <c r="C93" s="20" t="n">
        <v>1291</v>
      </c>
      <c r="D93" s="20" t="n">
        <v>1284</v>
      </c>
      <c r="E93" s="20" t="n">
        <v>1289</v>
      </c>
      <c r="F93" s="20" t="n">
        <v>1295</v>
      </c>
      <c r="G93" s="20" t="n">
        <v>1298</v>
      </c>
      <c r="H93" s="20" t="n">
        <v>125</v>
      </c>
      <c r="I93" s="20" t="n">
        <v>324</v>
      </c>
      <c r="J93" s="20" t="n">
        <v>328</v>
      </c>
      <c r="K93" s="20" t="n">
        <v>1297</v>
      </c>
      <c r="L93" s="20" t="n">
        <v>1295</v>
      </c>
    </row>
    <row r="94">
      <c r="A94" s="18" t="inlineStr">
        <is>
          <t>리스자산(순액)</t>
        </is>
      </c>
      <c r="C94" s="20" t="n">
        <v>29</v>
      </c>
      <c r="D94" s="20" t="n">
        <v>167</v>
      </c>
      <c r="E94" s="20" t="n">
        <v>172</v>
      </c>
      <c r="F94" s="20" t="n">
        <v>164</v>
      </c>
      <c r="G94" s="20" t="n">
        <v>148</v>
      </c>
      <c r="H94" s="20" t="n">
        <v>434</v>
      </c>
      <c r="I94" s="20" t="n">
        <v>491</v>
      </c>
      <c r="J94" s="20" t="n">
        <v>99</v>
      </c>
      <c r="K94" s="20" t="n">
        <v>58</v>
      </c>
      <c r="L94" s="20" t="n">
        <v>164</v>
      </c>
    </row>
    <row r="95">
      <c r="A95" s="18" t="inlineStr">
        <is>
          <t>건설중인자산</t>
        </is>
      </c>
      <c r="C95" s="20" t="n">
        <v>14</v>
      </c>
      <c r="D95" s="20" t="n">
        <v>13</v>
      </c>
      <c r="E95" s="20" t="n">
        <v>2</v>
      </c>
      <c r="F95" s="20" t="n">
        <v>9</v>
      </c>
      <c r="G95" s="20" t="n">
        <v>4</v>
      </c>
      <c r="H95" s="20" t="n">
        <v>703</v>
      </c>
      <c r="I95" s="20" t="n">
        <v>303</v>
      </c>
      <c r="J95" s="20" t="n">
        <v>10</v>
      </c>
      <c r="K95" s="20" t="n">
        <v>3</v>
      </c>
      <c r="L95" s="20" t="n">
        <v>9</v>
      </c>
    </row>
    <row r="96">
      <c r="A96" s="18" t="inlineStr">
        <is>
          <t>유형자산 합계</t>
        </is>
      </c>
      <c r="C96" s="20" t="n">
        <v>2981</v>
      </c>
      <c r="D96" s="20" t="n">
        <v>3107</v>
      </c>
      <c r="E96" s="20" t="n">
        <v>3138</v>
      </c>
      <c r="F96" s="20" t="n">
        <v>3332</v>
      </c>
      <c r="G96" s="20" t="n">
        <v>3342</v>
      </c>
      <c r="H96" s="20" t="n">
        <v>15534</v>
      </c>
      <c r="I96" s="20" t="n">
        <v>15548</v>
      </c>
      <c r="J96" s="20" t="n">
        <v>1490</v>
      </c>
      <c r="K96" s="20" t="n">
        <v>2924</v>
      </c>
      <c r="L96" s="20" t="n">
        <v>3332</v>
      </c>
    </row>
    <row r="97">
      <c r="A97" s="18" t="inlineStr">
        <is>
          <t>소프트웨어</t>
        </is>
      </c>
      <c r="C97" s="20" t="n">
        <v>148</v>
      </c>
      <c r="D97" s="20" t="n">
        <v>136</v>
      </c>
      <c r="E97" s="20" t="n">
        <v>137</v>
      </c>
      <c r="F97" s="20" t="n">
        <v>133</v>
      </c>
      <c r="G97" s="20" t="n">
        <v>128</v>
      </c>
      <c r="H97" s="20" t="n">
        <v>2249</v>
      </c>
      <c r="I97" s="20" t="n">
        <v>1809</v>
      </c>
      <c r="J97" s="20" t="n">
        <v>20</v>
      </c>
      <c r="K97" s="20" t="n">
        <v>49</v>
      </c>
      <c r="L97" s="20" t="n">
        <v>133</v>
      </c>
    </row>
    <row r="98">
      <c r="A98" s="18" t="inlineStr">
        <is>
          <t>영업권</t>
        </is>
      </c>
      <c r="C98" s="20" t="n">
        <v>4959</v>
      </c>
      <c r="D98" s="20" t="n">
        <v>4812</v>
      </c>
      <c r="E98" s="20" t="n">
        <v>4673</v>
      </c>
      <c r="F98" s="20" t="n">
        <v>2396</v>
      </c>
      <c r="G98" s="20" t="n">
        <v>2314</v>
      </c>
      <c r="H98" s="20" t="n">
        <v>0</v>
      </c>
      <c r="I98" s="20" t="n">
        <v>2272</v>
      </c>
      <c r="J98" s="20" t="n">
        <v>2035</v>
      </c>
      <c r="K98" s="20" t="n">
        <v>1798</v>
      </c>
      <c r="L98" s="20" t="n">
        <v>2396</v>
      </c>
    </row>
    <row r="99">
      <c r="A99" s="18" t="inlineStr">
        <is>
          <t>마케팅 관련 자산</t>
        </is>
      </c>
      <c r="C99" s="20" t="n">
        <v>9983</v>
      </c>
      <c r="D99" s="20" t="n">
        <v>9839</v>
      </c>
      <c r="E99" s="20" t="n">
        <v>9695</v>
      </c>
      <c r="F99" s="20" t="n">
        <v>10731</v>
      </c>
      <c r="G99" s="20" t="n">
        <v>10572</v>
      </c>
      <c r="H99" s="20" t="n">
        <v>0</v>
      </c>
      <c r="I99" s="20" t="n">
        <v>11278</v>
      </c>
      <c r="J99" s="20" t="n">
        <v>10703</v>
      </c>
      <c r="K99" s="20" t="n">
        <v>10127</v>
      </c>
      <c r="L99" s="20" t="n">
        <v>10731</v>
      </c>
    </row>
    <row r="100">
      <c r="A100" s="18" t="inlineStr">
        <is>
          <t>기타</t>
        </is>
      </c>
      <c r="C100" s="20" t="n">
        <v>59</v>
      </c>
      <c r="D100" s="20" t="n">
        <v>81</v>
      </c>
      <c r="E100" s="20" t="n">
        <v>112</v>
      </c>
      <c r="F100" s="20" t="n">
        <v>114</v>
      </c>
      <c r="G100" s="20" t="n">
        <v>115</v>
      </c>
      <c r="H100" s="20" t="n">
        <v>36</v>
      </c>
      <c r="I100" s="20" t="n">
        <v>32</v>
      </c>
      <c r="J100" s="20" t="n">
        <v>0</v>
      </c>
      <c r="K100" s="20" t="n">
        <v>37</v>
      </c>
      <c r="L100" s="20" t="n">
        <v>114</v>
      </c>
    </row>
    <row r="101">
      <c r="A101" s="18" t="inlineStr">
        <is>
          <t>무형자산 합계</t>
        </is>
      </c>
      <c r="C101" s="20" t="n">
        <v>15150</v>
      </c>
      <c r="D101" s="20" t="n">
        <v>14870</v>
      </c>
      <c r="E101" s="20" t="n">
        <v>14618</v>
      </c>
      <c r="F101" s="20" t="n">
        <v>13375</v>
      </c>
      <c r="G101" s="20" t="n">
        <v>13129</v>
      </c>
      <c r="H101" s="20" t="n">
        <v>2286</v>
      </c>
      <c r="I101" s="20" t="n">
        <v>15393</v>
      </c>
      <c r="J101" s="20" t="n">
        <v>12758</v>
      </c>
      <c r="K101" s="20" t="n">
        <v>12012</v>
      </c>
      <c r="L101" s="20" t="n">
        <v>13375</v>
      </c>
    </row>
    <row r="102">
      <c r="A102" s="18" t="inlineStr">
        <is>
          <t>투자유가증권</t>
        </is>
      </c>
      <c r="C102" s="20" t="n">
        <v>4451</v>
      </c>
      <c r="D102" s="20" t="n">
        <v>4521</v>
      </c>
      <c r="E102" s="20" t="n">
        <v>2759</v>
      </c>
      <c r="F102" s="20" t="n">
        <v>2716</v>
      </c>
      <c r="G102" s="20" t="n">
        <v>2799</v>
      </c>
      <c r="H102" s="20" t="n">
        <v>34250</v>
      </c>
      <c r="I102" s="20" t="n">
        <v>34860</v>
      </c>
      <c r="J102" s="20" t="n">
        <v>6058</v>
      </c>
      <c r="K102" s="20" t="n">
        <v>4567</v>
      </c>
      <c r="L102" s="20" t="n">
        <v>2716</v>
      </c>
    </row>
    <row r="103">
      <c r="A103" s="18" t="inlineStr">
        <is>
          <t>관계회사 주식</t>
        </is>
      </c>
      <c r="C103" s="20" t="n">
        <v>50354</v>
      </c>
      <c r="D103" s="20" t="n">
        <v>52140</v>
      </c>
      <c r="E103" s="20" t="n">
        <v>57033</v>
      </c>
      <c r="F103" s="20" t="n">
        <v>67022</v>
      </c>
      <c r="G103" s="20" t="n">
        <v>71913</v>
      </c>
      <c r="H103" s="20" t="n">
        <v>9470</v>
      </c>
      <c r="I103" s="20" t="n">
        <v>1532</v>
      </c>
      <c r="J103" s="20" t="n">
        <v>43304</v>
      </c>
      <c r="K103" s="20" t="n">
        <v>57363</v>
      </c>
      <c r="L103" s="20" t="n">
        <v>67022</v>
      </c>
    </row>
    <row r="104">
      <c r="A104" s="18" t="inlineStr">
        <is>
          <t>Guarantee Deposits IOA</t>
        </is>
      </c>
      <c r="H104" s="20" t="n">
        <v>150</v>
      </c>
      <c r="I104" s="20" t="n">
        <v>263</v>
      </c>
    </row>
    <row r="105">
      <c r="A105" s="18" t="inlineStr">
        <is>
          <t>파산갱생채권 등</t>
        </is>
      </c>
      <c r="H105" s="20" t="n">
        <v>0</v>
      </c>
    </row>
    <row r="106">
      <c r="A106" s="18" t="inlineStr">
        <is>
          <t>관계회사 장기대여금</t>
        </is>
      </c>
      <c r="C106" s="20" t="n">
        <v>1558</v>
      </c>
      <c r="D106" s="20" t="n">
        <v>1508</v>
      </c>
      <c r="E106" s="20" t="n">
        <v>1693</v>
      </c>
      <c r="F106" s="20" t="n">
        <v>1659</v>
      </c>
      <c r="G106" s="20" t="n">
        <v>1777</v>
      </c>
      <c r="I106" s="20" t="n">
        <v>1457</v>
      </c>
      <c r="J106" s="20" t="n">
        <v>2895</v>
      </c>
      <c r="K106" s="20" t="n">
        <v>1482</v>
      </c>
      <c r="L106" s="20" t="n">
        <v>1659</v>
      </c>
    </row>
    <row r="107">
      <c r="A107" s="18" t="inlineStr">
        <is>
          <t>이연법인세자산</t>
        </is>
      </c>
      <c r="C107" s="20" t="n">
        <v>177</v>
      </c>
      <c r="D107" s="20" t="n">
        <v>0</v>
      </c>
      <c r="E107" s="20" t="n">
        <v>124</v>
      </c>
      <c r="F107" s="20" t="n">
        <v>62</v>
      </c>
      <c r="G107" s="20" t="n">
        <v>116</v>
      </c>
      <c r="H107" s="20" t="n">
        <v>647</v>
      </c>
      <c r="I107" s="20" t="n">
        <v>65</v>
      </c>
      <c r="J107" s="20" t="n">
        <v>15</v>
      </c>
      <c r="K107" s="20" t="n">
        <v>173</v>
      </c>
      <c r="L107" s="20" t="n">
        <v>62</v>
      </c>
    </row>
    <row r="108">
      <c r="A108" s="18" t="inlineStr">
        <is>
          <t>기타</t>
        </is>
      </c>
      <c r="C108" s="20" t="n">
        <v>624</v>
      </c>
      <c r="D108" s="20" t="n">
        <v>954</v>
      </c>
      <c r="E108" s="20" t="n">
        <v>679</v>
      </c>
      <c r="F108" s="20" t="n">
        <v>594</v>
      </c>
      <c r="G108" s="20" t="n">
        <v>619</v>
      </c>
      <c r="H108" s="20" t="n">
        <v>1356</v>
      </c>
      <c r="I108" s="20" t="n">
        <v>280</v>
      </c>
      <c r="J108" s="20" t="n">
        <v>375</v>
      </c>
      <c r="K108" s="20" t="n">
        <v>414</v>
      </c>
      <c r="L108" s="20" t="n">
        <v>594</v>
      </c>
    </row>
    <row r="109">
      <c r="A109" s="18" t="inlineStr">
        <is>
          <t>대손충당금</t>
        </is>
      </c>
      <c r="C109" s="20" t="n">
        <v>-26</v>
      </c>
      <c r="D109" s="20" t="n">
        <v>-26</v>
      </c>
      <c r="E109" s="20" t="n">
        <v>-26</v>
      </c>
      <c r="F109" s="20" t="n">
        <v>-26</v>
      </c>
      <c r="G109" s="20" t="n">
        <v>-26</v>
      </c>
      <c r="H109" s="20" t="n">
        <v>-461</v>
      </c>
      <c r="I109" s="20" t="n">
        <v>-408</v>
      </c>
      <c r="J109" s="20" t="n">
        <v>-4</v>
      </c>
      <c r="K109" s="20" t="n">
        <v>-4</v>
      </c>
      <c r="L109" s="20" t="n">
        <v>-26</v>
      </c>
    </row>
    <row r="110">
      <c r="A110" s="18" t="inlineStr">
        <is>
          <t>투자 및 기타자산 합계</t>
        </is>
      </c>
      <c r="C110" s="20" t="n">
        <v>57140</v>
      </c>
      <c r="D110" s="20" t="n">
        <v>59098</v>
      </c>
      <c r="E110" s="20" t="n">
        <v>62264</v>
      </c>
      <c r="F110" s="20" t="n">
        <v>72029</v>
      </c>
      <c r="G110" s="20" t="n">
        <v>77200</v>
      </c>
      <c r="H110" s="20" t="n">
        <v>45413</v>
      </c>
      <c r="I110" s="20" t="n">
        <v>37788</v>
      </c>
      <c r="J110" s="20" t="n">
        <v>52644</v>
      </c>
      <c r="K110" s="20" t="n">
        <v>63996</v>
      </c>
      <c r="L110" s="20" t="n">
        <v>72029</v>
      </c>
    </row>
    <row r="111">
      <c r="A111" s="9" t="inlineStr">
        <is>
          <t>비유동자산 합계</t>
        </is>
      </c>
      <c r="C111" s="12" t="n">
        <v>75273</v>
      </c>
      <c r="D111" s="12" t="n">
        <v>77076</v>
      </c>
      <c r="E111" s="12" t="n">
        <v>80021</v>
      </c>
      <c r="F111" s="12" t="n">
        <v>88738</v>
      </c>
      <c r="G111" s="12" t="n">
        <v>93673</v>
      </c>
      <c r="H111" s="12" t="n">
        <v>63233</v>
      </c>
      <c r="I111" s="12" t="n">
        <v>68730</v>
      </c>
      <c r="J111" s="12" t="n">
        <v>66894</v>
      </c>
      <c r="K111" s="12" t="n">
        <v>78933</v>
      </c>
      <c r="L111" s="12" t="n">
        <v>88738</v>
      </c>
    </row>
    <row r="112">
      <c r="A112" s="9" t="inlineStr">
        <is>
          <t>자산 합계</t>
        </is>
      </c>
      <c r="C112" s="12" t="n">
        <v>114570</v>
      </c>
      <c r="D112" s="12" t="n">
        <v>114739</v>
      </c>
      <c r="E112" s="12" t="n">
        <v>121683</v>
      </c>
      <c r="F112" s="12" t="n">
        <v>131996</v>
      </c>
      <c r="G112" s="12" t="n">
        <v>137980</v>
      </c>
      <c r="H112" s="12" t="n">
        <v>577449</v>
      </c>
      <c r="I112" s="12" t="n">
        <v>621727</v>
      </c>
      <c r="J112" s="12" t="n">
        <v>98774</v>
      </c>
      <c r="K112" s="12" t="n">
        <v>115334</v>
      </c>
      <c r="L112" s="12" t="n">
        <v>131996</v>
      </c>
    </row>
    <row r="113">
      <c r="A113" s="18" t="inlineStr">
        <is>
          <t>Trading Products CLSEC</t>
        </is>
      </c>
      <c r="H113" s="20" t="n">
        <v>0</v>
      </c>
    </row>
    <row r="114">
      <c r="A114" s="18" t="inlineStr">
        <is>
          <t>Trading Securities And Other CLSEC</t>
        </is>
      </c>
      <c r="H114" s="20" t="n">
        <v>0</v>
      </c>
    </row>
    <row r="115">
      <c r="A115" s="18" t="inlineStr">
        <is>
          <t>Trade Date Accrual CLSEC</t>
        </is>
      </c>
      <c r="H115" s="20" t="n">
        <v>0</v>
      </c>
    </row>
    <row r="116">
      <c r="A116" s="18" t="inlineStr">
        <is>
          <t>Margin Transaction Liabilities CLSEC</t>
        </is>
      </c>
      <c r="H116" s="20" t="n">
        <v>0</v>
      </c>
    </row>
    <row r="117">
      <c r="A117" s="18" t="inlineStr">
        <is>
          <t>Borrowings On Margin Transactions CLSEC</t>
        </is>
      </c>
      <c r="H117" s="20" t="n">
        <v>0</v>
      </c>
    </row>
    <row r="118">
      <c r="A118" s="18" t="inlineStr">
        <is>
          <t>Cash Received For Securities Lending On Margin Transactions CLSEC</t>
        </is>
      </c>
      <c r="H118" s="20" t="n">
        <v>0</v>
      </c>
    </row>
    <row r="119">
      <c r="A119" s="18" t="inlineStr">
        <is>
          <t>Loans Payable Secured By Securities CLSEC</t>
        </is>
      </c>
      <c r="H119" s="20" t="n">
        <v>0</v>
      </c>
    </row>
    <row r="120">
      <c r="A120" s="18" t="inlineStr">
        <is>
          <t>Cash Received On Debt Credit Transaction Of Securities CLSEC</t>
        </is>
      </c>
      <c r="H120" s="20" t="n">
        <v>0</v>
      </c>
    </row>
    <row r="121">
      <c r="A121" s="18" t="inlineStr">
        <is>
          <t>예수금</t>
        </is>
      </c>
      <c r="H121" s="20" t="n">
        <v>77</v>
      </c>
    </row>
    <row r="122">
      <c r="A122" s="18" t="inlineStr">
        <is>
          <t>Deposits From Customers CLSEC</t>
        </is>
      </c>
      <c r="H122" s="20" t="n">
        <v>0</v>
      </c>
    </row>
    <row r="123">
      <c r="A123" s="18" t="inlineStr">
        <is>
          <t>Deposits For Others CLSEC</t>
        </is>
      </c>
      <c r="H123" s="20" t="n">
        <v>77</v>
      </c>
    </row>
    <row r="124">
      <c r="A124" s="18" t="inlineStr">
        <is>
          <t>Guarantee Deposits Received CLSEC</t>
        </is>
      </c>
      <c r="H124" s="20" t="n">
        <v>0</v>
      </c>
    </row>
    <row r="125">
      <c r="A125" s="18" t="inlineStr">
        <is>
          <t>Guarantee Deposits Received For Margin Transaction CLSEC</t>
        </is>
      </c>
      <c r="H125" s="20" t="n">
        <v>0</v>
      </c>
    </row>
    <row r="126">
      <c r="A126" s="18" t="inlineStr">
        <is>
          <t>Initial Margins Of Futures Markets Liabilities CLSEC</t>
        </is>
      </c>
      <c r="H126" s="20" t="n">
        <v>0</v>
      </c>
    </row>
    <row r="127">
      <c r="A127" s="18" t="inlineStr">
        <is>
          <t>예수금</t>
        </is>
      </c>
      <c r="C127" s="20" t="n">
        <v>62</v>
      </c>
      <c r="D127" s="20" t="n">
        <v>33</v>
      </c>
      <c r="E127" s="20" t="n">
        <v>60</v>
      </c>
      <c r="F127" s="20" t="n">
        <v>28</v>
      </c>
      <c r="G127" s="20" t="n">
        <v>64</v>
      </c>
      <c r="H127" s="20" t="n">
        <v>77</v>
      </c>
      <c r="I127" s="20" t="n">
        <v>14</v>
      </c>
      <c r="J127" s="20" t="n">
        <v>58</v>
      </c>
      <c r="K127" s="20" t="n">
        <v>25</v>
      </c>
      <c r="L127" s="20" t="n">
        <v>28</v>
      </c>
    </row>
    <row r="128">
      <c r="A128" s="18" t="inlineStr">
        <is>
          <t>예금</t>
        </is>
      </c>
      <c r="C128" s="20" t="n">
        <v>9006</v>
      </c>
      <c r="D128" s="20" t="n">
        <v>8164</v>
      </c>
      <c r="E128" s="20" t="n">
        <v>9042</v>
      </c>
      <c r="F128" s="20" t="n">
        <v>9475</v>
      </c>
      <c r="G128" s="20" t="n">
        <v>10401</v>
      </c>
      <c r="H128" s="20" t="n">
        <v>410706</v>
      </c>
      <c r="I128" s="20" t="n">
        <v>431741</v>
      </c>
      <c r="J128" s="20" t="n">
        <v>10201</v>
      </c>
      <c r="K128" s="20" t="n">
        <v>10241</v>
      </c>
      <c r="L128" s="20" t="n">
        <v>9475</v>
      </c>
    </row>
    <row r="129">
      <c r="A129" s="18" t="inlineStr">
        <is>
          <t>매도현선(RP)계정</t>
        </is>
      </c>
      <c r="H129" s="20" t="n">
        <v>10277</v>
      </c>
      <c r="I129" s="20" t="n">
        <v>2312</v>
      </c>
      <c r="J129" s="20" t="n">
        <v>0</v>
      </c>
    </row>
    <row r="130">
      <c r="A130" s="18" t="inlineStr">
        <is>
          <t>단기차입금</t>
        </is>
      </c>
      <c r="C130" s="20" t="n">
        <v>318</v>
      </c>
      <c r="D130" s="20" t="n">
        <v>14</v>
      </c>
      <c r="E130" s="20" t="n">
        <v>11</v>
      </c>
      <c r="F130" s="20" t="n">
        <v>13</v>
      </c>
      <c r="G130" s="20" t="n">
        <v>5</v>
      </c>
      <c r="H130" s="20" t="n">
        <v>2306</v>
      </c>
      <c r="I130" s="20" t="n">
        <v>12</v>
      </c>
      <c r="J130" s="20" t="n">
        <v>0</v>
      </c>
      <c r="K130" s="20" t="n">
        <v>0</v>
      </c>
      <c r="L130" s="20" t="n">
        <v>13</v>
      </c>
    </row>
    <row r="131">
      <c r="A131" s="18" t="inlineStr">
        <is>
          <t>1년 내 상환 장기차입금</t>
        </is>
      </c>
      <c r="C131" s="20" t="n">
        <v>261</v>
      </c>
      <c r="D131" s="20" t="n">
        <v>245</v>
      </c>
      <c r="E131" s="20" t="n">
        <v>244</v>
      </c>
      <c r="F131" s="20" t="n">
        <v>253</v>
      </c>
      <c r="G131" s="20" t="n">
        <v>243</v>
      </c>
      <c r="H131" s="20" t="n">
        <v>25168</v>
      </c>
      <c r="I131" s="20" t="n">
        <v>36161</v>
      </c>
      <c r="J131" s="20" t="n">
        <v>104</v>
      </c>
      <c r="K131" s="20" t="n">
        <v>79</v>
      </c>
      <c r="L131" s="20" t="n">
        <v>253</v>
      </c>
    </row>
    <row r="132">
      <c r="A132" s="18" t="inlineStr">
        <is>
          <t>리스부채</t>
        </is>
      </c>
      <c r="H132" s="20" t="n">
        <v>208</v>
      </c>
      <c r="I132" s="20" t="n">
        <v>307</v>
      </c>
    </row>
    <row r="133">
      <c r="A133" s="18" t="inlineStr">
        <is>
          <t>미지급법인세</t>
        </is>
      </c>
      <c r="C133" s="20" t="n">
        <v>134</v>
      </c>
      <c r="D133" s="20" t="n">
        <v>236</v>
      </c>
      <c r="E133" s="20" t="n">
        <v>193</v>
      </c>
      <c r="F133" s="20" t="n">
        <v>131</v>
      </c>
      <c r="G133" s="20" t="n">
        <v>334</v>
      </c>
      <c r="H133" s="20" t="n">
        <v>379</v>
      </c>
      <c r="I133" s="20" t="n">
        <v>4254</v>
      </c>
      <c r="J133" s="20" t="n">
        <v>185</v>
      </c>
      <c r="K133" s="20" t="n">
        <v>857</v>
      </c>
      <c r="L133" s="20" t="n">
        <v>131</v>
      </c>
    </row>
    <row r="134">
      <c r="A134" s="18" t="inlineStr">
        <is>
          <t>상여충당금</t>
        </is>
      </c>
      <c r="C134" s="20" t="n">
        <v>126</v>
      </c>
      <c r="D134" s="20" t="n">
        <v>74</v>
      </c>
      <c r="E134" s="20" t="n">
        <v>110</v>
      </c>
      <c r="F134" s="20" t="n">
        <v>76</v>
      </c>
      <c r="G134" s="20" t="n">
        <v>141</v>
      </c>
      <c r="H134" s="20" t="n">
        <v>31</v>
      </c>
      <c r="I134" s="20" t="n">
        <v>22</v>
      </c>
      <c r="J134" s="20" t="n">
        <v>31</v>
      </c>
      <c r="K134" s="20" t="n">
        <v>75</v>
      </c>
      <c r="L134" s="20" t="n">
        <v>76</v>
      </c>
    </row>
    <row r="135">
      <c r="A135" s="18" t="inlineStr">
        <is>
          <t>기타</t>
        </is>
      </c>
      <c r="C135" s="20" t="n">
        <v>2075</v>
      </c>
      <c r="D135" s="20" t="n">
        <v>1858</v>
      </c>
      <c r="E135" s="20" t="n">
        <v>2221</v>
      </c>
      <c r="F135" s="20" t="n">
        <v>2608</v>
      </c>
      <c r="G135" s="20" t="n">
        <v>2476</v>
      </c>
      <c r="H135" s="20" t="n">
        <v>10900</v>
      </c>
      <c r="I135" s="20" t="n">
        <v>14001</v>
      </c>
      <c r="J135" s="20" t="n">
        <v>1382</v>
      </c>
      <c r="K135" s="20" t="n">
        <v>1206</v>
      </c>
      <c r="L135" s="20" t="n">
        <v>2608</v>
      </c>
    </row>
    <row r="136">
      <c r="A136" s="9" t="inlineStr">
        <is>
          <t>유동부채 합계</t>
        </is>
      </c>
      <c r="C136" s="12" t="n">
        <v>11985</v>
      </c>
      <c r="D136" s="12" t="n">
        <v>10627</v>
      </c>
      <c r="E136" s="12" t="n">
        <v>11884</v>
      </c>
      <c r="F136" s="12" t="n">
        <v>12586</v>
      </c>
      <c r="G136" s="12" t="n">
        <v>13667</v>
      </c>
      <c r="H136" s="12" t="n">
        <v>460056</v>
      </c>
      <c r="I136" s="12" t="n">
        <v>488521</v>
      </c>
      <c r="J136" s="12" t="n">
        <v>11963</v>
      </c>
      <c r="K136" s="12" t="n">
        <v>12485</v>
      </c>
      <c r="L136" s="12" t="n">
        <v>12586</v>
      </c>
    </row>
    <row r="137">
      <c r="A137" s="18" t="inlineStr">
        <is>
          <t>장기차입금</t>
        </is>
      </c>
      <c r="C137" s="20" t="n">
        <v>2111</v>
      </c>
      <c r="D137" s="20" t="n">
        <v>1983</v>
      </c>
      <c r="E137" s="20" t="n">
        <v>1964</v>
      </c>
      <c r="F137" s="20" t="n">
        <v>1960</v>
      </c>
      <c r="G137" s="20" t="n">
        <v>1902</v>
      </c>
      <c r="H137" s="20" t="n">
        <v>35674</v>
      </c>
      <c r="I137" s="20" t="n">
        <v>41334</v>
      </c>
      <c r="J137" s="20" t="n">
        <v>1035</v>
      </c>
      <c r="K137" s="20" t="n">
        <v>1235</v>
      </c>
      <c r="L137" s="20" t="n">
        <v>1960</v>
      </c>
    </row>
    <row r="138">
      <c r="A138" s="18" t="inlineStr">
        <is>
          <t>리스부채</t>
        </is>
      </c>
      <c r="H138" s="20" t="n">
        <v>283</v>
      </c>
      <c r="I138" s="20" t="n">
        <v>224</v>
      </c>
    </row>
    <row r="139">
      <c r="A139" s="18" t="inlineStr">
        <is>
          <t>이연법인세부채</t>
        </is>
      </c>
      <c r="C139" s="20" t="n">
        <v>12888</v>
      </c>
      <c r="D139" s="20" t="n">
        <v>12904</v>
      </c>
      <c r="E139" s="20" t="n">
        <v>13939</v>
      </c>
      <c r="F139" s="20" t="n">
        <v>16362</v>
      </c>
      <c r="G139" s="20" t="n">
        <v>17845</v>
      </c>
      <c r="H139" s="20" t="n">
        <v>6861</v>
      </c>
      <c r="I139" s="20" t="n">
        <v>10106</v>
      </c>
      <c r="J139" s="20" t="n">
        <v>13137</v>
      </c>
      <c r="K139" s="20" t="n">
        <v>14666</v>
      </c>
      <c r="L139" s="20" t="n">
        <v>16362</v>
      </c>
    </row>
    <row r="140">
      <c r="A140" s="18" t="inlineStr">
        <is>
          <t>임원 퇴직위로 충당금</t>
        </is>
      </c>
      <c r="C140" s="20" t="n">
        <v>4</v>
      </c>
      <c r="D140" s="20" t="n">
        <v>4</v>
      </c>
      <c r="E140" s="20" t="n">
        <v>4</v>
      </c>
      <c r="F140" s="20" t="n">
        <v>4</v>
      </c>
      <c r="G140" s="20" t="n">
        <v>4</v>
      </c>
      <c r="H140" s="20" t="n">
        <v>4</v>
      </c>
      <c r="I140" s="20" t="n">
        <v>4</v>
      </c>
      <c r="J140" s="20" t="n">
        <v>4</v>
      </c>
      <c r="K140" s="20" t="n">
        <v>4</v>
      </c>
      <c r="L140" s="20" t="n">
        <v>4</v>
      </c>
    </row>
    <row r="141">
      <c r="A141" s="18" t="inlineStr">
        <is>
          <t>퇴직급여부채</t>
        </is>
      </c>
      <c r="C141" s="20" t="n">
        <v>6</v>
      </c>
      <c r="D141" s="20" t="n">
        <v>6</v>
      </c>
      <c r="E141" s="20" t="n">
        <v>6</v>
      </c>
      <c r="F141" s="20" t="n">
        <v>6</v>
      </c>
      <c r="G141" s="20" t="n">
        <v>6</v>
      </c>
      <c r="H141" s="20" t="n">
        <v>5</v>
      </c>
      <c r="I141" s="20" t="n">
        <v>4</v>
      </c>
      <c r="J141" s="20" t="n">
        <v>4</v>
      </c>
      <c r="K141" s="20" t="n">
        <v>5</v>
      </c>
      <c r="L141" s="20" t="n">
        <v>6</v>
      </c>
    </row>
    <row r="142">
      <c r="A142" s="18" t="inlineStr">
        <is>
          <t>기타</t>
        </is>
      </c>
      <c r="C142" s="20" t="n">
        <v>308</v>
      </c>
      <c r="D142" s="20" t="n">
        <v>433</v>
      </c>
      <c r="E142" s="20" t="n">
        <v>423</v>
      </c>
      <c r="F142" s="20" t="n">
        <v>439</v>
      </c>
      <c r="G142" s="20" t="n">
        <v>433</v>
      </c>
      <c r="H142" s="20" t="n">
        <v>135</v>
      </c>
      <c r="I142" s="20" t="n">
        <v>344</v>
      </c>
      <c r="J142" s="20" t="n">
        <v>212</v>
      </c>
      <c r="K142" s="20" t="n">
        <v>235</v>
      </c>
      <c r="L142" s="20" t="n">
        <v>439</v>
      </c>
    </row>
    <row r="143">
      <c r="A143" s="9" t="inlineStr">
        <is>
          <t>비유동부채 합계</t>
        </is>
      </c>
      <c r="C143" s="12" t="n">
        <v>15319</v>
      </c>
      <c r="D143" s="12" t="n">
        <v>15332</v>
      </c>
      <c r="E143" s="12" t="n">
        <v>16338</v>
      </c>
      <c r="F143" s="12" t="n">
        <v>18773</v>
      </c>
      <c r="G143" s="12" t="n">
        <v>20192</v>
      </c>
      <c r="H143" s="12" t="n">
        <v>42965</v>
      </c>
      <c r="I143" s="12" t="n">
        <v>51794</v>
      </c>
      <c r="J143" s="12" t="n">
        <v>14394</v>
      </c>
      <c r="K143" s="12" t="n">
        <v>16147</v>
      </c>
      <c r="L143" s="12" t="n">
        <v>18773</v>
      </c>
    </row>
    <row r="144">
      <c r="A144" s="18" t="inlineStr">
        <is>
          <t>Reserve For Financial Products Transaction Liabilities Reserves Under The Special Laws SEC</t>
        </is>
      </c>
      <c r="H144" s="20" t="n">
        <v>0</v>
      </c>
    </row>
    <row r="145">
      <c r="A145" s="18" t="inlineStr">
        <is>
          <t>Reserves Under The Special Laws1</t>
        </is>
      </c>
      <c r="H145" s="20" t="n">
        <v>0</v>
      </c>
    </row>
    <row r="146">
      <c r="A146" s="9" t="inlineStr">
        <is>
          <t>부채 합계</t>
        </is>
      </c>
      <c r="C146" s="12" t="n">
        <v>27305</v>
      </c>
      <c r="D146" s="12" t="n">
        <v>25959</v>
      </c>
      <c r="E146" s="12" t="n">
        <v>28222</v>
      </c>
      <c r="F146" s="12" t="n">
        <v>31360</v>
      </c>
      <c r="G146" s="12" t="n">
        <v>33860</v>
      </c>
      <c r="H146" s="12" t="n">
        <v>503022</v>
      </c>
      <c r="I146" s="12" t="n">
        <v>540315</v>
      </c>
      <c r="J146" s="12" t="n">
        <v>26358</v>
      </c>
      <c r="K146" s="12" t="n">
        <v>28633</v>
      </c>
      <c r="L146" s="12" t="n">
        <v>31360</v>
      </c>
    </row>
    <row r="147">
      <c r="A147" s="18" t="inlineStr">
        <is>
          <t>자본금</t>
        </is>
      </c>
      <c r="C147" s="20" t="n">
        <v>12223</v>
      </c>
      <c r="D147" s="20" t="n">
        <v>12223</v>
      </c>
      <c r="E147" s="20" t="n">
        <v>12223</v>
      </c>
      <c r="F147" s="20" t="n">
        <v>12223</v>
      </c>
      <c r="G147" s="20" t="n">
        <v>12223</v>
      </c>
      <c r="H147" s="20" t="n">
        <v>12223</v>
      </c>
      <c r="I147" s="20" t="n">
        <v>12223</v>
      </c>
      <c r="J147" s="20" t="n">
        <v>12223</v>
      </c>
      <c r="K147" s="20" t="n">
        <v>12223</v>
      </c>
      <c r="L147" s="20" t="n">
        <v>12223</v>
      </c>
    </row>
    <row r="148">
      <c r="A148" s="18" t="inlineStr">
        <is>
          <t>자본잉여금</t>
        </is>
      </c>
      <c r="C148" s="20" t="n">
        <v>3704</v>
      </c>
      <c r="D148" s="20" t="n">
        <v>3704</v>
      </c>
      <c r="E148" s="20" t="n">
        <v>3704</v>
      </c>
      <c r="F148" s="20" t="n">
        <v>3704</v>
      </c>
      <c r="G148" s="20" t="n">
        <v>3704</v>
      </c>
      <c r="H148" s="20" t="n">
        <v>5897</v>
      </c>
      <c r="I148" s="20" t="n">
        <v>3704</v>
      </c>
      <c r="J148" s="20" t="n">
        <v>3704</v>
      </c>
      <c r="K148" s="20" t="n">
        <v>3704</v>
      </c>
      <c r="L148" s="20" t="n">
        <v>3704</v>
      </c>
    </row>
    <row r="149">
      <c r="A149" s="18" t="inlineStr">
        <is>
          <t>이익잉여금</t>
        </is>
      </c>
      <c r="C149" s="20" t="n">
        <v>88756</v>
      </c>
      <c r="D149" s="20" t="n">
        <v>92340</v>
      </c>
      <c r="E149" s="20" t="n">
        <v>96224</v>
      </c>
      <c r="F149" s="20" t="n">
        <v>99784</v>
      </c>
      <c r="G149" s="20" t="n">
        <v>102639</v>
      </c>
      <c r="H149" s="20" t="n">
        <v>53386</v>
      </c>
      <c r="I149" s="20" t="n">
        <v>64446</v>
      </c>
      <c r="J149" s="20" t="n">
        <v>73597</v>
      </c>
      <c r="K149" s="20" t="n">
        <v>85397</v>
      </c>
      <c r="L149" s="20" t="n">
        <v>99784</v>
      </c>
    </row>
    <row r="150">
      <c r="A150" s="18" t="inlineStr">
        <is>
          <t>자기주식</t>
        </is>
      </c>
      <c r="C150" s="20" t="n">
        <v>-13021</v>
      </c>
      <c r="D150" s="20" t="n">
        <v>-13021</v>
      </c>
      <c r="E150" s="20" t="n">
        <v>-13021</v>
      </c>
      <c r="F150" s="20" t="n">
        <v>-13021</v>
      </c>
      <c r="G150" s="20" t="n">
        <v>-13021</v>
      </c>
      <c r="H150" s="20" t="n">
        <v>-11822</v>
      </c>
      <c r="I150" s="20" t="n">
        <v>-11822</v>
      </c>
      <c r="J150" s="20" t="n">
        <v>-13021</v>
      </c>
      <c r="K150" s="20" t="n">
        <v>-13021</v>
      </c>
      <c r="L150" s="20" t="n">
        <v>-13021</v>
      </c>
    </row>
    <row r="151">
      <c r="A151" s="9" t="inlineStr">
        <is>
          <t>주주자본 합계</t>
        </is>
      </c>
      <c r="C151" s="12" t="n">
        <v>91662</v>
      </c>
      <c r="D151" s="12" t="n">
        <v>95246</v>
      </c>
      <c r="E151" s="12" t="n">
        <v>99129</v>
      </c>
      <c r="F151" s="12" t="n">
        <v>102690</v>
      </c>
      <c r="G151" s="12" t="n">
        <v>105545</v>
      </c>
      <c r="H151" s="12" t="n">
        <v>59684</v>
      </c>
      <c r="I151" s="12" t="n">
        <v>68551</v>
      </c>
      <c r="J151" s="12" t="n">
        <v>76503</v>
      </c>
      <c r="K151" s="12" t="n">
        <v>88303</v>
      </c>
      <c r="L151" s="12" t="n">
        <v>102690</v>
      </c>
    </row>
    <row r="152">
      <c r="A152" s="18" t="inlineStr">
        <is>
          <t>기타유가증권 평가차액</t>
        </is>
      </c>
      <c r="C152" s="20" t="n">
        <v>312</v>
      </c>
      <c r="D152" s="20" t="n">
        <v>444</v>
      </c>
      <c r="E152" s="20" t="n">
        <v>462</v>
      </c>
      <c r="F152" s="20" t="n">
        <v>486</v>
      </c>
      <c r="G152" s="20" t="n">
        <v>380</v>
      </c>
      <c r="H152" s="20" t="n">
        <v>377</v>
      </c>
      <c r="I152" s="20" t="n">
        <v>-46</v>
      </c>
      <c r="J152" s="20" t="n">
        <v>1523</v>
      </c>
      <c r="K152" s="20" t="n">
        <v>342</v>
      </c>
      <c r="L152" s="20" t="n">
        <v>486</v>
      </c>
    </row>
    <row r="153">
      <c r="A153" s="18" t="inlineStr">
        <is>
          <t>이연헤지손익</t>
        </is>
      </c>
      <c r="C153" s="20" t="n">
        <v>-63</v>
      </c>
      <c r="D153" s="20" t="n">
        <v>-66</v>
      </c>
      <c r="E153" s="20" t="n">
        <v>-87</v>
      </c>
      <c r="F153" s="20" t="n">
        <v>-89</v>
      </c>
      <c r="G153" s="20" t="n">
        <v>-96</v>
      </c>
      <c r="H153" s="20" t="n">
        <v>13</v>
      </c>
      <c r="I153" s="20" t="n">
        <v>-187</v>
      </c>
      <c r="J153" s="20" t="n">
        <v>-51</v>
      </c>
      <c r="K153" s="20" t="n">
        <v>-16</v>
      </c>
      <c r="L153" s="20" t="n">
        <v>-89</v>
      </c>
    </row>
    <row r="154">
      <c r="A154" s="18" t="inlineStr">
        <is>
          <t>해외사업환산조정</t>
        </is>
      </c>
      <c r="C154" s="20" t="n">
        <v>-5185</v>
      </c>
      <c r="D154" s="20" t="n">
        <v>-7288</v>
      </c>
      <c r="E154" s="20" t="n">
        <v>-6474</v>
      </c>
      <c r="F154" s="20" t="n">
        <v>-2990</v>
      </c>
      <c r="G154" s="20" t="n">
        <v>-2267</v>
      </c>
      <c r="H154" s="20" t="n">
        <v>-7535</v>
      </c>
      <c r="I154" s="20" t="n">
        <v>-8686</v>
      </c>
      <c r="J154" s="20" t="n">
        <v>-6103</v>
      </c>
      <c r="K154" s="20" t="n">
        <v>-2255</v>
      </c>
      <c r="L154" s="20" t="n">
        <v>-2990</v>
      </c>
    </row>
    <row r="155">
      <c r="A155" s="18" t="inlineStr">
        <is>
          <t>기타포괄손익누계액 합계</t>
        </is>
      </c>
      <c r="C155" s="20" t="n">
        <v>-4936</v>
      </c>
      <c r="D155" s="20" t="n">
        <v>-6910</v>
      </c>
      <c r="E155" s="20" t="n">
        <v>-6098</v>
      </c>
      <c r="F155" s="20" t="n">
        <v>-2593</v>
      </c>
      <c r="G155" s="20" t="n">
        <v>-1983</v>
      </c>
      <c r="H155" s="20" t="n">
        <v>-7144</v>
      </c>
      <c r="I155" s="20" t="n">
        <v>-8919</v>
      </c>
      <c r="J155" s="20" t="n">
        <v>-4631</v>
      </c>
      <c r="K155" s="20" t="n">
        <v>-1929</v>
      </c>
      <c r="L155" s="20" t="n">
        <v>-2593</v>
      </c>
    </row>
    <row r="156">
      <c r="A156" s="18" t="inlineStr">
        <is>
          <t>비지배지분</t>
        </is>
      </c>
      <c r="C156" s="20" t="n">
        <v>539</v>
      </c>
      <c r="D156" s="20" t="n">
        <v>443</v>
      </c>
      <c r="E156" s="20" t="n">
        <v>430</v>
      </c>
      <c r="F156" s="20" t="n">
        <v>538</v>
      </c>
      <c r="G156" s="20" t="n">
        <v>558</v>
      </c>
      <c r="H156" s="20" t="n">
        <v>21887</v>
      </c>
      <c r="I156" s="20" t="n">
        <v>21780</v>
      </c>
      <c r="J156" s="20" t="n">
        <v>544</v>
      </c>
      <c r="K156" s="20" t="n">
        <v>327</v>
      </c>
      <c r="L156" s="20" t="n">
        <v>538</v>
      </c>
    </row>
    <row r="157">
      <c r="A157" s="9" t="inlineStr">
        <is>
          <t>순자산 합계</t>
        </is>
      </c>
      <c r="C157" s="12" t="n">
        <v>87264</v>
      </c>
      <c r="D157" s="12" t="n">
        <v>88780</v>
      </c>
      <c r="E157" s="12" t="n">
        <v>93461</v>
      </c>
      <c r="F157" s="12" t="n">
        <v>100635</v>
      </c>
      <c r="G157" s="12" t="n">
        <v>104119</v>
      </c>
      <c r="H157" s="12" t="n">
        <v>74427</v>
      </c>
      <c r="I157" s="12" t="n">
        <v>81411</v>
      </c>
      <c r="J157" s="12" t="n">
        <v>72416</v>
      </c>
      <c r="K157" s="12" t="n">
        <v>86701</v>
      </c>
      <c r="L157" s="12" t="n">
        <v>100635</v>
      </c>
    </row>
    <row r="158">
      <c r="A158" s="9" t="inlineStr">
        <is>
          <t>부채·순자산 합계</t>
        </is>
      </c>
      <c r="C158" s="12" t="n">
        <v>114570</v>
      </c>
      <c r="D158" s="12" t="n">
        <v>114739</v>
      </c>
      <c r="E158" s="12" t="n">
        <v>121683</v>
      </c>
      <c r="F158" s="12" t="n">
        <v>131996</v>
      </c>
      <c r="G158" s="12" t="n">
        <v>137980</v>
      </c>
      <c r="H158" s="12" t="n">
        <v>577449</v>
      </c>
      <c r="I158" s="12" t="n">
        <v>621727</v>
      </c>
      <c r="J158" s="12" t="n">
        <v>98774</v>
      </c>
      <c r="K158" s="12" t="n">
        <v>115334</v>
      </c>
      <c r="L158" s="12" t="n">
        <v>131996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49" t="inlineStr">
        <is>
          <t>출처 · 쓴 결산단신</t>
        </is>
      </c>
    </row>
    <row r="3">
      <c r="A3" s="50" t="inlineStr">
        <is>
          <t>공시일</t>
        </is>
      </c>
      <c r="B3" s="50" t="inlineStr">
        <is>
          <t>문서</t>
        </is>
      </c>
      <c r="C3" s="50" t="inlineStr">
        <is>
          <t>PDF</t>
        </is>
      </c>
    </row>
    <row r="4">
      <c r="A4" t="inlineStr">
        <is>
          <t>2026-07-30</t>
        </is>
      </c>
      <c r="B4" t="inlineStr">
        <is>
          <t>2027년 3월 결산기 1분기 결산단신</t>
        </is>
      </c>
      <c r="C4" t="inlineStr">
        <is>
          <t>https://www2.jpx.co.jp/disc/86990/140120260730503632.pdf</t>
        </is>
      </c>
    </row>
    <row r="5">
      <c r="A5" t="inlineStr">
        <is>
          <t>2026-04-30</t>
        </is>
      </c>
      <c r="B5" t="inlineStr">
        <is>
          <t>2026년 3월 결산기 연간 결산단신</t>
        </is>
      </c>
      <c r="C5" t="inlineStr">
        <is>
          <t>https://www2.jpx.co.jp/disc/86990/140120260430515106.pdf</t>
        </is>
      </c>
    </row>
    <row r="6">
      <c r="A6" t="inlineStr">
        <is>
          <t>2026-01-29</t>
        </is>
      </c>
      <c r="B6" t="inlineStr">
        <is>
          <t>2026년 3월 결산기 3분기 결산단신</t>
        </is>
      </c>
      <c r="C6" t="inlineStr">
        <is>
          <t>https://www2.jpx.co.jp/disc/86990/140120260129541797.pdf</t>
        </is>
      </c>
    </row>
    <row r="7">
      <c r="A7" t="inlineStr">
        <is>
          <t>2025-10-30</t>
        </is>
      </c>
      <c r="B7" t="inlineStr">
        <is>
          <t>2026년 3월 결산기 2분기 결산단신</t>
        </is>
      </c>
      <c r="C7" t="inlineStr">
        <is>
          <t>https://www2.jpx.co.jp/disc/86990/140120251030583111.pdf</t>
        </is>
      </c>
    </row>
    <row r="8">
      <c r="A8" t="inlineStr">
        <is>
          <t>2025-07-30</t>
        </is>
      </c>
      <c r="B8" t="inlineStr">
        <is>
          <t>2026년 3월 결산기 1분기 결산단신</t>
        </is>
      </c>
      <c r="C8" t="inlineStr">
        <is>
          <t>https://www2.jpx.co.jp/disc/86990/140120250730524191.pdf</t>
        </is>
      </c>
    </row>
    <row r="9">
      <c r="A9" t="inlineStr">
        <is>
          <t>2025-04-30</t>
        </is>
      </c>
      <c r="B9" t="inlineStr">
        <is>
          <t>2025년 3월 결산기 연간 결산단신</t>
        </is>
      </c>
      <c r="C9" t="inlineStr">
        <is>
          <t>https://www2.jpx.co.jp/disc/86990/140120250430528086.pdf</t>
        </is>
      </c>
    </row>
    <row r="10">
      <c r="A10" t="inlineStr">
        <is>
          <t>2025-01-28</t>
        </is>
      </c>
      <c r="B10" t="inlineStr">
        <is>
          <t>2025년 3월 결산기 3분기 결산단신</t>
        </is>
      </c>
      <c r="C10" t="inlineStr">
        <is>
          <t>https://www2.jpx.co.jp/disc/86990/140120250128556406.pdf</t>
        </is>
      </c>
    </row>
    <row r="11">
      <c r="A11" t="inlineStr">
        <is>
          <t>2024-10-29</t>
        </is>
      </c>
      <c r="B11" t="inlineStr">
        <is>
          <t>2025년 3월 결산기 2분기 결산단신</t>
        </is>
      </c>
      <c r="C11" t="inlineStr">
        <is>
          <t>https://www2.jpx.co.jp/disc/86990/140120241029505077.pdf</t>
        </is>
      </c>
    </row>
    <row r="12">
      <c r="A12" t="inlineStr">
        <is>
          <t>2024-07-29</t>
        </is>
      </c>
      <c r="B12" t="inlineStr">
        <is>
          <t>2025년 3월 결산기 1분기 결산단신</t>
        </is>
      </c>
      <c r="C12" t="inlineStr">
        <is>
          <t>https://www2.jpx.co.jp/disc/86990/140120240729556767.pdf</t>
        </is>
      </c>
    </row>
    <row r="13">
      <c r="A13" t="inlineStr">
        <is>
          <t>2024-04-30</t>
        </is>
      </c>
      <c r="B13" t="inlineStr">
        <is>
          <t>2024년 3월 결산기 연간 결산단신</t>
        </is>
      </c>
      <c r="C13" t="inlineStr">
        <is>
          <t>https://www2.jpx.co.jp/disc/86990/140120240420573564.pdf</t>
        </is>
      </c>
    </row>
    <row r="14">
      <c r="A14" t="inlineStr">
        <is>
          <t>2024-01-29</t>
        </is>
      </c>
      <c r="B14" t="inlineStr">
        <is>
          <t>2024년 3월 결산기 3분기 결산단신</t>
        </is>
      </c>
      <c r="C14" t="inlineStr">
        <is>
          <t>https://www2.jpx.co.jp/disc/86990/140120240121517187.pdf</t>
        </is>
      </c>
    </row>
    <row r="15">
      <c r="A15" t="inlineStr">
        <is>
          <t>2023-10-30</t>
        </is>
      </c>
      <c r="B15" t="inlineStr">
        <is>
          <t>2024년 3월 결산기 2분기 결산단신</t>
        </is>
      </c>
      <c r="C15" t="inlineStr">
        <is>
          <t>https://www2.jpx.co.jp/disc/86990/140120231020569646.pdf</t>
        </is>
      </c>
    </row>
    <row r="16">
      <c r="A16" t="inlineStr">
        <is>
          <t>2023-07-28</t>
        </is>
      </c>
      <c r="B16" t="inlineStr">
        <is>
          <t>2024년 3월 결산기 1분기 결산단신</t>
        </is>
      </c>
      <c r="C16" t="inlineStr">
        <is>
          <t>https://www2.jpx.co.jp/disc/86990/140120230722525213.pdf</t>
        </is>
      </c>
    </row>
    <row r="17">
      <c r="A17" t="inlineStr">
        <is>
          <t>2023-04-28</t>
        </is>
      </c>
      <c r="B17" t="inlineStr">
        <is>
          <t>2023년 3월 결산기 연간 결산단신</t>
        </is>
      </c>
      <c r="C17" t="inlineStr">
        <is>
          <t>https://www2.jpx.co.jp/disc/86990/140120230422551066.pdf</t>
        </is>
      </c>
    </row>
    <row r="18">
      <c r="A18" t="inlineStr">
        <is>
          <t>2023-01-27</t>
        </is>
      </c>
      <c r="B18" t="inlineStr">
        <is>
          <t>2023년 3월 결산기 3분기 결산단신</t>
        </is>
      </c>
      <c r="C18" t="inlineStr">
        <is>
          <t>https://www2.jpx.co.jp/disc/86990/140120230121591929.pdf</t>
        </is>
      </c>
    </row>
    <row r="19">
      <c r="A19" t="inlineStr">
        <is>
          <t>2022-10-31</t>
        </is>
      </c>
      <c r="B19" t="inlineStr">
        <is>
          <t>2023년 3월 결산기 2분기 결산단신</t>
        </is>
      </c>
      <c r="C19" t="inlineStr">
        <is>
          <t>https://www2.jpx.co.jp/disc/86990/140120221020547247.pdf</t>
        </is>
      </c>
    </row>
    <row r="20">
      <c r="A20" t="inlineStr">
        <is>
          <t>2022-04-28</t>
        </is>
      </c>
      <c r="B20" t="inlineStr">
        <is>
          <t>2022년 3월 결산기 연간 결산단신</t>
        </is>
      </c>
      <c r="C20" t="inlineStr">
        <is>
          <t>https://www2.jpx.co.jp/disc/86990/140120220423526457.pdf</t>
        </is>
      </c>
    </row>
    <row r="21">
      <c r="A21" t="inlineStr">
        <is>
          <t>2021-04-28</t>
        </is>
      </c>
      <c r="B21" t="inlineStr">
        <is>
          <t>2021년 3월 결산기 연간 결산단신</t>
        </is>
      </c>
      <c r="C21" t="inlineStr">
        <is>
          <t>https://www2.jpx.co.jp/disc/86990/140120210422498408.pdf</t>
        </is>
      </c>
    </row>
    <row r="22">
      <c r="A22" t="inlineStr">
        <is>
          <t>2020-04-27</t>
        </is>
      </c>
      <c r="B22" t="inlineStr">
        <is>
          <t>2020년 3월 결산기 연간 결산단신</t>
        </is>
      </c>
      <c r="C22" t="inlineStr">
        <is>
          <t>https://www2.jpx.co.jp/disc/86990/140120200420496468.pdf</t>
        </is>
      </c>
    </row>
    <row r="23">
      <c r="A23" t="inlineStr">
        <is>
          <t>2019-04-26</t>
        </is>
      </c>
      <c r="B23" t="inlineStr">
        <is>
          <t>연간 결산단신</t>
        </is>
      </c>
      <c r="C23" t="inlineStr">
        <is>
          <t>https://www2.jpx.co.jp/disc/86990/140120190419407436.pdf</t>
        </is>
      </c>
    </row>
    <row r="24">
      <c r="A24" t="inlineStr">
        <is>
          <t>2018-04-27</t>
        </is>
      </c>
      <c r="B24" t="inlineStr">
        <is>
          <t>연간 결산단신</t>
        </is>
      </c>
      <c r="C24" t="inlineStr">
        <is>
          <t>https://www2.jpx.co.jp/disc/86990/140120180418414091.pdf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2026-10-25T11:52:40Z</dcterms:created>
  <dcterms:modified xmlns:dcterms="http://purl.org/dc/terms/" xmlns:xsi="http://www.w3.org/2001/XMLSchema-instance" xsi:type="dcterms:W3CDTF">2026-10-25T11:52:41Z</dcterms:modified>
</cp:coreProperties>
</file>