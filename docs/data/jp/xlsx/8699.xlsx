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2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8699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6661</v>
      </c>
      <c r="D4" s="12" t="n">
        <v>7628</v>
      </c>
      <c r="E4" s="12" t="n">
        <v>7875</v>
      </c>
      <c r="F4" s="12" t="n">
        <v>8388</v>
      </c>
      <c r="G4" s="12" t="n">
        <v>8756</v>
      </c>
      <c r="H4" s="12" t="n">
        <v>8458</v>
      </c>
      <c r="I4" s="12" t="n">
        <v>9255</v>
      </c>
      <c r="J4" s="12" t="n">
        <v>8958</v>
      </c>
      <c r="K4" s="12" t="n">
        <v>14925</v>
      </c>
      <c r="L4" s="12" t="n">
        <v>15592</v>
      </c>
      <c r="M4" s="12" t="n">
        <v>15788</v>
      </c>
      <c r="N4" s="12" t="n">
        <v>16194</v>
      </c>
      <c r="O4" s="11" t="n">
        <v>3600</v>
      </c>
      <c r="P4" s="12" t="n">
        <v>4167</v>
      </c>
      <c r="Q4" s="12" t="n">
        <v>4510</v>
      </c>
      <c r="R4" s="12" t="n">
        <v>5441</v>
      </c>
      <c r="S4" s="12" t="n">
        <v>4987</v>
      </c>
      <c r="T4" s="12" t="n">
        <v>2957</v>
      </c>
      <c r="U4" s="12" t="n">
        <v>4817</v>
      </c>
      <c r="V4" s="12" t="n">
        <v>29142</v>
      </c>
      <c r="W4" s="12" t="n">
        <v>34857</v>
      </c>
      <c r="X4" s="12" t="n">
        <v>55263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BankingBusinessReportableSegmentMember</t>
        </is>
      </c>
      <c r="B7" s="10" t="n"/>
      <c r="C7" s="19" t="n">
        <v>501</v>
      </c>
      <c r="D7" s="20" t="n">
        <v>560</v>
      </c>
      <c r="E7" s="20" t="n">
        <v>679</v>
      </c>
      <c r="F7" s="20" t="n">
        <v>738</v>
      </c>
      <c r="G7" s="20" t="n">
        <v>866</v>
      </c>
      <c r="H7" s="20" t="n">
        <v>614</v>
      </c>
      <c r="I7" s="20" t="n">
        <v>690</v>
      </c>
      <c r="J7" s="20" t="n">
        <v>663</v>
      </c>
      <c r="K7" s="20" t="n">
        <v>594</v>
      </c>
      <c r="L7" s="20" t="n">
        <v>602</v>
      </c>
      <c r="M7" s="20" t="n">
        <v>756</v>
      </c>
      <c r="N7" s="20" t="n">
        <v>747</v>
      </c>
      <c r="O7" s="19" t="n"/>
      <c r="P7" s="20" t="n"/>
      <c r="Q7" s="20" t="n"/>
      <c r="R7" s="20" t="n"/>
      <c r="S7" s="20" t="n"/>
      <c r="T7" s="20" t="n"/>
      <c r="U7" s="20" t="n"/>
      <c r="V7" s="20" t="n">
        <v>20455</v>
      </c>
      <c r="W7" s="20" t="n">
        <v>2908</v>
      </c>
      <c r="X7" s="20" t="n">
        <v>2615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ReuseBusinessReportableSegmentMember</t>
        </is>
      </c>
      <c r="B10" s="10" t="n"/>
      <c r="C10" s="19" t="n">
        <v>6657</v>
      </c>
      <c r="D10" s="20" t="n">
        <v>7624</v>
      </c>
      <c r="E10" s="20" t="n">
        <v>7874</v>
      </c>
      <c r="F10" s="20" t="n">
        <v>8386</v>
      </c>
      <c r="G10" s="20" t="n">
        <v>8752</v>
      </c>
      <c r="H10" s="20" t="n">
        <v>8455</v>
      </c>
      <c r="I10" s="20" t="n">
        <v>9252</v>
      </c>
      <c r="J10" s="20" t="n">
        <v>8955</v>
      </c>
      <c r="K10" s="20" t="n">
        <v>14921</v>
      </c>
      <c r="L10" s="20" t="n">
        <v>15588</v>
      </c>
      <c r="M10" s="20" t="n">
        <v>15785</v>
      </c>
      <c r="N10" s="20" t="n">
        <v>16190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29133</v>
      </c>
      <c r="W10" s="20" t="n">
        <v>34845</v>
      </c>
      <c r="X10" s="20" t="n">
        <v>55249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OtherBusinessReportableSegmentMember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9</v>
      </c>
      <c r="W13" s="20" t="n">
        <v>11</v>
      </c>
      <c r="X13" s="20" t="n">
        <v>14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>
        <v>3</v>
      </c>
      <c r="D16" s="20" t="n">
        <v>4</v>
      </c>
      <c r="E16" s="20" t="n"/>
      <c r="F16" s="20" t="n">
        <v>2</v>
      </c>
      <c r="G16" s="20" t="n">
        <v>3</v>
      </c>
      <c r="H16" s="20" t="n">
        <v>3</v>
      </c>
      <c r="I16" s="20" t="n"/>
      <c r="J16" s="20" t="n">
        <v>3</v>
      </c>
      <c r="K16" s="20" t="n">
        <v>3</v>
      </c>
      <c r="L16" s="20" t="n">
        <v>4</v>
      </c>
      <c r="M16" s="20" t="n"/>
      <c r="N16" s="20" t="n">
        <v>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9127</v>
      </c>
      <c r="G19" s="20" t="n"/>
      <c r="H19" s="20" t="n"/>
      <c r="I19" s="20" t="n"/>
      <c r="J19" s="20" t="n">
        <v>9622</v>
      </c>
      <c r="K19" s="20" t="n"/>
      <c r="L19" s="20" t="n"/>
      <c r="M19" s="20" t="n"/>
      <c r="N19" s="20" t="n">
        <v>16941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5189</v>
      </c>
      <c r="D23" s="20" t="n">
        <v>6093</v>
      </c>
      <c r="E23" s="20" t="n">
        <v>6241</v>
      </c>
      <c r="F23" s="20" t="n">
        <v>6449</v>
      </c>
      <c r="G23" s="20" t="n">
        <v>6978</v>
      </c>
      <c r="H23" s="20" t="n">
        <v>6590</v>
      </c>
      <c r="I23" s="20" t="n">
        <v>7021</v>
      </c>
      <c r="J23" s="20" t="n">
        <v>6941</v>
      </c>
      <c r="K23" s="20" t="n">
        <v>12355</v>
      </c>
      <c r="L23" s="20" t="n">
        <v>12712</v>
      </c>
      <c r="M23" s="20" t="n">
        <v>12585</v>
      </c>
      <c r="N23" s="20" t="n">
        <v>12987</v>
      </c>
      <c r="O23" s="19" t="n">
        <v>2124</v>
      </c>
      <c r="P23" s="20" t="n">
        <v>2681</v>
      </c>
      <c r="Q23" s="20" t="n">
        <v>2927</v>
      </c>
      <c r="R23" s="20" t="n">
        <v>3655</v>
      </c>
      <c r="S23" s="20" t="n">
        <v>3542</v>
      </c>
      <c r="T23" s="20" t="n">
        <v>1369</v>
      </c>
      <c r="U23" s="20" t="n">
        <v>3247</v>
      </c>
      <c r="V23" s="20" t="n">
        <v>22915</v>
      </c>
      <c r="W23" s="20" t="n">
        <v>27038</v>
      </c>
      <c r="X23" s="20" t="n">
        <v>44593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1966</v>
      </c>
      <c r="D29" s="20" t="n">
        <v>2080</v>
      </c>
      <c r="E29" s="20" t="n">
        <v>2393</v>
      </c>
      <c r="F29" s="20" t="n">
        <v>2321</v>
      </c>
      <c r="G29" s="20" t="n">
        <v>2351</v>
      </c>
      <c r="H29" s="20" t="n">
        <v>2410</v>
      </c>
      <c r="I29" s="20" t="n">
        <v>3034</v>
      </c>
      <c r="J29" s="20" t="n">
        <v>2614</v>
      </c>
      <c r="K29" s="20" t="n">
        <v>3046</v>
      </c>
      <c r="L29" s="20" t="n">
        <v>3081</v>
      </c>
      <c r="M29" s="20" t="n">
        <v>3154</v>
      </c>
      <c r="N29" s="20" t="n">
        <v>3426</v>
      </c>
      <c r="O29" s="19" t="n">
        <v>15822</v>
      </c>
      <c r="P29" s="20" t="n">
        <v>17957</v>
      </c>
      <c r="Q29" s="20" t="n">
        <v>17328</v>
      </c>
      <c r="R29" s="20" t="n">
        <v>18608</v>
      </c>
      <c r="S29" s="20" t="n">
        <v>19293</v>
      </c>
      <c r="T29" s="20" t="n">
        <v>22123</v>
      </c>
      <c r="U29" s="20" t="n">
        <v>26877</v>
      </c>
      <c r="V29" s="20" t="n">
        <v>13243</v>
      </c>
      <c r="W29" s="20" t="n">
        <v>10116</v>
      </c>
      <c r="X29" s="20" t="n">
        <v>11895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-267</v>
      </c>
      <c r="D31" s="12" t="n">
        <v>-284</v>
      </c>
      <c r="E31" s="12" t="n">
        <v>-223</v>
      </c>
      <c r="F31" s="12" t="n">
        <v>-28</v>
      </c>
      <c r="G31" s="12" t="n">
        <v>-146</v>
      </c>
      <c r="H31" s="12" t="n">
        <v>-251</v>
      </c>
      <c r="I31" s="12" t="n">
        <v>-681</v>
      </c>
      <c r="J31" s="12" t="n">
        <v>-260</v>
      </c>
      <c r="K31" s="12" t="n">
        <v>-526</v>
      </c>
      <c r="L31" s="12" t="n">
        <v>50</v>
      </c>
      <c r="M31" s="12" t="n">
        <v>373</v>
      </c>
      <c r="N31" s="12" t="n">
        <v>137</v>
      </c>
      <c r="O31" s="11" t="n">
        <v>5764</v>
      </c>
      <c r="P31" s="12" t="n">
        <v>7192</v>
      </c>
      <c r="Q31" s="12" t="n">
        <v>9682</v>
      </c>
      <c r="R31" s="12" t="n">
        <v>10901</v>
      </c>
      <c r="S31" s="12" t="n">
        <v>8871</v>
      </c>
      <c r="T31" s="12" t="n">
        <v>15993</v>
      </c>
      <c r="U31" s="12" t="n">
        <v>24142</v>
      </c>
      <c r="V31" s="12" t="n">
        <v>5008</v>
      </c>
      <c r="W31" s="12" t="n">
        <v>-1106</v>
      </c>
      <c r="X31" s="12" t="n">
        <v>-363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>
        <v>1277</v>
      </c>
      <c r="P38" s="20" t="n">
        <v>1466</v>
      </c>
      <c r="Q38" s="20" t="n">
        <v>1840</v>
      </c>
      <c r="R38" s="20" t="n">
        <v>2556</v>
      </c>
      <c r="S38" s="20" t="n">
        <v>2804</v>
      </c>
      <c r="T38" s="20" t="n">
        <v>3039</v>
      </c>
      <c r="U38" s="20" t="n">
        <v>3581</v>
      </c>
      <c r="V38" s="20" t="n">
        <v>1509</v>
      </c>
      <c r="W38" s="20" t="n">
        <v>898</v>
      </c>
      <c r="X38" s="20" t="n">
        <v>960</v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16</v>
      </c>
      <c r="D47" s="20" t="n">
        <v>0</v>
      </c>
      <c r="E47" s="20" t="n">
        <v>0</v>
      </c>
      <c r="F47" s="20" t="n">
        <v>0</v>
      </c>
      <c r="G47" s="20" t="n">
        <v>0</v>
      </c>
      <c r="H47" s="20" t="n">
        <v>0</v>
      </c>
      <c r="I47" s="20" t="n">
        <v>79</v>
      </c>
      <c r="J47" s="20" t="n"/>
      <c r="K47" s="20" t="n"/>
      <c r="L47" s="20" t="n"/>
      <c r="M47" s="20" t="n">
        <v>37</v>
      </c>
      <c r="N47" s="20" t="n"/>
      <c r="O47" s="19" t="n">
        <v>2048</v>
      </c>
      <c r="P47" s="20" t="n">
        <v>561</v>
      </c>
      <c r="Q47" s="20" t="n">
        <v>747</v>
      </c>
      <c r="R47" s="20" t="n">
        <v>2600</v>
      </c>
      <c r="S47" s="20" t="n">
        <v>81</v>
      </c>
      <c r="T47" s="20" t="n">
        <v>672</v>
      </c>
      <c r="U47" s="20" t="n">
        <v>5773</v>
      </c>
      <c r="V47" s="20" t="n">
        <v>78</v>
      </c>
      <c r="W47" s="20" t="n">
        <v>79</v>
      </c>
      <c r="X47" s="20" t="n">
        <v>286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38</v>
      </c>
      <c r="D49" s="20" t="n">
        <v>0</v>
      </c>
      <c r="E49" s="20" t="n">
        <v>18</v>
      </c>
      <c r="F49" s="20" t="n">
        <v>15</v>
      </c>
      <c r="G49" s="20" t="n">
        <v>0</v>
      </c>
      <c r="H49" s="20" t="n">
        <v>10</v>
      </c>
      <c r="I49" s="20" t="n">
        <v>252</v>
      </c>
      <c r="J49" s="20" t="n">
        <v>0</v>
      </c>
      <c r="K49" s="20" t="n">
        <v>3</v>
      </c>
      <c r="L49" s="20" t="n">
        <v>0</v>
      </c>
      <c r="M49" s="20" t="n">
        <v>5</v>
      </c>
      <c r="N49" s="20" t="n">
        <v>0</v>
      </c>
      <c r="O49" s="19" t="n">
        <v>187</v>
      </c>
      <c r="P49" s="20" t="n">
        <v>21</v>
      </c>
      <c r="Q49" s="20" t="n">
        <v>286</v>
      </c>
      <c r="R49" s="20" t="n">
        <v>341</v>
      </c>
      <c r="S49" s="20" t="n">
        <v>601</v>
      </c>
      <c r="T49" s="20" t="n">
        <v>314</v>
      </c>
      <c r="U49" s="20" t="n">
        <v>503</v>
      </c>
      <c r="V49" s="20" t="n">
        <v>558</v>
      </c>
      <c r="W49" s="20" t="n">
        <v>277</v>
      </c>
      <c r="X49" s="20" t="n">
        <v>8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3405</v>
      </c>
      <c r="D51" s="20" t="n">
        <v>3114</v>
      </c>
      <c r="E51" s="20" t="n">
        <v>3745</v>
      </c>
      <c r="F51" s="20" t="n">
        <v>3766</v>
      </c>
      <c r="G51" s="20" t="n">
        <v>3542</v>
      </c>
      <c r="H51" s="20" t="n">
        <v>4749</v>
      </c>
      <c r="I51" s="20" t="n">
        <v>4276</v>
      </c>
      <c r="J51" s="20" t="n">
        <v>4684</v>
      </c>
      <c r="K51" s="20" t="n">
        <v>4838</v>
      </c>
      <c r="L51" s="20" t="n">
        <v>4499</v>
      </c>
      <c r="M51" s="20" t="n">
        <v>4132</v>
      </c>
      <c r="N51" s="20" t="n">
        <v>4621</v>
      </c>
      <c r="O51" s="19" t="n">
        <v>1213</v>
      </c>
      <c r="P51" s="20" t="n">
        <v>406</v>
      </c>
      <c r="Q51" s="20" t="n">
        <v>1307</v>
      </c>
      <c r="R51" s="20" t="n">
        <v>1218</v>
      </c>
      <c r="S51" s="20" t="n">
        <v>1092</v>
      </c>
      <c r="T51" s="20" t="n">
        <v>1938</v>
      </c>
      <c r="U51" s="20" t="n">
        <v>1672</v>
      </c>
      <c r="V51" s="20" t="n">
        <v>10831</v>
      </c>
      <c r="W51" s="20" t="n">
        <v>16333</v>
      </c>
      <c r="X51" s="20" t="n">
        <v>18153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23</v>
      </c>
      <c r="D53" s="20" t="n">
        <v>8</v>
      </c>
      <c r="E53" s="20" t="n">
        <v>32</v>
      </c>
      <c r="F53" s="20" t="n">
        <v>5</v>
      </c>
      <c r="G53" s="20" t="n">
        <v>449</v>
      </c>
      <c r="H53" s="20" t="n">
        <v>-422</v>
      </c>
      <c r="I53" s="20" t="n">
        <v>72</v>
      </c>
      <c r="J53" s="20" t="n">
        <v>50</v>
      </c>
      <c r="K53" s="20" t="n">
        <v>13</v>
      </c>
      <c r="L53" s="20" t="n">
        <v>11</v>
      </c>
      <c r="M53" s="20" t="n">
        <v>2</v>
      </c>
      <c r="N53" s="20" t="n">
        <v>8</v>
      </c>
      <c r="O53" s="19" t="n">
        <v>133</v>
      </c>
      <c r="P53" s="20" t="n">
        <v>457</v>
      </c>
      <c r="Q53" s="20" t="n">
        <v>149</v>
      </c>
      <c r="R53" s="20" t="n">
        <v>555</v>
      </c>
      <c r="S53" s="20" t="n">
        <v>240</v>
      </c>
      <c r="T53" s="20" t="n">
        <v>118</v>
      </c>
      <c r="U53" s="20" t="n">
        <v>121</v>
      </c>
      <c r="V53" s="20" t="n">
        <v>65</v>
      </c>
      <c r="W53" s="20" t="n">
        <v>104</v>
      </c>
      <c r="X53" s="20" t="n">
        <v>76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3092</v>
      </c>
      <c r="D55" s="12" t="n">
        <v>2823</v>
      </c>
      <c r="E55" s="12" t="n">
        <v>3473</v>
      </c>
      <c r="F55" s="12" t="n">
        <v>3717</v>
      </c>
      <c r="G55" s="12" t="n">
        <v>2946</v>
      </c>
      <c r="H55" s="12" t="n">
        <v>4911</v>
      </c>
      <c r="I55" s="12" t="n">
        <v>3351</v>
      </c>
      <c r="J55" s="12" t="n">
        <v>4373</v>
      </c>
      <c r="K55" s="12" t="n">
        <v>4296</v>
      </c>
      <c r="L55" s="12" t="n">
        <v>4788</v>
      </c>
      <c r="M55" s="12" t="n">
        <v>4534</v>
      </c>
      <c r="N55" s="12" t="n">
        <v>4750</v>
      </c>
      <c r="O55" s="11" t="n">
        <v>8705</v>
      </c>
      <c r="P55" s="12" t="n">
        <v>7681</v>
      </c>
      <c r="Q55" s="12" t="n">
        <v>11301</v>
      </c>
      <c r="R55" s="12" t="n">
        <v>13824</v>
      </c>
      <c r="S55" s="12" t="n">
        <v>9203</v>
      </c>
      <c r="T55" s="12" t="n">
        <v>18171</v>
      </c>
      <c r="U55" s="12" t="n">
        <v>30963</v>
      </c>
      <c r="V55" s="12" t="n">
        <v>15295</v>
      </c>
      <c r="W55" s="12" t="n">
        <v>14925</v>
      </c>
      <c r="X55" s="12" t="n">
        <v>17991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652</v>
      </c>
      <c r="D57" s="20" t="n">
        <v>467</v>
      </c>
      <c r="E57" s="20" t="n">
        <v>724</v>
      </c>
      <c r="F57" s="20" t="n">
        <v>665</v>
      </c>
      <c r="G57" s="20" t="n">
        <v>566</v>
      </c>
      <c r="H57" s="20" t="n">
        <v>998</v>
      </c>
      <c r="I57" s="20" t="n">
        <v>877</v>
      </c>
      <c r="J57" s="20" t="n">
        <v>651</v>
      </c>
      <c r="K57" s="20" t="n">
        <v>783</v>
      </c>
      <c r="L57" s="20" t="n">
        <v>935</v>
      </c>
      <c r="M57" s="20" t="n">
        <v>888</v>
      </c>
      <c r="N57" s="20" t="n">
        <v>1586</v>
      </c>
      <c r="O57" s="19" t="n">
        <v>618</v>
      </c>
      <c r="P57" s="20" t="n">
        <v>634</v>
      </c>
      <c r="Q57" s="20" t="n">
        <v>1926</v>
      </c>
      <c r="R57" s="20" t="n">
        <v>2943</v>
      </c>
      <c r="S57" s="20" t="n">
        <v>9583</v>
      </c>
      <c r="T57" s="20" t="n">
        <v>7430</v>
      </c>
      <c r="U57" s="20" t="n">
        <v>11168</v>
      </c>
      <c r="V57" s="20" t="n">
        <v>3791</v>
      </c>
      <c r="W57" s="20" t="n">
        <v>3106</v>
      </c>
      <c r="X57" s="20" t="n">
        <v>3257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2440</v>
      </c>
      <c r="D59" s="12" t="n">
        <v>2356</v>
      </c>
      <c r="E59" s="12" t="n">
        <v>2749</v>
      </c>
      <c r="F59" s="12" t="n">
        <v>3052</v>
      </c>
      <c r="G59" s="12" t="n">
        <v>2379</v>
      </c>
      <c r="H59" s="12" t="n">
        <v>3913</v>
      </c>
      <c r="I59" s="12" t="n">
        <v>2474</v>
      </c>
      <c r="J59" s="12" t="n">
        <v>3721</v>
      </c>
      <c r="K59" s="12" t="n">
        <v>3513</v>
      </c>
      <c r="L59" s="12" t="n">
        <v>3853</v>
      </c>
      <c r="M59" s="12" t="n">
        <v>3647</v>
      </c>
      <c r="N59" s="12" t="n">
        <v>3163</v>
      </c>
      <c r="O59" s="11" t="n">
        <v>8086</v>
      </c>
      <c r="P59" s="12" t="n">
        <v>7047</v>
      </c>
      <c r="Q59" s="12" t="n">
        <v>9375</v>
      </c>
      <c r="R59" s="12" t="n">
        <v>10880</v>
      </c>
      <c r="S59" s="12" t="n">
        <v>-380</v>
      </c>
      <c r="T59" s="12" t="n">
        <v>10740</v>
      </c>
      <c r="U59" s="12" t="n">
        <v>19795</v>
      </c>
      <c r="V59" s="12" t="n">
        <v>11503</v>
      </c>
      <c r="W59" s="12" t="n">
        <v>11818</v>
      </c>
      <c r="X59" s="12" t="n">
        <v>14734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2441</v>
      </c>
      <c r="D61" s="12" t="n">
        <v>2328</v>
      </c>
      <c r="E61" s="12" t="n">
        <v>2728</v>
      </c>
      <c r="F61" s="12" t="n">
        <v>3071</v>
      </c>
      <c r="G61" s="12" t="n">
        <v>2325</v>
      </c>
      <c r="H61" s="12" t="n">
        <v>3915</v>
      </c>
      <c r="I61" s="12" t="n">
        <v>2789</v>
      </c>
      <c r="J61" s="12" t="n">
        <v>3660</v>
      </c>
      <c r="K61" s="12" t="n">
        <v>3584</v>
      </c>
      <c r="L61" s="12" t="n">
        <v>3883</v>
      </c>
      <c r="M61" s="12" t="n">
        <v>3561</v>
      </c>
      <c r="N61" s="12" t="n">
        <v>3155</v>
      </c>
      <c r="O61" s="11" t="n">
        <v>5591</v>
      </c>
      <c r="P61" s="12" t="n">
        <v>4219</v>
      </c>
      <c r="Q61" s="12" t="n">
        <v>5959</v>
      </c>
      <c r="R61" s="12" t="n">
        <v>7205</v>
      </c>
      <c r="S61" s="12" t="n">
        <v>-3015</v>
      </c>
      <c r="T61" s="12" t="n">
        <v>6545</v>
      </c>
      <c r="U61" s="12" t="n">
        <v>11372</v>
      </c>
      <c r="V61" s="12" t="n">
        <v>9463</v>
      </c>
      <c r="W61" s="12" t="n">
        <v>12100</v>
      </c>
      <c r="X61" s="12" t="n">
        <v>14688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1061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40953500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18" t="inlineStr">
        <is>
          <t>자금운용수익</t>
        </is>
      </c>
      <c r="C96" s="20" t="n">
        <v>268</v>
      </c>
      <c r="D96" s="20" t="n">
        <v>278</v>
      </c>
      <c r="E96" s="20" t="n">
        <v>386</v>
      </c>
      <c r="F96" s="20" t="n">
        <v>387</v>
      </c>
      <c r="G96" s="20" t="n">
        <v>401</v>
      </c>
      <c r="H96" s="20" t="n">
        <v>342</v>
      </c>
      <c r="I96" s="20" t="n">
        <v>392</v>
      </c>
      <c r="J96" s="20" t="n">
        <v>378</v>
      </c>
      <c r="K96" s="20" t="n">
        <v>311</v>
      </c>
      <c r="L96" s="20" t="n">
        <v>349</v>
      </c>
      <c r="M96" s="20" t="n">
        <v>369</v>
      </c>
      <c r="N96" s="20" t="n">
        <v>380</v>
      </c>
      <c r="T96" s="20" t="n">
        <v>12358</v>
      </c>
      <c r="U96" s="20" t="n">
        <v>15564</v>
      </c>
      <c r="V96" s="20" t="n">
        <v>386</v>
      </c>
      <c r="W96" s="20" t="n">
        <v>392</v>
      </c>
      <c r="X96" s="20" t="n">
        <v>369</v>
      </c>
    </row>
    <row r="97">
      <c r="A97" s="18" t="inlineStr">
        <is>
          <t>용역거래 수익</t>
        </is>
      </c>
      <c r="C97" s="20" t="n">
        <v>100</v>
      </c>
      <c r="D97" s="20" t="n">
        <v>183</v>
      </c>
      <c r="E97" s="20" t="n">
        <v>168</v>
      </c>
      <c r="F97" s="20" t="n">
        <v>171</v>
      </c>
      <c r="G97" s="20" t="n">
        <v>170</v>
      </c>
      <c r="H97" s="20" t="n">
        <v>119</v>
      </c>
      <c r="I97" s="20" t="n">
        <v>193</v>
      </c>
      <c r="J97" s="20" t="n">
        <v>165</v>
      </c>
      <c r="K97" s="20" t="n">
        <v>238</v>
      </c>
      <c r="L97" s="20" t="n">
        <v>208</v>
      </c>
      <c r="M97" s="20" t="n">
        <v>259</v>
      </c>
      <c r="N97" s="20" t="n">
        <v>276</v>
      </c>
      <c r="T97" s="20" t="n">
        <v>2515</v>
      </c>
      <c r="U97" s="20" t="n">
        <v>2990</v>
      </c>
      <c r="V97" s="20" t="n">
        <v>168</v>
      </c>
      <c r="W97" s="20" t="n">
        <v>193</v>
      </c>
      <c r="X97" s="20" t="n">
        <v>259</v>
      </c>
    </row>
    <row r="98">
      <c r="A98" s="18" t="inlineStr">
        <is>
          <t>기타 업무수익</t>
        </is>
      </c>
      <c r="C98" s="20" t="n">
        <v>133</v>
      </c>
      <c r="D98" s="20" t="n">
        <v>99</v>
      </c>
      <c r="E98" s="20" t="n">
        <v>125</v>
      </c>
      <c r="F98" s="20" t="n">
        <v>179</v>
      </c>
      <c r="G98" s="20" t="n">
        <v>295</v>
      </c>
      <c r="H98" s="20" t="n">
        <v>153</v>
      </c>
      <c r="I98" s="20" t="n">
        <v>105</v>
      </c>
      <c r="J98" s="20" t="n">
        <v>120</v>
      </c>
      <c r="K98" s="20" t="n">
        <v>43</v>
      </c>
      <c r="L98" s="20" t="n">
        <v>46</v>
      </c>
      <c r="M98" s="20" t="n">
        <v>128</v>
      </c>
      <c r="N98" s="20" t="n">
        <v>89</v>
      </c>
      <c r="T98" s="20" t="n">
        <v>173</v>
      </c>
      <c r="U98" s="20" t="n">
        <v>1406</v>
      </c>
      <c r="V98" s="20" t="n">
        <v>125</v>
      </c>
      <c r="W98" s="20" t="n">
        <v>105</v>
      </c>
      <c r="X98" s="20" t="n">
        <v>128</v>
      </c>
    </row>
    <row r="99">
      <c r="A99" s="9" t="inlineStr">
        <is>
          <t>매출액</t>
        </is>
      </c>
      <c r="C99" s="12" t="n">
        <v>6661</v>
      </c>
      <c r="D99" s="12" t="n">
        <v>7628</v>
      </c>
      <c r="E99" s="12" t="n">
        <v>7875</v>
      </c>
      <c r="F99" s="12" t="n">
        <v>8388</v>
      </c>
      <c r="G99" s="12" t="n">
        <v>8756</v>
      </c>
      <c r="H99" s="12" t="n">
        <v>8458</v>
      </c>
      <c r="I99" s="12" t="n">
        <v>9255</v>
      </c>
      <c r="J99" s="12" t="n">
        <v>8958</v>
      </c>
      <c r="K99" s="12" t="n">
        <v>14925</v>
      </c>
      <c r="L99" s="12" t="n">
        <v>15592</v>
      </c>
      <c r="M99" s="12" t="n">
        <v>15788</v>
      </c>
      <c r="N99" s="12" t="n">
        <v>16194</v>
      </c>
      <c r="T99" s="12" t="n">
        <v>570</v>
      </c>
      <c r="U99" s="12" t="n">
        <v>3203</v>
      </c>
      <c r="V99" s="12" t="n">
        <v>7875</v>
      </c>
      <c r="W99" s="12" t="n">
        <v>9255</v>
      </c>
      <c r="X99" s="12" t="n">
        <v>15788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금융비용</t>
        </is>
      </c>
      <c r="T101" s="20" t="n">
        <v>16</v>
      </c>
      <c r="U101" s="20" t="n">
        <v>0</v>
      </c>
    </row>
    <row r="102">
      <c r="A102" s="18" t="inlineStr">
        <is>
          <t>Operating Revenue1</t>
        </is>
      </c>
      <c r="C102" s="20" t="n">
        <v>7162</v>
      </c>
      <c r="D102" s="20" t="n">
        <v>8187</v>
      </c>
      <c r="F102" s="20" t="n">
        <v>9127</v>
      </c>
      <c r="G102" s="20" t="n">
        <v>9622</v>
      </c>
      <c r="H102" s="20" t="n">
        <v>9071</v>
      </c>
      <c r="J102" s="20" t="n">
        <v>9622</v>
      </c>
      <c r="K102" s="20" t="n">
        <v>15518</v>
      </c>
      <c r="L102" s="20" t="n">
        <v>16194</v>
      </c>
      <c r="N102" s="20" t="n">
        <v>16941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N103" s="15">
        <f>IF(OR(N102="",J102=""),"",IF(J102&lt;=0,"",IFERROR(N102/J102-1,"")))</f>
        <v/>
      </c>
    </row>
    <row r="104">
      <c r="A104" s="18" t="inlineStr">
        <is>
          <t>자금조달비용</t>
        </is>
      </c>
      <c r="C104" s="20" t="n">
        <v>251</v>
      </c>
      <c r="D104" s="20" t="n">
        <v>297</v>
      </c>
      <c r="E104" s="20" t="n">
        <v>167</v>
      </c>
      <c r="F104" s="20" t="n">
        <v>384</v>
      </c>
      <c r="G104" s="20" t="n">
        <v>439</v>
      </c>
      <c r="H104" s="20" t="n">
        <v>322</v>
      </c>
      <c r="I104" s="20" t="n">
        <v>572</v>
      </c>
      <c r="J104" s="20" t="n">
        <v>318</v>
      </c>
      <c r="K104" s="20" t="n">
        <v>651</v>
      </c>
      <c r="L104" s="20" t="n">
        <v>352</v>
      </c>
      <c r="M104" s="20" t="n">
        <v>434</v>
      </c>
      <c r="N104" s="20" t="n">
        <v>390</v>
      </c>
      <c r="U104" s="20" t="n">
        <v>5968</v>
      </c>
      <c r="V104" s="20" t="n">
        <v>167</v>
      </c>
      <c r="W104" s="20" t="n">
        <v>572</v>
      </c>
      <c r="X104" s="20" t="n">
        <v>434</v>
      </c>
    </row>
    <row r="105">
      <c r="A105" s="18" t="inlineStr">
        <is>
          <t>기타 업무비용</t>
        </is>
      </c>
      <c r="C105" s="20" t="n">
        <v>23</v>
      </c>
      <c r="D105" s="20" t="n">
        <v>1</v>
      </c>
      <c r="E105" s="20" t="n">
        <v>-24</v>
      </c>
      <c r="F105" s="20" t="n">
        <v>0</v>
      </c>
      <c r="G105" s="20" t="n">
        <v>0</v>
      </c>
      <c r="H105" s="20" t="n">
        <v>0</v>
      </c>
      <c r="I105" s="20" t="n">
        <v>0</v>
      </c>
      <c r="J105" s="20" t="n">
        <v>8</v>
      </c>
      <c r="N105" s="20" t="n">
        <v>0</v>
      </c>
      <c r="T105" s="20" t="n">
        <v>3</v>
      </c>
      <c r="U105" s="20" t="n">
        <v>301</v>
      </c>
      <c r="V105" s="20" t="n">
        <v>-24</v>
      </c>
      <c r="W105" s="20" t="n">
        <v>0</v>
      </c>
    </row>
    <row r="106">
      <c r="A106" s="18" t="inlineStr">
        <is>
          <t>매출원가</t>
        </is>
      </c>
      <c r="C106" s="20" t="n">
        <v>5189</v>
      </c>
      <c r="D106" s="20" t="n">
        <v>6093</v>
      </c>
      <c r="E106" s="20" t="n">
        <v>6241</v>
      </c>
      <c r="F106" s="20" t="n">
        <v>6449</v>
      </c>
      <c r="G106" s="20" t="n">
        <v>6978</v>
      </c>
      <c r="H106" s="20" t="n">
        <v>6590</v>
      </c>
      <c r="I106" s="20" t="n">
        <v>7021</v>
      </c>
      <c r="J106" s="20" t="n">
        <v>6941</v>
      </c>
      <c r="K106" s="20" t="n">
        <v>12355</v>
      </c>
      <c r="L106" s="20" t="n">
        <v>12712</v>
      </c>
      <c r="M106" s="20" t="n">
        <v>12585</v>
      </c>
      <c r="N106" s="20" t="n">
        <v>12987</v>
      </c>
      <c r="T106" s="20" t="n">
        <v>-36</v>
      </c>
      <c r="U106" s="20" t="n">
        <v>2512</v>
      </c>
      <c r="V106" s="20" t="n">
        <v>6241</v>
      </c>
      <c r="W106" s="20" t="n">
        <v>7021</v>
      </c>
      <c r="X106" s="20" t="n">
        <v>12585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IF(OR(G106="",C106=""),"",IF(G106*C106&lt;=0,"",IFERROR(G106/C106-1,"")))</f>
        <v/>
      </c>
      <c r="H107" s="15">
        <f>IF(OR(H106="",D106=""),"",IF(H106*D106&lt;=0,"",IFERROR(H106/D106-1,"")))</f>
        <v/>
      </c>
      <c r="I107" s="15">
        <f>IF(OR(I106="",E106=""),"",IF(I106*E106&lt;=0,"",IFERROR(I106/E106-1,"")))</f>
        <v/>
      </c>
      <c r="J107" s="15">
        <f>IF(OR(J106="",F106=""),"",IF(J106*F106&lt;=0,"",IFERROR(J106/F106-1,"")))</f>
        <v/>
      </c>
      <c r="K107" s="15">
        <f>IF(OR(K106="",G106=""),"",IF(K106*G106&lt;=0,"",IFERROR(K106/G106-1,"")))</f>
        <v/>
      </c>
      <c r="L107" s="15">
        <f>IF(OR(L106="",H106=""),"",IF(L106*H106&lt;=0,"",IFERROR(L106/H106-1,"")))</f>
        <v/>
      </c>
      <c r="M107" s="15">
        <f>IF(OR(M106="",I106=""),"",IF(M106*I106&lt;=0,"",IFERROR(M106/I106-1,"")))</f>
        <v/>
      </c>
      <c r="N107" s="15">
        <f>IF(OR(N106="",J106=""),"",IF(N106*J106&lt;=0,"",IFERROR(N106/J106-1,"")))</f>
        <v/>
      </c>
      <c r="T107" s="15">
        <f>IF(OR(T106="",S106=""),"",IF(T106*S106&lt;=0,"",IFERROR(T106/S106-1,"")))</f>
        <v/>
      </c>
      <c r="U107" s="15">
        <f>IF(OR(U106="",T106=""),"",IF(U106*T106&lt;=0,"",IFERROR(U106/T106-1,"")))</f>
        <v/>
      </c>
      <c r="V107" s="15">
        <f>IF(OR(V106="",U106=""),"",IF(V106*U106&lt;=0,"",IFERROR(V106/U106-1,"")))</f>
        <v/>
      </c>
      <c r="W107" s="15">
        <f>IF(OR(W106="",V106=""),"",IF(W106*V106&lt;=0,"",IFERROR(W106/V106-1,"")))</f>
        <v/>
      </c>
      <c r="X107" s="15">
        <f>IF(OR(X106="",W106=""),"",IF(X106*W106&lt;=0,"",IFERROR(X106/W106-1,"")))</f>
        <v/>
      </c>
    </row>
    <row r="108">
      <c r="A108" s="18" t="inlineStr">
        <is>
          <t>Net Operating Revenue SEC</t>
        </is>
      </c>
      <c r="C108" s="20" t="n">
        <v>1699</v>
      </c>
      <c r="D108" s="20" t="n">
        <v>1796</v>
      </c>
      <c r="E108" s="20" t="n">
        <v>2171</v>
      </c>
      <c r="F108" s="20" t="n">
        <v>2292</v>
      </c>
      <c r="G108" s="20" t="n">
        <v>2206</v>
      </c>
      <c r="H108" s="20" t="n">
        <v>2158</v>
      </c>
      <c r="I108" s="20" t="n">
        <v>2353</v>
      </c>
      <c r="J108" s="20" t="n">
        <v>2354</v>
      </c>
      <c r="K108" s="20" t="n">
        <v>2520</v>
      </c>
      <c r="L108" s="20" t="n">
        <v>3130</v>
      </c>
      <c r="M108" s="20" t="n">
        <v>3527</v>
      </c>
      <c r="N108" s="20" t="n">
        <v>3563</v>
      </c>
      <c r="T108" s="20" t="n">
        <v>10655</v>
      </c>
      <c r="U108" s="20" t="n">
        <v>14381</v>
      </c>
      <c r="V108" s="20" t="n">
        <v>2171</v>
      </c>
      <c r="W108" s="20" t="n">
        <v>2353</v>
      </c>
      <c r="X108" s="20" t="n">
        <v>3527</v>
      </c>
    </row>
    <row r="109">
      <c r="A109" s="18" t="inlineStr">
        <is>
          <t>Trading Related Expenses SGASEC</t>
        </is>
      </c>
      <c r="C109" s="20" t="n">
        <v>682</v>
      </c>
      <c r="D109" s="20" t="n">
        <v>855</v>
      </c>
      <c r="T109" s="20" t="n">
        <v>541</v>
      </c>
      <c r="U109" s="20" t="n">
        <v>670</v>
      </c>
    </row>
    <row r="110">
      <c r="A110" s="18" t="inlineStr">
        <is>
          <t>인건비</t>
        </is>
      </c>
      <c r="C110" s="20" t="n">
        <v>637</v>
      </c>
      <c r="D110" s="20" t="n">
        <v>658</v>
      </c>
      <c r="T110" s="20" t="n">
        <v>1972</v>
      </c>
      <c r="U110" s="20" t="n">
        <v>2240</v>
      </c>
    </row>
    <row r="111">
      <c r="A111" s="18" t="inlineStr">
        <is>
          <t>Real Estate Expenses SGASEC</t>
        </is>
      </c>
      <c r="C111" s="20" t="n">
        <v>131</v>
      </c>
      <c r="D111" s="20" t="n">
        <v>146</v>
      </c>
      <c r="T111" s="20" t="n">
        <v>854</v>
      </c>
      <c r="U111" s="20" t="n">
        <v>867</v>
      </c>
    </row>
    <row r="112">
      <c r="A112" s="18" t="inlineStr">
        <is>
          <t>Office Cost SGA</t>
        </is>
      </c>
      <c r="C112" s="20" t="n">
        <v>90</v>
      </c>
      <c r="D112" s="20" t="n">
        <v>91</v>
      </c>
      <c r="T112" s="20" t="n">
        <v>200</v>
      </c>
      <c r="U112" s="20" t="n">
        <v>150</v>
      </c>
    </row>
    <row r="113">
      <c r="A113" s="18" t="inlineStr">
        <is>
          <t>Payroll And Allowances SGA</t>
        </is>
      </c>
      <c r="C113" s="20" t="n">
        <v>324</v>
      </c>
      <c r="D113" s="20" t="n">
        <v>335</v>
      </c>
      <c r="E113" s="20" t="n">
        <v>357</v>
      </c>
      <c r="F113" s="20" t="n">
        <v>399</v>
      </c>
      <c r="G113" s="20" t="n">
        <v>444</v>
      </c>
      <c r="H113" s="20" t="n">
        <v>441</v>
      </c>
      <c r="I113" s="20" t="n">
        <v>458</v>
      </c>
      <c r="J113" s="20" t="n">
        <v>497</v>
      </c>
      <c r="K113" s="20" t="n">
        <v>657</v>
      </c>
      <c r="L113" s="20" t="n">
        <v>621</v>
      </c>
      <c r="M113" s="20" t="n">
        <v>647</v>
      </c>
      <c r="N113" s="20" t="n">
        <v>670</v>
      </c>
      <c r="V113" s="20" t="n">
        <v>357</v>
      </c>
      <c r="W113" s="20" t="n">
        <v>458</v>
      </c>
      <c r="X113" s="20" t="n">
        <v>647</v>
      </c>
    </row>
    <row r="114">
      <c r="A114" s="18" t="inlineStr">
        <is>
          <t>광고선전비</t>
        </is>
      </c>
      <c r="C114" s="20" t="n">
        <v>484</v>
      </c>
      <c r="D114" s="20" t="n">
        <v>588</v>
      </c>
      <c r="E114" s="20" t="n">
        <v>597</v>
      </c>
      <c r="F114" s="20" t="n">
        <v>604</v>
      </c>
      <c r="G114" s="20" t="n">
        <v>606</v>
      </c>
      <c r="H114" s="20" t="n">
        <v>678</v>
      </c>
      <c r="I114" s="20" t="n">
        <v>631</v>
      </c>
      <c r="J114" s="20" t="n">
        <v>617</v>
      </c>
      <c r="K114" s="20" t="n">
        <v>607</v>
      </c>
      <c r="L114" s="20" t="n">
        <v>684</v>
      </c>
      <c r="M114" s="20" t="n">
        <v>746</v>
      </c>
      <c r="N114" s="20" t="n">
        <v>789</v>
      </c>
      <c r="V114" s="20" t="n">
        <v>597</v>
      </c>
      <c r="W114" s="20" t="n">
        <v>631</v>
      </c>
      <c r="X114" s="20" t="n">
        <v>746</v>
      </c>
    </row>
    <row r="115">
      <c r="A115" s="18" t="inlineStr">
        <is>
          <t>Repair Expenses SGA</t>
        </is>
      </c>
      <c r="C115" s="20" t="n">
        <v>10</v>
      </c>
      <c r="D115" s="20" t="n">
        <v>7</v>
      </c>
      <c r="E115" s="20" t="n">
        <v>44</v>
      </c>
      <c r="F115" s="20" t="n">
        <v>6</v>
      </c>
      <c r="G115" s="20" t="n">
        <v>10</v>
      </c>
      <c r="H115" s="20" t="n">
        <v>9</v>
      </c>
      <c r="I115" s="20" t="n">
        <v>9</v>
      </c>
      <c r="J115" s="20" t="n">
        <v>13</v>
      </c>
      <c r="K115" s="20" t="n">
        <v>14</v>
      </c>
      <c r="L115" s="20" t="n">
        <v>16</v>
      </c>
      <c r="M115" s="20" t="n">
        <v>13</v>
      </c>
      <c r="N115" s="20" t="n">
        <v>5</v>
      </c>
      <c r="V115" s="20" t="n">
        <v>44</v>
      </c>
      <c r="W115" s="20" t="n">
        <v>9</v>
      </c>
      <c r="X115" s="20" t="n">
        <v>13</v>
      </c>
    </row>
    <row r="116">
      <c r="A116" s="18" t="inlineStr">
        <is>
          <t>감가상각비</t>
        </is>
      </c>
      <c r="C116" s="20" t="n">
        <v>192</v>
      </c>
      <c r="D116" s="20" t="n">
        <v>193</v>
      </c>
      <c r="E116" s="20" t="n">
        <v>201</v>
      </c>
      <c r="F116" s="20" t="n">
        <v>216</v>
      </c>
      <c r="G116" s="20" t="n">
        <v>220</v>
      </c>
      <c r="H116" s="20" t="n">
        <v>222</v>
      </c>
      <c r="I116" s="20" t="n">
        <v>240</v>
      </c>
      <c r="J116" s="20" t="n">
        <v>216</v>
      </c>
      <c r="K116" s="20" t="n">
        <v>230</v>
      </c>
      <c r="L116" s="20" t="n">
        <v>229</v>
      </c>
      <c r="M116" s="20" t="n">
        <v>285</v>
      </c>
      <c r="N116" s="20" t="n">
        <v>248</v>
      </c>
      <c r="T116" s="20" t="n">
        <v>789</v>
      </c>
      <c r="U116" s="20" t="n">
        <v>997</v>
      </c>
      <c r="V116" s="20" t="n">
        <v>201</v>
      </c>
      <c r="W116" s="20" t="n">
        <v>240</v>
      </c>
      <c r="X116" s="20" t="n">
        <v>285</v>
      </c>
    </row>
    <row r="117">
      <c r="A117" s="18" t="inlineStr">
        <is>
          <t>세금과공과</t>
        </is>
      </c>
      <c r="C117" s="20" t="n">
        <v>34</v>
      </c>
      <c r="D117" s="20" t="n">
        <v>26</v>
      </c>
      <c r="T117" s="20" t="n">
        <v>114</v>
      </c>
      <c r="U117" s="20" t="n">
        <v>202</v>
      </c>
    </row>
    <row r="118">
      <c r="A118" s="18" t="inlineStr">
        <is>
          <t>대손충당금 전입</t>
        </is>
      </c>
      <c r="C118" s="20" t="n">
        <v>-8</v>
      </c>
      <c r="D118" s="20" t="n">
        <v>-25</v>
      </c>
      <c r="E118" s="20" t="n">
        <v>140</v>
      </c>
      <c r="F118" s="20" t="n">
        <v>113</v>
      </c>
      <c r="G118" s="20" t="n">
        <v>-11</v>
      </c>
      <c r="H118" s="20" t="n">
        <v>-14</v>
      </c>
      <c r="I118" s="20" t="n">
        <v>564</v>
      </c>
      <c r="J118" s="20" t="n">
        <v>0</v>
      </c>
      <c r="K118" s="20" t="n">
        <v>11</v>
      </c>
      <c r="L118" s="20" t="n">
        <v>0</v>
      </c>
      <c r="M118" s="20" t="n">
        <v>41</v>
      </c>
      <c r="N118" s="20" t="n">
        <v>49</v>
      </c>
      <c r="T118" s="20" t="n">
        <v>2173</v>
      </c>
      <c r="U118" s="20" t="n">
        <v>3319</v>
      </c>
      <c r="V118" s="20" t="n">
        <v>140</v>
      </c>
      <c r="W118" s="20" t="n">
        <v>564</v>
      </c>
      <c r="X118" s="20" t="n">
        <v>41</v>
      </c>
    </row>
    <row r="119">
      <c r="A119" s="18" t="inlineStr">
        <is>
          <t>상여충당금 전입</t>
        </is>
      </c>
      <c r="C119" s="20" t="n">
        <v>33</v>
      </c>
      <c r="D119" s="20" t="n">
        <v>34</v>
      </c>
      <c r="E119" s="20" t="n">
        <v>-49</v>
      </c>
      <c r="F119" s="20" t="n">
        <v>39</v>
      </c>
      <c r="G119" s="20" t="n">
        <v>51</v>
      </c>
      <c r="H119" s="20" t="n">
        <v>53</v>
      </c>
      <c r="I119" s="20" t="n">
        <v>-37</v>
      </c>
      <c r="J119" s="20" t="n">
        <v>68</v>
      </c>
      <c r="K119" s="20" t="n">
        <v>32</v>
      </c>
      <c r="L119" s="20" t="n">
        <v>39</v>
      </c>
      <c r="M119" s="20" t="n">
        <v>28</v>
      </c>
      <c r="N119" s="20" t="n">
        <v>76</v>
      </c>
      <c r="V119" s="20" t="n">
        <v>-49</v>
      </c>
      <c r="W119" s="20" t="n">
        <v>-37</v>
      </c>
      <c r="X119" s="20" t="n">
        <v>28</v>
      </c>
    </row>
    <row r="120">
      <c r="A120" s="18" t="inlineStr">
        <is>
          <t>기타</t>
        </is>
      </c>
      <c r="C120" s="20" t="n">
        <v>930</v>
      </c>
      <c r="D120" s="20" t="n">
        <v>946</v>
      </c>
      <c r="E120" s="20" t="n">
        <v>1105</v>
      </c>
      <c r="F120" s="20" t="n">
        <v>941</v>
      </c>
      <c r="G120" s="20" t="n">
        <v>1030</v>
      </c>
      <c r="H120" s="20" t="n">
        <v>1022</v>
      </c>
      <c r="I120" s="20" t="n">
        <v>1169</v>
      </c>
      <c r="J120" s="20" t="n">
        <v>1201</v>
      </c>
      <c r="K120" s="20" t="n">
        <v>1495</v>
      </c>
      <c r="L120" s="20" t="n">
        <v>1492</v>
      </c>
      <c r="M120" s="20" t="n">
        <v>1394</v>
      </c>
      <c r="N120" s="20" t="n">
        <v>1585</v>
      </c>
      <c r="T120" s="20" t="n">
        <v>624</v>
      </c>
      <c r="U120" s="20" t="n">
        <v>4617</v>
      </c>
      <c r="V120" s="20" t="n">
        <v>1105</v>
      </c>
      <c r="W120" s="20" t="n">
        <v>1169</v>
      </c>
      <c r="X120" s="20" t="n">
        <v>1394</v>
      </c>
    </row>
    <row r="121">
      <c r="A121" s="18" t="inlineStr">
        <is>
          <t>판매비와 관리비 합계</t>
        </is>
      </c>
      <c r="C121" s="20" t="n">
        <v>1966</v>
      </c>
      <c r="D121" s="20" t="n">
        <v>2080</v>
      </c>
      <c r="E121" s="20" t="n">
        <v>2393</v>
      </c>
      <c r="F121" s="20" t="n">
        <v>2321</v>
      </c>
      <c r="G121" s="20" t="n">
        <v>2351</v>
      </c>
      <c r="H121" s="20" t="n">
        <v>2410</v>
      </c>
      <c r="I121" s="20" t="n">
        <v>3034</v>
      </c>
      <c r="J121" s="20" t="n">
        <v>2614</v>
      </c>
      <c r="K121" s="20" t="n">
        <v>3046</v>
      </c>
      <c r="L121" s="20" t="n">
        <v>3081</v>
      </c>
      <c r="M121" s="20" t="n">
        <v>3154</v>
      </c>
      <c r="N121" s="20" t="n">
        <v>3426</v>
      </c>
      <c r="T121" s="20" t="n">
        <v>7267</v>
      </c>
      <c r="U121" s="20" t="n">
        <v>9410</v>
      </c>
      <c r="V121" s="20" t="n">
        <v>2393</v>
      </c>
      <c r="W121" s="20" t="n">
        <v>3034</v>
      </c>
      <c r="X121" s="20" t="n">
        <v>3154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9" t="inlineStr">
        <is>
          <t>영업이익(손실)</t>
        </is>
      </c>
      <c r="C123" s="12" t="n">
        <v>-267</v>
      </c>
      <c r="D123" s="12" t="n">
        <v>-284</v>
      </c>
      <c r="E123" s="12" t="n">
        <v>-223</v>
      </c>
      <c r="F123" s="12" t="n">
        <v>-28</v>
      </c>
      <c r="G123" s="12" t="n">
        <v>-146</v>
      </c>
      <c r="H123" s="12" t="n">
        <v>-251</v>
      </c>
      <c r="I123" s="12" t="n">
        <v>-681</v>
      </c>
      <c r="J123" s="12" t="n">
        <v>-260</v>
      </c>
      <c r="K123" s="12" t="n">
        <v>-526</v>
      </c>
      <c r="L123" s="12" t="n">
        <v>50</v>
      </c>
      <c r="M123" s="12" t="n">
        <v>373</v>
      </c>
      <c r="N123" s="12" t="n">
        <v>137</v>
      </c>
      <c r="T123" s="12" t="n">
        <v>3389</v>
      </c>
      <c r="U123" s="12" t="n">
        <v>4971</v>
      </c>
      <c r="V123" s="12" t="n">
        <v>-223</v>
      </c>
      <c r="W123" s="12" t="n">
        <v>-681</v>
      </c>
      <c r="X123" s="12" t="n">
        <v>373</v>
      </c>
    </row>
    <row r="124">
      <c r="A124" s="43" t="inlineStr">
        <is>
          <t>OPM</t>
        </is>
      </c>
      <c r="B124" s="3" t="inlineStr">
        <is>
          <t>영업이익 ÷ 매출</t>
        </is>
      </c>
      <c r="C124" s="15">
        <f>IF(OR(C123="",C99=""),"",IF(C99&lt;=0,"",IFERROR(C123/C99,"")))</f>
        <v/>
      </c>
      <c r="D124" s="15">
        <f>IF(OR(D123="",D99=""),"",IF(D99&lt;=0,"",IFERROR(D123/D99,"")))</f>
        <v/>
      </c>
      <c r="E124" s="15">
        <f>IF(OR(E123="",E99=""),"",IF(E99&lt;=0,"",IFERROR(E123/E99,"")))</f>
        <v/>
      </c>
      <c r="F124" s="15">
        <f>IF(OR(F123="",F99=""),"",IF(F99&lt;=0,"",IFERROR(F123/F99,"")))</f>
        <v/>
      </c>
      <c r="G124" s="15">
        <f>IF(OR(G123="",G99=""),"",IF(G99&lt;=0,"",IFERROR(G123/G99,"")))</f>
        <v/>
      </c>
      <c r="H124" s="15">
        <f>IF(OR(H123="",H99=""),"",IF(H99&lt;=0,"",IFERROR(H123/H99,"")))</f>
        <v/>
      </c>
      <c r="I124" s="15">
        <f>IF(OR(I123="",I99=""),"",IF(I99&lt;=0,"",IFERROR(I123/I99,"")))</f>
        <v/>
      </c>
      <c r="J124" s="15">
        <f>IF(OR(J123="",J99=""),"",IF(J99&lt;=0,"",IFERROR(J123/J99,"")))</f>
        <v/>
      </c>
      <c r="K124" s="15">
        <f>IF(OR(K123="",K99=""),"",IF(K99&lt;=0,"",IFERROR(K123/K99,"")))</f>
        <v/>
      </c>
      <c r="L124" s="15">
        <f>IF(OR(L123="",L99=""),"",IF(L99&lt;=0,"",IFERROR(L123/L99,"")))</f>
        <v/>
      </c>
      <c r="M124" s="15">
        <f>IF(OR(M123="",M99=""),"",IF(M99&lt;=0,"",IFERROR(M123/M99,"")))</f>
        <v/>
      </c>
      <c r="N124" s="15">
        <f>IF(OR(N123="",N99=""),"",IF(N99&lt;=0,"",IFERROR(N123/N99,"")))</f>
        <v/>
      </c>
      <c r="T124" s="15">
        <f>IF(OR(T123="",T99=""),"",IF(T99&lt;=0,"",IFERROR(T123/T99,"")))</f>
        <v/>
      </c>
      <c r="U124" s="15">
        <f>IF(OR(U123="",U99=""),"",IF(U99&lt;=0,"",IFERROR(U123/U99,"")))</f>
        <v/>
      </c>
      <c r="V124" s="15">
        <f>IF(OR(V123="",V99=""),"",IF(V99&lt;=0,"",IFERROR(V123/V99,"")))</f>
        <v/>
      </c>
      <c r="W124" s="15">
        <f>IF(OR(W123="",W99=""),"",IF(W99&lt;=0,"",IFERROR(W123/W99,"")))</f>
        <v/>
      </c>
      <c r="X124" s="15">
        <f>IF(OR(X123="",X99=""),"",IF(X99&lt;=0,"",IFERROR(X123/X99,"")))</f>
        <v/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IF(OR(G123="",C123=""),"",IF(C123&lt;=0,"",IFERROR(G123/C123-1,"")))</f>
        <v/>
      </c>
      <c r="H125" s="15">
        <f>IF(OR(H123="",D123=""),"",IF(D123&lt;=0,"",IFERROR(H123/D123-1,"")))</f>
        <v/>
      </c>
      <c r="I125" s="15">
        <f>IF(OR(I123="",E123=""),"",IF(E123&lt;=0,"",IFERROR(I123/E123-1,"")))</f>
        <v/>
      </c>
      <c r="J125" s="15">
        <f>IF(OR(J123="",F123=""),"",IF(F123&lt;=0,"",IFERROR(J123/F123-1,"")))</f>
        <v/>
      </c>
      <c r="K125" s="15">
        <f>IF(OR(K123="",G123=""),"",IF(G123&lt;=0,"",IFERROR(K123/G123-1,"")))</f>
        <v/>
      </c>
      <c r="L125" s="15">
        <f>IF(OR(L123="",H123=""),"",IF(H123&lt;=0,"",IFERROR(L123/H123-1,"")))</f>
        <v/>
      </c>
      <c r="M125" s="15">
        <f>IF(OR(M123="",I123=""),"",IF(I123&lt;=0,"",IFERROR(M123/I123-1,"")))</f>
        <v/>
      </c>
      <c r="N125" s="15">
        <f>IF(OR(N123="",J123=""),"",IF(J123&lt;=0,"",IFERROR(N123/J123-1,"")))</f>
        <v/>
      </c>
      <c r="T125" s="15">
        <f>IF(OR(T123="",S123=""),"",IF(S123&lt;=0,"",IFERROR(T123/S123-1,"")))</f>
        <v/>
      </c>
      <c r="U125" s="15">
        <f>IF(OR(U123="",T123=""),"",IF(T123&lt;=0,"",IFERROR(U123/T123-1,"")))</f>
        <v/>
      </c>
      <c r="V125" s="15">
        <f>IF(OR(V123="",U123=""),"",IF(U123&lt;=0,"",IFERROR(V123/U123-1,"")))</f>
        <v/>
      </c>
      <c r="W125" s="15">
        <f>IF(OR(W123="",V123=""),"",IF(V123&lt;=0,"",IFERROR(W123/V123-1,"")))</f>
        <v/>
      </c>
      <c r="X125" s="15">
        <f>IF(OR(X123="",W123=""),"",IF(W123&lt;=0,"",IFERROR(X123/W123-1,"")))</f>
        <v/>
      </c>
    </row>
    <row r="126">
      <c r="A126" s="18" t="inlineStr">
        <is>
          <t>이자·배당금 수익</t>
        </is>
      </c>
      <c r="C126" s="20" t="n">
        <v>63</v>
      </c>
      <c r="D126" s="20" t="n">
        <v>71</v>
      </c>
      <c r="E126" s="20" t="n">
        <v>73</v>
      </c>
      <c r="F126" s="20" t="n">
        <v>151</v>
      </c>
      <c r="G126" s="20" t="n">
        <v>68</v>
      </c>
      <c r="H126" s="20" t="n">
        <v>95</v>
      </c>
      <c r="I126" s="20" t="n">
        <v>96</v>
      </c>
      <c r="J126" s="20" t="n">
        <v>168</v>
      </c>
      <c r="K126" s="20" t="n">
        <v>100</v>
      </c>
      <c r="L126" s="20" t="n">
        <v>79</v>
      </c>
      <c r="M126" s="20" t="n">
        <v>97</v>
      </c>
      <c r="N126" s="20" t="n">
        <v>72</v>
      </c>
      <c r="T126" s="20" t="n">
        <v>30</v>
      </c>
      <c r="U126" s="20" t="n">
        <v>27</v>
      </c>
      <c r="V126" s="20" t="n">
        <v>73</v>
      </c>
      <c r="W126" s="20" t="n">
        <v>96</v>
      </c>
      <c r="X126" s="20" t="n">
        <v>97</v>
      </c>
    </row>
    <row r="127">
      <c r="A127" s="18" t="inlineStr">
        <is>
          <t>지분법이익</t>
        </is>
      </c>
      <c r="C127" s="20" t="n">
        <v>3306</v>
      </c>
      <c r="D127" s="20" t="n">
        <v>3269</v>
      </c>
      <c r="E127" s="20" t="n">
        <v>3282</v>
      </c>
      <c r="F127" s="20" t="n">
        <v>2897</v>
      </c>
      <c r="G127" s="20" t="n">
        <v>3874</v>
      </c>
      <c r="H127" s="20" t="n">
        <v>4505</v>
      </c>
      <c r="I127" s="20" t="n">
        <v>4171</v>
      </c>
      <c r="J127" s="20" t="n">
        <v>4267</v>
      </c>
      <c r="K127" s="20" t="n">
        <v>4391</v>
      </c>
      <c r="L127" s="20" t="n">
        <v>3863</v>
      </c>
      <c r="M127" s="20" t="n">
        <v>3788</v>
      </c>
      <c r="N127" s="20" t="n">
        <v>4111</v>
      </c>
      <c r="T127" s="20" t="n">
        <v>400</v>
      </c>
      <c r="U127" s="20" t="n">
        <v>6</v>
      </c>
      <c r="V127" s="20" t="n">
        <v>3282</v>
      </c>
      <c r="W127" s="20" t="n">
        <v>4171</v>
      </c>
      <c r="X127" s="20" t="n">
        <v>3788</v>
      </c>
    </row>
    <row r="128">
      <c r="A128" s="18" t="inlineStr">
        <is>
          <t>외환차익</t>
        </is>
      </c>
      <c r="C128" s="20" t="n">
        <v>19</v>
      </c>
      <c r="D128" s="20" t="n">
        <v>-210</v>
      </c>
      <c r="E128" s="20" t="n">
        <v>345</v>
      </c>
      <c r="F128" s="20" t="n">
        <v>676</v>
      </c>
      <c r="G128" s="20" t="n">
        <v>-676</v>
      </c>
      <c r="H128" s="20" t="n">
        <v>31</v>
      </c>
      <c r="I128" s="20" t="n">
        <v>-8</v>
      </c>
      <c r="J128" s="20" t="n">
        <v>3</v>
      </c>
      <c r="K128" s="20" t="n">
        <v>147</v>
      </c>
      <c r="L128" s="20" t="n">
        <v>577</v>
      </c>
      <c r="M128" s="20" t="n">
        <v>150</v>
      </c>
      <c r="N128" s="20" t="n">
        <v>256</v>
      </c>
      <c r="T128" s="20" t="n">
        <v>-8</v>
      </c>
      <c r="U128" s="20" t="n">
        <v>-86</v>
      </c>
      <c r="V128" s="20" t="n">
        <v>345</v>
      </c>
      <c r="W128" s="20" t="n">
        <v>-8</v>
      </c>
      <c r="X128" s="20" t="n">
        <v>150</v>
      </c>
    </row>
    <row r="129">
      <c r="A129" s="18" t="inlineStr">
        <is>
          <t>기타</t>
        </is>
      </c>
      <c r="C129" s="20" t="n">
        <v>17</v>
      </c>
      <c r="D129" s="20" t="n">
        <v>-16</v>
      </c>
      <c r="E129" s="20" t="n">
        <v>46</v>
      </c>
      <c r="F129" s="20" t="n">
        <v>41</v>
      </c>
      <c r="G129" s="20" t="n">
        <v>276</v>
      </c>
      <c r="H129" s="20" t="n">
        <v>118</v>
      </c>
      <c r="I129" s="20" t="n">
        <v>16</v>
      </c>
      <c r="J129" s="20" t="n">
        <v>244</v>
      </c>
      <c r="K129" s="20" t="n">
        <v>200</v>
      </c>
      <c r="L129" s="20" t="n">
        <v>-19</v>
      </c>
      <c r="M129" s="20" t="n">
        <v>97</v>
      </c>
      <c r="N129" s="20" t="n">
        <v>181</v>
      </c>
      <c r="T129" s="20" t="n">
        <v>26</v>
      </c>
      <c r="U129" s="20" t="n">
        <v>-16</v>
      </c>
      <c r="V129" s="20" t="n">
        <v>46</v>
      </c>
      <c r="W129" s="20" t="n">
        <v>16</v>
      </c>
      <c r="X129" s="20" t="n">
        <v>97</v>
      </c>
    </row>
    <row r="130">
      <c r="A130" s="18" t="inlineStr">
        <is>
          <t>영업외수익 합계</t>
        </is>
      </c>
      <c r="C130" s="20" t="n">
        <v>3405</v>
      </c>
      <c r="D130" s="20" t="n">
        <v>3114</v>
      </c>
      <c r="E130" s="20" t="n">
        <v>3745</v>
      </c>
      <c r="F130" s="20" t="n">
        <v>3766</v>
      </c>
      <c r="G130" s="20" t="n">
        <v>3542</v>
      </c>
      <c r="H130" s="20" t="n">
        <v>4749</v>
      </c>
      <c r="I130" s="20" t="n">
        <v>4276</v>
      </c>
      <c r="J130" s="20" t="n">
        <v>4684</v>
      </c>
      <c r="K130" s="20" t="n">
        <v>4838</v>
      </c>
      <c r="L130" s="20" t="n">
        <v>4499</v>
      </c>
      <c r="M130" s="20" t="n">
        <v>4132</v>
      </c>
      <c r="N130" s="20" t="n">
        <v>4621</v>
      </c>
      <c r="T130" s="20" t="n">
        <v>447</v>
      </c>
      <c r="U130" s="20" t="n">
        <v>-68</v>
      </c>
      <c r="V130" s="20" t="n">
        <v>3745</v>
      </c>
      <c r="W130" s="20" t="n">
        <v>4276</v>
      </c>
      <c r="X130" s="20" t="n">
        <v>4132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IF(OR(G130="",C130=""),"",IF(G130*C130&lt;=0,"",IFERROR(G130/C130-1,"")))</f>
        <v/>
      </c>
      <c r="H131" s="15">
        <f>IF(OR(H130="",D130=""),"",IF(H130*D130&lt;=0,"",IFERROR(H130/D130-1,"")))</f>
        <v/>
      </c>
      <c r="I131" s="15">
        <f>IF(OR(I130="",E130=""),"",IF(I130*E130&lt;=0,"",IFERROR(I130/E130-1,"")))</f>
        <v/>
      </c>
      <c r="J131" s="15">
        <f>IF(OR(J130="",F130=""),"",IF(J130*F130&lt;=0,"",IFERROR(J130/F130-1,"")))</f>
        <v/>
      </c>
      <c r="K131" s="15">
        <f>IF(OR(K130="",G130=""),"",IF(K130*G130&lt;=0,"",IFERROR(K130/G130-1,"")))</f>
        <v/>
      </c>
      <c r="L131" s="15">
        <f>IF(OR(L130="",H130=""),"",IF(L130*H130&lt;=0,"",IFERROR(L130/H130-1,"")))</f>
        <v/>
      </c>
      <c r="M131" s="15">
        <f>IF(OR(M130="",I130=""),"",IF(M130*I130&lt;=0,"",IFERROR(M130/I130-1,"")))</f>
        <v/>
      </c>
      <c r="N131" s="15">
        <f>IF(OR(N130="",J130=""),"",IF(N130*J130&lt;=0,"",IFERROR(N130/J130-1,"")))</f>
        <v/>
      </c>
      <c r="T131" s="15">
        <f>IF(OR(T130="",S130=""),"",IF(T130*S130&lt;=0,"",IFERROR(T130/S130-1,"")))</f>
        <v/>
      </c>
      <c r="U131" s="15">
        <f>IF(OR(U130="",T130=""),"",IF(U130*T130&lt;=0,"",IFERROR(U130/T130-1,"")))</f>
        <v/>
      </c>
      <c r="V131" s="15">
        <f>IF(OR(V130="",U130=""),"",IF(V130*U130&lt;=0,"",IFERROR(V130/U130-1,"")))</f>
        <v/>
      </c>
      <c r="W131" s="15">
        <f>IF(OR(W130="",V130=""),"",IF(W130*V130&lt;=0,"",IFERROR(W130/V130-1,"")))</f>
        <v/>
      </c>
      <c r="X131" s="15">
        <f>IF(OR(X130="",W130=""),"",IF(X130*W130&lt;=0,"",IFERROR(X130/W130-1,"")))</f>
        <v/>
      </c>
    </row>
    <row r="132">
      <c r="A132" s="18" t="inlineStr">
        <is>
          <t>이자비용</t>
        </is>
      </c>
      <c r="C132" s="20" t="n">
        <v>3</v>
      </c>
      <c r="D132" s="20" t="n">
        <v>2</v>
      </c>
      <c r="E132" s="20" t="n">
        <v>2</v>
      </c>
      <c r="F132" s="20" t="n">
        <v>2</v>
      </c>
      <c r="G132" s="20" t="n">
        <v>2</v>
      </c>
      <c r="H132" s="20" t="n">
        <v>2</v>
      </c>
      <c r="I132" s="20" t="n">
        <v>2</v>
      </c>
      <c r="J132" s="20" t="n">
        <v>1</v>
      </c>
      <c r="K132" s="20" t="n">
        <v>7</v>
      </c>
      <c r="L132" s="20" t="n">
        <v>5</v>
      </c>
      <c r="M132" s="20" t="n">
        <v>4</v>
      </c>
      <c r="N132" s="20" t="n">
        <v>6</v>
      </c>
      <c r="T132" s="20" t="n">
        <v>10</v>
      </c>
      <c r="U132" s="20" t="n">
        <v>5</v>
      </c>
      <c r="V132" s="20" t="n">
        <v>2</v>
      </c>
      <c r="W132" s="20" t="n">
        <v>2</v>
      </c>
      <c r="X132" s="20" t="n">
        <v>4</v>
      </c>
    </row>
    <row r="133">
      <c r="A133" s="18" t="inlineStr">
        <is>
          <t>지급수수료</t>
        </is>
      </c>
      <c r="D133" s="20" t="n">
        <v>0</v>
      </c>
      <c r="E133" s="20" t="n">
        <v>0</v>
      </c>
      <c r="H133" s="20" t="n">
        <v>0</v>
      </c>
      <c r="I133" s="20" t="n">
        <v>0</v>
      </c>
      <c r="U133" s="20" t="n">
        <v>0</v>
      </c>
      <c r="V133" s="20" t="n">
        <v>0</v>
      </c>
      <c r="W133" s="20" t="n">
        <v>0</v>
      </c>
    </row>
    <row r="134">
      <c r="A134" s="18" t="inlineStr">
        <is>
          <t>신디케이트론 수수료</t>
        </is>
      </c>
      <c r="C134" s="20" t="n">
        <v>0</v>
      </c>
      <c r="D134" s="20" t="n">
        <v>0</v>
      </c>
      <c r="E134" s="20" t="n">
        <v>0</v>
      </c>
      <c r="T134" s="20" t="n">
        <v>7</v>
      </c>
      <c r="U134" s="20" t="n">
        <v>0</v>
      </c>
      <c r="V134" s="20" t="n">
        <v>0</v>
      </c>
    </row>
    <row r="135">
      <c r="A135" s="18" t="inlineStr">
        <is>
          <t>화해금</t>
        </is>
      </c>
      <c r="F135" s="20" t="n">
        <v>0</v>
      </c>
      <c r="G135" s="20" t="n">
        <v>0</v>
      </c>
      <c r="H135" s="20" t="n">
        <v>0</v>
      </c>
      <c r="I135" s="20" t="n">
        <v>0</v>
      </c>
      <c r="J135" s="20" t="n">
        <v>21</v>
      </c>
      <c r="K135" s="20" t="n">
        <v>0</v>
      </c>
      <c r="L135" s="20" t="n">
        <v>0</v>
      </c>
      <c r="M135" s="20" t="n">
        <v>0</v>
      </c>
      <c r="N135" s="20" t="n">
        <v>0</v>
      </c>
      <c r="W135" s="20" t="n">
        <v>0</v>
      </c>
      <c r="X135" s="20" t="n">
        <v>0</v>
      </c>
    </row>
    <row r="136">
      <c r="A136" s="18" t="inlineStr">
        <is>
          <t>대손충당금 전입</t>
        </is>
      </c>
      <c r="D136" s="20" t="n">
        <v>0</v>
      </c>
      <c r="E136" s="20" t="n">
        <v>0</v>
      </c>
      <c r="T136" s="20" t="n">
        <v>0</v>
      </c>
      <c r="U136" s="20" t="n">
        <v>3</v>
      </c>
      <c r="V136" s="20" t="n">
        <v>0</v>
      </c>
    </row>
    <row r="137">
      <c r="A137" s="18" t="inlineStr">
        <is>
          <t>투자조합 운용손실</t>
        </is>
      </c>
      <c r="F137" s="20" t="n">
        <v>0</v>
      </c>
      <c r="J137" s="20" t="n">
        <v>16</v>
      </c>
      <c r="N137" s="20" t="n">
        <v>0</v>
      </c>
    </row>
    <row r="138">
      <c r="A138" s="18" t="inlineStr">
        <is>
          <t>Rent Expenses On Real Estates NOE</t>
        </is>
      </c>
      <c r="J138" s="20" t="n">
        <v>0</v>
      </c>
      <c r="N138" s="20" t="n">
        <v>1</v>
      </c>
    </row>
    <row r="139">
      <c r="A139" s="18" t="inlineStr">
        <is>
          <t>기타</t>
        </is>
      </c>
      <c r="C139" s="20" t="n">
        <v>10</v>
      </c>
      <c r="D139" s="20" t="n">
        <v>5</v>
      </c>
      <c r="E139" s="20" t="n">
        <v>13</v>
      </c>
      <c r="F139" s="20" t="n">
        <v>2</v>
      </c>
      <c r="G139" s="20" t="n">
        <v>17</v>
      </c>
      <c r="H139" s="20" t="n">
        <v>7</v>
      </c>
      <c r="I139" s="20" t="n">
        <v>11</v>
      </c>
      <c r="J139" s="20" t="n">
        <v>10</v>
      </c>
      <c r="K139" s="20" t="n">
        <v>23</v>
      </c>
      <c r="L139" s="20" t="n">
        <v>5</v>
      </c>
      <c r="M139" s="20" t="n">
        <v>-22</v>
      </c>
      <c r="N139" s="20" t="n">
        <v>0</v>
      </c>
      <c r="T139" s="20" t="n">
        <v>-4</v>
      </c>
      <c r="U139" s="20" t="n">
        <v>-1</v>
      </c>
      <c r="V139" s="20" t="n">
        <v>13</v>
      </c>
      <c r="W139" s="20" t="n">
        <v>11</v>
      </c>
      <c r="X139" s="20" t="n">
        <v>-22</v>
      </c>
    </row>
    <row r="140">
      <c r="A140" s="18" t="inlineStr">
        <is>
          <t>영업외비용 합계</t>
        </is>
      </c>
      <c r="C140" s="20" t="n">
        <v>23</v>
      </c>
      <c r="D140" s="20" t="n">
        <v>8</v>
      </c>
      <c r="E140" s="20" t="n">
        <v>32</v>
      </c>
      <c r="F140" s="20" t="n">
        <v>5</v>
      </c>
      <c r="G140" s="20" t="n">
        <v>449</v>
      </c>
      <c r="H140" s="20" t="n">
        <v>-422</v>
      </c>
      <c r="I140" s="20" t="n">
        <v>72</v>
      </c>
      <c r="J140" s="20" t="n">
        <v>50</v>
      </c>
      <c r="K140" s="20" t="n">
        <v>13</v>
      </c>
      <c r="L140" s="20" t="n">
        <v>11</v>
      </c>
      <c r="M140" s="20" t="n">
        <v>2</v>
      </c>
      <c r="N140" s="20" t="n">
        <v>8</v>
      </c>
      <c r="T140" s="20" t="n">
        <v>27</v>
      </c>
      <c r="U140" s="20" t="n">
        <v>76</v>
      </c>
      <c r="V140" s="20" t="n">
        <v>32</v>
      </c>
      <c r="W140" s="20" t="n">
        <v>72</v>
      </c>
      <c r="X140" s="20" t="n">
        <v>2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IF(OR(G140="",C140=""),"",IF(G140*C140&lt;=0,"",IFERROR(G140/C140-1,"")))</f>
        <v/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J141" s="15">
        <f>IF(OR(J140="",F140=""),"",IF(J140*F140&lt;=0,"",IFERROR(J140/F140-1,"")))</f>
        <v/>
      </c>
      <c r="K141" s="15">
        <f>IF(OR(K140="",G140=""),"",IF(K140*G140&lt;=0,"",IFERROR(K140/G140-1,"")))</f>
        <v/>
      </c>
      <c r="L141" s="15">
        <f>IF(OR(L140="",H140=""),"",IF(L140*H140&lt;=0,"",IFERROR(L140/H140-1,"")))</f>
        <v/>
      </c>
      <c r="M141" s="15">
        <f>IF(OR(M140="",I140=""),"",IF(M140*I140&lt;=0,"",IFERROR(M140/I140-1,"")))</f>
        <v/>
      </c>
      <c r="N141" s="15">
        <f>IF(OR(N140="",J140=""),"",IF(N140*J140&lt;=0,"",IFERROR(N140/J140-1,"")))</f>
        <v/>
      </c>
      <c r="T141" s="15">
        <f>IF(OR(T140="",S140=""),"",IF(T140*S140&lt;=0,"",IFERROR(T140/S140-1,"")))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경상이익</t>
        </is>
      </c>
      <c r="C142" s="12" t="n">
        <v>3114</v>
      </c>
      <c r="D142" s="12" t="n">
        <v>2823</v>
      </c>
      <c r="E142" s="12" t="n">
        <v>3491</v>
      </c>
      <c r="F142" s="12" t="n">
        <v>3733</v>
      </c>
      <c r="G142" s="12" t="n">
        <v>2946</v>
      </c>
      <c r="H142" s="12" t="n">
        <v>4920</v>
      </c>
      <c r="I142" s="12" t="n">
        <v>3523</v>
      </c>
      <c r="J142" s="12" t="n">
        <v>4373</v>
      </c>
      <c r="K142" s="12" t="n">
        <v>4300</v>
      </c>
      <c r="L142" s="12" t="n">
        <v>4538</v>
      </c>
      <c r="M142" s="12" t="n">
        <v>4502</v>
      </c>
      <c r="N142" s="12" t="n">
        <v>4750</v>
      </c>
      <c r="T142" s="12" t="n">
        <v>3810</v>
      </c>
      <c r="U142" s="12" t="n">
        <v>4826</v>
      </c>
      <c r="V142" s="12" t="n">
        <v>3491</v>
      </c>
      <c r="W142" s="12" t="n">
        <v>3523</v>
      </c>
      <c r="X142" s="12" t="n">
        <v>4502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관계회사 주식 매각이익</t>
        </is>
      </c>
      <c r="D144" s="20" t="n">
        <v>0</v>
      </c>
      <c r="E144" s="20" t="n">
        <v>0</v>
      </c>
      <c r="T144" s="20" t="n">
        <v>468</v>
      </c>
      <c r="U144" s="20" t="n">
        <v>0</v>
      </c>
      <c r="V144" s="20" t="n">
        <v>0</v>
      </c>
    </row>
    <row r="145">
      <c r="A145" s="18" t="inlineStr">
        <is>
          <t>투자유가증권 매각이익</t>
        </is>
      </c>
      <c r="C145" s="20" t="n">
        <v>17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0</v>
      </c>
      <c r="I145" s="20" t="n">
        <v>79</v>
      </c>
      <c r="M145" s="20" t="n">
        <v>37</v>
      </c>
      <c r="T145" s="20" t="n">
        <v>72</v>
      </c>
      <c r="U145" s="20" t="n">
        <v>0</v>
      </c>
      <c r="V145" s="20" t="n">
        <v>0</v>
      </c>
      <c r="W145" s="20" t="n">
        <v>79</v>
      </c>
      <c r="X145" s="20" t="n">
        <v>37</v>
      </c>
    </row>
    <row r="146">
      <c r="A146" s="18" t="inlineStr">
        <is>
          <t>고정자산 매각이익</t>
        </is>
      </c>
      <c r="F146" s="20" t="n">
        <v>0</v>
      </c>
    </row>
    <row r="147">
      <c r="A147" s="18" t="inlineStr">
        <is>
          <t>기타</t>
        </is>
      </c>
      <c r="D147" s="20" t="n">
        <v>0</v>
      </c>
      <c r="H147" s="20" t="n">
        <v>0</v>
      </c>
      <c r="T147" s="20" t="n">
        <v>6</v>
      </c>
      <c r="U147" s="20" t="n">
        <v>1</v>
      </c>
    </row>
    <row r="148">
      <c r="A148" s="18" t="inlineStr">
        <is>
          <t>Extraordinary Income</t>
        </is>
      </c>
      <c r="C148" s="20" t="n">
        <v>16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79</v>
      </c>
      <c r="M148" s="20" t="n">
        <v>37</v>
      </c>
      <c r="T148" s="20" t="n">
        <v>546</v>
      </c>
      <c r="U148" s="20" t="n">
        <v>1</v>
      </c>
      <c r="V148" s="20" t="n">
        <v>0</v>
      </c>
      <c r="W148" s="20" t="n">
        <v>79</v>
      </c>
      <c r="X148" s="20" t="n">
        <v>37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IF(OR(G148="",C148=""),"",IF(G148*C148&lt;=0,"",IFERROR(G148/C148-1,"")))</f>
        <v/>
      </c>
      <c r="H149" s="15">
        <f>IF(OR(H148="",D148=""),"",IF(H148*D148&lt;=0,"",IFERROR(H148/D148-1,"")))</f>
        <v/>
      </c>
      <c r="I149" s="15">
        <f>IF(OR(I148="",E148=""),"",IF(I148*E148&lt;=0,"",IFERROR(I148/E148-1,"")))</f>
        <v/>
      </c>
      <c r="M149" s="15">
        <f>IF(OR(M148="",I148=""),"",IF(M148*I148&lt;=0,"",IFERROR(M148/I148-1,"")))</f>
        <v/>
      </c>
      <c r="T149" s="15">
        <f>IF(OR(T148="",S148=""),"",IF(T148*S148&lt;=0,"",IFERROR(T148/S148-1,"")))</f>
        <v/>
      </c>
      <c r="U149" s="15">
        <f>IF(OR(U148="",T148=""),"",IF(U148*T148&lt;=0,"",IFERROR(U148/T148-1,"")))</f>
        <v/>
      </c>
      <c r="V149" s="15">
        <f>IF(OR(V148="",U148=""),"",IF(V148*U148&lt;=0,"",IFERROR(V148/U148-1,"")))</f>
        <v/>
      </c>
      <c r="W149" s="15">
        <f>IF(OR(W148="",V148=""),"",IF(W148*V148&lt;=0,"",IFERROR(W148/V148-1,"")))</f>
        <v/>
      </c>
      <c r="X149" s="15">
        <f>IF(OR(X148="",W148=""),"",IF(X148*W148&lt;=0,"",IFERROR(X148/W148-1,"")))</f>
        <v/>
      </c>
    </row>
    <row r="150">
      <c r="A150" s="18" t="inlineStr">
        <is>
          <t>투자유가증권 평가손실</t>
        </is>
      </c>
      <c r="C150" s="20" t="n">
        <v>38</v>
      </c>
      <c r="D150" s="20" t="n">
        <v>0</v>
      </c>
      <c r="E150" s="20" t="n">
        <v>0</v>
      </c>
      <c r="F150" s="20" t="n">
        <v>15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U150" s="20" t="n">
        <v>307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임원 퇴직위로금</t>
        </is>
      </c>
      <c r="T151" s="20" t="n">
        <v>0</v>
      </c>
      <c r="U151" s="20" t="n">
        <v>0</v>
      </c>
    </row>
    <row r="152">
      <c r="A152" s="18" t="inlineStr">
        <is>
          <t>지분변동 손실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U152" s="20" t="n">
        <v>0</v>
      </c>
      <c r="V152" s="20" t="n">
        <v>0</v>
      </c>
      <c r="W152" s="20" t="n">
        <v>0</v>
      </c>
    </row>
    <row r="153">
      <c r="A153" s="18" t="inlineStr">
        <is>
          <t>손상차손</t>
        </is>
      </c>
      <c r="E153" s="20" t="n">
        <v>17</v>
      </c>
      <c r="H153" s="20" t="n">
        <v>9</v>
      </c>
      <c r="I153" s="20" t="n">
        <v>203</v>
      </c>
      <c r="L153" s="20" t="n">
        <v>0</v>
      </c>
      <c r="M153" s="20" t="n">
        <v>0</v>
      </c>
      <c r="V153" s="20" t="n">
        <v>17</v>
      </c>
      <c r="W153" s="20" t="n">
        <v>203</v>
      </c>
      <c r="X153" s="20" t="n">
        <v>0</v>
      </c>
    </row>
    <row r="154">
      <c r="A154" s="18" t="inlineStr">
        <is>
          <t>고정자산 매각손실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U154" s="20" t="n">
        <v>0</v>
      </c>
      <c r="V154" s="20" t="n">
        <v>0</v>
      </c>
      <c r="W154" s="20" t="n">
        <v>0</v>
      </c>
    </row>
    <row r="155">
      <c r="A155" s="18" t="inlineStr">
        <is>
          <t>단계적 취득 차손</t>
        </is>
      </c>
      <c r="E155" s="20" t="n">
        <v>0</v>
      </c>
      <c r="T155" s="20" t="n">
        <v>0</v>
      </c>
      <c r="U155" s="20" t="n">
        <v>0</v>
      </c>
      <c r="V155" s="20" t="n">
        <v>0</v>
      </c>
    </row>
    <row r="156">
      <c r="A156" s="18" t="inlineStr">
        <is>
          <t>고정자산 제각손실</t>
        </is>
      </c>
      <c r="H156" s="20" t="n">
        <v>0</v>
      </c>
      <c r="I156" s="20" t="n">
        <v>0</v>
      </c>
      <c r="L156" s="20" t="n">
        <v>0</v>
      </c>
      <c r="M156" s="20" t="n">
        <v>5</v>
      </c>
      <c r="W156" s="20" t="n">
        <v>0</v>
      </c>
      <c r="X156" s="20" t="n">
        <v>5</v>
      </c>
    </row>
    <row r="157">
      <c r="A157" s="18" t="inlineStr">
        <is>
          <t>기타</t>
        </is>
      </c>
      <c r="C157" s="20" t="n">
        <v>0</v>
      </c>
      <c r="D157" s="20" t="n">
        <v>0</v>
      </c>
      <c r="E157" s="20" t="n">
        <v>0</v>
      </c>
      <c r="F157" s="20" t="n">
        <v>0</v>
      </c>
      <c r="G157" s="20" t="n">
        <v>0</v>
      </c>
      <c r="H157" s="20" t="n">
        <v>0</v>
      </c>
      <c r="I157" s="20" t="n">
        <v>0</v>
      </c>
      <c r="M157" s="20" t="n">
        <v>0</v>
      </c>
      <c r="T157" s="20" t="n">
        <v>-13</v>
      </c>
      <c r="U157" s="20" t="n">
        <v>2</v>
      </c>
      <c r="V157" s="20" t="n">
        <v>0</v>
      </c>
      <c r="W157" s="20" t="n">
        <v>0</v>
      </c>
      <c r="X157" s="20" t="n">
        <v>0</v>
      </c>
    </row>
    <row r="158">
      <c r="A158" s="18" t="inlineStr">
        <is>
          <t>특별손실 합계</t>
        </is>
      </c>
      <c r="C158" s="20" t="n">
        <v>38</v>
      </c>
      <c r="D158" s="20" t="n">
        <v>0</v>
      </c>
      <c r="E158" s="20" t="n">
        <v>18</v>
      </c>
      <c r="F158" s="20" t="n">
        <v>15</v>
      </c>
      <c r="G158" s="20" t="n">
        <v>0</v>
      </c>
      <c r="H158" s="20" t="n">
        <v>10</v>
      </c>
      <c r="I158" s="20" t="n">
        <v>252</v>
      </c>
      <c r="J158" s="20" t="n">
        <v>0</v>
      </c>
      <c r="K158" s="20" t="n">
        <v>3</v>
      </c>
      <c r="L158" s="20" t="n">
        <v>0</v>
      </c>
      <c r="M158" s="20" t="n">
        <v>5</v>
      </c>
      <c r="N158" s="20" t="n">
        <v>0</v>
      </c>
      <c r="T158" s="20" t="n">
        <v>30</v>
      </c>
      <c r="U158" s="20" t="n">
        <v>336</v>
      </c>
      <c r="V158" s="20" t="n">
        <v>18</v>
      </c>
      <c r="W158" s="20" t="n">
        <v>252</v>
      </c>
      <c r="X158" s="20" t="n">
        <v>5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IF(OR(G158="",C158=""),"",IF(G158*C158&lt;=0,"",IFERROR(G158/C158-1,"")))</f>
        <v/>
      </c>
      <c r="H159" s="15">
        <f>IF(OR(H158="",D158=""),"",IF(H158*D158&lt;=0,"",IFERROR(H158/D158-1,"")))</f>
        <v/>
      </c>
      <c r="I159" s="15">
        <f>IF(OR(I158="",E158=""),"",IF(I158*E158&lt;=0,"",IFERROR(I158/E158-1,"")))</f>
        <v/>
      </c>
      <c r="J159" s="15">
        <f>IF(OR(J158="",F158=""),"",IF(J158*F158&lt;=0,"",IFERROR(J158/F158-1,"")))</f>
        <v/>
      </c>
      <c r="K159" s="15">
        <f>IF(OR(K158="",G158=""),"",IF(K158*G158&lt;=0,"",IFERROR(K158/G158-1,"")))</f>
        <v/>
      </c>
      <c r="L159" s="15">
        <f>IF(OR(L158="",H158=""),"",IF(L158*H158&lt;=0,"",IFERROR(L158/H158-1,"")))</f>
        <v/>
      </c>
      <c r="M159" s="15">
        <f>IF(OR(M158="",I158=""),"",IF(M158*I158&lt;=0,"",IFERROR(M158/I158-1,"")))</f>
        <v/>
      </c>
      <c r="N159" s="15">
        <f>IF(OR(N158="",J158=""),"",IF(N158*J158&lt;=0,"",IFERROR(N158/J158-1,"")))</f>
        <v/>
      </c>
      <c r="T159" s="15">
        <f>IF(OR(T158="",S158=""),"",IF(T158*S158&lt;=0,"",IFERROR(T158/S158-1,"")))</f>
        <v/>
      </c>
      <c r="U159" s="15">
        <f>IF(OR(U158="",T158=""),"",IF(U158*T158&lt;=0,"",IFERROR(U158/T158-1,"")))</f>
        <v/>
      </c>
      <c r="V159" s="15">
        <f>IF(OR(V158="",U158=""),"",IF(V158*U158&lt;=0,"",IFERROR(V158/U158-1,"")))</f>
        <v/>
      </c>
      <c r="W159" s="15">
        <f>IF(OR(W158="",V158=""),"",IF(W158*V158&lt;=0,"",IFERROR(W158/V158-1,"")))</f>
        <v/>
      </c>
      <c r="X159" s="15">
        <f>IF(OR(X158="",W158=""),"",IF(X158*W158&lt;=0,"",IFERROR(X158/W158-1,"")))</f>
        <v/>
      </c>
    </row>
    <row r="160">
      <c r="A160" s="9" t="inlineStr">
        <is>
          <t>법인세차감전 순이익</t>
        </is>
      </c>
      <c r="C160" s="12" t="n">
        <v>3092</v>
      </c>
      <c r="D160" s="12" t="n">
        <v>2823</v>
      </c>
      <c r="E160" s="12" t="n">
        <v>3473</v>
      </c>
      <c r="F160" s="12" t="n">
        <v>3717</v>
      </c>
      <c r="G160" s="12" t="n">
        <v>2946</v>
      </c>
      <c r="H160" s="12" t="n">
        <v>4911</v>
      </c>
      <c r="I160" s="12" t="n">
        <v>3351</v>
      </c>
      <c r="J160" s="12" t="n">
        <v>4373</v>
      </c>
      <c r="K160" s="12" t="n">
        <v>4296</v>
      </c>
      <c r="L160" s="12" t="n">
        <v>4788</v>
      </c>
      <c r="M160" s="12" t="n">
        <v>4534</v>
      </c>
      <c r="N160" s="12" t="n">
        <v>4750</v>
      </c>
      <c r="T160" s="12" t="n">
        <v>4326</v>
      </c>
      <c r="U160" s="12" t="n">
        <v>4491</v>
      </c>
      <c r="V160" s="12" t="n">
        <v>3473</v>
      </c>
      <c r="W160" s="12" t="n">
        <v>3351</v>
      </c>
      <c r="X160" s="12" t="n">
        <v>4534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T161" s="15">
        <f>IF(OR(T160="",S160=""),"",IF(S160&lt;=0,"",IFERROR(T160/S160-1,"")))</f>
        <v/>
      </c>
      <c r="U161" s="15">
        <f>IF(OR(U160="",T160=""),"",IF(T160&lt;=0,"",IFERROR(U160/T160-1,"")))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법인세·주민세·사업세</t>
        </is>
      </c>
      <c r="C162" s="20" t="n">
        <v>44</v>
      </c>
      <c r="D162" s="20" t="n">
        <v>22</v>
      </c>
      <c r="E162" s="20" t="n">
        <v>12</v>
      </c>
      <c r="F162" s="20" t="n">
        <v>1492</v>
      </c>
      <c r="G162" s="20" t="n">
        <v>227</v>
      </c>
      <c r="H162" s="20" t="n">
        <v>179</v>
      </c>
      <c r="I162" s="20" t="n">
        <v>255</v>
      </c>
      <c r="J162" s="20" t="n">
        <v>1623</v>
      </c>
      <c r="K162" s="20" t="n">
        <v>83</v>
      </c>
      <c r="L162" s="20" t="n">
        <v>228</v>
      </c>
      <c r="M162" s="20" t="n">
        <v>23</v>
      </c>
      <c r="N162" s="20" t="n">
        <v>319</v>
      </c>
      <c r="T162" s="20" t="n">
        <v>1229</v>
      </c>
      <c r="U162" s="20" t="n">
        <v>2379</v>
      </c>
      <c r="V162" s="20" t="n">
        <v>12</v>
      </c>
      <c r="W162" s="20" t="n">
        <v>255</v>
      </c>
      <c r="X162" s="20" t="n">
        <v>23</v>
      </c>
    </row>
    <row r="163">
      <c r="A163" s="18" t="inlineStr">
        <is>
          <t>법인세 조정액</t>
        </is>
      </c>
      <c r="C163" s="20" t="n">
        <v>609</v>
      </c>
      <c r="D163" s="20" t="n">
        <v>444</v>
      </c>
      <c r="E163" s="20" t="n">
        <v>712</v>
      </c>
      <c r="F163" s="20" t="n">
        <v>-827</v>
      </c>
      <c r="G163" s="20" t="n">
        <v>340</v>
      </c>
      <c r="H163" s="20" t="n">
        <v>817</v>
      </c>
      <c r="I163" s="20" t="n">
        <v>623</v>
      </c>
      <c r="J163" s="20" t="n">
        <v>-971</v>
      </c>
      <c r="K163" s="20" t="n">
        <v>699</v>
      </c>
      <c r="L163" s="20" t="n">
        <v>707</v>
      </c>
      <c r="M163" s="20" t="n">
        <v>865</v>
      </c>
      <c r="N163" s="20" t="n">
        <v>1266</v>
      </c>
      <c r="T163" s="20" t="n">
        <v>-479</v>
      </c>
      <c r="U163" s="20" t="n">
        <v>583</v>
      </c>
      <c r="V163" s="20" t="n">
        <v>712</v>
      </c>
      <c r="W163" s="20" t="n">
        <v>623</v>
      </c>
      <c r="X163" s="20" t="n">
        <v>865</v>
      </c>
    </row>
    <row r="164">
      <c r="A164" s="18" t="inlineStr">
        <is>
          <t>법인세 등 합계</t>
        </is>
      </c>
      <c r="C164" s="20" t="n">
        <v>652</v>
      </c>
      <c r="D164" s="20" t="n">
        <v>467</v>
      </c>
      <c r="E164" s="20" t="n">
        <v>724</v>
      </c>
      <c r="F164" s="20" t="n">
        <v>665</v>
      </c>
      <c r="G164" s="20" t="n">
        <v>566</v>
      </c>
      <c r="H164" s="20" t="n">
        <v>998</v>
      </c>
      <c r="I164" s="20" t="n">
        <v>877</v>
      </c>
      <c r="J164" s="20" t="n">
        <v>651</v>
      </c>
      <c r="K164" s="20" t="n">
        <v>783</v>
      </c>
      <c r="L164" s="20" t="n">
        <v>935</v>
      </c>
      <c r="M164" s="20" t="n">
        <v>888</v>
      </c>
      <c r="N164" s="20" t="n">
        <v>1586</v>
      </c>
      <c r="T164" s="20" t="n">
        <v>751</v>
      </c>
      <c r="U164" s="20" t="n">
        <v>2961</v>
      </c>
      <c r="V164" s="20" t="n">
        <v>724</v>
      </c>
      <c r="W164" s="20" t="n">
        <v>877</v>
      </c>
      <c r="X164" s="20" t="n">
        <v>888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IF(OR(G164="",C164=""),"",IF(G164*C164&lt;=0,"",IFERROR(G164/C164-1,"")))</f>
        <v/>
      </c>
      <c r="H165" s="15">
        <f>IF(OR(H164="",D164=""),"",IF(H164*D164&lt;=0,"",IFERROR(H164/D164-1,"")))</f>
        <v/>
      </c>
      <c r="I165" s="15">
        <f>IF(OR(I164="",E164=""),"",IF(I164*E164&lt;=0,"",IFERROR(I164/E164-1,"")))</f>
        <v/>
      </c>
      <c r="J165" s="15">
        <f>IF(OR(J164="",F164=""),"",IF(J164*F164&lt;=0,"",IFERROR(J164/F164-1,"")))</f>
        <v/>
      </c>
      <c r="K165" s="15">
        <f>IF(OR(K164="",G164=""),"",IF(K164*G164&lt;=0,"",IFERROR(K164/G164-1,"")))</f>
        <v/>
      </c>
      <c r="L165" s="15">
        <f>IF(OR(L164="",H164=""),"",IF(L164*H164&lt;=0,"",IFERROR(L164/H164-1,"")))</f>
        <v/>
      </c>
      <c r="M165" s="15">
        <f>IF(OR(M164="",I164=""),"",IF(M164*I164&lt;=0,"",IFERROR(M164/I164-1,"")))</f>
        <v/>
      </c>
      <c r="N165" s="15">
        <f>IF(OR(N164="",J164=""),"",IF(N164*J164&lt;=0,"",IFERROR(N164/J164-1,"")))</f>
        <v/>
      </c>
      <c r="T165" s="15">
        <f>IF(OR(T164="",S164=""),"",IF(T164*S164&lt;=0,"",IFERROR(T164/S164-1,"")))</f>
        <v/>
      </c>
      <c r="U165" s="15">
        <f>IF(OR(U164="",T164=""),"",IF(U164*T164&lt;=0,"",IFERROR(U164/T164-1,"")))</f>
        <v/>
      </c>
      <c r="V165" s="15">
        <f>IF(OR(V164="",U164=""),"",IF(V164*U164&lt;=0,"",IFERROR(V164/U164-1,"")))</f>
        <v/>
      </c>
      <c r="W165" s="15">
        <f>IF(OR(W164="",V164=""),"",IF(W164*V164&lt;=0,"",IFERROR(W164/V164-1,"")))</f>
        <v/>
      </c>
      <c r="X165" s="15">
        <f>IF(OR(X164="",W164=""),"",IF(X164*W164&lt;=0,"",IFERROR(X164/W164-1,"")))</f>
        <v/>
      </c>
    </row>
    <row r="166">
      <c r="A166" s="9" t="inlineStr">
        <is>
          <t>순이익</t>
        </is>
      </c>
      <c r="C166" s="12" t="n">
        <v>2440</v>
      </c>
      <c r="D166" s="12" t="n">
        <v>2356</v>
      </c>
      <c r="E166" s="12" t="n">
        <v>2749</v>
      </c>
      <c r="F166" s="12" t="n">
        <v>3052</v>
      </c>
      <c r="G166" s="12" t="n">
        <v>2379</v>
      </c>
      <c r="H166" s="12" t="n">
        <v>3913</v>
      </c>
      <c r="I166" s="12" t="n">
        <v>2474</v>
      </c>
      <c r="J166" s="12" t="n">
        <v>3721</v>
      </c>
      <c r="K166" s="12" t="n">
        <v>3513</v>
      </c>
      <c r="L166" s="12" t="n">
        <v>3853</v>
      </c>
      <c r="M166" s="12" t="n">
        <v>3647</v>
      </c>
      <c r="N166" s="12" t="n">
        <v>3163</v>
      </c>
      <c r="T166" s="12" t="n">
        <v>3574</v>
      </c>
      <c r="U166" s="12" t="n">
        <v>1531</v>
      </c>
      <c r="V166" s="12" t="n">
        <v>2749</v>
      </c>
      <c r="W166" s="12" t="n">
        <v>2474</v>
      </c>
      <c r="X166" s="12" t="n">
        <v>3647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T167" s="15">
        <f>IF(OR(T166="",S166=""),"",IF(S166&lt;=0,"",IFERROR(T166/S166-1,"")))</f>
        <v/>
      </c>
      <c r="U167" s="15">
        <f>IF(OR(U166="",T166=""),"",IF(T166&lt;=0,"",IFERROR(U166/T166-1,"")))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9" t="inlineStr">
        <is>
          <t>비지배주주 순이익</t>
        </is>
      </c>
      <c r="C168" s="12" t="n">
        <v>-2</v>
      </c>
      <c r="D168" s="12" t="n">
        <v>29</v>
      </c>
      <c r="E168" s="12" t="n">
        <v>21</v>
      </c>
      <c r="F168" s="12" t="n">
        <v>-19</v>
      </c>
      <c r="G168" s="12" t="n">
        <v>54</v>
      </c>
      <c r="H168" s="12" t="n">
        <v>-2</v>
      </c>
      <c r="I168" s="12" t="n">
        <v>-315</v>
      </c>
      <c r="J168" s="12" t="n">
        <v>61</v>
      </c>
      <c r="K168" s="12" t="n">
        <v>-70</v>
      </c>
      <c r="L168" s="12" t="n">
        <v>-30</v>
      </c>
      <c r="M168" s="12" t="n">
        <v>84</v>
      </c>
      <c r="N168" s="12" t="n">
        <v>8</v>
      </c>
      <c r="T168" s="12" t="n">
        <v>943</v>
      </c>
      <c r="U168" s="12" t="n">
        <v>1409</v>
      </c>
      <c r="V168" s="12" t="n">
        <v>21</v>
      </c>
      <c r="W168" s="12" t="n">
        <v>-315</v>
      </c>
      <c r="X168" s="12" t="n">
        <v>84</v>
      </c>
    </row>
    <row r="169">
      <c r="A169" s="9" t="inlineStr">
        <is>
          <t>지배주주 순이익</t>
        </is>
      </c>
      <c r="C169" s="12" t="n">
        <v>2441</v>
      </c>
      <c r="D169" s="12" t="n">
        <v>2328</v>
      </c>
      <c r="E169" s="12" t="n">
        <v>2728</v>
      </c>
      <c r="F169" s="12" t="n">
        <v>3071</v>
      </c>
      <c r="G169" s="12" t="n">
        <v>2325</v>
      </c>
      <c r="H169" s="12" t="n">
        <v>3915</v>
      </c>
      <c r="I169" s="12" t="n">
        <v>2789</v>
      </c>
      <c r="J169" s="12" t="n">
        <v>3660</v>
      </c>
      <c r="K169" s="12" t="n">
        <v>3584</v>
      </c>
      <c r="L169" s="12" t="n">
        <v>3883</v>
      </c>
      <c r="M169" s="12" t="n">
        <v>3561</v>
      </c>
      <c r="N169" s="12" t="n">
        <v>3155</v>
      </c>
      <c r="T169" s="12" t="n">
        <v>2631</v>
      </c>
      <c r="U169" s="12" t="n">
        <v>121</v>
      </c>
      <c r="V169" s="12" t="n">
        <v>2728</v>
      </c>
      <c r="W169" s="12" t="n">
        <v>2789</v>
      </c>
      <c r="X169" s="12" t="n">
        <v>3561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T170" s="15">
        <f>IF(OR(T169="",S169=""),"",IF(S169&lt;=0,"",IFERROR(T169/S169-1,"")))</f>
        <v/>
      </c>
      <c r="U170" s="15">
        <f>IF(OR(U169="",T169=""),"",IF(T169&lt;=0,"",IFERROR(U169/T169-1,"")))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Commission Received ORSEC</t>
        </is>
      </c>
      <c r="T171" s="20" t="n">
        <v>334</v>
      </c>
      <c r="U171" s="20" t="n">
        <v>0</v>
      </c>
    </row>
    <row r="172">
      <c r="A172" s="18" t="inlineStr">
        <is>
          <t>Net Trading Income ORSEC</t>
        </is>
      </c>
      <c r="T172" s="20" t="n">
        <v>314</v>
      </c>
      <c r="U172" s="20" t="n">
        <v>0</v>
      </c>
    </row>
    <row r="173">
      <c r="A173" s="18" t="inlineStr">
        <is>
          <t>금융수익</t>
        </is>
      </c>
      <c r="T173" s="20" t="n">
        <v>104</v>
      </c>
      <c r="U173" s="20" t="n">
        <v>0</v>
      </c>
    </row>
    <row r="175">
      <c r="A175" s="16" t="inlineStr">
        <is>
          <t>포괄손익 · 전 항목</t>
        </is>
      </c>
      <c r="B175" s="42" t="inlineStr">
        <is>
          <t>분기 = 3개월 단독</t>
        </is>
      </c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</row>
    <row r="176">
      <c r="A176" s="5" t="inlineStr">
        <is>
          <t>항목</t>
        </is>
      </c>
      <c r="B176" s="5" t="inlineStr">
        <is>
          <t>참고</t>
        </is>
      </c>
      <c r="C176" s="5" t="inlineStr">
        <is>
          <t>2024.2Q</t>
        </is>
      </c>
      <c r="D176" s="5" t="inlineStr">
        <is>
          <t>2024.3Q</t>
        </is>
      </c>
      <c r="E176" s="5" t="inlineStr">
        <is>
          <t>2024.4Q</t>
        </is>
      </c>
      <c r="F176" s="5" t="inlineStr">
        <is>
          <t>2025.1Q</t>
        </is>
      </c>
      <c r="G176" s="5" t="inlineStr">
        <is>
          <t>2025.2Q</t>
        </is>
      </c>
      <c r="H176" s="5" t="inlineStr">
        <is>
          <t>2025.3Q</t>
        </is>
      </c>
      <c r="I176" s="5" t="inlineStr">
        <is>
          <t>2025.4Q</t>
        </is>
      </c>
      <c r="J176" s="5" t="inlineStr">
        <is>
          <t>2026.1Q</t>
        </is>
      </c>
      <c r="K176" s="5" t="inlineStr">
        <is>
          <t>2026.2Q</t>
        </is>
      </c>
      <c r="L176" s="5" t="inlineStr">
        <is>
          <t>2026.3Q</t>
        </is>
      </c>
      <c r="M176" s="5" t="inlineStr">
        <is>
          <t>2026.4Q</t>
        </is>
      </c>
      <c r="N176" s="5" t="inlineStr">
        <is>
          <t>2027.1Q</t>
        </is>
      </c>
      <c r="O176" s="5" t="inlineStr">
        <is>
          <t>2017</t>
        </is>
      </c>
      <c r="P176" s="5" t="inlineStr">
        <is>
          <t>2018</t>
        </is>
      </c>
      <c r="Q176" s="5" t="inlineStr">
        <is>
          <t>2019</t>
        </is>
      </c>
      <c r="R176" s="5" t="inlineStr">
        <is>
          <t>2020</t>
        </is>
      </c>
      <c r="S176" s="5" t="inlineStr">
        <is>
          <t>2021</t>
        </is>
      </c>
      <c r="T176" s="5" t="inlineStr">
        <is>
          <t>2022</t>
        </is>
      </c>
      <c r="U176" s="5" t="inlineStr">
        <is>
          <t>2023</t>
        </is>
      </c>
      <c r="V176" s="5" t="inlineStr">
        <is>
          <t>2024</t>
        </is>
      </c>
      <c r="W176" s="5" t="inlineStr">
        <is>
          <t>2025</t>
        </is>
      </c>
      <c r="X176" s="5" t="inlineStr">
        <is>
          <t>2026</t>
        </is>
      </c>
      <c r="Y176" s="5" t="inlineStr">
        <is>
          <t>2027(MW)</t>
        </is>
      </c>
      <c r="Z176" s="5" t="inlineStr">
        <is>
          <t>2028(MW)</t>
        </is>
      </c>
      <c r="AA176" s="5" t="inlineStr">
        <is>
          <t>2029(MW)</t>
        </is>
      </c>
      <c r="AB176" s="5" t="inlineStr">
        <is>
          <t>2030(MW)</t>
        </is>
      </c>
      <c r="AC176" s="5" t="inlineStr">
        <is>
          <t>2031(MW)</t>
        </is>
      </c>
    </row>
    <row r="177">
      <c r="A177" s="9" t="inlineStr">
        <is>
          <t>순이익</t>
        </is>
      </c>
      <c r="C177" s="12" t="n">
        <v>2440</v>
      </c>
      <c r="D177" s="12" t="n">
        <v>2356</v>
      </c>
      <c r="E177" s="12" t="n">
        <v>2749</v>
      </c>
      <c r="F177" s="12" t="n">
        <v>3052</v>
      </c>
      <c r="G177" s="12" t="n">
        <v>2379</v>
      </c>
      <c r="H177" s="12" t="n">
        <v>3913</v>
      </c>
      <c r="I177" s="12" t="n">
        <v>2474</v>
      </c>
      <c r="J177" s="12" t="n">
        <v>3721</v>
      </c>
      <c r="K177" s="12" t="n">
        <v>3513</v>
      </c>
      <c r="L177" s="12" t="n">
        <v>3853</v>
      </c>
      <c r="M177" s="12" t="n">
        <v>3647</v>
      </c>
      <c r="N177" s="12" t="n">
        <v>3163</v>
      </c>
      <c r="T177" s="12" t="n">
        <v>3574</v>
      </c>
      <c r="U177" s="12" t="n">
        <v>1531</v>
      </c>
      <c r="V177" s="12" t="n">
        <v>2749</v>
      </c>
      <c r="W177" s="12" t="n">
        <v>2474</v>
      </c>
      <c r="X177" s="12" t="n">
        <v>3647</v>
      </c>
    </row>
    <row r="178">
      <c r="A178" s="18" t="inlineStr">
        <is>
          <t>기타유가증권 평가차액</t>
        </is>
      </c>
      <c r="C178" s="20" t="n">
        <v>261</v>
      </c>
      <c r="D178" s="20" t="n">
        <v>28</v>
      </c>
      <c r="E178" s="20" t="n">
        <v>1151</v>
      </c>
      <c r="F178" s="20" t="n">
        <v>-381</v>
      </c>
      <c r="G178" s="20" t="n">
        <v>-794</v>
      </c>
      <c r="H178" s="20" t="n">
        <v>514</v>
      </c>
      <c r="I178" s="20" t="n">
        <v>-602</v>
      </c>
      <c r="J178" s="20" t="n">
        <v>10</v>
      </c>
      <c r="K178" s="20" t="n">
        <v>137</v>
      </c>
      <c r="L178" s="20" t="n">
        <v>-52</v>
      </c>
      <c r="M178" s="20" t="n">
        <v>18</v>
      </c>
      <c r="N178" s="20" t="n">
        <v>-18</v>
      </c>
      <c r="T178" s="20" t="n">
        <v>-603</v>
      </c>
      <c r="U178" s="20" t="n">
        <v>248</v>
      </c>
      <c r="V178" s="20" t="n">
        <v>1151</v>
      </c>
      <c r="W178" s="20" t="n">
        <v>-602</v>
      </c>
      <c r="X178" s="20" t="n">
        <v>18</v>
      </c>
    </row>
    <row r="179">
      <c r="A179" s="18" t="inlineStr">
        <is>
          <t>이연헤지손익</t>
        </is>
      </c>
      <c r="C179" s="20" t="n">
        <v>-9</v>
      </c>
      <c r="D179" s="20" t="n">
        <v>-3</v>
      </c>
      <c r="E179" s="20" t="n">
        <v>-20</v>
      </c>
      <c r="F179" s="20" t="n">
        <v>-5</v>
      </c>
      <c r="G179" s="20" t="n">
        <v>-7</v>
      </c>
      <c r="H179" s="20" t="n">
        <v>-2</v>
      </c>
      <c r="I179" s="20" t="n">
        <v>7</v>
      </c>
      <c r="J179" s="20" t="n">
        <v>11</v>
      </c>
      <c r="K179" s="20" t="n">
        <v>0</v>
      </c>
      <c r="L179" s="20" t="n">
        <v>5</v>
      </c>
      <c r="M179" s="20" t="n">
        <v>1</v>
      </c>
      <c r="N179" s="20" t="n">
        <v>1</v>
      </c>
      <c r="T179" s="20" t="n">
        <v>-39</v>
      </c>
      <c r="U179" s="20" t="n">
        <v>-128</v>
      </c>
      <c r="V179" s="20" t="n">
        <v>-20</v>
      </c>
      <c r="W179" s="20" t="n">
        <v>7</v>
      </c>
      <c r="X179" s="20" t="n">
        <v>1</v>
      </c>
    </row>
    <row r="180">
      <c r="A180" s="18" t="inlineStr">
        <is>
          <t>해외사업환산조정</t>
        </is>
      </c>
      <c r="C180" s="20" t="n">
        <v>-540</v>
      </c>
      <c r="D180" s="20" t="n">
        <v>-113</v>
      </c>
      <c r="E180" s="20" t="n">
        <v>236</v>
      </c>
      <c r="F180" s="20" t="n">
        <v>-618</v>
      </c>
      <c r="G180" s="20" t="n">
        <v>-341</v>
      </c>
      <c r="H180" s="20" t="n">
        <v>897</v>
      </c>
      <c r="I180" s="20" t="n">
        <v>-681</v>
      </c>
      <c r="J180" s="20" t="n">
        <v>801</v>
      </c>
      <c r="K180" s="20" t="n">
        <v>468</v>
      </c>
      <c r="L180" s="20" t="n">
        <v>-184</v>
      </c>
      <c r="M180" s="20" t="n">
        <v>-613</v>
      </c>
      <c r="N180" s="20" t="n">
        <v>-163</v>
      </c>
      <c r="T180" s="20" t="n">
        <v>1099</v>
      </c>
      <c r="U180" s="20" t="n">
        <v>-6277</v>
      </c>
      <c r="V180" s="20" t="n">
        <v>236</v>
      </c>
      <c r="W180" s="20" t="n">
        <v>-681</v>
      </c>
      <c r="X180" s="20" t="n">
        <v>-613</v>
      </c>
    </row>
    <row r="181">
      <c r="A181" s="18" t="inlineStr">
        <is>
          <t>지분법 적용회사 지분 해당액</t>
        </is>
      </c>
      <c r="C181" s="20" t="n">
        <v>3630</v>
      </c>
      <c r="D181" s="20" t="n">
        <v>687</v>
      </c>
      <c r="E181" s="20" t="n">
        <v>-1409</v>
      </c>
      <c r="F181" s="20" t="n">
        <v>3762</v>
      </c>
      <c r="G181" s="20" t="n">
        <v>3126</v>
      </c>
      <c r="H181" s="20" t="n">
        <v>-6118</v>
      </c>
      <c r="I181" s="20" t="n">
        <v>4012</v>
      </c>
      <c r="J181" s="20" t="n">
        <v>-3834</v>
      </c>
      <c r="K181" s="20" t="n">
        <v>-2603</v>
      </c>
      <c r="L181" s="20" t="n">
        <v>1059</v>
      </c>
      <c r="M181" s="20" t="n">
        <v>4122</v>
      </c>
      <c r="N181" s="20" t="n">
        <v>802</v>
      </c>
      <c r="T181" s="20" t="n">
        <v>26</v>
      </c>
      <c r="U181" s="20" t="n">
        <v>-618</v>
      </c>
      <c r="V181" s="20" t="n">
        <v>-1409</v>
      </c>
      <c r="W181" s="20" t="n">
        <v>4012</v>
      </c>
      <c r="X181" s="20" t="n">
        <v>4122</v>
      </c>
    </row>
    <row r="182">
      <c r="A182" s="18" t="inlineStr">
        <is>
          <t>기타포괄손익 합계</t>
        </is>
      </c>
      <c r="C182" s="20" t="n">
        <v>3342</v>
      </c>
      <c r="D182" s="20" t="n">
        <v>599</v>
      </c>
      <c r="E182" s="20" t="n">
        <v>-41</v>
      </c>
      <c r="F182" s="20" t="n">
        <v>2757</v>
      </c>
      <c r="G182" s="20" t="n">
        <v>1983</v>
      </c>
      <c r="H182" s="20" t="n">
        <v>-4708</v>
      </c>
      <c r="I182" s="20" t="n">
        <v>2735</v>
      </c>
      <c r="J182" s="20" t="n">
        <v>-3011</v>
      </c>
      <c r="K182" s="20" t="n">
        <v>-1997</v>
      </c>
      <c r="L182" s="20" t="n">
        <v>827</v>
      </c>
      <c r="M182" s="20" t="n">
        <v>3529</v>
      </c>
      <c r="N182" s="20" t="n">
        <v>621</v>
      </c>
      <c r="T182" s="20" t="n">
        <v>483</v>
      </c>
      <c r="U182" s="20" t="n">
        <v>-6775</v>
      </c>
      <c r="V182" s="20" t="n">
        <v>-41</v>
      </c>
      <c r="W182" s="20" t="n">
        <v>2735</v>
      </c>
      <c r="X182" s="20" t="n">
        <v>3529</v>
      </c>
    </row>
    <row r="183">
      <c r="A183" s="9" t="inlineStr">
        <is>
          <t>포괄이익</t>
        </is>
      </c>
      <c r="C183" s="12" t="n">
        <v>5784</v>
      </c>
      <c r="D183" s="12" t="n">
        <v>2954</v>
      </c>
      <c r="E183" s="12" t="n">
        <v>2709</v>
      </c>
      <c r="F183" s="12" t="n">
        <v>5809</v>
      </c>
      <c r="G183" s="12" t="n">
        <v>4363</v>
      </c>
      <c r="H183" s="12" t="n">
        <v>-796</v>
      </c>
      <c r="I183" s="12" t="n">
        <v>5209</v>
      </c>
      <c r="J183" s="12" t="n">
        <v>710</v>
      </c>
      <c r="K183" s="12" t="n">
        <v>1515</v>
      </c>
      <c r="L183" s="12" t="n">
        <v>4681</v>
      </c>
      <c r="M183" s="12" t="n">
        <v>7175</v>
      </c>
      <c r="N183" s="12" t="n">
        <v>3785</v>
      </c>
      <c r="T183" s="12" t="n">
        <v>4057</v>
      </c>
      <c r="U183" s="12" t="n">
        <v>-5246</v>
      </c>
      <c r="V183" s="12" t="n">
        <v>2709</v>
      </c>
      <c r="W183" s="12" t="n">
        <v>5209</v>
      </c>
      <c r="X183" s="12" t="n">
        <v>7175</v>
      </c>
    </row>
    <row r="184">
      <c r="A184" s="9" t="inlineStr">
        <is>
          <t>지배주주 포괄이익</t>
        </is>
      </c>
      <c r="C184" s="12" t="n">
        <v>5737</v>
      </c>
      <c r="D184" s="12" t="n">
        <v>2912</v>
      </c>
      <c r="E184" s="12" t="n">
        <v>2717</v>
      </c>
      <c r="F184" s="12" t="n">
        <v>5793</v>
      </c>
      <c r="G184" s="12" t="n">
        <v>4247</v>
      </c>
      <c r="H184" s="12" t="n">
        <v>-736</v>
      </c>
      <c r="I184" s="12" t="n">
        <v>5499</v>
      </c>
      <c r="J184" s="12" t="n">
        <v>653</v>
      </c>
      <c r="K184" s="12" t="n">
        <v>1610</v>
      </c>
      <c r="L184" s="12" t="n">
        <v>4695</v>
      </c>
      <c r="M184" s="12" t="n">
        <v>7066</v>
      </c>
      <c r="N184" s="12" t="n">
        <v>3764</v>
      </c>
      <c r="T184" s="12" t="n">
        <v>2659</v>
      </c>
      <c r="U184" s="12" t="n">
        <v>-3725</v>
      </c>
      <c r="V184" s="12" t="n">
        <v>2717</v>
      </c>
      <c r="W184" s="12" t="n">
        <v>5499</v>
      </c>
      <c r="X184" s="12" t="n">
        <v>7066</v>
      </c>
    </row>
    <row r="185">
      <c r="A185" s="9" t="inlineStr">
        <is>
          <t>비지배주주 포괄이익</t>
        </is>
      </c>
      <c r="C185" s="12" t="n">
        <v>46</v>
      </c>
      <c r="D185" s="12" t="n">
        <v>43</v>
      </c>
      <c r="E185" s="12" t="n">
        <v>-9</v>
      </c>
      <c r="F185" s="12" t="n">
        <v>15</v>
      </c>
      <c r="G185" s="12" t="n">
        <v>116</v>
      </c>
      <c r="H185" s="12" t="n">
        <v>-59</v>
      </c>
      <c r="I185" s="12" t="n">
        <v>-289</v>
      </c>
      <c r="J185" s="12" t="n">
        <v>57</v>
      </c>
      <c r="K185" s="12" t="n">
        <v>-94</v>
      </c>
      <c r="L185" s="12" t="n">
        <v>-14</v>
      </c>
      <c r="M185" s="12" t="n">
        <v>107</v>
      </c>
      <c r="N185" s="12" t="n">
        <v>20</v>
      </c>
      <c r="T185" s="12" t="n">
        <v>1398</v>
      </c>
      <c r="U185" s="12" t="n">
        <v>-1520</v>
      </c>
      <c r="V185" s="12" t="n">
        <v>-9</v>
      </c>
      <c r="W185" s="12" t="n">
        <v>-289</v>
      </c>
      <c r="X185" s="12" t="n">
        <v>107</v>
      </c>
    </row>
    <row r="187">
      <c r="A187" s="16" t="inlineStr">
        <is>
          <t>부문 · 전 항목</t>
        </is>
      </c>
      <c r="B187" s="42" t="inlineStr">
        <is>
          <t>부문 · 항목</t>
        </is>
      </c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</row>
    <row r="188">
      <c r="A188" s="5" t="inlineStr">
        <is>
          <t>항목</t>
        </is>
      </c>
      <c r="B188" s="5" t="inlineStr">
        <is>
          <t>참고</t>
        </is>
      </c>
      <c r="C188" s="5" t="inlineStr">
        <is>
          <t>2024.2Q</t>
        </is>
      </c>
      <c r="D188" s="5" t="inlineStr">
        <is>
          <t>2024.3Q</t>
        </is>
      </c>
      <c r="E188" s="5" t="inlineStr">
        <is>
          <t>2024.4Q</t>
        </is>
      </c>
      <c r="F188" s="5" t="inlineStr">
        <is>
          <t>2025.1Q</t>
        </is>
      </c>
      <c r="G188" s="5" t="inlineStr">
        <is>
          <t>2025.2Q</t>
        </is>
      </c>
      <c r="H188" s="5" t="inlineStr">
        <is>
          <t>2025.3Q</t>
        </is>
      </c>
      <c r="I188" s="5" t="inlineStr">
        <is>
          <t>2025.4Q</t>
        </is>
      </c>
      <c r="J188" s="5" t="inlineStr">
        <is>
          <t>2026.1Q</t>
        </is>
      </c>
      <c r="K188" s="5" t="inlineStr">
        <is>
          <t>2026.2Q</t>
        </is>
      </c>
      <c r="L188" s="5" t="inlineStr">
        <is>
          <t>2026.3Q</t>
        </is>
      </c>
      <c r="M188" s="5" t="inlineStr">
        <is>
          <t>2026.4Q</t>
        </is>
      </c>
      <c r="N188" s="5" t="inlineStr">
        <is>
          <t>2027.1Q</t>
        </is>
      </c>
      <c r="O188" s="5" t="inlineStr">
        <is>
          <t>2017</t>
        </is>
      </c>
      <c r="P188" s="5" t="inlineStr">
        <is>
          <t>2018</t>
        </is>
      </c>
      <c r="Q188" s="5" t="inlineStr">
        <is>
          <t>2019</t>
        </is>
      </c>
      <c r="R188" s="5" t="inlineStr">
        <is>
          <t>2020</t>
        </is>
      </c>
      <c r="S188" s="5" t="inlineStr">
        <is>
          <t>2021</t>
        </is>
      </c>
      <c r="T188" s="5" t="inlineStr">
        <is>
          <t>2022</t>
        </is>
      </c>
      <c r="U188" s="5" t="inlineStr">
        <is>
          <t>2023</t>
        </is>
      </c>
      <c r="V188" s="5" t="inlineStr">
        <is>
          <t>2024</t>
        </is>
      </c>
      <c r="W188" s="5" t="inlineStr">
        <is>
          <t>2025</t>
        </is>
      </c>
      <c r="X188" s="5" t="inlineStr">
        <is>
          <t>2026</t>
        </is>
      </c>
      <c r="Y188" s="5" t="inlineStr">
        <is>
          <t>2027(MW)</t>
        </is>
      </c>
      <c r="Z188" s="5" t="inlineStr">
        <is>
          <t>2028(MW)</t>
        </is>
      </c>
      <c r="AA188" s="5" t="inlineStr">
        <is>
          <t>2029(MW)</t>
        </is>
      </c>
      <c r="AB188" s="5" t="inlineStr">
        <is>
          <t>2030(MW)</t>
        </is>
      </c>
      <c r="AC188" s="5" t="inlineStr">
        <is>
          <t>2031(MW)</t>
        </is>
      </c>
    </row>
    <row r="189">
      <c r="A189" s="18" t="inlineStr">
        <is>
          <t>BankingBusinessReportableSegmentMember · Revenues From External Customers</t>
        </is>
      </c>
      <c r="C189" s="20" t="n">
        <v>501</v>
      </c>
      <c r="D189" s="20" t="n">
        <v>560</v>
      </c>
      <c r="E189" s="20" t="n">
        <v>679</v>
      </c>
      <c r="F189" s="20" t="n">
        <v>738</v>
      </c>
      <c r="G189" s="20" t="n">
        <v>866</v>
      </c>
      <c r="H189" s="20" t="n">
        <v>614</v>
      </c>
      <c r="I189" s="20" t="n">
        <v>690</v>
      </c>
      <c r="J189" s="20" t="n">
        <v>663</v>
      </c>
      <c r="K189" s="20" t="n">
        <v>594</v>
      </c>
      <c r="L189" s="20" t="n">
        <v>602</v>
      </c>
      <c r="M189" s="20" t="n">
        <v>756</v>
      </c>
      <c r="N189" s="20" t="n">
        <v>747</v>
      </c>
      <c r="V189" s="20" t="n">
        <v>679</v>
      </c>
      <c r="W189" s="20" t="n">
        <v>690</v>
      </c>
      <c r="X189" s="20" t="n">
        <v>756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ReuseBusinessReportableSegmentMember · Revenues From External Customers</t>
        </is>
      </c>
      <c r="C191" s="20" t="n">
        <v>6657</v>
      </c>
      <c r="D191" s="20" t="n">
        <v>7624</v>
      </c>
      <c r="E191" s="20" t="n">
        <v>7874</v>
      </c>
      <c r="F191" s="20" t="n">
        <v>8386</v>
      </c>
      <c r="G191" s="20" t="n">
        <v>8752</v>
      </c>
      <c r="H191" s="20" t="n">
        <v>8455</v>
      </c>
      <c r="I191" s="20" t="n">
        <v>9252</v>
      </c>
      <c r="J191" s="20" t="n">
        <v>8955</v>
      </c>
      <c r="K191" s="20" t="n">
        <v>14921</v>
      </c>
      <c r="L191" s="20" t="n">
        <v>15588</v>
      </c>
      <c r="M191" s="20" t="n">
        <v>15785</v>
      </c>
      <c r="N191" s="20" t="n">
        <v>16190</v>
      </c>
      <c r="V191" s="20" t="n">
        <v>7874</v>
      </c>
      <c r="W191" s="20" t="n">
        <v>9252</v>
      </c>
      <c r="X191" s="20" t="n">
        <v>15785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OtherReportableSegmentsMember · Revenues From External Customers</t>
        </is>
      </c>
      <c r="C193" s="20" t="n">
        <v>3</v>
      </c>
      <c r="D193" s="20" t="n">
        <v>4</v>
      </c>
      <c r="F193" s="20" t="n">
        <v>2</v>
      </c>
      <c r="G193" s="20" t="n">
        <v>3</v>
      </c>
      <c r="H193" s="20" t="n">
        <v>3</v>
      </c>
      <c r="J193" s="20" t="n">
        <v>3</v>
      </c>
      <c r="K193" s="20" t="n">
        <v>3</v>
      </c>
      <c r="L193" s="20" t="n">
        <v>4</v>
      </c>
      <c r="N193" s="20" t="n">
        <v>4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L194" s="15">
        <f>IF(OR(L193="",H193=""),"",IF(H193&lt;=0,"",IFERROR(L193/H193-1,"")))</f>
        <v/>
      </c>
      <c r="N194" s="15">
        <f>IF(OR(N193="",J193=""),"",IF(J193&lt;=0,"",IFERROR(N193/J193-1,"")))</f>
        <v/>
      </c>
    </row>
    <row r="195">
      <c r="A195" s="18" t="inlineStr">
        <is>
          <t>보고부문 합계 · Revenues From External Customers</t>
        </is>
      </c>
      <c r="C195" s="20" t="n">
        <v>7162</v>
      </c>
      <c r="D195" s="20" t="n">
        <v>8187</v>
      </c>
      <c r="E195" s="20" t="n">
        <v>8554</v>
      </c>
      <c r="F195" s="20" t="n">
        <v>9127</v>
      </c>
      <c r="G195" s="20" t="n">
        <v>9622</v>
      </c>
      <c r="H195" s="20" t="n">
        <v>9071</v>
      </c>
      <c r="I195" s="20" t="n">
        <v>9946</v>
      </c>
      <c r="J195" s="20" t="n">
        <v>9622</v>
      </c>
      <c r="K195" s="20" t="n">
        <v>15518</v>
      </c>
      <c r="L195" s="20" t="n">
        <v>16194</v>
      </c>
      <c r="M195" s="20" t="n">
        <v>16545</v>
      </c>
      <c r="N195" s="20" t="n">
        <v>16941</v>
      </c>
      <c r="V195" s="20" t="n">
        <v>8554</v>
      </c>
      <c r="W195" s="20" t="n">
        <v>9946</v>
      </c>
      <c r="X195" s="20" t="n">
        <v>16545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M196" s="15">
        <f>IF(OR(M195="",I195=""),"",IF(I195&lt;=0,"",IFERROR(M195/I195-1,"")))</f>
        <v/>
      </c>
      <c r="N196" s="15">
        <f>IF(OR(N195="",J195=""),"",IF(J195&lt;=0,"",IFERROR(N195/J195-1,"")))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조정액 · Revenues From External Customers</t>
        </is>
      </c>
      <c r="C197" s="20" t="n">
        <v>0</v>
      </c>
      <c r="D197" s="20" t="n">
        <v>0</v>
      </c>
      <c r="E197" s="20" t="n">
        <v>0</v>
      </c>
      <c r="F197" s="20" t="n">
        <v>0</v>
      </c>
      <c r="G197" s="20" t="n">
        <v>0</v>
      </c>
      <c r="H197" s="20" t="n">
        <v>0</v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0</v>
      </c>
      <c r="V197" s="20" t="n">
        <v>0</v>
      </c>
      <c r="W197" s="20" t="n">
        <v>0</v>
      </c>
      <c r="X197" s="20" t="n">
        <v>0</v>
      </c>
    </row>
    <row r="198">
      <c r="A198" s="9" t="inlineStr">
        <is>
          <t>Revenues From External Customers</t>
        </is>
      </c>
      <c r="C198" s="12" t="n">
        <v>7162</v>
      </c>
      <c r="D198" s="12" t="n">
        <v>8187</v>
      </c>
      <c r="E198" s="12" t="n">
        <v>8554</v>
      </c>
      <c r="F198" s="12" t="n">
        <v>9127</v>
      </c>
      <c r="G198" s="12" t="n">
        <v>9622</v>
      </c>
      <c r="H198" s="12" t="n">
        <v>9071</v>
      </c>
      <c r="I198" s="12" t="n">
        <v>9946</v>
      </c>
      <c r="V198" s="12" t="n">
        <v>8554</v>
      </c>
      <c r="W198" s="12" t="n">
        <v>9946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</row>
    <row r="200">
      <c r="A200" s="18" t="inlineStr">
        <is>
          <t>EntityTotalMember · Revenues From External Customers</t>
        </is>
      </c>
      <c r="F200" s="20" t="n">
        <v>9127</v>
      </c>
      <c r="J200" s="20" t="n">
        <v>9622</v>
      </c>
      <c r="N200" s="20" t="n">
        <v>16941</v>
      </c>
    </row>
    <row r="201">
      <c r="A201" s="18" t="inlineStr">
        <is>
          <t>BankingBusinessReportableSegmentMember · Transactions With Other Segments</t>
        </is>
      </c>
      <c r="C201" s="20" t="n">
        <v>0</v>
      </c>
      <c r="D201" s="20" t="n">
        <v>0</v>
      </c>
      <c r="E201" s="20" t="n">
        <v>0</v>
      </c>
      <c r="F201" s="20" t="n">
        <v>0</v>
      </c>
      <c r="G201" s="20" t="n">
        <v>0</v>
      </c>
      <c r="H201" s="20" t="n">
        <v>0</v>
      </c>
      <c r="I201" s="20" t="n">
        <v>0</v>
      </c>
      <c r="J201" s="20" t="n">
        <v>0</v>
      </c>
      <c r="K201" s="20" t="n">
        <v>0</v>
      </c>
      <c r="L201" s="20" t="n">
        <v>0</v>
      </c>
      <c r="M201" s="20" t="n">
        <v>0</v>
      </c>
      <c r="N201" s="20" t="n">
        <v>0</v>
      </c>
      <c r="V201" s="20" t="n">
        <v>0</v>
      </c>
      <c r="W201" s="20" t="n">
        <v>0</v>
      </c>
      <c r="X201" s="20" t="n">
        <v>0</v>
      </c>
    </row>
    <row r="202">
      <c r="A202" s="18" t="inlineStr">
        <is>
          <t>ReuseBusinessReportableSegmentMember · Transactions With Other Segments</t>
        </is>
      </c>
      <c r="C202" s="20" t="n">
        <v>0</v>
      </c>
      <c r="D202" s="20" t="n">
        <v>0</v>
      </c>
      <c r="E202" s="20" t="n">
        <v>0</v>
      </c>
      <c r="F202" s="20" t="n">
        <v>0</v>
      </c>
      <c r="G202" s="20" t="n">
        <v>0</v>
      </c>
      <c r="H202" s="20" t="n">
        <v>0</v>
      </c>
      <c r="I202" s="20" t="n">
        <v>0</v>
      </c>
      <c r="J202" s="20" t="n">
        <v>0</v>
      </c>
      <c r="K202" s="20" t="n">
        <v>0</v>
      </c>
      <c r="L202" s="20" t="n">
        <v>0</v>
      </c>
      <c r="M202" s="20" t="n">
        <v>1</v>
      </c>
      <c r="N202" s="20" t="n">
        <v>0</v>
      </c>
      <c r="V202" s="20" t="n">
        <v>0</v>
      </c>
      <c r="W202" s="20" t="n">
        <v>0</v>
      </c>
      <c r="X202" s="20" t="n">
        <v>1</v>
      </c>
    </row>
    <row r="203">
      <c r="A203" s="18" t="inlineStr">
        <is>
          <t>OtherReportableSegmentsMember · Transactions With Other Segments</t>
        </is>
      </c>
      <c r="C203" s="20" t="n">
        <v>1</v>
      </c>
      <c r="D203" s="20" t="n">
        <v>0</v>
      </c>
      <c r="F203" s="20" t="n">
        <v>6170</v>
      </c>
      <c r="G203" s="20" t="n">
        <v>1</v>
      </c>
      <c r="H203" s="20" t="n">
        <v>0</v>
      </c>
      <c r="J203" s="20" t="n">
        <v>7473</v>
      </c>
      <c r="K203" s="20" t="n">
        <v>0</v>
      </c>
      <c r="L203" s="20" t="n">
        <v>0</v>
      </c>
      <c r="N203" s="20" t="n">
        <v>0</v>
      </c>
    </row>
    <row r="204">
      <c r="A204" s="18" t="inlineStr">
        <is>
          <t>보고부문 합계 · Transactions With Other Segments</t>
        </is>
      </c>
      <c r="C204" s="20" t="n">
        <v>1</v>
      </c>
      <c r="D204" s="20" t="n">
        <v>0</v>
      </c>
      <c r="E204" s="20" t="n">
        <v>0</v>
      </c>
      <c r="F204" s="20" t="n">
        <v>6170</v>
      </c>
      <c r="G204" s="20" t="n">
        <v>1</v>
      </c>
      <c r="H204" s="20" t="n">
        <v>0</v>
      </c>
      <c r="I204" s="20" t="n">
        <v>1</v>
      </c>
      <c r="J204" s="20" t="n">
        <v>7473</v>
      </c>
      <c r="K204" s="20" t="n">
        <v>0</v>
      </c>
      <c r="L204" s="20" t="n">
        <v>0</v>
      </c>
      <c r="M204" s="20" t="n">
        <v>2</v>
      </c>
      <c r="N204" s="20" t="n">
        <v>0</v>
      </c>
      <c r="V204" s="20" t="n">
        <v>0</v>
      </c>
      <c r="W204" s="20" t="n">
        <v>1</v>
      </c>
      <c r="X204" s="20" t="n">
        <v>2</v>
      </c>
    </row>
    <row r="205">
      <c r="A205" s="18" t="inlineStr">
        <is>
          <t>조정액 · Transactions With Other Segments</t>
        </is>
      </c>
      <c r="C205" s="20" t="n">
        <v>-1</v>
      </c>
      <c r="D205" s="20" t="n">
        <v>0</v>
      </c>
      <c r="E205" s="20" t="n">
        <v>0</v>
      </c>
      <c r="F205" s="20" t="n">
        <v>-6170</v>
      </c>
      <c r="G205" s="20" t="n">
        <v>-1</v>
      </c>
      <c r="H205" s="20" t="n">
        <v>0</v>
      </c>
      <c r="I205" s="20" t="n">
        <v>-1</v>
      </c>
      <c r="J205" s="20" t="n">
        <v>-7473</v>
      </c>
      <c r="K205" s="20" t="n">
        <v>0</v>
      </c>
      <c r="L205" s="20" t="n">
        <v>0</v>
      </c>
      <c r="M205" s="20" t="n">
        <v>-2</v>
      </c>
      <c r="N205" s="20" t="n">
        <v>-0</v>
      </c>
      <c r="V205" s="20" t="n">
        <v>0</v>
      </c>
      <c r="W205" s="20" t="n">
        <v>-1</v>
      </c>
      <c r="X205" s="20" t="n">
        <v>-2</v>
      </c>
    </row>
    <row r="206">
      <c r="A206" s="18" t="inlineStr">
        <is>
          <t>Transactions With Other Segments</t>
        </is>
      </c>
      <c r="C206" s="20" t="n">
        <v>0</v>
      </c>
      <c r="D206" s="20" t="n">
        <v>0</v>
      </c>
      <c r="E206" s="20" t="n">
        <v>0</v>
      </c>
      <c r="F206" s="20" t="n">
        <v>0</v>
      </c>
      <c r="G206" s="20" t="n">
        <v>0</v>
      </c>
      <c r="H206" s="20" t="n">
        <v>0</v>
      </c>
      <c r="I206" s="20" t="n">
        <v>0</v>
      </c>
      <c r="V206" s="20" t="n">
        <v>0</v>
      </c>
      <c r="W206" s="20" t="n">
        <v>0</v>
      </c>
    </row>
    <row r="207">
      <c r="A207" s="18" t="inlineStr">
        <is>
          <t>EntityTotalMember · Transactions With Other Segments</t>
        </is>
      </c>
      <c r="F207" s="20" t="n">
        <v>0</v>
      </c>
      <c r="J207" s="20" t="n">
        <v>0</v>
      </c>
      <c r="N207" s="20" t="n">
        <v>0</v>
      </c>
    </row>
    <row r="208">
      <c r="A208" s="18" t="inlineStr">
        <is>
          <t>BankingBusinessReportableSegmentMember · 계</t>
        </is>
      </c>
      <c r="C208" s="20" t="n">
        <v>501</v>
      </c>
      <c r="D208" s="20" t="n">
        <v>560</v>
      </c>
      <c r="E208" s="20" t="n">
        <v>679</v>
      </c>
      <c r="F208" s="20" t="n">
        <v>738</v>
      </c>
      <c r="G208" s="20" t="n">
        <v>866</v>
      </c>
      <c r="H208" s="20" t="n">
        <v>614</v>
      </c>
      <c r="I208" s="20" t="n">
        <v>690</v>
      </c>
      <c r="J208" s="20" t="n">
        <v>663</v>
      </c>
      <c r="K208" s="20" t="n">
        <v>594</v>
      </c>
      <c r="L208" s="20" t="n">
        <v>602</v>
      </c>
      <c r="M208" s="20" t="n">
        <v>756</v>
      </c>
      <c r="N208" s="20" t="n">
        <v>747</v>
      </c>
      <c r="V208" s="20" t="n">
        <v>679</v>
      </c>
      <c r="W208" s="20" t="n">
        <v>690</v>
      </c>
      <c r="X208" s="20" t="n">
        <v>756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H209" s="15">
        <f>IF(OR(H208="",D208=""),"",IF(D208&lt;=0,"",IFERROR(H208/D208-1,"")))</f>
        <v/>
      </c>
      <c r="I209" s="15">
        <f>IF(OR(I208="",E208=""),"",IF(E208&lt;=0,"",IFERROR(I208/E208-1,"")))</f>
        <v/>
      </c>
      <c r="J209" s="15">
        <f>IF(OR(J208="",F208=""),"",IF(F208&lt;=0,"",IFERROR(J208/F208-1,"")))</f>
        <v/>
      </c>
      <c r="K209" s="15">
        <f>IF(OR(K208="",G208=""),"",IF(G208&lt;=0,"",IFERROR(K208/G208-1,"")))</f>
        <v/>
      </c>
      <c r="L209" s="15">
        <f>IF(OR(L208="",H208=""),"",IF(H208&lt;=0,"",IFERROR(L208/H208-1,"")))</f>
        <v/>
      </c>
      <c r="M209" s="15">
        <f>IF(OR(M208="",I208=""),"",IF(I208&lt;=0,"",IFERROR(M208/I208-1,"")))</f>
        <v/>
      </c>
      <c r="N209" s="15">
        <f>IF(OR(N208="",J208=""),"",IF(J208&lt;=0,"",IFERROR(N208/J208-1,"")))</f>
        <v/>
      </c>
      <c r="V209" s="15">
        <f>IF(OR(V208="",U208=""),"",IF(U208&lt;=0,"",IFERROR(V208/U208-1,"")))</f>
        <v/>
      </c>
      <c r="W209" s="15">
        <f>IF(OR(W208="",V208=""),"",IF(V208&lt;=0,"",IFERROR(W208/V208-1,"")))</f>
        <v/>
      </c>
      <c r="X209" s="15">
        <f>IF(OR(X208="",W208=""),"",IF(W208&lt;=0,"",IFERROR(X208/W208-1,"")))</f>
        <v/>
      </c>
    </row>
    <row r="210">
      <c r="A210" s="18" t="inlineStr">
        <is>
          <t>ReuseBusinessReportableSegmentMember · 계</t>
        </is>
      </c>
      <c r="C210" s="20" t="n">
        <v>6657</v>
      </c>
      <c r="D210" s="20" t="n">
        <v>7624</v>
      </c>
      <c r="E210" s="20" t="n">
        <v>7874</v>
      </c>
      <c r="F210" s="20" t="n">
        <v>8386</v>
      </c>
      <c r="G210" s="20" t="n">
        <v>8752</v>
      </c>
      <c r="H210" s="20" t="n">
        <v>8455</v>
      </c>
      <c r="I210" s="20" t="n">
        <v>9252</v>
      </c>
      <c r="J210" s="20" t="n">
        <v>8955</v>
      </c>
      <c r="K210" s="20" t="n">
        <v>14921</v>
      </c>
      <c r="L210" s="20" t="n">
        <v>15588</v>
      </c>
      <c r="M210" s="20" t="n">
        <v>15787</v>
      </c>
      <c r="N210" s="20" t="n">
        <v>16190</v>
      </c>
      <c r="V210" s="20" t="n">
        <v>7874</v>
      </c>
      <c r="W210" s="20" t="n">
        <v>9252</v>
      </c>
      <c r="X210" s="20" t="n">
        <v>15787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K211" s="15">
        <f>IF(OR(K210="",G210=""),"",IF(G210&lt;=0,"",IFERROR(K210/G210-1,"")))</f>
        <v/>
      </c>
      <c r="L211" s="15">
        <f>IF(OR(L210="",H210=""),"",IF(H210&lt;=0,"",IFERROR(L210/H210-1,"")))</f>
        <v/>
      </c>
      <c r="M211" s="15">
        <f>IF(OR(M210="",I210=""),"",IF(I210&lt;=0,"",IFERROR(M210/I210-1,"")))</f>
        <v/>
      </c>
      <c r="N211" s="15">
        <f>IF(OR(N210="",J210=""),"",IF(J210&lt;=0,"",IFERROR(N210/J210-1,"")))</f>
        <v/>
      </c>
      <c r="V211" s="15">
        <f>IF(OR(V210="",U210=""),"",IF(U210&lt;=0,"",IFERROR(V210/U210-1,"")))</f>
        <v/>
      </c>
      <c r="W211" s="15">
        <f>IF(OR(W210="",V210=""),"",IF(V210&lt;=0,"",IFERROR(W210/V210-1,"")))</f>
        <v/>
      </c>
      <c r="X211" s="15">
        <f>IF(OR(X210="",W210=""),"",IF(W210&lt;=0,"",IFERROR(X210/W210-1,"")))</f>
        <v/>
      </c>
    </row>
    <row r="212">
      <c r="A212" s="18" t="inlineStr">
        <is>
          <t>OtherReportableSegmentsMember · 계</t>
        </is>
      </c>
      <c r="C212" s="20" t="n">
        <v>3</v>
      </c>
      <c r="D212" s="20" t="n">
        <v>4</v>
      </c>
      <c r="F212" s="20" t="n">
        <v>6173</v>
      </c>
      <c r="G212" s="20" t="n">
        <v>3</v>
      </c>
      <c r="H212" s="20" t="n">
        <v>4</v>
      </c>
      <c r="J212" s="20" t="n">
        <v>7476</v>
      </c>
      <c r="K212" s="20" t="n">
        <v>4</v>
      </c>
      <c r="L212" s="20" t="n">
        <v>4</v>
      </c>
      <c r="N212" s="20" t="n">
        <v>4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IF(OR(G212="",C212=""),"",IF(C212&lt;=0,"",IFERROR(G212/C212-1,"")))</f>
        <v/>
      </c>
      <c r="H213" s="15">
        <f>IF(OR(H212="",D212=""),"",IF(D212&lt;=0,"",IFERROR(H212/D212-1,"")))</f>
        <v/>
      </c>
      <c r="J213" s="15">
        <f>IF(OR(J212="",F212=""),"",IF(F212&lt;=0,"",IFERROR(J212/F212-1,"")))</f>
        <v/>
      </c>
      <c r="K213" s="15">
        <f>IF(OR(K212="",G212=""),"",IF(G212&lt;=0,"",IFERROR(K212/G212-1,"")))</f>
        <v/>
      </c>
      <c r="L213" s="15">
        <f>IF(OR(L212="",H212=""),"",IF(H212&lt;=0,"",IFERROR(L212/H212-1,"")))</f>
        <v/>
      </c>
      <c r="N213" s="15">
        <f>IF(OR(N212="",J212=""),"",IF(J212&lt;=0,"",IFERROR(N212/J212-1,"")))</f>
        <v/>
      </c>
    </row>
    <row r="214">
      <c r="A214" s="18" t="inlineStr">
        <is>
          <t>보고부문 합계 · 계</t>
        </is>
      </c>
      <c r="C214" s="20" t="n">
        <v>7162</v>
      </c>
      <c r="D214" s="20" t="n">
        <v>8187</v>
      </c>
      <c r="E214" s="20" t="n">
        <v>8555</v>
      </c>
      <c r="F214" s="20" t="n">
        <v>15298</v>
      </c>
      <c r="G214" s="20" t="n">
        <v>9622</v>
      </c>
      <c r="H214" s="20" t="n">
        <v>9072</v>
      </c>
      <c r="I214" s="20" t="n">
        <v>9946</v>
      </c>
      <c r="J214" s="20" t="n">
        <v>17095</v>
      </c>
      <c r="K214" s="20" t="n">
        <v>15518</v>
      </c>
      <c r="L214" s="20" t="n">
        <v>16195</v>
      </c>
      <c r="M214" s="20" t="n">
        <v>16547</v>
      </c>
      <c r="N214" s="20" t="n">
        <v>16942</v>
      </c>
      <c r="V214" s="20" t="n">
        <v>8555</v>
      </c>
      <c r="W214" s="20" t="n">
        <v>9946</v>
      </c>
      <c r="X214" s="20" t="n">
        <v>16547</v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IF(OR(G214="",C214=""),"",IF(C214&lt;=0,"",IFERROR(G214/C214-1,"")))</f>
        <v/>
      </c>
      <c r="H215" s="15">
        <f>IF(OR(H214="",D214=""),"",IF(D214&lt;=0,"",IFERROR(H214/D214-1,"")))</f>
        <v/>
      </c>
      <c r="I215" s="15">
        <f>IF(OR(I214="",E214=""),"",IF(E214&lt;=0,"",IFERROR(I214/E214-1,"")))</f>
        <v/>
      </c>
      <c r="J215" s="15">
        <f>IF(OR(J214="",F214=""),"",IF(F214&lt;=0,"",IFERROR(J214/F214-1,"")))</f>
        <v/>
      </c>
      <c r="K215" s="15">
        <f>IF(OR(K214="",G214=""),"",IF(G214&lt;=0,"",IFERROR(K214/G214-1,"")))</f>
        <v/>
      </c>
      <c r="L215" s="15">
        <f>IF(OR(L214="",H214=""),"",IF(H214&lt;=0,"",IFERROR(L214/H214-1,"")))</f>
        <v/>
      </c>
      <c r="M215" s="15">
        <f>IF(OR(M214="",I214=""),"",IF(I214&lt;=0,"",IFERROR(M214/I214-1,"")))</f>
        <v/>
      </c>
      <c r="N215" s="15">
        <f>IF(OR(N214="",J214=""),"",IF(J214&lt;=0,"",IFERROR(N214/J214-1,"")))</f>
        <v/>
      </c>
      <c r="V215" s="15">
        <f>IF(OR(V214="",U214=""),"",IF(U214&lt;=0,"",IFERROR(V214/U214-1,"")))</f>
        <v/>
      </c>
      <c r="W215" s="15">
        <f>IF(OR(W214="",V214=""),"",IF(V214&lt;=0,"",IFERROR(W214/V214-1,"")))</f>
        <v/>
      </c>
      <c r="X215" s="15">
        <f>IF(OR(X214="",W214=""),"",IF(W214&lt;=0,"",IFERROR(X214/W214-1,"")))</f>
        <v/>
      </c>
    </row>
    <row r="216">
      <c r="A216" s="18" t="inlineStr">
        <is>
          <t>조정액 · 계</t>
        </is>
      </c>
      <c r="C216" s="20" t="n">
        <v>-1</v>
      </c>
      <c r="D216" s="20" t="n">
        <v>0</v>
      </c>
      <c r="E216" s="20" t="n">
        <v>0</v>
      </c>
      <c r="F216" s="20" t="n">
        <v>-6170</v>
      </c>
      <c r="G216" s="20" t="n">
        <v>-1</v>
      </c>
      <c r="H216" s="20" t="n">
        <v>0</v>
      </c>
      <c r="I216" s="20" t="n">
        <v>-1</v>
      </c>
      <c r="J216" s="20" t="n">
        <v>-7473</v>
      </c>
      <c r="K216" s="20" t="n">
        <v>0</v>
      </c>
      <c r="L216" s="20" t="n">
        <v>0</v>
      </c>
      <c r="M216" s="20" t="n">
        <v>-2</v>
      </c>
      <c r="N216" s="20" t="n">
        <v>-0</v>
      </c>
      <c r="V216" s="20" t="n">
        <v>0</v>
      </c>
      <c r="W216" s="20" t="n">
        <v>-1</v>
      </c>
      <c r="X216" s="20" t="n">
        <v>-2</v>
      </c>
    </row>
    <row r="217">
      <c r="A217" s="18" t="inlineStr">
        <is>
          <t>계</t>
        </is>
      </c>
      <c r="C217" s="20" t="n">
        <v>7162</v>
      </c>
      <c r="D217" s="20" t="n">
        <v>8187</v>
      </c>
      <c r="E217" s="20" t="n">
        <v>8554</v>
      </c>
      <c r="F217" s="20" t="n">
        <v>9127</v>
      </c>
      <c r="G217" s="20" t="n">
        <v>9622</v>
      </c>
      <c r="H217" s="20" t="n">
        <v>9071</v>
      </c>
      <c r="I217" s="20" t="n">
        <v>9946</v>
      </c>
      <c r="V217" s="20" t="n">
        <v>8554</v>
      </c>
      <c r="W217" s="20" t="n">
        <v>9946</v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IF(OR(G217="",C217=""),"",IF(C217&lt;=0,"",IFERROR(G217/C217-1,"")))</f>
        <v/>
      </c>
      <c r="H218" s="15">
        <f>IF(OR(H217="",D217=""),"",IF(D217&lt;=0,"",IFERROR(H217/D217-1,"")))</f>
        <v/>
      </c>
      <c r="I218" s="15">
        <f>IF(OR(I217="",E217=""),"",IF(E217&lt;=0,"",IFERROR(I217/E217-1,"")))</f>
        <v/>
      </c>
      <c r="V218" s="15">
        <f>IF(OR(V217="",U217=""),"",IF(U217&lt;=0,"",IFERROR(V217/U217-1,"")))</f>
        <v/>
      </c>
      <c r="W218" s="15">
        <f>IF(OR(W217="",V217=""),"",IF(V217&lt;=0,"",IFERROR(W217/V217-1,"")))</f>
        <v/>
      </c>
    </row>
    <row r="219">
      <c r="A219" s="18" t="inlineStr">
        <is>
          <t>EntityTotalMember · 계</t>
        </is>
      </c>
      <c r="F219" s="20" t="n">
        <v>9127</v>
      </c>
      <c r="J219" s="20" t="n">
        <v>9622</v>
      </c>
      <c r="N219" s="20" t="n">
        <v>16941</v>
      </c>
    </row>
    <row r="220">
      <c r="A220" s="18" t="inlineStr">
        <is>
          <t>BankingBusinessReportableSegmentMember · 부문 이익(손실)</t>
        </is>
      </c>
      <c r="C220" s="20" t="n">
        <v>8</v>
      </c>
      <c r="D220" s="20" t="n">
        <v>71</v>
      </c>
      <c r="E220" s="20" t="n">
        <v>42</v>
      </c>
      <c r="F220" s="20" t="n">
        <v>-44</v>
      </c>
      <c r="G220" s="20" t="n">
        <v>124</v>
      </c>
      <c r="H220" s="20" t="n">
        <v>2</v>
      </c>
      <c r="I220" s="20" t="n">
        <v>-734</v>
      </c>
      <c r="J220" s="20" t="n">
        <v>34</v>
      </c>
      <c r="K220" s="20" t="n">
        <v>-339</v>
      </c>
      <c r="L220" s="20" t="n">
        <v>-26</v>
      </c>
      <c r="M220" s="20" t="n">
        <v>47</v>
      </c>
      <c r="N220" s="20" t="n">
        <v>14</v>
      </c>
      <c r="V220" s="20" t="n">
        <v>42</v>
      </c>
      <c r="W220" s="20" t="n">
        <v>-734</v>
      </c>
      <c r="X220" s="20" t="n">
        <v>47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IF(OR(C220="",C208=""),"",IF(C208&lt;=0,"",IFERROR(C220/C208,"")))</f>
        <v/>
      </c>
      <c r="D221" s="15">
        <f>IF(OR(D220="",D208=""),"",IF(D208&lt;=0,"",IFERROR(D220/D208,"")))</f>
        <v/>
      </c>
      <c r="E221" s="15">
        <f>IF(OR(E220="",E208=""),"",IF(E208&lt;=0,"",IFERROR(E220/E208,"")))</f>
        <v/>
      </c>
      <c r="F221" s="15">
        <f>IF(OR(F220="",F208=""),"",IF(F208&lt;=0,"",IFERROR(F220/F208,"")))</f>
        <v/>
      </c>
      <c r="G221" s="15">
        <f>IF(OR(G220="",G208=""),"",IF(G208&lt;=0,"",IFERROR(G220/G208,"")))</f>
        <v/>
      </c>
      <c r="H221" s="15">
        <f>IF(OR(H220="",H208=""),"",IF(H208&lt;=0,"",IFERROR(H220/H208,"")))</f>
        <v/>
      </c>
      <c r="I221" s="15">
        <f>IF(OR(I220="",I208=""),"",IF(I208&lt;=0,"",IFERROR(I220/I208,"")))</f>
        <v/>
      </c>
      <c r="J221" s="15">
        <f>IF(OR(J220="",J208=""),"",IF(J208&lt;=0,"",IFERROR(J220/J208,"")))</f>
        <v/>
      </c>
      <c r="K221" s="15">
        <f>IF(OR(K220="",K208=""),"",IF(K208&lt;=0,"",IFERROR(K220/K208,"")))</f>
        <v/>
      </c>
      <c r="L221" s="15">
        <f>IF(OR(L220="",L208=""),"",IF(L208&lt;=0,"",IFERROR(L220/L208,"")))</f>
        <v/>
      </c>
      <c r="M221" s="15">
        <f>IF(OR(M220="",M208=""),"",IF(M208&lt;=0,"",IFERROR(M220/M208,"")))</f>
        <v/>
      </c>
      <c r="N221" s="15">
        <f>IF(OR(N220="",N208=""),"",IF(N208&lt;=0,"",IFERROR(N220/N208,"")))</f>
        <v/>
      </c>
      <c r="V221" s="15">
        <f>IF(OR(V220="",V208=""),"",IF(V208&lt;=0,"",IFERROR(V220/V208,"")))</f>
        <v/>
      </c>
      <c r="W221" s="15">
        <f>IF(OR(W220="",W208=""),"",IF(W208&lt;=0,"",IFERROR(W220/W208,"")))</f>
        <v/>
      </c>
      <c r="X221" s="15">
        <f>IF(OR(X220="",X208=""),"",IF(X208&lt;=0,"",IFERROR(X220/X208,"")))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K222" s="15">
        <f>IF(OR(K220="",G220=""),"",IF(G220&lt;=0,"",IFERROR(K220/G220-1,"")))</f>
        <v/>
      </c>
      <c r="L222" s="15">
        <f>IF(OR(L220="",H220=""),"",IF(H220&lt;=0,"",IFERROR(L220/H220-1,"")))</f>
        <v/>
      </c>
      <c r="M222" s="15">
        <f>IF(OR(M220="",I220=""),"",IF(I220&lt;=0,"",IFERROR(M220/I220-1,"")))</f>
        <v/>
      </c>
      <c r="N222" s="15">
        <f>IF(OR(N220="",J220=""),"",IF(J220&lt;=0,"",IFERROR(N220/J220-1,"")))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3">
      <c r="A223" s="18" t="inlineStr">
        <is>
          <t>ReuseBusinessReportableSegmentMember · 부문 이익(손실)</t>
        </is>
      </c>
      <c r="C223" s="20" t="n">
        <v>-89</v>
      </c>
      <c r="D223" s="20" t="n">
        <v>-198</v>
      </c>
      <c r="E223" s="20" t="n">
        <v>-97</v>
      </c>
      <c r="F223" s="20" t="n">
        <v>100</v>
      </c>
      <c r="G223" s="20" t="n">
        <v>-130</v>
      </c>
      <c r="H223" s="20" t="n">
        <v>-137</v>
      </c>
      <c r="I223" s="20" t="n">
        <v>207</v>
      </c>
      <c r="J223" s="20" t="n">
        <v>-137</v>
      </c>
      <c r="K223" s="20" t="n">
        <v>-32</v>
      </c>
      <c r="L223" s="20" t="n">
        <v>284</v>
      </c>
      <c r="M223" s="20" t="n">
        <v>502</v>
      </c>
      <c r="N223" s="20" t="n">
        <v>341</v>
      </c>
      <c r="V223" s="20" t="n">
        <v>-97</v>
      </c>
      <c r="W223" s="20" t="n">
        <v>207</v>
      </c>
      <c r="X223" s="20" t="n">
        <v>502</v>
      </c>
    </row>
    <row r="224">
      <c r="A224" s="43" t="inlineStr">
        <is>
          <t>OPM</t>
        </is>
      </c>
      <c r="B224" s="3" t="inlineStr">
        <is>
          <t>영업이익 ÷ 매출</t>
        </is>
      </c>
      <c r="C224" s="15">
        <f>IF(OR(C223="",C210=""),"",IF(C210&lt;=0,"",IFERROR(C223/C210,"")))</f>
        <v/>
      </c>
      <c r="D224" s="15">
        <f>IF(OR(D223="",D210=""),"",IF(D210&lt;=0,"",IFERROR(D223/D210,"")))</f>
        <v/>
      </c>
      <c r="E224" s="15">
        <f>IF(OR(E223="",E210=""),"",IF(E210&lt;=0,"",IFERROR(E223/E210,"")))</f>
        <v/>
      </c>
      <c r="F224" s="15">
        <f>IF(OR(F223="",F210=""),"",IF(F210&lt;=0,"",IFERROR(F223/F210,"")))</f>
        <v/>
      </c>
      <c r="G224" s="15">
        <f>IF(OR(G223="",G210=""),"",IF(G210&lt;=0,"",IFERROR(G223/G210,"")))</f>
        <v/>
      </c>
      <c r="H224" s="15">
        <f>IF(OR(H223="",H210=""),"",IF(H210&lt;=0,"",IFERROR(H223/H210,"")))</f>
        <v/>
      </c>
      <c r="I224" s="15">
        <f>IF(OR(I223="",I210=""),"",IF(I210&lt;=0,"",IFERROR(I223/I210,"")))</f>
        <v/>
      </c>
      <c r="J224" s="15">
        <f>IF(OR(J223="",J210=""),"",IF(J210&lt;=0,"",IFERROR(J223/J210,"")))</f>
        <v/>
      </c>
      <c r="K224" s="15">
        <f>IF(OR(K223="",K210=""),"",IF(K210&lt;=0,"",IFERROR(K223/K210,"")))</f>
        <v/>
      </c>
      <c r="L224" s="15">
        <f>IF(OR(L223="",L210=""),"",IF(L210&lt;=0,"",IFERROR(L223/L210,"")))</f>
        <v/>
      </c>
      <c r="M224" s="15">
        <f>IF(OR(M223="",M210=""),"",IF(M210&lt;=0,"",IFERROR(M223/M210,"")))</f>
        <v/>
      </c>
      <c r="N224" s="15">
        <f>IF(OR(N223="",N210=""),"",IF(N210&lt;=0,"",IFERROR(N223/N210,"")))</f>
        <v/>
      </c>
      <c r="V224" s="15">
        <f>IF(OR(V223="",V210=""),"",IF(V210&lt;=0,"",IFERROR(V223/V210,"")))</f>
        <v/>
      </c>
      <c r="W224" s="15">
        <f>IF(OR(W223="",W210=""),"",IF(W210&lt;=0,"",IFERROR(W223/W210,"")))</f>
        <v/>
      </c>
      <c r="X224" s="15">
        <f>IF(OR(X223="",X210=""),"",IF(X210&lt;=0,"",IFERROR(X223/X210,"")))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I225" s="15">
        <f>IF(OR(I223="",E223=""),"",IF(E223&lt;=0,"",IFERROR(I223/E223-1,"")))</f>
        <v/>
      </c>
      <c r="J225" s="15">
        <f>IF(OR(J223="",F223=""),"",IF(F223&lt;=0,"",IFERROR(J223/F223-1,"")))</f>
        <v/>
      </c>
      <c r="K225" s="15">
        <f>IF(OR(K223="",G223=""),"",IF(G223&lt;=0,"",IFERROR(K223/G223-1,"")))</f>
        <v/>
      </c>
      <c r="L225" s="15">
        <f>IF(OR(L223="",H223=""),"",IF(H223&lt;=0,"",IFERROR(L223/H223-1,"")))</f>
        <v/>
      </c>
      <c r="M225" s="15">
        <f>IF(OR(M223="",I223=""),"",IF(I223&lt;=0,"",IFERROR(M223/I223-1,"")))</f>
        <v/>
      </c>
      <c r="N225" s="15">
        <f>IF(OR(N223="",J223=""),"",IF(J223&lt;=0,"",IFERROR(N223/J223-1,"")))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OtherReportableSegmentsMember · 부문 이익(손실)</t>
        </is>
      </c>
      <c r="C226" s="20" t="n">
        <v>-202</v>
      </c>
      <c r="D226" s="20" t="n">
        <v>-165</v>
      </c>
      <c r="F226" s="20" t="n">
        <v>6054</v>
      </c>
      <c r="G226" s="20" t="n">
        <v>-162</v>
      </c>
      <c r="H226" s="20" t="n">
        <v>-145</v>
      </c>
      <c r="J226" s="20" t="n">
        <v>7296</v>
      </c>
      <c r="K226" s="20" t="n">
        <v>-174</v>
      </c>
      <c r="L226" s="20" t="n">
        <v>-224</v>
      </c>
      <c r="N226" s="20" t="n">
        <v>-224</v>
      </c>
    </row>
    <row r="227">
      <c r="A227" s="43" t="inlineStr">
        <is>
          <t>OPM</t>
        </is>
      </c>
      <c r="B227" s="3" t="inlineStr">
        <is>
          <t>영업이익 ÷ 매출</t>
        </is>
      </c>
      <c r="C227" s="15">
        <f>IF(OR(C226="",C212=""),"",IF(C212&lt;=0,"",IFERROR(C226/C212,"")))</f>
        <v/>
      </c>
      <c r="D227" s="15">
        <f>IF(OR(D226="",D212=""),"",IF(D212&lt;=0,"",IFERROR(D226/D212,"")))</f>
        <v/>
      </c>
      <c r="F227" s="15">
        <f>IF(OR(F226="",F212=""),"",IF(F212&lt;=0,"",IFERROR(F226/F212,"")))</f>
        <v/>
      </c>
      <c r="G227" s="15">
        <f>IF(OR(G226="",G212=""),"",IF(G212&lt;=0,"",IFERROR(G226/G212,"")))</f>
        <v/>
      </c>
      <c r="H227" s="15">
        <f>IF(OR(H226="",H212=""),"",IF(H212&lt;=0,"",IFERROR(H226/H212,"")))</f>
        <v/>
      </c>
      <c r="J227" s="15">
        <f>IF(OR(J226="",J212=""),"",IF(J212&lt;=0,"",IFERROR(J226/J212,"")))</f>
        <v/>
      </c>
      <c r="K227" s="15">
        <f>IF(OR(K226="",K212=""),"",IF(K212&lt;=0,"",IFERROR(K226/K212,"")))</f>
        <v/>
      </c>
      <c r="L227" s="15">
        <f>IF(OR(L226="",L212=""),"",IF(L212&lt;=0,"",IFERROR(L226/L212,"")))</f>
        <v/>
      </c>
      <c r="N227" s="15">
        <f>IF(OR(N226="",N212=""),"",IF(N212&lt;=0,"",IFERROR(N226/N212,"")))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IF(OR(G226="",C226=""),"",IF(C226&lt;=0,"",IFERROR(G226/C226-1,"")))</f>
        <v/>
      </c>
      <c r="H228" s="15">
        <f>IF(OR(H226="",D226=""),"",IF(D226&lt;=0,"",IFERROR(H226/D226-1,"")))</f>
        <v/>
      </c>
      <c r="J228" s="15">
        <f>IF(OR(J226="",F226=""),"",IF(F226&lt;=0,"",IFERROR(J226/F226-1,"")))</f>
        <v/>
      </c>
      <c r="K228" s="15">
        <f>IF(OR(K226="",G226=""),"",IF(G226&lt;=0,"",IFERROR(K226/G226-1,"")))</f>
        <v/>
      </c>
      <c r="L228" s="15">
        <f>IF(OR(L226="",H226=""),"",IF(H226&lt;=0,"",IFERROR(L226/H226-1,"")))</f>
        <v/>
      </c>
      <c r="N228" s="15">
        <f>IF(OR(N226="",J226=""),"",IF(J226&lt;=0,"",IFERROR(N226/J226-1,"")))</f>
        <v/>
      </c>
    </row>
    <row r="229">
      <c r="A229" s="18" t="inlineStr">
        <is>
          <t>보고부문 합계 · 부문 이익(손실)</t>
        </is>
      </c>
      <c r="C229" s="20" t="n">
        <v>-284</v>
      </c>
      <c r="D229" s="20" t="n">
        <v>-292</v>
      </c>
      <c r="E229" s="20" t="n">
        <v>-242</v>
      </c>
      <c r="F229" s="20" t="n">
        <v>6110</v>
      </c>
      <c r="G229" s="20" t="n">
        <v>-168</v>
      </c>
      <c r="H229" s="20" t="n">
        <v>-279</v>
      </c>
      <c r="I229" s="20" t="n">
        <v>-703</v>
      </c>
      <c r="J229" s="20" t="n">
        <v>7192</v>
      </c>
      <c r="K229" s="20" t="n">
        <v>-544</v>
      </c>
      <c r="L229" s="20" t="n">
        <v>35</v>
      </c>
      <c r="M229" s="20" t="n">
        <v>366</v>
      </c>
      <c r="N229" s="20" t="n">
        <v>131</v>
      </c>
      <c r="V229" s="20" t="n">
        <v>-242</v>
      </c>
      <c r="W229" s="20" t="n">
        <v>-703</v>
      </c>
      <c r="X229" s="20" t="n">
        <v>366</v>
      </c>
    </row>
    <row r="230">
      <c r="A230" s="43" t="inlineStr">
        <is>
          <t>OPM</t>
        </is>
      </c>
      <c r="B230" s="3" t="inlineStr">
        <is>
          <t>영업이익 ÷ 매출</t>
        </is>
      </c>
      <c r="C230" s="15">
        <f>IF(OR(C229="",C214=""),"",IF(C214&lt;=0,"",IFERROR(C229/C214,"")))</f>
        <v/>
      </c>
      <c r="D230" s="15">
        <f>IF(OR(D229="",D214=""),"",IF(D214&lt;=0,"",IFERROR(D229/D214,"")))</f>
        <v/>
      </c>
      <c r="E230" s="15">
        <f>IF(OR(E229="",E214=""),"",IF(E214&lt;=0,"",IFERROR(E229/E214,"")))</f>
        <v/>
      </c>
      <c r="F230" s="15">
        <f>IF(OR(F229="",F214=""),"",IF(F214&lt;=0,"",IFERROR(F229/F214,"")))</f>
        <v/>
      </c>
      <c r="G230" s="15">
        <f>IF(OR(G229="",G214=""),"",IF(G214&lt;=0,"",IFERROR(G229/G214,"")))</f>
        <v/>
      </c>
      <c r="H230" s="15">
        <f>IF(OR(H229="",H214=""),"",IF(H214&lt;=0,"",IFERROR(H229/H214,"")))</f>
        <v/>
      </c>
      <c r="I230" s="15">
        <f>IF(OR(I229="",I214=""),"",IF(I214&lt;=0,"",IFERROR(I229/I214,"")))</f>
        <v/>
      </c>
      <c r="J230" s="15">
        <f>IF(OR(J229="",J214=""),"",IF(J214&lt;=0,"",IFERROR(J229/J214,"")))</f>
        <v/>
      </c>
      <c r="K230" s="15">
        <f>IF(OR(K229="",K214=""),"",IF(K214&lt;=0,"",IFERROR(K229/K214,"")))</f>
        <v/>
      </c>
      <c r="L230" s="15">
        <f>IF(OR(L229="",L214=""),"",IF(L214&lt;=0,"",IFERROR(L229/L214,"")))</f>
        <v/>
      </c>
      <c r="M230" s="15">
        <f>IF(OR(M229="",M214=""),"",IF(M214&lt;=0,"",IFERROR(M229/M214,"")))</f>
        <v/>
      </c>
      <c r="N230" s="15">
        <f>IF(OR(N229="",N214=""),"",IF(N214&lt;=0,"",IFERROR(N229/N214,"")))</f>
        <v/>
      </c>
      <c r="V230" s="15">
        <f>IF(OR(V229="",V214=""),"",IF(V214&lt;=0,"",IFERROR(V229/V214,"")))</f>
        <v/>
      </c>
      <c r="W230" s="15">
        <f>IF(OR(W229="",W214=""),"",IF(W214&lt;=0,"",IFERROR(W229/W214,"")))</f>
        <v/>
      </c>
      <c r="X230" s="15">
        <f>IF(OR(X229="",X214=""),"",IF(X214&lt;=0,"",IFERROR(X229/X214,"")))</f>
        <v/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G231" s="15">
        <f>IF(OR(G229="",C229=""),"",IF(C229&lt;=0,"",IFERROR(G229/C229-1,"")))</f>
        <v/>
      </c>
      <c r="H231" s="15">
        <f>IF(OR(H229="",D229=""),"",IF(D229&lt;=0,"",IFERROR(H229/D229-1,"")))</f>
        <v/>
      </c>
      <c r="I231" s="15">
        <f>IF(OR(I229="",E229=""),"",IF(E229&lt;=0,"",IFERROR(I229/E229-1,"")))</f>
        <v/>
      </c>
      <c r="J231" s="15">
        <f>IF(OR(J229="",F229=""),"",IF(F229&lt;=0,"",IFERROR(J229/F229-1,"")))</f>
        <v/>
      </c>
      <c r="K231" s="15">
        <f>IF(OR(K229="",G229=""),"",IF(G229&lt;=0,"",IFERROR(K229/G229-1,"")))</f>
        <v/>
      </c>
      <c r="L231" s="15">
        <f>IF(OR(L229="",H229=""),"",IF(H229&lt;=0,"",IFERROR(L229/H229-1,"")))</f>
        <v/>
      </c>
      <c r="M231" s="15">
        <f>IF(OR(M229="",I229=""),"",IF(I229&lt;=0,"",IFERROR(M229/I229-1,"")))</f>
        <v/>
      </c>
      <c r="N231" s="15">
        <f>IF(OR(N229="",J229=""),"",IF(J229&lt;=0,"",IFERROR(N229/J229-1,"")))</f>
        <v/>
      </c>
      <c r="V231" s="15">
        <f>IF(OR(V229="",U229=""),"",IF(U229&lt;=0,"",IFERROR(V229/U229-1,"")))</f>
        <v/>
      </c>
      <c r="W231" s="15">
        <f>IF(OR(W229="",V229=""),"",IF(V229&lt;=0,"",IFERROR(W229/V229-1,"")))</f>
        <v/>
      </c>
      <c r="X231" s="15">
        <f>IF(OR(X229="",W229=""),"",IF(W229&lt;=0,"",IFERROR(X229/W229-1,"")))</f>
        <v/>
      </c>
    </row>
    <row r="232">
      <c r="A232" s="18" t="inlineStr">
        <is>
          <t>조정액 · 부문 이익(손실)</t>
        </is>
      </c>
      <c r="C232" s="20" t="n">
        <v>16</v>
      </c>
      <c r="D232" s="20" t="n">
        <v>9</v>
      </c>
      <c r="E232" s="20" t="n">
        <v>19</v>
      </c>
      <c r="F232" s="20" t="n">
        <v>-6139</v>
      </c>
      <c r="G232" s="20" t="n">
        <v>23</v>
      </c>
      <c r="H232" s="20" t="n">
        <v>28</v>
      </c>
      <c r="I232" s="20" t="n">
        <v>22</v>
      </c>
      <c r="J232" s="20" t="n">
        <v>-7452</v>
      </c>
      <c r="K232" s="20" t="n">
        <v>18</v>
      </c>
      <c r="L232" s="20" t="n">
        <v>14</v>
      </c>
      <c r="M232" s="20" t="n">
        <v>7</v>
      </c>
      <c r="N232" s="20" t="n">
        <v>6</v>
      </c>
      <c r="V232" s="20" t="n">
        <v>19</v>
      </c>
      <c r="W232" s="20" t="n">
        <v>22</v>
      </c>
      <c r="X232" s="20" t="n">
        <v>7</v>
      </c>
    </row>
    <row r="233">
      <c r="A233" s="9" t="inlineStr">
        <is>
          <t>부문 이익(손실)</t>
        </is>
      </c>
      <c r="C233" s="12" t="n">
        <v>-267</v>
      </c>
      <c r="D233" s="12" t="n">
        <v>-284</v>
      </c>
      <c r="E233" s="12" t="n">
        <v>-223</v>
      </c>
      <c r="F233" s="12" t="n">
        <v>-28</v>
      </c>
      <c r="G233" s="12" t="n">
        <v>-146</v>
      </c>
      <c r="H233" s="12" t="n">
        <v>-251</v>
      </c>
      <c r="I233" s="12" t="n">
        <v>-681</v>
      </c>
      <c r="V233" s="12" t="n">
        <v>-223</v>
      </c>
      <c r="W233" s="12" t="n">
        <v>-681</v>
      </c>
    </row>
    <row r="234">
      <c r="A234" s="43" t="inlineStr">
        <is>
          <t>OPM</t>
        </is>
      </c>
      <c r="B234" s="3" t="inlineStr">
        <is>
          <t>영업이익 ÷ 매출</t>
        </is>
      </c>
      <c r="C234" s="15">
        <f>IF(OR(C233="",C198=""),"",IF(C198&lt;=0,"",IFERROR(C233/C198,"")))</f>
        <v/>
      </c>
      <c r="D234" s="15">
        <f>IF(OR(D233="",D198=""),"",IF(D198&lt;=0,"",IFERROR(D233/D198,"")))</f>
        <v/>
      </c>
      <c r="E234" s="15">
        <f>IF(OR(E233="",E198=""),"",IF(E198&lt;=0,"",IFERROR(E233/E198,"")))</f>
        <v/>
      </c>
      <c r="F234" s="15">
        <f>IF(OR(F233="",F198=""),"",IF(F198&lt;=0,"",IFERROR(F233/F198,"")))</f>
        <v/>
      </c>
      <c r="G234" s="15">
        <f>IF(OR(G233="",G198=""),"",IF(G198&lt;=0,"",IFERROR(G233/G198,"")))</f>
        <v/>
      </c>
      <c r="H234" s="15">
        <f>IF(OR(H233="",H198=""),"",IF(H198&lt;=0,"",IFERROR(H233/H198,"")))</f>
        <v/>
      </c>
      <c r="I234" s="15">
        <f>IF(OR(I233="",I198=""),"",IF(I198&lt;=0,"",IFERROR(I233/I198,"")))</f>
        <v/>
      </c>
      <c r="V234" s="15">
        <f>IF(OR(V233="",V198=""),"",IF(V198&lt;=0,"",IFERROR(V233/V198,"")))</f>
        <v/>
      </c>
      <c r="W234" s="15">
        <f>IF(OR(W233="",W198=""),"",IF(W198&lt;=0,"",IFERROR(W233/W198,"")))</f>
        <v/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G235" s="15">
        <f>IF(OR(G233="",C233=""),"",IF(C233&lt;=0,"",IFERROR(G233/C233-1,"")))</f>
        <v/>
      </c>
      <c r="H235" s="15">
        <f>IF(OR(H233="",D233=""),"",IF(D233&lt;=0,"",IFERROR(H233/D233-1,"")))</f>
        <v/>
      </c>
      <c r="I235" s="15">
        <f>IF(OR(I233="",E233=""),"",IF(E233&lt;=0,"",IFERROR(I233/E233-1,"")))</f>
        <v/>
      </c>
      <c r="V235" s="15">
        <f>IF(OR(V233="",U233=""),"",IF(U233&lt;=0,"",IFERROR(V233/U233-1,"")))</f>
        <v/>
      </c>
      <c r="W235" s="15">
        <f>IF(OR(W233="",V233=""),"",IF(V233&lt;=0,"",IFERROR(W233/V233-1,"")))</f>
        <v/>
      </c>
    </row>
    <row r="236">
      <c r="A236" s="18" t="inlineStr">
        <is>
          <t>EntityTotalMember · 부문 이익(손실)</t>
        </is>
      </c>
      <c r="F236" s="20" t="n">
        <v>-28</v>
      </c>
      <c r="J236" s="20" t="n">
        <v>-260</v>
      </c>
      <c r="N236" s="20" t="n">
        <v>137</v>
      </c>
    </row>
    <row r="238">
      <c r="A238" s="16" t="inlineStr">
        <is>
          <t>현금흐름표 · 전 항목</t>
        </is>
      </c>
      <c r="B238" s="42" t="inlineStr">
        <is>
          <t>분기 = 결산기 첫날부터 누계(공시 그대로)</t>
        </is>
      </c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</row>
    <row r="239">
      <c r="A239" s="5" t="inlineStr">
        <is>
          <t>항목</t>
        </is>
      </c>
      <c r="B239" s="5" t="inlineStr">
        <is>
          <t>참고</t>
        </is>
      </c>
      <c r="C239" s="5" t="inlineStr">
        <is>
          <t>2024.2Q</t>
        </is>
      </c>
      <c r="D239" s="5" t="inlineStr">
        <is>
          <t>2024.3Q</t>
        </is>
      </c>
      <c r="E239" s="5" t="inlineStr">
        <is>
          <t>2024.4Q</t>
        </is>
      </c>
      <c r="F239" s="5" t="inlineStr">
        <is>
          <t>2025.1Q</t>
        </is>
      </c>
      <c r="G239" s="5" t="inlineStr">
        <is>
          <t>2025.2Q</t>
        </is>
      </c>
      <c r="H239" s="5" t="inlineStr">
        <is>
          <t>2025.3Q</t>
        </is>
      </c>
      <c r="I239" s="5" t="inlineStr">
        <is>
          <t>2025.4Q</t>
        </is>
      </c>
      <c r="J239" s="5" t="inlineStr">
        <is>
          <t>2026.1Q</t>
        </is>
      </c>
      <c r="K239" s="5" t="inlineStr">
        <is>
          <t>2026.2Q</t>
        </is>
      </c>
      <c r="L239" s="5" t="inlineStr">
        <is>
          <t>2026.3Q</t>
        </is>
      </c>
      <c r="M239" s="5" t="inlineStr">
        <is>
          <t>2026.4Q</t>
        </is>
      </c>
      <c r="N239" s="5" t="inlineStr">
        <is>
          <t>2027.1Q</t>
        </is>
      </c>
      <c r="O239" s="5" t="inlineStr">
        <is>
          <t>2017</t>
        </is>
      </c>
      <c r="P239" s="5" t="inlineStr">
        <is>
          <t>2018</t>
        </is>
      </c>
      <c r="Q239" s="5" t="inlineStr">
        <is>
          <t>2019</t>
        </is>
      </c>
      <c r="R239" s="5" t="inlineStr">
        <is>
          <t>2020</t>
        </is>
      </c>
      <c r="S239" s="5" t="inlineStr">
        <is>
          <t>2021</t>
        </is>
      </c>
      <c r="T239" s="5" t="inlineStr">
        <is>
          <t>2022</t>
        </is>
      </c>
      <c r="U239" s="5" t="inlineStr">
        <is>
          <t>2023</t>
        </is>
      </c>
      <c r="V239" s="5" t="inlineStr">
        <is>
          <t>2024</t>
        </is>
      </c>
      <c r="W239" s="5" t="inlineStr">
        <is>
          <t>2025</t>
        </is>
      </c>
      <c r="X239" s="5" t="inlineStr">
        <is>
          <t>2026</t>
        </is>
      </c>
      <c r="Y239" s="5" t="inlineStr">
        <is>
          <t>2027(MW)</t>
        </is>
      </c>
      <c r="Z239" s="5" t="inlineStr">
        <is>
          <t>2028(MW)</t>
        </is>
      </c>
      <c r="AA239" s="5" t="inlineStr">
        <is>
          <t>2029(MW)</t>
        </is>
      </c>
      <c r="AB239" s="5" t="inlineStr">
        <is>
          <t>2030(MW)</t>
        </is>
      </c>
      <c r="AC239" s="5" t="inlineStr">
        <is>
          <t>2031(MW)</t>
        </is>
      </c>
    </row>
    <row r="240">
      <c r="A240" s="9" t="inlineStr">
        <is>
          <t>법인세차감전 순이익</t>
        </is>
      </c>
      <c r="E240" s="12" t="n">
        <v>15295</v>
      </c>
      <c r="I240" s="12" t="n">
        <v>14925</v>
      </c>
      <c r="M240" s="12" t="n">
        <v>17991</v>
      </c>
      <c r="O240" s="12" t="n">
        <v>8705</v>
      </c>
      <c r="P240" s="12" t="n">
        <v>7681</v>
      </c>
      <c r="Q240" s="12" t="n">
        <v>11301</v>
      </c>
      <c r="R240" s="12" t="n">
        <v>13824</v>
      </c>
      <c r="S240" s="12" t="n">
        <v>9203</v>
      </c>
      <c r="T240" s="12" t="n">
        <v>18171</v>
      </c>
      <c r="U240" s="12" t="n">
        <v>30963</v>
      </c>
      <c r="V240" s="12" t="n">
        <v>15295</v>
      </c>
      <c r="W240" s="12" t="n">
        <v>14925</v>
      </c>
      <c r="X240" s="12" t="n">
        <v>17991</v>
      </c>
    </row>
    <row r="241">
      <c r="A241" s="18" t="inlineStr">
        <is>
          <t>감가상각비</t>
        </is>
      </c>
      <c r="E241" s="20" t="n">
        <v>1509</v>
      </c>
      <c r="I241" s="20" t="n">
        <v>898</v>
      </c>
      <c r="M241" s="20" t="n">
        <v>960</v>
      </c>
      <c r="O241" s="20" t="n">
        <v>1292</v>
      </c>
      <c r="P241" s="20" t="n">
        <v>1473</v>
      </c>
      <c r="Q241" s="20" t="n">
        <v>1848</v>
      </c>
      <c r="R241" s="20" t="n">
        <v>2558</v>
      </c>
      <c r="S241" s="20" t="n">
        <v>2805</v>
      </c>
      <c r="T241" s="20" t="n">
        <v>3039</v>
      </c>
      <c r="U241" s="20" t="n">
        <v>3581</v>
      </c>
      <c r="V241" s="20" t="n">
        <v>1509</v>
      </c>
      <c r="W241" s="20" t="n">
        <v>898</v>
      </c>
      <c r="X241" s="20" t="n">
        <v>960</v>
      </c>
    </row>
    <row r="242">
      <c r="A242" s="18" t="inlineStr">
        <is>
          <t>손상차손</t>
        </is>
      </c>
      <c r="E242" s="20" t="n">
        <v>17</v>
      </c>
      <c r="I242" s="20" t="n">
        <v>212</v>
      </c>
      <c r="M242" s="20" t="n">
        <v>2</v>
      </c>
      <c r="O242" s="20" t="n">
        <v>54</v>
      </c>
      <c r="P242" s="20" t="n">
        <v>0</v>
      </c>
      <c r="Q242" s="20" t="n">
        <v>132</v>
      </c>
      <c r="R242" s="20" t="n">
        <v>13</v>
      </c>
      <c r="S242" s="20" t="n">
        <v>258</v>
      </c>
      <c r="T242" s="20" t="n">
        <v>0</v>
      </c>
      <c r="U242" s="20" t="n">
        <v>25</v>
      </c>
      <c r="V242" s="20" t="n">
        <v>17</v>
      </c>
      <c r="W242" s="20" t="n">
        <v>212</v>
      </c>
      <c r="X242" s="20" t="n">
        <v>2</v>
      </c>
    </row>
    <row r="243">
      <c r="A243" s="18" t="inlineStr">
        <is>
          <t>고정자산 매각손익</t>
        </is>
      </c>
      <c r="E243" s="20" t="n">
        <v>-7</v>
      </c>
      <c r="I243" s="20" t="n">
        <v>0</v>
      </c>
      <c r="T243" s="20" t="n">
        <v>40</v>
      </c>
      <c r="U243" s="20" t="n">
        <v>23</v>
      </c>
      <c r="V243" s="20" t="n">
        <v>-7</v>
      </c>
      <c r="W243" s="20" t="n">
        <v>0</v>
      </c>
    </row>
    <row r="244">
      <c r="A244" s="18" t="inlineStr">
        <is>
          <t>단계적 취득 차손익</t>
        </is>
      </c>
      <c r="E244" s="20" t="n">
        <v>0</v>
      </c>
      <c r="T244" s="20" t="n">
        <v>0</v>
      </c>
      <c r="U244" s="20" t="n">
        <v>142</v>
      </c>
      <c r="V244" s="20" t="n">
        <v>0</v>
      </c>
    </row>
    <row r="245">
      <c r="A245" s="18" t="inlineStr">
        <is>
          <t>고정자산 제각손실</t>
        </is>
      </c>
      <c r="I245" s="20" t="n">
        <v>0</v>
      </c>
      <c r="M245" s="20" t="n">
        <v>6</v>
      </c>
      <c r="W245" s="20" t="n">
        <v>0</v>
      </c>
      <c r="X245" s="20" t="n">
        <v>6</v>
      </c>
    </row>
    <row r="246">
      <c r="A246" s="18" t="inlineStr">
        <is>
          <t>영업권 상각</t>
        </is>
      </c>
      <c r="E246" s="20" t="n">
        <v>237</v>
      </c>
      <c r="I246" s="20" t="n">
        <v>237</v>
      </c>
      <c r="M246" s="20" t="n">
        <v>313</v>
      </c>
      <c r="O246" s="20" t="n">
        <v>100</v>
      </c>
      <c r="P246" s="20" t="n">
        <v>76</v>
      </c>
      <c r="Q246" s="20" t="n">
        <v>13</v>
      </c>
      <c r="R246" s="20" t="n">
        <v>11</v>
      </c>
      <c r="S246" s="20" t="n">
        <v>10</v>
      </c>
      <c r="T246" s="20" t="n">
        <v>0</v>
      </c>
      <c r="U246" s="20" t="n">
        <v>39</v>
      </c>
      <c r="V246" s="20" t="n">
        <v>237</v>
      </c>
      <c r="W246" s="20" t="n">
        <v>237</v>
      </c>
      <c r="X246" s="20" t="n">
        <v>313</v>
      </c>
    </row>
    <row r="247">
      <c r="A247" s="18" t="inlineStr">
        <is>
          <t>대손충당금 증감</t>
        </is>
      </c>
      <c r="E247" s="20" t="n">
        <v>694</v>
      </c>
      <c r="I247" s="20" t="n">
        <v>838</v>
      </c>
      <c r="M247" s="20" t="n">
        <v>-567</v>
      </c>
      <c r="O247" s="20" t="n">
        <v>3026</v>
      </c>
      <c r="P247" s="20" t="n">
        <v>4095</v>
      </c>
      <c r="Q247" s="20" t="n">
        <v>1952</v>
      </c>
      <c r="R247" s="20" t="n">
        <v>1766</v>
      </c>
      <c r="S247" s="20" t="n">
        <v>3113</v>
      </c>
      <c r="T247" s="20" t="n">
        <v>3378</v>
      </c>
      <c r="U247" s="20" t="n">
        <v>6652</v>
      </c>
      <c r="V247" s="20" t="n">
        <v>694</v>
      </c>
      <c r="W247" s="20" t="n">
        <v>838</v>
      </c>
      <c r="X247" s="20" t="n">
        <v>-567</v>
      </c>
    </row>
    <row r="248">
      <c r="A248" s="18" t="inlineStr">
        <is>
          <t>퇴직급여부채 증감</t>
        </is>
      </c>
      <c r="E248" s="20" t="n">
        <v>0</v>
      </c>
      <c r="I248" s="20" t="n">
        <v>0</v>
      </c>
      <c r="M248" s="20" t="n">
        <v>0</v>
      </c>
      <c r="O248" s="20" t="n">
        <v>18</v>
      </c>
      <c r="P248" s="20" t="n">
        <v>13</v>
      </c>
      <c r="Q248" s="20" t="n">
        <v>18</v>
      </c>
      <c r="R248" s="20" t="n">
        <v>12</v>
      </c>
      <c r="S248" s="20" t="n">
        <v>27</v>
      </c>
      <c r="T248" s="20" t="n">
        <v>8</v>
      </c>
      <c r="U248" s="20" t="n">
        <v>-1</v>
      </c>
      <c r="V248" s="20" t="n">
        <v>0</v>
      </c>
      <c r="W248" s="20" t="n">
        <v>0</v>
      </c>
      <c r="X248" s="20" t="n">
        <v>0</v>
      </c>
    </row>
    <row r="249">
      <c r="A249" s="18" t="inlineStr">
        <is>
          <t>임원 퇴직위로 충당금 증감</t>
        </is>
      </c>
      <c r="S249" s="20" t="n">
        <v>0</v>
      </c>
      <c r="T249" s="20" t="n">
        <v>-12</v>
      </c>
      <c r="U249" s="20" t="n">
        <v>0</v>
      </c>
    </row>
    <row r="250">
      <c r="A250" s="18" t="inlineStr">
        <is>
          <t>이자·배당금 수익</t>
        </is>
      </c>
      <c r="E250" s="20" t="n">
        <v>-308</v>
      </c>
      <c r="I250" s="20" t="n">
        <v>-410</v>
      </c>
      <c r="M250" s="20" t="n">
        <v>-444</v>
      </c>
      <c r="O250" s="20" t="n">
        <v>-131</v>
      </c>
      <c r="P250" s="20" t="n">
        <v>-150</v>
      </c>
      <c r="Q250" s="20" t="n">
        <v>-198</v>
      </c>
      <c r="R250" s="20" t="n">
        <v>-177</v>
      </c>
      <c r="S250" s="20" t="n">
        <v>-147</v>
      </c>
      <c r="T250" s="20" t="n">
        <v>-128</v>
      </c>
      <c r="U250" s="20" t="n">
        <v>-177</v>
      </c>
      <c r="V250" s="20" t="n">
        <v>-308</v>
      </c>
      <c r="W250" s="20" t="n">
        <v>-410</v>
      </c>
      <c r="X250" s="20" t="n">
        <v>-444</v>
      </c>
    </row>
    <row r="251">
      <c r="A251" s="18" t="inlineStr">
        <is>
          <t>이자비용</t>
        </is>
      </c>
      <c r="E251" s="20" t="n">
        <v>8</v>
      </c>
      <c r="I251" s="20" t="n">
        <v>8</v>
      </c>
      <c r="M251" s="20" t="n">
        <v>17</v>
      </c>
      <c r="O251" s="20" t="n">
        <v>66</v>
      </c>
      <c r="P251" s="20" t="n">
        <v>80</v>
      </c>
      <c r="Q251" s="20" t="n">
        <v>91</v>
      </c>
      <c r="R251" s="20" t="n">
        <v>70</v>
      </c>
      <c r="S251" s="20" t="n">
        <v>70</v>
      </c>
      <c r="T251" s="20" t="n">
        <v>47</v>
      </c>
      <c r="U251" s="20" t="n">
        <v>24</v>
      </c>
      <c r="V251" s="20" t="n">
        <v>8</v>
      </c>
      <c r="W251" s="20" t="n">
        <v>8</v>
      </c>
      <c r="X251" s="20" t="n">
        <v>17</v>
      </c>
    </row>
    <row r="252">
      <c r="A252" s="18" t="inlineStr">
        <is>
          <t>외환차손익</t>
        </is>
      </c>
      <c r="E252" s="20" t="n">
        <v>-1190</v>
      </c>
      <c r="I252" s="20" t="n">
        <v>-76</v>
      </c>
      <c r="M252" s="20" t="n">
        <v>-274</v>
      </c>
      <c r="O252" s="20" t="n">
        <v>13451</v>
      </c>
      <c r="P252" s="20" t="n">
        <v>-1454</v>
      </c>
      <c r="Q252" s="20" t="n">
        <v>2742</v>
      </c>
      <c r="R252" s="20" t="n">
        <v>1390</v>
      </c>
      <c r="S252" s="20" t="n">
        <v>420</v>
      </c>
      <c r="T252" s="20" t="n">
        <v>-410</v>
      </c>
      <c r="U252" s="20" t="n">
        <v>2608</v>
      </c>
      <c r="V252" s="20" t="n">
        <v>-1190</v>
      </c>
      <c r="W252" s="20" t="n">
        <v>-76</v>
      </c>
      <c r="X252" s="20" t="n">
        <v>-274</v>
      </c>
    </row>
    <row r="253">
      <c r="A253" s="18" t="inlineStr">
        <is>
          <t>지분법손익</t>
        </is>
      </c>
      <c r="E253" s="20" t="n">
        <v>-9918</v>
      </c>
      <c r="I253" s="20" t="n">
        <v>-15447</v>
      </c>
      <c r="M253" s="20" t="n">
        <v>-16309</v>
      </c>
      <c r="O253" s="20" t="n">
        <v>-963</v>
      </c>
      <c r="P253" s="20" t="n">
        <v>-5</v>
      </c>
      <c r="Q253" s="20" t="n">
        <v>-1034</v>
      </c>
      <c r="R253" s="20" t="n">
        <v>-934</v>
      </c>
      <c r="S253" s="20" t="n">
        <v>-687</v>
      </c>
      <c r="T253" s="20" t="n">
        <v>-1172</v>
      </c>
      <c r="U253" s="20" t="n">
        <v>-758</v>
      </c>
      <c r="V253" s="20" t="n">
        <v>-9918</v>
      </c>
      <c r="W253" s="20" t="n">
        <v>-15447</v>
      </c>
      <c r="X253" s="20" t="n">
        <v>-16309</v>
      </c>
    </row>
    <row r="254">
      <c r="A254" s="18" t="inlineStr">
        <is>
          <t>투자사업조합 운용 손익(△는 이익)</t>
        </is>
      </c>
      <c r="O254" s="20" t="n">
        <v>0</v>
      </c>
      <c r="P254" s="20" t="n">
        <v>54</v>
      </c>
      <c r="Q254" s="20" t="n">
        <v>21</v>
      </c>
      <c r="R254" s="20" t="n">
        <v>-75</v>
      </c>
      <c r="S254" s="20" t="n">
        <v>125</v>
      </c>
      <c r="T254" s="20" t="n">
        <v>-88</v>
      </c>
      <c r="U254" s="20" t="n">
        <v>-0</v>
      </c>
    </row>
    <row r="255">
      <c r="A255" s="18" t="inlineStr">
        <is>
          <t>투자유가증권 매각손익</t>
        </is>
      </c>
      <c r="E255" s="20" t="n">
        <v>-65</v>
      </c>
      <c r="I255" s="20" t="n">
        <v>-79</v>
      </c>
      <c r="M255" s="20" t="n">
        <v>-286</v>
      </c>
      <c r="O255" s="20" t="n">
        <v>-430</v>
      </c>
      <c r="P255" s="20" t="n">
        <v>-532</v>
      </c>
      <c r="Q255" s="20" t="n">
        <v>-741</v>
      </c>
      <c r="R255" s="20" t="n">
        <v>-2598</v>
      </c>
      <c r="S255" s="20" t="n">
        <v>-73</v>
      </c>
      <c r="T255" s="20" t="n">
        <v>-190</v>
      </c>
      <c r="U255" s="20" t="n">
        <v>0</v>
      </c>
      <c r="V255" s="20" t="n">
        <v>-65</v>
      </c>
      <c r="W255" s="20" t="n">
        <v>-79</v>
      </c>
      <c r="X255" s="20" t="n">
        <v>-286</v>
      </c>
    </row>
    <row r="256">
      <c r="A256" s="18" t="inlineStr">
        <is>
          <t>투자유가증권 평가손익</t>
        </is>
      </c>
      <c r="E256" s="20" t="n">
        <v>95</v>
      </c>
      <c r="I256" s="20" t="n">
        <v>15</v>
      </c>
      <c r="M256" s="20" t="n">
        <v>0</v>
      </c>
      <c r="O256" s="20" t="n">
        <v>1</v>
      </c>
      <c r="P256" s="20" t="n">
        <v>0</v>
      </c>
      <c r="Q256" s="20" t="n">
        <v>0</v>
      </c>
      <c r="R256" s="20" t="n">
        <v>168</v>
      </c>
      <c r="S256" s="20" t="n">
        <v>55</v>
      </c>
      <c r="T256" s="20" t="n">
        <v>2</v>
      </c>
      <c r="U256" s="20" t="n">
        <v>307</v>
      </c>
      <c r="V256" s="20" t="n">
        <v>95</v>
      </c>
      <c r="W256" s="20" t="n">
        <v>15</v>
      </c>
      <c r="X256" s="20" t="n">
        <v>0</v>
      </c>
    </row>
    <row r="257">
      <c r="A257" s="18" t="inlineStr">
        <is>
          <t>관계회사 주식 매각손익</t>
        </is>
      </c>
      <c r="E257" s="20" t="n">
        <v>0</v>
      </c>
      <c r="O257" s="20" t="n">
        <v>-1560</v>
      </c>
      <c r="P257" s="20" t="n">
        <v>0</v>
      </c>
      <c r="Q257" s="20" t="n">
        <v>-0</v>
      </c>
      <c r="R257" s="20" t="n">
        <v>0</v>
      </c>
      <c r="S257" s="20" t="n">
        <v>104</v>
      </c>
      <c r="T257" s="20" t="n">
        <v>-468</v>
      </c>
      <c r="U257" s="20" t="n">
        <v>-5758</v>
      </c>
      <c r="V257" s="20" t="n">
        <v>0</v>
      </c>
    </row>
    <row r="258">
      <c r="A258" s="18" t="inlineStr">
        <is>
          <t>사업구조개선비용</t>
        </is>
      </c>
      <c r="O258" s="20" t="n">
        <v>21</v>
      </c>
      <c r="P258" s="20" t="n">
        <v>0</v>
      </c>
    </row>
    <row r="259">
      <c r="A259" s="18" t="inlineStr">
        <is>
          <t>관계회사 주식 평가손실</t>
        </is>
      </c>
      <c r="P259" s="20" t="n">
        <v>0</v>
      </c>
      <c r="Q259" s="20" t="n">
        <v>92</v>
      </c>
      <c r="R259" s="20" t="n">
        <v>0</v>
      </c>
    </row>
    <row r="260">
      <c r="A260" s="18" t="inlineStr">
        <is>
          <t>Decrease Increase In Cash Segregated As Deposits Ope CFSEC</t>
        </is>
      </c>
      <c r="S260" s="20" t="n">
        <v>0</v>
      </c>
      <c r="T260" s="20" t="n">
        <v>99</v>
      </c>
      <c r="U260" s="20" t="n">
        <v>49</v>
      </c>
    </row>
    <row r="261">
      <c r="A261" s="18" t="inlineStr">
        <is>
          <t>Decrease Increase In Trading Products Assets Ope CFSEC</t>
        </is>
      </c>
      <c r="O261" s="20" t="n">
        <v>324</v>
      </c>
      <c r="P261" s="20" t="n">
        <v>-779</v>
      </c>
      <c r="Q261" s="20" t="n">
        <v>189</v>
      </c>
      <c r="R261" s="20" t="n">
        <v>357</v>
      </c>
      <c r="S261" s="20" t="n">
        <v>-132</v>
      </c>
      <c r="T261" s="20" t="n">
        <v>-141</v>
      </c>
      <c r="U261" s="20" t="n">
        <v>0</v>
      </c>
    </row>
    <row r="262">
      <c r="A262" s="18" t="inlineStr">
        <is>
          <t>예수금 증감</t>
        </is>
      </c>
      <c r="E262" s="20" t="n">
        <v>43</v>
      </c>
      <c r="I262" s="20" t="n">
        <v>-32</v>
      </c>
      <c r="M262" s="20" t="n">
        <v>-3</v>
      </c>
      <c r="O262" s="20" t="n">
        <v>-194</v>
      </c>
      <c r="P262" s="20" t="n">
        <v>-158</v>
      </c>
      <c r="Q262" s="20" t="n">
        <v>-952</v>
      </c>
      <c r="R262" s="20" t="n">
        <v>1451</v>
      </c>
      <c r="S262" s="20" t="n">
        <v>1275</v>
      </c>
      <c r="T262" s="20" t="n">
        <v>-492</v>
      </c>
      <c r="U262" s="20" t="n">
        <v>-1</v>
      </c>
      <c r="V262" s="20" t="n">
        <v>43</v>
      </c>
      <c r="W262" s="20" t="n">
        <v>-32</v>
      </c>
      <c r="X262" s="20" t="n">
        <v>-3</v>
      </c>
    </row>
    <row r="263">
      <c r="A263" s="18" t="inlineStr">
        <is>
          <t>Increase Decrease In Guarantee Deposits Received Ope CFSEC</t>
        </is>
      </c>
      <c r="O263" s="20" t="n">
        <v>-659</v>
      </c>
      <c r="P263" s="20" t="n">
        <v>901</v>
      </c>
      <c r="Q263" s="20" t="n">
        <v>-1648</v>
      </c>
      <c r="R263" s="20" t="n">
        <v>230</v>
      </c>
      <c r="S263" s="20" t="n">
        <v>-391</v>
      </c>
      <c r="T263" s="20" t="n">
        <v>381</v>
      </c>
      <c r="U263" s="20" t="n">
        <v>0</v>
      </c>
    </row>
    <row r="264">
      <c r="A264" s="18" t="inlineStr">
        <is>
          <t>Decrease Increase In Margin Transaction Assets Ope CFSEC</t>
        </is>
      </c>
      <c r="O264" s="20" t="n">
        <v>823</v>
      </c>
      <c r="P264" s="20" t="n">
        <v>-2358</v>
      </c>
      <c r="Q264" s="20" t="n">
        <v>7151</v>
      </c>
      <c r="R264" s="20" t="n">
        <v>1882</v>
      </c>
      <c r="S264" s="20" t="n">
        <v>-1282</v>
      </c>
      <c r="T264" s="20" t="n">
        <v>264</v>
      </c>
      <c r="U264" s="20" t="n">
        <v>0</v>
      </c>
    </row>
    <row r="265">
      <c r="A265" s="18" t="inlineStr">
        <is>
          <t>Increase Decrease In Margin Transaction Liabilities Ope CFSEC</t>
        </is>
      </c>
      <c r="O265" s="20" t="n">
        <v>-1883</v>
      </c>
      <c r="P265" s="20" t="n">
        <v>580</v>
      </c>
      <c r="Q265" s="20" t="n">
        <v>-5919</v>
      </c>
      <c r="R265" s="20" t="n">
        <v>-1147</v>
      </c>
      <c r="S265" s="20" t="n">
        <v>2344</v>
      </c>
      <c r="T265" s="20" t="n">
        <v>805</v>
      </c>
      <c r="U265" s="20" t="n">
        <v>0</v>
      </c>
    </row>
    <row r="266">
      <c r="A266" s="18" t="inlineStr">
        <is>
          <t>Decrease Increase In Loans Secured By Securities Ope CFSEC</t>
        </is>
      </c>
      <c r="P266" s="20" t="n">
        <v>0</v>
      </c>
      <c r="Q266" s="20" t="n">
        <v>-76</v>
      </c>
      <c r="R266" s="20" t="n">
        <v>76</v>
      </c>
      <c r="S266" s="20" t="n">
        <v>0</v>
      </c>
    </row>
    <row r="267">
      <c r="A267" s="18" t="inlineStr">
        <is>
          <t>Increase Decrease In Borrowings Secured By Securities Ope CFSEC</t>
        </is>
      </c>
      <c r="P267" s="20" t="n">
        <v>0</v>
      </c>
      <c r="Q267" s="20" t="n">
        <v>369</v>
      </c>
      <c r="R267" s="20" t="n">
        <v>-161</v>
      </c>
      <c r="S267" s="20" t="n">
        <v>-93</v>
      </c>
      <c r="T267" s="20" t="n">
        <v>-114</v>
      </c>
      <c r="U267" s="20" t="n">
        <v>0</v>
      </c>
    </row>
    <row r="268">
      <c r="A268" s="18" t="inlineStr">
        <is>
          <t>Decrease Increase In Short Term Guarantee Deposits Ope CFSEC</t>
        </is>
      </c>
      <c r="O268" s="20" t="n">
        <v>40</v>
      </c>
      <c r="P268" s="20" t="n">
        <v>775</v>
      </c>
      <c r="Q268" s="20" t="n">
        <v>-15</v>
      </c>
      <c r="R268" s="20" t="n">
        <v>-17</v>
      </c>
      <c r="S268" s="20" t="n">
        <v>102</v>
      </c>
      <c r="T268" s="20" t="n">
        <v>-83</v>
      </c>
      <c r="U268" s="20" t="n">
        <v>0</v>
      </c>
    </row>
    <row r="269">
      <c r="A269" s="18" t="inlineStr">
        <is>
          <t>Decrease Increase In Cash Segregated As Deposits For Customers Ope CFSEC</t>
        </is>
      </c>
      <c r="O269" s="20" t="n">
        <v>321</v>
      </c>
      <c r="P269" s="20" t="n">
        <v>-2449</v>
      </c>
      <c r="Q269" s="20" t="n">
        <v>2310</v>
      </c>
      <c r="R269" s="20" t="n">
        <v>460</v>
      </c>
      <c r="S269" s="20" t="n">
        <v>-3264</v>
      </c>
      <c r="T269" s="20" t="n">
        <v>2300</v>
      </c>
      <c r="U269" s="20" t="n">
        <v>0</v>
      </c>
    </row>
    <row r="270">
      <c r="A270" s="18" t="inlineStr">
        <is>
          <t>Net Decrease Increase In Debentures Ope CF</t>
        </is>
      </c>
      <c r="E270" s="20" t="n">
        <v>2214</v>
      </c>
      <c r="I270" s="20" t="n">
        <v>0</v>
      </c>
      <c r="O270" s="20" t="n">
        <v>-22507</v>
      </c>
      <c r="P270" s="20" t="n">
        <v>3651</v>
      </c>
      <c r="Q270" s="20" t="n">
        <v>10896</v>
      </c>
      <c r="R270" s="20" t="n">
        <v>5526</v>
      </c>
      <c r="S270" s="20" t="n">
        <v>5454</v>
      </c>
      <c r="T270" s="20" t="n">
        <v>5525</v>
      </c>
      <c r="U270" s="20" t="n">
        <v>92</v>
      </c>
      <c r="V270" s="20" t="n">
        <v>2214</v>
      </c>
      <c r="W270" s="20" t="n">
        <v>0</v>
      </c>
    </row>
    <row r="271">
      <c r="A271" s="18" t="inlineStr">
        <is>
          <t>대출금 순증감</t>
        </is>
      </c>
      <c r="E271" s="20" t="n">
        <v>-19246</v>
      </c>
      <c r="I271" s="20" t="n">
        <v>1193</v>
      </c>
      <c r="M271" s="20" t="n">
        <v>-1241</v>
      </c>
      <c r="O271" s="20" t="n">
        <v>-12015</v>
      </c>
      <c r="P271" s="20" t="n">
        <v>-15306</v>
      </c>
      <c r="Q271" s="20" t="n">
        <v>-40297</v>
      </c>
      <c r="R271" s="20" t="n">
        <v>-20426</v>
      </c>
      <c r="S271" s="20" t="n">
        <v>-12181</v>
      </c>
      <c r="T271" s="20" t="n">
        <v>-67790</v>
      </c>
      <c r="U271" s="20" t="n">
        <v>-39526</v>
      </c>
      <c r="V271" s="20" t="n">
        <v>-19246</v>
      </c>
      <c r="W271" s="20" t="n">
        <v>1193</v>
      </c>
      <c r="X271" s="20" t="n">
        <v>-1241</v>
      </c>
    </row>
    <row r="272">
      <c r="A272" s="18" t="inlineStr">
        <is>
          <t>Net Increase Decrease In Payables Under Repurchase Agreements Ope CF</t>
        </is>
      </c>
      <c r="E272" s="20" t="n">
        <v>-2294</v>
      </c>
      <c r="I272" s="20" t="n">
        <v>0</v>
      </c>
      <c r="M272" s="20" t="n">
        <v>348</v>
      </c>
      <c r="Q272" s="20" t="n">
        <v>4460</v>
      </c>
      <c r="R272" s="20" t="n">
        <v>4005</v>
      </c>
      <c r="S272" s="20" t="n">
        <v>-4141</v>
      </c>
      <c r="T272" s="20" t="n">
        <v>6432</v>
      </c>
      <c r="U272" s="20" t="n">
        <v>-8088</v>
      </c>
      <c r="V272" s="20" t="n">
        <v>-2294</v>
      </c>
      <c r="W272" s="20" t="n">
        <v>0</v>
      </c>
      <c r="X272" s="20" t="n">
        <v>348</v>
      </c>
    </row>
    <row r="273">
      <c r="A273" s="18" t="inlineStr">
        <is>
          <t>예금 순증감</t>
        </is>
      </c>
      <c r="E273" s="20" t="n">
        <v>-2565</v>
      </c>
      <c r="I273" s="20" t="n">
        <v>-1662</v>
      </c>
      <c r="M273" s="20" t="n">
        <v>-534</v>
      </c>
      <c r="O273" s="20" t="n">
        <v>47525</v>
      </c>
      <c r="P273" s="20" t="n">
        <v>42958</v>
      </c>
      <c r="Q273" s="20" t="n">
        <v>67912</v>
      </c>
      <c r="R273" s="20" t="n">
        <v>37365</v>
      </c>
      <c r="S273" s="20" t="n">
        <v>75836</v>
      </c>
      <c r="T273" s="20" t="n">
        <v>36305</v>
      </c>
      <c r="U273" s="20" t="n">
        <v>43224</v>
      </c>
      <c r="V273" s="20" t="n">
        <v>-2565</v>
      </c>
      <c r="W273" s="20" t="n">
        <v>-1662</v>
      </c>
      <c r="X273" s="20" t="n">
        <v>-534</v>
      </c>
    </row>
    <row r="274">
      <c r="A274" s="18" t="inlineStr">
        <is>
          <t>Increase Decrease In Reserve For Financial Products Transaction Liabilities Ope CFSEC</t>
        </is>
      </c>
      <c r="O274" s="20" t="n">
        <v>6</v>
      </c>
      <c r="P274" s="20" t="n">
        <v>0</v>
      </c>
    </row>
    <row r="275">
      <c r="A275" s="18" t="inlineStr">
        <is>
          <t>Net Increase In Mandatory Cash Balances With The Bank Of Mongolia Ope CF</t>
        </is>
      </c>
      <c r="E275" s="20" t="n">
        <v>-4352</v>
      </c>
      <c r="I275" s="20" t="n">
        <v>0</v>
      </c>
      <c r="O275" s="20" t="n">
        <v>-6076</v>
      </c>
      <c r="P275" s="20" t="n">
        <v>-3498</v>
      </c>
      <c r="Q275" s="20" t="n">
        <v>-4115</v>
      </c>
      <c r="R275" s="20" t="n">
        <v>-5533</v>
      </c>
      <c r="S275" s="20" t="n">
        <v>168</v>
      </c>
      <c r="T275" s="20" t="n">
        <v>-2554</v>
      </c>
      <c r="U275" s="20" t="n">
        <v>-6722</v>
      </c>
      <c r="V275" s="20" t="n">
        <v>-4352</v>
      </c>
      <c r="W275" s="20" t="n">
        <v>0</v>
      </c>
    </row>
    <row r="276">
      <c r="A276" s="18" t="inlineStr">
        <is>
          <t>파생상품 평가손익</t>
        </is>
      </c>
      <c r="O276" s="20" t="n">
        <v>1193</v>
      </c>
      <c r="P276" s="20" t="n">
        <v>1189</v>
      </c>
      <c r="Q276" s="20" t="n">
        <v>592</v>
      </c>
      <c r="R276" s="20" t="n">
        <v>109</v>
      </c>
      <c r="S276" s="20" t="n">
        <v>160</v>
      </c>
      <c r="T276" s="20" t="n">
        <v>7</v>
      </c>
      <c r="U276" s="20" t="n">
        <v>-658</v>
      </c>
    </row>
    <row r="277">
      <c r="A277" s="18" t="inlineStr">
        <is>
          <t>재고자산 증감</t>
        </is>
      </c>
      <c r="E277" s="20" t="n">
        <v>-188</v>
      </c>
      <c r="I277" s="20" t="n">
        <v>-167</v>
      </c>
      <c r="M277" s="20" t="n">
        <v>-1511</v>
      </c>
      <c r="T277" s="20" t="n">
        <v>0</v>
      </c>
      <c r="U277" s="20" t="n">
        <v>-283</v>
      </c>
      <c r="V277" s="20" t="n">
        <v>-188</v>
      </c>
      <c r="W277" s="20" t="n">
        <v>-167</v>
      </c>
      <c r="X277" s="20" t="n">
        <v>-1511</v>
      </c>
    </row>
    <row r="278">
      <c r="A278" s="18" t="inlineStr">
        <is>
          <t>기타</t>
        </is>
      </c>
      <c r="E278" s="20" t="n">
        <v>-1328</v>
      </c>
      <c r="I278" s="20" t="n">
        <v>-955</v>
      </c>
      <c r="M278" s="20" t="n">
        <v>-1641</v>
      </c>
      <c r="O278" s="20" t="n">
        <v>-7454</v>
      </c>
      <c r="P278" s="20" t="n">
        <v>1025</v>
      </c>
      <c r="Q278" s="20" t="n">
        <v>-2852</v>
      </c>
      <c r="R278" s="20" t="n">
        <v>3130</v>
      </c>
      <c r="S278" s="20" t="n">
        <v>342</v>
      </c>
      <c r="T278" s="20" t="n">
        <v>-1313</v>
      </c>
      <c r="U278" s="20" t="n">
        <v>-1783</v>
      </c>
      <c r="V278" s="20" t="n">
        <v>-1328</v>
      </c>
      <c r="W278" s="20" t="n">
        <v>-955</v>
      </c>
      <c r="X278" s="20" t="n">
        <v>-1641</v>
      </c>
    </row>
    <row r="279">
      <c r="A279" s="18" t="inlineStr">
        <is>
          <t>소계</t>
        </is>
      </c>
      <c r="E279" s="20" t="n">
        <v>-21349</v>
      </c>
      <c r="I279" s="20" t="n">
        <v>-501</v>
      </c>
      <c r="M279" s="20" t="n">
        <v>-3174</v>
      </c>
      <c r="O279" s="20" t="n">
        <v>23096</v>
      </c>
      <c r="P279" s="20" t="n">
        <v>37864</v>
      </c>
      <c r="Q279" s="20" t="n">
        <v>54245</v>
      </c>
      <c r="R279" s="20" t="n">
        <v>43341</v>
      </c>
      <c r="S279" s="20" t="n">
        <v>79481</v>
      </c>
      <c r="T279" s="20" t="n">
        <v>1848</v>
      </c>
      <c r="U279" s="20" t="n">
        <v>24583</v>
      </c>
      <c r="V279" s="20" t="n">
        <v>-21349</v>
      </c>
      <c r="W279" s="20" t="n">
        <v>-501</v>
      </c>
      <c r="X279" s="20" t="n">
        <v>-3174</v>
      </c>
    </row>
    <row r="280">
      <c r="A280" s="18" t="inlineStr">
        <is>
          <t>이자·배당금 수취</t>
        </is>
      </c>
      <c r="E280" s="20" t="n">
        <v>337</v>
      </c>
      <c r="I280" s="20" t="n">
        <v>6522</v>
      </c>
      <c r="M280" s="20" t="n">
        <v>8033</v>
      </c>
      <c r="O280" s="20" t="n">
        <v>341</v>
      </c>
      <c r="P280" s="20" t="n">
        <v>388</v>
      </c>
      <c r="Q280" s="20" t="n">
        <v>429</v>
      </c>
      <c r="R280" s="20" t="n">
        <v>1000</v>
      </c>
      <c r="S280" s="20" t="n">
        <v>914</v>
      </c>
      <c r="T280" s="20" t="n">
        <v>818</v>
      </c>
      <c r="U280" s="20" t="n">
        <v>178</v>
      </c>
      <c r="V280" s="20" t="n">
        <v>337</v>
      </c>
      <c r="W280" s="20" t="n">
        <v>6522</v>
      </c>
      <c r="X280" s="20" t="n">
        <v>8033</v>
      </c>
    </row>
    <row r="281">
      <c r="A281" s="18" t="inlineStr">
        <is>
          <t>이자 지급</t>
        </is>
      </c>
      <c r="E281" s="20" t="n">
        <v>-16</v>
      </c>
      <c r="I281" s="20" t="n">
        <v>-16</v>
      </c>
      <c r="M281" s="20" t="n">
        <v>-23</v>
      </c>
      <c r="O281" s="20" t="n">
        <v>-66</v>
      </c>
      <c r="P281" s="20" t="n">
        <v>-80</v>
      </c>
      <c r="Q281" s="20" t="n">
        <v>-91</v>
      </c>
      <c r="R281" s="20" t="n">
        <v>-70</v>
      </c>
      <c r="S281" s="20" t="n">
        <v>-70</v>
      </c>
      <c r="T281" s="20" t="n">
        <v>-47</v>
      </c>
      <c r="U281" s="20" t="n">
        <v>-24</v>
      </c>
      <c r="V281" s="20" t="n">
        <v>-16</v>
      </c>
      <c r="W281" s="20" t="n">
        <v>-16</v>
      </c>
      <c r="X281" s="20" t="n">
        <v>-23</v>
      </c>
    </row>
    <row r="282">
      <c r="A282" s="18" t="inlineStr">
        <is>
          <t>법인세 납부</t>
        </is>
      </c>
      <c r="E282" s="20" t="n">
        <v>-4691</v>
      </c>
      <c r="I282" s="20" t="n">
        <v>-1506</v>
      </c>
      <c r="M282" s="20" t="n">
        <v>-2659</v>
      </c>
      <c r="O282" s="20" t="n">
        <v>-520</v>
      </c>
      <c r="P282" s="20" t="n">
        <v>-455</v>
      </c>
      <c r="Q282" s="20" t="n">
        <v>-2249</v>
      </c>
      <c r="R282" s="20" t="n">
        <v>-2932</v>
      </c>
      <c r="S282" s="20" t="n">
        <v>-2687</v>
      </c>
      <c r="T282" s="20" t="n">
        <v>-7641</v>
      </c>
      <c r="U282" s="20" t="n">
        <v>-7423</v>
      </c>
      <c r="V282" s="20" t="n">
        <v>-4691</v>
      </c>
      <c r="W282" s="20" t="n">
        <v>-1506</v>
      </c>
      <c r="X282" s="20" t="n">
        <v>-2659</v>
      </c>
    </row>
    <row r="283">
      <c r="A283" s="18" t="inlineStr">
        <is>
          <t>법인세 환급</t>
        </is>
      </c>
      <c r="E283" s="20" t="n">
        <v>133</v>
      </c>
      <c r="I283" s="20" t="n">
        <v>35</v>
      </c>
      <c r="M283" s="20" t="n">
        <v>0</v>
      </c>
      <c r="O283" s="20" t="n">
        <v>128</v>
      </c>
      <c r="P283" s="20" t="n">
        <v>17</v>
      </c>
      <c r="Q283" s="20" t="n">
        <v>79</v>
      </c>
      <c r="R283" s="20" t="n">
        <v>105</v>
      </c>
      <c r="S283" s="20" t="n">
        <v>0</v>
      </c>
      <c r="T283" s="20" t="n">
        <v>235</v>
      </c>
      <c r="U283" s="20" t="n">
        <v>1191</v>
      </c>
      <c r="V283" s="20" t="n">
        <v>133</v>
      </c>
      <c r="W283" s="20" t="n">
        <v>35</v>
      </c>
      <c r="X283" s="20" t="n">
        <v>0</v>
      </c>
    </row>
    <row r="284">
      <c r="A284" s="9" t="inlineStr">
        <is>
          <t>영업활동 현금흐름</t>
        </is>
      </c>
      <c r="E284" s="12" t="n">
        <v>-25586</v>
      </c>
      <c r="I284" s="12" t="n">
        <v>4532</v>
      </c>
      <c r="M284" s="12" t="n">
        <v>2176</v>
      </c>
      <c r="O284" s="12" t="n">
        <v>22979</v>
      </c>
      <c r="P284" s="12" t="n">
        <v>37735</v>
      </c>
      <c r="Q284" s="12" t="n">
        <v>52412</v>
      </c>
      <c r="R284" s="12" t="n">
        <v>41444</v>
      </c>
      <c r="S284" s="12" t="n">
        <v>77637</v>
      </c>
      <c r="T284" s="12" t="n">
        <v>-4785</v>
      </c>
      <c r="U284" s="12" t="n">
        <v>18505</v>
      </c>
      <c r="V284" s="12" t="n">
        <v>-25586</v>
      </c>
      <c r="W284" s="12" t="n">
        <v>4532</v>
      </c>
      <c r="X284" s="12" t="n">
        <v>2176</v>
      </c>
    </row>
    <row r="285">
      <c r="A285" s="18" t="inlineStr">
        <is>
          <t>유형자산 취득(설비투자)</t>
        </is>
      </c>
      <c r="E285" s="20" t="n">
        <v>-914</v>
      </c>
      <c r="I285" s="20" t="n">
        <v>-1821</v>
      </c>
      <c r="M285" s="20" t="n">
        <v>-444</v>
      </c>
      <c r="O285" s="20" t="n">
        <v>-5225</v>
      </c>
      <c r="P285" s="20" t="n">
        <v>-4015</v>
      </c>
      <c r="Q285" s="20" t="n">
        <v>-3223</v>
      </c>
      <c r="R285" s="20" t="n">
        <v>-4255</v>
      </c>
      <c r="S285" s="20" t="n">
        <v>-1990</v>
      </c>
      <c r="T285" s="20" t="n">
        <v>-1802</v>
      </c>
      <c r="U285" s="20" t="n">
        <v>-2660</v>
      </c>
      <c r="V285" s="20" t="n">
        <v>-914</v>
      </c>
      <c r="W285" s="20" t="n">
        <v>-1821</v>
      </c>
      <c r="X285" s="20" t="n">
        <v>-444</v>
      </c>
    </row>
    <row r="286">
      <c r="A286" s="18" t="inlineStr">
        <is>
          <t>유형자산 매각</t>
        </is>
      </c>
      <c r="E286" s="20" t="n">
        <v>8</v>
      </c>
      <c r="I286" s="20" t="n">
        <v>0</v>
      </c>
      <c r="O286" s="20" t="n">
        <v>57</v>
      </c>
      <c r="P286" s="20" t="n">
        <v>43</v>
      </c>
      <c r="Q286" s="20" t="n">
        <v>0</v>
      </c>
      <c r="R286" s="20" t="n">
        <v>0</v>
      </c>
      <c r="T286" s="20" t="n">
        <v>0</v>
      </c>
      <c r="U286" s="20" t="n">
        <v>87</v>
      </c>
      <c r="V286" s="20" t="n">
        <v>8</v>
      </c>
      <c r="W286" s="20" t="n">
        <v>0</v>
      </c>
    </row>
    <row r="287">
      <c r="A287" s="18" t="inlineStr">
        <is>
          <t>무형자산 취득</t>
        </is>
      </c>
      <c r="E287" s="20" t="n">
        <v>-131</v>
      </c>
      <c r="I287" s="20" t="n">
        <v>-60</v>
      </c>
      <c r="M287" s="20" t="n">
        <v>-120</v>
      </c>
      <c r="O287" s="20" t="n">
        <v>-889</v>
      </c>
      <c r="P287" s="20" t="n">
        <v>-509</v>
      </c>
      <c r="Q287" s="20" t="n">
        <v>-587</v>
      </c>
      <c r="R287" s="20" t="n">
        <v>-1115</v>
      </c>
      <c r="S287" s="20" t="n">
        <v>-832</v>
      </c>
      <c r="T287" s="20" t="n">
        <v>-885</v>
      </c>
      <c r="U287" s="20" t="n">
        <v>-725</v>
      </c>
      <c r="V287" s="20" t="n">
        <v>-131</v>
      </c>
      <c r="W287" s="20" t="n">
        <v>-60</v>
      </c>
      <c r="X287" s="20" t="n">
        <v>-120</v>
      </c>
    </row>
    <row r="288">
      <c r="A288" s="18" t="inlineStr">
        <is>
          <t>투자유가증권 취득</t>
        </is>
      </c>
      <c r="E288" s="20" t="n">
        <v>-12214</v>
      </c>
      <c r="I288" s="20" t="n">
        <v>-421</v>
      </c>
      <c r="M288" s="20" t="n">
        <v>-259</v>
      </c>
      <c r="O288" s="20" t="n">
        <v>-3648</v>
      </c>
      <c r="P288" s="20" t="n">
        <v>-13716</v>
      </c>
      <c r="Q288" s="20" t="n">
        <v>-4355</v>
      </c>
      <c r="R288" s="20" t="n">
        <v>-2753</v>
      </c>
      <c r="S288" s="20" t="n">
        <v>-13852</v>
      </c>
      <c r="T288" s="20" t="n">
        <v>-14310</v>
      </c>
      <c r="U288" s="20" t="n">
        <v>-32034</v>
      </c>
      <c r="V288" s="20" t="n">
        <v>-12214</v>
      </c>
      <c r="W288" s="20" t="n">
        <v>-421</v>
      </c>
      <c r="X288" s="20" t="n">
        <v>-259</v>
      </c>
    </row>
    <row r="289">
      <c r="A289" s="18" t="inlineStr">
        <is>
          <t>투자유가증권 매각·상환 수입</t>
        </is>
      </c>
      <c r="E289" s="20" t="n">
        <v>7899</v>
      </c>
      <c r="I289" s="20" t="n">
        <v>450</v>
      </c>
      <c r="M289" s="20" t="n">
        <v>2398</v>
      </c>
      <c r="O289" s="20" t="n">
        <v>6122</v>
      </c>
      <c r="P289" s="20" t="n">
        <v>17997</v>
      </c>
      <c r="Q289" s="20" t="n">
        <v>3959</v>
      </c>
      <c r="R289" s="20" t="n">
        <v>6401</v>
      </c>
      <c r="S289" s="20" t="n">
        <v>5627</v>
      </c>
      <c r="T289" s="20" t="n">
        <v>7335</v>
      </c>
      <c r="U289" s="20" t="n">
        <v>7690</v>
      </c>
      <c r="V289" s="20" t="n">
        <v>7899</v>
      </c>
      <c r="W289" s="20" t="n">
        <v>450</v>
      </c>
      <c r="X289" s="20" t="n">
        <v>2398</v>
      </c>
    </row>
    <row r="290">
      <c r="A290" s="18" t="inlineStr">
        <is>
          <t>관계회사 주식 매각</t>
        </is>
      </c>
      <c r="E290" s="20" t="n">
        <v>0</v>
      </c>
      <c r="I290" s="20" t="n">
        <v>0</v>
      </c>
      <c r="O290" s="20" t="n">
        <v>1033</v>
      </c>
      <c r="P290" s="20" t="n">
        <v>1</v>
      </c>
      <c r="Q290" s="20" t="n">
        <v>0</v>
      </c>
      <c r="R290" s="20" t="n">
        <v>0</v>
      </c>
      <c r="T290" s="20" t="n">
        <v>0</v>
      </c>
      <c r="U290" s="20" t="n">
        <v>12900</v>
      </c>
      <c r="V290" s="20" t="n">
        <v>0</v>
      </c>
      <c r="W290" s="20" t="n">
        <v>0</v>
      </c>
    </row>
    <row r="291">
      <c r="A291" s="18" t="inlineStr">
        <is>
          <t>연결범위 변경 자회사 주식 취득(수입)</t>
        </is>
      </c>
      <c r="O291" s="20" t="n">
        <v>0</v>
      </c>
      <c r="P291" s="20" t="n">
        <v>1077</v>
      </c>
      <c r="Q291" s="20" t="n">
        <v>0</v>
      </c>
    </row>
    <row r="292">
      <c r="A292" s="18" t="inlineStr">
        <is>
          <t>관계회사 정리 수입</t>
        </is>
      </c>
      <c r="O292" s="20" t="n">
        <v>0</v>
      </c>
      <c r="P292" s="20" t="n">
        <v>164</v>
      </c>
      <c r="Q292" s="20" t="n">
        <v>0</v>
      </c>
    </row>
    <row r="293">
      <c r="A293" s="18" t="inlineStr">
        <is>
          <t>Proceeds From Purchase Of Subsidiaries Resulting In Change In Scope Of Consolidation Inv CF</t>
        </is>
      </c>
      <c r="E293" s="20" t="n">
        <v>0</v>
      </c>
      <c r="T293" s="20" t="n">
        <v>0</v>
      </c>
      <c r="U293" s="20" t="n">
        <v>1646</v>
      </c>
      <c r="V293" s="20" t="n">
        <v>0</v>
      </c>
    </row>
    <row r="294">
      <c r="A294" s="18" t="inlineStr">
        <is>
          <t>연결범위 변경 자회사 주식 매각</t>
        </is>
      </c>
      <c r="E294" s="20" t="n">
        <v>0</v>
      </c>
      <c r="O294" s="20" t="n">
        <v>877</v>
      </c>
      <c r="P294" s="20" t="n">
        <v>0</v>
      </c>
      <c r="R294" s="20" t="n">
        <v>0</v>
      </c>
      <c r="S294" s="20" t="n">
        <v>39</v>
      </c>
      <c r="T294" s="20" t="n">
        <v>1676</v>
      </c>
      <c r="U294" s="20" t="n">
        <v>1763</v>
      </c>
      <c r="V294" s="20" t="n">
        <v>0</v>
      </c>
    </row>
    <row r="295">
      <c r="A295" s="18" t="inlineStr">
        <is>
          <t>관계회사 주식 취득</t>
        </is>
      </c>
      <c r="E295" s="20" t="n">
        <v>0</v>
      </c>
      <c r="I295" s="20" t="n">
        <v>0</v>
      </c>
      <c r="M295" s="20" t="n">
        <v>-4</v>
      </c>
      <c r="O295" s="20" t="n">
        <v>-75</v>
      </c>
      <c r="P295" s="20" t="n">
        <v>-67</v>
      </c>
      <c r="Q295" s="20" t="n">
        <v>-32</v>
      </c>
      <c r="R295" s="20" t="n">
        <v>0</v>
      </c>
      <c r="T295" s="20" t="n">
        <v>0</v>
      </c>
      <c r="U295" s="20" t="n">
        <v>-6642</v>
      </c>
      <c r="V295" s="20" t="n">
        <v>0</v>
      </c>
      <c r="W295" s="20" t="n">
        <v>0</v>
      </c>
      <c r="X295" s="20" t="n">
        <v>-4</v>
      </c>
    </row>
    <row r="296">
      <c r="A296" s="18" t="inlineStr">
        <is>
          <t>연결범위 변경 자회사 주식 취득</t>
        </is>
      </c>
      <c r="I296" s="20" t="n">
        <v>0</v>
      </c>
      <c r="M296" s="20" t="n">
        <v>-2934</v>
      </c>
      <c r="W296" s="20" t="n">
        <v>0</v>
      </c>
      <c r="X296" s="20" t="n">
        <v>-2934</v>
      </c>
    </row>
    <row r="297">
      <c r="A297" s="18" t="inlineStr">
        <is>
          <t>대여</t>
        </is>
      </c>
      <c r="E297" s="20" t="n">
        <v>-2000</v>
      </c>
      <c r="I297" s="20" t="n">
        <v>-4860</v>
      </c>
      <c r="M297" s="20" t="n">
        <v>-7925</v>
      </c>
      <c r="O297" s="20" t="n">
        <v>-10</v>
      </c>
      <c r="P297" s="20" t="n">
        <v>-812</v>
      </c>
      <c r="Q297" s="20" t="n">
        <v>-448</v>
      </c>
      <c r="R297" s="20" t="n">
        <v>-280</v>
      </c>
      <c r="S297" s="20" t="n">
        <v>0</v>
      </c>
      <c r="T297" s="20" t="n">
        <v>-3000</v>
      </c>
      <c r="U297" s="20" t="n">
        <v>-1000</v>
      </c>
      <c r="V297" s="20" t="n">
        <v>-2000</v>
      </c>
      <c r="W297" s="20" t="n">
        <v>-4860</v>
      </c>
      <c r="X297" s="20" t="n">
        <v>-7925</v>
      </c>
    </row>
    <row r="298">
      <c r="A298" s="18" t="inlineStr">
        <is>
          <t>대여금 회수</t>
        </is>
      </c>
      <c r="E298" s="20" t="n">
        <v>0</v>
      </c>
      <c r="I298" s="20" t="n">
        <v>750</v>
      </c>
      <c r="M298" s="20" t="n">
        <v>8558</v>
      </c>
      <c r="P298" s="20" t="n">
        <v>0</v>
      </c>
      <c r="Q298" s="20" t="n">
        <v>44</v>
      </c>
      <c r="R298" s="20" t="n">
        <v>35</v>
      </c>
      <c r="S298" s="20" t="n">
        <v>1041</v>
      </c>
      <c r="T298" s="20" t="n">
        <v>0</v>
      </c>
      <c r="U298" s="20" t="n">
        <v>1000</v>
      </c>
      <c r="V298" s="20" t="n">
        <v>0</v>
      </c>
      <c r="W298" s="20" t="n">
        <v>750</v>
      </c>
      <c r="X298" s="20" t="n">
        <v>8558</v>
      </c>
    </row>
    <row r="299">
      <c r="A299" s="18" t="inlineStr">
        <is>
          <t>정기예금 증감</t>
        </is>
      </c>
      <c r="E299" s="20" t="n">
        <v>-663</v>
      </c>
      <c r="I299" s="20" t="n">
        <v>-408</v>
      </c>
      <c r="M299" s="20" t="n">
        <v>397</v>
      </c>
      <c r="O299" s="20" t="n">
        <v>1258</v>
      </c>
      <c r="P299" s="20" t="n">
        <v>-10666</v>
      </c>
      <c r="Q299" s="20" t="n">
        <v>1812</v>
      </c>
      <c r="R299" s="20" t="n">
        <v>7147</v>
      </c>
      <c r="S299" s="20" t="n">
        <v>1264</v>
      </c>
      <c r="T299" s="20" t="n">
        <v>3334</v>
      </c>
      <c r="U299" s="20" t="n">
        <v>60</v>
      </c>
      <c r="V299" s="20" t="n">
        <v>-663</v>
      </c>
      <c r="W299" s="20" t="n">
        <v>-408</v>
      </c>
      <c r="X299" s="20" t="n">
        <v>397</v>
      </c>
    </row>
    <row r="300">
      <c r="A300" s="18" t="inlineStr">
        <is>
          <t>임차보증금·보증금 회수</t>
        </is>
      </c>
      <c r="E300" s="20" t="n">
        <v>13</v>
      </c>
      <c r="I300" s="20" t="n">
        <v>0</v>
      </c>
      <c r="M300" s="20" t="n">
        <v>121</v>
      </c>
      <c r="O300" s="20" t="n">
        <v>4</v>
      </c>
      <c r="P300" s="20" t="n">
        <v>3</v>
      </c>
      <c r="Q300" s="20" t="n">
        <v>2</v>
      </c>
      <c r="R300" s="20" t="n">
        <v>5</v>
      </c>
      <c r="S300" s="20" t="n">
        <v>1</v>
      </c>
      <c r="T300" s="20" t="n">
        <v>0</v>
      </c>
      <c r="U300" s="20" t="n">
        <v>0</v>
      </c>
      <c r="V300" s="20" t="n">
        <v>13</v>
      </c>
      <c r="W300" s="20" t="n">
        <v>0</v>
      </c>
      <c r="X300" s="20" t="n">
        <v>121</v>
      </c>
    </row>
    <row r="301">
      <c r="A301" s="18" t="inlineStr">
        <is>
          <t>임차보증금·보증금 납입</t>
        </is>
      </c>
      <c r="E301" s="20" t="n">
        <v>-88</v>
      </c>
      <c r="I301" s="20" t="n">
        <v>-41</v>
      </c>
      <c r="M301" s="20" t="n">
        <v>-121</v>
      </c>
      <c r="O301" s="20" t="n">
        <v>-0</v>
      </c>
      <c r="P301" s="20" t="n">
        <v>-8</v>
      </c>
      <c r="Q301" s="20" t="n">
        <v>-0</v>
      </c>
      <c r="R301" s="20" t="n">
        <v>-2</v>
      </c>
      <c r="S301" s="20" t="n">
        <v>-8</v>
      </c>
      <c r="T301" s="20" t="n">
        <v>-4</v>
      </c>
      <c r="U301" s="20" t="n">
        <v>-19</v>
      </c>
      <c r="V301" s="20" t="n">
        <v>-88</v>
      </c>
      <c r="W301" s="20" t="n">
        <v>-41</v>
      </c>
      <c r="X301" s="20" t="n">
        <v>-121</v>
      </c>
    </row>
    <row r="302">
      <c r="A302" s="18" t="inlineStr">
        <is>
          <t>기타</t>
        </is>
      </c>
      <c r="E302" s="20" t="n">
        <v>-14</v>
      </c>
      <c r="I302" s="20" t="n">
        <v>358</v>
      </c>
      <c r="M302" s="20" t="n">
        <v>66</v>
      </c>
      <c r="O302" s="20" t="n">
        <v>11</v>
      </c>
      <c r="P302" s="20" t="n">
        <v>1</v>
      </c>
      <c r="Q302" s="20" t="n">
        <v>28</v>
      </c>
      <c r="R302" s="20" t="n">
        <v>-27</v>
      </c>
      <c r="S302" s="20" t="n">
        <v>7</v>
      </c>
      <c r="T302" s="20" t="n">
        <v>0</v>
      </c>
      <c r="U302" s="20" t="n">
        <v>-5</v>
      </c>
      <c r="V302" s="20" t="n">
        <v>-14</v>
      </c>
      <c r="W302" s="20" t="n">
        <v>358</v>
      </c>
      <c r="X302" s="20" t="n">
        <v>66</v>
      </c>
    </row>
    <row r="303">
      <c r="A303" s="9" t="inlineStr">
        <is>
          <t>투자활동 현금흐름</t>
        </is>
      </c>
      <c r="E303" s="12" t="n">
        <v>-8104</v>
      </c>
      <c r="I303" s="12" t="n">
        <v>-6054</v>
      </c>
      <c r="M303" s="12" t="n">
        <v>-269</v>
      </c>
      <c r="O303" s="12" t="n">
        <v>-483</v>
      </c>
      <c r="P303" s="12" t="n">
        <v>-10505</v>
      </c>
      <c r="Q303" s="12" t="n">
        <v>-2800</v>
      </c>
      <c r="R303" s="12" t="n">
        <v>5155</v>
      </c>
      <c r="S303" s="12" t="n">
        <v>-8704</v>
      </c>
      <c r="T303" s="12" t="n">
        <v>-7656</v>
      </c>
      <c r="U303" s="12" t="n">
        <v>-17938</v>
      </c>
      <c r="V303" s="12" t="n">
        <v>-8104</v>
      </c>
      <c r="W303" s="12" t="n">
        <v>-6054</v>
      </c>
      <c r="X303" s="12" t="n">
        <v>-269</v>
      </c>
    </row>
    <row r="304">
      <c r="A304" s="18" t="inlineStr">
        <is>
          <t>단기차입금 순증감</t>
        </is>
      </c>
      <c r="E304" s="20" t="n">
        <v>0</v>
      </c>
      <c r="I304" s="20" t="n">
        <v>0</v>
      </c>
      <c r="M304" s="20" t="n">
        <v>-310</v>
      </c>
      <c r="O304" s="20" t="n">
        <v>551</v>
      </c>
      <c r="P304" s="20" t="n">
        <v>1888</v>
      </c>
      <c r="Q304" s="20" t="n">
        <v>-524</v>
      </c>
      <c r="R304" s="20" t="n">
        <v>267</v>
      </c>
      <c r="S304" s="20" t="n">
        <v>-780</v>
      </c>
      <c r="T304" s="20" t="n">
        <v>-39</v>
      </c>
      <c r="U304" s="20" t="n">
        <v>2284</v>
      </c>
      <c r="V304" s="20" t="n">
        <v>0</v>
      </c>
      <c r="W304" s="20" t="n">
        <v>0</v>
      </c>
      <c r="X304" s="20" t="n">
        <v>-310</v>
      </c>
    </row>
    <row r="305">
      <c r="A305" s="18" t="inlineStr">
        <is>
          <t>장기차입</t>
        </is>
      </c>
      <c r="E305" s="20" t="n">
        <v>18191</v>
      </c>
      <c r="I305" s="20" t="n">
        <v>260</v>
      </c>
      <c r="M305" s="20" t="n">
        <v>559</v>
      </c>
      <c r="O305" s="20" t="n">
        <v>33617</v>
      </c>
      <c r="P305" s="20" t="n">
        <v>24620</v>
      </c>
      <c r="Q305" s="20" t="n">
        <v>39852</v>
      </c>
      <c r="R305" s="20" t="n">
        <v>35353</v>
      </c>
      <c r="S305" s="20" t="n">
        <v>15552</v>
      </c>
      <c r="T305" s="20" t="n">
        <v>37636</v>
      </c>
      <c r="U305" s="20" t="n">
        <v>41978</v>
      </c>
      <c r="V305" s="20" t="n">
        <v>18191</v>
      </c>
      <c r="W305" s="20" t="n">
        <v>260</v>
      </c>
      <c r="X305" s="20" t="n">
        <v>559</v>
      </c>
    </row>
    <row r="306">
      <c r="A306" s="18" t="inlineStr">
        <is>
          <t>장기차입금 상환</t>
        </is>
      </c>
      <c r="E306" s="20" t="n">
        <v>-11405</v>
      </c>
      <c r="I306" s="20" t="n">
        <v>-190</v>
      </c>
      <c r="M306" s="20" t="n">
        <v>-296</v>
      </c>
      <c r="O306" s="20" t="n">
        <v>-32493</v>
      </c>
      <c r="P306" s="20" t="n">
        <v>-34562</v>
      </c>
      <c r="Q306" s="20" t="n">
        <v>-42018</v>
      </c>
      <c r="R306" s="20" t="n">
        <v>-43065</v>
      </c>
      <c r="S306" s="20" t="n">
        <v>-21725</v>
      </c>
      <c r="T306" s="20" t="n">
        <v>-27943</v>
      </c>
      <c r="U306" s="20" t="n">
        <v>-27659</v>
      </c>
      <c r="V306" s="20" t="n">
        <v>-11405</v>
      </c>
      <c r="W306" s="20" t="n">
        <v>-190</v>
      </c>
      <c r="X306" s="20" t="n">
        <v>-296</v>
      </c>
    </row>
    <row r="307">
      <c r="A307" s="18" t="inlineStr">
        <is>
          <t>자기주식 취득</t>
        </is>
      </c>
      <c r="E307" s="20" t="n">
        <v>-1198</v>
      </c>
      <c r="I307" s="20" t="n">
        <v>-0</v>
      </c>
      <c r="M307" s="20" t="n">
        <v>-0</v>
      </c>
      <c r="O307" s="20" t="n">
        <v>-0</v>
      </c>
      <c r="P307" s="20" t="n">
        <v>-0</v>
      </c>
      <c r="Q307" s="20" t="n">
        <v>-0</v>
      </c>
      <c r="R307" s="20" t="n">
        <v>-0</v>
      </c>
      <c r="S307" s="20" t="n">
        <v>-0</v>
      </c>
      <c r="T307" s="20" t="n">
        <v>-9620</v>
      </c>
      <c r="U307" s="20" t="n">
        <v>-0</v>
      </c>
      <c r="V307" s="20" t="n">
        <v>-1198</v>
      </c>
      <c r="W307" s="20" t="n">
        <v>-0</v>
      </c>
      <c r="X307" s="20" t="n">
        <v>-0</v>
      </c>
    </row>
    <row r="308">
      <c r="A308" s="18" t="inlineStr">
        <is>
          <t>사채 발행</t>
        </is>
      </c>
      <c r="E308" s="20" t="n">
        <v>0</v>
      </c>
      <c r="O308" s="20" t="n">
        <v>100</v>
      </c>
      <c r="P308" s="20" t="n">
        <v>100</v>
      </c>
      <c r="Q308" s="20" t="n">
        <v>0</v>
      </c>
      <c r="R308" s="20" t="n">
        <v>0</v>
      </c>
      <c r="S308" s="20" t="n">
        <v>180</v>
      </c>
      <c r="T308" s="20" t="n">
        <v>100</v>
      </c>
      <c r="U308" s="20" t="n">
        <v>168</v>
      </c>
      <c r="V308" s="20" t="n">
        <v>0</v>
      </c>
    </row>
    <row r="309">
      <c r="A309" s="18" t="inlineStr">
        <is>
          <t>사채 상환</t>
        </is>
      </c>
      <c r="E309" s="20" t="n">
        <v>0</v>
      </c>
      <c r="O309" s="20" t="n">
        <v>-192</v>
      </c>
      <c r="P309" s="20" t="n">
        <v>-247</v>
      </c>
      <c r="Q309" s="20" t="n">
        <v>-170</v>
      </c>
      <c r="R309" s="20" t="n">
        <v>-68</v>
      </c>
      <c r="S309" s="20" t="n">
        <v>-27</v>
      </c>
      <c r="T309" s="20" t="n">
        <v>-56</v>
      </c>
      <c r="U309" s="20" t="n">
        <v>-112</v>
      </c>
      <c r="V309" s="20" t="n">
        <v>0</v>
      </c>
    </row>
    <row r="310">
      <c r="A310" s="18" t="inlineStr">
        <is>
          <t>배당금 지급</t>
        </is>
      </c>
      <c r="E310" s="20" t="n">
        <v>-312</v>
      </c>
      <c r="I310" s="20" t="n">
        <v>-300</v>
      </c>
      <c r="M310" s="20" t="n">
        <v>-300</v>
      </c>
      <c r="O310" s="20" t="n">
        <v>-396</v>
      </c>
      <c r="P310" s="20" t="n">
        <v>-396</v>
      </c>
      <c r="Q310" s="20" t="n">
        <v>-396</v>
      </c>
      <c r="R310" s="20" t="n">
        <v>-475</v>
      </c>
      <c r="S310" s="20" t="n">
        <v>-475</v>
      </c>
      <c r="T310" s="20" t="n">
        <v>-475</v>
      </c>
      <c r="U310" s="20" t="n">
        <v>-312</v>
      </c>
      <c r="V310" s="20" t="n">
        <v>-312</v>
      </c>
      <c r="W310" s="20" t="n">
        <v>-300</v>
      </c>
      <c r="X310" s="20" t="n">
        <v>-300</v>
      </c>
    </row>
    <row r="311">
      <c r="A311" s="18" t="inlineStr">
        <is>
          <t>기타</t>
        </is>
      </c>
      <c r="O311" s="20" t="n">
        <v>-16</v>
      </c>
      <c r="P311" s="20" t="n">
        <v>-5</v>
      </c>
      <c r="Q311" s="20" t="n">
        <v>-9</v>
      </c>
    </row>
    <row r="312">
      <c r="A312" s="18" t="inlineStr">
        <is>
          <t>비지배주주 배당금 지급</t>
        </is>
      </c>
      <c r="E312" s="20" t="n">
        <v>0</v>
      </c>
      <c r="P312" s="20" t="n">
        <v>0</v>
      </c>
      <c r="Q312" s="20" t="n">
        <v>-245</v>
      </c>
      <c r="R312" s="20" t="n">
        <v>0</v>
      </c>
      <c r="S312" s="20" t="n">
        <v>0</v>
      </c>
      <c r="T312" s="20" t="n">
        <v>-3088</v>
      </c>
      <c r="U312" s="20" t="n">
        <v>-6909</v>
      </c>
      <c r="V312" s="20" t="n">
        <v>0</v>
      </c>
    </row>
    <row r="313">
      <c r="A313" s="18" t="inlineStr">
        <is>
          <t>Additional Purchase Of Shares Of Subsidiaries Not Resulting In Change In Scope Of Consolidation Fin CF</t>
        </is>
      </c>
      <c r="E313" s="20" t="n">
        <v>0</v>
      </c>
      <c r="T313" s="20" t="n">
        <v>0</v>
      </c>
      <c r="U313" s="20" t="n">
        <v>-6500</v>
      </c>
      <c r="V313" s="20" t="n">
        <v>0</v>
      </c>
    </row>
    <row r="314">
      <c r="A314" s="18" t="inlineStr">
        <is>
          <t>연결범위 변동 없는 자회사 주식 매각 수입</t>
        </is>
      </c>
      <c r="S314" s="20" t="n">
        <v>0</v>
      </c>
      <c r="T314" s="20" t="n">
        <v>2090</v>
      </c>
      <c r="U314" s="20" t="n">
        <v>0</v>
      </c>
    </row>
    <row r="315">
      <c r="A315" s="18" t="inlineStr">
        <is>
          <t>자회사 자기주식 취득 지출</t>
        </is>
      </c>
      <c r="R315" s="20" t="n">
        <v>0</v>
      </c>
      <c r="S315" s="20" t="n">
        <v>-7177</v>
      </c>
      <c r="T315" s="20" t="n">
        <v>0</v>
      </c>
    </row>
    <row r="316">
      <c r="A316" s="18" t="inlineStr">
        <is>
          <t>비지배주주 납입</t>
        </is>
      </c>
      <c r="E316" s="20" t="n">
        <v>6972</v>
      </c>
      <c r="I316" s="20" t="n">
        <v>0</v>
      </c>
      <c r="M316" s="20" t="n">
        <v>154</v>
      </c>
      <c r="O316" s="20" t="n">
        <v>0</v>
      </c>
      <c r="P316" s="20" t="n">
        <v>20</v>
      </c>
      <c r="Q316" s="20" t="n">
        <v>0</v>
      </c>
      <c r="U316" s="20" t="n">
        <v>0</v>
      </c>
      <c r="V316" s="20" t="n">
        <v>6972</v>
      </c>
      <c r="W316" s="20" t="n">
        <v>0</v>
      </c>
      <c r="X316" s="20" t="n">
        <v>154</v>
      </c>
    </row>
    <row r="317">
      <c r="A317" s="18" t="inlineStr">
        <is>
          <t>리스부채 상환</t>
        </is>
      </c>
      <c r="E317" s="20" t="n">
        <v>-117</v>
      </c>
      <c r="I317" s="20" t="n">
        <v>-56</v>
      </c>
      <c r="M317" s="20" t="n">
        <v>-51</v>
      </c>
      <c r="Q317" s="20" t="n">
        <v>-9</v>
      </c>
      <c r="R317" s="20" t="n">
        <v>-213</v>
      </c>
      <c r="S317" s="20" t="n">
        <v>-296</v>
      </c>
      <c r="T317" s="20" t="n">
        <v>-321</v>
      </c>
      <c r="U317" s="20" t="n">
        <v>-358</v>
      </c>
      <c r="V317" s="20" t="n">
        <v>-117</v>
      </c>
      <c r="W317" s="20" t="n">
        <v>-56</v>
      </c>
      <c r="X317" s="20" t="n">
        <v>-51</v>
      </c>
    </row>
    <row r="318">
      <c r="A318" s="9" t="inlineStr">
        <is>
          <t>재무활동 현금흐름</t>
        </is>
      </c>
      <c r="E318" s="12" t="n">
        <v>12129</v>
      </c>
      <c r="I318" s="12" t="n">
        <v>-287</v>
      </c>
      <c r="M318" s="12" t="n">
        <v>-245</v>
      </c>
      <c r="O318" s="12" t="n">
        <v>1170</v>
      </c>
      <c r="P318" s="12" t="n">
        <v>-8582</v>
      </c>
      <c r="Q318" s="12" t="n">
        <v>-3511</v>
      </c>
      <c r="R318" s="12" t="n">
        <v>-8201</v>
      </c>
      <c r="S318" s="12" t="n">
        <v>-14749</v>
      </c>
      <c r="T318" s="12" t="n">
        <v>-1719</v>
      </c>
      <c r="U318" s="12" t="n">
        <v>2578</v>
      </c>
      <c r="V318" s="12" t="n">
        <v>12129</v>
      </c>
      <c r="W318" s="12" t="n">
        <v>-287</v>
      </c>
      <c r="X318" s="12" t="n">
        <v>-245</v>
      </c>
    </row>
    <row r="319">
      <c r="A319" s="18" t="inlineStr">
        <is>
          <t>현금성자산 환산차이</t>
        </is>
      </c>
      <c r="E319" s="20" t="n">
        <v>-2215</v>
      </c>
      <c r="I319" s="20" t="n">
        <v>747</v>
      </c>
      <c r="M319" s="20" t="n">
        <v>-263</v>
      </c>
      <c r="O319" s="20" t="n">
        <v>-10866</v>
      </c>
      <c r="P319" s="20" t="n">
        <v>-750</v>
      </c>
      <c r="Q319" s="20" t="n">
        <v>-10350</v>
      </c>
      <c r="R319" s="20" t="n">
        <v>-6108</v>
      </c>
      <c r="S319" s="20" t="n">
        <v>-14766</v>
      </c>
      <c r="T319" s="20" t="n">
        <v>19820</v>
      </c>
      <c r="U319" s="20" t="n">
        <v>-8159</v>
      </c>
      <c r="V319" s="20" t="n">
        <v>-2215</v>
      </c>
      <c r="W319" s="20" t="n">
        <v>747</v>
      </c>
      <c r="X319" s="20" t="n">
        <v>-263</v>
      </c>
    </row>
    <row r="320">
      <c r="A320" s="18" t="inlineStr">
        <is>
          <t>현금성자산 증감</t>
        </is>
      </c>
      <c r="E320" s="20" t="n">
        <v>-23776</v>
      </c>
      <c r="I320" s="20" t="n">
        <v>-1062</v>
      </c>
      <c r="M320" s="20" t="n">
        <v>1398</v>
      </c>
      <c r="O320" s="20" t="n">
        <v>12799</v>
      </c>
      <c r="P320" s="20" t="n">
        <v>17896</v>
      </c>
      <c r="Q320" s="20" t="n">
        <v>35751</v>
      </c>
      <c r="R320" s="20" t="n">
        <v>32290</v>
      </c>
      <c r="S320" s="20" t="n">
        <v>39416</v>
      </c>
      <c r="T320" s="20" t="n">
        <v>5658</v>
      </c>
      <c r="U320" s="20" t="n">
        <v>-5013</v>
      </c>
      <c r="V320" s="20" t="n">
        <v>-23776</v>
      </c>
      <c r="W320" s="20" t="n">
        <v>-1062</v>
      </c>
      <c r="X320" s="20" t="n">
        <v>1398</v>
      </c>
    </row>
    <row r="321">
      <c r="A321" s="18" t="inlineStr">
        <is>
          <t>신규 연결 현금성자산 증가</t>
        </is>
      </c>
      <c r="O321" s="20" t="n">
        <v>344</v>
      </c>
      <c r="P321" s="20" t="n">
        <v>0</v>
      </c>
    </row>
    <row r="322">
      <c r="A322" s="18" t="inlineStr">
        <is>
          <t>연결범위 변경에 따른 현금성자산 증감</t>
        </is>
      </c>
      <c r="E322" s="20" t="n">
        <v>-144081</v>
      </c>
      <c r="I322" s="20" t="n">
        <v>0</v>
      </c>
      <c r="U322" s="20" t="n">
        <v>0</v>
      </c>
      <c r="V322" s="20" t="n">
        <v>-144081</v>
      </c>
      <c r="W32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8699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39296</v>
      </c>
      <c r="D5" s="12" t="n">
        <v>37663</v>
      </c>
      <c r="E5" s="12" t="n">
        <v>41661</v>
      </c>
      <c r="F5" s="12" t="n">
        <v>43257</v>
      </c>
      <c r="G5" s="12" t="n">
        <v>44306</v>
      </c>
      <c r="H5" s="11" t="n">
        <v>514216</v>
      </c>
      <c r="I5" s="12" t="n">
        <v>552996</v>
      </c>
      <c r="J5" s="12" t="n">
        <v>31880</v>
      </c>
      <c r="K5" s="12" t="n">
        <v>36400</v>
      </c>
      <c r="L5" s="12" t="n">
        <v>43257</v>
      </c>
    </row>
    <row r="6">
      <c r="A6" s="18" t="inlineStr">
        <is>
          <t>현금및현금성자산</t>
        </is>
      </c>
      <c r="B6" s="10" t="n"/>
      <c r="C6" s="19" t="n">
        <v>17407</v>
      </c>
      <c r="D6" s="20" t="n">
        <v>19198</v>
      </c>
      <c r="E6" s="20" t="n">
        <v>17887</v>
      </c>
      <c r="F6" s="20" t="n">
        <v>18797</v>
      </c>
      <c r="G6" s="20" t="n">
        <v>19209</v>
      </c>
      <c r="H6" s="19" t="n">
        <v>88137</v>
      </c>
      <c r="I6" s="20" t="n">
        <v>149693</v>
      </c>
      <c r="J6" s="20" t="n">
        <v>18403</v>
      </c>
      <c r="K6" s="20" t="n">
        <v>17792</v>
      </c>
      <c r="L6" s="20" t="n">
        <v>18797</v>
      </c>
    </row>
    <row r="7">
      <c r="A7" s="18" t="inlineStr">
        <is>
          <t>단기금융상품</t>
        </is>
      </c>
      <c r="B7" s="10" t="n"/>
      <c r="C7" s="19" t="n">
        <v>447</v>
      </c>
      <c r="D7" s="20" t="n">
        <v>335</v>
      </c>
      <c r="E7" s="20" t="n">
        <v>346</v>
      </c>
      <c r="F7" s="20" t="n">
        <v>368</v>
      </c>
      <c r="G7" s="20" t="n">
        <v>83</v>
      </c>
      <c r="H7" s="19" t="n">
        <v>140099</v>
      </c>
      <c r="I7" s="20" t="n">
        <v>100892</v>
      </c>
      <c r="J7" s="20" t="n">
        <v>293</v>
      </c>
      <c r="K7" s="20" t="n">
        <v>261</v>
      </c>
      <c r="L7" s="20" t="n">
        <v>368</v>
      </c>
    </row>
    <row r="8">
      <c r="A8" s="18" t="inlineStr">
        <is>
          <t>매출채권</t>
        </is>
      </c>
      <c r="B8" s="10" t="n"/>
      <c r="C8" s="19" t="n">
        <v>908</v>
      </c>
      <c r="D8" s="20" t="n">
        <v>1077</v>
      </c>
      <c r="E8" s="20" t="n">
        <v>1202</v>
      </c>
      <c r="F8" s="20" t="n">
        <v>1058</v>
      </c>
      <c r="G8" s="20" t="n">
        <v>1349</v>
      </c>
      <c r="H8" s="19" t="n"/>
      <c r="I8" s="20" t="n">
        <v>277</v>
      </c>
      <c r="J8" s="20" t="n">
        <v>437</v>
      </c>
      <c r="K8" s="20" t="n">
        <v>479</v>
      </c>
      <c r="L8" s="20" t="n">
        <v>1058</v>
      </c>
    </row>
    <row r="9">
      <c r="A9" s="18" t="inlineStr">
        <is>
          <t>재고자산</t>
        </is>
      </c>
      <c r="B9" s="10" t="n"/>
      <c r="C9" s="19" t="n">
        <v>4161</v>
      </c>
      <c r="D9" s="20" t="n">
        <v>4291</v>
      </c>
      <c r="E9" s="20" t="n">
        <v>4870</v>
      </c>
      <c r="F9" s="20" t="n">
        <v>5022</v>
      </c>
      <c r="G9" s="20" t="n">
        <v>5828</v>
      </c>
      <c r="H9" s="19" t="n"/>
      <c r="I9" s="20" t="n">
        <v>1989</v>
      </c>
      <c r="J9" s="20" t="n">
        <v>2177</v>
      </c>
      <c r="K9" s="20" t="n">
        <v>2345</v>
      </c>
      <c r="L9" s="20" t="n">
        <v>5022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75273</v>
      </c>
      <c r="D11" s="12" t="n">
        <v>77076</v>
      </c>
      <c r="E11" s="12" t="n">
        <v>80021</v>
      </c>
      <c r="F11" s="12" t="n">
        <v>88738</v>
      </c>
      <c r="G11" s="12" t="n">
        <v>93673</v>
      </c>
      <c r="H11" s="11" t="n">
        <v>63233</v>
      </c>
      <c r="I11" s="12" t="n">
        <v>68730</v>
      </c>
      <c r="J11" s="12" t="n">
        <v>66894</v>
      </c>
      <c r="K11" s="12" t="n">
        <v>78933</v>
      </c>
      <c r="L11" s="12" t="n">
        <v>88738</v>
      </c>
    </row>
    <row r="12">
      <c r="A12" s="18" t="inlineStr">
        <is>
          <t>유형자산</t>
        </is>
      </c>
      <c r="B12" s="10" t="n"/>
      <c r="C12" s="19" t="n">
        <v>2981</v>
      </c>
      <c r="D12" s="20" t="n">
        <v>3107</v>
      </c>
      <c r="E12" s="20" t="n">
        <v>3138</v>
      </c>
      <c r="F12" s="20" t="n">
        <v>3332</v>
      </c>
      <c r="G12" s="20" t="n">
        <v>3342</v>
      </c>
      <c r="H12" s="19" t="n">
        <v>15534</v>
      </c>
      <c r="I12" s="20" t="n">
        <v>15548</v>
      </c>
      <c r="J12" s="20" t="n">
        <v>1490</v>
      </c>
      <c r="K12" s="20" t="n">
        <v>2924</v>
      </c>
      <c r="L12" s="20" t="n">
        <v>3332</v>
      </c>
    </row>
    <row r="13">
      <c r="A13" s="18" t="inlineStr">
        <is>
          <t>무형자산</t>
        </is>
      </c>
      <c r="B13" s="10" t="n"/>
      <c r="C13" s="19" t="n">
        <v>15150</v>
      </c>
      <c r="D13" s="20" t="n">
        <v>14870</v>
      </c>
      <c r="E13" s="20" t="n">
        <v>14618</v>
      </c>
      <c r="F13" s="20" t="n">
        <v>13375</v>
      </c>
      <c r="G13" s="20" t="n">
        <v>13129</v>
      </c>
      <c r="H13" s="19" t="n">
        <v>2286</v>
      </c>
      <c r="I13" s="20" t="n">
        <v>15393</v>
      </c>
      <c r="J13" s="20" t="n">
        <v>12758</v>
      </c>
      <c r="K13" s="20" t="n">
        <v>12012</v>
      </c>
      <c r="L13" s="20" t="n">
        <v>13375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114570</v>
      </c>
      <c r="D16" s="12" t="n">
        <v>114739</v>
      </c>
      <c r="E16" s="12" t="n">
        <v>121683</v>
      </c>
      <c r="F16" s="12" t="n">
        <v>131996</v>
      </c>
      <c r="G16" s="12" t="n">
        <v>137980</v>
      </c>
      <c r="H16" s="11" t="n">
        <v>577449</v>
      </c>
      <c r="I16" s="12" t="n">
        <v>621727</v>
      </c>
      <c r="J16" s="12" t="n">
        <v>98774</v>
      </c>
      <c r="K16" s="12" t="n">
        <v>115334</v>
      </c>
      <c r="L16" s="12" t="n">
        <v>131996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11985</v>
      </c>
      <c r="D18" s="12" t="n">
        <v>10627</v>
      </c>
      <c r="E18" s="12" t="n">
        <v>11884</v>
      </c>
      <c r="F18" s="12" t="n">
        <v>12586</v>
      </c>
      <c r="G18" s="12" t="n">
        <v>13667</v>
      </c>
      <c r="H18" s="11" t="n">
        <v>460056</v>
      </c>
      <c r="I18" s="12" t="n">
        <v>488521</v>
      </c>
      <c r="J18" s="12" t="n">
        <v>11963</v>
      </c>
      <c r="K18" s="12" t="n">
        <v>12485</v>
      </c>
      <c r="L18" s="12" t="n">
        <v>12586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318</v>
      </c>
      <c r="D20" s="20" t="n">
        <v>14</v>
      </c>
      <c r="E20" s="20" t="n">
        <v>11</v>
      </c>
      <c r="F20" s="20" t="n">
        <v>13</v>
      </c>
      <c r="G20" s="20" t="n">
        <v>5</v>
      </c>
      <c r="H20" s="19" t="n">
        <v>2306</v>
      </c>
      <c r="I20" s="20" t="n">
        <v>12</v>
      </c>
      <c r="J20" s="20" t="n">
        <v>0</v>
      </c>
      <c r="K20" s="20" t="n">
        <v>0</v>
      </c>
      <c r="L20" s="20" t="n">
        <v>13</v>
      </c>
    </row>
    <row r="21">
      <c r="A21" s="18" t="inlineStr">
        <is>
          <t>유동성장기부채</t>
        </is>
      </c>
      <c r="B21" s="10" t="n"/>
      <c r="C21" s="19" t="n">
        <v>261</v>
      </c>
      <c r="D21" s="20" t="n">
        <v>245</v>
      </c>
      <c r="E21" s="20" t="n">
        <v>244</v>
      </c>
      <c r="F21" s="20" t="n">
        <v>253</v>
      </c>
      <c r="G21" s="20" t="n">
        <v>243</v>
      </c>
      <c r="H21" s="19" t="n">
        <v>25168</v>
      </c>
      <c r="I21" s="20" t="n">
        <v>36161</v>
      </c>
      <c r="J21" s="20" t="n">
        <v>104</v>
      </c>
      <c r="K21" s="20" t="n">
        <v>79</v>
      </c>
      <c r="L21" s="20" t="n">
        <v>253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15319</v>
      </c>
      <c r="D23" s="12" t="n">
        <v>15332</v>
      </c>
      <c r="E23" s="12" t="n">
        <v>16338</v>
      </c>
      <c r="F23" s="12" t="n">
        <v>18773</v>
      </c>
      <c r="G23" s="12" t="n">
        <v>20192</v>
      </c>
      <c r="H23" s="11" t="n">
        <v>42965</v>
      </c>
      <c r="I23" s="12" t="n">
        <v>51794</v>
      </c>
      <c r="J23" s="12" t="n">
        <v>14394</v>
      </c>
      <c r="K23" s="12" t="n">
        <v>16147</v>
      </c>
      <c r="L23" s="12" t="n">
        <v>18773</v>
      </c>
    </row>
    <row r="24">
      <c r="A24" s="18" t="inlineStr">
        <is>
          <t>장기차입금</t>
        </is>
      </c>
      <c r="B24" s="10" t="n"/>
      <c r="C24" s="19" t="n">
        <v>2111</v>
      </c>
      <c r="D24" s="20" t="n">
        <v>1983</v>
      </c>
      <c r="E24" s="20" t="n">
        <v>1964</v>
      </c>
      <c r="F24" s="20" t="n">
        <v>1960</v>
      </c>
      <c r="G24" s="20" t="n">
        <v>1902</v>
      </c>
      <c r="H24" s="19" t="n">
        <v>35674</v>
      </c>
      <c r="I24" s="20" t="n">
        <v>41334</v>
      </c>
      <c r="J24" s="20" t="n">
        <v>1035</v>
      </c>
      <c r="K24" s="20" t="n">
        <v>1235</v>
      </c>
      <c r="L24" s="20" t="n">
        <v>1960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27305</v>
      </c>
      <c r="D27" s="12" t="n">
        <v>25959</v>
      </c>
      <c r="E27" s="12" t="n">
        <v>28222</v>
      </c>
      <c r="F27" s="12" t="n">
        <v>31360</v>
      </c>
      <c r="G27" s="12" t="n">
        <v>33860</v>
      </c>
      <c r="H27" s="11" t="n">
        <v>503022</v>
      </c>
      <c r="I27" s="12" t="n">
        <v>540315</v>
      </c>
      <c r="J27" s="12" t="n">
        <v>26358</v>
      </c>
      <c r="K27" s="12" t="n">
        <v>28633</v>
      </c>
      <c r="L27" s="12" t="n">
        <v>31360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86725</v>
      </c>
      <c r="D31" s="12" t="n">
        <v>88337</v>
      </c>
      <c r="E31" s="12" t="n">
        <v>93031</v>
      </c>
      <c r="F31" s="12" t="n">
        <v>100097</v>
      </c>
      <c r="G31" s="12" t="n">
        <v>103561</v>
      </c>
      <c r="H31" s="11" t="n">
        <v>52540</v>
      </c>
      <c r="I31" s="12" t="n">
        <v>59631</v>
      </c>
      <c r="J31" s="12" t="n">
        <v>71872</v>
      </c>
      <c r="K31" s="12" t="n">
        <v>86374</v>
      </c>
      <c r="L31" s="12" t="n">
        <v>100097</v>
      </c>
    </row>
    <row r="32">
      <c r="A32" s="18" t="inlineStr">
        <is>
          <t>자본금</t>
        </is>
      </c>
      <c r="B32" s="10" t="n"/>
      <c r="C32" s="19" t="n">
        <v>12223</v>
      </c>
      <c r="D32" s="20" t="n">
        <v>12223</v>
      </c>
      <c r="E32" s="20" t="n">
        <v>12223</v>
      </c>
      <c r="F32" s="20" t="n">
        <v>12223</v>
      </c>
      <c r="G32" s="20" t="n">
        <v>12223</v>
      </c>
      <c r="H32" s="19" t="n">
        <v>12223</v>
      </c>
      <c r="I32" s="20" t="n">
        <v>12223</v>
      </c>
      <c r="J32" s="20" t="n">
        <v>12223</v>
      </c>
      <c r="K32" s="20" t="n">
        <v>12223</v>
      </c>
      <c r="L32" s="20" t="n">
        <v>12223</v>
      </c>
    </row>
    <row r="33">
      <c r="A33" s="18" t="inlineStr">
        <is>
          <t>이익잉여금</t>
        </is>
      </c>
      <c r="B33" s="10" t="n"/>
      <c r="C33" s="19" t="n">
        <v>88756</v>
      </c>
      <c r="D33" s="20" t="n">
        <v>92340</v>
      </c>
      <c r="E33" s="20" t="n">
        <v>96224</v>
      </c>
      <c r="F33" s="20" t="n">
        <v>99784</v>
      </c>
      <c r="G33" s="20" t="n">
        <v>102639</v>
      </c>
      <c r="H33" s="19" t="n">
        <v>53386</v>
      </c>
      <c r="I33" s="20" t="n">
        <v>64446</v>
      </c>
      <c r="J33" s="20" t="n">
        <v>73597</v>
      </c>
      <c r="K33" s="20" t="n">
        <v>85397</v>
      </c>
      <c r="L33" s="20" t="n">
        <v>99784</v>
      </c>
    </row>
    <row r="34">
      <c r="A34" s="18" t="inlineStr">
        <is>
          <t>비지배지분</t>
        </is>
      </c>
      <c r="B34" s="10" t="n"/>
      <c r="C34" s="19" t="n">
        <v>539</v>
      </c>
      <c r="D34" s="20" t="n">
        <v>443</v>
      </c>
      <c r="E34" s="20" t="n">
        <v>430</v>
      </c>
      <c r="F34" s="20" t="n">
        <v>538</v>
      </c>
      <c r="G34" s="20" t="n">
        <v>558</v>
      </c>
      <c r="H34" s="19" t="n">
        <v>21887</v>
      </c>
      <c r="I34" s="20" t="n">
        <v>21780</v>
      </c>
      <c r="J34" s="20" t="n">
        <v>544</v>
      </c>
      <c r="K34" s="20" t="n">
        <v>327</v>
      </c>
      <c r="L34" s="20" t="n">
        <v>538</v>
      </c>
    </row>
    <row r="35">
      <c r="A35" s="9" t="inlineStr">
        <is>
          <t>자본총계</t>
        </is>
      </c>
      <c r="B35" s="10" t="n"/>
      <c r="C35" s="11" t="n">
        <v>87264</v>
      </c>
      <c r="D35" s="12" t="n">
        <v>88780</v>
      </c>
      <c r="E35" s="12" t="n">
        <v>93461</v>
      </c>
      <c r="F35" s="12" t="n">
        <v>100635</v>
      </c>
      <c r="G35" s="12" t="n">
        <v>104119</v>
      </c>
      <c r="H35" s="11" t="n">
        <v>74427</v>
      </c>
      <c r="I35" s="12" t="n">
        <v>81411</v>
      </c>
      <c r="J35" s="12" t="n">
        <v>72416</v>
      </c>
      <c r="K35" s="12" t="n">
        <v>86701</v>
      </c>
      <c r="L35" s="12" t="n">
        <v>100635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2176</v>
      </c>
      <c r="G37" s="12" t="n"/>
      <c r="H37" s="11" t="n">
        <v>-4785</v>
      </c>
      <c r="I37" s="12" t="n">
        <v>18505</v>
      </c>
      <c r="J37" s="12" t="n">
        <v>-25586</v>
      </c>
      <c r="K37" s="12" t="n">
        <v>4532</v>
      </c>
      <c r="L37" s="12" t="n">
        <v>2176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564</v>
      </c>
      <c r="G38" s="20" t="n"/>
      <c r="H38" s="19" t="n">
        <v>2687</v>
      </c>
      <c r="I38" s="20" t="n">
        <v>3385</v>
      </c>
      <c r="J38" s="20" t="n">
        <v>1045</v>
      </c>
      <c r="K38" s="20" t="n">
        <v>1881</v>
      </c>
      <c r="L38" s="20" t="n">
        <v>564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300</v>
      </c>
      <c r="G40" s="20" t="n"/>
      <c r="H40" s="19" t="n">
        <v>475</v>
      </c>
      <c r="I40" s="20" t="n">
        <v>312</v>
      </c>
      <c r="J40" s="20" t="n">
        <v>312</v>
      </c>
      <c r="K40" s="20" t="n">
        <v>300</v>
      </c>
      <c r="L40" s="20" t="n">
        <v>300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17407</v>
      </c>
      <c r="D71" s="20" t="n">
        <v>19198</v>
      </c>
      <c r="E71" s="20" t="n">
        <v>17887</v>
      </c>
      <c r="F71" s="20" t="n">
        <v>18797</v>
      </c>
      <c r="G71" s="20" t="n">
        <v>19209</v>
      </c>
      <c r="H71" s="20" t="n">
        <v>88137</v>
      </c>
      <c r="I71" s="20" t="n">
        <v>149693</v>
      </c>
      <c r="J71" s="20" t="n">
        <v>18403</v>
      </c>
      <c r="K71" s="20" t="n">
        <v>17792</v>
      </c>
      <c r="L71" s="20" t="n">
        <v>18797</v>
      </c>
    </row>
    <row r="72">
      <c r="A72" s="18" t="inlineStr">
        <is>
          <t>매입현선(RP)계정</t>
        </is>
      </c>
      <c r="H72" s="20" t="n">
        <v>1211</v>
      </c>
      <c r="I72" s="20" t="n">
        <v>0</v>
      </c>
    </row>
    <row r="73">
      <c r="A73" s="18" t="inlineStr">
        <is>
          <t>Cash Segregated As Deposits CASEC</t>
        </is>
      </c>
      <c r="H73" s="20" t="n">
        <v>0</v>
      </c>
    </row>
    <row r="74">
      <c r="A74" s="18" t="inlineStr">
        <is>
          <t>고객 분별금 신탁</t>
        </is>
      </c>
      <c r="H74" s="20" t="n">
        <v>0</v>
      </c>
    </row>
    <row r="75">
      <c r="A75" s="18" t="inlineStr">
        <is>
          <t>Cash Segregated As Deposits For Others CASEC</t>
        </is>
      </c>
      <c r="H75" s="20" t="n">
        <v>0</v>
      </c>
    </row>
    <row r="76">
      <c r="A76" s="18" t="inlineStr">
        <is>
          <t>Trading Products CASEC</t>
        </is>
      </c>
      <c r="H76" s="20" t="n">
        <v>0</v>
      </c>
    </row>
    <row r="77">
      <c r="A77" s="18" t="inlineStr">
        <is>
          <t>Trading Securities And Other CASEC</t>
        </is>
      </c>
      <c r="H77" s="20" t="n">
        <v>0</v>
      </c>
    </row>
    <row r="78">
      <c r="A78" s="18" t="inlineStr">
        <is>
          <t>유가증권</t>
        </is>
      </c>
      <c r="C78" s="20" t="n">
        <v>447</v>
      </c>
      <c r="D78" s="20" t="n">
        <v>335</v>
      </c>
      <c r="E78" s="20" t="n">
        <v>346</v>
      </c>
      <c r="F78" s="20" t="n">
        <v>368</v>
      </c>
      <c r="G78" s="20" t="n">
        <v>83</v>
      </c>
      <c r="H78" s="20" t="n">
        <v>140099</v>
      </c>
      <c r="I78" s="20" t="n">
        <v>100892</v>
      </c>
      <c r="J78" s="20" t="n">
        <v>293</v>
      </c>
      <c r="K78" s="20" t="n">
        <v>261</v>
      </c>
      <c r="L78" s="20" t="n">
        <v>368</v>
      </c>
    </row>
    <row r="79">
      <c r="A79" s="18" t="inlineStr">
        <is>
          <t>Margin Transaction Assets CASEC</t>
        </is>
      </c>
      <c r="H79" s="20" t="n">
        <v>0</v>
      </c>
    </row>
    <row r="80">
      <c r="A80" s="18" t="inlineStr">
        <is>
          <t>Loans On Margin Transactions CASEC</t>
        </is>
      </c>
      <c r="H80" s="20" t="n">
        <v>0</v>
      </c>
    </row>
    <row r="81">
      <c r="A81" s="18" t="inlineStr">
        <is>
          <t>Cash Collateral Pledged For Securities Borrowing On Margin Transactions CASEC</t>
        </is>
      </c>
      <c r="H81" s="20" t="n">
        <v>0</v>
      </c>
    </row>
    <row r="82">
      <c r="A82" s="18" t="inlineStr">
        <is>
          <t>대출금</t>
        </is>
      </c>
      <c r="C82" s="20" t="n">
        <v>6724</v>
      </c>
      <c r="D82" s="20" t="n">
        <v>6807</v>
      </c>
      <c r="E82" s="20" t="n">
        <v>7401</v>
      </c>
      <c r="F82" s="20" t="n">
        <v>7743</v>
      </c>
      <c r="G82" s="20" t="n">
        <v>7738</v>
      </c>
      <c r="H82" s="20" t="n">
        <v>285094</v>
      </c>
      <c r="I82" s="20" t="n">
        <v>308495</v>
      </c>
      <c r="J82" s="20" t="n">
        <v>6826</v>
      </c>
      <c r="K82" s="20" t="n">
        <v>6551</v>
      </c>
      <c r="L82" s="20" t="n">
        <v>7743</v>
      </c>
    </row>
    <row r="83">
      <c r="A83" s="18" t="inlineStr">
        <is>
          <t>보증금</t>
        </is>
      </c>
      <c r="H83" s="20" t="n">
        <v>0</v>
      </c>
    </row>
    <row r="84">
      <c r="A84" s="18" t="inlineStr">
        <is>
          <t>Derivatives CA</t>
        </is>
      </c>
      <c r="H84" s="20" t="n">
        <v>1106</v>
      </c>
      <c r="I84" s="20" t="n">
        <v>4940</v>
      </c>
      <c r="J84" s="20" t="n">
        <v>0</v>
      </c>
    </row>
    <row r="85">
      <c r="A85" s="18" t="inlineStr">
        <is>
          <t>매출채권</t>
        </is>
      </c>
      <c r="C85" s="20" t="n">
        <v>908</v>
      </c>
      <c r="D85" s="20" t="n">
        <v>1077</v>
      </c>
      <c r="E85" s="20" t="n">
        <v>1202</v>
      </c>
      <c r="F85" s="20" t="n">
        <v>1058</v>
      </c>
      <c r="G85" s="20" t="n">
        <v>1349</v>
      </c>
      <c r="I85" s="20" t="n">
        <v>277</v>
      </c>
      <c r="J85" s="20" t="n">
        <v>437</v>
      </c>
      <c r="K85" s="20" t="n">
        <v>479</v>
      </c>
      <c r="L85" s="20" t="n">
        <v>1058</v>
      </c>
    </row>
    <row r="86">
      <c r="A86" s="18" t="inlineStr">
        <is>
          <t>재고자산</t>
        </is>
      </c>
      <c r="C86" s="20" t="n">
        <v>4161</v>
      </c>
      <c r="D86" s="20" t="n">
        <v>4291</v>
      </c>
      <c r="E86" s="20" t="n">
        <v>4870</v>
      </c>
      <c r="F86" s="20" t="n">
        <v>5022</v>
      </c>
      <c r="G86" s="20" t="n">
        <v>5828</v>
      </c>
      <c r="I86" s="20" t="n">
        <v>1989</v>
      </c>
      <c r="J86" s="20" t="n">
        <v>2177</v>
      </c>
      <c r="K86" s="20" t="n">
        <v>2345</v>
      </c>
      <c r="L86" s="20" t="n">
        <v>5022</v>
      </c>
    </row>
    <row r="87">
      <c r="A87" s="18" t="inlineStr">
        <is>
          <t>단기대여금</t>
        </is>
      </c>
      <c r="C87" s="20" t="n">
        <v>7558</v>
      </c>
      <c r="D87" s="20" t="n">
        <v>4098</v>
      </c>
      <c r="E87" s="20" t="n">
        <v>7675</v>
      </c>
      <c r="F87" s="20" t="n">
        <v>7223</v>
      </c>
      <c r="G87" s="20" t="n">
        <v>7169</v>
      </c>
      <c r="K87" s="20" t="n">
        <v>7605</v>
      </c>
      <c r="L87" s="20" t="n">
        <v>7223</v>
      </c>
    </row>
    <row r="88">
      <c r="A88" s="18" t="inlineStr">
        <is>
          <t>기타</t>
        </is>
      </c>
      <c r="C88" s="20" t="n">
        <v>2894</v>
      </c>
      <c r="D88" s="20" t="n">
        <v>2459</v>
      </c>
      <c r="E88" s="20" t="n">
        <v>2940</v>
      </c>
      <c r="F88" s="20" t="n">
        <v>3685</v>
      </c>
      <c r="G88" s="20" t="n">
        <v>3634</v>
      </c>
      <c r="H88" s="20" t="n">
        <v>19574</v>
      </c>
      <c r="I88" s="20" t="n">
        <v>10780</v>
      </c>
      <c r="J88" s="20" t="n">
        <v>4096</v>
      </c>
      <c r="K88" s="20" t="n">
        <v>2638</v>
      </c>
      <c r="L88" s="20" t="n">
        <v>3685</v>
      </c>
    </row>
    <row r="89">
      <c r="A89" s="18" t="inlineStr">
        <is>
          <t>대손충당금</t>
        </is>
      </c>
      <c r="C89" s="20" t="n">
        <v>-805</v>
      </c>
      <c r="D89" s="20" t="n">
        <v>-605</v>
      </c>
      <c r="E89" s="20" t="n">
        <v>-663</v>
      </c>
      <c r="F89" s="20" t="n">
        <v>-643</v>
      </c>
      <c r="G89" s="20" t="n">
        <v>-706</v>
      </c>
      <c r="H89" s="20" t="n">
        <v>-21006</v>
      </c>
      <c r="I89" s="20" t="n">
        <v>-24071</v>
      </c>
      <c r="J89" s="20" t="n">
        <v>-354</v>
      </c>
      <c r="K89" s="20" t="n">
        <v>-1273</v>
      </c>
      <c r="L89" s="20" t="n">
        <v>-643</v>
      </c>
    </row>
    <row r="90">
      <c r="A90" s="9" t="inlineStr">
        <is>
          <t>유동자산 합계</t>
        </is>
      </c>
      <c r="C90" s="12" t="n">
        <v>39296</v>
      </c>
      <c r="D90" s="12" t="n">
        <v>37663</v>
      </c>
      <c r="E90" s="12" t="n">
        <v>41661</v>
      </c>
      <c r="F90" s="12" t="n">
        <v>43257</v>
      </c>
      <c r="G90" s="12" t="n">
        <v>44306</v>
      </c>
      <c r="H90" s="12" t="n">
        <v>514216</v>
      </c>
      <c r="I90" s="12" t="n">
        <v>552996</v>
      </c>
      <c r="J90" s="12" t="n">
        <v>31880</v>
      </c>
      <c r="K90" s="12" t="n">
        <v>36400</v>
      </c>
      <c r="L90" s="12" t="n">
        <v>43257</v>
      </c>
    </row>
    <row r="91">
      <c r="A91" s="18" t="inlineStr">
        <is>
          <t>건물·구축물(순액)</t>
        </is>
      </c>
      <c r="C91" s="20" t="n">
        <v>1153</v>
      </c>
      <c r="D91" s="20" t="n">
        <v>1168</v>
      </c>
      <c r="E91" s="20" t="n">
        <v>1210</v>
      </c>
      <c r="F91" s="20" t="n">
        <v>1361</v>
      </c>
      <c r="G91" s="20" t="n">
        <v>1385</v>
      </c>
      <c r="H91" s="20" t="n">
        <v>7935</v>
      </c>
      <c r="I91" s="20" t="n">
        <v>8123</v>
      </c>
      <c r="J91" s="20" t="n">
        <v>578</v>
      </c>
      <c r="K91" s="20" t="n">
        <v>1040</v>
      </c>
      <c r="L91" s="20" t="n">
        <v>1361</v>
      </c>
    </row>
    <row r="92">
      <c r="A92" s="18" t="inlineStr">
        <is>
          <t>Furniture And Fixtures Net PPECMD</t>
        </is>
      </c>
      <c r="C92" s="20" t="n">
        <v>493</v>
      </c>
      <c r="D92" s="20" t="n">
        <v>473</v>
      </c>
      <c r="E92" s="20" t="n">
        <v>463</v>
      </c>
      <c r="F92" s="20" t="n">
        <v>501</v>
      </c>
      <c r="G92" s="20" t="n">
        <v>505</v>
      </c>
      <c r="H92" s="20" t="n">
        <v>6334</v>
      </c>
      <c r="I92" s="20" t="n">
        <v>6305</v>
      </c>
      <c r="J92" s="20" t="n">
        <v>473</v>
      </c>
      <c r="K92" s="20" t="n">
        <v>523</v>
      </c>
      <c r="L92" s="20" t="n">
        <v>501</v>
      </c>
    </row>
    <row r="93">
      <c r="A93" s="18" t="inlineStr">
        <is>
          <t>토지</t>
        </is>
      </c>
      <c r="C93" s="20" t="n">
        <v>1291</v>
      </c>
      <c r="D93" s="20" t="n">
        <v>1284</v>
      </c>
      <c r="E93" s="20" t="n">
        <v>1289</v>
      </c>
      <c r="F93" s="20" t="n">
        <v>1295</v>
      </c>
      <c r="G93" s="20" t="n">
        <v>1298</v>
      </c>
      <c r="H93" s="20" t="n">
        <v>125</v>
      </c>
      <c r="I93" s="20" t="n">
        <v>324</v>
      </c>
      <c r="J93" s="20" t="n">
        <v>328</v>
      </c>
      <c r="K93" s="20" t="n">
        <v>1297</v>
      </c>
      <c r="L93" s="20" t="n">
        <v>1295</v>
      </c>
    </row>
    <row r="94">
      <c r="A94" s="18" t="inlineStr">
        <is>
          <t>리스자산(순액)</t>
        </is>
      </c>
      <c r="C94" s="20" t="n">
        <v>29</v>
      </c>
      <c r="D94" s="20" t="n">
        <v>167</v>
      </c>
      <c r="E94" s="20" t="n">
        <v>172</v>
      </c>
      <c r="F94" s="20" t="n">
        <v>164</v>
      </c>
      <c r="G94" s="20" t="n">
        <v>148</v>
      </c>
      <c r="H94" s="20" t="n">
        <v>434</v>
      </c>
      <c r="I94" s="20" t="n">
        <v>491</v>
      </c>
      <c r="J94" s="20" t="n">
        <v>99</v>
      </c>
      <c r="K94" s="20" t="n">
        <v>58</v>
      </c>
      <c r="L94" s="20" t="n">
        <v>164</v>
      </c>
    </row>
    <row r="95">
      <c r="A95" s="18" t="inlineStr">
        <is>
          <t>건설중인자산</t>
        </is>
      </c>
      <c r="C95" s="20" t="n">
        <v>14</v>
      </c>
      <c r="D95" s="20" t="n">
        <v>13</v>
      </c>
      <c r="E95" s="20" t="n">
        <v>2</v>
      </c>
      <c r="F95" s="20" t="n">
        <v>9</v>
      </c>
      <c r="G95" s="20" t="n">
        <v>4</v>
      </c>
      <c r="H95" s="20" t="n">
        <v>703</v>
      </c>
      <c r="I95" s="20" t="n">
        <v>303</v>
      </c>
      <c r="J95" s="20" t="n">
        <v>10</v>
      </c>
      <c r="K95" s="20" t="n">
        <v>3</v>
      </c>
      <c r="L95" s="20" t="n">
        <v>9</v>
      </c>
    </row>
    <row r="96">
      <c r="A96" s="18" t="inlineStr">
        <is>
          <t>유형자산 합계</t>
        </is>
      </c>
      <c r="C96" s="20" t="n">
        <v>2981</v>
      </c>
      <c r="D96" s="20" t="n">
        <v>3107</v>
      </c>
      <c r="E96" s="20" t="n">
        <v>3138</v>
      </c>
      <c r="F96" s="20" t="n">
        <v>3332</v>
      </c>
      <c r="G96" s="20" t="n">
        <v>3342</v>
      </c>
      <c r="H96" s="20" t="n">
        <v>15534</v>
      </c>
      <c r="I96" s="20" t="n">
        <v>15548</v>
      </c>
      <c r="J96" s="20" t="n">
        <v>1490</v>
      </c>
      <c r="K96" s="20" t="n">
        <v>2924</v>
      </c>
      <c r="L96" s="20" t="n">
        <v>3332</v>
      </c>
    </row>
    <row r="97">
      <c r="A97" s="18" t="inlineStr">
        <is>
          <t>소프트웨어</t>
        </is>
      </c>
      <c r="C97" s="20" t="n">
        <v>148</v>
      </c>
      <c r="D97" s="20" t="n">
        <v>136</v>
      </c>
      <c r="E97" s="20" t="n">
        <v>137</v>
      </c>
      <c r="F97" s="20" t="n">
        <v>133</v>
      </c>
      <c r="G97" s="20" t="n">
        <v>128</v>
      </c>
      <c r="H97" s="20" t="n">
        <v>2249</v>
      </c>
      <c r="I97" s="20" t="n">
        <v>1809</v>
      </c>
      <c r="J97" s="20" t="n">
        <v>20</v>
      </c>
      <c r="K97" s="20" t="n">
        <v>49</v>
      </c>
      <c r="L97" s="20" t="n">
        <v>133</v>
      </c>
    </row>
    <row r="98">
      <c r="A98" s="18" t="inlineStr">
        <is>
          <t>영업권</t>
        </is>
      </c>
      <c r="C98" s="20" t="n">
        <v>4959</v>
      </c>
      <c r="D98" s="20" t="n">
        <v>4812</v>
      </c>
      <c r="E98" s="20" t="n">
        <v>4673</v>
      </c>
      <c r="F98" s="20" t="n">
        <v>2396</v>
      </c>
      <c r="G98" s="20" t="n">
        <v>2314</v>
      </c>
      <c r="H98" s="20" t="n">
        <v>0</v>
      </c>
      <c r="I98" s="20" t="n">
        <v>2272</v>
      </c>
      <c r="J98" s="20" t="n">
        <v>2035</v>
      </c>
      <c r="K98" s="20" t="n">
        <v>1798</v>
      </c>
      <c r="L98" s="20" t="n">
        <v>2396</v>
      </c>
    </row>
    <row r="99">
      <c r="A99" s="18" t="inlineStr">
        <is>
          <t>마케팅 관련 자산</t>
        </is>
      </c>
      <c r="C99" s="20" t="n">
        <v>9983</v>
      </c>
      <c r="D99" s="20" t="n">
        <v>9839</v>
      </c>
      <c r="E99" s="20" t="n">
        <v>9695</v>
      </c>
      <c r="F99" s="20" t="n">
        <v>10731</v>
      </c>
      <c r="G99" s="20" t="n">
        <v>10572</v>
      </c>
      <c r="H99" s="20" t="n">
        <v>0</v>
      </c>
      <c r="I99" s="20" t="n">
        <v>11278</v>
      </c>
      <c r="J99" s="20" t="n">
        <v>10703</v>
      </c>
      <c r="K99" s="20" t="n">
        <v>10127</v>
      </c>
      <c r="L99" s="20" t="n">
        <v>10731</v>
      </c>
    </row>
    <row r="100">
      <c r="A100" s="18" t="inlineStr">
        <is>
          <t>기타</t>
        </is>
      </c>
      <c r="C100" s="20" t="n">
        <v>59</v>
      </c>
      <c r="D100" s="20" t="n">
        <v>81</v>
      </c>
      <c r="E100" s="20" t="n">
        <v>112</v>
      </c>
      <c r="F100" s="20" t="n">
        <v>114</v>
      </c>
      <c r="G100" s="20" t="n">
        <v>115</v>
      </c>
      <c r="H100" s="20" t="n">
        <v>36</v>
      </c>
      <c r="I100" s="20" t="n">
        <v>32</v>
      </c>
      <c r="J100" s="20" t="n">
        <v>0</v>
      </c>
      <c r="K100" s="20" t="n">
        <v>37</v>
      </c>
      <c r="L100" s="20" t="n">
        <v>114</v>
      </c>
    </row>
    <row r="101">
      <c r="A101" s="18" t="inlineStr">
        <is>
          <t>무형자산 합계</t>
        </is>
      </c>
      <c r="C101" s="20" t="n">
        <v>15150</v>
      </c>
      <c r="D101" s="20" t="n">
        <v>14870</v>
      </c>
      <c r="E101" s="20" t="n">
        <v>14618</v>
      </c>
      <c r="F101" s="20" t="n">
        <v>13375</v>
      </c>
      <c r="G101" s="20" t="n">
        <v>13129</v>
      </c>
      <c r="H101" s="20" t="n">
        <v>2286</v>
      </c>
      <c r="I101" s="20" t="n">
        <v>15393</v>
      </c>
      <c r="J101" s="20" t="n">
        <v>12758</v>
      </c>
      <c r="K101" s="20" t="n">
        <v>12012</v>
      </c>
      <c r="L101" s="20" t="n">
        <v>13375</v>
      </c>
    </row>
    <row r="102">
      <c r="A102" s="18" t="inlineStr">
        <is>
          <t>투자유가증권</t>
        </is>
      </c>
      <c r="C102" s="20" t="n">
        <v>4451</v>
      </c>
      <c r="D102" s="20" t="n">
        <v>4521</v>
      </c>
      <c r="E102" s="20" t="n">
        <v>2759</v>
      </c>
      <c r="F102" s="20" t="n">
        <v>2716</v>
      </c>
      <c r="G102" s="20" t="n">
        <v>2799</v>
      </c>
      <c r="H102" s="20" t="n">
        <v>34250</v>
      </c>
      <c r="I102" s="20" t="n">
        <v>34860</v>
      </c>
      <c r="J102" s="20" t="n">
        <v>6058</v>
      </c>
      <c r="K102" s="20" t="n">
        <v>4567</v>
      </c>
      <c r="L102" s="20" t="n">
        <v>2716</v>
      </c>
    </row>
    <row r="103">
      <c r="A103" s="18" t="inlineStr">
        <is>
          <t>관계회사 주식</t>
        </is>
      </c>
      <c r="C103" s="20" t="n">
        <v>50354</v>
      </c>
      <c r="D103" s="20" t="n">
        <v>52140</v>
      </c>
      <c r="E103" s="20" t="n">
        <v>57033</v>
      </c>
      <c r="F103" s="20" t="n">
        <v>67022</v>
      </c>
      <c r="G103" s="20" t="n">
        <v>71913</v>
      </c>
      <c r="H103" s="20" t="n">
        <v>9470</v>
      </c>
      <c r="I103" s="20" t="n">
        <v>1532</v>
      </c>
      <c r="J103" s="20" t="n">
        <v>43304</v>
      </c>
      <c r="K103" s="20" t="n">
        <v>57363</v>
      </c>
      <c r="L103" s="20" t="n">
        <v>67022</v>
      </c>
    </row>
    <row r="104">
      <c r="A104" s="18" t="inlineStr">
        <is>
          <t>Guarantee Deposits IOA</t>
        </is>
      </c>
      <c r="H104" s="20" t="n">
        <v>150</v>
      </c>
      <c r="I104" s="20" t="n">
        <v>263</v>
      </c>
    </row>
    <row r="105">
      <c r="A105" s="18" t="inlineStr">
        <is>
          <t>파산갱생채권 등</t>
        </is>
      </c>
      <c r="H105" s="20" t="n">
        <v>0</v>
      </c>
    </row>
    <row r="106">
      <c r="A106" s="18" t="inlineStr">
        <is>
          <t>관계회사 장기대여금</t>
        </is>
      </c>
      <c r="C106" s="20" t="n">
        <v>1558</v>
      </c>
      <c r="D106" s="20" t="n">
        <v>1508</v>
      </c>
      <c r="E106" s="20" t="n">
        <v>1693</v>
      </c>
      <c r="F106" s="20" t="n">
        <v>1659</v>
      </c>
      <c r="G106" s="20" t="n">
        <v>1777</v>
      </c>
      <c r="I106" s="20" t="n">
        <v>1457</v>
      </c>
      <c r="J106" s="20" t="n">
        <v>2895</v>
      </c>
      <c r="K106" s="20" t="n">
        <v>1482</v>
      </c>
      <c r="L106" s="20" t="n">
        <v>1659</v>
      </c>
    </row>
    <row r="107">
      <c r="A107" s="18" t="inlineStr">
        <is>
          <t>이연법인세자산</t>
        </is>
      </c>
      <c r="C107" s="20" t="n">
        <v>177</v>
      </c>
      <c r="D107" s="20" t="n">
        <v>0</v>
      </c>
      <c r="E107" s="20" t="n">
        <v>124</v>
      </c>
      <c r="F107" s="20" t="n">
        <v>62</v>
      </c>
      <c r="G107" s="20" t="n">
        <v>116</v>
      </c>
      <c r="H107" s="20" t="n">
        <v>647</v>
      </c>
      <c r="I107" s="20" t="n">
        <v>65</v>
      </c>
      <c r="J107" s="20" t="n">
        <v>15</v>
      </c>
      <c r="K107" s="20" t="n">
        <v>173</v>
      </c>
      <c r="L107" s="20" t="n">
        <v>62</v>
      </c>
    </row>
    <row r="108">
      <c r="A108" s="18" t="inlineStr">
        <is>
          <t>기타</t>
        </is>
      </c>
      <c r="C108" s="20" t="n">
        <v>624</v>
      </c>
      <c r="D108" s="20" t="n">
        <v>954</v>
      </c>
      <c r="E108" s="20" t="n">
        <v>679</v>
      </c>
      <c r="F108" s="20" t="n">
        <v>594</v>
      </c>
      <c r="G108" s="20" t="n">
        <v>619</v>
      </c>
      <c r="H108" s="20" t="n">
        <v>1356</v>
      </c>
      <c r="I108" s="20" t="n">
        <v>280</v>
      </c>
      <c r="J108" s="20" t="n">
        <v>375</v>
      </c>
      <c r="K108" s="20" t="n">
        <v>414</v>
      </c>
      <c r="L108" s="20" t="n">
        <v>594</v>
      </c>
    </row>
    <row r="109">
      <c r="A109" s="18" t="inlineStr">
        <is>
          <t>대손충당금</t>
        </is>
      </c>
      <c r="C109" s="20" t="n">
        <v>-26</v>
      </c>
      <c r="D109" s="20" t="n">
        <v>-26</v>
      </c>
      <c r="E109" s="20" t="n">
        <v>-26</v>
      </c>
      <c r="F109" s="20" t="n">
        <v>-26</v>
      </c>
      <c r="G109" s="20" t="n">
        <v>-26</v>
      </c>
      <c r="H109" s="20" t="n">
        <v>-461</v>
      </c>
      <c r="I109" s="20" t="n">
        <v>-408</v>
      </c>
      <c r="J109" s="20" t="n">
        <v>-4</v>
      </c>
      <c r="K109" s="20" t="n">
        <v>-4</v>
      </c>
      <c r="L109" s="20" t="n">
        <v>-26</v>
      </c>
    </row>
    <row r="110">
      <c r="A110" s="18" t="inlineStr">
        <is>
          <t>투자 및 기타자산 합계</t>
        </is>
      </c>
      <c r="C110" s="20" t="n">
        <v>57140</v>
      </c>
      <c r="D110" s="20" t="n">
        <v>59098</v>
      </c>
      <c r="E110" s="20" t="n">
        <v>62264</v>
      </c>
      <c r="F110" s="20" t="n">
        <v>72029</v>
      </c>
      <c r="G110" s="20" t="n">
        <v>77200</v>
      </c>
      <c r="H110" s="20" t="n">
        <v>45413</v>
      </c>
      <c r="I110" s="20" t="n">
        <v>37788</v>
      </c>
      <c r="J110" s="20" t="n">
        <v>52644</v>
      </c>
      <c r="K110" s="20" t="n">
        <v>63996</v>
      </c>
      <c r="L110" s="20" t="n">
        <v>72029</v>
      </c>
    </row>
    <row r="111">
      <c r="A111" s="9" t="inlineStr">
        <is>
          <t>비유동자산 합계</t>
        </is>
      </c>
      <c r="C111" s="12" t="n">
        <v>75273</v>
      </c>
      <c r="D111" s="12" t="n">
        <v>77076</v>
      </c>
      <c r="E111" s="12" t="n">
        <v>80021</v>
      </c>
      <c r="F111" s="12" t="n">
        <v>88738</v>
      </c>
      <c r="G111" s="12" t="n">
        <v>93673</v>
      </c>
      <c r="H111" s="12" t="n">
        <v>63233</v>
      </c>
      <c r="I111" s="12" t="n">
        <v>68730</v>
      </c>
      <c r="J111" s="12" t="n">
        <v>66894</v>
      </c>
      <c r="K111" s="12" t="n">
        <v>78933</v>
      </c>
      <c r="L111" s="12" t="n">
        <v>88738</v>
      </c>
    </row>
    <row r="112">
      <c r="A112" s="9" t="inlineStr">
        <is>
          <t>자산 합계</t>
        </is>
      </c>
      <c r="C112" s="12" t="n">
        <v>114570</v>
      </c>
      <c r="D112" s="12" t="n">
        <v>114739</v>
      </c>
      <c r="E112" s="12" t="n">
        <v>121683</v>
      </c>
      <c r="F112" s="12" t="n">
        <v>131996</v>
      </c>
      <c r="G112" s="12" t="n">
        <v>137980</v>
      </c>
      <c r="H112" s="12" t="n">
        <v>577449</v>
      </c>
      <c r="I112" s="12" t="n">
        <v>621727</v>
      </c>
      <c r="J112" s="12" t="n">
        <v>98774</v>
      </c>
      <c r="K112" s="12" t="n">
        <v>115334</v>
      </c>
      <c r="L112" s="12" t="n">
        <v>131996</v>
      </c>
    </row>
    <row r="113">
      <c r="A113" s="18" t="inlineStr">
        <is>
          <t>Trading Products CLSEC</t>
        </is>
      </c>
      <c r="H113" s="20" t="n">
        <v>0</v>
      </c>
    </row>
    <row r="114">
      <c r="A114" s="18" t="inlineStr">
        <is>
          <t>Trading Securities And Other CLSEC</t>
        </is>
      </c>
      <c r="H114" s="20" t="n">
        <v>0</v>
      </c>
    </row>
    <row r="115">
      <c r="A115" s="18" t="inlineStr">
        <is>
          <t>Trade Date Accrual CLSEC</t>
        </is>
      </c>
      <c r="H115" s="20" t="n">
        <v>0</v>
      </c>
    </row>
    <row r="116">
      <c r="A116" s="18" t="inlineStr">
        <is>
          <t>Margin Transaction Liabilities CLSEC</t>
        </is>
      </c>
      <c r="H116" s="20" t="n">
        <v>0</v>
      </c>
    </row>
    <row r="117">
      <c r="A117" s="18" t="inlineStr">
        <is>
          <t>Borrowings On Margin Transactions CLSEC</t>
        </is>
      </c>
      <c r="H117" s="20" t="n">
        <v>0</v>
      </c>
    </row>
    <row r="118">
      <c r="A118" s="18" t="inlineStr">
        <is>
          <t>Cash Received For Securities Lending On Margin Transactions CLSEC</t>
        </is>
      </c>
      <c r="H118" s="20" t="n">
        <v>0</v>
      </c>
    </row>
    <row r="119">
      <c r="A119" s="18" t="inlineStr">
        <is>
          <t>Loans Payable Secured By Securities CLSEC</t>
        </is>
      </c>
      <c r="H119" s="20" t="n">
        <v>0</v>
      </c>
    </row>
    <row r="120">
      <c r="A120" s="18" t="inlineStr">
        <is>
          <t>Cash Received On Debt Credit Transaction Of Securities CLSEC</t>
        </is>
      </c>
      <c r="H120" s="20" t="n">
        <v>0</v>
      </c>
    </row>
    <row r="121">
      <c r="A121" s="18" t="inlineStr">
        <is>
          <t>예수금</t>
        </is>
      </c>
      <c r="H121" s="20" t="n">
        <v>77</v>
      </c>
    </row>
    <row r="122">
      <c r="A122" s="18" t="inlineStr">
        <is>
          <t>Deposits From Customers CLSEC</t>
        </is>
      </c>
      <c r="H122" s="20" t="n">
        <v>0</v>
      </c>
    </row>
    <row r="123">
      <c r="A123" s="18" t="inlineStr">
        <is>
          <t>Deposits For Others CLSEC</t>
        </is>
      </c>
      <c r="H123" s="20" t="n">
        <v>77</v>
      </c>
    </row>
    <row r="124">
      <c r="A124" s="18" t="inlineStr">
        <is>
          <t>Guarantee Deposits Received CLSEC</t>
        </is>
      </c>
      <c r="H124" s="20" t="n">
        <v>0</v>
      </c>
    </row>
    <row r="125">
      <c r="A125" s="18" t="inlineStr">
        <is>
          <t>Guarantee Deposits Received For Margin Transaction CLSEC</t>
        </is>
      </c>
      <c r="H125" s="20" t="n">
        <v>0</v>
      </c>
    </row>
    <row r="126">
      <c r="A126" s="18" t="inlineStr">
        <is>
          <t>Initial Margins Of Futures Markets Liabilities CLSEC</t>
        </is>
      </c>
      <c r="H126" s="20" t="n">
        <v>0</v>
      </c>
    </row>
    <row r="127">
      <c r="A127" s="18" t="inlineStr">
        <is>
          <t>예수금</t>
        </is>
      </c>
      <c r="C127" s="20" t="n">
        <v>62</v>
      </c>
      <c r="D127" s="20" t="n">
        <v>33</v>
      </c>
      <c r="E127" s="20" t="n">
        <v>60</v>
      </c>
      <c r="F127" s="20" t="n">
        <v>28</v>
      </c>
      <c r="G127" s="20" t="n">
        <v>64</v>
      </c>
      <c r="H127" s="20" t="n">
        <v>77</v>
      </c>
      <c r="I127" s="20" t="n">
        <v>14</v>
      </c>
      <c r="J127" s="20" t="n">
        <v>58</v>
      </c>
      <c r="K127" s="20" t="n">
        <v>25</v>
      </c>
      <c r="L127" s="20" t="n">
        <v>28</v>
      </c>
    </row>
    <row r="128">
      <c r="A128" s="18" t="inlineStr">
        <is>
          <t>예금</t>
        </is>
      </c>
      <c r="C128" s="20" t="n">
        <v>9006</v>
      </c>
      <c r="D128" s="20" t="n">
        <v>8164</v>
      </c>
      <c r="E128" s="20" t="n">
        <v>9042</v>
      </c>
      <c r="F128" s="20" t="n">
        <v>9475</v>
      </c>
      <c r="G128" s="20" t="n">
        <v>10401</v>
      </c>
      <c r="H128" s="20" t="n">
        <v>410706</v>
      </c>
      <c r="I128" s="20" t="n">
        <v>431741</v>
      </c>
      <c r="J128" s="20" t="n">
        <v>10201</v>
      </c>
      <c r="K128" s="20" t="n">
        <v>10241</v>
      </c>
      <c r="L128" s="20" t="n">
        <v>9475</v>
      </c>
    </row>
    <row r="129">
      <c r="A129" s="18" t="inlineStr">
        <is>
          <t>매도현선(RP)계정</t>
        </is>
      </c>
      <c r="H129" s="20" t="n">
        <v>10277</v>
      </c>
      <c r="I129" s="20" t="n">
        <v>2312</v>
      </c>
      <c r="J129" s="20" t="n">
        <v>0</v>
      </c>
    </row>
    <row r="130">
      <c r="A130" s="18" t="inlineStr">
        <is>
          <t>단기차입금</t>
        </is>
      </c>
      <c r="C130" s="20" t="n">
        <v>318</v>
      </c>
      <c r="D130" s="20" t="n">
        <v>14</v>
      </c>
      <c r="E130" s="20" t="n">
        <v>11</v>
      </c>
      <c r="F130" s="20" t="n">
        <v>13</v>
      </c>
      <c r="G130" s="20" t="n">
        <v>5</v>
      </c>
      <c r="H130" s="20" t="n">
        <v>2306</v>
      </c>
      <c r="I130" s="20" t="n">
        <v>12</v>
      </c>
      <c r="J130" s="20" t="n">
        <v>0</v>
      </c>
      <c r="K130" s="20" t="n">
        <v>0</v>
      </c>
      <c r="L130" s="20" t="n">
        <v>13</v>
      </c>
    </row>
    <row r="131">
      <c r="A131" s="18" t="inlineStr">
        <is>
          <t>1년 내 상환 장기차입금</t>
        </is>
      </c>
      <c r="C131" s="20" t="n">
        <v>261</v>
      </c>
      <c r="D131" s="20" t="n">
        <v>245</v>
      </c>
      <c r="E131" s="20" t="n">
        <v>244</v>
      </c>
      <c r="F131" s="20" t="n">
        <v>253</v>
      </c>
      <c r="G131" s="20" t="n">
        <v>243</v>
      </c>
      <c r="H131" s="20" t="n">
        <v>25168</v>
      </c>
      <c r="I131" s="20" t="n">
        <v>36161</v>
      </c>
      <c r="J131" s="20" t="n">
        <v>104</v>
      </c>
      <c r="K131" s="20" t="n">
        <v>79</v>
      </c>
      <c r="L131" s="20" t="n">
        <v>253</v>
      </c>
    </row>
    <row r="132">
      <c r="A132" s="18" t="inlineStr">
        <is>
          <t>리스부채</t>
        </is>
      </c>
      <c r="H132" s="20" t="n">
        <v>208</v>
      </c>
      <c r="I132" s="20" t="n">
        <v>307</v>
      </c>
    </row>
    <row r="133">
      <c r="A133" s="18" t="inlineStr">
        <is>
          <t>미지급법인세</t>
        </is>
      </c>
      <c r="C133" s="20" t="n">
        <v>134</v>
      </c>
      <c r="D133" s="20" t="n">
        <v>236</v>
      </c>
      <c r="E133" s="20" t="n">
        <v>193</v>
      </c>
      <c r="F133" s="20" t="n">
        <v>131</v>
      </c>
      <c r="G133" s="20" t="n">
        <v>334</v>
      </c>
      <c r="H133" s="20" t="n">
        <v>379</v>
      </c>
      <c r="I133" s="20" t="n">
        <v>4254</v>
      </c>
      <c r="J133" s="20" t="n">
        <v>185</v>
      </c>
      <c r="K133" s="20" t="n">
        <v>857</v>
      </c>
      <c r="L133" s="20" t="n">
        <v>131</v>
      </c>
    </row>
    <row r="134">
      <c r="A134" s="18" t="inlineStr">
        <is>
          <t>상여충당금</t>
        </is>
      </c>
      <c r="C134" s="20" t="n">
        <v>126</v>
      </c>
      <c r="D134" s="20" t="n">
        <v>74</v>
      </c>
      <c r="E134" s="20" t="n">
        <v>110</v>
      </c>
      <c r="F134" s="20" t="n">
        <v>76</v>
      </c>
      <c r="G134" s="20" t="n">
        <v>141</v>
      </c>
      <c r="H134" s="20" t="n">
        <v>31</v>
      </c>
      <c r="I134" s="20" t="n">
        <v>22</v>
      </c>
      <c r="J134" s="20" t="n">
        <v>31</v>
      </c>
      <c r="K134" s="20" t="n">
        <v>75</v>
      </c>
      <c r="L134" s="20" t="n">
        <v>76</v>
      </c>
    </row>
    <row r="135">
      <c r="A135" s="18" t="inlineStr">
        <is>
          <t>기타</t>
        </is>
      </c>
      <c r="C135" s="20" t="n">
        <v>2075</v>
      </c>
      <c r="D135" s="20" t="n">
        <v>1858</v>
      </c>
      <c r="E135" s="20" t="n">
        <v>2221</v>
      </c>
      <c r="F135" s="20" t="n">
        <v>2608</v>
      </c>
      <c r="G135" s="20" t="n">
        <v>2476</v>
      </c>
      <c r="H135" s="20" t="n">
        <v>10900</v>
      </c>
      <c r="I135" s="20" t="n">
        <v>14001</v>
      </c>
      <c r="J135" s="20" t="n">
        <v>1382</v>
      </c>
      <c r="K135" s="20" t="n">
        <v>1206</v>
      </c>
      <c r="L135" s="20" t="n">
        <v>2608</v>
      </c>
    </row>
    <row r="136">
      <c r="A136" s="9" t="inlineStr">
        <is>
          <t>유동부채 합계</t>
        </is>
      </c>
      <c r="C136" s="12" t="n">
        <v>11985</v>
      </c>
      <c r="D136" s="12" t="n">
        <v>10627</v>
      </c>
      <c r="E136" s="12" t="n">
        <v>11884</v>
      </c>
      <c r="F136" s="12" t="n">
        <v>12586</v>
      </c>
      <c r="G136" s="12" t="n">
        <v>13667</v>
      </c>
      <c r="H136" s="12" t="n">
        <v>460056</v>
      </c>
      <c r="I136" s="12" t="n">
        <v>488521</v>
      </c>
      <c r="J136" s="12" t="n">
        <v>11963</v>
      </c>
      <c r="K136" s="12" t="n">
        <v>12485</v>
      </c>
      <c r="L136" s="12" t="n">
        <v>12586</v>
      </c>
    </row>
    <row r="137">
      <c r="A137" s="18" t="inlineStr">
        <is>
          <t>장기차입금</t>
        </is>
      </c>
      <c r="C137" s="20" t="n">
        <v>2111</v>
      </c>
      <c r="D137" s="20" t="n">
        <v>1983</v>
      </c>
      <c r="E137" s="20" t="n">
        <v>1964</v>
      </c>
      <c r="F137" s="20" t="n">
        <v>1960</v>
      </c>
      <c r="G137" s="20" t="n">
        <v>1902</v>
      </c>
      <c r="H137" s="20" t="n">
        <v>35674</v>
      </c>
      <c r="I137" s="20" t="n">
        <v>41334</v>
      </c>
      <c r="J137" s="20" t="n">
        <v>1035</v>
      </c>
      <c r="K137" s="20" t="n">
        <v>1235</v>
      </c>
      <c r="L137" s="20" t="n">
        <v>1960</v>
      </c>
    </row>
    <row r="138">
      <c r="A138" s="18" t="inlineStr">
        <is>
          <t>리스부채</t>
        </is>
      </c>
      <c r="H138" s="20" t="n">
        <v>283</v>
      </c>
      <c r="I138" s="20" t="n">
        <v>224</v>
      </c>
    </row>
    <row r="139">
      <c r="A139" s="18" t="inlineStr">
        <is>
          <t>이연법인세부채</t>
        </is>
      </c>
      <c r="C139" s="20" t="n">
        <v>12888</v>
      </c>
      <c r="D139" s="20" t="n">
        <v>12904</v>
      </c>
      <c r="E139" s="20" t="n">
        <v>13939</v>
      </c>
      <c r="F139" s="20" t="n">
        <v>16362</v>
      </c>
      <c r="G139" s="20" t="n">
        <v>17845</v>
      </c>
      <c r="H139" s="20" t="n">
        <v>6861</v>
      </c>
      <c r="I139" s="20" t="n">
        <v>10106</v>
      </c>
      <c r="J139" s="20" t="n">
        <v>13137</v>
      </c>
      <c r="K139" s="20" t="n">
        <v>14666</v>
      </c>
      <c r="L139" s="20" t="n">
        <v>16362</v>
      </c>
    </row>
    <row r="140">
      <c r="A140" s="18" t="inlineStr">
        <is>
          <t>임원 퇴직위로 충당금</t>
        </is>
      </c>
      <c r="C140" s="20" t="n">
        <v>4</v>
      </c>
      <c r="D140" s="20" t="n">
        <v>4</v>
      </c>
      <c r="E140" s="20" t="n">
        <v>4</v>
      </c>
      <c r="F140" s="20" t="n">
        <v>4</v>
      </c>
      <c r="G140" s="20" t="n">
        <v>4</v>
      </c>
      <c r="H140" s="20" t="n">
        <v>4</v>
      </c>
      <c r="I140" s="20" t="n">
        <v>4</v>
      </c>
      <c r="J140" s="20" t="n">
        <v>4</v>
      </c>
      <c r="K140" s="20" t="n">
        <v>4</v>
      </c>
      <c r="L140" s="20" t="n">
        <v>4</v>
      </c>
    </row>
    <row r="141">
      <c r="A141" s="18" t="inlineStr">
        <is>
          <t>퇴직급여부채</t>
        </is>
      </c>
      <c r="C141" s="20" t="n">
        <v>6</v>
      </c>
      <c r="D141" s="20" t="n">
        <v>6</v>
      </c>
      <c r="E141" s="20" t="n">
        <v>6</v>
      </c>
      <c r="F141" s="20" t="n">
        <v>6</v>
      </c>
      <c r="G141" s="20" t="n">
        <v>6</v>
      </c>
      <c r="H141" s="20" t="n">
        <v>5</v>
      </c>
      <c r="I141" s="20" t="n">
        <v>4</v>
      </c>
      <c r="J141" s="20" t="n">
        <v>4</v>
      </c>
      <c r="K141" s="20" t="n">
        <v>5</v>
      </c>
      <c r="L141" s="20" t="n">
        <v>6</v>
      </c>
    </row>
    <row r="142">
      <c r="A142" s="18" t="inlineStr">
        <is>
          <t>기타</t>
        </is>
      </c>
      <c r="C142" s="20" t="n">
        <v>308</v>
      </c>
      <c r="D142" s="20" t="n">
        <v>433</v>
      </c>
      <c r="E142" s="20" t="n">
        <v>423</v>
      </c>
      <c r="F142" s="20" t="n">
        <v>439</v>
      </c>
      <c r="G142" s="20" t="n">
        <v>433</v>
      </c>
      <c r="H142" s="20" t="n">
        <v>135</v>
      </c>
      <c r="I142" s="20" t="n">
        <v>344</v>
      </c>
      <c r="J142" s="20" t="n">
        <v>212</v>
      </c>
      <c r="K142" s="20" t="n">
        <v>235</v>
      </c>
      <c r="L142" s="20" t="n">
        <v>439</v>
      </c>
    </row>
    <row r="143">
      <c r="A143" s="9" t="inlineStr">
        <is>
          <t>비유동부채 합계</t>
        </is>
      </c>
      <c r="C143" s="12" t="n">
        <v>15319</v>
      </c>
      <c r="D143" s="12" t="n">
        <v>15332</v>
      </c>
      <c r="E143" s="12" t="n">
        <v>16338</v>
      </c>
      <c r="F143" s="12" t="n">
        <v>18773</v>
      </c>
      <c r="G143" s="12" t="n">
        <v>20192</v>
      </c>
      <c r="H143" s="12" t="n">
        <v>42965</v>
      </c>
      <c r="I143" s="12" t="n">
        <v>51794</v>
      </c>
      <c r="J143" s="12" t="n">
        <v>14394</v>
      </c>
      <c r="K143" s="12" t="n">
        <v>16147</v>
      </c>
      <c r="L143" s="12" t="n">
        <v>18773</v>
      </c>
    </row>
    <row r="144">
      <c r="A144" s="18" t="inlineStr">
        <is>
          <t>Reserve For Financial Products Transaction Liabilities Reserves Under The Special Laws SEC</t>
        </is>
      </c>
      <c r="H144" s="20" t="n">
        <v>0</v>
      </c>
    </row>
    <row r="145">
      <c r="A145" s="18" t="inlineStr">
        <is>
          <t>Reserves Under The Special Laws1</t>
        </is>
      </c>
      <c r="H145" s="20" t="n">
        <v>0</v>
      </c>
    </row>
    <row r="146">
      <c r="A146" s="9" t="inlineStr">
        <is>
          <t>부채 합계</t>
        </is>
      </c>
      <c r="C146" s="12" t="n">
        <v>27305</v>
      </c>
      <c r="D146" s="12" t="n">
        <v>25959</v>
      </c>
      <c r="E146" s="12" t="n">
        <v>28222</v>
      </c>
      <c r="F146" s="12" t="n">
        <v>31360</v>
      </c>
      <c r="G146" s="12" t="n">
        <v>33860</v>
      </c>
      <c r="H146" s="12" t="n">
        <v>503022</v>
      </c>
      <c r="I146" s="12" t="n">
        <v>540315</v>
      </c>
      <c r="J146" s="12" t="n">
        <v>26358</v>
      </c>
      <c r="K146" s="12" t="n">
        <v>28633</v>
      </c>
      <c r="L146" s="12" t="n">
        <v>31360</v>
      </c>
    </row>
    <row r="147">
      <c r="A147" s="18" t="inlineStr">
        <is>
          <t>자본금</t>
        </is>
      </c>
      <c r="C147" s="20" t="n">
        <v>12223</v>
      </c>
      <c r="D147" s="20" t="n">
        <v>12223</v>
      </c>
      <c r="E147" s="20" t="n">
        <v>12223</v>
      </c>
      <c r="F147" s="20" t="n">
        <v>12223</v>
      </c>
      <c r="G147" s="20" t="n">
        <v>12223</v>
      </c>
      <c r="H147" s="20" t="n">
        <v>12223</v>
      </c>
      <c r="I147" s="20" t="n">
        <v>12223</v>
      </c>
      <c r="J147" s="20" t="n">
        <v>12223</v>
      </c>
      <c r="K147" s="20" t="n">
        <v>12223</v>
      </c>
      <c r="L147" s="20" t="n">
        <v>12223</v>
      </c>
    </row>
    <row r="148">
      <c r="A148" s="18" t="inlineStr">
        <is>
          <t>자본잉여금</t>
        </is>
      </c>
      <c r="C148" s="20" t="n">
        <v>3704</v>
      </c>
      <c r="D148" s="20" t="n">
        <v>3704</v>
      </c>
      <c r="E148" s="20" t="n">
        <v>3704</v>
      </c>
      <c r="F148" s="20" t="n">
        <v>3704</v>
      </c>
      <c r="G148" s="20" t="n">
        <v>3704</v>
      </c>
      <c r="H148" s="20" t="n">
        <v>5897</v>
      </c>
      <c r="I148" s="20" t="n">
        <v>3704</v>
      </c>
      <c r="J148" s="20" t="n">
        <v>3704</v>
      </c>
      <c r="K148" s="20" t="n">
        <v>3704</v>
      </c>
      <c r="L148" s="20" t="n">
        <v>3704</v>
      </c>
    </row>
    <row r="149">
      <c r="A149" s="18" t="inlineStr">
        <is>
          <t>이익잉여금</t>
        </is>
      </c>
      <c r="C149" s="20" t="n">
        <v>88756</v>
      </c>
      <c r="D149" s="20" t="n">
        <v>92340</v>
      </c>
      <c r="E149" s="20" t="n">
        <v>96224</v>
      </c>
      <c r="F149" s="20" t="n">
        <v>99784</v>
      </c>
      <c r="G149" s="20" t="n">
        <v>102639</v>
      </c>
      <c r="H149" s="20" t="n">
        <v>53386</v>
      </c>
      <c r="I149" s="20" t="n">
        <v>64446</v>
      </c>
      <c r="J149" s="20" t="n">
        <v>73597</v>
      </c>
      <c r="K149" s="20" t="n">
        <v>85397</v>
      </c>
      <c r="L149" s="20" t="n">
        <v>99784</v>
      </c>
    </row>
    <row r="150">
      <c r="A150" s="18" t="inlineStr">
        <is>
          <t>자기주식</t>
        </is>
      </c>
      <c r="C150" s="20" t="n">
        <v>-13021</v>
      </c>
      <c r="D150" s="20" t="n">
        <v>-13021</v>
      </c>
      <c r="E150" s="20" t="n">
        <v>-13021</v>
      </c>
      <c r="F150" s="20" t="n">
        <v>-13021</v>
      </c>
      <c r="G150" s="20" t="n">
        <v>-13021</v>
      </c>
      <c r="H150" s="20" t="n">
        <v>-11822</v>
      </c>
      <c r="I150" s="20" t="n">
        <v>-11822</v>
      </c>
      <c r="J150" s="20" t="n">
        <v>-13021</v>
      </c>
      <c r="K150" s="20" t="n">
        <v>-13021</v>
      </c>
      <c r="L150" s="20" t="n">
        <v>-13021</v>
      </c>
    </row>
    <row r="151">
      <c r="A151" s="9" t="inlineStr">
        <is>
          <t>주주자본 합계</t>
        </is>
      </c>
      <c r="C151" s="12" t="n">
        <v>91662</v>
      </c>
      <c r="D151" s="12" t="n">
        <v>95246</v>
      </c>
      <c r="E151" s="12" t="n">
        <v>99129</v>
      </c>
      <c r="F151" s="12" t="n">
        <v>102690</v>
      </c>
      <c r="G151" s="12" t="n">
        <v>105545</v>
      </c>
      <c r="H151" s="12" t="n">
        <v>59684</v>
      </c>
      <c r="I151" s="12" t="n">
        <v>68551</v>
      </c>
      <c r="J151" s="12" t="n">
        <v>76503</v>
      </c>
      <c r="K151" s="12" t="n">
        <v>88303</v>
      </c>
      <c r="L151" s="12" t="n">
        <v>102690</v>
      </c>
    </row>
    <row r="152">
      <c r="A152" s="18" t="inlineStr">
        <is>
          <t>기타유가증권 평가차액</t>
        </is>
      </c>
      <c r="C152" s="20" t="n">
        <v>312</v>
      </c>
      <c r="D152" s="20" t="n">
        <v>444</v>
      </c>
      <c r="E152" s="20" t="n">
        <v>462</v>
      </c>
      <c r="F152" s="20" t="n">
        <v>486</v>
      </c>
      <c r="G152" s="20" t="n">
        <v>380</v>
      </c>
      <c r="H152" s="20" t="n">
        <v>377</v>
      </c>
      <c r="I152" s="20" t="n">
        <v>-46</v>
      </c>
      <c r="J152" s="20" t="n">
        <v>1523</v>
      </c>
      <c r="K152" s="20" t="n">
        <v>342</v>
      </c>
      <c r="L152" s="20" t="n">
        <v>486</v>
      </c>
    </row>
    <row r="153">
      <c r="A153" s="18" t="inlineStr">
        <is>
          <t>이연헤지손익</t>
        </is>
      </c>
      <c r="C153" s="20" t="n">
        <v>-63</v>
      </c>
      <c r="D153" s="20" t="n">
        <v>-66</v>
      </c>
      <c r="E153" s="20" t="n">
        <v>-87</v>
      </c>
      <c r="F153" s="20" t="n">
        <v>-89</v>
      </c>
      <c r="G153" s="20" t="n">
        <v>-96</v>
      </c>
      <c r="H153" s="20" t="n">
        <v>13</v>
      </c>
      <c r="I153" s="20" t="n">
        <v>-187</v>
      </c>
      <c r="J153" s="20" t="n">
        <v>-51</v>
      </c>
      <c r="K153" s="20" t="n">
        <v>-16</v>
      </c>
      <c r="L153" s="20" t="n">
        <v>-89</v>
      </c>
    </row>
    <row r="154">
      <c r="A154" s="18" t="inlineStr">
        <is>
          <t>해외사업환산조정</t>
        </is>
      </c>
      <c r="C154" s="20" t="n">
        <v>-5185</v>
      </c>
      <c r="D154" s="20" t="n">
        <v>-7288</v>
      </c>
      <c r="E154" s="20" t="n">
        <v>-6474</v>
      </c>
      <c r="F154" s="20" t="n">
        <v>-2990</v>
      </c>
      <c r="G154" s="20" t="n">
        <v>-2267</v>
      </c>
      <c r="H154" s="20" t="n">
        <v>-7535</v>
      </c>
      <c r="I154" s="20" t="n">
        <v>-8686</v>
      </c>
      <c r="J154" s="20" t="n">
        <v>-6103</v>
      </c>
      <c r="K154" s="20" t="n">
        <v>-2255</v>
      </c>
      <c r="L154" s="20" t="n">
        <v>-2990</v>
      </c>
    </row>
    <row r="155">
      <c r="A155" s="18" t="inlineStr">
        <is>
          <t>기타포괄손익누계액 합계</t>
        </is>
      </c>
      <c r="C155" s="20" t="n">
        <v>-4936</v>
      </c>
      <c r="D155" s="20" t="n">
        <v>-6910</v>
      </c>
      <c r="E155" s="20" t="n">
        <v>-6098</v>
      </c>
      <c r="F155" s="20" t="n">
        <v>-2593</v>
      </c>
      <c r="G155" s="20" t="n">
        <v>-1983</v>
      </c>
      <c r="H155" s="20" t="n">
        <v>-7144</v>
      </c>
      <c r="I155" s="20" t="n">
        <v>-8919</v>
      </c>
      <c r="J155" s="20" t="n">
        <v>-4631</v>
      </c>
      <c r="K155" s="20" t="n">
        <v>-1929</v>
      </c>
      <c r="L155" s="20" t="n">
        <v>-2593</v>
      </c>
    </row>
    <row r="156">
      <c r="A156" s="18" t="inlineStr">
        <is>
          <t>비지배지분</t>
        </is>
      </c>
      <c r="C156" s="20" t="n">
        <v>539</v>
      </c>
      <c r="D156" s="20" t="n">
        <v>443</v>
      </c>
      <c r="E156" s="20" t="n">
        <v>430</v>
      </c>
      <c r="F156" s="20" t="n">
        <v>538</v>
      </c>
      <c r="G156" s="20" t="n">
        <v>558</v>
      </c>
      <c r="H156" s="20" t="n">
        <v>21887</v>
      </c>
      <c r="I156" s="20" t="n">
        <v>21780</v>
      </c>
      <c r="J156" s="20" t="n">
        <v>544</v>
      </c>
      <c r="K156" s="20" t="n">
        <v>327</v>
      </c>
      <c r="L156" s="20" t="n">
        <v>538</v>
      </c>
    </row>
    <row r="157">
      <c r="A157" s="9" t="inlineStr">
        <is>
          <t>순자산 합계</t>
        </is>
      </c>
      <c r="C157" s="12" t="n">
        <v>87264</v>
      </c>
      <c r="D157" s="12" t="n">
        <v>88780</v>
      </c>
      <c r="E157" s="12" t="n">
        <v>93461</v>
      </c>
      <c r="F157" s="12" t="n">
        <v>100635</v>
      </c>
      <c r="G157" s="12" t="n">
        <v>104119</v>
      </c>
      <c r="H157" s="12" t="n">
        <v>74427</v>
      </c>
      <c r="I157" s="12" t="n">
        <v>81411</v>
      </c>
      <c r="J157" s="12" t="n">
        <v>72416</v>
      </c>
      <c r="K157" s="12" t="n">
        <v>86701</v>
      </c>
      <c r="L157" s="12" t="n">
        <v>100635</v>
      </c>
    </row>
    <row r="158">
      <c r="A158" s="9" t="inlineStr">
        <is>
          <t>부채·순자산 합계</t>
        </is>
      </c>
      <c r="C158" s="12" t="n">
        <v>114570</v>
      </c>
      <c r="D158" s="12" t="n">
        <v>114739</v>
      </c>
      <c r="E158" s="12" t="n">
        <v>121683</v>
      </c>
      <c r="F158" s="12" t="n">
        <v>131996</v>
      </c>
      <c r="G158" s="12" t="n">
        <v>137980</v>
      </c>
      <c r="H158" s="12" t="n">
        <v>577449</v>
      </c>
      <c r="I158" s="12" t="n">
        <v>621727</v>
      </c>
      <c r="J158" s="12" t="n">
        <v>98774</v>
      </c>
      <c r="K158" s="12" t="n">
        <v>115334</v>
      </c>
      <c r="L158" s="12" t="n">
        <v>131996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https://www2.jpx.co.jp/disc/86990/140120260730503632.pdf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https://www2.jpx.co.jp/disc/86990/140120260430515106.pdf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https://www2.jpx.co.jp/disc/86990/140120260129541797.pdf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https://www2.jpx.co.jp/disc/86990/140120251030583111.pdf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https://www2.jpx.co.jp/disc/86990/140120250730524191.pdf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https://www2.jpx.co.jp/disc/86990/140120250430528086.pdf</t>
        </is>
      </c>
    </row>
    <row r="10">
      <c r="A10" t="inlineStr">
        <is>
          <t>2025-01-28</t>
        </is>
      </c>
      <c r="B10" t="inlineStr">
        <is>
          <t>2025년 3월 결산기 3분기 결산단신</t>
        </is>
      </c>
      <c r="C10" t="inlineStr">
        <is>
          <t>https://www2.jpx.co.jp/disc/86990/140120250128556406.pdf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https://www2.jpx.co.jp/disc/86990/140120241029505077.pdf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https://www2.jpx.co.jp/disc/86990/140120240729556767.pdf</t>
        </is>
      </c>
    </row>
    <row r="13">
      <c r="A13" t="inlineStr">
        <is>
          <t>2024-04-30</t>
        </is>
      </c>
      <c r="B13" t="inlineStr">
        <is>
          <t>2024년 3월 결산기 연간 결산단신</t>
        </is>
      </c>
      <c r="C13" t="inlineStr">
        <is>
          <t>https://www2.jpx.co.jp/disc/86990/140120240420573564.pdf</t>
        </is>
      </c>
    </row>
    <row r="14">
      <c r="A14" t="inlineStr">
        <is>
          <t>2024-01-29</t>
        </is>
      </c>
      <c r="B14" t="inlineStr">
        <is>
          <t>2024년 3월 결산기 3분기 결산단신</t>
        </is>
      </c>
      <c r="C14" t="inlineStr">
        <is>
          <t>https://www2.jpx.co.jp/disc/86990/140120240121517187.pdf</t>
        </is>
      </c>
    </row>
    <row r="15">
      <c r="A15" t="inlineStr">
        <is>
          <t>2023-10-30</t>
        </is>
      </c>
      <c r="B15" t="inlineStr">
        <is>
          <t>2024년 3월 결산기 2분기 결산단신</t>
        </is>
      </c>
      <c r="C15" t="inlineStr">
        <is>
          <t>https://www2.jpx.co.jp/disc/86990/140120231020569646.pdf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https://www2.jpx.co.jp/disc/86990/140120230722525213.pdf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https://www2.jpx.co.jp/disc/86990/140120230422551066.pdf</t>
        </is>
      </c>
    </row>
    <row r="18">
      <c r="A18" t="inlineStr">
        <is>
          <t>2023-01-27</t>
        </is>
      </c>
      <c r="B18" t="inlineStr">
        <is>
          <t>2023년 3월 결산기 3분기 결산단신</t>
        </is>
      </c>
      <c r="C18" t="inlineStr">
        <is>
          <t>https://www2.jpx.co.jp/disc/86990/140120230121591929.pdf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https://www2.jpx.co.jp/disc/86990/140120221020547247.pdf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https://www2.jpx.co.jp/disc/86990/140120220423526457.pdf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https://www2.jpx.co.jp/disc/86990/140120210422498408.pdf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https://www2.jpx.co.jp/disc/86990/140120200420496468.pdf</t>
        </is>
      </c>
    </row>
    <row r="23">
      <c r="A23" t="inlineStr">
        <is>
          <t>2019-04-26</t>
        </is>
      </c>
      <c r="B23" t="inlineStr">
        <is>
          <t>연간 결산단신</t>
        </is>
      </c>
      <c r="C23" t="inlineStr">
        <is>
          <t>https://www2.jpx.co.jp/disc/86990/140120190419407436.pdf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https://www2.jpx.co.jp/disc/86990/140120180418414091.pdf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2026-10-28T07:00:36Z</dcterms:created>
  <dcterms:modified xmlns:dcterms="http://purl.org/dc/terms/" xmlns:xsi="http://www.w3.org/2001/XMLSchema-instance" xsi:type="dcterms:W3CDTF">2026-10-28T07:00:37Z</dcterms:modified>
</cp:coreProperties>
</file>