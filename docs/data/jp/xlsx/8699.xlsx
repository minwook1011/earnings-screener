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30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8699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6661</v>
      </c>
      <c r="D4" s="12" t="n">
        <v>7628</v>
      </c>
      <c r="E4" s="12" t="n">
        <v>7875</v>
      </c>
      <c r="F4" s="12" t="n">
        <v>8388</v>
      </c>
      <c r="G4" s="12" t="n">
        <v>8756</v>
      </c>
      <c r="H4" s="12" t="n">
        <v>8458</v>
      </c>
      <c r="I4" s="12" t="n">
        <v>9255</v>
      </c>
      <c r="J4" s="12" t="n">
        <v>8958</v>
      </c>
      <c r="K4" s="12" t="n">
        <v>14925</v>
      </c>
      <c r="L4" s="12" t="n">
        <v>15592</v>
      </c>
      <c r="M4" s="12" t="n">
        <v>15788</v>
      </c>
      <c r="N4" s="12" t="n">
        <v>16194</v>
      </c>
      <c r="O4" s="11" t="n">
        <v>3600</v>
      </c>
      <c r="P4" s="12" t="n">
        <v>4167</v>
      </c>
      <c r="Q4" s="12" t="n">
        <v>4510</v>
      </c>
      <c r="R4" s="12" t="n">
        <v>5441</v>
      </c>
      <c r="S4" s="12" t="n">
        <v>4987</v>
      </c>
      <c r="T4" s="12" t="n">
        <v>2957</v>
      </c>
      <c r="U4" s="12" t="n">
        <v>4817</v>
      </c>
      <c r="V4" s="12" t="n">
        <v>29142</v>
      </c>
      <c r="W4" s="12" t="n">
        <v>34857</v>
      </c>
      <c r="X4" s="12" t="n">
        <v>55263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BankingBusinessReportableSegmentMember</t>
        </is>
      </c>
      <c r="B7" s="10" t="n"/>
      <c r="C7" s="19" t="n">
        <v>501</v>
      </c>
      <c r="D7" s="20" t="n">
        <v>560</v>
      </c>
      <c r="E7" s="20" t="n">
        <v>679</v>
      </c>
      <c r="F7" s="20" t="n">
        <v>738</v>
      </c>
      <c r="G7" s="20" t="n">
        <v>866</v>
      </c>
      <c r="H7" s="20" t="n">
        <v>614</v>
      </c>
      <c r="I7" s="20" t="n">
        <v>690</v>
      </c>
      <c r="J7" s="20" t="n">
        <v>663</v>
      </c>
      <c r="K7" s="20" t="n">
        <v>594</v>
      </c>
      <c r="L7" s="20" t="n">
        <v>602</v>
      </c>
      <c r="M7" s="20" t="n">
        <v>756</v>
      </c>
      <c r="N7" s="20" t="n">
        <v>747</v>
      </c>
      <c r="O7" s="19" t="n"/>
      <c r="P7" s="20" t="n"/>
      <c r="Q7" s="20" t="n"/>
      <c r="R7" s="20" t="n"/>
      <c r="S7" s="20" t="n"/>
      <c r="T7" s="20" t="n"/>
      <c r="U7" s="20" t="n"/>
      <c r="V7" s="20" t="n">
        <v>20455</v>
      </c>
      <c r="W7" s="20" t="n">
        <v>2908</v>
      </c>
      <c r="X7" s="20" t="n">
        <v>2615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ReuseBusinessReportableSegmentMember</t>
        </is>
      </c>
      <c r="B10" s="10" t="n"/>
      <c r="C10" s="19" t="n">
        <v>6657</v>
      </c>
      <c r="D10" s="20" t="n">
        <v>7624</v>
      </c>
      <c r="E10" s="20" t="n">
        <v>7874</v>
      </c>
      <c r="F10" s="20" t="n">
        <v>8386</v>
      </c>
      <c r="G10" s="20" t="n">
        <v>8752</v>
      </c>
      <c r="H10" s="20" t="n">
        <v>8455</v>
      </c>
      <c r="I10" s="20" t="n">
        <v>9252</v>
      </c>
      <c r="J10" s="20" t="n">
        <v>8955</v>
      </c>
      <c r="K10" s="20" t="n">
        <v>14921</v>
      </c>
      <c r="L10" s="20" t="n">
        <v>15588</v>
      </c>
      <c r="M10" s="20" t="n">
        <v>15785</v>
      </c>
      <c r="N10" s="20" t="n">
        <v>16190</v>
      </c>
      <c r="O10" s="19" t="n"/>
      <c r="P10" s="20" t="n"/>
      <c r="Q10" s="20" t="n"/>
      <c r="R10" s="20" t="n"/>
      <c r="S10" s="20" t="n"/>
      <c r="T10" s="20" t="n"/>
      <c r="U10" s="20" t="n"/>
      <c r="V10" s="20" t="n">
        <v>29133</v>
      </c>
      <c r="W10" s="20" t="n">
        <v>34845</v>
      </c>
      <c r="X10" s="20" t="n">
        <v>55249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OtherBusinessReportableSegmentMember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>
        <v>9</v>
      </c>
      <c r="W13" s="20" t="n">
        <v>11</v>
      </c>
      <c r="X13" s="20" t="n">
        <v>14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OtherReportableSegmentsMember</t>
        </is>
      </c>
      <c r="B16" s="10" t="n"/>
      <c r="C16" s="19" t="n">
        <v>3</v>
      </c>
      <c r="D16" s="20" t="n">
        <v>4</v>
      </c>
      <c r="E16" s="20" t="n"/>
      <c r="F16" s="20" t="n">
        <v>2</v>
      </c>
      <c r="G16" s="20" t="n">
        <v>3</v>
      </c>
      <c r="H16" s="20" t="n">
        <v>3</v>
      </c>
      <c r="I16" s="20" t="n"/>
      <c r="J16" s="20" t="n">
        <v>3</v>
      </c>
      <c r="K16" s="20" t="n">
        <v>3</v>
      </c>
      <c r="L16" s="20" t="n">
        <v>4</v>
      </c>
      <c r="M16" s="20" t="n"/>
      <c r="N16" s="20" t="n">
        <v>4</v>
      </c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/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/>
      <c r="F19" s="20" t="n">
        <v>9127</v>
      </c>
      <c r="G19" s="20" t="n"/>
      <c r="H19" s="20" t="n"/>
      <c r="I19" s="20" t="n"/>
      <c r="J19" s="20" t="n">
        <v>9622</v>
      </c>
      <c r="K19" s="20" t="n"/>
      <c r="L19" s="20" t="n"/>
      <c r="M19" s="20" t="n"/>
      <c r="N19" s="20" t="n">
        <v>16941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5189</v>
      </c>
      <c r="D23" s="20" t="n">
        <v>6093</v>
      </c>
      <c r="E23" s="20" t="n">
        <v>6241</v>
      </c>
      <c r="F23" s="20" t="n">
        <v>6449</v>
      </c>
      <c r="G23" s="20" t="n">
        <v>6978</v>
      </c>
      <c r="H23" s="20" t="n">
        <v>6590</v>
      </c>
      <c r="I23" s="20" t="n">
        <v>7021</v>
      </c>
      <c r="J23" s="20" t="n">
        <v>6941</v>
      </c>
      <c r="K23" s="20" t="n">
        <v>12355</v>
      </c>
      <c r="L23" s="20" t="n">
        <v>12712</v>
      </c>
      <c r="M23" s="20" t="n">
        <v>12585</v>
      </c>
      <c r="N23" s="20" t="n">
        <v>12987</v>
      </c>
      <c r="O23" s="19" t="n">
        <v>2124</v>
      </c>
      <c r="P23" s="20" t="n">
        <v>2681</v>
      </c>
      <c r="Q23" s="20" t="n">
        <v>2927</v>
      </c>
      <c r="R23" s="20" t="n">
        <v>3655</v>
      </c>
      <c r="S23" s="20" t="n">
        <v>3542</v>
      </c>
      <c r="T23" s="20" t="n">
        <v>1369</v>
      </c>
      <c r="U23" s="20" t="n">
        <v>3247</v>
      </c>
      <c r="V23" s="20" t="n">
        <v>22915</v>
      </c>
      <c r="W23" s="20" t="n">
        <v>27038</v>
      </c>
      <c r="X23" s="20" t="n">
        <v>44593</v>
      </c>
      <c r="Y23" s="19" t="n"/>
      <c r="Z23" s="20" t="n"/>
      <c r="AA23" s="20" t="n"/>
      <c r="AB23" s="20" t="n"/>
      <c r="AC23" s="20" t="n"/>
    </row>
    <row r="24">
      <c r="A24" s="18" t="inlineStr">
        <is>
          <t>매출총이익</t>
        </is>
      </c>
      <c r="B24" s="10" t="n"/>
      <c r="C24" s="19">
        <f>IF(OR(C4="",C23=""),"",IFERROR(C4-C23,""))</f>
        <v/>
      </c>
      <c r="D24" s="20">
        <f>IF(OR(D4="",D23=""),"",IFERROR(D4-D23,""))</f>
        <v/>
      </c>
      <c r="E24" s="20">
        <f>IF(OR(E4="",E23=""),"",IFERROR(E4-E23,""))</f>
        <v/>
      </c>
      <c r="F24" s="20">
        <f>IF(OR(F4="",F23=""),"",IFERROR(F4-F23,""))</f>
        <v/>
      </c>
      <c r="G24" s="20">
        <f>IF(OR(G4="",G23=""),"",IFERROR(G4-G23,""))</f>
        <v/>
      </c>
      <c r="H24" s="20">
        <f>IF(OR(H4="",H23=""),"",IFERROR(H4-H23,""))</f>
        <v/>
      </c>
      <c r="I24" s="20">
        <f>IF(OR(I4="",I23=""),"",IFERROR(I4-I23,""))</f>
        <v/>
      </c>
      <c r="J24" s="20">
        <f>IF(OR(J4="",J23=""),"",IFERROR(J4-J23,""))</f>
        <v/>
      </c>
      <c r="K24" s="20">
        <f>IF(OR(K4="",K23=""),"",IFERROR(K4-K23,""))</f>
        <v/>
      </c>
      <c r="L24" s="20">
        <f>IF(OR(L4="",L23=""),"",IFERROR(L4-L23,""))</f>
        <v/>
      </c>
      <c r="M24" s="20">
        <f>IF(OR(M4="",M23=""),"",IFERROR(M4-M23,""))</f>
        <v/>
      </c>
      <c r="N24" s="20">
        <f>IF(OR(N4="",N23=""),"",IFERROR(N4-N23,""))</f>
        <v/>
      </c>
      <c r="O24" s="19">
        <f>IF(OR(O4="",O23=""),"",IFERROR(O4-O23,""))</f>
        <v/>
      </c>
      <c r="P24" s="20">
        <f>IF(OR(P4="",P23=""),"",IFERROR(P4-P23,""))</f>
        <v/>
      </c>
      <c r="Q24" s="20">
        <f>IF(OR(Q4="",Q23=""),"",IFERROR(Q4-Q23,""))</f>
        <v/>
      </c>
      <c r="R24" s="20">
        <f>IF(OR(R4="",R23=""),"",IFERROR(R4-R23,""))</f>
        <v/>
      </c>
      <c r="S24" s="20">
        <f>IF(OR(S4="",S23=""),"",IFERROR(S4-S23,""))</f>
        <v/>
      </c>
      <c r="T24" s="20">
        <f>IF(OR(T4="",T23=""),"",IFERROR(T4-T23,""))</f>
        <v/>
      </c>
      <c r="U24" s="20">
        <f>IF(OR(U4="",U23=""),"",IFERROR(U4-U23,""))</f>
        <v/>
      </c>
      <c r="V24" s="20">
        <f>IF(OR(V4="",V23=""),"",IFERROR(V4-V23,""))</f>
        <v/>
      </c>
      <c r="W24" s="20">
        <f>IF(OR(W4="",W23=""),"",IFERROR(W4-W23,""))</f>
        <v/>
      </c>
      <c r="X24" s="20">
        <f>IF(OR(X4="",X23=""),"",IFERROR(X4-X23,""))</f>
        <v/>
      </c>
      <c r="Y24" s="19" t="n"/>
      <c r="Z24" s="20" t="n"/>
      <c r="AA24" s="20" t="n"/>
      <c r="AB24" s="20" t="n"/>
      <c r="AC24" s="20" t="n"/>
    </row>
    <row r="25">
      <c r="A25" s="13" t="inlineStr">
        <is>
          <t>GPM</t>
        </is>
      </c>
      <c r="B25" s="10" t="n"/>
      <c r="C25" s="14">
        <f>IF(OR(C24="",C4=""),"",IFERROR(C24/C4,""))</f>
        <v/>
      </c>
      <c r="D25" s="15">
        <f>IF(OR(D24="",D4=""),"",IFERROR(D24/D4,""))</f>
        <v/>
      </c>
      <c r="E25" s="15">
        <f>IF(OR(E24="",E4=""),"",IFERROR(E24/E4,""))</f>
        <v/>
      </c>
      <c r="F25" s="15">
        <f>IF(OR(F24="",F4=""),"",IFERROR(F24/F4,""))</f>
        <v/>
      </c>
      <c r="G25" s="15">
        <f>IF(OR(G24="",G4=""),"",IFERROR(G24/G4,""))</f>
        <v/>
      </c>
      <c r="H25" s="15">
        <f>IF(OR(H24="",H4=""),"",IFERROR(H24/H4,""))</f>
        <v/>
      </c>
      <c r="I25" s="15">
        <f>IF(OR(I24="",I4=""),"",IFERROR(I24/I4,""))</f>
        <v/>
      </c>
      <c r="J25" s="15">
        <f>IF(OR(J24="",J4=""),"",IFERROR(J24/J4,""))</f>
        <v/>
      </c>
      <c r="K25" s="15">
        <f>IF(OR(K24="",K4=""),"",IFERROR(K24/K4,""))</f>
        <v/>
      </c>
      <c r="L25" s="15">
        <f>IF(OR(L24="",L4=""),"",IFERROR(L24/L4,""))</f>
        <v/>
      </c>
      <c r="M25" s="15">
        <f>IF(OR(M24="",M4=""),"",IFERROR(M24/M4,""))</f>
        <v/>
      </c>
      <c r="N25" s="15">
        <f>IF(OR(N24="",N4=""),"",IFERROR(N24/N4,""))</f>
        <v/>
      </c>
      <c r="O25" s="14">
        <f>IF(OR(O24="",O4=""),"",IFERROR(O24/O4,""))</f>
        <v/>
      </c>
      <c r="P25" s="15">
        <f>IF(OR(P24="",P4=""),"",IFERROR(P24/P4,""))</f>
        <v/>
      </c>
      <c r="Q25" s="15">
        <f>IF(OR(Q24="",Q4=""),"",IFERROR(Q24/Q4,""))</f>
        <v/>
      </c>
      <c r="R25" s="15">
        <f>IF(OR(R24="",R4=""),"",IFERROR(R24/R4,""))</f>
        <v/>
      </c>
      <c r="S25" s="15">
        <f>IF(OR(S24="",S4=""),"",IFERROR(S24/S4,""))</f>
        <v/>
      </c>
      <c r="T25" s="15">
        <f>IF(OR(T24="",T4=""),"",IFERROR(T24/T4,""))</f>
        <v/>
      </c>
      <c r="U25" s="15">
        <f>IF(OR(U24="",U4=""),"",IFERROR(U24/U4,""))</f>
        <v/>
      </c>
      <c r="V25" s="15">
        <f>IF(OR(V24="",V4=""),"",IFERROR(V24/V4,""))</f>
        <v/>
      </c>
      <c r="W25" s="15">
        <f>IF(OR(W24="",W4=""),"",IFERROR(W24/W4,""))</f>
        <v/>
      </c>
      <c r="X25" s="15">
        <f>IF(OR(X24="",X4=""),"",IFERROR(X24/X4,""))</f>
        <v/>
      </c>
      <c r="Y25" s="14">
        <f>IF(OR(Y24="",Y4=""),"",IFERROR(Y24/Y4,""))</f>
        <v/>
      </c>
      <c r="Z25" s="15">
        <f>IF(OR(Z24="",Z4=""),"",IFERROR(Z24/Z4,""))</f>
        <v/>
      </c>
      <c r="AA25" s="15">
        <f>IF(OR(AA24="",AA4=""),"",IFERROR(AA24/AA4,""))</f>
        <v/>
      </c>
      <c r="AB25" s="15">
        <f>IF(OR(AB24="",AB4=""),"",IFERROR(AB24/AB4,""))</f>
        <v/>
      </c>
      <c r="AC25" s="15">
        <f>IF(OR(AC24="",AC4=""),"",IFERROR(AC24/AC4,""))</f>
        <v/>
      </c>
    </row>
    <row r="26">
      <c r="A26" s="23" t="inlineStr">
        <is>
          <t>판매관리비</t>
        </is>
      </c>
      <c r="B26" s="23" t="n"/>
      <c r="C26" s="24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  <c r="M26" s="23" t="n"/>
      <c r="N26" s="23" t="n"/>
      <c r="O26" s="24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4" t="n"/>
      <c r="Z26" s="23" t="n"/>
      <c r="AA26" s="23" t="n"/>
      <c r="AB26" s="23" t="n"/>
      <c r="AC26" s="23" t="n"/>
    </row>
    <row r="27">
      <c r="A27" s="18" t="inlineStr">
        <is>
          <t>전체 판관비</t>
        </is>
      </c>
      <c r="B27" s="10" t="n"/>
      <c r="C27" s="19" t="n">
        <v>1966</v>
      </c>
      <c r="D27" s="20" t="n">
        <v>2080</v>
      </c>
      <c r="E27" s="20" t="n">
        <v>2393</v>
      </c>
      <c r="F27" s="20" t="n">
        <v>2321</v>
      </c>
      <c r="G27" s="20" t="n">
        <v>2351</v>
      </c>
      <c r="H27" s="20" t="n">
        <v>2410</v>
      </c>
      <c r="I27" s="20" t="n">
        <v>3034</v>
      </c>
      <c r="J27" s="20" t="n">
        <v>2614</v>
      </c>
      <c r="K27" s="20" t="n">
        <v>3046</v>
      </c>
      <c r="L27" s="20" t="n">
        <v>3081</v>
      </c>
      <c r="M27" s="20" t="n">
        <v>3154</v>
      </c>
      <c r="N27" s="20" t="n">
        <v>3426</v>
      </c>
      <c r="O27" s="19" t="n">
        <v>15822</v>
      </c>
      <c r="P27" s="20" t="n">
        <v>17957</v>
      </c>
      <c r="Q27" s="20" t="n">
        <v>17328</v>
      </c>
      <c r="R27" s="20" t="n">
        <v>18608</v>
      </c>
      <c r="S27" s="20" t="n">
        <v>19293</v>
      </c>
      <c r="T27" s="20" t="n">
        <v>22123</v>
      </c>
      <c r="U27" s="20" t="n">
        <v>26877</v>
      </c>
      <c r="V27" s="20" t="n">
        <v>13243</v>
      </c>
      <c r="W27" s="20" t="n">
        <v>10116</v>
      </c>
      <c r="X27" s="20" t="n">
        <v>11895</v>
      </c>
      <c r="Y27" s="19" t="n"/>
      <c r="Z27" s="20" t="n"/>
      <c r="AA27" s="20" t="n"/>
      <c r="AB27" s="20" t="n"/>
      <c r="AC27" s="20" t="n"/>
    </row>
    <row r="28">
      <c r="A28" s="9" t="inlineStr">
        <is>
          <t>영업이익</t>
        </is>
      </c>
      <c r="B28" s="10" t="inlineStr">
        <is>
          <t>MW = 매출 × OPM</t>
        </is>
      </c>
      <c r="C28" s="11" t="n">
        <v>-267</v>
      </c>
      <c r="D28" s="12" t="n">
        <v>-284</v>
      </c>
      <c r="E28" s="12" t="n">
        <v>-223</v>
      </c>
      <c r="F28" s="12" t="n">
        <v>-28</v>
      </c>
      <c r="G28" s="12" t="n">
        <v>-146</v>
      </c>
      <c r="H28" s="12" t="n">
        <v>-251</v>
      </c>
      <c r="I28" s="12" t="n">
        <v>-681</v>
      </c>
      <c r="J28" s="12" t="n">
        <v>-260</v>
      </c>
      <c r="K28" s="12" t="n">
        <v>-526</v>
      </c>
      <c r="L28" s="12" t="n">
        <v>50</v>
      </c>
      <c r="M28" s="12" t="n">
        <v>373</v>
      </c>
      <c r="N28" s="12" t="n">
        <v>137</v>
      </c>
      <c r="O28" s="11" t="n">
        <v>5764</v>
      </c>
      <c r="P28" s="12" t="n">
        <v>7192</v>
      </c>
      <c r="Q28" s="12" t="n">
        <v>9682</v>
      </c>
      <c r="R28" s="12" t="n">
        <v>10901</v>
      </c>
      <c r="S28" s="12" t="n">
        <v>8871</v>
      </c>
      <c r="T28" s="12" t="n">
        <v>15993</v>
      </c>
      <c r="U28" s="12" t="n">
        <v>24142</v>
      </c>
      <c r="V28" s="12" t="n">
        <v>5008</v>
      </c>
      <c r="W28" s="12" t="n">
        <v>-1106</v>
      </c>
      <c r="X28" s="12" t="n">
        <v>-363</v>
      </c>
      <c r="Y28" s="11">
        <f>IF(OR(Y4="",Y29=""),"",IFERROR(Y4*Y29,""))</f>
        <v/>
      </c>
      <c r="Z28" s="12">
        <f>IF(OR(Z4="",Z29=""),"",IFERROR(Z4*Z29,""))</f>
        <v/>
      </c>
      <c r="AA28" s="12">
        <f>IF(OR(AA4="",AA29=""),"",IFERROR(AA4*AA29,""))</f>
        <v/>
      </c>
      <c r="AB28" s="12">
        <f>IF(OR(AB4="",AB29=""),"",IFERROR(AB4*AB29,""))</f>
        <v/>
      </c>
      <c r="AC28" s="12">
        <f>IF(OR(AC4="",AC29=""),"",IFERROR(AC4*AC29,""))</f>
        <v/>
      </c>
    </row>
    <row r="29">
      <c r="A29" s="13" t="inlineStr">
        <is>
          <t>OPM</t>
        </is>
      </c>
      <c r="B29" s="10" t="inlineStr">
        <is>
          <t>MW 입력</t>
        </is>
      </c>
      <c r="C29" s="14">
        <f>IF(OR(C28="",C4=""),"",IFERROR(C28/C4,""))</f>
        <v/>
      </c>
      <c r="D29" s="15">
        <f>IF(OR(D28="",D4=""),"",IFERROR(D28/D4,""))</f>
        <v/>
      </c>
      <c r="E29" s="15">
        <f>IF(OR(E28="",E4=""),"",IFERROR(E28/E4,""))</f>
        <v/>
      </c>
      <c r="F29" s="15">
        <f>IF(OR(F28="",F4=""),"",IFERROR(F28/F4,""))</f>
        <v/>
      </c>
      <c r="G29" s="15">
        <f>IF(OR(G28="",G4=""),"",IFERROR(G28/G4,""))</f>
        <v/>
      </c>
      <c r="H29" s="15">
        <f>IF(OR(H28="",H4=""),"",IFERROR(H28/H4,""))</f>
        <v/>
      </c>
      <c r="I29" s="15">
        <f>IF(OR(I28="",I4=""),"",IFERROR(I28/I4,""))</f>
        <v/>
      </c>
      <c r="J29" s="15">
        <f>IF(OR(J28="",J4=""),"",IFERROR(J28/J4,""))</f>
        <v/>
      </c>
      <c r="K29" s="15">
        <f>IF(OR(K28="",K4=""),"",IFERROR(K28/K4,""))</f>
        <v/>
      </c>
      <c r="L29" s="15">
        <f>IF(OR(L28="",L4=""),"",IFERROR(L28/L4,""))</f>
        <v/>
      </c>
      <c r="M29" s="15">
        <f>IF(OR(M28="",M4=""),"",IFERROR(M28/M4,""))</f>
        <v/>
      </c>
      <c r="N29" s="15">
        <f>IF(OR(N28="",N4=""),"",IFERROR(N28/N4,""))</f>
        <v/>
      </c>
      <c r="O29" s="14">
        <f>IF(OR(O28="",O4=""),"",IFERROR(O28/O4,""))</f>
        <v/>
      </c>
      <c r="P29" s="15">
        <f>IF(OR(P28="",P4=""),"",IFERROR(P28/P4,""))</f>
        <v/>
      </c>
      <c r="Q29" s="15">
        <f>IF(OR(Q28="",Q4=""),"",IFERROR(Q28/Q4,""))</f>
        <v/>
      </c>
      <c r="R29" s="15">
        <f>IF(OR(R28="",R4=""),"",IFERROR(R28/R4,""))</f>
        <v/>
      </c>
      <c r="S29" s="15">
        <f>IF(OR(S28="",S4=""),"",IFERROR(S28/S4,""))</f>
        <v/>
      </c>
      <c r="T29" s="15">
        <f>IF(OR(T28="",T4=""),"",IFERROR(T28/T4,""))</f>
        <v/>
      </c>
      <c r="U29" s="15">
        <f>IF(OR(U28="",U4=""),"",IFERROR(U28/U4,""))</f>
        <v/>
      </c>
      <c r="V29" s="15">
        <f>IF(OR(V28="",V4=""),"",IFERROR(V28/V4,""))</f>
        <v/>
      </c>
      <c r="W29" s="15">
        <f>IF(OR(W28="",W4=""),"",IFERROR(W28/W4,""))</f>
        <v/>
      </c>
      <c r="X29" s="15">
        <f>IF(OR(X28="",X4=""),"",IFERROR(X28/X4,""))</f>
        <v/>
      </c>
      <c r="Y29" s="25" t="n"/>
      <c r="Z29" s="26" t="n"/>
      <c r="AA29" s="26" t="n"/>
      <c r="AB29" s="26" t="n"/>
      <c r="AC29" s="26" t="n"/>
    </row>
    <row r="30">
      <c r="A30" s="13" t="inlineStr">
        <is>
          <t>증가율</t>
        </is>
      </c>
      <c r="B30" s="10" t="n"/>
      <c r="C30" s="14" t="n"/>
      <c r="D30" s="15" t="n"/>
      <c r="E30" s="15" t="n"/>
      <c r="F30" s="15" t="n"/>
      <c r="G30" s="15">
        <f>IF(OR(G28="",C28=""),"",IFERROR(G28/C28-1,""))</f>
        <v/>
      </c>
      <c r="H30" s="15">
        <f>IF(OR(H28="",D28=""),"",IFERROR(H28/D28-1,""))</f>
        <v/>
      </c>
      <c r="I30" s="15">
        <f>IF(OR(I28="",E28=""),"",IFERROR(I28/E28-1,""))</f>
        <v/>
      </c>
      <c r="J30" s="15">
        <f>IF(OR(J28="",F28=""),"",IFERROR(J28/F28-1,""))</f>
        <v/>
      </c>
      <c r="K30" s="15">
        <f>IF(OR(K28="",G28=""),"",IFERROR(K28/G28-1,""))</f>
        <v/>
      </c>
      <c r="L30" s="15">
        <f>IF(OR(L28="",H28=""),"",IFERROR(L28/H28-1,""))</f>
        <v/>
      </c>
      <c r="M30" s="15">
        <f>IF(OR(M28="",I28=""),"",IFERROR(M28/I28-1,""))</f>
        <v/>
      </c>
      <c r="N30" s="15">
        <f>IF(OR(N28="",J28=""),"",IFERROR(N28/J28-1,""))</f>
        <v/>
      </c>
      <c r="O30" s="14" t="n"/>
      <c r="P30" s="15">
        <f>IF(OR(P28="",O28=""),"",IFERROR(P28/O28-1,""))</f>
        <v/>
      </c>
      <c r="Q30" s="15">
        <f>IF(OR(Q28="",P28=""),"",IFERROR(Q28/P28-1,""))</f>
        <v/>
      </c>
      <c r="R30" s="15">
        <f>IF(OR(R28="",Q28=""),"",IFERROR(R28/Q28-1,""))</f>
        <v/>
      </c>
      <c r="S30" s="15">
        <f>IF(OR(S28="",R28=""),"",IFERROR(S28/R28-1,""))</f>
        <v/>
      </c>
      <c r="T30" s="15">
        <f>IF(OR(T28="",S28=""),"",IFERROR(T28/S28-1,""))</f>
        <v/>
      </c>
      <c r="U30" s="15">
        <f>IF(OR(U28="",T28=""),"",IFERROR(U28/T28-1,""))</f>
        <v/>
      </c>
      <c r="V30" s="15">
        <f>IF(OR(V28="",U28=""),"",IFERROR(V28/U28-1,""))</f>
        <v/>
      </c>
      <c r="W30" s="15">
        <f>IF(OR(W28="",V28=""),"",IFERROR(W28/V28-1,""))</f>
        <v/>
      </c>
      <c r="X30" s="15">
        <f>IF(OR(X28="",W28=""),"",IFERROR(X28/W28-1,""))</f>
        <v/>
      </c>
      <c r="Y30" s="14">
        <f>IF(OR(Y28="",X28=""),"",IFERROR(Y28/X28-1,""))</f>
        <v/>
      </c>
      <c r="Z30" s="15">
        <f>IF(OR(Z28="",Y28=""),"",IFERROR(Z28/Y28-1,""))</f>
        <v/>
      </c>
      <c r="AA30" s="15">
        <f>IF(OR(AA28="",Z28=""),"",IFERROR(AA28/Z28-1,""))</f>
        <v/>
      </c>
      <c r="AB30" s="15">
        <f>IF(OR(AB28="",AA28=""),"",IFERROR(AB28/AA28-1,""))</f>
        <v/>
      </c>
      <c r="AC30" s="15">
        <f>IF(OR(AC28="",AB28=""),"",IFERROR(AC28/AB28-1,""))</f>
        <v/>
      </c>
    </row>
    <row r="31">
      <c r="A31" s="16" t="inlineStr">
        <is>
          <t>비용의 성격별 분류</t>
        </is>
      </c>
      <c r="B31" s="16" t="inlineStr">
        <is>
          <t>참고 데이터</t>
        </is>
      </c>
      <c r="C31" s="17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7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7" t="n"/>
      <c r="Z31" s="16" t="n"/>
      <c r="AA31" s="16" t="n"/>
      <c r="AB31" s="16" t="n"/>
      <c r="AC31" s="16" t="n"/>
    </row>
    <row r="32">
      <c r="A32" s="9" t="inlineStr">
        <is>
          <t>총 판관비</t>
        </is>
      </c>
      <c r="B32" s="10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1">
        <f>IF(O27="","",O27)</f>
        <v/>
      </c>
      <c r="P32" s="12">
        <f>IF(P27="","",P27)</f>
        <v/>
      </c>
      <c r="Q32" s="12">
        <f>IF(Q27="","",Q27)</f>
        <v/>
      </c>
      <c r="R32" s="12">
        <f>IF(R27="","",R27)</f>
        <v/>
      </c>
      <c r="S32" s="12">
        <f>IF(S27="","",S27)</f>
        <v/>
      </c>
      <c r="T32" s="12">
        <f>IF(T27="","",T27)</f>
        <v/>
      </c>
      <c r="U32" s="12">
        <f>IF(U27="","",U27)</f>
        <v/>
      </c>
      <c r="V32" s="12">
        <f>IF(V27="","",V27)</f>
        <v/>
      </c>
      <c r="W32" s="12">
        <f>IF(W27="","",W27)</f>
        <v/>
      </c>
      <c r="X32" s="12">
        <f>IF(X27="","",X27)</f>
        <v/>
      </c>
      <c r="Y32" s="11" t="n"/>
      <c r="Z32" s="12" t="n"/>
      <c r="AA32" s="12" t="n"/>
      <c r="AB32" s="12" t="n"/>
      <c r="AC32" s="12" t="n"/>
    </row>
    <row r="33">
      <c r="A33" s="18" t="inlineStr">
        <is>
          <t>급여</t>
        </is>
      </c>
      <c r="B33" s="10" t="inlineStr">
        <is>
          <t>고정비</t>
        </is>
      </c>
      <c r="C33" s="19" t="n"/>
      <c r="D33" s="20" t="n"/>
      <c r="E33" s="20" t="n"/>
      <c r="F33" s="20" t="n"/>
      <c r="G33" s="20" t="n"/>
      <c r="H33" s="20" t="n"/>
      <c r="I33" s="20" t="n"/>
      <c r="J33" s="20" t="n"/>
      <c r="K33" s="20" t="n"/>
      <c r="L33" s="20" t="n"/>
      <c r="M33" s="20" t="n"/>
      <c r="N33" s="20" t="n"/>
      <c r="O33" s="19" t="n"/>
      <c r="P33" s="20" t="n"/>
      <c r="Q33" s="20" t="n"/>
      <c r="R33" s="20" t="n"/>
      <c r="S33" s="20" t="n"/>
      <c r="T33" s="20" t="n"/>
      <c r="U33" s="20" t="n"/>
      <c r="V33" s="20" t="n"/>
      <c r="W33" s="20" t="n"/>
      <c r="X33" s="20" t="n"/>
      <c r="Y33" s="19" t="n"/>
      <c r="Z33" s="20" t="n"/>
      <c r="AA33" s="20" t="n"/>
      <c r="AB33" s="20" t="n"/>
      <c r="AC33" s="20" t="n"/>
    </row>
    <row r="34">
      <c r="A34" s="13" t="inlineStr">
        <is>
          <t>% of Sales</t>
        </is>
      </c>
      <c r="B34" s="10" t="n"/>
      <c r="C34" s="14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4">
        <f>IF(OR(O33="",O4=""),"",IFERROR(O33/O4,""))</f>
        <v/>
      </c>
      <c r="P34" s="15">
        <f>IF(OR(P33="",P4=""),"",IFERROR(P33/P4,""))</f>
        <v/>
      </c>
      <c r="Q34" s="15">
        <f>IF(OR(Q33="",Q4=""),"",IFERROR(Q33/Q4,""))</f>
        <v/>
      </c>
      <c r="R34" s="15">
        <f>IF(OR(R33="",R4=""),"",IFERROR(R33/R4,""))</f>
        <v/>
      </c>
      <c r="S34" s="15">
        <f>IF(OR(S33="",S4=""),"",IFERROR(S33/S4,""))</f>
        <v/>
      </c>
      <c r="T34" s="15">
        <f>IF(OR(T33="",T4=""),"",IFERROR(T33/T4,""))</f>
        <v/>
      </c>
      <c r="U34" s="15">
        <f>IF(OR(U33="",U4=""),"",IFERROR(U33/U4,""))</f>
        <v/>
      </c>
      <c r="V34" s="15">
        <f>IF(OR(V33="",V4=""),"",IFERROR(V33/V4,""))</f>
        <v/>
      </c>
      <c r="W34" s="15">
        <f>IF(OR(W33="",W4=""),"",IFERROR(W33/W4,""))</f>
        <v/>
      </c>
      <c r="X34" s="15">
        <f>IF(OR(X33="",X4=""),"",IFERROR(X33/X4,""))</f>
        <v/>
      </c>
      <c r="Y34" s="14" t="n"/>
      <c r="Z34" s="15" t="n"/>
      <c r="AA34" s="15" t="n"/>
      <c r="AB34" s="15" t="n"/>
      <c r="AC34" s="15" t="n"/>
    </row>
    <row r="35">
      <c r="A35" s="18" t="inlineStr">
        <is>
          <t>감가상각비</t>
        </is>
      </c>
      <c r="B35" s="10" t="inlineStr">
        <is>
          <t>고정비</t>
        </is>
      </c>
      <c r="C35" s="19" t="n"/>
      <c r="D35" s="20" t="n"/>
      <c r="E35" s="20" t="n"/>
      <c r="F35" s="20" t="n"/>
      <c r="G35" s="20" t="n"/>
      <c r="H35" s="20" t="n"/>
      <c r="I35" s="20" t="n"/>
      <c r="J35" s="20" t="n"/>
      <c r="K35" s="20" t="n"/>
      <c r="L35" s="20" t="n"/>
      <c r="M35" s="20" t="n"/>
      <c r="N35" s="20" t="n"/>
      <c r="O35" s="19" t="n">
        <v>1277</v>
      </c>
      <c r="P35" s="20" t="n">
        <v>1466</v>
      </c>
      <c r="Q35" s="20" t="n">
        <v>1840</v>
      </c>
      <c r="R35" s="20" t="n">
        <v>2556</v>
      </c>
      <c r="S35" s="20" t="n">
        <v>2804</v>
      </c>
      <c r="T35" s="20" t="n">
        <v>3039</v>
      </c>
      <c r="U35" s="20" t="n">
        <v>3581</v>
      </c>
      <c r="V35" s="20" t="n">
        <v>1509</v>
      </c>
      <c r="W35" s="20" t="n">
        <v>898</v>
      </c>
      <c r="X35" s="20" t="n">
        <v>960</v>
      </c>
      <c r="Y35" s="19" t="n"/>
      <c r="Z35" s="20" t="n"/>
      <c r="AA35" s="20" t="n"/>
      <c r="AB35" s="20" t="n"/>
      <c r="AC35" s="20" t="n"/>
    </row>
    <row r="36">
      <c r="A36" s="13" t="inlineStr">
        <is>
          <t>% of Sales</t>
        </is>
      </c>
      <c r="B36" s="10" t="n"/>
      <c r="C36" s="14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4">
        <f>IF(OR(O35="",O4=""),"",IFERROR(O35/O4,""))</f>
        <v/>
      </c>
      <c r="P36" s="15">
        <f>IF(OR(P35="",P4=""),"",IFERROR(P35/P4,""))</f>
        <v/>
      </c>
      <c r="Q36" s="15">
        <f>IF(OR(Q35="",Q4=""),"",IFERROR(Q35/Q4,""))</f>
        <v/>
      </c>
      <c r="R36" s="15">
        <f>IF(OR(R35="",R4=""),"",IFERROR(R35/R4,""))</f>
        <v/>
      </c>
      <c r="S36" s="15">
        <f>IF(OR(S35="",S4=""),"",IFERROR(S35/S4,""))</f>
        <v/>
      </c>
      <c r="T36" s="15">
        <f>IF(OR(T35="",T4=""),"",IFERROR(T35/T4,""))</f>
        <v/>
      </c>
      <c r="U36" s="15">
        <f>IF(OR(U35="",U4=""),"",IFERROR(U35/U4,""))</f>
        <v/>
      </c>
      <c r="V36" s="15">
        <f>IF(OR(V35="",V4=""),"",IFERROR(V35/V4,""))</f>
        <v/>
      </c>
      <c r="W36" s="15">
        <f>IF(OR(W35="",W4=""),"",IFERROR(W35/W4,""))</f>
        <v/>
      </c>
      <c r="X36" s="15">
        <f>IF(OR(X35="",X4=""),"",IFERROR(X35/X4,""))</f>
        <v/>
      </c>
      <c r="Y36" s="14" t="n"/>
      <c r="Z36" s="15" t="n"/>
      <c r="AA36" s="15" t="n"/>
      <c r="AB36" s="15" t="n"/>
      <c r="AC36" s="15" t="n"/>
    </row>
    <row r="37">
      <c r="A37" s="18" t="inlineStr">
        <is>
          <t>지급수수료</t>
        </is>
      </c>
      <c r="B37" s="10" t="inlineStr">
        <is>
          <t>고정비</t>
        </is>
      </c>
      <c r="C37" s="19" t="n"/>
      <c r="D37" s="20" t="n"/>
      <c r="E37" s="20" t="n"/>
      <c r="F37" s="20" t="n"/>
      <c r="G37" s="20" t="n"/>
      <c r="H37" s="20" t="n"/>
      <c r="I37" s="20" t="n"/>
      <c r="J37" s="20" t="n"/>
      <c r="K37" s="20" t="n"/>
      <c r="L37" s="20" t="n"/>
      <c r="M37" s="20" t="n"/>
      <c r="N37" s="20" t="n"/>
      <c r="O37" s="19" t="n"/>
      <c r="P37" s="20" t="n"/>
      <c r="Q37" s="20" t="n"/>
      <c r="R37" s="20" t="n"/>
      <c r="S37" s="20" t="n"/>
      <c r="T37" s="20" t="n"/>
      <c r="U37" s="20" t="n"/>
      <c r="V37" s="20" t="n"/>
      <c r="W37" s="20" t="n"/>
      <c r="X37" s="20" t="n"/>
      <c r="Y37" s="19" t="n"/>
      <c r="Z37" s="20" t="n"/>
      <c r="AA37" s="20" t="n"/>
      <c r="AB37" s="20" t="n"/>
      <c r="AC37" s="20" t="n"/>
    </row>
    <row r="38">
      <c r="A38" s="13" t="inlineStr">
        <is>
          <t>% of Sales</t>
        </is>
      </c>
      <c r="B38" s="10" t="n"/>
      <c r="C38" s="14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4">
        <f>IF(OR(O37="",O4=""),"",IFERROR(O37/O4,""))</f>
        <v/>
      </c>
      <c r="P38" s="15">
        <f>IF(OR(P37="",P4=""),"",IFERROR(P37/P4,""))</f>
        <v/>
      </c>
      <c r="Q38" s="15">
        <f>IF(OR(Q37="",Q4=""),"",IFERROR(Q37/Q4,""))</f>
        <v/>
      </c>
      <c r="R38" s="15">
        <f>IF(OR(R37="",R4=""),"",IFERROR(R37/R4,""))</f>
        <v/>
      </c>
      <c r="S38" s="15">
        <f>IF(OR(S37="",S4=""),"",IFERROR(S37/S4,""))</f>
        <v/>
      </c>
      <c r="T38" s="15">
        <f>IF(OR(T37="",T4=""),"",IFERROR(T37/T4,""))</f>
        <v/>
      </c>
      <c r="U38" s="15">
        <f>IF(OR(U37="",U4=""),"",IFERROR(U37/U4,""))</f>
        <v/>
      </c>
      <c r="V38" s="15">
        <f>IF(OR(V37="",V4=""),"",IFERROR(V37/V4,""))</f>
        <v/>
      </c>
      <c r="W38" s="15">
        <f>IF(OR(W37="",W4=""),"",IFERROR(W37/W4,""))</f>
        <v/>
      </c>
      <c r="X38" s="15">
        <f>IF(OR(X37="",X4=""),"",IFERROR(X37/X4,""))</f>
        <v/>
      </c>
      <c r="Y38" s="14" t="n"/>
      <c r="Z38" s="15" t="n"/>
      <c r="AA38" s="15" t="n"/>
      <c r="AB38" s="15" t="n"/>
      <c r="AC38" s="15" t="n"/>
    </row>
    <row r="39">
      <c r="A39" s="18" t="inlineStr">
        <is>
          <t>연구개발비</t>
        </is>
      </c>
      <c r="B39" s="10" t="inlineStr">
        <is>
          <t>변동비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/>
      <c r="P39" s="20" t="n"/>
      <c r="Q39" s="20" t="n"/>
      <c r="R39" s="20" t="n"/>
      <c r="S39" s="20" t="n"/>
      <c r="T39" s="20" t="n"/>
      <c r="U39" s="20" t="n"/>
      <c r="V39" s="20" t="n"/>
      <c r="W39" s="20" t="n"/>
      <c r="X39" s="20" t="n"/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기타비용</t>
        </is>
      </c>
      <c r="B41" s="10" t="inlineStr">
        <is>
          <t>변동비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>
        <f>IF(OR(O32="",O33="",O35="",O37="",O39=""),"",IFERROR(O32-O33-O35-O37-O39,""))</f>
        <v/>
      </c>
      <c r="P41" s="20">
        <f>IF(OR(P32="",P33="",P35="",P37="",P39=""),"",IFERROR(P32-P33-P35-P37-P39,""))</f>
        <v/>
      </c>
      <c r="Q41" s="20">
        <f>IF(OR(Q32="",Q33="",Q35="",Q37="",Q39=""),"",IFERROR(Q32-Q33-Q35-Q37-Q39,""))</f>
        <v/>
      </c>
      <c r="R41" s="20">
        <f>IF(OR(R32="",R33="",R35="",R37="",R39=""),"",IFERROR(R32-R33-R35-R37-R39,""))</f>
        <v/>
      </c>
      <c r="S41" s="20">
        <f>IF(OR(S32="",S33="",S35="",S37="",S39=""),"",IFERROR(S32-S33-S35-S37-S39,""))</f>
        <v/>
      </c>
      <c r="T41" s="20">
        <f>IF(OR(T32="",T33="",T35="",T37="",T39=""),"",IFERROR(T32-T33-T35-T37-T39,""))</f>
        <v/>
      </c>
      <c r="U41" s="20">
        <f>IF(OR(U32="",U33="",U35="",U37="",U39=""),"",IFERROR(U32-U33-U35-U37-U39,""))</f>
        <v/>
      </c>
      <c r="V41" s="20">
        <f>IF(OR(V32="",V33="",V35="",V37="",V39=""),"",IFERROR(V32-V33-V35-V37-V39,""))</f>
        <v/>
      </c>
      <c r="W41" s="20">
        <f>IF(OR(W32="",W33="",W35="",W37="",W39=""),"",IFERROR(W32-W33-W35-W37-W39,""))</f>
        <v/>
      </c>
      <c r="X41" s="20">
        <f>IF(OR(X32="",X33="",X35="",X37="",X39=""),"",IFERROR(X32-X33-X35-X37-X39,""))</f>
        <v/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6" t="inlineStr">
        <is>
          <t>당기순이익 추정</t>
        </is>
      </c>
      <c r="B43" s="16" t="n"/>
      <c r="C43" s="17" t="n"/>
      <c r="D43" s="16" t="n"/>
      <c r="E43" s="16" t="n"/>
      <c r="F43" s="16" t="n"/>
      <c r="G43" s="16" t="n"/>
      <c r="H43" s="16" t="n"/>
      <c r="I43" s="16" t="n"/>
      <c r="J43" s="16" t="n"/>
      <c r="K43" s="16" t="n"/>
      <c r="L43" s="16" t="n"/>
      <c r="M43" s="16" t="n"/>
      <c r="N43" s="16" t="n"/>
      <c r="O43" s="17" t="n"/>
      <c r="P43" s="16" t="n"/>
      <c r="Q43" s="16" t="n"/>
      <c r="R43" s="16" t="n"/>
      <c r="S43" s="16" t="n"/>
      <c r="T43" s="16" t="n"/>
      <c r="U43" s="16" t="n"/>
      <c r="V43" s="16" t="n"/>
      <c r="W43" s="16" t="n"/>
      <c r="X43" s="16" t="n"/>
      <c r="Y43" s="17" t="n"/>
      <c r="Z43" s="16" t="n"/>
      <c r="AA43" s="16" t="n"/>
      <c r="AB43" s="16" t="n"/>
      <c r="AC43" s="16" t="n"/>
    </row>
    <row r="44">
      <c r="A44" s="18" t="inlineStr">
        <is>
          <t>특별이익</t>
        </is>
      </c>
      <c r="B44" s="10" t="n"/>
      <c r="C44" s="19" t="n">
        <v>16</v>
      </c>
      <c r="D44" s="20" t="n">
        <v>0</v>
      </c>
      <c r="E44" s="20" t="n">
        <v>0</v>
      </c>
      <c r="F44" s="20" t="n">
        <v>0</v>
      </c>
      <c r="G44" s="20" t="n">
        <v>0</v>
      </c>
      <c r="H44" s="20" t="n">
        <v>0</v>
      </c>
      <c r="I44" s="20" t="n">
        <v>79</v>
      </c>
      <c r="J44" s="20" t="n"/>
      <c r="K44" s="20" t="n"/>
      <c r="L44" s="20" t="n"/>
      <c r="M44" s="20" t="n">
        <v>37</v>
      </c>
      <c r="N44" s="20" t="n"/>
      <c r="O44" s="19" t="n">
        <v>2048</v>
      </c>
      <c r="P44" s="20" t="n">
        <v>561</v>
      </c>
      <c r="Q44" s="20" t="n">
        <v>747</v>
      </c>
      <c r="R44" s="20" t="n">
        <v>2600</v>
      </c>
      <c r="S44" s="20" t="n">
        <v>81</v>
      </c>
      <c r="T44" s="20" t="n">
        <v>672</v>
      </c>
      <c r="U44" s="20" t="n">
        <v>5773</v>
      </c>
      <c r="V44" s="20" t="n">
        <v>78</v>
      </c>
      <c r="W44" s="20" t="n">
        <v>79</v>
      </c>
      <c r="X44" s="20" t="n">
        <v>286</v>
      </c>
      <c r="Y44" s="19">
        <f>IF(OR(Y4="",Y45=""),"",IFERROR(Y4*Y45,""))</f>
        <v/>
      </c>
      <c r="Z44" s="20">
        <f>IF(OR(Z4="",Z45=""),"",IFERROR(Z4*Z45,""))</f>
        <v/>
      </c>
      <c r="AA44" s="20">
        <f>IF(OR(AA4="",AA45=""),"",IFERROR(AA4*AA45,""))</f>
        <v/>
      </c>
      <c r="AB44" s="20">
        <f>IF(OR(AB4="",AB45=""),"",IFERROR(AB4*AB45,""))</f>
        <v/>
      </c>
      <c r="AC44" s="20">
        <f>IF(OR(AC4="",AC45=""),"",IFERROR(AC4*AC45,""))</f>
        <v/>
      </c>
    </row>
    <row r="45">
      <c r="A45" s="13" t="inlineStr">
        <is>
          <t>% of Sales</t>
        </is>
      </c>
      <c r="B45" s="10" t="inlineStr">
        <is>
          <t>MW = 최근 3년 평균</t>
        </is>
      </c>
      <c r="C45" s="14">
        <f>IF(OR(C44="",C4=""),"",IFERROR(C44/C4,""))</f>
        <v/>
      </c>
      <c r="D45" s="15">
        <f>IF(OR(D44="",D4=""),"",IFERROR(D44/D4,""))</f>
        <v/>
      </c>
      <c r="E45" s="15">
        <f>IF(OR(E44="",E4=""),"",IFERROR(E44/E4,""))</f>
        <v/>
      </c>
      <c r="F45" s="15">
        <f>IF(OR(F44="",F4=""),"",IFERROR(F44/F4,""))</f>
        <v/>
      </c>
      <c r="G45" s="15">
        <f>IF(OR(G44="",G4=""),"",IFERROR(G44/G4,""))</f>
        <v/>
      </c>
      <c r="H45" s="15">
        <f>IF(OR(H44="",H4=""),"",IFERROR(H44/H4,""))</f>
        <v/>
      </c>
      <c r="I45" s="15">
        <f>IF(OR(I44="",I4=""),"",IFERROR(I44/I4,""))</f>
        <v/>
      </c>
      <c r="J45" s="15">
        <f>IF(OR(J44="",J4=""),"",IFERROR(J44/J4,""))</f>
        <v/>
      </c>
      <c r="K45" s="15">
        <f>IF(OR(K44="",K4=""),"",IFERROR(K44/K4,""))</f>
        <v/>
      </c>
      <c r="L45" s="15">
        <f>IF(OR(L44="",L4=""),"",IFERROR(L44/L4,""))</f>
        <v/>
      </c>
      <c r="M45" s="15">
        <f>IF(OR(M44="",M4=""),"",IFERROR(M44/M4,""))</f>
        <v/>
      </c>
      <c r="N45" s="15">
        <f>IF(OR(N44="",N4=""),"",IFERROR(N44/N4,""))</f>
        <v/>
      </c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25">
        <f>IFERROR(AVERAGE(V45,W45,X45),"")</f>
        <v/>
      </c>
      <c r="Z45" s="26">
        <f>Y45</f>
        <v/>
      </c>
      <c r="AA45" s="26">
        <f>Z45</f>
        <v/>
      </c>
      <c r="AB45" s="26">
        <f>AA45</f>
        <v/>
      </c>
      <c r="AC45" s="26">
        <f>AB45</f>
        <v/>
      </c>
    </row>
    <row r="46">
      <c r="A46" s="18" t="inlineStr">
        <is>
          <t>특별손실</t>
        </is>
      </c>
      <c r="B46" s="10" t="n"/>
      <c r="C46" s="19" t="n">
        <v>38</v>
      </c>
      <c r="D46" s="20" t="n">
        <v>0</v>
      </c>
      <c r="E46" s="20" t="n">
        <v>18</v>
      </c>
      <c r="F46" s="20" t="n">
        <v>15</v>
      </c>
      <c r="G46" s="20" t="n">
        <v>0</v>
      </c>
      <c r="H46" s="20" t="n">
        <v>10</v>
      </c>
      <c r="I46" s="20" t="n">
        <v>252</v>
      </c>
      <c r="J46" s="20" t="n">
        <v>0</v>
      </c>
      <c r="K46" s="20" t="n">
        <v>3</v>
      </c>
      <c r="L46" s="20" t="n">
        <v>0</v>
      </c>
      <c r="M46" s="20" t="n">
        <v>5</v>
      </c>
      <c r="N46" s="20" t="n">
        <v>0</v>
      </c>
      <c r="O46" s="19" t="n">
        <v>187</v>
      </c>
      <c r="P46" s="20" t="n">
        <v>21</v>
      </c>
      <c r="Q46" s="20" t="n">
        <v>286</v>
      </c>
      <c r="R46" s="20" t="n">
        <v>341</v>
      </c>
      <c r="S46" s="20" t="n">
        <v>601</v>
      </c>
      <c r="T46" s="20" t="n">
        <v>314</v>
      </c>
      <c r="U46" s="20" t="n">
        <v>503</v>
      </c>
      <c r="V46" s="20" t="n">
        <v>558</v>
      </c>
      <c r="W46" s="20" t="n">
        <v>277</v>
      </c>
      <c r="X46" s="20" t="n">
        <v>8</v>
      </c>
      <c r="Y46" s="19">
        <f>IF(OR(Y4="",Y47=""),"",IFERROR(Y4*Y47,""))</f>
        <v/>
      </c>
      <c r="Z46" s="20">
        <f>IF(OR(Z4="",Z47=""),"",IFERROR(Z4*Z47,""))</f>
        <v/>
      </c>
      <c r="AA46" s="20">
        <f>IF(OR(AA4="",AA47=""),"",IFERROR(AA4*AA47,""))</f>
        <v/>
      </c>
      <c r="AB46" s="20">
        <f>IF(OR(AB4="",AB47=""),"",IFERROR(AB4*AB47,""))</f>
        <v/>
      </c>
      <c r="AC46" s="20">
        <f>IF(OR(AC4="",AC47=""),"",IFERROR(AC4*AC47,""))</f>
        <v/>
      </c>
    </row>
    <row r="47">
      <c r="A47" s="13" t="inlineStr">
        <is>
          <t>% of Sales</t>
        </is>
      </c>
      <c r="B47" s="10" t="n"/>
      <c r="C47" s="14">
        <f>IF(OR(C46="",C4=""),"",IFERROR(C46/C4,""))</f>
        <v/>
      </c>
      <c r="D47" s="15">
        <f>IF(OR(D46="",D4=""),"",IFERROR(D46/D4,""))</f>
        <v/>
      </c>
      <c r="E47" s="15">
        <f>IF(OR(E46="",E4=""),"",IFERROR(E46/E4,""))</f>
        <v/>
      </c>
      <c r="F47" s="15">
        <f>IF(OR(F46="",F4=""),"",IFERROR(F46/F4,""))</f>
        <v/>
      </c>
      <c r="G47" s="15">
        <f>IF(OR(G46="",G4=""),"",IFERROR(G46/G4,""))</f>
        <v/>
      </c>
      <c r="H47" s="15">
        <f>IF(OR(H46="",H4=""),"",IFERROR(H46/H4,""))</f>
        <v/>
      </c>
      <c r="I47" s="15">
        <f>IF(OR(I46="",I4=""),"",IFERROR(I46/I4,""))</f>
        <v/>
      </c>
      <c r="J47" s="15">
        <f>IF(OR(J46="",J4=""),"",IFERROR(J46/J4,""))</f>
        <v/>
      </c>
      <c r="K47" s="15">
        <f>IF(OR(K46="",K4=""),"",IFERROR(K46/K4,""))</f>
        <v/>
      </c>
      <c r="L47" s="15">
        <f>IF(OR(L46="",L4=""),"",IFERROR(L46/L4,""))</f>
        <v/>
      </c>
      <c r="M47" s="15">
        <f>IF(OR(M46="",M4=""),"",IFERROR(M46/M4,""))</f>
        <v/>
      </c>
      <c r="N47" s="15">
        <f>IF(OR(N46="",N4=""),"",IFERROR(N46/N4,""))</f>
        <v/>
      </c>
      <c r="O47" s="14">
        <f>IF(OR(O46="",O4=""),"",IFERROR(O46/O4,""))</f>
        <v/>
      </c>
      <c r="P47" s="15">
        <f>IF(OR(P46="",P4=""),"",IFERROR(P46/P4,""))</f>
        <v/>
      </c>
      <c r="Q47" s="15">
        <f>IF(OR(Q46="",Q4=""),"",IFERROR(Q46/Q4,""))</f>
        <v/>
      </c>
      <c r="R47" s="15">
        <f>IF(OR(R46="",R4=""),"",IFERROR(R46/R4,""))</f>
        <v/>
      </c>
      <c r="S47" s="15">
        <f>IF(OR(S46="",S4=""),"",IFERROR(S46/S4,""))</f>
        <v/>
      </c>
      <c r="T47" s="15">
        <f>IF(OR(T46="",T4=""),"",IFERROR(T46/T4,""))</f>
        <v/>
      </c>
      <c r="U47" s="15">
        <f>IF(OR(U46="",U4=""),"",IFERROR(U46/U4,""))</f>
        <v/>
      </c>
      <c r="V47" s="15">
        <f>IF(OR(V46="",V4=""),"",IFERROR(V46/V4,""))</f>
        <v/>
      </c>
      <c r="W47" s="15">
        <f>IF(OR(W46="",W4=""),"",IFERROR(W46/W4,""))</f>
        <v/>
      </c>
      <c r="X47" s="15">
        <f>IF(OR(X46="",X4=""),"",IFERROR(X46/X4,""))</f>
        <v/>
      </c>
      <c r="Y47" s="25">
        <f>IFERROR(AVERAGE(V47,W47,X47),"")</f>
        <v/>
      </c>
      <c r="Z47" s="26">
        <f>Y47</f>
        <v/>
      </c>
      <c r="AA47" s="26">
        <f>Z47</f>
        <v/>
      </c>
      <c r="AB47" s="26">
        <f>AA47</f>
        <v/>
      </c>
      <c r="AC47" s="26">
        <f>AB47</f>
        <v/>
      </c>
    </row>
    <row r="48">
      <c r="A48" s="18" t="inlineStr">
        <is>
          <t>영업외수익</t>
        </is>
      </c>
      <c r="B48" s="10" t="n"/>
      <c r="C48" s="19" t="n">
        <v>3405</v>
      </c>
      <c r="D48" s="20" t="n">
        <v>3114</v>
      </c>
      <c r="E48" s="20" t="n">
        <v>3745</v>
      </c>
      <c r="F48" s="20" t="n">
        <v>3766</v>
      </c>
      <c r="G48" s="20" t="n">
        <v>3542</v>
      </c>
      <c r="H48" s="20" t="n">
        <v>4749</v>
      </c>
      <c r="I48" s="20" t="n">
        <v>4276</v>
      </c>
      <c r="J48" s="20" t="n">
        <v>4684</v>
      </c>
      <c r="K48" s="20" t="n">
        <v>4838</v>
      </c>
      <c r="L48" s="20" t="n">
        <v>4499</v>
      </c>
      <c r="M48" s="20" t="n">
        <v>4132</v>
      </c>
      <c r="N48" s="20" t="n">
        <v>4621</v>
      </c>
      <c r="O48" s="19" t="n">
        <v>1213</v>
      </c>
      <c r="P48" s="20" t="n">
        <v>406</v>
      </c>
      <c r="Q48" s="20" t="n">
        <v>1307</v>
      </c>
      <c r="R48" s="20" t="n">
        <v>1218</v>
      </c>
      <c r="S48" s="20" t="n">
        <v>1092</v>
      </c>
      <c r="T48" s="20" t="n">
        <v>1938</v>
      </c>
      <c r="U48" s="20" t="n">
        <v>1672</v>
      </c>
      <c r="V48" s="20" t="n">
        <v>10831</v>
      </c>
      <c r="W48" s="20" t="n">
        <v>16333</v>
      </c>
      <c r="X48" s="20" t="n">
        <v>18153</v>
      </c>
      <c r="Y48" s="19">
        <f>IF(OR(Y4="",Y49=""),"",IFERROR(Y4*Y49,""))</f>
        <v/>
      </c>
      <c r="Z48" s="20">
        <f>IF(OR(Z4="",Z49=""),"",IFERROR(Z4*Z49,""))</f>
        <v/>
      </c>
      <c r="AA48" s="20">
        <f>IF(OR(AA4="",AA49=""),"",IFERROR(AA4*AA49,""))</f>
        <v/>
      </c>
      <c r="AB48" s="20">
        <f>IF(OR(AB4="",AB49=""),"",IFERROR(AB4*AB49,""))</f>
        <v/>
      </c>
      <c r="AC48" s="20">
        <f>IF(OR(AC4="",AC49=""),"",IFERROR(AC4*AC49,""))</f>
        <v/>
      </c>
    </row>
    <row r="49">
      <c r="A49" s="13" t="inlineStr">
        <is>
          <t>% of Sales</t>
        </is>
      </c>
      <c r="B49" s="10" t="n"/>
      <c r="C49" s="14">
        <f>IF(OR(C48="",C4=""),"",IFERROR(C48/C4,""))</f>
        <v/>
      </c>
      <c r="D49" s="15">
        <f>IF(OR(D48="",D4=""),"",IFERROR(D48/D4,""))</f>
        <v/>
      </c>
      <c r="E49" s="15">
        <f>IF(OR(E48="",E4=""),"",IFERROR(E48/E4,""))</f>
        <v/>
      </c>
      <c r="F49" s="15">
        <f>IF(OR(F48="",F4=""),"",IFERROR(F48/F4,""))</f>
        <v/>
      </c>
      <c r="G49" s="15">
        <f>IF(OR(G48="",G4=""),"",IFERROR(G48/G4,""))</f>
        <v/>
      </c>
      <c r="H49" s="15">
        <f>IF(OR(H48="",H4=""),"",IFERROR(H48/H4,""))</f>
        <v/>
      </c>
      <c r="I49" s="15">
        <f>IF(OR(I48="",I4=""),"",IFERROR(I48/I4,""))</f>
        <v/>
      </c>
      <c r="J49" s="15">
        <f>IF(OR(J48="",J4=""),"",IFERROR(J48/J4,""))</f>
        <v/>
      </c>
      <c r="K49" s="15">
        <f>IF(OR(K48="",K4=""),"",IFERROR(K48/K4,""))</f>
        <v/>
      </c>
      <c r="L49" s="15">
        <f>IF(OR(L48="",L4=""),"",IFERROR(L48/L4,""))</f>
        <v/>
      </c>
      <c r="M49" s="15">
        <f>IF(OR(M48="",M4=""),"",IFERROR(M48/M4,""))</f>
        <v/>
      </c>
      <c r="N49" s="15">
        <f>IF(OR(N48="",N4=""),"",IFERROR(N48/N4,""))</f>
        <v/>
      </c>
      <c r="O49" s="14">
        <f>IF(OR(O48="",O4=""),"",IFERROR(O48/O4,""))</f>
        <v/>
      </c>
      <c r="P49" s="15">
        <f>IF(OR(P48="",P4=""),"",IFERROR(P48/P4,""))</f>
        <v/>
      </c>
      <c r="Q49" s="15">
        <f>IF(OR(Q48="",Q4=""),"",IFERROR(Q48/Q4,""))</f>
        <v/>
      </c>
      <c r="R49" s="15">
        <f>IF(OR(R48="",R4=""),"",IFERROR(R48/R4,""))</f>
        <v/>
      </c>
      <c r="S49" s="15">
        <f>IF(OR(S48="",S4=""),"",IFERROR(S48/S4,""))</f>
        <v/>
      </c>
      <c r="T49" s="15">
        <f>IF(OR(T48="",T4=""),"",IFERROR(T48/T4,""))</f>
        <v/>
      </c>
      <c r="U49" s="15">
        <f>IF(OR(U48="",U4=""),"",IFERROR(U48/U4,""))</f>
        <v/>
      </c>
      <c r="V49" s="15">
        <f>IF(OR(V48="",V4=""),"",IFERROR(V48/V4,""))</f>
        <v/>
      </c>
      <c r="W49" s="15">
        <f>IF(OR(W48="",W4=""),"",IFERROR(W48/W4,""))</f>
        <v/>
      </c>
      <c r="X49" s="15">
        <f>IF(OR(X48="",X4=""),"",IFERROR(X48/X4,""))</f>
        <v/>
      </c>
      <c r="Y49" s="25">
        <f>IFERROR(AVERAGE(V49,W49,X49),"")</f>
        <v/>
      </c>
      <c r="Z49" s="26">
        <f>Y49</f>
        <v/>
      </c>
      <c r="AA49" s="26">
        <f>Z49</f>
        <v/>
      </c>
      <c r="AB49" s="26">
        <f>AA49</f>
        <v/>
      </c>
      <c r="AC49" s="26">
        <f>AB49</f>
        <v/>
      </c>
    </row>
    <row r="50">
      <c r="A50" s="18" t="inlineStr">
        <is>
          <t>영업외비용</t>
        </is>
      </c>
      <c r="B50" s="10" t="n"/>
      <c r="C50" s="19" t="n">
        <v>23</v>
      </c>
      <c r="D50" s="20" t="n">
        <v>8</v>
      </c>
      <c r="E50" s="20" t="n">
        <v>32</v>
      </c>
      <c r="F50" s="20" t="n">
        <v>5</v>
      </c>
      <c r="G50" s="20" t="n">
        <v>449</v>
      </c>
      <c r="H50" s="20" t="n">
        <v>-422</v>
      </c>
      <c r="I50" s="20" t="n">
        <v>72</v>
      </c>
      <c r="J50" s="20" t="n">
        <v>50</v>
      </c>
      <c r="K50" s="20" t="n">
        <v>13</v>
      </c>
      <c r="L50" s="20" t="n">
        <v>11</v>
      </c>
      <c r="M50" s="20" t="n">
        <v>2</v>
      </c>
      <c r="N50" s="20" t="n">
        <v>8</v>
      </c>
      <c r="O50" s="19" t="n">
        <v>133</v>
      </c>
      <c r="P50" s="20" t="n">
        <v>457</v>
      </c>
      <c r="Q50" s="20" t="n">
        <v>149</v>
      </c>
      <c r="R50" s="20" t="n">
        <v>555</v>
      </c>
      <c r="S50" s="20" t="n">
        <v>240</v>
      </c>
      <c r="T50" s="20" t="n">
        <v>118</v>
      </c>
      <c r="U50" s="20" t="n">
        <v>121</v>
      </c>
      <c r="V50" s="20" t="n">
        <v>65</v>
      </c>
      <c r="W50" s="20" t="n">
        <v>104</v>
      </c>
      <c r="X50" s="20" t="n">
        <v>76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n"/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9" t="inlineStr">
        <is>
          <t>법인세비용차감전순이익(손실)</t>
        </is>
      </c>
      <c r="B52" s="10" t="n"/>
      <c r="C52" s="11" t="n">
        <v>3092</v>
      </c>
      <c r="D52" s="12" t="n">
        <v>2823</v>
      </c>
      <c r="E52" s="12" t="n">
        <v>3473</v>
      </c>
      <c r="F52" s="12" t="n">
        <v>3717</v>
      </c>
      <c r="G52" s="12" t="n">
        <v>2946</v>
      </c>
      <c r="H52" s="12" t="n">
        <v>4911</v>
      </c>
      <c r="I52" s="12" t="n">
        <v>3351</v>
      </c>
      <c r="J52" s="12" t="n">
        <v>4373</v>
      </c>
      <c r="K52" s="12" t="n">
        <v>4296</v>
      </c>
      <c r="L52" s="12" t="n">
        <v>4788</v>
      </c>
      <c r="M52" s="12" t="n">
        <v>4534</v>
      </c>
      <c r="N52" s="12" t="n">
        <v>4750</v>
      </c>
      <c r="O52" s="11" t="n">
        <v>8705</v>
      </c>
      <c r="P52" s="12" t="n">
        <v>7681</v>
      </c>
      <c r="Q52" s="12" t="n">
        <v>11301</v>
      </c>
      <c r="R52" s="12" t="n">
        <v>13824</v>
      </c>
      <c r="S52" s="12" t="n">
        <v>9203</v>
      </c>
      <c r="T52" s="12" t="n">
        <v>18171</v>
      </c>
      <c r="U52" s="12" t="n">
        <v>30963</v>
      </c>
      <c r="V52" s="12" t="n">
        <v>15295</v>
      </c>
      <c r="W52" s="12" t="n">
        <v>14925</v>
      </c>
      <c r="X52" s="12" t="n">
        <v>17991</v>
      </c>
      <c r="Y52" s="11">
        <f>IF(OR(Y28=""),"",IFERROR(Y28+N(Y44)-N(Y46)+N(Y48)-N(Y50),""))</f>
        <v/>
      </c>
      <c r="Z52" s="12">
        <f>IF(OR(Z28=""),"",IFERROR(Z28+N(Z44)-N(Z46)+N(Z48)-N(Z50),""))</f>
        <v/>
      </c>
      <c r="AA52" s="12">
        <f>IF(OR(AA28=""),"",IFERROR(AA28+N(AA44)-N(AA46)+N(AA48)-N(AA50),""))</f>
        <v/>
      </c>
      <c r="AB52" s="12">
        <f>IF(OR(AB28=""),"",IFERROR(AB28+N(AB44)-N(AB46)+N(AB48)-N(AB50),""))</f>
        <v/>
      </c>
      <c r="AC52" s="12">
        <f>IF(OR(AC28=""),"",IFERROR(AC28+N(AC44)-N(AC46)+N(AC48)-N(AC50),""))</f>
        <v/>
      </c>
    </row>
    <row r="53">
      <c r="A53" s="18" t="inlineStr">
        <is>
          <t>법인세비용(수익)</t>
        </is>
      </c>
      <c r="B53" s="10" t="n"/>
      <c r="C53" s="19" t="n">
        <v>652</v>
      </c>
      <c r="D53" s="20" t="n">
        <v>467</v>
      </c>
      <c r="E53" s="20" t="n">
        <v>724</v>
      </c>
      <c r="F53" s="20" t="n">
        <v>665</v>
      </c>
      <c r="G53" s="20" t="n">
        <v>566</v>
      </c>
      <c r="H53" s="20" t="n">
        <v>998</v>
      </c>
      <c r="I53" s="20" t="n">
        <v>877</v>
      </c>
      <c r="J53" s="20" t="n">
        <v>651</v>
      </c>
      <c r="K53" s="20" t="n">
        <v>783</v>
      </c>
      <c r="L53" s="20" t="n">
        <v>935</v>
      </c>
      <c r="M53" s="20" t="n">
        <v>888</v>
      </c>
      <c r="N53" s="20" t="n">
        <v>1586</v>
      </c>
      <c r="O53" s="19" t="n">
        <v>618</v>
      </c>
      <c r="P53" s="20" t="n">
        <v>634</v>
      </c>
      <c r="Q53" s="20" t="n">
        <v>1926</v>
      </c>
      <c r="R53" s="20" t="n">
        <v>2943</v>
      </c>
      <c r="S53" s="20" t="n">
        <v>9583</v>
      </c>
      <c r="T53" s="20" t="n">
        <v>7430</v>
      </c>
      <c r="U53" s="20" t="n">
        <v>11168</v>
      </c>
      <c r="V53" s="20" t="n">
        <v>3791</v>
      </c>
      <c r="W53" s="20" t="n">
        <v>3106</v>
      </c>
      <c r="X53" s="20" t="n">
        <v>3257</v>
      </c>
      <c r="Y53" s="19">
        <f>IF(OR(Y52="",Y54=""),"",IFERROR(MAX(Y52,0)*Y54,""))</f>
        <v/>
      </c>
      <c r="Z53" s="20">
        <f>IF(OR(Z52="",Z54=""),"",IFERROR(MAX(Z52,0)*Z54,""))</f>
        <v/>
      </c>
      <c r="AA53" s="20">
        <f>IF(OR(AA52="",AA54=""),"",IFERROR(MAX(AA52,0)*AA54,""))</f>
        <v/>
      </c>
      <c r="AB53" s="20">
        <f>IF(OR(AB52="",AB54=""),"",IFERROR(MAX(AB52,0)*AB54,""))</f>
        <v/>
      </c>
      <c r="AC53" s="20">
        <f>IF(OR(AC52="",AC54=""),"",IFERROR(MAX(AC52,0)*AC54,""))</f>
        <v/>
      </c>
    </row>
    <row r="54">
      <c r="A54" s="13" t="inlineStr">
        <is>
          <t>법인세율</t>
        </is>
      </c>
      <c r="B54" s="10" t="inlineStr">
        <is>
          <t>MW 기본 30%</t>
        </is>
      </c>
      <c r="C54" s="14">
        <f>IF(OR(C53="",C52=""),"",IFERROR(C53/C52,""))</f>
        <v/>
      </c>
      <c r="D54" s="15">
        <f>IF(OR(D53="",D52=""),"",IFERROR(D53/D52,""))</f>
        <v/>
      </c>
      <c r="E54" s="15">
        <f>IF(OR(E53="",E52=""),"",IFERROR(E53/E52,""))</f>
        <v/>
      </c>
      <c r="F54" s="15">
        <f>IF(OR(F53="",F52=""),"",IFERROR(F53/F52,""))</f>
        <v/>
      </c>
      <c r="G54" s="15">
        <f>IF(OR(G53="",G52=""),"",IFERROR(G53/G52,""))</f>
        <v/>
      </c>
      <c r="H54" s="15">
        <f>IF(OR(H53="",H52=""),"",IFERROR(H53/H52,""))</f>
        <v/>
      </c>
      <c r="I54" s="15">
        <f>IF(OR(I53="",I52=""),"",IFERROR(I53/I52,""))</f>
        <v/>
      </c>
      <c r="J54" s="15">
        <f>IF(OR(J53="",J52=""),"",IFERROR(J53/J52,""))</f>
        <v/>
      </c>
      <c r="K54" s="15">
        <f>IF(OR(K53="",K52=""),"",IFERROR(K53/K52,""))</f>
        <v/>
      </c>
      <c r="L54" s="15">
        <f>IF(OR(L53="",L52=""),"",IFERROR(L53/L52,""))</f>
        <v/>
      </c>
      <c r="M54" s="15">
        <f>IF(OR(M53="",M52=""),"",IFERROR(M53/M52,""))</f>
        <v/>
      </c>
      <c r="N54" s="15">
        <f>IF(OR(N53="",N52=""),"",IFERROR(N53/N52,""))</f>
        <v/>
      </c>
      <c r="O54" s="14">
        <f>IF(OR(O53="",O52=""),"",IFERROR(O53/O52,""))</f>
        <v/>
      </c>
      <c r="P54" s="15">
        <f>IF(OR(P53="",P52=""),"",IFERROR(P53/P52,""))</f>
        <v/>
      </c>
      <c r="Q54" s="15">
        <f>IF(OR(Q53="",Q52=""),"",IFERROR(Q53/Q52,""))</f>
        <v/>
      </c>
      <c r="R54" s="15">
        <f>IF(OR(R53="",R52=""),"",IFERROR(R53/R52,""))</f>
        <v/>
      </c>
      <c r="S54" s="15">
        <f>IF(OR(S53="",S52=""),"",IFERROR(S53/S52,""))</f>
        <v/>
      </c>
      <c r="T54" s="15">
        <f>IF(OR(T53="",T52=""),"",IFERROR(T53/T52,""))</f>
        <v/>
      </c>
      <c r="U54" s="15">
        <f>IF(OR(U53="",U52=""),"",IFERROR(U53/U52,""))</f>
        <v/>
      </c>
      <c r="V54" s="15">
        <f>IF(OR(V53="",V52=""),"",IFERROR(V53/V52,""))</f>
        <v/>
      </c>
      <c r="W54" s="15">
        <f>IF(OR(W53="",W52=""),"",IFERROR(W53/W52,""))</f>
        <v/>
      </c>
      <c r="X54" s="15">
        <f>IF(OR(X53="",X52=""),"",IFERROR(X53/X52,""))</f>
        <v/>
      </c>
      <c r="Y54" s="25" t="n">
        <v>0.3</v>
      </c>
      <c r="Z54" s="26" t="n">
        <v>0.3</v>
      </c>
      <c r="AA54" s="26" t="n">
        <v>0.3</v>
      </c>
      <c r="AB54" s="26" t="n">
        <v>0.3</v>
      </c>
      <c r="AC54" s="26" t="n">
        <v>0.3</v>
      </c>
    </row>
    <row r="55">
      <c r="A55" s="9" t="inlineStr">
        <is>
          <t>당기순이익(손실)</t>
        </is>
      </c>
      <c r="B55" s="10" t="n"/>
      <c r="C55" s="11" t="n">
        <v>2440</v>
      </c>
      <c r="D55" s="12" t="n">
        <v>2356</v>
      </c>
      <c r="E55" s="12" t="n">
        <v>2749</v>
      </c>
      <c r="F55" s="12" t="n">
        <v>3052</v>
      </c>
      <c r="G55" s="12" t="n">
        <v>2379</v>
      </c>
      <c r="H55" s="12" t="n">
        <v>3913</v>
      </c>
      <c r="I55" s="12" t="n">
        <v>2474</v>
      </c>
      <c r="J55" s="12" t="n">
        <v>3721</v>
      </c>
      <c r="K55" s="12" t="n">
        <v>3513</v>
      </c>
      <c r="L55" s="12" t="n">
        <v>3853</v>
      </c>
      <c r="M55" s="12" t="n">
        <v>3647</v>
      </c>
      <c r="N55" s="12" t="n">
        <v>3163</v>
      </c>
      <c r="O55" s="11" t="n">
        <v>8086</v>
      </c>
      <c r="P55" s="12" t="n">
        <v>7047</v>
      </c>
      <c r="Q55" s="12" t="n">
        <v>9375</v>
      </c>
      <c r="R55" s="12" t="n">
        <v>10880</v>
      </c>
      <c r="S55" s="12" t="n">
        <v>-380</v>
      </c>
      <c r="T55" s="12" t="n">
        <v>10740</v>
      </c>
      <c r="U55" s="12" t="n">
        <v>19795</v>
      </c>
      <c r="V55" s="12" t="n">
        <v>11503</v>
      </c>
      <c r="W55" s="12" t="n">
        <v>11818</v>
      </c>
      <c r="X55" s="12" t="n">
        <v>14734</v>
      </c>
      <c r="Y55" s="11">
        <f>IF(OR(Y52=""),"",IFERROR(Y52-Y53,""))</f>
        <v/>
      </c>
      <c r="Z55" s="12">
        <f>IF(OR(Z52=""),"",IFERROR(Z52-Z53,""))</f>
        <v/>
      </c>
      <c r="AA55" s="12">
        <f>IF(OR(AA52=""),"",IFERROR(AA52-AA53,""))</f>
        <v/>
      </c>
      <c r="AB55" s="12">
        <f>IF(OR(AB52=""),"",IFERROR(AB52-AB53,""))</f>
        <v/>
      </c>
      <c r="AC55" s="12">
        <f>IF(OR(AC52=""),"",IFERROR(AC52-AC53,""))</f>
        <v/>
      </c>
    </row>
    <row r="56">
      <c r="A56" s="9" t="inlineStr">
        <is>
          <t>지배주주 순이익</t>
        </is>
      </c>
      <c r="B56" s="10" t="n"/>
      <c r="C56" s="11" t="n">
        <v>2441</v>
      </c>
      <c r="D56" s="12" t="n">
        <v>2328</v>
      </c>
      <c r="E56" s="12" t="n">
        <v>2728</v>
      </c>
      <c r="F56" s="12" t="n">
        <v>3071</v>
      </c>
      <c r="G56" s="12" t="n">
        <v>2325</v>
      </c>
      <c r="H56" s="12" t="n">
        <v>3915</v>
      </c>
      <c r="I56" s="12" t="n">
        <v>2789</v>
      </c>
      <c r="J56" s="12" t="n">
        <v>3660</v>
      </c>
      <c r="K56" s="12" t="n">
        <v>3584</v>
      </c>
      <c r="L56" s="12" t="n">
        <v>3883</v>
      </c>
      <c r="M56" s="12" t="n">
        <v>3561</v>
      </c>
      <c r="N56" s="12" t="n">
        <v>3155</v>
      </c>
      <c r="O56" s="11" t="n">
        <v>5591</v>
      </c>
      <c r="P56" s="12" t="n">
        <v>4219</v>
      </c>
      <c r="Q56" s="12" t="n">
        <v>5959</v>
      </c>
      <c r="R56" s="12" t="n">
        <v>7205</v>
      </c>
      <c r="S56" s="12" t="n">
        <v>-3015</v>
      </c>
      <c r="T56" s="12" t="n">
        <v>6545</v>
      </c>
      <c r="U56" s="12" t="n">
        <v>11372</v>
      </c>
      <c r="V56" s="12" t="n">
        <v>9463</v>
      </c>
      <c r="W56" s="12" t="n">
        <v>12100</v>
      </c>
      <c r="X56" s="12" t="n">
        <v>14688</v>
      </c>
      <c r="Y56" s="11">
        <f>IF(OR(Y55="",Y57=""),"",IFERROR(Y55*Y57,""))</f>
        <v/>
      </c>
      <c r="Z56" s="12">
        <f>IF(OR(Z55="",Z57=""),"",IFERROR(Z55*Z57,""))</f>
        <v/>
      </c>
      <c r="AA56" s="12">
        <f>IF(OR(AA55="",AA57=""),"",IFERROR(AA55*AA57,""))</f>
        <v/>
      </c>
      <c r="AB56" s="12">
        <f>IF(OR(AB55="",AB57=""),"",IFERROR(AB55*AB57,""))</f>
        <v/>
      </c>
      <c r="AC56" s="12">
        <f>IF(OR(AC55="",AC57=""),"",IFERROR(AC55*AC57,""))</f>
        <v/>
      </c>
    </row>
    <row r="57">
      <c r="A57" s="13" t="inlineStr">
        <is>
          <t>지배주주 순이익률</t>
        </is>
      </c>
      <c r="B57" s="10" t="inlineStr">
        <is>
          <t>MW 기본 100%</t>
        </is>
      </c>
      <c r="C57" s="14">
        <f>IF(OR(C56="",C55=""),"",IFERROR(C56/C55,""))</f>
        <v/>
      </c>
      <c r="D57" s="15">
        <f>IF(OR(D56="",D55=""),"",IFERROR(D56/D55,""))</f>
        <v/>
      </c>
      <c r="E57" s="15">
        <f>IF(OR(E56="",E55=""),"",IFERROR(E56/E55,""))</f>
        <v/>
      </c>
      <c r="F57" s="15">
        <f>IF(OR(F56="",F55=""),"",IFERROR(F56/F55,""))</f>
        <v/>
      </c>
      <c r="G57" s="15">
        <f>IF(OR(G56="",G55=""),"",IFERROR(G56/G55,""))</f>
        <v/>
      </c>
      <c r="H57" s="15">
        <f>IF(OR(H56="",H55=""),"",IFERROR(H56/H55,""))</f>
        <v/>
      </c>
      <c r="I57" s="15">
        <f>IF(OR(I56="",I55=""),"",IFERROR(I56/I55,""))</f>
        <v/>
      </c>
      <c r="J57" s="15">
        <f>IF(OR(J56="",J55=""),"",IFERROR(J56/J55,""))</f>
        <v/>
      </c>
      <c r="K57" s="15">
        <f>IF(OR(K56="",K55=""),"",IFERROR(K56/K55,""))</f>
        <v/>
      </c>
      <c r="L57" s="15">
        <f>IF(OR(L56="",L55=""),"",IFERROR(L56/L55,""))</f>
        <v/>
      </c>
      <c r="M57" s="15">
        <f>IF(OR(M56="",M55=""),"",IFERROR(M56/M55,""))</f>
        <v/>
      </c>
      <c r="N57" s="15">
        <f>IF(OR(N56="",N55=""),"",IFERROR(N56/N55,""))</f>
        <v/>
      </c>
      <c r="O57" s="14">
        <f>IF(OR(O56="",O55=""),"",IFERROR(O56/O55,""))</f>
        <v/>
      </c>
      <c r="P57" s="15">
        <f>IF(OR(P56="",P55=""),"",IFERROR(P56/P55,""))</f>
        <v/>
      </c>
      <c r="Q57" s="15">
        <f>IF(OR(Q56="",Q55=""),"",IFERROR(Q56/Q55,""))</f>
        <v/>
      </c>
      <c r="R57" s="15">
        <f>IF(OR(R56="",R55=""),"",IFERROR(R56/R55,""))</f>
        <v/>
      </c>
      <c r="S57" s="15">
        <f>IF(OR(S56="",S55=""),"",IFERROR(S56/S55,""))</f>
        <v/>
      </c>
      <c r="T57" s="15">
        <f>IF(OR(T56="",T55=""),"",IFERROR(T56/T55,""))</f>
        <v/>
      </c>
      <c r="U57" s="15">
        <f>IF(OR(U56="",U55=""),"",IFERROR(U56/U55,""))</f>
        <v/>
      </c>
      <c r="V57" s="15">
        <f>IF(OR(V56="",V55=""),"",IFERROR(V56/V55,""))</f>
        <v/>
      </c>
      <c r="W57" s="15">
        <f>IF(OR(W56="",W55=""),"",IFERROR(W56/W55,""))</f>
        <v/>
      </c>
      <c r="X57" s="15">
        <f>IF(OR(X56="",X55=""),"",IFERROR(X56/X55,""))</f>
        <v/>
      </c>
      <c r="Y57" s="25" t="n">
        <v>1</v>
      </c>
      <c r="Z57" s="26" t="n">
        <v>1</v>
      </c>
      <c r="AA57" s="26" t="n">
        <v>1</v>
      </c>
      <c r="AB57" s="26" t="n">
        <v>1</v>
      </c>
      <c r="AC57" s="26" t="n">
        <v>1</v>
      </c>
    </row>
    <row r="58">
      <c r="A58" s="16" t="inlineStr">
        <is>
          <t>목표주가 산출</t>
        </is>
      </c>
      <c r="B58" s="16" t="n"/>
      <c r="C58" s="17" t="n"/>
      <c r="D58" s="16" t="n"/>
      <c r="E58" s="16" t="n"/>
      <c r="F58" s="16" t="n"/>
      <c r="G58" s="16" t="n"/>
      <c r="H58" s="16" t="n"/>
      <c r="I58" s="16" t="n"/>
      <c r="J58" s="16" t="n"/>
      <c r="K58" s="16" t="n"/>
      <c r="L58" s="16" t="n"/>
      <c r="M58" s="16" t="n"/>
      <c r="N58" s="16" t="n"/>
      <c r="O58" s="17" t="n"/>
      <c r="P58" s="16" t="n"/>
      <c r="Q58" s="16" t="n"/>
      <c r="R58" s="16" t="n"/>
      <c r="S58" s="16" t="n"/>
      <c r="T58" s="16" t="n"/>
      <c r="U58" s="16" t="n"/>
      <c r="V58" s="16" t="n"/>
      <c r="W58" s="16" t="n"/>
      <c r="X58" s="16" t="n"/>
      <c r="Y58" s="17" t="n"/>
      <c r="Z58" s="16" t="n"/>
      <c r="AA58" s="16" t="n"/>
      <c r="AB58" s="16" t="n"/>
      <c r="AC58" s="16" t="n"/>
    </row>
    <row r="59">
      <c r="A59" s="18" t="inlineStr">
        <is>
          <t>현재 주가 (2026.10.26)</t>
        </is>
      </c>
      <c r="B59" s="27" t="n">
        <v>1060</v>
      </c>
      <c r="C59" s="28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8" t="n"/>
      <c r="P59" s="29" t="n"/>
      <c r="Q59" s="29" t="n"/>
      <c r="R59" s="29" t="n"/>
      <c r="S59" s="29" t="n"/>
      <c r="T59" s="29" t="n"/>
      <c r="U59" s="29" t="n"/>
      <c r="V59" s="29" t="n"/>
      <c r="W59" s="29" t="n"/>
      <c r="X59" s="29" t="n"/>
      <c r="Y59" s="28" t="n"/>
      <c r="Z59" s="29" t="n"/>
      <c r="AA59" s="29" t="n"/>
      <c r="AB59" s="29" t="n"/>
      <c r="AC59" s="29" t="n"/>
    </row>
    <row r="60">
      <c r="A60" s="18" t="inlineStr">
        <is>
          <t>발행주식수 (보통주)</t>
        </is>
      </c>
      <c r="B60" s="27" t="n">
        <v>40953500</v>
      </c>
      <c r="C60" s="28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8" t="n"/>
      <c r="P60" s="29" t="n"/>
      <c r="Q60" s="29" t="n"/>
      <c r="R60" s="29" t="n"/>
      <c r="S60" s="29" t="n"/>
      <c r="T60" s="29" t="n"/>
      <c r="U60" s="29" t="n"/>
      <c r="V60" s="29" t="n"/>
      <c r="W60" s="29" t="n"/>
      <c r="X60" s="29" t="n"/>
      <c r="Y60" s="28" t="n"/>
      <c r="Z60" s="29" t="n"/>
      <c r="AA60" s="29" t="n"/>
      <c r="AB60" s="29" t="n"/>
      <c r="AC60" s="29" t="n"/>
    </row>
    <row r="61">
      <c r="A61" s="18" t="inlineStr">
        <is>
          <t>시가총액 (백만엔)</t>
        </is>
      </c>
      <c r="B61" s="12">
        <f>IF(OR(B59="",B60=""),"",B59*B60/1000000.0)</f>
        <v/>
      </c>
      <c r="C61" s="19" t="n"/>
      <c r="D61" s="20" t="n"/>
      <c r="E61" s="20" t="n"/>
      <c r="F61" s="20" t="n"/>
      <c r="G61" s="20" t="n"/>
      <c r="H61" s="20" t="n"/>
      <c r="I61" s="20" t="n"/>
      <c r="J61" s="20" t="n"/>
      <c r="K61" s="20" t="n"/>
      <c r="L61" s="20" t="n"/>
      <c r="M61" s="20" t="n"/>
      <c r="N61" s="20" t="n"/>
      <c r="O61" s="19" t="n"/>
      <c r="P61" s="20" t="n"/>
      <c r="Q61" s="20" t="n"/>
      <c r="R61" s="20" t="n"/>
      <c r="S61" s="20" t="n"/>
      <c r="T61" s="20" t="n"/>
      <c r="U61" s="20" t="n"/>
      <c r="V61" s="20" t="n"/>
      <c r="W61" s="20" t="n"/>
      <c r="X61" s="20" t="n"/>
      <c r="Y61" s="19" t="n"/>
      <c r="Z61" s="20" t="n"/>
      <c r="AA61" s="20" t="n"/>
      <c r="AB61" s="20" t="n"/>
      <c r="AC61" s="20" t="n"/>
    </row>
    <row r="62">
      <c r="A62" s="13" t="inlineStr">
        <is>
          <t>OPM</t>
        </is>
      </c>
      <c r="B62" s="10" t="n"/>
      <c r="C62" s="14" t="n"/>
      <c r="D62" s="15" t="n"/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4">
        <f>IF(O29="","",O29)</f>
        <v/>
      </c>
      <c r="P62" s="15">
        <f>IF(P29="","",P29)</f>
        <v/>
      </c>
      <c r="Q62" s="15">
        <f>IF(Q29="","",Q29)</f>
        <v/>
      </c>
      <c r="R62" s="15">
        <f>IF(R29="","",R29)</f>
        <v/>
      </c>
      <c r="S62" s="15">
        <f>IF(S29="","",S29)</f>
        <v/>
      </c>
      <c r="T62" s="15">
        <f>IF(T29="","",T29)</f>
        <v/>
      </c>
      <c r="U62" s="15">
        <f>IF(U29="","",U29)</f>
        <v/>
      </c>
      <c r="V62" s="15">
        <f>IF(V29="","",V29)</f>
        <v/>
      </c>
      <c r="W62" s="15">
        <f>IF(W29="","",W29)</f>
        <v/>
      </c>
      <c r="X62" s="15">
        <f>IF(X29="","",X29)</f>
        <v/>
      </c>
      <c r="Y62" s="14">
        <f>IF(Y29="","",Y29)</f>
        <v/>
      </c>
      <c r="Z62" s="15">
        <f>IF(Z29="","",Z29)</f>
        <v/>
      </c>
      <c r="AA62" s="15">
        <f>IF(AA29="","",AA29)</f>
        <v/>
      </c>
      <c r="AB62" s="15">
        <f>IF(AB29="","",AB29)</f>
        <v/>
      </c>
      <c r="AC62" s="15">
        <f>IF(AC29="","",AC29)</f>
        <v/>
      </c>
    </row>
    <row r="63">
      <c r="A63" s="13" t="inlineStr">
        <is>
          <t>지배주주 순이익 증가율</t>
        </is>
      </c>
      <c r="B63" s="10" t="n"/>
      <c r="C63" s="14" t="n"/>
      <c r="D63" s="15" t="n"/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4" t="n"/>
      <c r="P63" s="15">
        <f>IF(OR(P56="",O56=""),"",IFERROR(P56/O56-1,""))</f>
        <v/>
      </c>
      <c r="Q63" s="15">
        <f>IF(OR(Q56="",P56=""),"",IFERROR(Q56/P56-1,""))</f>
        <v/>
      </c>
      <c r="R63" s="15">
        <f>IF(OR(R56="",Q56=""),"",IFERROR(R56/Q56-1,""))</f>
        <v/>
      </c>
      <c r="S63" s="15">
        <f>IF(OR(S56="",R56=""),"",IFERROR(S56/R56-1,""))</f>
        <v/>
      </c>
      <c r="T63" s="15">
        <f>IF(OR(T56="",S56=""),"",IFERROR(T56/S56-1,""))</f>
        <v/>
      </c>
      <c r="U63" s="15">
        <f>IF(OR(U56="",T56=""),"",IFERROR(U56/T56-1,""))</f>
        <v/>
      </c>
      <c r="V63" s="15">
        <f>IF(OR(V56="",U56=""),"",IFERROR(V56/U56-1,""))</f>
        <v/>
      </c>
      <c r="W63" s="15">
        <f>IF(OR(W56="",V56=""),"",IFERROR(W56/V56-1,""))</f>
        <v/>
      </c>
      <c r="X63" s="15">
        <f>IF(OR(X56="",W56=""),"",IFERROR(X56/W56-1,""))</f>
        <v/>
      </c>
      <c r="Y63" s="14">
        <f>IF(OR(Y56="",X56=""),"",IFERROR(Y56/X56-1,""))</f>
        <v/>
      </c>
      <c r="Z63" s="15">
        <f>IF(OR(Z56="",Y56=""),"",IFERROR(Z56/Y56-1,""))</f>
        <v/>
      </c>
      <c r="AA63" s="15">
        <f>IF(OR(AA56="",Z56=""),"",IFERROR(AA56/Z56-1,""))</f>
        <v/>
      </c>
      <c r="AB63" s="15">
        <f>IF(OR(AB56="",AA56=""),"",IFERROR(AB56/AA56-1,""))</f>
        <v/>
      </c>
      <c r="AC63" s="15">
        <f>IF(OR(AC56="",AB56=""),"",IFERROR(AC56/AB56-1,""))</f>
        <v/>
      </c>
    </row>
    <row r="64">
      <c r="A64" s="18" t="inlineStr">
        <is>
          <t>P/E (현재 주가)</t>
        </is>
      </c>
      <c r="B64" s="10" t="inlineStr">
        <is>
          <t>시총 ÷ 지배순이익</t>
        </is>
      </c>
      <c r="C64" s="30" t="n"/>
      <c r="D64" s="31" t="n"/>
      <c r="E64" s="31" t="n"/>
      <c r="F64" s="31" t="n"/>
      <c r="G64" s="31" t="n"/>
      <c r="H64" s="31" t="n"/>
      <c r="I64" s="31" t="n"/>
      <c r="J64" s="31" t="n"/>
      <c r="K64" s="31" t="n"/>
      <c r="L64" s="31" t="n"/>
      <c r="M64" s="31" t="n"/>
      <c r="N64" s="31" t="n"/>
      <c r="O64" s="30" t="n"/>
      <c r="P64" s="31" t="n"/>
      <c r="Q64" s="31" t="n"/>
      <c r="R64" s="31" t="n"/>
      <c r="S64" s="31" t="n"/>
      <c r="T64" s="31" t="n"/>
      <c r="U64" s="31" t="n"/>
      <c r="V64" s="31" t="n"/>
      <c r="W64" s="31" t="n"/>
      <c r="X64" s="31">
        <f>IF(OR($B$61="",X56=""),"",IFERROR($B$61/X56,""))</f>
        <v/>
      </c>
      <c r="Y64" s="30">
        <f>IF(OR($B$61="",Y56=""),"",IFERROR($B$61/Y56,""))</f>
        <v/>
      </c>
      <c r="Z64" s="31">
        <f>IF(OR($B$61="",Z56=""),"",IFERROR($B$61/Z56,""))</f>
        <v/>
      </c>
      <c r="AA64" s="31">
        <f>IF(OR($B$61="",AA56=""),"",IFERROR($B$61/AA56,""))</f>
        <v/>
      </c>
      <c r="AB64" s="31">
        <f>IF(OR($B$61="",AB56=""),"",IFERROR($B$61/AB56,""))</f>
        <v/>
      </c>
      <c r="AC64" s="31">
        <f>IF(OR($B$61="",AC56=""),"",IFERROR($B$61/AC56,""))</f>
        <v/>
      </c>
    </row>
    <row r="65">
      <c r="A65" s="18" t="inlineStr">
        <is>
          <t>Target P/E</t>
        </is>
      </c>
      <c r="B65" s="10" t="inlineStr">
        <is>
          <t>직접 입력</t>
        </is>
      </c>
      <c r="C65" s="30" t="n"/>
      <c r="D65" s="31" t="n"/>
      <c r="E65" s="31" t="n"/>
      <c r="F65" s="31" t="n"/>
      <c r="G65" s="31" t="n"/>
      <c r="H65" s="31" t="n"/>
      <c r="I65" s="31" t="n"/>
      <c r="J65" s="31" t="n"/>
      <c r="K65" s="31" t="n"/>
      <c r="L65" s="31" t="n"/>
      <c r="M65" s="31" t="n"/>
      <c r="N65" s="31" t="n"/>
      <c r="O65" s="30" t="n"/>
      <c r="P65" s="31" t="n"/>
      <c r="Q65" s="31" t="n"/>
      <c r="R65" s="31" t="n"/>
      <c r="S65" s="31" t="n"/>
      <c r="T65" s="31" t="n"/>
      <c r="U65" s="31" t="n"/>
      <c r="V65" s="31" t="n"/>
      <c r="W65" s="31" t="n"/>
      <c r="X65" s="31" t="n"/>
      <c r="Y65" s="32" t="n"/>
      <c r="Z65" s="33" t="n"/>
      <c r="AA65" s="33" t="n"/>
      <c r="AB65" s="33" t="n"/>
      <c r="AC65" s="33" t="n"/>
    </row>
    <row r="66">
      <c r="A66" s="18" t="inlineStr">
        <is>
          <t>EPS</t>
        </is>
      </c>
      <c r="B66" s="10" t="inlineStr">
        <is>
          <t>지배순이익 ÷ 주식수</t>
        </is>
      </c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>
        <f>IF(OR(O56="",$B$60=""),"",IFERROR(O56*1000000.0/$B$60,""))</f>
        <v/>
      </c>
      <c r="P66" s="29">
        <f>IF(OR(P56="",$B$60=""),"",IFERROR(P56*1000000.0/$B$60,""))</f>
        <v/>
      </c>
      <c r="Q66" s="29">
        <f>IF(OR(Q56="",$B$60=""),"",IFERROR(Q56*1000000.0/$B$60,""))</f>
        <v/>
      </c>
      <c r="R66" s="29">
        <f>IF(OR(R56="",$B$60=""),"",IFERROR(R56*1000000.0/$B$60,""))</f>
        <v/>
      </c>
      <c r="S66" s="29">
        <f>IF(OR(S56="",$B$60=""),"",IFERROR(S56*1000000.0/$B$60,""))</f>
        <v/>
      </c>
      <c r="T66" s="29">
        <f>IF(OR(T56="",$B$60=""),"",IFERROR(T56*1000000.0/$B$60,""))</f>
        <v/>
      </c>
      <c r="U66" s="29">
        <f>IF(OR(U56="",$B$60=""),"",IFERROR(U56*1000000.0/$B$60,""))</f>
        <v/>
      </c>
      <c r="V66" s="29">
        <f>IF(OR(V56="",$B$60=""),"",IFERROR(V56*1000000.0/$B$60,""))</f>
        <v/>
      </c>
      <c r="W66" s="29">
        <f>IF(OR(W56="",$B$60=""),"",IFERROR(W56*1000000.0/$B$60,""))</f>
        <v/>
      </c>
      <c r="X66" s="29">
        <f>IF(OR(X56="",$B$60=""),"",IFERROR(X56*1000000.0/$B$60,""))</f>
        <v/>
      </c>
      <c r="Y66" s="28">
        <f>IF(OR(Y56="",$B$60=""),"",IFERROR(Y56*1000000.0/$B$60,""))</f>
        <v/>
      </c>
      <c r="Z66" s="29">
        <f>IF(OR(Z56="",$B$60=""),"",IFERROR(Z56*1000000.0/$B$60,""))</f>
        <v/>
      </c>
      <c r="AA66" s="29">
        <f>IF(OR(AA56="",$B$60=""),"",IFERROR(AA56*1000000.0/$B$60,""))</f>
        <v/>
      </c>
      <c r="AB66" s="29">
        <f>IF(OR(AB56="",$B$60=""),"",IFERROR(AB56*1000000.0/$B$60,""))</f>
        <v/>
      </c>
      <c r="AC66" s="29">
        <f>IF(OR(AC56="",$B$60=""),"",IFERROR(AC56*1000000.0/$B$60,""))</f>
        <v/>
      </c>
    </row>
    <row r="67">
      <c r="A67" s="9" t="inlineStr">
        <is>
          <t>목표주가</t>
        </is>
      </c>
      <c r="B67" s="10" t="n"/>
      <c r="C67" s="34" t="n"/>
      <c r="D67" s="27" t="n"/>
      <c r="E67" s="27" t="n"/>
      <c r="F67" s="27" t="n"/>
      <c r="G67" s="27" t="n"/>
      <c r="H67" s="27" t="n"/>
      <c r="I67" s="27" t="n"/>
      <c r="J67" s="27" t="n"/>
      <c r="K67" s="27" t="n"/>
      <c r="L67" s="27" t="n"/>
      <c r="M67" s="27" t="n"/>
      <c r="N67" s="27" t="n"/>
      <c r="O67" s="34" t="n"/>
      <c r="P67" s="27" t="n"/>
      <c r="Q67" s="27" t="n"/>
      <c r="R67" s="27" t="n"/>
      <c r="S67" s="27" t="n"/>
      <c r="T67" s="27" t="n"/>
      <c r="U67" s="27" t="n"/>
      <c r="V67" s="27" t="n"/>
      <c r="W67" s="27" t="n"/>
      <c r="X67" s="27" t="n"/>
      <c r="Y67" s="34">
        <f>IF(OR(Y66="",Y65=""),"",IFERROR(Y66*Y65,""))</f>
        <v/>
      </c>
      <c r="Z67" s="27">
        <f>IF(OR(Z66="",Z65=""),"",IFERROR(Z66*Z65,""))</f>
        <v/>
      </c>
      <c r="AA67" s="27">
        <f>IF(OR(AA66="",AA65=""),"",IFERROR(AA66*AA65,""))</f>
        <v/>
      </c>
      <c r="AB67" s="27">
        <f>IF(OR(AB66="",AB65=""),"",IFERROR(AB66*AB65,""))</f>
        <v/>
      </c>
      <c r="AC67" s="27">
        <f>IF(OR(AC66="",AC65=""),"",IFERROR(AC66*AC65,""))</f>
        <v/>
      </c>
    </row>
    <row r="68">
      <c r="A68" s="18" t="inlineStr">
        <is>
          <t>상승여력</t>
        </is>
      </c>
      <c r="B68" s="10" t="n"/>
      <c r="C68" s="35" t="n"/>
      <c r="D68" s="36" t="n"/>
      <c r="E68" s="36" t="n"/>
      <c r="F68" s="36" t="n"/>
      <c r="G68" s="36" t="n"/>
      <c r="H68" s="36" t="n"/>
      <c r="I68" s="36" t="n"/>
      <c r="J68" s="36" t="n"/>
      <c r="K68" s="36" t="n"/>
      <c r="L68" s="36" t="n"/>
      <c r="M68" s="36" t="n"/>
      <c r="N68" s="36" t="n"/>
      <c r="O68" s="35" t="n"/>
      <c r="P68" s="36" t="n"/>
      <c r="Q68" s="36" t="n"/>
      <c r="R68" s="36" t="n"/>
      <c r="S68" s="36" t="n"/>
      <c r="T68" s="36" t="n"/>
      <c r="U68" s="36" t="n"/>
      <c r="V68" s="36" t="n"/>
      <c r="W68" s="36" t="n"/>
      <c r="X68" s="36" t="n"/>
      <c r="Y68" s="37">
        <f>IF(OR(Y67="",$B$59=""),"",IFERROR(Y67/$B$59-1,""))</f>
        <v/>
      </c>
      <c r="Z68" s="38">
        <f>IF(OR(Z67="",$B$59=""),"",IFERROR(Z67/$B$59-1,""))</f>
        <v/>
      </c>
      <c r="AA68" s="38">
        <f>IF(OR(AA67="",$B$59=""),"",IFERROR(AA67/$B$59-1,""))</f>
        <v/>
      </c>
      <c r="AB68" s="38">
        <f>IF(OR(AB67="",$B$59=""),"",IFERROR(AB67/$B$59-1,""))</f>
        <v/>
      </c>
      <c r="AC68" s="38">
        <f>IF(OR(AC67="",$B$59=""),"",IFERROR(AC67/$B$59-1,""))</f>
        <v/>
      </c>
    </row>
    <row r="69">
      <c r="A69" s="16" t="inlineStr">
        <is>
          <t>자산가치 산출</t>
        </is>
      </c>
      <c r="B69" s="16" t="inlineStr">
        <is>
          <t>최신 분기 BS</t>
        </is>
      </c>
      <c r="C69" s="17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  <c r="M69" s="16" t="n"/>
      <c r="N69" s="16" t="n"/>
      <c r="O69" s="17" t="n"/>
      <c r="P69" s="16" t="n"/>
      <c r="Q69" s="16" t="n"/>
      <c r="R69" s="16" t="n"/>
      <c r="S69" s="16" t="n"/>
      <c r="T69" s="16" t="n"/>
      <c r="U69" s="16" t="n"/>
      <c r="V69" s="16" t="n"/>
      <c r="W69" s="16" t="n"/>
      <c r="X69" s="16" t="n"/>
      <c r="Y69" s="17" t="n"/>
      <c r="Z69" s="16" t="n"/>
      <c r="AA69" s="16" t="n"/>
      <c r="AB69" s="16" t="n"/>
      <c r="AC69" s="16" t="n"/>
    </row>
    <row r="70">
      <c r="A70" s="18" t="inlineStr">
        <is>
          <t>현금및현금성자산</t>
        </is>
      </c>
      <c r="B70" s="10" t="n"/>
      <c r="C70" s="19" t="n"/>
      <c r="D70" s="20" t="n"/>
      <c r="E70" s="20" t="n"/>
      <c r="F70" s="20" t="n"/>
      <c r="G70" s="20" t="n"/>
      <c r="H70" s="20" t="n"/>
      <c r="I70" s="20" t="n"/>
      <c r="J70" s="20" t="n"/>
      <c r="K70" s="20" t="n"/>
      <c r="L70" s="20" t="n"/>
      <c r="M70" s="20" t="n"/>
      <c r="N70" s="20" t="n"/>
      <c r="O70" s="19" t="n"/>
      <c r="P70" s="20" t="n"/>
      <c r="Q70" s="20" t="n"/>
      <c r="R70" s="20" t="n"/>
      <c r="S70" s="20" t="n"/>
      <c r="T70" s="20" t="n"/>
      <c r="U70" s="20" t="n"/>
      <c r="V70" s="20" t="n"/>
      <c r="W70" s="20" t="n"/>
      <c r="X70" s="20">
        <f>'재무상태표'!G6</f>
        <v/>
      </c>
      <c r="Y70" s="19">
        <f>'재무상태표'!G6</f>
        <v/>
      </c>
      <c r="Z70" s="20">
        <f>'재무상태표'!G6</f>
        <v/>
      </c>
      <c r="AA70" s="20">
        <f>'재무상태표'!G6</f>
        <v/>
      </c>
      <c r="AB70" s="20">
        <f>'재무상태표'!G6</f>
        <v/>
      </c>
      <c r="AC70" s="20">
        <f>'재무상태표'!G6</f>
        <v/>
      </c>
    </row>
    <row r="71">
      <c r="A71" s="18" t="inlineStr">
        <is>
          <t>단기금융상품</t>
        </is>
      </c>
      <c r="B71" s="10" t="n"/>
      <c r="C71" s="19" t="n"/>
      <c r="D71" s="20" t="n"/>
      <c r="E71" s="20" t="n"/>
      <c r="F71" s="20" t="n"/>
      <c r="G71" s="20" t="n"/>
      <c r="H71" s="20" t="n"/>
      <c r="I71" s="20" t="n"/>
      <c r="J71" s="20" t="n"/>
      <c r="K71" s="20" t="n"/>
      <c r="L71" s="20" t="n"/>
      <c r="M71" s="20" t="n"/>
      <c r="N71" s="20" t="n"/>
      <c r="O71" s="19" t="n"/>
      <c r="P71" s="20" t="n"/>
      <c r="Q71" s="20" t="n"/>
      <c r="R71" s="20" t="n"/>
      <c r="S71" s="20" t="n"/>
      <c r="T71" s="20" t="n"/>
      <c r="U71" s="20" t="n"/>
      <c r="V71" s="20" t="n"/>
      <c r="W71" s="20" t="n"/>
      <c r="X71" s="20">
        <f>'재무상태표'!G7</f>
        <v/>
      </c>
      <c r="Y71" s="19">
        <f>'재무상태표'!G7</f>
        <v/>
      </c>
      <c r="Z71" s="20">
        <f>'재무상태표'!G7</f>
        <v/>
      </c>
      <c r="AA71" s="20">
        <f>'재무상태표'!G7</f>
        <v/>
      </c>
      <c r="AB71" s="20">
        <f>'재무상태표'!G7</f>
        <v/>
      </c>
      <c r="AC71" s="20">
        <f>'재무상태표'!G7</f>
        <v/>
      </c>
    </row>
    <row r="72">
      <c r="A72" s="18" t="inlineStr">
        <is>
          <t>투자부동산</t>
        </is>
      </c>
      <c r="B72" s="10" t="n"/>
      <c r="C72" s="19" t="n"/>
      <c r="D72" s="20" t="n"/>
      <c r="E72" s="20" t="n"/>
      <c r="F72" s="20" t="n"/>
      <c r="G72" s="20" t="n"/>
      <c r="H72" s="20" t="n"/>
      <c r="I72" s="20" t="n"/>
      <c r="J72" s="20" t="n"/>
      <c r="K72" s="20" t="n"/>
      <c r="L72" s="20" t="n"/>
      <c r="M72" s="20" t="n"/>
      <c r="N72" s="20" t="n"/>
      <c r="O72" s="19" t="n"/>
      <c r="P72" s="20" t="n"/>
      <c r="Q72" s="20" t="n"/>
      <c r="R72" s="20" t="n"/>
      <c r="S72" s="20" t="n"/>
      <c r="T72" s="20" t="n"/>
      <c r="U72" s="20" t="n"/>
      <c r="V72" s="20" t="n"/>
      <c r="W72" s="20" t="n"/>
      <c r="X72" s="20">
        <f>'재무상태표'!G14</f>
        <v/>
      </c>
      <c r="Y72" s="19">
        <f>'재무상태표'!G14</f>
        <v/>
      </c>
      <c r="Z72" s="20">
        <f>'재무상태표'!G14</f>
        <v/>
      </c>
      <c r="AA72" s="20">
        <f>'재무상태표'!G14</f>
        <v/>
      </c>
      <c r="AB72" s="20">
        <f>'재무상태표'!G14</f>
        <v/>
      </c>
      <c r="AC72" s="20">
        <f>'재무상태표'!G14</f>
        <v/>
      </c>
    </row>
    <row r="73">
      <c r="A73" s="18" t="inlineStr">
        <is>
          <t>지배자본</t>
        </is>
      </c>
      <c r="B73" s="10" t="n"/>
      <c r="C73" s="19" t="n"/>
      <c r="D73" s="20" t="n"/>
      <c r="E73" s="20" t="n"/>
      <c r="F73" s="20" t="n"/>
      <c r="G73" s="20" t="n"/>
      <c r="H73" s="20" t="n"/>
      <c r="I73" s="20" t="n"/>
      <c r="J73" s="20" t="n"/>
      <c r="K73" s="20" t="n"/>
      <c r="L73" s="20" t="n"/>
      <c r="M73" s="20" t="n"/>
      <c r="N73" s="20" t="n"/>
      <c r="O73" s="19" t="n"/>
      <c r="P73" s="20" t="n"/>
      <c r="Q73" s="20" t="n"/>
      <c r="R73" s="20" t="n"/>
      <c r="S73" s="20" t="n"/>
      <c r="T73" s="20" t="n"/>
      <c r="U73" s="20" t="n"/>
      <c r="V73" s="20" t="n"/>
      <c r="W73" s="20" t="n"/>
      <c r="X73" s="20">
        <f>'재무상태표'!G31</f>
        <v/>
      </c>
      <c r="Y73" s="19">
        <f>'재무상태표'!G31</f>
        <v/>
      </c>
      <c r="Z73" s="20">
        <f>'재무상태표'!G31</f>
        <v/>
      </c>
      <c r="AA73" s="20">
        <f>'재무상태표'!G31</f>
        <v/>
      </c>
      <c r="AB73" s="20">
        <f>'재무상태표'!G31</f>
        <v/>
      </c>
      <c r="AC73" s="20">
        <f>'재무상태표'!G31</f>
        <v/>
      </c>
    </row>
    <row r="74">
      <c r="A74" s="18" t="inlineStr">
        <is>
          <t>부채</t>
        </is>
      </c>
      <c r="B74" s="10" t="n"/>
      <c r="C74" s="19" t="n"/>
      <c r="D74" s="20" t="n"/>
      <c r="E74" s="20" t="n"/>
      <c r="F74" s="20" t="n"/>
      <c r="G74" s="20" t="n"/>
      <c r="H74" s="20" t="n"/>
      <c r="I74" s="20" t="n"/>
      <c r="J74" s="20" t="n"/>
      <c r="K74" s="20" t="n"/>
      <c r="L74" s="20" t="n"/>
      <c r="M74" s="20" t="n"/>
      <c r="N74" s="20" t="n"/>
      <c r="O74" s="19" t="n"/>
      <c r="P74" s="20" t="n"/>
      <c r="Q74" s="20" t="n"/>
      <c r="R74" s="20" t="n"/>
      <c r="S74" s="20" t="n"/>
      <c r="T74" s="20" t="n"/>
      <c r="U74" s="20" t="n"/>
      <c r="V74" s="20" t="n"/>
      <c r="W74" s="20" t="n"/>
      <c r="X74" s="20">
        <f>'재무상태표'!G27</f>
        <v/>
      </c>
      <c r="Y74" s="19">
        <f>'재무상태표'!G27</f>
        <v/>
      </c>
      <c r="Z74" s="20">
        <f>'재무상태표'!G27</f>
        <v/>
      </c>
      <c r="AA74" s="20">
        <f>'재무상태표'!G27</f>
        <v/>
      </c>
      <c r="AB74" s="20">
        <f>'재무상태표'!G27</f>
        <v/>
      </c>
      <c r="AC74" s="20">
        <f>'재무상태표'!G27</f>
        <v/>
      </c>
    </row>
    <row r="75">
      <c r="A75" s="13" t="inlineStr">
        <is>
          <t>부채비율</t>
        </is>
      </c>
      <c r="B75" s="10" t="n"/>
      <c r="C75" s="14" t="n"/>
      <c r="D75" s="15" t="n"/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4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>
        <f>IF(OR(X74="",X73=""),"",IFERROR(X74/X73,""))</f>
        <v/>
      </c>
      <c r="Y75" s="14">
        <f>IF(OR(Y74="",Y73=""),"",IFERROR(Y74/Y73,""))</f>
        <v/>
      </c>
      <c r="Z75" s="15">
        <f>IF(OR(Z74="",Z73=""),"",IFERROR(Z74/Z73,""))</f>
        <v/>
      </c>
      <c r="AA75" s="15">
        <f>IF(OR(AA74="",AA73=""),"",IFERROR(AA74/AA73,""))</f>
        <v/>
      </c>
      <c r="AB75" s="15">
        <f>IF(OR(AB74="",AB73=""),"",IFERROR(AB74/AB73,""))</f>
        <v/>
      </c>
      <c r="AC75" s="15">
        <f>IF(OR(AC74="",AC73=""),"",IFERROR(AC74/AC73,""))</f>
        <v/>
      </c>
    </row>
    <row r="76">
      <c r="A76" s="9" t="inlineStr">
        <is>
          <t>자산가치</t>
        </is>
      </c>
      <c r="B76" s="10" t="inlineStr">
        <is>
          <t>현금+단기금융+투자부동산</t>
        </is>
      </c>
      <c r="C76" s="11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1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>
        <f>SUM(X70,X71,X72)</f>
        <v/>
      </c>
      <c r="Y76" s="11">
        <f>SUM(Y70,Y71,Y72)</f>
        <v/>
      </c>
      <c r="Z76" s="12">
        <f>SUM(Z70,Z71,Z72)</f>
        <v/>
      </c>
      <c r="AA76" s="12">
        <f>SUM(AA70,AA71,AA72)</f>
        <v/>
      </c>
      <c r="AB76" s="12">
        <f>SUM(AB70,AB71,AB72)</f>
        <v/>
      </c>
      <c r="AC76" s="12">
        <f>SUM(AC70,AC71,AC72)</f>
        <v/>
      </c>
    </row>
    <row r="77">
      <c r="A77" s="16" t="inlineStr">
        <is>
          <t>기업가치 산출</t>
        </is>
      </c>
      <c r="B77" s="16" t="n"/>
      <c r="C77" s="17" t="n"/>
      <c r="D77" s="16" t="n"/>
      <c r="E77" s="16" t="n"/>
      <c r="F77" s="16" t="n"/>
      <c r="G77" s="16" t="n"/>
      <c r="H77" s="16" t="n"/>
      <c r="I77" s="16" t="n"/>
      <c r="J77" s="16" t="n"/>
      <c r="K77" s="16" t="n"/>
      <c r="L77" s="16" t="n"/>
      <c r="M77" s="16" t="n"/>
      <c r="N77" s="16" t="n"/>
      <c r="O77" s="17" t="n"/>
      <c r="P77" s="16" t="n"/>
      <c r="Q77" s="16" t="n"/>
      <c r="R77" s="16" t="n"/>
      <c r="S77" s="16" t="n"/>
      <c r="T77" s="16" t="n"/>
      <c r="U77" s="16" t="n"/>
      <c r="V77" s="16" t="n"/>
      <c r="W77" s="16" t="n"/>
      <c r="X77" s="16" t="n"/>
      <c r="Y77" s="17" t="n"/>
      <c r="Z77" s="16" t="n"/>
      <c r="AA77" s="16" t="n"/>
      <c r="AB77" s="16" t="n"/>
      <c r="AC77" s="16" t="n"/>
    </row>
    <row r="78">
      <c r="A78" s="18" t="inlineStr">
        <is>
          <t>목표 시가총액 (P/E)</t>
        </is>
      </c>
      <c r="B78" s="10" t="inlineStr">
        <is>
          <t>지배순이익 × Target P/E</t>
        </is>
      </c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 t="n"/>
      <c r="Y78" s="19">
        <f>IF(OR(Y56="",Y65=""),"",IFERROR(Y56*Y65,""))</f>
        <v/>
      </c>
      <c r="Z78" s="20">
        <f>IF(OR(Z56="",Z65=""),"",IFERROR(Z56*Z65,""))</f>
        <v/>
      </c>
      <c r="AA78" s="20">
        <f>IF(OR(AA56="",AA65=""),"",IFERROR(AA56*AA65,""))</f>
        <v/>
      </c>
      <c r="AB78" s="20">
        <f>IF(OR(AB56="",AB65=""),"",IFERROR(AB56*AB65,""))</f>
        <v/>
      </c>
      <c r="AC78" s="20">
        <f>IF(OR(AC56="",AC65=""),"",IFERROR(AC56*AC65,""))</f>
        <v/>
      </c>
    </row>
    <row r="79">
      <c r="A79" s="9" t="inlineStr">
        <is>
          <t>기업가치</t>
        </is>
      </c>
      <c r="B79" s="10" t="inlineStr">
        <is>
          <t>목표시총 + 자산가치</t>
        </is>
      </c>
      <c r="C79" s="11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1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1">
        <f>IF(OR(Y78=""),"",IFERROR(Y78+Y76,""))</f>
        <v/>
      </c>
      <c r="Z79" s="12">
        <f>IF(OR(Z78=""),"",IFERROR(Z78+Z76,""))</f>
        <v/>
      </c>
      <c r="AA79" s="12">
        <f>IF(OR(AA78=""),"",IFERROR(AA78+AA76,""))</f>
        <v/>
      </c>
      <c r="AB79" s="12">
        <f>IF(OR(AB78=""),"",IFERROR(AB78+AB76,""))</f>
        <v/>
      </c>
      <c r="AC79" s="12">
        <f>IF(OR(AC78=""),"",IFERROR(AC78+AC76,""))</f>
        <v/>
      </c>
    </row>
    <row r="80">
      <c r="A80" s="18" t="inlineStr">
        <is>
          <t>현재 시가총액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 t="n"/>
      <c r="Y80" s="19">
        <f>$B$61</f>
        <v/>
      </c>
      <c r="Z80" s="20">
        <f>$B$61</f>
        <v/>
      </c>
      <c r="AA80" s="20">
        <f>$B$61</f>
        <v/>
      </c>
      <c r="AB80" s="20">
        <f>$B$61</f>
        <v/>
      </c>
      <c r="AC80" s="20">
        <f>$B$61</f>
        <v/>
      </c>
    </row>
    <row r="81">
      <c r="A81" s="18" t="inlineStr">
        <is>
          <t>상승여력</t>
        </is>
      </c>
      <c r="B81" s="10" t="n"/>
      <c r="C81" s="35" t="n"/>
      <c r="D81" s="36" t="n"/>
      <c r="E81" s="36" t="n"/>
      <c r="F81" s="36" t="n"/>
      <c r="G81" s="36" t="n"/>
      <c r="H81" s="36" t="n"/>
      <c r="I81" s="36" t="n"/>
      <c r="J81" s="36" t="n"/>
      <c r="K81" s="36" t="n"/>
      <c r="L81" s="36" t="n"/>
      <c r="M81" s="36" t="n"/>
      <c r="N81" s="36" t="n"/>
      <c r="O81" s="35" t="n"/>
      <c r="P81" s="36" t="n"/>
      <c r="Q81" s="36" t="n"/>
      <c r="R81" s="36" t="n"/>
      <c r="S81" s="36" t="n"/>
      <c r="T81" s="36" t="n"/>
      <c r="U81" s="36" t="n"/>
      <c r="V81" s="36" t="n"/>
      <c r="W81" s="36" t="n"/>
      <c r="X81" s="36" t="n"/>
      <c r="Y81" s="37">
        <f>IF(OR(Y79="",Y80=""),"",IFERROR(Y79/Y80-1,""))</f>
        <v/>
      </c>
      <c r="Z81" s="38">
        <f>IF(OR(Z79="",Z80=""),"",IFERROR(Z79/Z80-1,""))</f>
        <v/>
      </c>
      <c r="AA81" s="38">
        <f>IF(OR(AA79="",AA80=""),"",IFERROR(AA79/AA80-1,""))</f>
        <v/>
      </c>
      <c r="AB81" s="38">
        <f>IF(OR(AB79="",AB80=""),"",IFERROR(AB79/AB80-1,""))</f>
        <v/>
      </c>
      <c r="AC81" s="38">
        <f>IF(OR(AC79="",AC80=""),"",IFERROR(AC79/AC80-1,""))</f>
        <v/>
      </c>
    </row>
    <row r="82">
      <c r="C82" s="39" t="n"/>
      <c r="O82" s="39" t="n"/>
      <c r="Y82" s="39" t="n"/>
    </row>
    <row r="83">
      <c r="A83" s="40" t="inlineStr">
        <is>
          <t>출처</t>
        </is>
      </c>
      <c r="C83" s="39" t="n"/>
      <c r="O83" s="39" t="n"/>
      <c r="Y83" s="39" t="n"/>
    </row>
    <row r="84">
      <c r="A84" s="41" t="inlineStr">
        <is>
          <t>결산단신 XBRL(TDnet·JPX 보관소) — 쓴 문서는 '출처' 시트</t>
        </is>
      </c>
      <c r="C84" s="39" t="n"/>
      <c r="O84" s="39" t="n"/>
      <c r="Y84" s="39" t="n"/>
    </row>
    <row r="85">
      <c r="A85" s="41" t="inlineStr">
        <is>
          <t>분기 = 누계에서 앞 분기를 뺀 3개월 값</t>
        </is>
      </c>
      <c r="C85" s="39" t="n"/>
      <c r="O85" s="39" t="n"/>
      <c r="Y85" s="39" t="n"/>
    </row>
    <row r="86">
      <c r="A86" s="41" t="inlineStr">
        <is>
          <t>주가: 야후 파이낸스 일봉 2026.10.26</t>
        </is>
      </c>
      <c r="C86" s="39" t="n"/>
      <c r="O86" s="39" t="n"/>
      <c r="Y86" s="39" t="n"/>
    </row>
    <row r="88">
      <c r="A88" s="16" t="inlineStr">
        <is>
          <t>손익계산서 · 전 항목</t>
        </is>
      </c>
      <c r="B88" s="42" t="inlineStr">
        <is>
          <t>분기 = 3개월 단독</t>
        </is>
      </c>
      <c r="C88" s="16" t="n"/>
      <c r="D88" s="16" t="n"/>
      <c r="E88" s="16" t="n"/>
      <c r="F88" s="16" t="n"/>
      <c r="G88" s="16" t="n"/>
      <c r="H88" s="16" t="n"/>
      <c r="I88" s="16" t="n"/>
      <c r="J88" s="16" t="n"/>
      <c r="K88" s="16" t="n"/>
      <c r="L88" s="16" t="n"/>
      <c r="M88" s="16" t="n"/>
      <c r="N88" s="16" t="n"/>
      <c r="O88" s="16" t="n"/>
      <c r="P88" s="16" t="n"/>
      <c r="Q88" s="16" t="n"/>
      <c r="R88" s="16" t="n"/>
      <c r="S88" s="16" t="n"/>
      <c r="T88" s="16" t="n"/>
      <c r="U88" s="16" t="n"/>
      <c r="V88" s="16" t="n"/>
      <c r="W88" s="16" t="n"/>
      <c r="X88" s="16" t="n"/>
      <c r="Y88" s="16" t="n"/>
      <c r="Z88" s="16" t="n"/>
      <c r="AA88" s="16" t="n"/>
      <c r="AB88" s="16" t="n"/>
      <c r="AC88" s="16" t="n"/>
    </row>
    <row r="89">
      <c r="A89" s="5" t="inlineStr">
        <is>
          <t>항목</t>
        </is>
      </c>
      <c r="B89" s="5" t="inlineStr">
        <is>
          <t>참고</t>
        </is>
      </c>
      <c r="C89" s="5" t="inlineStr">
        <is>
          <t>2024.2Q</t>
        </is>
      </c>
      <c r="D89" s="5" t="inlineStr">
        <is>
          <t>2024.3Q</t>
        </is>
      </c>
      <c r="E89" s="5" t="inlineStr">
        <is>
          <t>2024.4Q</t>
        </is>
      </c>
      <c r="F89" s="5" t="inlineStr">
        <is>
          <t>2025.1Q</t>
        </is>
      </c>
      <c r="G89" s="5" t="inlineStr">
        <is>
          <t>2025.2Q</t>
        </is>
      </c>
      <c r="H89" s="5" t="inlineStr">
        <is>
          <t>2025.3Q</t>
        </is>
      </c>
      <c r="I89" s="5" t="inlineStr">
        <is>
          <t>2025.4Q</t>
        </is>
      </c>
      <c r="J89" s="5" t="inlineStr">
        <is>
          <t>2026.1Q</t>
        </is>
      </c>
      <c r="K89" s="5" t="inlineStr">
        <is>
          <t>2026.2Q</t>
        </is>
      </c>
      <c r="L89" s="5" t="inlineStr">
        <is>
          <t>2026.3Q</t>
        </is>
      </c>
      <c r="M89" s="5" t="inlineStr">
        <is>
          <t>2026.4Q</t>
        </is>
      </c>
      <c r="N89" s="5" t="inlineStr">
        <is>
          <t>2027.1Q</t>
        </is>
      </c>
      <c r="O89" s="5" t="inlineStr">
        <is>
          <t>2017</t>
        </is>
      </c>
      <c r="P89" s="5" t="inlineStr">
        <is>
          <t>2018</t>
        </is>
      </c>
      <c r="Q89" s="5" t="inlineStr">
        <is>
          <t>2019</t>
        </is>
      </c>
      <c r="R89" s="5" t="inlineStr">
        <is>
          <t>2020</t>
        </is>
      </c>
      <c r="S89" s="5" t="inlineStr">
        <is>
          <t>2021</t>
        </is>
      </c>
      <c r="T89" s="5" t="inlineStr">
        <is>
          <t>2022</t>
        </is>
      </c>
      <c r="U89" s="5" t="inlineStr">
        <is>
          <t>2023</t>
        </is>
      </c>
      <c r="V89" s="5" t="inlineStr">
        <is>
          <t>2024</t>
        </is>
      </c>
      <c r="W89" s="5" t="inlineStr">
        <is>
          <t>2025</t>
        </is>
      </c>
      <c r="X89" s="5" t="inlineStr">
        <is>
          <t>2026</t>
        </is>
      </c>
      <c r="Y89" s="5" t="inlineStr">
        <is>
          <t>2027(MW)</t>
        </is>
      </c>
      <c r="Z89" s="5" t="inlineStr">
        <is>
          <t>2028(MW)</t>
        </is>
      </c>
      <c r="AA89" s="5" t="inlineStr">
        <is>
          <t>2029(MW)</t>
        </is>
      </c>
      <c r="AB89" s="5" t="inlineStr">
        <is>
          <t>2030(MW)</t>
        </is>
      </c>
      <c r="AC89" s="5" t="inlineStr">
        <is>
          <t>2031(MW)</t>
        </is>
      </c>
    </row>
    <row r="90">
      <c r="A90" s="18" t="inlineStr">
        <is>
          <t>자금운용수익</t>
        </is>
      </c>
      <c r="C90" s="20" t="n">
        <v>268</v>
      </c>
      <c r="D90" s="20" t="n">
        <v>278</v>
      </c>
      <c r="E90" s="20" t="n">
        <v>386</v>
      </c>
      <c r="F90" s="20" t="n">
        <v>387</v>
      </c>
      <c r="G90" s="20" t="n">
        <v>401</v>
      </c>
      <c r="H90" s="20" t="n">
        <v>342</v>
      </c>
      <c r="I90" s="20" t="n">
        <v>392</v>
      </c>
      <c r="J90" s="20" t="n">
        <v>378</v>
      </c>
      <c r="K90" s="20" t="n">
        <v>311</v>
      </c>
      <c r="L90" s="20" t="n">
        <v>349</v>
      </c>
      <c r="M90" s="20" t="n">
        <v>369</v>
      </c>
      <c r="N90" s="20" t="n">
        <v>380</v>
      </c>
      <c r="T90" s="20" t="n">
        <v>12358</v>
      </c>
      <c r="U90" s="20" t="n">
        <v>15564</v>
      </c>
      <c r="V90" s="20" t="n">
        <v>386</v>
      </c>
      <c r="W90" s="20" t="n">
        <v>392</v>
      </c>
      <c r="X90" s="20" t="n">
        <v>369</v>
      </c>
    </row>
    <row r="91">
      <c r="A91" s="18" t="inlineStr">
        <is>
          <t>용역거래 수익</t>
        </is>
      </c>
      <c r="C91" s="20" t="n">
        <v>100</v>
      </c>
      <c r="D91" s="20" t="n">
        <v>183</v>
      </c>
      <c r="E91" s="20" t="n">
        <v>168</v>
      </c>
      <c r="F91" s="20" t="n">
        <v>171</v>
      </c>
      <c r="G91" s="20" t="n">
        <v>170</v>
      </c>
      <c r="H91" s="20" t="n">
        <v>119</v>
      </c>
      <c r="I91" s="20" t="n">
        <v>193</v>
      </c>
      <c r="J91" s="20" t="n">
        <v>165</v>
      </c>
      <c r="K91" s="20" t="n">
        <v>238</v>
      </c>
      <c r="L91" s="20" t="n">
        <v>208</v>
      </c>
      <c r="M91" s="20" t="n">
        <v>259</v>
      </c>
      <c r="N91" s="20" t="n">
        <v>276</v>
      </c>
      <c r="T91" s="20" t="n">
        <v>2515</v>
      </c>
      <c r="U91" s="20" t="n">
        <v>2990</v>
      </c>
      <c r="V91" s="20" t="n">
        <v>168</v>
      </c>
      <c r="W91" s="20" t="n">
        <v>193</v>
      </c>
      <c r="X91" s="20" t="n">
        <v>259</v>
      </c>
    </row>
    <row r="92">
      <c r="A92" s="18" t="inlineStr">
        <is>
          <t>기타 업무수익</t>
        </is>
      </c>
      <c r="C92" s="20" t="n">
        <v>133</v>
      </c>
      <c r="D92" s="20" t="n">
        <v>99</v>
      </c>
      <c r="E92" s="20" t="n">
        <v>125</v>
      </c>
      <c r="F92" s="20" t="n">
        <v>179</v>
      </c>
      <c r="G92" s="20" t="n">
        <v>295</v>
      </c>
      <c r="H92" s="20" t="n">
        <v>153</v>
      </c>
      <c r="I92" s="20" t="n">
        <v>105</v>
      </c>
      <c r="J92" s="20" t="n">
        <v>120</v>
      </c>
      <c r="K92" s="20" t="n">
        <v>43</v>
      </c>
      <c r="L92" s="20" t="n">
        <v>46</v>
      </c>
      <c r="M92" s="20" t="n">
        <v>128</v>
      </c>
      <c r="N92" s="20" t="n">
        <v>89</v>
      </c>
      <c r="T92" s="20" t="n">
        <v>173</v>
      </c>
      <c r="U92" s="20" t="n">
        <v>1406</v>
      </c>
      <c r="V92" s="20" t="n">
        <v>125</v>
      </c>
      <c r="W92" s="20" t="n">
        <v>105</v>
      </c>
      <c r="X92" s="20" t="n">
        <v>128</v>
      </c>
    </row>
    <row r="93">
      <c r="A93" s="9" t="inlineStr">
        <is>
          <t>매출액</t>
        </is>
      </c>
      <c r="C93" s="12" t="n">
        <v>6661</v>
      </c>
      <c r="D93" s="12" t="n">
        <v>7628</v>
      </c>
      <c r="E93" s="12" t="n">
        <v>7875</v>
      </c>
      <c r="F93" s="12" t="n">
        <v>8388</v>
      </c>
      <c r="G93" s="12" t="n">
        <v>8756</v>
      </c>
      <c r="H93" s="12" t="n">
        <v>8458</v>
      </c>
      <c r="I93" s="12" t="n">
        <v>9255</v>
      </c>
      <c r="J93" s="12" t="n">
        <v>8958</v>
      </c>
      <c r="K93" s="12" t="n">
        <v>14925</v>
      </c>
      <c r="L93" s="12" t="n">
        <v>15592</v>
      </c>
      <c r="M93" s="12" t="n">
        <v>15788</v>
      </c>
      <c r="N93" s="12" t="n">
        <v>16194</v>
      </c>
      <c r="T93" s="12" t="n">
        <v>570</v>
      </c>
      <c r="U93" s="12" t="n">
        <v>3203</v>
      </c>
      <c r="V93" s="12" t="n">
        <v>7875</v>
      </c>
      <c r="W93" s="12" t="n">
        <v>9255</v>
      </c>
      <c r="X93" s="12" t="n">
        <v>15788</v>
      </c>
    </row>
    <row r="94">
      <c r="A94" s="43" t="inlineStr">
        <is>
          <t>YoY</t>
        </is>
      </c>
      <c r="B94" s="3" t="inlineStr">
        <is>
          <t>전년 같은 분기·전년 대비</t>
        </is>
      </c>
      <c r="G94" s="15">
        <f>IF(OR(G93="",C93=""),"",IF(C93&lt;=0,"",IFERROR(G93/C93-1,"")))</f>
        <v/>
      </c>
      <c r="H94" s="15">
        <f>IF(OR(H93="",D93=""),"",IF(D93&lt;=0,"",IFERROR(H93/D93-1,"")))</f>
        <v/>
      </c>
      <c r="I94" s="15">
        <f>IF(OR(I93="",E93=""),"",IF(E93&lt;=0,"",IFERROR(I93/E93-1,"")))</f>
        <v/>
      </c>
      <c r="J94" s="15">
        <f>IF(OR(J93="",F93=""),"",IF(F93&lt;=0,"",IFERROR(J93/F93-1,"")))</f>
        <v/>
      </c>
      <c r="K94" s="15">
        <f>IF(OR(K93="",G93=""),"",IF(G93&lt;=0,"",IFERROR(K93/G93-1,"")))</f>
        <v/>
      </c>
      <c r="L94" s="15">
        <f>IF(OR(L93="",H93=""),"",IF(H93&lt;=0,"",IFERROR(L93/H93-1,"")))</f>
        <v/>
      </c>
      <c r="M94" s="15">
        <f>IF(OR(M93="",I93=""),"",IF(I93&lt;=0,"",IFERROR(M93/I93-1,"")))</f>
        <v/>
      </c>
      <c r="N94" s="15">
        <f>IF(OR(N93="",J93=""),"",IF(J93&lt;=0,"",IFERROR(N93/J93-1,"")))</f>
        <v/>
      </c>
      <c r="T94" s="15">
        <f>IF(OR(T93="",S93=""),"",IF(S93&lt;=0,"",IFERROR(T93/S93-1,"")))</f>
        <v/>
      </c>
      <c r="U94" s="15">
        <f>IF(OR(U93="",T93=""),"",IF(T93&lt;=0,"",IFERROR(U93/T93-1,"")))</f>
        <v/>
      </c>
      <c r="V94" s="15">
        <f>IF(OR(V93="",U93=""),"",IF(U93&lt;=0,"",IFERROR(V93/U93-1,"")))</f>
        <v/>
      </c>
      <c r="W94" s="15">
        <f>IF(OR(W93="",V93=""),"",IF(V93&lt;=0,"",IFERROR(W93/V93-1,"")))</f>
        <v/>
      </c>
      <c r="X94" s="15">
        <f>IF(OR(X93="",W93=""),"",IF(W93&lt;=0,"",IFERROR(X93/W93-1,"")))</f>
        <v/>
      </c>
    </row>
    <row r="95">
      <c r="A95" s="18" t="inlineStr">
        <is>
          <t>금융비용</t>
        </is>
      </c>
      <c r="T95" s="20" t="n">
        <v>16</v>
      </c>
      <c r="U95" s="20" t="n">
        <v>0</v>
      </c>
    </row>
    <row r="96">
      <c r="A96" s="18" t="inlineStr">
        <is>
          <t>Operating Revenue1</t>
        </is>
      </c>
      <c r="C96" s="20" t="n">
        <v>7162</v>
      </c>
      <c r="D96" s="20" t="n">
        <v>8187</v>
      </c>
      <c r="F96" s="20" t="n">
        <v>9127</v>
      </c>
      <c r="G96" s="20" t="n">
        <v>9622</v>
      </c>
      <c r="H96" s="20" t="n">
        <v>9071</v>
      </c>
      <c r="J96" s="20" t="n">
        <v>9622</v>
      </c>
      <c r="K96" s="20" t="n">
        <v>15518</v>
      </c>
      <c r="L96" s="20" t="n">
        <v>16194</v>
      </c>
      <c r="N96" s="20" t="n">
        <v>16941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N97" s="15">
        <f>IF(OR(N96="",J96=""),"",IF(J96&lt;=0,"",IFERROR(N96/J96-1,"")))</f>
        <v/>
      </c>
    </row>
    <row r="98">
      <c r="A98" s="18" t="inlineStr">
        <is>
          <t>자금조달비용</t>
        </is>
      </c>
      <c r="C98" s="20" t="n">
        <v>251</v>
      </c>
      <c r="D98" s="20" t="n">
        <v>297</v>
      </c>
      <c r="E98" s="20" t="n">
        <v>167</v>
      </c>
      <c r="F98" s="20" t="n">
        <v>384</v>
      </c>
      <c r="G98" s="20" t="n">
        <v>439</v>
      </c>
      <c r="H98" s="20" t="n">
        <v>322</v>
      </c>
      <c r="I98" s="20" t="n">
        <v>572</v>
      </c>
      <c r="J98" s="20" t="n">
        <v>318</v>
      </c>
      <c r="K98" s="20" t="n">
        <v>651</v>
      </c>
      <c r="L98" s="20" t="n">
        <v>352</v>
      </c>
      <c r="M98" s="20" t="n">
        <v>434</v>
      </c>
      <c r="N98" s="20" t="n">
        <v>390</v>
      </c>
      <c r="U98" s="20" t="n">
        <v>5968</v>
      </c>
      <c r="V98" s="20" t="n">
        <v>167</v>
      </c>
      <c r="W98" s="20" t="n">
        <v>572</v>
      </c>
      <c r="X98" s="20" t="n">
        <v>434</v>
      </c>
    </row>
    <row r="99">
      <c r="A99" s="18" t="inlineStr">
        <is>
          <t>기타 업무비용</t>
        </is>
      </c>
      <c r="C99" s="20" t="n">
        <v>23</v>
      </c>
      <c r="D99" s="20" t="n">
        <v>1</v>
      </c>
      <c r="E99" s="20" t="n">
        <v>-24</v>
      </c>
      <c r="F99" s="20" t="n">
        <v>0</v>
      </c>
      <c r="G99" s="20" t="n">
        <v>0</v>
      </c>
      <c r="H99" s="20" t="n">
        <v>0</v>
      </c>
      <c r="I99" s="20" t="n">
        <v>0</v>
      </c>
      <c r="J99" s="20" t="n">
        <v>8</v>
      </c>
      <c r="N99" s="20" t="n">
        <v>0</v>
      </c>
      <c r="T99" s="20" t="n">
        <v>3</v>
      </c>
      <c r="U99" s="20" t="n">
        <v>301</v>
      </c>
      <c r="V99" s="20" t="n">
        <v>-24</v>
      </c>
      <c r="W99" s="20" t="n">
        <v>0</v>
      </c>
    </row>
    <row r="100">
      <c r="A100" s="18" t="inlineStr">
        <is>
          <t>매출원가</t>
        </is>
      </c>
      <c r="C100" s="20" t="n">
        <v>5189</v>
      </c>
      <c r="D100" s="20" t="n">
        <v>6093</v>
      </c>
      <c r="E100" s="20" t="n">
        <v>6241</v>
      </c>
      <c r="F100" s="20" t="n">
        <v>6449</v>
      </c>
      <c r="G100" s="20" t="n">
        <v>6978</v>
      </c>
      <c r="H100" s="20" t="n">
        <v>6590</v>
      </c>
      <c r="I100" s="20" t="n">
        <v>7021</v>
      </c>
      <c r="J100" s="20" t="n">
        <v>6941</v>
      </c>
      <c r="K100" s="20" t="n">
        <v>12355</v>
      </c>
      <c r="L100" s="20" t="n">
        <v>12712</v>
      </c>
      <c r="M100" s="20" t="n">
        <v>12585</v>
      </c>
      <c r="N100" s="20" t="n">
        <v>12987</v>
      </c>
      <c r="T100" s="20" t="n">
        <v>-36</v>
      </c>
      <c r="U100" s="20" t="n">
        <v>2512</v>
      </c>
      <c r="V100" s="20" t="n">
        <v>6241</v>
      </c>
      <c r="W100" s="20" t="n">
        <v>7021</v>
      </c>
      <c r="X100" s="20" t="n">
        <v>12585</v>
      </c>
    </row>
    <row r="101">
      <c r="A101" s="18" t="inlineStr">
        <is>
          <t>Net Operating Revenue SEC</t>
        </is>
      </c>
      <c r="C101" s="20" t="n">
        <v>1699</v>
      </c>
      <c r="D101" s="20" t="n">
        <v>1796</v>
      </c>
      <c r="E101" s="20" t="n">
        <v>2171</v>
      </c>
      <c r="F101" s="20" t="n">
        <v>2292</v>
      </c>
      <c r="G101" s="20" t="n">
        <v>2206</v>
      </c>
      <c r="H101" s="20" t="n">
        <v>2158</v>
      </c>
      <c r="I101" s="20" t="n">
        <v>2353</v>
      </c>
      <c r="J101" s="20" t="n">
        <v>2354</v>
      </c>
      <c r="K101" s="20" t="n">
        <v>2520</v>
      </c>
      <c r="L101" s="20" t="n">
        <v>3130</v>
      </c>
      <c r="M101" s="20" t="n">
        <v>3527</v>
      </c>
      <c r="N101" s="20" t="n">
        <v>3563</v>
      </c>
      <c r="T101" s="20" t="n">
        <v>10655</v>
      </c>
      <c r="U101" s="20" t="n">
        <v>14381</v>
      </c>
      <c r="V101" s="20" t="n">
        <v>2171</v>
      </c>
      <c r="W101" s="20" t="n">
        <v>2353</v>
      </c>
      <c r="X101" s="20" t="n">
        <v>3527</v>
      </c>
    </row>
    <row r="102">
      <c r="A102" s="18" t="inlineStr">
        <is>
          <t>Trading Related Expenses SGASEC</t>
        </is>
      </c>
      <c r="C102" s="20" t="n">
        <v>682</v>
      </c>
      <c r="D102" s="20" t="n">
        <v>855</v>
      </c>
      <c r="T102" s="20" t="n">
        <v>541</v>
      </c>
      <c r="U102" s="20" t="n">
        <v>670</v>
      </c>
    </row>
    <row r="103">
      <c r="A103" s="18" t="inlineStr">
        <is>
          <t>Personal Expenses SGA</t>
        </is>
      </c>
      <c r="C103" s="20" t="n">
        <v>637</v>
      </c>
      <c r="D103" s="20" t="n">
        <v>658</v>
      </c>
      <c r="T103" s="20" t="n">
        <v>1972</v>
      </c>
      <c r="U103" s="20" t="n">
        <v>2240</v>
      </c>
    </row>
    <row r="104">
      <c r="A104" s="18" t="inlineStr">
        <is>
          <t>Real Estate Expenses SGASEC</t>
        </is>
      </c>
      <c r="C104" s="20" t="n">
        <v>131</v>
      </c>
      <c r="D104" s="20" t="n">
        <v>146</v>
      </c>
      <c r="T104" s="20" t="n">
        <v>854</v>
      </c>
      <c r="U104" s="20" t="n">
        <v>867</v>
      </c>
    </row>
    <row r="105">
      <c r="A105" s="18" t="inlineStr">
        <is>
          <t>Office Cost SGA</t>
        </is>
      </c>
      <c r="C105" s="20" t="n">
        <v>90</v>
      </c>
      <c r="D105" s="20" t="n">
        <v>91</v>
      </c>
      <c r="T105" s="20" t="n">
        <v>200</v>
      </c>
      <c r="U105" s="20" t="n">
        <v>150</v>
      </c>
    </row>
    <row r="106">
      <c r="A106" s="18" t="inlineStr">
        <is>
          <t>Payroll And Allowances SGA</t>
        </is>
      </c>
      <c r="C106" s="20" t="n">
        <v>324</v>
      </c>
      <c r="D106" s="20" t="n">
        <v>335</v>
      </c>
      <c r="E106" s="20" t="n">
        <v>357</v>
      </c>
      <c r="F106" s="20" t="n">
        <v>399</v>
      </c>
      <c r="G106" s="20" t="n">
        <v>444</v>
      </c>
      <c r="H106" s="20" t="n">
        <v>441</v>
      </c>
      <c r="I106" s="20" t="n">
        <v>458</v>
      </c>
      <c r="J106" s="20" t="n">
        <v>497</v>
      </c>
      <c r="K106" s="20" t="n">
        <v>657</v>
      </c>
      <c r="L106" s="20" t="n">
        <v>621</v>
      </c>
      <c r="M106" s="20" t="n">
        <v>647</v>
      </c>
      <c r="N106" s="20" t="n">
        <v>670</v>
      </c>
      <c r="V106" s="20" t="n">
        <v>357</v>
      </c>
      <c r="W106" s="20" t="n">
        <v>458</v>
      </c>
      <c r="X106" s="20" t="n">
        <v>647</v>
      </c>
    </row>
    <row r="107">
      <c r="A107" s="18" t="inlineStr">
        <is>
          <t>광고선전비</t>
        </is>
      </c>
      <c r="C107" s="20" t="n">
        <v>484</v>
      </c>
      <c r="D107" s="20" t="n">
        <v>588</v>
      </c>
      <c r="E107" s="20" t="n">
        <v>597</v>
      </c>
      <c r="F107" s="20" t="n">
        <v>604</v>
      </c>
      <c r="G107" s="20" t="n">
        <v>606</v>
      </c>
      <c r="H107" s="20" t="n">
        <v>678</v>
      </c>
      <c r="I107" s="20" t="n">
        <v>631</v>
      </c>
      <c r="J107" s="20" t="n">
        <v>617</v>
      </c>
      <c r="K107" s="20" t="n">
        <v>607</v>
      </c>
      <c r="L107" s="20" t="n">
        <v>684</v>
      </c>
      <c r="M107" s="20" t="n">
        <v>746</v>
      </c>
      <c r="N107" s="20" t="n">
        <v>789</v>
      </c>
      <c r="V107" s="20" t="n">
        <v>597</v>
      </c>
      <c r="W107" s="20" t="n">
        <v>631</v>
      </c>
      <c r="X107" s="20" t="n">
        <v>746</v>
      </c>
    </row>
    <row r="108">
      <c r="A108" s="18" t="inlineStr">
        <is>
          <t>Repair Expenses SGA</t>
        </is>
      </c>
      <c r="C108" s="20" t="n">
        <v>10</v>
      </c>
      <c r="D108" s="20" t="n">
        <v>7</v>
      </c>
      <c r="E108" s="20" t="n">
        <v>44</v>
      </c>
      <c r="F108" s="20" t="n">
        <v>6</v>
      </c>
      <c r="G108" s="20" t="n">
        <v>10</v>
      </c>
      <c r="H108" s="20" t="n">
        <v>9</v>
      </c>
      <c r="I108" s="20" t="n">
        <v>9</v>
      </c>
      <c r="J108" s="20" t="n">
        <v>13</v>
      </c>
      <c r="K108" s="20" t="n">
        <v>14</v>
      </c>
      <c r="L108" s="20" t="n">
        <v>16</v>
      </c>
      <c r="M108" s="20" t="n">
        <v>13</v>
      </c>
      <c r="N108" s="20" t="n">
        <v>5</v>
      </c>
      <c r="V108" s="20" t="n">
        <v>44</v>
      </c>
      <c r="W108" s="20" t="n">
        <v>9</v>
      </c>
      <c r="X108" s="20" t="n">
        <v>13</v>
      </c>
    </row>
    <row r="109">
      <c r="A109" s="18" t="inlineStr">
        <is>
          <t>감가상각비</t>
        </is>
      </c>
      <c r="C109" s="20" t="n">
        <v>192</v>
      </c>
      <c r="D109" s="20" t="n">
        <v>193</v>
      </c>
      <c r="E109" s="20" t="n">
        <v>201</v>
      </c>
      <c r="F109" s="20" t="n">
        <v>216</v>
      </c>
      <c r="G109" s="20" t="n">
        <v>220</v>
      </c>
      <c r="H109" s="20" t="n">
        <v>222</v>
      </c>
      <c r="I109" s="20" t="n">
        <v>240</v>
      </c>
      <c r="J109" s="20" t="n">
        <v>216</v>
      </c>
      <c r="K109" s="20" t="n">
        <v>230</v>
      </c>
      <c r="L109" s="20" t="n">
        <v>229</v>
      </c>
      <c r="M109" s="20" t="n">
        <v>285</v>
      </c>
      <c r="N109" s="20" t="n">
        <v>248</v>
      </c>
      <c r="T109" s="20" t="n">
        <v>789</v>
      </c>
      <c r="U109" s="20" t="n">
        <v>997</v>
      </c>
      <c r="V109" s="20" t="n">
        <v>201</v>
      </c>
      <c r="W109" s="20" t="n">
        <v>240</v>
      </c>
      <c r="X109" s="20" t="n">
        <v>285</v>
      </c>
    </row>
    <row r="110">
      <c r="A110" s="18" t="inlineStr">
        <is>
          <t>세금과공과</t>
        </is>
      </c>
      <c r="C110" s="20" t="n">
        <v>34</v>
      </c>
      <c r="D110" s="20" t="n">
        <v>26</v>
      </c>
      <c r="T110" s="20" t="n">
        <v>114</v>
      </c>
      <c r="U110" s="20" t="n">
        <v>202</v>
      </c>
    </row>
    <row r="111">
      <c r="A111" s="18" t="inlineStr">
        <is>
          <t>대손충당금 전입</t>
        </is>
      </c>
      <c r="C111" s="20" t="n">
        <v>-8</v>
      </c>
      <c r="D111" s="20" t="n">
        <v>-25</v>
      </c>
      <c r="E111" s="20" t="n">
        <v>140</v>
      </c>
      <c r="F111" s="20" t="n">
        <v>113</v>
      </c>
      <c r="G111" s="20" t="n">
        <v>-11</v>
      </c>
      <c r="H111" s="20" t="n">
        <v>-14</v>
      </c>
      <c r="I111" s="20" t="n">
        <v>564</v>
      </c>
      <c r="J111" s="20" t="n">
        <v>0</v>
      </c>
      <c r="K111" s="20" t="n">
        <v>11</v>
      </c>
      <c r="L111" s="20" t="n">
        <v>0</v>
      </c>
      <c r="M111" s="20" t="n">
        <v>41</v>
      </c>
      <c r="N111" s="20" t="n">
        <v>49</v>
      </c>
      <c r="T111" s="20" t="n">
        <v>2173</v>
      </c>
      <c r="U111" s="20" t="n">
        <v>3319</v>
      </c>
      <c r="V111" s="20" t="n">
        <v>140</v>
      </c>
      <c r="W111" s="20" t="n">
        <v>564</v>
      </c>
      <c r="X111" s="20" t="n">
        <v>41</v>
      </c>
    </row>
    <row r="112">
      <c r="A112" s="18" t="inlineStr">
        <is>
          <t>상여충당금 전입</t>
        </is>
      </c>
      <c r="C112" s="20" t="n">
        <v>33</v>
      </c>
      <c r="D112" s="20" t="n">
        <v>34</v>
      </c>
      <c r="E112" s="20" t="n">
        <v>-49</v>
      </c>
      <c r="F112" s="20" t="n">
        <v>39</v>
      </c>
      <c r="G112" s="20" t="n">
        <v>51</v>
      </c>
      <c r="H112" s="20" t="n">
        <v>53</v>
      </c>
      <c r="I112" s="20" t="n">
        <v>-37</v>
      </c>
      <c r="J112" s="20" t="n">
        <v>68</v>
      </c>
      <c r="K112" s="20" t="n">
        <v>32</v>
      </c>
      <c r="L112" s="20" t="n">
        <v>39</v>
      </c>
      <c r="M112" s="20" t="n">
        <v>28</v>
      </c>
      <c r="N112" s="20" t="n">
        <v>76</v>
      </c>
      <c r="V112" s="20" t="n">
        <v>-49</v>
      </c>
      <c r="W112" s="20" t="n">
        <v>-37</v>
      </c>
      <c r="X112" s="20" t="n">
        <v>28</v>
      </c>
    </row>
    <row r="113">
      <c r="A113" s="18" t="inlineStr">
        <is>
          <t>기타</t>
        </is>
      </c>
      <c r="C113" s="20" t="n">
        <v>930</v>
      </c>
      <c r="D113" s="20" t="n">
        <v>946</v>
      </c>
      <c r="E113" s="20" t="n">
        <v>1105</v>
      </c>
      <c r="F113" s="20" t="n">
        <v>941</v>
      </c>
      <c r="G113" s="20" t="n">
        <v>1030</v>
      </c>
      <c r="H113" s="20" t="n">
        <v>1022</v>
      </c>
      <c r="I113" s="20" t="n">
        <v>1169</v>
      </c>
      <c r="J113" s="20" t="n">
        <v>1201</v>
      </c>
      <c r="K113" s="20" t="n">
        <v>1495</v>
      </c>
      <c r="L113" s="20" t="n">
        <v>1492</v>
      </c>
      <c r="M113" s="20" t="n">
        <v>1394</v>
      </c>
      <c r="N113" s="20" t="n">
        <v>1585</v>
      </c>
      <c r="T113" s="20" t="n">
        <v>624</v>
      </c>
      <c r="U113" s="20" t="n">
        <v>4617</v>
      </c>
      <c r="V113" s="20" t="n">
        <v>1105</v>
      </c>
      <c r="W113" s="20" t="n">
        <v>1169</v>
      </c>
      <c r="X113" s="20" t="n">
        <v>1394</v>
      </c>
    </row>
    <row r="114">
      <c r="A114" s="18" t="inlineStr">
        <is>
          <t>판매비와 관리비 합계</t>
        </is>
      </c>
      <c r="C114" s="20" t="n">
        <v>1966</v>
      </c>
      <c r="D114" s="20" t="n">
        <v>2080</v>
      </c>
      <c r="E114" s="20" t="n">
        <v>2393</v>
      </c>
      <c r="F114" s="20" t="n">
        <v>2321</v>
      </c>
      <c r="G114" s="20" t="n">
        <v>2351</v>
      </c>
      <c r="H114" s="20" t="n">
        <v>2410</v>
      </c>
      <c r="I114" s="20" t="n">
        <v>3034</v>
      </c>
      <c r="J114" s="20" t="n">
        <v>2614</v>
      </c>
      <c r="K114" s="20" t="n">
        <v>3046</v>
      </c>
      <c r="L114" s="20" t="n">
        <v>3081</v>
      </c>
      <c r="M114" s="20" t="n">
        <v>3154</v>
      </c>
      <c r="N114" s="20" t="n">
        <v>3426</v>
      </c>
      <c r="T114" s="20" t="n">
        <v>7267</v>
      </c>
      <c r="U114" s="20" t="n">
        <v>9410</v>
      </c>
      <c r="V114" s="20" t="n">
        <v>2393</v>
      </c>
      <c r="W114" s="20" t="n">
        <v>3034</v>
      </c>
      <c r="X114" s="20" t="n">
        <v>3154</v>
      </c>
    </row>
    <row r="115">
      <c r="A115" s="9" t="inlineStr">
        <is>
          <t>영업이익(손실)</t>
        </is>
      </c>
      <c r="C115" s="12" t="n">
        <v>-267</v>
      </c>
      <c r="D115" s="12" t="n">
        <v>-284</v>
      </c>
      <c r="E115" s="12" t="n">
        <v>-223</v>
      </c>
      <c r="F115" s="12" t="n">
        <v>-28</v>
      </c>
      <c r="G115" s="12" t="n">
        <v>-146</v>
      </c>
      <c r="H115" s="12" t="n">
        <v>-251</v>
      </c>
      <c r="I115" s="12" t="n">
        <v>-681</v>
      </c>
      <c r="J115" s="12" t="n">
        <v>-260</v>
      </c>
      <c r="K115" s="12" t="n">
        <v>-526</v>
      </c>
      <c r="L115" s="12" t="n">
        <v>50</v>
      </c>
      <c r="M115" s="12" t="n">
        <v>373</v>
      </c>
      <c r="N115" s="12" t="n">
        <v>137</v>
      </c>
      <c r="T115" s="12" t="n">
        <v>3389</v>
      </c>
      <c r="U115" s="12" t="n">
        <v>4971</v>
      </c>
      <c r="V115" s="12" t="n">
        <v>-223</v>
      </c>
      <c r="W115" s="12" t="n">
        <v>-681</v>
      </c>
      <c r="X115" s="12" t="n">
        <v>373</v>
      </c>
    </row>
    <row r="116">
      <c r="A116" s="43" t="inlineStr">
        <is>
          <t>OPM</t>
        </is>
      </c>
      <c r="B116" s="3" t="inlineStr">
        <is>
          <t>영업이익 ÷ 매출</t>
        </is>
      </c>
      <c r="C116" s="15">
        <f>IF(OR(C115="",C93=""),"",IF(C93&lt;=0,"",IFERROR(C115/C93,"")))</f>
        <v/>
      </c>
      <c r="D116" s="15">
        <f>IF(OR(D115="",D93=""),"",IF(D93&lt;=0,"",IFERROR(D115/D93,"")))</f>
        <v/>
      </c>
      <c r="E116" s="15">
        <f>IF(OR(E115="",E93=""),"",IF(E93&lt;=0,"",IFERROR(E115/E93,"")))</f>
        <v/>
      </c>
      <c r="F116" s="15">
        <f>IF(OR(F115="",F93=""),"",IF(F93&lt;=0,"",IFERROR(F115/F93,"")))</f>
        <v/>
      </c>
      <c r="G116" s="15">
        <f>IF(OR(G115="",G93=""),"",IF(G93&lt;=0,"",IFERROR(G115/G93,"")))</f>
        <v/>
      </c>
      <c r="H116" s="15">
        <f>IF(OR(H115="",H93=""),"",IF(H93&lt;=0,"",IFERROR(H115/H93,"")))</f>
        <v/>
      </c>
      <c r="I116" s="15">
        <f>IF(OR(I115="",I93=""),"",IF(I93&lt;=0,"",IFERROR(I115/I93,"")))</f>
        <v/>
      </c>
      <c r="J116" s="15">
        <f>IF(OR(J115="",J93=""),"",IF(J93&lt;=0,"",IFERROR(J115/J93,"")))</f>
        <v/>
      </c>
      <c r="K116" s="15">
        <f>IF(OR(K115="",K93=""),"",IF(K93&lt;=0,"",IFERROR(K115/K93,"")))</f>
        <v/>
      </c>
      <c r="L116" s="15">
        <f>IF(OR(L115="",L93=""),"",IF(L93&lt;=0,"",IFERROR(L115/L93,"")))</f>
        <v/>
      </c>
      <c r="M116" s="15">
        <f>IF(OR(M115="",M93=""),"",IF(M93&lt;=0,"",IFERROR(M115/M93,"")))</f>
        <v/>
      </c>
      <c r="N116" s="15">
        <f>IF(OR(N115="",N93=""),"",IF(N93&lt;=0,"",IFERROR(N115/N93,"")))</f>
        <v/>
      </c>
      <c r="T116" s="15">
        <f>IF(OR(T115="",T93=""),"",IF(T93&lt;=0,"",IFERROR(T115/T93,"")))</f>
        <v/>
      </c>
      <c r="U116" s="15">
        <f>IF(OR(U115="",U93=""),"",IF(U93&lt;=0,"",IFERROR(U115/U93,"")))</f>
        <v/>
      </c>
      <c r="V116" s="15">
        <f>IF(OR(V115="",V93=""),"",IF(V93&lt;=0,"",IFERROR(V115/V93,"")))</f>
        <v/>
      </c>
      <c r="W116" s="15">
        <f>IF(OR(W115="",W93=""),"",IF(W93&lt;=0,"",IFERROR(W115/W93,"")))</f>
        <v/>
      </c>
      <c r="X116" s="15">
        <f>IF(OR(X115="",X93=""),"",IF(X93&lt;=0,"",IFERROR(X115/X93,"")))</f>
        <v/>
      </c>
    </row>
    <row r="117">
      <c r="A117" s="43" t="inlineStr">
        <is>
          <t>YoY</t>
        </is>
      </c>
      <c r="B117" s="3" t="inlineStr">
        <is>
          <t>전년 같은 분기·전년 대비</t>
        </is>
      </c>
      <c r="G117" s="15">
        <f>IF(OR(G115="",C115=""),"",IF(C115&lt;=0,"",IFERROR(G115/C115-1,"")))</f>
        <v/>
      </c>
      <c r="H117" s="15">
        <f>IF(OR(H115="",D115=""),"",IF(D115&lt;=0,"",IFERROR(H115/D115-1,"")))</f>
        <v/>
      </c>
      <c r="I117" s="15">
        <f>IF(OR(I115="",E115=""),"",IF(E115&lt;=0,"",IFERROR(I115/E115-1,"")))</f>
        <v/>
      </c>
      <c r="J117" s="15">
        <f>IF(OR(J115="",F115=""),"",IF(F115&lt;=0,"",IFERROR(J115/F115-1,"")))</f>
        <v/>
      </c>
      <c r="K117" s="15">
        <f>IF(OR(K115="",G115=""),"",IF(G115&lt;=0,"",IFERROR(K115/G115-1,"")))</f>
        <v/>
      </c>
      <c r="L117" s="15">
        <f>IF(OR(L115="",H115=""),"",IF(H115&lt;=0,"",IFERROR(L115/H115-1,"")))</f>
        <v/>
      </c>
      <c r="M117" s="15">
        <f>IF(OR(M115="",I115=""),"",IF(I115&lt;=0,"",IFERROR(M115/I115-1,"")))</f>
        <v/>
      </c>
      <c r="N117" s="15">
        <f>IF(OR(N115="",J115=""),"",IF(J115&lt;=0,"",IFERROR(N115/J115-1,"")))</f>
        <v/>
      </c>
      <c r="T117" s="15">
        <f>IF(OR(T115="",S115=""),"",IF(S115&lt;=0,"",IFERROR(T115/S115-1,"")))</f>
        <v/>
      </c>
      <c r="U117" s="15">
        <f>IF(OR(U115="",T115=""),"",IF(T115&lt;=0,"",IFERROR(U115/T115-1,"")))</f>
        <v/>
      </c>
      <c r="V117" s="15">
        <f>IF(OR(V115="",U115=""),"",IF(U115&lt;=0,"",IFERROR(V115/U115-1,"")))</f>
        <v/>
      </c>
      <c r="W117" s="15">
        <f>IF(OR(W115="",V115=""),"",IF(V115&lt;=0,"",IFERROR(W115/V115-1,"")))</f>
        <v/>
      </c>
      <c r="X117" s="15">
        <f>IF(OR(X115="",W115=""),"",IF(W115&lt;=0,"",IFERROR(X115/W115-1,"")))</f>
        <v/>
      </c>
    </row>
    <row r="118">
      <c r="A118" s="18" t="inlineStr">
        <is>
          <t>이자·배당금 수익</t>
        </is>
      </c>
      <c r="C118" s="20" t="n">
        <v>63</v>
      </c>
      <c r="D118" s="20" t="n">
        <v>71</v>
      </c>
      <c r="E118" s="20" t="n">
        <v>73</v>
      </c>
      <c r="F118" s="20" t="n">
        <v>151</v>
      </c>
      <c r="G118" s="20" t="n">
        <v>68</v>
      </c>
      <c r="H118" s="20" t="n">
        <v>95</v>
      </c>
      <c r="I118" s="20" t="n">
        <v>96</v>
      </c>
      <c r="J118" s="20" t="n">
        <v>168</v>
      </c>
      <c r="K118" s="20" t="n">
        <v>100</v>
      </c>
      <c r="L118" s="20" t="n">
        <v>79</v>
      </c>
      <c r="M118" s="20" t="n">
        <v>97</v>
      </c>
      <c r="N118" s="20" t="n">
        <v>72</v>
      </c>
      <c r="T118" s="20" t="n">
        <v>30</v>
      </c>
      <c r="U118" s="20" t="n">
        <v>27</v>
      </c>
      <c r="V118" s="20" t="n">
        <v>73</v>
      </c>
      <c r="W118" s="20" t="n">
        <v>96</v>
      </c>
      <c r="X118" s="20" t="n">
        <v>97</v>
      </c>
    </row>
    <row r="119">
      <c r="A119" s="18" t="inlineStr">
        <is>
          <t>지분법이익</t>
        </is>
      </c>
      <c r="C119" s="20" t="n">
        <v>3306</v>
      </c>
      <c r="D119" s="20" t="n">
        <v>3269</v>
      </c>
      <c r="E119" s="20" t="n">
        <v>3282</v>
      </c>
      <c r="F119" s="20" t="n">
        <v>2897</v>
      </c>
      <c r="G119" s="20" t="n">
        <v>3874</v>
      </c>
      <c r="H119" s="20" t="n">
        <v>4505</v>
      </c>
      <c r="I119" s="20" t="n">
        <v>4171</v>
      </c>
      <c r="J119" s="20" t="n">
        <v>4267</v>
      </c>
      <c r="K119" s="20" t="n">
        <v>4391</v>
      </c>
      <c r="L119" s="20" t="n">
        <v>3863</v>
      </c>
      <c r="M119" s="20" t="n">
        <v>3788</v>
      </c>
      <c r="N119" s="20" t="n">
        <v>4111</v>
      </c>
      <c r="T119" s="20" t="n">
        <v>400</v>
      </c>
      <c r="U119" s="20" t="n">
        <v>6</v>
      </c>
      <c r="V119" s="20" t="n">
        <v>3282</v>
      </c>
      <c r="W119" s="20" t="n">
        <v>4171</v>
      </c>
      <c r="X119" s="20" t="n">
        <v>3788</v>
      </c>
    </row>
    <row r="120">
      <c r="A120" s="18" t="inlineStr">
        <is>
          <t>외환차익</t>
        </is>
      </c>
      <c r="C120" s="20" t="n">
        <v>19</v>
      </c>
      <c r="D120" s="20" t="n">
        <v>-210</v>
      </c>
      <c r="E120" s="20" t="n">
        <v>345</v>
      </c>
      <c r="F120" s="20" t="n">
        <v>676</v>
      </c>
      <c r="G120" s="20" t="n">
        <v>-676</v>
      </c>
      <c r="H120" s="20" t="n">
        <v>31</v>
      </c>
      <c r="I120" s="20" t="n">
        <v>-8</v>
      </c>
      <c r="J120" s="20" t="n">
        <v>3</v>
      </c>
      <c r="K120" s="20" t="n">
        <v>147</v>
      </c>
      <c r="L120" s="20" t="n">
        <v>577</v>
      </c>
      <c r="M120" s="20" t="n">
        <v>150</v>
      </c>
      <c r="N120" s="20" t="n">
        <v>256</v>
      </c>
      <c r="T120" s="20" t="n">
        <v>-8</v>
      </c>
      <c r="U120" s="20" t="n">
        <v>-86</v>
      </c>
      <c r="V120" s="20" t="n">
        <v>345</v>
      </c>
      <c r="W120" s="20" t="n">
        <v>-8</v>
      </c>
      <c r="X120" s="20" t="n">
        <v>150</v>
      </c>
    </row>
    <row r="121">
      <c r="A121" s="18" t="inlineStr">
        <is>
          <t>기타</t>
        </is>
      </c>
      <c r="C121" s="20" t="n">
        <v>17</v>
      </c>
      <c r="D121" s="20" t="n">
        <v>-16</v>
      </c>
      <c r="E121" s="20" t="n">
        <v>46</v>
      </c>
      <c r="F121" s="20" t="n">
        <v>41</v>
      </c>
      <c r="G121" s="20" t="n">
        <v>276</v>
      </c>
      <c r="H121" s="20" t="n">
        <v>118</v>
      </c>
      <c r="I121" s="20" t="n">
        <v>16</v>
      </c>
      <c r="J121" s="20" t="n">
        <v>244</v>
      </c>
      <c r="K121" s="20" t="n">
        <v>200</v>
      </c>
      <c r="L121" s="20" t="n">
        <v>-19</v>
      </c>
      <c r="M121" s="20" t="n">
        <v>97</v>
      </c>
      <c r="N121" s="20" t="n">
        <v>181</v>
      </c>
      <c r="T121" s="20" t="n">
        <v>26</v>
      </c>
      <c r="U121" s="20" t="n">
        <v>-16</v>
      </c>
      <c r="V121" s="20" t="n">
        <v>46</v>
      </c>
      <c r="W121" s="20" t="n">
        <v>16</v>
      </c>
      <c r="X121" s="20" t="n">
        <v>97</v>
      </c>
    </row>
    <row r="122">
      <c r="A122" s="18" t="inlineStr">
        <is>
          <t>영업외수익 합계</t>
        </is>
      </c>
      <c r="C122" s="20" t="n">
        <v>3405</v>
      </c>
      <c r="D122" s="20" t="n">
        <v>3114</v>
      </c>
      <c r="E122" s="20" t="n">
        <v>3745</v>
      </c>
      <c r="F122" s="20" t="n">
        <v>3766</v>
      </c>
      <c r="G122" s="20" t="n">
        <v>3542</v>
      </c>
      <c r="H122" s="20" t="n">
        <v>4749</v>
      </c>
      <c r="I122" s="20" t="n">
        <v>4276</v>
      </c>
      <c r="J122" s="20" t="n">
        <v>4684</v>
      </c>
      <c r="K122" s="20" t="n">
        <v>4838</v>
      </c>
      <c r="L122" s="20" t="n">
        <v>4499</v>
      </c>
      <c r="M122" s="20" t="n">
        <v>4132</v>
      </c>
      <c r="N122" s="20" t="n">
        <v>4621</v>
      </c>
      <c r="T122" s="20" t="n">
        <v>447</v>
      </c>
      <c r="U122" s="20" t="n">
        <v>-68</v>
      </c>
      <c r="V122" s="20" t="n">
        <v>3745</v>
      </c>
      <c r="W122" s="20" t="n">
        <v>4276</v>
      </c>
      <c r="X122" s="20" t="n">
        <v>4132</v>
      </c>
    </row>
    <row r="123">
      <c r="A123" s="18" t="inlineStr">
        <is>
          <t>이자비용</t>
        </is>
      </c>
      <c r="C123" s="20" t="n">
        <v>3</v>
      </c>
      <c r="D123" s="20" t="n">
        <v>2</v>
      </c>
      <c r="E123" s="20" t="n">
        <v>2</v>
      </c>
      <c r="F123" s="20" t="n">
        <v>2</v>
      </c>
      <c r="G123" s="20" t="n">
        <v>2</v>
      </c>
      <c r="H123" s="20" t="n">
        <v>2</v>
      </c>
      <c r="I123" s="20" t="n">
        <v>2</v>
      </c>
      <c r="J123" s="20" t="n">
        <v>1</v>
      </c>
      <c r="K123" s="20" t="n">
        <v>7</v>
      </c>
      <c r="L123" s="20" t="n">
        <v>5</v>
      </c>
      <c r="M123" s="20" t="n">
        <v>4</v>
      </c>
      <c r="N123" s="20" t="n">
        <v>6</v>
      </c>
      <c r="T123" s="20" t="n">
        <v>10</v>
      </c>
      <c r="U123" s="20" t="n">
        <v>5</v>
      </c>
      <c r="V123" s="20" t="n">
        <v>2</v>
      </c>
      <c r="W123" s="20" t="n">
        <v>2</v>
      </c>
      <c r="X123" s="20" t="n">
        <v>4</v>
      </c>
    </row>
    <row r="124">
      <c r="A124" s="18" t="inlineStr">
        <is>
          <t>지급수수료</t>
        </is>
      </c>
      <c r="D124" s="20" t="n">
        <v>0</v>
      </c>
      <c r="E124" s="20" t="n">
        <v>0</v>
      </c>
      <c r="H124" s="20" t="n">
        <v>0</v>
      </c>
      <c r="I124" s="20" t="n">
        <v>0</v>
      </c>
      <c r="U124" s="20" t="n">
        <v>0</v>
      </c>
      <c r="V124" s="20" t="n">
        <v>0</v>
      </c>
      <c r="W124" s="20" t="n">
        <v>0</v>
      </c>
    </row>
    <row r="125">
      <c r="A125" s="18" t="inlineStr">
        <is>
          <t>신디케이트론 수수료</t>
        </is>
      </c>
      <c r="C125" s="20" t="n">
        <v>0</v>
      </c>
      <c r="D125" s="20" t="n">
        <v>0</v>
      </c>
      <c r="E125" s="20" t="n">
        <v>0</v>
      </c>
      <c r="T125" s="20" t="n">
        <v>7</v>
      </c>
      <c r="U125" s="20" t="n">
        <v>0</v>
      </c>
      <c r="V125" s="20" t="n">
        <v>0</v>
      </c>
    </row>
    <row r="126">
      <c r="A126" s="18" t="inlineStr">
        <is>
          <t>Settlement Package NOE</t>
        </is>
      </c>
      <c r="F126" s="20" t="n">
        <v>0</v>
      </c>
      <c r="G126" s="20" t="n">
        <v>0</v>
      </c>
      <c r="H126" s="20" t="n">
        <v>0</v>
      </c>
      <c r="I126" s="20" t="n">
        <v>0</v>
      </c>
      <c r="J126" s="20" t="n">
        <v>21</v>
      </c>
      <c r="K126" s="20" t="n">
        <v>0</v>
      </c>
      <c r="L126" s="20" t="n">
        <v>0</v>
      </c>
      <c r="M126" s="20" t="n">
        <v>0</v>
      </c>
      <c r="N126" s="20" t="n">
        <v>0</v>
      </c>
      <c r="W126" s="20" t="n">
        <v>0</v>
      </c>
      <c r="X126" s="20" t="n">
        <v>0</v>
      </c>
    </row>
    <row r="127">
      <c r="A127" s="18" t="inlineStr">
        <is>
          <t>대손충당금 전입</t>
        </is>
      </c>
      <c r="D127" s="20" t="n">
        <v>0</v>
      </c>
      <c r="E127" s="20" t="n">
        <v>0</v>
      </c>
      <c r="T127" s="20" t="n">
        <v>0</v>
      </c>
      <c r="U127" s="20" t="n">
        <v>3</v>
      </c>
      <c r="V127" s="20" t="n">
        <v>0</v>
      </c>
    </row>
    <row r="128">
      <c r="A128" s="18" t="inlineStr">
        <is>
          <t>투자조합 운용손실</t>
        </is>
      </c>
      <c r="F128" s="20" t="n">
        <v>0</v>
      </c>
      <c r="J128" s="20" t="n">
        <v>16</v>
      </c>
      <c r="N128" s="20" t="n">
        <v>0</v>
      </c>
    </row>
    <row r="129">
      <c r="A129" s="18" t="inlineStr">
        <is>
          <t>Rent Expenses On Real Estates NOE</t>
        </is>
      </c>
      <c r="J129" s="20" t="n">
        <v>0</v>
      </c>
      <c r="N129" s="20" t="n">
        <v>1</v>
      </c>
    </row>
    <row r="130">
      <c r="A130" s="18" t="inlineStr">
        <is>
          <t>기타</t>
        </is>
      </c>
      <c r="C130" s="20" t="n">
        <v>10</v>
      </c>
      <c r="D130" s="20" t="n">
        <v>5</v>
      </c>
      <c r="E130" s="20" t="n">
        <v>13</v>
      </c>
      <c r="F130" s="20" t="n">
        <v>2</v>
      </c>
      <c r="G130" s="20" t="n">
        <v>17</v>
      </c>
      <c r="H130" s="20" t="n">
        <v>7</v>
      </c>
      <c r="I130" s="20" t="n">
        <v>11</v>
      </c>
      <c r="J130" s="20" t="n">
        <v>10</v>
      </c>
      <c r="K130" s="20" t="n">
        <v>23</v>
      </c>
      <c r="L130" s="20" t="n">
        <v>5</v>
      </c>
      <c r="M130" s="20" t="n">
        <v>-22</v>
      </c>
      <c r="N130" s="20" t="n">
        <v>0</v>
      </c>
      <c r="T130" s="20" t="n">
        <v>-4</v>
      </c>
      <c r="U130" s="20" t="n">
        <v>-1</v>
      </c>
      <c r="V130" s="20" t="n">
        <v>13</v>
      </c>
      <c r="W130" s="20" t="n">
        <v>11</v>
      </c>
      <c r="X130" s="20" t="n">
        <v>-22</v>
      </c>
    </row>
    <row r="131">
      <c r="A131" s="18" t="inlineStr">
        <is>
          <t>영업외비용 합계</t>
        </is>
      </c>
      <c r="C131" s="20" t="n">
        <v>23</v>
      </c>
      <c r="D131" s="20" t="n">
        <v>8</v>
      </c>
      <c r="E131" s="20" t="n">
        <v>32</v>
      </c>
      <c r="F131" s="20" t="n">
        <v>5</v>
      </c>
      <c r="G131" s="20" t="n">
        <v>449</v>
      </c>
      <c r="H131" s="20" t="n">
        <v>-422</v>
      </c>
      <c r="I131" s="20" t="n">
        <v>72</v>
      </c>
      <c r="J131" s="20" t="n">
        <v>50</v>
      </c>
      <c r="K131" s="20" t="n">
        <v>13</v>
      </c>
      <c r="L131" s="20" t="n">
        <v>11</v>
      </c>
      <c r="M131" s="20" t="n">
        <v>2</v>
      </c>
      <c r="N131" s="20" t="n">
        <v>8</v>
      </c>
      <c r="T131" s="20" t="n">
        <v>27</v>
      </c>
      <c r="U131" s="20" t="n">
        <v>76</v>
      </c>
      <c r="V131" s="20" t="n">
        <v>32</v>
      </c>
      <c r="W131" s="20" t="n">
        <v>72</v>
      </c>
      <c r="X131" s="20" t="n">
        <v>2</v>
      </c>
    </row>
    <row r="132">
      <c r="A132" s="9" t="inlineStr">
        <is>
          <t>경상이익</t>
        </is>
      </c>
      <c r="C132" s="12" t="n">
        <v>3114</v>
      </c>
      <c r="D132" s="12" t="n">
        <v>2823</v>
      </c>
      <c r="E132" s="12" t="n">
        <v>3491</v>
      </c>
      <c r="F132" s="12" t="n">
        <v>3733</v>
      </c>
      <c r="G132" s="12" t="n">
        <v>2946</v>
      </c>
      <c r="H132" s="12" t="n">
        <v>4920</v>
      </c>
      <c r="I132" s="12" t="n">
        <v>3523</v>
      </c>
      <c r="J132" s="12" t="n">
        <v>4373</v>
      </c>
      <c r="K132" s="12" t="n">
        <v>4300</v>
      </c>
      <c r="L132" s="12" t="n">
        <v>4538</v>
      </c>
      <c r="M132" s="12" t="n">
        <v>4502</v>
      </c>
      <c r="N132" s="12" t="n">
        <v>4750</v>
      </c>
      <c r="T132" s="12" t="n">
        <v>3810</v>
      </c>
      <c r="U132" s="12" t="n">
        <v>4826</v>
      </c>
      <c r="V132" s="12" t="n">
        <v>3491</v>
      </c>
      <c r="W132" s="12" t="n">
        <v>3523</v>
      </c>
      <c r="X132" s="12" t="n">
        <v>4502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IF(OR(G132="",C132=""),"",IF(C132&lt;=0,"",IFERROR(G132/C132-1,"")))</f>
        <v/>
      </c>
      <c r="H133" s="15">
        <f>IF(OR(H132="",D132=""),"",IF(D132&lt;=0,"",IFERROR(H132/D132-1,"")))</f>
        <v/>
      </c>
      <c r="I133" s="15">
        <f>IF(OR(I132="",E132=""),"",IF(E132&lt;=0,"",IFERROR(I132/E132-1,"")))</f>
        <v/>
      </c>
      <c r="J133" s="15">
        <f>IF(OR(J132="",F132=""),"",IF(F132&lt;=0,"",IFERROR(J132/F132-1,"")))</f>
        <v/>
      </c>
      <c r="K133" s="15">
        <f>IF(OR(K132="",G132=""),"",IF(G132&lt;=0,"",IFERROR(K132/G132-1,"")))</f>
        <v/>
      </c>
      <c r="L133" s="15">
        <f>IF(OR(L132="",H132=""),"",IF(H132&lt;=0,"",IFERROR(L132/H132-1,"")))</f>
        <v/>
      </c>
      <c r="M133" s="15">
        <f>IF(OR(M132="",I132=""),"",IF(I132&lt;=0,"",IFERROR(M132/I132-1,"")))</f>
        <v/>
      </c>
      <c r="N133" s="15">
        <f>IF(OR(N132="",J132=""),"",IF(J132&lt;=0,"",IFERROR(N132/J132-1,"")))</f>
        <v/>
      </c>
      <c r="T133" s="15">
        <f>IF(OR(T132="",S132=""),"",IF(S132&lt;=0,"",IFERROR(T132/S132-1,"")))</f>
        <v/>
      </c>
      <c r="U133" s="15">
        <f>IF(OR(U132="",T132=""),"",IF(T132&lt;=0,"",IFERROR(U132/T132-1,"")))</f>
        <v/>
      </c>
      <c r="V133" s="15">
        <f>IF(OR(V132="",U132=""),"",IF(U132&lt;=0,"",IFERROR(V132/U132-1,"")))</f>
        <v/>
      </c>
      <c r="W133" s="15">
        <f>IF(OR(W132="",V132=""),"",IF(V132&lt;=0,"",IFERROR(W132/V132-1,"")))</f>
        <v/>
      </c>
      <c r="X133" s="15">
        <f>IF(OR(X132="",W132=""),"",IF(W132&lt;=0,"",IFERROR(X132/W132-1,"")))</f>
        <v/>
      </c>
    </row>
    <row r="134">
      <c r="A134" s="18" t="inlineStr">
        <is>
          <t>관계회사 주식 매각이익</t>
        </is>
      </c>
      <c r="D134" s="20" t="n">
        <v>0</v>
      </c>
      <c r="E134" s="20" t="n">
        <v>0</v>
      </c>
      <c r="T134" s="20" t="n">
        <v>468</v>
      </c>
      <c r="U134" s="20" t="n">
        <v>0</v>
      </c>
      <c r="V134" s="20" t="n">
        <v>0</v>
      </c>
    </row>
    <row r="135">
      <c r="A135" s="18" t="inlineStr">
        <is>
          <t>투자유가증권 매각이익</t>
        </is>
      </c>
      <c r="C135" s="20" t="n">
        <v>17</v>
      </c>
      <c r="D135" s="20" t="n">
        <v>0</v>
      </c>
      <c r="E135" s="20" t="n">
        <v>0</v>
      </c>
      <c r="F135" s="20" t="n">
        <v>0</v>
      </c>
      <c r="G135" s="20" t="n">
        <v>0</v>
      </c>
      <c r="H135" s="20" t="n">
        <v>0</v>
      </c>
      <c r="I135" s="20" t="n">
        <v>79</v>
      </c>
      <c r="M135" s="20" t="n">
        <v>37</v>
      </c>
      <c r="T135" s="20" t="n">
        <v>72</v>
      </c>
      <c r="U135" s="20" t="n">
        <v>0</v>
      </c>
      <c r="V135" s="20" t="n">
        <v>0</v>
      </c>
      <c r="W135" s="20" t="n">
        <v>79</v>
      </c>
      <c r="X135" s="20" t="n">
        <v>37</v>
      </c>
    </row>
    <row r="136">
      <c r="A136" s="18" t="inlineStr">
        <is>
          <t>고정자산 매각이익</t>
        </is>
      </c>
      <c r="F136" s="20" t="n">
        <v>0</v>
      </c>
    </row>
    <row r="137">
      <c r="A137" s="18" t="inlineStr">
        <is>
          <t>기타</t>
        </is>
      </c>
      <c r="D137" s="20" t="n">
        <v>0</v>
      </c>
      <c r="H137" s="20" t="n">
        <v>0</v>
      </c>
      <c r="T137" s="20" t="n">
        <v>6</v>
      </c>
      <c r="U137" s="20" t="n">
        <v>1</v>
      </c>
    </row>
    <row r="138">
      <c r="A138" s="18" t="inlineStr">
        <is>
          <t>Extraordinary Income</t>
        </is>
      </c>
      <c r="C138" s="20" t="n">
        <v>16</v>
      </c>
      <c r="D138" s="20" t="n">
        <v>0</v>
      </c>
      <c r="E138" s="20" t="n">
        <v>0</v>
      </c>
      <c r="F138" s="20" t="n">
        <v>0</v>
      </c>
      <c r="G138" s="20" t="n">
        <v>0</v>
      </c>
      <c r="H138" s="20" t="n">
        <v>0</v>
      </c>
      <c r="I138" s="20" t="n">
        <v>79</v>
      </c>
      <c r="M138" s="20" t="n">
        <v>37</v>
      </c>
      <c r="T138" s="20" t="n">
        <v>546</v>
      </c>
      <c r="U138" s="20" t="n">
        <v>1</v>
      </c>
      <c r="V138" s="20" t="n">
        <v>0</v>
      </c>
      <c r="W138" s="20" t="n">
        <v>79</v>
      </c>
      <c r="X138" s="20" t="n">
        <v>37</v>
      </c>
    </row>
    <row r="139">
      <c r="A139" s="18" t="inlineStr">
        <is>
          <t>투자유가증권 평가손실</t>
        </is>
      </c>
      <c r="C139" s="20" t="n">
        <v>38</v>
      </c>
      <c r="D139" s="20" t="n">
        <v>0</v>
      </c>
      <c r="E139" s="20" t="n">
        <v>0</v>
      </c>
      <c r="F139" s="20" t="n">
        <v>15</v>
      </c>
      <c r="G139" s="20" t="n">
        <v>0</v>
      </c>
      <c r="H139" s="20" t="n">
        <v>0</v>
      </c>
      <c r="I139" s="20" t="n">
        <v>0</v>
      </c>
      <c r="J139" s="20" t="n">
        <v>0</v>
      </c>
      <c r="K139" s="20" t="n">
        <v>0</v>
      </c>
      <c r="L139" s="20" t="n">
        <v>0</v>
      </c>
      <c r="M139" s="20" t="n">
        <v>0</v>
      </c>
      <c r="N139" s="20" t="n">
        <v>0</v>
      </c>
      <c r="U139" s="20" t="n">
        <v>307</v>
      </c>
      <c r="V139" s="20" t="n">
        <v>0</v>
      </c>
      <c r="W139" s="20" t="n">
        <v>0</v>
      </c>
      <c r="X139" s="20" t="n">
        <v>0</v>
      </c>
    </row>
    <row r="140">
      <c r="A140" s="18" t="inlineStr">
        <is>
          <t>Directors Retirement Benefits EL</t>
        </is>
      </c>
      <c r="T140" s="20" t="n">
        <v>0</v>
      </c>
      <c r="U140" s="20" t="n">
        <v>0</v>
      </c>
    </row>
    <row r="141">
      <c r="A141" s="18" t="inlineStr">
        <is>
          <t>지분변동 손실</t>
        </is>
      </c>
      <c r="C141" s="20" t="n">
        <v>0</v>
      </c>
      <c r="D141" s="20" t="n">
        <v>0</v>
      </c>
      <c r="E141" s="20" t="n">
        <v>0</v>
      </c>
      <c r="F141" s="20" t="n">
        <v>0</v>
      </c>
      <c r="G141" s="20" t="n">
        <v>0</v>
      </c>
      <c r="H141" s="20" t="n">
        <v>0</v>
      </c>
      <c r="I141" s="20" t="n">
        <v>0</v>
      </c>
      <c r="U141" s="20" t="n">
        <v>0</v>
      </c>
      <c r="V141" s="20" t="n">
        <v>0</v>
      </c>
      <c r="W141" s="20" t="n">
        <v>0</v>
      </c>
    </row>
    <row r="142">
      <c r="A142" s="18" t="inlineStr">
        <is>
          <t>손상차손</t>
        </is>
      </c>
      <c r="E142" s="20" t="n">
        <v>17</v>
      </c>
      <c r="H142" s="20" t="n">
        <v>9</v>
      </c>
      <c r="I142" s="20" t="n">
        <v>203</v>
      </c>
      <c r="L142" s="20" t="n">
        <v>0</v>
      </c>
      <c r="M142" s="20" t="n">
        <v>0</v>
      </c>
      <c r="V142" s="20" t="n">
        <v>17</v>
      </c>
      <c r="W142" s="20" t="n">
        <v>203</v>
      </c>
      <c r="X142" s="20" t="n">
        <v>0</v>
      </c>
    </row>
    <row r="143">
      <c r="A143" s="18" t="inlineStr">
        <is>
          <t>고정자산 매각손실</t>
        </is>
      </c>
      <c r="C143" s="20" t="n">
        <v>0</v>
      </c>
      <c r="D143" s="20" t="n">
        <v>0</v>
      </c>
      <c r="E143" s="20" t="n">
        <v>0</v>
      </c>
      <c r="F143" s="20" t="n">
        <v>0</v>
      </c>
      <c r="G143" s="20" t="n">
        <v>0</v>
      </c>
      <c r="H143" s="20" t="n">
        <v>0</v>
      </c>
      <c r="I143" s="20" t="n">
        <v>0</v>
      </c>
      <c r="U143" s="20" t="n">
        <v>0</v>
      </c>
      <c r="V143" s="20" t="n">
        <v>0</v>
      </c>
      <c r="W143" s="20" t="n">
        <v>0</v>
      </c>
    </row>
    <row r="144">
      <c r="A144" s="18" t="inlineStr">
        <is>
          <t>단계적 취득 차손</t>
        </is>
      </c>
      <c r="E144" s="20" t="n">
        <v>0</v>
      </c>
      <c r="T144" s="20" t="n">
        <v>0</v>
      </c>
      <c r="U144" s="20" t="n">
        <v>0</v>
      </c>
      <c r="V144" s="20" t="n">
        <v>0</v>
      </c>
    </row>
    <row r="145">
      <c r="A145" s="18" t="inlineStr">
        <is>
          <t>고정자산 제각손실</t>
        </is>
      </c>
      <c r="H145" s="20" t="n">
        <v>0</v>
      </c>
      <c r="I145" s="20" t="n">
        <v>0</v>
      </c>
      <c r="L145" s="20" t="n">
        <v>0</v>
      </c>
      <c r="M145" s="20" t="n">
        <v>5</v>
      </c>
      <c r="W145" s="20" t="n">
        <v>0</v>
      </c>
      <c r="X145" s="20" t="n">
        <v>5</v>
      </c>
    </row>
    <row r="146">
      <c r="A146" s="18" t="inlineStr">
        <is>
          <t>기타</t>
        </is>
      </c>
      <c r="C146" s="20" t="n">
        <v>0</v>
      </c>
      <c r="D146" s="20" t="n">
        <v>0</v>
      </c>
      <c r="E146" s="20" t="n">
        <v>0</v>
      </c>
      <c r="F146" s="20" t="n">
        <v>0</v>
      </c>
      <c r="G146" s="20" t="n">
        <v>0</v>
      </c>
      <c r="H146" s="20" t="n">
        <v>0</v>
      </c>
      <c r="I146" s="20" t="n">
        <v>0</v>
      </c>
      <c r="M146" s="20" t="n">
        <v>0</v>
      </c>
      <c r="T146" s="20" t="n">
        <v>-13</v>
      </c>
      <c r="U146" s="20" t="n">
        <v>2</v>
      </c>
      <c r="V146" s="20" t="n">
        <v>0</v>
      </c>
      <c r="W146" s="20" t="n">
        <v>0</v>
      </c>
      <c r="X146" s="20" t="n">
        <v>0</v>
      </c>
    </row>
    <row r="147">
      <c r="A147" s="18" t="inlineStr">
        <is>
          <t>특별손실 합계</t>
        </is>
      </c>
      <c r="C147" s="20" t="n">
        <v>38</v>
      </c>
      <c r="D147" s="20" t="n">
        <v>0</v>
      </c>
      <c r="E147" s="20" t="n">
        <v>18</v>
      </c>
      <c r="F147" s="20" t="n">
        <v>15</v>
      </c>
      <c r="G147" s="20" t="n">
        <v>0</v>
      </c>
      <c r="H147" s="20" t="n">
        <v>10</v>
      </c>
      <c r="I147" s="20" t="n">
        <v>252</v>
      </c>
      <c r="J147" s="20" t="n">
        <v>0</v>
      </c>
      <c r="K147" s="20" t="n">
        <v>3</v>
      </c>
      <c r="L147" s="20" t="n">
        <v>0</v>
      </c>
      <c r="M147" s="20" t="n">
        <v>5</v>
      </c>
      <c r="N147" s="20" t="n">
        <v>0</v>
      </c>
      <c r="T147" s="20" t="n">
        <v>30</v>
      </c>
      <c r="U147" s="20" t="n">
        <v>336</v>
      </c>
      <c r="V147" s="20" t="n">
        <v>18</v>
      </c>
      <c r="W147" s="20" t="n">
        <v>252</v>
      </c>
      <c r="X147" s="20" t="n">
        <v>5</v>
      </c>
    </row>
    <row r="148">
      <c r="A148" s="9" t="inlineStr">
        <is>
          <t>법인세차감전 순이익</t>
        </is>
      </c>
      <c r="C148" s="12" t="n">
        <v>3092</v>
      </c>
      <c r="D148" s="12" t="n">
        <v>2823</v>
      </c>
      <c r="E148" s="12" t="n">
        <v>3473</v>
      </c>
      <c r="F148" s="12" t="n">
        <v>3717</v>
      </c>
      <c r="G148" s="12" t="n">
        <v>2946</v>
      </c>
      <c r="H148" s="12" t="n">
        <v>4911</v>
      </c>
      <c r="I148" s="12" t="n">
        <v>3351</v>
      </c>
      <c r="J148" s="12" t="n">
        <v>4373</v>
      </c>
      <c r="K148" s="12" t="n">
        <v>4296</v>
      </c>
      <c r="L148" s="12" t="n">
        <v>4788</v>
      </c>
      <c r="M148" s="12" t="n">
        <v>4534</v>
      </c>
      <c r="N148" s="12" t="n">
        <v>4750</v>
      </c>
      <c r="T148" s="12" t="n">
        <v>4326</v>
      </c>
      <c r="U148" s="12" t="n">
        <v>4491</v>
      </c>
      <c r="V148" s="12" t="n">
        <v>3473</v>
      </c>
      <c r="W148" s="12" t="n">
        <v>3351</v>
      </c>
      <c r="X148" s="12" t="n">
        <v>4534</v>
      </c>
    </row>
    <row r="149">
      <c r="A149" s="18" t="inlineStr">
        <is>
          <t>법인세·주민세·사업세</t>
        </is>
      </c>
      <c r="C149" s="20" t="n">
        <v>44</v>
      </c>
      <c r="D149" s="20" t="n">
        <v>22</v>
      </c>
      <c r="E149" s="20" t="n">
        <v>12</v>
      </c>
      <c r="F149" s="20" t="n">
        <v>1492</v>
      </c>
      <c r="G149" s="20" t="n">
        <v>227</v>
      </c>
      <c r="H149" s="20" t="n">
        <v>179</v>
      </c>
      <c r="I149" s="20" t="n">
        <v>255</v>
      </c>
      <c r="J149" s="20" t="n">
        <v>1623</v>
      </c>
      <c r="K149" s="20" t="n">
        <v>83</v>
      </c>
      <c r="L149" s="20" t="n">
        <v>228</v>
      </c>
      <c r="M149" s="20" t="n">
        <v>23</v>
      </c>
      <c r="N149" s="20" t="n">
        <v>319</v>
      </c>
      <c r="T149" s="20" t="n">
        <v>1229</v>
      </c>
      <c r="U149" s="20" t="n">
        <v>2379</v>
      </c>
      <c r="V149" s="20" t="n">
        <v>12</v>
      </c>
      <c r="W149" s="20" t="n">
        <v>255</v>
      </c>
      <c r="X149" s="20" t="n">
        <v>23</v>
      </c>
    </row>
    <row r="150">
      <c r="A150" s="18" t="inlineStr">
        <is>
          <t>법인세 조정액</t>
        </is>
      </c>
      <c r="C150" s="20" t="n">
        <v>609</v>
      </c>
      <c r="D150" s="20" t="n">
        <v>444</v>
      </c>
      <c r="E150" s="20" t="n">
        <v>712</v>
      </c>
      <c r="F150" s="20" t="n">
        <v>-827</v>
      </c>
      <c r="G150" s="20" t="n">
        <v>340</v>
      </c>
      <c r="H150" s="20" t="n">
        <v>817</v>
      </c>
      <c r="I150" s="20" t="n">
        <v>623</v>
      </c>
      <c r="J150" s="20" t="n">
        <v>-971</v>
      </c>
      <c r="K150" s="20" t="n">
        <v>699</v>
      </c>
      <c r="L150" s="20" t="n">
        <v>707</v>
      </c>
      <c r="M150" s="20" t="n">
        <v>865</v>
      </c>
      <c r="N150" s="20" t="n">
        <v>1266</v>
      </c>
      <c r="T150" s="20" t="n">
        <v>-479</v>
      </c>
      <c r="U150" s="20" t="n">
        <v>583</v>
      </c>
      <c r="V150" s="20" t="n">
        <v>712</v>
      </c>
      <c r="W150" s="20" t="n">
        <v>623</v>
      </c>
      <c r="X150" s="20" t="n">
        <v>865</v>
      </c>
    </row>
    <row r="151">
      <c r="A151" s="18" t="inlineStr">
        <is>
          <t>법인세 등 합계</t>
        </is>
      </c>
      <c r="C151" s="20" t="n">
        <v>652</v>
      </c>
      <c r="D151" s="20" t="n">
        <v>467</v>
      </c>
      <c r="E151" s="20" t="n">
        <v>724</v>
      </c>
      <c r="F151" s="20" t="n">
        <v>665</v>
      </c>
      <c r="G151" s="20" t="n">
        <v>566</v>
      </c>
      <c r="H151" s="20" t="n">
        <v>998</v>
      </c>
      <c r="I151" s="20" t="n">
        <v>877</v>
      </c>
      <c r="J151" s="20" t="n">
        <v>651</v>
      </c>
      <c r="K151" s="20" t="n">
        <v>783</v>
      </c>
      <c r="L151" s="20" t="n">
        <v>935</v>
      </c>
      <c r="M151" s="20" t="n">
        <v>888</v>
      </c>
      <c r="N151" s="20" t="n">
        <v>1586</v>
      </c>
      <c r="T151" s="20" t="n">
        <v>751</v>
      </c>
      <c r="U151" s="20" t="n">
        <v>2961</v>
      </c>
      <c r="V151" s="20" t="n">
        <v>724</v>
      </c>
      <c r="W151" s="20" t="n">
        <v>877</v>
      </c>
      <c r="X151" s="20" t="n">
        <v>888</v>
      </c>
    </row>
    <row r="152">
      <c r="A152" s="9" t="inlineStr">
        <is>
          <t>순이익</t>
        </is>
      </c>
      <c r="C152" s="12" t="n">
        <v>2440</v>
      </c>
      <c r="D152" s="12" t="n">
        <v>2356</v>
      </c>
      <c r="E152" s="12" t="n">
        <v>2749</v>
      </c>
      <c r="F152" s="12" t="n">
        <v>3052</v>
      </c>
      <c r="G152" s="12" t="n">
        <v>2379</v>
      </c>
      <c r="H152" s="12" t="n">
        <v>3913</v>
      </c>
      <c r="I152" s="12" t="n">
        <v>2474</v>
      </c>
      <c r="J152" s="12" t="n">
        <v>3721</v>
      </c>
      <c r="K152" s="12" t="n">
        <v>3513</v>
      </c>
      <c r="L152" s="12" t="n">
        <v>3853</v>
      </c>
      <c r="M152" s="12" t="n">
        <v>3647</v>
      </c>
      <c r="N152" s="12" t="n">
        <v>3163</v>
      </c>
      <c r="T152" s="12" t="n">
        <v>3574</v>
      </c>
      <c r="U152" s="12" t="n">
        <v>1531</v>
      </c>
      <c r="V152" s="12" t="n">
        <v>2749</v>
      </c>
      <c r="W152" s="12" t="n">
        <v>2474</v>
      </c>
      <c r="X152" s="12" t="n">
        <v>3647</v>
      </c>
    </row>
    <row r="153">
      <c r="A153" s="43" t="inlineStr">
        <is>
          <t>YoY</t>
        </is>
      </c>
      <c r="B153" s="3" t="inlineStr">
        <is>
          <t>전년 같은 분기·전년 대비</t>
        </is>
      </c>
      <c r="G153" s="15">
        <f>IF(OR(G152="",C152=""),"",IF(C152&lt;=0,"",IFERROR(G152/C152-1,"")))</f>
        <v/>
      </c>
      <c r="H153" s="15">
        <f>IF(OR(H152="",D152=""),"",IF(D152&lt;=0,"",IFERROR(H152/D152-1,"")))</f>
        <v/>
      </c>
      <c r="I153" s="15">
        <f>IF(OR(I152="",E152=""),"",IF(E152&lt;=0,"",IFERROR(I152/E152-1,"")))</f>
        <v/>
      </c>
      <c r="J153" s="15">
        <f>IF(OR(J152="",F152=""),"",IF(F152&lt;=0,"",IFERROR(J152/F152-1,"")))</f>
        <v/>
      </c>
      <c r="K153" s="15">
        <f>IF(OR(K152="",G152=""),"",IF(G152&lt;=0,"",IFERROR(K152/G152-1,"")))</f>
        <v/>
      </c>
      <c r="L153" s="15">
        <f>IF(OR(L152="",H152=""),"",IF(H152&lt;=0,"",IFERROR(L152/H152-1,"")))</f>
        <v/>
      </c>
      <c r="M153" s="15">
        <f>IF(OR(M152="",I152=""),"",IF(I152&lt;=0,"",IFERROR(M152/I152-1,"")))</f>
        <v/>
      </c>
      <c r="N153" s="15">
        <f>IF(OR(N152="",J152=""),"",IF(J152&lt;=0,"",IFERROR(N152/J152-1,"")))</f>
        <v/>
      </c>
      <c r="T153" s="15">
        <f>IF(OR(T152="",S152=""),"",IF(S152&lt;=0,"",IFERROR(T152/S152-1,"")))</f>
        <v/>
      </c>
      <c r="U153" s="15">
        <f>IF(OR(U152="",T152=""),"",IF(T152&lt;=0,"",IFERROR(U152/T152-1,"")))</f>
        <v/>
      </c>
      <c r="V153" s="15">
        <f>IF(OR(V152="",U152=""),"",IF(U152&lt;=0,"",IFERROR(V152/U152-1,"")))</f>
        <v/>
      </c>
      <c r="W153" s="15">
        <f>IF(OR(W152="",V152=""),"",IF(V152&lt;=0,"",IFERROR(W152/V152-1,"")))</f>
        <v/>
      </c>
      <c r="X153" s="15">
        <f>IF(OR(X152="",W152=""),"",IF(W152&lt;=0,"",IFERROR(X152/W152-1,"")))</f>
        <v/>
      </c>
    </row>
    <row r="154">
      <c r="A154" s="9" t="inlineStr">
        <is>
          <t>비지배주주 순이익</t>
        </is>
      </c>
      <c r="C154" s="12" t="n">
        <v>-2</v>
      </c>
      <c r="D154" s="12" t="n">
        <v>29</v>
      </c>
      <c r="E154" s="12" t="n">
        <v>21</v>
      </c>
      <c r="F154" s="12" t="n">
        <v>-19</v>
      </c>
      <c r="G154" s="12" t="n">
        <v>54</v>
      </c>
      <c r="H154" s="12" t="n">
        <v>-2</v>
      </c>
      <c r="I154" s="12" t="n">
        <v>-315</v>
      </c>
      <c r="J154" s="12" t="n">
        <v>61</v>
      </c>
      <c r="K154" s="12" t="n">
        <v>-70</v>
      </c>
      <c r="L154" s="12" t="n">
        <v>-30</v>
      </c>
      <c r="M154" s="12" t="n">
        <v>84</v>
      </c>
      <c r="N154" s="12" t="n">
        <v>8</v>
      </c>
      <c r="T154" s="12" t="n">
        <v>943</v>
      </c>
      <c r="U154" s="12" t="n">
        <v>1409</v>
      </c>
      <c r="V154" s="12" t="n">
        <v>21</v>
      </c>
      <c r="W154" s="12" t="n">
        <v>-315</v>
      </c>
      <c r="X154" s="12" t="n">
        <v>84</v>
      </c>
    </row>
    <row r="155">
      <c r="A155" s="9" t="inlineStr">
        <is>
          <t>지배주주 순이익</t>
        </is>
      </c>
      <c r="C155" s="12" t="n">
        <v>2441</v>
      </c>
      <c r="D155" s="12" t="n">
        <v>2328</v>
      </c>
      <c r="E155" s="12" t="n">
        <v>2728</v>
      </c>
      <c r="F155" s="12" t="n">
        <v>3071</v>
      </c>
      <c r="G155" s="12" t="n">
        <v>2325</v>
      </c>
      <c r="H155" s="12" t="n">
        <v>3915</v>
      </c>
      <c r="I155" s="12" t="n">
        <v>2789</v>
      </c>
      <c r="J155" s="12" t="n">
        <v>3660</v>
      </c>
      <c r="K155" s="12" t="n">
        <v>3584</v>
      </c>
      <c r="L155" s="12" t="n">
        <v>3883</v>
      </c>
      <c r="M155" s="12" t="n">
        <v>3561</v>
      </c>
      <c r="N155" s="12" t="n">
        <v>3155</v>
      </c>
      <c r="T155" s="12" t="n">
        <v>2631</v>
      </c>
      <c r="U155" s="12" t="n">
        <v>121</v>
      </c>
      <c r="V155" s="12" t="n">
        <v>2728</v>
      </c>
      <c r="W155" s="12" t="n">
        <v>2789</v>
      </c>
      <c r="X155" s="12" t="n">
        <v>3561</v>
      </c>
    </row>
    <row r="156">
      <c r="A156" s="43" t="inlineStr">
        <is>
          <t>YoY</t>
        </is>
      </c>
      <c r="B156" s="3" t="inlineStr">
        <is>
          <t>전년 같은 분기·전년 대비</t>
        </is>
      </c>
      <c r="G156" s="15">
        <f>IF(OR(G155="",C155=""),"",IF(C155&lt;=0,"",IFERROR(G155/C155-1,"")))</f>
        <v/>
      </c>
      <c r="H156" s="15">
        <f>IF(OR(H155="",D155=""),"",IF(D155&lt;=0,"",IFERROR(H155/D155-1,"")))</f>
        <v/>
      </c>
      <c r="I156" s="15">
        <f>IF(OR(I155="",E155=""),"",IF(E155&lt;=0,"",IFERROR(I155/E155-1,"")))</f>
        <v/>
      </c>
      <c r="J156" s="15">
        <f>IF(OR(J155="",F155=""),"",IF(F155&lt;=0,"",IFERROR(J155/F155-1,"")))</f>
        <v/>
      </c>
      <c r="K156" s="15">
        <f>IF(OR(K155="",G155=""),"",IF(G155&lt;=0,"",IFERROR(K155/G155-1,"")))</f>
        <v/>
      </c>
      <c r="L156" s="15">
        <f>IF(OR(L155="",H155=""),"",IF(H155&lt;=0,"",IFERROR(L155/H155-1,"")))</f>
        <v/>
      </c>
      <c r="M156" s="15">
        <f>IF(OR(M155="",I155=""),"",IF(I155&lt;=0,"",IFERROR(M155/I155-1,"")))</f>
        <v/>
      </c>
      <c r="N156" s="15">
        <f>IF(OR(N155="",J155=""),"",IF(J155&lt;=0,"",IFERROR(N155/J155-1,"")))</f>
        <v/>
      </c>
      <c r="T156" s="15">
        <f>IF(OR(T155="",S155=""),"",IF(S155&lt;=0,"",IFERROR(T155/S155-1,"")))</f>
        <v/>
      </c>
      <c r="U156" s="15">
        <f>IF(OR(U155="",T155=""),"",IF(T155&lt;=0,"",IFERROR(U155/T155-1,"")))</f>
        <v/>
      </c>
      <c r="V156" s="15">
        <f>IF(OR(V155="",U155=""),"",IF(U155&lt;=0,"",IFERROR(V155/U155-1,"")))</f>
        <v/>
      </c>
      <c r="W156" s="15">
        <f>IF(OR(W155="",V155=""),"",IF(V155&lt;=0,"",IFERROR(W155/V155-1,"")))</f>
        <v/>
      </c>
      <c r="X156" s="15">
        <f>IF(OR(X155="",W155=""),"",IF(W155&lt;=0,"",IFERROR(X155/W155-1,"")))</f>
        <v/>
      </c>
    </row>
    <row r="157">
      <c r="A157" s="18" t="inlineStr">
        <is>
          <t>Commission Received ORSEC</t>
        </is>
      </c>
      <c r="T157" s="20" t="n">
        <v>334</v>
      </c>
      <c r="U157" s="20" t="n">
        <v>0</v>
      </c>
    </row>
    <row r="158">
      <c r="A158" s="18" t="inlineStr">
        <is>
          <t>Net Trading Income ORSEC</t>
        </is>
      </c>
      <c r="T158" s="20" t="n">
        <v>314</v>
      </c>
      <c r="U158" s="20" t="n">
        <v>0</v>
      </c>
    </row>
    <row r="159">
      <c r="A159" s="18" t="inlineStr">
        <is>
          <t>금융수익</t>
        </is>
      </c>
      <c r="T159" s="20" t="n">
        <v>104</v>
      </c>
      <c r="U159" s="20" t="n">
        <v>0</v>
      </c>
    </row>
    <row r="161">
      <c r="A161" s="16" t="inlineStr">
        <is>
          <t>포괄손익 · 전 항목</t>
        </is>
      </c>
      <c r="B161" s="42" t="inlineStr">
        <is>
          <t>분기 = 3개월 단독</t>
        </is>
      </c>
      <c r="C161" s="16" t="n"/>
      <c r="D161" s="16" t="n"/>
      <c r="E161" s="16" t="n"/>
      <c r="F161" s="16" t="n"/>
      <c r="G161" s="16" t="n"/>
      <c r="H161" s="16" t="n"/>
      <c r="I161" s="16" t="n"/>
      <c r="J161" s="16" t="n"/>
      <c r="K161" s="16" t="n"/>
      <c r="L161" s="16" t="n"/>
      <c r="M161" s="16" t="n"/>
      <c r="N161" s="16" t="n"/>
      <c r="O161" s="16" t="n"/>
      <c r="P161" s="16" t="n"/>
      <c r="Q161" s="16" t="n"/>
      <c r="R161" s="16" t="n"/>
      <c r="S161" s="16" t="n"/>
      <c r="T161" s="16" t="n"/>
      <c r="U161" s="16" t="n"/>
      <c r="V161" s="16" t="n"/>
      <c r="W161" s="16" t="n"/>
      <c r="X161" s="16" t="n"/>
      <c r="Y161" s="16" t="n"/>
      <c r="Z161" s="16" t="n"/>
      <c r="AA161" s="16" t="n"/>
      <c r="AB161" s="16" t="n"/>
      <c r="AC161" s="16" t="n"/>
    </row>
    <row r="162">
      <c r="A162" s="5" t="inlineStr">
        <is>
          <t>항목</t>
        </is>
      </c>
      <c r="B162" s="5" t="inlineStr">
        <is>
          <t>참고</t>
        </is>
      </c>
      <c r="C162" s="5" t="inlineStr">
        <is>
          <t>2024.2Q</t>
        </is>
      </c>
      <c r="D162" s="5" t="inlineStr">
        <is>
          <t>2024.3Q</t>
        </is>
      </c>
      <c r="E162" s="5" t="inlineStr">
        <is>
          <t>2024.4Q</t>
        </is>
      </c>
      <c r="F162" s="5" t="inlineStr">
        <is>
          <t>2025.1Q</t>
        </is>
      </c>
      <c r="G162" s="5" t="inlineStr">
        <is>
          <t>2025.2Q</t>
        </is>
      </c>
      <c r="H162" s="5" t="inlineStr">
        <is>
          <t>2025.3Q</t>
        </is>
      </c>
      <c r="I162" s="5" t="inlineStr">
        <is>
          <t>2025.4Q</t>
        </is>
      </c>
      <c r="J162" s="5" t="inlineStr">
        <is>
          <t>2026.1Q</t>
        </is>
      </c>
      <c r="K162" s="5" t="inlineStr">
        <is>
          <t>2026.2Q</t>
        </is>
      </c>
      <c r="L162" s="5" t="inlineStr">
        <is>
          <t>2026.3Q</t>
        </is>
      </c>
      <c r="M162" s="5" t="inlineStr">
        <is>
          <t>2026.4Q</t>
        </is>
      </c>
      <c r="N162" s="5" t="inlineStr">
        <is>
          <t>2027.1Q</t>
        </is>
      </c>
      <c r="O162" s="5" t="inlineStr">
        <is>
          <t>2017</t>
        </is>
      </c>
      <c r="P162" s="5" t="inlineStr">
        <is>
          <t>2018</t>
        </is>
      </c>
      <c r="Q162" s="5" t="inlineStr">
        <is>
          <t>2019</t>
        </is>
      </c>
      <c r="R162" s="5" t="inlineStr">
        <is>
          <t>2020</t>
        </is>
      </c>
      <c r="S162" s="5" t="inlineStr">
        <is>
          <t>2021</t>
        </is>
      </c>
      <c r="T162" s="5" t="inlineStr">
        <is>
          <t>2022</t>
        </is>
      </c>
      <c r="U162" s="5" t="inlineStr">
        <is>
          <t>2023</t>
        </is>
      </c>
      <c r="V162" s="5" t="inlineStr">
        <is>
          <t>2024</t>
        </is>
      </c>
      <c r="W162" s="5" t="inlineStr">
        <is>
          <t>2025</t>
        </is>
      </c>
      <c r="X162" s="5" t="inlineStr">
        <is>
          <t>2026</t>
        </is>
      </c>
      <c r="Y162" s="5" t="inlineStr">
        <is>
          <t>2027(MW)</t>
        </is>
      </c>
      <c r="Z162" s="5" t="inlineStr">
        <is>
          <t>2028(MW)</t>
        </is>
      </c>
      <c r="AA162" s="5" t="inlineStr">
        <is>
          <t>2029(MW)</t>
        </is>
      </c>
      <c r="AB162" s="5" t="inlineStr">
        <is>
          <t>2030(MW)</t>
        </is>
      </c>
      <c r="AC162" s="5" t="inlineStr">
        <is>
          <t>2031(MW)</t>
        </is>
      </c>
    </row>
    <row r="163">
      <c r="A163" s="9" t="inlineStr">
        <is>
          <t>순이익</t>
        </is>
      </c>
      <c r="C163" s="12" t="n">
        <v>2440</v>
      </c>
      <c r="D163" s="12" t="n">
        <v>2356</v>
      </c>
      <c r="E163" s="12" t="n">
        <v>2749</v>
      </c>
      <c r="F163" s="12" t="n">
        <v>3052</v>
      </c>
      <c r="G163" s="12" t="n">
        <v>2379</v>
      </c>
      <c r="H163" s="12" t="n">
        <v>3913</v>
      </c>
      <c r="I163" s="12" t="n">
        <v>2474</v>
      </c>
      <c r="J163" s="12" t="n">
        <v>3721</v>
      </c>
      <c r="K163" s="12" t="n">
        <v>3513</v>
      </c>
      <c r="L163" s="12" t="n">
        <v>3853</v>
      </c>
      <c r="M163" s="12" t="n">
        <v>3647</v>
      </c>
      <c r="N163" s="12" t="n">
        <v>3163</v>
      </c>
      <c r="T163" s="12" t="n">
        <v>3574</v>
      </c>
      <c r="U163" s="12" t="n">
        <v>1531</v>
      </c>
      <c r="V163" s="12" t="n">
        <v>2749</v>
      </c>
      <c r="W163" s="12" t="n">
        <v>2474</v>
      </c>
      <c r="X163" s="12" t="n">
        <v>3647</v>
      </c>
    </row>
    <row r="164">
      <c r="A164" s="18" t="inlineStr">
        <is>
          <t>기타유가증권 평가차액</t>
        </is>
      </c>
      <c r="C164" s="20" t="n">
        <v>261</v>
      </c>
      <c r="D164" s="20" t="n">
        <v>28</v>
      </c>
      <c r="E164" s="20" t="n">
        <v>1151</v>
      </c>
      <c r="F164" s="20" t="n">
        <v>-381</v>
      </c>
      <c r="G164" s="20" t="n">
        <v>-794</v>
      </c>
      <c r="H164" s="20" t="n">
        <v>514</v>
      </c>
      <c r="I164" s="20" t="n">
        <v>-602</v>
      </c>
      <c r="J164" s="20" t="n">
        <v>10</v>
      </c>
      <c r="K164" s="20" t="n">
        <v>137</v>
      </c>
      <c r="L164" s="20" t="n">
        <v>-52</v>
      </c>
      <c r="M164" s="20" t="n">
        <v>18</v>
      </c>
      <c r="N164" s="20" t="n">
        <v>-18</v>
      </c>
      <c r="T164" s="20" t="n">
        <v>-603</v>
      </c>
      <c r="U164" s="20" t="n">
        <v>248</v>
      </c>
      <c r="V164" s="20" t="n">
        <v>1151</v>
      </c>
      <c r="W164" s="20" t="n">
        <v>-602</v>
      </c>
      <c r="X164" s="20" t="n">
        <v>18</v>
      </c>
    </row>
    <row r="165">
      <c r="A165" s="18" t="inlineStr">
        <is>
          <t>이연헤지손익</t>
        </is>
      </c>
      <c r="C165" s="20" t="n">
        <v>-9</v>
      </c>
      <c r="D165" s="20" t="n">
        <v>-3</v>
      </c>
      <c r="E165" s="20" t="n">
        <v>-20</v>
      </c>
      <c r="F165" s="20" t="n">
        <v>-5</v>
      </c>
      <c r="G165" s="20" t="n">
        <v>-7</v>
      </c>
      <c r="H165" s="20" t="n">
        <v>-2</v>
      </c>
      <c r="I165" s="20" t="n">
        <v>7</v>
      </c>
      <c r="J165" s="20" t="n">
        <v>11</v>
      </c>
      <c r="K165" s="20" t="n">
        <v>0</v>
      </c>
      <c r="L165" s="20" t="n">
        <v>5</v>
      </c>
      <c r="M165" s="20" t="n">
        <v>1</v>
      </c>
      <c r="N165" s="20" t="n">
        <v>1</v>
      </c>
      <c r="T165" s="20" t="n">
        <v>-39</v>
      </c>
      <c r="U165" s="20" t="n">
        <v>-128</v>
      </c>
      <c r="V165" s="20" t="n">
        <v>-20</v>
      </c>
      <c r="W165" s="20" t="n">
        <v>7</v>
      </c>
      <c r="X165" s="20" t="n">
        <v>1</v>
      </c>
    </row>
    <row r="166">
      <c r="A166" s="18" t="inlineStr">
        <is>
          <t>해외사업환산조정</t>
        </is>
      </c>
      <c r="C166" s="20" t="n">
        <v>-540</v>
      </c>
      <c r="D166" s="20" t="n">
        <v>-113</v>
      </c>
      <c r="E166" s="20" t="n">
        <v>236</v>
      </c>
      <c r="F166" s="20" t="n">
        <v>-618</v>
      </c>
      <c r="G166" s="20" t="n">
        <v>-341</v>
      </c>
      <c r="H166" s="20" t="n">
        <v>897</v>
      </c>
      <c r="I166" s="20" t="n">
        <v>-681</v>
      </c>
      <c r="J166" s="20" t="n">
        <v>801</v>
      </c>
      <c r="K166" s="20" t="n">
        <v>468</v>
      </c>
      <c r="L166" s="20" t="n">
        <v>-184</v>
      </c>
      <c r="M166" s="20" t="n">
        <v>-613</v>
      </c>
      <c r="N166" s="20" t="n">
        <v>-163</v>
      </c>
      <c r="T166" s="20" t="n">
        <v>1099</v>
      </c>
      <c r="U166" s="20" t="n">
        <v>-6277</v>
      </c>
      <c r="V166" s="20" t="n">
        <v>236</v>
      </c>
      <c r="W166" s="20" t="n">
        <v>-681</v>
      </c>
      <c r="X166" s="20" t="n">
        <v>-613</v>
      </c>
    </row>
    <row r="167">
      <c r="A167" s="18" t="inlineStr">
        <is>
          <t>지분법 적용회사 지분 해당액</t>
        </is>
      </c>
      <c r="C167" s="20" t="n">
        <v>3630</v>
      </c>
      <c r="D167" s="20" t="n">
        <v>687</v>
      </c>
      <c r="E167" s="20" t="n">
        <v>-1409</v>
      </c>
      <c r="F167" s="20" t="n">
        <v>3762</v>
      </c>
      <c r="G167" s="20" t="n">
        <v>3126</v>
      </c>
      <c r="H167" s="20" t="n">
        <v>-6118</v>
      </c>
      <c r="I167" s="20" t="n">
        <v>4012</v>
      </c>
      <c r="J167" s="20" t="n">
        <v>-3834</v>
      </c>
      <c r="K167" s="20" t="n">
        <v>-2603</v>
      </c>
      <c r="L167" s="20" t="n">
        <v>1059</v>
      </c>
      <c r="M167" s="20" t="n">
        <v>4122</v>
      </c>
      <c r="N167" s="20" t="n">
        <v>802</v>
      </c>
      <c r="T167" s="20" t="n">
        <v>26</v>
      </c>
      <c r="U167" s="20" t="n">
        <v>-618</v>
      </c>
      <c r="V167" s="20" t="n">
        <v>-1409</v>
      </c>
      <c r="W167" s="20" t="n">
        <v>4012</v>
      </c>
      <c r="X167" s="20" t="n">
        <v>4122</v>
      </c>
    </row>
    <row r="168">
      <c r="A168" s="18" t="inlineStr">
        <is>
          <t>기타포괄손익 합계</t>
        </is>
      </c>
      <c r="C168" s="20" t="n">
        <v>3342</v>
      </c>
      <c r="D168" s="20" t="n">
        <v>599</v>
      </c>
      <c r="E168" s="20" t="n">
        <v>-41</v>
      </c>
      <c r="F168" s="20" t="n">
        <v>2757</v>
      </c>
      <c r="G168" s="20" t="n">
        <v>1983</v>
      </c>
      <c r="H168" s="20" t="n">
        <v>-4708</v>
      </c>
      <c r="I168" s="20" t="n">
        <v>2735</v>
      </c>
      <c r="J168" s="20" t="n">
        <v>-3011</v>
      </c>
      <c r="K168" s="20" t="n">
        <v>-1997</v>
      </c>
      <c r="L168" s="20" t="n">
        <v>827</v>
      </c>
      <c r="M168" s="20" t="n">
        <v>3529</v>
      </c>
      <c r="N168" s="20" t="n">
        <v>621</v>
      </c>
      <c r="T168" s="20" t="n">
        <v>483</v>
      </c>
      <c r="U168" s="20" t="n">
        <v>-6775</v>
      </c>
      <c r="V168" s="20" t="n">
        <v>-41</v>
      </c>
      <c r="W168" s="20" t="n">
        <v>2735</v>
      </c>
      <c r="X168" s="20" t="n">
        <v>3529</v>
      </c>
    </row>
    <row r="169">
      <c r="A169" s="9" t="inlineStr">
        <is>
          <t>포괄이익</t>
        </is>
      </c>
      <c r="C169" s="12" t="n">
        <v>5784</v>
      </c>
      <c r="D169" s="12" t="n">
        <v>2954</v>
      </c>
      <c r="E169" s="12" t="n">
        <v>2709</v>
      </c>
      <c r="F169" s="12" t="n">
        <v>5809</v>
      </c>
      <c r="G169" s="12" t="n">
        <v>4363</v>
      </c>
      <c r="H169" s="12" t="n">
        <v>-796</v>
      </c>
      <c r="I169" s="12" t="n">
        <v>5209</v>
      </c>
      <c r="J169" s="12" t="n">
        <v>710</v>
      </c>
      <c r="K169" s="12" t="n">
        <v>1515</v>
      </c>
      <c r="L169" s="12" t="n">
        <v>4681</v>
      </c>
      <c r="M169" s="12" t="n">
        <v>7175</v>
      </c>
      <c r="N169" s="12" t="n">
        <v>3785</v>
      </c>
      <c r="T169" s="12" t="n">
        <v>4057</v>
      </c>
      <c r="U169" s="12" t="n">
        <v>-5246</v>
      </c>
      <c r="V169" s="12" t="n">
        <v>2709</v>
      </c>
      <c r="W169" s="12" t="n">
        <v>5209</v>
      </c>
      <c r="X169" s="12" t="n">
        <v>7175</v>
      </c>
    </row>
    <row r="170">
      <c r="A170" s="9" t="inlineStr">
        <is>
          <t>지배주주 포괄이익</t>
        </is>
      </c>
      <c r="C170" s="12" t="n">
        <v>5737</v>
      </c>
      <c r="D170" s="12" t="n">
        <v>2912</v>
      </c>
      <c r="E170" s="12" t="n">
        <v>2717</v>
      </c>
      <c r="F170" s="12" t="n">
        <v>5793</v>
      </c>
      <c r="G170" s="12" t="n">
        <v>4247</v>
      </c>
      <c r="H170" s="12" t="n">
        <v>-736</v>
      </c>
      <c r="I170" s="12" t="n">
        <v>5499</v>
      </c>
      <c r="J170" s="12" t="n">
        <v>653</v>
      </c>
      <c r="K170" s="12" t="n">
        <v>1610</v>
      </c>
      <c r="L170" s="12" t="n">
        <v>4695</v>
      </c>
      <c r="M170" s="12" t="n">
        <v>7066</v>
      </c>
      <c r="N170" s="12" t="n">
        <v>3764</v>
      </c>
      <c r="T170" s="12" t="n">
        <v>2659</v>
      </c>
      <c r="U170" s="12" t="n">
        <v>-3725</v>
      </c>
      <c r="V170" s="12" t="n">
        <v>2717</v>
      </c>
      <c r="W170" s="12" t="n">
        <v>5499</v>
      </c>
      <c r="X170" s="12" t="n">
        <v>7066</v>
      </c>
    </row>
    <row r="171">
      <c r="A171" s="9" t="inlineStr">
        <is>
          <t>비지배주주 포괄이익</t>
        </is>
      </c>
      <c r="C171" s="12" t="n">
        <v>46</v>
      </c>
      <c r="D171" s="12" t="n">
        <v>43</v>
      </c>
      <c r="E171" s="12" t="n">
        <v>-9</v>
      </c>
      <c r="F171" s="12" t="n">
        <v>15</v>
      </c>
      <c r="G171" s="12" t="n">
        <v>116</v>
      </c>
      <c r="H171" s="12" t="n">
        <v>-59</v>
      </c>
      <c r="I171" s="12" t="n">
        <v>-289</v>
      </c>
      <c r="J171" s="12" t="n">
        <v>57</v>
      </c>
      <c r="K171" s="12" t="n">
        <v>-94</v>
      </c>
      <c r="L171" s="12" t="n">
        <v>-14</v>
      </c>
      <c r="M171" s="12" t="n">
        <v>107</v>
      </c>
      <c r="N171" s="12" t="n">
        <v>20</v>
      </c>
      <c r="T171" s="12" t="n">
        <v>1398</v>
      </c>
      <c r="U171" s="12" t="n">
        <v>-1520</v>
      </c>
      <c r="V171" s="12" t="n">
        <v>-9</v>
      </c>
      <c r="W171" s="12" t="n">
        <v>-289</v>
      </c>
      <c r="X171" s="12" t="n">
        <v>107</v>
      </c>
    </row>
    <row r="173">
      <c r="A173" s="16" t="inlineStr">
        <is>
          <t>부문 · 전 항목</t>
        </is>
      </c>
      <c r="B173" s="42" t="inlineStr">
        <is>
          <t>부문 · 항목</t>
        </is>
      </c>
      <c r="C173" s="16" t="n"/>
      <c r="D173" s="16" t="n"/>
      <c r="E173" s="16" t="n"/>
      <c r="F173" s="16" t="n"/>
      <c r="G173" s="16" t="n"/>
      <c r="H173" s="16" t="n"/>
      <c r="I173" s="16" t="n"/>
      <c r="J173" s="16" t="n"/>
      <c r="K173" s="16" t="n"/>
      <c r="L173" s="16" t="n"/>
      <c r="M173" s="16" t="n"/>
      <c r="N173" s="16" t="n"/>
      <c r="O173" s="16" t="n"/>
      <c r="P173" s="16" t="n"/>
      <c r="Q173" s="16" t="n"/>
      <c r="R173" s="16" t="n"/>
      <c r="S173" s="16" t="n"/>
      <c r="T173" s="16" t="n"/>
      <c r="U173" s="16" t="n"/>
      <c r="V173" s="16" t="n"/>
      <c r="W173" s="16" t="n"/>
      <c r="X173" s="16" t="n"/>
      <c r="Y173" s="16" t="n"/>
      <c r="Z173" s="16" t="n"/>
      <c r="AA173" s="16" t="n"/>
      <c r="AB173" s="16" t="n"/>
      <c r="AC173" s="16" t="n"/>
    </row>
    <row r="174">
      <c r="A174" s="5" t="inlineStr">
        <is>
          <t>항목</t>
        </is>
      </c>
      <c r="B174" s="5" t="inlineStr">
        <is>
          <t>참고</t>
        </is>
      </c>
      <c r="C174" s="5" t="inlineStr">
        <is>
          <t>2024.2Q</t>
        </is>
      </c>
      <c r="D174" s="5" t="inlineStr">
        <is>
          <t>2024.3Q</t>
        </is>
      </c>
      <c r="E174" s="5" t="inlineStr">
        <is>
          <t>2024.4Q</t>
        </is>
      </c>
      <c r="F174" s="5" t="inlineStr">
        <is>
          <t>2025.1Q</t>
        </is>
      </c>
      <c r="G174" s="5" t="inlineStr">
        <is>
          <t>2025.2Q</t>
        </is>
      </c>
      <c r="H174" s="5" t="inlineStr">
        <is>
          <t>2025.3Q</t>
        </is>
      </c>
      <c r="I174" s="5" t="inlineStr">
        <is>
          <t>2025.4Q</t>
        </is>
      </c>
      <c r="J174" s="5" t="inlineStr">
        <is>
          <t>2026.1Q</t>
        </is>
      </c>
      <c r="K174" s="5" t="inlineStr">
        <is>
          <t>2026.2Q</t>
        </is>
      </c>
      <c r="L174" s="5" t="inlineStr">
        <is>
          <t>2026.3Q</t>
        </is>
      </c>
      <c r="M174" s="5" t="inlineStr">
        <is>
          <t>2026.4Q</t>
        </is>
      </c>
      <c r="N174" s="5" t="inlineStr">
        <is>
          <t>2027.1Q</t>
        </is>
      </c>
      <c r="O174" s="5" t="inlineStr">
        <is>
          <t>2017</t>
        </is>
      </c>
      <c r="P174" s="5" t="inlineStr">
        <is>
          <t>2018</t>
        </is>
      </c>
      <c r="Q174" s="5" t="inlineStr">
        <is>
          <t>2019</t>
        </is>
      </c>
      <c r="R174" s="5" t="inlineStr">
        <is>
          <t>2020</t>
        </is>
      </c>
      <c r="S174" s="5" t="inlineStr">
        <is>
          <t>2021</t>
        </is>
      </c>
      <c r="T174" s="5" t="inlineStr">
        <is>
          <t>2022</t>
        </is>
      </c>
      <c r="U174" s="5" t="inlineStr">
        <is>
          <t>2023</t>
        </is>
      </c>
      <c r="V174" s="5" t="inlineStr">
        <is>
          <t>2024</t>
        </is>
      </c>
      <c r="W174" s="5" t="inlineStr">
        <is>
          <t>2025</t>
        </is>
      </c>
      <c r="X174" s="5" t="inlineStr">
        <is>
          <t>2026</t>
        </is>
      </c>
      <c r="Y174" s="5" t="inlineStr">
        <is>
          <t>2027(MW)</t>
        </is>
      </c>
      <c r="Z174" s="5" t="inlineStr">
        <is>
          <t>2028(MW)</t>
        </is>
      </c>
      <c r="AA174" s="5" t="inlineStr">
        <is>
          <t>2029(MW)</t>
        </is>
      </c>
      <c r="AB174" s="5" t="inlineStr">
        <is>
          <t>2030(MW)</t>
        </is>
      </c>
      <c r="AC174" s="5" t="inlineStr">
        <is>
          <t>2031(MW)</t>
        </is>
      </c>
    </row>
    <row r="175">
      <c r="A175" s="18" t="inlineStr">
        <is>
          <t>BankingBusinessReportableSegmentMember · Revenues From External Customers</t>
        </is>
      </c>
      <c r="C175" s="20" t="n">
        <v>501</v>
      </c>
      <c r="D175" s="20" t="n">
        <v>560</v>
      </c>
      <c r="E175" s="20" t="n">
        <v>679</v>
      </c>
      <c r="F175" s="20" t="n">
        <v>738</v>
      </c>
      <c r="G175" s="20" t="n">
        <v>866</v>
      </c>
      <c r="H175" s="20" t="n">
        <v>614</v>
      </c>
      <c r="I175" s="20" t="n">
        <v>690</v>
      </c>
      <c r="J175" s="20" t="n">
        <v>663</v>
      </c>
      <c r="K175" s="20" t="n">
        <v>594</v>
      </c>
      <c r="L175" s="20" t="n">
        <v>602</v>
      </c>
      <c r="M175" s="20" t="n">
        <v>756</v>
      </c>
      <c r="N175" s="20" t="n">
        <v>747</v>
      </c>
      <c r="V175" s="20" t="n">
        <v>679</v>
      </c>
      <c r="W175" s="20" t="n">
        <v>690</v>
      </c>
      <c r="X175" s="20" t="n">
        <v>756</v>
      </c>
    </row>
    <row r="176">
      <c r="A176" s="43" t="inlineStr">
        <is>
          <t>YoY</t>
        </is>
      </c>
      <c r="B176" s="3" t="inlineStr">
        <is>
          <t>전년 같은 분기·전년 대비</t>
        </is>
      </c>
      <c r="G176" s="15">
        <f>IF(OR(G175="",C175=""),"",IF(C175&lt;=0,"",IFERROR(G175/C175-1,"")))</f>
        <v/>
      </c>
      <c r="H176" s="15">
        <f>IF(OR(H175="",D175=""),"",IF(D175&lt;=0,"",IFERROR(H175/D175-1,"")))</f>
        <v/>
      </c>
      <c r="I176" s="15">
        <f>IF(OR(I175="",E175=""),"",IF(E175&lt;=0,"",IFERROR(I175/E175-1,"")))</f>
        <v/>
      </c>
      <c r="J176" s="15">
        <f>IF(OR(J175="",F175=""),"",IF(F175&lt;=0,"",IFERROR(J175/F175-1,"")))</f>
        <v/>
      </c>
      <c r="K176" s="15">
        <f>IF(OR(K175="",G175=""),"",IF(G175&lt;=0,"",IFERROR(K175/G175-1,"")))</f>
        <v/>
      </c>
      <c r="L176" s="15">
        <f>IF(OR(L175="",H175=""),"",IF(H175&lt;=0,"",IFERROR(L175/H175-1,"")))</f>
        <v/>
      </c>
      <c r="M176" s="15">
        <f>IF(OR(M175="",I175=""),"",IF(I175&lt;=0,"",IFERROR(M175/I175-1,"")))</f>
        <v/>
      </c>
      <c r="N176" s="15">
        <f>IF(OR(N175="",J175=""),"",IF(J175&lt;=0,"",IFERROR(N175/J175-1,"")))</f>
        <v/>
      </c>
      <c r="V176" s="15">
        <f>IF(OR(V175="",U175=""),"",IF(U175&lt;=0,"",IFERROR(V175/U175-1,"")))</f>
        <v/>
      </c>
      <c r="W176" s="15">
        <f>IF(OR(W175="",V175=""),"",IF(V175&lt;=0,"",IFERROR(W175/V175-1,"")))</f>
        <v/>
      </c>
      <c r="X176" s="15">
        <f>IF(OR(X175="",W175=""),"",IF(W175&lt;=0,"",IFERROR(X175/W175-1,"")))</f>
        <v/>
      </c>
    </row>
    <row r="177">
      <c r="A177" s="18" t="inlineStr">
        <is>
          <t>ReuseBusinessReportableSegmentMember · Revenues From External Customers</t>
        </is>
      </c>
      <c r="C177" s="20" t="n">
        <v>6657</v>
      </c>
      <c r="D177" s="20" t="n">
        <v>7624</v>
      </c>
      <c r="E177" s="20" t="n">
        <v>7874</v>
      </c>
      <c r="F177" s="20" t="n">
        <v>8386</v>
      </c>
      <c r="G177" s="20" t="n">
        <v>8752</v>
      </c>
      <c r="H177" s="20" t="n">
        <v>8455</v>
      </c>
      <c r="I177" s="20" t="n">
        <v>9252</v>
      </c>
      <c r="J177" s="20" t="n">
        <v>8955</v>
      </c>
      <c r="K177" s="20" t="n">
        <v>14921</v>
      </c>
      <c r="L177" s="20" t="n">
        <v>15588</v>
      </c>
      <c r="M177" s="20" t="n">
        <v>15785</v>
      </c>
      <c r="N177" s="20" t="n">
        <v>16190</v>
      </c>
      <c r="V177" s="20" t="n">
        <v>7874</v>
      </c>
      <c r="W177" s="20" t="n">
        <v>9252</v>
      </c>
      <c r="X177" s="20" t="n">
        <v>15785</v>
      </c>
    </row>
    <row r="178">
      <c r="A178" s="43" t="inlineStr">
        <is>
          <t>YoY</t>
        </is>
      </c>
      <c r="B178" s="3" t="inlineStr">
        <is>
          <t>전년 같은 분기·전년 대비</t>
        </is>
      </c>
      <c r="G178" s="15">
        <f>IF(OR(G177="",C177=""),"",IF(C177&lt;=0,"",IFERROR(G177/C177-1,"")))</f>
        <v/>
      </c>
      <c r="H178" s="15">
        <f>IF(OR(H177="",D177=""),"",IF(D177&lt;=0,"",IFERROR(H177/D177-1,"")))</f>
        <v/>
      </c>
      <c r="I178" s="15">
        <f>IF(OR(I177="",E177=""),"",IF(E177&lt;=0,"",IFERROR(I177/E177-1,"")))</f>
        <v/>
      </c>
      <c r="J178" s="15">
        <f>IF(OR(J177="",F177=""),"",IF(F177&lt;=0,"",IFERROR(J177/F177-1,"")))</f>
        <v/>
      </c>
      <c r="K178" s="15">
        <f>IF(OR(K177="",G177=""),"",IF(G177&lt;=0,"",IFERROR(K177/G177-1,"")))</f>
        <v/>
      </c>
      <c r="L178" s="15">
        <f>IF(OR(L177="",H177=""),"",IF(H177&lt;=0,"",IFERROR(L177/H177-1,"")))</f>
        <v/>
      </c>
      <c r="M178" s="15">
        <f>IF(OR(M177="",I177=""),"",IF(I177&lt;=0,"",IFERROR(M177/I177-1,"")))</f>
        <v/>
      </c>
      <c r="N178" s="15">
        <f>IF(OR(N177="",J177=""),"",IF(J177&lt;=0,"",IFERROR(N177/J177-1,"")))</f>
        <v/>
      </c>
      <c r="V178" s="15">
        <f>IF(OR(V177="",U177=""),"",IF(U177&lt;=0,"",IFERROR(V177/U177-1,"")))</f>
        <v/>
      </c>
      <c r="W178" s="15">
        <f>IF(OR(W177="",V177=""),"",IF(V177&lt;=0,"",IFERROR(W177/V177-1,"")))</f>
        <v/>
      </c>
      <c r="X178" s="15">
        <f>IF(OR(X177="",W177=""),"",IF(W177&lt;=0,"",IFERROR(X177/W177-1,"")))</f>
        <v/>
      </c>
    </row>
    <row r="179">
      <c r="A179" s="18" t="inlineStr">
        <is>
          <t>OtherReportableSegmentsMember · Revenues From External Customers</t>
        </is>
      </c>
      <c r="C179" s="20" t="n">
        <v>3</v>
      </c>
      <c r="D179" s="20" t="n">
        <v>4</v>
      </c>
      <c r="F179" s="20" t="n">
        <v>2</v>
      </c>
      <c r="G179" s="20" t="n">
        <v>3</v>
      </c>
      <c r="H179" s="20" t="n">
        <v>3</v>
      </c>
      <c r="J179" s="20" t="n">
        <v>3</v>
      </c>
      <c r="K179" s="20" t="n">
        <v>3</v>
      </c>
      <c r="L179" s="20" t="n">
        <v>4</v>
      </c>
      <c r="N179" s="20" t="n">
        <v>4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N180" s="15">
        <f>IF(OR(N179="",J179=""),"",IF(J179&lt;=0,"",IFERROR(N179/J179-1,"")))</f>
        <v/>
      </c>
    </row>
    <row r="181">
      <c r="A181" s="18" t="inlineStr">
        <is>
          <t>보고부문 합계 · Revenues From External Customers</t>
        </is>
      </c>
      <c r="C181" s="20" t="n">
        <v>7162</v>
      </c>
      <c r="D181" s="20" t="n">
        <v>8187</v>
      </c>
      <c r="E181" s="20" t="n">
        <v>8554</v>
      </c>
      <c r="F181" s="20" t="n">
        <v>9127</v>
      </c>
      <c r="G181" s="20" t="n">
        <v>9622</v>
      </c>
      <c r="H181" s="20" t="n">
        <v>9071</v>
      </c>
      <c r="I181" s="20" t="n">
        <v>9946</v>
      </c>
      <c r="J181" s="20" t="n">
        <v>9622</v>
      </c>
      <c r="K181" s="20" t="n">
        <v>15518</v>
      </c>
      <c r="L181" s="20" t="n">
        <v>16194</v>
      </c>
      <c r="M181" s="20" t="n">
        <v>16545</v>
      </c>
      <c r="N181" s="20" t="n">
        <v>16941</v>
      </c>
      <c r="V181" s="20" t="n">
        <v>8554</v>
      </c>
      <c r="W181" s="20" t="n">
        <v>9946</v>
      </c>
      <c r="X181" s="20" t="n">
        <v>16545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G182" s="15">
        <f>IF(OR(G181="",C181=""),"",IF(C181&lt;=0,"",IFERROR(G181/C181-1,"")))</f>
        <v/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J182" s="15">
        <f>IF(OR(J181="",F181=""),"",IF(F181&lt;=0,"",IFERROR(J181/F181-1,"")))</f>
        <v/>
      </c>
      <c r="K182" s="15">
        <f>IF(OR(K181="",G181=""),"",IF(G181&lt;=0,"",IFERROR(K181/G181-1,"")))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N182" s="15">
        <f>IF(OR(N181="",J181=""),"",IF(J181&lt;=0,"",IFERROR(N181/J181-1,"")))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조정액 · Revenues From External Customers</t>
        </is>
      </c>
      <c r="C183" s="20" t="n">
        <v>0</v>
      </c>
      <c r="D183" s="20" t="n">
        <v>0</v>
      </c>
      <c r="E183" s="20" t="n">
        <v>0</v>
      </c>
      <c r="F183" s="20" t="n">
        <v>0</v>
      </c>
      <c r="G183" s="20" t="n">
        <v>0</v>
      </c>
      <c r="H183" s="20" t="n">
        <v>0</v>
      </c>
      <c r="I183" s="20" t="n">
        <v>0</v>
      </c>
      <c r="J183" s="20" t="n">
        <v>0</v>
      </c>
      <c r="K183" s="20" t="n">
        <v>0</v>
      </c>
      <c r="L183" s="20" t="n">
        <v>0</v>
      </c>
      <c r="M183" s="20" t="n">
        <v>0</v>
      </c>
      <c r="N183" s="20" t="n">
        <v>0</v>
      </c>
      <c r="V183" s="20" t="n">
        <v>0</v>
      </c>
      <c r="W183" s="20" t="n">
        <v>0</v>
      </c>
      <c r="X183" s="20" t="n">
        <v>0</v>
      </c>
    </row>
    <row r="184">
      <c r="A184" s="9" t="inlineStr">
        <is>
          <t>Revenues From External Customers</t>
        </is>
      </c>
      <c r="C184" s="12" t="n">
        <v>7162</v>
      </c>
      <c r="D184" s="12" t="n">
        <v>8187</v>
      </c>
      <c r="E184" s="12" t="n">
        <v>8554</v>
      </c>
      <c r="F184" s="12" t="n">
        <v>9127</v>
      </c>
      <c r="G184" s="12" t="n">
        <v>9622</v>
      </c>
      <c r="H184" s="12" t="n">
        <v>9071</v>
      </c>
      <c r="I184" s="12" t="n">
        <v>9946</v>
      </c>
      <c r="V184" s="12" t="n">
        <v>8554</v>
      </c>
      <c r="W184" s="12" t="n">
        <v>9946</v>
      </c>
    </row>
    <row r="185">
      <c r="A185" s="43" t="inlineStr">
        <is>
          <t>YoY</t>
        </is>
      </c>
      <c r="B185" s="3" t="inlineStr">
        <is>
          <t>전년 같은 분기·전년 대비</t>
        </is>
      </c>
      <c r="G185" s="15">
        <f>IF(OR(G184="",C184=""),"",IF(C184&lt;=0,"",IFERROR(G184/C184-1,"")))</f>
        <v/>
      </c>
      <c r="H185" s="15">
        <f>IF(OR(H184="",D184=""),"",IF(D184&lt;=0,"",IFERROR(H184/D184-1,"")))</f>
        <v/>
      </c>
      <c r="I185" s="15">
        <f>IF(OR(I184="",E184=""),"",IF(E184&lt;=0,"",IFERROR(I184/E184-1,"")))</f>
        <v/>
      </c>
      <c r="V185" s="15">
        <f>IF(OR(V184="",U184=""),"",IF(U184&lt;=0,"",IFERROR(V184/U184-1,"")))</f>
        <v/>
      </c>
      <c r="W185" s="15">
        <f>IF(OR(W184="",V184=""),"",IF(V184&lt;=0,"",IFERROR(W184/V184-1,"")))</f>
        <v/>
      </c>
    </row>
    <row r="186">
      <c r="A186" s="18" t="inlineStr">
        <is>
          <t>EntityTotalMember · Revenues From External Customers</t>
        </is>
      </c>
      <c r="F186" s="20" t="n">
        <v>9127</v>
      </c>
      <c r="J186" s="20" t="n">
        <v>9622</v>
      </c>
      <c r="N186" s="20" t="n">
        <v>16941</v>
      </c>
    </row>
    <row r="187">
      <c r="A187" s="18" t="inlineStr">
        <is>
          <t>BankingBusinessReportableSegmentMember · Transactions With Other Segments</t>
        </is>
      </c>
      <c r="C187" s="20" t="n">
        <v>0</v>
      </c>
      <c r="D187" s="20" t="n">
        <v>0</v>
      </c>
      <c r="E187" s="20" t="n">
        <v>0</v>
      </c>
      <c r="F187" s="20" t="n">
        <v>0</v>
      </c>
      <c r="G187" s="20" t="n">
        <v>0</v>
      </c>
      <c r="H187" s="20" t="n">
        <v>0</v>
      </c>
      <c r="I187" s="20" t="n">
        <v>0</v>
      </c>
      <c r="J187" s="20" t="n">
        <v>0</v>
      </c>
      <c r="K187" s="20" t="n">
        <v>0</v>
      </c>
      <c r="L187" s="20" t="n">
        <v>0</v>
      </c>
      <c r="M187" s="20" t="n">
        <v>0</v>
      </c>
      <c r="N187" s="20" t="n">
        <v>0</v>
      </c>
      <c r="V187" s="20" t="n">
        <v>0</v>
      </c>
      <c r="W187" s="20" t="n">
        <v>0</v>
      </c>
      <c r="X187" s="20" t="n">
        <v>0</v>
      </c>
    </row>
    <row r="188">
      <c r="A188" s="18" t="inlineStr">
        <is>
          <t>ReuseBusinessReportableSegmentMember · Transactions With Other Segments</t>
        </is>
      </c>
      <c r="C188" s="20" t="n">
        <v>0</v>
      </c>
      <c r="D188" s="20" t="n">
        <v>0</v>
      </c>
      <c r="E188" s="20" t="n">
        <v>0</v>
      </c>
      <c r="F188" s="20" t="n">
        <v>0</v>
      </c>
      <c r="G188" s="20" t="n">
        <v>0</v>
      </c>
      <c r="H188" s="20" t="n">
        <v>0</v>
      </c>
      <c r="I188" s="20" t="n">
        <v>0</v>
      </c>
      <c r="J188" s="20" t="n">
        <v>0</v>
      </c>
      <c r="K188" s="20" t="n">
        <v>0</v>
      </c>
      <c r="L188" s="20" t="n">
        <v>0</v>
      </c>
      <c r="M188" s="20" t="n">
        <v>1</v>
      </c>
      <c r="N188" s="20" t="n">
        <v>0</v>
      </c>
      <c r="V188" s="20" t="n">
        <v>0</v>
      </c>
      <c r="W188" s="20" t="n">
        <v>0</v>
      </c>
      <c r="X188" s="20" t="n">
        <v>1</v>
      </c>
    </row>
    <row r="189">
      <c r="A189" s="18" t="inlineStr">
        <is>
          <t>OtherReportableSegmentsMember · Transactions With Other Segments</t>
        </is>
      </c>
      <c r="C189" s="20" t="n">
        <v>1</v>
      </c>
      <c r="D189" s="20" t="n">
        <v>0</v>
      </c>
      <c r="F189" s="20" t="n">
        <v>6170</v>
      </c>
      <c r="G189" s="20" t="n">
        <v>1</v>
      </c>
      <c r="H189" s="20" t="n">
        <v>0</v>
      </c>
      <c r="J189" s="20" t="n">
        <v>7473</v>
      </c>
      <c r="K189" s="20" t="n">
        <v>0</v>
      </c>
      <c r="L189" s="20" t="n">
        <v>0</v>
      </c>
      <c r="N189" s="20" t="n">
        <v>0</v>
      </c>
    </row>
    <row r="190">
      <c r="A190" s="18" t="inlineStr">
        <is>
          <t>보고부문 합계 · Transactions With Other Segments</t>
        </is>
      </c>
      <c r="C190" s="20" t="n">
        <v>1</v>
      </c>
      <c r="D190" s="20" t="n">
        <v>0</v>
      </c>
      <c r="E190" s="20" t="n">
        <v>0</v>
      </c>
      <c r="F190" s="20" t="n">
        <v>6170</v>
      </c>
      <c r="G190" s="20" t="n">
        <v>1</v>
      </c>
      <c r="H190" s="20" t="n">
        <v>0</v>
      </c>
      <c r="I190" s="20" t="n">
        <v>1</v>
      </c>
      <c r="J190" s="20" t="n">
        <v>7473</v>
      </c>
      <c r="K190" s="20" t="n">
        <v>0</v>
      </c>
      <c r="L190" s="20" t="n">
        <v>0</v>
      </c>
      <c r="M190" s="20" t="n">
        <v>2</v>
      </c>
      <c r="N190" s="20" t="n">
        <v>0</v>
      </c>
      <c r="V190" s="20" t="n">
        <v>0</v>
      </c>
      <c r="W190" s="20" t="n">
        <v>1</v>
      </c>
      <c r="X190" s="20" t="n">
        <v>2</v>
      </c>
    </row>
    <row r="191">
      <c r="A191" s="18" t="inlineStr">
        <is>
          <t>조정액 · Transactions With Other Segments</t>
        </is>
      </c>
      <c r="C191" s="20" t="n">
        <v>-1</v>
      </c>
      <c r="D191" s="20" t="n">
        <v>0</v>
      </c>
      <c r="E191" s="20" t="n">
        <v>0</v>
      </c>
      <c r="F191" s="20" t="n">
        <v>-6170</v>
      </c>
      <c r="G191" s="20" t="n">
        <v>-1</v>
      </c>
      <c r="H191" s="20" t="n">
        <v>0</v>
      </c>
      <c r="I191" s="20" t="n">
        <v>-1</v>
      </c>
      <c r="J191" s="20" t="n">
        <v>-7473</v>
      </c>
      <c r="K191" s="20" t="n">
        <v>0</v>
      </c>
      <c r="L191" s="20" t="n">
        <v>0</v>
      </c>
      <c r="M191" s="20" t="n">
        <v>-2</v>
      </c>
      <c r="N191" s="20" t="n">
        <v>-0</v>
      </c>
      <c r="V191" s="20" t="n">
        <v>0</v>
      </c>
      <c r="W191" s="20" t="n">
        <v>-1</v>
      </c>
      <c r="X191" s="20" t="n">
        <v>-2</v>
      </c>
    </row>
    <row r="192">
      <c r="A192" s="18" t="inlineStr">
        <is>
          <t>Transactions With Other Segments</t>
        </is>
      </c>
      <c r="C192" s="20" t="n">
        <v>0</v>
      </c>
      <c r="D192" s="20" t="n">
        <v>0</v>
      </c>
      <c r="E192" s="20" t="n">
        <v>0</v>
      </c>
      <c r="F192" s="20" t="n">
        <v>0</v>
      </c>
      <c r="G192" s="20" t="n">
        <v>0</v>
      </c>
      <c r="H192" s="20" t="n">
        <v>0</v>
      </c>
      <c r="I192" s="20" t="n">
        <v>0</v>
      </c>
      <c r="V192" s="20" t="n">
        <v>0</v>
      </c>
      <c r="W192" s="20" t="n">
        <v>0</v>
      </c>
    </row>
    <row r="193">
      <c r="A193" s="18" t="inlineStr">
        <is>
          <t>EntityTotalMember · Transactions With Other Segments</t>
        </is>
      </c>
      <c r="F193" s="20" t="n">
        <v>0</v>
      </c>
      <c r="J193" s="20" t="n">
        <v>0</v>
      </c>
      <c r="N193" s="20" t="n">
        <v>0</v>
      </c>
    </row>
    <row r="194">
      <c r="A194" s="18" t="inlineStr">
        <is>
          <t>BankingBusinessReportableSegmentMember · 계</t>
        </is>
      </c>
      <c r="C194" s="20" t="n">
        <v>501</v>
      </c>
      <c r="D194" s="20" t="n">
        <v>560</v>
      </c>
      <c r="E194" s="20" t="n">
        <v>679</v>
      </c>
      <c r="F194" s="20" t="n">
        <v>738</v>
      </c>
      <c r="G194" s="20" t="n">
        <v>866</v>
      </c>
      <c r="H194" s="20" t="n">
        <v>614</v>
      </c>
      <c r="I194" s="20" t="n">
        <v>690</v>
      </c>
      <c r="J194" s="20" t="n">
        <v>663</v>
      </c>
      <c r="K194" s="20" t="n">
        <v>594</v>
      </c>
      <c r="L194" s="20" t="n">
        <v>602</v>
      </c>
      <c r="M194" s="20" t="n">
        <v>756</v>
      </c>
      <c r="N194" s="20" t="n">
        <v>747</v>
      </c>
      <c r="V194" s="20" t="n">
        <v>679</v>
      </c>
      <c r="W194" s="20" t="n">
        <v>690</v>
      </c>
      <c r="X194" s="20" t="n">
        <v>756</v>
      </c>
    </row>
    <row r="195">
      <c r="A195" s="43" t="inlineStr">
        <is>
          <t>YoY</t>
        </is>
      </c>
      <c r="B195" s="3" t="inlineStr">
        <is>
          <t>전년 같은 분기·전년 대비</t>
        </is>
      </c>
      <c r="G195" s="15">
        <f>IF(OR(G194="",C194=""),"",IF(C194&lt;=0,"",IFERROR(G194/C194-1,"")))</f>
        <v/>
      </c>
      <c r="H195" s="15">
        <f>IF(OR(H194="",D194=""),"",IF(D194&lt;=0,"",IFERROR(H194/D194-1,"")))</f>
        <v/>
      </c>
      <c r="I195" s="15">
        <f>IF(OR(I194="",E194=""),"",IF(E194&lt;=0,"",IFERROR(I194/E194-1,"")))</f>
        <v/>
      </c>
      <c r="J195" s="15">
        <f>IF(OR(J194="",F194=""),"",IF(F194&lt;=0,"",IFERROR(J194/F194-1,"")))</f>
        <v/>
      </c>
      <c r="K195" s="15">
        <f>IF(OR(K194="",G194=""),"",IF(G194&lt;=0,"",IFERROR(K194/G194-1,"")))</f>
        <v/>
      </c>
      <c r="L195" s="15">
        <f>IF(OR(L194="",H194=""),"",IF(H194&lt;=0,"",IFERROR(L194/H194-1,"")))</f>
        <v/>
      </c>
      <c r="M195" s="15">
        <f>IF(OR(M194="",I194=""),"",IF(I194&lt;=0,"",IFERROR(M194/I194-1,"")))</f>
        <v/>
      </c>
      <c r="N195" s="15">
        <f>IF(OR(N194="",J194=""),"",IF(J194&lt;=0,"",IFERROR(N194/J194-1,"")))</f>
        <v/>
      </c>
      <c r="V195" s="15">
        <f>IF(OR(V194="",U194=""),"",IF(U194&lt;=0,"",IFERROR(V194/U194-1,"")))</f>
        <v/>
      </c>
      <c r="W195" s="15">
        <f>IF(OR(W194="",V194=""),"",IF(V194&lt;=0,"",IFERROR(W194/V194-1,"")))</f>
        <v/>
      </c>
      <c r="X195" s="15">
        <f>IF(OR(X194="",W194=""),"",IF(W194&lt;=0,"",IFERROR(X194/W194-1,"")))</f>
        <v/>
      </c>
    </row>
    <row r="196">
      <c r="A196" s="18" t="inlineStr">
        <is>
          <t>ReuseBusinessReportableSegmentMember · 계</t>
        </is>
      </c>
      <c r="C196" s="20" t="n">
        <v>6657</v>
      </c>
      <c r="D196" s="20" t="n">
        <v>7624</v>
      </c>
      <c r="E196" s="20" t="n">
        <v>7874</v>
      </c>
      <c r="F196" s="20" t="n">
        <v>8386</v>
      </c>
      <c r="G196" s="20" t="n">
        <v>8752</v>
      </c>
      <c r="H196" s="20" t="n">
        <v>8455</v>
      </c>
      <c r="I196" s="20" t="n">
        <v>9252</v>
      </c>
      <c r="J196" s="20" t="n">
        <v>8955</v>
      </c>
      <c r="K196" s="20" t="n">
        <v>14921</v>
      </c>
      <c r="L196" s="20" t="n">
        <v>15588</v>
      </c>
      <c r="M196" s="20" t="n">
        <v>15787</v>
      </c>
      <c r="N196" s="20" t="n">
        <v>16190</v>
      </c>
      <c r="V196" s="20" t="n">
        <v>7874</v>
      </c>
      <c r="W196" s="20" t="n">
        <v>9252</v>
      </c>
      <c r="X196" s="20" t="n">
        <v>15787</v>
      </c>
    </row>
    <row r="197">
      <c r="A197" s="43" t="inlineStr">
        <is>
          <t>YoY</t>
        </is>
      </c>
      <c r="B197" s="3" t="inlineStr">
        <is>
          <t>전년 같은 분기·전년 대비</t>
        </is>
      </c>
      <c r="G197" s="15">
        <f>IF(OR(G196="",C196=""),"",IF(C196&lt;=0,"",IFERROR(G196/C196-1,"")))</f>
        <v/>
      </c>
      <c r="H197" s="15">
        <f>IF(OR(H196="",D196=""),"",IF(D196&lt;=0,"",IFERROR(H196/D196-1,"")))</f>
        <v/>
      </c>
      <c r="I197" s="15">
        <f>IF(OR(I196="",E196=""),"",IF(E196&lt;=0,"",IFERROR(I196/E196-1,"")))</f>
        <v/>
      </c>
      <c r="J197" s="15">
        <f>IF(OR(J196="",F196=""),"",IF(F196&lt;=0,"",IFERROR(J196/F196-1,"")))</f>
        <v/>
      </c>
      <c r="K197" s="15">
        <f>IF(OR(K196="",G196=""),"",IF(G196&lt;=0,"",IFERROR(K196/G196-1,"")))</f>
        <v/>
      </c>
      <c r="L197" s="15">
        <f>IF(OR(L196="",H196=""),"",IF(H196&lt;=0,"",IFERROR(L196/H196-1,"")))</f>
        <v/>
      </c>
      <c r="M197" s="15">
        <f>IF(OR(M196="",I196=""),"",IF(I196&lt;=0,"",IFERROR(M196/I196-1,"")))</f>
        <v/>
      </c>
      <c r="N197" s="15">
        <f>IF(OR(N196="",J196=""),"",IF(J196&lt;=0,"",IFERROR(N196/J196-1,"")))</f>
        <v/>
      </c>
      <c r="V197" s="15">
        <f>IF(OR(V196="",U196=""),"",IF(U196&lt;=0,"",IFERROR(V196/U196-1,"")))</f>
        <v/>
      </c>
      <c r="W197" s="15">
        <f>IF(OR(W196="",V196=""),"",IF(V196&lt;=0,"",IFERROR(W196/V196-1,"")))</f>
        <v/>
      </c>
      <c r="X197" s="15">
        <f>IF(OR(X196="",W196=""),"",IF(W196&lt;=0,"",IFERROR(X196/W196-1,"")))</f>
        <v/>
      </c>
    </row>
    <row r="198">
      <c r="A198" s="18" t="inlineStr">
        <is>
          <t>OtherReportableSegmentsMember · 계</t>
        </is>
      </c>
      <c r="C198" s="20" t="n">
        <v>3</v>
      </c>
      <c r="D198" s="20" t="n">
        <v>4</v>
      </c>
      <c r="F198" s="20" t="n">
        <v>6173</v>
      </c>
      <c r="G198" s="20" t="n">
        <v>3</v>
      </c>
      <c r="H198" s="20" t="n">
        <v>4</v>
      </c>
      <c r="J198" s="20" t="n">
        <v>7476</v>
      </c>
      <c r="K198" s="20" t="n">
        <v>4</v>
      </c>
      <c r="L198" s="20" t="n">
        <v>4</v>
      </c>
      <c r="N198" s="20" t="n">
        <v>4</v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IF(OR(G198="",C198=""),"",IF(C198&lt;=0,"",IFERROR(G198/C198-1,"")))</f>
        <v/>
      </c>
      <c r="H199" s="15">
        <f>IF(OR(H198="",D198=""),"",IF(D198&lt;=0,"",IFERROR(H198/D198-1,"")))</f>
        <v/>
      </c>
      <c r="J199" s="15">
        <f>IF(OR(J198="",F198=""),"",IF(F198&lt;=0,"",IFERROR(J198/F198-1,"")))</f>
        <v/>
      </c>
      <c r="K199" s="15">
        <f>IF(OR(K198="",G198=""),"",IF(G198&lt;=0,"",IFERROR(K198/G198-1,"")))</f>
        <v/>
      </c>
      <c r="L199" s="15">
        <f>IF(OR(L198="",H198=""),"",IF(H198&lt;=0,"",IFERROR(L198/H198-1,"")))</f>
        <v/>
      </c>
      <c r="N199" s="15">
        <f>IF(OR(N198="",J198=""),"",IF(J198&lt;=0,"",IFERROR(N198/J198-1,"")))</f>
        <v/>
      </c>
    </row>
    <row r="200">
      <c r="A200" s="18" t="inlineStr">
        <is>
          <t>보고부문 합계 · 계</t>
        </is>
      </c>
      <c r="C200" s="20" t="n">
        <v>7162</v>
      </c>
      <c r="D200" s="20" t="n">
        <v>8187</v>
      </c>
      <c r="E200" s="20" t="n">
        <v>8555</v>
      </c>
      <c r="F200" s="20" t="n">
        <v>15298</v>
      </c>
      <c r="G200" s="20" t="n">
        <v>9622</v>
      </c>
      <c r="H200" s="20" t="n">
        <v>9072</v>
      </c>
      <c r="I200" s="20" t="n">
        <v>9946</v>
      </c>
      <c r="J200" s="20" t="n">
        <v>17095</v>
      </c>
      <c r="K200" s="20" t="n">
        <v>15518</v>
      </c>
      <c r="L200" s="20" t="n">
        <v>16195</v>
      </c>
      <c r="M200" s="20" t="n">
        <v>16547</v>
      </c>
      <c r="N200" s="20" t="n">
        <v>16942</v>
      </c>
      <c r="V200" s="20" t="n">
        <v>8555</v>
      </c>
      <c r="W200" s="20" t="n">
        <v>9946</v>
      </c>
      <c r="X200" s="20" t="n">
        <v>16547</v>
      </c>
    </row>
    <row r="201">
      <c r="A201" s="43" t="inlineStr">
        <is>
          <t>YoY</t>
        </is>
      </c>
      <c r="B201" s="3" t="inlineStr">
        <is>
          <t>전년 같은 분기·전년 대비</t>
        </is>
      </c>
      <c r="G201" s="15">
        <f>IF(OR(G200="",C200=""),"",IF(C200&lt;=0,"",IFERROR(G200/C200-1,"")))</f>
        <v/>
      </c>
      <c r="H201" s="15">
        <f>IF(OR(H200="",D200=""),"",IF(D200&lt;=0,"",IFERROR(H200/D200-1,"")))</f>
        <v/>
      </c>
      <c r="I201" s="15">
        <f>IF(OR(I200="",E200=""),"",IF(E200&lt;=0,"",IFERROR(I200/E200-1,"")))</f>
        <v/>
      </c>
      <c r="J201" s="15">
        <f>IF(OR(J200="",F200=""),"",IF(F200&lt;=0,"",IFERROR(J200/F200-1,"")))</f>
        <v/>
      </c>
      <c r="K201" s="15">
        <f>IF(OR(K200="",G200=""),"",IF(G200&lt;=0,"",IFERROR(K200/G200-1,"")))</f>
        <v/>
      </c>
      <c r="L201" s="15">
        <f>IF(OR(L200="",H200=""),"",IF(H200&lt;=0,"",IFERROR(L200/H200-1,"")))</f>
        <v/>
      </c>
      <c r="M201" s="15">
        <f>IF(OR(M200="",I200=""),"",IF(I200&lt;=0,"",IFERROR(M200/I200-1,"")))</f>
        <v/>
      </c>
      <c r="N201" s="15">
        <f>IF(OR(N200="",J200=""),"",IF(J200&lt;=0,"",IFERROR(N200/J200-1,"")))</f>
        <v/>
      </c>
      <c r="V201" s="15">
        <f>IF(OR(V200="",U200=""),"",IF(U200&lt;=0,"",IFERROR(V200/U200-1,"")))</f>
        <v/>
      </c>
      <c r="W201" s="15">
        <f>IF(OR(W200="",V200=""),"",IF(V200&lt;=0,"",IFERROR(W200/V200-1,"")))</f>
        <v/>
      </c>
      <c r="X201" s="15">
        <f>IF(OR(X200="",W200=""),"",IF(W200&lt;=0,"",IFERROR(X200/W200-1,"")))</f>
        <v/>
      </c>
    </row>
    <row r="202">
      <c r="A202" s="18" t="inlineStr">
        <is>
          <t>조정액 · 계</t>
        </is>
      </c>
      <c r="C202" s="20" t="n">
        <v>-1</v>
      </c>
      <c r="D202" s="20" t="n">
        <v>0</v>
      </c>
      <c r="E202" s="20" t="n">
        <v>0</v>
      </c>
      <c r="F202" s="20" t="n">
        <v>-6170</v>
      </c>
      <c r="G202" s="20" t="n">
        <v>-1</v>
      </c>
      <c r="H202" s="20" t="n">
        <v>0</v>
      </c>
      <c r="I202" s="20" t="n">
        <v>-1</v>
      </c>
      <c r="J202" s="20" t="n">
        <v>-7473</v>
      </c>
      <c r="K202" s="20" t="n">
        <v>0</v>
      </c>
      <c r="L202" s="20" t="n">
        <v>0</v>
      </c>
      <c r="M202" s="20" t="n">
        <v>-2</v>
      </c>
      <c r="N202" s="20" t="n">
        <v>-0</v>
      </c>
      <c r="V202" s="20" t="n">
        <v>0</v>
      </c>
      <c r="W202" s="20" t="n">
        <v>-1</v>
      </c>
      <c r="X202" s="20" t="n">
        <v>-2</v>
      </c>
    </row>
    <row r="203">
      <c r="A203" s="18" t="inlineStr">
        <is>
          <t>계</t>
        </is>
      </c>
      <c r="C203" s="20" t="n">
        <v>7162</v>
      </c>
      <c r="D203" s="20" t="n">
        <v>8187</v>
      </c>
      <c r="E203" s="20" t="n">
        <v>8554</v>
      </c>
      <c r="F203" s="20" t="n">
        <v>9127</v>
      </c>
      <c r="G203" s="20" t="n">
        <v>9622</v>
      </c>
      <c r="H203" s="20" t="n">
        <v>9071</v>
      </c>
      <c r="I203" s="20" t="n">
        <v>9946</v>
      </c>
      <c r="V203" s="20" t="n">
        <v>8554</v>
      </c>
      <c r="W203" s="20" t="n">
        <v>9946</v>
      </c>
    </row>
    <row r="204">
      <c r="A204" s="43" t="inlineStr">
        <is>
          <t>YoY</t>
        </is>
      </c>
      <c r="B204" s="3" t="inlineStr">
        <is>
          <t>전년 같은 분기·전년 대비</t>
        </is>
      </c>
      <c r="G204" s="15">
        <f>IF(OR(G203="",C203=""),"",IF(C203&lt;=0,"",IFERROR(G203/C203-1,"")))</f>
        <v/>
      </c>
      <c r="H204" s="15">
        <f>IF(OR(H203="",D203=""),"",IF(D203&lt;=0,"",IFERROR(H203/D203-1,"")))</f>
        <v/>
      </c>
      <c r="I204" s="15">
        <f>IF(OR(I203="",E203=""),"",IF(E203&lt;=0,"",IFERROR(I203/E203-1,"")))</f>
        <v/>
      </c>
      <c r="V204" s="15">
        <f>IF(OR(V203="",U203=""),"",IF(U203&lt;=0,"",IFERROR(V203/U203-1,"")))</f>
        <v/>
      </c>
      <c r="W204" s="15">
        <f>IF(OR(W203="",V203=""),"",IF(V203&lt;=0,"",IFERROR(W203/V203-1,"")))</f>
        <v/>
      </c>
    </row>
    <row r="205">
      <c r="A205" s="18" t="inlineStr">
        <is>
          <t>EntityTotalMember · 계</t>
        </is>
      </c>
      <c r="F205" s="20" t="n">
        <v>9127</v>
      </c>
      <c r="J205" s="20" t="n">
        <v>9622</v>
      </c>
      <c r="N205" s="20" t="n">
        <v>16941</v>
      </c>
    </row>
    <row r="206">
      <c r="A206" s="18" t="inlineStr">
        <is>
          <t>BankingBusinessReportableSegmentMember · 부문 이익(손실)</t>
        </is>
      </c>
      <c r="C206" s="20" t="n">
        <v>8</v>
      </c>
      <c r="D206" s="20" t="n">
        <v>71</v>
      </c>
      <c r="E206" s="20" t="n">
        <v>42</v>
      </c>
      <c r="F206" s="20" t="n">
        <v>-44</v>
      </c>
      <c r="G206" s="20" t="n">
        <v>124</v>
      </c>
      <c r="H206" s="20" t="n">
        <v>2</v>
      </c>
      <c r="I206" s="20" t="n">
        <v>-734</v>
      </c>
      <c r="J206" s="20" t="n">
        <v>34</v>
      </c>
      <c r="K206" s="20" t="n">
        <v>-339</v>
      </c>
      <c r="L206" s="20" t="n">
        <v>-26</v>
      </c>
      <c r="M206" s="20" t="n">
        <v>47</v>
      </c>
      <c r="N206" s="20" t="n">
        <v>14</v>
      </c>
      <c r="V206" s="20" t="n">
        <v>42</v>
      </c>
      <c r="W206" s="20" t="n">
        <v>-734</v>
      </c>
      <c r="X206" s="20" t="n">
        <v>47</v>
      </c>
    </row>
    <row r="207">
      <c r="A207" s="43" t="inlineStr">
        <is>
          <t>OPM</t>
        </is>
      </c>
      <c r="B207" s="3" t="inlineStr">
        <is>
          <t>영업이익 ÷ 매출</t>
        </is>
      </c>
      <c r="C207" s="15">
        <f>IF(OR(C206="",C194=""),"",IF(C194&lt;=0,"",IFERROR(C206/C194,"")))</f>
        <v/>
      </c>
      <c r="D207" s="15">
        <f>IF(OR(D206="",D194=""),"",IF(D194&lt;=0,"",IFERROR(D206/D194,"")))</f>
        <v/>
      </c>
      <c r="E207" s="15">
        <f>IF(OR(E206="",E194=""),"",IF(E194&lt;=0,"",IFERROR(E206/E194,"")))</f>
        <v/>
      </c>
      <c r="F207" s="15">
        <f>IF(OR(F206="",F194=""),"",IF(F194&lt;=0,"",IFERROR(F206/F194,"")))</f>
        <v/>
      </c>
      <c r="G207" s="15">
        <f>IF(OR(G206="",G194=""),"",IF(G194&lt;=0,"",IFERROR(G206/G194,"")))</f>
        <v/>
      </c>
      <c r="H207" s="15">
        <f>IF(OR(H206="",H194=""),"",IF(H194&lt;=0,"",IFERROR(H206/H194,"")))</f>
        <v/>
      </c>
      <c r="I207" s="15">
        <f>IF(OR(I206="",I194=""),"",IF(I194&lt;=0,"",IFERROR(I206/I194,"")))</f>
        <v/>
      </c>
      <c r="J207" s="15">
        <f>IF(OR(J206="",J194=""),"",IF(J194&lt;=0,"",IFERROR(J206/J194,"")))</f>
        <v/>
      </c>
      <c r="K207" s="15">
        <f>IF(OR(K206="",K194=""),"",IF(K194&lt;=0,"",IFERROR(K206/K194,"")))</f>
        <v/>
      </c>
      <c r="L207" s="15">
        <f>IF(OR(L206="",L194=""),"",IF(L194&lt;=0,"",IFERROR(L206/L194,"")))</f>
        <v/>
      </c>
      <c r="M207" s="15">
        <f>IF(OR(M206="",M194=""),"",IF(M194&lt;=0,"",IFERROR(M206/M194,"")))</f>
        <v/>
      </c>
      <c r="N207" s="15">
        <f>IF(OR(N206="",N194=""),"",IF(N194&lt;=0,"",IFERROR(N206/N194,"")))</f>
        <v/>
      </c>
      <c r="V207" s="15">
        <f>IF(OR(V206="",V194=""),"",IF(V194&lt;=0,"",IFERROR(V206/V194,"")))</f>
        <v/>
      </c>
      <c r="W207" s="15">
        <f>IF(OR(W206="",W194=""),"",IF(W194&lt;=0,"",IFERROR(W206/W194,"")))</f>
        <v/>
      </c>
      <c r="X207" s="15">
        <f>IF(OR(X206="",X194=""),"",IF(X194&lt;=0,"",IFERROR(X206/X194,"")))</f>
        <v/>
      </c>
    </row>
    <row r="208">
      <c r="A208" s="43" t="inlineStr">
        <is>
          <t>YoY</t>
        </is>
      </c>
      <c r="B208" s="3" t="inlineStr">
        <is>
          <t>전년 같은 분기·전년 대비</t>
        </is>
      </c>
      <c r="G208" s="15">
        <f>IF(OR(G206="",C206=""),"",IF(C206&lt;=0,"",IFERROR(G206/C206-1,"")))</f>
        <v/>
      </c>
      <c r="H208" s="15">
        <f>IF(OR(H206="",D206=""),"",IF(D206&lt;=0,"",IFERROR(H206/D206-1,"")))</f>
        <v/>
      </c>
      <c r="I208" s="15">
        <f>IF(OR(I206="",E206=""),"",IF(E206&lt;=0,"",IFERROR(I206/E206-1,"")))</f>
        <v/>
      </c>
      <c r="J208" s="15">
        <f>IF(OR(J206="",F206=""),"",IF(F206&lt;=0,"",IFERROR(J206/F206-1,"")))</f>
        <v/>
      </c>
      <c r="K208" s="15">
        <f>IF(OR(K206="",G206=""),"",IF(G206&lt;=0,"",IFERROR(K206/G206-1,"")))</f>
        <v/>
      </c>
      <c r="L208" s="15">
        <f>IF(OR(L206="",H206=""),"",IF(H206&lt;=0,"",IFERROR(L206/H206-1,"")))</f>
        <v/>
      </c>
      <c r="M208" s="15">
        <f>IF(OR(M206="",I206=""),"",IF(I206&lt;=0,"",IFERROR(M206/I206-1,"")))</f>
        <v/>
      </c>
      <c r="N208" s="15">
        <f>IF(OR(N206="",J206=""),"",IF(J206&lt;=0,"",IFERROR(N206/J206-1,"")))</f>
        <v/>
      </c>
      <c r="V208" s="15">
        <f>IF(OR(V206="",U206=""),"",IF(U206&lt;=0,"",IFERROR(V206/U206-1,"")))</f>
        <v/>
      </c>
      <c r="W208" s="15">
        <f>IF(OR(W206="",V206=""),"",IF(V206&lt;=0,"",IFERROR(W206/V206-1,"")))</f>
        <v/>
      </c>
      <c r="X208" s="15">
        <f>IF(OR(X206="",W206=""),"",IF(W206&lt;=0,"",IFERROR(X206/W206-1,"")))</f>
        <v/>
      </c>
    </row>
    <row r="209">
      <c r="A209" s="18" t="inlineStr">
        <is>
          <t>ReuseBusinessReportableSegmentMember · 부문 이익(손실)</t>
        </is>
      </c>
      <c r="C209" s="20" t="n">
        <v>-89</v>
      </c>
      <c r="D209" s="20" t="n">
        <v>-198</v>
      </c>
      <c r="E209" s="20" t="n">
        <v>-97</v>
      </c>
      <c r="F209" s="20" t="n">
        <v>100</v>
      </c>
      <c r="G209" s="20" t="n">
        <v>-130</v>
      </c>
      <c r="H209" s="20" t="n">
        <v>-137</v>
      </c>
      <c r="I209" s="20" t="n">
        <v>207</v>
      </c>
      <c r="J209" s="20" t="n">
        <v>-137</v>
      </c>
      <c r="K209" s="20" t="n">
        <v>-32</v>
      </c>
      <c r="L209" s="20" t="n">
        <v>284</v>
      </c>
      <c r="M209" s="20" t="n">
        <v>502</v>
      </c>
      <c r="N209" s="20" t="n">
        <v>341</v>
      </c>
      <c r="V209" s="20" t="n">
        <v>-97</v>
      </c>
      <c r="W209" s="20" t="n">
        <v>207</v>
      </c>
      <c r="X209" s="20" t="n">
        <v>502</v>
      </c>
    </row>
    <row r="210">
      <c r="A210" s="43" t="inlineStr">
        <is>
          <t>OPM</t>
        </is>
      </c>
      <c r="B210" s="3" t="inlineStr">
        <is>
          <t>영업이익 ÷ 매출</t>
        </is>
      </c>
      <c r="C210" s="15">
        <f>IF(OR(C209="",C196=""),"",IF(C196&lt;=0,"",IFERROR(C209/C196,"")))</f>
        <v/>
      </c>
      <c r="D210" s="15">
        <f>IF(OR(D209="",D196=""),"",IF(D196&lt;=0,"",IFERROR(D209/D196,"")))</f>
        <v/>
      </c>
      <c r="E210" s="15">
        <f>IF(OR(E209="",E196=""),"",IF(E196&lt;=0,"",IFERROR(E209/E196,"")))</f>
        <v/>
      </c>
      <c r="F210" s="15">
        <f>IF(OR(F209="",F196=""),"",IF(F196&lt;=0,"",IFERROR(F209/F196,"")))</f>
        <v/>
      </c>
      <c r="G210" s="15">
        <f>IF(OR(G209="",G196=""),"",IF(G196&lt;=0,"",IFERROR(G209/G196,"")))</f>
        <v/>
      </c>
      <c r="H210" s="15">
        <f>IF(OR(H209="",H196=""),"",IF(H196&lt;=0,"",IFERROR(H209/H196,"")))</f>
        <v/>
      </c>
      <c r="I210" s="15">
        <f>IF(OR(I209="",I196=""),"",IF(I196&lt;=0,"",IFERROR(I209/I196,"")))</f>
        <v/>
      </c>
      <c r="J210" s="15">
        <f>IF(OR(J209="",J196=""),"",IF(J196&lt;=0,"",IFERROR(J209/J196,"")))</f>
        <v/>
      </c>
      <c r="K210" s="15">
        <f>IF(OR(K209="",K196=""),"",IF(K196&lt;=0,"",IFERROR(K209/K196,"")))</f>
        <v/>
      </c>
      <c r="L210" s="15">
        <f>IF(OR(L209="",L196=""),"",IF(L196&lt;=0,"",IFERROR(L209/L196,"")))</f>
        <v/>
      </c>
      <c r="M210" s="15">
        <f>IF(OR(M209="",M196=""),"",IF(M196&lt;=0,"",IFERROR(M209/M196,"")))</f>
        <v/>
      </c>
      <c r="N210" s="15">
        <f>IF(OR(N209="",N196=""),"",IF(N196&lt;=0,"",IFERROR(N209/N196,"")))</f>
        <v/>
      </c>
      <c r="V210" s="15">
        <f>IF(OR(V209="",V196=""),"",IF(V196&lt;=0,"",IFERROR(V209/V196,"")))</f>
        <v/>
      </c>
      <c r="W210" s="15">
        <f>IF(OR(W209="",W196=""),"",IF(W196&lt;=0,"",IFERROR(W209/W196,"")))</f>
        <v/>
      </c>
      <c r="X210" s="15">
        <f>IF(OR(X209="",X196=""),"",IF(X196&lt;=0,"",IFERROR(X209/X196,"")))</f>
        <v/>
      </c>
    </row>
    <row r="211">
      <c r="A211" s="43" t="inlineStr">
        <is>
          <t>YoY</t>
        </is>
      </c>
      <c r="B211" s="3" t="inlineStr">
        <is>
          <t>전년 같은 분기·전년 대비</t>
        </is>
      </c>
      <c r="G211" s="15">
        <f>IF(OR(G209="",C209=""),"",IF(C209&lt;=0,"",IFERROR(G209/C209-1,"")))</f>
        <v/>
      </c>
      <c r="H211" s="15">
        <f>IF(OR(H209="",D209=""),"",IF(D209&lt;=0,"",IFERROR(H209/D209-1,"")))</f>
        <v/>
      </c>
      <c r="I211" s="15">
        <f>IF(OR(I209="",E209=""),"",IF(E209&lt;=0,"",IFERROR(I209/E209-1,"")))</f>
        <v/>
      </c>
      <c r="J211" s="15">
        <f>IF(OR(J209="",F209=""),"",IF(F209&lt;=0,"",IFERROR(J209/F209-1,"")))</f>
        <v/>
      </c>
      <c r="K211" s="15">
        <f>IF(OR(K209="",G209=""),"",IF(G209&lt;=0,"",IFERROR(K209/G209-1,"")))</f>
        <v/>
      </c>
      <c r="L211" s="15">
        <f>IF(OR(L209="",H209=""),"",IF(H209&lt;=0,"",IFERROR(L209/H209-1,"")))</f>
        <v/>
      </c>
      <c r="M211" s="15">
        <f>IF(OR(M209="",I209=""),"",IF(I209&lt;=0,"",IFERROR(M209/I209-1,"")))</f>
        <v/>
      </c>
      <c r="N211" s="15">
        <f>IF(OR(N209="",J209=""),"",IF(J209&lt;=0,"",IFERROR(N209/J209-1,"")))</f>
        <v/>
      </c>
      <c r="V211" s="15">
        <f>IF(OR(V209="",U209=""),"",IF(U209&lt;=0,"",IFERROR(V209/U209-1,"")))</f>
        <v/>
      </c>
      <c r="W211" s="15">
        <f>IF(OR(W209="",V209=""),"",IF(V209&lt;=0,"",IFERROR(W209/V209-1,"")))</f>
        <v/>
      </c>
      <c r="X211" s="15">
        <f>IF(OR(X209="",W209=""),"",IF(W209&lt;=0,"",IFERROR(X209/W209-1,"")))</f>
        <v/>
      </c>
    </row>
    <row r="212">
      <c r="A212" s="18" t="inlineStr">
        <is>
          <t>OtherReportableSegmentsMember · 부문 이익(손실)</t>
        </is>
      </c>
      <c r="C212" s="20" t="n">
        <v>-202</v>
      </c>
      <c r="D212" s="20" t="n">
        <v>-165</v>
      </c>
      <c r="F212" s="20" t="n">
        <v>6054</v>
      </c>
      <c r="G212" s="20" t="n">
        <v>-162</v>
      </c>
      <c r="H212" s="20" t="n">
        <v>-145</v>
      </c>
      <c r="J212" s="20" t="n">
        <v>7296</v>
      </c>
      <c r="K212" s="20" t="n">
        <v>-174</v>
      </c>
      <c r="L212" s="20" t="n">
        <v>-224</v>
      </c>
      <c r="N212" s="20" t="n">
        <v>-224</v>
      </c>
    </row>
    <row r="213">
      <c r="A213" s="43" t="inlineStr">
        <is>
          <t>OPM</t>
        </is>
      </c>
      <c r="B213" s="3" t="inlineStr">
        <is>
          <t>영업이익 ÷ 매출</t>
        </is>
      </c>
      <c r="C213" s="15">
        <f>IF(OR(C212="",C198=""),"",IF(C198&lt;=0,"",IFERROR(C212/C198,"")))</f>
        <v/>
      </c>
      <c r="D213" s="15">
        <f>IF(OR(D212="",D198=""),"",IF(D198&lt;=0,"",IFERROR(D212/D198,"")))</f>
        <v/>
      </c>
      <c r="F213" s="15">
        <f>IF(OR(F212="",F198=""),"",IF(F198&lt;=0,"",IFERROR(F212/F198,"")))</f>
        <v/>
      </c>
      <c r="G213" s="15">
        <f>IF(OR(G212="",G198=""),"",IF(G198&lt;=0,"",IFERROR(G212/G198,"")))</f>
        <v/>
      </c>
      <c r="H213" s="15">
        <f>IF(OR(H212="",H198=""),"",IF(H198&lt;=0,"",IFERROR(H212/H198,"")))</f>
        <v/>
      </c>
      <c r="J213" s="15">
        <f>IF(OR(J212="",J198=""),"",IF(J198&lt;=0,"",IFERROR(J212/J198,"")))</f>
        <v/>
      </c>
      <c r="K213" s="15">
        <f>IF(OR(K212="",K198=""),"",IF(K198&lt;=0,"",IFERROR(K212/K198,"")))</f>
        <v/>
      </c>
      <c r="L213" s="15">
        <f>IF(OR(L212="",L198=""),"",IF(L198&lt;=0,"",IFERROR(L212/L198,"")))</f>
        <v/>
      </c>
      <c r="N213" s="15">
        <f>IF(OR(N212="",N198=""),"",IF(N198&lt;=0,"",IFERROR(N212/N198,"")))</f>
        <v/>
      </c>
    </row>
    <row r="214">
      <c r="A214" s="43" t="inlineStr">
        <is>
          <t>YoY</t>
        </is>
      </c>
      <c r="B214" s="3" t="inlineStr">
        <is>
          <t>전년 같은 분기·전년 대비</t>
        </is>
      </c>
      <c r="G214" s="15">
        <f>IF(OR(G212="",C212=""),"",IF(C212&lt;=0,"",IFERROR(G212/C212-1,"")))</f>
        <v/>
      </c>
      <c r="H214" s="15">
        <f>IF(OR(H212="",D212=""),"",IF(D212&lt;=0,"",IFERROR(H212/D212-1,"")))</f>
        <v/>
      </c>
      <c r="J214" s="15">
        <f>IF(OR(J212="",F212=""),"",IF(F212&lt;=0,"",IFERROR(J212/F212-1,"")))</f>
        <v/>
      </c>
      <c r="K214" s="15">
        <f>IF(OR(K212="",G212=""),"",IF(G212&lt;=0,"",IFERROR(K212/G212-1,"")))</f>
        <v/>
      </c>
      <c r="L214" s="15">
        <f>IF(OR(L212="",H212=""),"",IF(H212&lt;=0,"",IFERROR(L212/H212-1,"")))</f>
        <v/>
      </c>
      <c r="N214" s="15">
        <f>IF(OR(N212="",J212=""),"",IF(J212&lt;=0,"",IFERROR(N212/J212-1,"")))</f>
        <v/>
      </c>
    </row>
    <row r="215">
      <c r="A215" s="18" t="inlineStr">
        <is>
          <t>보고부문 합계 · 부문 이익(손실)</t>
        </is>
      </c>
      <c r="C215" s="20" t="n">
        <v>-284</v>
      </c>
      <c r="D215" s="20" t="n">
        <v>-292</v>
      </c>
      <c r="E215" s="20" t="n">
        <v>-242</v>
      </c>
      <c r="F215" s="20" t="n">
        <v>6110</v>
      </c>
      <c r="G215" s="20" t="n">
        <v>-168</v>
      </c>
      <c r="H215" s="20" t="n">
        <v>-279</v>
      </c>
      <c r="I215" s="20" t="n">
        <v>-703</v>
      </c>
      <c r="J215" s="20" t="n">
        <v>7192</v>
      </c>
      <c r="K215" s="20" t="n">
        <v>-544</v>
      </c>
      <c r="L215" s="20" t="n">
        <v>35</v>
      </c>
      <c r="M215" s="20" t="n">
        <v>366</v>
      </c>
      <c r="N215" s="20" t="n">
        <v>131</v>
      </c>
      <c r="V215" s="20" t="n">
        <v>-242</v>
      </c>
      <c r="W215" s="20" t="n">
        <v>-703</v>
      </c>
      <c r="X215" s="20" t="n">
        <v>366</v>
      </c>
    </row>
    <row r="216">
      <c r="A216" s="43" t="inlineStr">
        <is>
          <t>OPM</t>
        </is>
      </c>
      <c r="B216" s="3" t="inlineStr">
        <is>
          <t>영업이익 ÷ 매출</t>
        </is>
      </c>
      <c r="C216" s="15">
        <f>IF(OR(C215="",C200=""),"",IF(C200&lt;=0,"",IFERROR(C215/C200,"")))</f>
        <v/>
      </c>
      <c r="D216" s="15">
        <f>IF(OR(D215="",D200=""),"",IF(D200&lt;=0,"",IFERROR(D215/D200,"")))</f>
        <v/>
      </c>
      <c r="E216" s="15">
        <f>IF(OR(E215="",E200=""),"",IF(E200&lt;=0,"",IFERROR(E215/E200,"")))</f>
        <v/>
      </c>
      <c r="F216" s="15">
        <f>IF(OR(F215="",F200=""),"",IF(F200&lt;=0,"",IFERROR(F215/F200,"")))</f>
        <v/>
      </c>
      <c r="G216" s="15">
        <f>IF(OR(G215="",G200=""),"",IF(G200&lt;=0,"",IFERROR(G215/G200,"")))</f>
        <v/>
      </c>
      <c r="H216" s="15">
        <f>IF(OR(H215="",H200=""),"",IF(H200&lt;=0,"",IFERROR(H215/H200,"")))</f>
        <v/>
      </c>
      <c r="I216" s="15">
        <f>IF(OR(I215="",I200=""),"",IF(I200&lt;=0,"",IFERROR(I215/I200,"")))</f>
        <v/>
      </c>
      <c r="J216" s="15">
        <f>IF(OR(J215="",J200=""),"",IF(J200&lt;=0,"",IFERROR(J215/J200,"")))</f>
        <v/>
      </c>
      <c r="K216" s="15">
        <f>IF(OR(K215="",K200=""),"",IF(K200&lt;=0,"",IFERROR(K215/K200,"")))</f>
        <v/>
      </c>
      <c r="L216" s="15">
        <f>IF(OR(L215="",L200=""),"",IF(L200&lt;=0,"",IFERROR(L215/L200,"")))</f>
        <v/>
      </c>
      <c r="M216" s="15">
        <f>IF(OR(M215="",M200=""),"",IF(M200&lt;=0,"",IFERROR(M215/M200,"")))</f>
        <v/>
      </c>
      <c r="N216" s="15">
        <f>IF(OR(N215="",N200=""),"",IF(N200&lt;=0,"",IFERROR(N215/N200,"")))</f>
        <v/>
      </c>
      <c r="V216" s="15">
        <f>IF(OR(V215="",V200=""),"",IF(V200&lt;=0,"",IFERROR(V215/V200,"")))</f>
        <v/>
      </c>
      <c r="W216" s="15">
        <f>IF(OR(W215="",W200=""),"",IF(W200&lt;=0,"",IFERROR(W215/W200,"")))</f>
        <v/>
      </c>
      <c r="X216" s="15">
        <f>IF(OR(X215="",X200=""),"",IF(X200&lt;=0,"",IFERROR(X215/X200,"")))</f>
        <v/>
      </c>
    </row>
    <row r="217">
      <c r="A217" s="43" t="inlineStr">
        <is>
          <t>YoY</t>
        </is>
      </c>
      <c r="B217" s="3" t="inlineStr">
        <is>
          <t>전년 같은 분기·전년 대비</t>
        </is>
      </c>
      <c r="G217" s="15">
        <f>IF(OR(G215="",C215=""),"",IF(C215&lt;=0,"",IFERROR(G215/C215-1,"")))</f>
        <v/>
      </c>
      <c r="H217" s="15">
        <f>IF(OR(H215="",D215=""),"",IF(D215&lt;=0,"",IFERROR(H215/D215-1,"")))</f>
        <v/>
      </c>
      <c r="I217" s="15">
        <f>IF(OR(I215="",E215=""),"",IF(E215&lt;=0,"",IFERROR(I215/E215-1,"")))</f>
        <v/>
      </c>
      <c r="J217" s="15">
        <f>IF(OR(J215="",F215=""),"",IF(F215&lt;=0,"",IFERROR(J215/F215-1,"")))</f>
        <v/>
      </c>
      <c r="K217" s="15">
        <f>IF(OR(K215="",G215=""),"",IF(G215&lt;=0,"",IFERROR(K215/G215-1,"")))</f>
        <v/>
      </c>
      <c r="L217" s="15">
        <f>IF(OR(L215="",H215=""),"",IF(H215&lt;=0,"",IFERROR(L215/H215-1,"")))</f>
        <v/>
      </c>
      <c r="M217" s="15">
        <f>IF(OR(M215="",I215=""),"",IF(I215&lt;=0,"",IFERROR(M215/I215-1,"")))</f>
        <v/>
      </c>
      <c r="N217" s="15">
        <f>IF(OR(N215="",J215=""),"",IF(J215&lt;=0,"",IFERROR(N215/J215-1,"")))</f>
        <v/>
      </c>
      <c r="V217" s="15">
        <f>IF(OR(V215="",U215=""),"",IF(U215&lt;=0,"",IFERROR(V215/U215-1,"")))</f>
        <v/>
      </c>
      <c r="W217" s="15">
        <f>IF(OR(W215="",V215=""),"",IF(V215&lt;=0,"",IFERROR(W215/V215-1,"")))</f>
        <v/>
      </c>
      <c r="X217" s="15">
        <f>IF(OR(X215="",W215=""),"",IF(W215&lt;=0,"",IFERROR(X215/W215-1,"")))</f>
        <v/>
      </c>
    </row>
    <row r="218">
      <c r="A218" s="18" t="inlineStr">
        <is>
          <t>조정액 · 부문 이익(손실)</t>
        </is>
      </c>
      <c r="C218" s="20" t="n">
        <v>16</v>
      </c>
      <c r="D218" s="20" t="n">
        <v>9</v>
      </c>
      <c r="E218" s="20" t="n">
        <v>19</v>
      </c>
      <c r="F218" s="20" t="n">
        <v>-6139</v>
      </c>
      <c r="G218" s="20" t="n">
        <v>23</v>
      </c>
      <c r="H218" s="20" t="n">
        <v>28</v>
      </c>
      <c r="I218" s="20" t="n">
        <v>22</v>
      </c>
      <c r="J218" s="20" t="n">
        <v>-7452</v>
      </c>
      <c r="K218" s="20" t="n">
        <v>18</v>
      </c>
      <c r="L218" s="20" t="n">
        <v>14</v>
      </c>
      <c r="M218" s="20" t="n">
        <v>7</v>
      </c>
      <c r="N218" s="20" t="n">
        <v>6</v>
      </c>
      <c r="V218" s="20" t="n">
        <v>19</v>
      </c>
      <c r="W218" s="20" t="n">
        <v>22</v>
      </c>
      <c r="X218" s="20" t="n">
        <v>7</v>
      </c>
    </row>
    <row r="219">
      <c r="A219" s="9" t="inlineStr">
        <is>
          <t>부문 이익(손실)</t>
        </is>
      </c>
      <c r="C219" s="12" t="n">
        <v>-267</v>
      </c>
      <c r="D219" s="12" t="n">
        <v>-284</v>
      </c>
      <c r="E219" s="12" t="n">
        <v>-223</v>
      </c>
      <c r="F219" s="12" t="n">
        <v>-28</v>
      </c>
      <c r="G219" s="12" t="n">
        <v>-146</v>
      </c>
      <c r="H219" s="12" t="n">
        <v>-251</v>
      </c>
      <c r="I219" s="12" t="n">
        <v>-681</v>
      </c>
      <c r="V219" s="12" t="n">
        <v>-223</v>
      </c>
      <c r="W219" s="12" t="n">
        <v>-681</v>
      </c>
    </row>
    <row r="220">
      <c r="A220" s="43" t="inlineStr">
        <is>
          <t>OPM</t>
        </is>
      </c>
      <c r="B220" s="3" t="inlineStr">
        <is>
          <t>영업이익 ÷ 매출</t>
        </is>
      </c>
      <c r="C220" s="15">
        <f>IF(OR(C219="",C184=""),"",IF(C184&lt;=0,"",IFERROR(C219/C184,"")))</f>
        <v/>
      </c>
      <c r="D220" s="15">
        <f>IF(OR(D219="",D184=""),"",IF(D184&lt;=0,"",IFERROR(D219/D184,"")))</f>
        <v/>
      </c>
      <c r="E220" s="15">
        <f>IF(OR(E219="",E184=""),"",IF(E184&lt;=0,"",IFERROR(E219/E184,"")))</f>
        <v/>
      </c>
      <c r="F220" s="15">
        <f>IF(OR(F219="",F184=""),"",IF(F184&lt;=0,"",IFERROR(F219/F184,"")))</f>
        <v/>
      </c>
      <c r="G220" s="15">
        <f>IF(OR(G219="",G184=""),"",IF(G184&lt;=0,"",IFERROR(G219/G184,"")))</f>
        <v/>
      </c>
      <c r="H220" s="15">
        <f>IF(OR(H219="",H184=""),"",IF(H184&lt;=0,"",IFERROR(H219/H184,"")))</f>
        <v/>
      </c>
      <c r="I220" s="15">
        <f>IF(OR(I219="",I184=""),"",IF(I184&lt;=0,"",IFERROR(I219/I184,"")))</f>
        <v/>
      </c>
      <c r="V220" s="15">
        <f>IF(OR(V219="",V184=""),"",IF(V184&lt;=0,"",IFERROR(V219/V184,"")))</f>
        <v/>
      </c>
      <c r="W220" s="15">
        <f>IF(OR(W219="",W184=""),"",IF(W184&lt;=0,"",IFERROR(W219/W184,"")))</f>
        <v/>
      </c>
    </row>
    <row r="221">
      <c r="A221" s="43" t="inlineStr">
        <is>
          <t>YoY</t>
        </is>
      </c>
      <c r="B221" s="3" t="inlineStr">
        <is>
          <t>전년 같은 분기·전년 대비</t>
        </is>
      </c>
      <c r="G221" s="15">
        <f>IF(OR(G219="",C219=""),"",IF(C219&lt;=0,"",IFERROR(G219/C219-1,"")))</f>
        <v/>
      </c>
      <c r="H221" s="15">
        <f>IF(OR(H219="",D219=""),"",IF(D219&lt;=0,"",IFERROR(H219/D219-1,"")))</f>
        <v/>
      </c>
      <c r="I221" s="15">
        <f>IF(OR(I219="",E219=""),"",IF(E219&lt;=0,"",IFERROR(I219/E219-1,"")))</f>
        <v/>
      </c>
      <c r="V221" s="15">
        <f>IF(OR(V219="",U219=""),"",IF(U219&lt;=0,"",IFERROR(V219/U219-1,"")))</f>
        <v/>
      </c>
      <c r="W221" s="15">
        <f>IF(OR(W219="",V219=""),"",IF(V219&lt;=0,"",IFERROR(W219/V219-1,"")))</f>
        <v/>
      </c>
    </row>
    <row r="222">
      <c r="A222" s="18" t="inlineStr">
        <is>
          <t>EntityTotalMember · 부문 이익(손실)</t>
        </is>
      </c>
      <c r="F222" s="20" t="n">
        <v>-28</v>
      </c>
      <c r="J222" s="20" t="n">
        <v>-260</v>
      </c>
      <c r="N222" s="20" t="n">
        <v>137</v>
      </c>
    </row>
    <row r="224">
      <c r="A224" s="16" t="inlineStr">
        <is>
          <t>현금흐름표 · 전 항목</t>
        </is>
      </c>
      <c r="B224" s="42" t="inlineStr">
        <is>
          <t>분기 = 결산기 첫날부터 누계(공시 그대로)</t>
        </is>
      </c>
      <c r="C224" s="16" t="n"/>
      <c r="D224" s="16" t="n"/>
      <c r="E224" s="16" t="n"/>
      <c r="F224" s="16" t="n"/>
      <c r="G224" s="16" t="n"/>
      <c r="H224" s="16" t="n"/>
      <c r="I224" s="16" t="n"/>
      <c r="J224" s="16" t="n"/>
      <c r="K224" s="16" t="n"/>
      <c r="L224" s="16" t="n"/>
      <c r="M224" s="16" t="n"/>
      <c r="N224" s="16" t="n"/>
      <c r="O224" s="16" t="n"/>
      <c r="P224" s="16" t="n"/>
      <c r="Q224" s="16" t="n"/>
      <c r="R224" s="16" t="n"/>
      <c r="S224" s="16" t="n"/>
      <c r="T224" s="16" t="n"/>
      <c r="U224" s="16" t="n"/>
      <c r="V224" s="16" t="n"/>
      <c r="W224" s="16" t="n"/>
      <c r="X224" s="16" t="n"/>
      <c r="Y224" s="16" t="n"/>
      <c r="Z224" s="16" t="n"/>
      <c r="AA224" s="16" t="n"/>
      <c r="AB224" s="16" t="n"/>
      <c r="AC224" s="16" t="n"/>
    </row>
    <row r="225">
      <c r="A225" s="5" t="inlineStr">
        <is>
          <t>항목</t>
        </is>
      </c>
      <c r="B225" s="5" t="inlineStr">
        <is>
          <t>참고</t>
        </is>
      </c>
      <c r="C225" s="5" t="inlineStr">
        <is>
          <t>2024.2Q</t>
        </is>
      </c>
      <c r="D225" s="5" t="inlineStr">
        <is>
          <t>2024.3Q</t>
        </is>
      </c>
      <c r="E225" s="5" t="inlineStr">
        <is>
          <t>2024.4Q</t>
        </is>
      </c>
      <c r="F225" s="5" t="inlineStr">
        <is>
          <t>2025.1Q</t>
        </is>
      </c>
      <c r="G225" s="5" t="inlineStr">
        <is>
          <t>2025.2Q</t>
        </is>
      </c>
      <c r="H225" s="5" t="inlineStr">
        <is>
          <t>2025.3Q</t>
        </is>
      </c>
      <c r="I225" s="5" t="inlineStr">
        <is>
          <t>2025.4Q</t>
        </is>
      </c>
      <c r="J225" s="5" t="inlineStr">
        <is>
          <t>2026.1Q</t>
        </is>
      </c>
      <c r="K225" s="5" t="inlineStr">
        <is>
          <t>2026.2Q</t>
        </is>
      </c>
      <c r="L225" s="5" t="inlineStr">
        <is>
          <t>2026.3Q</t>
        </is>
      </c>
      <c r="M225" s="5" t="inlineStr">
        <is>
          <t>2026.4Q</t>
        </is>
      </c>
      <c r="N225" s="5" t="inlineStr">
        <is>
          <t>2027.1Q</t>
        </is>
      </c>
      <c r="O225" s="5" t="inlineStr">
        <is>
          <t>2017</t>
        </is>
      </c>
      <c r="P225" s="5" t="inlineStr">
        <is>
          <t>2018</t>
        </is>
      </c>
      <c r="Q225" s="5" t="inlineStr">
        <is>
          <t>2019</t>
        </is>
      </c>
      <c r="R225" s="5" t="inlineStr">
        <is>
          <t>2020</t>
        </is>
      </c>
      <c r="S225" s="5" t="inlineStr">
        <is>
          <t>2021</t>
        </is>
      </c>
      <c r="T225" s="5" t="inlineStr">
        <is>
          <t>2022</t>
        </is>
      </c>
      <c r="U225" s="5" t="inlineStr">
        <is>
          <t>2023</t>
        </is>
      </c>
      <c r="V225" s="5" t="inlineStr">
        <is>
          <t>2024</t>
        </is>
      </c>
      <c r="W225" s="5" t="inlineStr">
        <is>
          <t>2025</t>
        </is>
      </c>
      <c r="X225" s="5" t="inlineStr">
        <is>
          <t>2026</t>
        </is>
      </c>
      <c r="Y225" s="5" t="inlineStr">
        <is>
          <t>2027(MW)</t>
        </is>
      </c>
      <c r="Z225" s="5" t="inlineStr">
        <is>
          <t>2028(MW)</t>
        </is>
      </c>
      <c r="AA225" s="5" t="inlineStr">
        <is>
          <t>2029(MW)</t>
        </is>
      </c>
      <c r="AB225" s="5" t="inlineStr">
        <is>
          <t>2030(MW)</t>
        </is>
      </c>
      <c r="AC225" s="5" t="inlineStr">
        <is>
          <t>2031(MW)</t>
        </is>
      </c>
    </row>
    <row r="226">
      <c r="A226" s="9" t="inlineStr">
        <is>
          <t>법인세차감전 순이익</t>
        </is>
      </c>
      <c r="E226" s="12" t="n">
        <v>15295</v>
      </c>
      <c r="I226" s="12" t="n">
        <v>14925</v>
      </c>
      <c r="M226" s="12" t="n">
        <v>17991</v>
      </c>
      <c r="O226" s="12" t="n">
        <v>8705</v>
      </c>
      <c r="P226" s="12" t="n">
        <v>7681</v>
      </c>
      <c r="Q226" s="12" t="n">
        <v>11301</v>
      </c>
      <c r="R226" s="12" t="n">
        <v>13824</v>
      </c>
      <c r="S226" s="12" t="n">
        <v>9203</v>
      </c>
      <c r="T226" s="12" t="n">
        <v>18171</v>
      </c>
      <c r="U226" s="12" t="n">
        <v>30963</v>
      </c>
      <c r="V226" s="12" t="n">
        <v>15295</v>
      </c>
      <c r="W226" s="12" t="n">
        <v>14925</v>
      </c>
      <c r="X226" s="12" t="n">
        <v>17991</v>
      </c>
    </row>
    <row r="227">
      <c r="A227" s="18" t="inlineStr">
        <is>
          <t>감가상각비</t>
        </is>
      </c>
      <c r="E227" s="20" t="n">
        <v>1509</v>
      </c>
      <c r="I227" s="20" t="n">
        <v>898</v>
      </c>
      <c r="M227" s="20" t="n">
        <v>960</v>
      </c>
      <c r="O227" s="20" t="n">
        <v>1292</v>
      </c>
      <c r="P227" s="20" t="n">
        <v>1473</v>
      </c>
      <c r="Q227" s="20" t="n">
        <v>1848</v>
      </c>
      <c r="R227" s="20" t="n">
        <v>2558</v>
      </c>
      <c r="S227" s="20" t="n">
        <v>2805</v>
      </c>
      <c r="T227" s="20" t="n">
        <v>3039</v>
      </c>
      <c r="U227" s="20" t="n">
        <v>3581</v>
      </c>
      <c r="V227" s="20" t="n">
        <v>1509</v>
      </c>
      <c r="W227" s="20" t="n">
        <v>898</v>
      </c>
      <c r="X227" s="20" t="n">
        <v>960</v>
      </c>
    </row>
    <row r="228">
      <c r="A228" s="18" t="inlineStr">
        <is>
          <t>손상차손</t>
        </is>
      </c>
      <c r="E228" s="20" t="n">
        <v>17</v>
      </c>
      <c r="I228" s="20" t="n">
        <v>212</v>
      </c>
      <c r="M228" s="20" t="n">
        <v>2</v>
      </c>
      <c r="O228" s="20" t="n">
        <v>54</v>
      </c>
      <c r="P228" s="20" t="n">
        <v>0</v>
      </c>
      <c r="Q228" s="20" t="n">
        <v>132</v>
      </c>
      <c r="R228" s="20" t="n">
        <v>13</v>
      </c>
      <c r="S228" s="20" t="n">
        <v>258</v>
      </c>
      <c r="T228" s="20" t="n">
        <v>0</v>
      </c>
      <c r="U228" s="20" t="n">
        <v>25</v>
      </c>
      <c r="V228" s="20" t="n">
        <v>17</v>
      </c>
      <c r="W228" s="20" t="n">
        <v>212</v>
      </c>
      <c r="X228" s="20" t="n">
        <v>2</v>
      </c>
    </row>
    <row r="229">
      <c r="A229" s="18" t="inlineStr">
        <is>
          <t>고정자산 매각손익</t>
        </is>
      </c>
      <c r="E229" s="20" t="n">
        <v>-7</v>
      </c>
      <c r="I229" s="20" t="n">
        <v>0</v>
      </c>
      <c r="T229" s="20" t="n">
        <v>40</v>
      </c>
      <c r="U229" s="20" t="n">
        <v>23</v>
      </c>
      <c r="V229" s="20" t="n">
        <v>-7</v>
      </c>
      <c r="W229" s="20" t="n">
        <v>0</v>
      </c>
    </row>
    <row r="230">
      <c r="A230" s="18" t="inlineStr">
        <is>
          <t>단계적 취득 차손익</t>
        </is>
      </c>
      <c r="E230" s="20" t="n">
        <v>0</v>
      </c>
      <c r="T230" s="20" t="n">
        <v>0</v>
      </c>
      <c r="U230" s="20" t="n">
        <v>142</v>
      </c>
      <c r="V230" s="20" t="n">
        <v>0</v>
      </c>
    </row>
    <row r="231">
      <c r="A231" s="18" t="inlineStr">
        <is>
          <t>고정자산 제각손실</t>
        </is>
      </c>
      <c r="I231" s="20" t="n">
        <v>0</v>
      </c>
      <c r="M231" s="20" t="n">
        <v>6</v>
      </c>
      <c r="W231" s="20" t="n">
        <v>0</v>
      </c>
      <c r="X231" s="20" t="n">
        <v>6</v>
      </c>
    </row>
    <row r="232">
      <c r="A232" s="18" t="inlineStr">
        <is>
          <t>영업권 상각</t>
        </is>
      </c>
      <c r="E232" s="20" t="n">
        <v>237</v>
      </c>
      <c r="I232" s="20" t="n">
        <v>237</v>
      </c>
      <c r="M232" s="20" t="n">
        <v>313</v>
      </c>
      <c r="O232" s="20" t="n">
        <v>100</v>
      </c>
      <c r="P232" s="20" t="n">
        <v>76</v>
      </c>
      <c r="Q232" s="20" t="n">
        <v>13</v>
      </c>
      <c r="R232" s="20" t="n">
        <v>11</v>
      </c>
      <c r="S232" s="20" t="n">
        <v>10</v>
      </c>
      <c r="T232" s="20" t="n">
        <v>0</v>
      </c>
      <c r="U232" s="20" t="n">
        <v>39</v>
      </c>
      <c r="V232" s="20" t="n">
        <v>237</v>
      </c>
      <c r="W232" s="20" t="n">
        <v>237</v>
      </c>
      <c r="X232" s="20" t="n">
        <v>313</v>
      </c>
    </row>
    <row r="233">
      <c r="A233" s="18" t="inlineStr">
        <is>
          <t>대손충당금 증감</t>
        </is>
      </c>
      <c r="E233" s="20" t="n">
        <v>694</v>
      </c>
      <c r="I233" s="20" t="n">
        <v>838</v>
      </c>
      <c r="M233" s="20" t="n">
        <v>-567</v>
      </c>
      <c r="O233" s="20" t="n">
        <v>3026</v>
      </c>
      <c r="P233" s="20" t="n">
        <v>4095</v>
      </c>
      <c r="Q233" s="20" t="n">
        <v>1952</v>
      </c>
      <c r="R233" s="20" t="n">
        <v>1766</v>
      </c>
      <c r="S233" s="20" t="n">
        <v>3113</v>
      </c>
      <c r="T233" s="20" t="n">
        <v>3378</v>
      </c>
      <c r="U233" s="20" t="n">
        <v>6652</v>
      </c>
      <c r="V233" s="20" t="n">
        <v>694</v>
      </c>
      <c r="W233" s="20" t="n">
        <v>838</v>
      </c>
      <c r="X233" s="20" t="n">
        <v>-567</v>
      </c>
    </row>
    <row r="234">
      <c r="A234" s="18" t="inlineStr">
        <is>
          <t>퇴직급여부채 증감</t>
        </is>
      </c>
      <c r="E234" s="20" t="n">
        <v>0</v>
      </c>
      <c r="I234" s="20" t="n">
        <v>0</v>
      </c>
      <c r="M234" s="20" t="n">
        <v>0</v>
      </c>
      <c r="O234" s="20" t="n">
        <v>18</v>
      </c>
      <c r="P234" s="20" t="n">
        <v>13</v>
      </c>
      <c r="Q234" s="20" t="n">
        <v>18</v>
      </c>
      <c r="R234" s="20" t="n">
        <v>12</v>
      </c>
      <c r="S234" s="20" t="n">
        <v>27</v>
      </c>
      <c r="T234" s="20" t="n">
        <v>8</v>
      </c>
      <c r="U234" s="20" t="n">
        <v>-1</v>
      </c>
      <c r="V234" s="20" t="n">
        <v>0</v>
      </c>
      <c r="W234" s="20" t="n">
        <v>0</v>
      </c>
      <c r="X234" s="20" t="n">
        <v>0</v>
      </c>
    </row>
    <row r="235">
      <c r="A235" s="18" t="inlineStr">
        <is>
          <t>임원 퇴직위로 충당금 증감</t>
        </is>
      </c>
      <c r="S235" s="20" t="n">
        <v>0</v>
      </c>
      <c r="T235" s="20" t="n">
        <v>-12</v>
      </c>
      <c r="U235" s="20" t="n">
        <v>0</v>
      </c>
    </row>
    <row r="236">
      <c r="A236" s="18" t="inlineStr">
        <is>
          <t>이자·배당금 수익</t>
        </is>
      </c>
      <c r="E236" s="20" t="n">
        <v>-308</v>
      </c>
      <c r="I236" s="20" t="n">
        <v>-410</v>
      </c>
      <c r="M236" s="20" t="n">
        <v>-444</v>
      </c>
      <c r="O236" s="20" t="n">
        <v>-131</v>
      </c>
      <c r="P236" s="20" t="n">
        <v>-150</v>
      </c>
      <c r="Q236" s="20" t="n">
        <v>-198</v>
      </c>
      <c r="R236" s="20" t="n">
        <v>-177</v>
      </c>
      <c r="S236" s="20" t="n">
        <v>-147</v>
      </c>
      <c r="T236" s="20" t="n">
        <v>-128</v>
      </c>
      <c r="U236" s="20" t="n">
        <v>-177</v>
      </c>
      <c r="V236" s="20" t="n">
        <v>-308</v>
      </c>
      <c r="W236" s="20" t="n">
        <v>-410</v>
      </c>
      <c r="X236" s="20" t="n">
        <v>-444</v>
      </c>
    </row>
    <row r="237">
      <c r="A237" s="18" t="inlineStr">
        <is>
          <t>이자비용</t>
        </is>
      </c>
      <c r="E237" s="20" t="n">
        <v>8</v>
      </c>
      <c r="I237" s="20" t="n">
        <v>8</v>
      </c>
      <c r="M237" s="20" t="n">
        <v>17</v>
      </c>
      <c r="O237" s="20" t="n">
        <v>66</v>
      </c>
      <c r="P237" s="20" t="n">
        <v>80</v>
      </c>
      <c r="Q237" s="20" t="n">
        <v>91</v>
      </c>
      <c r="R237" s="20" t="n">
        <v>70</v>
      </c>
      <c r="S237" s="20" t="n">
        <v>70</v>
      </c>
      <c r="T237" s="20" t="n">
        <v>47</v>
      </c>
      <c r="U237" s="20" t="n">
        <v>24</v>
      </c>
      <c r="V237" s="20" t="n">
        <v>8</v>
      </c>
      <c r="W237" s="20" t="n">
        <v>8</v>
      </c>
      <c r="X237" s="20" t="n">
        <v>17</v>
      </c>
    </row>
    <row r="238">
      <c r="A238" s="18" t="inlineStr">
        <is>
          <t>외환차손익</t>
        </is>
      </c>
      <c r="E238" s="20" t="n">
        <v>-1190</v>
      </c>
      <c r="I238" s="20" t="n">
        <v>-76</v>
      </c>
      <c r="M238" s="20" t="n">
        <v>-274</v>
      </c>
      <c r="O238" s="20" t="n">
        <v>13451</v>
      </c>
      <c r="P238" s="20" t="n">
        <v>-1454</v>
      </c>
      <c r="Q238" s="20" t="n">
        <v>2742</v>
      </c>
      <c r="R238" s="20" t="n">
        <v>1390</v>
      </c>
      <c r="S238" s="20" t="n">
        <v>420</v>
      </c>
      <c r="T238" s="20" t="n">
        <v>-410</v>
      </c>
      <c r="U238" s="20" t="n">
        <v>2608</v>
      </c>
      <c r="V238" s="20" t="n">
        <v>-1190</v>
      </c>
      <c r="W238" s="20" t="n">
        <v>-76</v>
      </c>
      <c r="X238" s="20" t="n">
        <v>-274</v>
      </c>
    </row>
    <row r="239">
      <c r="A239" s="18" t="inlineStr">
        <is>
          <t>지분법손익</t>
        </is>
      </c>
      <c r="E239" s="20" t="n">
        <v>-9918</v>
      </c>
      <c r="I239" s="20" t="n">
        <v>-15447</v>
      </c>
      <c r="M239" s="20" t="n">
        <v>-16309</v>
      </c>
      <c r="O239" s="20" t="n">
        <v>-963</v>
      </c>
      <c r="P239" s="20" t="n">
        <v>-5</v>
      </c>
      <c r="Q239" s="20" t="n">
        <v>-1034</v>
      </c>
      <c r="R239" s="20" t="n">
        <v>-934</v>
      </c>
      <c r="S239" s="20" t="n">
        <v>-687</v>
      </c>
      <c r="T239" s="20" t="n">
        <v>-1172</v>
      </c>
      <c r="U239" s="20" t="n">
        <v>-758</v>
      </c>
      <c r="V239" s="20" t="n">
        <v>-9918</v>
      </c>
      <c r="W239" s="20" t="n">
        <v>-15447</v>
      </c>
      <c r="X239" s="20" t="n">
        <v>-16309</v>
      </c>
    </row>
    <row r="240">
      <c r="A240" s="18" t="inlineStr">
        <is>
          <t>투자사업조합 운용 손익(△는 이익)</t>
        </is>
      </c>
      <c r="O240" s="20" t="n">
        <v>0</v>
      </c>
      <c r="P240" s="20" t="n">
        <v>54</v>
      </c>
      <c r="Q240" s="20" t="n">
        <v>21</v>
      </c>
      <c r="R240" s="20" t="n">
        <v>-75</v>
      </c>
      <c r="S240" s="20" t="n">
        <v>125</v>
      </c>
      <c r="T240" s="20" t="n">
        <v>-88</v>
      </c>
      <c r="U240" s="20" t="n">
        <v>-0</v>
      </c>
    </row>
    <row r="241">
      <c r="A241" s="18" t="inlineStr">
        <is>
          <t>투자유가증권 매각손익</t>
        </is>
      </c>
      <c r="E241" s="20" t="n">
        <v>-65</v>
      </c>
      <c r="I241" s="20" t="n">
        <v>-79</v>
      </c>
      <c r="M241" s="20" t="n">
        <v>-286</v>
      </c>
      <c r="O241" s="20" t="n">
        <v>-430</v>
      </c>
      <c r="P241" s="20" t="n">
        <v>-532</v>
      </c>
      <c r="Q241" s="20" t="n">
        <v>-741</v>
      </c>
      <c r="R241" s="20" t="n">
        <v>-2598</v>
      </c>
      <c r="S241" s="20" t="n">
        <v>-73</v>
      </c>
      <c r="T241" s="20" t="n">
        <v>-190</v>
      </c>
      <c r="U241" s="20" t="n">
        <v>0</v>
      </c>
      <c r="V241" s="20" t="n">
        <v>-65</v>
      </c>
      <c r="W241" s="20" t="n">
        <v>-79</v>
      </c>
      <c r="X241" s="20" t="n">
        <v>-286</v>
      </c>
    </row>
    <row r="242">
      <c r="A242" s="18" t="inlineStr">
        <is>
          <t>투자유가증권 평가손익</t>
        </is>
      </c>
      <c r="E242" s="20" t="n">
        <v>95</v>
      </c>
      <c r="I242" s="20" t="n">
        <v>15</v>
      </c>
      <c r="M242" s="20" t="n">
        <v>0</v>
      </c>
      <c r="O242" s="20" t="n">
        <v>1</v>
      </c>
      <c r="P242" s="20" t="n">
        <v>0</v>
      </c>
      <c r="Q242" s="20" t="n">
        <v>0</v>
      </c>
      <c r="R242" s="20" t="n">
        <v>168</v>
      </c>
      <c r="S242" s="20" t="n">
        <v>55</v>
      </c>
      <c r="T242" s="20" t="n">
        <v>2</v>
      </c>
      <c r="U242" s="20" t="n">
        <v>307</v>
      </c>
      <c r="V242" s="20" t="n">
        <v>95</v>
      </c>
      <c r="W242" s="20" t="n">
        <v>15</v>
      </c>
      <c r="X242" s="20" t="n">
        <v>0</v>
      </c>
    </row>
    <row r="243">
      <c r="A243" s="18" t="inlineStr">
        <is>
          <t>관계회사 주식 매각손익</t>
        </is>
      </c>
      <c r="E243" s="20" t="n">
        <v>0</v>
      </c>
      <c r="O243" s="20" t="n">
        <v>-1560</v>
      </c>
      <c r="P243" s="20" t="n">
        <v>0</v>
      </c>
      <c r="Q243" s="20" t="n">
        <v>-0</v>
      </c>
      <c r="R243" s="20" t="n">
        <v>0</v>
      </c>
      <c r="S243" s="20" t="n">
        <v>104</v>
      </c>
      <c r="T243" s="20" t="n">
        <v>-468</v>
      </c>
      <c r="U243" s="20" t="n">
        <v>-5758</v>
      </c>
      <c r="V243" s="20" t="n">
        <v>0</v>
      </c>
    </row>
    <row r="244">
      <c r="A244" s="18" t="inlineStr">
        <is>
          <t>사업구조개선비용</t>
        </is>
      </c>
      <c r="O244" s="20" t="n">
        <v>21</v>
      </c>
      <c r="P244" s="20" t="n">
        <v>0</v>
      </c>
    </row>
    <row r="245">
      <c r="A245" s="18" t="inlineStr">
        <is>
          <t>관계회사 주식 평가손실</t>
        </is>
      </c>
      <c r="P245" s="20" t="n">
        <v>0</v>
      </c>
      <c r="Q245" s="20" t="n">
        <v>92</v>
      </c>
      <c r="R245" s="20" t="n">
        <v>0</v>
      </c>
    </row>
    <row r="246">
      <c r="A246" s="18" t="inlineStr">
        <is>
          <t>Decrease Increase In Cash Segregated As Deposits Ope CFSEC</t>
        </is>
      </c>
      <c r="S246" s="20" t="n">
        <v>0</v>
      </c>
      <c r="T246" s="20" t="n">
        <v>99</v>
      </c>
      <c r="U246" s="20" t="n">
        <v>49</v>
      </c>
    </row>
    <row r="247">
      <c r="A247" s="18" t="inlineStr">
        <is>
          <t>Decrease Increase In Trading Products Assets Ope CFSEC</t>
        </is>
      </c>
      <c r="O247" s="20" t="n">
        <v>324</v>
      </c>
      <c r="P247" s="20" t="n">
        <v>-779</v>
      </c>
      <c r="Q247" s="20" t="n">
        <v>189</v>
      </c>
      <c r="R247" s="20" t="n">
        <v>357</v>
      </c>
      <c r="S247" s="20" t="n">
        <v>-132</v>
      </c>
      <c r="T247" s="20" t="n">
        <v>-141</v>
      </c>
      <c r="U247" s="20" t="n">
        <v>0</v>
      </c>
    </row>
    <row r="248">
      <c r="A248" s="18" t="inlineStr">
        <is>
          <t>예수금 증감</t>
        </is>
      </c>
      <c r="E248" s="20" t="n">
        <v>43</v>
      </c>
      <c r="I248" s="20" t="n">
        <v>-32</v>
      </c>
      <c r="M248" s="20" t="n">
        <v>-3</v>
      </c>
      <c r="O248" s="20" t="n">
        <v>-194</v>
      </c>
      <c r="P248" s="20" t="n">
        <v>-158</v>
      </c>
      <c r="Q248" s="20" t="n">
        <v>-952</v>
      </c>
      <c r="R248" s="20" t="n">
        <v>1451</v>
      </c>
      <c r="S248" s="20" t="n">
        <v>1275</v>
      </c>
      <c r="T248" s="20" t="n">
        <v>-492</v>
      </c>
      <c r="U248" s="20" t="n">
        <v>-1</v>
      </c>
      <c r="V248" s="20" t="n">
        <v>43</v>
      </c>
      <c r="W248" s="20" t="n">
        <v>-32</v>
      </c>
      <c r="X248" s="20" t="n">
        <v>-3</v>
      </c>
    </row>
    <row r="249">
      <c r="A249" s="18" t="inlineStr">
        <is>
          <t>Increase Decrease In Guarantee Deposits Received Ope CFSEC</t>
        </is>
      </c>
      <c r="O249" s="20" t="n">
        <v>-659</v>
      </c>
      <c r="P249" s="20" t="n">
        <v>901</v>
      </c>
      <c r="Q249" s="20" t="n">
        <v>-1648</v>
      </c>
      <c r="R249" s="20" t="n">
        <v>230</v>
      </c>
      <c r="S249" s="20" t="n">
        <v>-391</v>
      </c>
      <c r="T249" s="20" t="n">
        <v>381</v>
      </c>
      <c r="U249" s="20" t="n">
        <v>0</v>
      </c>
    </row>
    <row r="250">
      <c r="A250" s="18" t="inlineStr">
        <is>
          <t>Decrease Increase In Margin Transaction Assets Ope CFSEC</t>
        </is>
      </c>
      <c r="O250" s="20" t="n">
        <v>823</v>
      </c>
      <c r="P250" s="20" t="n">
        <v>-2358</v>
      </c>
      <c r="Q250" s="20" t="n">
        <v>7151</v>
      </c>
      <c r="R250" s="20" t="n">
        <v>1882</v>
      </c>
      <c r="S250" s="20" t="n">
        <v>-1282</v>
      </c>
      <c r="T250" s="20" t="n">
        <v>264</v>
      </c>
      <c r="U250" s="20" t="n">
        <v>0</v>
      </c>
    </row>
    <row r="251">
      <c r="A251" s="18" t="inlineStr">
        <is>
          <t>Increase Decrease In Margin Transaction Liabilities Ope CFSEC</t>
        </is>
      </c>
      <c r="O251" s="20" t="n">
        <v>-1883</v>
      </c>
      <c r="P251" s="20" t="n">
        <v>580</v>
      </c>
      <c r="Q251" s="20" t="n">
        <v>-5919</v>
      </c>
      <c r="R251" s="20" t="n">
        <v>-1147</v>
      </c>
      <c r="S251" s="20" t="n">
        <v>2344</v>
      </c>
      <c r="T251" s="20" t="n">
        <v>805</v>
      </c>
      <c r="U251" s="20" t="n">
        <v>0</v>
      </c>
    </row>
    <row r="252">
      <c r="A252" s="18" t="inlineStr">
        <is>
          <t>Decrease Increase In Loans Secured By Securities Ope CFSEC</t>
        </is>
      </c>
      <c r="P252" s="20" t="n">
        <v>0</v>
      </c>
      <c r="Q252" s="20" t="n">
        <v>-76</v>
      </c>
      <c r="R252" s="20" t="n">
        <v>76</v>
      </c>
      <c r="S252" s="20" t="n">
        <v>0</v>
      </c>
    </row>
    <row r="253">
      <c r="A253" s="18" t="inlineStr">
        <is>
          <t>Increase Decrease In Borrowings Secured By Securities Ope CFSEC</t>
        </is>
      </c>
      <c r="P253" s="20" t="n">
        <v>0</v>
      </c>
      <c r="Q253" s="20" t="n">
        <v>369</v>
      </c>
      <c r="R253" s="20" t="n">
        <v>-161</v>
      </c>
      <c r="S253" s="20" t="n">
        <v>-93</v>
      </c>
      <c r="T253" s="20" t="n">
        <v>-114</v>
      </c>
      <c r="U253" s="20" t="n">
        <v>0</v>
      </c>
    </row>
    <row r="254">
      <c r="A254" s="18" t="inlineStr">
        <is>
          <t>Decrease Increase In Short Term Guarantee Deposits Ope CFSEC</t>
        </is>
      </c>
      <c r="O254" s="20" t="n">
        <v>40</v>
      </c>
      <c r="P254" s="20" t="n">
        <v>775</v>
      </c>
      <c r="Q254" s="20" t="n">
        <v>-15</v>
      </c>
      <c r="R254" s="20" t="n">
        <v>-17</v>
      </c>
      <c r="S254" s="20" t="n">
        <v>102</v>
      </c>
      <c r="T254" s="20" t="n">
        <v>-83</v>
      </c>
      <c r="U254" s="20" t="n">
        <v>0</v>
      </c>
    </row>
    <row r="255">
      <c r="A255" s="18" t="inlineStr">
        <is>
          <t>Decrease Increase In Cash Segregated As Deposits For Customers Ope CFSEC</t>
        </is>
      </c>
      <c r="O255" s="20" t="n">
        <v>321</v>
      </c>
      <c r="P255" s="20" t="n">
        <v>-2449</v>
      </c>
      <c r="Q255" s="20" t="n">
        <v>2310</v>
      </c>
      <c r="R255" s="20" t="n">
        <v>460</v>
      </c>
      <c r="S255" s="20" t="n">
        <v>-3264</v>
      </c>
      <c r="T255" s="20" t="n">
        <v>2300</v>
      </c>
      <c r="U255" s="20" t="n">
        <v>0</v>
      </c>
    </row>
    <row r="256">
      <c r="A256" s="18" t="inlineStr">
        <is>
          <t>Net Decrease Increase In Debentures Ope CF</t>
        </is>
      </c>
      <c r="E256" s="20" t="n">
        <v>2214</v>
      </c>
      <c r="I256" s="20" t="n">
        <v>0</v>
      </c>
      <c r="O256" s="20" t="n">
        <v>-22507</v>
      </c>
      <c r="P256" s="20" t="n">
        <v>3651</v>
      </c>
      <c r="Q256" s="20" t="n">
        <v>10896</v>
      </c>
      <c r="R256" s="20" t="n">
        <v>5526</v>
      </c>
      <c r="S256" s="20" t="n">
        <v>5454</v>
      </c>
      <c r="T256" s="20" t="n">
        <v>5525</v>
      </c>
      <c r="U256" s="20" t="n">
        <v>92</v>
      </c>
      <c r="V256" s="20" t="n">
        <v>2214</v>
      </c>
      <c r="W256" s="20" t="n">
        <v>0</v>
      </c>
    </row>
    <row r="257">
      <c r="A257" s="18" t="inlineStr">
        <is>
          <t>대출금 순증감</t>
        </is>
      </c>
      <c r="E257" s="20" t="n">
        <v>-19246</v>
      </c>
      <c r="I257" s="20" t="n">
        <v>1193</v>
      </c>
      <c r="M257" s="20" t="n">
        <v>-1241</v>
      </c>
      <c r="O257" s="20" t="n">
        <v>-12015</v>
      </c>
      <c r="P257" s="20" t="n">
        <v>-15306</v>
      </c>
      <c r="Q257" s="20" t="n">
        <v>-40297</v>
      </c>
      <c r="R257" s="20" t="n">
        <v>-20426</v>
      </c>
      <c r="S257" s="20" t="n">
        <v>-12181</v>
      </c>
      <c r="T257" s="20" t="n">
        <v>-67790</v>
      </c>
      <c r="U257" s="20" t="n">
        <v>-39526</v>
      </c>
      <c r="V257" s="20" t="n">
        <v>-19246</v>
      </c>
      <c r="W257" s="20" t="n">
        <v>1193</v>
      </c>
      <c r="X257" s="20" t="n">
        <v>-1241</v>
      </c>
    </row>
    <row r="258">
      <c r="A258" s="18" t="inlineStr">
        <is>
          <t>Net Increase Decrease In Payables Under Repurchase Agreements Ope CF</t>
        </is>
      </c>
      <c r="E258" s="20" t="n">
        <v>-2294</v>
      </c>
      <c r="I258" s="20" t="n">
        <v>0</v>
      </c>
      <c r="M258" s="20" t="n">
        <v>348</v>
      </c>
      <c r="Q258" s="20" t="n">
        <v>4460</v>
      </c>
      <c r="R258" s="20" t="n">
        <v>4005</v>
      </c>
      <c r="S258" s="20" t="n">
        <v>-4141</v>
      </c>
      <c r="T258" s="20" t="n">
        <v>6432</v>
      </c>
      <c r="U258" s="20" t="n">
        <v>-8088</v>
      </c>
      <c r="V258" s="20" t="n">
        <v>-2294</v>
      </c>
      <c r="W258" s="20" t="n">
        <v>0</v>
      </c>
      <c r="X258" s="20" t="n">
        <v>348</v>
      </c>
    </row>
    <row r="259">
      <c r="A259" s="18" t="inlineStr">
        <is>
          <t>예금 순증감</t>
        </is>
      </c>
      <c r="E259" s="20" t="n">
        <v>-2565</v>
      </c>
      <c r="I259" s="20" t="n">
        <v>-1662</v>
      </c>
      <c r="M259" s="20" t="n">
        <v>-534</v>
      </c>
      <c r="O259" s="20" t="n">
        <v>47525</v>
      </c>
      <c r="P259" s="20" t="n">
        <v>42958</v>
      </c>
      <c r="Q259" s="20" t="n">
        <v>67912</v>
      </c>
      <c r="R259" s="20" t="n">
        <v>37365</v>
      </c>
      <c r="S259" s="20" t="n">
        <v>75836</v>
      </c>
      <c r="T259" s="20" t="n">
        <v>36305</v>
      </c>
      <c r="U259" s="20" t="n">
        <v>43224</v>
      </c>
      <c r="V259" s="20" t="n">
        <v>-2565</v>
      </c>
      <c r="W259" s="20" t="n">
        <v>-1662</v>
      </c>
      <c r="X259" s="20" t="n">
        <v>-534</v>
      </c>
    </row>
    <row r="260">
      <c r="A260" s="18" t="inlineStr">
        <is>
          <t>Increase Decrease In Reserve For Financial Products Transaction Liabilities Ope CFSEC</t>
        </is>
      </c>
      <c r="O260" s="20" t="n">
        <v>6</v>
      </c>
      <c r="P260" s="20" t="n">
        <v>0</v>
      </c>
    </row>
    <row r="261">
      <c r="A261" s="18" t="inlineStr">
        <is>
          <t>Net Increase In Mandatory Cash Balances With The Bank Of Mongolia Ope CF</t>
        </is>
      </c>
      <c r="E261" s="20" t="n">
        <v>-4352</v>
      </c>
      <c r="I261" s="20" t="n">
        <v>0</v>
      </c>
      <c r="O261" s="20" t="n">
        <v>-6076</v>
      </c>
      <c r="P261" s="20" t="n">
        <v>-3498</v>
      </c>
      <c r="Q261" s="20" t="n">
        <v>-4115</v>
      </c>
      <c r="R261" s="20" t="n">
        <v>-5533</v>
      </c>
      <c r="S261" s="20" t="n">
        <v>168</v>
      </c>
      <c r="T261" s="20" t="n">
        <v>-2554</v>
      </c>
      <c r="U261" s="20" t="n">
        <v>-6722</v>
      </c>
      <c r="V261" s="20" t="n">
        <v>-4352</v>
      </c>
      <c r="W261" s="20" t="n">
        <v>0</v>
      </c>
    </row>
    <row r="262">
      <c r="A262" s="18" t="inlineStr">
        <is>
          <t>파생상품 평가손익</t>
        </is>
      </c>
      <c r="O262" s="20" t="n">
        <v>1193</v>
      </c>
      <c r="P262" s="20" t="n">
        <v>1189</v>
      </c>
      <c r="Q262" s="20" t="n">
        <v>592</v>
      </c>
      <c r="R262" s="20" t="n">
        <v>109</v>
      </c>
      <c r="S262" s="20" t="n">
        <v>160</v>
      </c>
      <c r="T262" s="20" t="n">
        <v>7</v>
      </c>
      <c r="U262" s="20" t="n">
        <v>-658</v>
      </c>
    </row>
    <row r="263">
      <c r="A263" s="18" t="inlineStr">
        <is>
          <t>재고자산 증감</t>
        </is>
      </c>
      <c r="E263" s="20" t="n">
        <v>-188</v>
      </c>
      <c r="I263" s="20" t="n">
        <v>-167</v>
      </c>
      <c r="M263" s="20" t="n">
        <v>-1511</v>
      </c>
      <c r="T263" s="20" t="n">
        <v>0</v>
      </c>
      <c r="U263" s="20" t="n">
        <v>-283</v>
      </c>
      <c r="V263" s="20" t="n">
        <v>-188</v>
      </c>
      <c r="W263" s="20" t="n">
        <v>-167</v>
      </c>
      <c r="X263" s="20" t="n">
        <v>-1511</v>
      </c>
    </row>
    <row r="264">
      <c r="A264" s="18" t="inlineStr">
        <is>
          <t>기타</t>
        </is>
      </c>
      <c r="E264" s="20" t="n">
        <v>-1328</v>
      </c>
      <c r="I264" s="20" t="n">
        <v>-955</v>
      </c>
      <c r="M264" s="20" t="n">
        <v>-1641</v>
      </c>
      <c r="O264" s="20" t="n">
        <v>-7454</v>
      </c>
      <c r="P264" s="20" t="n">
        <v>1025</v>
      </c>
      <c r="Q264" s="20" t="n">
        <v>-2852</v>
      </c>
      <c r="R264" s="20" t="n">
        <v>3130</v>
      </c>
      <c r="S264" s="20" t="n">
        <v>342</v>
      </c>
      <c r="T264" s="20" t="n">
        <v>-1313</v>
      </c>
      <c r="U264" s="20" t="n">
        <v>-1783</v>
      </c>
      <c r="V264" s="20" t="n">
        <v>-1328</v>
      </c>
      <c r="W264" s="20" t="n">
        <v>-955</v>
      </c>
      <c r="X264" s="20" t="n">
        <v>-1641</v>
      </c>
    </row>
    <row r="265">
      <c r="A265" s="18" t="inlineStr">
        <is>
          <t>소계</t>
        </is>
      </c>
      <c r="E265" s="20" t="n">
        <v>-21349</v>
      </c>
      <c r="I265" s="20" t="n">
        <v>-501</v>
      </c>
      <c r="M265" s="20" t="n">
        <v>-3174</v>
      </c>
      <c r="O265" s="20" t="n">
        <v>23096</v>
      </c>
      <c r="P265" s="20" t="n">
        <v>37864</v>
      </c>
      <c r="Q265" s="20" t="n">
        <v>54245</v>
      </c>
      <c r="R265" s="20" t="n">
        <v>43341</v>
      </c>
      <c r="S265" s="20" t="n">
        <v>79481</v>
      </c>
      <c r="T265" s="20" t="n">
        <v>1848</v>
      </c>
      <c r="U265" s="20" t="n">
        <v>24583</v>
      </c>
      <c r="V265" s="20" t="n">
        <v>-21349</v>
      </c>
      <c r="W265" s="20" t="n">
        <v>-501</v>
      </c>
      <c r="X265" s="20" t="n">
        <v>-3174</v>
      </c>
    </row>
    <row r="266">
      <c r="A266" s="18" t="inlineStr">
        <is>
          <t>이자·배당금 수취</t>
        </is>
      </c>
      <c r="E266" s="20" t="n">
        <v>337</v>
      </c>
      <c r="I266" s="20" t="n">
        <v>6522</v>
      </c>
      <c r="M266" s="20" t="n">
        <v>8033</v>
      </c>
      <c r="O266" s="20" t="n">
        <v>341</v>
      </c>
      <c r="P266" s="20" t="n">
        <v>388</v>
      </c>
      <c r="Q266" s="20" t="n">
        <v>429</v>
      </c>
      <c r="R266" s="20" t="n">
        <v>1000</v>
      </c>
      <c r="S266" s="20" t="n">
        <v>914</v>
      </c>
      <c r="T266" s="20" t="n">
        <v>818</v>
      </c>
      <c r="U266" s="20" t="n">
        <v>178</v>
      </c>
      <c r="V266" s="20" t="n">
        <v>337</v>
      </c>
      <c r="W266" s="20" t="n">
        <v>6522</v>
      </c>
      <c r="X266" s="20" t="n">
        <v>8033</v>
      </c>
    </row>
    <row r="267">
      <c r="A267" s="18" t="inlineStr">
        <is>
          <t>이자 지급</t>
        </is>
      </c>
      <c r="E267" s="20" t="n">
        <v>-16</v>
      </c>
      <c r="I267" s="20" t="n">
        <v>-16</v>
      </c>
      <c r="M267" s="20" t="n">
        <v>-23</v>
      </c>
      <c r="O267" s="20" t="n">
        <v>-66</v>
      </c>
      <c r="P267" s="20" t="n">
        <v>-80</v>
      </c>
      <c r="Q267" s="20" t="n">
        <v>-91</v>
      </c>
      <c r="R267" s="20" t="n">
        <v>-70</v>
      </c>
      <c r="S267" s="20" t="n">
        <v>-70</v>
      </c>
      <c r="T267" s="20" t="n">
        <v>-47</v>
      </c>
      <c r="U267" s="20" t="n">
        <v>-24</v>
      </c>
      <c r="V267" s="20" t="n">
        <v>-16</v>
      </c>
      <c r="W267" s="20" t="n">
        <v>-16</v>
      </c>
      <c r="X267" s="20" t="n">
        <v>-23</v>
      </c>
    </row>
    <row r="268">
      <c r="A268" s="18" t="inlineStr">
        <is>
          <t>법인세 납부</t>
        </is>
      </c>
      <c r="E268" s="20" t="n">
        <v>-4691</v>
      </c>
      <c r="I268" s="20" t="n">
        <v>-1506</v>
      </c>
      <c r="M268" s="20" t="n">
        <v>-2659</v>
      </c>
      <c r="O268" s="20" t="n">
        <v>-520</v>
      </c>
      <c r="P268" s="20" t="n">
        <v>-455</v>
      </c>
      <c r="Q268" s="20" t="n">
        <v>-2249</v>
      </c>
      <c r="R268" s="20" t="n">
        <v>-2932</v>
      </c>
      <c r="S268" s="20" t="n">
        <v>-2687</v>
      </c>
      <c r="T268" s="20" t="n">
        <v>-7641</v>
      </c>
      <c r="U268" s="20" t="n">
        <v>-7423</v>
      </c>
      <c r="V268" s="20" t="n">
        <v>-4691</v>
      </c>
      <c r="W268" s="20" t="n">
        <v>-1506</v>
      </c>
      <c r="X268" s="20" t="n">
        <v>-2659</v>
      </c>
    </row>
    <row r="269">
      <c r="A269" s="18" t="inlineStr">
        <is>
          <t>법인세 환급</t>
        </is>
      </c>
      <c r="E269" s="20" t="n">
        <v>133</v>
      </c>
      <c r="I269" s="20" t="n">
        <v>35</v>
      </c>
      <c r="M269" s="20" t="n">
        <v>0</v>
      </c>
      <c r="O269" s="20" t="n">
        <v>128</v>
      </c>
      <c r="P269" s="20" t="n">
        <v>17</v>
      </c>
      <c r="Q269" s="20" t="n">
        <v>79</v>
      </c>
      <c r="R269" s="20" t="n">
        <v>105</v>
      </c>
      <c r="S269" s="20" t="n">
        <v>0</v>
      </c>
      <c r="T269" s="20" t="n">
        <v>235</v>
      </c>
      <c r="U269" s="20" t="n">
        <v>1191</v>
      </c>
      <c r="V269" s="20" t="n">
        <v>133</v>
      </c>
      <c r="W269" s="20" t="n">
        <v>35</v>
      </c>
      <c r="X269" s="20" t="n">
        <v>0</v>
      </c>
    </row>
    <row r="270">
      <c r="A270" s="9" t="inlineStr">
        <is>
          <t>영업활동 현금흐름</t>
        </is>
      </c>
      <c r="E270" s="12" t="n">
        <v>-25586</v>
      </c>
      <c r="I270" s="12" t="n">
        <v>4532</v>
      </c>
      <c r="M270" s="12" t="n">
        <v>2176</v>
      </c>
      <c r="O270" s="12" t="n">
        <v>22979</v>
      </c>
      <c r="P270" s="12" t="n">
        <v>37735</v>
      </c>
      <c r="Q270" s="12" t="n">
        <v>52412</v>
      </c>
      <c r="R270" s="12" t="n">
        <v>41444</v>
      </c>
      <c r="S270" s="12" t="n">
        <v>77637</v>
      </c>
      <c r="T270" s="12" t="n">
        <v>-4785</v>
      </c>
      <c r="U270" s="12" t="n">
        <v>18505</v>
      </c>
      <c r="V270" s="12" t="n">
        <v>-25586</v>
      </c>
      <c r="W270" s="12" t="n">
        <v>4532</v>
      </c>
      <c r="X270" s="12" t="n">
        <v>2176</v>
      </c>
    </row>
    <row r="271">
      <c r="A271" s="18" t="inlineStr">
        <is>
          <t>유형자산 취득(설비투자)</t>
        </is>
      </c>
      <c r="E271" s="20" t="n">
        <v>-914</v>
      </c>
      <c r="I271" s="20" t="n">
        <v>-1821</v>
      </c>
      <c r="M271" s="20" t="n">
        <v>-444</v>
      </c>
      <c r="O271" s="20" t="n">
        <v>-5225</v>
      </c>
      <c r="P271" s="20" t="n">
        <v>-4015</v>
      </c>
      <c r="Q271" s="20" t="n">
        <v>-3223</v>
      </c>
      <c r="R271" s="20" t="n">
        <v>-4255</v>
      </c>
      <c r="S271" s="20" t="n">
        <v>-1990</v>
      </c>
      <c r="T271" s="20" t="n">
        <v>-1802</v>
      </c>
      <c r="U271" s="20" t="n">
        <v>-2660</v>
      </c>
      <c r="V271" s="20" t="n">
        <v>-914</v>
      </c>
      <c r="W271" s="20" t="n">
        <v>-1821</v>
      </c>
      <c r="X271" s="20" t="n">
        <v>-444</v>
      </c>
    </row>
    <row r="272">
      <c r="A272" s="18" t="inlineStr">
        <is>
          <t>유형자산 매각</t>
        </is>
      </c>
      <c r="E272" s="20" t="n">
        <v>8</v>
      </c>
      <c r="I272" s="20" t="n">
        <v>0</v>
      </c>
      <c r="O272" s="20" t="n">
        <v>57</v>
      </c>
      <c r="P272" s="20" t="n">
        <v>43</v>
      </c>
      <c r="Q272" s="20" t="n">
        <v>0</v>
      </c>
      <c r="R272" s="20" t="n">
        <v>0</v>
      </c>
      <c r="T272" s="20" t="n">
        <v>0</v>
      </c>
      <c r="U272" s="20" t="n">
        <v>87</v>
      </c>
      <c r="V272" s="20" t="n">
        <v>8</v>
      </c>
      <c r="W272" s="20" t="n">
        <v>0</v>
      </c>
    </row>
    <row r="273">
      <c r="A273" s="18" t="inlineStr">
        <is>
          <t>무형자산 취득</t>
        </is>
      </c>
      <c r="E273" s="20" t="n">
        <v>-131</v>
      </c>
      <c r="I273" s="20" t="n">
        <v>-60</v>
      </c>
      <c r="M273" s="20" t="n">
        <v>-120</v>
      </c>
      <c r="O273" s="20" t="n">
        <v>-889</v>
      </c>
      <c r="P273" s="20" t="n">
        <v>-509</v>
      </c>
      <c r="Q273" s="20" t="n">
        <v>-587</v>
      </c>
      <c r="R273" s="20" t="n">
        <v>-1115</v>
      </c>
      <c r="S273" s="20" t="n">
        <v>-832</v>
      </c>
      <c r="T273" s="20" t="n">
        <v>-885</v>
      </c>
      <c r="U273" s="20" t="n">
        <v>-725</v>
      </c>
      <c r="V273" s="20" t="n">
        <v>-131</v>
      </c>
      <c r="W273" s="20" t="n">
        <v>-60</v>
      </c>
      <c r="X273" s="20" t="n">
        <v>-120</v>
      </c>
    </row>
    <row r="274">
      <c r="A274" s="18" t="inlineStr">
        <is>
          <t>투자유가증권 취득</t>
        </is>
      </c>
      <c r="E274" s="20" t="n">
        <v>-12214</v>
      </c>
      <c r="I274" s="20" t="n">
        <v>-421</v>
      </c>
      <c r="M274" s="20" t="n">
        <v>-259</v>
      </c>
      <c r="O274" s="20" t="n">
        <v>-3648</v>
      </c>
      <c r="P274" s="20" t="n">
        <v>-13716</v>
      </c>
      <c r="Q274" s="20" t="n">
        <v>-4355</v>
      </c>
      <c r="R274" s="20" t="n">
        <v>-2753</v>
      </c>
      <c r="S274" s="20" t="n">
        <v>-13852</v>
      </c>
      <c r="T274" s="20" t="n">
        <v>-14310</v>
      </c>
      <c r="U274" s="20" t="n">
        <v>-32034</v>
      </c>
      <c r="V274" s="20" t="n">
        <v>-12214</v>
      </c>
      <c r="W274" s="20" t="n">
        <v>-421</v>
      </c>
      <c r="X274" s="20" t="n">
        <v>-259</v>
      </c>
    </row>
    <row r="275">
      <c r="A275" s="18" t="inlineStr">
        <is>
          <t>투자유가증권 매각·상환 수입</t>
        </is>
      </c>
      <c r="E275" s="20" t="n">
        <v>7899</v>
      </c>
      <c r="I275" s="20" t="n">
        <v>450</v>
      </c>
      <c r="M275" s="20" t="n">
        <v>2398</v>
      </c>
      <c r="O275" s="20" t="n">
        <v>6122</v>
      </c>
      <c r="P275" s="20" t="n">
        <v>17997</v>
      </c>
      <c r="Q275" s="20" t="n">
        <v>3959</v>
      </c>
      <c r="R275" s="20" t="n">
        <v>6401</v>
      </c>
      <c r="S275" s="20" t="n">
        <v>5627</v>
      </c>
      <c r="T275" s="20" t="n">
        <v>7335</v>
      </c>
      <c r="U275" s="20" t="n">
        <v>7690</v>
      </c>
      <c r="V275" s="20" t="n">
        <v>7899</v>
      </c>
      <c r="W275" s="20" t="n">
        <v>450</v>
      </c>
      <c r="X275" s="20" t="n">
        <v>2398</v>
      </c>
    </row>
    <row r="276">
      <c r="A276" s="18" t="inlineStr">
        <is>
          <t>관계회사 주식 매각</t>
        </is>
      </c>
      <c r="E276" s="20" t="n">
        <v>0</v>
      </c>
      <c r="I276" s="20" t="n">
        <v>0</v>
      </c>
      <c r="O276" s="20" t="n">
        <v>1033</v>
      </c>
      <c r="P276" s="20" t="n">
        <v>1</v>
      </c>
      <c r="Q276" s="20" t="n">
        <v>0</v>
      </c>
      <c r="R276" s="20" t="n">
        <v>0</v>
      </c>
      <c r="T276" s="20" t="n">
        <v>0</v>
      </c>
      <c r="U276" s="20" t="n">
        <v>12900</v>
      </c>
      <c r="V276" s="20" t="n">
        <v>0</v>
      </c>
      <c r="W276" s="20" t="n">
        <v>0</v>
      </c>
    </row>
    <row r="277">
      <c r="A277" s="18" t="inlineStr">
        <is>
          <t>연결범위 변경 자회사 주식 취득(수입)</t>
        </is>
      </c>
      <c r="O277" s="20" t="n">
        <v>0</v>
      </c>
      <c r="P277" s="20" t="n">
        <v>1077</v>
      </c>
      <c r="Q277" s="20" t="n">
        <v>0</v>
      </c>
    </row>
    <row r="278">
      <c r="A278" s="18" t="inlineStr">
        <is>
          <t>관계회사 정리 수입</t>
        </is>
      </c>
      <c r="O278" s="20" t="n">
        <v>0</v>
      </c>
      <c r="P278" s="20" t="n">
        <v>164</v>
      </c>
      <c r="Q278" s="20" t="n">
        <v>0</v>
      </c>
    </row>
    <row r="279">
      <c r="A279" s="18" t="inlineStr">
        <is>
          <t>Proceeds From Purchase Of Subsidiaries Resulting In Change In Scope Of Consolidation Inv CF</t>
        </is>
      </c>
      <c r="E279" s="20" t="n">
        <v>0</v>
      </c>
      <c r="T279" s="20" t="n">
        <v>0</v>
      </c>
      <c r="U279" s="20" t="n">
        <v>1646</v>
      </c>
      <c r="V279" s="20" t="n">
        <v>0</v>
      </c>
    </row>
    <row r="280">
      <c r="A280" s="18" t="inlineStr">
        <is>
          <t>연결범위 변경 자회사 주식 매각</t>
        </is>
      </c>
      <c r="E280" s="20" t="n">
        <v>0</v>
      </c>
      <c r="O280" s="20" t="n">
        <v>877</v>
      </c>
      <c r="P280" s="20" t="n">
        <v>0</v>
      </c>
      <c r="R280" s="20" t="n">
        <v>0</v>
      </c>
      <c r="S280" s="20" t="n">
        <v>39</v>
      </c>
      <c r="T280" s="20" t="n">
        <v>1676</v>
      </c>
      <c r="U280" s="20" t="n">
        <v>1763</v>
      </c>
      <c r="V280" s="20" t="n">
        <v>0</v>
      </c>
    </row>
    <row r="281">
      <c r="A281" s="18" t="inlineStr">
        <is>
          <t>관계회사 주식 취득</t>
        </is>
      </c>
      <c r="E281" s="20" t="n">
        <v>0</v>
      </c>
      <c r="I281" s="20" t="n">
        <v>0</v>
      </c>
      <c r="M281" s="20" t="n">
        <v>-4</v>
      </c>
      <c r="O281" s="20" t="n">
        <v>-75</v>
      </c>
      <c r="P281" s="20" t="n">
        <v>-67</v>
      </c>
      <c r="Q281" s="20" t="n">
        <v>-32</v>
      </c>
      <c r="R281" s="20" t="n">
        <v>0</v>
      </c>
      <c r="T281" s="20" t="n">
        <v>0</v>
      </c>
      <c r="U281" s="20" t="n">
        <v>-6642</v>
      </c>
      <c r="V281" s="20" t="n">
        <v>0</v>
      </c>
      <c r="W281" s="20" t="n">
        <v>0</v>
      </c>
      <c r="X281" s="20" t="n">
        <v>-4</v>
      </c>
    </row>
    <row r="282">
      <c r="A282" s="18" t="inlineStr">
        <is>
          <t>연결범위 변경 자회사 주식 취득</t>
        </is>
      </c>
      <c r="I282" s="20" t="n">
        <v>0</v>
      </c>
      <c r="M282" s="20" t="n">
        <v>-2934</v>
      </c>
      <c r="W282" s="20" t="n">
        <v>0</v>
      </c>
      <c r="X282" s="20" t="n">
        <v>-2934</v>
      </c>
    </row>
    <row r="283">
      <c r="A283" s="18" t="inlineStr">
        <is>
          <t>대여</t>
        </is>
      </c>
      <c r="E283" s="20" t="n">
        <v>-2000</v>
      </c>
      <c r="I283" s="20" t="n">
        <v>-4860</v>
      </c>
      <c r="M283" s="20" t="n">
        <v>-7925</v>
      </c>
      <c r="O283" s="20" t="n">
        <v>-10</v>
      </c>
      <c r="P283" s="20" t="n">
        <v>-812</v>
      </c>
      <c r="Q283" s="20" t="n">
        <v>-448</v>
      </c>
      <c r="R283" s="20" t="n">
        <v>-280</v>
      </c>
      <c r="S283" s="20" t="n">
        <v>0</v>
      </c>
      <c r="T283" s="20" t="n">
        <v>-3000</v>
      </c>
      <c r="U283" s="20" t="n">
        <v>-1000</v>
      </c>
      <c r="V283" s="20" t="n">
        <v>-2000</v>
      </c>
      <c r="W283" s="20" t="n">
        <v>-4860</v>
      </c>
      <c r="X283" s="20" t="n">
        <v>-7925</v>
      </c>
    </row>
    <row r="284">
      <c r="A284" s="18" t="inlineStr">
        <is>
          <t>대여금 회수</t>
        </is>
      </c>
      <c r="E284" s="20" t="n">
        <v>0</v>
      </c>
      <c r="I284" s="20" t="n">
        <v>750</v>
      </c>
      <c r="M284" s="20" t="n">
        <v>8558</v>
      </c>
      <c r="P284" s="20" t="n">
        <v>0</v>
      </c>
      <c r="Q284" s="20" t="n">
        <v>44</v>
      </c>
      <c r="R284" s="20" t="n">
        <v>35</v>
      </c>
      <c r="S284" s="20" t="n">
        <v>1041</v>
      </c>
      <c r="T284" s="20" t="n">
        <v>0</v>
      </c>
      <c r="U284" s="20" t="n">
        <v>1000</v>
      </c>
      <c r="V284" s="20" t="n">
        <v>0</v>
      </c>
      <c r="W284" s="20" t="n">
        <v>750</v>
      </c>
      <c r="X284" s="20" t="n">
        <v>8558</v>
      </c>
    </row>
    <row r="285">
      <c r="A285" s="18" t="inlineStr">
        <is>
          <t>정기예금 증감</t>
        </is>
      </c>
      <c r="E285" s="20" t="n">
        <v>-663</v>
      </c>
      <c r="I285" s="20" t="n">
        <v>-408</v>
      </c>
      <c r="M285" s="20" t="n">
        <v>397</v>
      </c>
      <c r="O285" s="20" t="n">
        <v>1258</v>
      </c>
      <c r="P285" s="20" t="n">
        <v>-10666</v>
      </c>
      <c r="Q285" s="20" t="n">
        <v>1812</v>
      </c>
      <c r="R285" s="20" t="n">
        <v>7147</v>
      </c>
      <c r="S285" s="20" t="n">
        <v>1264</v>
      </c>
      <c r="T285" s="20" t="n">
        <v>3334</v>
      </c>
      <c r="U285" s="20" t="n">
        <v>60</v>
      </c>
      <c r="V285" s="20" t="n">
        <v>-663</v>
      </c>
      <c r="W285" s="20" t="n">
        <v>-408</v>
      </c>
      <c r="X285" s="20" t="n">
        <v>397</v>
      </c>
    </row>
    <row r="286">
      <c r="A286" s="18" t="inlineStr">
        <is>
          <t>임차보증금·보증금 회수</t>
        </is>
      </c>
      <c r="E286" s="20" t="n">
        <v>13</v>
      </c>
      <c r="I286" s="20" t="n">
        <v>0</v>
      </c>
      <c r="M286" s="20" t="n">
        <v>121</v>
      </c>
      <c r="O286" s="20" t="n">
        <v>4</v>
      </c>
      <c r="P286" s="20" t="n">
        <v>3</v>
      </c>
      <c r="Q286" s="20" t="n">
        <v>2</v>
      </c>
      <c r="R286" s="20" t="n">
        <v>5</v>
      </c>
      <c r="S286" s="20" t="n">
        <v>1</v>
      </c>
      <c r="T286" s="20" t="n">
        <v>0</v>
      </c>
      <c r="U286" s="20" t="n">
        <v>0</v>
      </c>
      <c r="V286" s="20" t="n">
        <v>13</v>
      </c>
      <c r="W286" s="20" t="n">
        <v>0</v>
      </c>
      <c r="X286" s="20" t="n">
        <v>121</v>
      </c>
    </row>
    <row r="287">
      <c r="A287" s="18" t="inlineStr">
        <is>
          <t>임차보증금·보증금 납입</t>
        </is>
      </c>
      <c r="E287" s="20" t="n">
        <v>-88</v>
      </c>
      <c r="I287" s="20" t="n">
        <v>-41</v>
      </c>
      <c r="M287" s="20" t="n">
        <v>-121</v>
      </c>
      <c r="O287" s="20" t="n">
        <v>-0</v>
      </c>
      <c r="P287" s="20" t="n">
        <v>-8</v>
      </c>
      <c r="Q287" s="20" t="n">
        <v>-0</v>
      </c>
      <c r="R287" s="20" t="n">
        <v>-2</v>
      </c>
      <c r="S287" s="20" t="n">
        <v>-8</v>
      </c>
      <c r="T287" s="20" t="n">
        <v>-4</v>
      </c>
      <c r="U287" s="20" t="n">
        <v>-19</v>
      </c>
      <c r="V287" s="20" t="n">
        <v>-88</v>
      </c>
      <c r="W287" s="20" t="n">
        <v>-41</v>
      </c>
      <c r="X287" s="20" t="n">
        <v>-121</v>
      </c>
    </row>
    <row r="288">
      <c r="A288" s="18" t="inlineStr">
        <is>
          <t>기타</t>
        </is>
      </c>
      <c r="E288" s="20" t="n">
        <v>-14</v>
      </c>
      <c r="I288" s="20" t="n">
        <v>358</v>
      </c>
      <c r="M288" s="20" t="n">
        <v>66</v>
      </c>
      <c r="O288" s="20" t="n">
        <v>11</v>
      </c>
      <c r="P288" s="20" t="n">
        <v>1</v>
      </c>
      <c r="Q288" s="20" t="n">
        <v>28</v>
      </c>
      <c r="R288" s="20" t="n">
        <v>-27</v>
      </c>
      <c r="S288" s="20" t="n">
        <v>7</v>
      </c>
      <c r="T288" s="20" t="n">
        <v>0</v>
      </c>
      <c r="U288" s="20" t="n">
        <v>-5</v>
      </c>
      <c r="V288" s="20" t="n">
        <v>-14</v>
      </c>
      <c r="W288" s="20" t="n">
        <v>358</v>
      </c>
      <c r="X288" s="20" t="n">
        <v>66</v>
      </c>
    </row>
    <row r="289">
      <c r="A289" s="9" t="inlineStr">
        <is>
          <t>투자활동 현금흐름</t>
        </is>
      </c>
      <c r="E289" s="12" t="n">
        <v>-8104</v>
      </c>
      <c r="I289" s="12" t="n">
        <v>-6054</v>
      </c>
      <c r="M289" s="12" t="n">
        <v>-269</v>
      </c>
      <c r="O289" s="12" t="n">
        <v>-483</v>
      </c>
      <c r="P289" s="12" t="n">
        <v>-10505</v>
      </c>
      <c r="Q289" s="12" t="n">
        <v>-2800</v>
      </c>
      <c r="R289" s="12" t="n">
        <v>5155</v>
      </c>
      <c r="S289" s="12" t="n">
        <v>-8704</v>
      </c>
      <c r="T289" s="12" t="n">
        <v>-7656</v>
      </c>
      <c r="U289" s="12" t="n">
        <v>-17938</v>
      </c>
      <c r="V289" s="12" t="n">
        <v>-8104</v>
      </c>
      <c r="W289" s="12" t="n">
        <v>-6054</v>
      </c>
      <c r="X289" s="12" t="n">
        <v>-269</v>
      </c>
    </row>
    <row r="290">
      <c r="A290" s="18" t="inlineStr">
        <is>
          <t>단기차입금 순증감</t>
        </is>
      </c>
      <c r="E290" s="20" t="n">
        <v>0</v>
      </c>
      <c r="I290" s="20" t="n">
        <v>0</v>
      </c>
      <c r="M290" s="20" t="n">
        <v>-310</v>
      </c>
      <c r="O290" s="20" t="n">
        <v>551</v>
      </c>
      <c r="P290" s="20" t="n">
        <v>1888</v>
      </c>
      <c r="Q290" s="20" t="n">
        <v>-524</v>
      </c>
      <c r="R290" s="20" t="n">
        <v>267</v>
      </c>
      <c r="S290" s="20" t="n">
        <v>-780</v>
      </c>
      <c r="T290" s="20" t="n">
        <v>-39</v>
      </c>
      <c r="U290" s="20" t="n">
        <v>2284</v>
      </c>
      <c r="V290" s="20" t="n">
        <v>0</v>
      </c>
      <c r="W290" s="20" t="n">
        <v>0</v>
      </c>
      <c r="X290" s="20" t="n">
        <v>-310</v>
      </c>
    </row>
    <row r="291">
      <c r="A291" s="18" t="inlineStr">
        <is>
          <t>장기차입</t>
        </is>
      </c>
      <c r="E291" s="20" t="n">
        <v>18191</v>
      </c>
      <c r="I291" s="20" t="n">
        <v>260</v>
      </c>
      <c r="M291" s="20" t="n">
        <v>559</v>
      </c>
      <c r="O291" s="20" t="n">
        <v>33617</v>
      </c>
      <c r="P291" s="20" t="n">
        <v>24620</v>
      </c>
      <c r="Q291" s="20" t="n">
        <v>39852</v>
      </c>
      <c r="R291" s="20" t="n">
        <v>35353</v>
      </c>
      <c r="S291" s="20" t="n">
        <v>15552</v>
      </c>
      <c r="T291" s="20" t="n">
        <v>37636</v>
      </c>
      <c r="U291" s="20" t="n">
        <v>41978</v>
      </c>
      <c r="V291" s="20" t="n">
        <v>18191</v>
      </c>
      <c r="W291" s="20" t="n">
        <v>260</v>
      </c>
      <c r="X291" s="20" t="n">
        <v>559</v>
      </c>
    </row>
    <row r="292">
      <c r="A292" s="18" t="inlineStr">
        <is>
          <t>장기차입금 상환</t>
        </is>
      </c>
      <c r="E292" s="20" t="n">
        <v>-11405</v>
      </c>
      <c r="I292" s="20" t="n">
        <v>-190</v>
      </c>
      <c r="M292" s="20" t="n">
        <v>-296</v>
      </c>
      <c r="O292" s="20" t="n">
        <v>-32493</v>
      </c>
      <c r="P292" s="20" t="n">
        <v>-34562</v>
      </c>
      <c r="Q292" s="20" t="n">
        <v>-42018</v>
      </c>
      <c r="R292" s="20" t="n">
        <v>-43065</v>
      </c>
      <c r="S292" s="20" t="n">
        <v>-21725</v>
      </c>
      <c r="T292" s="20" t="n">
        <v>-27943</v>
      </c>
      <c r="U292" s="20" t="n">
        <v>-27659</v>
      </c>
      <c r="V292" s="20" t="n">
        <v>-11405</v>
      </c>
      <c r="W292" s="20" t="n">
        <v>-190</v>
      </c>
      <c r="X292" s="20" t="n">
        <v>-296</v>
      </c>
    </row>
    <row r="293">
      <c r="A293" s="18" t="inlineStr">
        <is>
          <t>자기주식 취득</t>
        </is>
      </c>
      <c r="E293" s="20" t="n">
        <v>-1198</v>
      </c>
      <c r="I293" s="20" t="n">
        <v>-0</v>
      </c>
      <c r="M293" s="20" t="n">
        <v>-0</v>
      </c>
      <c r="O293" s="20" t="n">
        <v>-0</v>
      </c>
      <c r="P293" s="20" t="n">
        <v>-0</v>
      </c>
      <c r="Q293" s="20" t="n">
        <v>-0</v>
      </c>
      <c r="R293" s="20" t="n">
        <v>-0</v>
      </c>
      <c r="S293" s="20" t="n">
        <v>-0</v>
      </c>
      <c r="T293" s="20" t="n">
        <v>-9620</v>
      </c>
      <c r="U293" s="20" t="n">
        <v>-0</v>
      </c>
      <c r="V293" s="20" t="n">
        <v>-1198</v>
      </c>
      <c r="W293" s="20" t="n">
        <v>-0</v>
      </c>
      <c r="X293" s="20" t="n">
        <v>-0</v>
      </c>
    </row>
    <row r="294">
      <c r="A294" s="18" t="inlineStr">
        <is>
          <t>사채 발행</t>
        </is>
      </c>
      <c r="E294" s="20" t="n">
        <v>0</v>
      </c>
      <c r="O294" s="20" t="n">
        <v>100</v>
      </c>
      <c r="P294" s="20" t="n">
        <v>100</v>
      </c>
      <c r="Q294" s="20" t="n">
        <v>0</v>
      </c>
      <c r="R294" s="20" t="n">
        <v>0</v>
      </c>
      <c r="S294" s="20" t="n">
        <v>180</v>
      </c>
      <c r="T294" s="20" t="n">
        <v>100</v>
      </c>
      <c r="U294" s="20" t="n">
        <v>168</v>
      </c>
      <c r="V294" s="20" t="n">
        <v>0</v>
      </c>
    </row>
    <row r="295">
      <c r="A295" s="18" t="inlineStr">
        <is>
          <t>사채 상환</t>
        </is>
      </c>
      <c r="E295" s="20" t="n">
        <v>0</v>
      </c>
      <c r="O295" s="20" t="n">
        <v>-192</v>
      </c>
      <c r="P295" s="20" t="n">
        <v>-247</v>
      </c>
      <c r="Q295" s="20" t="n">
        <v>-170</v>
      </c>
      <c r="R295" s="20" t="n">
        <v>-68</v>
      </c>
      <c r="S295" s="20" t="n">
        <v>-27</v>
      </c>
      <c r="T295" s="20" t="n">
        <v>-56</v>
      </c>
      <c r="U295" s="20" t="n">
        <v>-112</v>
      </c>
      <c r="V295" s="20" t="n">
        <v>0</v>
      </c>
    </row>
    <row r="296">
      <c r="A296" s="18" t="inlineStr">
        <is>
          <t>배당금 지급</t>
        </is>
      </c>
      <c r="E296" s="20" t="n">
        <v>-312</v>
      </c>
      <c r="I296" s="20" t="n">
        <v>-300</v>
      </c>
      <c r="M296" s="20" t="n">
        <v>-300</v>
      </c>
      <c r="O296" s="20" t="n">
        <v>-396</v>
      </c>
      <c r="P296" s="20" t="n">
        <v>-396</v>
      </c>
      <c r="Q296" s="20" t="n">
        <v>-396</v>
      </c>
      <c r="R296" s="20" t="n">
        <v>-475</v>
      </c>
      <c r="S296" s="20" t="n">
        <v>-475</v>
      </c>
      <c r="T296" s="20" t="n">
        <v>-475</v>
      </c>
      <c r="U296" s="20" t="n">
        <v>-312</v>
      </c>
      <c r="V296" s="20" t="n">
        <v>-312</v>
      </c>
      <c r="W296" s="20" t="n">
        <v>-300</v>
      </c>
      <c r="X296" s="20" t="n">
        <v>-300</v>
      </c>
    </row>
    <row r="297">
      <c r="A297" s="18" t="inlineStr">
        <is>
          <t>기타</t>
        </is>
      </c>
      <c r="O297" s="20" t="n">
        <v>-16</v>
      </c>
      <c r="P297" s="20" t="n">
        <v>-5</v>
      </c>
      <c r="Q297" s="20" t="n">
        <v>-9</v>
      </c>
    </row>
    <row r="298">
      <c r="A298" s="18" t="inlineStr">
        <is>
          <t>비지배주주 배당금 지급</t>
        </is>
      </c>
      <c r="E298" s="20" t="n">
        <v>0</v>
      </c>
      <c r="P298" s="20" t="n">
        <v>0</v>
      </c>
      <c r="Q298" s="20" t="n">
        <v>-245</v>
      </c>
      <c r="R298" s="20" t="n">
        <v>0</v>
      </c>
      <c r="S298" s="20" t="n">
        <v>0</v>
      </c>
      <c r="T298" s="20" t="n">
        <v>-3088</v>
      </c>
      <c r="U298" s="20" t="n">
        <v>-6909</v>
      </c>
      <c r="V298" s="20" t="n">
        <v>0</v>
      </c>
    </row>
    <row r="299">
      <c r="A299" s="18" t="inlineStr">
        <is>
          <t>Additional Purchase Of Shares Of Subsidiaries Not Resulting In Change In Scope Of Consolidation Fin CF</t>
        </is>
      </c>
      <c r="E299" s="20" t="n">
        <v>0</v>
      </c>
      <c r="T299" s="20" t="n">
        <v>0</v>
      </c>
      <c r="U299" s="20" t="n">
        <v>-6500</v>
      </c>
      <c r="V299" s="20" t="n">
        <v>0</v>
      </c>
    </row>
    <row r="300">
      <c r="A300" s="18" t="inlineStr">
        <is>
          <t>연결범위 변동 없는 자회사 주식 매각 수입</t>
        </is>
      </c>
      <c r="S300" s="20" t="n">
        <v>0</v>
      </c>
      <c r="T300" s="20" t="n">
        <v>2090</v>
      </c>
      <c r="U300" s="20" t="n">
        <v>0</v>
      </c>
    </row>
    <row r="301">
      <c r="A301" s="18" t="inlineStr">
        <is>
          <t>Purchase Of Treasury Stock Of Subsidiaries In Consolidation Fin CF</t>
        </is>
      </c>
      <c r="R301" s="20" t="n">
        <v>0</v>
      </c>
      <c r="S301" s="20" t="n">
        <v>-7177</v>
      </c>
      <c r="T301" s="20" t="n">
        <v>0</v>
      </c>
    </row>
    <row r="302">
      <c r="A302" s="18" t="inlineStr">
        <is>
          <t>비지배주주 납입</t>
        </is>
      </c>
      <c r="E302" s="20" t="n">
        <v>6972</v>
      </c>
      <c r="I302" s="20" t="n">
        <v>0</v>
      </c>
      <c r="M302" s="20" t="n">
        <v>154</v>
      </c>
      <c r="O302" s="20" t="n">
        <v>0</v>
      </c>
      <c r="P302" s="20" t="n">
        <v>20</v>
      </c>
      <c r="Q302" s="20" t="n">
        <v>0</v>
      </c>
      <c r="U302" s="20" t="n">
        <v>0</v>
      </c>
      <c r="V302" s="20" t="n">
        <v>6972</v>
      </c>
      <c r="W302" s="20" t="n">
        <v>0</v>
      </c>
      <c r="X302" s="20" t="n">
        <v>154</v>
      </c>
    </row>
    <row r="303">
      <c r="A303" s="18" t="inlineStr">
        <is>
          <t>리스부채 상환</t>
        </is>
      </c>
      <c r="E303" s="20" t="n">
        <v>-117</v>
      </c>
      <c r="I303" s="20" t="n">
        <v>-56</v>
      </c>
      <c r="M303" s="20" t="n">
        <v>-51</v>
      </c>
      <c r="Q303" s="20" t="n">
        <v>-9</v>
      </c>
      <c r="R303" s="20" t="n">
        <v>-213</v>
      </c>
      <c r="S303" s="20" t="n">
        <v>-296</v>
      </c>
      <c r="T303" s="20" t="n">
        <v>-321</v>
      </c>
      <c r="U303" s="20" t="n">
        <v>-358</v>
      </c>
      <c r="V303" s="20" t="n">
        <v>-117</v>
      </c>
      <c r="W303" s="20" t="n">
        <v>-56</v>
      </c>
      <c r="X303" s="20" t="n">
        <v>-51</v>
      </c>
    </row>
    <row r="304">
      <c r="A304" s="9" t="inlineStr">
        <is>
          <t>재무활동 현금흐름</t>
        </is>
      </c>
      <c r="E304" s="12" t="n">
        <v>12129</v>
      </c>
      <c r="I304" s="12" t="n">
        <v>-287</v>
      </c>
      <c r="M304" s="12" t="n">
        <v>-245</v>
      </c>
      <c r="O304" s="12" t="n">
        <v>1170</v>
      </c>
      <c r="P304" s="12" t="n">
        <v>-8582</v>
      </c>
      <c r="Q304" s="12" t="n">
        <v>-3511</v>
      </c>
      <c r="R304" s="12" t="n">
        <v>-8201</v>
      </c>
      <c r="S304" s="12" t="n">
        <v>-14749</v>
      </c>
      <c r="T304" s="12" t="n">
        <v>-1719</v>
      </c>
      <c r="U304" s="12" t="n">
        <v>2578</v>
      </c>
      <c r="V304" s="12" t="n">
        <v>12129</v>
      </c>
      <c r="W304" s="12" t="n">
        <v>-287</v>
      </c>
      <c r="X304" s="12" t="n">
        <v>-245</v>
      </c>
    </row>
    <row r="305">
      <c r="A305" s="18" t="inlineStr">
        <is>
          <t>현금성자산 환산차이</t>
        </is>
      </c>
      <c r="E305" s="20" t="n">
        <v>-2215</v>
      </c>
      <c r="I305" s="20" t="n">
        <v>747</v>
      </c>
      <c r="M305" s="20" t="n">
        <v>-263</v>
      </c>
      <c r="O305" s="20" t="n">
        <v>-10866</v>
      </c>
      <c r="P305" s="20" t="n">
        <v>-750</v>
      </c>
      <c r="Q305" s="20" t="n">
        <v>-10350</v>
      </c>
      <c r="R305" s="20" t="n">
        <v>-6108</v>
      </c>
      <c r="S305" s="20" t="n">
        <v>-14766</v>
      </c>
      <c r="T305" s="20" t="n">
        <v>19820</v>
      </c>
      <c r="U305" s="20" t="n">
        <v>-8159</v>
      </c>
      <c r="V305" s="20" t="n">
        <v>-2215</v>
      </c>
      <c r="W305" s="20" t="n">
        <v>747</v>
      </c>
      <c r="X305" s="20" t="n">
        <v>-263</v>
      </c>
    </row>
    <row r="306">
      <c r="A306" s="18" t="inlineStr">
        <is>
          <t>현금성자산 증감</t>
        </is>
      </c>
      <c r="E306" s="20" t="n">
        <v>-23776</v>
      </c>
      <c r="I306" s="20" t="n">
        <v>-1062</v>
      </c>
      <c r="M306" s="20" t="n">
        <v>1398</v>
      </c>
      <c r="O306" s="20" t="n">
        <v>12799</v>
      </c>
      <c r="P306" s="20" t="n">
        <v>17896</v>
      </c>
      <c r="Q306" s="20" t="n">
        <v>35751</v>
      </c>
      <c r="R306" s="20" t="n">
        <v>32290</v>
      </c>
      <c r="S306" s="20" t="n">
        <v>39416</v>
      </c>
      <c r="T306" s="20" t="n">
        <v>5658</v>
      </c>
      <c r="U306" s="20" t="n">
        <v>-5013</v>
      </c>
      <c r="V306" s="20" t="n">
        <v>-23776</v>
      </c>
      <c r="W306" s="20" t="n">
        <v>-1062</v>
      </c>
      <c r="X306" s="20" t="n">
        <v>1398</v>
      </c>
    </row>
    <row r="307">
      <c r="A307" s="18" t="inlineStr">
        <is>
          <t>신규 연결 현금성자산 증가</t>
        </is>
      </c>
      <c r="O307" s="20" t="n">
        <v>344</v>
      </c>
      <c r="P307" s="20" t="n">
        <v>0</v>
      </c>
    </row>
    <row r="308">
      <c r="A308" s="18" t="inlineStr">
        <is>
          <t>연결범위 변경에 따른 현금성자산 증감</t>
        </is>
      </c>
      <c r="E308" s="20" t="n">
        <v>-144081</v>
      </c>
      <c r="I308" s="20" t="n">
        <v>0</v>
      </c>
      <c r="U308" s="20" t="n">
        <v>0</v>
      </c>
      <c r="V308" s="20" t="n">
        <v>-144081</v>
      </c>
      <c r="W308" s="20" t="n">
        <v>0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58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8699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39296</v>
      </c>
      <c r="D5" s="12" t="n">
        <v>37663</v>
      </c>
      <c r="E5" s="12" t="n">
        <v>41661</v>
      </c>
      <c r="F5" s="12" t="n">
        <v>43257</v>
      </c>
      <c r="G5" s="12" t="n">
        <v>44306</v>
      </c>
      <c r="H5" s="11" t="n">
        <v>514216</v>
      </c>
      <c r="I5" s="12" t="n">
        <v>552996</v>
      </c>
      <c r="J5" s="12" t="n">
        <v>31880</v>
      </c>
      <c r="K5" s="12" t="n">
        <v>36400</v>
      </c>
      <c r="L5" s="12" t="n">
        <v>43257</v>
      </c>
    </row>
    <row r="6">
      <c r="A6" s="18" t="inlineStr">
        <is>
          <t>현금및현금성자산</t>
        </is>
      </c>
      <c r="B6" s="10" t="n"/>
      <c r="C6" s="19" t="n">
        <v>17407</v>
      </c>
      <c r="D6" s="20" t="n">
        <v>19198</v>
      </c>
      <c r="E6" s="20" t="n">
        <v>17887</v>
      </c>
      <c r="F6" s="20" t="n">
        <v>18797</v>
      </c>
      <c r="G6" s="20" t="n">
        <v>19209</v>
      </c>
      <c r="H6" s="19" t="n">
        <v>88137</v>
      </c>
      <c r="I6" s="20" t="n">
        <v>149693</v>
      </c>
      <c r="J6" s="20" t="n">
        <v>18403</v>
      </c>
      <c r="K6" s="20" t="n">
        <v>17792</v>
      </c>
      <c r="L6" s="20" t="n">
        <v>18797</v>
      </c>
    </row>
    <row r="7">
      <c r="A7" s="18" t="inlineStr">
        <is>
          <t>단기금융상품</t>
        </is>
      </c>
      <c r="B7" s="10" t="n"/>
      <c r="C7" s="19" t="n">
        <v>447</v>
      </c>
      <c r="D7" s="20" t="n">
        <v>335</v>
      </c>
      <c r="E7" s="20" t="n">
        <v>346</v>
      </c>
      <c r="F7" s="20" t="n">
        <v>368</v>
      </c>
      <c r="G7" s="20" t="n">
        <v>83</v>
      </c>
      <c r="H7" s="19" t="n">
        <v>140099</v>
      </c>
      <c r="I7" s="20" t="n">
        <v>100892</v>
      </c>
      <c r="J7" s="20" t="n">
        <v>293</v>
      </c>
      <c r="K7" s="20" t="n">
        <v>261</v>
      </c>
      <c r="L7" s="20" t="n">
        <v>368</v>
      </c>
    </row>
    <row r="8">
      <c r="A8" s="18" t="inlineStr">
        <is>
          <t>매출채권</t>
        </is>
      </c>
      <c r="B8" s="10" t="n"/>
      <c r="C8" s="19" t="n">
        <v>908</v>
      </c>
      <c r="D8" s="20" t="n">
        <v>1077</v>
      </c>
      <c r="E8" s="20" t="n">
        <v>1202</v>
      </c>
      <c r="F8" s="20" t="n">
        <v>1058</v>
      </c>
      <c r="G8" s="20" t="n">
        <v>1349</v>
      </c>
      <c r="H8" s="19" t="n"/>
      <c r="I8" s="20" t="n">
        <v>277</v>
      </c>
      <c r="J8" s="20" t="n">
        <v>437</v>
      </c>
      <c r="K8" s="20" t="n">
        <v>479</v>
      </c>
      <c r="L8" s="20" t="n">
        <v>1058</v>
      </c>
    </row>
    <row r="9">
      <c r="A9" s="18" t="inlineStr">
        <is>
          <t>재고자산</t>
        </is>
      </c>
      <c r="B9" s="10" t="n"/>
      <c r="C9" s="19" t="n">
        <v>4161</v>
      </c>
      <c r="D9" s="20" t="n">
        <v>4291</v>
      </c>
      <c r="E9" s="20" t="n">
        <v>4870</v>
      </c>
      <c r="F9" s="20" t="n">
        <v>5022</v>
      </c>
      <c r="G9" s="20" t="n">
        <v>5828</v>
      </c>
      <c r="H9" s="19" t="n"/>
      <c r="I9" s="20" t="n">
        <v>1989</v>
      </c>
      <c r="J9" s="20" t="n">
        <v>2177</v>
      </c>
      <c r="K9" s="20" t="n">
        <v>2345</v>
      </c>
      <c r="L9" s="20" t="n">
        <v>5022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75273</v>
      </c>
      <c r="D11" s="12" t="n">
        <v>77076</v>
      </c>
      <c r="E11" s="12" t="n">
        <v>80021</v>
      </c>
      <c r="F11" s="12" t="n">
        <v>88738</v>
      </c>
      <c r="G11" s="12" t="n">
        <v>93673</v>
      </c>
      <c r="H11" s="11" t="n">
        <v>63233</v>
      </c>
      <c r="I11" s="12" t="n">
        <v>68730</v>
      </c>
      <c r="J11" s="12" t="n">
        <v>66894</v>
      </c>
      <c r="K11" s="12" t="n">
        <v>78933</v>
      </c>
      <c r="L11" s="12" t="n">
        <v>88738</v>
      </c>
    </row>
    <row r="12">
      <c r="A12" s="18" t="inlineStr">
        <is>
          <t>유형자산</t>
        </is>
      </c>
      <c r="B12" s="10" t="n"/>
      <c r="C12" s="19" t="n">
        <v>2981</v>
      </c>
      <c r="D12" s="20" t="n">
        <v>3107</v>
      </c>
      <c r="E12" s="20" t="n">
        <v>3138</v>
      </c>
      <c r="F12" s="20" t="n">
        <v>3332</v>
      </c>
      <c r="G12" s="20" t="n">
        <v>3342</v>
      </c>
      <c r="H12" s="19" t="n">
        <v>15534</v>
      </c>
      <c r="I12" s="20" t="n">
        <v>15548</v>
      </c>
      <c r="J12" s="20" t="n">
        <v>1490</v>
      </c>
      <c r="K12" s="20" t="n">
        <v>2924</v>
      </c>
      <c r="L12" s="20" t="n">
        <v>3332</v>
      </c>
    </row>
    <row r="13">
      <c r="A13" s="18" t="inlineStr">
        <is>
          <t>무형자산</t>
        </is>
      </c>
      <c r="B13" s="10" t="n"/>
      <c r="C13" s="19" t="n">
        <v>15150</v>
      </c>
      <c r="D13" s="20" t="n">
        <v>14870</v>
      </c>
      <c r="E13" s="20" t="n">
        <v>14618</v>
      </c>
      <c r="F13" s="20" t="n">
        <v>13375</v>
      </c>
      <c r="G13" s="20" t="n">
        <v>13129</v>
      </c>
      <c r="H13" s="19" t="n">
        <v>2286</v>
      </c>
      <c r="I13" s="20" t="n">
        <v>15393</v>
      </c>
      <c r="J13" s="20" t="n">
        <v>12758</v>
      </c>
      <c r="K13" s="20" t="n">
        <v>12012</v>
      </c>
      <c r="L13" s="20" t="n">
        <v>13375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114570</v>
      </c>
      <c r="D16" s="12" t="n">
        <v>114739</v>
      </c>
      <c r="E16" s="12" t="n">
        <v>121683</v>
      </c>
      <c r="F16" s="12" t="n">
        <v>131996</v>
      </c>
      <c r="G16" s="12" t="n">
        <v>137980</v>
      </c>
      <c r="H16" s="11" t="n">
        <v>577449</v>
      </c>
      <c r="I16" s="12" t="n">
        <v>621727</v>
      </c>
      <c r="J16" s="12" t="n">
        <v>98774</v>
      </c>
      <c r="K16" s="12" t="n">
        <v>115334</v>
      </c>
      <c r="L16" s="12" t="n">
        <v>131996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11985</v>
      </c>
      <c r="D18" s="12" t="n">
        <v>10627</v>
      </c>
      <c r="E18" s="12" t="n">
        <v>11884</v>
      </c>
      <c r="F18" s="12" t="n">
        <v>12586</v>
      </c>
      <c r="G18" s="12" t="n">
        <v>13667</v>
      </c>
      <c r="H18" s="11" t="n">
        <v>460056</v>
      </c>
      <c r="I18" s="12" t="n">
        <v>488521</v>
      </c>
      <c r="J18" s="12" t="n">
        <v>11963</v>
      </c>
      <c r="K18" s="12" t="n">
        <v>12485</v>
      </c>
      <c r="L18" s="12" t="n">
        <v>12586</v>
      </c>
    </row>
    <row r="19">
      <c r="A19" s="18" t="inlineStr">
        <is>
          <t>매입채무</t>
        </is>
      </c>
      <c r="B19" s="10" t="n"/>
      <c r="C19" s="19" t="n"/>
      <c r="D19" s="20" t="n"/>
      <c r="E19" s="20" t="n"/>
      <c r="F19" s="20" t="n"/>
      <c r="G19" s="20" t="n"/>
      <c r="H19" s="19" t="n"/>
      <c r="I19" s="20" t="n"/>
      <c r="J19" s="20" t="n"/>
      <c r="K19" s="20" t="n"/>
      <c r="L19" s="20" t="n"/>
    </row>
    <row r="20">
      <c r="A20" s="18" t="inlineStr">
        <is>
          <t>단기차입금</t>
        </is>
      </c>
      <c r="B20" s="10" t="n"/>
      <c r="C20" s="19" t="n">
        <v>318</v>
      </c>
      <c r="D20" s="20" t="n">
        <v>14</v>
      </c>
      <c r="E20" s="20" t="n">
        <v>11</v>
      </c>
      <c r="F20" s="20" t="n">
        <v>13</v>
      </c>
      <c r="G20" s="20" t="n">
        <v>5</v>
      </c>
      <c r="H20" s="19" t="n">
        <v>2306</v>
      </c>
      <c r="I20" s="20" t="n">
        <v>12</v>
      </c>
      <c r="J20" s="20" t="n">
        <v>0</v>
      </c>
      <c r="K20" s="20" t="n">
        <v>0</v>
      </c>
      <c r="L20" s="20" t="n">
        <v>13</v>
      </c>
    </row>
    <row r="21">
      <c r="A21" s="18" t="inlineStr">
        <is>
          <t>유동성장기부채</t>
        </is>
      </c>
      <c r="B21" s="10" t="n"/>
      <c r="C21" s="19" t="n">
        <v>261</v>
      </c>
      <c r="D21" s="20" t="n">
        <v>245</v>
      </c>
      <c r="E21" s="20" t="n">
        <v>244</v>
      </c>
      <c r="F21" s="20" t="n">
        <v>253</v>
      </c>
      <c r="G21" s="20" t="n">
        <v>243</v>
      </c>
      <c r="H21" s="19" t="n">
        <v>25168</v>
      </c>
      <c r="I21" s="20" t="n">
        <v>36161</v>
      </c>
      <c r="J21" s="20" t="n">
        <v>104</v>
      </c>
      <c r="K21" s="20" t="n">
        <v>79</v>
      </c>
      <c r="L21" s="20" t="n">
        <v>253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15319</v>
      </c>
      <c r="D23" s="12" t="n">
        <v>15332</v>
      </c>
      <c r="E23" s="12" t="n">
        <v>16338</v>
      </c>
      <c r="F23" s="12" t="n">
        <v>18773</v>
      </c>
      <c r="G23" s="12" t="n">
        <v>20192</v>
      </c>
      <c r="H23" s="11" t="n">
        <v>42965</v>
      </c>
      <c r="I23" s="12" t="n">
        <v>51794</v>
      </c>
      <c r="J23" s="12" t="n">
        <v>14394</v>
      </c>
      <c r="K23" s="12" t="n">
        <v>16147</v>
      </c>
      <c r="L23" s="12" t="n">
        <v>18773</v>
      </c>
    </row>
    <row r="24">
      <c r="A24" s="18" t="inlineStr">
        <is>
          <t>장기차입금</t>
        </is>
      </c>
      <c r="B24" s="10" t="n"/>
      <c r="C24" s="19" t="n">
        <v>2111</v>
      </c>
      <c r="D24" s="20" t="n">
        <v>1983</v>
      </c>
      <c r="E24" s="20" t="n">
        <v>1964</v>
      </c>
      <c r="F24" s="20" t="n">
        <v>1960</v>
      </c>
      <c r="G24" s="20" t="n">
        <v>1902</v>
      </c>
      <c r="H24" s="19" t="n">
        <v>35674</v>
      </c>
      <c r="I24" s="20" t="n">
        <v>41334</v>
      </c>
      <c r="J24" s="20" t="n">
        <v>1035</v>
      </c>
      <c r="K24" s="20" t="n">
        <v>1235</v>
      </c>
      <c r="L24" s="20" t="n">
        <v>1960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27305</v>
      </c>
      <c r="D27" s="12" t="n">
        <v>25959</v>
      </c>
      <c r="E27" s="12" t="n">
        <v>28222</v>
      </c>
      <c r="F27" s="12" t="n">
        <v>31360</v>
      </c>
      <c r="G27" s="12" t="n">
        <v>33860</v>
      </c>
      <c r="H27" s="11" t="n">
        <v>503022</v>
      </c>
      <c r="I27" s="12" t="n">
        <v>540315</v>
      </c>
      <c r="J27" s="12" t="n">
        <v>26358</v>
      </c>
      <c r="K27" s="12" t="n">
        <v>28633</v>
      </c>
      <c r="L27" s="12" t="n">
        <v>31360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86725</v>
      </c>
      <c r="D31" s="12" t="n">
        <v>88337</v>
      </c>
      <c r="E31" s="12" t="n">
        <v>93031</v>
      </c>
      <c r="F31" s="12" t="n">
        <v>100097</v>
      </c>
      <c r="G31" s="12" t="n">
        <v>103561</v>
      </c>
      <c r="H31" s="11" t="n">
        <v>52540</v>
      </c>
      <c r="I31" s="12" t="n">
        <v>59631</v>
      </c>
      <c r="J31" s="12" t="n">
        <v>71872</v>
      </c>
      <c r="K31" s="12" t="n">
        <v>86374</v>
      </c>
      <c r="L31" s="12" t="n">
        <v>100097</v>
      </c>
    </row>
    <row r="32">
      <c r="A32" s="18" t="inlineStr">
        <is>
          <t>자본금</t>
        </is>
      </c>
      <c r="B32" s="10" t="n"/>
      <c r="C32" s="19" t="n">
        <v>12223</v>
      </c>
      <c r="D32" s="20" t="n">
        <v>12223</v>
      </c>
      <c r="E32" s="20" t="n">
        <v>12223</v>
      </c>
      <c r="F32" s="20" t="n">
        <v>12223</v>
      </c>
      <c r="G32" s="20" t="n">
        <v>12223</v>
      </c>
      <c r="H32" s="19" t="n">
        <v>12223</v>
      </c>
      <c r="I32" s="20" t="n">
        <v>12223</v>
      </c>
      <c r="J32" s="20" t="n">
        <v>12223</v>
      </c>
      <c r="K32" s="20" t="n">
        <v>12223</v>
      </c>
      <c r="L32" s="20" t="n">
        <v>12223</v>
      </c>
    </row>
    <row r="33">
      <c r="A33" s="18" t="inlineStr">
        <is>
          <t>이익잉여금</t>
        </is>
      </c>
      <c r="B33" s="10" t="n"/>
      <c r="C33" s="19" t="n">
        <v>88756</v>
      </c>
      <c r="D33" s="20" t="n">
        <v>92340</v>
      </c>
      <c r="E33" s="20" t="n">
        <v>96224</v>
      </c>
      <c r="F33" s="20" t="n">
        <v>99784</v>
      </c>
      <c r="G33" s="20" t="n">
        <v>102639</v>
      </c>
      <c r="H33" s="19" t="n">
        <v>53386</v>
      </c>
      <c r="I33" s="20" t="n">
        <v>64446</v>
      </c>
      <c r="J33" s="20" t="n">
        <v>73597</v>
      </c>
      <c r="K33" s="20" t="n">
        <v>85397</v>
      </c>
      <c r="L33" s="20" t="n">
        <v>99784</v>
      </c>
    </row>
    <row r="34">
      <c r="A34" s="18" t="inlineStr">
        <is>
          <t>비지배지분</t>
        </is>
      </c>
      <c r="B34" s="10" t="n"/>
      <c r="C34" s="19" t="n">
        <v>539</v>
      </c>
      <c r="D34" s="20" t="n">
        <v>443</v>
      </c>
      <c r="E34" s="20" t="n">
        <v>430</v>
      </c>
      <c r="F34" s="20" t="n">
        <v>538</v>
      </c>
      <c r="G34" s="20" t="n">
        <v>558</v>
      </c>
      <c r="H34" s="19" t="n">
        <v>21887</v>
      </c>
      <c r="I34" s="20" t="n">
        <v>21780</v>
      </c>
      <c r="J34" s="20" t="n">
        <v>544</v>
      </c>
      <c r="K34" s="20" t="n">
        <v>327</v>
      </c>
      <c r="L34" s="20" t="n">
        <v>538</v>
      </c>
    </row>
    <row r="35">
      <c r="A35" s="9" t="inlineStr">
        <is>
          <t>자본총계</t>
        </is>
      </c>
      <c r="B35" s="10" t="n"/>
      <c r="C35" s="11" t="n">
        <v>87264</v>
      </c>
      <c r="D35" s="12" t="n">
        <v>88780</v>
      </c>
      <c r="E35" s="12" t="n">
        <v>93461</v>
      </c>
      <c r="F35" s="12" t="n">
        <v>100635</v>
      </c>
      <c r="G35" s="12" t="n">
        <v>104119</v>
      </c>
      <c r="H35" s="11" t="n">
        <v>74427</v>
      </c>
      <c r="I35" s="12" t="n">
        <v>81411</v>
      </c>
      <c r="J35" s="12" t="n">
        <v>72416</v>
      </c>
      <c r="K35" s="12" t="n">
        <v>86701</v>
      </c>
      <c r="L35" s="12" t="n">
        <v>100635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2176</v>
      </c>
      <c r="G37" s="12" t="n"/>
      <c r="H37" s="11" t="n">
        <v>-4785</v>
      </c>
      <c r="I37" s="12" t="n">
        <v>18505</v>
      </c>
      <c r="J37" s="12" t="n">
        <v>-25586</v>
      </c>
      <c r="K37" s="12" t="n">
        <v>4532</v>
      </c>
      <c r="L37" s="12" t="n">
        <v>2176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564</v>
      </c>
      <c r="G38" s="20" t="n"/>
      <c r="H38" s="19" t="n">
        <v>2687</v>
      </c>
      <c r="I38" s="20" t="n">
        <v>3385</v>
      </c>
      <c r="J38" s="20" t="n">
        <v>1045</v>
      </c>
      <c r="K38" s="20" t="n">
        <v>1881</v>
      </c>
      <c r="L38" s="20" t="n">
        <v>564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300</v>
      </c>
      <c r="G40" s="20" t="n"/>
      <c r="H40" s="19" t="n">
        <v>475</v>
      </c>
      <c r="I40" s="20" t="n">
        <v>312</v>
      </c>
      <c r="J40" s="20" t="n">
        <v>312</v>
      </c>
      <c r="K40" s="20" t="n">
        <v>300</v>
      </c>
      <c r="L40" s="20" t="n">
        <v>300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IFERROR((IF(COUNT('연간'!G28:J28)&lt;4,"",SUM('연간'!G28:J28)))/(IF(COUNT('연간'!G50:J50)&lt;4,"",SUM('연간'!G50:J50))),"")</f>
        <v/>
      </c>
      <c r="D48" s="31">
        <f>IFERROR((IF(COUNT('연간'!H28:K28)&lt;4,"",SUM('연간'!H28:K28)))/(IF(COUNT('연간'!H50:K50)&lt;4,"",SUM('연간'!H50:K50))),"")</f>
        <v/>
      </c>
      <c r="E48" s="31">
        <f>IFERROR((IF(COUNT('연간'!I28:L28)&lt;4,"",SUM('연간'!I28:L28)))/(IF(COUNT('연간'!I50:L50)&lt;4,"",SUM('연간'!I50:L50))),"")</f>
        <v/>
      </c>
      <c r="F48" s="31">
        <f>IFERROR((IF(COUNT('연간'!J28:M28)&lt;4,"",SUM('연간'!J28:M28)))/(IF(COUNT('연간'!J50:M50)&lt;4,"",SUM('연간'!J50:M50))),"")</f>
        <v/>
      </c>
      <c r="G48" s="31">
        <f>IFERROR((IF(COUNT('연간'!K28:N28)&lt;4,"",SUM('연간'!K28:N28)))/(IF(COUNT('연간'!K50:N50)&lt;4,"",SUM('연간'!K50:N50))),"")</f>
        <v/>
      </c>
      <c r="H48" s="30">
        <f>IFERROR(('연간'!T28)/('연간'!T50),"")</f>
        <v/>
      </c>
      <c r="I48" s="31">
        <f>IFERROR(('연간'!U28)/('연간'!U50),"")</f>
        <v/>
      </c>
      <c r="J48" s="31">
        <f>IFERROR(('연간'!V28)/('연간'!V50),"")</f>
        <v/>
      </c>
      <c r="K48" s="31">
        <f>IFERROR(('연간'!W28)/('연간'!W50),"")</f>
        <v/>
      </c>
      <c r="L48" s="31">
        <f>IFERROR(('연간'!X28)/('연간'!X50),"")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IFERROR(IF((IF(COUNT('연간'!G56:J56)&lt;4,"",SUM('연간'!G56:J56)))&lt;=0,"적자",C28/(IF(COUNT('연간'!G56:J56)&lt;4,"",SUM('연간'!G56:J56)))),"")</f>
        <v/>
      </c>
      <c r="D49" s="47">
        <f>IFERROR(IF((IF(COUNT('연간'!H56:K56)&lt;4,"",SUM('연간'!H56:K56)))&lt;=0,"적자",D28/(IF(COUNT('연간'!H56:K56)&lt;4,"",SUM('연간'!H56:K56)))),"")</f>
        <v/>
      </c>
      <c r="E49" s="47">
        <f>IFERROR(IF((IF(COUNT('연간'!I56:L56)&lt;4,"",SUM('연간'!I56:L56)))&lt;=0,"적자",E28/(IF(COUNT('연간'!I56:L56)&lt;4,"",SUM('연간'!I56:L56)))),"")</f>
        <v/>
      </c>
      <c r="F49" s="47">
        <f>IFERROR(IF((IF(COUNT('연간'!J56:M56)&lt;4,"",SUM('연간'!J56:M56)))&lt;=0,"적자",F28/(IF(COUNT('연간'!J56:M56)&lt;4,"",SUM('연간'!J56:M56)))),"")</f>
        <v/>
      </c>
      <c r="G49" s="47">
        <f>IFERROR(IF((IF(COUNT('연간'!K56:N56)&lt;4,"",SUM('연간'!K56:N56)))&lt;=0,"적자",G28/(IF(COUNT('연간'!K56:N56)&lt;4,"",SUM('연간'!K56:N56)))),"")</f>
        <v/>
      </c>
      <c r="H49" s="46">
        <f>IFERROR(IF(('연간'!T56)&lt;=0,"적자",H28/('연간'!T56)),"")</f>
        <v/>
      </c>
      <c r="I49" s="47">
        <f>IFERROR(IF(('연간'!U56)&lt;=0,"적자",I28/('연간'!U56)),"")</f>
        <v/>
      </c>
      <c r="J49" s="47">
        <f>IFERROR(IF(('연간'!V56)&lt;=0,"적자",J28/('연간'!V56)),"")</f>
        <v/>
      </c>
      <c r="K49" s="47">
        <f>IFERROR(IF(('연간'!W56)&lt;=0,"적자",K28/('연간'!W56)),"")</f>
        <v/>
      </c>
      <c r="L49" s="47">
        <f>IFERROR(IF(('연간'!X56)&lt;=0,"적자",L28/('연간'!X56)),"")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IFERROR((IF(COUNT('연간'!G56:J56)&lt;4,"",SUM('연간'!G56:J56)))/C31,"")</f>
        <v/>
      </c>
      <c r="D51" s="36">
        <f>IFERROR((IF(COUNT('연간'!H56:K56)&lt;4,"",SUM('연간'!H56:K56)))/D31,"")</f>
        <v/>
      </c>
      <c r="E51" s="36">
        <f>IFERROR((IF(COUNT('연간'!I56:L56)&lt;4,"",SUM('연간'!I56:L56)))/E31,"")</f>
        <v/>
      </c>
      <c r="F51" s="36">
        <f>IFERROR((IF(COUNT('연간'!J56:M56)&lt;4,"",SUM('연간'!J56:M56)))/F31,"")</f>
        <v/>
      </c>
      <c r="G51" s="36">
        <f>IFERROR((IF(COUNT('연간'!K56:N56)&lt;4,"",SUM('연간'!K56:N56)))/G31,"")</f>
        <v/>
      </c>
      <c r="H51" s="35">
        <f>IFERROR(('연간'!T56)/H31,"")</f>
        <v/>
      </c>
      <c r="I51" s="36">
        <f>IFERROR(('연간'!U56)/I31,"")</f>
        <v/>
      </c>
      <c r="J51" s="36">
        <f>IFERROR(('연간'!V56)/J31,"")</f>
        <v/>
      </c>
      <c r="K51" s="36">
        <f>IFERROR(('연간'!W56)/K31,"")</f>
        <v/>
      </c>
      <c r="L51" s="36">
        <f>IFERROR(('연간'!X56)/L31,"")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IFERROR((IF(COUNT('연간'!G55:J55)&lt;4,"",SUM('연간'!G55:J55)))/C16,"")</f>
        <v/>
      </c>
      <c r="D52" s="36">
        <f>IFERROR((IF(COUNT('연간'!H55:K55)&lt;4,"",SUM('연간'!H55:K55)))/D16,"")</f>
        <v/>
      </c>
      <c r="E52" s="36">
        <f>IFERROR((IF(COUNT('연간'!I55:L55)&lt;4,"",SUM('연간'!I55:L55)))/E16,"")</f>
        <v/>
      </c>
      <c r="F52" s="36">
        <f>IFERROR((IF(COUNT('연간'!J55:M55)&lt;4,"",SUM('연간'!J55:M55)))/F16,"")</f>
        <v/>
      </c>
      <c r="G52" s="36">
        <f>IFERROR((IF(COUNT('연간'!K55:N55)&lt;4,"",SUM('연간'!K55:N55)))/G16,"")</f>
        <v/>
      </c>
      <c r="H52" s="35">
        <f>IFERROR(('연간'!T55)/H16,"")</f>
        <v/>
      </c>
      <c r="I52" s="36">
        <f>IFERROR(('연간'!U55)/I16,"")</f>
        <v/>
      </c>
      <c r="J52" s="36">
        <f>IFERROR(('연간'!V55)/J16,"")</f>
        <v/>
      </c>
      <c r="K52" s="36">
        <f>IFERROR(('연간'!W55)/K16,"")</f>
        <v/>
      </c>
      <c r="L52" s="36">
        <f>IFERROR(('연간'!X55)/L16,"")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IFERROR((IF(COUNT('연간'!G28:J28)&lt;4,"",SUM('연간'!G28:J28)))*(1-0.3)/(C35+C29),"")</f>
        <v/>
      </c>
      <c r="D53" s="36">
        <f>IFERROR((IF(COUNT('연간'!H28:K28)&lt;4,"",SUM('연간'!H28:K28)))*(1-0.3)/(D35+D29),"")</f>
        <v/>
      </c>
      <c r="E53" s="36">
        <f>IFERROR((IF(COUNT('연간'!I28:L28)&lt;4,"",SUM('연간'!I28:L28)))*(1-0.3)/(E35+E29),"")</f>
        <v/>
      </c>
      <c r="F53" s="36">
        <f>IFERROR((IF(COUNT('연간'!J28:M28)&lt;4,"",SUM('연간'!J28:M28)))*(1-0.3)/(F35+F29),"")</f>
        <v/>
      </c>
      <c r="G53" s="36">
        <f>IFERROR((IF(COUNT('연간'!K28:N28)&lt;4,"",SUM('연간'!K28:N28)))*(1-0.3)/(G35+G29),"")</f>
        <v/>
      </c>
      <c r="H53" s="35">
        <f>IFERROR(('연간'!T28)*(1-0.3)/(H35+H29),"")</f>
        <v/>
      </c>
      <c r="I53" s="36">
        <f>IFERROR(('연간'!U28)*(1-0.3)/(I35+I29),"")</f>
        <v/>
      </c>
      <c r="J53" s="36">
        <f>IFERROR(('연간'!V28)*(1-0.3)/(J35+J29),"")</f>
        <v/>
      </c>
      <c r="K53" s="36">
        <f>IFERROR(('연간'!W28)*(1-0.3)/(K35+K29),"")</f>
        <v/>
      </c>
      <c r="L53" s="36">
        <f>IFERROR(('연간'!X28)*(1-0.3)/(L35+L29),"")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IFERROR((IF(COUNT('연간'!G24:J24)&lt;4,"",SUM('연간'!G24:J24)))/(IF(COUNT('연간'!G4:J4)&lt;4,"",SUM('연간'!G4:J4))),"")</f>
        <v/>
      </c>
      <c r="D54" s="36">
        <f>IFERROR((IF(COUNT('연간'!H24:K24)&lt;4,"",SUM('연간'!H24:K24)))/(IF(COUNT('연간'!H4:K4)&lt;4,"",SUM('연간'!H4:K4))),"")</f>
        <v/>
      </c>
      <c r="E54" s="36">
        <f>IFERROR((IF(COUNT('연간'!I24:L24)&lt;4,"",SUM('연간'!I24:L24)))/(IF(COUNT('연간'!I4:L4)&lt;4,"",SUM('연간'!I4:L4))),"")</f>
        <v/>
      </c>
      <c r="F54" s="36">
        <f>IFERROR((IF(COUNT('연간'!J24:M24)&lt;4,"",SUM('연간'!J24:M24)))/(IF(COUNT('연간'!J4:M4)&lt;4,"",SUM('연간'!J4:M4))),"")</f>
        <v/>
      </c>
      <c r="G54" s="36">
        <f>IFERROR((IF(COUNT('연간'!K24:N24)&lt;4,"",SUM('연간'!K24:N24)))/(IF(COUNT('연간'!K4:N4)&lt;4,"",SUM('연간'!K4:N4))),"")</f>
        <v/>
      </c>
      <c r="H54" s="35">
        <f>IFERROR(('연간'!T24)/('연간'!T4),"")</f>
        <v/>
      </c>
      <c r="I54" s="36">
        <f>IFERROR(('연간'!U24)/('연간'!U4),"")</f>
        <v/>
      </c>
      <c r="J54" s="36">
        <f>IFERROR(('연간'!V24)/('연간'!V4),"")</f>
        <v/>
      </c>
      <c r="K54" s="36">
        <f>IFERROR(('연간'!W24)/('연간'!W4),"")</f>
        <v/>
      </c>
      <c r="L54" s="36">
        <f>IFERROR(('연간'!X24)/('연간'!X4),"")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IFERROR((IF(COUNT('연간'!G28:J28)&lt;4,"",SUM('연간'!G28:J28)))/(IF(COUNT('연간'!G4:J4)&lt;4,"",SUM('연간'!G4:J4))),"")</f>
        <v/>
      </c>
      <c r="D55" s="36">
        <f>IFERROR((IF(COUNT('연간'!H28:K28)&lt;4,"",SUM('연간'!H28:K28)))/(IF(COUNT('연간'!H4:K4)&lt;4,"",SUM('연간'!H4:K4))),"")</f>
        <v/>
      </c>
      <c r="E55" s="36">
        <f>IFERROR((IF(COUNT('연간'!I28:L28)&lt;4,"",SUM('연간'!I28:L28)))/(IF(COUNT('연간'!I4:L4)&lt;4,"",SUM('연간'!I4:L4))),"")</f>
        <v/>
      </c>
      <c r="F55" s="36">
        <f>IFERROR((IF(COUNT('연간'!J28:M28)&lt;4,"",SUM('연간'!J28:M28)))/(IF(COUNT('연간'!J4:M4)&lt;4,"",SUM('연간'!J4:M4))),"")</f>
        <v/>
      </c>
      <c r="G55" s="36">
        <f>IFERROR((IF(COUNT('연간'!K28:N28)&lt;4,"",SUM('연간'!K28:N28)))/(IF(COUNT('연간'!K4:N4)&lt;4,"",SUM('연간'!K4:N4))),"")</f>
        <v/>
      </c>
      <c r="H55" s="35">
        <f>IFERROR(('연간'!T28)/('연간'!T4),"")</f>
        <v/>
      </c>
      <c r="I55" s="36">
        <f>IFERROR(('연간'!U28)/('연간'!U4),"")</f>
        <v/>
      </c>
      <c r="J55" s="36">
        <f>IFERROR(('연간'!V28)/('연간'!V4),"")</f>
        <v/>
      </c>
      <c r="K55" s="36">
        <f>IFERROR(('연간'!W28)/('연간'!W4),"")</f>
        <v/>
      </c>
      <c r="L55" s="36">
        <f>IFERROR(('연간'!X28)/('연간'!X4),"")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IFERROR((IF(COUNT('연간'!G55:J55)&lt;4,"",SUM('연간'!G55:J55)))/(IF(COUNT('연간'!G4:J4)&lt;4,"",SUM('연간'!G4:J4))),"")</f>
        <v/>
      </c>
      <c r="D56" s="36">
        <f>IFERROR((IF(COUNT('연간'!H55:K55)&lt;4,"",SUM('연간'!H55:K55)))/(IF(COUNT('연간'!H4:K4)&lt;4,"",SUM('연간'!H4:K4))),"")</f>
        <v/>
      </c>
      <c r="E56" s="36">
        <f>IFERROR((IF(COUNT('연간'!I55:L55)&lt;4,"",SUM('연간'!I55:L55)))/(IF(COUNT('연간'!I4:L4)&lt;4,"",SUM('연간'!I4:L4))),"")</f>
        <v/>
      </c>
      <c r="F56" s="36">
        <f>IFERROR((IF(COUNT('연간'!J55:M55)&lt;4,"",SUM('연간'!J55:M55)))/(IF(COUNT('연간'!J4:M4)&lt;4,"",SUM('연간'!J4:M4))),"")</f>
        <v/>
      </c>
      <c r="G56" s="36">
        <f>IFERROR((IF(COUNT('연간'!K55:N55)&lt;4,"",SUM('연간'!K55:N55)))/(IF(COUNT('연간'!K4:N4)&lt;4,"",SUM('연간'!K4:N4))),"")</f>
        <v/>
      </c>
      <c r="H56" s="35">
        <f>IFERROR(('연간'!T55)/('연간'!T4),"")</f>
        <v/>
      </c>
      <c r="I56" s="36">
        <f>IFERROR(('연간'!U55)/('연간'!U4),"")</f>
        <v/>
      </c>
      <c r="J56" s="36">
        <f>IFERROR(('연간'!V55)/('연간'!V4),"")</f>
        <v/>
      </c>
      <c r="K56" s="36">
        <f>IFERROR(('연간'!W55)/('연간'!W4),"")</f>
        <v/>
      </c>
      <c r="L56" s="36">
        <f>IFERROR(('연간'!X55)/('연간'!X4),"")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IF(C37="","",IFERROR(C37/(IF(COUNT('연간'!G55:J55)&lt;4,"",SUM('연간'!G55:J55))),""))</f>
        <v/>
      </c>
      <c r="D64" s="31">
        <f>IF(D37="","",IFERROR(D37/(IF(COUNT('연간'!H55:K55)&lt;4,"",SUM('연간'!H55:K55))),""))</f>
        <v/>
      </c>
      <c r="E64" s="31">
        <f>IF(E37="","",IFERROR(E37/(IF(COUNT('연간'!I55:L55)&lt;4,"",SUM('연간'!I55:L55))),""))</f>
        <v/>
      </c>
      <c r="F64" s="31">
        <f>IF(F37="","",IFERROR(F37/(IF(COUNT('연간'!J55:M55)&lt;4,"",SUM('연간'!J55:M55))),""))</f>
        <v/>
      </c>
      <c r="G64" s="31">
        <f>IF(G37="","",IFERROR(G37/(IF(COUNT('연간'!K55:N55)&lt;4,"",SUM('연간'!K55:N55))),""))</f>
        <v/>
      </c>
      <c r="H64" s="30">
        <f>IF(H37="","",IFERROR(H37/('연간'!T55),""))</f>
        <v/>
      </c>
      <c r="I64" s="31">
        <f>IF(I37="","",IFERROR(I37/('연간'!U55),""))</f>
        <v/>
      </c>
      <c r="J64" s="31">
        <f>IF(J37="","",IFERROR(J37/('연간'!V55),""))</f>
        <v/>
      </c>
      <c r="K64" s="31">
        <f>IF(K37="","",IFERROR(K37/('연간'!W55),""))</f>
        <v/>
      </c>
      <c r="L64" s="31">
        <f>IF(L37="","",IFERROR(L37/('연간'!X55),""))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IF(C40="","",IFERROR(C40/(IF(COUNT('연간'!G56:J56)&lt;4,"",SUM('연간'!G56:J56))),""))</f>
        <v/>
      </c>
      <c r="D67" s="36">
        <f>IF(D40="","",IFERROR(D40/(IF(COUNT('연간'!H56:K56)&lt;4,"",SUM('연간'!H56:K56))),""))</f>
        <v/>
      </c>
      <c r="E67" s="36">
        <f>IF(E40="","",IFERROR(E40/(IF(COUNT('연간'!I56:L56)&lt;4,"",SUM('연간'!I56:L56))),""))</f>
        <v/>
      </c>
      <c r="F67" s="36">
        <f>IF(F40="","",IFERROR(F40/(IF(COUNT('연간'!J56:M56)&lt;4,"",SUM('연간'!J56:M56))),""))</f>
        <v/>
      </c>
      <c r="G67" s="36">
        <f>IF(G40="","",IFERROR(G40/(IF(COUNT('연간'!K56:N56)&lt;4,"",SUM('연간'!K56:N56))),""))</f>
        <v/>
      </c>
      <c r="H67" s="35">
        <f>IF(H40="","",IFERROR(H40/('연간'!T56),""))</f>
        <v/>
      </c>
      <c r="I67" s="36">
        <f>IF(I40="","",IFERROR(I40/('연간'!U56),""))</f>
        <v/>
      </c>
      <c r="J67" s="36">
        <f>IF(J40="","",IFERROR(J40/('연간'!V56),""))</f>
        <v/>
      </c>
      <c r="K67" s="36">
        <f>IF(K40="","",IFERROR(K40/('연간'!W56),""))</f>
        <v/>
      </c>
      <c r="L67" s="36">
        <f>IF(L40="","",IFERROR(L40/('연간'!X56),""))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17407</v>
      </c>
      <c r="D71" s="20" t="n">
        <v>19198</v>
      </c>
      <c r="E71" s="20" t="n">
        <v>17887</v>
      </c>
      <c r="F71" s="20" t="n">
        <v>18797</v>
      </c>
      <c r="G71" s="20" t="n">
        <v>19209</v>
      </c>
      <c r="H71" s="20" t="n">
        <v>88137</v>
      </c>
      <c r="I71" s="20" t="n">
        <v>149693</v>
      </c>
      <c r="J71" s="20" t="n">
        <v>18403</v>
      </c>
      <c r="K71" s="20" t="n">
        <v>17792</v>
      </c>
      <c r="L71" s="20" t="n">
        <v>18797</v>
      </c>
    </row>
    <row r="72">
      <c r="A72" s="18" t="inlineStr">
        <is>
          <t>매입현선(RP)계정</t>
        </is>
      </c>
      <c r="H72" s="20" t="n">
        <v>1211</v>
      </c>
      <c r="I72" s="20" t="n">
        <v>0</v>
      </c>
    </row>
    <row r="73">
      <c r="A73" s="18" t="inlineStr">
        <is>
          <t>Cash Segregated As Deposits CASEC</t>
        </is>
      </c>
      <c r="H73" s="20" t="n">
        <v>0</v>
      </c>
    </row>
    <row r="74">
      <c r="A74" s="18" t="inlineStr">
        <is>
          <t>고객 분별금 신탁</t>
        </is>
      </c>
      <c r="H74" s="20" t="n">
        <v>0</v>
      </c>
    </row>
    <row r="75">
      <c r="A75" s="18" t="inlineStr">
        <is>
          <t>Cash Segregated As Deposits For Others CASEC</t>
        </is>
      </c>
      <c r="H75" s="20" t="n">
        <v>0</v>
      </c>
    </row>
    <row r="76">
      <c r="A76" s="18" t="inlineStr">
        <is>
          <t>Trading Products CASEC</t>
        </is>
      </c>
      <c r="H76" s="20" t="n">
        <v>0</v>
      </c>
    </row>
    <row r="77">
      <c r="A77" s="18" t="inlineStr">
        <is>
          <t>Trading Securities And Other CASEC</t>
        </is>
      </c>
      <c r="H77" s="20" t="n">
        <v>0</v>
      </c>
    </row>
    <row r="78">
      <c r="A78" s="18" t="inlineStr">
        <is>
          <t>유가증권</t>
        </is>
      </c>
      <c r="C78" s="20" t="n">
        <v>447</v>
      </c>
      <c r="D78" s="20" t="n">
        <v>335</v>
      </c>
      <c r="E78" s="20" t="n">
        <v>346</v>
      </c>
      <c r="F78" s="20" t="n">
        <v>368</v>
      </c>
      <c r="G78" s="20" t="n">
        <v>83</v>
      </c>
      <c r="H78" s="20" t="n">
        <v>140099</v>
      </c>
      <c r="I78" s="20" t="n">
        <v>100892</v>
      </c>
      <c r="J78" s="20" t="n">
        <v>293</v>
      </c>
      <c r="K78" s="20" t="n">
        <v>261</v>
      </c>
      <c r="L78" s="20" t="n">
        <v>368</v>
      </c>
    </row>
    <row r="79">
      <c r="A79" s="18" t="inlineStr">
        <is>
          <t>Margin Transaction Assets CASEC</t>
        </is>
      </c>
      <c r="H79" s="20" t="n">
        <v>0</v>
      </c>
    </row>
    <row r="80">
      <c r="A80" s="18" t="inlineStr">
        <is>
          <t>Loans On Margin Transactions CASEC</t>
        </is>
      </c>
      <c r="H80" s="20" t="n">
        <v>0</v>
      </c>
    </row>
    <row r="81">
      <c r="A81" s="18" t="inlineStr">
        <is>
          <t>Cash Collateral Pledged For Securities Borrowing On Margin Transactions CASEC</t>
        </is>
      </c>
      <c r="H81" s="20" t="n">
        <v>0</v>
      </c>
    </row>
    <row r="82">
      <c r="A82" s="18" t="inlineStr">
        <is>
          <t>대출금</t>
        </is>
      </c>
      <c r="C82" s="20" t="n">
        <v>6724</v>
      </c>
      <c r="D82" s="20" t="n">
        <v>6807</v>
      </c>
      <c r="E82" s="20" t="n">
        <v>7401</v>
      </c>
      <c r="F82" s="20" t="n">
        <v>7743</v>
      </c>
      <c r="G82" s="20" t="n">
        <v>7738</v>
      </c>
      <c r="H82" s="20" t="n">
        <v>285094</v>
      </c>
      <c r="I82" s="20" t="n">
        <v>308495</v>
      </c>
      <c r="J82" s="20" t="n">
        <v>6826</v>
      </c>
      <c r="K82" s="20" t="n">
        <v>6551</v>
      </c>
      <c r="L82" s="20" t="n">
        <v>7743</v>
      </c>
    </row>
    <row r="83">
      <c r="A83" s="18" t="inlineStr">
        <is>
          <t>보증금</t>
        </is>
      </c>
      <c r="H83" s="20" t="n">
        <v>0</v>
      </c>
    </row>
    <row r="84">
      <c r="A84" s="18" t="inlineStr">
        <is>
          <t>Derivatives CA</t>
        </is>
      </c>
      <c r="H84" s="20" t="n">
        <v>1106</v>
      </c>
      <c r="I84" s="20" t="n">
        <v>4940</v>
      </c>
      <c r="J84" s="20" t="n">
        <v>0</v>
      </c>
    </row>
    <row r="85">
      <c r="A85" s="18" t="inlineStr">
        <is>
          <t>매출채권</t>
        </is>
      </c>
      <c r="C85" s="20" t="n">
        <v>908</v>
      </c>
      <c r="D85" s="20" t="n">
        <v>1077</v>
      </c>
      <c r="E85" s="20" t="n">
        <v>1202</v>
      </c>
      <c r="F85" s="20" t="n">
        <v>1058</v>
      </c>
      <c r="G85" s="20" t="n">
        <v>1349</v>
      </c>
      <c r="I85" s="20" t="n">
        <v>277</v>
      </c>
      <c r="J85" s="20" t="n">
        <v>437</v>
      </c>
      <c r="K85" s="20" t="n">
        <v>479</v>
      </c>
      <c r="L85" s="20" t="n">
        <v>1058</v>
      </c>
    </row>
    <row r="86">
      <c r="A86" s="18" t="inlineStr">
        <is>
          <t>재고자산</t>
        </is>
      </c>
      <c r="C86" s="20" t="n">
        <v>4161</v>
      </c>
      <c r="D86" s="20" t="n">
        <v>4291</v>
      </c>
      <c r="E86" s="20" t="n">
        <v>4870</v>
      </c>
      <c r="F86" s="20" t="n">
        <v>5022</v>
      </c>
      <c r="G86" s="20" t="n">
        <v>5828</v>
      </c>
      <c r="I86" s="20" t="n">
        <v>1989</v>
      </c>
      <c r="J86" s="20" t="n">
        <v>2177</v>
      </c>
      <c r="K86" s="20" t="n">
        <v>2345</v>
      </c>
      <c r="L86" s="20" t="n">
        <v>5022</v>
      </c>
    </row>
    <row r="87">
      <c r="A87" s="18" t="inlineStr">
        <is>
          <t>단기대여금</t>
        </is>
      </c>
      <c r="C87" s="20" t="n">
        <v>7558</v>
      </c>
      <c r="D87" s="20" t="n">
        <v>4098</v>
      </c>
      <c r="E87" s="20" t="n">
        <v>7675</v>
      </c>
      <c r="F87" s="20" t="n">
        <v>7223</v>
      </c>
      <c r="G87" s="20" t="n">
        <v>7169</v>
      </c>
      <c r="K87" s="20" t="n">
        <v>7605</v>
      </c>
      <c r="L87" s="20" t="n">
        <v>7223</v>
      </c>
    </row>
    <row r="88">
      <c r="A88" s="18" t="inlineStr">
        <is>
          <t>기타</t>
        </is>
      </c>
      <c r="C88" s="20" t="n">
        <v>2894</v>
      </c>
      <c r="D88" s="20" t="n">
        <v>2459</v>
      </c>
      <c r="E88" s="20" t="n">
        <v>2940</v>
      </c>
      <c r="F88" s="20" t="n">
        <v>3685</v>
      </c>
      <c r="G88" s="20" t="n">
        <v>3634</v>
      </c>
      <c r="H88" s="20" t="n">
        <v>19574</v>
      </c>
      <c r="I88" s="20" t="n">
        <v>10780</v>
      </c>
      <c r="J88" s="20" t="n">
        <v>4096</v>
      </c>
      <c r="K88" s="20" t="n">
        <v>2638</v>
      </c>
      <c r="L88" s="20" t="n">
        <v>3685</v>
      </c>
    </row>
    <row r="89">
      <c r="A89" s="18" t="inlineStr">
        <is>
          <t>대손충당금</t>
        </is>
      </c>
      <c r="C89" s="20" t="n">
        <v>-805</v>
      </c>
      <c r="D89" s="20" t="n">
        <v>-605</v>
      </c>
      <c r="E89" s="20" t="n">
        <v>-663</v>
      </c>
      <c r="F89" s="20" t="n">
        <v>-643</v>
      </c>
      <c r="G89" s="20" t="n">
        <v>-706</v>
      </c>
      <c r="H89" s="20" t="n">
        <v>-21006</v>
      </c>
      <c r="I89" s="20" t="n">
        <v>-24071</v>
      </c>
      <c r="J89" s="20" t="n">
        <v>-354</v>
      </c>
      <c r="K89" s="20" t="n">
        <v>-1273</v>
      </c>
      <c r="L89" s="20" t="n">
        <v>-643</v>
      </c>
    </row>
    <row r="90">
      <c r="A90" s="9" t="inlineStr">
        <is>
          <t>유동자산 합계</t>
        </is>
      </c>
      <c r="C90" s="12" t="n">
        <v>39296</v>
      </c>
      <c r="D90" s="12" t="n">
        <v>37663</v>
      </c>
      <c r="E90" s="12" t="n">
        <v>41661</v>
      </c>
      <c r="F90" s="12" t="n">
        <v>43257</v>
      </c>
      <c r="G90" s="12" t="n">
        <v>44306</v>
      </c>
      <c r="H90" s="12" t="n">
        <v>514216</v>
      </c>
      <c r="I90" s="12" t="n">
        <v>552996</v>
      </c>
      <c r="J90" s="12" t="n">
        <v>31880</v>
      </c>
      <c r="K90" s="12" t="n">
        <v>36400</v>
      </c>
      <c r="L90" s="12" t="n">
        <v>43257</v>
      </c>
    </row>
    <row r="91">
      <c r="A91" s="18" t="inlineStr">
        <is>
          <t>건물·구축물(순액)</t>
        </is>
      </c>
      <c r="C91" s="20" t="n">
        <v>1153</v>
      </c>
      <c r="D91" s="20" t="n">
        <v>1168</v>
      </c>
      <c r="E91" s="20" t="n">
        <v>1210</v>
      </c>
      <c r="F91" s="20" t="n">
        <v>1361</v>
      </c>
      <c r="G91" s="20" t="n">
        <v>1385</v>
      </c>
      <c r="H91" s="20" t="n">
        <v>7935</v>
      </c>
      <c r="I91" s="20" t="n">
        <v>8123</v>
      </c>
      <c r="J91" s="20" t="n">
        <v>578</v>
      </c>
      <c r="K91" s="20" t="n">
        <v>1040</v>
      </c>
      <c r="L91" s="20" t="n">
        <v>1361</v>
      </c>
    </row>
    <row r="92">
      <c r="A92" s="18" t="inlineStr">
        <is>
          <t>Furniture And Fixtures Net PPECMD</t>
        </is>
      </c>
      <c r="C92" s="20" t="n">
        <v>493</v>
      </c>
      <c r="D92" s="20" t="n">
        <v>473</v>
      </c>
      <c r="E92" s="20" t="n">
        <v>463</v>
      </c>
      <c r="F92" s="20" t="n">
        <v>501</v>
      </c>
      <c r="G92" s="20" t="n">
        <v>505</v>
      </c>
      <c r="H92" s="20" t="n">
        <v>6334</v>
      </c>
      <c r="I92" s="20" t="n">
        <v>6305</v>
      </c>
      <c r="J92" s="20" t="n">
        <v>473</v>
      </c>
      <c r="K92" s="20" t="n">
        <v>523</v>
      </c>
      <c r="L92" s="20" t="n">
        <v>501</v>
      </c>
    </row>
    <row r="93">
      <c r="A93" s="18" t="inlineStr">
        <is>
          <t>토지</t>
        </is>
      </c>
      <c r="C93" s="20" t="n">
        <v>1291</v>
      </c>
      <c r="D93" s="20" t="n">
        <v>1284</v>
      </c>
      <c r="E93" s="20" t="n">
        <v>1289</v>
      </c>
      <c r="F93" s="20" t="n">
        <v>1295</v>
      </c>
      <c r="G93" s="20" t="n">
        <v>1298</v>
      </c>
      <c r="H93" s="20" t="n">
        <v>125</v>
      </c>
      <c r="I93" s="20" t="n">
        <v>324</v>
      </c>
      <c r="J93" s="20" t="n">
        <v>328</v>
      </c>
      <c r="K93" s="20" t="n">
        <v>1297</v>
      </c>
      <c r="L93" s="20" t="n">
        <v>1295</v>
      </c>
    </row>
    <row r="94">
      <c r="A94" s="18" t="inlineStr">
        <is>
          <t>리스자산(순액)</t>
        </is>
      </c>
      <c r="C94" s="20" t="n">
        <v>29</v>
      </c>
      <c r="D94" s="20" t="n">
        <v>167</v>
      </c>
      <c r="E94" s="20" t="n">
        <v>172</v>
      </c>
      <c r="F94" s="20" t="n">
        <v>164</v>
      </c>
      <c r="G94" s="20" t="n">
        <v>148</v>
      </c>
      <c r="H94" s="20" t="n">
        <v>434</v>
      </c>
      <c r="I94" s="20" t="n">
        <v>491</v>
      </c>
      <c r="J94" s="20" t="n">
        <v>99</v>
      </c>
      <c r="K94" s="20" t="n">
        <v>58</v>
      </c>
      <c r="L94" s="20" t="n">
        <v>164</v>
      </c>
    </row>
    <row r="95">
      <c r="A95" s="18" t="inlineStr">
        <is>
          <t>건설중인자산</t>
        </is>
      </c>
      <c r="C95" s="20" t="n">
        <v>14</v>
      </c>
      <c r="D95" s="20" t="n">
        <v>13</v>
      </c>
      <c r="E95" s="20" t="n">
        <v>2</v>
      </c>
      <c r="F95" s="20" t="n">
        <v>9</v>
      </c>
      <c r="G95" s="20" t="n">
        <v>4</v>
      </c>
      <c r="H95" s="20" t="n">
        <v>703</v>
      </c>
      <c r="I95" s="20" t="n">
        <v>303</v>
      </c>
      <c r="J95" s="20" t="n">
        <v>10</v>
      </c>
      <c r="K95" s="20" t="n">
        <v>3</v>
      </c>
      <c r="L95" s="20" t="n">
        <v>9</v>
      </c>
    </row>
    <row r="96">
      <c r="A96" s="18" t="inlineStr">
        <is>
          <t>유형자산 합계</t>
        </is>
      </c>
      <c r="C96" s="20" t="n">
        <v>2981</v>
      </c>
      <c r="D96" s="20" t="n">
        <v>3107</v>
      </c>
      <c r="E96" s="20" t="n">
        <v>3138</v>
      </c>
      <c r="F96" s="20" t="n">
        <v>3332</v>
      </c>
      <c r="G96" s="20" t="n">
        <v>3342</v>
      </c>
      <c r="H96" s="20" t="n">
        <v>15534</v>
      </c>
      <c r="I96" s="20" t="n">
        <v>15548</v>
      </c>
      <c r="J96" s="20" t="n">
        <v>1490</v>
      </c>
      <c r="K96" s="20" t="n">
        <v>2924</v>
      </c>
      <c r="L96" s="20" t="n">
        <v>3332</v>
      </c>
    </row>
    <row r="97">
      <c r="A97" s="18" t="inlineStr">
        <is>
          <t>소프트웨어</t>
        </is>
      </c>
      <c r="C97" s="20" t="n">
        <v>148</v>
      </c>
      <c r="D97" s="20" t="n">
        <v>136</v>
      </c>
      <c r="E97" s="20" t="n">
        <v>137</v>
      </c>
      <c r="F97" s="20" t="n">
        <v>133</v>
      </c>
      <c r="G97" s="20" t="n">
        <v>128</v>
      </c>
      <c r="H97" s="20" t="n">
        <v>2249</v>
      </c>
      <c r="I97" s="20" t="n">
        <v>1809</v>
      </c>
      <c r="J97" s="20" t="n">
        <v>20</v>
      </c>
      <c r="K97" s="20" t="n">
        <v>49</v>
      </c>
      <c r="L97" s="20" t="n">
        <v>133</v>
      </c>
    </row>
    <row r="98">
      <c r="A98" s="18" t="inlineStr">
        <is>
          <t>영업권</t>
        </is>
      </c>
      <c r="C98" s="20" t="n">
        <v>4959</v>
      </c>
      <c r="D98" s="20" t="n">
        <v>4812</v>
      </c>
      <c r="E98" s="20" t="n">
        <v>4673</v>
      </c>
      <c r="F98" s="20" t="n">
        <v>2396</v>
      </c>
      <c r="G98" s="20" t="n">
        <v>2314</v>
      </c>
      <c r="H98" s="20" t="n">
        <v>0</v>
      </c>
      <c r="I98" s="20" t="n">
        <v>2272</v>
      </c>
      <c r="J98" s="20" t="n">
        <v>2035</v>
      </c>
      <c r="K98" s="20" t="n">
        <v>1798</v>
      </c>
      <c r="L98" s="20" t="n">
        <v>2396</v>
      </c>
    </row>
    <row r="99">
      <c r="A99" s="18" t="inlineStr">
        <is>
          <t>마케팅 관련 자산</t>
        </is>
      </c>
      <c r="C99" s="20" t="n">
        <v>9983</v>
      </c>
      <c r="D99" s="20" t="n">
        <v>9839</v>
      </c>
      <c r="E99" s="20" t="n">
        <v>9695</v>
      </c>
      <c r="F99" s="20" t="n">
        <v>10731</v>
      </c>
      <c r="G99" s="20" t="n">
        <v>10572</v>
      </c>
      <c r="H99" s="20" t="n">
        <v>0</v>
      </c>
      <c r="I99" s="20" t="n">
        <v>11278</v>
      </c>
      <c r="J99" s="20" t="n">
        <v>10703</v>
      </c>
      <c r="K99" s="20" t="n">
        <v>10127</v>
      </c>
      <c r="L99" s="20" t="n">
        <v>10731</v>
      </c>
    </row>
    <row r="100">
      <c r="A100" s="18" t="inlineStr">
        <is>
          <t>기타</t>
        </is>
      </c>
      <c r="C100" s="20" t="n">
        <v>59</v>
      </c>
      <c r="D100" s="20" t="n">
        <v>81</v>
      </c>
      <c r="E100" s="20" t="n">
        <v>112</v>
      </c>
      <c r="F100" s="20" t="n">
        <v>114</v>
      </c>
      <c r="G100" s="20" t="n">
        <v>115</v>
      </c>
      <c r="H100" s="20" t="n">
        <v>36</v>
      </c>
      <c r="I100" s="20" t="n">
        <v>32</v>
      </c>
      <c r="J100" s="20" t="n">
        <v>0</v>
      </c>
      <c r="K100" s="20" t="n">
        <v>37</v>
      </c>
      <c r="L100" s="20" t="n">
        <v>114</v>
      </c>
    </row>
    <row r="101">
      <c r="A101" s="18" t="inlineStr">
        <is>
          <t>무형자산 합계</t>
        </is>
      </c>
      <c r="C101" s="20" t="n">
        <v>15150</v>
      </c>
      <c r="D101" s="20" t="n">
        <v>14870</v>
      </c>
      <c r="E101" s="20" t="n">
        <v>14618</v>
      </c>
      <c r="F101" s="20" t="n">
        <v>13375</v>
      </c>
      <c r="G101" s="20" t="n">
        <v>13129</v>
      </c>
      <c r="H101" s="20" t="n">
        <v>2286</v>
      </c>
      <c r="I101" s="20" t="n">
        <v>15393</v>
      </c>
      <c r="J101" s="20" t="n">
        <v>12758</v>
      </c>
      <c r="K101" s="20" t="n">
        <v>12012</v>
      </c>
      <c r="L101" s="20" t="n">
        <v>13375</v>
      </c>
    </row>
    <row r="102">
      <c r="A102" s="18" t="inlineStr">
        <is>
          <t>투자유가증권</t>
        </is>
      </c>
      <c r="C102" s="20" t="n">
        <v>4451</v>
      </c>
      <c r="D102" s="20" t="n">
        <v>4521</v>
      </c>
      <c r="E102" s="20" t="n">
        <v>2759</v>
      </c>
      <c r="F102" s="20" t="n">
        <v>2716</v>
      </c>
      <c r="G102" s="20" t="n">
        <v>2799</v>
      </c>
      <c r="H102" s="20" t="n">
        <v>34250</v>
      </c>
      <c r="I102" s="20" t="n">
        <v>34860</v>
      </c>
      <c r="J102" s="20" t="n">
        <v>6058</v>
      </c>
      <c r="K102" s="20" t="n">
        <v>4567</v>
      </c>
      <c r="L102" s="20" t="n">
        <v>2716</v>
      </c>
    </row>
    <row r="103">
      <c r="A103" s="18" t="inlineStr">
        <is>
          <t>관계회사 주식</t>
        </is>
      </c>
      <c r="C103" s="20" t="n">
        <v>50354</v>
      </c>
      <c r="D103" s="20" t="n">
        <v>52140</v>
      </c>
      <c r="E103" s="20" t="n">
        <v>57033</v>
      </c>
      <c r="F103" s="20" t="n">
        <v>67022</v>
      </c>
      <c r="G103" s="20" t="n">
        <v>71913</v>
      </c>
      <c r="H103" s="20" t="n">
        <v>9470</v>
      </c>
      <c r="I103" s="20" t="n">
        <v>1532</v>
      </c>
      <c r="J103" s="20" t="n">
        <v>43304</v>
      </c>
      <c r="K103" s="20" t="n">
        <v>57363</v>
      </c>
      <c r="L103" s="20" t="n">
        <v>67022</v>
      </c>
    </row>
    <row r="104">
      <c r="A104" s="18" t="inlineStr">
        <is>
          <t>Guarantee Deposits IOA</t>
        </is>
      </c>
      <c r="H104" s="20" t="n">
        <v>150</v>
      </c>
      <c r="I104" s="20" t="n">
        <v>263</v>
      </c>
    </row>
    <row r="105">
      <c r="A105" s="18" t="inlineStr">
        <is>
          <t>파산갱생채권 등</t>
        </is>
      </c>
      <c r="H105" s="20" t="n">
        <v>0</v>
      </c>
    </row>
    <row r="106">
      <c r="A106" s="18" t="inlineStr">
        <is>
          <t>관계회사 장기대여금</t>
        </is>
      </c>
      <c r="C106" s="20" t="n">
        <v>1558</v>
      </c>
      <c r="D106" s="20" t="n">
        <v>1508</v>
      </c>
      <c r="E106" s="20" t="n">
        <v>1693</v>
      </c>
      <c r="F106" s="20" t="n">
        <v>1659</v>
      </c>
      <c r="G106" s="20" t="n">
        <v>1777</v>
      </c>
      <c r="I106" s="20" t="n">
        <v>1457</v>
      </c>
      <c r="J106" s="20" t="n">
        <v>2895</v>
      </c>
      <c r="K106" s="20" t="n">
        <v>1482</v>
      </c>
      <c r="L106" s="20" t="n">
        <v>1659</v>
      </c>
    </row>
    <row r="107">
      <c r="A107" s="18" t="inlineStr">
        <is>
          <t>이연법인세자산</t>
        </is>
      </c>
      <c r="C107" s="20" t="n">
        <v>177</v>
      </c>
      <c r="D107" s="20" t="n">
        <v>0</v>
      </c>
      <c r="E107" s="20" t="n">
        <v>124</v>
      </c>
      <c r="F107" s="20" t="n">
        <v>62</v>
      </c>
      <c r="G107" s="20" t="n">
        <v>116</v>
      </c>
      <c r="H107" s="20" t="n">
        <v>647</v>
      </c>
      <c r="I107" s="20" t="n">
        <v>65</v>
      </c>
      <c r="J107" s="20" t="n">
        <v>15</v>
      </c>
      <c r="K107" s="20" t="n">
        <v>173</v>
      </c>
      <c r="L107" s="20" t="n">
        <v>62</v>
      </c>
    </row>
    <row r="108">
      <c r="A108" s="18" t="inlineStr">
        <is>
          <t>기타</t>
        </is>
      </c>
      <c r="C108" s="20" t="n">
        <v>624</v>
      </c>
      <c r="D108" s="20" t="n">
        <v>954</v>
      </c>
      <c r="E108" s="20" t="n">
        <v>679</v>
      </c>
      <c r="F108" s="20" t="n">
        <v>594</v>
      </c>
      <c r="G108" s="20" t="n">
        <v>619</v>
      </c>
      <c r="H108" s="20" t="n">
        <v>1356</v>
      </c>
      <c r="I108" s="20" t="n">
        <v>280</v>
      </c>
      <c r="J108" s="20" t="n">
        <v>375</v>
      </c>
      <c r="K108" s="20" t="n">
        <v>414</v>
      </c>
      <c r="L108" s="20" t="n">
        <v>594</v>
      </c>
    </row>
    <row r="109">
      <c r="A109" s="18" t="inlineStr">
        <is>
          <t>대손충당금</t>
        </is>
      </c>
      <c r="C109" s="20" t="n">
        <v>-26</v>
      </c>
      <c r="D109" s="20" t="n">
        <v>-26</v>
      </c>
      <c r="E109" s="20" t="n">
        <v>-26</v>
      </c>
      <c r="F109" s="20" t="n">
        <v>-26</v>
      </c>
      <c r="G109" s="20" t="n">
        <v>-26</v>
      </c>
      <c r="H109" s="20" t="n">
        <v>-461</v>
      </c>
      <c r="I109" s="20" t="n">
        <v>-408</v>
      </c>
      <c r="J109" s="20" t="n">
        <v>-4</v>
      </c>
      <c r="K109" s="20" t="n">
        <v>-4</v>
      </c>
      <c r="L109" s="20" t="n">
        <v>-26</v>
      </c>
    </row>
    <row r="110">
      <c r="A110" s="18" t="inlineStr">
        <is>
          <t>투자 및 기타자산 합계</t>
        </is>
      </c>
      <c r="C110" s="20" t="n">
        <v>57140</v>
      </c>
      <c r="D110" s="20" t="n">
        <v>59098</v>
      </c>
      <c r="E110" s="20" t="n">
        <v>62264</v>
      </c>
      <c r="F110" s="20" t="n">
        <v>72029</v>
      </c>
      <c r="G110" s="20" t="n">
        <v>77200</v>
      </c>
      <c r="H110" s="20" t="n">
        <v>45413</v>
      </c>
      <c r="I110" s="20" t="n">
        <v>37788</v>
      </c>
      <c r="J110" s="20" t="n">
        <v>52644</v>
      </c>
      <c r="K110" s="20" t="n">
        <v>63996</v>
      </c>
      <c r="L110" s="20" t="n">
        <v>72029</v>
      </c>
    </row>
    <row r="111">
      <c r="A111" s="9" t="inlineStr">
        <is>
          <t>비유동자산 합계</t>
        </is>
      </c>
      <c r="C111" s="12" t="n">
        <v>75273</v>
      </c>
      <c r="D111" s="12" t="n">
        <v>77076</v>
      </c>
      <c r="E111" s="12" t="n">
        <v>80021</v>
      </c>
      <c r="F111" s="12" t="n">
        <v>88738</v>
      </c>
      <c r="G111" s="12" t="n">
        <v>93673</v>
      </c>
      <c r="H111" s="12" t="n">
        <v>63233</v>
      </c>
      <c r="I111" s="12" t="n">
        <v>68730</v>
      </c>
      <c r="J111" s="12" t="n">
        <v>66894</v>
      </c>
      <c r="K111" s="12" t="n">
        <v>78933</v>
      </c>
      <c r="L111" s="12" t="n">
        <v>88738</v>
      </c>
    </row>
    <row r="112">
      <c r="A112" s="9" t="inlineStr">
        <is>
          <t>자산 합계</t>
        </is>
      </c>
      <c r="C112" s="12" t="n">
        <v>114570</v>
      </c>
      <c r="D112" s="12" t="n">
        <v>114739</v>
      </c>
      <c r="E112" s="12" t="n">
        <v>121683</v>
      </c>
      <c r="F112" s="12" t="n">
        <v>131996</v>
      </c>
      <c r="G112" s="12" t="n">
        <v>137980</v>
      </c>
      <c r="H112" s="12" t="n">
        <v>577449</v>
      </c>
      <c r="I112" s="12" t="n">
        <v>621727</v>
      </c>
      <c r="J112" s="12" t="n">
        <v>98774</v>
      </c>
      <c r="K112" s="12" t="n">
        <v>115334</v>
      </c>
      <c r="L112" s="12" t="n">
        <v>131996</v>
      </c>
    </row>
    <row r="113">
      <c r="A113" s="18" t="inlineStr">
        <is>
          <t>Trading Products CLSEC</t>
        </is>
      </c>
      <c r="H113" s="20" t="n">
        <v>0</v>
      </c>
    </row>
    <row r="114">
      <c r="A114" s="18" t="inlineStr">
        <is>
          <t>Trading Securities And Other CLSEC</t>
        </is>
      </c>
      <c r="H114" s="20" t="n">
        <v>0</v>
      </c>
    </row>
    <row r="115">
      <c r="A115" s="18" t="inlineStr">
        <is>
          <t>Trade Date Accrual CLSEC</t>
        </is>
      </c>
      <c r="H115" s="20" t="n">
        <v>0</v>
      </c>
    </row>
    <row r="116">
      <c r="A116" s="18" t="inlineStr">
        <is>
          <t>Margin Transaction Liabilities CLSEC</t>
        </is>
      </c>
      <c r="H116" s="20" t="n">
        <v>0</v>
      </c>
    </row>
    <row r="117">
      <c r="A117" s="18" t="inlineStr">
        <is>
          <t>Borrowings On Margin Transactions CLSEC</t>
        </is>
      </c>
      <c r="H117" s="20" t="n">
        <v>0</v>
      </c>
    </row>
    <row r="118">
      <c r="A118" s="18" t="inlineStr">
        <is>
          <t>Cash Received For Securities Lending On Margin Transactions CLSEC</t>
        </is>
      </c>
      <c r="H118" s="20" t="n">
        <v>0</v>
      </c>
    </row>
    <row r="119">
      <c r="A119" s="18" t="inlineStr">
        <is>
          <t>Loans Payable Secured By Securities CLSEC</t>
        </is>
      </c>
      <c r="H119" s="20" t="n">
        <v>0</v>
      </c>
    </row>
    <row r="120">
      <c r="A120" s="18" t="inlineStr">
        <is>
          <t>Cash Received On Debt Credit Transaction Of Securities CLSEC</t>
        </is>
      </c>
      <c r="H120" s="20" t="n">
        <v>0</v>
      </c>
    </row>
    <row r="121">
      <c r="A121" s="18" t="inlineStr">
        <is>
          <t>예수금</t>
        </is>
      </c>
      <c r="H121" s="20" t="n">
        <v>77</v>
      </c>
    </row>
    <row r="122">
      <c r="A122" s="18" t="inlineStr">
        <is>
          <t>Deposits From Customers CLSEC</t>
        </is>
      </c>
      <c r="H122" s="20" t="n">
        <v>0</v>
      </c>
    </row>
    <row r="123">
      <c r="A123" s="18" t="inlineStr">
        <is>
          <t>Deposits For Others CLSEC</t>
        </is>
      </c>
      <c r="H123" s="20" t="n">
        <v>77</v>
      </c>
    </row>
    <row r="124">
      <c r="A124" s="18" t="inlineStr">
        <is>
          <t>Guarantee Deposits Received CLSEC</t>
        </is>
      </c>
      <c r="H124" s="20" t="n">
        <v>0</v>
      </c>
    </row>
    <row r="125">
      <c r="A125" s="18" t="inlineStr">
        <is>
          <t>Guarantee Deposits Received For Margin Transaction CLSEC</t>
        </is>
      </c>
      <c r="H125" s="20" t="n">
        <v>0</v>
      </c>
    </row>
    <row r="126">
      <c r="A126" s="18" t="inlineStr">
        <is>
          <t>Initial Margins Of Futures Markets Liabilities CLSEC</t>
        </is>
      </c>
      <c r="H126" s="20" t="n">
        <v>0</v>
      </c>
    </row>
    <row r="127">
      <c r="A127" s="18" t="inlineStr">
        <is>
          <t>예수금</t>
        </is>
      </c>
      <c r="C127" s="20" t="n">
        <v>62</v>
      </c>
      <c r="D127" s="20" t="n">
        <v>33</v>
      </c>
      <c r="E127" s="20" t="n">
        <v>60</v>
      </c>
      <c r="F127" s="20" t="n">
        <v>28</v>
      </c>
      <c r="G127" s="20" t="n">
        <v>64</v>
      </c>
      <c r="H127" s="20" t="n">
        <v>77</v>
      </c>
      <c r="I127" s="20" t="n">
        <v>14</v>
      </c>
      <c r="J127" s="20" t="n">
        <v>58</v>
      </c>
      <c r="K127" s="20" t="n">
        <v>25</v>
      </c>
      <c r="L127" s="20" t="n">
        <v>28</v>
      </c>
    </row>
    <row r="128">
      <c r="A128" s="18" t="inlineStr">
        <is>
          <t>예금</t>
        </is>
      </c>
      <c r="C128" s="20" t="n">
        <v>9006</v>
      </c>
      <c r="D128" s="20" t="n">
        <v>8164</v>
      </c>
      <c r="E128" s="20" t="n">
        <v>9042</v>
      </c>
      <c r="F128" s="20" t="n">
        <v>9475</v>
      </c>
      <c r="G128" s="20" t="n">
        <v>10401</v>
      </c>
      <c r="H128" s="20" t="n">
        <v>410706</v>
      </c>
      <c r="I128" s="20" t="n">
        <v>431741</v>
      </c>
      <c r="J128" s="20" t="n">
        <v>10201</v>
      </c>
      <c r="K128" s="20" t="n">
        <v>10241</v>
      </c>
      <c r="L128" s="20" t="n">
        <v>9475</v>
      </c>
    </row>
    <row r="129">
      <c r="A129" s="18" t="inlineStr">
        <is>
          <t>매도현선(RP)계정</t>
        </is>
      </c>
      <c r="H129" s="20" t="n">
        <v>10277</v>
      </c>
      <c r="I129" s="20" t="n">
        <v>2312</v>
      </c>
      <c r="J129" s="20" t="n">
        <v>0</v>
      </c>
    </row>
    <row r="130">
      <c r="A130" s="18" t="inlineStr">
        <is>
          <t>단기차입금</t>
        </is>
      </c>
      <c r="C130" s="20" t="n">
        <v>318</v>
      </c>
      <c r="D130" s="20" t="n">
        <v>14</v>
      </c>
      <c r="E130" s="20" t="n">
        <v>11</v>
      </c>
      <c r="F130" s="20" t="n">
        <v>13</v>
      </c>
      <c r="G130" s="20" t="n">
        <v>5</v>
      </c>
      <c r="H130" s="20" t="n">
        <v>2306</v>
      </c>
      <c r="I130" s="20" t="n">
        <v>12</v>
      </c>
      <c r="J130" s="20" t="n">
        <v>0</v>
      </c>
      <c r="K130" s="20" t="n">
        <v>0</v>
      </c>
      <c r="L130" s="20" t="n">
        <v>13</v>
      </c>
    </row>
    <row r="131">
      <c r="A131" s="18" t="inlineStr">
        <is>
          <t>1년 내 상환 장기차입금</t>
        </is>
      </c>
      <c r="C131" s="20" t="n">
        <v>261</v>
      </c>
      <c r="D131" s="20" t="n">
        <v>245</v>
      </c>
      <c r="E131" s="20" t="n">
        <v>244</v>
      </c>
      <c r="F131" s="20" t="n">
        <v>253</v>
      </c>
      <c r="G131" s="20" t="n">
        <v>243</v>
      </c>
      <c r="H131" s="20" t="n">
        <v>25168</v>
      </c>
      <c r="I131" s="20" t="n">
        <v>36161</v>
      </c>
      <c r="J131" s="20" t="n">
        <v>104</v>
      </c>
      <c r="K131" s="20" t="n">
        <v>79</v>
      </c>
      <c r="L131" s="20" t="n">
        <v>253</v>
      </c>
    </row>
    <row r="132">
      <c r="A132" s="18" t="inlineStr">
        <is>
          <t>리스부채</t>
        </is>
      </c>
      <c r="H132" s="20" t="n">
        <v>208</v>
      </c>
      <c r="I132" s="20" t="n">
        <v>307</v>
      </c>
    </row>
    <row r="133">
      <c r="A133" s="18" t="inlineStr">
        <is>
          <t>미지급법인세</t>
        </is>
      </c>
      <c r="C133" s="20" t="n">
        <v>134</v>
      </c>
      <c r="D133" s="20" t="n">
        <v>236</v>
      </c>
      <c r="E133" s="20" t="n">
        <v>193</v>
      </c>
      <c r="F133" s="20" t="n">
        <v>131</v>
      </c>
      <c r="G133" s="20" t="n">
        <v>334</v>
      </c>
      <c r="H133" s="20" t="n">
        <v>379</v>
      </c>
      <c r="I133" s="20" t="n">
        <v>4254</v>
      </c>
      <c r="J133" s="20" t="n">
        <v>185</v>
      </c>
      <c r="K133" s="20" t="n">
        <v>857</v>
      </c>
      <c r="L133" s="20" t="n">
        <v>131</v>
      </c>
    </row>
    <row r="134">
      <c r="A134" s="18" t="inlineStr">
        <is>
          <t>상여충당금</t>
        </is>
      </c>
      <c r="C134" s="20" t="n">
        <v>126</v>
      </c>
      <c r="D134" s="20" t="n">
        <v>74</v>
      </c>
      <c r="E134" s="20" t="n">
        <v>110</v>
      </c>
      <c r="F134" s="20" t="n">
        <v>76</v>
      </c>
      <c r="G134" s="20" t="n">
        <v>141</v>
      </c>
      <c r="H134" s="20" t="n">
        <v>31</v>
      </c>
      <c r="I134" s="20" t="n">
        <v>22</v>
      </c>
      <c r="J134" s="20" t="n">
        <v>31</v>
      </c>
      <c r="K134" s="20" t="n">
        <v>75</v>
      </c>
      <c r="L134" s="20" t="n">
        <v>76</v>
      </c>
    </row>
    <row r="135">
      <c r="A135" s="18" t="inlineStr">
        <is>
          <t>기타</t>
        </is>
      </c>
      <c r="C135" s="20" t="n">
        <v>2075</v>
      </c>
      <c r="D135" s="20" t="n">
        <v>1858</v>
      </c>
      <c r="E135" s="20" t="n">
        <v>2221</v>
      </c>
      <c r="F135" s="20" t="n">
        <v>2608</v>
      </c>
      <c r="G135" s="20" t="n">
        <v>2476</v>
      </c>
      <c r="H135" s="20" t="n">
        <v>10900</v>
      </c>
      <c r="I135" s="20" t="n">
        <v>14001</v>
      </c>
      <c r="J135" s="20" t="n">
        <v>1382</v>
      </c>
      <c r="K135" s="20" t="n">
        <v>1206</v>
      </c>
      <c r="L135" s="20" t="n">
        <v>2608</v>
      </c>
    </row>
    <row r="136">
      <c r="A136" s="9" t="inlineStr">
        <is>
          <t>유동부채 합계</t>
        </is>
      </c>
      <c r="C136" s="12" t="n">
        <v>11985</v>
      </c>
      <c r="D136" s="12" t="n">
        <v>10627</v>
      </c>
      <c r="E136" s="12" t="n">
        <v>11884</v>
      </c>
      <c r="F136" s="12" t="n">
        <v>12586</v>
      </c>
      <c r="G136" s="12" t="n">
        <v>13667</v>
      </c>
      <c r="H136" s="12" t="n">
        <v>460056</v>
      </c>
      <c r="I136" s="12" t="n">
        <v>488521</v>
      </c>
      <c r="J136" s="12" t="n">
        <v>11963</v>
      </c>
      <c r="K136" s="12" t="n">
        <v>12485</v>
      </c>
      <c r="L136" s="12" t="n">
        <v>12586</v>
      </c>
    </row>
    <row r="137">
      <c r="A137" s="18" t="inlineStr">
        <is>
          <t>장기차입금</t>
        </is>
      </c>
      <c r="C137" s="20" t="n">
        <v>2111</v>
      </c>
      <c r="D137" s="20" t="n">
        <v>1983</v>
      </c>
      <c r="E137" s="20" t="n">
        <v>1964</v>
      </c>
      <c r="F137" s="20" t="n">
        <v>1960</v>
      </c>
      <c r="G137" s="20" t="n">
        <v>1902</v>
      </c>
      <c r="H137" s="20" t="n">
        <v>35674</v>
      </c>
      <c r="I137" s="20" t="n">
        <v>41334</v>
      </c>
      <c r="J137" s="20" t="n">
        <v>1035</v>
      </c>
      <c r="K137" s="20" t="n">
        <v>1235</v>
      </c>
      <c r="L137" s="20" t="n">
        <v>1960</v>
      </c>
    </row>
    <row r="138">
      <c r="A138" s="18" t="inlineStr">
        <is>
          <t>리스부채</t>
        </is>
      </c>
      <c r="H138" s="20" t="n">
        <v>283</v>
      </c>
      <c r="I138" s="20" t="n">
        <v>224</v>
      </c>
    </row>
    <row r="139">
      <c r="A139" s="18" t="inlineStr">
        <is>
          <t>이연법인세부채</t>
        </is>
      </c>
      <c r="C139" s="20" t="n">
        <v>12888</v>
      </c>
      <c r="D139" s="20" t="n">
        <v>12904</v>
      </c>
      <c r="E139" s="20" t="n">
        <v>13939</v>
      </c>
      <c r="F139" s="20" t="n">
        <v>16362</v>
      </c>
      <c r="G139" s="20" t="n">
        <v>17845</v>
      </c>
      <c r="H139" s="20" t="n">
        <v>6861</v>
      </c>
      <c r="I139" s="20" t="n">
        <v>10106</v>
      </c>
      <c r="J139" s="20" t="n">
        <v>13137</v>
      </c>
      <c r="K139" s="20" t="n">
        <v>14666</v>
      </c>
      <c r="L139" s="20" t="n">
        <v>16362</v>
      </c>
    </row>
    <row r="140">
      <c r="A140" s="18" t="inlineStr">
        <is>
          <t>임원 퇴직위로 충당금</t>
        </is>
      </c>
      <c r="C140" s="20" t="n">
        <v>4</v>
      </c>
      <c r="D140" s="20" t="n">
        <v>4</v>
      </c>
      <c r="E140" s="20" t="n">
        <v>4</v>
      </c>
      <c r="F140" s="20" t="n">
        <v>4</v>
      </c>
      <c r="G140" s="20" t="n">
        <v>4</v>
      </c>
      <c r="H140" s="20" t="n">
        <v>4</v>
      </c>
      <c r="I140" s="20" t="n">
        <v>4</v>
      </c>
      <c r="J140" s="20" t="n">
        <v>4</v>
      </c>
      <c r="K140" s="20" t="n">
        <v>4</v>
      </c>
      <c r="L140" s="20" t="n">
        <v>4</v>
      </c>
    </row>
    <row r="141">
      <c r="A141" s="18" t="inlineStr">
        <is>
          <t>퇴직급여부채</t>
        </is>
      </c>
      <c r="C141" s="20" t="n">
        <v>6</v>
      </c>
      <c r="D141" s="20" t="n">
        <v>6</v>
      </c>
      <c r="E141" s="20" t="n">
        <v>6</v>
      </c>
      <c r="F141" s="20" t="n">
        <v>6</v>
      </c>
      <c r="G141" s="20" t="n">
        <v>6</v>
      </c>
      <c r="H141" s="20" t="n">
        <v>5</v>
      </c>
      <c r="I141" s="20" t="n">
        <v>4</v>
      </c>
      <c r="J141" s="20" t="n">
        <v>4</v>
      </c>
      <c r="K141" s="20" t="n">
        <v>5</v>
      </c>
      <c r="L141" s="20" t="n">
        <v>6</v>
      </c>
    </row>
    <row r="142">
      <c r="A142" s="18" t="inlineStr">
        <is>
          <t>기타</t>
        </is>
      </c>
      <c r="C142" s="20" t="n">
        <v>308</v>
      </c>
      <c r="D142" s="20" t="n">
        <v>433</v>
      </c>
      <c r="E142" s="20" t="n">
        <v>423</v>
      </c>
      <c r="F142" s="20" t="n">
        <v>439</v>
      </c>
      <c r="G142" s="20" t="n">
        <v>433</v>
      </c>
      <c r="H142" s="20" t="n">
        <v>135</v>
      </c>
      <c r="I142" s="20" t="n">
        <v>344</v>
      </c>
      <c r="J142" s="20" t="n">
        <v>212</v>
      </c>
      <c r="K142" s="20" t="n">
        <v>235</v>
      </c>
      <c r="L142" s="20" t="n">
        <v>439</v>
      </c>
    </row>
    <row r="143">
      <c r="A143" s="9" t="inlineStr">
        <is>
          <t>비유동부채 합계</t>
        </is>
      </c>
      <c r="C143" s="12" t="n">
        <v>15319</v>
      </c>
      <c r="D143" s="12" t="n">
        <v>15332</v>
      </c>
      <c r="E143" s="12" t="n">
        <v>16338</v>
      </c>
      <c r="F143" s="12" t="n">
        <v>18773</v>
      </c>
      <c r="G143" s="12" t="n">
        <v>20192</v>
      </c>
      <c r="H143" s="12" t="n">
        <v>42965</v>
      </c>
      <c r="I143" s="12" t="n">
        <v>51794</v>
      </c>
      <c r="J143" s="12" t="n">
        <v>14394</v>
      </c>
      <c r="K143" s="12" t="n">
        <v>16147</v>
      </c>
      <c r="L143" s="12" t="n">
        <v>18773</v>
      </c>
    </row>
    <row r="144">
      <c r="A144" s="18" t="inlineStr">
        <is>
          <t>Reserve For Financial Products Transaction Liabilities Reserves Under The Special Laws SEC</t>
        </is>
      </c>
      <c r="H144" s="20" t="n">
        <v>0</v>
      </c>
    </row>
    <row r="145">
      <c r="A145" s="18" t="inlineStr">
        <is>
          <t>Reserves Under The Special Laws1</t>
        </is>
      </c>
      <c r="H145" s="20" t="n">
        <v>0</v>
      </c>
    </row>
    <row r="146">
      <c r="A146" s="9" t="inlineStr">
        <is>
          <t>부채 합계</t>
        </is>
      </c>
      <c r="C146" s="12" t="n">
        <v>27305</v>
      </c>
      <c r="D146" s="12" t="n">
        <v>25959</v>
      </c>
      <c r="E146" s="12" t="n">
        <v>28222</v>
      </c>
      <c r="F146" s="12" t="n">
        <v>31360</v>
      </c>
      <c r="G146" s="12" t="n">
        <v>33860</v>
      </c>
      <c r="H146" s="12" t="n">
        <v>503022</v>
      </c>
      <c r="I146" s="12" t="n">
        <v>540315</v>
      </c>
      <c r="J146" s="12" t="n">
        <v>26358</v>
      </c>
      <c r="K146" s="12" t="n">
        <v>28633</v>
      </c>
      <c r="L146" s="12" t="n">
        <v>31360</v>
      </c>
    </row>
    <row r="147">
      <c r="A147" s="18" t="inlineStr">
        <is>
          <t>자본금</t>
        </is>
      </c>
      <c r="C147" s="20" t="n">
        <v>12223</v>
      </c>
      <c r="D147" s="20" t="n">
        <v>12223</v>
      </c>
      <c r="E147" s="20" t="n">
        <v>12223</v>
      </c>
      <c r="F147" s="20" t="n">
        <v>12223</v>
      </c>
      <c r="G147" s="20" t="n">
        <v>12223</v>
      </c>
      <c r="H147" s="20" t="n">
        <v>12223</v>
      </c>
      <c r="I147" s="20" t="n">
        <v>12223</v>
      </c>
      <c r="J147" s="20" t="n">
        <v>12223</v>
      </c>
      <c r="K147" s="20" t="n">
        <v>12223</v>
      </c>
      <c r="L147" s="20" t="n">
        <v>12223</v>
      </c>
    </row>
    <row r="148">
      <c r="A148" s="18" t="inlineStr">
        <is>
          <t>자본잉여금</t>
        </is>
      </c>
      <c r="C148" s="20" t="n">
        <v>3704</v>
      </c>
      <c r="D148" s="20" t="n">
        <v>3704</v>
      </c>
      <c r="E148" s="20" t="n">
        <v>3704</v>
      </c>
      <c r="F148" s="20" t="n">
        <v>3704</v>
      </c>
      <c r="G148" s="20" t="n">
        <v>3704</v>
      </c>
      <c r="H148" s="20" t="n">
        <v>5897</v>
      </c>
      <c r="I148" s="20" t="n">
        <v>3704</v>
      </c>
      <c r="J148" s="20" t="n">
        <v>3704</v>
      </c>
      <c r="K148" s="20" t="n">
        <v>3704</v>
      </c>
      <c r="L148" s="20" t="n">
        <v>3704</v>
      </c>
    </row>
    <row r="149">
      <c r="A149" s="18" t="inlineStr">
        <is>
          <t>이익잉여금</t>
        </is>
      </c>
      <c r="C149" s="20" t="n">
        <v>88756</v>
      </c>
      <c r="D149" s="20" t="n">
        <v>92340</v>
      </c>
      <c r="E149" s="20" t="n">
        <v>96224</v>
      </c>
      <c r="F149" s="20" t="n">
        <v>99784</v>
      </c>
      <c r="G149" s="20" t="n">
        <v>102639</v>
      </c>
      <c r="H149" s="20" t="n">
        <v>53386</v>
      </c>
      <c r="I149" s="20" t="n">
        <v>64446</v>
      </c>
      <c r="J149" s="20" t="n">
        <v>73597</v>
      </c>
      <c r="K149" s="20" t="n">
        <v>85397</v>
      </c>
      <c r="L149" s="20" t="n">
        <v>99784</v>
      </c>
    </row>
    <row r="150">
      <c r="A150" s="18" t="inlineStr">
        <is>
          <t>자기주식</t>
        </is>
      </c>
      <c r="C150" s="20" t="n">
        <v>-13021</v>
      </c>
      <c r="D150" s="20" t="n">
        <v>-13021</v>
      </c>
      <c r="E150" s="20" t="n">
        <v>-13021</v>
      </c>
      <c r="F150" s="20" t="n">
        <v>-13021</v>
      </c>
      <c r="G150" s="20" t="n">
        <v>-13021</v>
      </c>
      <c r="H150" s="20" t="n">
        <v>-11822</v>
      </c>
      <c r="I150" s="20" t="n">
        <v>-11822</v>
      </c>
      <c r="J150" s="20" t="n">
        <v>-13021</v>
      </c>
      <c r="K150" s="20" t="n">
        <v>-13021</v>
      </c>
      <c r="L150" s="20" t="n">
        <v>-13021</v>
      </c>
    </row>
    <row r="151">
      <c r="A151" s="9" t="inlineStr">
        <is>
          <t>주주자본 합계</t>
        </is>
      </c>
      <c r="C151" s="12" t="n">
        <v>91662</v>
      </c>
      <c r="D151" s="12" t="n">
        <v>95246</v>
      </c>
      <c r="E151" s="12" t="n">
        <v>99129</v>
      </c>
      <c r="F151" s="12" t="n">
        <v>102690</v>
      </c>
      <c r="G151" s="12" t="n">
        <v>105545</v>
      </c>
      <c r="H151" s="12" t="n">
        <v>59684</v>
      </c>
      <c r="I151" s="12" t="n">
        <v>68551</v>
      </c>
      <c r="J151" s="12" t="n">
        <v>76503</v>
      </c>
      <c r="K151" s="12" t="n">
        <v>88303</v>
      </c>
      <c r="L151" s="12" t="n">
        <v>102690</v>
      </c>
    </row>
    <row r="152">
      <c r="A152" s="18" t="inlineStr">
        <is>
          <t>기타유가증권 평가차액</t>
        </is>
      </c>
      <c r="C152" s="20" t="n">
        <v>312</v>
      </c>
      <c r="D152" s="20" t="n">
        <v>444</v>
      </c>
      <c r="E152" s="20" t="n">
        <v>462</v>
      </c>
      <c r="F152" s="20" t="n">
        <v>486</v>
      </c>
      <c r="G152" s="20" t="n">
        <v>380</v>
      </c>
      <c r="H152" s="20" t="n">
        <v>377</v>
      </c>
      <c r="I152" s="20" t="n">
        <v>-46</v>
      </c>
      <c r="J152" s="20" t="n">
        <v>1523</v>
      </c>
      <c r="K152" s="20" t="n">
        <v>342</v>
      </c>
      <c r="L152" s="20" t="n">
        <v>486</v>
      </c>
    </row>
    <row r="153">
      <c r="A153" s="18" t="inlineStr">
        <is>
          <t>이연헤지손익</t>
        </is>
      </c>
      <c r="C153" s="20" t="n">
        <v>-63</v>
      </c>
      <c r="D153" s="20" t="n">
        <v>-66</v>
      </c>
      <c r="E153" s="20" t="n">
        <v>-87</v>
      </c>
      <c r="F153" s="20" t="n">
        <v>-89</v>
      </c>
      <c r="G153" s="20" t="n">
        <v>-96</v>
      </c>
      <c r="H153" s="20" t="n">
        <v>13</v>
      </c>
      <c r="I153" s="20" t="n">
        <v>-187</v>
      </c>
      <c r="J153" s="20" t="n">
        <v>-51</v>
      </c>
      <c r="K153" s="20" t="n">
        <v>-16</v>
      </c>
      <c r="L153" s="20" t="n">
        <v>-89</v>
      </c>
    </row>
    <row r="154">
      <c r="A154" s="18" t="inlineStr">
        <is>
          <t>해외사업환산조정</t>
        </is>
      </c>
      <c r="C154" s="20" t="n">
        <v>-5185</v>
      </c>
      <c r="D154" s="20" t="n">
        <v>-7288</v>
      </c>
      <c r="E154" s="20" t="n">
        <v>-6474</v>
      </c>
      <c r="F154" s="20" t="n">
        <v>-2990</v>
      </c>
      <c r="G154" s="20" t="n">
        <v>-2267</v>
      </c>
      <c r="H154" s="20" t="n">
        <v>-7535</v>
      </c>
      <c r="I154" s="20" t="n">
        <v>-8686</v>
      </c>
      <c r="J154" s="20" t="n">
        <v>-6103</v>
      </c>
      <c r="K154" s="20" t="n">
        <v>-2255</v>
      </c>
      <c r="L154" s="20" t="n">
        <v>-2990</v>
      </c>
    </row>
    <row r="155">
      <c r="A155" s="18" t="inlineStr">
        <is>
          <t>기타포괄손익누계액 합계</t>
        </is>
      </c>
      <c r="C155" s="20" t="n">
        <v>-4936</v>
      </c>
      <c r="D155" s="20" t="n">
        <v>-6910</v>
      </c>
      <c r="E155" s="20" t="n">
        <v>-6098</v>
      </c>
      <c r="F155" s="20" t="n">
        <v>-2593</v>
      </c>
      <c r="G155" s="20" t="n">
        <v>-1983</v>
      </c>
      <c r="H155" s="20" t="n">
        <v>-7144</v>
      </c>
      <c r="I155" s="20" t="n">
        <v>-8919</v>
      </c>
      <c r="J155" s="20" t="n">
        <v>-4631</v>
      </c>
      <c r="K155" s="20" t="n">
        <v>-1929</v>
      </c>
      <c r="L155" s="20" t="n">
        <v>-2593</v>
      </c>
    </row>
    <row r="156">
      <c r="A156" s="18" t="inlineStr">
        <is>
          <t>비지배지분</t>
        </is>
      </c>
      <c r="C156" s="20" t="n">
        <v>539</v>
      </c>
      <c r="D156" s="20" t="n">
        <v>443</v>
      </c>
      <c r="E156" s="20" t="n">
        <v>430</v>
      </c>
      <c r="F156" s="20" t="n">
        <v>538</v>
      </c>
      <c r="G156" s="20" t="n">
        <v>558</v>
      </c>
      <c r="H156" s="20" t="n">
        <v>21887</v>
      </c>
      <c r="I156" s="20" t="n">
        <v>21780</v>
      </c>
      <c r="J156" s="20" t="n">
        <v>544</v>
      </c>
      <c r="K156" s="20" t="n">
        <v>327</v>
      </c>
      <c r="L156" s="20" t="n">
        <v>538</v>
      </c>
    </row>
    <row r="157">
      <c r="A157" s="9" t="inlineStr">
        <is>
          <t>순자산 합계</t>
        </is>
      </c>
      <c r="C157" s="12" t="n">
        <v>87264</v>
      </c>
      <c r="D157" s="12" t="n">
        <v>88780</v>
      </c>
      <c r="E157" s="12" t="n">
        <v>93461</v>
      </c>
      <c r="F157" s="12" t="n">
        <v>100635</v>
      </c>
      <c r="G157" s="12" t="n">
        <v>104119</v>
      </c>
      <c r="H157" s="12" t="n">
        <v>74427</v>
      </c>
      <c r="I157" s="12" t="n">
        <v>81411</v>
      </c>
      <c r="J157" s="12" t="n">
        <v>72416</v>
      </c>
      <c r="K157" s="12" t="n">
        <v>86701</v>
      </c>
      <c r="L157" s="12" t="n">
        <v>100635</v>
      </c>
    </row>
    <row r="158">
      <c r="A158" s="9" t="inlineStr">
        <is>
          <t>부채·순자산 합계</t>
        </is>
      </c>
      <c r="C158" s="12" t="n">
        <v>114570</v>
      </c>
      <c r="D158" s="12" t="n">
        <v>114739</v>
      </c>
      <c r="E158" s="12" t="n">
        <v>121683</v>
      </c>
      <c r="F158" s="12" t="n">
        <v>131996</v>
      </c>
      <c r="G158" s="12" t="n">
        <v>137980</v>
      </c>
      <c r="H158" s="12" t="n">
        <v>577449</v>
      </c>
      <c r="I158" s="12" t="n">
        <v>621727</v>
      </c>
      <c r="J158" s="12" t="n">
        <v>98774</v>
      </c>
      <c r="K158" s="12" t="n">
        <v>115334</v>
      </c>
      <c r="L158" s="12" t="n">
        <v>131996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1" t="inlineStr">
        <is>
          <t>공시일</t>
        </is>
      </c>
      <c r="B3" s="51" t="inlineStr">
        <is>
          <t>문서</t>
        </is>
      </c>
      <c r="C3" s="51" t="inlineStr">
        <is>
          <t>PDF</t>
        </is>
      </c>
    </row>
    <row r="4">
      <c r="A4" t="inlineStr">
        <is>
          <t>2026-07-30</t>
        </is>
      </c>
      <c r="B4" t="inlineStr">
        <is>
          <t>2027년 3월 결산기 1분기 결산단신</t>
        </is>
      </c>
      <c r="C4" t="inlineStr">
        <is>
          <t>https://www2.jpx.co.jp/disc/86990/140120260730503632.pdf</t>
        </is>
      </c>
    </row>
    <row r="5">
      <c r="A5" t="inlineStr">
        <is>
          <t>2026-04-30</t>
        </is>
      </c>
      <c r="B5" t="inlineStr">
        <is>
          <t>2026년 3월 결산기 연간 결산단신</t>
        </is>
      </c>
      <c r="C5" t="inlineStr">
        <is>
          <t>https://www2.jpx.co.jp/disc/86990/140120260430515106.pdf</t>
        </is>
      </c>
    </row>
    <row r="6">
      <c r="A6" t="inlineStr">
        <is>
          <t>2026-01-29</t>
        </is>
      </c>
      <c r="B6" t="inlineStr">
        <is>
          <t>2026년 3월 결산기 3분기 결산단신</t>
        </is>
      </c>
      <c r="C6" t="inlineStr">
        <is>
          <t>https://www2.jpx.co.jp/disc/86990/140120260129541797.pdf</t>
        </is>
      </c>
    </row>
    <row r="7">
      <c r="A7" t="inlineStr">
        <is>
          <t>2025-10-30</t>
        </is>
      </c>
      <c r="B7" t="inlineStr">
        <is>
          <t>2026년 3월 결산기 2분기 결산단신</t>
        </is>
      </c>
      <c r="C7" t="inlineStr">
        <is>
          <t>https://www2.jpx.co.jp/disc/86990/140120251030583111.pdf</t>
        </is>
      </c>
    </row>
    <row r="8">
      <c r="A8" t="inlineStr">
        <is>
          <t>2025-07-30</t>
        </is>
      </c>
      <c r="B8" t="inlineStr">
        <is>
          <t>2026년 3월 결산기 1분기 결산단신</t>
        </is>
      </c>
      <c r="C8" t="inlineStr">
        <is>
          <t>https://www2.jpx.co.jp/disc/86990/140120250730524191.pdf</t>
        </is>
      </c>
    </row>
    <row r="9">
      <c r="A9" t="inlineStr">
        <is>
          <t>2025-04-30</t>
        </is>
      </c>
      <c r="B9" t="inlineStr">
        <is>
          <t>2025년 3월 결산기 연간 결산단신</t>
        </is>
      </c>
      <c r="C9" t="inlineStr">
        <is>
          <t>https://www2.jpx.co.jp/disc/86990/140120250430528086.pdf</t>
        </is>
      </c>
    </row>
    <row r="10">
      <c r="A10" t="inlineStr">
        <is>
          <t>2025-01-28</t>
        </is>
      </c>
      <c r="B10" t="inlineStr">
        <is>
          <t>2025년 3월 결산기 3분기 결산단신</t>
        </is>
      </c>
      <c r="C10" t="inlineStr">
        <is>
          <t>https://www2.jpx.co.jp/disc/86990/140120250128556406.pdf</t>
        </is>
      </c>
    </row>
    <row r="11">
      <c r="A11" t="inlineStr">
        <is>
          <t>2024-10-29</t>
        </is>
      </c>
      <c r="B11" t="inlineStr">
        <is>
          <t>2025년 3월 결산기 2분기 결산단신</t>
        </is>
      </c>
      <c r="C11" t="inlineStr">
        <is>
          <t>https://www2.jpx.co.jp/disc/86990/140120241029505077.pdf</t>
        </is>
      </c>
    </row>
    <row r="12">
      <c r="A12" t="inlineStr">
        <is>
          <t>2024-07-29</t>
        </is>
      </c>
      <c r="B12" t="inlineStr">
        <is>
          <t>2025년 3월 결산기 1분기 결산단신</t>
        </is>
      </c>
      <c r="C12" t="inlineStr">
        <is>
          <t>https://www2.jpx.co.jp/disc/86990/140120240729556767.pdf</t>
        </is>
      </c>
    </row>
    <row r="13">
      <c r="A13" t="inlineStr">
        <is>
          <t>2024-04-30</t>
        </is>
      </c>
      <c r="B13" t="inlineStr">
        <is>
          <t>2024년 3월 결산기 연간 결산단신</t>
        </is>
      </c>
      <c r="C13" t="inlineStr">
        <is>
          <t>https://www2.jpx.co.jp/disc/86990/140120240420573564.pdf</t>
        </is>
      </c>
    </row>
    <row r="14">
      <c r="A14" t="inlineStr">
        <is>
          <t>2024-01-29</t>
        </is>
      </c>
      <c r="B14" t="inlineStr">
        <is>
          <t>2024년 3월 결산기 3분기 결산단신</t>
        </is>
      </c>
      <c r="C14" t="inlineStr">
        <is>
          <t>https://www2.jpx.co.jp/disc/86990/140120240121517187.pdf</t>
        </is>
      </c>
    </row>
    <row r="15">
      <c r="A15" t="inlineStr">
        <is>
          <t>2023-10-30</t>
        </is>
      </c>
      <c r="B15" t="inlineStr">
        <is>
          <t>2024년 3월 결산기 2분기 결산단신</t>
        </is>
      </c>
      <c r="C15" t="inlineStr">
        <is>
          <t>https://www2.jpx.co.jp/disc/86990/140120231020569646.pdf</t>
        </is>
      </c>
    </row>
    <row r="16">
      <c r="A16" t="inlineStr">
        <is>
          <t>2023-07-28</t>
        </is>
      </c>
      <c r="B16" t="inlineStr">
        <is>
          <t>2024년 3월 결산기 1분기 결산단신</t>
        </is>
      </c>
      <c r="C16" t="inlineStr">
        <is>
          <t>https://www2.jpx.co.jp/disc/86990/140120230722525213.pdf</t>
        </is>
      </c>
    </row>
    <row r="17">
      <c r="A17" t="inlineStr">
        <is>
          <t>2023-04-28</t>
        </is>
      </c>
      <c r="B17" t="inlineStr">
        <is>
          <t>2023년 3월 결산기 연간 결산단신</t>
        </is>
      </c>
      <c r="C17" t="inlineStr">
        <is>
          <t>https://www2.jpx.co.jp/disc/86990/140120230422551066.pdf</t>
        </is>
      </c>
    </row>
    <row r="18">
      <c r="A18" t="inlineStr">
        <is>
          <t>2023-01-27</t>
        </is>
      </c>
      <c r="B18" t="inlineStr">
        <is>
          <t>2023년 3월 결산기 3분기 결산단신</t>
        </is>
      </c>
      <c r="C18" t="inlineStr">
        <is>
          <t>https://www2.jpx.co.jp/disc/86990/140120230121591929.pdf</t>
        </is>
      </c>
    </row>
    <row r="19">
      <c r="A19" t="inlineStr">
        <is>
          <t>2022-10-31</t>
        </is>
      </c>
      <c r="B19" t="inlineStr">
        <is>
          <t>2023년 3월 결산기 2분기 결산단신</t>
        </is>
      </c>
      <c r="C19" t="inlineStr">
        <is>
          <t>https://www2.jpx.co.jp/disc/86990/140120221020547247.pdf</t>
        </is>
      </c>
    </row>
    <row r="20">
      <c r="A20" t="inlineStr">
        <is>
          <t>2022-04-28</t>
        </is>
      </c>
      <c r="B20" t="inlineStr">
        <is>
          <t>2022년 3월 결산기 연간 결산단신</t>
        </is>
      </c>
      <c r="C20" t="inlineStr">
        <is>
          <t>https://www2.jpx.co.jp/disc/86990/140120220423526457.pdf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https://www2.jpx.co.jp/disc/86990/140120210422498408.pdf</t>
        </is>
      </c>
    </row>
    <row r="22">
      <c r="A22" t="inlineStr">
        <is>
          <t>2020-04-27</t>
        </is>
      </c>
      <c r="B22" t="inlineStr">
        <is>
          <t>2020년 3월 결산기 연간 결산단신</t>
        </is>
      </c>
      <c r="C22" t="inlineStr">
        <is>
          <t>https://www2.jpx.co.jp/disc/86990/140120200420496468.pdf</t>
        </is>
      </c>
    </row>
    <row r="23">
      <c r="A23" t="inlineStr">
        <is>
          <t>2019-04-26</t>
        </is>
      </c>
      <c r="B23" t="inlineStr">
        <is>
          <t>연간 결산단신</t>
        </is>
      </c>
      <c r="C23" t="inlineStr">
        <is>
          <t>https://www2.jpx.co.jp/disc/86990/140120190419407436.pdf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https://www2.jpx.co.jp/disc/86990/140120180418414091.pdf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2026-10-26T10:59:18Z</dcterms:created>
  <dcterms:modified xmlns:dcterms="http://purl.org/dc/terms/" xmlns:xsi="http://www.w3.org/2001/XMLSchema-instance" xsi:type="dcterms:W3CDTF">2026-10-26T10:59:18Z</dcterms:modified>
</cp:coreProperties>
</file>