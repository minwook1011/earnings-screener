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0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8421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76088</v>
      </c>
      <c r="D4" s="12" t="n">
        <v>134929</v>
      </c>
      <c r="E4" s="12" t="n">
        <v>86030</v>
      </c>
      <c r="F4" s="12" t="n">
        <v>111368</v>
      </c>
      <c r="G4" s="12" t="n">
        <v>90806</v>
      </c>
      <c r="H4" s="12" t="n">
        <v>142444</v>
      </c>
      <c r="I4" s="12" t="n">
        <v>137965</v>
      </c>
      <c r="J4" s="12" t="n">
        <v>150498</v>
      </c>
      <c r="K4" s="12" t="n">
        <v>151523</v>
      </c>
      <c r="L4" s="12" t="n">
        <v>185505</v>
      </c>
      <c r="M4" s="12" t="n">
        <v>175098</v>
      </c>
      <c r="N4" s="12" t="n">
        <v>193081</v>
      </c>
      <c r="O4" s="11" t="n">
        <v>319307</v>
      </c>
      <c r="P4" s="12" t="n">
        <v>304692</v>
      </c>
      <c r="Q4" s="12" t="n">
        <v>293727</v>
      </c>
      <c r="R4" s="12" t="n">
        <v>301954</v>
      </c>
      <c r="S4" s="12" t="n">
        <v>227229</v>
      </c>
      <c r="T4" s="12" t="n">
        <v>216040</v>
      </c>
      <c r="U4" s="12" t="n">
        <v>373723</v>
      </c>
      <c r="V4" s="12" t="n">
        <v>393317</v>
      </c>
      <c r="W4" s="12" t="n">
        <v>482583</v>
      </c>
      <c r="X4" s="12" t="n">
        <v>662624</v>
      </c>
      <c r="Y4" s="11">
        <f>IF(COUNT(Y7,Y10)=0,"",SUM(Y7,Y10))</f>
        <v/>
      </c>
      <c r="Z4" s="12">
        <f>IF(COUNT(Z7,Z10)=0,"",SUM(Z7,Z10))</f>
        <v/>
      </c>
      <c r="AA4" s="12">
        <f>IF(COUNT(AA7,AA10)=0,"",SUM(AA7,AA10))</f>
        <v/>
      </c>
      <c r="AB4" s="12">
        <f>IF(COUNT(AB7,AB10)=0,"",SUM(AB7,AB10))</f>
        <v/>
      </c>
      <c r="AC4" s="12">
        <f>IF(COUNT(AC7,AC10)=0,"",SUM(AC7,AC10))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신금중앙금고 사업</t>
        </is>
      </c>
      <c r="B7" s="10" t="n"/>
      <c r="C7" s="19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19" t="n"/>
      <c r="P7" s="20" t="n"/>
      <c r="Q7" s="20" t="n"/>
      <c r="R7" s="20" t="n"/>
      <c r="S7" s="20" t="n"/>
      <c r="T7" s="20" t="n"/>
      <c r="U7" s="20" t="n"/>
      <c r="V7" s="20" t="n">
        <v>390285</v>
      </c>
      <c r="W7" s="20" t="n">
        <v>444161</v>
      </c>
      <c r="X7" s="20" t="n">
        <v>621927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기타</t>
        </is>
      </c>
      <c r="B10" s="10" t="n"/>
      <c r="C10" s="19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>
        <v>37287</v>
      </c>
      <c r="W10" s="20" t="n">
        <v>38482</v>
      </c>
      <c r="X10" s="20" t="n">
        <v>40743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6" t="inlineStr">
        <is>
          <t>매출원가</t>
        </is>
      </c>
      <c r="B13" s="16" t="n"/>
      <c r="C13" s="17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7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7" t="n"/>
      <c r="Z13" s="16" t="n"/>
      <c r="AA13" s="16" t="n"/>
      <c r="AB13" s="16" t="n"/>
      <c r="AC13" s="16" t="n"/>
    </row>
    <row r="14">
      <c r="A14" s="18" t="inlineStr">
        <is>
          <t>전체 매출원가</t>
        </is>
      </c>
      <c r="B14" s="10" t="n"/>
      <c r="C14" s="19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19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19" t="n"/>
      <c r="Z14" s="20" t="n"/>
      <c r="AA14" s="20" t="n"/>
      <c r="AB14" s="20" t="n"/>
      <c r="AC14" s="20" t="n"/>
    </row>
    <row r="15">
      <c r="A15" s="18" t="inlineStr">
        <is>
          <t>매출총이익</t>
        </is>
      </c>
      <c r="B15" s="10" t="n"/>
      <c r="C15" s="19">
        <f>IF(OR(C4="",C14=""),"",IFERROR(C4-C14,""))</f>
        <v/>
      </c>
      <c r="D15" s="20">
        <f>IF(OR(D4="",D14=""),"",IFERROR(D4-D14,""))</f>
        <v/>
      </c>
      <c r="E15" s="20">
        <f>IF(OR(E4="",E14=""),"",IFERROR(E4-E14,""))</f>
        <v/>
      </c>
      <c r="F15" s="20">
        <f>IF(OR(F4="",F14=""),"",IFERROR(F4-F14,""))</f>
        <v/>
      </c>
      <c r="G15" s="20">
        <f>IF(OR(G4="",G14=""),"",IFERROR(G4-G14,""))</f>
        <v/>
      </c>
      <c r="H15" s="20">
        <f>IF(OR(H4="",H14=""),"",IFERROR(H4-H14,""))</f>
        <v/>
      </c>
      <c r="I15" s="20">
        <f>IF(OR(I4="",I14=""),"",IFERROR(I4-I14,""))</f>
        <v/>
      </c>
      <c r="J15" s="20">
        <f>IF(OR(J4="",J14=""),"",IFERROR(J4-J14,""))</f>
        <v/>
      </c>
      <c r="K15" s="20">
        <f>IF(OR(K4="",K14=""),"",IFERROR(K4-K14,""))</f>
        <v/>
      </c>
      <c r="L15" s="20">
        <f>IF(OR(L4="",L14=""),"",IFERROR(L4-L14,""))</f>
        <v/>
      </c>
      <c r="M15" s="20">
        <f>IF(OR(M4="",M14=""),"",IFERROR(M4-M14,""))</f>
        <v/>
      </c>
      <c r="N15" s="20">
        <f>IF(OR(N4="",N14=""),"",IFERROR(N4-N14,""))</f>
        <v/>
      </c>
      <c r="O15" s="19">
        <f>IF(OR(O4="",O14=""),"",IFERROR(O4-O14,""))</f>
        <v/>
      </c>
      <c r="P15" s="20">
        <f>IF(OR(P4="",P14=""),"",IFERROR(P4-P14,""))</f>
        <v/>
      </c>
      <c r="Q15" s="20">
        <f>IF(OR(Q4="",Q14=""),"",IFERROR(Q4-Q14,""))</f>
        <v/>
      </c>
      <c r="R15" s="20">
        <f>IF(OR(R4="",R14=""),"",IFERROR(R4-R14,""))</f>
        <v/>
      </c>
      <c r="S15" s="20">
        <f>IF(OR(S4="",S14=""),"",IFERROR(S4-S14,""))</f>
        <v/>
      </c>
      <c r="T15" s="20">
        <f>IF(OR(T4="",T14=""),"",IFERROR(T4-T14,""))</f>
        <v/>
      </c>
      <c r="U15" s="20">
        <f>IF(OR(U4="",U14=""),"",IFERROR(U4-U14,""))</f>
        <v/>
      </c>
      <c r="V15" s="20">
        <f>IF(OR(V4="",V14=""),"",IFERROR(V4-V14,""))</f>
        <v/>
      </c>
      <c r="W15" s="20">
        <f>IF(OR(W4="",W14=""),"",IFERROR(W4-W14,""))</f>
        <v/>
      </c>
      <c r="X15" s="20">
        <f>IF(OR(X4="",X14=""),"",IFERROR(X4-X14,""))</f>
        <v/>
      </c>
      <c r="Y15" s="19" t="n"/>
      <c r="Z15" s="20" t="n"/>
      <c r="AA15" s="20" t="n"/>
      <c r="AB15" s="20" t="n"/>
      <c r="AC15" s="20" t="n"/>
    </row>
    <row r="16">
      <c r="A16" s="13" t="inlineStr">
        <is>
          <t>GPM</t>
        </is>
      </c>
      <c r="B16" s="10" t="n"/>
      <c r="C16" s="14">
        <f>IF(OR(C15="",C4=""),"",IFERROR(C15/C4,""))</f>
        <v/>
      </c>
      <c r="D16" s="15">
        <f>IF(OR(D15="",D4=""),"",IFERROR(D15/D4,""))</f>
        <v/>
      </c>
      <c r="E16" s="15">
        <f>IF(OR(E15="",E4=""),"",IFERROR(E15/E4,""))</f>
        <v/>
      </c>
      <c r="F16" s="15">
        <f>IF(OR(F15="",F4=""),"",IFERROR(F15/F4,""))</f>
        <v/>
      </c>
      <c r="G16" s="15">
        <f>IF(OR(G15="",G4=""),"",IFERROR(G15/G4,""))</f>
        <v/>
      </c>
      <c r="H16" s="15">
        <f>IF(OR(H15="",H4=""),"",IFERROR(H15/H4,""))</f>
        <v/>
      </c>
      <c r="I16" s="15">
        <f>IF(OR(I15="",I4=""),"",IFERROR(I15/I4,""))</f>
        <v/>
      </c>
      <c r="J16" s="15">
        <f>IF(OR(J15="",J4=""),"",IFERROR(J15/J4,""))</f>
        <v/>
      </c>
      <c r="K16" s="15">
        <f>IF(OR(K15="",K4=""),"",IFERROR(K15/K4,""))</f>
        <v/>
      </c>
      <c r="L16" s="15">
        <f>IF(OR(L15="",L4=""),"",IFERROR(L15/L4,""))</f>
        <v/>
      </c>
      <c r="M16" s="15">
        <f>IF(OR(M15="",M4=""),"",IFERROR(M15/M4,""))</f>
        <v/>
      </c>
      <c r="N16" s="15">
        <f>IF(OR(N15="",N4=""),"",IFERROR(N15/N4,""))</f>
        <v/>
      </c>
      <c r="O16" s="14">
        <f>IF(OR(O15="",O4=""),"",IFERROR(O15/O4,""))</f>
        <v/>
      </c>
      <c r="P16" s="15">
        <f>IF(OR(P15="",P4=""),"",IFERROR(P15/P4,""))</f>
        <v/>
      </c>
      <c r="Q16" s="15">
        <f>IF(OR(Q15="",Q4=""),"",IFERROR(Q15/Q4,""))</f>
        <v/>
      </c>
      <c r="R16" s="15">
        <f>IF(OR(R15="",R4=""),"",IFERROR(R15/R4,""))</f>
        <v/>
      </c>
      <c r="S16" s="15">
        <f>IF(OR(S15="",S4=""),"",IFERROR(S15/S4,""))</f>
        <v/>
      </c>
      <c r="T16" s="15">
        <f>IF(OR(T15="",T4=""),"",IFERROR(T15/T4,""))</f>
        <v/>
      </c>
      <c r="U16" s="15">
        <f>IF(OR(U15="",U4=""),"",IFERROR(U15/U4,""))</f>
        <v/>
      </c>
      <c r="V16" s="15">
        <f>IF(OR(V15="",V4=""),"",IFERROR(V15/V4,""))</f>
        <v/>
      </c>
      <c r="W16" s="15">
        <f>IF(OR(W15="",W4=""),"",IFERROR(W15/W4,""))</f>
        <v/>
      </c>
      <c r="X16" s="15">
        <f>IF(OR(X15="",X4=""),"",IFERROR(X15/X4,""))</f>
        <v/>
      </c>
      <c r="Y16" s="14">
        <f>IF(OR(Y15="",Y4=""),"",IFERROR(Y15/Y4,""))</f>
        <v/>
      </c>
      <c r="Z16" s="15">
        <f>IF(OR(Z15="",Z4=""),"",IFERROR(Z15/Z4,""))</f>
        <v/>
      </c>
      <c r="AA16" s="15">
        <f>IF(OR(AA15="",AA4=""),"",IFERROR(AA15/AA4,""))</f>
        <v/>
      </c>
      <c r="AB16" s="15">
        <f>IF(OR(AB15="",AB4=""),"",IFERROR(AB15/AB4,""))</f>
        <v/>
      </c>
      <c r="AC16" s="15">
        <f>IF(OR(AC15="",AC4=""),"",IFERROR(AC15/AC4,""))</f>
        <v/>
      </c>
    </row>
    <row r="17">
      <c r="A17" s="23" t="inlineStr">
        <is>
          <t>판매관리비</t>
        </is>
      </c>
      <c r="B17" s="23" t="n"/>
      <c r="C17" s="24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4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4" t="n"/>
      <c r="Z17" s="23" t="n"/>
      <c r="AA17" s="23" t="n"/>
      <c r="AB17" s="23" t="n"/>
      <c r="AC17" s="23" t="n"/>
    </row>
    <row r="18">
      <c r="A18" s="18" t="inlineStr">
        <is>
          <t>전체 판관비</t>
        </is>
      </c>
      <c r="B18" s="10" t="n"/>
      <c r="C18" s="19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19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19" t="n"/>
      <c r="Z18" s="20" t="n"/>
      <c r="AA18" s="20" t="n"/>
      <c r="AB18" s="20" t="n"/>
      <c r="AC18" s="20" t="n"/>
    </row>
    <row r="19">
      <c r="A19" s="9" t="inlineStr">
        <is>
          <t>영업이익</t>
        </is>
      </c>
      <c r="B19" s="10" t="inlineStr">
        <is>
          <t>MW = 매출 × OPM</t>
        </is>
      </c>
      <c r="C19" s="11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1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3" t="inlineStr">
        <is>
          <t>OPM</t>
        </is>
      </c>
      <c r="B20" s="10" t="inlineStr">
        <is>
          <t>MW 입력</t>
        </is>
      </c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25" t="n"/>
      <c r="Z20" s="26" t="n"/>
      <c r="AA20" s="26" t="n"/>
      <c r="AB20" s="26" t="n"/>
      <c r="AC20" s="26" t="n"/>
    </row>
    <row r="21">
      <c r="A21" s="13" t="inlineStr">
        <is>
          <t>증가율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비용의 성격별 분류</t>
        </is>
      </c>
      <c r="B22" s="16" t="inlineStr">
        <is>
          <t>참고 데이터</t>
        </is>
      </c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IF(O18="","",O18)</f>
        <v/>
      </c>
      <c r="P23" s="12">
        <f>IF(P18="","",P18)</f>
        <v/>
      </c>
      <c r="Q23" s="12">
        <f>IF(Q18="","",Q18)</f>
        <v/>
      </c>
      <c r="R23" s="12">
        <f>IF(R18="","",R18)</f>
        <v/>
      </c>
      <c r="S23" s="12">
        <f>IF(S18="","",S18)</f>
        <v/>
      </c>
      <c r="T23" s="12">
        <f>IF(T18="","",T18)</f>
        <v/>
      </c>
      <c r="U23" s="12">
        <f>IF(U18="","",U18)</f>
        <v/>
      </c>
      <c r="V23" s="12">
        <f>IF(V18="","",V18)</f>
        <v/>
      </c>
      <c r="W23" s="12">
        <f>IF(W18="","",W18)</f>
        <v/>
      </c>
      <c r="X23" s="12">
        <f>IF(X18="","",X18)</f>
        <v/>
      </c>
      <c r="Y23" s="11" t="n"/>
      <c r="Z23" s="12" t="n"/>
      <c r="AA23" s="12" t="n"/>
      <c r="AB23" s="12" t="n"/>
      <c r="AC23" s="12" t="n"/>
    </row>
    <row r="24">
      <c r="A24" s="18" t="inlineStr">
        <is>
          <t>급여</t>
        </is>
      </c>
      <c r="B24" s="10" t="inlineStr">
        <is>
          <t>고정비</t>
        </is>
      </c>
      <c r="C24" s="19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19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19" t="n"/>
      <c r="Z24" s="20" t="n"/>
      <c r="AA24" s="20" t="n"/>
      <c r="AB24" s="20" t="n"/>
      <c r="AC24" s="20" t="n"/>
    </row>
    <row r="25">
      <c r="A25" s="13" t="inlineStr">
        <is>
          <t>% of Sales</t>
        </is>
      </c>
      <c r="B25" s="10" t="n"/>
      <c r="C25" s="14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4">
        <f>IF(OR(O24="",O4=""),"",IFERROR(O24/O4,""))</f>
        <v/>
      </c>
      <c r="P25" s="15">
        <f>IF(OR(P24="",P4=""),"",IFERROR(P24/P4,""))</f>
        <v/>
      </c>
      <c r="Q25" s="15">
        <f>IF(OR(Q24="",Q4=""),"",IFERROR(Q24/Q4,""))</f>
        <v/>
      </c>
      <c r="R25" s="15">
        <f>IF(OR(R24="",R4=""),"",IFERROR(R24/R4,""))</f>
        <v/>
      </c>
      <c r="S25" s="15">
        <f>IF(OR(S24="",S4=""),"",IFERROR(S24/S4,""))</f>
        <v/>
      </c>
      <c r="T25" s="15">
        <f>IF(OR(T24="",T4=""),"",IFERROR(T24/T4,""))</f>
        <v/>
      </c>
      <c r="U25" s="15">
        <f>IF(OR(U24="",U4=""),"",IFERROR(U24/U4,""))</f>
        <v/>
      </c>
      <c r="V25" s="15">
        <f>IF(OR(V24="",V4=""),"",IFERROR(V24/V4,""))</f>
        <v/>
      </c>
      <c r="W25" s="15">
        <f>IF(OR(W24="",W4=""),"",IFERROR(W24/W4,""))</f>
        <v/>
      </c>
      <c r="X25" s="15">
        <f>IF(OR(X24="",X4=""),"",IFERROR(X24/X4,""))</f>
        <v/>
      </c>
      <c r="Y25" s="14" t="n"/>
      <c r="Z25" s="15" t="n"/>
      <c r="AA25" s="15" t="n"/>
      <c r="AB25" s="15" t="n"/>
      <c r="AC25" s="15" t="n"/>
    </row>
    <row r="26">
      <c r="A26" s="18" t="inlineStr">
        <is>
          <t>감가상각비</t>
        </is>
      </c>
      <c r="B26" s="10" t="inlineStr">
        <is>
          <t>고정비</t>
        </is>
      </c>
      <c r="C26" s="19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19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19" t="n"/>
      <c r="Z26" s="20" t="n"/>
      <c r="AA26" s="20" t="n"/>
      <c r="AB26" s="20" t="n"/>
      <c r="AC26" s="20" t="n"/>
    </row>
    <row r="27">
      <c r="A27" s="13" t="inlineStr">
        <is>
          <t>% of Sales</t>
        </is>
      </c>
      <c r="B27" s="10" t="n"/>
      <c r="C27" s="14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4">
        <f>IF(OR(O26="",O4=""),"",IFERROR(O26/O4,""))</f>
        <v/>
      </c>
      <c r="P27" s="15">
        <f>IF(OR(P26="",P4=""),"",IFERROR(P26/P4,""))</f>
        <v/>
      </c>
      <c r="Q27" s="15">
        <f>IF(OR(Q26="",Q4=""),"",IFERROR(Q26/Q4,""))</f>
        <v/>
      </c>
      <c r="R27" s="15">
        <f>IF(OR(R26="",R4=""),"",IFERROR(R26/R4,""))</f>
        <v/>
      </c>
      <c r="S27" s="15">
        <f>IF(OR(S26="",S4=""),"",IFERROR(S26/S4,""))</f>
        <v/>
      </c>
      <c r="T27" s="15">
        <f>IF(OR(T26="",T4=""),"",IFERROR(T26/T4,""))</f>
        <v/>
      </c>
      <c r="U27" s="15">
        <f>IF(OR(U26="",U4=""),"",IFERROR(U26/U4,""))</f>
        <v/>
      </c>
      <c r="V27" s="15">
        <f>IF(OR(V26="",V4=""),"",IFERROR(V26/V4,""))</f>
        <v/>
      </c>
      <c r="W27" s="15">
        <f>IF(OR(W26="",W4=""),"",IFERROR(W26/W4,""))</f>
        <v/>
      </c>
      <c r="X27" s="15">
        <f>IF(OR(X26="",X4=""),"",IFERROR(X26/X4,""))</f>
        <v/>
      </c>
      <c r="Y27" s="14" t="n"/>
      <c r="Z27" s="15" t="n"/>
      <c r="AA27" s="15" t="n"/>
      <c r="AB27" s="15" t="n"/>
      <c r="AC27" s="15" t="n"/>
    </row>
    <row r="28">
      <c r="A28" s="18" t="inlineStr">
        <is>
          <t>지급수수료</t>
        </is>
      </c>
      <c r="B28" s="10" t="inlineStr">
        <is>
          <t>고정비</t>
        </is>
      </c>
      <c r="C28" s="19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19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19" t="n"/>
      <c r="Z28" s="20" t="n"/>
      <c r="AA28" s="20" t="n"/>
      <c r="AB28" s="20" t="n"/>
      <c r="AC28" s="20" t="n"/>
    </row>
    <row r="29">
      <c r="A29" s="13" t="inlineStr">
        <is>
          <t>% of Sales</t>
        </is>
      </c>
      <c r="B29" s="10" t="n"/>
      <c r="C29" s="14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14" t="n"/>
      <c r="Z29" s="15" t="n"/>
      <c r="AA29" s="15" t="n"/>
      <c r="AB29" s="15" t="n"/>
      <c r="AC29" s="15" t="n"/>
    </row>
    <row r="30">
      <c r="A30" s="18" t="inlineStr">
        <is>
          <t>연구개발비</t>
        </is>
      </c>
      <c r="B30" s="10" t="inlineStr">
        <is>
          <t>변동비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기타비용</t>
        </is>
      </c>
      <c r="B32" s="10" t="inlineStr">
        <is>
          <t>변동비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>
        <f>IF(OR(O23="",O24="",O26="",O28="",O30=""),"",IFERROR(O23-O24-O26-O28-O30,""))</f>
        <v/>
      </c>
      <c r="P32" s="20">
        <f>IF(OR(P23="",P24="",P26="",P28="",P30=""),"",IFERROR(P23-P24-P26-P28-P30,""))</f>
        <v/>
      </c>
      <c r="Q32" s="20">
        <f>IF(OR(Q23="",Q24="",Q26="",Q28="",Q30=""),"",IFERROR(Q23-Q24-Q26-Q28-Q30,""))</f>
        <v/>
      </c>
      <c r="R32" s="20">
        <f>IF(OR(R23="",R24="",R26="",R28="",R30=""),"",IFERROR(R23-R24-R26-R28-R30,""))</f>
        <v/>
      </c>
      <c r="S32" s="20">
        <f>IF(OR(S23="",S24="",S26="",S28="",S30=""),"",IFERROR(S23-S24-S26-S28-S30,""))</f>
        <v/>
      </c>
      <c r="T32" s="20">
        <f>IF(OR(T23="",T24="",T26="",T28="",T30=""),"",IFERROR(T23-T24-T26-T28-T30,""))</f>
        <v/>
      </c>
      <c r="U32" s="20">
        <f>IF(OR(U23="",U24="",U26="",U28="",U30=""),"",IFERROR(U23-U24-U26-U28-U30,""))</f>
        <v/>
      </c>
      <c r="V32" s="20">
        <f>IF(OR(V23="",V24="",V26="",V28="",V30=""),"",IFERROR(V23-V24-V26-V28-V30,""))</f>
        <v/>
      </c>
      <c r="W32" s="20">
        <f>IF(OR(W23="",W24="",W26="",W28="",W30=""),"",IFERROR(W23-W24-W26-W28-W30,""))</f>
        <v/>
      </c>
      <c r="X32" s="20">
        <f>IF(OR(X23="",X24="",X26="",X28="",X30=""),"",IFERROR(X23-X24-X26-X28-X30,""))</f>
        <v/>
      </c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6" t="inlineStr">
        <is>
          <t>당기순이익 추정</t>
        </is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18" t="inlineStr">
        <is>
          <t>특별이익</t>
        </is>
      </c>
      <c r="B35" s="10" t="n"/>
      <c r="C35" s="19" t="n">
        <v>0</v>
      </c>
      <c r="D35" s="20" t="n">
        <v>0</v>
      </c>
      <c r="E35" s="20" t="n">
        <v>0</v>
      </c>
      <c r="F35" s="20" t="n">
        <v>0</v>
      </c>
      <c r="G35" s="20" t="n">
        <v>0</v>
      </c>
      <c r="H35" s="20" t="n">
        <v>0</v>
      </c>
      <c r="I35" s="20" t="n">
        <v>0</v>
      </c>
      <c r="J35" s="20" t="n">
        <v>0</v>
      </c>
      <c r="K35" s="20" t="n">
        <v>0</v>
      </c>
      <c r="L35" s="20" t="n">
        <v>0</v>
      </c>
      <c r="M35" s="20" t="n">
        <v>3764</v>
      </c>
      <c r="N35" s="20" t="n">
        <v>0</v>
      </c>
      <c r="O35" s="19" t="n">
        <v>0</v>
      </c>
      <c r="P35" s="20" t="n">
        <v>2200</v>
      </c>
      <c r="Q35" s="20" t="n">
        <v>81</v>
      </c>
      <c r="R35" s="20" t="n">
        <v>0</v>
      </c>
      <c r="S35" s="20" t="n">
        <v>17</v>
      </c>
      <c r="T35" s="20" t="n">
        <v>54</v>
      </c>
      <c r="U35" s="20" t="n">
        <v>3</v>
      </c>
      <c r="V35" s="20" t="n">
        <v>0</v>
      </c>
      <c r="W35" s="20" t="n">
        <v>0</v>
      </c>
      <c r="X35" s="20" t="n">
        <v>3764</v>
      </c>
      <c r="Y35" s="19">
        <f>IF(OR(Y4="",Y36=""),"",IFERROR(Y4*Y36,""))</f>
        <v/>
      </c>
      <c r="Z35" s="20">
        <f>IF(OR(Z4="",Z36=""),"",IFERROR(Z4*Z36,""))</f>
        <v/>
      </c>
      <c r="AA35" s="20">
        <f>IF(OR(AA4="",AA36=""),"",IFERROR(AA4*AA36,""))</f>
        <v/>
      </c>
      <c r="AB35" s="20">
        <f>IF(OR(AB4="",AB36=""),"",IFERROR(AB4*AB36,""))</f>
        <v/>
      </c>
      <c r="AC35" s="20">
        <f>IF(OR(AC4="",AC36=""),"",IFERROR(AC4*AC36,""))</f>
        <v/>
      </c>
    </row>
    <row r="36">
      <c r="A36" s="13" t="inlineStr">
        <is>
          <t>% of Sales</t>
        </is>
      </c>
      <c r="B36" s="10" t="inlineStr">
        <is>
          <t>MW = 최근 3년 평균</t>
        </is>
      </c>
      <c r="C36" s="14">
        <f>IF(OR(C35="",C4=""),"",IFERROR(C35/C4,""))</f>
        <v/>
      </c>
      <c r="D36" s="15">
        <f>IF(OR(D35="",D4=""),"",IFERROR(D35/D4,""))</f>
        <v/>
      </c>
      <c r="E36" s="15">
        <f>IF(OR(E35="",E4=""),"",IFERROR(E35/E4,""))</f>
        <v/>
      </c>
      <c r="F36" s="15">
        <f>IF(OR(F35="",F4=""),"",IFERROR(F35/F4,""))</f>
        <v/>
      </c>
      <c r="G36" s="15">
        <f>IF(OR(G35="",G4=""),"",IFERROR(G35/G4,""))</f>
        <v/>
      </c>
      <c r="H36" s="15">
        <f>IF(OR(H35="",H4=""),"",IFERROR(H35/H4,""))</f>
        <v/>
      </c>
      <c r="I36" s="15">
        <f>IF(OR(I35="",I4=""),"",IFERROR(I35/I4,""))</f>
        <v/>
      </c>
      <c r="J36" s="15">
        <f>IF(OR(J35="",J4=""),"",IFERROR(J35/J4,""))</f>
        <v/>
      </c>
      <c r="K36" s="15">
        <f>IF(OR(K35="",K4=""),"",IFERROR(K35/K4,""))</f>
        <v/>
      </c>
      <c r="L36" s="15">
        <f>IF(OR(L35="",L4=""),"",IFERROR(L35/L4,""))</f>
        <v/>
      </c>
      <c r="M36" s="15">
        <f>IF(OR(M35="",M4=""),"",IFERROR(M35/M4,""))</f>
        <v/>
      </c>
      <c r="N36" s="15">
        <f>IF(OR(N35="",N4=""),"",IFERROR(N35/N4,""))</f>
        <v/>
      </c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25">
        <f>IFERROR(AVERAGE(V36,W36,X36),"")</f>
        <v/>
      </c>
      <c r="Z36" s="26">
        <f>Y36</f>
        <v/>
      </c>
      <c r="AA36" s="26">
        <f>Z36</f>
        <v/>
      </c>
      <c r="AB36" s="26">
        <f>AA36</f>
        <v/>
      </c>
      <c r="AC36" s="26">
        <f>AB36</f>
        <v/>
      </c>
    </row>
    <row r="37">
      <c r="A37" s="18" t="inlineStr">
        <is>
          <t>특별손실</t>
        </is>
      </c>
      <c r="B37" s="10" t="n"/>
      <c r="C37" s="19" t="n">
        <v>2</v>
      </c>
      <c r="D37" s="20" t="n">
        <v>3</v>
      </c>
      <c r="E37" s="20" t="n">
        <v>137</v>
      </c>
      <c r="F37" s="20" t="n">
        <v>1</v>
      </c>
      <c r="G37" s="20" t="n">
        <v>0</v>
      </c>
      <c r="H37" s="20" t="n">
        <v>194</v>
      </c>
      <c r="I37" s="20" t="n">
        <v>83</v>
      </c>
      <c r="J37" s="20" t="n">
        <v>9</v>
      </c>
      <c r="K37" s="20" t="n">
        <v>378</v>
      </c>
      <c r="L37" s="20" t="n">
        <v>11</v>
      </c>
      <c r="M37" s="20" t="n">
        <v>351</v>
      </c>
      <c r="N37" s="20" t="n">
        <v>3</v>
      </c>
      <c r="O37" s="19" t="n">
        <v>35</v>
      </c>
      <c r="P37" s="20" t="n">
        <v>177</v>
      </c>
      <c r="Q37" s="20" t="n">
        <v>1598</v>
      </c>
      <c r="R37" s="20" t="n">
        <v>353</v>
      </c>
      <c r="S37" s="20" t="n">
        <v>121</v>
      </c>
      <c r="T37" s="20" t="n">
        <v>21</v>
      </c>
      <c r="U37" s="20" t="n">
        <v>379</v>
      </c>
      <c r="V37" s="20" t="n">
        <v>142</v>
      </c>
      <c r="W37" s="20" t="n">
        <v>278</v>
      </c>
      <c r="X37" s="20" t="n">
        <v>749</v>
      </c>
      <c r="Y37" s="19">
        <f>IF(OR(Y4="",Y38=""),"",IFERROR(Y4*Y38,""))</f>
        <v/>
      </c>
      <c r="Z37" s="20">
        <f>IF(OR(Z4="",Z38=""),"",IFERROR(Z4*Z38,""))</f>
        <v/>
      </c>
      <c r="AA37" s="20">
        <f>IF(OR(AA4="",AA38=""),"",IFERROR(AA4*AA38,""))</f>
        <v/>
      </c>
      <c r="AB37" s="20">
        <f>IF(OR(AB4="",AB38=""),"",IFERROR(AB4*AB38,""))</f>
        <v/>
      </c>
      <c r="AC37" s="20">
        <f>IF(OR(AC4="",AC38=""),"",IFERROR(AC4*AC38,""))</f>
        <v/>
      </c>
    </row>
    <row r="38">
      <c r="A38" s="13" t="inlineStr">
        <is>
          <t>% of Sales</t>
        </is>
      </c>
      <c r="B38" s="10" t="n"/>
      <c r="C38" s="14">
        <f>IF(OR(C37="",C4=""),"",IFERROR(C37/C4,""))</f>
        <v/>
      </c>
      <c r="D38" s="15">
        <f>IF(OR(D37="",D4=""),"",IFERROR(D37/D4,""))</f>
        <v/>
      </c>
      <c r="E38" s="15">
        <f>IF(OR(E37="",E4=""),"",IFERROR(E37/E4,""))</f>
        <v/>
      </c>
      <c r="F38" s="15">
        <f>IF(OR(F37="",F4=""),"",IFERROR(F37/F4,""))</f>
        <v/>
      </c>
      <c r="G38" s="15">
        <f>IF(OR(G37="",G4=""),"",IFERROR(G37/G4,""))</f>
        <v/>
      </c>
      <c r="H38" s="15">
        <f>IF(OR(H37="",H4=""),"",IFERROR(H37/H4,""))</f>
        <v/>
      </c>
      <c r="I38" s="15">
        <f>IF(OR(I37="",I4=""),"",IFERROR(I37/I4,""))</f>
        <v/>
      </c>
      <c r="J38" s="15">
        <f>IF(OR(J37="",J4=""),"",IFERROR(J37/J4,""))</f>
        <v/>
      </c>
      <c r="K38" s="15">
        <f>IF(OR(K37="",K4=""),"",IFERROR(K37/K4,""))</f>
        <v/>
      </c>
      <c r="L38" s="15">
        <f>IF(OR(L37="",L4=""),"",IFERROR(L37/L4,""))</f>
        <v/>
      </c>
      <c r="M38" s="15">
        <f>IF(OR(M37="",M4=""),"",IFERROR(M37/M4,""))</f>
        <v/>
      </c>
      <c r="N38" s="15">
        <f>IF(OR(N37="",N4=""),"",IFERROR(N37/N4,""))</f>
        <v/>
      </c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25">
        <f>IFERROR(AVERAGE(V38,W38,X38),"")</f>
        <v/>
      </c>
      <c r="Z38" s="26">
        <f>Y38</f>
        <v/>
      </c>
      <c r="AA38" s="26">
        <f>Z38</f>
        <v/>
      </c>
      <c r="AB38" s="26">
        <f>AA38</f>
        <v/>
      </c>
      <c r="AC38" s="26">
        <f>AB38</f>
        <v/>
      </c>
    </row>
    <row r="39">
      <c r="A39" s="18" t="inlineStr">
        <is>
          <t>영업외수익</t>
        </is>
      </c>
      <c r="B39" s="10" t="n"/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>
        <f>IF(OR(Y4="",Y40=""),"",IFERROR(Y4*Y40,""))</f>
        <v/>
      </c>
      <c r="Z39" s="20">
        <f>IF(OR(Z4="",Z40=""),"",IFERROR(Z4*Z40,""))</f>
        <v/>
      </c>
      <c r="AA39" s="20">
        <f>IF(OR(AA4="",AA40=""),"",IFERROR(AA4*AA40,""))</f>
        <v/>
      </c>
      <c r="AB39" s="20">
        <f>IF(OR(AB4="",AB40=""),"",IFERROR(AB4*AB40,""))</f>
        <v/>
      </c>
      <c r="AC39" s="20">
        <f>IF(OR(AC4="",AC40=""),"",IFERROR(AC4*AC40,""))</f>
        <v/>
      </c>
    </row>
    <row r="40">
      <c r="A40" s="13" t="inlineStr">
        <is>
          <t>% of Sales</t>
        </is>
      </c>
      <c r="B40" s="10" t="n"/>
      <c r="C40" s="14">
        <f>IF(OR(C39="",C4=""),"",IFERROR(C39/C4,""))</f>
        <v/>
      </c>
      <c r="D40" s="15">
        <f>IF(OR(D39="",D4=""),"",IFERROR(D39/D4,""))</f>
        <v/>
      </c>
      <c r="E40" s="15">
        <f>IF(OR(E39="",E4=""),"",IFERROR(E39/E4,""))</f>
        <v/>
      </c>
      <c r="F40" s="15">
        <f>IF(OR(F39="",F4=""),"",IFERROR(F39/F4,""))</f>
        <v/>
      </c>
      <c r="G40" s="15">
        <f>IF(OR(G39="",G4=""),"",IFERROR(G39/G4,""))</f>
        <v/>
      </c>
      <c r="H40" s="15">
        <f>IF(OR(H39="",H4=""),"",IFERROR(H39/H4,""))</f>
        <v/>
      </c>
      <c r="I40" s="15">
        <f>IF(OR(I39="",I4=""),"",IFERROR(I39/I4,""))</f>
        <v/>
      </c>
      <c r="J40" s="15">
        <f>IF(OR(J39="",J4=""),"",IFERROR(J39/J4,""))</f>
        <v/>
      </c>
      <c r="K40" s="15">
        <f>IF(OR(K39="",K4=""),"",IFERROR(K39/K4,""))</f>
        <v/>
      </c>
      <c r="L40" s="15">
        <f>IF(OR(L39="",L4=""),"",IFERROR(L39/L4,""))</f>
        <v/>
      </c>
      <c r="M40" s="15">
        <f>IF(OR(M39="",M4=""),"",IFERROR(M39/M4,""))</f>
        <v/>
      </c>
      <c r="N40" s="15">
        <f>IF(OR(N39="",N4=""),"",IFERROR(N39/N4,""))</f>
        <v/>
      </c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25">
        <f>IFERROR(AVERAGE(V40,W40,X40),"")</f>
        <v/>
      </c>
      <c r="Z40" s="26">
        <f>Y40</f>
        <v/>
      </c>
      <c r="AA40" s="26">
        <f>Z40</f>
        <v/>
      </c>
      <c r="AB40" s="26">
        <f>AA40</f>
        <v/>
      </c>
      <c r="AC40" s="26">
        <f>AB40</f>
        <v/>
      </c>
    </row>
    <row r="41">
      <c r="A41" s="18" t="inlineStr">
        <is>
          <t>영업외비용</t>
        </is>
      </c>
      <c r="B41" s="10" t="n"/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n"/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9604</v>
      </c>
      <c r="D43" s="12" t="n">
        <v>8785</v>
      </c>
      <c r="E43" s="12" t="n">
        <v>11353</v>
      </c>
      <c r="F43" s="12" t="n">
        <v>19155</v>
      </c>
      <c r="G43" s="12" t="n">
        <v>8350</v>
      </c>
      <c r="H43" s="12" t="n">
        <v>18972</v>
      </c>
      <c r="I43" s="12" t="n">
        <v>11830</v>
      </c>
      <c r="J43" s="12" t="n">
        <v>14536</v>
      </c>
      <c r="K43" s="12" t="n">
        <v>21550</v>
      </c>
      <c r="L43" s="12" t="n">
        <v>11293</v>
      </c>
      <c r="M43" s="12" t="n">
        <v>11792</v>
      </c>
      <c r="N43" s="12" t="n">
        <v>18532</v>
      </c>
      <c r="O43" s="11" t="n">
        <v>52804</v>
      </c>
      <c r="P43" s="12" t="n">
        <v>62873</v>
      </c>
      <c r="Q43" s="12" t="n">
        <v>61935</v>
      </c>
      <c r="R43" s="12" t="n">
        <v>56358</v>
      </c>
      <c r="S43" s="12" t="n">
        <v>39780</v>
      </c>
      <c r="T43" s="12" t="n">
        <v>44861</v>
      </c>
      <c r="U43" s="12" t="n">
        <v>35650</v>
      </c>
      <c r="V43" s="12" t="n">
        <v>42038</v>
      </c>
      <c r="W43" s="12" t="n">
        <v>58307</v>
      </c>
      <c r="X43" s="12" t="n">
        <v>59171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8" t="inlineStr">
        <is>
          <t>법인세비용(수익)</t>
        </is>
      </c>
      <c r="B44" s="10" t="n"/>
      <c r="C44" s="19" t="n">
        <v>2618</v>
      </c>
      <c r="D44" s="20" t="n">
        <v>2199</v>
      </c>
      <c r="E44" s="20" t="n">
        <v>3121</v>
      </c>
      <c r="F44" s="20" t="n">
        <v>5091</v>
      </c>
      <c r="G44" s="20" t="n">
        <v>2295</v>
      </c>
      <c r="H44" s="20" t="n">
        <v>5368</v>
      </c>
      <c r="I44" s="20" t="n">
        <v>2580</v>
      </c>
      <c r="J44" s="20" t="n">
        <v>3660</v>
      </c>
      <c r="K44" s="20" t="n">
        <v>3754</v>
      </c>
      <c r="L44" s="20" t="n">
        <v>5304</v>
      </c>
      <c r="M44" s="20" t="n">
        <v>3038</v>
      </c>
      <c r="N44" s="20" t="n">
        <v>4843</v>
      </c>
      <c r="O44" s="19" t="n">
        <v>8250</v>
      </c>
      <c r="P44" s="20" t="n">
        <v>17880</v>
      </c>
      <c r="Q44" s="20" t="n">
        <v>16278</v>
      </c>
      <c r="R44" s="20" t="n">
        <v>15656</v>
      </c>
      <c r="S44" s="20" t="n">
        <v>10201</v>
      </c>
      <c r="T44" s="20" t="n">
        <v>10815</v>
      </c>
      <c r="U44" s="20" t="n">
        <v>9101</v>
      </c>
      <c r="V44" s="20" t="n">
        <v>11079</v>
      </c>
      <c r="W44" s="20" t="n">
        <v>15334</v>
      </c>
      <c r="X44" s="20" t="n">
        <v>15756</v>
      </c>
      <c r="Y44" s="19">
        <f>IF(OR(Y43="",Y45=""),"",IFERROR(MAX(Y43,0)*Y45,""))</f>
        <v/>
      </c>
      <c r="Z44" s="20">
        <f>IF(OR(Z43="",Z45=""),"",IFERROR(MAX(Z43,0)*Z45,""))</f>
        <v/>
      </c>
      <c r="AA44" s="20">
        <f>IF(OR(AA43="",AA45=""),"",IFERROR(MAX(AA43,0)*AA45,""))</f>
        <v/>
      </c>
      <c r="AB44" s="20">
        <f>IF(OR(AB43="",AB45=""),"",IFERROR(MAX(AB43,0)*AB45,""))</f>
        <v/>
      </c>
      <c r="AC44" s="20">
        <f>IF(OR(AC43="",AC45=""),"",IFERROR(MAX(AC43,0)*AC45,""))</f>
        <v/>
      </c>
    </row>
    <row r="45">
      <c r="A45" s="13" t="inlineStr">
        <is>
          <t>법인세율</t>
        </is>
      </c>
      <c r="B45" s="10" t="inlineStr">
        <is>
          <t>MW 기본 30%</t>
        </is>
      </c>
      <c r="C45" s="14">
        <f>IF(OR(C44="",C43=""),"",IFERROR(C44/C43,""))</f>
        <v/>
      </c>
      <c r="D45" s="15">
        <f>IF(OR(D44="",D43=""),"",IFERROR(D44/D43,""))</f>
        <v/>
      </c>
      <c r="E45" s="15">
        <f>IF(OR(E44="",E43=""),"",IFERROR(E44/E43,""))</f>
        <v/>
      </c>
      <c r="F45" s="15">
        <f>IF(OR(F44="",F43=""),"",IFERROR(F44/F43,""))</f>
        <v/>
      </c>
      <c r="G45" s="15">
        <f>IF(OR(G44="",G43=""),"",IFERROR(G44/G43,""))</f>
        <v/>
      </c>
      <c r="H45" s="15">
        <f>IF(OR(H44="",H43=""),"",IFERROR(H44/H43,""))</f>
        <v/>
      </c>
      <c r="I45" s="15">
        <f>IF(OR(I44="",I43=""),"",IFERROR(I44/I43,""))</f>
        <v/>
      </c>
      <c r="J45" s="15">
        <f>IF(OR(J44="",J43=""),"",IFERROR(J44/J43,""))</f>
        <v/>
      </c>
      <c r="K45" s="15">
        <f>IF(OR(K44="",K43=""),"",IFERROR(K44/K43,""))</f>
        <v/>
      </c>
      <c r="L45" s="15">
        <f>IF(OR(L44="",L43=""),"",IFERROR(L44/L43,""))</f>
        <v/>
      </c>
      <c r="M45" s="15">
        <f>IF(OR(M44="",M43=""),"",IFERROR(M44/M43,""))</f>
        <v/>
      </c>
      <c r="N45" s="15">
        <f>IF(OR(N44="",N43=""),"",IFERROR(N44/N43,""))</f>
        <v/>
      </c>
      <c r="O45" s="14">
        <f>IF(OR(O44="",O43=""),"",IFERROR(O44/O43,""))</f>
        <v/>
      </c>
      <c r="P45" s="15">
        <f>IF(OR(P44="",P43=""),"",IFERROR(P44/P43,""))</f>
        <v/>
      </c>
      <c r="Q45" s="15">
        <f>IF(OR(Q44="",Q43=""),"",IFERROR(Q44/Q43,""))</f>
        <v/>
      </c>
      <c r="R45" s="15">
        <f>IF(OR(R44="",R43=""),"",IFERROR(R44/R43,""))</f>
        <v/>
      </c>
      <c r="S45" s="15">
        <f>IF(OR(S44="",S43=""),"",IFERROR(S44/S43,""))</f>
        <v/>
      </c>
      <c r="T45" s="15">
        <f>IF(OR(T44="",T43=""),"",IFERROR(T44/T43,""))</f>
        <v/>
      </c>
      <c r="U45" s="15">
        <f>IF(OR(U44="",U43=""),"",IFERROR(U44/U43,""))</f>
        <v/>
      </c>
      <c r="V45" s="15">
        <f>IF(OR(V44="",V43=""),"",IFERROR(V44/V43,""))</f>
        <v/>
      </c>
      <c r="W45" s="15">
        <f>IF(OR(W44="",W43=""),"",IFERROR(W44/W43,""))</f>
        <v/>
      </c>
      <c r="X45" s="15">
        <f>IF(OR(X44="",X43=""),"",IFERROR(X44/X43,""))</f>
        <v/>
      </c>
      <c r="Y45" s="25" t="n">
        <v>0.3</v>
      </c>
      <c r="Z45" s="26" t="n">
        <v>0.3</v>
      </c>
      <c r="AA45" s="26" t="n">
        <v>0.3</v>
      </c>
      <c r="AB45" s="26" t="n">
        <v>0.3</v>
      </c>
      <c r="AC45" s="26" t="n">
        <v>0.3</v>
      </c>
    </row>
    <row r="46">
      <c r="A46" s="9" t="inlineStr">
        <is>
          <t>당기순이익(손실)</t>
        </is>
      </c>
      <c r="B46" s="10" t="n"/>
      <c r="C46" s="11" t="n">
        <v>6986</v>
      </c>
      <c r="D46" s="12" t="n">
        <v>6586</v>
      </c>
      <c r="E46" s="12" t="n">
        <v>8233</v>
      </c>
      <c r="F46" s="12" t="n">
        <v>14064</v>
      </c>
      <c r="G46" s="12" t="n">
        <v>6055</v>
      </c>
      <c r="H46" s="12" t="n">
        <v>13604</v>
      </c>
      <c r="I46" s="12" t="n">
        <v>9249</v>
      </c>
      <c r="J46" s="12" t="n">
        <v>10875</v>
      </c>
      <c r="K46" s="12" t="n">
        <v>17796</v>
      </c>
      <c r="L46" s="12" t="n">
        <v>5989</v>
      </c>
      <c r="M46" s="12" t="n">
        <v>8754</v>
      </c>
      <c r="N46" s="12" t="n">
        <v>13689</v>
      </c>
      <c r="O46" s="11" t="n">
        <v>44554</v>
      </c>
      <c r="P46" s="12" t="n">
        <v>44992</v>
      </c>
      <c r="Q46" s="12" t="n">
        <v>45657</v>
      </c>
      <c r="R46" s="12" t="n">
        <v>40701</v>
      </c>
      <c r="S46" s="12" t="n">
        <v>29579</v>
      </c>
      <c r="T46" s="12" t="n">
        <v>34046</v>
      </c>
      <c r="U46" s="12" t="n">
        <v>26549</v>
      </c>
      <c r="V46" s="12" t="n">
        <v>30959</v>
      </c>
      <c r="W46" s="12" t="n">
        <v>42972</v>
      </c>
      <c r="X46" s="12" t="n">
        <v>43414</v>
      </c>
      <c r="Y46" s="11">
        <f>IF(OR(Y43=""),"",IFERROR(Y43-Y44,""))</f>
        <v/>
      </c>
      <c r="Z46" s="12">
        <f>IF(OR(Z43=""),"",IFERROR(Z43-Z44,""))</f>
        <v/>
      </c>
      <c r="AA46" s="12">
        <f>IF(OR(AA43=""),"",IFERROR(AA43-AA44,""))</f>
        <v/>
      </c>
      <c r="AB46" s="12">
        <f>IF(OR(AB43=""),"",IFERROR(AB43-AB44,""))</f>
        <v/>
      </c>
      <c r="AC46" s="12">
        <f>IF(OR(AC43=""),"",IFERROR(AC43-AC44,""))</f>
        <v/>
      </c>
    </row>
    <row r="47">
      <c r="A47" s="9" t="inlineStr">
        <is>
          <t>지배주주 순이익</t>
        </is>
      </c>
      <c r="B47" s="10" t="n"/>
      <c r="C47" s="11" t="n">
        <v>7733</v>
      </c>
      <c r="D47" s="12" t="n">
        <v>5782</v>
      </c>
      <c r="E47" s="12" t="n">
        <v>9553</v>
      </c>
      <c r="F47" s="12" t="n">
        <v>13927</v>
      </c>
      <c r="G47" s="12" t="n">
        <v>7233</v>
      </c>
      <c r="H47" s="12" t="n">
        <v>12123</v>
      </c>
      <c r="I47" s="12" t="n">
        <v>9166</v>
      </c>
      <c r="J47" s="12" t="n">
        <v>10737</v>
      </c>
      <c r="K47" s="12" t="n">
        <v>11114</v>
      </c>
      <c r="L47" s="12" t="n">
        <v>12532</v>
      </c>
      <c r="M47" s="12" t="n">
        <v>8623</v>
      </c>
      <c r="N47" s="12" t="n">
        <v>13514</v>
      </c>
      <c r="O47" s="11" t="n">
        <v>43871</v>
      </c>
      <c r="P47" s="12" t="n">
        <v>44466</v>
      </c>
      <c r="Q47" s="12" t="n">
        <v>44781</v>
      </c>
      <c r="R47" s="12" t="n">
        <v>40227</v>
      </c>
      <c r="S47" s="12" t="n">
        <v>31649</v>
      </c>
      <c r="T47" s="12" t="n">
        <v>35942</v>
      </c>
      <c r="U47" s="12" t="n">
        <v>26221</v>
      </c>
      <c r="V47" s="12" t="n">
        <v>32145</v>
      </c>
      <c r="W47" s="12" t="n">
        <v>42449</v>
      </c>
      <c r="X47" s="12" t="n">
        <v>43006</v>
      </c>
      <c r="Y47" s="11">
        <f>IF(OR(Y46="",Y48=""),"",IFERROR(Y46*Y48,""))</f>
        <v/>
      </c>
      <c r="Z47" s="12">
        <f>IF(OR(Z46="",Z48=""),"",IFERROR(Z46*Z48,""))</f>
        <v/>
      </c>
      <c r="AA47" s="12">
        <f>IF(OR(AA46="",AA48=""),"",IFERROR(AA46*AA48,""))</f>
        <v/>
      </c>
      <c r="AB47" s="12">
        <f>IF(OR(AB46="",AB48=""),"",IFERROR(AB46*AB48,""))</f>
        <v/>
      </c>
      <c r="AC47" s="12">
        <f>IF(OR(AC46="",AC48=""),"",IFERROR(AC46*AC48,""))</f>
        <v/>
      </c>
    </row>
    <row r="48">
      <c r="A48" s="13" t="inlineStr">
        <is>
          <t>지배주주 순이익률</t>
        </is>
      </c>
      <c r="B48" s="10" t="inlineStr">
        <is>
          <t>MW 기본 100%</t>
        </is>
      </c>
      <c r="C48" s="14">
        <f>IF(OR(C47="",C46=""),"",IFERROR(C47/C46,""))</f>
        <v/>
      </c>
      <c r="D48" s="15">
        <f>IF(OR(D47="",D46=""),"",IFERROR(D47/D46,""))</f>
        <v/>
      </c>
      <c r="E48" s="15">
        <f>IF(OR(E47="",E46=""),"",IFERROR(E47/E46,""))</f>
        <v/>
      </c>
      <c r="F48" s="15">
        <f>IF(OR(F47="",F46=""),"",IFERROR(F47/F46,""))</f>
        <v/>
      </c>
      <c r="G48" s="15">
        <f>IF(OR(G47="",G46=""),"",IFERROR(G47/G46,""))</f>
        <v/>
      </c>
      <c r="H48" s="15">
        <f>IF(OR(H47="",H46=""),"",IFERROR(H47/H46,""))</f>
        <v/>
      </c>
      <c r="I48" s="15">
        <f>IF(OR(I47="",I46=""),"",IFERROR(I47/I46,""))</f>
        <v/>
      </c>
      <c r="J48" s="15">
        <f>IF(OR(J47="",J46=""),"",IFERROR(J47/J46,""))</f>
        <v/>
      </c>
      <c r="K48" s="15">
        <f>IF(OR(K47="",K46=""),"",IFERROR(K47/K46,""))</f>
        <v/>
      </c>
      <c r="L48" s="15">
        <f>IF(OR(L47="",L46=""),"",IFERROR(L47/L46,""))</f>
        <v/>
      </c>
      <c r="M48" s="15">
        <f>IF(OR(M47="",M46=""),"",IFERROR(M47/M46,""))</f>
        <v/>
      </c>
      <c r="N48" s="15">
        <f>IF(OR(N47="",N46=""),"",IFERROR(N47/N46,""))</f>
        <v/>
      </c>
      <c r="O48" s="14">
        <f>IF(OR(O47="",O46=""),"",IFERROR(O47/O46,""))</f>
        <v/>
      </c>
      <c r="P48" s="15">
        <f>IF(OR(P47="",P46=""),"",IFERROR(P47/P46,""))</f>
        <v/>
      </c>
      <c r="Q48" s="15">
        <f>IF(OR(Q47="",Q46=""),"",IFERROR(Q47/Q46,""))</f>
        <v/>
      </c>
      <c r="R48" s="15">
        <f>IF(OR(R47="",R46=""),"",IFERROR(R47/R46,""))</f>
        <v/>
      </c>
      <c r="S48" s="15">
        <f>IF(OR(S47="",S46=""),"",IFERROR(S47/S46,""))</f>
        <v/>
      </c>
      <c r="T48" s="15">
        <f>IF(OR(T47="",T46=""),"",IFERROR(T47/T46,""))</f>
        <v/>
      </c>
      <c r="U48" s="15">
        <f>IF(OR(U47="",U46=""),"",IFERROR(U47/U46,""))</f>
        <v/>
      </c>
      <c r="V48" s="15">
        <f>IF(OR(V47="",V46=""),"",IFERROR(V47/V46,""))</f>
        <v/>
      </c>
      <c r="W48" s="15">
        <f>IF(OR(W47="",W46=""),"",IFERROR(W47/W46,""))</f>
        <v/>
      </c>
      <c r="X48" s="15">
        <f>IF(OR(X47="",X46=""),"",IFERROR(X47/X46,""))</f>
        <v/>
      </c>
      <c r="Y48" s="25" t="n">
        <v>1</v>
      </c>
      <c r="Z48" s="26" t="n">
        <v>1</v>
      </c>
      <c r="AA48" s="26" t="n">
        <v>1</v>
      </c>
      <c r="AB48" s="26" t="n">
        <v>1</v>
      </c>
      <c r="AC48" s="26" t="n">
        <v>1</v>
      </c>
    </row>
    <row r="49">
      <c r="A49" s="16" t="inlineStr">
        <is>
          <t>목표주가 산출</t>
        </is>
      </c>
      <c r="B49" s="16" t="n"/>
      <c r="C49" s="17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7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7" t="n"/>
      <c r="Z49" s="16" t="n"/>
      <c r="AA49" s="16" t="n"/>
      <c r="AB49" s="16" t="n"/>
      <c r="AC49" s="16" t="n"/>
    </row>
    <row r="50">
      <c r="A50" s="18" t="inlineStr">
        <is>
          <t>현재 주가 (2026.10.26)</t>
        </is>
      </c>
      <c r="B50" s="27" t="n">
        <v>187800</v>
      </c>
      <c r="C50" s="28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8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8" t="n"/>
      <c r="Z50" s="29" t="n"/>
      <c r="AA50" s="29" t="n"/>
      <c r="AB50" s="29" t="n"/>
      <c r="AC50" s="29" t="n"/>
    </row>
    <row r="51">
      <c r="A51" s="18" t="inlineStr">
        <is>
          <t>발행주식수 (보통주)</t>
        </is>
      </c>
      <c r="B51" s="27" t="n">
        <v>8708222</v>
      </c>
      <c r="C51" s="28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8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8" t="n"/>
      <c r="Z51" s="29" t="n"/>
      <c r="AA51" s="29" t="n"/>
      <c r="AB51" s="29" t="n"/>
      <c r="AC51" s="29" t="n"/>
    </row>
    <row r="52">
      <c r="A52" s="18" t="inlineStr">
        <is>
          <t>시가총액 (백만엔)</t>
        </is>
      </c>
      <c r="B52" s="12">
        <f>IF(OR(B50="",B51=""),"",B50*B51/1000000.0)</f>
        <v/>
      </c>
      <c r="C52" s="19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19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19" t="n"/>
      <c r="Z52" s="20" t="n"/>
      <c r="AA52" s="20" t="n"/>
      <c r="AB52" s="20" t="n"/>
      <c r="AC52" s="20" t="n"/>
    </row>
    <row r="53">
      <c r="A53" s="13" t="inlineStr">
        <is>
          <t>OPM</t>
        </is>
      </c>
      <c r="B53" s="10" t="n"/>
      <c r="C53" s="14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4">
        <f>IF(O20="","",O20)</f>
        <v/>
      </c>
      <c r="P53" s="15">
        <f>IF(P20="","",P20)</f>
        <v/>
      </c>
      <c r="Q53" s="15">
        <f>IF(Q20="","",Q20)</f>
        <v/>
      </c>
      <c r="R53" s="15">
        <f>IF(R20="","",R20)</f>
        <v/>
      </c>
      <c r="S53" s="15">
        <f>IF(S20="","",S20)</f>
        <v/>
      </c>
      <c r="T53" s="15">
        <f>IF(T20="","",T20)</f>
        <v/>
      </c>
      <c r="U53" s="15">
        <f>IF(U20="","",U20)</f>
        <v/>
      </c>
      <c r="V53" s="15">
        <f>IF(V20="","",V20)</f>
        <v/>
      </c>
      <c r="W53" s="15">
        <f>IF(W20="","",W20)</f>
        <v/>
      </c>
      <c r="X53" s="15">
        <f>IF(X20="","",X20)</f>
        <v/>
      </c>
      <c r="Y53" s="14">
        <f>IF(Y20="","",Y20)</f>
        <v/>
      </c>
      <c r="Z53" s="15">
        <f>IF(Z20="","",Z20)</f>
        <v/>
      </c>
      <c r="AA53" s="15">
        <f>IF(AA20="","",AA20)</f>
        <v/>
      </c>
      <c r="AB53" s="15">
        <f>IF(AB20="","",AB20)</f>
        <v/>
      </c>
      <c r="AC53" s="15">
        <f>IF(AC20="","",AC20)</f>
        <v/>
      </c>
    </row>
    <row r="54">
      <c r="A54" s="13" t="inlineStr">
        <is>
          <t>지배주주 순이익 증가율</t>
        </is>
      </c>
      <c r="B54" s="10" t="n"/>
      <c r="C54" s="14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4" t="n"/>
      <c r="P54" s="15">
        <f>IF(OR(P47="",O47=""),"",IFERROR(P47/O47-1,""))</f>
        <v/>
      </c>
      <c r="Q54" s="15">
        <f>IF(OR(Q47="",P47=""),"",IFERROR(Q47/P47-1,""))</f>
        <v/>
      </c>
      <c r="R54" s="15">
        <f>IF(OR(R47="",Q47=""),"",IFERROR(R47/Q47-1,""))</f>
        <v/>
      </c>
      <c r="S54" s="15">
        <f>IF(OR(S47="",R47=""),"",IFERROR(S47/R47-1,""))</f>
        <v/>
      </c>
      <c r="T54" s="15">
        <f>IF(OR(T47="",S47=""),"",IFERROR(T47/S47-1,""))</f>
        <v/>
      </c>
      <c r="U54" s="15">
        <f>IF(OR(U47="",T47=""),"",IFERROR(U47/T47-1,""))</f>
        <v/>
      </c>
      <c r="V54" s="15">
        <f>IF(OR(V47="",U47=""),"",IFERROR(V47/U47-1,""))</f>
        <v/>
      </c>
      <c r="W54" s="15">
        <f>IF(OR(W47="",V47=""),"",IFERROR(W47/V47-1,""))</f>
        <v/>
      </c>
      <c r="X54" s="15">
        <f>IF(OR(X47="",W47=""),"",IFERROR(X47/W47-1,""))</f>
        <v/>
      </c>
      <c r="Y54" s="14">
        <f>IF(OR(Y47="",X47=""),"",IFERROR(Y47/X47-1,""))</f>
        <v/>
      </c>
      <c r="Z54" s="15">
        <f>IF(OR(Z47="",Y47=""),"",IFERROR(Z47/Y47-1,""))</f>
        <v/>
      </c>
      <c r="AA54" s="15">
        <f>IF(OR(AA47="",Z47=""),"",IFERROR(AA47/Z47-1,""))</f>
        <v/>
      </c>
      <c r="AB54" s="15">
        <f>IF(OR(AB47="",AA47=""),"",IFERROR(AB47/AA47-1,""))</f>
        <v/>
      </c>
      <c r="AC54" s="15">
        <f>IF(OR(AC47="",AB47=""),"",IFERROR(AC47/AB47-1,""))</f>
        <v/>
      </c>
    </row>
    <row r="55">
      <c r="A55" s="18" t="inlineStr">
        <is>
          <t>P/E (현재 주가)</t>
        </is>
      </c>
      <c r="B55" s="10" t="inlineStr">
        <is>
          <t>시총 ÷ 지배순이익</t>
        </is>
      </c>
      <c r="C55" s="30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0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>
        <f>IF(OR($B$52="",X47=""),"",IFERROR($B$52/X47,""))</f>
        <v/>
      </c>
      <c r="Y55" s="30">
        <f>IF(OR($B$52="",Y47=""),"",IFERROR($B$52/Y47,""))</f>
        <v/>
      </c>
      <c r="Z55" s="31">
        <f>IF(OR($B$52="",Z47=""),"",IFERROR($B$52/Z47,""))</f>
        <v/>
      </c>
      <c r="AA55" s="31">
        <f>IF(OR($B$52="",AA47=""),"",IFERROR($B$52/AA47,""))</f>
        <v/>
      </c>
      <c r="AB55" s="31">
        <f>IF(OR($B$52="",AB47=""),"",IFERROR($B$52/AB47,""))</f>
        <v/>
      </c>
      <c r="AC55" s="31">
        <f>IF(OR($B$52="",AC47=""),"",IFERROR($B$52/AC47,""))</f>
        <v/>
      </c>
    </row>
    <row r="56">
      <c r="A56" s="18" t="inlineStr">
        <is>
          <t>Target P/E</t>
        </is>
      </c>
      <c r="B56" s="10" t="inlineStr">
        <is>
          <t>직접 입력</t>
        </is>
      </c>
      <c r="C56" s="30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0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2" t="n"/>
      <c r="Z56" s="33" t="n"/>
      <c r="AA56" s="33" t="n"/>
      <c r="AB56" s="33" t="n"/>
      <c r="AC56" s="33" t="n"/>
    </row>
    <row r="57">
      <c r="A57" s="18" t="inlineStr">
        <is>
          <t>EPS</t>
        </is>
      </c>
      <c r="B57" s="10" t="inlineStr">
        <is>
          <t>지배순이익 ÷ 주식수</t>
        </is>
      </c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8">
        <f>IF(OR(O47="",$B$51=""),"",IFERROR(O47*1000000.0/$B$51,""))</f>
        <v/>
      </c>
      <c r="P57" s="29">
        <f>IF(OR(P47="",$B$51=""),"",IFERROR(P47*1000000.0/$B$51,""))</f>
        <v/>
      </c>
      <c r="Q57" s="29">
        <f>IF(OR(Q47="",$B$51=""),"",IFERROR(Q47*1000000.0/$B$51,""))</f>
        <v/>
      </c>
      <c r="R57" s="29">
        <f>IF(OR(R47="",$B$51=""),"",IFERROR(R47*1000000.0/$B$51,""))</f>
        <v/>
      </c>
      <c r="S57" s="29">
        <f>IF(OR(S47="",$B$51=""),"",IFERROR(S47*1000000.0/$B$51,""))</f>
        <v/>
      </c>
      <c r="T57" s="29">
        <f>IF(OR(T47="",$B$51=""),"",IFERROR(T47*1000000.0/$B$51,""))</f>
        <v/>
      </c>
      <c r="U57" s="29">
        <f>IF(OR(U47="",$B$51=""),"",IFERROR(U47*1000000.0/$B$51,""))</f>
        <v/>
      </c>
      <c r="V57" s="29">
        <f>IF(OR(V47="",$B$51=""),"",IFERROR(V47*1000000.0/$B$51,""))</f>
        <v/>
      </c>
      <c r="W57" s="29">
        <f>IF(OR(W47="",$B$51=""),"",IFERROR(W47*1000000.0/$B$51,""))</f>
        <v/>
      </c>
      <c r="X57" s="29">
        <f>IF(OR(X47="",$B$51=""),"",IFERROR(X47*1000000.0/$B$51,""))</f>
        <v/>
      </c>
      <c r="Y57" s="28">
        <f>IF(OR(Y47="",$B$51=""),"",IFERROR(Y47*1000000.0/$B$51,""))</f>
        <v/>
      </c>
      <c r="Z57" s="29">
        <f>IF(OR(Z47="",$B$51=""),"",IFERROR(Z47*1000000.0/$B$51,""))</f>
        <v/>
      </c>
      <c r="AA57" s="29">
        <f>IF(OR(AA47="",$B$51=""),"",IFERROR(AA47*1000000.0/$B$51,""))</f>
        <v/>
      </c>
      <c r="AB57" s="29">
        <f>IF(OR(AB47="",$B$51=""),"",IFERROR(AB47*1000000.0/$B$51,""))</f>
        <v/>
      </c>
      <c r="AC57" s="29">
        <f>IF(OR(AC47="",$B$51=""),"",IFERROR(AC47*1000000.0/$B$51,""))</f>
        <v/>
      </c>
    </row>
    <row r="58">
      <c r="A58" s="9" t="inlineStr">
        <is>
          <t>목표주가</t>
        </is>
      </c>
      <c r="B58" s="10" t="n"/>
      <c r="C58" s="34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34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34">
        <f>IF(OR(Y57="",Y56=""),"",IFERROR(Y57*Y56,""))</f>
        <v/>
      </c>
      <c r="Z58" s="27">
        <f>IF(OR(Z57="",Z56=""),"",IFERROR(Z57*Z56,""))</f>
        <v/>
      </c>
      <c r="AA58" s="27">
        <f>IF(OR(AA57="",AA56=""),"",IFERROR(AA57*AA56,""))</f>
        <v/>
      </c>
      <c r="AB58" s="27">
        <f>IF(OR(AB57="",AB56=""),"",IFERROR(AB57*AB56,""))</f>
        <v/>
      </c>
      <c r="AC58" s="27">
        <f>IF(OR(AC57="",AC56=""),"",IFERROR(AC57*AC56,""))</f>
        <v/>
      </c>
    </row>
    <row r="59">
      <c r="A59" s="18" t="inlineStr">
        <is>
          <t>상승여력</t>
        </is>
      </c>
      <c r="B59" s="10" t="n"/>
      <c r="C59" s="35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5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7">
        <f>IF(OR(Y58="",$B$50=""),"",IFERROR(Y58/$B$50-1,""))</f>
        <v/>
      </c>
      <c r="Z59" s="38">
        <f>IF(OR(Z58="",$B$50=""),"",IFERROR(Z58/$B$50-1,""))</f>
        <v/>
      </c>
      <c r="AA59" s="38">
        <f>IF(OR(AA58="",$B$50=""),"",IFERROR(AA58/$B$50-1,""))</f>
        <v/>
      </c>
      <c r="AB59" s="38">
        <f>IF(OR(AB58="",$B$50=""),"",IFERROR(AB58/$B$50-1,""))</f>
        <v/>
      </c>
      <c r="AC59" s="38">
        <f>IF(OR(AC58="",$B$50=""),"",IFERROR(AC58/$B$50-1,""))</f>
        <v/>
      </c>
    </row>
    <row r="60">
      <c r="A60" s="16" t="inlineStr">
        <is>
          <t>자산가치 산출</t>
        </is>
      </c>
      <c r="B60" s="16" t="inlineStr">
        <is>
          <t>최신 분기 BS</t>
        </is>
      </c>
      <c r="C60" s="17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7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7" t="n"/>
      <c r="Z60" s="16" t="n"/>
      <c r="AA60" s="16" t="n"/>
      <c r="AB60" s="16" t="n"/>
      <c r="AC60" s="16" t="n"/>
    </row>
    <row r="61">
      <c r="A61" s="18" t="inlineStr">
        <is>
          <t>현금및현금성자산</t>
        </is>
      </c>
      <c r="B61" s="10" t="n"/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>
        <f>'재무상태표'!G6</f>
        <v/>
      </c>
      <c r="Y61" s="19">
        <f>'재무상태표'!G6</f>
        <v/>
      </c>
      <c r="Z61" s="20">
        <f>'재무상태표'!G6</f>
        <v/>
      </c>
      <c r="AA61" s="20">
        <f>'재무상태표'!G6</f>
        <v/>
      </c>
      <c r="AB61" s="20">
        <f>'재무상태표'!G6</f>
        <v/>
      </c>
      <c r="AC61" s="20">
        <f>'재무상태표'!G6</f>
        <v/>
      </c>
    </row>
    <row r="62">
      <c r="A62" s="18" t="inlineStr">
        <is>
          <t>단기금융상품</t>
        </is>
      </c>
      <c r="B62" s="10" t="n"/>
      <c r="C62" s="19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19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>
        <f>'재무상태표'!G7</f>
        <v/>
      </c>
      <c r="Y62" s="19">
        <f>'재무상태표'!G7</f>
        <v/>
      </c>
      <c r="Z62" s="20">
        <f>'재무상태표'!G7</f>
        <v/>
      </c>
      <c r="AA62" s="20">
        <f>'재무상태표'!G7</f>
        <v/>
      </c>
      <c r="AB62" s="20">
        <f>'재무상태표'!G7</f>
        <v/>
      </c>
      <c r="AC62" s="20">
        <f>'재무상태표'!G7</f>
        <v/>
      </c>
    </row>
    <row r="63">
      <c r="A63" s="18" t="inlineStr">
        <is>
          <t>투자부동산</t>
        </is>
      </c>
      <c r="B63" s="10" t="n"/>
      <c r="C63" s="19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19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>
        <f>'재무상태표'!G14</f>
        <v/>
      </c>
      <c r="Y63" s="19">
        <f>'재무상태표'!G14</f>
        <v/>
      </c>
      <c r="Z63" s="20">
        <f>'재무상태표'!G14</f>
        <v/>
      </c>
      <c r="AA63" s="20">
        <f>'재무상태표'!G14</f>
        <v/>
      </c>
      <c r="AB63" s="20">
        <f>'재무상태표'!G14</f>
        <v/>
      </c>
      <c r="AC63" s="20">
        <f>'재무상태표'!G14</f>
        <v/>
      </c>
    </row>
    <row r="64">
      <c r="A64" s="18" t="inlineStr">
        <is>
          <t>지배자본</t>
        </is>
      </c>
      <c r="B64" s="10" t="n"/>
      <c r="C64" s="19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19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>
        <f>'재무상태표'!G31</f>
        <v/>
      </c>
      <c r="Y64" s="19">
        <f>'재무상태표'!G31</f>
        <v/>
      </c>
      <c r="Z64" s="20">
        <f>'재무상태표'!G31</f>
        <v/>
      </c>
      <c r="AA64" s="20">
        <f>'재무상태표'!G31</f>
        <v/>
      </c>
      <c r="AB64" s="20">
        <f>'재무상태표'!G31</f>
        <v/>
      </c>
      <c r="AC64" s="20">
        <f>'재무상태표'!G31</f>
        <v/>
      </c>
    </row>
    <row r="65">
      <c r="A65" s="18" t="inlineStr">
        <is>
          <t>부채</t>
        </is>
      </c>
      <c r="B65" s="10" t="n"/>
      <c r="C65" s="19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19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>
        <f>'재무상태표'!G27</f>
        <v/>
      </c>
      <c r="Y65" s="19">
        <f>'재무상태표'!G27</f>
        <v/>
      </c>
      <c r="Z65" s="20">
        <f>'재무상태표'!G27</f>
        <v/>
      </c>
      <c r="AA65" s="20">
        <f>'재무상태표'!G27</f>
        <v/>
      </c>
      <c r="AB65" s="20">
        <f>'재무상태표'!G27</f>
        <v/>
      </c>
      <c r="AC65" s="20">
        <f>'재무상태표'!G27</f>
        <v/>
      </c>
    </row>
    <row r="66">
      <c r="A66" s="13" t="inlineStr">
        <is>
          <t>부채비율</t>
        </is>
      </c>
      <c r="B66" s="10" t="n"/>
      <c r="C66" s="14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4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>
        <f>IF(OR(X65="",X64=""),"",IFERROR(X65/X64,""))</f>
        <v/>
      </c>
      <c r="Y66" s="14">
        <f>IF(OR(Y65="",Y64=""),"",IFERROR(Y65/Y64,""))</f>
        <v/>
      </c>
      <c r="Z66" s="15">
        <f>IF(OR(Z65="",Z64=""),"",IFERROR(Z65/Z64,""))</f>
        <v/>
      </c>
      <c r="AA66" s="15">
        <f>IF(OR(AA65="",AA64=""),"",IFERROR(AA65/AA64,""))</f>
        <v/>
      </c>
      <c r="AB66" s="15">
        <f>IF(OR(AB65="",AB64=""),"",IFERROR(AB65/AB64,""))</f>
        <v/>
      </c>
      <c r="AC66" s="15">
        <f>IF(OR(AC65="",AC64=""),"",IFERROR(AC65/AC64,""))</f>
        <v/>
      </c>
    </row>
    <row r="67">
      <c r="A67" s="9" t="inlineStr">
        <is>
          <t>자산가치</t>
        </is>
      </c>
      <c r="B67" s="10" t="inlineStr">
        <is>
          <t>현금+단기금융+투자부동산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>
        <f>SUM(X61,X62,X63)</f>
        <v/>
      </c>
      <c r="Y67" s="11">
        <f>SUM(Y61,Y62,Y63)</f>
        <v/>
      </c>
      <c r="Z67" s="12">
        <f>SUM(Z61,Z62,Z63)</f>
        <v/>
      </c>
      <c r="AA67" s="12">
        <f>SUM(AA61,AA62,AA63)</f>
        <v/>
      </c>
      <c r="AB67" s="12">
        <f>SUM(AB61,AB62,AB63)</f>
        <v/>
      </c>
      <c r="AC67" s="12">
        <f>SUM(AC61,AC62,AC63)</f>
        <v/>
      </c>
    </row>
    <row r="68">
      <c r="A68" s="16" t="inlineStr">
        <is>
          <t>기업가치 산출</t>
        </is>
      </c>
      <c r="B68" s="16" t="n"/>
      <c r="C68" s="17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7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7" t="n"/>
      <c r="Z68" s="16" t="n"/>
      <c r="AA68" s="16" t="n"/>
      <c r="AB68" s="16" t="n"/>
      <c r="AC68" s="16" t="n"/>
    </row>
    <row r="69">
      <c r="A69" s="18" t="inlineStr">
        <is>
          <t>목표 시가총액 (P/E)</t>
        </is>
      </c>
      <c r="B69" s="10" t="inlineStr">
        <is>
          <t>지배순이익 × Target P/E</t>
        </is>
      </c>
      <c r="C69" s="19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19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19">
        <f>IF(OR(Y47="",Y56=""),"",IFERROR(Y47*Y56,""))</f>
        <v/>
      </c>
      <c r="Z69" s="20">
        <f>IF(OR(Z47="",Z56=""),"",IFERROR(Z47*Z56,""))</f>
        <v/>
      </c>
      <c r="AA69" s="20">
        <f>IF(OR(AA47="",AA56=""),"",IFERROR(AA47*AA56,""))</f>
        <v/>
      </c>
      <c r="AB69" s="20">
        <f>IF(OR(AB47="",AB56=""),"",IFERROR(AB47*AB56,""))</f>
        <v/>
      </c>
      <c r="AC69" s="20">
        <f>IF(OR(AC47="",AC56=""),"",IFERROR(AC47*AC56,""))</f>
        <v/>
      </c>
    </row>
    <row r="70">
      <c r="A70" s="9" t="inlineStr">
        <is>
          <t>기업가치</t>
        </is>
      </c>
      <c r="B70" s="10" t="inlineStr">
        <is>
          <t>목표시총 + 자산가치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1">
        <f>IF(OR(Y69=""),"",IFERROR(Y69+Y67,""))</f>
        <v/>
      </c>
      <c r="Z70" s="12">
        <f>IF(OR(Z69=""),"",IFERROR(Z69+Z67,""))</f>
        <v/>
      </c>
      <c r="AA70" s="12">
        <f>IF(OR(AA69=""),"",IFERROR(AA69+AA67,""))</f>
        <v/>
      </c>
      <c r="AB70" s="12">
        <f>IF(OR(AB69=""),"",IFERROR(AB69+AB67,""))</f>
        <v/>
      </c>
      <c r="AC70" s="12">
        <f>IF(OR(AC69=""),"",IFERROR(AC69+AC67,""))</f>
        <v/>
      </c>
    </row>
    <row r="71">
      <c r="A71" s="18" t="inlineStr">
        <is>
          <t>현재 시가총액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19">
        <f>$B$52</f>
        <v/>
      </c>
      <c r="Z71" s="20">
        <f>$B$52</f>
        <v/>
      </c>
      <c r="AA71" s="20">
        <f>$B$52</f>
        <v/>
      </c>
      <c r="AB71" s="20">
        <f>$B$52</f>
        <v/>
      </c>
      <c r="AC71" s="20">
        <f>$B$52</f>
        <v/>
      </c>
    </row>
    <row r="72">
      <c r="A72" s="18" t="inlineStr">
        <is>
          <t>상승여력</t>
        </is>
      </c>
      <c r="B72" s="10" t="n"/>
      <c r="C72" s="35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5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7">
        <f>IF(OR(Y70="",Y71=""),"",IFERROR(Y70/Y71-1,""))</f>
        <v/>
      </c>
      <c r="Z72" s="38">
        <f>IF(OR(Z70="",Z71=""),"",IFERROR(Z70/Z71-1,""))</f>
        <v/>
      </c>
      <c r="AA72" s="38">
        <f>IF(OR(AA70="",AA71=""),"",IFERROR(AA70/AA71-1,""))</f>
        <v/>
      </c>
      <c r="AB72" s="38">
        <f>IF(OR(AB70="",AB71=""),"",IFERROR(AB70/AB71-1,""))</f>
        <v/>
      </c>
      <c r="AC72" s="38">
        <f>IF(OR(AC70="",AC71=""),"",IFERROR(AC70/AC71-1,""))</f>
        <v/>
      </c>
    </row>
    <row r="73">
      <c r="C73" s="39" t="n"/>
      <c r="O73" s="39" t="n"/>
      <c r="Y73" s="39" t="n"/>
    </row>
    <row r="74">
      <c r="A74" s="40" t="inlineStr">
        <is>
          <t>출처</t>
        </is>
      </c>
      <c r="C74" s="39" t="n"/>
      <c r="O74" s="39" t="n"/>
      <c r="Y74" s="39" t="n"/>
    </row>
    <row r="75">
      <c r="A75" s="41" t="inlineStr">
        <is>
          <t>결산단신 XBRL(TDnet·JPX 보관소) — 쓴 문서는 '출처' 시트</t>
        </is>
      </c>
      <c r="C75" s="39" t="n"/>
      <c r="O75" s="39" t="n"/>
      <c r="Y75" s="39" t="n"/>
    </row>
    <row r="76">
      <c r="A76" s="41" t="inlineStr">
        <is>
          <t>분기 = 누계에서 앞 분기를 뺀 3개월 값</t>
        </is>
      </c>
      <c r="C76" s="39" t="n"/>
      <c r="O76" s="39" t="n"/>
      <c r="Y76" s="39" t="n"/>
    </row>
    <row r="77">
      <c r="A77" s="41" t="inlineStr">
        <is>
          <t>주가: 야후 파이낸스 일봉 2026.10.26</t>
        </is>
      </c>
      <c r="C77" s="39" t="n"/>
      <c r="O77" s="39" t="n"/>
      <c r="Y77" s="39" t="n"/>
    </row>
    <row r="79">
      <c r="A79" s="16" t="inlineStr">
        <is>
          <t>손익계산서 · 전 항목</t>
        </is>
      </c>
      <c r="B79" s="42" t="inlineStr">
        <is>
          <t>분기 = 3개월 단독</t>
        </is>
      </c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</row>
    <row r="80">
      <c r="A80" s="5" t="inlineStr">
        <is>
          <t>항목</t>
        </is>
      </c>
      <c r="B80" s="5" t="inlineStr">
        <is>
          <t>참고</t>
        </is>
      </c>
      <c r="C80" s="5" t="inlineStr">
        <is>
          <t>2024.2Q</t>
        </is>
      </c>
      <c r="D80" s="5" t="inlineStr">
        <is>
          <t>2024.3Q</t>
        </is>
      </c>
      <c r="E80" s="5" t="inlineStr">
        <is>
          <t>2024.4Q</t>
        </is>
      </c>
      <c r="F80" s="5" t="inlineStr">
        <is>
          <t>2025.1Q</t>
        </is>
      </c>
      <c r="G80" s="5" t="inlineStr">
        <is>
          <t>2025.2Q</t>
        </is>
      </c>
      <c r="H80" s="5" t="inlineStr">
        <is>
          <t>2025.3Q</t>
        </is>
      </c>
      <c r="I80" s="5" t="inlineStr">
        <is>
          <t>2025.4Q</t>
        </is>
      </c>
      <c r="J80" s="5" t="inlineStr">
        <is>
          <t>2026.1Q</t>
        </is>
      </c>
      <c r="K80" s="5" t="inlineStr">
        <is>
          <t>2026.2Q</t>
        </is>
      </c>
      <c r="L80" s="5" t="inlineStr">
        <is>
          <t>2026.3Q</t>
        </is>
      </c>
      <c r="M80" s="5" t="inlineStr">
        <is>
          <t>2026.4Q</t>
        </is>
      </c>
      <c r="N80" s="5" t="inlineStr">
        <is>
          <t>2027.1Q</t>
        </is>
      </c>
      <c r="O80" s="5" t="inlineStr">
        <is>
          <t>2017</t>
        </is>
      </c>
      <c r="P80" s="5" t="inlineStr">
        <is>
          <t>2018</t>
        </is>
      </c>
      <c r="Q80" s="5" t="inlineStr">
        <is>
          <t>2019</t>
        </is>
      </c>
      <c r="R80" s="5" t="inlineStr">
        <is>
          <t>2020</t>
        </is>
      </c>
      <c r="S80" s="5" t="inlineStr">
        <is>
          <t>2021</t>
        </is>
      </c>
      <c r="T80" s="5" t="inlineStr">
        <is>
          <t>2022</t>
        </is>
      </c>
      <c r="U80" s="5" t="inlineStr">
        <is>
          <t>2023</t>
        </is>
      </c>
      <c r="V80" s="5" t="inlineStr">
        <is>
          <t>2024</t>
        </is>
      </c>
      <c r="W80" s="5" t="inlineStr">
        <is>
          <t>2025</t>
        </is>
      </c>
      <c r="X80" s="5" t="inlineStr">
        <is>
          <t>2026</t>
        </is>
      </c>
      <c r="Y80" s="5" t="inlineStr">
        <is>
          <t>2027(MW)</t>
        </is>
      </c>
      <c r="Z80" s="5" t="inlineStr">
        <is>
          <t>2028(MW)</t>
        </is>
      </c>
      <c r="AA80" s="5" t="inlineStr">
        <is>
          <t>2029(MW)</t>
        </is>
      </c>
      <c r="AB80" s="5" t="inlineStr">
        <is>
          <t>2030(MW)</t>
        </is>
      </c>
      <c r="AC80" s="5" t="inlineStr">
        <is>
          <t>2031(MW)</t>
        </is>
      </c>
    </row>
    <row r="81">
      <c r="A81" s="9" t="inlineStr">
        <is>
          <t>경상수익</t>
        </is>
      </c>
      <c r="C81" s="12" t="n">
        <v>76088</v>
      </c>
      <c r="D81" s="12" t="n">
        <v>134929</v>
      </c>
      <c r="E81" s="12" t="n">
        <v>86030</v>
      </c>
      <c r="F81" s="12" t="n">
        <v>111368</v>
      </c>
      <c r="G81" s="12" t="n">
        <v>90806</v>
      </c>
      <c r="H81" s="12" t="n">
        <v>142444</v>
      </c>
      <c r="I81" s="12" t="n">
        <v>137965</v>
      </c>
      <c r="J81" s="12" t="n">
        <v>150498</v>
      </c>
      <c r="K81" s="12" t="n">
        <v>151523</v>
      </c>
      <c r="L81" s="12" t="n">
        <v>185505</v>
      </c>
      <c r="M81" s="12" t="n">
        <v>175098</v>
      </c>
      <c r="N81" s="12" t="n">
        <v>193081</v>
      </c>
      <c r="T81" s="12" t="n">
        <v>22557</v>
      </c>
      <c r="U81" s="12" t="n">
        <v>113871</v>
      </c>
      <c r="V81" s="12" t="n">
        <v>86030</v>
      </c>
      <c r="W81" s="12" t="n">
        <v>137965</v>
      </c>
      <c r="X81" s="12" t="n">
        <v>175098</v>
      </c>
    </row>
    <row r="82">
      <c r="A82" s="43" t="inlineStr">
        <is>
          <t>YoY</t>
        </is>
      </c>
      <c r="B82" s="3" t="inlineStr">
        <is>
          <t>전년 같은 분기·전년 대비</t>
        </is>
      </c>
      <c r="G82" s="15">
        <f>IF(OR(G81="",C81=""),"",IF(C81&lt;=0,"",IFERROR(G81/C81-1,"")))</f>
        <v/>
      </c>
      <c r="H82" s="15">
        <f>IF(OR(H81="",D81=""),"",IF(D81&lt;=0,"",IFERROR(H81/D81-1,"")))</f>
        <v/>
      </c>
      <c r="I82" s="15">
        <f>IF(OR(I81="",E81=""),"",IF(E81&lt;=0,"",IFERROR(I81/E81-1,"")))</f>
        <v/>
      </c>
      <c r="J82" s="15">
        <f>IF(OR(J81="",F81=""),"",IF(F81&lt;=0,"",IFERROR(J81/F81-1,"")))</f>
        <v/>
      </c>
      <c r="K82" s="15">
        <f>IF(OR(K81="",G81=""),"",IF(G81&lt;=0,"",IFERROR(K81/G81-1,"")))</f>
        <v/>
      </c>
      <c r="L82" s="15">
        <f>IF(OR(L81="",H81=""),"",IF(H81&lt;=0,"",IFERROR(L81/H81-1,"")))</f>
        <v/>
      </c>
      <c r="M82" s="15">
        <f>IF(OR(M81="",I81=""),"",IF(I81&lt;=0,"",IFERROR(M81/I81-1,"")))</f>
        <v/>
      </c>
      <c r="N82" s="15">
        <f>IF(OR(N81="",J81=""),"",IF(J81&lt;=0,"",IFERROR(N81/J81-1,"")))</f>
        <v/>
      </c>
      <c r="T82" s="15">
        <f>IF(OR(T81="",S81=""),"",IF(S81&lt;=0,"",IFERROR(T81/S81-1,"")))</f>
        <v/>
      </c>
      <c r="U82" s="15">
        <f>IF(OR(U81="",T81=""),"",IF(T81&lt;=0,"",IFERROR(U81/T81-1,"")))</f>
        <v/>
      </c>
      <c r="V82" s="15">
        <f>IF(OR(V81="",U81=""),"",IF(U81&lt;=0,"",IFERROR(V81/U81-1,"")))</f>
        <v/>
      </c>
      <c r="W82" s="15">
        <f>IF(OR(W81="",V81=""),"",IF(V81&lt;=0,"",IFERROR(W81/V81-1,"")))</f>
        <v/>
      </c>
      <c r="X82" s="15">
        <f>IF(OR(X81="",W81=""),"",IF(W81&lt;=0,"",IFERROR(X81/W81-1,"")))</f>
        <v/>
      </c>
    </row>
    <row r="83">
      <c r="A83" s="18" t="inlineStr">
        <is>
          <t>자금운용수익</t>
        </is>
      </c>
      <c r="C83" s="20" t="n">
        <v>55218</v>
      </c>
      <c r="D83" s="20" t="n">
        <v>94463</v>
      </c>
      <c r="E83" s="20" t="n">
        <v>74424</v>
      </c>
      <c r="F83" s="20" t="n">
        <v>89798</v>
      </c>
      <c r="G83" s="20" t="n">
        <v>86238</v>
      </c>
      <c r="H83" s="20" t="n">
        <v>109263</v>
      </c>
      <c r="I83" s="20" t="n">
        <v>114520</v>
      </c>
      <c r="J83" s="20" t="n">
        <v>127990</v>
      </c>
      <c r="K83" s="20" t="n">
        <v>143076</v>
      </c>
      <c r="L83" s="20" t="n">
        <v>144569</v>
      </c>
      <c r="M83" s="20" t="n">
        <v>155053</v>
      </c>
      <c r="N83" s="20" t="n">
        <v>168217</v>
      </c>
      <c r="T83" s="20" t="n">
        <v>42180</v>
      </c>
      <c r="U83" s="20" t="n">
        <v>58073</v>
      </c>
      <c r="V83" s="20" t="n">
        <v>74424</v>
      </c>
      <c r="W83" s="20" t="n">
        <v>114520</v>
      </c>
      <c r="X83" s="20" t="n">
        <v>155053</v>
      </c>
    </row>
    <row r="84">
      <c r="A84" s="18" t="inlineStr">
        <is>
          <t>(이 중 대출금 이자)</t>
        </is>
      </c>
      <c r="C84" s="20" t="n">
        <v>5756</v>
      </c>
      <c r="D84" s="20" t="n">
        <v>6029</v>
      </c>
      <c r="E84" s="20" t="n">
        <v>6407</v>
      </c>
      <c r="F84" s="20" t="n">
        <v>7449</v>
      </c>
      <c r="G84" s="20" t="n">
        <v>8740</v>
      </c>
      <c r="H84" s="20" t="n">
        <v>10755</v>
      </c>
      <c r="I84" s="20" t="n">
        <v>12901</v>
      </c>
      <c r="J84" s="20" t="n">
        <v>15984</v>
      </c>
      <c r="K84" s="20" t="n">
        <v>16784</v>
      </c>
      <c r="L84" s="20" t="n">
        <v>19565</v>
      </c>
      <c r="M84" s="20" t="n">
        <v>26087</v>
      </c>
      <c r="N84" s="20" t="n">
        <v>33741</v>
      </c>
      <c r="T84" s="20" t="n">
        <v>3955</v>
      </c>
      <c r="U84" s="20" t="n">
        <v>5347</v>
      </c>
      <c r="V84" s="20" t="n">
        <v>6407</v>
      </c>
      <c r="W84" s="20" t="n">
        <v>12901</v>
      </c>
      <c r="X84" s="20" t="n">
        <v>26087</v>
      </c>
    </row>
    <row r="85">
      <c r="A85" s="18" t="inlineStr">
        <is>
          <t>(이 중 유가증권 이자·배당금)</t>
        </is>
      </c>
      <c r="C85" s="20" t="n">
        <v>46213</v>
      </c>
      <c r="D85" s="20" t="n">
        <v>84990</v>
      </c>
      <c r="E85" s="20" t="n">
        <v>63507</v>
      </c>
      <c r="F85" s="20" t="n">
        <v>74957</v>
      </c>
      <c r="G85" s="20" t="n">
        <v>65318</v>
      </c>
      <c r="H85" s="20" t="n">
        <v>83644</v>
      </c>
      <c r="I85" s="20" t="n">
        <v>80574</v>
      </c>
      <c r="J85" s="20" t="n">
        <v>88489</v>
      </c>
      <c r="K85" s="20" t="n">
        <v>103285</v>
      </c>
      <c r="L85" s="20" t="n">
        <v>101556</v>
      </c>
      <c r="M85" s="20" t="n">
        <v>101669</v>
      </c>
      <c r="N85" s="20" t="n">
        <v>109859</v>
      </c>
      <c r="T85" s="20" t="n">
        <v>36246</v>
      </c>
      <c r="U85" s="20" t="n">
        <v>49492</v>
      </c>
      <c r="V85" s="20" t="n">
        <v>63507</v>
      </c>
      <c r="W85" s="20" t="n">
        <v>80574</v>
      </c>
      <c r="X85" s="20" t="n">
        <v>101669</v>
      </c>
    </row>
    <row r="86">
      <c r="A86" s="18" t="inlineStr">
        <is>
          <t>신탁보수</t>
        </is>
      </c>
      <c r="C86" s="20" t="n">
        <v>635</v>
      </c>
      <c r="D86" s="20" t="n">
        <v>639</v>
      </c>
      <c r="E86" s="20" t="n">
        <v>635</v>
      </c>
      <c r="F86" s="20" t="n">
        <v>639</v>
      </c>
      <c r="G86" s="20" t="n">
        <v>652</v>
      </c>
      <c r="H86" s="20" t="n">
        <v>652</v>
      </c>
      <c r="I86" s="20" t="n">
        <v>638</v>
      </c>
      <c r="J86" s="20" t="n">
        <v>642</v>
      </c>
      <c r="K86" s="20" t="n">
        <v>649</v>
      </c>
      <c r="L86" s="20" t="n">
        <v>623</v>
      </c>
      <c r="M86" s="20" t="n">
        <v>579</v>
      </c>
      <c r="N86" s="20" t="n">
        <v>543</v>
      </c>
      <c r="T86" s="20" t="n">
        <v>540</v>
      </c>
      <c r="U86" s="20" t="n">
        <v>608</v>
      </c>
      <c r="V86" s="20" t="n">
        <v>635</v>
      </c>
      <c r="W86" s="20" t="n">
        <v>638</v>
      </c>
      <c r="X86" s="20" t="n">
        <v>579</v>
      </c>
    </row>
    <row r="87">
      <c r="A87" s="18" t="inlineStr">
        <is>
          <t>용역거래 수익</t>
        </is>
      </c>
      <c r="C87" s="20" t="n">
        <v>-5852</v>
      </c>
      <c r="D87" s="20" t="n">
        <v>27767</v>
      </c>
      <c r="E87" s="20" t="n">
        <v>-22650</v>
      </c>
      <c r="F87" s="20" t="n">
        <v>11288</v>
      </c>
      <c r="G87" s="20" t="n">
        <v>-5951</v>
      </c>
      <c r="H87" s="20" t="n">
        <v>28924</v>
      </c>
      <c r="I87" s="20" t="n">
        <v>11787</v>
      </c>
      <c r="J87" s="20" t="n">
        <v>11752</v>
      </c>
      <c r="K87" s="20" t="n">
        <v>-5813</v>
      </c>
      <c r="L87" s="20" t="n">
        <v>30267</v>
      </c>
      <c r="M87" s="20" t="n">
        <v>12620</v>
      </c>
      <c r="N87" s="20" t="n">
        <v>12793</v>
      </c>
      <c r="T87" s="20" t="n">
        <v>-22402</v>
      </c>
      <c r="U87" s="20" t="n">
        <v>10765</v>
      </c>
      <c r="V87" s="20" t="n">
        <v>-22650</v>
      </c>
      <c r="W87" s="20" t="n">
        <v>11787</v>
      </c>
      <c r="X87" s="20" t="n">
        <v>12620</v>
      </c>
    </row>
    <row r="88">
      <c r="A88" s="18" t="inlineStr">
        <is>
          <t>특정거래 수익</t>
        </is>
      </c>
      <c r="C88" s="20" t="n">
        <v>6989</v>
      </c>
      <c r="D88" s="20" t="n">
        <v>4819</v>
      </c>
      <c r="E88" s="20" t="n">
        <v>2682</v>
      </c>
      <c r="F88" s="20" t="n">
        <v>6509</v>
      </c>
      <c r="G88" s="20" t="n">
        <v>1694</v>
      </c>
      <c r="H88" s="20" t="n">
        <v>2258</v>
      </c>
      <c r="I88" s="20" t="n">
        <v>1960</v>
      </c>
      <c r="J88" s="20" t="n">
        <v>1030</v>
      </c>
      <c r="K88" s="20" t="n">
        <v>977</v>
      </c>
      <c r="L88" s="20" t="n">
        <v>1182</v>
      </c>
      <c r="M88" s="20" t="n">
        <v>1335</v>
      </c>
      <c r="N88" s="20" t="n">
        <v>1086</v>
      </c>
      <c r="T88" s="20" t="n">
        <v>-50</v>
      </c>
      <c r="U88" s="20" t="n">
        <v>2537</v>
      </c>
      <c r="V88" s="20" t="n">
        <v>2682</v>
      </c>
      <c r="W88" s="20" t="n">
        <v>1960</v>
      </c>
      <c r="X88" s="20" t="n">
        <v>1335</v>
      </c>
    </row>
    <row r="89">
      <c r="A89" s="18" t="inlineStr">
        <is>
          <t>기타 업무수익</t>
        </is>
      </c>
      <c r="C89" s="20" t="n">
        <v>18758</v>
      </c>
      <c r="D89" s="20" t="n">
        <v>5834</v>
      </c>
      <c r="E89" s="20" t="n">
        <v>10332</v>
      </c>
      <c r="F89" s="20" t="n">
        <v>2568</v>
      </c>
      <c r="G89" s="20" t="n">
        <v>5583</v>
      </c>
      <c r="H89" s="20" t="n">
        <v>1203</v>
      </c>
      <c r="I89" s="20" t="n">
        <v>8375</v>
      </c>
      <c r="J89" s="20" t="n">
        <v>9081</v>
      </c>
      <c r="K89" s="20" t="n">
        <v>9811</v>
      </c>
      <c r="L89" s="20" t="n">
        <v>8915</v>
      </c>
      <c r="M89" s="20" t="n">
        <v>5477</v>
      </c>
      <c r="N89" s="20" t="n">
        <v>9934</v>
      </c>
      <c r="T89" s="20" t="n">
        <v>1971</v>
      </c>
      <c r="U89" s="20" t="n">
        <v>35896</v>
      </c>
      <c r="V89" s="20" t="n">
        <v>10332</v>
      </c>
      <c r="W89" s="20" t="n">
        <v>8375</v>
      </c>
      <c r="X89" s="20" t="n">
        <v>5477</v>
      </c>
    </row>
    <row r="90">
      <c r="A90" s="18" t="inlineStr">
        <is>
          <t>기타 경상수익</t>
        </is>
      </c>
      <c r="C90" s="20" t="n">
        <v>338</v>
      </c>
      <c r="D90" s="20" t="n">
        <v>1408</v>
      </c>
      <c r="E90" s="20" t="n">
        <v>20607</v>
      </c>
      <c r="F90" s="20" t="n">
        <v>564</v>
      </c>
      <c r="G90" s="20" t="n">
        <v>2590</v>
      </c>
      <c r="H90" s="20" t="n">
        <v>144</v>
      </c>
      <c r="I90" s="20" t="n">
        <v>685</v>
      </c>
      <c r="J90" s="20" t="n">
        <v>0</v>
      </c>
      <c r="K90" s="20" t="n">
        <v>2823</v>
      </c>
      <c r="L90" s="20" t="n">
        <v>-50</v>
      </c>
      <c r="M90" s="20" t="n">
        <v>32</v>
      </c>
      <c r="N90" s="20" t="n">
        <v>505</v>
      </c>
      <c r="T90" s="20" t="n">
        <v>319</v>
      </c>
      <c r="U90" s="20" t="n">
        <v>5992</v>
      </c>
      <c r="V90" s="20" t="n">
        <v>20607</v>
      </c>
      <c r="W90" s="20" t="n">
        <v>685</v>
      </c>
      <c r="X90" s="20" t="n">
        <v>32</v>
      </c>
    </row>
    <row r="91">
      <c r="A91" s="18" t="inlineStr">
        <is>
          <t>경상비용</t>
        </is>
      </c>
      <c r="C91" s="20" t="n">
        <v>66481</v>
      </c>
      <c r="D91" s="20" t="n">
        <v>126141</v>
      </c>
      <c r="E91" s="20" t="n">
        <v>74539</v>
      </c>
      <c r="F91" s="20" t="n">
        <v>92211</v>
      </c>
      <c r="G91" s="20" t="n">
        <v>82456</v>
      </c>
      <c r="H91" s="20" t="n">
        <v>123279</v>
      </c>
      <c r="I91" s="20" t="n">
        <v>126052</v>
      </c>
      <c r="J91" s="20" t="n">
        <v>135951</v>
      </c>
      <c r="K91" s="20" t="n">
        <v>129597</v>
      </c>
      <c r="L91" s="20" t="n">
        <v>174201</v>
      </c>
      <c r="M91" s="20" t="n">
        <v>166718</v>
      </c>
      <c r="N91" s="20" t="n">
        <v>174545</v>
      </c>
      <c r="T91" s="20" t="n">
        <v>19443</v>
      </c>
      <c r="U91" s="20" t="n">
        <v>116122</v>
      </c>
      <c r="V91" s="20" t="n">
        <v>74539</v>
      </c>
      <c r="W91" s="20" t="n">
        <v>126052</v>
      </c>
      <c r="X91" s="20" t="n">
        <v>166718</v>
      </c>
    </row>
    <row r="92">
      <c r="A92" s="18" t="inlineStr">
        <is>
          <t>자금조달비용</t>
        </is>
      </c>
      <c r="C92" s="20" t="n">
        <v>40359</v>
      </c>
      <c r="D92" s="20" t="n">
        <v>46371</v>
      </c>
      <c r="E92" s="20" t="n">
        <v>55770</v>
      </c>
      <c r="F92" s="20" t="n">
        <v>68402</v>
      </c>
      <c r="G92" s="20" t="n">
        <v>73981</v>
      </c>
      <c r="H92" s="20" t="n">
        <v>83057</v>
      </c>
      <c r="I92" s="20" t="n">
        <v>93251</v>
      </c>
      <c r="J92" s="20" t="n">
        <v>102719</v>
      </c>
      <c r="K92" s="20" t="n">
        <v>113459</v>
      </c>
      <c r="L92" s="20" t="n">
        <v>120912</v>
      </c>
      <c r="M92" s="20" t="n">
        <v>127604</v>
      </c>
      <c r="N92" s="20" t="n">
        <v>133491</v>
      </c>
      <c r="T92" s="20" t="n">
        <v>17125</v>
      </c>
      <c r="U92" s="20" t="n">
        <v>32923</v>
      </c>
      <c r="V92" s="20" t="n">
        <v>55770</v>
      </c>
      <c r="W92" s="20" t="n">
        <v>93251</v>
      </c>
      <c r="X92" s="20" t="n">
        <v>127604</v>
      </c>
    </row>
    <row r="93">
      <c r="A93" s="18" t="inlineStr">
        <is>
          <t>(이 중 예금 이자)</t>
        </is>
      </c>
      <c r="C93" s="20" t="n">
        <v>11831</v>
      </c>
      <c r="D93" s="20" t="n">
        <v>10980</v>
      </c>
      <c r="E93" s="20" t="n">
        <v>9603</v>
      </c>
      <c r="F93" s="20" t="n">
        <v>14581</v>
      </c>
      <c r="G93" s="20" t="n">
        <v>17356</v>
      </c>
      <c r="H93" s="20" t="n">
        <v>20644</v>
      </c>
      <c r="I93" s="20" t="n">
        <v>27469</v>
      </c>
      <c r="J93" s="20" t="n">
        <v>33252</v>
      </c>
      <c r="K93" s="20" t="n">
        <v>37196</v>
      </c>
      <c r="L93" s="20" t="n">
        <v>39631</v>
      </c>
      <c r="M93" s="20" t="n">
        <v>46636</v>
      </c>
      <c r="N93" s="20" t="n">
        <v>52375</v>
      </c>
      <c r="T93" s="20" t="n">
        <v>7235</v>
      </c>
      <c r="U93" s="20" t="n">
        <v>11308</v>
      </c>
      <c r="V93" s="20" t="n">
        <v>9603</v>
      </c>
      <c r="W93" s="20" t="n">
        <v>27469</v>
      </c>
      <c r="X93" s="20" t="n">
        <v>46636</v>
      </c>
    </row>
    <row r="94">
      <c r="A94" s="18" t="inlineStr">
        <is>
          <t>(이 중 채권이자)</t>
        </is>
      </c>
      <c r="C94" s="20" t="n">
        <v>364</v>
      </c>
      <c r="D94" s="20" t="n">
        <v>399</v>
      </c>
      <c r="E94" s="20" t="n">
        <v>451</v>
      </c>
      <c r="F94" s="20" t="n">
        <v>509</v>
      </c>
      <c r="G94" s="20" t="n">
        <v>637</v>
      </c>
      <c r="H94" s="20" t="n">
        <v>716</v>
      </c>
      <c r="I94" s="20" t="n">
        <v>835</v>
      </c>
      <c r="J94" s="20" t="n">
        <v>1009</v>
      </c>
      <c r="K94" s="20" t="n">
        <v>1204</v>
      </c>
      <c r="L94" s="20" t="n">
        <v>1358</v>
      </c>
      <c r="M94" s="20" t="n">
        <v>1551</v>
      </c>
      <c r="N94" s="20" t="n">
        <v>1840</v>
      </c>
      <c r="T94" s="20" t="n">
        <v>283</v>
      </c>
      <c r="U94" s="20" t="n">
        <v>312</v>
      </c>
      <c r="V94" s="20" t="n">
        <v>451</v>
      </c>
      <c r="W94" s="20" t="n">
        <v>835</v>
      </c>
      <c r="X94" s="20" t="n">
        <v>1551</v>
      </c>
    </row>
    <row r="95">
      <c r="A95" s="18" t="inlineStr">
        <is>
          <t>용역거래 비용</t>
        </is>
      </c>
      <c r="C95" s="20" t="n">
        <v>578</v>
      </c>
      <c r="D95" s="20" t="n">
        <v>7178</v>
      </c>
      <c r="E95" s="20" t="n">
        <v>-2702</v>
      </c>
      <c r="F95" s="20" t="n">
        <v>4049</v>
      </c>
      <c r="G95" s="20" t="n">
        <v>861</v>
      </c>
      <c r="H95" s="20" t="n">
        <v>7642</v>
      </c>
      <c r="I95" s="20" t="n">
        <v>4067</v>
      </c>
      <c r="J95" s="20" t="n">
        <v>4152</v>
      </c>
      <c r="K95" s="20" t="n">
        <v>899</v>
      </c>
      <c r="L95" s="20" t="n">
        <v>7722</v>
      </c>
      <c r="M95" s="20" t="n">
        <v>4576</v>
      </c>
      <c r="N95" s="20" t="n">
        <v>5023</v>
      </c>
      <c r="T95" s="20" t="n">
        <v>-3362</v>
      </c>
      <c r="U95" s="20" t="n">
        <v>3675</v>
      </c>
      <c r="V95" s="20" t="n">
        <v>-2702</v>
      </c>
      <c r="W95" s="20" t="n">
        <v>4067</v>
      </c>
      <c r="X95" s="20" t="n">
        <v>4576</v>
      </c>
    </row>
    <row r="96">
      <c r="A96" s="18" t="inlineStr">
        <is>
          <t>특정거래 비용</t>
        </is>
      </c>
      <c r="C96" s="20" t="n">
        <v>0</v>
      </c>
      <c r="D96" s="20" t="n">
        <v>0</v>
      </c>
      <c r="E96" s="20" t="n">
        <v>0</v>
      </c>
      <c r="F96" s="20" t="n">
        <v>1</v>
      </c>
      <c r="G96" s="20" t="n">
        <v>-1</v>
      </c>
      <c r="H96" s="20" t="n">
        <v>0</v>
      </c>
      <c r="I96" s="20" t="n">
        <v>0</v>
      </c>
      <c r="J96" s="20" t="n">
        <v>0</v>
      </c>
      <c r="K96" s="20" t="n">
        <v>16</v>
      </c>
      <c r="L96" s="20" t="n">
        <v>53</v>
      </c>
      <c r="M96" s="20" t="n">
        <v>47</v>
      </c>
      <c r="N96" s="20" t="n">
        <v>119</v>
      </c>
      <c r="T96" s="20" t="n">
        <v>-16</v>
      </c>
      <c r="U96" s="20" t="n">
        <v>-68</v>
      </c>
      <c r="V96" s="20" t="n">
        <v>0</v>
      </c>
      <c r="W96" s="20" t="n">
        <v>0</v>
      </c>
      <c r="X96" s="20" t="n">
        <v>47</v>
      </c>
    </row>
    <row r="97">
      <c r="A97" s="18" t="inlineStr">
        <is>
          <t>기타 업무비용</t>
        </is>
      </c>
      <c r="C97" s="20" t="n">
        <v>23882</v>
      </c>
      <c r="D97" s="20" t="n">
        <v>45491</v>
      </c>
      <c r="E97" s="20" t="n">
        <v>31363</v>
      </c>
      <c r="F97" s="20" t="n">
        <v>5016</v>
      </c>
      <c r="G97" s="20" t="n">
        <v>5534</v>
      </c>
      <c r="H97" s="20" t="n">
        <v>5702</v>
      </c>
      <c r="I97" s="20" t="n">
        <v>11948</v>
      </c>
      <c r="J97" s="20" t="n">
        <v>13206</v>
      </c>
      <c r="K97" s="20" t="n">
        <v>13124</v>
      </c>
      <c r="L97" s="20" t="n">
        <v>16238</v>
      </c>
      <c r="M97" s="20" t="n">
        <v>17497</v>
      </c>
      <c r="N97" s="20" t="n">
        <v>19823</v>
      </c>
      <c r="T97" s="20" t="n">
        <v>14154</v>
      </c>
      <c r="U97" s="20" t="n">
        <v>63197</v>
      </c>
      <c r="V97" s="20" t="n">
        <v>31363</v>
      </c>
      <c r="W97" s="20" t="n">
        <v>11948</v>
      </c>
      <c r="X97" s="20" t="n">
        <v>17497</v>
      </c>
    </row>
    <row r="98">
      <c r="A98" s="18" t="inlineStr">
        <is>
          <t>경비</t>
        </is>
      </c>
      <c r="E98" s="20" t="n">
        <v>-9892</v>
      </c>
      <c r="F98" s="20" t="n">
        <v>14736</v>
      </c>
      <c r="I98" s="20" t="n">
        <v>16801</v>
      </c>
      <c r="J98" s="20" t="n">
        <v>15650</v>
      </c>
      <c r="M98" s="20" t="n">
        <v>16563</v>
      </c>
      <c r="N98" s="20" t="n">
        <v>15896</v>
      </c>
      <c r="T98" s="20" t="n">
        <v>-8791</v>
      </c>
      <c r="U98" s="20" t="n">
        <v>16452</v>
      </c>
      <c r="V98" s="20" t="n">
        <v>-9892</v>
      </c>
      <c r="W98" s="20" t="n">
        <v>16801</v>
      </c>
      <c r="X98" s="20" t="n">
        <v>16563</v>
      </c>
    </row>
    <row r="99">
      <c r="A99" s="18" t="inlineStr">
        <is>
          <t>기타 경상비용</t>
        </is>
      </c>
      <c r="C99" s="20" t="n">
        <v>0</v>
      </c>
      <c r="D99" s="20" t="n">
        <v>0</v>
      </c>
      <c r="E99" s="20" t="n">
        <v>0</v>
      </c>
      <c r="F99" s="20" t="n">
        <v>4</v>
      </c>
      <c r="G99" s="20" t="n">
        <v>81</v>
      </c>
      <c r="H99" s="20" t="n">
        <v>51</v>
      </c>
      <c r="I99" s="20" t="n">
        <v>-14</v>
      </c>
      <c r="J99" s="20" t="n">
        <v>222</v>
      </c>
      <c r="K99" s="20" t="n">
        <v>7</v>
      </c>
      <c r="L99" s="20" t="n">
        <v>30</v>
      </c>
      <c r="M99" s="20" t="n">
        <v>430</v>
      </c>
      <c r="N99" s="20" t="n">
        <v>191</v>
      </c>
      <c r="T99" s="20" t="n">
        <v>334</v>
      </c>
      <c r="U99" s="20" t="n">
        <v>-55</v>
      </c>
      <c r="V99" s="20" t="n">
        <v>0</v>
      </c>
      <c r="W99" s="20" t="n">
        <v>-14</v>
      </c>
      <c r="X99" s="20" t="n">
        <v>430</v>
      </c>
    </row>
    <row r="100">
      <c r="A100" s="9" t="inlineStr">
        <is>
          <t>경상이익</t>
        </is>
      </c>
      <c r="C100" s="12" t="n">
        <v>9606</v>
      </c>
      <c r="D100" s="12" t="n">
        <v>8788</v>
      </c>
      <c r="E100" s="12" t="n">
        <v>11491</v>
      </c>
      <c r="F100" s="12" t="n">
        <v>19157</v>
      </c>
      <c r="G100" s="12" t="n">
        <v>8350</v>
      </c>
      <c r="H100" s="12" t="n">
        <v>19165</v>
      </c>
      <c r="I100" s="12" t="n">
        <v>11913</v>
      </c>
      <c r="J100" s="12" t="n">
        <v>14546</v>
      </c>
      <c r="K100" s="12" t="n">
        <v>21927</v>
      </c>
      <c r="L100" s="12" t="n">
        <v>11304</v>
      </c>
      <c r="M100" s="12" t="n">
        <v>8379</v>
      </c>
      <c r="N100" s="12" t="n">
        <v>18535</v>
      </c>
      <c r="T100" s="12" t="n">
        <v>3113</v>
      </c>
      <c r="U100" s="12" t="n">
        <v>-2251</v>
      </c>
      <c r="V100" s="12" t="n">
        <v>11491</v>
      </c>
      <c r="W100" s="12" t="n">
        <v>11913</v>
      </c>
      <c r="X100" s="12" t="n">
        <v>8379</v>
      </c>
    </row>
    <row r="101">
      <c r="A101" s="43" t="inlineStr">
        <is>
          <t>YoY</t>
        </is>
      </c>
      <c r="B101" s="3" t="inlineStr">
        <is>
          <t>전년 같은 분기·전년 대비</t>
        </is>
      </c>
      <c r="G101" s="15">
        <f>IF(OR(G100="",C100=""),"",IF(C100&lt;=0,"",IFERROR(G100/C100-1,"")))</f>
        <v/>
      </c>
      <c r="H101" s="15">
        <f>IF(OR(H100="",D100=""),"",IF(D100&lt;=0,"",IFERROR(H100/D100-1,"")))</f>
        <v/>
      </c>
      <c r="I101" s="15">
        <f>IF(OR(I100="",E100=""),"",IF(E100&lt;=0,"",IFERROR(I100/E100-1,"")))</f>
        <v/>
      </c>
      <c r="J101" s="15">
        <f>IF(OR(J100="",F100=""),"",IF(F100&lt;=0,"",IFERROR(J100/F100-1,"")))</f>
        <v/>
      </c>
      <c r="K101" s="15">
        <f>IF(OR(K100="",G100=""),"",IF(G100&lt;=0,"",IFERROR(K100/G100-1,"")))</f>
        <v/>
      </c>
      <c r="L101" s="15">
        <f>IF(OR(L100="",H100=""),"",IF(H100&lt;=0,"",IFERROR(L100/H100-1,"")))</f>
        <v/>
      </c>
      <c r="M101" s="15">
        <f>IF(OR(M100="",I100=""),"",IF(I100&lt;=0,"",IFERROR(M100/I100-1,"")))</f>
        <v/>
      </c>
      <c r="N101" s="15">
        <f>IF(OR(N100="",J100=""),"",IF(J100&lt;=0,"",IFERROR(N100/J100-1,"")))</f>
        <v/>
      </c>
      <c r="T101" s="15">
        <f>IF(OR(T100="",S100=""),"",IF(S100&lt;=0,"",IFERROR(T100/S100-1,"")))</f>
        <v/>
      </c>
      <c r="U101" s="15">
        <f>IF(OR(U100="",T100=""),"",IF(T100&lt;=0,"",IFERROR(U100/T100-1,"")))</f>
        <v/>
      </c>
      <c r="V101" s="15">
        <f>IF(OR(V100="",U100=""),"",IF(U100&lt;=0,"",IFERROR(V100/U100-1,"")))</f>
        <v/>
      </c>
      <c r="W101" s="15">
        <f>IF(OR(W100="",V100=""),"",IF(V100&lt;=0,"",IFERROR(W100/V100-1,"")))</f>
        <v/>
      </c>
      <c r="X101" s="15">
        <f>IF(OR(X100="",W100=""),"",IF(W100&lt;=0,"",IFERROR(X100/W100-1,"")))</f>
        <v/>
      </c>
    </row>
    <row r="102">
      <c r="A102" s="18" t="inlineStr">
        <is>
          <t>특별이익</t>
        </is>
      </c>
      <c r="C102" s="20" t="n">
        <v>0</v>
      </c>
      <c r="D102" s="20" t="n">
        <v>0</v>
      </c>
      <c r="E102" s="20" t="n">
        <v>0</v>
      </c>
      <c r="F102" s="20" t="n">
        <v>0</v>
      </c>
      <c r="G102" s="20" t="n">
        <v>0</v>
      </c>
      <c r="H102" s="20" t="n">
        <v>0</v>
      </c>
      <c r="I102" s="20" t="n">
        <v>0</v>
      </c>
      <c r="J102" s="20" t="n">
        <v>0</v>
      </c>
      <c r="K102" s="20" t="n">
        <v>0</v>
      </c>
      <c r="L102" s="20" t="n">
        <v>0</v>
      </c>
      <c r="M102" s="20" t="n">
        <v>3764</v>
      </c>
      <c r="N102" s="20" t="n">
        <v>0</v>
      </c>
      <c r="T102" s="20" t="n">
        <v>54</v>
      </c>
      <c r="U102" s="20" t="n">
        <v>0</v>
      </c>
      <c r="V102" s="20" t="n">
        <v>0</v>
      </c>
      <c r="W102" s="20" t="n">
        <v>0</v>
      </c>
      <c r="X102" s="20" t="n">
        <v>3764</v>
      </c>
    </row>
    <row r="103">
      <c r="A103" s="18" t="inlineStr">
        <is>
          <t>고정자산 처분이익</t>
        </is>
      </c>
      <c r="D103" s="20" t="n">
        <v>0</v>
      </c>
      <c r="E103" s="20" t="n">
        <v>0</v>
      </c>
      <c r="T103" s="20" t="n">
        <v>54</v>
      </c>
      <c r="U103" s="20" t="n">
        <v>0</v>
      </c>
      <c r="V103" s="20" t="n">
        <v>0</v>
      </c>
    </row>
    <row r="104">
      <c r="A104" s="18" t="inlineStr">
        <is>
          <t>특별손실</t>
        </is>
      </c>
      <c r="C104" s="20" t="n">
        <v>2</v>
      </c>
      <c r="D104" s="20" t="n">
        <v>3</v>
      </c>
      <c r="E104" s="20" t="n">
        <v>137</v>
      </c>
      <c r="F104" s="20" t="n">
        <v>1</v>
      </c>
      <c r="G104" s="20" t="n">
        <v>0</v>
      </c>
      <c r="H104" s="20" t="n">
        <v>194</v>
      </c>
      <c r="I104" s="20" t="n">
        <v>83</v>
      </c>
      <c r="J104" s="20" t="n">
        <v>9</v>
      </c>
      <c r="K104" s="20" t="n">
        <v>378</v>
      </c>
      <c r="L104" s="20" t="n">
        <v>11</v>
      </c>
      <c r="M104" s="20" t="n">
        <v>351</v>
      </c>
      <c r="N104" s="20" t="n">
        <v>3</v>
      </c>
      <c r="T104" s="20" t="n">
        <v>-3</v>
      </c>
      <c r="U104" s="20" t="n">
        <v>130</v>
      </c>
      <c r="V104" s="20" t="n">
        <v>137</v>
      </c>
      <c r="W104" s="20" t="n">
        <v>83</v>
      </c>
      <c r="X104" s="20" t="n">
        <v>351</v>
      </c>
    </row>
    <row r="105">
      <c r="A105" s="18" t="inlineStr">
        <is>
          <t>고정자산 처분손실</t>
        </is>
      </c>
      <c r="C105" s="20" t="n">
        <v>2</v>
      </c>
      <c r="D105" s="20" t="n">
        <v>0</v>
      </c>
      <c r="E105" s="20" t="n">
        <v>56</v>
      </c>
      <c r="F105" s="20" t="n">
        <v>0</v>
      </c>
      <c r="G105" s="20" t="n">
        <v>3</v>
      </c>
      <c r="H105" s="20" t="n">
        <v>187</v>
      </c>
      <c r="I105" s="20" t="n">
        <v>82</v>
      </c>
      <c r="J105" s="20" t="n">
        <v>8</v>
      </c>
      <c r="K105" s="20" t="n">
        <v>379</v>
      </c>
      <c r="L105" s="20" t="n">
        <v>4</v>
      </c>
      <c r="M105" s="20" t="n">
        <v>347</v>
      </c>
      <c r="N105" s="20" t="n">
        <v>0</v>
      </c>
      <c r="T105" s="20" t="n">
        <v>-3</v>
      </c>
      <c r="U105" s="20" t="n">
        <v>76</v>
      </c>
      <c r="V105" s="20" t="n">
        <v>56</v>
      </c>
      <c r="W105" s="20" t="n">
        <v>82</v>
      </c>
      <c r="X105" s="20" t="n">
        <v>347</v>
      </c>
    </row>
    <row r="106">
      <c r="A106" s="18" t="inlineStr">
        <is>
          <t>금융상품거래 책임준비금 전입액</t>
        </is>
      </c>
      <c r="C106" s="20" t="n">
        <v>0</v>
      </c>
      <c r="D106" s="20" t="n">
        <v>3</v>
      </c>
      <c r="E106" s="20" t="n">
        <v>1</v>
      </c>
      <c r="F106" s="20" t="n">
        <v>1</v>
      </c>
      <c r="G106" s="20" t="n">
        <v>1</v>
      </c>
      <c r="H106" s="20" t="n">
        <v>2</v>
      </c>
      <c r="I106" s="20" t="n">
        <v>2</v>
      </c>
      <c r="J106" s="20" t="n">
        <v>1</v>
      </c>
      <c r="K106" s="20" t="n">
        <v>3</v>
      </c>
      <c r="L106" s="20" t="n">
        <v>2</v>
      </c>
      <c r="M106" s="20" t="n">
        <v>5</v>
      </c>
      <c r="N106" s="20" t="n">
        <v>3</v>
      </c>
      <c r="T106" s="20" t="n">
        <v>0</v>
      </c>
      <c r="U106" s="20" t="n">
        <v>2</v>
      </c>
      <c r="V106" s="20" t="n">
        <v>1</v>
      </c>
      <c r="W106" s="20" t="n">
        <v>2</v>
      </c>
      <c r="X106" s="20" t="n">
        <v>5</v>
      </c>
    </row>
    <row r="107">
      <c r="A107" s="9" t="inlineStr">
        <is>
          <t>법인세차감전 순이익</t>
        </is>
      </c>
      <c r="C107" s="12" t="n">
        <v>9604</v>
      </c>
      <c r="D107" s="12" t="n">
        <v>8785</v>
      </c>
      <c r="E107" s="12" t="n">
        <v>11353</v>
      </c>
      <c r="F107" s="12" t="n">
        <v>19155</v>
      </c>
      <c r="G107" s="12" t="n">
        <v>8350</v>
      </c>
      <c r="H107" s="12" t="n">
        <v>18972</v>
      </c>
      <c r="I107" s="12" t="n">
        <v>11830</v>
      </c>
      <c r="J107" s="12" t="n">
        <v>14536</v>
      </c>
      <c r="K107" s="12" t="n">
        <v>21550</v>
      </c>
      <c r="L107" s="12" t="n">
        <v>11293</v>
      </c>
      <c r="M107" s="12" t="n">
        <v>11792</v>
      </c>
      <c r="N107" s="12" t="n">
        <v>18532</v>
      </c>
      <c r="T107" s="12" t="n">
        <v>3172</v>
      </c>
      <c r="U107" s="12" t="n">
        <v>-2382</v>
      </c>
      <c r="V107" s="12" t="n">
        <v>11353</v>
      </c>
      <c r="W107" s="12" t="n">
        <v>11830</v>
      </c>
      <c r="X107" s="12" t="n">
        <v>11792</v>
      </c>
    </row>
    <row r="108">
      <c r="A108" s="18" t="inlineStr">
        <is>
          <t>법인세·주민세·사업세</t>
        </is>
      </c>
      <c r="C108" s="20" t="n">
        <v>3044</v>
      </c>
      <c r="D108" s="20" t="n">
        <v>2192</v>
      </c>
      <c r="E108" s="20" t="n">
        <v>3506</v>
      </c>
      <c r="F108" s="20" t="n">
        <v>4491</v>
      </c>
      <c r="G108" s="20" t="n">
        <v>2742</v>
      </c>
      <c r="H108" s="20" t="n">
        <v>5139</v>
      </c>
      <c r="I108" s="20" t="n">
        <v>3411</v>
      </c>
      <c r="J108" s="20" t="n">
        <v>2380</v>
      </c>
      <c r="K108" s="20" t="n">
        <v>4484</v>
      </c>
      <c r="L108" s="20" t="n">
        <v>5252</v>
      </c>
      <c r="M108" s="20" t="n">
        <v>3974</v>
      </c>
      <c r="N108" s="20" t="n">
        <v>3256</v>
      </c>
      <c r="T108" s="20" t="n">
        <v>816</v>
      </c>
      <c r="U108" s="20" t="n">
        <v>-464</v>
      </c>
      <c r="V108" s="20" t="n">
        <v>3506</v>
      </c>
      <c r="W108" s="20" t="n">
        <v>3411</v>
      </c>
      <c r="X108" s="20" t="n">
        <v>3974</v>
      </c>
    </row>
    <row r="109">
      <c r="A109" s="18" t="inlineStr">
        <is>
          <t>법인세 조정액</t>
        </is>
      </c>
      <c r="C109" s="20" t="n">
        <v>-425</v>
      </c>
      <c r="D109" s="20" t="n">
        <v>7</v>
      </c>
      <c r="E109" s="20" t="n">
        <v>-385</v>
      </c>
      <c r="F109" s="20" t="n">
        <v>600</v>
      </c>
      <c r="G109" s="20" t="n">
        <v>-447</v>
      </c>
      <c r="H109" s="20" t="n">
        <v>228</v>
      </c>
      <c r="I109" s="20" t="n">
        <v>-829</v>
      </c>
      <c r="J109" s="20" t="n">
        <v>1279</v>
      </c>
      <c r="K109" s="20" t="n">
        <v>-729</v>
      </c>
      <c r="L109" s="20" t="n">
        <v>52</v>
      </c>
      <c r="M109" s="20" t="n">
        <v>-935</v>
      </c>
      <c r="N109" s="20" t="n">
        <v>1586</v>
      </c>
      <c r="T109" s="20" t="n">
        <v>-346</v>
      </c>
      <c r="U109" s="20" t="n">
        <v>-259</v>
      </c>
      <c r="V109" s="20" t="n">
        <v>-385</v>
      </c>
      <c r="W109" s="20" t="n">
        <v>-829</v>
      </c>
      <c r="X109" s="20" t="n">
        <v>-935</v>
      </c>
    </row>
    <row r="110">
      <c r="A110" s="18" t="inlineStr">
        <is>
          <t>법인세 등 합계</t>
        </is>
      </c>
      <c r="C110" s="20" t="n">
        <v>2618</v>
      </c>
      <c r="D110" s="20" t="n">
        <v>2199</v>
      </c>
      <c r="E110" s="20" t="n">
        <v>3121</v>
      </c>
      <c r="F110" s="20" t="n">
        <v>5091</v>
      </c>
      <c r="G110" s="20" t="n">
        <v>2295</v>
      </c>
      <c r="H110" s="20" t="n">
        <v>5368</v>
      </c>
      <c r="I110" s="20" t="n">
        <v>2580</v>
      </c>
      <c r="J110" s="20" t="n">
        <v>3660</v>
      </c>
      <c r="K110" s="20" t="n">
        <v>3754</v>
      </c>
      <c r="L110" s="20" t="n">
        <v>5304</v>
      </c>
      <c r="M110" s="20" t="n">
        <v>3038</v>
      </c>
      <c r="N110" s="20" t="n">
        <v>4843</v>
      </c>
      <c r="T110" s="20" t="n">
        <v>471</v>
      </c>
      <c r="U110" s="20" t="n">
        <v>-723</v>
      </c>
      <c r="V110" s="20" t="n">
        <v>3121</v>
      </c>
      <c r="W110" s="20" t="n">
        <v>2580</v>
      </c>
      <c r="X110" s="20" t="n">
        <v>3038</v>
      </c>
    </row>
    <row r="111">
      <c r="A111" s="9" t="inlineStr">
        <is>
          <t>순이익</t>
        </is>
      </c>
      <c r="C111" s="12" t="n">
        <v>6986</v>
      </c>
      <c r="D111" s="12" t="n">
        <v>6586</v>
      </c>
      <c r="E111" s="12" t="n">
        <v>8233</v>
      </c>
      <c r="F111" s="12" t="n">
        <v>14064</v>
      </c>
      <c r="G111" s="12" t="n">
        <v>6055</v>
      </c>
      <c r="H111" s="12" t="n">
        <v>13604</v>
      </c>
      <c r="I111" s="12" t="n">
        <v>9249</v>
      </c>
      <c r="J111" s="12" t="n">
        <v>10875</v>
      </c>
      <c r="K111" s="12" t="n">
        <v>17796</v>
      </c>
      <c r="L111" s="12" t="n">
        <v>5989</v>
      </c>
      <c r="M111" s="12" t="n">
        <v>8754</v>
      </c>
      <c r="N111" s="12" t="n">
        <v>13689</v>
      </c>
      <c r="T111" s="12" t="n">
        <v>2701</v>
      </c>
      <c r="U111" s="12" t="n">
        <v>-1659</v>
      </c>
      <c r="V111" s="12" t="n">
        <v>8233</v>
      </c>
      <c r="W111" s="12" t="n">
        <v>9249</v>
      </c>
      <c r="X111" s="12" t="n">
        <v>8754</v>
      </c>
    </row>
    <row r="112">
      <c r="A112" s="43" t="inlineStr">
        <is>
          <t>YoY</t>
        </is>
      </c>
      <c r="B112" s="3" t="inlineStr">
        <is>
          <t>전년 같은 분기·전년 대비</t>
        </is>
      </c>
      <c r="G112" s="15">
        <f>IF(OR(G111="",C111=""),"",IF(C111&lt;=0,"",IFERROR(G111/C111-1,"")))</f>
        <v/>
      </c>
      <c r="H112" s="15">
        <f>IF(OR(H111="",D111=""),"",IF(D111&lt;=0,"",IFERROR(H111/D111-1,"")))</f>
        <v/>
      </c>
      <c r="I112" s="15">
        <f>IF(OR(I111="",E111=""),"",IF(E111&lt;=0,"",IFERROR(I111/E111-1,"")))</f>
        <v/>
      </c>
      <c r="J112" s="15">
        <f>IF(OR(J111="",F111=""),"",IF(F111&lt;=0,"",IFERROR(J111/F111-1,"")))</f>
        <v/>
      </c>
      <c r="K112" s="15">
        <f>IF(OR(K111="",G111=""),"",IF(G111&lt;=0,"",IFERROR(K111/G111-1,"")))</f>
        <v/>
      </c>
      <c r="L112" s="15">
        <f>IF(OR(L111="",H111=""),"",IF(H111&lt;=0,"",IFERROR(L111/H111-1,"")))</f>
        <v/>
      </c>
      <c r="M112" s="15">
        <f>IF(OR(M111="",I111=""),"",IF(I111&lt;=0,"",IFERROR(M111/I111-1,"")))</f>
        <v/>
      </c>
      <c r="N112" s="15">
        <f>IF(OR(N111="",J111=""),"",IF(J111&lt;=0,"",IFERROR(N111/J111-1,"")))</f>
        <v/>
      </c>
      <c r="T112" s="15">
        <f>IF(OR(T111="",S111=""),"",IF(S111&lt;=0,"",IFERROR(T111/S111-1,"")))</f>
        <v/>
      </c>
      <c r="U112" s="15">
        <f>IF(OR(U111="",T111=""),"",IF(T111&lt;=0,"",IFERROR(U111/T111-1,"")))</f>
        <v/>
      </c>
      <c r="V112" s="15">
        <f>IF(OR(V111="",U111=""),"",IF(U111&lt;=0,"",IFERROR(V111/U111-1,"")))</f>
        <v/>
      </c>
      <c r="W112" s="15">
        <f>IF(OR(W111="",V111=""),"",IF(V111&lt;=0,"",IFERROR(W111/V111-1,"")))</f>
        <v/>
      </c>
      <c r="X112" s="15">
        <f>IF(OR(X111="",W111=""),"",IF(W111&lt;=0,"",IFERROR(X111/W111-1,"")))</f>
        <v/>
      </c>
    </row>
    <row r="113">
      <c r="A113" s="9" t="inlineStr">
        <is>
          <t>비지배주주 순이익</t>
        </is>
      </c>
      <c r="C113" s="12" t="n">
        <v>18</v>
      </c>
      <c r="D113" s="12" t="n">
        <v>39</v>
      </c>
      <c r="E113" s="12" t="n">
        <v>43</v>
      </c>
      <c r="F113" s="12" t="n">
        <v>137</v>
      </c>
      <c r="G113" s="12" t="n">
        <v>133</v>
      </c>
      <c r="H113" s="12" t="n">
        <v>169</v>
      </c>
      <c r="I113" s="12" t="n">
        <v>84</v>
      </c>
      <c r="J113" s="12" t="n">
        <v>138</v>
      </c>
      <c r="K113" s="12" t="n">
        <v>70</v>
      </c>
      <c r="L113" s="12" t="n">
        <v>68</v>
      </c>
      <c r="M113" s="12" t="n">
        <v>132</v>
      </c>
      <c r="N113" s="12" t="n">
        <v>175</v>
      </c>
      <c r="T113" s="12" t="n">
        <v>68</v>
      </c>
      <c r="U113" s="12" t="n">
        <v>10</v>
      </c>
      <c r="V113" s="12" t="n">
        <v>43</v>
      </c>
      <c r="W113" s="12" t="n">
        <v>84</v>
      </c>
      <c r="X113" s="12" t="n">
        <v>132</v>
      </c>
    </row>
    <row r="114">
      <c r="A114" s="9" t="inlineStr">
        <is>
          <t>지배주주 순이익</t>
        </is>
      </c>
      <c r="C114" s="12" t="n">
        <v>7733</v>
      </c>
      <c r="D114" s="12" t="n">
        <v>5782</v>
      </c>
      <c r="E114" s="12" t="n">
        <v>9553</v>
      </c>
      <c r="F114" s="12" t="n">
        <v>13927</v>
      </c>
      <c r="G114" s="12" t="n">
        <v>7233</v>
      </c>
      <c r="H114" s="12" t="n">
        <v>12123</v>
      </c>
      <c r="I114" s="12" t="n">
        <v>9166</v>
      </c>
      <c r="J114" s="12" t="n">
        <v>10737</v>
      </c>
      <c r="K114" s="12" t="n">
        <v>11114</v>
      </c>
      <c r="L114" s="12" t="n">
        <v>12532</v>
      </c>
      <c r="M114" s="12" t="n">
        <v>8623</v>
      </c>
      <c r="N114" s="12" t="n">
        <v>13514</v>
      </c>
      <c r="T114" s="12" t="n">
        <v>4871</v>
      </c>
      <c r="U114" s="12" t="n">
        <v>-1669</v>
      </c>
      <c r="V114" s="12" t="n">
        <v>9553</v>
      </c>
      <c r="W114" s="12" t="n">
        <v>9166</v>
      </c>
      <c r="X114" s="12" t="n">
        <v>8623</v>
      </c>
    </row>
    <row r="115">
      <c r="A115" s="43" t="inlineStr">
        <is>
          <t>YoY</t>
        </is>
      </c>
      <c r="B115" s="3" t="inlineStr">
        <is>
          <t>전년 같은 분기·전년 대비</t>
        </is>
      </c>
      <c r="G115" s="15">
        <f>IF(OR(G114="",C114=""),"",IF(C114&lt;=0,"",IFERROR(G114/C114-1,"")))</f>
        <v/>
      </c>
      <c r="H115" s="15">
        <f>IF(OR(H114="",D114=""),"",IF(D114&lt;=0,"",IFERROR(H114/D114-1,"")))</f>
        <v/>
      </c>
      <c r="I115" s="15">
        <f>IF(OR(I114="",E114=""),"",IF(E114&lt;=0,"",IFERROR(I114/E114-1,"")))</f>
        <v/>
      </c>
      <c r="J115" s="15">
        <f>IF(OR(J114="",F114=""),"",IF(F114&lt;=0,"",IFERROR(J114/F114-1,"")))</f>
        <v/>
      </c>
      <c r="K115" s="15">
        <f>IF(OR(K114="",G114=""),"",IF(G114&lt;=0,"",IFERROR(K114/G114-1,"")))</f>
        <v/>
      </c>
      <c r="L115" s="15">
        <f>IF(OR(L114="",H114=""),"",IF(H114&lt;=0,"",IFERROR(L114/H114-1,"")))</f>
        <v/>
      </c>
      <c r="M115" s="15">
        <f>IF(OR(M114="",I114=""),"",IF(I114&lt;=0,"",IFERROR(M114/I114-1,"")))</f>
        <v/>
      </c>
      <c r="N115" s="15">
        <f>IF(OR(N114="",J114=""),"",IF(J114&lt;=0,"",IFERROR(N114/J114-1,"")))</f>
        <v/>
      </c>
      <c r="T115" s="15">
        <f>IF(OR(T114="",S114=""),"",IF(S114&lt;=0,"",IFERROR(T114/S114-1,"")))</f>
        <v/>
      </c>
      <c r="U115" s="15">
        <f>IF(OR(U114="",T114=""),"",IF(T114&lt;=0,"",IFERROR(U114/T114-1,"")))</f>
        <v/>
      </c>
      <c r="V115" s="15">
        <f>IF(OR(V114="",U114=""),"",IF(U114&lt;=0,"",IFERROR(V114/U114-1,"")))</f>
        <v/>
      </c>
      <c r="W115" s="15">
        <f>IF(OR(W114="",V114=""),"",IF(V114&lt;=0,"",IFERROR(W114/V114-1,"")))</f>
        <v/>
      </c>
      <c r="X115" s="15">
        <f>IF(OR(X114="",W114=""),"",IF(W114&lt;=0,"",IFERROR(X114/W114-1,"")))</f>
        <v/>
      </c>
    </row>
    <row r="117">
      <c r="A117" s="16" t="inlineStr">
        <is>
          <t>포괄손익 · 전 항목</t>
        </is>
      </c>
      <c r="B117" s="42" t="inlineStr">
        <is>
          <t>분기 = 3개월 단독</t>
        </is>
      </c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</row>
    <row r="118">
      <c r="A118" s="5" t="inlineStr">
        <is>
          <t>항목</t>
        </is>
      </c>
      <c r="B118" s="5" t="inlineStr">
        <is>
          <t>참고</t>
        </is>
      </c>
      <c r="C118" s="5" t="inlineStr">
        <is>
          <t>2024.2Q</t>
        </is>
      </c>
      <c r="D118" s="5" t="inlineStr">
        <is>
          <t>2024.3Q</t>
        </is>
      </c>
      <c r="E118" s="5" t="inlineStr">
        <is>
          <t>2024.4Q</t>
        </is>
      </c>
      <c r="F118" s="5" t="inlineStr">
        <is>
          <t>2025.1Q</t>
        </is>
      </c>
      <c r="G118" s="5" t="inlineStr">
        <is>
          <t>2025.2Q</t>
        </is>
      </c>
      <c r="H118" s="5" t="inlineStr">
        <is>
          <t>2025.3Q</t>
        </is>
      </c>
      <c r="I118" s="5" t="inlineStr">
        <is>
          <t>2025.4Q</t>
        </is>
      </c>
      <c r="J118" s="5" t="inlineStr">
        <is>
          <t>2026.1Q</t>
        </is>
      </c>
      <c r="K118" s="5" t="inlineStr">
        <is>
          <t>2026.2Q</t>
        </is>
      </c>
      <c r="L118" s="5" t="inlineStr">
        <is>
          <t>2026.3Q</t>
        </is>
      </c>
      <c r="M118" s="5" t="inlineStr">
        <is>
          <t>2026.4Q</t>
        </is>
      </c>
      <c r="N118" s="5" t="inlineStr">
        <is>
          <t>2027.1Q</t>
        </is>
      </c>
      <c r="O118" s="5" t="inlineStr">
        <is>
          <t>2017</t>
        </is>
      </c>
      <c r="P118" s="5" t="inlineStr">
        <is>
          <t>2018</t>
        </is>
      </c>
      <c r="Q118" s="5" t="inlineStr">
        <is>
          <t>2019</t>
        </is>
      </c>
      <c r="R118" s="5" t="inlineStr">
        <is>
          <t>2020</t>
        </is>
      </c>
      <c r="S118" s="5" t="inlineStr">
        <is>
          <t>2021</t>
        </is>
      </c>
      <c r="T118" s="5" t="inlineStr">
        <is>
          <t>2022</t>
        </is>
      </c>
      <c r="U118" s="5" t="inlineStr">
        <is>
          <t>2023</t>
        </is>
      </c>
      <c r="V118" s="5" t="inlineStr">
        <is>
          <t>2024</t>
        </is>
      </c>
      <c r="W118" s="5" t="inlineStr">
        <is>
          <t>2025</t>
        </is>
      </c>
      <c r="X118" s="5" t="inlineStr">
        <is>
          <t>2026</t>
        </is>
      </c>
      <c r="Y118" s="5" t="inlineStr">
        <is>
          <t>2027(MW)</t>
        </is>
      </c>
      <c r="Z118" s="5" t="inlineStr">
        <is>
          <t>2028(MW)</t>
        </is>
      </c>
      <c r="AA118" s="5" t="inlineStr">
        <is>
          <t>2029(MW)</t>
        </is>
      </c>
      <c r="AB118" s="5" t="inlineStr">
        <is>
          <t>2030(MW)</t>
        </is>
      </c>
      <c r="AC118" s="5" t="inlineStr">
        <is>
          <t>2031(MW)</t>
        </is>
      </c>
    </row>
    <row r="119">
      <c r="A119" s="9" t="inlineStr">
        <is>
          <t>순이익</t>
        </is>
      </c>
      <c r="C119" s="12" t="n">
        <v>7751</v>
      </c>
      <c r="D119" s="12" t="n">
        <v>5821</v>
      </c>
      <c r="E119" s="12" t="n">
        <v>9596</v>
      </c>
      <c r="F119" s="12" t="n">
        <v>14064</v>
      </c>
      <c r="G119" s="12" t="n">
        <v>7367</v>
      </c>
      <c r="H119" s="12" t="n">
        <v>12292</v>
      </c>
      <c r="I119" s="12" t="n">
        <v>9249</v>
      </c>
      <c r="J119" s="12" t="n">
        <v>10875</v>
      </c>
      <c r="K119" s="12" t="n">
        <v>11184</v>
      </c>
      <c r="L119" s="12" t="n">
        <v>12601</v>
      </c>
      <c r="M119" s="12" t="n">
        <v>8754</v>
      </c>
      <c r="N119" s="12" t="n">
        <v>13689</v>
      </c>
      <c r="T119" s="12" t="n">
        <v>4938</v>
      </c>
      <c r="U119" s="12" t="n">
        <v>-1659</v>
      </c>
      <c r="V119" s="12" t="n">
        <v>9596</v>
      </c>
      <c r="W119" s="12" t="n">
        <v>9249</v>
      </c>
      <c r="X119" s="12" t="n">
        <v>8754</v>
      </c>
    </row>
    <row r="120">
      <c r="A120" s="18" t="inlineStr">
        <is>
          <t>기타포괄손익</t>
        </is>
      </c>
      <c r="C120" s="20" t="n">
        <v>-101090</v>
      </c>
      <c r="D120" s="20" t="n">
        <v>78698</v>
      </c>
      <c r="E120" s="20" t="n">
        <v>-4715</v>
      </c>
      <c r="F120" s="20" t="n">
        <v>-50677</v>
      </c>
      <c r="G120" s="20" t="n">
        <v>40612</v>
      </c>
      <c r="H120" s="20" t="n">
        <v>-14184</v>
      </c>
      <c r="I120" s="20" t="n">
        <v>-44658</v>
      </c>
      <c r="J120" s="20" t="n">
        <v>37917</v>
      </c>
      <c r="K120" s="20" t="n">
        <v>57968</v>
      </c>
      <c r="L120" s="20" t="n">
        <v>55716</v>
      </c>
      <c r="M120" s="20" t="n">
        <v>-47000</v>
      </c>
      <c r="N120" s="20" t="n">
        <v>68585</v>
      </c>
      <c r="T120" s="20" t="n">
        <v>-166568</v>
      </c>
      <c r="U120" s="20" t="n">
        <v>98066</v>
      </c>
      <c r="V120" s="20" t="n">
        <v>-4715</v>
      </c>
      <c r="W120" s="20" t="n">
        <v>-44658</v>
      </c>
      <c r="X120" s="20" t="n">
        <v>-47000</v>
      </c>
    </row>
    <row r="121">
      <c r="A121" s="18" t="inlineStr">
        <is>
          <t>기타유가증권 평가차액</t>
        </is>
      </c>
      <c r="C121" s="20" t="n">
        <v>-195732</v>
      </c>
      <c r="D121" s="20" t="n">
        <v>184685</v>
      </c>
      <c r="E121" s="20" t="n">
        <v>-43544</v>
      </c>
      <c r="F121" s="20" t="n">
        <v>-87592</v>
      </c>
      <c r="G121" s="20" t="n">
        <v>155752</v>
      </c>
      <c r="H121" s="20" t="n">
        <v>-175182</v>
      </c>
      <c r="I121" s="20" t="n">
        <v>-5082</v>
      </c>
      <c r="J121" s="20" t="n">
        <v>34806</v>
      </c>
      <c r="K121" s="20" t="n">
        <v>23898</v>
      </c>
      <c r="L121" s="20" t="n">
        <v>-33108</v>
      </c>
      <c r="M121" s="20" t="n">
        <v>-113197</v>
      </c>
      <c r="N121" s="20" t="n">
        <v>18731</v>
      </c>
      <c r="T121" s="20" t="n">
        <v>-228165</v>
      </c>
      <c r="U121" s="20" t="n">
        <v>155951</v>
      </c>
      <c r="V121" s="20" t="n">
        <v>-43544</v>
      </c>
      <c r="W121" s="20" t="n">
        <v>-5082</v>
      </c>
      <c r="X121" s="20" t="n">
        <v>-113197</v>
      </c>
    </row>
    <row r="122">
      <c r="A122" s="18" t="inlineStr">
        <is>
          <t>이연헤지손익</t>
        </is>
      </c>
      <c r="C122" s="20" t="n">
        <v>93515</v>
      </c>
      <c r="D122" s="20" t="n">
        <v>-106195</v>
      </c>
      <c r="E122" s="20" t="n">
        <v>34884</v>
      </c>
      <c r="F122" s="20" t="n">
        <v>36228</v>
      </c>
      <c r="G122" s="20" t="n">
        <v>-115917</v>
      </c>
      <c r="H122" s="20" t="n">
        <v>161692</v>
      </c>
      <c r="I122" s="20" t="n">
        <v>-44792</v>
      </c>
      <c r="J122" s="20" t="n">
        <v>3472</v>
      </c>
      <c r="K122" s="20" t="n">
        <v>33896</v>
      </c>
      <c r="L122" s="20" t="n">
        <v>88744</v>
      </c>
      <c r="M122" s="20" t="n">
        <v>61360</v>
      </c>
      <c r="N122" s="20" t="n">
        <v>50178</v>
      </c>
      <c r="T122" s="20" t="n">
        <v>62019</v>
      </c>
      <c r="U122" s="20" t="n">
        <v>-59538</v>
      </c>
      <c r="V122" s="20" t="n">
        <v>34884</v>
      </c>
      <c r="W122" s="20" t="n">
        <v>-44792</v>
      </c>
      <c r="X122" s="20" t="n">
        <v>61360</v>
      </c>
    </row>
    <row r="123">
      <c r="A123" s="18" t="inlineStr">
        <is>
          <t>해외사업환산조정</t>
        </is>
      </c>
      <c r="C123" s="20" t="n">
        <v>938</v>
      </c>
      <c r="D123" s="20" t="n">
        <v>22</v>
      </c>
      <c r="E123" s="20" t="n">
        <v>-159</v>
      </c>
      <c r="F123" s="20" t="n">
        <v>600</v>
      </c>
      <c r="G123" s="20" t="n">
        <v>691</v>
      </c>
      <c r="H123" s="20" t="n">
        <v>-780</v>
      </c>
      <c r="I123" s="20" t="n">
        <v>533</v>
      </c>
      <c r="J123" s="20" t="n">
        <v>-340</v>
      </c>
      <c r="K123" s="20" t="n">
        <v>193</v>
      </c>
      <c r="L123" s="20" t="n">
        <v>102</v>
      </c>
      <c r="M123" s="20" t="n">
        <v>637</v>
      </c>
      <c r="N123" s="20" t="n">
        <v>16</v>
      </c>
      <c r="T123" s="20" t="n">
        <v>255</v>
      </c>
      <c r="U123" s="20" t="n">
        <v>-180</v>
      </c>
      <c r="V123" s="20" t="n">
        <v>-159</v>
      </c>
      <c r="W123" s="20" t="n">
        <v>533</v>
      </c>
      <c r="X123" s="20" t="n">
        <v>637</v>
      </c>
    </row>
    <row r="124">
      <c r="A124" s="18" t="inlineStr">
        <is>
          <t>퇴직급여 조정액</t>
        </is>
      </c>
      <c r="C124" s="20" t="n">
        <v>188</v>
      </c>
      <c r="D124" s="20" t="n">
        <v>188</v>
      </c>
      <c r="E124" s="20" t="n">
        <v>4104</v>
      </c>
      <c r="F124" s="20" t="n">
        <v>85</v>
      </c>
      <c r="G124" s="20" t="n">
        <v>86</v>
      </c>
      <c r="H124" s="20" t="n">
        <v>86</v>
      </c>
      <c r="I124" s="20" t="n">
        <v>4834</v>
      </c>
      <c r="J124" s="20" t="n">
        <v>-20</v>
      </c>
      <c r="K124" s="20" t="n">
        <v>-20</v>
      </c>
      <c r="L124" s="20" t="n">
        <v>-21</v>
      </c>
      <c r="M124" s="20" t="n">
        <v>4198</v>
      </c>
      <c r="N124" s="20" t="n">
        <v>-340</v>
      </c>
      <c r="T124" s="20" t="n">
        <v>-677</v>
      </c>
      <c r="U124" s="20" t="n">
        <v>1833</v>
      </c>
      <c r="V124" s="20" t="n">
        <v>4104</v>
      </c>
      <c r="W124" s="20" t="n">
        <v>4834</v>
      </c>
      <c r="X124" s="20" t="n">
        <v>4198</v>
      </c>
    </row>
    <row r="125">
      <c r="A125" s="9" t="inlineStr">
        <is>
          <t>포괄이익</t>
        </is>
      </c>
      <c r="C125" s="12" t="n">
        <v>-93339</v>
      </c>
      <c r="D125" s="12" t="n">
        <v>84519</v>
      </c>
      <c r="E125" s="12" t="n">
        <v>4881</v>
      </c>
      <c r="F125" s="12" t="n">
        <v>-36613</v>
      </c>
      <c r="G125" s="12" t="n">
        <v>47978</v>
      </c>
      <c r="H125" s="12" t="n">
        <v>-1892</v>
      </c>
      <c r="I125" s="12" t="n">
        <v>-35407</v>
      </c>
      <c r="J125" s="12" t="n">
        <v>48793</v>
      </c>
      <c r="K125" s="12" t="n">
        <v>69152</v>
      </c>
      <c r="L125" s="12" t="n">
        <v>68316</v>
      </c>
      <c r="M125" s="12" t="n">
        <v>-38245</v>
      </c>
      <c r="N125" s="12" t="n">
        <v>82274</v>
      </c>
      <c r="T125" s="12" t="n">
        <v>-161629</v>
      </c>
      <c r="U125" s="12" t="n">
        <v>96408</v>
      </c>
      <c r="V125" s="12" t="n">
        <v>4881</v>
      </c>
      <c r="W125" s="12" t="n">
        <v>-35407</v>
      </c>
      <c r="X125" s="12" t="n">
        <v>-38245</v>
      </c>
    </row>
    <row r="126">
      <c r="A126" s="9" t="inlineStr">
        <is>
          <t>지배주주 포괄이익</t>
        </is>
      </c>
      <c r="C126" s="12" t="n">
        <v>-93373</v>
      </c>
      <c r="D126" s="12" t="n">
        <v>84466</v>
      </c>
      <c r="E126" s="12" t="n">
        <v>4549</v>
      </c>
      <c r="F126" s="12" t="n">
        <v>-36757</v>
      </c>
      <c r="G126" s="12" t="n">
        <v>47837</v>
      </c>
      <c r="H126" s="12" t="n">
        <v>-2069</v>
      </c>
      <c r="I126" s="12" t="n">
        <v>-35732</v>
      </c>
      <c r="J126" s="12" t="n">
        <v>48653</v>
      </c>
      <c r="K126" s="12" t="n">
        <v>69079</v>
      </c>
      <c r="L126" s="12" t="n">
        <v>68246</v>
      </c>
      <c r="M126" s="12" t="n">
        <v>-38699</v>
      </c>
      <c r="N126" s="12" t="n">
        <v>82118</v>
      </c>
      <c r="T126" s="12" t="n">
        <v>-161645</v>
      </c>
      <c r="U126" s="12" t="n">
        <v>96291</v>
      </c>
      <c r="V126" s="12" t="n">
        <v>4549</v>
      </c>
      <c r="W126" s="12" t="n">
        <v>-35732</v>
      </c>
      <c r="X126" s="12" t="n">
        <v>-38699</v>
      </c>
    </row>
    <row r="127">
      <c r="A127" s="9" t="inlineStr">
        <is>
          <t>비지배주주 포괄이익</t>
        </is>
      </c>
      <c r="C127" s="12" t="n">
        <v>33</v>
      </c>
      <c r="D127" s="12" t="n">
        <v>54</v>
      </c>
      <c r="E127" s="12" t="n">
        <v>332</v>
      </c>
      <c r="F127" s="12" t="n">
        <v>144</v>
      </c>
      <c r="G127" s="12" t="n">
        <v>141</v>
      </c>
      <c r="H127" s="12" t="n">
        <v>176</v>
      </c>
      <c r="I127" s="12" t="n">
        <v>325</v>
      </c>
      <c r="J127" s="12" t="n">
        <v>140</v>
      </c>
      <c r="K127" s="12" t="n">
        <v>72</v>
      </c>
      <c r="L127" s="12" t="n">
        <v>71</v>
      </c>
      <c r="M127" s="12" t="n">
        <v>453</v>
      </c>
      <c r="N127" s="12" t="n">
        <v>156</v>
      </c>
      <c r="T127" s="12" t="n">
        <v>16</v>
      </c>
      <c r="U127" s="12" t="n">
        <v>116</v>
      </c>
      <c r="V127" s="12" t="n">
        <v>332</v>
      </c>
      <c r="W127" s="12" t="n">
        <v>325</v>
      </c>
      <c r="X127" s="12" t="n">
        <v>453</v>
      </c>
    </row>
    <row r="129">
      <c r="A129" s="16" t="inlineStr">
        <is>
          <t>부문 · 전 항목</t>
        </is>
      </c>
      <c r="B129" s="42" t="inlineStr">
        <is>
          <t>부문 · 항목</t>
        </is>
      </c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</row>
    <row r="130">
      <c r="A130" s="5" t="inlineStr">
        <is>
          <t>항목</t>
        </is>
      </c>
      <c r="B130" s="5" t="inlineStr">
        <is>
          <t>참고</t>
        </is>
      </c>
      <c r="C130" s="5" t="inlineStr">
        <is>
          <t>2024.2Q</t>
        </is>
      </c>
      <c r="D130" s="5" t="inlineStr">
        <is>
          <t>2024.3Q</t>
        </is>
      </c>
      <c r="E130" s="5" t="inlineStr">
        <is>
          <t>2024.4Q</t>
        </is>
      </c>
      <c r="F130" s="5" t="inlineStr">
        <is>
          <t>2025.1Q</t>
        </is>
      </c>
      <c r="G130" s="5" t="inlineStr">
        <is>
          <t>2025.2Q</t>
        </is>
      </c>
      <c r="H130" s="5" t="inlineStr">
        <is>
          <t>2025.3Q</t>
        </is>
      </c>
      <c r="I130" s="5" t="inlineStr">
        <is>
          <t>2025.4Q</t>
        </is>
      </c>
      <c r="J130" s="5" t="inlineStr">
        <is>
          <t>2026.1Q</t>
        </is>
      </c>
      <c r="K130" s="5" t="inlineStr">
        <is>
          <t>2026.2Q</t>
        </is>
      </c>
      <c r="L130" s="5" t="inlineStr">
        <is>
          <t>2026.3Q</t>
        </is>
      </c>
      <c r="M130" s="5" t="inlineStr">
        <is>
          <t>2026.4Q</t>
        </is>
      </c>
      <c r="N130" s="5" t="inlineStr">
        <is>
          <t>2027.1Q</t>
        </is>
      </c>
      <c r="O130" s="5" t="inlineStr">
        <is>
          <t>2017</t>
        </is>
      </c>
      <c r="P130" s="5" t="inlineStr">
        <is>
          <t>2018</t>
        </is>
      </c>
      <c r="Q130" s="5" t="inlineStr">
        <is>
          <t>2019</t>
        </is>
      </c>
      <c r="R130" s="5" t="inlineStr">
        <is>
          <t>2020</t>
        </is>
      </c>
      <c r="S130" s="5" t="inlineStr">
        <is>
          <t>2021</t>
        </is>
      </c>
      <c r="T130" s="5" t="inlineStr">
        <is>
          <t>2022</t>
        </is>
      </c>
      <c r="U130" s="5" t="inlineStr">
        <is>
          <t>2023</t>
        </is>
      </c>
      <c r="V130" s="5" t="inlineStr">
        <is>
          <t>2024</t>
        </is>
      </c>
      <c r="W130" s="5" t="inlineStr">
        <is>
          <t>2025</t>
        </is>
      </c>
      <c r="X130" s="5" t="inlineStr">
        <is>
          <t>2026</t>
        </is>
      </c>
      <c r="Y130" s="5" t="inlineStr">
        <is>
          <t>2027(MW)</t>
        </is>
      </c>
      <c r="Z130" s="5" t="inlineStr">
        <is>
          <t>2028(MW)</t>
        </is>
      </c>
      <c r="AA130" s="5" t="inlineStr">
        <is>
          <t>2029(MW)</t>
        </is>
      </c>
      <c r="AB130" s="5" t="inlineStr">
        <is>
          <t>2030(MW)</t>
        </is>
      </c>
      <c r="AC130" s="5" t="inlineStr">
        <is>
          <t>2031(MW)</t>
        </is>
      </c>
    </row>
    <row r="131">
      <c r="A131" s="18" t="inlineStr">
        <is>
          <t>신금중앙금고 사업 · 경상수익</t>
        </is>
      </c>
      <c r="E131" s="20" t="n">
        <v>111415</v>
      </c>
      <c r="F131" s="20" t="n">
        <v>102676</v>
      </c>
      <c r="I131" s="20" t="n">
        <v>128914</v>
      </c>
      <c r="J131" s="20" t="n">
        <v>149062</v>
      </c>
      <c r="M131" s="20" t="n">
        <v>165188</v>
      </c>
      <c r="N131" s="20" t="n">
        <v>183336</v>
      </c>
      <c r="V131" s="20" t="n">
        <v>111415</v>
      </c>
      <c r="W131" s="20" t="n">
        <v>128914</v>
      </c>
      <c r="X131" s="20" t="n">
        <v>165188</v>
      </c>
    </row>
    <row r="132">
      <c r="A132" s="18" t="inlineStr">
        <is>
          <t>기타 · 경상수익</t>
        </is>
      </c>
      <c r="E132" s="20" t="n">
        <v>10036</v>
      </c>
      <c r="F132" s="20" t="n">
        <v>10178</v>
      </c>
      <c r="I132" s="20" t="n">
        <v>10335</v>
      </c>
      <c r="J132" s="20" t="n">
        <v>10453</v>
      </c>
      <c r="M132" s="20" t="n">
        <v>11367</v>
      </c>
      <c r="N132" s="20" t="n">
        <v>11555</v>
      </c>
      <c r="V132" s="20" t="n">
        <v>10036</v>
      </c>
      <c r="W132" s="20" t="n">
        <v>10335</v>
      </c>
      <c r="X132" s="20" t="n">
        <v>11367</v>
      </c>
    </row>
    <row r="133">
      <c r="A133" s="18" t="inlineStr">
        <is>
          <t>합계 · 경상수익</t>
        </is>
      </c>
      <c r="E133" s="20" t="n">
        <v>121450</v>
      </c>
      <c r="F133" s="20" t="n">
        <v>112854</v>
      </c>
      <c r="I133" s="20" t="n">
        <v>139249</v>
      </c>
      <c r="J133" s="20" t="n">
        <v>159515</v>
      </c>
      <c r="M133" s="20" t="n">
        <v>176555</v>
      </c>
      <c r="N133" s="20" t="n">
        <v>194891</v>
      </c>
      <c r="V133" s="20" t="n">
        <v>121450</v>
      </c>
      <c r="W133" s="20" t="n">
        <v>139249</v>
      </c>
      <c r="X133" s="20" t="n">
        <v>176555</v>
      </c>
    </row>
    <row r="134">
      <c r="A134" s="18" t="inlineStr">
        <is>
          <t>조정액 · 경상수익</t>
        </is>
      </c>
      <c r="E134" s="20" t="n">
        <v>-1301</v>
      </c>
      <c r="F134" s="20" t="n">
        <v>-1486</v>
      </c>
      <c r="I134" s="20" t="n">
        <v>-1284</v>
      </c>
      <c r="J134" s="20" t="n">
        <v>-9017</v>
      </c>
      <c r="M134" s="20" t="n">
        <v>-1458</v>
      </c>
      <c r="N134" s="20" t="n">
        <v>-1810</v>
      </c>
      <c r="V134" s="20" t="n">
        <v>-1301</v>
      </c>
      <c r="W134" s="20" t="n">
        <v>-1284</v>
      </c>
      <c r="X134" s="20" t="n">
        <v>-1458</v>
      </c>
    </row>
    <row r="135">
      <c r="A135" s="9" t="inlineStr">
        <is>
          <t>경상수익</t>
        </is>
      </c>
      <c r="E135" s="12" t="n">
        <v>120148</v>
      </c>
      <c r="F135" s="12" t="n">
        <v>111368</v>
      </c>
      <c r="I135" s="12" t="n">
        <v>137965</v>
      </c>
      <c r="J135" s="12" t="n">
        <v>150498</v>
      </c>
      <c r="M135" s="12" t="n">
        <v>175098</v>
      </c>
      <c r="N135" s="12" t="n">
        <v>193081</v>
      </c>
      <c r="V135" s="12" t="n">
        <v>120148</v>
      </c>
      <c r="W135" s="12" t="n">
        <v>137965</v>
      </c>
      <c r="X135" s="12" t="n">
        <v>175098</v>
      </c>
    </row>
    <row r="136">
      <c r="A136" s="43" t="inlineStr">
        <is>
          <t>YoY</t>
        </is>
      </c>
      <c r="B136" s="3" t="inlineStr">
        <is>
          <t>전년 같은 분기·전년 대비</t>
        </is>
      </c>
      <c r="I136" s="15">
        <f>IF(OR(I135="",E135=""),"",IF(E135&lt;=0,"",IFERROR(I135/E135-1,"")))</f>
        <v/>
      </c>
      <c r="J136" s="15">
        <f>IF(OR(J135="",F135=""),"",IF(F135&lt;=0,"",IFERROR(J135/F135-1,"")))</f>
        <v/>
      </c>
      <c r="M136" s="15">
        <f>IF(OR(M135="",I135=""),"",IF(I135&lt;=0,"",IFERROR(M135/I135-1,"")))</f>
        <v/>
      </c>
      <c r="N136" s="15">
        <f>IF(OR(N135="",J135=""),"",IF(J135&lt;=0,"",IFERROR(N135/J135-1,"")))</f>
        <v/>
      </c>
      <c r="V136" s="15">
        <f>IF(OR(V135="",U135=""),"",IF(U135&lt;=0,"",IFERROR(V135/U135-1,"")))</f>
        <v/>
      </c>
      <c r="W136" s="15">
        <f>IF(OR(W135="",V135=""),"",IF(V135&lt;=0,"",IFERROR(W135/V135-1,"")))</f>
        <v/>
      </c>
      <c r="X136" s="15">
        <f>IF(OR(X135="",W135=""),"",IF(W135&lt;=0,"",IFERROR(X135/W135-1,"")))</f>
        <v/>
      </c>
    </row>
    <row r="137">
      <c r="A137" s="18" t="inlineStr">
        <is>
          <t>신금중앙금고 사업 · 부문 이익</t>
        </is>
      </c>
      <c r="E137" s="20" t="n">
        <v>9314</v>
      </c>
      <c r="F137" s="20" t="n">
        <v>13417</v>
      </c>
      <c r="I137" s="20" t="n">
        <v>8893</v>
      </c>
      <c r="J137" s="20" t="n">
        <v>17941</v>
      </c>
      <c r="M137" s="20" t="n">
        <v>7972</v>
      </c>
      <c r="N137" s="20" t="n">
        <v>13053</v>
      </c>
      <c r="V137" s="20" t="n">
        <v>9314</v>
      </c>
      <c r="W137" s="20" t="n">
        <v>8893</v>
      </c>
      <c r="X137" s="20" t="n">
        <v>7972</v>
      </c>
    </row>
    <row r="138">
      <c r="A138" s="43" t="inlineStr">
        <is>
          <t>YoY</t>
        </is>
      </c>
      <c r="B138" s="3" t="inlineStr">
        <is>
          <t>전년 같은 분기·전년 대비</t>
        </is>
      </c>
      <c r="I138" s="15">
        <f>IF(OR(I137="",E137=""),"",IF(E137&lt;=0,"",IFERROR(I137/E137-1,"")))</f>
        <v/>
      </c>
      <c r="J138" s="15">
        <f>IF(OR(J137="",F137=""),"",IF(F137&lt;=0,"",IFERROR(J137/F137-1,"")))</f>
        <v/>
      </c>
      <c r="M138" s="15">
        <f>IF(OR(M137="",I137=""),"",IF(I137&lt;=0,"",IFERROR(M137/I137-1,"")))</f>
        <v/>
      </c>
      <c r="N138" s="15">
        <f>IF(OR(N137="",J137=""),"",IF(J137&lt;=0,"",IFERROR(N137/J137-1,"")))</f>
        <v/>
      </c>
      <c r="V138" s="15">
        <f>IF(OR(V137="",U137=""),"",IF(U137&lt;=0,"",IFERROR(V137/U137-1,"")))</f>
        <v/>
      </c>
      <c r="W138" s="15">
        <f>IF(OR(W137="",V137=""),"",IF(V137&lt;=0,"",IFERROR(W137/V137-1,"")))</f>
        <v/>
      </c>
      <c r="X138" s="15">
        <f>IF(OR(X137="",W137=""),"",IF(W137&lt;=0,"",IFERROR(X137/W137-1,"")))</f>
        <v/>
      </c>
    </row>
    <row r="139">
      <c r="A139" s="18" t="inlineStr">
        <is>
          <t>기타 · 부문 이익</t>
        </is>
      </c>
      <c r="E139" s="20" t="n">
        <v>331</v>
      </c>
      <c r="F139" s="20" t="n">
        <v>725</v>
      </c>
      <c r="I139" s="20" t="n">
        <v>377</v>
      </c>
      <c r="J139" s="20" t="n">
        <v>577</v>
      </c>
      <c r="M139" s="20" t="n">
        <v>689</v>
      </c>
      <c r="N139" s="20" t="n">
        <v>830</v>
      </c>
      <c r="V139" s="20" t="n">
        <v>331</v>
      </c>
      <c r="W139" s="20" t="n">
        <v>377</v>
      </c>
      <c r="X139" s="20" t="n">
        <v>689</v>
      </c>
    </row>
    <row r="140">
      <c r="A140" s="43" t="inlineStr">
        <is>
          <t>YoY</t>
        </is>
      </c>
      <c r="B140" s="3" t="inlineStr">
        <is>
          <t>전년 같은 분기·전년 대비</t>
        </is>
      </c>
      <c r="I140" s="15">
        <f>IF(OR(I139="",E139=""),"",IF(E139&lt;=0,"",IFERROR(I139/E139-1,"")))</f>
        <v/>
      </c>
      <c r="J140" s="15">
        <f>IF(OR(J139="",F139=""),"",IF(F139&lt;=0,"",IFERROR(J139/F139-1,"")))</f>
        <v/>
      </c>
      <c r="M140" s="15">
        <f>IF(OR(M139="",I139=""),"",IF(I139&lt;=0,"",IFERROR(M139/I139-1,"")))</f>
        <v/>
      </c>
      <c r="N140" s="15">
        <f>IF(OR(N139="",J139=""),"",IF(J139&lt;=0,"",IFERROR(N139/J139-1,"")))</f>
        <v/>
      </c>
      <c r="V140" s="15">
        <f>IF(OR(V139="",U139=""),"",IF(U139&lt;=0,"",IFERROR(V139/U139-1,"")))</f>
        <v/>
      </c>
      <c r="W140" s="15">
        <f>IF(OR(W139="",V139=""),"",IF(V139&lt;=0,"",IFERROR(W139/V139-1,"")))</f>
        <v/>
      </c>
      <c r="X140" s="15">
        <f>IF(OR(X139="",W139=""),"",IF(W139&lt;=0,"",IFERROR(X139/W139-1,"")))</f>
        <v/>
      </c>
    </row>
    <row r="141">
      <c r="A141" s="18" t="inlineStr">
        <is>
          <t>합계 · 부문 이익</t>
        </is>
      </c>
      <c r="E141" s="20" t="n">
        <v>9645</v>
      </c>
      <c r="F141" s="20" t="n">
        <v>14142</v>
      </c>
      <c r="I141" s="20" t="n">
        <v>9269</v>
      </c>
      <c r="J141" s="20" t="n">
        <v>18519</v>
      </c>
      <c r="M141" s="20" t="n">
        <v>8660</v>
      </c>
      <c r="N141" s="20" t="n">
        <v>13883</v>
      </c>
      <c r="V141" s="20" t="n">
        <v>9645</v>
      </c>
      <c r="W141" s="20" t="n">
        <v>9269</v>
      </c>
      <c r="X141" s="20" t="n">
        <v>8660</v>
      </c>
    </row>
    <row r="142">
      <c r="A142" s="43" t="inlineStr">
        <is>
          <t>YoY</t>
        </is>
      </c>
      <c r="B142" s="3" t="inlineStr">
        <is>
          <t>전년 같은 분기·전년 대비</t>
        </is>
      </c>
      <c r="I142" s="15">
        <f>IF(OR(I141="",E141=""),"",IF(E141&lt;=0,"",IFERROR(I141/E141-1,"")))</f>
        <v/>
      </c>
      <c r="J142" s="15">
        <f>IF(OR(J141="",F141=""),"",IF(F141&lt;=0,"",IFERROR(J141/F141-1,"")))</f>
        <v/>
      </c>
      <c r="M142" s="15">
        <f>IF(OR(M141="",I141=""),"",IF(I141&lt;=0,"",IFERROR(M141/I141-1,"")))</f>
        <v/>
      </c>
      <c r="N142" s="15">
        <f>IF(OR(N141="",J141=""),"",IF(J141&lt;=0,"",IFERROR(N141/J141-1,"")))</f>
        <v/>
      </c>
      <c r="V142" s="15">
        <f>IF(OR(V141="",U141=""),"",IF(U141&lt;=0,"",IFERROR(V141/U141-1,"")))</f>
        <v/>
      </c>
      <c r="W142" s="15">
        <f>IF(OR(W141="",V141=""),"",IF(V141&lt;=0,"",IFERROR(W141/V141-1,"")))</f>
        <v/>
      </c>
      <c r="X142" s="15">
        <f>IF(OR(X141="",W141=""),"",IF(W141&lt;=0,"",IFERROR(X141/W141-1,"")))</f>
        <v/>
      </c>
    </row>
    <row r="143">
      <c r="A143" s="18" t="inlineStr">
        <is>
          <t>조정액 · 부문 이익</t>
        </is>
      </c>
      <c r="E143" s="20" t="n">
        <v>-92</v>
      </c>
      <c r="F143" s="20" t="n">
        <v>-215</v>
      </c>
      <c r="I143" s="20" t="n">
        <v>-103</v>
      </c>
      <c r="J143" s="20" t="n">
        <v>-7781</v>
      </c>
      <c r="M143" s="20" t="n">
        <v>-37</v>
      </c>
      <c r="N143" s="20" t="n">
        <v>-369</v>
      </c>
      <c r="V143" s="20" t="n">
        <v>-92</v>
      </c>
      <c r="W143" s="20" t="n">
        <v>-103</v>
      </c>
      <c r="X143" s="20" t="n">
        <v>-37</v>
      </c>
    </row>
    <row r="144">
      <c r="A144" s="9" t="inlineStr">
        <is>
          <t>부문 이익</t>
        </is>
      </c>
      <c r="E144" s="12" t="n">
        <v>9553</v>
      </c>
      <c r="F144" s="12" t="n">
        <v>13927</v>
      </c>
      <c r="I144" s="12" t="n">
        <v>9166</v>
      </c>
      <c r="J144" s="12" t="n">
        <v>10737</v>
      </c>
      <c r="M144" s="12" t="n">
        <v>8623</v>
      </c>
      <c r="N144" s="12" t="n">
        <v>13514</v>
      </c>
      <c r="V144" s="12" t="n">
        <v>9553</v>
      </c>
      <c r="W144" s="12" t="n">
        <v>9166</v>
      </c>
      <c r="X144" s="12" t="n">
        <v>8623</v>
      </c>
    </row>
    <row r="145">
      <c r="A145" s="43" t="inlineStr">
        <is>
          <t>YoY</t>
        </is>
      </c>
      <c r="B145" s="3" t="inlineStr">
        <is>
          <t>전년 같은 분기·전년 대비</t>
        </is>
      </c>
      <c r="I145" s="15">
        <f>IF(OR(I144="",E144=""),"",IF(E144&lt;=0,"",IFERROR(I144/E144-1,"")))</f>
        <v/>
      </c>
      <c r="J145" s="15">
        <f>IF(OR(J144="",F144=""),"",IF(F144&lt;=0,"",IFERROR(J144/F144-1,"")))</f>
        <v/>
      </c>
      <c r="M145" s="15">
        <f>IF(OR(M144="",I144=""),"",IF(I144&lt;=0,"",IFERROR(M144/I144-1,"")))</f>
        <v/>
      </c>
      <c r="N145" s="15">
        <f>IF(OR(N144="",J144=""),"",IF(J144&lt;=0,"",IFERROR(N144/J144-1,"")))</f>
        <v/>
      </c>
      <c r="V145" s="15">
        <f>IF(OR(V144="",U144=""),"",IF(U144&lt;=0,"",IFERROR(V144/U144-1,"")))</f>
        <v/>
      </c>
      <c r="W145" s="15">
        <f>IF(OR(W144="",V144=""),"",IF(V144&lt;=0,"",IFERROR(W144/V144-1,"")))</f>
        <v/>
      </c>
      <c r="X145" s="15">
        <f>IF(OR(X144="",W144=""),"",IF(W144&lt;=0,"",IFERROR(X144/W144-1,"")))</f>
        <v/>
      </c>
    </row>
    <row r="147">
      <c r="A147" s="16" t="inlineStr">
        <is>
          <t>현금흐름표 · 전 항목</t>
        </is>
      </c>
      <c r="B147" s="42" t="inlineStr">
        <is>
          <t>분기 = 결산기 첫날부터 누계(공시 그대로)</t>
        </is>
      </c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</row>
    <row r="148">
      <c r="A148" s="5" t="inlineStr">
        <is>
          <t>항목</t>
        </is>
      </c>
      <c r="B148" s="5" t="inlineStr">
        <is>
          <t>참고</t>
        </is>
      </c>
      <c r="C148" s="5" t="inlineStr">
        <is>
          <t>2024.2Q</t>
        </is>
      </c>
      <c r="D148" s="5" t="inlineStr">
        <is>
          <t>2024.3Q</t>
        </is>
      </c>
      <c r="E148" s="5" t="inlineStr">
        <is>
          <t>2024.4Q</t>
        </is>
      </c>
      <c r="F148" s="5" t="inlineStr">
        <is>
          <t>2025.1Q</t>
        </is>
      </c>
      <c r="G148" s="5" t="inlineStr">
        <is>
          <t>2025.2Q</t>
        </is>
      </c>
      <c r="H148" s="5" t="inlineStr">
        <is>
          <t>2025.3Q</t>
        </is>
      </c>
      <c r="I148" s="5" t="inlineStr">
        <is>
          <t>2025.4Q</t>
        </is>
      </c>
      <c r="J148" s="5" t="inlineStr">
        <is>
          <t>2026.1Q</t>
        </is>
      </c>
      <c r="K148" s="5" t="inlineStr">
        <is>
          <t>2026.2Q</t>
        </is>
      </c>
      <c r="L148" s="5" t="inlineStr">
        <is>
          <t>2026.3Q</t>
        </is>
      </c>
      <c r="M148" s="5" t="inlineStr">
        <is>
          <t>2026.4Q</t>
        </is>
      </c>
      <c r="N148" s="5" t="inlineStr">
        <is>
          <t>2027.1Q</t>
        </is>
      </c>
      <c r="O148" s="5" t="inlineStr">
        <is>
          <t>2017</t>
        </is>
      </c>
      <c r="P148" s="5" t="inlineStr">
        <is>
          <t>2018</t>
        </is>
      </c>
      <c r="Q148" s="5" t="inlineStr">
        <is>
          <t>2019</t>
        </is>
      </c>
      <c r="R148" s="5" t="inlineStr">
        <is>
          <t>2020</t>
        </is>
      </c>
      <c r="S148" s="5" t="inlineStr">
        <is>
          <t>2021</t>
        </is>
      </c>
      <c r="T148" s="5" t="inlineStr">
        <is>
          <t>2022</t>
        </is>
      </c>
      <c r="U148" s="5" t="inlineStr">
        <is>
          <t>2023</t>
        </is>
      </c>
      <c r="V148" s="5" t="inlineStr">
        <is>
          <t>2024</t>
        </is>
      </c>
      <c r="W148" s="5" t="inlineStr">
        <is>
          <t>2025</t>
        </is>
      </c>
      <c r="X148" s="5" t="inlineStr">
        <is>
          <t>2026</t>
        </is>
      </c>
      <c r="Y148" s="5" t="inlineStr">
        <is>
          <t>2027(MW)</t>
        </is>
      </c>
      <c r="Z148" s="5" t="inlineStr">
        <is>
          <t>2028(MW)</t>
        </is>
      </c>
      <c r="AA148" s="5" t="inlineStr">
        <is>
          <t>2029(MW)</t>
        </is>
      </c>
      <c r="AB148" s="5" t="inlineStr">
        <is>
          <t>2030(MW)</t>
        </is>
      </c>
      <c r="AC148" s="5" t="inlineStr">
        <is>
          <t>2031(MW)</t>
        </is>
      </c>
    </row>
    <row r="149">
      <c r="A149" s="9" t="inlineStr">
        <is>
          <t>법인세차감전 순이익</t>
        </is>
      </c>
      <c r="E149" s="12" t="n">
        <v>44079</v>
      </c>
      <c r="I149" s="12" t="n">
        <v>58307</v>
      </c>
      <c r="M149" s="12" t="n">
        <v>59171</v>
      </c>
      <c r="O149" s="12" t="n">
        <v>52804</v>
      </c>
      <c r="P149" s="12" t="n">
        <v>62873</v>
      </c>
      <c r="Q149" s="12" t="n">
        <v>61935</v>
      </c>
      <c r="R149" s="12" t="n">
        <v>56358</v>
      </c>
      <c r="S149" s="12" t="n">
        <v>43426</v>
      </c>
      <c r="T149" s="12" t="n">
        <v>48181</v>
      </c>
      <c r="U149" s="12" t="n">
        <v>35650</v>
      </c>
      <c r="V149" s="12" t="n">
        <v>44079</v>
      </c>
      <c r="W149" s="12" t="n">
        <v>58307</v>
      </c>
      <c r="X149" s="12" t="n">
        <v>59171</v>
      </c>
    </row>
    <row r="150">
      <c r="A150" s="18" t="inlineStr">
        <is>
          <t>감가상각비</t>
        </is>
      </c>
      <c r="E150" s="20" t="n">
        <v>10626</v>
      </c>
      <c r="I150" s="20" t="n">
        <v>10948</v>
      </c>
      <c r="M150" s="20" t="n">
        <v>11510</v>
      </c>
      <c r="O150" s="20" t="n">
        <v>10647</v>
      </c>
      <c r="P150" s="20" t="n">
        <v>9691</v>
      </c>
      <c r="Q150" s="20" t="n">
        <v>10260</v>
      </c>
      <c r="R150" s="20" t="n">
        <v>11266</v>
      </c>
      <c r="S150" s="20" t="n">
        <v>10259</v>
      </c>
      <c r="T150" s="20" t="n">
        <v>9776</v>
      </c>
      <c r="U150" s="20" t="n">
        <v>9858</v>
      </c>
      <c r="V150" s="20" t="n">
        <v>10626</v>
      </c>
      <c r="W150" s="20" t="n">
        <v>10948</v>
      </c>
      <c r="X150" s="20" t="n">
        <v>11510</v>
      </c>
    </row>
    <row r="151">
      <c r="A151" s="18" t="inlineStr">
        <is>
          <t>손상차손</t>
        </is>
      </c>
      <c r="E151" s="20" t="n">
        <v>83</v>
      </c>
      <c r="I151" s="20" t="n">
        <v>0</v>
      </c>
      <c r="O151" s="20" t="n">
        <v>0</v>
      </c>
      <c r="P151" s="20" t="n">
        <v>60</v>
      </c>
      <c r="Q151" s="20" t="n">
        <v>1567</v>
      </c>
      <c r="R151" s="20" t="n">
        <v>86</v>
      </c>
      <c r="S151" s="20" t="n">
        <v>0</v>
      </c>
      <c r="T151" s="20" t="n">
        <v>0</v>
      </c>
      <c r="U151" s="20" t="n">
        <v>52</v>
      </c>
      <c r="V151" s="20" t="n">
        <v>83</v>
      </c>
      <c r="W151" s="20" t="n">
        <v>0</v>
      </c>
    </row>
    <row r="152">
      <c r="A152" s="18" t="inlineStr">
        <is>
          <t>대손충당금 증감</t>
        </is>
      </c>
      <c r="E152" s="20" t="n">
        <v>-137</v>
      </c>
      <c r="I152" s="20" t="n">
        <v>-848</v>
      </c>
      <c r="M152" s="20" t="n">
        <v>679</v>
      </c>
      <c r="O152" s="20" t="n">
        <v>-544</v>
      </c>
      <c r="P152" s="20" t="n">
        <v>-2341</v>
      </c>
      <c r="Q152" s="20" t="n">
        <v>-12919</v>
      </c>
      <c r="R152" s="20" t="n">
        <v>832</v>
      </c>
      <c r="S152" s="20" t="n">
        <v>-1106</v>
      </c>
      <c r="T152" s="20" t="n">
        <v>-4651</v>
      </c>
      <c r="U152" s="20" t="n">
        <v>-1338</v>
      </c>
      <c r="V152" s="20" t="n">
        <v>-137</v>
      </c>
      <c r="W152" s="20" t="n">
        <v>-848</v>
      </c>
      <c r="X152" s="20" t="n">
        <v>679</v>
      </c>
    </row>
    <row r="153">
      <c r="A153" s="18" t="inlineStr">
        <is>
          <t>상여충당금 증감</t>
        </is>
      </c>
      <c r="E153" s="20" t="n">
        <v>67</v>
      </c>
      <c r="I153" s="20" t="n">
        <v>78</v>
      </c>
      <c r="M153" s="20" t="n">
        <v>68</v>
      </c>
      <c r="O153" s="20" t="n">
        <v>-38</v>
      </c>
      <c r="P153" s="20" t="n">
        <v>-4</v>
      </c>
      <c r="Q153" s="20" t="n">
        <v>57</v>
      </c>
      <c r="R153" s="20" t="n">
        <v>33</v>
      </c>
      <c r="S153" s="20" t="n">
        <v>-5</v>
      </c>
      <c r="T153" s="20" t="n">
        <v>-18</v>
      </c>
      <c r="U153" s="20" t="n">
        <v>-24</v>
      </c>
      <c r="V153" s="20" t="n">
        <v>67</v>
      </c>
      <c r="W153" s="20" t="n">
        <v>78</v>
      </c>
      <c r="X153" s="20" t="n">
        <v>68</v>
      </c>
    </row>
    <row r="154">
      <c r="A154" s="18" t="inlineStr">
        <is>
          <t>임원 상여충당금 증감</t>
        </is>
      </c>
      <c r="E154" s="20" t="n">
        <v>1</v>
      </c>
      <c r="I154" s="20" t="n">
        <v>-7</v>
      </c>
      <c r="M154" s="20" t="n">
        <v>3</v>
      </c>
      <c r="O154" s="20" t="n">
        <v>3</v>
      </c>
      <c r="P154" s="20" t="n">
        <v>6</v>
      </c>
      <c r="Q154" s="20" t="n">
        <v>-3</v>
      </c>
      <c r="R154" s="20" t="n">
        <v>4</v>
      </c>
      <c r="S154" s="20" t="n">
        <v>1</v>
      </c>
      <c r="T154" s="20" t="n">
        <v>2</v>
      </c>
      <c r="U154" s="20" t="n">
        <v>-4</v>
      </c>
      <c r="V154" s="20" t="n">
        <v>1</v>
      </c>
      <c r="W154" s="20" t="n">
        <v>-7</v>
      </c>
      <c r="X154" s="20" t="n">
        <v>3</v>
      </c>
    </row>
    <row r="155">
      <c r="A155" s="18" t="inlineStr">
        <is>
          <t>퇴직급여부채 증감</t>
        </is>
      </c>
      <c r="E155" s="20" t="n">
        <v>-5883</v>
      </c>
      <c r="I155" s="20" t="n">
        <v>-7319</v>
      </c>
      <c r="M155" s="20" t="n">
        <v>-6467</v>
      </c>
      <c r="O155" s="20" t="n">
        <v>1105</v>
      </c>
      <c r="P155" s="20" t="n">
        <v>0</v>
      </c>
      <c r="Q155" s="20" t="n">
        <v>881</v>
      </c>
      <c r="R155" s="20" t="n">
        <v>2133</v>
      </c>
      <c r="S155" s="20" t="n">
        <v>-2596</v>
      </c>
      <c r="T155" s="20" t="n">
        <v>1148</v>
      </c>
      <c r="U155" s="20" t="n">
        <v>-2792</v>
      </c>
      <c r="V155" s="20" t="n">
        <v>-5883</v>
      </c>
      <c r="W155" s="20" t="n">
        <v>-7319</v>
      </c>
      <c r="X155" s="20" t="n">
        <v>-6467</v>
      </c>
    </row>
    <row r="156">
      <c r="A156" s="18" t="inlineStr">
        <is>
          <t>임원 퇴직위로 충당금 증감</t>
        </is>
      </c>
      <c r="E156" s="20" t="n">
        <v>30</v>
      </c>
      <c r="I156" s="20" t="n">
        <v>-24</v>
      </c>
      <c r="M156" s="20" t="n">
        <v>-3</v>
      </c>
      <c r="O156" s="20" t="n">
        <v>-18</v>
      </c>
      <c r="P156" s="20" t="n">
        <v>59</v>
      </c>
      <c r="Q156" s="20" t="n">
        <v>-8</v>
      </c>
      <c r="R156" s="20" t="n">
        <v>63</v>
      </c>
      <c r="S156" s="20" t="n">
        <v>-117</v>
      </c>
      <c r="T156" s="20" t="n">
        <v>36</v>
      </c>
      <c r="U156" s="20" t="n">
        <v>-58</v>
      </c>
      <c r="V156" s="20" t="n">
        <v>30</v>
      </c>
      <c r="W156" s="20" t="n">
        <v>-24</v>
      </c>
      <c r="X156" s="20" t="n">
        <v>-3</v>
      </c>
    </row>
    <row r="157">
      <c r="A157" s="18" t="inlineStr">
        <is>
          <t>자금운용수익</t>
        </is>
      </c>
      <c r="E157" s="20" t="n">
        <v>-283914</v>
      </c>
      <c r="I157" s="20" t="n">
        <v>-399819</v>
      </c>
      <c r="M157" s="20" t="n">
        <v>-570688</v>
      </c>
      <c r="O157" s="20" t="n">
        <v>-201637</v>
      </c>
      <c r="P157" s="20" t="n">
        <v>-220528</v>
      </c>
      <c r="Q157" s="20" t="n">
        <v>-193754</v>
      </c>
      <c r="R157" s="20" t="n">
        <v>-207202</v>
      </c>
      <c r="S157" s="20" t="n">
        <v>-175162</v>
      </c>
      <c r="T157" s="20" t="n">
        <v>-175199</v>
      </c>
      <c r="U157" s="20" t="n">
        <v>-208252</v>
      </c>
      <c r="V157" s="20" t="n">
        <v>-283914</v>
      </c>
      <c r="W157" s="20" t="n">
        <v>-399819</v>
      </c>
      <c r="X157" s="20" t="n">
        <v>-570688</v>
      </c>
    </row>
    <row r="158">
      <c r="A158" s="18" t="inlineStr">
        <is>
          <t>자금조달비용</t>
        </is>
      </c>
      <c r="E158" s="20" t="n">
        <v>177395</v>
      </c>
      <c r="I158" s="20" t="n">
        <v>318691</v>
      </c>
      <c r="M158" s="20" t="n">
        <v>464694</v>
      </c>
      <c r="O158" s="20" t="n">
        <v>122381</v>
      </c>
      <c r="P158" s="20" t="n">
        <v>121559</v>
      </c>
      <c r="Q158" s="20" t="n">
        <v>119534</v>
      </c>
      <c r="R158" s="20" t="n">
        <v>113700</v>
      </c>
      <c r="S158" s="20" t="n">
        <v>83930</v>
      </c>
      <c r="T158" s="20" t="n">
        <v>70183</v>
      </c>
      <c r="U158" s="20" t="n">
        <v>105263</v>
      </c>
      <c r="V158" s="20" t="n">
        <v>177395</v>
      </c>
      <c r="W158" s="20" t="n">
        <v>318691</v>
      </c>
      <c r="X158" s="20" t="n">
        <v>464694</v>
      </c>
    </row>
    <row r="159">
      <c r="A159" s="18" t="inlineStr">
        <is>
          <t>유가증권 관련 손익</t>
        </is>
      </c>
      <c r="E159" s="20" t="n">
        <v>105397</v>
      </c>
      <c r="I159" s="20" t="n">
        <v>23732</v>
      </c>
      <c r="M159" s="20" t="n">
        <v>55696</v>
      </c>
      <c r="O159" s="20" t="n">
        <v>-32002</v>
      </c>
      <c r="P159" s="20" t="n">
        <v>23339</v>
      </c>
      <c r="Q159" s="20" t="n">
        <v>-767</v>
      </c>
      <c r="R159" s="20" t="n">
        <v>-7908</v>
      </c>
      <c r="S159" s="20" t="n">
        <v>3251</v>
      </c>
      <c r="T159" s="20" t="n">
        <v>37374</v>
      </c>
      <c r="U159" s="20" t="n">
        <v>120682</v>
      </c>
      <c r="V159" s="20" t="n">
        <v>105397</v>
      </c>
      <c r="W159" s="20" t="n">
        <v>23732</v>
      </c>
      <c r="X159" s="20" t="n">
        <v>55696</v>
      </c>
    </row>
    <row r="160">
      <c r="A160" s="18" t="inlineStr">
        <is>
          <t>금전신탁 운용손익</t>
        </is>
      </c>
      <c r="E160" s="20" t="n">
        <v>-18</v>
      </c>
      <c r="I160" s="20" t="n">
        <v>117</v>
      </c>
      <c r="M160" s="20" t="n">
        <v>-18</v>
      </c>
      <c r="O160" s="20" t="n">
        <v>-224</v>
      </c>
      <c r="P160" s="20" t="n">
        <v>128</v>
      </c>
      <c r="Q160" s="20" t="n">
        <v>112</v>
      </c>
      <c r="R160" s="20" t="n">
        <v>-529</v>
      </c>
      <c r="S160" s="20" t="n">
        <v>-440</v>
      </c>
      <c r="T160" s="20" t="n">
        <v>-95</v>
      </c>
      <c r="U160" s="20" t="n">
        <v>-2</v>
      </c>
      <c r="V160" s="20" t="n">
        <v>-18</v>
      </c>
      <c r="W160" s="20" t="n">
        <v>117</v>
      </c>
      <c r="X160" s="20" t="n">
        <v>-18</v>
      </c>
    </row>
    <row r="161">
      <c r="A161" s="18" t="inlineStr">
        <is>
          <t>외환차손익</t>
        </is>
      </c>
      <c r="E161" s="20" t="n">
        <v>-317089</v>
      </c>
      <c r="I161" s="20" t="n">
        <v>47933</v>
      </c>
      <c r="M161" s="20" t="n">
        <v>-427503</v>
      </c>
      <c r="O161" s="20" t="n">
        <v>43797</v>
      </c>
      <c r="P161" s="20" t="n">
        <v>39214</v>
      </c>
      <c r="Q161" s="20" t="n">
        <v>-13474</v>
      </c>
      <c r="R161" s="20" t="n">
        <v>67494</v>
      </c>
      <c r="S161" s="20" t="n">
        <v>-112246</v>
      </c>
      <c r="T161" s="20" t="n">
        <v>-199997</v>
      </c>
      <c r="U161" s="20" t="n">
        <v>-189856</v>
      </c>
      <c r="V161" s="20" t="n">
        <v>-317089</v>
      </c>
      <c r="W161" s="20" t="n">
        <v>47933</v>
      </c>
      <c r="X161" s="20" t="n">
        <v>-427503</v>
      </c>
    </row>
    <row r="162">
      <c r="A162" s="18" t="inlineStr">
        <is>
          <t>고정자산 처분손익</t>
        </is>
      </c>
      <c r="E162" s="20" t="n">
        <v>62</v>
      </c>
      <c r="I162" s="20" t="n">
        <v>272</v>
      </c>
      <c r="M162" s="20" t="n">
        <v>-3026</v>
      </c>
      <c r="O162" s="20" t="n">
        <v>11</v>
      </c>
      <c r="P162" s="20" t="n">
        <v>117</v>
      </c>
      <c r="Q162" s="20" t="n">
        <v>-50</v>
      </c>
      <c r="R162" s="20" t="n">
        <v>266</v>
      </c>
      <c r="S162" s="20" t="n">
        <v>127</v>
      </c>
      <c r="T162" s="20" t="n">
        <v>-6</v>
      </c>
      <c r="U162" s="20" t="n">
        <v>315</v>
      </c>
      <c r="V162" s="20" t="n">
        <v>62</v>
      </c>
      <c r="W162" s="20" t="n">
        <v>272</v>
      </c>
      <c r="X162" s="20" t="n">
        <v>-3026</v>
      </c>
    </row>
    <row r="163">
      <c r="A163" s="18" t="inlineStr">
        <is>
          <t>특정거래 자산 순증감</t>
        </is>
      </c>
      <c r="E163" s="20" t="n">
        <v>134919</v>
      </c>
      <c r="I163" s="20" t="n">
        <v>-227601</v>
      </c>
      <c r="M163" s="20" t="n">
        <v>-336989</v>
      </c>
      <c r="O163" s="20" t="n">
        <v>42064</v>
      </c>
      <c r="P163" s="20" t="n">
        <v>-18336</v>
      </c>
      <c r="Q163" s="20" t="n">
        <v>1838</v>
      </c>
      <c r="R163" s="20" t="n">
        <v>-162689</v>
      </c>
      <c r="S163" s="20" t="n">
        <v>130844</v>
      </c>
      <c r="T163" s="20" t="n">
        <v>-53436</v>
      </c>
      <c r="U163" s="20" t="n">
        <v>-151818</v>
      </c>
      <c r="V163" s="20" t="n">
        <v>134919</v>
      </c>
      <c r="W163" s="20" t="n">
        <v>-227601</v>
      </c>
      <c r="X163" s="20" t="n">
        <v>-336989</v>
      </c>
    </row>
    <row r="164">
      <c r="A164" s="18" t="inlineStr">
        <is>
          <t>특정거래 부채 순증감</t>
        </is>
      </c>
      <c r="E164" s="20" t="n">
        <v>68498</v>
      </c>
      <c r="I164" s="20" t="n">
        <v>133188</v>
      </c>
      <c r="M164" s="20" t="n">
        <v>238289</v>
      </c>
      <c r="O164" s="20" t="n">
        <v>-45116</v>
      </c>
      <c r="P164" s="20" t="n">
        <v>-17709</v>
      </c>
      <c r="Q164" s="20" t="n">
        <v>5529</v>
      </c>
      <c r="R164" s="20" t="n">
        <v>-34607</v>
      </c>
      <c r="S164" s="20" t="n">
        <v>-5932</v>
      </c>
      <c r="T164" s="20" t="n">
        <v>-3714</v>
      </c>
      <c r="U164" s="20" t="n">
        <v>58790</v>
      </c>
      <c r="V164" s="20" t="n">
        <v>68498</v>
      </c>
      <c r="W164" s="20" t="n">
        <v>133188</v>
      </c>
      <c r="X164" s="20" t="n">
        <v>238289</v>
      </c>
    </row>
    <row r="165">
      <c r="A165" s="18" t="inlineStr">
        <is>
          <t>특정거래 미수금 순증감</t>
        </is>
      </c>
      <c r="O165" s="20" t="n">
        <v>2579</v>
      </c>
      <c r="P165" s="20" t="n">
        <v>101</v>
      </c>
      <c r="Q165" s="20" t="n">
        <v>0</v>
      </c>
    </row>
    <row r="166">
      <c r="A166" s="18" t="inlineStr">
        <is>
          <t>특정거래 미지급금 순증감</t>
        </is>
      </c>
      <c r="E166" s="20" t="n">
        <v>-21825</v>
      </c>
      <c r="I166" s="20" t="n">
        <v>9349</v>
      </c>
      <c r="M166" s="20" t="n">
        <v>-11910</v>
      </c>
      <c r="O166" s="20" t="n">
        <v>0</v>
      </c>
      <c r="P166" s="20" t="n">
        <v>19738</v>
      </c>
      <c r="Q166" s="20" t="n">
        <v>2877</v>
      </c>
      <c r="R166" s="20" t="n">
        <v>30515</v>
      </c>
      <c r="S166" s="20" t="n">
        <v>-9088</v>
      </c>
      <c r="T166" s="20" t="n">
        <v>-3905</v>
      </c>
      <c r="U166" s="20" t="n">
        <v>-5243</v>
      </c>
      <c r="V166" s="20" t="n">
        <v>-21825</v>
      </c>
      <c r="W166" s="20" t="n">
        <v>9349</v>
      </c>
      <c r="X166" s="20" t="n">
        <v>-11910</v>
      </c>
    </row>
    <row r="167">
      <c r="A167" s="18" t="inlineStr">
        <is>
          <t>대출금 순증감</t>
        </is>
      </c>
      <c r="E167" s="20" t="n">
        <v>652990</v>
      </c>
      <c r="I167" s="20" t="n">
        <v>-427377</v>
      </c>
      <c r="M167" s="20" t="n">
        <v>-2948408</v>
      </c>
      <c r="O167" s="20" t="n">
        <v>-1231567</v>
      </c>
      <c r="P167" s="20" t="n">
        <v>1042731</v>
      </c>
      <c r="Q167" s="20" t="n">
        <v>-86124</v>
      </c>
      <c r="R167" s="20" t="n">
        <v>-1429337</v>
      </c>
      <c r="S167" s="20" t="n">
        <v>22075</v>
      </c>
      <c r="T167" s="20" t="n">
        <v>691257</v>
      </c>
      <c r="U167" s="20" t="n">
        <v>-1756520</v>
      </c>
      <c r="V167" s="20" t="n">
        <v>652990</v>
      </c>
      <c r="W167" s="20" t="n">
        <v>-427377</v>
      </c>
      <c r="X167" s="20" t="n">
        <v>-2948408</v>
      </c>
    </row>
    <row r="168">
      <c r="A168" s="18" t="inlineStr">
        <is>
          <t>예금 순증감</t>
        </is>
      </c>
      <c r="E168" s="20" t="n">
        <v>-1588321</v>
      </c>
      <c r="I168" s="20" t="n">
        <v>-1759290</v>
      </c>
      <c r="M168" s="20" t="n">
        <v>-1827917</v>
      </c>
      <c r="O168" s="20" t="n">
        <v>1936177</v>
      </c>
      <c r="P168" s="20" t="n">
        <v>1080882</v>
      </c>
      <c r="Q168" s="20" t="n">
        <v>710341</v>
      </c>
      <c r="R168" s="20" t="n">
        <v>232549</v>
      </c>
      <c r="S168" s="20" t="n">
        <v>2579025</v>
      </c>
      <c r="T168" s="20" t="n">
        <v>-629069</v>
      </c>
      <c r="U168" s="20" t="n">
        <v>1529014</v>
      </c>
      <c r="V168" s="20" t="n">
        <v>-1588321</v>
      </c>
      <c r="W168" s="20" t="n">
        <v>-1759290</v>
      </c>
      <c r="X168" s="20" t="n">
        <v>-1827917</v>
      </c>
    </row>
    <row r="169">
      <c r="A169" s="18" t="inlineStr">
        <is>
          <t>양도성예금 순증감</t>
        </is>
      </c>
      <c r="O169" s="20" t="n">
        <v>-90</v>
      </c>
      <c r="P169" s="20" t="n">
        <v>-40</v>
      </c>
      <c r="Q169" s="20" t="n">
        <v>0</v>
      </c>
    </row>
    <row r="170">
      <c r="A170" s="18" t="inlineStr">
        <is>
          <t>채권 순증감</t>
        </is>
      </c>
      <c r="E170" s="20" t="n">
        <v>-150790</v>
      </c>
      <c r="I170" s="20" t="n">
        <v>-51760</v>
      </c>
      <c r="M170" s="20" t="n">
        <v>-21100</v>
      </c>
      <c r="O170" s="20" t="n">
        <v>-102920</v>
      </c>
      <c r="P170" s="20" t="n">
        <v>-244510</v>
      </c>
      <c r="Q170" s="20" t="n">
        <v>-221190</v>
      </c>
      <c r="R170" s="20" t="n">
        <v>-349780</v>
      </c>
      <c r="S170" s="20" t="n">
        <v>-363650</v>
      </c>
      <c r="T170" s="20" t="n">
        <v>-225500</v>
      </c>
      <c r="U170" s="20" t="n">
        <v>-92410</v>
      </c>
      <c r="V170" s="20" t="n">
        <v>-150790</v>
      </c>
      <c r="W170" s="20" t="n">
        <v>-51760</v>
      </c>
      <c r="X170" s="20" t="n">
        <v>-21100</v>
      </c>
    </row>
    <row r="171">
      <c r="A171" s="18" t="inlineStr">
        <is>
          <t>차용금(후순위차입금 제외) 순증감</t>
        </is>
      </c>
      <c r="E171" s="20" t="n">
        <v>1293800</v>
      </c>
      <c r="I171" s="20" t="n">
        <v>-782700</v>
      </c>
      <c r="M171" s="20" t="n">
        <v>-749300</v>
      </c>
      <c r="O171" s="20" t="n">
        <v>482700</v>
      </c>
      <c r="P171" s="20" t="n">
        <v>650100</v>
      </c>
      <c r="Q171" s="20" t="n">
        <v>556400</v>
      </c>
      <c r="R171" s="20" t="n">
        <v>1283800</v>
      </c>
      <c r="S171" s="20" t="n">
        <v>769500</v>
      </c>
      <c r="T171" s="20" t="n">
        <v>147400</v>
      </c>
      <c r="U171" s="20" t="n">
        <v>-169200</v>
      </c>
      <c r="V171" s="20" t="n">
        <v>1293800</v>
      </c>
      <c r="W171" s="20" t="n">
        <v>-782700</v>
      </c>
      <c r="X171" s="20" t="n">
        <v>-749300</v>
      </c>
    </row>
    <row r="172">
      <c r="A172" s="18" t="inlineStr">
        <is>
          <t>예치금(중앙은행 예치금 제외) 순증감</t>
        </is>
      </c>
      <c r="E172" s="20" t="n">
        <v>7187</v>
      </c>
      <c r="I172" s="20" t="n">
        <v>-74102</v>
      </c>
      <c r="M172" s="20" t="n">
        <v>96086</v>
      </c>
      <c r="O172" s="20" t="n">
        <v>35045</v>
      </c>
      <c r="P172" s="20" t="n">
        <v>333793</v>
      </c>
      <c r="Q172" s="20" t="n">
        <v>116589</v>
      </c>
      <c r="R172" s="20" t="n">
        <v>88688</v>
      </c>
      <c r="S172" s="20" t="n">
        <v>-166116</v>
      </c>
      <c r="T172" s="20" t="n">
        <v>17661</v>
      </c>
      <c r="U172" s="20" t="n">
        <v>-147722</v>
      </c>
      <c r="V172" s="20" t="n">
        <v>7187</v>
      </c>
      <c r="W172" s="20" t="n">
        <v>-74102</v>
      </c>
      <c r="X172" s="20" t="n">
        <v>96086</v>
      </c>
    </row>
    <row r="173">
      <c r="A173" s="18" t="inlineStr">
        <is>
          <t>콜론 등 순증감</t>
        </is>
      </c>
      <c r="E173" s="20" t="n">
        <v>1363757</v>
      </c>
      <c r="I173" s="20" t="n">
        <v>-217185</v>
      </c>
      <c r="M173" s="20" t="n">
        <v>-72839</v>
      </c>
      <c r="O173" s="20" t="n">
        <v>-28146</v>
      </c>
      <c r="P173" s="20" t="n">
        <v>-121024</v>
      </c>
      <c r="Q173" s="20" t="n">
        <v>-302627</v>
      </c>
      <c r="R173" s="20" t="n">
        <v>677995</v>
      </c>
      <c r="S173" s="20" t="n">
        <v>-733519</v>
      </c>
      <c r="T173" s="20" t="n">
        <v>-502301</v>
      </c>
      <c r="U173" s="20" t="n">
        <v>-504806</v>
      </c>
      <c r="V173" s="20" t="n">
        <v>1363757</v>
      </c>
      <c r="W173" s="20" t="n">
        <v>-217185</v>
      </c>
      <c r="X173" s="20" t="n">
        <v>-72839</v>
      </c>
    </row>
    <row r="174">
      <c r="A174" s="18" t="inlineStr">
        <is>
          <t>채권대차거래 지급보증금 순증감</t>
        </is>
      </c>
      <c r="E174" s="20" t="n">
        <v>-10944</v>
      </c>
      <c r="I174" s="20" t="n">
        <v>10944</v>
      </c>
      <c r="M174" s="20" t="n">
        <v>0</v>
      </c>
      <c r="O174" s="20" t="n">
        <v>34334</v>
      </c>
      <c r="P174" s="20" t="n">
        <v>70866</v>
      </c>
      <c r="Q174" s="20" t="n">
        <v>-7889</v>
      </c>
      <c r="R174" s="20" t="n">
        <v>21798</v>
      </c>
      <c r="S174" s="20" t="n">
        <v>1430</v>
      </c>
      <c r="T174" s="20" t="n">
        <v>0</v>
      </c>
      <c r="U174" s="20" t="n">
        <v>0</v>
      </c>
      <c r="V174" s="20" t="n">
        <v>-10944</v>
      </c>
      <c r="W174" s="20" t="n">
        <v>10944</v>
      </c>
      <c r="X174" s="20" t="n">
        <v>0</v>
      </c>
    </row>
    <row r="175">
      <c r="A175" s="18" t="inlineStr">
        <is>
          <t>콜머니 등 순증감</t>
        </is>
      </c>
      <c r="E175" s="20" t="n">
        <v>917072</v>
      </c>
      <c r="I175" s="20" t="n">
        <v>2391601</v>
      </c>
      <c r="M175" s="20" t="n">
        <v>209931</v>
      </c>
      <c r="O175" s="20" t="n">
        <v>98023</v>
      </c>
      <c r="P175" s="20" t="n">
        <v>-77538</v>
      </c>
      <c r="Q175" s="20" t="n">
        <v>51969</v>
      </c>
      <c r="R175" s="20" t="n">
        <v>87601</v>
      </c>
      <c r="S175" s="20" t="n">
        <v>18929</v>
      </c>
      <c r="T175" s="20" t="n">
        <v>903539</v>
      </c>
      <c r="U175" s="20" t="n">
        <v>1426807</v>
      </c>
      <c r="V175" s="20" t="n">
        <v>917072</v>
      </c>
      <c r="W175" s="20" t="n">
        <v>2391601</v>
      </c>
      <c r="X175" s="20" t="n">
        <v>209931</v>
      </c>
    </row>
    <row r="176">
      <c r="A176" s="18" t="inlineStr">
        <is>
          <t>채권대차거래 수입담보금 순증감</t>
        </is>
      </c>
      <c r="E176" s="20" t="n">
        <v>788963</v>
      </c>
      <c r="I176" s="20" t="n">
        <v>637534</v>
      </c>
      <c r="M176" s="20" t="n">
        <v>214297</v>
      </c>
      <c r="O176" s="20" t="n">
        <v>192408</v>
      </c>
      <c r="P176" s="20" t="n">
        <v>182054</v>
      </c>
      <c r="Q176" s="20" t="n">
        <v>-4466</v>
      </c>
      <c r="R176" s="20" t="n">
        <v>3849</v>
      </c>
      <c r="S176" s="20" t="n">
        <v>-85439</v>
      </c>
      <c r="T176" s="20" t="n">
        <v>25606</v>
      </c>
      <c r="U176" s="20" t="n">
        <v>-366429</v>
      </c>
      <c r="V176" s="20" t="n">
        <v>788963</v>
      </c>
      <c r="W176" s="20" t="n">
        <v>637534</v>
      </c>
      <c r="X176" s="20" t="n">
        <v>214297</v>
      </c>
    </row>
    <row r="177">
      <c r="A177" s="18" t="inlineStr">
        <is>
          <t>매입금전채권 순증감</t>
        </is>
      </c>
      <c r="E177" s="20" t="n">
        <v>-87644</v>
      </c>
      <c r="I177" s="20" t="n">
        <v>13826</v>
      </c>
      <c r="M177" s="20" t="n">
        <v>56127</v>
      </c>
      <c r="O177" s="20" t="n">
        <v>-2788</v>
      </c>
      <c r="P177" s="20" t="n">
        <v>3117</v>
      </c>
      <c r="Q177" s="20" t="n">
        <v>-44372</v>
      </c>
      <c r="R177" s="20" t="n">
        <v>-443</v>
      </c>
      <c r="S177" s="20" t="n">
        <v>41866</v>
      </c>
      <c r="T177" s="20" t="n">
        <v>-24149</v>
      </c>
      <c r="U177" s="20" t="n">
        <v>32259</v>
      </c>
      <c r="V177" s="20" t="n">
        <v>-87644</v>
      </c>
      <c r="W177" s="20" t="n">
        <v>13826</v>
      </c>
      <c r="X177" s="20" t="n">
        <v>56127</v>
      </c>
    </row>
    <row r="178">
      <c r="A178" s="18" t="inlineStr">
        <is>
          <t>외국환(자산) 순증감</t>
        </is>
      </c>
      <c r="E178" s="20" t="n">
        <v>-765</v>
      </c>
      <c r="I178" s="20" t="n">
        <v>-1729</v>
      </c>
      <c r="M178" s="20" t="n">
        <v>-8607</v>
      </c>
      <c r="O178" s="20" t="n">
        <v>-6714</v>
      </c>
      <c r="P178" s="20" t="n">
        <v>54</v>
      </c>
      <c r="Q178" s="20" t="n">
        <v>-669</v>
      </c>
      <c r="R178" s="20" t="n">
        <v>-57984</v>
      </c>
      <c r="S178" s="20" t="n">
        <v>58437</v>
      </c>
      <c r="T178" s="20" t="n">
        <v>1054</v>
      </c>
      <c r="U178" s="20" t="n">
        <v>-3078</v>
      </c>
      <c r="V178" s="20" t="n">
        <v>-765</v>
      </c>
      <c r="W178" s="20" t="n">
        <v>-1729</v>
      </c>
      <c r="X178" s="20" t="n">
        <v>-8607</v>
      </c>
    </row>
    <row r="179">
      <c r="A179" s="18" t="inlineStr">
        <is>
          <t>외국환(부채) 순증감</t>
        </is>
      </c>
      <c r="E179" s="20" t="n">
        <v>268</v>
      </c>
      <c r="I179" s="20" t="n">
        <v>-22</v>
      </c>
      <c r="M179" s="20" t="n">
        <v>337</v>
      </c>
      <c r="O179" s="20" t="n">
        <v>112</v>
      </c>
      <c r="P179" s="20" t="n">
        <v>78</v>
      </c>
      <c r="Q179" s="20" t="n">
        <v>949</v>
      </c>
      <c r="R179" s="20" t="n">
        <v>16</v>
      </c>
      <c r="S179" s="20" t="n">
        <v>641</v>
      </c>
      <c r="T179" s="20" t="n">
        <v>-895</v>
      </c>
      <c r="U179" s="20" t="n">
        <v>-507</v>
      </c>
      <c r="V179" s="20" t="n">
        <v>268</v>
      </c>
      <c r="W179" s="20" t="n">
        <v>-22</v>
      </c>
      <c r="X179" s="20" t="n">
        <v>337</v>
      </c>
    </row>
    <row r="180">
      <c r="A180" s="18" t="inlineStr">
        <is>
          <t>신탁계정 차변 순증감</t>
        </is>
      </c>
      <c r="E180" s="20" t="n">
        <v>1883</v>
      </c>
      <c r="I180" s="20" t="n">
        <v>-1440</v>
      </c>
      <c r="M180" s="20" t="n">
        <v>-3208</v>
      </c>
      <c r="O180" s="20" t="n">
        <v>-2964</v>
      </c>
      <c r="P180" s="20" t="n">
        <v>5015</v>
      </c>
      <c r="Q180" s="20" t="n">
        <v>8650</v>
      </c>
      <c r="R180" s="20" t="n">
        <v>7996</v>
      </c>
      <c r="S180" s="20" t="n">
        <v>8278</v>
      </c>
      <c r="T180" s="20" t="n">
        <v>12520</v>
      </c>
      <c r="U180" s="20" t="n">
        <v>713</v>
      </c>
      <c r="V180" s="20" t="n">
        <v>1883</v>
      </c>
      <c r="W180" s="20" t="n">
        <v>-1440</v>
      </c>
      <c r="X180" s="20" t="n">
        <v>-3208</v>
      </c>
    </row>
    <row r="181">
      <c r="A181" s="18" t="inlineStr">
        <is>
          <t>자금운용 수입</t>
        </is>
      </c>
      <c r="E181" s="20" t="n">
        <v>339793</v>
      </c>
      <c r="I181" s="20" t="n">
        <v>512646</v>
      </c>
      <c r="M181" s="20" t="n">
        <v>753966</v>
      </c>
      <c r="O181" s="20" t="n">
        <v>268378</v>
      </c>
      <c r="P181" s="20" t="n">
        <v>275967</v>
      </c>
      <c r="Q181" s="20" t="n">
        <v>250883</v>
      </c>
      <c r="R181" s="20" t="n">
        <v>261547</v>
      </c>
      <c r="S181" s="20" t="n">
        <v>216361</v>
      </c>
      <c r="T181" s="20" t="n">
        <v>198753</v>
      </c>
      <c r="U181" s="20" t="n">
        <v>173377</v>
      </c>
      <c r="V181" s="20" t="n">
        <v>339793</v>
      </c>
      <c r="W181" s="20" t="n">
        <v>512646</v>
      </c>
      <c r="X181" s="20" t="n">
        <v>753966</v>
      </c>
    </row>
    <row r="182">
      <c r="A182" s="18" t="inlineStr">
        <is>
          <t>자금조달 지출</t>
        </is>
      </c>
      <c r="E182" s="20" t="n">
        <v>-274043</v>
      </c>
      <c r="I182" s="20" t="n">
        <v>-429643</v>
      </c>
      <c r="M182" s="20" t="n">
        <v>-628401</v>
      </c>
      <c r="O182" s="20" t="n">
        <v>-139300</v>
      </c>
      <c r="P182" s="20" t="n">
        <v>-142068</v>
      </c>
      <c r="Q182" s="20" t="n">
        <v>-145715</v>
      </c>
      <c r="R182" s="20" t="n">
        <v>-136007</v>
      </c>
      <c r="S182" s="20" t="n">
        <v>-97318</v>
      </c>
      <c r="T182" s="20" t="n">
        <v>-75813</v>
      </c>
      <c r="U182" s="20" t="n">
        <v>-134553</v>
      </c>
      <c r="V182" s="20" t="n">
        <v>-274043</v>
      </c>
      <c r="W182" s="20" t="n">
        <v>-429643</v>
      </c>
      <c r="X182" s="20" t="n">
        <v>-628401</v>
      </c>
    </row>
    <row r="183">
      <c r="A183" s="18" t="inlineStr">
        <is>
          <t>기타</t>
        </is>
      </c>
      <c r="E183" s="20" t="n">
        <v>-43609</v>
      </c>
      <c r="I183" s="20" t="n">
        <v>615813</v>
      </c>
      <c r="M183" s="20" t="n">
        <v>202088</v>
      </c>
      <c r="O183" s="20" t="n">
        <v>-352062</v>
      </c>
      <c r="P183" s="20" t="n">
        <v>-516450</v>
      </c>
      <c r="Q183" s="20" t="n">
        <v>-62350</v>
      </c>
      <c r="R183" s="20" t="n">
        <v>-215922</v>
      </c>
      <c r="S183" s="20" t="n">
        <v>197501</v>
      </c>
      <c r="T183" s="20" t="n">
        <v>50614</v>
      </c>
      <c r="U183" s="20" t="n">
        <v>86025</v>
      </c>
      <c r="V183" s="20" t="n">
        <v>-43609</v>
      </c>
      <c r="W183" s="20" t="n">
        <v>615813</v>
      </c>
      <c r="X183" s="20" t="n">
        <v>202088</v>
      </c>
    </row>
    <row r="184">
      <c r="A184" s="18" t="inlineStr">
        <is>
          <t>소계</t>
        </is>
      </c>
      <c r="E184" s="20" t="n">
        <v>3121891</v>
      </c>
      <c r="I184" s="20" t="n">
        <v>404114</v>
      </c>
      <c r="M184" s="20" t="n">
        <v>-5253443</v>
      </c>
      <c r="O184" s="20" t="n">
        <v>1176436</v>
      </c>
      <c r="P184" s="20" t="n">
        <v>2561001</v>
      </c>
      <c r="Q184" s="20" t="n">
        <v>803994</v>
      </c>
      <c r="R184" s="20" t="n">
        <v>346184</v>
      </c>
      <c r="S184" s="20" t="n">
        <v>2433146</v>
      </c>
      <c r="T184" s="20" t="n">
        <v>316356</v>
      </c>
      <c r="U184" s="20" t="n">
        <v>-155807</v>
      </c>
      <c r="V184" s="20" t="n">
        <v>3121891</v>
      </c>
      <c r="W184" s="20" t="n">
        <v>404114</v>
      </c>
      <c r="X184" s="20" t="n">
        <v>-5253443</v>
      </c>
    </row>
    <row r="185">
      <c r="A185" s="18" t="inlineStr">
        <is>
          <t>법인세 납부</t>
        </is>
      </c>
      <c r="E185" s="20" t="n">
        <v>-11453</v>
      </c>
      <c r="I185" s="20" t="n">
        <v>-4671</v>
      </c>
      <c r="M185" s="20" t="n">
        <v>-15570</v>
      </c>
      <c r="O185" s="20" t="n">
        <v>-18665</v>
      </c>
      <c r="P185" s="20" t="n">
        <v>-17362</v>
      </c>
      <c r="Q185" s="20" t="n">
        <v>-11141</v>
      </c>
      <c r="R185" s="20" t="n">
        <v>-13440</v>
      </c>
      <c r="S185" s="20" t="n">
        <v>-16472</v>
      </c>
      <c r="T185" s="20" t="n">
        <v>-9555</v>
      </c>
      <c r="U185" s="20" t="n">
        <v>-16126</v>
      </c>
      <c r="V185" s="20" t="n">
        <v>-11453</v>
      </c>
      <c r="W185" s="20" t="n">
        <v>-4671</v>
      </c>
      <c r="X185" s="20" t="n">
        <v>-15570</v>
      </c>
    </row>
    <row r="186">
      <c r="A186" s="9" t="inlineStr">
        <is>
          <t>영업활동 현금흐름</t>
        </is>
      </c>
      <c r="E186" s="12" t="n">
        <v>3110438</v>
      </c>
      <c r="I186" s="12" t="n">
        <v>399442</v>
      </c>
      <c r="M186" s="12" t="n">
        <v>-5269014</v>
      </c>
      <c r="O186" s="12" t="n">
        <v>1157771</v>
      </c>
      <c r="P186" s="12" t="n">
        <v>2543638</v>
      </c>
      <c r="Q186" s="12" t="n">
        <v>792853</v>
      </c>
      <c r="R186" s="12" t="n">
        <v>332744</v>
      </c>
      <c r="S186" s="12" t="n">
        <v>2416674</v>
      </c>
      <c r="T186" s="12" t="n">
        <v>306800</v>
      </c>
      <c r="U186" s="12" t="n">
        <v>-171934</v>
      </c>
      <c r="V186" s="12" t="n">
        <v>3110438</v>
      </c>
      <c r="W186" s="12" t="n">
        <v>399442</v>
      </c>
      <c r="X186" s="12" t="n">
        <v>-5269014</v>
      </c>
    </row>
    <row r="187">
      <c r="A187" s="18" t="inlineStr">
        <is>
          <t>유가증권 취득</t>
        </is>
      </c>
      <c r="E187" s="20" t="n">
        <v>-8727731</v>
      </c>
      <c r="I187" s="20" t="n">
        <v>-5829763</v>
      </c>
      <c r="M187" s="20" t="n">
        <v>-3462395</v>
      </c>
      <c r="O187" s="20" t="n">
        <v>-4333235</v>
      </c>
      <c r="P187" s="20" t="n">
        <v>-4221520</v>
      </c>
      <c r="Q187" s="20" t="n">
        <v>-4304819</v>
      </c>
      <c r="R187" s="20" t="n">
        <v>-3688121</v>
      </c>
      <c r="S187" s="20" t="n">
        <v>-11019193</v>
      </c>
      <c r="T187" s="20" t="n">
        <v>-9619387</v>
      </c>
      <c r="U187" s="20" t="n">
        <v>-8107365</v>
      </c>
      <c r="V187" s="20" t="n">
        <v>-8727731</v>
      </c>
      <c r="W187" s="20" t="n">
        <v>-5829763</v>
      </c>
      <c r="X187" s="20" t="n">
        <v>-3462395</v>
      </c>
    </row>
    <row r="188">
      <c r="A188" s="18" t="inlineStr">
        <is>
          <t>유가증권 매각</t>
        </is>
      </c>
      <c r="E188" s="20" t="n">
        <v>2131240</v>
      </c>
      <c r="I188" s="20" t="n">
        <v>2519473</v>
      </c>
      <c r="M188" s="20" t="n">
        <v>1016348</v>
      </c>
      <c r="O188" s="20" t="n">
        <v>2195709</v>
      </c>
      <c r="P188" s="20" t="n">
        <v>2326190</v>
      </c>
      <c r="Q188" s="20" t="n">
        <v>2297629</v>
      </c>
      <c r="R188" s="20" t="n">
        <v>1437278</v>
      </c>
      <c r="S188" s="20" t="n">
        <v>1092846</v>
      </c>
      <c r="T188" s="20" t="n">
        <v>2293222</v>
      </c>
      <c r="U188" s="20" t="n">
        <v>4655227</v>
      </c>
      <c r="V188" s="20" t="n">
        <v>2131240</v>
      </c>
      <c r="W188" s="20" t="n">
        <v>2519473</v>
      </c>
      <c r="X188" s="20" t="n">
        <v>1016348</v>
      </c>
    </row>
    <row r="189">
      <c r="A189" s="18" t="inlineStr">
        <is>
          <t>유가증권 상환 수입</t>
        </is>
      </c>
      <c r="E189" s="20" t="n">
        <v>4404449</v>
      </c>
      <c r="I189" s="20" t="n">
        <v>2027310</v>
      </c>
      <c r="M189" s="20" t="n">
        <v>1624586</v>
      </c>
      <c r="O189" s="20" t="n">
        <v>2575669</v>
      </c>
      <c r="P189" s="20" t="n">
        <v>1805703</v>
      </c>
      <c r="Q189" s="20" t="n">
        <v>2607537</v>
      </c>
      <c r="R189" s="20" t="n">
        <v>2182320</v>
      </c>
      <c r="S189" s="20" t="n">
        <v>8902375</v>
      </c>
      <c r="T189" s="20" t="n">
        <v>8773788</v>
      </c>
      <c r="U189" s="20" t="n">
        <v>5723515</v>
      </c>
      <c r="V189" s="20" t="n">
        <v>4404449</v>
      </c>
      <c r="W189" s="20" t="n">
        <v>2027310</v>
      </c>
      <c r="X189" s="20" t="n">
        <v>1624586</v>
      </c>
    </row>
    <row r="190">
      <c r="A190" s="18" t="inlineStr">
        <is>
          <t>금전신탁 증가 지출</t>
        </is>
      </c>
      <c r="E190" s="20" t="n">
        <v>-6</v>
      </c>
      <c r="I190" s="20" t="n">
        <v>-5000</v>
      </c>
      <c r="M190" s="20" t="n">
        <v>-2000</v>
      </c>
      <c r="O190" s="20" t="n">
        <v>-40000</v>
      </c>
      <c r="P190" s="20" t="n">
        <v>-100000</v>
      </c>
      <c r="Q190" s="20" t="n">
        <v>-50210</v>
      </c>
      <c r="R190" s="20" t="n">
        <v>-60</v>
      </c>
      <c r="S190" s="20" t="n">
        <v>-10004</v>
      </c>
      <c r="T190" s="20" t="n">
        <v>-10000</v>
      </c>
      <c r="U190" s="20" t="n">
        <v>0</v>
      </c>
      <c r="V190" s="20" t="n">
        <v>-6</v>
      </c>
      <c r="W190" s="20" t="n">
        <v>-5000</v>
      </c>
      <c r="X190" s="20" t="n">
        <v>-2000</v>
      </c>
    </row>
    <row r="191">
      <c r="A191" s="18" t="inlineStr">
        <is>
          <t>금전신탁 감소 수입</t>
        </is>
      </c>
      <c r="E191" s="20" t="n">
        <v>0</v>
      </c>
      <c r="I191" s="20" t="n">
        <v>34853</v>
      </c>
      <c r="M191" s="20" t="n">
        <v>2018</v>
      </c>
      <c r="O191" s="20" t="n">
        <v>112955</v>
      </c>
      <c r="P191" s="20" t="n">
        <v>0</v>
      </c>
      <c r="Q191" s="20" t="n">
        <v>0</v>
      </c>
      <c r="R191" s="20" t="n">
        <v>39839</v>
      </c>
      <c r="S191" s="20" t="n">
        <v>10000</v>
      </c>
      <c r="T191" s="20" t="n">
        <v>1</v>
      </c>
      <c r="U191" s="20" t="n">
        <v>39913</v>
      </c>
      <c r="V191" s="20" t="n">
        <v>0</v>
      </c>
      <c r="W191" s="20" t="n">
        <v>34853</v>
      </c>
      <c r="X191" s="20" t="n">
        <v>2018</v>
      </c>
    </row>
    <row r="192">
      <c r="A192" s="18" t="inlineStr">
        <is>
          <t>유형자산 취득(설비투자)</t>
        </is>
      </c>
      <c r="E192" s="20" t="n">
        <v>-6609</v>
      </c>
      <c r="I192" s="20" t="n">
        <v>-5886</v>
      </c>
      <c r="M192" s="20" t="n">
        <v>-5531</v>
      </c>
      <c r="O192" s="20" t="n">
        <v>-4542</v>
      </c>
      <c r="P192" s="20" t="n">
        <v>-1775</v>
      </c>
      <c r="Q192" s="20" t="n">
        <v>-11835</v>
      </c>
      <c r="R192" s="20" t="n">
        <v>-2724</v>
      </c>
      <c r="S192" s="20" t="n">
        <v>-2729</v>
      </c>
      <c r="T192" s="20" t="n">
        <v>-3776</v>
      </c>
      <c r="U192" s="20" t="n">
        <v>-3458</v>
      </c>
      <c r="V192" s="20" t="n">
        <v>-6609</v>
      </c>
      <c r="W192" s="20" t="n">
        <v>-5886</v>
      </c>
      <c r="X192" s="20" t="n">
        <v>-5531</v>
      </c>
    </row>
    <row r="193">
      <c r="A193" s="18" t="inlineStr">
        <is>
          <t>무형자산 취득</t>
        </is>
      </c>
      <c r="E193" s="20" t="n">
        <v>-3985</v>
      </c>
      <c r="I193" s="20" t="n">
        <v>-13212</v>
      </c>
      <c r="M193" s="20" t="n">
        <v>-4802</v>
      </c>
      <c r="O193" s="20" t="n">
        <v>-4007</v>
      </c>
      <c r="P193" s="20" t="n">
        <v>-3416</v>
      </c>
      <c r="Q193" s="20" t="n">
        <v>-14660</v>
      </c>
      <c r="R193" s="20" t="n">
        <v>-7771</v>
      </c>
      <c r="S193" s="20" t="n">
        <v>-5032</v>
      </c>
      <c r="T193" s="20" t="n">
        <v>-2957</v>
      </c>
      <c r="U193" s="20" t="n">
        <v>-9522</v>
      </c>
      <c r="V193" s="20" t="n">
        <v>-3985</v>
      </c>
      <c r="W193" s="20" t="n">
        <v>-13212</v>
      </c>
      <c r="X193" s="20" t="n">
        <v>-4802</v>
      </c>
    </row>
    <row r="194">
      <c r="A194" s="18" t="inlineStr">
        <is>
          <t>유형자산 매각</t>
        </is>
      </c>
      <c r="E194" s="20" t="n">
        <v>0</v>
      </c>
      <c r="I194" s="20" t="n">
        <v>0</v>
      </c>
      <c r="M194" s="20" t="n">
        <v>200</v>
      </c>
      <c r="P194" s="20" t="n">
        <v>0</v>
      </c>
      <c r="Q194" s="20" t="n">
        <v>153</v>
      </c>
      <c r="R194" s="20" t="n">
        <v>0</v>
      </c>
      <c r="S194" s="20" t="n">
        <v>90</v>
      </c>
      <c r="T194" s="20" t="n">
        <v>260</v>
      </c>
      <c r="U194" s="20" t="n">
        <v>193</v>
      </c>
      <c r="V194" s="20" t="n">
        <v>0</v>
      </c>
      <c r="W194" s="20" t="n">
        <v>0</v>
      </c>
      <c r="X194" s="20" t="n">
        <v>200</v>
      </c>
    </row>
    <row r="195">
      <c r="A195" s="18" t="inlineStr">
        <is>
          <t>연결범위 변경 자회사 주식 매각</t>
        </is>
      </c>
      <c r="O195" s="20" t="n">
        <v>0</v>
      </c>
      <c r="P195" s="20" t="n">
        <v>2417</v>
      </c>
      <c r="Q195" s="20" t="n">
        <v>0</v>
      </c>
    </row>
    <row r="196">
      <c r="A196" s="9" t="inlineStr">
        <is>
          <t>투자활동 현금흐름</t>
        </is>
      </c>
      <c r="E196" s="12" t="n">
        <v>-2202642</v>
      </c>
      <c r="I196" s="12" t="n">
        <v>-1272224</v>
      </c>
      <c r="M196" s="12" t="n">
        <v>-831575</v>
      </c>
      <c r="O196" s="12" t="n">
        <v>502548</v>
      </c>
      <c r="P196" s="12" t="n">
        <v>-192401</v>
      </c>
      <c r="Q196" s="12" t="n">
        <v>523793</v>
      </c>
      <c r="R196" s="12" t="n">
        <v>-39240</v>
      </c>
      <c r="S196" s="12" t="n">
        <v>-1031648</v>
      </c>
      <c r="T196" s="12" t="n">
        <v>1431150</v>
      </c>
      <c r="U196" s="12" t="n">
        <v>2298503</v>
      </c>
      <c r="V196" s="12" t="n">
        <v>-2202642</v>
      </c>
      <c r="W196" s="12" t="n">
        <v>-1272224</v>
      </c>
      <c r="X196" s="12" t="n">
        <v>-831575</v>
      </c>
    </row>
    <row r="197">
      <c r="A197" s="18" t="inlineStr">
        <is>
          <t>후순위차입금 상환 지출</t>
        </is>
      </c>
      <c r="E197" s="20" t="n">
        <v>-162480</v>
      </c>
      <c r="I197" s="20" t="n">
        <v>0</v>
      </c>
      <c r="O197" s="20" t="n">
        <v>-108150</v>
      </c>
      <c r="P197" s="20" t="n">
        <v>-216200</v>
      </c>
      <c r="Q197" s="20" t="n">
        <v>-226990</v>
      </c>
      <c r="R197" s="20" t="n">
        <v>0</v>
      </c>
      <c r="U197" s="20" t="n">
        <v>0</v>
      </c>
      <c r="V197" s="20" t="n">
        <v>-162480</v>
      </c>
      <c r="W197" s="20" t="n">
        <v>0</v>
      </c>
    </row>
    <row r="198">
      <c r="A198" s="18" t="inlineStr">
        <is>
          <t>출자 증액에 따른 수입</t>
        </is>
      </c>
      <c r="E198" s="20" t="n">
        <v>200000</v>
      </c>
      <c r="U198" s="20" t="n">
        <v>0</v>
      </c>
      <c r="V198" s="20" t="n">
        <v>200000</v>
      </c>
    </row>
    <row r="199">
      <c r="A199" s="18" t="inlineStr">
        <is>
          <t>출자 증액에 따른 수입</t>
        </is>
      </c>
      <c r="E199" s="20" t="n">
        <v>200000</v>
      </c>
      <c r="I199" s="20" t="n">
        <v>0</v>
      </c>
      <c r="V199" s="20" t="n">
        <v>200000</v>
      </c>
      <c r="W199" s="20" t="n">
        <v>0</v>
      </c>
    </row>
    <row r="200">
      <c r="A200" s="18" t="inlineStr">
        <is>
          <t>배당금 지급</t>
        </is>
      </c>
      <c r="E200" s="20" t="n">
        <v>-19603</v>
      </c>
      <c r="I200" s="20" t="n">
        <v>-19628</v>
      </c>
      <c r="M200" s="20" t="n">
        <v>-22603</v>
      </c>
      <c r="O200" s="20" t="n">
        <v>-18115</v>
      </c>
      <c r="P200" s="20" t="n">
        <v>-19603</v>
      </c>
      <c r="Q200" s="20" t="n">
        <v>-19603</v>
      </c>
      <c r="R200" s="20" t="n">
        <v>-19603</v>
      </c>
      <c r="S200" s="20" t="n">
        <v>-19603</v>
      </c>
      <c r="T200" s="20" t="n">
        <v>-19603</v>
      </c>
      <c r="U200" s="20" t="n">
        <v>-19603</v>
      </c>
      <c r="V200" s="20" t="n">
        <v>-19603</v>
      </c>
      <c r="W200" s="20" t="n">
        <v>-19628</v>
      </c>
      <c r="X200" s="20" t="n">
        <v>-22603</v>
      </c>
    </row>
    <row r="201">
      <c r="A201" s="18" t="inlineStr">
        <is>
          <t>비지배주주 배당금 지급</t>
        </is>
      </c>
      <c r="E201" s="20" t="n">
        <v>-66</v>
      </c>
      <c r="I201" s="20" t="n">
        <v>-66</v>
      </c>
      <c r="M201" s="20" t="n">
        <v>-133</v>
      </c>
      <c r="O201" s="20" t="n">
        <v>-66</v>
      </c>
      <c r="P201" s="20" t="n">
        <v>-66</v>
      </c>
      <c r="Q201" s="20" t="n">
        <v>-66</v>
      </c>
      <c r="R201" s="20" t="n">
        <v>-66</v>
      </c>
      <c r="S201" s="20" t="n">
        <v>-133</v>
      </c>
      <c r="T201" s="20" t="n">
        <v>-66</v>
      </c>
      <c r="U201" s="20" t="n">
        <v>-66</v>
      </c>
      <c r="V201" s="20" t="n">
        <v>-66</v>
      </c>
      <c r="W201" s="20" t="n">
        <v>-66</v>
      </c>
      <c r="X201" s="20" t="n">
        <v>-133</v>
      </c>
    </row>
    <row r="202">
      <c r="A202" s="9" t="inlineStr">
        <is>
          <t>재무활동 현금흐름</t>
        </is>
      </c>
      <c r="E202" s="12" t="n">
        <v>17849</v>
      </c>
      <c r="I202" s="12" t="n">
        <v>-19694</v>
      </c>
      <c r="M202" s="12" t="n">
        <v>-22737</v>
      </c>
      <c r="O202" s="12" t="n">
        <v>-126332</v>
      </c>
      <c r="P202" s="12" t="n">
        <v>-235870</v>
      </c>
      <c r="Q202" s="12" t="n">
        <v>-246660</v>
      </c>
      <c r="R202" s="12" t="n">
        <v>-19670</v>
      </c>
      <c r="S202" s="12" t="n">
        <v>-19737</v>
      </c>
      <c r="T202" s="12" t="n">
        <v>-19670</v>
      </c>
      <c r="U202" s="12" t="n">
        <v>-19670</v>
      </c>
      <c r="V202" s="12" t="n">
        <v>17849</v>
      </c>
      <c r="W202" s="12" t="n">
        <v>-19694</v>
      </c>
      <c r="X202" s="12" t="n">
        <v>-22737</v>
      </c>
    </row>
    <row r="203">
      <c r="A203" s="18" t="inlineStr">
        <is>
          <t>현금성자산 환산차이</t>
        </is>
      </c>
      <c r="E203" s="20" t="n">
        <v>0</v>
      </c>
      <c r="I203" s="20" t="n">
        <v>-0</v>
      </c>
      <c r="M203" s="20" t="n">
        <v>0</v>
      </c>
      <c r="O203" s="20" t="n">
        <v>-0</v>
      </c>
      <c r="P203" s="20" t="n">
        <v>-0</v>
      </c>
      <c r="Q203" s="20" t="n">
        <v>0</v>
      </c>
      <c r="R203" s="20" t="n">
        <v>-0</v>
      </c>
      <c r="S203" s="20" t="n">
        <v>0</v>
      </c>
      <c r="T203" s="20" t="n">
        <v>0</v>
      </c>
      <c r="U203" s="20" t="n">
        <v>1</v>
      </c>
      <c r="V203" s="20" t="n">
        <v>0</v>
      </c>
      <c r="W203" s="20" t="n">
        <v>-0</v>
      </c>
      <c r="X203" s="20" t="n">
        <v>0</v>
      </c>
    </row>
    <row r="204">
      <c r="A204" s="18" t="inlineStr">
        <is>
          <t>현금성자산 증감</t>
        </is>
      </c>
      <c r="E204" s="20" t="n">
        <v>925646</v>
      </c>
      <c r="I204" s="20" t="n">
        <v>-892476</v>
      </c>
      <c r="M204" s="20" t="n">
        <v>-6123326</v>
      </c>
      <c r="O204" s="20" t="n">
        <v>1533987</v>
      </c>
      <c r="P204" s="20" t="n">
        <v>2115366</v>
      </c>
      <c r="Q204" s="20" t="n">
        <v>1069986</v>
      </c>
      <c r="R204" s="20" t="n">
        <v>273834</v>
      </c>
      <c r="S204" s="20" t="n">
        <v>1365289</v>
      </c>
      <c r="T204" s="20" t="n">
        <v>1718281</v>
      </c>
      <c r="U204" s="20" t="n">
        <v>2106900</v>
      </c>
      <c r="V204" s="20" t="n">
        <v>925646</v>
      </c>
      <c r="W204" s="20" t="n">
        <v>-892476</v>
      </c>
      <c r="X204" s="20" t="n">
        <v>-6123326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8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8421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/>
      <c r="D5" s="12" t="n"/>
      <c r="E5" s="12" t="n"/>
      <c r="F5" s="12" t="n"/>
      <c r="G5" s="12" t="n"/>
      <c r="H5" s="11" t="n"/>
      <c r="I5" s="12" t="n"/>
      <c r="J5" s="12" t="n"/>
      <c r="K5" s="12" t="n"/>
      <c r="L5" s="12" t="n"/>
    </row>
    <row r="6">
      <c r="A6" s="18" t="inlineStr">
        <is>
          <t>현금및현금성자산</t>
        </is>
      </c>
      <c r="B6" s="10" t="n"/>
      <c r="C6" s="19" t="n"/>
      <c r="D6" s="20" t="n"/>
      <c r="E6" s="20" t="n"/>
      <c r="F6" s="20" t="n"/>
      <c r="G6" s="20" t="n"/>
      <c r="H6" s="19" t="n"/>
      <c r="I6" s="20" t="n"/>
      <c r="J6" s="20" t="n"/>
      <c r="K6" s="20" t="n"/>
      <c r="L6" s="20" t="n"/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/>
      <c r="D8" s="20" t="n"/>
      <c r="E8" s="20" t="n"/>
      <c r="F8" s="20" t="n"/>
      <c r="G8" s="20" t="n"/>
      <c r="H8" s="19" t="n"/>
      <c r="I8" s="20" t="n"/>
      <c r="J8" s="20" t="n"/>
      <c r="K8" s="20" t="n"/>
      <c r="L8" s="20" t="n"/>
    </row>
    <row r="9">
      <c r="A9" s="18" t="inlineStr">
        <is>
          <t>재고자산</t>
        </is>
      </c>
      <c r="B9" s="10" t="n"/>
      <c r="C9" s="19" t="n"/>
      <c r="D9" s="20" t="n"/>
      <c r="E9" s="20" t="n"/>
      <c r="F9" s="20" t="n"/>
      <c r="G9" s="20" t="n"/>
      <c r="H9" s="19" t="n"/>
      <c r="I9" s="20" t="n"/>
      <c r="J9" s="20" t="n"/>
      <c r="K9" s="20" t="n"/>
      <c r="L9" s="20" t="n"/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/>
      <c r="D11" s="12" t="n"/>
      <c r="E11" s="12" t="n"/>
      <c r="F11" s="12" t="n"/>
      <c r="G11" s="12" t="n"/>
      <c r="H11" s="11" t="n"/>
      <c r="I11" s="12" t="n"/>
      <c r="J11" s="12" t="n"/>
      <c r="K11" s="12" t="n"/>
      <c r="L11" s="12" t="n"/>
    </row>
    <row r="12">
      <c r="A12" s="18" t="inlineStr">
        <is>
          <t>유형자산</t>
        </is>
      </c>
      <c r="B12" s="10" t="n"/>
      <c r="C12" s="19" t="n">
        <v>76773</v>
      </c>
      <c r="D12" s="20" t="n">
        <v>74040</v>
      </c>
      <c r="E12" s="20" t="n">
        <v>78226</v>
      </c>
      <c r="F12" s="20" t="n">
        <v>77656</v>
      </c>
      <c r="G12" s="20" t="n">
        <v>82121</v>
      </c>
      <c r="H12" s="19" t="n">
        <v>67614</v>
      </c>
      <c r="I12" s="20" t="n">
        <v>72028</v>
      </c>
      <c r="J12" s="20" t="n">
        <v>74611</v>
      </c>
      <c r="K12" s="20" t="n">
        <v>76483</v>
      </c>
      <c r="L12" s="20" t="n">
        <v>77656</v>
      </c>
    </row>
    <row r="13">
      <c r="A13" s="18" t="inlineStr">
        <is>
          <t>무형자산</t>
        </is>
      </c>
      <c r="B13" s="10" t="n"/>
      <c r="C13" s="19" t="n">
        <v>23417</v>
      </c>
      <c r="D13" s="20" t="n">
        <v>7460</v>
      </c>
      <c r="E13" s="20" t="n">
        <v>22250</v>
      </c>
      <c r="F13" s="20" t="n">
        <v>21511</v>
      </c>
      <c r="G13" s="20" t="n">
        <v>21515</v>
      </c>
      <c r="H13" s="19" t="n">
        <v>4309</v>
      </c>
      <c r="I13" s="20" t="n">
        <v>20354</v>
      </c>
      <c r="J13" s="20" t="n">
        <v>17680</v>
      </c>
      <c r="K13" s="20" t="n">
        <v>24050</v>
      </c>
      <c r="L13" s="20" t="n">
        <v>21511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47141742</v>
      </c>
      <c r="D16" s="12" t="n">
        <v>48096015</v>
      </c>
      <c r="E16" s="12" t="n">
        <v>47510997</v>
      </c>
      <c r="F16" s="12" t="n">
        <v>46866489</v>
      </c>
      <c r="G16" s="12" t="n">
        <v>46968052</v>
      </c>
      <c r="H16" s="11" t="n">
        <v>43757754</v>
      </c>
      <c r="I16" s="12" t="n">
        <v>46095333</v>
      </c>
      <c r="J16" s="12" t="n">
        <v>47622424</v>
      </c>
      <c r="K16" s="12" t="n">
        <v>48238888</v>
      </c>
      <c r="L16" s="12" t="n">
        <v>46866489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/>
      <c r="D18" s="12" t="n"/>
      <c r="E18" s="12" t="n"/>
      <c r="F18" s="12" t="n"/>
      <c r="G18" s="12" t="n"/>
      <c r="H18" s="11" t="n"/>
      <c r="I18" s="12" t="n"/>
      <c r="J18" s="12" t="n"/>
      <c r="K18" s="12" t="n"/>
      <c r="L18" s="12" t="n"/>
    </row>
    <row r="19">
      <c r="A19" s="18" t="inlineStr">
        <is>
          <t>매입채무</t>
        </is>
      </c>
      <c r="B19" s="10" t="n"/>
      <c r="C19" s="19" t="n"/>
      <c r="D19" s="20" t="n"/>
      <c r="E19" s="20" t="n"/>
      <c r="F19" s="20" t="n"/>
      <c r="G19" s="20" t="n"/>
      <c r="H19" s="19" t="n"/>
      <c r="I19" s="20" t="n"/>
      <c r="J19" s="20" t="n"/>
      <c r="K19" s="20" t="n"/>
      <c r="L19" s="20" t="n"/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/>
      <c r="I20" s="20" t="n"/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/>
      <c r="D23" s="12" t="n"/>
      <c r="E23" s="12" t="n"/>
      <c r="F23" s="12" t="n"/>
      <c r="G23" s="12" t="n"/>
      <c r="H23" s="11" t="n"/>
      <c r="I23" s="12" t="n"/>
      <c r="J23" s="12" t="n"/>
      <c r="K23" s="12" t="n"/>
      <c r="L23" s="12" t="n"/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/>
      <c r="G24" s="20" t="n"/>
      <c r="H24" s="19" t="n"/>
      <c r="I24" s="20" t="n"/>
      <c r="J24" s="20" t="n"/>
      <c r="K24" s="20" t="n"/>
      <c r="L24" s="20" t="n"/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45603246</v>
      </c>
      <c r="D27" s="12" t="n">
        <v>46538903</v>
      </c>
      <c r="E27" s="12" t="n">
        <v>45835034</v>
      </c>
      <c r="F27" s="12" t="n">
        <v>45228771</v>
      </c>
      <c r="G27" s="12" t="n">
        <v>45270729</v>
      </c>
      <c r="H27" s="11" t="n">
        <v>42199230</v>
      </c>
      <c r="I27" s="12" t="n">
        <v>44750172</v>
      </c>
      <c r="J27" s="12" t="n">
        <v>46064355</v>
      </c>
      <c r="K27" s="12" t="n">
        <v>46726449</v>
      </c>
      <c r="L27" s="12" t="n">
        <v>45228771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1524271</v>
      </c>
      <c r="D31" s="12" t="n">
        <v>1542815</v>
      </c>
      <c r="E31" s="12" t="n">
        <v>1661596</v>
      </c>
      <c r="F31" s="12" t="n">
        <v>1622898</v>
      </c>
      <c r="G31" s="12" t="n">
        <v>1682412</v>
      </c>
      <c r="H31" s="11" t="n">
        <v>1545897</v>
      </c>
      <c r="I31" s="12" t="n">
        <v>1332107</v>
      </c>
      <c r="J31" s="12" t="n">
        <v>1544571</v>
      </c>
      <c r="K31" s="12" t="n">
        <v>1498221</v>
      </c>
      <c r="L31" s="12" t="n">
        <v>1622898</v>
      </c>
    </row>
    <row r="32">
      <c r="A32" s="18" t="inlineStr">
        <is>
          <t>자본금</t>
        </is>
      </c>
      <c r="B32" s="10" t="n"/>
      <c r="C32" s="19" t="n"/>
      <c r="D32" s="20" t="n"/>
      <c r="E32" s="20" t="n"/>
      <c r="F32" s="20" t="n"/>
      <c r="G32" s="20" t="n"/>
      <c r="H32" s="19" t="n"/>
      <c r="I32" s="20" t="n"/>
      <c r="J32" s="20" t="n"/>
      <c r="K32" s="20" t="n"/>
      <c r="L32" s="20" t="n"/>
    </row>
    <row r="33">
      <c r="A33" s="18" t="inlineStr">
        <is>
          <t>이익잉여금</t>
        </is>
      </c>
      <c r="B33" s="10" t="n"/>
      <c r="C33" s="19" t="n">
        <v>674239</v>
      </c>
      <c r="D33" s="20" t="n">
        <v>657270</v>
      </c>
      <c r="E33" s="20" t="n">
        <v>697884</v>
      </c>
      <c r="F33" s="20" t="n">
        <v>707209</v>
      </c>
      <c r="G33" s="20" t="n">
        <v>698119</v>
      </c>
      <c r="H33" s="19" t="n">
        <v>613722</v>
      </c>
      <c r="I33" s="20" t="n">
        <v>650740</v>
      </c>
      <c r="J33" s="20" t="n">
        <v>663282</v>
      </c>
      <c r="K33" s="20" t="n">
        <v>686104</v>
      </c>
      <c r="L33" s="20" t="n">
        <v>707209</v>
      </c>
    </row>
    <row r="34">
      <c r="A34" s="18" t="inlineStr">
        <is>
          <t>비지배지분</t>
        </is>
      </c>
      <c r="B34" s="10" t="n"/>
      <c r="C34" s="19" t="n">
        <v>14224</v>
      </c>
      <c r="D34" s="20" t="n">
        <v>14296</v>
      </c>
      <c r="E34" s="20" t="n">
        <v>14367</v>
      </c>
      <c r="F34" s="20" t="n">
        <v>14820</v>
      </c>
      <c r="G34" s="20" t="n">
        <v>14910</v>
      </c>
      <c r="H34" s="19" t="n">
        <v>12626</v>
      </c>
      <c r="I34" s="20" t="n">
        <v>13053</v>
      </c>
      <c r="J34" s="20" t="n">
        <v>13497</v>
      </c>
      <c r="K34" s="20" t="n">
        <v>14217</v>
      </c>
      <c r="L34" s="20" t="n">
        <v>14820</v>
      </c>
    </row>
    <row r="35">
      <c r="A35" s="9" t="inlineStr">
        <is>
          <t>자본총계</t>
        </is>
      </c>
      <c r="B35" s="10" t="n"/>
      <c r="C35" s="11" t="n">
        <v>1538495</v>
      </c>
      <c r="D35" s="12" t="n">
        <v>1557111</v>
      </c>
      <c r="E35" s="12" t="n">
        <v>1675963</v>
      </c>
      <c r="F35" s="12" t="n">
        <v>1637718</v>
      </c>
      <c r="G35" s="12" t="n">
        <v>1697322</v>
      </c>
      <c r="H35" s="11" t="n">
        <v>1558523</v>
      </c>
      <c r="I35" s="12" t="n">
        <v>1345160</v>
      </c>
      <c r="J35" s="12" t="n">
        <v>1558068</v>
      </c>
      <c r="K35" s="12" t="n">
        <v>1512438</v>
      </c>
      <c r="L35" s="12" t="n">
        <v>1637718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/>
      <c r="F37" s="12" t="n">
        <v>-5269014</v>
      </c>
      <c r="G37" s="12" t="n"/>
      <c r="H37" s="11" t="n">
        <v>306800</v>
      </c>
      <c r="I37" s="12" t="n">
        <v>-171934</v>
      </c>
      <c r="J37" s="12" t="n">
        <v>3110438</v>
      </c>
      <c r="K37" s="12" t="n">
        <v>399442</v>
      </c>
      <c r="L37" s="12" t="n">
        <v>-5269014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>
        <v>10333</v>
      </c>
      <c r="G38" s="20" t="n"/>
      <c r="H38" s="19" t="n">
        <v>6733</v>
      </c>
      <c r="I38" s="20" t="n">
        <v>12980</v>
      </c>
      <c r="J38" s="20" t="n">
        <v>10594</v>
      </c>
      <c r="K38" s="20" t="n">
        <v>19098</v>
      </c>
      <c r="L38" s="20" t="n">
        <v>10333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/>
      <c r="F40" s="20" t="n">
        <v>22603</v>
      </c>
      <c r="G40" s="20" t="n"/>
      <c r="H40" s="19" t="n">
        <v>19603</v>
      </c>
      <c r="I40" s="20" t="n">
        <v>19603</v>
      </c>
      <c r="J40" s="20" t="n">
        <v>19603</v>
      </c>
      <c r="K40" s="20" t="n">
        <v>19628</v>
      </c>
      <c r="L40" s="20" t="n">
        <v>22603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IFERROR((IF(COUNT('연간'!G19:J19)&lt;4,"",SUM('연간'!G19:J19)))/(IF(COUNT('연간'!G41:J41)&lt;4,"",SUM('연간'!G41:J41))),"")</f>
        <v/>
      </c>
      <c r="D48" s="31">
        <f>IFERROR((IF(COUNT('연간'!H19:K19)&lt;4,"",SUM('연간'!H19:K19)))/(IF(COUNT('연간'!H41:K41)&lt;4,"",SUM('연간'!H41:K41))),"")</f>
        <v/>
      </c>
      <c r="E48" s="31">
        <f>IFERROR((IF(COUNT('연간'!I19:L19)&lt;4,"",SUM('연간'!I19:L19)))/(IF(COUNT('연간'!I41:L41)&lt;4,"",SUM('연간'!I41:L41))),"")</f>
        <v/>
      </c>
      <c r="F48" s="31">
        <f>IFERROR((IF(COUNT('연간'!J19:M19)&lt;4,"",SUM('연간'!J19:M19)))/(IF(COUNT('연간'!J41:M41)&lt;4,"",SUM('연간'!J41:M41))),"")</f>
        <v/>
      </c>
      <c r="G48" s="31">
        <f>IFERROR((IF(COUNT('연간'!K19:N19)&lt;4,"",SUM('연간'!K19:N19)))/(IF(COUNT('연간'!K41:N41)&lt;4,"",SUM('연간'!K41:N41))),"")</f>
        <v/>
      </c>
      <c r="H48" s="30">
        <f>IFERROR(('연간'!T19)/('연간'!T41),"")</f>
        <v/>
      </c>
      <c r="I48" s="31">
        <f>IFERROR(('연간'!U19)/('연간'!U41),"")</f>
        <v/>
      </c>
      <c r="J48" s="31">
        <f>IFERROR(('연간'!V19)/('연간'!V41),"")</f>
        <v/>
      </c>
      <c r="K48" s="31">
        <f>IFERROR(('연간'!W19)/('연간'!W41),"")</f>
        <v/>
      </c>
      <c r="L48" s="31">
        <f>IFERROR(('연간'!X19)/('연간'!X41),"")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IFERROR(IF((IF(COUNT('연간'!G47:J47)&lt;4,"",SUM('연간'!G47:J47)))&lt;=0,"적자",C28/(IF(COUNT('연간'!G47:J47)&lt;4,"",SUM('연간'!G47:J47)))),"")</f>
        <v/>
      </c>
      <c r="D49" s="47">
        <f>IFERROR(IF((IF(COUNT('연간'!H47:K47)&lt;4,"",SUM('연간'!H47:K47)))&lt;=0,"적자",D28/(IF(COUNT('연간'!H47:K47)&lt;4,"",SUM('연간'!H47:K47)))),"")</f>
        <v/>
      </c>
      <c r="E49" s="47">
        <f>IFERROR(IF((IF(COUNT('연간'!I47:L47)&lt;4,"",SUM('연간'!I47:L47)))&lt;=0,"적자",E28/(IF(COUNT('연간'!I47:L47)&lt;4,"",SUM('연간'!I47:L47)))),"")</f>
        <v/>
      </c>
      <c r="F49" s="47">
        <f>IFERROR(IF((IF(COUNT('연간'!J47:M47)&lt;4,"",SUM('연간'!J47:M47)))&lt;=0,"적자",F28/(IF(COUNT('연간'!J47:M47)&lt;4,"",SUM('연간'!J47:M47)))),"")</f>
        <v/>
      </c>
      <c r="G49" s="47">
        <f>IFERROR(IF((IF(COUNT('연간'!K47:N47)&lt;4,"",SUM('연간'!K47:N47)))&lt;=0,"적자",G28/(IF(COUNT('연간'!K47:N47)&lt;4,"",SUM('연간'!K47:N47)))),"")</f>
        <v/>
      </c>
      <c r="H49" s="46">
        <f>IFERROR(IF(('연간'!T47)&lt;=0,"적자",H28/('연간'!T47)),"")</f>
        <v/>
      </c>
      <c r="I49" s="47">
        <f>IFERROR(IF(('연간'!U47)&lt;=0,"적자",I28/('연간'!U47)),"")</f>
        <v/>
      </c>
      <c r="J49" s="47">
        <f>IFERROR(IF(('연간'!V47)&lt;=0,"적자",J28/('연간'!V47)),"")</f>
        <v/>
      </c>
      <c r="K49" s="47">
        <f>IFERROR(IF(('연간'!W47)&lt;=0,"적자",K28/('연간'!W47)),"")</f>
        <v/>
      </c>
      <c r="L49" s="47">
        <f>IFERROR(IF(('연간'!X47)&lt;=0,"적자",L28/('연간'!X47)),"")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IFERROR((IF(COUNT('연간'!G47:J47)&lt;4,"",SUM('연간'!G47:J47)))/C31,"")</f>
        <v/>
      </c>
      <c r="D51" s="36">
        <f>IFERROR((IF(COUNT('연간'!H47:K47)&lt;4,"",SUM('연간'!H47:K47)))/D31,"")</f>
        <v/>
      </c>
      <c r="E51" s="36">
        <f>IFERROR((IF(COUNT('연간'!I47:L47)&lt;4,"",SUM('연간'!I47:L47)))/E31,"")</f>
        <v/>
      </c>
      <c r="F51" s="36">
        <f>IFERROR((IF(COUNT('연간'!J47:M47)&lt;4,"",SUM('연간'!J47:M47)))/F31,"")</f>
        <v/>
      </c>
      <c r="G51" s="36">
        <f>IFERROR((IF(COUNT('연간'!K47:N47)&lt;4,"",SUM('연간'!K47:N47)))/G31,"")</f>
        <v/>
      </c>
      <c r="H51" s="35">
        <f>IFERROR(('연간'!T47)/H31,"")</f>
        <v/>
      </c>
      <c r="I51" s="36">
        <f>IFERROR(('연간'!U47)/I31,"")</f>
        <v/>
      </c>
      <c r="J51" s="36">
        <f>IFERROR(('연간'!V47)/J31,"")</f>
        <v/>
      </c>
      <c r="K51" s="36">
        <f>IFERROR(('연간'!W47)/K31,"")</f>
        <v/>
      </c>
      <c r="L51" s="36">
        <f>IFERROR(('연간'!X47)/L31,"")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IFERROR((IF(COUNT('연간'!G46:J46)&lt;4,"",SUM('연간'!G46:J46)))/C16,"")</f>
        <v/>
      </c>
      <c r="D52" s="36">
        <f>IFERROR((IF(COUNT('연간'!H46:K46)&lt;4,"",SUM('연간'!H46:K46)))/D16,"")</f>
        <v/>
      </c>
      <c r="E52" s="36">
        <f>IFERROR((IF(COUNT('연간'!I46:L46)&lt;4,"",SUM('연간'!I46:L46)))/E16,"")</f>
        <v/>
      </c>
      <c r="F52" s="36">
        <f>IFERROR((IF(COUNT('연간'!J46:M46)&lt;4,"",SUM('연간'!J46:M46)))/F16,"")</f>
        <v/>
      </c>
      <c r="G52" s="36">
        <f>IFERROR((IF(COUNT('연간'!K46:N46)&lt;4,"",SUM('연간'!K46:N46)))/G16,"")</f>
        <v/>
      </c>
      <c r="H52" s="35">
        <f>IFERROR(('연간'!T46)/H16,"")</f>
        <v/>
      </c>
      <c r="I52" s="36">
        <f>IFERROR(('연간'!U46)/I16,"")</f>
        <v/>
      </c>
      <c r="J52" s="36">
        <f>IFERROR(('연간'!V46)/J16,"")</f>
        <v/>
      </c>
      <c r="K52" s="36">
        <f>IFERROR(('연간'!W46)/K16,"")</f>
        <v/>
      </c>
      <c r="L52" s="36">
        <f>IFERROR(('연간'!X46)/L16,"")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IFERROR((IF(COUNT('연간'!G19:J19)&lt;4,"",SUM('연간'!G19:J19)))*(1-0.3)/(C35+C29),"")</f>
        <v/>
      </c>
      <c r="D53" s="36">
        <f>IFERROR((IF(COUNT('연간'!H19:K19)&lt;4,"",SUM('연간'!H19:K19)))*(1-0.3)/(D35+D29),"")</f>
        <v/>
      </c>
      <c r="E53" s="36">
        <f>IFERROR((IF(COUNT('연간'!I19:L19)&lt;4,"",SUM('연간'!I19:L19)))*(1-0.3)/(E35+E29),"")</f>
        <v/>
      </c>
      <c r="F53" s="36">
        <f>IFERROR((IF(COUNT('연간'!J19:M19)&lt;4,"",SUM('연간'!J19:M19)))*(1-0.3)/(F35+F29),"")</f>
        <v/>
      </c>
      <c r="G53" s="36">
        <f>IFERROR((IF(COUNT('연간'!K19:N19)&lt;4,"",SUM('연간'!K19:N19)))*(1-0.3)/(G35+G29),"")</f>
        <v/>
      </c>
      <c r="H53" s="35">
        <f>IFERROR(('연간'!T19)*(1-0.3)/(H35+H29),"")</f>
        <v/>
      </c>
      <c r="I53" s="36">
        <f>IFERROR(('연간'!U19)*(1-0.3)/(I35+I29),"")</f>
        <v/>
      </c>
      <c r="J53" s="36">
        <f>IFERROR(('연간'!V19)*(1-0.3)/(J35+J29),"")</f>
        <v/>
      </c>
      <c r="K53" s="36">
        <f>IFERROR(('연간'!W19)*(1-0.3)/(K35+K29),"")</f>
        <v/>
      </c>
      <c r="L53" s="36">
        <f>IFERROR(('연간'!X19)*(1-0.3)/(L35+L29),"")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IFERROR((IF(COUNT('연간'!G15:J15)&lt;4,"",SUM('연간'!G15:J15)))/(IF(COUNT('연간'!G4:J4)&lt;4,"",SUM('연간'!G4:J4))),"")</f>
        <v/>
      </c>
      <c r="D54" s="36">
        <f>IFERROR((IF(COUNT('연간'!H15:K15)&lt;4,"",SUM('연간'!H15:K15)))/(IF(COUNT('연간'!H4:K4)&lt;4,"",SUM('연간'!H4:K4))),"")</f>
        <v/>
      </c>
      <c r="E54" s="36">
        <f>IFERROR((IF(COUNT('연간'!I15:L15)&lt;4,"",SUM('연간'!I15:L15)))/(IF(COUNT('연간'!I4:L4)&lt;4,"",SUM('연간'!I4:L4))),"")</f>
        <v/>
      </c>
      <c r="F54" s="36">
        <f>IFERROR((IF(COUNT('연간'!J15:M15)&lt;4,"",SUM('연간'!J15:M15)))/(IF(COUNT('연간'!J4:M4)&lt;4,"",SUM('연간'!J4:M4))),"")</f>
        <v/>
      </c>
      <c r="G54" s="36">
        <f>IFERROR((IF(COUNT('연간'!K15:N15)&lt;4,"",SUM('연간'!K15:N15)))/(IF(COUNT('연간'!K4:N4)&lt;4,"",SUM('연간'!K4:N4))),"")</f>
        <v/>
      </c>
      <c r="H54" s="35">
        <f>IFERROR(('연간'!T15)/('연간'!T4),"")</f>
        <v/>
      </c>
      <c r="I54" s="36">
        <f>IFERROR(('연간'!U15)/('연간'!U4),"")</f>
        <v/>
      </c>
      <c r="J54" s="36">
        <f>IFERROR(('연간'!V15)/('연간'!V4),"")</f>
        <v/>
      </c>
      <c r="K54" s="36">
        <f>IFERROR(('연간'!W15)/('연간'!W4),"")</f>
        <v/>
      </c>
      <c r="L54" s="36">
        <f>IFERROR(('연간'!X15)/('연간'!X4),"")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IFERROR((IF(COUNT('연간'!G19:J19)&lt;4,"",SUM('연간'!G19:J19)))/(IF(COUNT('연간'!G4:J4)&lt;4,"",SUM('연간'!G4:J4))),"")</f>
        <v/>
      </c>
      <c r="D55" s="36">
        <f>IFERROR((IF(COUNT('연간'!H19:K19)&lt;4,"",SUM('연간'!H19:K19)))/(IF(COUNT('연간'!H4:K4)&lt;4,"",SUM('연간'!H4:K4))),"")</f>
        <v/>
      </c>
      <c r="E55" s="36">
        <f>IFERROR((IF(COUNT('연간'!I19:L19)&lt;4,"",SUM('연간'!I19:L19)))/(IF(COUNT('연간'!I4:L4)&lt;4,"",SUM('연간'!I4:L4))),"")</f>
        <v/>
      </c>
      <c r="F55" s="36">
        <f>IFERROR((IF(COUNT('연간'!J19:M19)&lt;4,"",SUM('연간'!J19:M19)))/(IF(COUNT('연간'!J4:M4)&lt;4,"",SUM('연간'!J4:M4))),"")</f>
        <v/>
      </c>
      <c r="G55" s="36">
        <f>IFERROR((IF(COUNT('연간'!K19:N19)&lt;4,"",SUM('연간'!K19:N19)))/(IF(COUNT('연간'!K4:N4)&lt;4,"",SUM('연간'!K4:N4))),"")</f>
        <v/>
      </c>
      <c r="H55" s="35">
        <f>IFERROR(('연간'!T19)/('연간'!T4),"")</f>
        <v/>
      </c>
      <c r="I55" s="36">
        <f>IFERROR(('연간'!U19)/('연간'!U4),"")</f>
        <v/>
      </c>
      <c r="J55" s="36">
        <f>IFERROR(('연간'!V19)/('연간'!V4),"")</f>
        <v/>
      </c>
      <c r="K55" s="36">
        <f>IFERROR(('연간'!W19)/('연간'!W4),"")</f>
        <v/>
      </c>
      <c r="L55" s="36">
        <f>IFERROR(('연간'!X19)/('연간'!X4),"")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IFERROR((IF(COUNT('연간'!G46:J46)&lt;4,"",SUM('연간'!G46:J46)))/(IF(COUNT('연간'!G4:J4)&lt;4,"",SUM('연간'!G4:J4))),"")</f>
        <v/>
      </c>
      <c r="D56" s="36">
        <f>IFERROR((IF(COUNT('연간'!H46:K46)&lt;4,"",SUM('연간'!H46:K46)))/(IF(COUNT('연간'!H4:K4)&lt;4,"",SUM('연간'!H4:K4))),"")</f>
        <v/>
      </c>
      <c r="E56" s="36">
        <f>IFERROR((IF(COUNT('연간'!I46:L46)&lt;4,"",SUM('연간'!I46:L46)))/(IF(COUNT('연간'!I4:L4)&lt;4,"",SUM('연간'!I4:L4))),"")</f>
        <v/>
      </c>
      <c r="F56" s="36">
        <f>IFERROR((IF(COUNT('연간'!J46:M46)&lt;4,"",SUM('연간'!J46:M46)))/(IF(COUNT('연간'!J4:M4)&lt;4,"",SUM('연간'!J4:M4))),"")</f>
        <v/>
      </c>
      <c r="G56" s="36">
        <f>IFERROR((IF(COUNT('연간'!K46:N46)&lt;4,"",SUM('연간'!K46:N46)))/(IF(COUNT('연간'!K4:N4)&lt;4,"",SUM('연간'!K4:N4))),"")</f>
        <v/>
      </c>
      <c r="H56" s="35">
        <f>IFERROR(('연간'!T46)/('연간'!T4),"")</f>
        <v/>
      </c>
      <c r="I56" s="36">
        <f>IFERROR(('연간'!U46)/('연간'!U4),"")</f>
        <v/>
      </c>
      <c r="J56" s="36">
        <f>IFERROR(('연간'!V46)/('연간'!V4),"")</f>
        <v/>
      </c>
      <c r="K56" s="36">
        <f>IFERROR(('연간'!W46)/('연간'!W4),"")</f>
        <v/>
      </c>
      <c r="L56" s="36">
        <f>IFERROR(('연간'!X46)/('연간'!X4),"")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IFERROR(C9/(IF(COUNT('연간'!G14:J14)&lt;4,"",SUM('연간'!G14:J14)))*365,"")</f>
        <v/>
      </c>
      <c r="D60" s="49">
        <f>IFERROR(D9/(IF(COUNT('연간'!H14:K14)&lt;4,"",SUM('연간'!H14:K14)))*365,"")</f>
        <v/>
      </c>
      <c r="E60" s="49">
        <f>IFERROR(E9/(IF(COUNT('연간'!I14:L14)&lt;4,"",SUM('연간'!I14:L14)))*365,"")</f>
        <v/>
      </c>
      <c r="F60" s="49">
        <f>IFERROR(F9/(IF(COUNT('연간'!J14:M14)&lt;4,"",SUM('연간'!J14:M14)))*365,"")</f>
        <v/>
      </c>
      <c r="G60" s="49">
        <f>IFERROR(G9/(IF(COUNT('연간'!K14:N14)&lt;4,"",SUM('연간'!K14:N14)))*365,"")</f>
        <v/>
      </c>
      <c r="H60" s="48">
        <f>IFERROR(H9/('연간'!T14)*365,"")</f>
        <v/>
      </c>
      <c r="I60" s="49">
        <f>IFERROR(I9/('연간'!U14)*365,"")</f>
        <v/>
      </c>
      <c r="J60" s="49">
        <f>IFERROR(J9/('연간'!V14)*365,"")</f>
        <v/>
      </c>
      <c r="K60" s="49">
        <f>IFERROR(K9/('연간'!W14)*365,"")</f>
        <v/>
      </c>
      <c r="L60" s="49">
        <f>IFERROR(L9/('연간'!X14)*365,"")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IFERROR(C19/(IF(COUNT('연간'!G14:J14)&lt;4,"",SUM('연간'!G14:J14)))*365,"")</f>
        <v/>
      </c>
      <c r="D61" s="49">
        <f>IFERROR(D19/(IF(COUNT('연간'!H14:K14)&lt;4,"",SUM('연간'!H14:K14)))*365,"")</f>
        <v/>
      </c>
      <c r="E61" s="49">
        <f>IFERROR(E19/(IF(COUNT('연간'!I14:L14)&lt;4,"",SUM('연간'!I14:L14)))*365,"")</f>
        <v/>
      </c>
      <c r="F61" s="49">
        <f>IFERROR(F19/(IF(COUNT('연간'!J14:M14)&lt;4,"",SUM('연간'!J14:M14)))*365,"")</f>
        <v/>
      </c>
      <c r="G61" s="49">
        <f>IFERROR(G19/(IF(COUNT('연간'!K14:N14)&lt;4,"",SUM('연간'!K14:N14)))*365,"")</f>
        <v/>
      </c>
      <c r="H61" s="48">
        <f>IFERROR(H19/('연간'!T14)*365,"")</f>
        <v/>
      </c>
      <c r="I61" s="49">
        <f>IFERROR(I19/('연간'!U14)*365,"")</f>
        <v/>
      </c>
      <c r="J61" s="49">
        <f>IFERROR(J19/('연간'!V14)*365,"")</f>
        <v/>
      </c>
      <c r="K61" s="49">
        <f>IFERROR(K19/('연간'!W14)*365,"")</f>
        <v/>
      </c>
      <c r="L61" s="49">
        <f>IFERROR(L19/('연간'!X14)*365,"")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IF(C37="","",IFERROR(C37/(IF(COUNT('연간'!G46:J46)&lt;4,"",SUM('연간'!G46:J46))),""))</f>
        <v/>
      </c>
      <c r="D64" s="31">
        <f>IF(D37="","",IFERROR(D37/(IF(COUNT('연간'!H46:K46)&lt;4,"",SUM('연간'!H46:K46))),""))</f>
        <v/>
      </c>
      <c r="E64" s="31">
        <f>IF(E37="","",IFERROR(E37/(IF(COUNT('연간'!I46:L46)&lt;4,"",SUM('연간'!I46:L46))),""))</f>
        <v/>
      </c>
      <c r="F64" s="31">
        <f>IF(F37="","",IFERROR(F37/(IF(COUNT('연간'!J46:M46)&lt;4,"",SUM('연간'!J46:M46))),""))</f>
        <v/>
      </c>
      <c r="G64" s="31">
        <f>IF(G37="","",IFERROR(G37/(IF(COUNT('연간'!K46:N46)&lt;4,"",SUM('연간'!K46:N46))),""))</f>
        <v/>
      </c>
      <c r="H64" s="30">
        <f>IF(H37="","",IFERROR(H37/('연간'!T46),""))</f>
        <v/>
      </c>
      <c r="I64" s="31">
        <f>IF(I37="","",IFERROR(I37/('연간'!U46),""))</f>
        <v/>
      </c>
      <c r="J64" s="31">
        <f>IF(J37="","",IFERROR(J37/('연간'!V46),""))</f>
        <v/>
      </c>
      <c r="K64" s="31">
        <f>IF(K37="","",IFERROR(K37/('연간'!W46),""))</f>
        <v/>
      </c>
      <c r="L64" s="31">
        <f>IF(L37="","",IFERROR(L37/('연간'!X46),""))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IF(C40="","",IFERROR(C40/(IF(COUNT('연간'!G47:J47)&lt;4,"",SUM('연간'!G47:J47))),""))</f>
        <v/>
      </c>
      <c r="D67" s="36">
        <f>IF(D40="","",IFERROR(D40/(IF(COUNT('연간'!H47:K47)&lt;4,"",SUM('연간'!H47:K47))),""))</f>
        <v/>
      </c>
      <c r="E67" s="36">
        <f>IF(E40="","",IFERROR(E40/(IF(COUNT('연간'!I47:L47)&lt;4,"",SUM('연간'!I47:L47))),""))</f>
        <v/>
      </c>
      <c r="F67" s="36">
        <f>IF(F40="","",IFERROR(F40/(IF(COUNT('연간'!J47:M47)&lt;4,"",SUM('연간'!J47:M47))),""))</f>
        <v/>
      </c>
      <c r="G67" s="36">
        <f>IF(G40="","",IFERROR(G40/(IF(COUNT('연간'!K47:N47)&lt;4,"",SUM('연간'!K47:N47))),""))</f>
        <v/>
      </c>
      <c r="H67" s="35">
        <f>IF(H40="","",IFERROR(H40/('연간'!T47),""))</f>
        <v/>
      </c>
      <c r="I67" s="36">
        <f>IF(I40="","",IFERROR(I40/('연간'!U47),""))</f>
        <v/>
      </c>
      <c r="J67" s="36">
        <f>IF(J40="","",IFERROR(J40/('연간'!V47),""))</f>
        <v/>
      </c>
      <c r="K67" s="36">
        <f>IF(K40="","",IFERROR(K40/('연간'!W47),""))</f>
        <v/>
      </c>
      <c r="L67" s="36">
        <f>IF(L40="","",IFERROR(L40/('연간'!X47),""))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예치금</t>
        </is>
      </c>
      <c r="C71" s="20" t="n">
        <v>18378988</v>
      </c>
      <c r="E71" s="20" t="n">
        <v>15233416</v>
      </c>
      <c r="F71" s="20" t="n">
        <v>12900333</v>
      </c>
      <c r="G71" s="20" t="n">
        <v>10977769</v>
      </c>
      <c r="H71" s="20" t="n">
        <v>16764225</v>
      </c>
      <c r="I71" s="20" t="n">
        <v>19019069</v>
      </c>
      <c r="J71" s="20" t="n">
        <v>19937781</v>
      </c>
      <c r="K71" s="20" t="n">
        <v>19119691</v>
      </c>
      <c r="L71" s="20" t="n">
        <v>12900333</v>
      </c>
    </row>
    <row r="72">
      <c r="A72" s="18" t="inlineStr">
        <is>
          <t>매입어음 및 콜론</t>
        </is>
      </c>
      <c r="C72" s="20" t="n">
        <v>531119</v>
      </c>
      <c r="E72" s="20" t="n">
        <v>532673</v>
      </c>
      <c r="F72" s="20" t="n">
        <v>749235</v>
      </c>
      <c r="G72" s="20" t="n">
        <v>757251</v>
      </c>
      <c r="H72" s="20" t="n">
        <v>1329496</v>
      </c>
      <c r="I72" s="20" t="n">
        <v>1573215</v>
      </c>
      <c r="J72" s="20" t="n">
        <v>479611</v>
      </c>
      <c r="K72" s="20" t="n">
        <v>638312</v>
      </c>
      <c r="L72" s="20" t="n">
        <v>749235</v>
      </c>
    </row>
    <row r="73">
      <c r="A73" s="18" t="inlineStr">
        <is>
          <t>매입현선(RP)계정</t>
        </is>
      </c>
      <c r="C73" s="20" t="n">
        <v>42928</v>
      </c>
      <c r="D73" s="20" t="n">
        <v>69429</v>
      </c>
      <c r="E73" s="20" t="n">
        <v>74848</v>
      </c>
      <c r="F73" s="20" t="n">
        <v>45552</v>
      </c>
      <c r="G73" s="20" t="n">
        <v>91158</v>
      </c>
      <c r="H73" s="20" t="n">
        <v>31999</v>
      </c>
      <c r="I73" s="20" t="n">
        <v>295304</v>
      </c>
      <c r="J73" s="20" t="n">
        <v>25150</v>
      </c>
      <c r="K73" s="20" t="n">
        <v>83635</v>
      </c>
      <c r="L73" s="20" t="n">
        <v>45552</v>
      </c>
    </row>
    <row r="74">
      <c r="A74" s="18" t="inlineStr">
        <is>
          <t>채권대차거래 지급보증금</t>
        </is>
      </c>
      <c r="C74" s="20" t="n">
        <v>8158</v>
      </c>
      <c r="D74" s="20" t="n">
        <v>1972</v>
      </c>
      <c r="E74" s="20" t="n">
        <v>7257</v>
      </c>
      <c r="H74" s="20" t="n">
        <v>0</v>
      </c>
      <c r="I74" s="20" t="n">
        <v>0</v>
      </c>
      <c r="J74" s="20" t="n">
        <v>10944</v>
      </c>
      <c r="K74" s="20" t="n">
        <v>0</v>
      </c>
    </row>
    <row r="75">
      <c r="A75" s="18" t="inlineStr">
        <is>
          <t>매입금전채권</t>
        </is>
      </c>
      <c r="C75" s="20" t="n">
        <v>239469</v>
      </c>
      <c r="D75" s="20" t="n">
        <v>220133</v>
      </c>
      <c r="E75" s="20" t="n">
        <v>200549</v>
      </c>
      <c r="F75" s="20" t="n">
        <v>189890</v>
      </c>
      <c r="G75" s="20" t="n">
        <v>192408</v>
      </c>
      <c r="H75" s="20" t="n">
        <v>204459</v>
      </c>
      <c r="I75" s="20" t="n">
        <v>172200</v>
      </c>
      <c r="J75" s="20" t="n">
        <v>259844</v>
      </c>
      <c r="K75" s="20" t="n">
        <v>246018</v>
      </c>
      <c r="L75" s="20" t="n">
        <v>189890</v>
      </c>
    </row>
    <row r="76">
      <c r="A76" s="18" t="inlineStr">
        <is>
          <t>특정거래 자산</t>
        </is>
      </c>
      <c r="C76" s="20" t="n">
        <v>625023</v>
      </c>
      <c r="D76" s="20" t="n">
        <v>655718</v>
      </c>
      <c r="E76" s="20" t="n">
        <v>896335</v>
      </c>
      <c r="F76" s="20" t="n">
        <v>915357</v>
      </c>
      <c r="G76" s="20" t="n">
        <v>1114946</v>
      </c>
      <c r="H76" s="20" t="n">
        <v>314639</v>
      </c>
      <c r="I76" s="20" t="n">
        <v>485686</v>
      </c>
      <c r="J76" s="20" t="n">
        <v>350766</v>
      </c>
      <c r="K76" s="20" t="n">
        <v>578367</v>
      </c>
      <c r="L76" s="20" t="n">
        <v>915357</v>
      </c>
    </row>
    <row r="77">
      <c r="A77" s="18" t="inlineStr">
        <is>
          <t>특정거래 유가증권 파생상품</t>
        </is>
      </c>
      <c r="H77" s="20" t="n">
        <v>0</v>
      </c>
    </row>
    <row r="78">
      <c r="A78" s="18" t="inlineStr">
        <is>
          <t>특정금융 파생상품</t>
        </is>
      </c>
      <c r="F78" s="20" t="n">
        <v>668960</v>
      </c>
      <c r="H78" s="20" t="n">
        <v>28612</v>
      </c>
      <c r="I78" s="20" t="n">
        <v>86771</v>
      </c>
      <c r="J78" s="20" t="n">
        <v>171016</v>
      </c>
      <c r="K78" s="20" t="n">
        <v>362580</v>
      </c>
      <c r="L78" s="20" t="n">
        <v>668960</v>
      </c>
    </row>
    <row r="79">
      <c r="A79" s="18" t="inlineStr">
        <is>
          <t>기타 특정거래자산</t>
        </is>
      </c>
      <c r="F79" s="20" t="n">
        <v>199880</v>
      </c>
      <c r="H79" s="20" t="n">
        <v>286026</v>
      </c>
      <c r="I79" s="20" t="n">
        <v>379014</v>
      </c>
      <c r="J79" s="20" t="n">
        <v>173990</v>
      </c>
      <c r="K79" s="20" t="n">
        <v>187922</v>
      </c>
      <c r="L79" s="20" t="n">
        <v>199880</v>
      </c>
    </row>
    <row r="80">
      <c r="A80" s="18" t="inlineStr">
        <is>
          <t>금전신탁</t>
        </is>
      </c>
      <c r="C80" s="20" t="n">
        <v>44760</v>
      </c>
      <c r="D80" s="20" t="n">
        <v>47016</v>
      </c>
      <c r="E80" s="20" t="n">
        <v>47995</v>
      </c>
      <c r="F80" s="20" t="n">
        <v>45385</v>
      </c>
      <c r="G80" s="20" t="n">
        <v>46786</v>
      </c>
      <c r="H80" s="20" t="n">
        <v>118623</v>
      </c>
      <c r="I80" s="20" t="n">
        <v>78136</v>
      </c>
      <c r="J80" s="20" t="n">
        <v>78765</v>
      </c>
      <c r="K80" s="20" t="n">
        <v>45032</v>
      </c>
      <c r="L80" s="20" t="n">
        <v>45385</v>
      </c>
    </row>
    <row r="81">
      <c r="A81" s="18" t="inlineStr">
        <is>
          <t>유가증권</t>
        </is>
      </c>
      <c r="C81" s="20" t="n">
        <v>17261823</v>
      </c>
      <c r="D81" s="20" t="n">
        <v>17596272</v>
      </c>
      <c r="E81" s="20" t="n">
        <v>18219784</v>
      </c>
      <c r="F81" s="20" t="n">
        <v>18165169</v>
      </c>
      <c r="G81" s="20" t="n">
        <v>19054797</v>
      </c>
      <c r="H81" s="20" t="n">
        <v>16163857</v>
      </c>
      <c r="I81" s="20" t="n">
        <v>13598793</v>
      </c>
      <c r="J81" s="20" t="n">
        <v>16009891</v>
      </c>
      <c r="K81" s="20" t="n">
        <v>17053752</v>
      </c>
      <c r="L81" s="20" t="n">
        <v>18165169</v>
      </c>
    </row>
    <row r="82">
      <c r="A82" s="18" t="inlineStr">
        <is>
          <t>국채</t>
        </is>
      </c>
      <c r="F82" s="20" t="n">
        <v>5698948</v>
      </c>
      <c r="H82" s="20" t="n">
        <v>4856589</v>
      </c>
      <c r="I82" s="20" t="n">
        <v>3156602</v>
      </c>
      <c r="J82" s="20" t="n">
        <v>5117167</v>
      </c>
      <c r="K82" s="20" t="n">
        <v>5543538</v>
      </c>
      <c r="L82" s="20" t="n">
        <v>5698948</v>
      </c>
    </row>
    <row r="83">
      <c r="A83" s="18" t="inlineStr">
        <is>
          <t>지방채</t>
        </is>
      </c>
      <c r="F83" s="20" t="n">
        <v>1648407</v>
      </c>
      <c r="H83" s="20" t="n">
        <v>1934063</v>
      </c>
      <c r="I83" s="20" t="n">
        <v>1889103</v>
      </c>
      <c r="J83" s="20" t="n">
        <v>2027994</v>
      </c>
      <c r="K83" s="20" t="n">
        <v>1758510</v>
      </c>
      <c r="L83" s="20" t="n">
        <v>1648407</v>
      </c>
    </row>
    <row r="84">
      <c r="A84" s="18" t="inlineStr">
        <is>
          <t>사채</t>
        </is>
      </c>
      <c r="F84" s="20" t="n">
        <v>1195366</v>
      </c>
      <c r="H84" s="20" t="n">
        <v>3460466</v>
      </c>
      <c r="I84" s="20" t="n">
        <v>2733260</v>
      </c>
      <c r="J84" s="20" t="n">
        <v>2081230</v>
      </c>
      <c r="K84" s="20" t="n">
        <v>1495566</v>
      </c>
      <c r="L84" s="20" t="n">
        <v>1195366</v>
      </c>
    </row>
    <row r="85">
      <c r="A85" s="18" t="inlineStr">
        <is>
          <t>주식</t>
        </is>
      </c>
      <c r="F85" s="20" t="n">
        <v>131473</v>
      </c>
      <c r="H85" s="20" t="n">
        <v>97820</v>
      </c>
      <c r="I85" s="20" t="n">
        <v>100964</v>
      </c>
      <c r="J85" s="20" t="n">
        <v>118760</v>
      </c>
      <c r="K85" s="20" t="n">
        <v>112113</v>
      </c>
      <c r="L85" s="20" t="n">
        <v>131473</v>
      </c>
    </row>
    <row r="86">
      <c r="A86" s="18" t="inlineStr">
        <is>
          <t>기타 증권</t>
        </is>
      </c>
      <c r="F86" s="20" t="n">
        <v>9512868</v>
      </c>
      <c r="H86" s="20" t="n">
        <v>5814917</v>
      </c>
      <c r="I86" s="20" t="n">
        <v>5754915</v>
      </c>
      <c r="J86" s="20" t="n">
        <v>6694319</v>
      </c>
      <c r="K86" s="20" t="n">
        <v>8166977</v>
      </c>
      <c r="L86" s="20" t="n">
        <v>9512868</v>
      </c>
    </row>
    <row r="87">
      <c r="A87" s="18" t="inlineStr">
        <is>
          <t>대출금</t>
        </is>
      </c>
      <c r="C87" s="20" t="n">
        <v>9031207</v>
      </c>
      <c r="D87" s="20" t="n">
        <v>8649752</v>
      </c>
      <c r="E87" s="20" t="n">
        <v>10896523</v>
      </c>
      <c r="F87" s="20" t="n">
        <v>12234105</v>
      </c>
      <c r="G87" s="20" t="n">
        <v>13050600</v>
      </c>
      <c r="H87" s="20" t="n">
        <v>7758748</v>
      </c>
      <c r="I87" s="20" t="n">
        <v>9511310</v>
      </c>
      <c r="J87" s="20" t="n">
        <v>8858319</v>
      </c>
      <c r="K87" s="20" t="n">
        <v>9285697</v>
      </c>
      <c r="L87" s="20" t="n">
        <v>12234105</v>
      </c>
    </row>
    <row r="88">
      <c r="A88" s="18" t="inlineStr">
        <is>
          <t>어음대출</t>
        </is>
      </c>
      <c r="F88" s="20" t="n">
        <v>13000</v>
      </c>
      <c r="H88" s="20" t="n">
        <v>164350</v>
      </c>
      <c r="I88" s="20" t="n">
        <v>22600</v>
      </c>
      <c r="J88" s="20" t="n">
        <v>20500</v>
      </c>
      <c r="K88" s="20" t="n">
        <v>16000</v>
      </c>
      <c r="L88" s="20" t="n">
        <v>13000</v>
      </c>
    </row>
    <row r="89">
      <c r="A89" s="18" t="inlineStr">
        <is>
          <t>증서대출</t>
        </is>
      </c>
      <c r="F89" s="20" t="n">
        <v>11296653</v>
      </c>
      <c r="H89" s="20" t="n">
        <v>6896987</v>
      </c>
      <c r="I89" s="20" t="n">
        <v>8392414</v>
      </c>
      <c r="J89" s="20" t="n">
        <v>7898531</v>
      </c>
      <c r="K89" s="20" t="n">
        <v>8219284</v>
      </c>
      <c r="L89" s="20" t="n">
        <v>11296653</v>
      </c>
    </row>
    <row r="90">
      <c r="A90" s="18" t="inlineStr">
        <is>
          <t>당좌대출</t>
        </is>
      </c>
      <c r="F90" s="20" t="n">
        <v>783027</v>
      </c>
      <c r="H90" s="20" t="n">
        <v>407767</v>
      </c>
      <c r="I90" s="20" t="n">
        <v>851391</v>
      </c>
      <c r="J90" s="20" t="n">
        <v>729962</v>
      </c>
      <c r="K90" s="20" t="n">
        <v>875886</v>
      </c>
      <c r="L90" s="20" t="n">
        <v>783027</v>
      </c>
    </row>
    <row r="91">
      <c r="A91" s="18" t="inlineStr">
        <is>
          <t>대리대여금</t>
        </is>
      </c>
      <c r="F91" s="20" t="n">
        <v>141869</v>
      </c>
      <c r="H91" s="20" t="n">
        <v>289643</v>
      </c>
      <c r="I91" s="20" t="n">
        <v>248483</v>
      </c>
      <c r="J91" s="20" t="n">
        <v>211810</v>
      </c>
      <c r="K91" s="20" t="n">
        <v>175929</v>
      </c>
      <c r="L91" s="20" t="n">
        <v>141869</v>
      </c>
    </row>
    <row r="92">
      <c r="A92" s="18" t="inlineStr">
        <is>
          <t>외국환</t>
        </is>
      </c>
      <c r="C92" s="20" t="n">
        <v>27247</v>
      </c>
      <c r="D92" s="20" t="n">
        <v>36633</v>
      </c>
      <c r="E92" s="20" t="n">
        <v>22181</v>
      </c>
      <c r="F92" s="20" t="n">
        <v>33802</v>
      </c>
      <c r="G92" s="20" t="n">
        <v>33939</v>
      </c>
      <c r="H92" s="20" t="n">
        <v>19622</v>
      </c>
      <c r="I92" s="20" t="n">
        <v>22701</v>
      </c>
      <c r="J92" s="20" t="n">
        <v>23466</v>
      </c>
      <c r="K92" s="20" t="n">
        <v>25195</v>
      </c>
      <c r="L92" s="20" t="n">
        <v>33802</v>
      </c>
    </row>
    <row r="93">
      <c r="A93" s="18" t="inlineStr">
        <is>
          <t>해외 타점 예치금</t>
        </is>
      </c>
      <c r="F93" s="20" t="n">
        <v>33753</v>
      </c>
      <c r="H93" s="20" t="n">
        <v>19364</v>
      </c>
      <c r="I93" s="20" t="n">
        <v>22671</v>
      </c>
      <c r="J93" s="20" t="n">
        <v>23399</v>
      </c>
      <c r="K93" s="20" t="n">
        <v>25128</v>
      </c>
      <c r="L93" s="20" t="n">
        <v>33753</v>
      </c>
    </row>
    <row r="94">
      <c r="A94" s="18" t="inlineStr">
        <is>
          <t>매입외국환</t>
        </is>
      </c>
      <c r="F94" s="20" t="n">
        <v>9</v>
      </c>
      <c r="H94" s="20" t="n">
        <v>196</v>
      </c>
      <c r="I94" s="20" t="n">
        <v>8</v>
      </c>
      <c r="J94" s="20" t="n">
        <v>54</v>
      </c>
      <c r="K94" s="20" t="n">
        <v>47</v>
      </c>
      <c r="L94" s="20" t="n">
        <v>9</v>
      </c>
    </row>
    <row r="95">
      <c r="A95" s="18" t="inlineStr">
        <is>
          <t>추심외국환</t>
        </is>
      </c>
      <c r="F95" s="20" t="n">
        <v>40</v>
      </c>
      <c r="H95" s="20" t="n">
        <v>60</v>
      </c>
      <c r="I95" s="20" t="n">
        <v>21</v>
      </c>
      <c r="J95" s="20" t="n">
        <v>12</v>
      </c>
      <c r="K95" s="20" t="n">
        <v>18</v>
      </c>
      <c r="L95" s="20" t="n">
        <v>40</v>
      </c>
    </row>
    <row r="96">
      <c r="A96" s="18" t="inlineStr">
        <is>
          <t>기타 자산</t>
        </is>
      </c>
      <c r="C96" s="20" t="n">
        <v>629218</v>
      </c>
      <c r="D96" s="20" t="n">
        <v>736467</v>
      </c>
      <c r="E96" s="20" t="n">
        <v>1109610</v>
      </c>
      <c r="F96" s="20" t="n">
        <v>1287332</v>
      </c>
      <c r="G96" s="20" t="n">
        <v>1373348</v>
      </c>
      <c r="H96" s="20" t="n">
        <v>999560</v>
      </c>
      <c r="I96" s="20" t="n">
        <v>1044086</v>
      </c>
      <c r="J96" s="20" t="n">
        <v>1288728</v>
      </c>
      <c r="K96" s="20" t="n">
        <v>821971</v>
      </c>
      <c r="L96" s="20" t="n">
        <v>1287332</v>
      </c>
    </row>
    <row r="97">
      <c r="A97" s="18" t="inlineStr">
        <is>
          <t>선급비용</t>
        </is>
      </c>
      <c r="F97" s="20" t="n">
        <v>726</v>
      </c>
      <c r="H97" s="20" t="n">
        <v>749</v>
      </c>
      <c r="I97" s="20" t="n">
        <v>850</v>
      </c>
      <c r="J97" s="20" t="n">
        <v>813</v>
      </c>
      <c r="K97" s="20" t="n">
        <v>770</v>
      </c>
      <c r="L97" s="20" t="n">
        <v>726</v>
      </c>
    </row>
    <row r="98">
      <c r="A98" s="18" t="inlineStr">
        <is>
          <t>미수수익</t>
        </is>
      </c>
      <c r="F98" s="20" t="n">
        <v>102089</v>
      </c>
      <c r="H98" s="20" t="n">
        <v>22212</v>
      </c>
      <c r="I98" s="20" t="n">
        <v>26023</v>
      </c>
      <c r="J98" s="20" t="n">
        <v>40891</v>
      </c>
      <c r="K98" s="20" t="n">
        <v>74674</v>
      </c>
      <c r="L98" s="20" t="n">
        <v>102089</v>
      </c>
    </row>
    <row r="99">
      <c r="A99" s="18" t="inlineStr">
        <is>
          <t>금융파생상품</t>
        </is>
      </c>
      <c r="F99" s="20" t="n">
        <v>369760</v>
      </c>
      <c r="H99" s="20" t="n">
        <v>67863</v>
      </c>
      <c r="I99" s="20" t="n">
        <v>133817</v>
      </c>
      <c r="J99" s="20" t="n">
        <v>219775</v>
      </c>
      <c r="K99" s="20" t="n">
        <v>196861</v>
      </c>
      <c r="L99" s="20" t="n">
        <v>369760</v>
      </c>
    </row>
    <row r="100">
      <c r="A100" s="18" t="inlineStr">
        <is>
          <t>금융상품 제공담보금</t>
        </is>
      </c>
      <c r="F100" s="20" t="n">
        <v>688904</v>
      </c>
      <c r="H100" s="20" t="n">
        <v>164366</v>
      </c>
      <c r="I100" s="20" t="n">
        <v>164400</v>
      </c>
      <c r="J100" s="20" t="n">
        <v>303952</v>
      </c>
      <c r="K100" s="20" t="n">
        <v>474640</v>
      </c>
      <c r="L100" s="20" t="n">
        <v>688904</v>
      </c>
    </row>
    <row r="101">
      <c r="A101" s="18" t="inlineStr">
        <is>
          <t>중앙청산기관 차입증거금</t>
        </is>
      </c>
      <c r="H101" s="20" t="n">
        <v>700000</v>
      </c>
      <c r="I101" s="20" t="n">
        <v>700000</v>
      </c>
      <c r="J101" s="20" t="n">
        <v>700000</v>
      </c>
      <c r="K101" s="20" t="n">
        <v>0</v>
      </c>
    </row>
    <row r="102">
      <c r="A102" s="18" t="inlineStr">
        <is>
          <t>기타 자산</t>
        </is>
      </c>
      <c r="D102" s="20" t="n">
        <v>736467</v>
      </c>
      <c r="F102" s="20" t="n">
        <v>119438</v>
      </c>
      <c r="H102" s="20" t="n">
        <v>44368</v>
      </c>
      <c r="I102" s="20" t="n">
        <v>11201</v>
      </c>
      <c r="J102" s="20" t="n">
        <v>13672</v>
      </c>
      <c r="K102" s="20" t="n">
        <v>66546</v>
      </c>
      <c r="L102" s="20" t="n">
        <v>119438</v>
      </c>
    </row>
    <row r="103">
      <c r="A103" s="18" t="inlineStr">
        <is>
          <t>유형자산</t>
        </is>
      </c>
      <c r="C103" s="20" t="n">
        <v>76773</v>
      </c>
      <c r="D103" s="20" t="n">
        <v>74040</v>
      </c>
      <c r="E103" s="20" t="n">
        <v>78226</v>
      </c>
      <c r="F103" s="20" t="n">
        <v>77656</v>
      </c>
      <c r="G103" s="20" t="n">
        <v>82121</v>
      </c>
      <c r="H103" s="20" t="n">
        <v>67614</v>
      </c>
      <c r="I103" s="20" t="n">
        <v>72028</v>
      </c>
      <c r="J103" s="20" t="n">
        <v>74611</v>
      </c>
      <c r="K103" s="20" t="n">
        <v>76483</v>
      </c>
      <c r="L103" s="20" t="n">
        <v>77656</v>
      </c>
    </row>
    <row r="104">
      <c r="A104" s="18" t="inlineStr">
        <is>
          <t>건물</t>
        </is>
      </c>
      <c r="F104" s="20" t="n">
        <v>27254</v>
      </c>
      <c r="H104" s="20" t="n">
        <v>21548</v>
      </c>
      <c r="I104" s="20" t="n">
        <v>21537</v>
      </c>
      <c r="J104" s="20" t="n">
        <v>25093</v>
      </c>
      <c r="K104" s="20" t="n">
        <v>26410</v>
      </c>
      <c r="L104" s="20" t="n">
        <v>27254</v>
      </c>
    </row>
    <row r="105">
      <c r="A105" s="18" t="inlineStr">
        <is>
          <t>토지</t>
        </is>
      </c>
      <c r="F105" s="20" t="n">
        <v>41863</v>
      </c>
      <c r="H105" s="20" t="n">
        <v>43038</v>
      </c>
      <c r="I105" s="20" t="n">
        <v>43038</v>
      </c>
      <c r="J105" s="20" t="n">
        <v>42621</v>
      </c>
      <c r="K105" s="20" t="n">
        <v>42621</v>
      </c>
      <c r="L105" s="20" t="n">
        <v>41863</v>
      </c>
    </row>
    <row r="106">
      <c r="A106" s="18" t="inlineStr">
        <is>
          <t>리스자산</t>
        </is>
      </c>
      <c r="F106" s="20" t="n">
        <v>2663</v>
      </c>
      <c r="H106" s="20" t="n">
        <v>4395</v>
      </c>
      <c r="I106" s="20" t="n">
        <v>4289</v>
      </c>
      <c r="J106" s="20" t="n">
        <v>2965</v>
      </c>
      <c r="K106" s="20" t="n">
        <v>4111</v>
      </c>
      <c r="L106" s="20" t="n">
        <v>2663</v>
      </c>
    </row>
    <row r="107">
      <c r="A107" s="18" t="inlineStr">
        <is>
          <t>건설중인자산</t>
        </is>
      </c>
      <c r="F107" s="20" t="n">
        <v>3522</v>
      </c>
      <c r="H107" s="20" t="n">
        <v>1406</v>
      </c>
      <c r="I107" s="20" t="n">
        <v>428</v>
      </c>
      <c r="J107" s="20" t="n">
        <v>1350</v>
      </c>
      <c r="K107" s="20" t="n">
        <v>630</v>
      </c>
      <c r="L107" s="20" t="n">
        <v>3522</v>
      </c>
    </row>
    <row r="108">
      <c r="A108" s="18" t="inlineStr">
        <is>
          <t>기타 유형자산</t>
        </is>
      </c>
      <c r="F108" s="20" t="n">
        <v>2353</v>
      </c>
      <c r="H108" s="20" t="n">
        <v>1621</v>
      </c>
      <c r="I108" s="20" t="n">
        <v>2734</v>
      </c>
      <c r="J108" s="20" t="n">
        <v>2580</v>
      </c>
      <c r="K108" s="20" t="n">
        <v>2709</v>
      </c>
      <c r="L108" s="20" t="n">
        <v>2353</v>
      </c>
    </row>
    <row r="109">
      <c r="A109" s="18" t="inlineStr">
        <is>
          <t>무형자산</t>
        </is>
      </c>
      <c r="C109" s="20" t="n">
        <v>23417</v>
      </c>
      <c r="D109" s="20" t="n">
        <v>7460</v>
      </c>
      <c r="E109" s="20" t="n">
        <v>22250</v>
      </c>
      <c r="F109" s="20" t="n">
        <v>21511</v>
      </c>
      <c r="G109" s="20" t="n">
        <v>21515</v>
      </c>
      <c r="H109" s="20" t="n">
        <v>4309</v>
      </c>
      <c r="I109" s="20" t="n">
        <v>20354</v>
      </c>
      <c r="J109" s="20" t="n">
        <v>17680</v>
      </c>
      <c r="K109" s="20" t="n">
        <v>24050</v>
      </c>
      <c r="L109" s="20" t="n">
        <v>21511</v>
      </c>
    </row>
    <row r="110">
      <c r="A110" s="18" t="inlineStr">
        <is>
          <t>소프트웨어</t>
        </is>
      </c>
      <c r="F110" s="20" t="n">
        <v>11825</v>
      </c>
      <c r="H110" s="20" t="n">
        <v>2554</v>
      </c>
      <c r="I110" s="20" t="n">
        <v>15865</v>
      </c>
      <c r="J110" s="20" t="n">
        <v>12898</v>
      </c>
      <c r="K110" s="20" t="n">
        <v>11394</v>
      </c>
      <c r="L110" s="20" t="n">
        <v>11825</v>
      </c>
    </row>
    <row r="111">
      <c r="A111" s="18" t="inlineStr">
        <is>
          <t>리스자산</t>
        </is>
      </c>
      <c r="F111" s="20" t="n">
        <v>8011</v>
      </c>
      <c r="H111" s="20" t="n">
        <v>3010</v>
      </c>
      <c r="I111" s="20" t="n">
        <v>3704</v>
      </c>
      <c r="J111" s="20" t="n">
        <v>3142</v>
      </c>
      <c r="K111" s="20" t="n">
        <v>9941</v>
      </c>
      <c r="L111" s="20" t="n">
        <v>8011</v>
      </c>
    </row>
    <row r="112">
      <c r="A112" s="18" t="inlineStr">
        <is>
          <t>기타 무형자산</t>
        </is>
      </c>
      <c r="F112" s="20" t="n">
        <v>1674</v>
      </c>
      <c r="H112" s="20" t="n">
        <v>1755</v>
      </c>
      <c r="I112" s="20" t="n">
        <v>784</v>
      </c>
      <c r="J112" s="20" t="n">
        <v>1639</v>
      </c>
      <c r="K112" s="20" t="n">
        <v>2714</v>
      </c>
      <c r="L112" s="20" t="n">
        <v>1674</v>
      </c>
    </row>
    <row r="113">
      <c r="A113" s="18" t="inlineStr">
        <is>
          <t>이연법인세자산</t>
        </is>
      </c>
      <c r="C113" s="20" t="n">
        <v>79616</v>
      </c>
      <c r="D113" s="20" t="n">
        <v>56432</v>
      </c>
      <c r="E113" s="20" t="n">
        <v>34756</v>
      </c>
      <c r="F113" s="20" t="n">
        <v>54387</v>
      </c>
      <c r="G113" s="20" t="n">
        <v>25272</v>
      </c>
      <c r="H113" s="20" t="n">
        <v>0</v>
      </c>
      <c r="I113" s="20" t="n">
        <v>65440</v>
      </c>
      <c r="J113" s="20" t="n">
        <v>66173</v>
      </c>
      <c r="K113" s="20" t="n">
        <v>96247</v>
      </c>
      <c r="L113" s="20" t="n">
        <v>54387</v>
      </c>
    </row>
    <row r="114">
      <c r="A114" s="18" t="inlineStr">
        <is>
          <t>채무보증 견질</t>
        </is>
      </c>
      <c r="C114" s="20" t="n">
        <v>165199</v>
      </c>
      <c r="D114" s="20" t="n">
        <v>20387</v>
      </c>
      <c r="E114" s="20" t="n">
        <v>157710</v>
      </c>
      <c r="F114" s="20" t="n">
        <v>170435</v>
      </c>
      <c r="G114" s="20" t="n">
        <v>169995</v>
      </c>
      <c r="H114" s="20" t="n">
        <v>14456</v>
      </c>
      <c r="I114" s="20" t="n">
        <v>160981</v>
      </c>
      <c r="J114" s="20" t="n">
        <v>164525</v>
      </c>
      <c r="K114" s="20" t="n">
        <v>167420</v>
      </c>
      <c r="L114" s="20" t="n">
        <v>170435</v>
      </c>
    </row>
    <row r="115">
      <c r="A115" s="18" t="inlineStr">
        <is>
          <t>대손충당금</t>
        </is>
      </c>
      <c r="C115" s="20" t="n">
        <v>-23210</v>
      </c>
      <c r="D115" s="20" t="n">
        <v>-22663</v>
      </c>
      <c r="E115" s="20" t="n">
        <v>-23123</v>
      </c>
      <c r="F115" s="20" t="n">
        <v>-23667</v>
      </c>
      <c r="G115" s="20" t="n">
        <v>-23858</v>
      </c>
      <c r="H115" s="20" t="n">
        <v>-25013</v>
      </c>
      <c r="I115" s="20" t="n">
        <v>-23974</v>
      </c>
      <c r="J115" s="20" t="n">
        <v>-23836</v>
      </c>
      <c r="K115" s="20" t="n">
        <v>-22988</v>
      </c>
      <c r="L115" s="20" t="n">
        <v>-23667</v>
      </c>
    </row>
    <row r="116">
      <c r="A116" s="9" t="inlineStr">
        <is>
          <t>자산 합계</t>
        </is>
      </c>
      <c r="C116" s="12" t="n">
        <v>47141742</v>
      </c>
      <c r="D116" s="12" t="n">
        <v>48096015</v>
      </c>
      <c r="E116" s="12" t="n">
        <v>47510997</v>
      </c>
      <c r="F116" s="12" t="n">
        <v>46866489</v>
      </c>
      <c r="G116" s="12" t="n">
        <v>46968052</v>
      </c>
      <c r="H116" s="12" t="n">
        <v>43757754</v>
      </c>
      <c r="I116" s="12" t="n">
        <v>46095333</v>
      </c>
      <c r="J116" s="12" t="n">
        <v>47622424</v>
      </c>
      <c r="K116" s="12" t="n">
        <v>48238888</v>
      </c>
      <c r="L116" s="12" t="n">
        <v>46866489</v>
      </c>
    </row>
    <row r="117">
      <c r="A117" s="18" t="inlineStr">
        <is>
          <t>예금</t>
        </is>
      </c>
      <c r="C117" s="20" t="n">
        <v>30645253</v>
      </c>
      <c r="D117" s="20" t="n">
        <v>30852367</v>
      </c>
      <c r="E117" s="20" t="n">
        <v>29981118</v>
      </c>
      <c r="F117" s="20" t="n">
        <v>29477288</v>
      </c>
      <c r="G117" s="20" t="n">
        <v>29232855</v>
      </c>
      <c r="H117" s="20" t="n">
        <v>33165342</v>
      </c>
      <c r="I117" s="20" t="n">
        <v>34652817</v>
      </c>
      <c r="J117" s="20" t="n">
        <v>33064496</v>
      </c>
      <c r="K117" s="20" t="n">
        <v>31305205</v>
      </c>
      <c r="L117" s="20" t="n">
        <v>29477288</v>
      </c>
    </row>
    <row r="118">
      <c r="A118" s="18" t="inlineStr">
        <is>
          <t>당좌예금</t>
        </is>
      </c>
      <c r="F118" s="20" t="n">
        <v>67434</v>
      </c>
      <c r="H118" s="20" t="n">
        <v>94647</v>
      </c>
      <c r="I118" s="20" t="n">
        <v>165418</v>
      </c>
      <c r="J118" s="20" t="n">
        <v>100849</v>
      </c>
      <c r="K118" s="20" t="n">
        <v>69463</v>
      </c>
      <c r="L118" s="20" t="n">
        <v>67434</v>
      </c>
    </row>
    <row r="119">
      <c r="A119" s="18" t="inlineStr">
        <is>
          <t>보통예금</t>
        </is>
      </c>
      <c r="F119" s="20" t="n">
        <v>2191939</v>
      </c>
      <c r="H119" s="20" t="n">
        <v>3183038</v>
      </c>
      <c r="I119" s="20" t="n">
        <v>4314307</v>
      </c>
      <c r="J119" s="20" t="n">
        <v>2838951</v>
      </c>
      <c r="K119" s="20" t="n">
        <v>2364329</v>
      </c>
      <c r="L119" s="20" t="n">
        <v>2191939</v>
      </c>
    </row>
    <row r="120">
      <c r="A120" s="18" t="inlineStr">
        <is>
          <t>통지예금</t>
        </is>
      </c>
      <c r="F120" s="20" t="n">
        <v>771</v>
      </c>
      <c r="H120" s="20" t="n">
        <v>1076</v>
      </c>
      <c r="I120" s="20" t="n">
        <v>1068</v>
      </c>
      <c r="J120" s="20" t="n">
        <v>983</v>
      </c>
      <c r="K120" s="20" t="n">
        <v>854</v>
      </c>
      <c r="L120" s="20" t="n">
        <v>771</v>
      </c>
    </row>
    <row r="121">
      <c r="A121" s="18" t="inlineStr">
        <is>
          <t>정기예금</t>
        </is>
      </c>
      <c r="F121" s="20" t="n">
        <v>26726431</v>
      </c>
      <c r="H121" s="20" t="n">
        <v>29598024</v>
      </c>
      <c r="I121" s="20" t="n">
        <v>29676864</v>
      </c>
      <c r="J121" s="20" t="n">
        <v>29598283</v>
      </c>
      <c r="K121" s="20" t="n">
        <v>28021555</v>
      </c>
      <c r="L121" s="20" t="n">
        <v>26726431</v>
      </c>
    </row>
    <row r="122">
      <c r="A122" s="18" t="inlineStr">
        <is>
          <t>기타 예금</t>
        </is>
      </c>
      <c r="F122" s="20" t="n">
        <v>516928</v>
      </c>
      <c r="H122" s="20" t="n">
        <v>288556</v>
      </c>
      <c r="I122" s="20" t="n">
        <v>545804</v>
      </c>
      <c r="J122" s="20" t="n">
        <v>562978</v>
      </c>
      <c r="K122" s="20" t="n">
        <v>878328</v>
      </c>
      <c r="L122" s="20" t="n">
        <v>516928</v>
      </c>
    </row>
    <row r="123">
      <c r="A123" s="18" t="inlineStr">
        <is>
          <t>양도성예금</t>
        </is>
      </c>
      <c r="C123" s="20" t="n">
        <v>10408</v>
      </c>
      <c r="D123" s="20" t="n">
        <v>10408</v>
      </c>
      <c r="E123" s="20" t="n">
        <v>10408</v>
      </c>
      <c r="F123" s="20" t="n">
        <v>0</v>
      </c>
      <c r="G123" s="20" t="n">
        <v>9155</v>
      </c>
      <c r="H123" s="20" t="n">
        <v>0</v>
      </c>
      <c r="I123" s="20" t="n">
        <v>0</v>
      </c>
      <c r="J123" s="20" t="n">
        <v>0</v>
      </c>
      <c r="K123" s="20" t="n">
        <v>0</v>
      </c>
      <c r="L123" s="20" t="n">
        <v>0</v>
      </c>
    </row>
    <row r="124">
      <c r="A124" s="18" t="inlineStr">
        <is>
          <t>채권</t>
        </is>
      </c>
      <c r="C124" s="20" t="n">
        <v>1258720</v>
      </c>
      <c r="D124" s="20" t="n">
        <v>1229420</v>
      </c>
      <c r="E124" s="20" t="n">
        <v>1223520</v>
      </c>
      <c r="F124" s="20" t="n">
        <v>1229310</v>
      </c>
      <c r="G124" s="20" t="n">
        <v>1216010</v>
      </c>
      <c r="H124" s="20" t="n">
        <v>1547370</v>
      </c>
      <c r="I124" s="20" t="n">
        <v>1452960</v>
      </c>
      <c r="J124" s="20" t="n">
        <v>1302170</v>
      </c>
      <c r="K124" s="20" t="n">
        <v>1250410</v>
      </c>
      <c r="L124" s="20" t="n">
        <v>1229310</v>
      </c>
    </row>
    <row r="125">
      <c r="A125" s="18" t="inlineStr">
        <is>
          <t>채권 발행액</t>
        </is>
      </c>
      <c r="F125" s="20" t="n">
        <v>1229810</v>
      </c>
      <c r="H125" s="20" t="n">
        <v>1547370</v>
      </c>
      <c r="I125" s="20" t="n">
        <v>1458660</v>
      </c>
      <c r="J125" s="20" t="n">
        <v>1302170</v>
      </c>
      <c r="K125" s="20" t="n">
        <v>1250410</v>
      </c>
      <c r="L125" s="20" t="n">
        <v>1229810</v>
      </c>
    </row>
    <row r="126">
      <c r="A126" s="18" t="inlineStr">
        <is>
          <t>특정거래 부채</t>
        </is>
      </c>
      <c r="C126" s="20" t="n">
        <v>261170</v>
      </c>
      <c r="D126" s="20" t="n">
        <v>312185</v>
      </c>
      <c r="E126" s="20" t="n">
        <v>440637</v>
      </c>
      <c r="F126" s="20" t="n">
        <v>526679</v>
      </c>
      <c r="G126" s="20" t="n">
        <v>618601</v>
      </c>
      <c r="H126" s="20" t="n">
        <v>24680</v>
      </c>
      <c r="I126" s="20" t="n">
        <v>86702</v>
      </c>
      <c r="J126" s="20" t="n">
        <v>155200</v>
      </c>
      <c r="K126" s="20" t="n">
        <v>288389</v>
      </c>
      <c r="L126" s="20" t="n">
        <v>526679</v>
      </c>
    </row>
    <row r="127">
      <c r="A127" s="18" t="inlineStr">
        <is>
          <t>특정금융 파생상품</t>
        </is>
      </c>
      <c r="F127" s="20" t="n">
        <v>504689</v>
      </c>
      <c r="H127" s="20" t="n">
        <v>24680</v>
      </c>
      <c r="I127" s="20" t="n">
        <v>80807</v>
      </c>
      <c r="J127" s="20" t="n">
        <v>150919</v>
      </c>
      <c r="K127" s="20" t="n">
        <v>269219</v>
      </c>
      <c r="L127" s="20" t="n">
        <v>504689</v>
      </c>
    </row>
    <row r="128">
      <c r="A128" s="18" t="inlineStr">
        <is>
          <t>차용금</t>
        </is>
      </c>
      <c r="C128" s="20" t="n">
        <v>4225700</v>
      </c>
      <c r="D128" s="20" t="n">
        <v>3975500</v>
      </c>
      <c r="E128" s="20" t="n">
        <v>3782900</v>
      </c>
      <c r="F128" s="20" t="n">
        <v>3598000</v>
      </c>
      <c r="G128" s="20" t="n">
        <v>3540200</v>
      </c>
      <c r="H128" s="20" t="n">
        <v>4167880</v>
      </c>
      <c r="I128" s="20" t="n">
        <v>3998680</v>
      </c>
      <c r="J128" s="20" t="n">
        <v>5130000</v>
      </c>
      <c r="K128" s="20" t="n">
        <v>4347300</v>
      </c>
      <c r="L128" s="20" t="n">
        <v>3598000</v>
      </c>
    </row>
    <row r="129">
      <c r="A129" s="18" t="inlineStr">
        <is>
          <t>매도어음 및 콜머니</t>
        </is>
      </c>
      <c r="D129" s="20" t="n">
        <v>2921677</v>
      </c>
      <c r="H129" s="20" t="n">
        <v>5637</v>
      </c>
      <c r="I129" s="20" t="n">
        <v>6804</v>
      </c>
      <c r="J129" s="20" t="n">
        <v>18202</v>
      </c>
      <c r="K129" s="20" t="n">
        <v>2255269</v>
      </c>
    </row>
    <row r="130">
      <c r="A130" s="18" t="inlineStr">
        <is>
          <t>차입금</t>
        </is>
      </c>
      <c r="F130" s="20" t="n">
        <v>3598000</v>
      </c>
      <c r="H130" s="20" t="n">
        <v>4167880</v>
      </c>
      <c r="I130" s="20" t="n">
        <v>3998680</v>
      </c>
      <c r="J130" s="20" t="n">
        <v>5130000</v>
      </c>
      <c r="K130" s="20" t="n">
        <v>4347300</v>
      </c>
      <c r="L130" s="20" t="n">
        <v>3598000</v>
      </c>
    </row>
    <row r="131">
      <c r="A131" s="18" t="inlineStr">
        <is>
          <t>콜머니</t>
        </is>
      </c>
      <c r="D131" s="20" t="n">
        <v>2856477</v>
      </c>
      <c r="F131" s="20" t="n">
        <v>3368788</v>
      </c>
      <c r="H131" s="20" t="n">
        <v>5637</v>
      </c>
      <c r="I131" s="20" t="n">
        <v>6804</v>
      </c>
      <c r="J131" s="20" t="n">
        <v>18202</v>
      </c>
      <c r="K131" s="20" t="n">
        <v>2226269</v>
      </c>
      <c r="L131" s="20" t="n">
        <v>3368788</v>
      </c>
    </row>
    <row r="132">
      <c r="A132" s="18" t="inlineStr">
        <is>
          <t>매도어음 및 콜머니</t>
        </is>
      </c>
      <c r="C132" s="20" t="n">
        <v>2518008</v>
      </c>
      <c r="E132" s="20" t="n">
        <v>2737838</v>
      </c>
      <c r="F132" s="20" t="n">
        <v>3442788</v>
      </c>
      <c r="G132" s="20" t="n">
        <v>3047408</v>
      </c>
      <c r="H132" s="20" t="n">
        <v>5637</v>
      </c>
      <c r="I132" s="20" t="n">
        <v>6804</v>
      </c>
      <c r="J132" s="20" t="n">
        <v>18202</v>
      </c>
      <c r="K132" s="20" t="n">
        <v>2255269</v>
      </c>
      <c r="L132" s="20" t="n">
        <v>3442788</v>
      </c>
    </row>
    <row r="133">
      <c r="A133" s="18" t="inlineStr">
        <is>
          <t>매도현선(RP)계정</t>
        </is>
      </c>
      <c r="C133" s="20" t="n">
        <v>2805259</v>
      </c>
      <c r="D133" s="20" t="n">
        <v>3377961</v>
      </c>
      <c r="E133" s="20" t="n">
        <v>3233956</v>
      </c>
      <c r="F133" s="20" t="n">
        <v>2703350</v>
      </c>
      <c r="G133" s="20" t="n">
        <v>2849405</v>
      </c>
      <c r="H133" s="20" t="n">
        <v>1191685</v>
      </c>
      <c r="I133" s="20" t="n">
        <v>2620729</v>
      </c>
      <c r="J133" s="20" t="n">
        <v>3526403</v>
      </c>
      <c r="K133" s="20" t="n">
        <v>3680937</v>
      </c>
      <c r="L133" s="20" t="n">
        <v>2703350</v>
      </c>
    </row>
    <row r="134">
      <c r="A134" s="18" t="inlineStr">
        <is>
          <t>채권대차거래 수입담보금</t>
        </is>
      </c>
      <c r="C134" s="20" t="n">
        <v>3093428</v>
      </c>
      <c r="D134" s="20" t="n">
        <v>3229118</v>
      </c>
      <c r="E134" s="20" t="n">
        <v>3348728</v>
      </c>
      <c r="F134" s="20" t="n">
        <v>3002928</v>
      </c>
      <c r="G134" s="20" t="n">
        <v>3333924</v>
      </c>
      <c r="H134" s="20" t="n">
        <v>1719877</v>
      </c>
      <c r="I134" s="20" t="n">
        <v>1362132</v>
      </c>
      <c r="J134" s="20" t="n">
        <v>2151096</v>
      </c>
      <c r="K134" s="20" t="n">
        <v>2788631</v>
      </c>
      <c r="L134" s="20" t="n">
        <v>3002928</v>
      </c>
    </row>
    <row r="135">
      <c r="A135" s="18" t="inlineStr">
        <is>
          <t>외국환</t>
        </is>
      </c>
      <c r="C135" s="20" t="n">
        <v>1141</v>
      </c>
      <c r="D135" s="20" t="n">
        <v>1506</v>
      </c>
      <c r="E135" s="20" t="n">
        <v>1229</v>
      </c>
      <c r="F135" s="20" t="n">
        <v>1235</v>
      </c>
      <c r="G135" s="20" t="n">
        <v>1166</v>
      </c>
      <c r="H135" s="20" t="n">
        <v>1159</v>
      </c>
      <c r="I135" s="20" t="n">
        <v>652</v>
      </c>
      <c r="J135" s="20" t="n">
        <v>920</v>
      </c>
      <c r="K135" s="20" t="n">
        <v>897</v>
      </c>
      <c r="L135" s="20" t="n">
        <v>1235</v>
      </c>
    </row>
    <row r="136">
      <c r="A136" s="18" t="inlineStr">
        <is>
          <t>해외 타점 예수금</t>
        </is>
      </c>
      <c r="F136" s="20" t="n">
        <v>0</v>
      </c>
      <c r="H136" s="20" t="n">
        <v>426</v>
      </c>
      <c r="I136" s="20" t="n">
        <v>175</v>
      </c>
      <c r="J136" s="20" t="n">
        <v>119</v>
      </c>
      <c r="K136" s="20" t="n">
        <v>33</v>
      </c>
      <c r="L136" s="20" t="n">
        <v>0</v>
      </c>
    </row>
    <row r="137">
      <c r="A137" s="18" t="inlineStr">
        <is>
          <t>매도외국환</t>
        </is>
      </c>
      <c r="F137" s="20" t="n">
        <v>158</v>
      </c>
      <c r="H137" s="20" t="n">
        <v>29</v>
      </c>
      <c r="I137" s="20" t="n">
        <v>15</v>
      </c>
      <c r="J137" s="20" t="n">
        <v>14</v>
      </c>
      <c r="K137" s="20" t="n">
        <v>123</v>
      </c>
      <c r="L137" s="20" t="n">
        <v>158</v>
      </c>
    </row>
    <row r="138">
      <c r="A138" s="18" t="inlineStr">
        <is>
          <t>미지급 외국환</t>
        </is>
      </c>
      <c r="F138" s="20" t="n">
        <v>1076</v>
      </c>
      <c r="H138" s="20" t="n">
        <v>703</v>
      </c>
      <c r="I138" s="20" t="n">
        <v>460</v>
      </c>
      <c r="J138" s="20" t="n">
        <v>786</v>
      </c>
      <c r="K138" s="20" t="n">
        <v>740</v>
      </c>
      <c r="L138" s="20" t="n">
        <v>1076</v>
      </c>
    </row>
    <row r="139">
      <c r="A139" s="18" t="inlineStr">
        <is>
          <t>신탁계정 차변</t>
        </is>
      </c>
      <c r="C139" s="20" t="n">
        <v>40949</v>
      </c>
      <c r="D139" s="20" t="n">
        <v>41316</v>
      </c>
      <c r="E139" s="20" t="n">
        <v>42485</v>
      </c>
      <c r="F139" s="20" t="n">
        <v>40768</v>
      </c>
      <c r="G139" s="20" t="n">
        <v>38417</v>
      </c>
      <c r="H139" s="20" t="n">
        <v>42821</v>
      </c>
      <c r="I139" s="20" t="n">
        <v>43534</v>
      </c>
      <c r="J139" s="20" t="n">
        <v>45418</v>
      </c>
      <c r="K139" s="20" t="n">
        <v>43977</v>
      </c>
      <c r="L139" s="20" t="n">
        <v>40768</v>
      </c>
    </row>
    <row r="140">
      <c r="A140" s="18" t="inlineStr">
        <is>
          <t>기타 부채</t>
        </is>
      </c>
      <c r="C140" s="20" t="n">
        <v>543020</v>
      </c>
      <c r="D140" s="20" t="n">
        <v>596271</v>
      </c>
      <c r="E140" s="20" t="n">
        <v>839747</v>
      </c>
      <c r="F140" s="20" t="n">
        <v>1006687</v>
      </c>
      <c r="G140" s="20" t="n">
        <v>1185890</v>
      </c>
      <c r="H140" s="20" t="n">
        <v>242749</v>
      </c>
      <c r="I140" s="20" t="n">
        <v>315234</v>
      </c>
      <c r="J140" s="20" t="n">
        <v>462759</v>
      </c>
      <c r="K140" s="20" t="n">
        <v>562055</v>
      </c>
      <c r="L140" s="20" t="n">
        <v>1006687</v>
      </c>
    </row>
    <row r="141">
      <c r="A141" s="18" t="inlineStr">
        <is>
          <t>미지급비용</t>
        </is>
      </c>
      <c r="F141" s="20" t="n">
        <v>102357</v>
      </c>
      <c r="H141" s="20" t="n">
        <v>28768</v>
      </c>
      <c r="I141" s="20" t="n">
        <v>36076</v>
      </c>
      <c r="J141" s="20" t="n">
        <v>36128</v>
      </c>
      <c r="K141" s="20" t="n">
        <v>65167</v>
      </c>
      <c r="L141" s="20" t="n">
        <v>102357</v>
      </c>
    </row>
    <row r="142">
      <c r="A142" s="18" t="inlineStr">
        <is>
          <t>미지급법인세</t>
        </is>
      </c>
      <c r="D142" s="20" t="n">
        <v>6504</v>
      </c>
      <c r="F142" s="20" t="n">
        <v>14077</v>
      </c>
      <c r="H142" s="20" t="n">
        <v>8096</v>
      </c>
      <c r="I142" s="20" t="n">
        <v>3006</v>
      </c>
      <c r="J142" s="20" t="n">
        <v>4138</v>
      </c>
      <c r="K142" s="20" t="n">
        <v>13447</v>
      </c>
      <c r="L142" s="20" t="n">
        <v>14077</v>
      </c>
    </row>
    <row r="143">
      <c r="A143" s="18" t="inlineStr">
        <is>
          <t>선수수익</t>
        </is>
      </c>
      <c r="F143" s="20" t="n">
        <v>338</v>
      </c>
      <c r="H143" s="20" t="n">
        <v>170</v>
      </c>
      <c r="I143" s="20" t="n">
        <v>195</v>
      </c>
      <c r="J143" s="20" t="n">
        <v>222</v>
      </c>
      <c r="K143" s="20" t="n">
        <v>259</v>
      </c>
      <c r="L143" s="20" t="n">
        <v>338</v>
      </c>
    </row>
    <row r="144">
      <c r="A144" s="18" t="inlineStr">
        <is>
          <t>선물거래 차금계정</t>
        </is>
      </c>
      <c r="H144" s="20" t="n">
        <v>4</v>
      </c>
      <c r="I144" s="20" t="n">
        <v>0</v>
      </c>
    </row>
    <row r="145">
      <c r="A145" s="18" t="inlineStr">
        <is>
          <t>금융파생상품</t>
        </is>
      </c>
      <c r="F145" s="20" t="n">
        <v>172539</v>
      </c>
      <c r="H145" s="20" t="n">
        <v>81150</v>
      </c>
      <c r="I145" s="20" t="n">
        <v>68452</v>
      </c>
      <c r="J145" s="20" t="n">
        <v>144928</v>
      </c>
      <c r="K145" s="20" t="n">
        <v>80597</v>
      </c>
      <c r="L145" s="20" t="n">
        <v>172539</v>
      </c>
    </row>
    <row r="146">
      <c r="A146" s="18" t="inlineStr">
        <is>
          <t>금융상품 수입담보금</t>
        </is>
      </c>
      <c r="F146" s="20" t="n">
        <v>599737</v>
      </c>
      <c r="H146" s="20" t="n">
        <v>68543</v>
      </c>
      <c r="I146" s="20" t="n">
        <v>132376</v>
      </c>
      <c r="J146" s="20" t="n">
        <v>223456</v>
      </c>
      <c r="K146" s="20" t="n">
        <v>283279</v>
      </c>
      <c r="L146" s="20" t="n">
        <v>599737</v>
      </c>
    </row>
    <row r="147">
      <c r="A147" s="18" t="inlineStr">
        <is>
          <t>자산복구부채</t>
        </is>
      </c>
      <c r="D147" s="20" t="n">
        <v>1507</v>
      </c>
      <c r="F147" s="20" t="n">
        <v>1524</v>
      </c>
      <c r="K147" s="20" t="n">
        <v>0</v>
      </c>
      <c r="L147" s="20" t="n">
        <v>1524</v>
      </c>
    </row>
    <row r="148">
      <c r="A148" s="18" t="inlineStr">
        <is>
          <t>기타 부채</t>
        </is>
      </c>
      <c r="D148" s="20" t="n">
        <v>588259</v>
      </c>
      <c r="F148" s="20" t="n">
        <v>106730</v>
      </c>
      <c r="H148" s="20" t="n">
        <v>56016</v>
      </c>
      <c r="I148" s="20" t="n">
        <v>67011</v>
      </c>
      <c r="J148" s="20" t="n">
        <v>47074</v>
      </c>
      <c r="K148" s="20" t="n">
        <v>110380</v>
      </c>
      <c r="L148" s="20" t="n">
        <v>106730</v>
      </c>
    </row>
    <row r="149">
      <c r="A149" s="18" t="inlineStr">
        <is>
          <t>상여충당금</t>
        </is>
      </c>
      <c r="C149" s="20" t="n">
        <v>1174</v>
      </c>
      <c r="D149" s="20" t="n">
        <v>1727</v>
      </c>
      <c r="E149" s="20" t="n">
        <v>1034</v>
      </c>
      <c r="F149" s="20" t="n">
        <v>1979</v>
      </c>
      <c r="G149" s="20" t="n">
        <v>1217</v>
      </c>
      <c r="H149" s="20" t="n">
        <v>1296</v>
      </c>
      <c r="I149" s="20" t="n">
        <v>1764</v>
      </c>
      <c r="J149" s="20" t="n">
        <v>1832</v>
      </c>
      <c r="K149" s="20" t="n">
        <v>1910</v>
      </c>
      <c r="L149" s="20" t="n">
        <v>1979</v>
      </c>
    </row>
    <row r="150">
      <c r="A150" s="18" t="inlineStr">
        <is>
          <t>임원 상여충당금</t>
        </is>
      </c>
      <c r="C150" s="20" t="n">
        <v>0</v>
      </c>
      <c r="D150" s="20" t="n">
        <v>0</v>
      </c>
      <c r="E150" s="20" t="n">
        <v>0</v>
      </c>
      <c r="F150" s="20" t="n">
        <v>86</v>
      </c>
      <c r="G150" s="20" t="n">
        <v>0</v>
      </c>
      <c r="H150" s="20" t="n">
        <v>93</v>
      </c>
      <c r="I150" s="20" t="n">
        <v>89</v>
      </c>
      <c r="J150" s="20" t="n">
        <v>90</v>
      </c>
      <c r="K150" s="20" t="n">
        <v>83</v>
      </c>
      <c r="L150" s="20" t="n">
        <v>86</v>
      </c>
    </row>
    <row r="151">
      <c r="A151" s="18" t="inlineStr">
        <is>
          <t>퇴직급여충당금</t>
        </is>
      </c>
      <c r="D151" s="20" t="n">
        <v>27701</v>
      </c>
      <c r="F151" s="20" t="n">
        <v>27360</v>
      </c>
      <c r="H151" s="20" t="n">
        <v>27224</v>
      </c>
      <c r="I151" s="20" t="n">
        <v>27729</v>
      </c>
      <c r="J151" s="20" t="n">
        <v>28062</v>
      </c>
      <c r="K151" s="20" t="n">
        <v>27889</v>
      </c>
      <c r="L151" s="20" t="n">
        <v>27360</v>
      </c>
    </row>
    <row r="152">
      <c r="A152" s="18" t="inlineStr">
        <is>
          <t>퇴직급여부채</t>
        </is>
      </c>
      <c r="C152" s="20" t="n">
        <v>27001</v>
      </c>
      <c r="D152" s="20" t="n">
        <v>26963</v>
      </c>
      <c r="E152" s="20" t="n">
        <v>26850</v>
      </c>
      <c r="F152" s="20" t="n">
        <v>20629</v>
      </c>
      <c r="G152" s="20" t="n">
        <v>20384</v>
      </c>
      <c r="H152" s="20" t="n">
        <v>43091</v>
      </c>
      <c r="I152" s="20" t="n">
        <v>40299</v>
      </c>
      <c r="J152" s="20" t="n">
        <v>34416</v>
      </c>
      <c r="K152" s="20" t="n">
        <v>27097</v>
      </c>
      <c r="L152" s="20" t="n">
        <v>20629</v>
      </c>
    </row>
    <row r="153">
      <c r="A153" s="18" t="inlineStr">
        <is>
          <t>임원 퇴직위로 충당금</t>
        </is>
      </c>
      <c r="C153" s="20" t="n">
        <v>426</v>
      </c>
      <c r="D153" s="20" t="n">
        <v>371</v>
      </c>
      <c r="E153" s="20" t="n">
        <v>482</v>
      </c>
      <c r="F153" s="20" t="n">
        <v>512</v>
      </c>
      <c r="G153" s="20" t="n">
        <v>0</v>
      </c>
      <c r="H153" s="20" t="n">
        <v>430</v>
      </c>
      <c r="I153" s="20" t="n">
        <v>511</v>
      </c>
      <c r="J153" s="20" t="n">
        <v>541</v>
      </c>
      <c r="K153" s="20" t="n">
        <v>516</v>
      </c>
      <c r="L153" s="20" t="n">
        <v>512</v>
      </c>
    </row>
    <row r="154">
      <c r="A154" s="18" t="inlineStr">
        <is>
          <t>특별법상 충당금</t>
        </is>
      </c>
      <c r="C154" s="20" t="n">
        <v>22</v>
      </c>
      <c r="D154" s="20" t="n">
        <v>25</v>
      </c>
      <c r="E154" s="20" t="n">
        <v>27</v>
      </c>
      <c r="F154" s="20" t="n">
        <v>32</v>
      </c>
      <c r="G154" s="20" t="n">
        <v>35</v>
      </c>
      <c r="H154" s="20" t="n">
        <v>1</v>
      </c>
      <c r="I154" s="20" t="n">
        <v>10</v>
      </c>
      <c r="J154" s="20" t="n">
        <v>14</v>
      </c>
      <c r="K154" s="20" t="n">
        <v>20</v>
      </c>
      <c r="L154" s="20" t="n">
        <v>32</v>
      </c>
    </row>
    <row r="155">
      <c r="A155" s="18" t="inlineStr">
        <is>
          <t>이연법인세부채</t>
        </is>
      </c>
      <c r="C155" s="20" t="n">
        <v>178</v>
      </c>
      <c r="D155" s="20" t="n">
        <v>184</v>
      </c>
      <c r="E155" s="20" t="n">
        <v>176</v>
      </c>
      <c r="F155" s="20" t="n">
        <v>153</v>
      </c>
      <c r="G155" s="20" t="n">
        <v>155</v>
      </c>
      <c r="H155" s="20" t="n">
        <v>40492</v>
      </c>
      <c r="I155" s="20" t="n">
        <v>235</v>
      </c>
      <c r="J155" s="20" t="n">
        <v>235</v>
      </c>
      <c r="K155" s="20" t="n">
        <v>142</v>
      </c>
      <c r="L155" s="20" t="n">
        <v>153</v>
      </c>
    </row>
    <row r="156">
      <c r="A156" s="18" t="inlineStr">
        <is>
          <t>재평가 관련 이연법인세부채</t>
        </is>
      </c>
      <c r="C156" s="20" t="n">
        <v>6184</v>
      </c>
      <c r="D156" s="20" t="n">
        <v>6184</v>
      </c>
      <c r="E156" s="20" t="n">
        <v>6184</v>
      </c>
      <c r="F156" s="20" t="n">
        <v>5906</v>
      </c>
      <c r="G156" s="20" t="n">
        <v>5906</v>
      </c>
      <c r="H156" s="20" t="n">
        <v>6033</v>
      </c>
      <c r="I156" s="20" t="n">
        <v>6033</v>
      </c>
      <c r="J156" s="20" t="n">
        <v>6033</v>
      </c>
      <c r="K156" s="20" t="n">
        <v>6184</v>
      </c>
      <c r="L156" s="20" t="n">
        <v>5906</v>
      </c>
    </row>
    <row r="157">
      <c r="A157" s="18" t="inlineStr">
        <is>
          <t>채무보증</t>
        </is>
      </c>
      <c r="C157" s="20" t="n">
        <v>165199</v>
      </c>
      <c r="D157" s="20" t="n">
        <v>20387</v>
      </c>
      <c r="E157" s="20" t="n">
        <v>157710</v>
      </c>
      <c r="F157" s="20" t="n">
        <v>170435</v>
      </c>
      <c r="G157" s="20" t="n">
        <v>169995</v>
      </c>
      <c r="H157" s="20" t="n">
        <v>14456</v>
      </c>
      <c r="I157" s="20" t="n">
        <v>160981</v>
      </c>
      <c r="J157" s="20" t="n">
        <v>164525</v>
      </c>
      <c r="K157" s="20" t="n">
        <v>167420</v>
      </c>
      <c r="L157" s="20" t="n">
        <v>170435</v>
      </c>
    </row>
    <row r="158">
      <c r="A158" s="9" t="inlineStr">
        <is>
          <t>부채 합계</t>
        </is>
      </c>
      <c r="C158" s="12" t="n">
        <v>45603246</v>
      </c>
      <c r="D158" s="12" t="n">
        <v>46538903</v>
      </c>
      <c r="E158" s="12" t="n">
        <v>45835034</v>
      </c>
      <c r="F158" s="12" t="n">
        <v>45228771</v>
      </c>
      <c r="G158" s="12" t="n">
        <v>45270729</v>
      </c>
      <c r="H158" s="12" t="n">
        <v>42199230</v>
      </c>
      <c r="I158" s="12" t="n">
        <v>44750172</v>
      </c>
      <c r="J158" s="12" t="n">
        <v>46064355</v>
      </c>
      <c r="K158" s="12" t="n">
        <v>46726449</v>
      </c>
      <c r="L158" s="12" t="n">
        <v>45228771</v>
      </c>
    </row>
    <row r="159">
      <c r="A159" s="18" t="inlineStr">
        <is>
          <t>출자금</t>
        </is>
      </c>
      <c r="C159" s="20" t="n">
        <v>890998</v>
      </c>
      <c r="D159" s="20" t="n">
        <v>890998</v>
      </c>
      <c r="E159" s="20" t="n">
        <v>890998</v>
      </c>
      <c r="F159" s="20" t="n">
        <v>890998</v>
      </c>
      <c r="G159" s="20" t="n">
        <v>890998</v>
      </c>
      <c r="H159" s="20" t="n">
        <v>690998</v>
      </c>
      <c r="I159" s="20" t="n">
        <v>690998</v>
      </c>
      <c r="J159" s="20" t="n">
        <v>890998</v>
      </c>
      <c r="K159" s="20" t="n">
        <v>890998</v>
      </c>
      <c r="L159" s="20" t="n">
        <v>890998</v>
      </c>
    </row>
    <row r="160">
      <c r="A160" s="18" t="inlineStr">
        <is>
          <t>보통출자금</t>
        </is>
      </c>
      <c r="F160" s="20" t="n">
        <v>800000</v>
      </c>
      <c r="H160" s="20" t="n">
        <v>600000</v>
      </c>
      <c r="I160" s="20" t="n">
        <v>600000</v>
      </c>
      <c r="J160" s="20" t="n">
        <v>800000</v>
      </c>
      <c r="K160" s="20" t="n">
        <v>800000</v>
      </c>
      <c r="L160" s="20" t="n">
        <v>800000</v>
      </c>
    </row>
    <row r="161">
      <c r="A161" s="18" t="inlineStr">
        <is>
          <t>우선출자금</t>
        </is>
      </c>
      <c r="F161" s="20" t="n">
        <v>90998</v>
      </c>
      <c r="H161" s="20" t="n">
        <v>90998</v>
      </c>
      <c r="I161" s="20" t="n">
        <v>90998</v>
      </c>
      <c r="J161" s="20" t="n">
        <v>90998</v>
      </c>
      <c r="K161" s="20" t="n">
        <v>90998</v>
      </c>
      <c r="L161" s="20" t="n">
        <v>90998</v>
      </c>
    </row>
    <row r="162">
      <c r="A162" s="18" t="inlineStr">
        <is>
          <t>자본잉여금</t>
        </is>
      </c>
      <c r="C162" s="20" t="n">
        <v>100678</v>
      </c>
      <c r="D162" s="20" t="n">
        <v>100678</v>
      </c>
      <c r="E162" s="20" t="n">
        <v>100678</v>
      </c>
      <c r="F162" s="20" t="n">
        <v>100678</v>
      </c>
      <c r="G162" s="20" t="n">
        <v>100678</v>
      </c>
      <c r="H162" s="20" t="n">
        <v>100678</v>
      </c>
      <c r="I162" s="20" t="n">
        <v>100678</v>
      </c>
      <c r="J162" s="20" t="n">
        <v>100678</v>
      </c>
      <c r="K162" s="20" t="n">
        <v>100678</v>
      </c>
      <c r="L162" s="20" t="n">
        <v>100678</v>
      </c>
    </row>
    <row r="163">
      <c r="A163" s="18" t="inlineStr">
        <is>
          <t>자본준비금</t>
        </is>
      </c>
      <c r="D163" s="20" t="n">
        <v>100678</v>
      </c>
      <c r="F163" s="20" t="n">
        <v>100678</v>
      </c>
      <c r="H163" s="20" t="n">
        <v>100678</v>
      </c>
      <c r="I163" s="20" t="n">
        <v>100678</v>
      </c>
      <c r="J163" s="20" t="n">
        <v>100678</v>
      </c>
      <c r="K163" s="20" t="n">
        <v>100678</v>
      </c>
      <c r="L163" s="20" t="n">
        <v>100678</v>
      </c>
    </row>
    <row r="164">
      <c r="A164" s="18" t="inlineStr">
        <is>
          <t>이익잉여금</t>
        </is>
      </c>
      <c r="C164" s="20" t="n">
        <v>674239</v>
      </c>
      <c r="D164" s="20" t="n">
        <v>657270</v>
      </c>
      <c r="E164" s="20" t="n">
        <v>697884</v>
      </c>
      <c r="F164" s="20" t="n">
        <v>707209</v>
      </c>
      <c r="G164" s="20" t="n">
        <v>698119</v>
      </c>
      <c r="H164" s="20" t="n">
        <v>613722</v>
      </c>
      <c r="I164" s="20" t="n">
        <v>650740</v>
      </c>
      <c r="J164" s="20" t="n">
        <v>663282</v>
      </c>
      <c r="K164" s="20" t="n">
        <v>686104</v>
      </c>
      <c r="L164" s="20" t="n">
        <v>707209</v>
      </c>
    </row>
    <row r="165">
      <c r="A165" s="18" t="inlineStr">
        <is>
          <t>이익준비금</t>
        </is>
      </c>
      <c r="D165" s="20" t="n">
        <v>139100</v>
      </c>
      <c r="F165" s="20" t="n">
        <v>139100</v>
      </c>
      <c r="H165" s="20" t="n">
        <v>125900</v>
      </c>
      <c r="I165" s="20" t="n">
        <v>129400</v>
      </c>
      <c r="J165" s="20" t="n">
        <v>131900</v>
      </c>
      <c r="K165" s="20" t="n">
        <v>135000</v>
      </c>
      <c r="L165" s="20" t="n">
        <v>139100</v>
      </c>
    </row>
    <row r="166">
      <c r="A166" s="18" t="inlineStr">
        <is>
          <t>기타 이익잉여금</t>
        </is>
      </c>
      <c r="D166" s="20" t="n">
        <v>518170</v>
      </c>
      <c r="F166" s="20" t="n">
        <v>538872</v>
      </c>
      <c r="H166" s="20" t="n">
        <v>487822</v>
      </c>
      <c r="I166" s="20" t="n">
        <v>489495</v>
      </c>
      <c r="J166" s="20" t="n">
        <v>498351</v>
      </c>
      <c r="K166" s="20" t="n">
        <v>516202</v>
      </c>
      <c r="L166" s="20" t="n">
        <v>538872</v>
      </c>
    </row>
    <row r="167">
      <c r="A167" s="18" t="inlineStr">
        <is>
          <t>특별적립금</t>
        </is>
      </c>
      <c r="D167" s="20" t="n">
        <v>428951</v>
      </c>
      <c r="F167" s="20" t="n">
        <v>428951</v>
      </c>
      <c r="H167" s="20" t="n">
        <v>392975</v>
      </c>
      <c r="I167" s="20" t="n">
        <v>403970</v>
      </c>
      <c r="J167" s="20" t="n">
        <v>406965</v>
      </c>
      <c r="K167" s="20" t="n">
        <v>414960</v>
      </c>
      <c r="L167" s="20" t="n">
        <v>428951</v>
      </c>
    </row>
    <row r="168">
      <c r="A168" s="18" t="inlineStr">
        <is>
          <t>고정자산 압축적립금</t>
        </is>
      </c>
      <c r="F168" s="20" t="n">
        <v>451</v>
      </c>
      <c r="H168" s="20" t="n">
        <v>475</v>
      </c>
      <c r="I168" s="20" t="n">
        <v>470</v>
      </c>
      <c r="J168" s="20" t="n">
        <v>465</v>
      </c>
      <c r="K168" s="20" t="n">
        <v>460</v>
      </c>
      <c r="L168" s="20" t="n">
        <v>451</v>
      </c>
    </row>
    <row r="169">
      <c r="A169" s="18" t="inlineStr">
        <is>
          <t>별도적립금</t>
        </is>
      </c>
      <c r="F169" s="20" t="n">
        <v>428500</v>
      </c>
      <c r="H169" s="20" t="n">
        <v>392500</v>
      </c>
      <c r="I169" s="20" t="n">
        <v>403500</v>
      </c>
      <c r="J169" s="20" t="n">
        <v>406500</v>
      </c>
      <c r="K169" s="20" t="n">
        <v>414500</v>
      </c>
      <c r="L169" s="20" t="n">
        <v>428500</v>
      </c>
    </row>
    <row r="170">
      <c r="A170" s="18" t="inlineStr">
        <is>
          <t>진흥기금</t>
        </is>
      </c>
      <c r="D170" s="20" t="n">
        <v>60000</v>
      </c>
      <c r="F170" s="20" t="n">
        <v>60000</v>
      </c>
      <c r="H170" s="20" t="n">
        <v>60000</v>
      </c>
      <c r="I170" s="20" t="n">
        <v>60000</v>
      </c>
      <c r="J170" s="20" t="n">
        <v>60000</v>
      </c>
      <c r="K170" s="20" t="n">
        <v>60000</v>
      </c>
      <c r="L170" s="20" t="n">
        <v>60000</v>
      </c>
    </row>
    <row r="171">
      <c r="A171" s="18" t="inlineStr">
        <is>
          <t>당기 미처분 잉여금</t>
        </is>
      </c>
      <c r="D171" s="20" t="n">
        <v>29219</v>
      </c>
      <c r="F171" s="20" t="n">
        <v>49920</v>
      </c>
      <c r="H171" s="20" t="n">
        <v>34846</v>
      </c>
      <c r="I171" s="20" t="n">
        <v>25524</v>
      </c>
      <c r="J171" s="20" t="n">
        <v>31385</v>
      </c>
      <c r="K171" s="20" t="n">
        <v>41241</v>
      </c>
      <c r="L171" s="20" t="n">
        <v>49920</v>
      </c>
    </row>
    <row r="172">
      <c r="A172" s="9" t="inlineStr">
        <is>
          <t>회원 계정 합계</t>
        </is>
      </c>
      <c r="C172" s="12" t="n">
        <v>1665915</v>
      </c>
      <c r="D172" s="12" t="n">
        <v>1648947</v>
      </c>
      <c r="E172" s="12" t="n">
        <v>1689561</v>
      </c>
      <c r="F172" s="12" t="n">
        <v>1698886</v>
      </c>
      <c r="G172" s="12" t="n">
        <v>1689796</v>
      </c>
      <c r="H172" s="12" t="n">
        <v>1405399</v>
      </c>
      <c r="I172" s="12" t="n">
        <v>1442417</v>
      </c>
      <c r="J172" s="12" t="n">
        <v>1654959</v>
      </c>
      <c r="K172" s="12" t="n">
        <v>1677781</v>
      </c>
      <c r="L172" s="12" t="n">
        <v>1698886</v>
      </c>
    </row>
    <row r="173">
      <c r="A173" s="18" t="inlineStr">
        <is>
          <t>기타유가증권 평가차액</t>
        </is>
      </c>
      <c r="C173" s="20" t="n">
        <v>-348713</v>
      </c>
      <c r="D173" s="20" t="n">
        <v>-325250</v>
      </c>
      <c r="E173" s="20" t="n">
        <v>-357923</v>
      </c>
      <c r="F173" s="20" t="n">
        <v>-471120</v>
      </c>
      <c r="G173" s="20" t="n">
        <v>-452389</v>
      </c>
      <c r="H173" s="20" t="n">
        <v>103374</v>
      </c>
      <c r="I173" s="20" t="n">
        <v>-215893</v>
      </c>
      <c r="J173" s="20" t="n">
        <v>-271415</v>
      </c>
      <c r="K173" s="20" t="n">
        <v>-383519</v>
      </c>
      <c r="L173" s="20" t="n">
        <v>-471120</v>
      </c>
    </row>
    <row r="174">
      <c r="A174" s="18" t="inlineStr">
        <is>
          <t>이연헤지손익</t>
        </is>
      </c>
      <c r="C174" s="20" t="n">
        <v>184897</v>
      </c>
      <c r="D174" s="20" t="n">
        <v>218793</v>
      </c>
      <c r="E174" s="20" t="n">
        <v>307537</v>
      </c>
      <c r="F174" s="20" t="n">
        <v>368898</v>
      </c>
      <c r="G174" s="20" t="n">
        <v>419076</v>
      </c>
      <c r="H174" s="20" t="n">
        <v>34977</v>
      </c>
      <c r="I174" s="20" t="n">
        <v>94174</v>
      </c>
      <c r="J174" s="20" t="n">
        <v>144213</v>
      </c>
      <c r="K174" s="20" t="n">
        <v>181425</v>
      </c>
      <c r="L174" s="20" t="n">
        <v>368898</v>
      </c>
    </row>
    <row r="175">
      <c r="A175" s="18" t="inlineStr">
        <is>
          <t>토지재평가차액금</t>
        </is>
      </c>
      <c r="C175" s="20" t="n">
        <v>14621</v>
      </c>
      <c r="D175" s="20" t="n">
        <v>14621</v>
      </c>
      <c r="E175" s="20" t="n">
        <v>14621</v>
      </c>
      <c r="F175" s="20" t="n">
        <v>13919</v>
      </c>
      <c r="G175" s="20" t="n">
        <v>13919</v>
      </c>
      <c r="H175" s="20" t="n">
        <v>14772</v>
      </c>
      <c r="I175" s="20" t="n">
        <v>14772</v>
      </c>
      <c r="J175" s="20" t="n">
        <v>14772</v>
      </c>
      <c r="K175" s="20" t="n">
        <v>14621</v>
      </c>
      <c r="L175" s="20" t="n">
        <v>13919</v>
      </c>
    </row>
    <row r="176">
      <c r="A176" s="18" t="inlineStr">
        <is>
          <t>해외사업환산조정</t>
        </is>
      </c>
      <c r="C176" s="20" t="n">
        <v>-465</v>
      </c>
      <c r="D176" s="20" t="n">
        <v>-272</v>
      </c>
      <c r="E176" s="20" t="n">
        <v>-170</v>
      </c>
      <c r="F176" s="20" t="n">
        <v>467</v>
      </c>
      <c r="G176" s="20" t="n">
        <v>483</v>
      </c>
      <c r="H176" s="20" t="n">
        <v>-2631</v>
      </c>
      <c r="I176" s="20" t="n">
        <v>-2238</v>
      </c>
      <c r="J176" s="20" t="n">
        <v>-1169</v>
      </c>
      <c r="K176" s="20" t="n">
        <v>-124</v>
      </c>
      <c r="L176" s="20" t="n">
        <v>467</v>
      </c>
    </row>
    <row r="177">
      <c r="A177" s="18" t="inlineStr">
        <is>
          <t>퇴직급여 조정누계액</t>
        </is>
      </c>
      <c r="C177" s="20" t="n">
        <v>8015</v>
      </c>
      <c r="D177" s="20" t="n">
        <v>7993</v>
      </c>
      <c r="E177" s="20" t="n">
        <v>7970</v>
      </c>
      <c r="F177" s="20" t="n">
        <v>11847</v>
      </c>
      <c r="G177" s="20" t="n">
        <v>11526</v>
      </c>
      <c r="H177" s="20" t="n">
        <v>-3650</v>
      </c>
      <c r="I177" s="20" t="n">
        <v>-1124</v>
      </c>
      <c r="J177" s="20" t="n">
        <v>3210</v>
      </c>
      <c r="K177" s="20" t="n">
        <v>8038</v>
      </c>
      <c r="L177" s="20" t="n">
        <v>11847</v>
      </c>
    </row>
    <row r="178">
      <c r="A178" s="18" t="inlineStr">
        <is>
          <t>기타포괄손익누계액 합계</t>
        </is>
      </c>
      <c r="C178" s="20" t="n">
        <v>-141644</v>
      </c>
      <c r="D178" s="20" t="n">
        <v>-91835</v>
      </c>
      <c r="E178" s="20" t="n">
        <v>-27965</v>
      </c>
      <c r="F178" s="20" t="n">
        <v>-75988</v>
      </c>
      <c r="G178" s="20" t="n">
        <v>-7384</v>
      </c>
      <c r="H178" s="20" t="n">
        <v>153124</v>
      </c>
      <c r="I178" s="20" t="n">
        <v>-110310</v>
      </c>
      <c r="J178" s="20" t="n">
        <v>-110388</v>
      </c>
      <c r="K178" s="20" t="n">
        <v>-179559</v>
      </c>
      <c r="L178" s="20" t="n">
        <v>-75988</v>
      </c>
    </row>
    <row r="179">
      <c r="A179" s="18" t="inlineStr">
        <is>
          <t>비지배지분</t>
        </is>
      </c>
      <c r="C179" s="20" t="n">
        <v>14224</v>
      </c>
      <c r="D179" s="20" t="n">
        <v>14296</v>
      </c>
      <c r="E179" s="20" t="n">
        <v>14367</v>
      </c>
      <c r="F179" s="20" t="n">
        <v>14820</v>
      </c>
      <c r="G179" s="20" t="n">
        <v>14910</v>
      </c>
      <c r="H179" s="20" t="n">
        <v>12626</v>
      </c>
      <c r="I179" s="20" t="n">
        <v>13053</v>
      </c>
      <c r="J179" s="20" t="n">
        <v>13497</v>
      </c>
      <c r="K179" s="20" t="n">
        <v>14217</v>
      </c>
      <c r="L179" s="20" t="n">
        <v>14820</v>
      </c>
    </row>
    <row r="180">
      <c r="A180" s="9" t="inlineStr">
        <is>
          <t>순자산 합계</t>
        </is>
      </c>
      <c r="C180" s="12" t="n">
        <v>1538495</v>
      </c>
      <c r="D180" s="12" t="n">
        <v>1557111</v>
      </c>
      <c r="E180" s="12" t="n">
        <v>1675963</v>
      </c>
      <c r="F180" s="12" t="n">
        <v>1637718</v>
      </c>
      <c r="G180" s="12" t="n">
        <v>1697322</v>
      </c>
      <c r="H180" s="12" t="n">
        <v>1558523</v>
      </c>
      <c r="I180" s="12" t="n">
        <v>1345160</v>
      </c>
      <c r="J180" s="12" t="n">
        <v>1558068</v>
      </c>
      <c r="K180" s="12" t="n">
        <v>1512438</v>
      </c>
      <c r="L180" s="12" t="n">
        <v>1637718</v>
      </c>
    </row>
    <row r="181">
      <c r="A181" s="9" t="inlineStr">
        <is>
          <t>부채 및 순자산 합계</t>
        </is>
      </c>
      <c r="C181" s="12" t="n">
        <v>47141742</v>
      </c>
      <c r="D181" s="12" t="n">
        <v>48096015</v>
      </c>
      <c r="E181" s="12" t="n">
        <v>47510997</v>
      </c>
      <c r="F181" s="12" t="n">
        <v>46866489</v>
      </c>
      <c r="G181" s="12" t="n">
        <v>46968052</v>
      </c>
      <c r="H181" s="12" t="n">
        <v>43757754</v>
      </c>
      <c r="I181" s="12" t="n">
        <v>46095333</v>
      </c>
      <c r="J181" s="12" t="n">
        <v>47622424</v>
      </c>
      <c r="K181" s="12" t="n">
        <v>48238888</v>
      </c>
      <c r="L181" s="12" t="n">
        <v>46866489</v>
      </c>
    </row>
    <row r="182">
      <c r="A182" s="18" t="inlineStr">
        <is>
          <t>현금 및 예치금</t>
        </is>
      </c>
      <c r="D182" s="20" t="n">
        <v>19435816</v>
      </c>
      <c r="H182" s="20" t="n">
        <v>16764225</v>
      </c>
      <c r="I182" s="20" t="n">
        <v>19019069</v>
      </c>
      <c r="J182" s="20" t="n">
        <v>19937781</v>
      </c>
      <c r="K182" s="20" t="n">
        <v>19119691</v>
      </c>
    </row>
    <row r="183">
      <c r="A183" s="18" t="inlineStr">
        <is>
          <t>매입어음 및 콜론</t>
        </is>
      </c>
      <c r="D183" s="20" t="n">
        <v>611731</v>
      </c>
      <c r="H183" s="20" t="n">
        <v>1329496</v>
      </c>
      <c r="I183" s="20" t="n">
        <v>1573215</v>
      </c>
      <c r="J183" s="20" t="n">
        <v>479611</v>
      </c>
      <c r="K183" s="20" t="n">
        <v>638312</v>
      </c>
    </row>
    <row r="184">
      <c r="A184" s="18" t="inlineStr">
        <is>
          <t>현금</t>
        </is>
      </c>
      <c r="D184" s="20" t="n">
        <v>223522</v>
      </c>
      <c r="F184" s="20" t="n">
        <v>198637</v>
      </c>
      <c r="H184" s="20" t="n">
        <v>72500</v>
      </c>
      <c r="I184" s="20" t="n">
        <v>125246</v>
      </c>
      <c r="J184" s="20" t="n">
        <v>178974</v>
      </c>
      <c r="K184" s="20" t="n">
        <v>257898</v>
      </c>
      <c r="L184" s="20" t="n">
        <v>198637</v>
      </c>
    </row>
    <row r="185">
      <c r="A185" s="18" t="inlineStr">
        <is>
          <t>예치금</t>
        </is>
      </c>
      <c r="D185" s="20" t="n">
        <v>19113682</v>
      </c>
      <c r="F185" s="20" t="n">
        <v>12606855</v>
      </c>
      <c r="H185" s="20" t="n">
        <v>16682878</v>
      </c>
      <c r="I185" s="20" t="n">
        <v>18879272</v>
      </c>
      <c r="J185" s="20" t="n">
        <v>19713756</v>
      </c>
      <c r="K185" s="20" t="n">
        <v>18808242</v>
      </c>
      <c r="L185" s="20" t="n">
        <v>12606855</v>
      </c>
    </row>
    <row r="186">
      <c r="A186" s="18" t="inlineStr">
        <is>
          <t>콜론</t>
        </is>
      </c>
      <c r="D186" s="20" t="n">
        <v>611731</v>
      </c>
      <c r="F186" s="20" t="n">
        <v>749235</v>
      </c>
      <c r="H186" s="20" t="n">
        <v>1329496</v>
      </c>
      <c r="I186" s="20" t="n">
        <v>1573215</v>
      </c>
      <c r="J186" s="20" t="n">
        <v>479611</v>
      </c>
      <c r="K186" s="20" t="n">
        <v>638312</v>
      </c>
      <c r="L186" s="20" t="n">
        <v>749235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2026-07-29</t>
        </is>
      </c>
      <c r="B4" t="inlineStr">
        <is>
          <t>2027년 3월 결산기 １분기 결산단신</t>
        </is>
      </c>
      <c r="C4" t="inlineStr">
        <is>
          <t>https://www2.jpx.co.jp/disc/84210/140120260729501709.pdf</t>
        </is>
      </c>
    </row>
    <row r="5">
      <c r="A5" t="inlineStr">
        <is>
          <t>2026-05-20</t>
        </is>
      </c>
      <c r="B5" t="inlineStr">
        <is>
          <t>2026년 3월 결산기 연간 결산단신</t>
        </is>
      </c>
      <c r="C5" t="inlineStr">
        <is>
          <t>https://www2.jpx.co.jp/disc/84210/140120260520541953.pdf</t>
        </is>
      </c>
    </row>
    <row r="6">
      <c r="A6" t="inlineStr">
        <is>
          <t>2026-01-29</t>
        </is>
      </c>
      <c r="B6" t="inlineStr">
        <is>
          <t>2026년 3월 결산기 ３분기 결산단신</t>
        </is>
      </c>
      <c r="C6" t="inlineStr">
        <is>
          <t>https://www2.jpx.co.jp/disc/84210/140120260129541198.pdf</t>
        </is>
      </c>
    </row>
    <row r="7">
      <c r="A7" t="inlineStr">
        <is>
          <t>2025-10-30</t>
        </is>
      </c>
      <c r="B7" t="inlineStr">
        <is>
          <t>2026년 3월 결산기 2분기 결산단신</t>
        </is>
      </c>
      <c r="C7" t="inlineStr">
        <is>
          <t>https://www2.jpx.co.jp/disc/84210/140120251030582219.pdf</t>
        </is>
      </c>
    </row>
    <row r="8">
      <c r="A8" t="inlineStr">
        <is>
          <t>2025-07-30</t>
        </is>
      </c>
      <c r="B8" t="inlineStr">
        <is>
          <t>2026년 3월 결산기 1분기 결산단신</t>
        </is>
      </c>
      <c r="C8" t="inlineStr">
        <is>
          <t>https://www2.jpx.co.jp/disc/84210/140120250730523568.pdf</t>
        </is>
      </c>
    </row>
    <row r="9">
      <c r="A9" t="inlineStr">
        <is>
          <t>2025-05-20</t>
        </is>
      </c>
      <c r="B9" t="inlineStr">
        <is>
          <t>2025년 3월 결산기 연간 결산단신</t>
        </is>
      </c>
      <c r="C9" t="inlineStr">
        <is>
          <t>https://www2.jpx.co.jp/disc/84210/140120250520558656.pdf</t>
        </is>
      </c>
    </row>
    <row r="10">
      <c r="A10" t="inlineStr">
        <is>
          <t>2025-01-30</t>
        </is>
      </c>
      <c r="B10" t="inlineStr">
        <is>
          <t>2025년 3월 결산기 ３분기 결산단신</t>
        </is>
      </c>
      <c r="C10" t="inlineStr">
        <is>
          <t>https://www2.jpx.co.jp/disc/84210/140120250130557950.pdf</t>
        </is>
      </c>
    </row>
    <row r="11">
      <c r="A11" t="inlineStr">
        <is>
          <t>2024-10-30</t>
        </is>
      </c>
      <c r="B11" t="inlineStr">
        <is>
          <t>2025년 3월 결산기 ２분기 결산단신</t>
        </is>
      </c>
      <c r="C11" t="inlineStr">
        <is>
          <t>https://www2.jpx.co.jp/disc/84210/140120241030505923.pdf</t>
        </is>
      </c>
    </row>
    <row r="12">
      <c r="A12" t="inlineStr">
        <is>
          <t>2024-07-26</t>
        </is>
      </c>
      <c r="B12" t="inlineStr">
        <is>
          <t>2025년 3월 결산기 １분기 결산단신</t>
        </is>
      </c>
      <c r="C12" t="inlineStr">
        <is>
          <t>https://www2.jpx.co.jp/disc/84210/140120240726555520.pdf</t>
        </is>
      </c>
    </row>
    <row r="13">
      <c r="A13" t="inlineStr">
        <is>
          <t>2024-05-17</t>
        </is>
      </c>
      <c r="B13" t="inlineStr">
        <is>
          <t>2024년 3월 결산기 연간 결산단신</t>
        </is>
      </c>
      <c r="C13" t="inlineStr">
        <is>
          <t>https://www2.jpx.co.jp/disc/84210/140120240517500507.pdf</t>
        </is>
      </c>
    </row>
    <row r="14">
      <c r="A14" t="inlineStr">
        <is>
          <t>2024-01-30</t>
        </is>
      </c>
      <c r="B14" t="inlineStr">
        <is>
          <t>2024년 3월 결산기 ３분기 결산단신</t>
        </is>
      </c>
      <c r="C14" t="inlineStr">
        <is>
          <t>https://www2.jpx.co.jp/disc/84210/140120240129521051.pdf</t>
        </is>
      </c>
    </row>
    <row r="15">
      <c r="A15" t="inlineStr">
        <is>
          <t>2023-10-27</t>
        </is>
      </c>
      <c r="B15" t="inlineStr">
        <is>
          <t>2024년 3월 결산기 ２분기 결산단신</t>
        </is>
      </c>
      <c r="C15" t="inlineStr">
        <is>
          <t>https://www2.jpx.co.jp/disc/84210/140120231026572593.pdf</t>
        </is>
      </c>
    </row>
    <row r="16">
      <c r="A16" t="inlineStr">
        <is>
          <t>2023-07-28</t>
        </is>
      </c>
      <c r="B16" t="inlineStr">
        <is>
          <t>2024년 3월 결산기 １분기 결산단신</t>
        </is>
      </c>
      <c r="C16" t="inlineStr">
        <is>
          <t>https://www2.jpx.co.jp/disc/84210/140120230727528561.pdf</t>
        </is>
      </c>
    </row>
    <row r="17">
      <c r="A17" t="inlineStr">
        <is>
          <t>2023-05-19</t>
        </is>
      </c>
      <c r="B17" t="inlineStr">
        <is>
          <t>2023년 3월 결산기 연간 결산단신</t>
        </is>
      </c>
      <c r="C17" t="inlineStr">
        <is>
          <t>https://www2.jpx.co.jp/disc/84210/140120230518575815.pdf</t>
        </is>
      </c>
    </row>
    <row r="18">
      <c r="A18" t="inlineStr">
        <is>
          <t>2023-01-27</t>
        </is>
      </c>
      <c r="B18" t="inlineStr">
        <is>
          <t>2023년 3월 결산기 ３분기 결산단신</t>
        </is>
      </c>
      <c r="C18" t="inlineStr">
        <is>
          <t>https://www2.jpx.co.jp/disc/84210/140120230127594589.pdf</t>
        </is>
      </c>
    </row>
    <row r="19">
      <c r="A19" t="inlineStr">
        <is>
          <t>2022-10-31</t>
        </is>
      </c>
      <c r="B19" t="inlineStr">
        <is>
          <t>2023년 3월 결산기 ２분기 결산단신</t>
        </is>
      </c>
      <c r="C19" t="inlineStr">
        <is>
          <t>https://www2.jpx.co.jp/disc/84210/140120221031552912.pdf</t>
        </is>
      </c>
    </row>
    <row r="20">
      <c r="A20" t="inlineStr">
        <is>
          <t>2022-05-20</t>
        </is>
      </c>
      <c r="B20" t="inlineStr">
        <is>
          <t>2022년 3월 결산기 연간 결산단신</t>
        </is>
      </c>
      <c r="C20" t="inlineStr">
        <is>
          <t>https://www2.jpx.co.jp/disc/84210/140120220519552426.pdf</t>
        </is>
      </c>
    </row>
    <row r="21">
      <c r="A21" t="inlineStr">
        <is>
          <t>2021-05-20</t>
        </is>
      </c>
      <c r="B21" t="inlineStr">
        <is>
          <t>2021년 3월 결산기 연간 결산단신</t>
        </is>
      </c>
      <c r="C21" t="inlineStr">
        <is>
          <t>https://www2.jpx.co.jp/disc/84210/140120210519423157.pdf</t>
        </is>
      </c>
    </row>
    <row r="22">
      <c r="A22" t="inlineStr">
        <is>
          <t>2020-05-20</t>
        </is>
      </c>
      <c r="B22" t="inlineStr">
        <is>
          <t>2020년 3월 결산기 연간 결산단신</t>
        </is>
      </c>
      <c r="C22" t="inlineStr">
        <is>
          <t>https://www2.jpx.co.jp/disc/84210/140120200519418289.pdf</t>
        </is>
      </c>
    </row>
    <row r="23">
      <c r="A23" t="inlineStr">
        <is>
          <t>2019-05-17</t>
        </is>
      </c>
      <c r="B23" t="inlineStr">
        <is>
          <t>2019년 3월 결산기 연간 결산단신</t>
        </is>
      </c>
      <c r="C23" t="inlineStr">
        <is>
          <t>https://www2.jpx.co.jp/disc/84210/140120190516429182.pdf</t>
        </is>
      </c>
    </row>
    <row r="24">
      <c r="A24" t="inlineStr">
        <is>
          <t>2018-05-18</t>
        </is>
      </c>
      <c r="B24" t="inlineStr">
        <is>
          <t>연간 결산단신</t>
        </is>
      </c>
      <c r="C24" t="inlineStr">
        <is>
          <t>https://www2.jpx.co.jp/disc/84210/140120180517440976.pdf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2026-10-26T10:59:15Z</dcterms:created>
  <dcterms:modified xmlns:dcterms="http://purl.org/dc/terms/" xmlns:xsi="http://www.w3.org/2001/XMLSchema-instance" xsi:type="dcterms:W3CDTF">2026-10-26T10:59:15Z</dcterms:modified>
</cp:coreProperties>
</file>