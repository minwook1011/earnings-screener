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토메이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5388.319</v>
      </c>
      <c r="D4" s="12" t="n">
        <v>5668.671</v>
      </c>
      <c r="E4" s="12" t="n">
        <v>5771.386</v>
      </c>
      <c r="F4" s="12" t="n">
        <v>7090.215</v>
      </c>
      <c r="G4" s="12" t="n">
        <v>6941.558</v>
      </c>
      <c r="H4" s="12" t="n">
        <v>7589.2</v>
      </c>
      <c r="I4" s="12" t="n">
        <v>6639.992</v>
      </c>
      <c r="J4" s="12" t="n">
        <v>7899.684</v>
      </c>
      <c r="K4" s="12" t="n">
        <v>7202.659</v>
      </c>
      <c r="L4" s="12" t="n">
        <v>7740.257</v>
      </c>
      <c r="M4" s="12" t="n">
        <v>7788.87</v>
      </c>
      <c r="N4" s="12" t="n">
        <v>9847.352999999999</v>
      </c>
      <c r="O4" s="11" t="n"/>
      <c r="P4" s="12" t="n">
        <v>9894.541999999999</v>
      </c>
      <c r="Q4" s="12" t="n">
        <v>10855.064</v>
      </c>
      <c r="R4" s="12" t="n">
        <v>11517.19</v>
      </c>
      <c r="S4" s="12" t="n">
        <v>13027.005</v>
      </c>
      <c r="T4" s="12" t="n">
        <v>17701.204</v>
      </c>
      <c r="U4" s="12" t="n">
        <v>20531.832</v>
      </c>
      <c r="V4" s="12" t="n">
        <v>23918.591</v>
      </c>
      <c r="W4" s="12" t="n">
        <v>29070.434</v>
      </c>
      <c r="X4" s="12" t="n">
        <v>32579.139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오피스 광 119 사업</t>
        </is>
      </c>
      <c r="B7" s="10" t="n"/>
      <c r="C7" s="19" t="n">
        <v>2930.852</v>
      </c>
      <c r="D7" s="20" t="n">
        <v>2940.593</v>
      </c>
      <c r="E7" s="20" t="n">
        <v>3011.555</v>
      </c>
      <c r="F7" s="20" t="n">
        <v>3045.907</v>
      </c>
      <c r="G7" s="20" t="n">
        <v>3068.052</v>
      </c>
      <c r="H7" s="20" t="n">
        <v>3084.842</v>
      </c>
      <c r="I7" s="20" t="n">
        <v>3205.84</v>
      </c>
      <c r="J7" s="20" t="n">
        <v>3221.166</v>
      </c>
      <c r="K7" s="20" t="n">
        <v>3251.478</v>
      </c>
      <c r="L7" s="20" t="n">
        <v>3249.07</v>
      </c>
      <c r="M7" s="20" t="n">
        <v>3337.271</v>
      </c>
      <c r="N7" s="20" t="n">
        <v>3385.778</v>
      </c>
      <c r="O7" s="19" t="n"/>
      <c r="P7" s="20" t="n"/>
      <c r="Q7" s="20" t="n"/>
      <c r="R7" s="20" t="n"/>
      <c r="S7" s="20" t="n"/>
      <c r="T7" s="20" t="n"/>
      <c r="U7" s="20" t="n">
        <v>11151.758</v>
      </c>
      <c r="V7" s="20" t="n">
        <v>11928.907</v>
      </c>
      <c r="W7" s="20" t="n">
        <v>12579.9</v>
      </c>
      <c r="X7" s="20" t="n">
        <v>13223.597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오피스 전기 119 사업</t>
        </is>
      </c>
      <c r="B10" s="10" t="n"/>
      <c r="C10" s="19" t="n">
        <v>2003.778</v>
      </c>
      <c r="D10" s="20" t="n">
        <v>2238.608</v>
      </c>
      <c r="E10" s="20" t="n">
        <v>2198.81</v>
      </c>
      <c r="F10" s="20" t="n">
        <v>3360.219</v>
      </c>
      <c r="G10" s="20" t="n">
        <v>2991.752</v>
      </c>
      <c r="H10" s="20" t="n">
        <v>3648.707</v>
      </c>
      <c r="I10" s="20" t="n">
        <v>2691.977</v>
      </c>
      <c r="J10" s="20" t="n">
        <v>3861.884</v>
      </c>
      <c r="K10" s="20" t="n">
        <v>3230.588</v>
      </c>
      <c r="L10" s="20" t="n">
        <v>3856.653</v>
      </c>
      <c r="M10" s="20" t="n">
        <v>3770.872</v>
      </c>
      <c r="N10" s="20" t="n">
        <v>5626.112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9801.415000000001</v>
      </c>
      <c r="W10" s="20" t="n">
        <v>13194.32</v>
      </c>
      <c r="X10" s="20" t="n">
        <v>16484.225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오피스 솔루션 사업</t>
        </is>
      </c>
      <c r="B13" s="10" t="n"/>
      <c r="C13" s="19" t="n">
        <v>453.688</v>
      </c>
      <c r="D13" s="20" t="n">
        <v>489.47</v>
      </c>
      <c r="E13" s="20" t="n">
        <v>561.021</v>
      </c>
      <c r="F13" s="20" t="n">
        <v>684.0890000000001</v>
      </c>
      <c r="G13" s="20" t="n">
        <v>881.754</v>
      </c>
      <c r="H13" s="20" t="n">
        <v>855.649</v>
      </c>
      <c r="I13" s="20" t="n">
        <v>742.176</v>
      </c>
      <c r="J13" s="20" t="n">
        <v>816.634</v>
      </c>
      <c r="K13" s="20" t="n">
        <v>720.592</v>
      </c>
      <c r="L13" s="20" t="n">
        <v>634.534</v>
      </c>
      <c r="M13" s="20" t="n">
        <v>680.727</v>
      </c>
      <c r="N13" s="20" t="n">
        <v>835.463</v>
      </c>
      <c r="O13" s="19" t="n"/>
      <c r="P13" s="20" t="n"/>
      <c r="Q13" s="20" t="n"/>
      <c r="R13" s="20" t="n"/>
      <c r="S13" s="20" t="n"/>
      <c r="T13" s="20" t="n"/>
      <c r="U13" s="20" t="n">
        <v>9137.315000000001</v>
      </c>
      <c r="V13" s="20" t="n">
        <v>2188.268</v>
      </c>
      <c r="W13" s="20" t="n">
        <v>3296.213</v>
      </c>
      <c r="X13" s="20" t="n">
        <v>2871.316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파이낸셜 플래닝 사업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>
        <v>242.758</v>
      </c>
      <c r="V16" s="20" t="n">
        <v>246.819</v>
      </c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3658.71</v>
      </c>
      <c r="D20" s="20" t="n">
        <v>3849.503</v>
      </c>
      <c r="E20" s="20" t="n">
        <v>3767.838</v>
      </c>
      <c r="F20" s="20" t="n">
        <v>4811.879</v>
      </c>
      <c r="G20" s="20" t="n">
        <v>4640.657</v>
      </c>
      <c r="H20" s="20" t="n">
        <v>5070.162</v>
      </c>
      <c r="I20" s="20" t="n">
        <v>4289.837</v>
      </c>
      <c r="J20" s="20" t="n">
        <v>5234.496</v>
      </c>
      <c r="K20" s="20" t="n">
        <v>4699.026</v>
      </c>
      <c r="L20" s="20" t="n">
        <v>5118.041</v>
      </c>
      <c r="M20" s="20" t="n">
        <v>5143.129</v>
      </c>
      <c r="N20" s="20" t="n">
        <v>6865.576</v>
      </c>
      <c r="O20" s="19" t="n"/>
      <c r="P20" s="20" t="n">
        <v>6233.288</v>
      </c>
      <c r="Q20" s="20" t="n">
        <v>6895.698</v>
      </c>
      <c r="R20" s="20" t="n">
        <v>7320.919</v>
      </c>
      <c r="S20" s="20" t="n">
        <v>9010.445</v>
      </c>
      <c r="T20" s="20" t="n">
        <v>13363.588</v>
      </c>
      <c r="U20" s="20" t="n">
        <v>14103.921</v>
      </c>
      <c r="V20" s="20" t="n">
        <v>16087.93</v>
      </c>
      <c r="W20" s="20" t="n">
        <v>19235.152</v>
      </c>
      <c r="X20" s="20" t="n">
        <v>21825.772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1316.007</v>
      </c>
      <c r="D26" s="20" t="n">
        <v>1298.573</v>
      </c>
      <c r="E26" s="20" t="n">
        <v>1435.59</v>
      </c>
      <c r="F26" s="20" t="n">
        <v>1466.217</v>
      </c>
      <c r="G26" s="20" t="n">
        <v>1515.344</v>
      </c>
      <c r="H26" s="20" t="n">
        <v>1563.482</v>
      </c>
      <c r="I26" s="20" t="n">
        <v>1796.185</v>
      </c>
      <c r="J26" s="20" t="n">
        <v>1667.61</v>
      </c>
      <c r="K26" s="20" t="n">
        <v>1759.665</v>
      </c>
      <c r="L26" s="20" t="n">
        <v>1710.465</v>
      </c>
      <c r="M26" s="20" t="n">
        <v>1819.462</v>
      </c>
      <c r="N26" s="20" t="n">
        <v>1894.2</v>
      </c>
      <c r="O26" s="19" t="n"/>
      <c r="P26" s="20" t="n">
        <v>3310.464</v>
      </c>
      <c r="Q26" s="20" t="n">
        <v>3351.262</v>
      </c>
      <c r="R26" s="20" t="n">
        <v>3360.485</v>
      </c>
      <c r="S26" s="20" t="n">
        <v>3623.954</v>
      </c>
      <c r="T26" s="20" t="n">
        <v>4002.797</v>
      </c>
      <c r="U26" s="20" t="n">
        <v>4778.09</v>
      </c>
      <c r="V26" s="20" t="n">
        <v>5516.387</v>
      </c>
      <c r="W26" s="20" t="n">
        <v>6542.621</v>
      </c>
      <c r="X26" s="20" t="n">
        <v>7183.792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413.601</v>
      </c>
      <c r="D28" s="12" t="n">
        <v>520.595</v>
      </c>
      <c r="E28" s="12" t="n">
        <v>567.958</v>
      </c>
      <c r="F28" s="12" t="n">
        <v>812.119</v>
      </c>
      <c r="G28" s="12" t="n">
        <v>785.556</v>
      </c>
      <c r="H28" s="12" t="n">
        <v>955.5549999999999</v>
      </c>
      <c r="I28" s="12" t="n">
        <v>553.971</v>
      </c>
      <c r="J28" s="12" t="n">
        <v>997.578</v>
      </c>
      <c r="K28" s="12" t="n">
        <v>743.966</v>
      </c>
      <c r="L28" s="12" t="n">
        <v>911.752</v>
      </c>
      <c r="M28" s="12" t="n">
        <v>826.279</v>
      </c>
      <c r="N28" s="12" t="n">
        <v>1087.577</v>
      </c>
      <c r="O28" s="11" t="n"/>
      <c r="P28" s="12" t="n">
        <v>350.789</v>
      </c>
      <c r="Q28" s="12" t="n">
        <v>608.103</v>
      </c>
      <c r="R28" s="12" t="n">
        <v>835.7859999999999</v>
      </c>
      <c r="S28" s="12" t="n">
        <v>392.605</v>
      </c>
      <c r="T28" s="12" t="n">
        <v>334.818</v>
      </c>
      <c r="U28" s="12" t="n">
        <v>1649.82</v>
      </c>
      <c r="V28" s="12" t="n">
        <v>2314.273</v>
      </c>
      <c r="W28" s="12" t="n">
        <v>3292.66</v>
      </c>
      <c r="X28" s="12" t="n">
        <v>3569.574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/>
      <c r="D44" s="20" t="n"/>
      <c r="E44" s="20" t="n"/>
      <c r="F44" s="20" t="n">
        <v>0</v>
      </c>
      <c r="G44" s="20" t="n"/>
      <c r="H44" s="20" t="n"/>
      <c r="I44" s="20" t="n"/>
      <c r="J44" s="20" t="n">
        <v>0</v>
      </c>
      <c r="K44" s="20" t="n"/>
      <c r="L44" s="20" t="n"/>
      <c r="M44" s="20" t="n"/>
      <c r="N44" s="20" t="n">
        <v>0</v>
      </c>
      <c r="O44" s="19" t="n"/>
      <c r="P44" s="20" t="n">
        <v>128.207</v>
      </c>
      <c r="Q44" s="20" t="n">
        <v>0</v>
      </c>
      <c r="R44" s="20" t="n"/>
      <c r="S44" s="20" t="n">
        <v>0</v>
      </c>
      <c r="T44" s="20" t="n">
        <v>50.81</v>
      </c>
      <c r="U44" s="20" t="n">
        <v>0</v>
      </c>
      <c r="V44" s="20" t="n">
        <v>0</v>
      </c>
      <c r="W44" s="20" t="n">
        <v>3.165</v>
      </c>
      <c r="X44" s="20" t="n">
        <v>0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/>
      <c r="D46" s="20" t="n"/>
      <c r="E46" s="20" t="n"/>
      <c r="F46" s="20" t="n">
        <v>5.576</v>
      </c>
      <c r="G46" s="20" t="n"/>
      <c r="H46" s="20" t="n"/>
      <c r="I46" s="20" t="n"/>
      <c r="J46" s="20" t="n">
        <v>0</v>
      </c>
      <c r="K46" s="20" t="n"/>
      <c r="L46" s="20" t="n"/>
      <c r="M46" s="20" t="n"/>
      <c r="N46" s="20" t="n">
        <v>61.667</v>
      </c>
      <c r="O46" s="19" t="n"/>
      <c r="P46" s="20" t="n">
        <v>5.211</v>
      </c>
      <c r="Q46" s="20" t="n">
        <v>2.983</v>
      </c>
      <c r="R46" s="20" t="n">
        <v>0</v>
      </c>
      <c r="S46" s="20" t="n">
        <v>8.896000000000001</v>
      </c>
      <c r="T46" s="20" t="n">
        <v>49.347</v>
      </c>
      <c r="U46" s="20" t="n">
        <v>3.139</v>
      </c>
      <c r="V46" s="20" t="n">
        <v>160.984</v>
      </c>
      <c r="W46" s="20" t="n">
        <v>0</v>
      </c>
      <c r="X46" s="20" t="n">
        <v>82.991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23.072</v>
      </c>
      <c r="D48" s="20" t="n">
        <v>22.229</v>
      </c>
      <c r="E48" s="20" t="n">
        <v>23.694</v>
      </c>
      <c r="F48" s="20" t="n">
        <v>29.791</v>
      </c>
      <c r="G48" s="20" t="n">
        <v>26.614</v>
      </c>
      <c r="H48" s="20" t="n">
        <v>24.777</v>
      </c>
      <c r="I48" s="20" t="n">
        <v>19.72</v>
      </c>
      <c r="J48" s="20" t="n">
        <v>39.824</v>
      </c>
      <c r="K48" s="20" t="n">
        <v>26.183</v>
      </c>
      <c r="L48" s="20" t="n">
        <v>26.692</v>
      </c>
      <c r="M48" s="20" t="n">
        <v>28.99</v>
      </c>
      <c r="N48" s="20" t="n">
        <v>33.096</v>
      </c>
      <c r="O48" s="19" t="n"/>
      <c r="P48" s="20" t="n">
        <v>93.149</v>
      </c>
      <c r="Q48" s="20" t="n">
        <v>80.45099999999999</v>
      </c>
      <c r="R48" s="20" t="n">
        <v>125.451</v>
      </c>
      <c r="S48" s="20" t="n">
        <v>67.876</v>
      </c>
      <c r="T48" s="20" t="n">
        <v>111.387</v>
      </c>
      <c r="U48" s="20" t="n">
        <v>113.576</v>
      </c>
      <c r="V48" s="20" t="n">
        <v>98.786</v>
      </c>
      <c r="W48" s="20" t="n">
        <v>110.935</v>
      </c>
      <c r="X48" s="20" t="n">
        <v>114.961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2.474</v>
      </c>
      <c r="D50" s="20" t="n">
        <v>3.29</v>
      </c>
      <c r="E50" s="20" t="n">
        <v>2.385</v>
      </c>
      <c r="F50" s="20" t="n">
        <v>3.025</v>
      </c>
      <c r="G50" s="20" t="n">
        <v>4.778</v>
      </c>
      <c r="H50" s="20" t="n">
        <v>3.925</v>
      </c>
      <c r="I50" s="20" t="n">
        <v>4.248</v>
      </c>
      <c r="J50" s="20" t="n">
        <v>7.038</v>
      </c>
      <c r="K50" s="20" t="n">
        <v>40.192</v>
      </c>
      <c r="L50" s="20" t="n">
        <v>19.074</v>
      </c>
      <c r="M50" s="20" t="n">
        <v>13.492</v>
      </c>
      <c r="N50" s="20" t="n">
        <v>5.772</v>
      </c>
      <c r="O50" s="19" t="n"/>
      <c r="P50" s="20" t="n">
        <v>27.119</v>
      </c>
      <c r="Q50" s="20" t="n">
        <v>33.939</v>
      </c>
      <c r="R50" s="20" t="n">
        <v>37.655</v>
      </c>
      <c r="S50" s="20" t="n">
        <v>8.343999999999999</v>
      </c>
      <c r="T50" s="20" t="n">
        <v>6.916</v>
      </c>
      <c r="U50" s="20" t="n">
        <v>12.222</v>
      </c>
      <c r="V50" s="20" t="n">
        <v>11.174</v>
      </c>
      <c r="W50" s="20" t="n">
        <v>19.989</v>
      </c>
      <c r="X50" s="20" t="n">
        <v>78.53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434.199</v>
      </c>
      <c r="D52" s="12" t="n">
        <v>539.535</v>
      </c>
      <c r="E52" s="12" t="n">
        <v>433.857</v>
      </c>
      <c r="F52" s="12" t="n">
        <v>833.309</v>
      </c>
      <c r="G52" s="12" t="n">
        <v>807.3920000000001</v>
      </c>
      <c r="H52" s="12" t="n">
        <v>976.407</v>
      </c>
      <c r="I52" s="12" t="n">
        <v>572.609</v>
      </c>
      <c r="J52" s="12" t="n">
        <v>1030.364</v>
      </c>
      <c r="K52" s="12" t="n">
        <v>729.957</v>
      </c>
      <c r="L52" s="12" t="n">
        <v>919.369</v>
      </c>
      <c r="M52" s="12" t="n">
        <v>820.453</v>
      </c>
      <c r="N52" s="12" t="n">
        <v>1053.235</v>
      </c>
      <c r="O52" s="11" t="n"/>
      <c r="P52" s="12" t="n">
        <v>539.8150000000001</v>
      </c>
      <c r="Q52" s="12" t="n">
        <v>651.631</v>
      </c>
      <c r="R52" s="12" t="n">
        <v>923.581</v>
      </c>
      <c r="S52" s="12" t="n">
        <v>443.241</v>
      </c>
      <c r="T52" s="12" t="n">
        <v>440.752</v>
      </c>
      <c r="U52" s="12" t="n">
        <v>1748.035</v>
      </c>
      <c r="V52" s="12" t="n">
        <v>2240.9</v>
      </c>
      <c r="W52" s="12" t="n">
        <v>3386.772</v>
      </c>
      <c r="X52" s="12" t="n">
        <v>3523.014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180.946</v>
      </c>
      <c r="D54" s="20" t="n">
        <v>193.777</v>
      </c>
      <c r="E54" s="20" t="n">
        <v>222.048</v>
      </c>
      <c r="F54" s="20" t="n">
        <v>91.175</v>
      </c>
      <c r="G54" s="20" t="n">
        <v>245.58</v>
      </c>
      <c r="H54" s="20" t="n">
        <v>293.742</v>
      </c>
      <c r="I54" s="20" t="n">
        <v>178.415</v>
      </c>
      <c r="J54" s="20" t="n">
        <v>236.437</v>
      </c>
      <c r="K54" s="20" t="n">
        <v>232.067</v>
      </c>
      <c r="L54" s="20" t="n">
        <v>284.148</v>
      </c>
      <c r="M54" s="20" t="n">
        <v>256.018</v>
      </c>
      <c r="N54" s="20" t="n">
        <v>280.72</v>
      </c>
      <c r="O54" s="19" t="n"/>
      <c r="P54" s="20" t="n">
        <v>-38.367</v>
      </c>
      <c r="Q54" s="20" t="n">
        <v>141.054</v>
      </c>
      <c r="R54" s="20" t="n">
        <v>311.655</v>
      </c>
      <c r="S54" s="20" t="n">
        <v>166.221</v>
      </c>
      <c r="T54" s="20" t="n">
        <v>171.593</v>
      </c>
      <c r="U54" s="20" t="n">
        <v>597.403</v>
      </c>
      <c r="V54" s="20" t="n">
        <v>687.946</v>
      </c>
      <c r="W54" s="20" t="n">
        <v>954.174</v>
      </c>
      <c r="X54" s="20" t="n">
        <v>1052.953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253.252</v>
      </c>
      <c r="D56" s="12" t="n">
        <v>345.758</v>
      </c>
      <c r="E56" s="12" t="n">
        <v>211.809</v>
      </c>
      <c r="F56" s="12" t="n">
        <v>742.135</v>
      </c>
      <c r="G56" s="12" t="n">
        <v>561.811</v>
      </c>
      <c r="H56" s="12" t="n">
        <v>682.6660000000001</v>
      </c>
      <c r="I56" s="12" t="n">
        <v>394.193</v>
      </c>
      <c r="J56" s="12" t="n">
        <v>793.928</v>
      </c>
      <c r="K56" s="12" t="n">
        <v>497.889</v>
      </c>
      <c r="L56" s="12" t="n">
        <v>635.222</v>
      </c>
      <c r="M56" s="12" t="n">
        <v>564.434</v>
      </c>
      <c r="N56" s="12" t="n">
        <v>772.515</v>
      </c>
      <c r="O56" s="11" t="n"/>
      <c r="P56" s="12" t="n">
        <v>578.183</v>
      </c>
      <c r="Q56" s="12" t="n">
        <v>510.577</v>
      </c>
      <c r="R56" s="12" t="n">
        <v>611.926</v>
      </c>
      <c r="S56" s="12" t="n">
        <v>277.019</v>
      </c>
      <c r="T56" s="12" t="n">
        <v>269.158</v>
      </c>
      <c r="U56" s="12" t="n">
        <v>1150.631</v>
      </c>
      <c r="V56" s="12" t="n">
        <v>1552.954</v>
      </c>
      <c r="W56" s="12" t="n">
        <v>2432.598</v>
      </c>
      <c r="X56" s="12" t="n">
        <v>2470.06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253.252</v>
      </c>
      <c r="D58" s="12" t="n">
        <v>345.758</v>
      </c>
      <c r="E58" s="12" t="n">
        <v>211.809</v>
      </c>
      <c r="F58" s="12" t="n">
        <v>742.135</v>
      </c>
      <c r="G58" s="12" t="n">
        <v>561.811</v>
      </c>
      <c r="H58" s="12" t="n">
        <v>682.6660000000001</v>
      </c>
      <c r="I58" s="12" t="n">
        <v>394.193</v>
      </c>
      <c r="J58" s="12" t="n">
        <v>793.928</v>
      </c>
      <c r="K58" s="12" t="n">
        <v>497.889</v>
      </c>
      <c r="L58" s="12" t="n">
        <v>635.222</v>
      </c>
      <c r="M58" s="12" t="n">
        <v>564.434</v>
      </c>
      <c r="N58" s="12" t="n">
        <v>772.515</v>
      </c>
      <c r="O58" s="11" t="n"/>
      <c r="P58" s="12" t="n">
        <v>578.183</v>
      </c>
      <c r="Q58" s="12" t="n">
        <v>510.577</v>
      </c>
      <c r="R58" s="12" t="n">
        <v>611.926</v>
      </c>
      <c r="S58" s="12" t="n">
        <v>277.019</v>
      </c>
      <c r="T58" s="12" t="n">
        <v>269.158</v>
      </c>
      <c r="U58" s="12" t="n">
        <v>1150.631</v>
      </c>
      <c r="V58" s="12" t="n">
        <v>1552.954</v>
      </c>
      <c r="W58" s="12" t="n">
        <v>2432.598</v>
      </c>
      <c r="X58" s="12" t="n">
        <v>2470.06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(2026.10.28)</t>
        </is>
      </c>
      <c r="B62" s="27" t="n">
        <v>1007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30091000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2026.10.28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2024.1Q</t>
        </is>
      </c>
      <c r="D92" s="5" t="inlineStr">
        <is>
          <t>2024.2Q</t>
        </is>
      </c>
      <c r="E92" s="5" t="inlineStr">
        <is>
          <t>2024.3Q</t>
        </is>
      </c>
      <c r="F92" s="5" t="inlineStr">
        <is>
          <t>2024.4Q</t>
        </is>
      </c>
      <c r="G92" s="5" t="inlineStr">
        <is>
          <t>2025.1Q</t>
        </is>
      </c>
      <c r="H92" s="5" t="inlineStr">
        <is>
          <t>2025.2Q</t>
        </is>
      </c>
      <c r="I92" s="5" t="inlineStr">
        <is>
          <t>2025.3Q</t>
        </is>
      </c>
      <c r="J92" s="5" t="inlineStr">
        <is>
          <t>2025.4Q</t>
        </is>
      </c>
      <c r="K92" s="5" t="inlineStr">
        <is>
          <t>2026.1Q</t>
        </is>
      </c>
      <c r="L92" s="5" t="inlineStr">
        <is>
          <t>2026.2Q</t>
        </is>
      </c>
      <c r="M92" s="5" t="inlineStr">
        <is>
          <t>2026.3Q</t>
        </is>
      </c>
      <c r="N92" s="5" t="inlineStr">
        <is>
          <t>2026.4Q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5388.319</v>
      </c>
      <c r="D93" s="12" t="n">
        <v>5668.671</v>
      </c>
      <c r="E93" s="12" t="n">
        <v>5771.386</v>
      </c>
      <c r="F93" s="12" t="n">
        <v>7090.215</v>
      </c>
      <c r="G93" s="12" t="n">
        <v>6941.558</v>
      </c>
      <c r="H93" s="12" t="n">
        <v>7589.2</v>
      </c>
      <c r="I93" s="12" t="n">
        <v>6639.992</v>
      </c>
      <c r="J93" s="12" t="n">
        <v>7899.684</v>
      </c>
      <c r="K93" s="12" t="n">
        <v>7202.659</v>
      </c>
      <c r="L93" s="12" t="n">
        <v>7740.257</v>
      </c>
      <c r="M93" s="12" t="n">
        <v>7788.87</v>
      </c>
      <c r="N93" s="12" t="n">
        <v>9847.352999999999</v>
      </c>
      <c r="T93" s="12" t="n">
        <v>5278.902</v>
      </c>
      <c r="U93" s="12" t="n">
        <v>5386.921</v>
      </c>
      <c r="V93" s="12" t="n">
        <v>7090.215</v>
      </c>
      <c r="W93" s="12" t="n">
        <v>7899.684</v>
      </c>
      <c r="X93" s="12" t="n">
        <v>9847.352999999999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3658.71</v>
      </c>
      <c r="D95" s="20" t="n">
        <v>3849.503</v>
      </c>
      <c r="E95" s="20" t="n">
        <v>3767.838</v>
      </c>
      <c r="F95" s="20" t="n">
        <v>4811.879</v>
      </c>
      <c r="G95" s="20" t="n">
        <v>4640.657</v>
      </c>
      <c r="H95" s="20" t="n">
        <v>5070.162</v>
      </c>
      <c r="I95" s="20" t="n">
        <v>4289.837</v>
      </c>
      <c r="J95" s="20" t="n">
        <v>5234.496</v>
      </c>
      <c r="K95" s="20" t="n">
        <v>4699.026</v>
      </c>
      <c r="L95" s="20" t="n">
        <v>5118.041</v>
      </c>
      <c r="M95" s="20" t="n">
        <v>5143.129</v>
      </c>
      <c r="N95" s="20" t="n">
        <v>6865.576</v>
      </c>
      <c r="T95" s="20" t="n">
        <v>3848.07</v>
      </c>
      <c r="U95" s="20" t="n">
        <v>3660.368</v>
      </c>
      <c r="V95" s="20" t="n">
        <v>4811.879</v>
      </c>
      <c r="W95" s="20" t="n">
        <v>5234.496</v>
      </c>
      <c r="X95" s="20" t="n">
        <v>6865.576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1729.609</v>
      </c>
      <c r="D97" s="12" t="n">
        <v>1819.167</v>
      </c>
      <c r="E97" s="12" t="n">
        <v>2003.549</v>
      </c>
      <c r="F97" s="12" t="n">
        <v>2278.336</v>
      </c>
      <c r="G97" s="12" t="n">
        <v>2300.901</v>
      </c>
      <c r="H97" s="12" t="n">
        <v>2519.037</v>
      </c>
      <c r="I97" s="12" t="n">
        <v>2350.155</v>
      </c>
      <c r="J97" s="12" t="n">
        <v>2665.188</v>
      </c>
      <c r="K97" s="12" t="n">
        <v>2503.632</v>
      </c>
      <c r="L97" s="12" t="n">
        <v>2622.217</v>
      </c>
      <c r="M97" s="12" t="n">
        <v>2645.74</v>
      </c>
      <c r="N97" s="12" t="n">
        <v>2981.777</v>
      </c>
      <c r="T97" s="12" t="n">
        <v>1430.832</v>
      </c>
      <c r="U97" s="12" t="n">
        <v>1726.554</v>
      </c>
      <c r="V97" s="12" t="n">
        <v>2278.336</v>
      </c>
      <c r="W97" s="12" t="n">
        <v>2665.188</v>
      </c>
      <c r="X97" s="12" t="n">
        <v>2981.777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1316.007</v>
      </c>
      <c r="D99" s="20" t="n">
        <v>1298.573</v>
      </c>
      <c r="E99" s="20" t="n">
        <v>1435.59</v>
      </c>
      <c r="F99" s="20" t="n">
        <v>1466.217</v>
      </c>
      <c r="G99" s="20" t="n">
        <v>1515.344</v>
      </c>
      <c r="H99" s="20" t="n">
        <v>1563.482</v>
      </c>
      <c r="I99" s="20" t="n">
        <v>1796.185</v>
      </c>
      <c r="J99" s="20" t="n">
        <v>1667.61</v>
      </c>
      <c r="K99" s="20" t="n">
        <v>1759.665</v>
      </c>
      <c r="L99" s="20" t="n">
        <v>1710.465</v>
      </c>
      <c r="M99" s="20" t="n">
        <v>1819.462</v>
      </c>
      <c r="N99" s="20" t="n">
        <v>1894.2</v>
      </c>
      <c r="T99" s="20" t="n">
        <v>1065.625</v>
      </c>
      <c r="U99" s="20" t="n">
        <v>1238.769</v>
      </c>
      <c r="V99" s="20" t="n">
        <v>1466.217</v>
      </c>
      <c r="W99" s="20" t="n">
        <v>1667.61</v>
      </c>
      <c r="X99" s="20" t="n">
        <v>1894.2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413.601</v>
      </c>
      <c r="D101" s="12" t="n">
        <v>520.595</v>
      </c>
      <c r="E101" s="12" t="n">
        <v>567.958</v>
      </c>
      <c r="F101" s="12" t="n">
        <v>812.119</v>
      </c>
      <c r="G101" s="12" t="n">
        <v>785.556</v>
      </c>
      <c r="H101" s="12" t="n">
        <v>955.5549999999999</v>
      </c>
      <c r="I101" s="12" t="n">
        <v>553.971</v>
      </c>
      <c r="J101" s="12" t="n">
        <v>997.578</v>
      </c>
      <c r="K101" s="12" t="n">
        <v>743.966</v>
      </c>
      <c r="L101" s="12" t="n">
        <v>911.752</v>
      </c>
      <c r="M101" s="12" t="n">
        <v>826.279</v>
      </c>
      <c r="N101" s="12" t="n">
        <v>1087.577</v>
      </c>
      <c r="T101" s="12" t="n">
        <v>365.207</v>
      </c>
      <c r="U101" s="12" t="n">
        <v>487.785</v>
      </c>
      <c r="V101" s="12" t="n">
        <v>812.119</v>
      </c>
      <c r="W101" s="12" t="n">
        <v>997.578</v>
      </c>
      <c r="X101" s="12" t="n">
        <v>1087.577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0.404</v>
      </c>
      <c r="D104" s="20" t="n">
        <v>0.864</v>
      </c>
      <c r="E104" s="20" t="n">
        <v>0.447</v>
      </c>
      <c r="F104" s="20" t="n">
        <v>0.359</v>
      </c>
      <c r="G104" s="20" t="n">
        <v>0.195</v>
      </c>
      <c r="H104" s="20" t="n">
        <v>0.5629999999999999</v>
      </c>
      <c r="I104" s="20" t="n">
        <v>0.227</v>
      </c>
      <c r="J104" s="20" t="n">
        <v>0.926</v>
      </c>
      <c r="K104" s="20" t="n">
        <v>2.462</v>
      </c>
      <c r="L104" s="20" t="n">
        <v>3.906</v>
      </c>
      <c r="M104" s="20" t="n">
        <v>5.211</v>
      </c>
      <c r="N104" s="20" t="n">
        <v>8.029</v>
      </c>
      <c r="T104" s="20" t="n">
        <v>0.6</v>
      </c>
      <c r="U104" s="20" t="n">
        <v>0.278</v>
      </c>
      <c r="V104" s="20" t="n">
        <v>0.359</v>
      </c>
      <c r="W104" s="20" t="n">
        <v>0.926</v>
      </c>
      <c r="X104" s="20" t="n">
        <v>8.029</v>
      </c>
    </row>
    <row r="105">
      <c r="A105" s="18" t="inlineStr">
        <is>
          <t>배당금수익</t>
        </is>
      </c>
      <c r="C105" s="20" t="n">
        <v>0</v>
      </c>
      <c r="D105" s="20" t="n">
        <v>0</v>
      </c>
      <c r="E105" s="20" t="n">
        <v>0</v>
      </c>
      <c r="F105" s="20" t="n">
        <v>0</v>
      </c>
      <c r="G105" s="20" t="n">
        <v>0.234</v>
      </c>
      <c r="H105" s="20" t="n">
        <v>0</v>
      </c>
      <c r="I105" s="20" t="n">
        <v>0.252</v>
      </c>
      <c r="J105" s="20" t="n">
        <v>0</v>
      </c>
      <c r="K105" s="20" t="n">
        <v>0.36</v>
      </c>
      <c r="L105" s="20" t="n">
        <v>0</v>
      </c>
      <c r="M105" s="20" t="n">
        <v>0.996</v>
      </c>
      <c r="N105" s="20" t="n">
        <v>0.468</v>
      </c>
      <c r="V105" s="20" t="n">
        <v>0</v>
      </c>
      <c r="W105" s="20" t="n">
        <v>0</v>
      </c>
      <c r="X105" s="20" t="n">
        <v>0.468</v>
      </c>
    </row>
    <row r="106">
      <c r="A106" s="18" t="inlineStr">
        <is>
          <t>채무 등 결제 차익</t>
        </is>
      </c>
      <c r="C106" s="20" t="n">
        <v>21.618</v>
      </c>
      <c r="D106" s="20" t="n">
        <v>20.295</v>
      </c>
      <c r="E106" s="20" t="n">
        <v>21.477</v>
      </c>
      <c r="F106" s="20" t="n">
        <v>24.18</v>
      </c>
      <c r="G106" s="20" t="n">
        <v>22.461</v>
      </c>
      <c r="H106" s="20" t="n">
        <v>20.376</v>
      </c>
      <c r="I106" s="20" t="n">
        <v>14.958</v>
      </c>
      <c r="J106" s="20" t="n">
        <v>16.35</v>
      </c>
      <c r="K106" s="20" t="n">
        <v>16.083</v>
      </c>
      <c r="L106" s="20" t="n">
        <v>17.775</v>
      </c>
      <c r="M106" s="20" t="n">
        <v>18.281</v>
      </c>
      <c r="N106" s="20" t="n">
        <v>18.931</v>
      </c>
      <c r="T106" s="20" t="n">
        <v>38.993</v>
      </c>
      <c r="U106" s="20" t="n">
        <v>20.518</v>
      </c>
      <c r="V106" s="20" t="n">
        <v>24.18</v>
      </c>
      <c r="W106" s="20" t="n">
        <v>16.35</v>
      </c>
      <c r="X106" s="20" t="n">
        <v>18.931</v>
      </c>
    </row>
    <row r="107">
      <c r="A107" s="18" t="inlineStr">
        <is>
          <t>투자유가증권 매각이익</t>
        </is>
      </c>
      <c r="C107" s="20" t="n">
        <v>0</v>
      </c>
      <c r="D107" s="20" t="n">
        <v>0</v>
      </c>
      <c r="E107" s="20" t="n">
        <v>0</v>
      </c>
      <c r="F107" s="20" t="n">
        <v>0</v>
      </c>
      <c r="T107" s="20" t="n">
        <v>0</v>
      </c>
      <c r="U107" s="20" t="n">
        <v>0</v>
      </c>
      <c r="V107" s="20" t="n">
        <v>0</v>
      </c>
    </row>
    <row r="108">
      <c r="A108" s="18" t="inlineStr">
        <is>
          <t>수수료 수익</t>
        </is>
      </c>
      <c r="G108" s="20" t="n">
        <v>2.425</v>
      </c>
      <c r="H108" s="20" t="n">
        <v>2.276</v>
      </c>
      <c r="I108" s="20" t="n">
        <v>4.765</v>
      </c>
      <c r="J108" s="20" t="n">
        <v>3.772</v>
      </c>
      <c r="K108" s="20" t="n">
        <v>3.701</v>
      </c>
      <c r="L108" s="20" t="n">
        <v>3.65</v>
      </c>
      <c r="M108" s="20" t="n">
        <v>3.641</v>
      </c>
      <c r="N108" s="20" t="n">
        <v>3.872</v>
      </c>
      <c r="W108" s="20" t="n">
        <v>3.772</v>
      </c>
      <c r="X108" s="20" t="n">
        <v>3.872</v>
      </c>
    </row>
    <row r="109">
      <c r="A109" s="18" t="inlineStr">
        <is>
          <t>기타</t>
        </is>
      </c>
      <c r="C109" s="20" t="n">
        <v>1.049</v>
      </c>
      <c r="D109" s="20" t="n">
        <v>1.07</v>
      </c>
      <c r="E109" s="20" t="n">
        <v>1.77</v>
      </c>
      <c r="F109" s="20" t="n">
        <v>1.318</v>
      </c>
      <c r="G109" s="20" t="n">
        <v>1.297</v>
      </c>
      <c r="H109" s="20" t="n">
        <v>1.562</v>
      </c>
      <c r="I109" s="20" t="n">
        <v>-0.482</v>
      </c>
      <c r="J109" s="20" t="n">
        <v>1.277</v>
      </c>
      <c r="K109" s="20" t="n">
        <v>3.575</v>
      </c>
      <c r="L109" s="20" t="n">
        <v>1.361</v>
      </c>
      <c r="M109" s="20" t="n">
        <v>0.861</v>
      </c>
      <c r="N109" s="20" t="n">
        <v>1.797</v>
      </c>
      <c r="T109" s="20" t="n">
        <v>1.92</v>
      </c>
      <c r="U109" s="20" t="n">
        <v>1.71</v>
      </c>
      <c r="V109" s="20" t="n">
        <v>1.318</v>
      </c>
      <c r="W109" s="20" t="n">
        <v>1.277</v>
      </c>
      <c r="X109" s="20" t="n">
        <v>1.797</v>
      </c>
    </row>
    <row r="110">
      <c r="A110" s="18" t="inlineStr">
        <is>
          <t>영업외수익 합계</t>
        </is>
      </c>
      <c r="C110" s="20" t="n">
        <v>23.072</v>
      </c>
      <c r="D110" s="20" t="n">
        <v>22.229</v>
      </c>
      <c r="E110" s="20" t="n">
        <v>23.694</v>
      </c>
      <c r="F110" s="20" t="n">
        <v>29.791</v>
      </c>
      <c r="G110" s="20" t="n">
        <v>26.614</v>
      </c>
      <c r="H110" s="20" t="n">
        <v>24.777</v>
      </c>
      <c r="I110" s="20" t="n">
        <v>19.72</v>
      </c>
      <c r="J110" s="20" t="n">
        <v>39.824</v>
      </c>
      <c r="K110" s="20" t="n">
        <v>26.183</v>
      </c>
      <c r="L110" s="20" t="n">
        <v>26.692</v>
      </c>
      <c r="M110" s="20" t="n">
        <v>28.99</v>
      </c>
      <c r="N110" s="20" t="n">
        <v>33.096</v>
      </c>
      <c r="T110" s="20" t="n">
        <v>41.513</v>
      </c>
      <c r="U110" s="20" t="n">
        <v>22.506</v>
      </c>
      <c r="V110" s="20" t="n">
        <v>29.791</v>
      </c>
      <c r="W110" s="20" t="n">
        <v>39.824</v>
      </c>
      <c r="X110" s="20" t="n">
        <v>33.096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18" t="inlineStr">
        <is>
          <t>이자비용</t>
        </is>
      </c>
      <c r="C112" s="20" t="n">
        <v>2.444</v>
      </c>
      <c r="D112" s="20" t="n">
        <v>2.41</v>
      </c>
      <c r="E112" s="20" t="n">
        <v>2.105</v>
      </c>
      <c r="F112" s="20" t="n">
        <v>2.571</v>
      </c>
      <c r="G112" s="20" t="n">
        <v>3.084</v>
      </c>
      <c r="H112" s="20" t="n">
        <v>3.647</v>
      </c>
      <c r="I112" s="20" t="n">
        <v>3.892</v>
      </c>
      <c r="J112" s="20" t="n">
        <v>3.738</v>
      </c>
      <c r="K112" s="20" t="n">
        <v>3.6</v>
      </c>
      <c r="L112" s="20" t="n">
        <v>4.417</v>
      </c>
      <c r="M112" s="20" t="n">
        <v>5.032</v>
      </c>
      <c r="N112" s="20" t="n">
        <v>5.448</v>
      </c>
      <c r="T112" s="20" t="n">
        <v>1.787</v>
      </c>
      <c r="U112" s="20" t="n">
        <v>3.41</v>
      </c>
      <c r="V112" s="20" t="n">
        <v>2.571</v>
      </c>
      <c r="W112" s="20" t="n">
        <v>3.738</v>
      </c>
      <c r="X112" s="20" t="n">
        <v>5.448</v>
      </c>
    </row>
    <row r="113">
      <c r="A113" s="18" t="inlineStr">
        <is>
          <t>자기주식 취득비용</t>
        </is>
      </c>
      <c r="G113" s="20" t="n">
        <v>0</v>
      </c>
      <c r="H113" s="20" t="n">
        <v>0</v>
      </c>
      <c r="I113" s="20" t="n">
        <v>0</v>
      </c>
      <c r="J113" s="20" t="n">
        <v>0</v>
      </c>
      <c r="K113" s="20" t="n">
        <v>30.627</v>
      </c>
      <c r="L113" s="20" t="n">
        <v>1.863</v>
      </c>
      <c r="M113" s="20" t="n">
        <v>1.137</v>
      </c>
      <c r="N113" s="20" t="n">
        <v>0</v>
      </c>
      <c r="W113" s="20" t="n">
        <v>0</v>
      </c>
      <c r="X113" s="20" t="n">
        <v>0</v>
      </c>
    </row>
    <row r="114">
      <c r="A114" s="18" t="inlineStr">
        <is>
          <t>자기주식 처분 비용</t>
        </is>
      </c>
      <c r="G114" s="20" t="n">
        <v>0</v>
      </c>
      <c r="H114" s="20" t="n">
        <v>0</v>
      </c>
      <c r="I114" s="20" t="n">
        <v>0</v>
      </c>
      <c r="J114" s="20" t="n">
        <v>0</v>
      </c>
      <c r="K114" s="20" t="n">
        <v>5.684</v>
      </c>
      <c r="L114" s="20" t="n">
        <v>12.304</v>
      </c>
      <c r="M114" s="20" t="n">
        <v>7.018</v>
      </c>
      <c r="N114" s="20" t="n">
        <v>0</v>
      </c>
      <c r="W114" s="20" t="n">
        <v>0</v>
      </c>
      <c r="X114" s="20" t="n">
        <v>0</v>
      </c>
    </row>
    <row r="115">
      <c r="A115" s="18" t="inlineStr">
        <is>
          <t>기타</t>
        </is>
      </c>
      <c r="C115" s="20" t="n">
        <v>0.03</v>
      </c>
      <c r="D115" s="20" t="n">
        <v>0.879</v>
      </c>
      <c r="E115" s="20" t="n">
        <v>0.281</v>
      </c>
      <c r="F115" s="20" t="n">
        <v>0.203</v>
      </c>
      <c r="G115" s="20" t="n">
        <v>1.694</v>
      </c>
      <c r="H115" s="20" t="n">
        <v>0.278</v>
      </c>
      <c r="I115" s="20" t="n">
        <v>0.356</v>
      </c>
      <c r="J115" s="20" t="n">
        <v>-0.931</v>
      </c>
      <c r="K115" s="20" t="n">
        <v>0.279</v>
      </c>
      <c r="L115" s="20" t="n">
        <v>0.49</v>
      </c>
      <c r="M115" s="20" t="n">
        <v>0.306</v>
      </c>
      <c r="N115" s="20" t="n">
        <v>0.324</v>
      </c>
      <c r="T115" s="20" t="n">
        <v>0.706</v>
      </c>
      <c r="U115" s="20" t="n">
        <v>0.353</v>
      </c>
      <c r="V115" s="20" t="n">
        <v>0.203</v>
      </c>
      <c r="W115" s="20" t="n">
        <v>-0.931</v>
      </c>
      <c r="X115" s="20" t="n">
        <v>0.324</v>
      </c>
    </row>
    <row r="116">
      <c r="A116" s="18" t="inlineStr">
        <is>
          <t>영업외비용 합계</t>
        </is>
      </c>
      <c r="C116" s="20" t="n">
        <v>2.474</v>
      </c>
      <c r="D116" s="20" t="n">
        <v>3.29</v>
      </c>
      <c r="E116" s="20" t="n">
        <v>2.385</v>
      </c>
      <c r="F116" s="20" t="n">
        <v>3.025</v>
      </c>
      <c r="G116" s="20" t="n">
        <v>4.778</v>
      </c>
      <c r="H116" s="20" t="n">
        <v>3.925</v>
      </c>
      <c r="I116" s="20" t="n">
        <v>4.248</v>
      </c>
      <c r="J116" s="20" t="n">
        <v>7.038</v>
      </c>
      <c r="K116" s="20" t="n">
        <v>40.192</v>
      </c>
      <c r="L116" s="20" t="n">
        <v>19.074</v>
      </c>
      <c r="M116" s="20" t="n">
        <v>13.492</v>
      </c>
      <c r="N116" s="20" t="n">
        <v>5.772</v>
      </c>
      <c r="T116" s="20" t="n">
        <v>2.493</v>
      </c>
      <c r="U116" s="20" t="n">
        <v>3.764</v>
      </c>
      <c r="V116" s="20" t="n">
        <v>3.025</v>
      </c>
      <c r="W116" s="20" t="n">
        <v>7.038</v>
      </c>
      <c r="X116" s="20" t="n">
        <v>5.772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경상이익</t>
        </is>
      </c>
      <c r="C118" s="12" t="n">
        <v>434.199</v>
      </c>
      <c r="D118" s="12" t="n">
        <v>539.535</v>
      </c>
      <c r="E118" s="12" t="n">
        <v>589.265</v>
      </c>
      <c r="F118" s="12" t="n">
        <v>838.886</v>
      </c>
      <c r="G118" s="12" t="n">
        <v>807.3920000000001</v>
      </c>
      <c r="H118" s="12" t="n">
        <v>976.407</v>
      </c>
      <c r="I118" s="12" t="n">
        <v>569.443</v>
      </c>
      <c r="J118" s="12" t="n">
        <v>1030.364</v>
      </c>
      <c r="K118" s="12" t="n">
        <v>729.957</v>
      </c>
      <c r="L118" s="12" t="n">
        <v>919.369</v>
      </c>
      <c r="M118" s="12" t="n">
        <v>841.777</v>
      </c>
      <c r="N118" s="12" t="n">
        <v>1114.902</v>
      </c>
      <c r="T118" s="12" t="n">
        <v>404.227</v>
      </c>
      <c r="U118" s="12" t="n">
        <v>506.528</v>
      </c>
      <c r="V118" s="12" t="n">
        <v>838.886</v>
      </c>
      <c r="W118" s="12" t="n">
        <v>1030.364</v>
      </c>
      <c r="X118" s="12" t="n">
        <v>1114.902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고정자산 제각손실</t>
        </is>
      </c>
      <c r="T120" s="20" t="n">
        <v>0</v>
      </c>
      <c r="U120" s="20" t="n">
        <v>3.139</v>
      </c>
    </row>
    <row r="121">
      <c r="A121" s="18" t="inlineStr">
        <is>
          <t>계약 해지 손실</t>
        </is>
      </c>
      <c r="T121" s="20" t="n">
        <v>0</v>
      </c>
      <c r="U121" s="20" t="n">
        <v>0</v>
      </c>
    </row>
    <row r="122">
      <c r="A122" s="18" t="inlineStr">
        <is>
          <t>고정자산 매각이익</t>
        </is>
      </c>
      <c r="F122" s="20" t="n">
        <v>0</v>
      </c>
      <c r="J122" s="20" t="n">
        <v>0</v>
      </c>
      <c r="N122" s="20" t="n">
        <v>0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특별이익 합계</t>
        </is>
      </c>
      <c r="F123" s="20" t="n">
        <v>0</v>
      </c>
      <c r="J123" s="20" t="n">
        <v>0</v>
      </c>
      <c r="N123" s="20" t="n">
        <v>0</v>
      </c>
      <c r="T123" s="20" t="n">
        <v>0</v>
      </c>
      <c r="U123" s="20" t="n">
        <v>0</v>
      </c>
      <c r="V123" s="20" t="n">
        <v>0</v>
      </c>
      <c r="W123" s="20" t="n">
        <v>0</v>
      </c>
      <c r="X123" s="20" t="n">
        <v>0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J124" s="15">
        <f>IF(OR(J123="",F123=""),"",IF(J123*F123&lt;=0,"",IFERROR(J123/F123-1,"")))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18" t="inlineStr">
        <is>
          <t>손상차손</t>
        </is>
      </c>
      <c r="F125" s="20" t="n">
        <v>2.518</v>
      </c>
      <c r="J125" s="20" t="n">
        <v>0</v>
      </c>
      <c r="N125" s="20" t="n">
        <v>61.667</v>
      </c>
      <c r="U125" s="20" t="n">
        <v>0</v>
      </c>
      <c r="V125" s="20" t="n">
        <v>2.518</v>
      </c>
      <c r="W125" s="20" t="n">
        <v>0</v>
      </c>
      <c r="X125" s="20" t="n">
        <v>61.667</v>
      </c>
    </row>
    <row r="126">
      <c r="A126" s="18" t="inlineStr">
        <is>
          <t>특별손실 합계</t>
        </is>
      </c>
      <c r="F126" s="20" t="n">
        <v>5.576</v>
      </c>
      <c r="J126" s="20" t="n">
        <v>0</v>
      </c>
      <c r="N126" s="20" t="n">
        <v>61.667</v>
      </c>
      <c r="T126" s="20" t="n">
        <v>0</v>
      </c>
      <c r="U126" s="20" t="n">
        <v>3.139</v>
      </c>
      <c r="V126" s="20" t="n">
        <v>5.576</v>
      </c>
      <c r="W126" s="20" t="n">
        <v>0</v>
      </c>
      <c r="X126" s="20" t="n">
        <v>61.667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J127" s="15">
        <f>IF(OR(J126="",F126=""),"",IF(J126*F126&lt;=0,"",IFERROR(J126/F126-1,"")))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법인세차감전 순이익</t>
        </is>
      </c>
      <c r="C128" s="12" t="n">
        <v>434.199</v>
      </c>
      <c r="D128" s="12" t="n">
        <v>539.535</v>
      </c>
      <c r="E128" s="12" t="n">
        <v>433.857</v>
      </c>
      <c r="F128" s="12" t="n">
        <v>833.309</v>
      </c>
      <c r="G128" s="12" t="n">
        <v>807.3920000000001</v>
      </c>
      <c r="H128" s="12" t="n">
        <v>976.407</v>
      </c>
      <c r="I128" s="12" t="n">
        <v>572.609</v>
      </c>
      <c r="J128" s="12" t="n">
        <v>1030.364</v>
      </c>
      <c r="K128" s="12" t="n">
        <v>729.957</v>
      </c>
      <c r="L128" s="12" t="n">
        <v>919.369</v>
      </c>
      <c r="M128" s="12" t="n">
        <v>820.453</v>
      </c>
      <c r="N128" s="12" t="n">
        <v>1053.235</v>
      </c>
      <c r="T128" s="12" t="n">
        <v>404.227</v>
      </c>
      <c r="U128" s="12" t="n">
        <v>503.388</v>
      </c>
      <c r="V128" s="12" t="n">
        <v>833.309</v>
      </c>
      <c r="W128" s="12" t="n">
        <v>1030.364</v>
      </c>
      <c r="X128" s="12" t="n">
        <v>1053.235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법인세 등 합계</t>
        </is>
      </c>
      <c r="C130" s="20" t="n">
        <v>180.946</v>
      </c>
      <c r="D130" s="20" t="n">
        <v>193.777</v>
      </c>
      <c r="E130" s="20" t="n">
        <v>222.048</v>
      </c>
      <c r="F130" s="20" t="n">
        <v>91.175</v>
      </c>
      <c r="G130" s="20" t="n">
        <v>245.58</v>
      </c>
      <c r="H130" s="20" t="n">
        <v>293.742</v>
      </c>
      <c r="I130" s="20" t="n">
        <v>178.415</v>
      </c>
      <c r="J130" s="20" t="n">
        <v>236.437</v>
      </c>
      <c r="K130" s="20" t="n">
        <v>232.067</v>
      </c>
      <c r="L130" s="20" t="n">
        <v>284.148</v>
      </c>
      <c r="M130" s="20" t="n">
        <v>256.018</v>
      </c>
      <c r="N130" s="20" t="n">
        <v>280.72</v>
      </c>
      <c r="T130" s="20" t="n">
        <v>111.663</v>
      </c>
      <c r="U130" s="20" t="n">
        <v>134.227</v>
      </c>
      <c r="V130" s="20" t="n">
        <v>91.175</v>
      </c>
      <c r="W130" s="20" t="n">
        <v>236.437</v>
      </c>
      <c r="X130" s="20" t="n">
        <v>280.72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순이익</t>
        </is>
      </c>
      <c r="C132" s="12" t="n">
        <v>253.252</v>
      </c>
      <c r="D132" s="12" t="n">
        <v>345.758</v>
      </c>
      <c r="E132" s="12" t="n">
        <v>211.809</v>
      </c>
      <c r="F132" s="12" t="n">
        <v>742.135</v>
      </c>
      <c r="G132" s="12" t="n">
        <v>561.811</v>
      </c>
      <c r="H132" s="12" t="n">
        <v>682.6660000000001</v>
      </c>
      <c r="I132" s="12" t="n">
        <v>394.193</v>
      </c>
      <c r="J132" s="12" t="n">
        <v>793.928</v>
      </c>
      <c r="K132" s="12" t="n">
        <v>497.889</v>
      </c>
      <c r="L132" s="12" t="n">
        <v>635.222</v>
      </c>
      <c r="M132" s="12" t="n">
        <v>564.434</v>
      </c>
      <c r="N132" s="12" t="n">
        <v>772.515</v>
      </c>
      <c r="T132" s="12" t="n">
        <v>292.563</v>
      </c>
      <c r="U132" s="12" t="n">
        <v>369.161</v>
      </c>
      <c r="V132" s="12" t="n">
        <v>742.135</v>
      </c>
      <c r="W132" s="12" t="n">
        <v>793.928</v>
      </c>
      <c r="X132" s="12" t="n">
        <v>772.515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지배주주 순이익</t>
        </is>
      </c>
      <c r="C134" s="12" t="n">
        <v>253.252</v>
      </c>
      <c r="D134" s="12" t="n">
        <v>345.758</v>
      </c>
      <c r="E134" s="12" t="n">
        <v>211.809</v>
      </c>
      <c r="F134" s="12" t="n">
        <v>742.135</v>
      </c>
      <c r="G134" s="12" t="n">
        <v>561.811</v>
      </c>
      <c r="H134" s="12" t="n">
        <v>682.6660000000001</v>
      </c>
      <c r="I134" s="12" t="n">
        <v>394.193</v>
      </c>
      <c r="J134" s="12" t="n">
        <v>793.928</v>
      </c>
      <c r="K134" s="12" t="n">
        <v>497.889</v>
      </c>
      <c r="L134" s="12" t="n">
        <v>635.222</v>
      </c>
      <c r="M134" s="12" t="n">
        <v>564.434</v>
      </c>
      <c r="N134" s="12" t="n">
        <v>772.515</v>
      </c>
      <c r="T134" s="12" t="n">
        <v>292.563</v>
      </c>
      <c r="U134" s="12" t="n">
        <v>369.161</v>
      </c>
      <c r="V134" s="12" t="n">
        <v>742.135</v>
      </c>
      <c r="W134" s="12" t="n">
        <v>793.928</v>
      </c>
      <c r="X134" s="12" t="n">
        <v>772.515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7">
      <c r="A137" s="16" t="inlineStr">
        <is>
          <t>포괄손익 · 전 항목</t>
        </is>
      </c>
      <c r="B137" s="42" t="inlineStr">
        <is>
          <t>분기 = 3개월 단독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2024.1Q</t>
        </is>
      </c>
      <c r="D138" s="5" t="inlineStr">
        <is>
          <t>2024.2Q</t>
        </is>
      </c>
      <c r="E138" s="5" t="inlineStr">
        <is>
          <t>2024.3Q</t>
        </is>
      </c>
      <c r="F138" s="5" t="inlineStr">
        <is>
          <t>2024.4Q</t>
        </is>
      </c>
      <c r="G138" s="5" t="inlineStr">
        <is>
          <t>2025.1Q</t>
        </is>
      </c>
      <c r="H138" s="5" t="inlineStr">
        <is>
          <t>2025.2Q</t>
        </is>
      </c>
      <c r="I138" s="5" t="inlineStr">
        <is>
          <t>2025.3Q</t>
        </is>
      </c>
      <c r="J138" s="5" t="inlineStr">
        <is>
          <t>2025.4Q</t>
        </is>
      </c>
      <c r="K138" s="5" t="inlineStr">
        <is>
          <t>2026.1Q</t>
        </is>
      </c>
      <c r="L138" s="5" t="inlineStr">
        <is>
          <t>2026.2Q</t>
        </is>
      </c>
      <c r="M138" s="5" t="inlineStr">
        <is>
          <t>2026.3Q</t>
        </is>
      </c>
      <c r="N138" s="5" t="inlineStr">
        <is>
          <t>2026.4Q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9" t="inlineStr">
        <is>
          <t>순이익</t>
        </is>
      </c>
      <c r="C139" s="12" t="n">
        <v>253.252</v>
      </c>
      <c r="D139" s="12" t="n">
        <v>345.758</v>
      </c>
      <c r="E139" s="12" t="n">
        <v>211.809</v>
      </c>
      <c r="F139" s="12" t="n">
        <v>742.135</v>
      </c>
      <c r="G139" s="12" t="n">
        <v>561.811</v>
      </c>
      <c r="H139" s="12" t="n">
        <v>682.6660000000001</v>
      </c>
      <c r="I139" s="12" t="n">
        <v>394.193</v>
      </c>
      <c r="J139" s="12" t="n">
        <v>793.928</v>
      </c>
      <c r="K139" s="12" t="n">
        <v>497.889</v>
      </c>
      <c r="L139" s="12" t="n">
        <v>635.222</v>
      </c>
      <c r="M139" s="12" t="n">
        <v>564.434</v>
      </c>
      <c r="N139" s="12" t="n">
        <v>772.515</v>
      </c>
      <c r="T139" s="12" t="n">
        <v>292.563</v>
      </c>
      <c r="U139" s="12" t="n">
        <v>369.161</v>
      </c>
      <c r="V139" s="12" t="n">
        <v>742.135</v>
      </c>
      <c r="W139" s="12" t="n">
        <v>793.928</v>
      </c>
      <c r="X139" s="12" t="n">
        <v>772.515</v>
      </c>
    </row>
    <row r="140">
      <c r="A140" s="18" t="inlineStr">
        <is>
          <t>기타유가증권 평가차액</t>
        </is>
      </c>
      <c r="C140" s="20" t="n">
        <v>-6.533</v>
      </c>
      <c r="D140" s="20" t="n">
        <v>0.591</v>
      </c>
      <c r="E140" s="20" t="n">
        <v>-0.968</v>
      </c>
      <c r="F140" s="20" t="n">
        <v>2.287</v>
      </c>
      <c r="G140" s="20" t="n">
        <v>1.57</v>
      </c>
      <c r="H140" s="20" t="n">
        <v>-3.655</v>
      </c>
      <c r="I140" s="20" t="n">
        <v>0.578</v>
      </c>
      <c r="J140" s="20" t="n">
        <v>0.547</v>
      </c>
      <c r="K140" s="20" t="n">
        <v>8.172000000000001</v>
      </c>
      <c r="L140" s="20" t="n">
        <v>0.346</v>
      </c>
      <c r="M140" s="20" t="n">
        <v>-15.038</v>
      </c>
      <c r="N140" s="20" t="n">
        <v>5.395</v>
      </c>
      <c r="T140" s="20" t="n">
        <v>0.314</v>
      </c>
      <c r="U140" s="20" t="n">
        <v>-0.603</v>
      </c>
      <c r="V140" s="20" t="n">
        <v>2.287</v>
      </c>
      <c r="W140" s="20" t="n">
        <v>0.547</v>
      </c>
      <c r="X140" s="20" t="n">
        <v>5.395</v>
      </c>
    </row>
    <row r="141">
      <c r="A141" s="18" t="inlineStr">
        <is>
          <t>기타포괄손익 합계</t>
        </is>
      </c>
      <c r="C141" s="20" t="n">
        <v>-6.533</v>
      </c>
      <c r="D141" s="20" t="n">
        <v>0.591</v>
      </c>
      <c r="E141" s="20" t="n">
        <v>-0.968</v>
      </c>
      <c r="F141" s="20" t="n">
        <v>2.287</v>
      </c>
      <c r="G141" s="20" t="n">
        <v>1.57</v>
      </c>
      <c r="H141" s="20" t="n">
        <v>-3.655</v>
      </c>
      <c r="I141" s="20" t="n">
        <v>0.578</v>
      </c>
      <c r="J141" s="20" t="n">
        <v>0.547</v>
      </c>
      <c r="K141" s="20" t="n">
        <v>8.172000000000001</v>
      </c>
      <c r="L141" s="20" t="n">
        <v>0.346</v>
      </c>
      <c r="M141" s="20" t="n">
        <v>-15.038</v>
      </c>
      <c r="N141" s="20" t="n">
        <v>5.395</v>
      </c>
      <c r="T141" s="20" t="n">
        <v>0.314</v>
      </c>
      <c r="U141" s="20" t="n">
        <v>-0.603</v>
      </c>
      <c r="V141" s="20" t="n">
        <v>2.287</v>
      </c>
      <c r="W141" s="20" t="n">
        <v>0.547</v>
      </c>
      <c r="X141" s="20" t="n">
        <v>5.395</v>
      </c>
    </row>
    <row r="142">
      <c r="A142" s="9" t="inlineStr">
        <is>
          <t>포괄이익</t>
        </is>
      </c>
      <c r="C142" s="12" t="n">
        <v>246.719</v>
      </c>
      <c r="D142" s="12" t="n">
        <v>346.348</v>
      </c>
      <c r="E142" s="12" t="n">
        <v>210.842</v>
      </c>
      <c r="F142" s="12" t="n">
        <v>744.421</v>
      </c>
      <c r="G142" s="12" t="n">
        <v>563.3819999999999</v>
      </c>
      <c r="H142" s="12" t="n">
        <v>679.009</v>
      </c>
      <c r="I142" s="12" t="n">
        <v>394.772</v>
      </c>
      <c r="J142" s="12" t="n">
        <v>794.474</v>
      </c>
      <c r="K142" s="12" t="n">
        <v>506.062</v>
      </c>
      <c r="L142" s="12" t="n">
        <v>635.567</v>
      </c>
      <c r="M142" s="12" t="n">
        <v>549.395</v>
      </c>
      <c r="N142" s="12" t="n">
        <v>777.91</v>
      </c>
      <c r="T142" s="12" t="n">
        <v>292.877</v>
      </c>
      <c r="U142" s="12" t="n">
        <v>368.558</v>
      </c>
      <c r="V142" s="12" t="n">
        <v>744.421</v>
      </c>
      <c r="W142" s="12" t="n">
        <v>794.474</v>
      </c>
      <c r="X142" s="12" t="n">
        <v>777.91</v>
      </c>
    </row>
    <row r="143">
      <c r="A143" s="9" t="inlineStr">
        <is>
          <t>지배주주 포괄이익</t>
        </is>
      </c>
      <c r="C143" s="12" t="n">
        <v>246.719</v>
      </c>
      <c r="D143" s="12" t="n">
        <v>346.348</v>
      </c>
      <c r="E143" s="12" t="n">
        <v>210.842</v>
      </c>
      <c r="F143" s="12" t="n">
        <v>744.421</v>
      </c>
      <c r="G143" s="12" t="n">
        <v>563.3819999999999</v>
      </c>
      <c r="H143" s="12" t="n">
        <v>679.009</v>
      </c>
      <c r="I143" s="12" t="n">
        <v>394.772</v>
      </c>
      <c r="J143" s="12" t="n">
        <v>794.474</v>
      </c>
      <c r="K143" s="12" t="n">
        <v>506.062</v>
      </c>
      <c r="L143" s="12" t="n">
        <v>635.567</v>
      </c>
      <c r="M143" s="12" t="n">
        <v>549.395</v>
      </c>
      <c r="N143" s="12" t="n">
        <v>777.91</v>
      </c>
      <c r="T143" s="12" t="n">
        <v>292.877</v>
      </c>
      <c r="U143" s="12" t="n">
        <v>368.558</v>
      </c>
      <c r="V143" s="12" t="n">
        <v>744.421</v>
      </c>
      <c r="W143" s="12" t="n">
        <v>794.474</v>
      </c>
      <c r="X143" s="12" t="n">
        <v>777.91</v>
      </c>
    </row>
    <row r="145">
      <c r="A145" s="16" t="inlineStr">
        <is>
          <t>부문 · 전 항목</t>
        </is>
      </c>
      <c r="B145" s="42" t="inlineStr">
        <is>
          <t>부문 · 항목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2024.1Q</t>
        </is>
      </c>
      <c r="D146" s="5" t="inlineStr">
        <is>
          <t>2024.2Q</t>
        </is>
      </c>
      <c r="E146" s="5" t="inlineStr">
        <is>
          <t>2024.3Q</t>
        </is>
      </c>
      <c r="F146" s="5" t="inlineStr">
        <is>
          <t>2024.4Q</t>
        </is>
      </c>
      <c r="G146" s="5" t="inlineStr">
        <is>
          <t>2025.1Q</t>
        </is>
      </c>
      <c r="H146" s="5" t="inlineStr">
        <is>
          <t>2025.2Q</t>
        </is>
      </c>
      <c r="I146" s="5" t="inlineStr">
        <is>
          <t>2025.3Q</t>
        </is>
      </c>
      <c r="J146" s="5" t="inlineStr">
        <is>
          <t>2025.4Q</t>
        </is>
      </c>
      <c r="K146" s="5" t="inlineStr">
        <is>
          <t>2026.1Q</t>
        </is>
      </c>
      <c r="L146" s="5" t="inlineStr">
        <is>
          <t>2026.2Q</t>
        </is>
      </c>
      <c r="M146" s="5" t="inlineStr">
        <is>
          <t>2026.3Q</t>
        </is>
      </c>
      <c r="N146" s="5" t="inlineStr">
        <is>
          <t>2026.4Q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18" t="inlineStr">
        <is>
          <t>오피스 광 119 사업 · 외부 고객 매출</t>
        </is>
      </c>
      <c r="C147" s="20" t="n">
        <v>2930.852</v>
      </c>
      <c r="D147" s="20" t="n">
        <v>2940.593</v>
      </c>
      <c r="E147" s="20" t="n">
        <v>3011.555</v>
      </c>
      <c r="F147" s="20" t="n">
        <v>3045.907</v>
      </c>
      <c r="G147" s="20" t="n">
        <v>3068.052</v>
      </c>
      <c r="H147" s="20" t="n">
        <v>3084.842</v>
      </c>
      <c r="I147" s="20" t="n">
        <v>3205.84</v>
      </c>
      <c r="J147" s="20" t="n">
        <v>3221.166</v>
      </c>
      <c r="K147" s="20" t="n">
        <v>3251.478</v>
      </c>
      <c r="L147" s="20" t="n">
        <v>3249.07</v>
      </c>
      <c r="M147" s="20" t="n">
        <v>3337.271</v>
      </c>
      <c r="N147" s="20" t="n">
        <v>3385.778</v>
      </c>
      <c r="V147" s="20" t="n">
        <v>3045.907</v>
      </c>
      <c r="W147" s="20" t="n">
        <v>3221.166</v>
      </c>
      <c r="X147" s="20" t="n">
        <v>3385.778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오피스 전기 119 사업 · 외부 고객 매출</t>
        </is>
      </c>
      <c r="C149" s="20" t="n">
        <v>2003.778</v>
      </c>
      <c r="D149" s="20" t="n">
        <v>2238.608</v>
      </c>
      <c r="E149" s="20" t="n">
        <v>2198.81</v>
      </c>
      <c r="F149" s="20" t="n">
        <v>3360.219</v>
      </c>
      <c r="G149" s="20" t="n">
        <v>2991.752</v>
      </c>
      <c r="H149" s="20" t="n">
        <v>3648.707</v>
      </c>
      <c r="I149" s="20" t="n">
        <v>2691.977</v>
      </c>
      <c r="J149" s="20" t="n">
        <v>3861.884</v>
      </c>
      <c r="K149" s="20" t="n">
        <v>3230.588</v>
      </c>
      <c r="L149" s="20" t="n">
        <v>3856.653</v>
      </c>
      <c r="M149" s="20" t="n">
        <v>3770.872</v>
      </c>
      <c r="N149" s="20" t="n">
        <v>5626.112</v>
      </c>
      <c r="V149" s="20" t="n">
        <v>3360.219</v>
      </c>
      <c r="W149" s="20" t="n">
        <v>3861.884</v>
      </c>
      <c r="X149" s="20" t="n">
        <v>5626.112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오피스 솔루션 사업 · 외부 고객 매출</t>
        </is>
      </c>
      <c r="C151" s="20" t="n">
        <v>453.688</v>
      </c>
      <c r="D151" s="20" t="n">
        <v>489.47</v>
      </c>
      <c r="E151" s="20" t="n">
        <v>561.021</v>
      </c>
      <c r="F151" s="20" t="n">
        <v>684.0890000000001</v>
      </c>
      <c r="G151" s="20" t="n">
        <v>881.754</v>
      </c>
      <c r="H151" s="20" t="n">
        <v>855.649</v>
      </c>
      <c r="I151" s="20" t="n">
        <v>742.176</v>
      </c>
      <c r="J151" s="20" t="n">
        <v>816.634</v>
      </c>
      <c r="K151" s="20" t="n">
        <v>720.592</v>
      </c>
      <c r="L151" s="20" t="n">
        <v>634.534</v>
      </c>
      <c r="M151" s="20" t="n">
        <v>680.727</v>
      </c>
      <c r="N151" s="20" t="n">
        <v>835.463</v>
      </c>
      <c r="V151" s="20" t="n">
        <v>684.0890000000001</v>
      </c>
      <c r="W151" s="20" t="n">
        <v>816.634</v>
      </c>
      <c r="X151" s="20" t="n">
        <v>835.463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보고부문 합계 · 외부 고객 매출</t>
        </is>
      </c>
      <c r="I153" s="20" t="n">
        <v>6639.992</v>
      </c>
      <c r="M153" s="20" t="n">
        <v>7788.87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I154" s="15">
        <f>IF(OR(I153="",E153=""),"",IF(E153&lt;=0,"",IFERROR(I153/E153-1,"")))</f>
        <v/>
      </c>
      <c r="M154" s="15">
        <f>IF(OR(M153="",I153=""),"",IF(I153&lt;=0,"",IFERROR(M153/I153-1,"")))</f>
        <v/>
      </c>
    </row>
    <row r="155">
      <c r="A155" s="18" t="inlineStr">
        <is>
          <t>합계 · 외부 고객 매출</t>
        </is>
      </c>
      <c r="C155" s="20" t="n">
        <v>5388.319</v>
      </c>
      <c r="D155" s="20" t="n">
        <v>5668.671</v>
      </c>
      <c r="E155" s="20" t="n">
        <v>5771.386</v>
      </c>
      <c r="F155" s="20" t="n">
        <v>7090.215</v>
      </c>
      <c r="G155" s="20" t="n">
        <v>6941.558</v>
      </c>
      <c r="K155" s="20" t="n">
        <v>7202.659</v>
      </c>
      <c r="V155" s="20" t="n">
        <v>7090.215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K156" s="15">
        <f>IF(OR(K155="",G155=""),"",IF(G155&lt;=0,"",IFERROR(K155/G155-1,"")))</f>
        <v/>
      </c>
      <c r="V156" s="15">
        <f>IF(OR(V155="",U155=""),"",IF(U155&lt;=0,"",IFERROR(V155/U155-1,"")))</f>
        <v/>
      </c>
    </row>
    <row r="157">
      <c r="A157" s="18" t="inlineStr">
        <is>
          <t>오피스 광 119 사업 · 부문 간 내부매출·대체</t>
        </is>
      </c>
      <c r="C157" s="20" t="n">
        <v>0.034</v>
      </c>
      <c r="D157" s="20" t="n">
        <v>0.016</v>
      </c>
      <c r="E157" s="20" t="n">
        <v>0.016</v>
      </c>
      <c r="F157" s="20" t="n">
        <v>0.03</v>
      </c>
      <c r="G157" s="20" t="n">
        <v>0.105</v>
      </c>
      <c r="H157" s="20" t="n">
        <v>0.13</v>
      </c>
      <c r="I157" s="20" t="n">
        <v>0.097</v>
      </c>
      <c r="J157" s="20" t="n">
        <v>0.166</v>
      </c>
      <c r="K157" s="20" t="n">
        <v>0.132</v>
      </c>
      <c r="L157" s="20" t="n">
        <v>0.118</v>
      </c>
      <c r="M157" s="20" t="n">
        <v>0.154</v>
      </c>
      <c r="N157" s="20" t="n">
        <v>0.07000000000000001</v>
      </c>
      <c r="V157" s="20" t="n">
        <v>0.03</v>
      </c>
      <c r="W157" s="20" t="n">
        <v>0.166</v>
      </c>
      <c r="X157" s="20" t="n">
        <v>0.07000000000000001</v>
      </c>
    </row>
    <row r="158">
      <c r="A158" s="18" t="inlineStr">
        <is>
          <t>오피스 전기 119 사업 · 부문 간 내부매출·대체</t>
        </is>
      </c>
      <c r="C158" s="20" t="n">
        <v>0.247</v>
      </c>
      <c r="D158" s="20" t="n">
        <v>0.302</v>
      </c>
      <c r="E158" s="20" t="n">
        <v>0.25</v>
      </c>
      <c r="F158" s="20" t="n">
        <v>0.381</v>
      </c>
      <c r="G158" s="20" t="n">
        <v>0.325</v>
      </c>
      <c r="H158" s="20" t="n">
        <v>0.462</v>
      </c>
      <c r="I158" s="20" t="n">
        <v>0.273</v>
      </c>
      <c r="J158" s="20" t="n">
        <v>0.41</v>
      </c>
      <c r="K158" s="20" t="n">
        <v>0.279</v>
      </c>
      <c r="L158" s="20" t="n">
        <v>0.214</v>
      </c>
      <c r="M158" s="20" t="n">
        <v>0.336</v>
      </c>
      <c r="N158" s="20" t="n">
        <v>0.281</v>
      </c>
      <c r="V158" s="20" t="n">
        <v>0.381</v>
      </c>
      <c r="W158" s="20" t="n">
        <v>0.41</v>
      </c>
      <c r="X158" s="20" t="n">
        <v>0.281</v>
      </c>
    </row>
    <row r="159">
      <c r="A159" s="18" t="inlineStr">
        <is>
          <t>오피스 솔루션 사업 · 부문 간 내부매출·대체</t>
        </is>
      </c>
      <c r="C159" s="20" t="n">
        <v>0</v>
      </c>
      <c r="D159" s="20" t="n">
        <v>0.017</v>
      </c>
      <c r="E159" s="20" t="n">
        <v>3.263</v>
      </c>
      <c r="F159" s="20" t="n">
        <v>1.976</v>
      </c>
      <c r="G159" s="20" t="n">
        <v>15.826</v>
      </c>
      <c r="H159" s="20" t="n">
        <v>18.95</v>
      </c>
      <c r="I159" s="20" t="n">
        <v>23.769</v>
      </c>
      <c r="J159" s="20" t="n">
        <v>12.314</v>
      </c>
      <c r="K159" s="20" t="n">
        <v>23.258</v>
      </c>
      <c r="L159" s="20" t="n">
        <v>24.101</v>
      </c>
      <c r="M159" s="20" t="n">
        <v>24.996</v>
      </c>
      <c r="N159" s="20" t="n">
        <v>24.41</v>
      </c>
      <c r="V159" s="20" t="n">
        <v>1.976</v>
      </c>
      <c r="W159" s="20" t="n">
        <v>12.314</v>
      </c>
      <c r="X159" s="20" t="n">
        <v>24.41</v>
      </c>
    </row>
    <row r="160">
      <c r="A160" s="18" t="inlineStr">
        <is>
          <t>보고부문 합계 · 부문 간 내부매출·대체</t>
        </is>
      </c>
      <c r="I160" s="20" t="n">
        <v>24.139</v>
      </c>
      <c r="M160" s="20" t="n">
        <v>25.486</v>
      </c>
    </row>
    <row r="161">
      <c r="A161" s="18" t="inlineStr">
        <is>
          <t>합계 · 부문 간 내부매출·대체</t>
        </is>
      </c>
      <c r="C161" s="20" t="n">
        <v>0.281</v>
      </c>
      <c r="D161" s="20" t="n">
        <v>0.336</v>
      </c>
      <c r="E161" s="20" t="n">
        <v>3.529</v>
      </c>
      <c r="F161" s="20" t="n">
        <v>2.388</v>
      </c>
      <c r="G161" s="20" t="n">
        <v>16.256</v>
      </c>
      <c r="K161" s="20" t="n">
        <v>23.67</v>
      </c>
      <c r="V161" s="20" t="n">
        <v>2.388</v>
      </c>
    </row>
    <row r="162">
      <c r="A162" s="18" t="inlineStr">
        <is>
          <t>오피스 광 119 사업 · 계</t>
        </is>
      </c>
      <c r="C162" s="20" t="n">
        <v>2930.886</v>
      </c>
      <c r="D162" s="20" t="n">
        <v>2940.609</v>
      </c>
      <c r="E162" s="20" t="n">
        <v>3011.572</v>
      </c>
      <c r="F162" s="20" t="n">
        <v>3045.937</v>
      </c>
      <c r="G162" s="20" t="n">
        <v>3068.157</v>
      </c>
      <c r="H162" s="20" t="n">
        <v>3084.972</v>
      </c>
      <c r="I162" s="20" t="n">
        <v>3205.938</v>
      </c>
      <c r="J162" s="20" t="n">
        <v>3221.331</v>
      </c>
      <c r="K162" s="20" t="n">
        <v>3251.61</v>
      </c>
      <c r="L162" s="20" t="n">
        <v>3249.188</v>
      </c>
      <c r="M162" s="20" t="n">
        <v>3337.425</v>
      </c>
      <c r="N162" s="20" t="n">
        <v>3385.849</v>
      </c>
      <c r="V162" s="20" t="n">
        <v>3045.937</v>
      </c>
      <c r="W162" s="20" t="n">
        <v>3221.331</v>
      </c>
      <c r="X162" s="20" t="n">
        <v>3385.849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오피스 전기 119 사업 · 계</t>
        </is>
      </c>
      <c r="C164" s="20" t="n">
        <v>2004.025</v>
      </c>
      <c r="D164" s="20" t="n">
        <v>2238.911</v>
      </c>
      <c r="E164" s="20" t="n">
        <v>2199.059</v>
      </c>
      <c r="F164" s="20" t="n">
        <v>3360.601</v>
      </c>
      <c r="G164" s="20" t="n">
        <v>2992.077</v>
      </c>
      <c r="H164" s="20" t="n">
        <v>3649.17</v>
      </c>
      <c r="I164" s="20" t="n">
        <v>2692.249</v>
      </c>
      <c r="J164" s="20" t="n">
        <v>3862.294</v>
      </c>
      <c r="K164" s="20" t="n">
        <v>3230.868</v>
      </c>
      <c r="L164" s="20" t="n">
        <v>3856.866</v>
      </c>
      <c r="M164" s="20" t="n">
        <v>3771.208</v>
      </c>
      <c r="N164" s="20" t="n">
        <v>5626.394</v>
      </c>
      <c r="V164" s="20" t="n">
        <v>3360.601</v>
      </c>
      <c r="W164" s="20" t="n">
        <v>3862.294</v>
      </c>
      <c r="X164" s="20" t="n">
        <v>5626.394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오피스 솔루션 사업 · 계</t>
        </is>
      </c>
      <c r="C166" s="20" t="n">
        <v>453.688</v>
      </c>
      <c r="D166" s="20" t="n">
        <v>489.487</v>
      </c>
      <c r="E166" s="20" t="n">
        <v>564.285</v>
      </c>
      <c r="F166" s="20" t="n">
        <v>686.0650000000001</v>
      </c>
      <c r="G166" s="20" t="n">
        <v>897.58</v>
      </c>
      <c r="H166" s="20" t="n">
        <v>874.6</v>
      </c>
      <c r="I166" s="20" t="n">
        <v>765.9450000000001</v>
      </c>
      <c r="J166" s="20" t="n">
        <v>828.948</v>
      </c>
      <c r="K166" s="20" t="n">
        <v>743.851</v>
      </c>
      <c r="L166" s="20" t="n">
        <v>658.634</v>
      </c>
      <c r="M166" s="20" t="n">
        <v>705.723</v>
      </c>
      <c r="N166" s="20" t="n">
        <v>859.874</v>
      </c>
      <c r="V166" s="20" t="n">
        <v>686.0650000000001</v>
      </c>
      <c r="W166" s="20" t="n">
        <v>828.948</v>
      </c>
      <c r="X166" s="20" t="n">
        <v>859.874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보고부문 합계 · 계</t>
        </is>
      </c>
      <c r="I168" s="20" t="n">
        <v>6664.131</v>
      </c>
      <c r="M168" s="20" t="n">
        <v>7814.355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I169" s="15">
        <f>IF(OR(I168="",E168=""),"",IF(E168&lt;=0,"",IFERROR(I168/E168-1,"")))</f>
        <v/>
      </c>
      <c r="M169" s="15">
        <f>IF(OR(M168="",I168=""),"",IF(I168&lt;=0,"",IFERROR(M168/I168-1,"")))</f>
        <v/>
      </c>
    </row>
    <row r="170">
      <c r="A170" s="18" t="inlineStr">
        <is>
          <t>합계 · 계</t>
        </is>
      </c>
      <c r="C170" s="20" t="n">
        <v>5388.6</v>
      </c>
      <c r="D170" s="20" t="n">
        <v>5669.007</v>
      </c>
      <c r="E170" s="20" t="n">
        <v>5774.916</v>
      </c>
      <c r="F170" s="20" t="n">
        <v>7092.602</v>
      </c>
      <c r="G170" s="20" t="n">
        <v>6957.815</v>
      </c>
      <c r="K170" s="20" t="n">
        <v>7226.329</v>
      </c>
      <c r="V170" s="20" t="n">
        <v>7092.602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K171" s="15">
        <f>IF(OR(K170="",G170=""),"",IF(G170&lt;=0,"",IFERROR(K170/G170-1,"")))</f>
        <v/>
      </c>
      <c r="V171" s="15">
        <f>IF(OR(V170="",U170=""),"",IF(U170&lt;=0,"",IFERROR(V170/U170-1,"")))</f>
        <v/>
      </c>
    </row>
    <row r="172">
      <c r="A172" s="18" t="inlineStr">
        <is>
          <t>오피스 광 119 사업 · 부문 이익</t>
        </is>
      </c>
      <c r="C172" s="20" t="n">
        <v>369.442</v>
      </c>
      <c r="D172" s="20" t="n">
        <v>407.973</v>
      </c>
      <c r="E172" s="20" t="n">
        <v>409.554</v>
      </c>
      <c r="F172" s="20" t="n">
        <v>436.464</v>
      </c>
      <c r="G172" s="20" t="n">
        <v>410.228</v>
      </c>
      <c r="H172" s="20" t="n">
        <v>429.832</v>
      </c>
      <c r="I172" s="20" t="n">
        <v>425.695</v>
      </c>
      <c r="J172" s="20" t="n">
        <v>465.405</v>
      </c>
      <c r="K172" s="20" t="n">
        <v>429.101</v>
      </c>
      <c r="L172" s="20" t="n">
        <v>399.907</v>
      </c>
      <c r="M172" s="20" t="n">
        <v>421.051</v>
      </c>
      <c r="N172" s="20" t="n">
        <v>442.767</v>
      </c>
      <c r="V172" s="20" t="n">
        <v>436.464</v>
      </c>
      <c r="W172" s="20" t="n">
        <v>465.405</v>
      </c>
      <c r="X172" s="20" t="n">
        <v>442.767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IF(OR(C172="",C162=""),"",IF(C162&lt;=0,"",IFERROR(C172/C162,"")))</f>
        <v/>
      </c>
      <c r="D173" s="15">
        <f>IF(OR(D172="",D162=""),"",IF(D162&lt;=0,"",IFERROR(D172/D162,"")))</f>
        <v/>
      </c>
      <c r="E173" s="15">
        <f>IF(OR(E172="",E162=""),"",IF(E162&lt;=0,"",IFERROR(E172/E162,"")))</f>
        <v/>
      </c>
      <c r="F173" s="15">
        <f>IF(OR(F172="",F162=""),"",IF(F162&lt;=0,"",IFERROR(F172/F162,"")))</f>
        <v/>
      </c>
      <c r="G173" s="15">
        <f>IF(OR(G172="",G162=""),"",IF(G162&lt;=0,"",IFERROR(G172/G162,"")))</f>
        <v/>
      </c>
      <c r="H173" s="15">
        <f>IF(OR(H172="",H162=""),"",IF(H162&lt;=0,"",IFERROR(H172/H162,"")))</f>
        <v/>
      </c>
      <c r="I173" s="15">
        <f>IF(OR(I172="",I162=""),"",IF(I162&lt;=0,"",IFERROR(I172/I162,"")))</f>
        <v/>
      </c>
      <c r="J173" s="15">
        <f>IF(OR(J172="",J162=""),"",IF(J162&lt;=0,"",IFERROR(J172/J162,"")))</f>
        <v/>
      </c>
      <c r="K173" s="15">
        <f>IF(OR(K172="",K162=""),"",IF(K162&lt;=0,"",IFERROR(K172/K162,"")))</f>
        <v/>
      </c>
      <c r="L173" s="15">
        <f>IF(OR(L172="",L162=""),"",IF(L162&lt;=0,"",IFERROR(L172/L162,"")))</f>
        <v/>
      </c>
      <c r="M173" s="15">
        <f>IF(OR(M172="",M162=""),"",IF(M162&lt;=0,"",IFERROR(M172/M162,"")))</f>
        <v/>
      </c>
      <c r="N173" s="15">
        <f>IF(OR(N172="",N162=""),"",IF(N162&lt;=0,"",IFERROR(N172/N162,"")))</f>
        <v/>
      </c>
      <c r="V173" s="15">
        <f>IF(OR(V172="",V162=""),"",IF(V162&lt;=0,"",IFERROR(V172/V162,"")))</f>
        <v/>
      </c>
      <c r="W173" s="15">
        <f>IF(OR(W172="",W162=""),"",IF(W162&lt;=0,"",IFERROR(W172/W162,"")))</f>
        <v/>
      </c>
      <c r="X173" s="15">
        <f>IF(OR(X172="",X162=""),"",IF(X162&lt;=0,"",IFERROR(X172/X162,"")))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M174" s="15">
        <f>IF(OR(M172="",I172=""),"",IF(I172&lt;=0,"",IFERROR(M172/I172-1,"")))</f>
        <v/>
      </c>
      <c r="N174" s="15">
        <f>IF(OR(N172="",J172=""),"",IF(J172&lt;=0,"",IFERROR(N172/J172-1,"")))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5">
      <c r="A175" s="18" t="inlineStr">
        <is>
          <t>오피스 전기 119 사업 · 부문 이익</t>
        </is>
      </c>
      <c r="C175" s="20" t="n">
        <v>169.055</v>
      </c>
      <c r="D175" s="20" t="n">
        <v>238.6</v>
      </c>
      <c r="E175" s="20" t="n">
        <v>329.505</v>
      </c>
      <c r="F175" s="20" t="n">
        <v>531.66</v>
      </c>
      <c r="G175" s="20" t="n">
        <v>477.659</v>
      </c>
      <c r="H175" s="20" t="n">
        <v>638.538</v>
      </c>
      <c r="I175" s="20" t="n">
        <v>392.298</v>
      </c>
      <c r="J175" s="20" t="n">
        <v>699.573</v>
      </c>
      <c r="K175" s="20" t="n">
        <v>500.229</v>
      </c>
      <c r="L175" s="20" t="n">
        <v>687.854</v>
      </c>
      <c r="M175" s="20" t="n">
        <v>607.951</v>
      </c>
      <c r="N175" s="20" t="n">
        <v>773.425</v>
      </c>
      <c r="V175" s="20" t="n">
        <v>531.66</v>
      </c>
      <c r="W175" s="20" t="n">
        <v>699.573</v>
      </c>
      <c r="X175" s="20" t="n">
        <v>773.425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IF(OR(C175="",C164=""),"",IF(C164&lt;=0,"",IFERROR(C175/C164,"")))</f>
        <v/>
      </c>
      <c r="D176" s="15">
        <f>IF(OR(D175="",D164=""),"",IF(D164&lt;=0,"",IFERROR(D175/D164,"")))</f>
        <v/>
      </c>
      <c r="E176" s="15">
        <f>IF(OR(E175="",E164=""),"",IF(E164&lt;=0,"",IFERROR(E175/E164,"")))</f>
        <v/>
      </c>
      <c r="F176" s="15">
        <f>IF(OR(F175="",F164=""),"",IF(F164&lt;=0,"",IFERROR(F175/F164,"")))</f>
        <v/>
      </c>
      <c r="G176" s="15">
        <f>IF(OR(G175="",G164=""),"",IF(G164&lt;=0,"",IFERROR(G175/G164,"")))</f>
        <v/>
      </c>
      <c r="H176" s="15">
        <f>IF(OR(H175="",H164=""),"",IF(H164&lt;=0,"",IFERROR(H175/H164,"")))</f>
        <v/>
      </c>
      <c r="I176" s="15">
        <f>IF(OR(I175="",I164=""),"",IF(I164&lt;=0,"",IFERROR(I175/I164,"")))</f>
        <v/>
      </c>
      <c r="J176" s="15">
        <f>IF(OR(J175="",J164=""),"",IF(J164&lt;=0,"",IFERROR(J175/J164,"")))</f>
        <v/>
      </c>
      <c r="K176" s="15">
        <f>IF(OR(K175="",K164=""),"",IF(K164&lt;=0,"",IFERROR(K175/K164,"")))</f>
        <v/>
      </c>
      <c r="L176" s="15">
        <f>IF(OR(L175="",L164=""),"",IF(L164&lt;=0,"",IFERROR(L175/L164,"")))</f>
        <v/>
      </c>
      <c r="M176" s="15">
        <f>IF(OR(M175="",M164=""),"",IF(M164&lt;=0,"",IFERROR(M175/M164,"")))</f>
        <v/>
      </c>
      <c r="N176" s="15">
        <f>IF(OR(N175="",N164=""),"",IF(N164&lt;=0,"",IFERROR(N175/N164,"")))</f>
        <v/>
      </c>
      <c r="V176" s="15">
        <f>IF(OR(V175="",V164=""),"",IF(V164&lt;=0,"",IFERROR(V175/V164,"")))</f>
        <v/>
      </c>
      <c r="W176" s="15">
        <f>IF(OR(W175="",W164=""),"",IF(W164&lt;=0,"",IFERROR(W175/W164,"")))</f>
        <v/>
      </c>
      <c r="X176" s="15">
        <f>IF(OR(X175="",X164=""),"",IF(X164&lt;=0,"",IFERROR(X175/X164,"")))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오피스 솔루션 사업 · 부문 이익</t>
        </is>
      </c>
      <c r="C178" s="20" t="n">
        <v>65.48399999999999</v>
      </c>
      <c r="D178" s="20" t="n">
        <v>74.89</v>
      </c>
      <c r="E178" s="20" t="n">
        <v>47.348</v>
      </c>
      <c r="F178" s="20" t="n">
        <v>60.062</v>
      </c>
      <c r="G178" s="20" t="n">
        <v>138.781</v>
      </c>
      <c r="H178" s="20" t="n">
        <v>126.766</v>
      </c>
      <c r="I178" s="20" t="n">
        <v>10.841</v>
      </c>
      <c r="J178" s="20" t="n">
        <v>116.037</v>
      </c>
      <c r="K178" s="20" t="n">
        <v>102.332</v>
      </c>
      <c r="L178" s="20" t="n">
        <v>101.292</v>
      </c>
      <c r="M178" s="20" t="n">
        <v>111.702</v>
      </c>
      <c r="N178" s="20" t="n">
        <v>195.121</v>
      </c>
      <c r="V178" s="20" t="n">
        <v>60.062</v>
      </c>
      <c r="W178" s="20" t="n">
        <v>116.037</v>
      </c>
      <c r="X178" s="20" t="n">
        <v>195.121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IF(OR(C178="",C166=""),"",IF(C166&lt;=0,"",IFERROR(C178/C166,"")))</f>
        <v/>
      </c>
      <c r="D179" s="15">
        <f>IF(OR(D178="",D166=""),"",IF(D166&lt;=0,"",IFERROR(D178/D166,"")))</f>
        <v/>
      </c>
      <c r="E179" s="15">
        <f>IF(OR(E178="",E166=""),"",IF(E166&lt;=0,"",IFERROR(E178/E166,"")))</f>
        <v/>
      </c>
      <c r="F179" s="15">
        <f>IF(OR(F178="",F166=""),"",IF(F166&lt;=0,"",IFERROR(F178/F166,"")))</f>
        <v/>
      </c>
      <c r="G179" s="15">
        <f>IF(OR(G178="",G166=""),"",IF(G166&lt;=0,"",IFERROR(G178/G166,"")))</f>
        <v/>
      </c>
      <c r="H179" s="15">
        <f>IF(OR(H178="",H166=""),"",IF(H166&lt;=0,"",IFERROR(H178/H166,"")))</f>
        <v/>
      </c>
      <c r="I179" s="15">
        <f>IF(OR(I178="",I166=""),"",IF(I166&lt;=0,"",IFERROR(I178/I166,"")))</f>
        <v/>
      </c>
      <c r="J179" s="15">
        <f>IF(OR(J178="",J166=""),"",IF(J166&lt;=0,"",IFERROR(J178/J166,"")))</f>
        <v/>
      </c>
      <c r="K179" s="15">
        <f>IF(OR(K178="",K166=""),"",IF(K166&lt;=0,"",IFERROR(K178/K166,"")))</f>
        <v/>
      </c>
      <c r="L179" s="15">
        <f>IF(OR(L178="",L166=""),"",IF(L166&lt;=0,"",IFERROR(L178/L166,"")))</f>
        <v/>
      </c>
      <c r="M179" s="15">
        <f>IF(OR(M178="",M166=""),"",IF(M166&lt;=0,"",IFERROR(M178/M166,"")))</f>
        <v/>
      </c>
      <c r="N179" s="15">
        <f>IF(OR(N178="",N166=""),"",IF(N166&lt;=0,"",IFERROR(N178/N166,"")))</f>
        <v/>
      </c>
      <c r="V179" s="15">
        <f>IF(OR(V178="",V166=""),"",IF(V166&lt;=0,"",IFERROR(V178/V166,"")))</f>
        <v/>
      </c>
      <c r="W179" s="15">
        <f>IF(OR(W178="",W166=""),"",IF(W166&lt;=0,"",IFERROR(W178/W166,"")))</f>
        <v/>
      </c>
      <c r="X179" s="15">
        <f>IF(OR(X178="",X166=""),"",IF(X166&lt;=0,"",IFERROR(X178/X166,"")))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N180" s="15">
        <f>IF(OR(N178="",J178=""),"",IF(J178&lt;=0,"",IFERROR(N178/J178-1,"")))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보고부문 합계 · 부문 이익</t>
        </is>
      </c>
      <c r="I181" s="20" t="n">
        <v>828.833</v>
      </c>
      <c r="M181" s="20" t="n">
        <v>1140.705</v>
      </c>
    </row>
    <row r="182">
      <c r="A182" s="43" t="inlineStr">
        <is>
          <t>OPM</t>
        </is>
      </c>
      <c r="B182" s="3" t="inlineStr">
        <is>
          <t>영업이익 ÷ 매출</t>
        </is>
      </c>
      <c r="I182" s="15">
        <f>IF(OR(I181="",I168=""),"",IF(I168&lt;=0,"",IFERROR(I181/I168,"")))</f>
        <v/>
      </c>
      <c r="M182" s="15">
        <f>IF(OR(M181="",M168=""),"",IF(M168&lt;=0,"",IFERROR(M181/M168,"")))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I183" s="15">
        <f>IF(OR(I181="",E181=""),"",IF(E181&lt;=0,"",IFERROR(I181/E181-1,"")))</f>
        <v/>
      </c>
      <c r="M183" s="15">
        <f>IF(OR(M181="",I181=""),"",IF(I181&lt;=0,"",IFERROR(M181/I181-1,"")))</f>
        <v/>
      </c>
    </row>
    <row r="184">
      <c r="A184" s="18" t="inlineStr">
        <is>
          <t>합계 · 부문 이익</t>
        </is>
      </c>
      <c r="C184" s="20" t="n">
        <v>603.981</v>
      </c>
      <c r="D184" s="20" t="n">
        <v>721.4640000000001</v>
      </c>
      <c r="E184" s="20" t="n">
        <v>786.407</v>
      </c>
      <c r="F184" s="20" t="n">
        <v>1028.186</v>
      </c>
      <c r="G184" s="20" t="n">
        <v>1026.669</v>
      </c>
      <c r="K184" s="20" t="n">
        <v>1031.663</v>
      </c>
      <c r="V184" s="20" t="n">
        <v>1028.186</v>
      </c>
    </row>
    <row r="185">
      <c r="A185" s="43" t="inlineStr">
        <is>
          <t>OPM</t>
        </is>
      </c>
      <c r="B185" s="3" t="inlineStr">
        <is>
          <t>영업이익 ÷ 매출</t>
        </is>
      </c>
      <c r="C185" s="15">
        <f>IF(OR(C184="",C170=""),"",IF(C170&lt;=0,"",IFERROR(C184/C170,"")))</f>
        <v/>
      </c>
      <c r="D185" s="15">
        <f>IF(OR(D184="",D170=""),"",IF(D170&lt;=0,"",IFERROR(D184/D170,"")))</f>
        <v/>
      </c>
      <c r="E185" s="15">
        <f>IF(OR(E184="",E170=""),"",IF(E170&lt;=0,"",IFERROR(E184/E170,"")))</f>
        <v/>
      </c>
      <c r="F185" s="15">
        <f>IF(OR(F184="",F170=""),"",IF(F170&lt;=0,"",IFERROR(F184/F170,"")))</f>
        <v/>
      </c>
      <c r="G185" s="15">
        <f>IF(OR(G184="",G170=""),"",IF(G170&lt;=0,"",IFERROR(G184/G170,"")))</f>
        <v/>
      </c>
      <c r="K185" s="15">
        <f>IF(OR(K184="",K170=""),"",IF(K170&lt;=0,"",IFERROR(K184/K170,"")))</f>
        <v/>
      </c>
      <c r="V185" s="15">
        <f>IF(OR(V184="",V170=""),"",IF(V170&lt;=0,"",IFERROR(V184/V170,"")))</f>
        <v/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IF(OR(G184="",C184=""),"",IF(C184&lt;=0,"",IFERROR(G184/C184-1,"")))</f>
        <v/>
      </c>
      <c r="K186" s="15">
        <f>IF(OR(K184="",G184=""),"",IF(G184&lt;=0,"",IFERROR(K184/G184-1,"")))</f>
        <v/>
      </c>
      <c r="V186" s="15">
        <f>IF(OR(V184="",U184=""),"",IF(U184&lt;=0,"",IFERROR(V184/U184-1,"")))</f>
        <v/>
      </c>
    </row>
    <row r="188">
      <c r="A188" s="16" t="inlineStr">
        <is>
          <t>현금흐름표 · 전 항목</t>
        </is>
      </c>
      <c r="B188" s="42" t="inlineStr">
        <is>
          <t>분기 = 결산기 첫날부터 누계(공시 그대로)</t>
        </is>
      </c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</row>
    <row r="189">
      <c r="A189" s="5" t="inlineStr">
        <is>
          <t>항목</t>
        </is>
      </c>
      <c r="B189" s="5" t="inlineStr">
        <is>
          <t>참고</t>
        </is>
      </c>
      <c r="C189" s="5" t="inlineStr">
        <is>
          <t>2024.1Q</t>
        </is>
      </c>
      <c r="D189" s="5" t="inlineStr">
        <is>
          <t>2024.2Q</t>
        </is>
      </c>
      <c r="E189" s="5" t="inlineStr">
        <is>
          <t>2024.3Q</t>
        </is>
      </c>
      <c r="F189" s="5" t="inlineStr">
        <is>
          <t>2024.4Q</t>
        </is>
      </c>
      <c r="G189" s="5" t="inlineStr">
        <is>
          <t>2025.1Q</t>
        </is>
      </c>
      <c r="H189" s="5" t="inlineStr">
        <is>
          <t>2025.2Q</t>
        </is>
      </c>
      <c r="I189" s="5" t="inlineStr">
        <is>
          <t>2025.3Q</t>
        </is>
      </c>
      <c r="J189" s="5" t="inlineStr">
        <is>
          <t>2025.4Q</t>
        </is>
      </c>
      <c r="K189" s="5" t="inlineStr">
        <is>
          <t>2026.1Q</t>
        </is>
      </c>
      <c r="L189" s="5" t="inlineStr">
        <is>
          <t>2026.2Q</t>
        </is>
      </c>
      <c r="M189" s="5" t="inlineStr">
        <is>
          <t>2026.3Q</t>
        </is>
      </c>
      <c r="N189" s="5" t="inlineStr">
        <is>
          <t>2026.4Q</t>
        </is>
      </c>
      <c r="O189" s="5" t="inlineStr">
        <is>
          <t>2017</t>
        </is>
      </c>
      <c r="P189" s="5" t="inlineStr">
        <is>
          <t>2018</t>
        </is>
      </c>
      <c r="Q189" s="5" t="inlineStr">
        <is>
          <t>2019</t>
        </is>
      </c>
      <c r="R189" s="5" t="inlineStr">
        <is>
          <t>2020</t>
        </is>
      </c>
      <c r="S189" s="5" t="inlineStr">
        <is>
          <t>2021</t>
        </is>
      </c>
      <c r="T189" s="5" t="inlineStr">
        <is>
          <t>2022</t>
        </is>
      </c>
      <c r="U189" s="5" t="inlineStr">
        <is>
          <t>2023</t>
        </is>
      </c>
      <c r="V189" s="5" t="inlineStr">
        <is>
          <t>2024</t>
        </is>
      </c>
      <c r="W189" s="5" t="inlineStr">
        <is>
          <t>2025</t>
        </is>
      </c>
      <c r="X189" s="5" t="inlineStr">
        <is>
          <t>2026</t>
        </is>
      </c>
      <c r="Y189" s="5" t="inlineStr">
        <is>
          <t>2027(MW)</t>
        </is>
      </c>
      <c r="Z189" s="5" t="inlineStr">
        <is>
          <t>2028(MW)</t>
        </is>
      </c>
      <c r="AA189" s="5" t="inlineStr">
        <is>
          <t>2029(MW)</t>
        </is>
      </c>
      <c r="AB189" s="5" t="inlineStr">
        <is>
          <t>2030(MW)</t>
        </is>
      </c>
      <c r="AC189" s="5" t="inlineStr">
        <is>
          <t>2031(MW)</t>
        </is>
      </c>
    </row>
    <row r="190">
      <c r="A190" s="9" t="inlineStr">
        <is>
          <t>법인세차감전 순이익</t>
        </is>
      </c>
      <c r="F190" s="12" t="n">
        <v>2240.9</v>
      </c>
      <c r="J190" s="12" t="n">
        <v>3386.772</v>
      </c>
      <c r="N190" s="12" t="n">
        <v>3523.014</v>
      </c>
      <c r="P190" s="12" t="n">
        <v>539.8150000000001</v>
      </c>
      <c r="Q190" s="12" t="n">
        <v>651.631</v>
      </c>
      <c r="R190" s="12" t="n">
        <v>923.581</v>
      </c>
      <c r="S190" s="12" t="n">
        <v>443.241</v>
      </c>
      <c r="T190" s="12" t="n">
        <v>440.752</v>
      </c>
      <c r="U190" s="12" t="n">
        <v>1748.035</v>
      </c>
      <c r="V190" s="12" t="n">
        <v>2240.9</v>
      </c>
      <c r="W190" s="12" t="n">
        <v>3386.772</v>
      </c>
      <c r="X190" s="12" t="n">
        <v>3523.014</v>
      </c>
    </row>
    <row r="191">
      <c r="A191" s="18" t="inlineStr">
        <is>
          <t>감가상각비</t>
        </is>
      </c>
      <c r="F191" s="20" t="n">
        <v>184.279</v>
      </c>
      <c r="J191" s="20" t="n">
        <v>202.395</v>
      </c>
      <c r="N191" s="20" t="n">
        <v>241.918</v>
      </c>
      <c r="P191" s="20" t="n">
        <v>22.386</v>
      </c>
      <c r="Q191" s="20" t="n">
        <v>27.667</v>
      </c>
      <c r="R191" s="20" t="n">
        <v>23.207</v>
      </c>
      <c r="S191" s="20" t="n">
        <v>24.885</v>
      </c>
      <c r="T191" s="20" t="n">
        <v>22.837</v>
      </c>
      <c r="U191" s="20" t="n">
        <v>110.109</v>
      </c>
      <c r="V191" s="20" t="n">
        <v>184.279</v>
      </c>
      <c r="W191" s="20" t="n">
        <v>202.395</v>
      </c>
      <c r="X191" s="20" t="n">
        <v>241.918</v>
      </c>
    </row>
    <row r="192">
      <c r="A192" s="18" t="inlineStr">
        <is>
          <t>영업권 상각</t>
        </is>
      </c>
      <c r="J192" s="20" t="n">
        <v>18.333</v>
      </c>
      <c r="N192" s="20" t="n">
        <v>20</v>
      </c>
      <c r="W192" s="20" t="n">
        <v>18.333</v>
      </c>
      <c r="X192" s="20" t="n">
        <v>20</v>
      </c>
    </row>
    <row r="193">
      <c r="A193" s="18" t="inlineStr">
        <is>
          <t>상여충당금 증감</t>
        </is>
      </c>
      <c r="F193" s="20" t="n">
        <v>10.485</v>
      </c>
      <c r="J193" s="20" t="n">
        <v>9.16</v>
      </c>
      <c r="N193" s="20" t="n">
        <v>3.374</v>
      </c>
      <c r="P193" s="20" t="n">
        <v>7.06</v>
      </c>
      <c r="Q193" s="20" t="n">
        <v>6.979</v>
      </c>
      <c r="R193" s="20" t="n">
        <v>-2.658</v>
      </c>
      <c r="S193" s="20" t="n">
        <v>10.38</v>
      </c>
      <c r="T193" s="20" t="n">
        <v>1.8</v>
      </c>
      <c r="U193" s="20" t="n">
        <v>8.289999999999999</v>
      </c>
      <c r="V193" s="20" t="n">
        <v>10.485</v>
      </c>
      <c r="W193" s="20" t="n">
        <v>9.16</v>
      </c>
      <c r="X193" s="20" t="n">
        <v>3.374</v>
      </c>
    </row>
    <row r="194">
      <c r="A194" s="18" t="inlineStr">
        <is>
          <t>대손충당금 증감</t>
        </is>
      </c>
      <c r="F194" s="20" t="n">
        <v>-24.744</v>
      </c>
      <c r="J194" s="20" t="n">
        <v>6.325</v>
      </c>
      <c r="N194" s="20" t="n">
        <v>7.369</v>
      </c>
      <c r="P194" s="20" t="n">
        <v>9.760999999999999</v>
      </c>
      <c r="Q194" s="20" t="n">
        <v>36.075</v>
      </c>
      <c r="R194" s="20" t="n">
        <v>-1.556</v>
      </c>
      <c r="S194" s="20" t="n">
        <v>-10.516</v>
      </c>
      <c r="T194" s="20" t="n">
        <v>26.675</v>
      </c>
      <c r="U194" s="20" t="n">
        <v>20.721</v>
      </c>
      <c r="V194" s="20" t="n">
        <v>-24.744</v>
      </c>
      <c r="W194" s="20" t="n">
        <v>6.325</v>
      </c>
      <c r="X194" s="20" t="n">
        <v>7.369</v>
      </c>
    </row>
    <row r="195">
      <c r="A195" s="18" t="inlineStr">
        <is>
          <t>판매촉진 충당금 증감</t>
        </is>
      </c>
      <c r="P195" s="20" t="n">
        <v>-5.866</v>
      </c>
      <c r="Q195" s="20" t="n">
        <v>-4.964</v>
      </c>
      <c r="R195" s="20" t="n">
        <v>-2.295</v>
      </c>
      <c r="S195" s="20" t="n">
        <v>-1.501</v>
      </c>
      <c r="T195" s="20" t="n">
        <v>-1.148</v>
      </c>
      <c r="U195" s="20" t="n">
        <v>0</v>
      </c>
    </row>
    <row r="196">
      <c r="A196" s="18" t="inlineStr">
        <is>
          <t>점포 폐쇄 손실 충당금 증감액(△는 감소)</t>
        </is>
      </c>
      <c r="P196" s="20" t="n">
        <v>0</v>
      </c>
      <c r="Q196" s="20" t="n">
        <v>-0.796</v>
      </c>
      <c r="R196" s="20" t="n">
        <v>0</v>
      </c>
    </row>
    <row r="197">
      <c r="A197" s="18" t="inlineStr">
        <is>
          <t>이자·배당금 수익</t>
        </is>
      </c>
      <c r="F197" s="20" t="n">
        <v>-2.074</v>
      </c>
      <c r="J197" s="20" t="n">
        <v>-2.397</v>
      </c>
      <c r="N197" s="20" t="n">
        <v>-21.432</v>
      </c>
      <c r="P197" s="20" t="n">
        <v>-3.573</v>
      </c>
      <c r="Q197" s="20" t="n">
        <v>-2.262</v>
      </c>
      <c r="R197" s="20" t="n">
        <v>-2.95</v>
      </c>
      <c r="S197" s="20" t="n">
        <v>-3.401</v>
      </c>
      <c r="T197" s="20" t="n">
        <v>-1.76</v>
      </c>
      <c r="U197" s="20" t="n">
        <v>-2.056</v>
      </c>
      <c r="V197" s="20" t="n">
        <v>-2.074</v>
      </c>
      <c r="W197" s="20" t="n">
        <v>-2.397</v>
      </c>
      <c r="X197" s="20" t="n">
        <v>-21.432</v>
      </c>
    </row>
    <row r="198">
      <c r="A198" s="18" t="inlineStr">
        <is>
          <t>채무 등 결제 차익</t>
        </is>
      </c>
      <c r="F198" s="20" t="n">
        <v>-87.56999999999999</v>
      </c>
      <c r="J198" s="20" t="n">
        <v>-74.145</v>
      </c>
      <c r="N198" s="20" t="n">
        <v>-71.06999999999999</v>
      </c>
      <c r="P198" s="20" t="n">
        <v>-82.816</v>
      </c>
      <c r="Q198" s="20" t="n">
        <v>-69.876</v>
      </c>
      <c r="R198" s="20" t="n">
        <v>-80.747</v>
      </c>
      <c r="S198" s="20" t="n">
        <v>-54.726</v>
      </c>
      <c r="T198" s="20" t="n">
        <v>-99.07299999999999</v>
      </c>
      <c r="U198" s="20" t="n">
        <v>-88.20099999999999</v>
      </c>
      <c r="V198" s="20" t="n">
        <v>-87.56999999999999</v>
      </c>
      <c r="W198" s="20" t="n">
        <v>-74.145</v>
      </c>
      <c r="X198" s="20" t="n">
        <v>-71.06999999999999</v>
      </c>
    </row>
    <row r="199">
      <c r="A199" s="18" t="inlineStr">
        <is>
          <t>투자유가증권 매각이익</t>
        </is>
      </c>
      <c r="F199" s="20" t="n">
        <v>0</v>
      </c>
      <c r="Q199" s="20" t="n">
        <v>0</v>
      </c>
      <c r="R199" s="20" t="n">
        <v>-29.999</v>
      </c>
      <c r="S199" s="20" t="n">
        <v>0</v>
      </c>
      <c r="T199" s="20" t="n">
        <v>0</v>
      </c>
      <c r="U199" s="20" t="n">
        <v>-1.903</v>
      </c>
      <c r="V199" s="20" t="n">
        <v>0</v>
      </c>
    </row>
    <row r="200">
      <c r="A200" s="18" t="inlineStr">
        <is>
          <t>이자비용</t>
        </is>
      </c>
      <c r="F200" s="20" t="n">
        <v>9.529999999999999</v>
      </c>
      <c r="J200" s="20" t="n">
        <v>14.361</v>
      </c>
      <c r="N200" s="20" t="n">
        <v>18.497</v>
      </c>
      <c r="P200" s="20" t="n">
        <v>10.289</v>
      </c>
      <c r="Q200" s="20" t="n">
        <v>10.149</v>
      </c>
      <c r="R200" s="20" t="n">
        <v>8.824999999999999</v>
      </c>
      <c r="S200" s="20" t="n">
        <v>7.621</v>
      </c>
      <c r="T200" s="20" t="n">
        <v>6.107</v>
      </c>
      <c r="U200" s="20" t="n">
        <v>11.604</v>
      </c>
      <c r="V200" s="20" t="n">
        <v>9.529999999999999</v>
      </c>
      <c r="W200" s="20" t="n">
        <v>14.361</v>
      </c>
      <c r="X200" s="20" t="n">
        <v>18.497</v>
      </c>
    </row>
    <row r="201">
      <c r="A201" s="18" t="inlineStr">
        <is>
          <t>주식교부비</t>
        </is>
      </c>
      <c r="P201" s="20" t="n">
        <v>0</v>
      </c>
      <c r="Q201" s="20" t="n">
        <v>6.846</v>
      </c>
      <c r="R201" s="20" t="n">
        <v>0.596</v>
      </c>
    </row>
    <row r="202">
      <c r="A202" s="18" t="inlineStr">
        <is>
          <t>상장 관련 비용</t>
        </is>
      </c>
      <c r="P202" s="20" t="n">
        <v>0</v>
      </c>
      <c r="Q202" s="20" t="n">
        <v>16.79</v>
      </c>
      <c r="R202" s="20" t="n">
        <v>0</v>
      </c>
    </row>
    <row r="203">
      <c r="A203" s="18" t="inlineStr">
        <is>
          <t>유가증권 매각손익</t>
        </is>
      </c>
      <c r="P203" s="20" t="n">
        <v>2.257</v>
      </c>
      <c r="Q203" s="20" t="n">
        <v>0</v>
      </c>
    </row>
    <row r="204">
      <c r="A204" s="18" t="inlineStr">
        <is>
          <t>파생상품 평가손익</t>
        </is>
      </c>
      <c r="P204" s="20" t="n">
        <v>13.8</v>
      </c>
      <c r="Q204" s="20" t="n">
        <v>0</v>
      </c>
    </row>
    <row r="205">
      <c r="A205" s="18" t="inlineStr">
        <is>
          <t>고정자산 매각이익</t>
        </is>
      </c>
      <c r="P205" s="20" t="n">
        <v>-4.746</v>
      </c>
      <c r="Q205" s="20" t="n">
        <v>0</v>
      </c>
    </row>
    <row r="206">
      <c r="A206" s="18" t="inlineStr">
        <is>
          <t>이전 보상금</t>
        </is>
      </c>
      <c r="P206" s="20" t="n">
        <v>-116.236</v>
      </c>
      <c r="Q206" s="20" t="n">
        <v>0</v>
      </c>
    </row>
    <row r="207">
      <c r="A207" s="18" t="inlineStr">
        <is>
          <t>자산복구부채 환입이익</t>
        </is>
      </c>
      <c r="P207" s="20" t="n">
        <v>-7.224</v>
      </c>
      <c r="Q207" s="20" t="n">
        <v>0</v>
      </c>
    </row>
    <row r="208">
      <c r="A208" s="18" t="inlineStr">
        <is>
          <t>고정자산 매각손실</t>
        </is>
      </c>
      <c r="P208" s="20" t="n">
        <v>1.654</v>
      </c>
      <c r="Q208" s="20" t="n">
        <v>0</v>
      </c>
    </row>
    <row r="209">
      <c r="A209" s="18" t="inlineStr">
        <is>
          <t>시장 변경 비용</t>
        </is>
      </c>
      <c r="Q209" s="20" t="n">
        <v>0</v>
      </c>
      <c r="R209" s="20" t="n">
        <v>27.193</v>
      </c>
      <c r="S209" s="20" t="n">
        <v>0</v>
      </c>
    </row>
    <row r="210">
      <c r="A210" s="18" t="inlineStr">
        <is>
          <t>고정자산 매각이익</t>
        </is>
      </c>
      <c r="S210" s="20" t="n">
        <v>0</v>
      </c>
      <c r="T210" s="20" t="n">
        <v>-50.81</v>
      </c>
      <c r="U210" s="20" t="n">
        <v>0</v>
      </c>
    </row>
    <row r="211">
      <c r="A211" s="18" t="inlineStr">
        <is>
          <t>고정자산 제각손실</t>
        </is>
      </c>
      <c r="F211" s="20" t="n">
        <v>0</v>
      </c>
      <c r="P211" s="20" t="n">
        <v>0.169</v>
      </c>
      <c r="Q211" s="20" t="n">
        <v>0</v>
      </c>
      <c r="R211" s="20" t="n">
        <v>0</v>
      </c>
      <c r="S211" s="20" t="n">
        <v>0</v>
      </c>
      <c r="T211" s="20" t="n">
        <v>2.275</v>
      </c>
      <c r="U211" s="20" t="n">
        <v>3.139</v>
      </c>
      <c r="V211" s="20" t="n">
        <v>0</v>
      </c>
    </row>
    <row r="212">
      <c r="A212" s="18" t="inlineStr">
        <is>
          <t>자기주식 취득비용</t>
        </is>
      </c>
      <c r="J212" s="20" t="n">
        <v>0</v>
      </c>
      <c r="N212" s="20" t="n">
        <v>33.627</v>
      </c>
      <c r="W212" s="20" t="n">
        <v>0</v>
      </c>
      <c r="X212" s="20" t="n">
        <v>33.627</v>
      </c>
    </row>
    <row r="213">
      <c r="A213" s="18" t="inlineStr">
        <is>
          <t>자기주식 처분 비용</t>
        </is>
      </c>
      <c r="J213" s="20" t="n">
        <v>0</v>
      </c>
      <c r="N213" s="20" t="n">
        <v>25.006</v>
      </c>
      <c r="W213" s="20" t="n">
        <v>0</v>
      </c>
      <c r="X213" s="20" t="n">
        <v>25.006</v>
      </c>
    </row>
    <row r="214">
      <c r="A214" s="18" t="inlineStr">
        <is>
          <t>손상차손</t>
        </is>
      </c>
      <c r="F214" s="20" t="n">
        <v>157.926</v>
      </c>
      <c r="J214" s="20" t="n">
        <v>0</v>
      </c>
      <c r="N214" s="20" t="n">
        <v>82.991</v>
      </c>
      <c r="P214" s="20" t="n">
        <v>2.591</v>
      </c>
      <c r="Q214" s="20" t="n">
        <v>2.983</v>
      </c>
      <c r="R214" s="20" t="n">
        <v>0</v>
      </c>
      <c r="S214" s="20" t="n">
        <v>7.221</v>
      </c>
      <c r="T214" s="20" t="n">
        <v>0</v>
      </c>
      <c r="U214" s="20" t="n">
        <v>0</v>
      </c>
      <c r="V214" s="20" t="n">
        <v>157.926</v>
      </c>
      <c r="W214" s="20" t="n">
        <v>0</v>
      </c>
      <c r="X214" s="20" t="n">
        <v>82.991</v>
      </c>
    </row>
    <row r="215">
      <c r="A215" s="18" t="inlineStr">
        <is>
          <t>임대차계약 해약손실</t>
        </is>
      </c>
      <c r="R215" s="20" t="n">
        <v>0</v>
      </c>
      <c r="S215" s="20" t="n">
        <v>1.675</v>
      </c>
      <c r="T215" s="20" t="n">
        <v>0</v>
      </c>
    </row>
    <row r="216">
      <c r="A216" s="18" t="inlineStr">
        <is>
          <t>매출채권 증감</t>
        </is>
      </c>
      <c r="F216" s="20" t="n">
        <v>-322.86</v>
      </c>
      <c r="J216" s="20" t="n">
        <v>-461.602</v>
      </c>
      <c r="N216" s="20" t="n">
        <v>-1753.839</v>
      </c>
      <c r="P216" s="20" t="n">
        <v>-273.229</v>
      </c>
      <c r="Q216" s="20" t="n">
        <v>-243.501</v>
      </c>
      <c r="R216" s="20" t="n">
        <v>-226.744</v>
      </c>
      <c r="S216" s="20" t="n">
        <v>-664.977</v>
      </c>
      <c r="T216" s="20" t="n">
        <v>-2366.962</v>
      </c>
      <c r="U216" s="20" t="n">
        <v>1201.205</v>
      </c>
      <c r="V216" s="20" t="n">
        <v>-322.86</v>
      </c>
      <c r="W216" s="20" t="n">
        <v>-461.602</v>
      </c>
      <c r="X216" s="20" t="n">
        <v>-1753.839</v>
      </c>
    </row>
    <row r="217">
      <c r="A217" s="18" t="inlineStr">
        <is>
          <t>재고자산 증감</t>
        </is>
      </c>
      <c r="F217" s="20" t="n">
        <v>128.929</v>
      </c>
      <c r="J217" s="20" t="n">
        <v>-58.689</v>
      </c>
      <c r="N217" s="20" t="n">
        <v>-223.164</v>
      </c>
      <c r="P217" s="20" t="n">
        <v>74.583</v>
      </c>
      <c r="Q217" s="20" t="n">
        <v>50.207</v>
      </c>
      <c r="R217" s="20" t="n">
        <v>160.819</v>
      </c>
      <c r="S217" s="20" t="n">
        <v>-32.406</v>
      </c>
      <c r="T217" s="20" t="n">
        <v>47.695</v>
      </c>
      <c r="U217" s="20" t="n">
        <v>83.001</v>
      </c>
      <c r="V217" s="20" t="n">
        <v>128.929</v>
      </c>
      <c r="W217" s="20" t="n">
        <v>-58.689</v>
      </c>
      <c r="X217" s="20" t="n">
        <v>-223.164</v>
      </c>
    </row>
    <row r="218">
      <c r="A218" s="18" t="inlineStr">
        <is>
          <t>기타 유동자산 증감</t>
        </is>
      </c>
      <c r="F218" s="20" t="n">
        <v>90.39100000000001</v>
      </c>
      <c r="J218" s="20" t="n">
        <v>-203.404</v>
      </c>
      <c r="N218" s="20" t="n">
        <v>-691.795</v>
      </c>
      <c r="P218" s="20" t="n">
        <v>-57.85</v>
      </c>
      <c r="Q218" s="20" t="n">
        <v>-1.403</v>
      </c>
      <c r="R218" s="20" t="n">
        <v>-2.54</v>
      </c>
      <c r="S218" s="20" t="n">
        <v>-82.19799999999999</v>
      </c>
      <c r="T218" s="20" t="n">
        <v>-384.07</v>
      </c>
      <c r="U218" s="20" t="n">
        <v>-183.636</v>
      </c>
      <c r="V218" s="20" t="n">
        <v>90.39100000000001</v>
      </c>
      <c r="W218" s="20" t="n">
        <v>-203.404</v>
      </c>
      <c r="X218" s="20" t="n">
        <v>-691.795</v>
      </c>
    </row>
    <row r="219">
      <c r="A219" s="18" t="inlineStr">
        <is>
          <t>매입채무 증감</t>
        </is>
      </c>
      <c r="F219" s="20" t="n">
        <v>1017.103</v>
      </c>
      <c r="J219" s="20" t="n">
        <v>229.696</v>
      </c>
      <c r="N219" s="20" t="n">
        <v>-51.391</v>
      </c>
      <c r="P219" s="20" t="n">
        <v>171.93</v>
      </c>
      <c r="Q219" s="20" t="n">
        <v>82.794</v>
      </c>
      <c r="R219" s="20" t="n">
        <v>-14.077</v>
      </c>
      <c r="S219" s="20" t="n">
        <v>313.075</v>
      </c>
      <c r="T219" s="20" t="n">
        <v>155.407</v>
      </c>
      <c r="U219" s="20" t="n">
        <v>321.924</v>
      </c>
      <c r="V219" s="20" t="n">
        <v>1017.103</v>
      </c>
      <c r="W219" s="20" t="n">
        <v>229.696</v>
      </c>
      <c r="X219" s="20" t="n">
        <v>-51.391</v>
      </c>
    </row>
    <row r="220">
      <c r="A220" s="18" t="inlineStr">
        <is>
          <t>미지급금 증감</t>
        </is>
      </c>
      <c r="F220" s="20" t="n">
        <v>136.642</v>
      </c>
      <c r="J220" s="20" t="n">
        <v>90.70999999999999</v>
      </c>
      <c r="N220" s="20" t="n">
        <v>7.362</v>
      </c>
      <c r="P220" s="20" t="n">
        <v>54.912</v>
      </c>
      <c r="Q220" s="20" t="n">
        <v>4.614</v>
      </c>
      <c r="R220" s="20" t="n">
        <v>-43.787</v>
      </c>
      <c r="S220" s="20" t="n">
        <v>48.899</v>
      </c>
      <c r="T220" s="20" t="n">
        <v>16.761</v>
      </c>
      <c r="U220" s="20" t="n">
        <v>99.398</v>
      </c>
      <c r="V220" s="20" t="n">
        <v>136.642</v>
      </c>
      <c r="W220" s="20" t="n">
        <v>90.70999999999999</v>
      </c>
      <c r="X220" s="20" t="n">
        <v>7.362</v>
      </c>
    </row>
    <row r="221">
      <c r="A221" s="18" t="inlineStr">
        <is>
          <t>미지급 소비세 증감</t>
        </is>
      </c>
      <c r="F221" s="20" t="n">
        <v>150.621</v>
      </c>
      <c r="J221" s="20" t="n">
        <v>89.669</v>
      </c>
      <c r="N221" s="20" t="n">
        <v>-206.504</v>
      </c>
      <c r="P221" s="20" t="n">
        <v>-31.147</v>
      </c>
      <c r="Q221" s="20" t="n">
        <v>15.747</v>
      </c>
      <c r="R221" s="20" t="n">
        <v>27.508</v>
      </c>
      <c r="S221" s="20" t="n">
        <v>-76.828</v>
      </c>
      <c r="T221" s="20" t="n">
        <v>56.366</v>
      </c>
      <c r="U221" s="20" t="n">
        <v>9.686</v>
      </c>
      <c r="V221" s="20" t="n">
        <v>150.621</v>
      </c>
      <c r="W221" s="20" t="n">
        <v>89.669</v>
      </c>
      <c r="X221" s="20" t="n">
        <v>-206.504</v>
      </c>
    </row>
    <row r="222">
      <c r="A222" s="18" t="inlineStr">
        <is>
          <t>미지급법인세(외형표준과세) 증감</t>
        </is>
      </c>
      <c r="F222" s="20" t="n">
        <v>15.968</v>
      </c>
      <c r="J222" s="20" t="n">
        <v>11.96</v>
      </c>
      <c r="N222" s="20" t="n">
        <v>-8.465999999999999</v>
      </c>
      <c r="P222" s="20" t="n">
        <v>0</v>
      </c>
      <c r="Q222" s="20" t="n">
        <v>29.214</v>
      </c>
      <c r="R222" s="20" t="n">
        <v>-10.67</v>
      </c>
      <c r="S222" s="20" t="n">
        <v>-4.342</v>
      </c>
      <c r="T222" s="20" t="n">
        <v>7.281</v>
      </c>
      <c r="U222" s="20" t="n">
        <v>9.505000000000001</v>
      </c>
      <c r="V222" s="20" t="n">
        <v>15.968</v>
      </c>
      <c r="W222" s="20" t="n">
        <v>11.96</v>
      </c>
      <c r="X222" s="20" t="n">
        <v>-8.465999999999999</v>
      </c>
    </row>
    <row r="223">
      <c r="A223" s="18" t="inlineStr">
        <is>
          <t>기타 유동부채 증감</t>
        </is>
      </c>
      <c r="F223" s="20" t="n">
        <v>52.715</v>
      </c>
      <c r="J223" s="20" t="n">
        <v>31.24</v>
      </c>
      <c r="N223" s="20" t="n">
        <v>-44.704</v>
      </c>
      <c r="P223" s="20" t="n">
        <v>-1.329</v>
      </c>
      <c r="Q223" s="20" t="n">
        <v>34.185</v>
      </c>
      <c r="R223" s="20" t="n">
        <v>-26.419</v>
      </c>
      <c r="S223" s="20" t="n">
        <v>1.402</v>
      </c>
      <c r="T223" s="20" t="n">
        <v>2.895</v>
      </c>
      <c r="U223" s="20" t="n">
        <v>-0.408</v>
      </c>
      <c r="V223" s="20" t="n">
        <v>52.715</v>
      </c>
      <c r="W223" s="20" t="n">
        <v>31.24</v>
      </c>
      <c r="X223" s="20" t="n">
        <v>-44.704</v>
      </c>
    </row>
    <row r="224">
      <c r="A224" s="18" t="inlineStr">
        <is>
          <t>기타</t>
        </is>
      </c>
      <c r="F224" s="20" t="n">
        <v>-45.351</v>
      </c>
      <c r="J224" s="20" t="n">
        <v>-120.2</v>
      </c>
      <c r="N224" s="20" t="n">
        <v>-587.033</v>
      </c>
      <c r="P224" s="20" t="n">
        <v>-0.892</v>
      </c>
      <c r="Q224" s="20" t="n">
        <v>-3.928</v>
      </c>
      <c r="R224" s="20" t="n">
        <v>-22.701</v>
      </c>
      <c r="S224" s="20" t="n">
        <v>-135.623</v>
      </c>
      <c r="T224" s="20" t="n">
        <v>-274.897</v>
      </c>
      <c r="U224" s="20" t="n">
        <v>159.655</v>
      </c>
      <c r="V224" s="20" t="n">
        <v>-45.351</v>
      </c>
      <c r="W224" s="20" t="n">
        <v>-120.2</v>
      </c>
      <c r="X224" s="20" t="n">
        <v>-587.033</v>
      </c>
    </row>
    <row r="225">
      <c r="A225" s="18" t="inlineStr">
        <is>
          <t>소계</t>
        </is>
      </c>
      <c r="F225" s="20" t="n">
        <v>3712.892</v>
      </c>
      <c r="J225" s="20" t="n">
        <v>3170.187</v>
      </c>
      <c r="N225" s="20" t="n">
        <v>303.759</v>
      </c>
      <c r="P225" s="20" t="n">
        <v>326.298</v>
      </c>
      <c r="Q225" s="20" t="n">
        <v>649.153</v>
      </c>
      <c r="R225" s="20" t="n">
        <v>703.986</v>
      </c>
      <c r="S225" s="20" t="n">
        <v>-208.118</v>
      </c>
      <c r="T225" s="20" t="n">
        <v>-2391.865</v>
      </c>
      <c r="U225" s="20" t="n">
        <v>3510.072</v>
      </c>
      <c r="V225" s="20" t="n">
        <v>3712.892</v>
      </c>
      <c r="W225" s="20" t="n">
        <v>3170.187</v>
      </c>
      <c r="X225" s="20" t="n">
        <v>303.759</v>
      </c>
    </row>
    <row r="226">
      <c r="A226" s="18" t="inlineStr">
        <is>
          <t>이자·배당금 수취</t>
        </is>
      </c>
      <c r="F226" s="20" t="n">
        <v>2.061</v>
      </c>
      <c r="J226" s="20" t="n">
        <v>2.069</v>
      </c>
      <c r="N226" s="20" t="n">
        <v>11.831</v>
      </c>
      <c r="P226" s="20" t="n">
        <v>4.161</v>
      </c>
      <c r="Q226" s="20" t="n">
        <v>2.417</v>
      </c>
      <c r="R226" s="20" t="n">
        <v>2.761</v>
      </c>
      <c r="S226" s="20" t="n">
        <v>3.483</v>
      </c>
      <c r="T226" s="20" t="n">
        <v>1.676</v>
      </c>
      <c r="U226" s="20" t="n">
        <v>2.336</v>
      </c>
      <c r="V226" s="20" t="n">
        <v>2.061</v>
      </c>
      <c r="W226" s="20" t="n">
        <v>2.069</v>
      </c>
      <c r="X226" s="20" t="n">
        <v>11.831</v>
      </c>
    </row>
    <row r="227">
      <c r="A227" s="18" t="inlineStr">
        <is>
          <t>이자 지급</t>
        </is>
      </c>
      <c r="F227" s="20" t="n">
        <v>-9.212</v>
      </c>
      <c r="J227" s="20" t="n">
        <v>-15.171</v>
      </c>
      <c r="N227" s="20" t="n">
        <v>-20.13</v>
      </c>
      <c r="P227" s="20" t="n">
        <v>-10.326</v>
      </c>
      <c r="Q227" s="20" t="n">
        <v>-10.235</v>
      </c>
      <c r="R227" s="20" t="n">
        <v>-9.851000000000001</v>
      </c>
      <c r="S227" s="20" t="n">
        <v>-6.688</v>
      </c>
      <c r="T227" s="20" t="n">
        <v>-7.116</v>
      </c>
      <c r="U227" s="20" t="n">
        <v>-11.531</v>
      </c>
      <c r="V227" s="20" t="n">
        <v>-9.212</v>
      </c>
      <c r="W227" s="20" t="n">
        <v>-15.171</v>
      </c>
      <c r="X227" s="20" t="n">
        <v>-20.13</v>
      </c>
    </row>
    <row r="228">
      <c r="A228" s="18" t="inlineStr">
        <is>
          <t>법인세 납부</t>
        </is>
      </c>
      <c r="P228" s="20" t="n">
        <v>-17.998</v>
      </c>
      <c r="Q228" s="20" t="n">
        <v>-32.616</v>
      </c>
      <c r="R228" s="20" t="n">
        <v>-300.615</v>
      </c>
      <c r="S228" s="20" t="n">
        <v>-234.811</v>
      </c>
      <c r="T228" s="20" t="n">
        <v>-139.414</v>
      </c>
      <c r="U228" s="20" t="n">
        <v>-178.562</v>
      </c>
    </row>
    <row r="229">
      <c r="A229" s="18" t="inlineStr">
        <is>
          <t>이전 보상금 수취</t>
        </is>
      </c>
      <c r="P229" s="20" t="n">
        <v>0</v>
      </c>
      <c r="Q229" s="20" t="n">
        <v>132.442</v>
      </c>
      <c r="R229" s="20" t="n">
        <v>0</v>
      </c>
    </row>
    <row r="230">
      <c r="A230" s="18" t="inlineStr">
        <is>
          <t>법인세 납부·환급</t>
        </is>
      </c>
      <c r="F230" s="20" t="n">
        <v>-806.818</v>
      </c>
      <c r="J230" s="20" t="n">
        <v>-739.276</v>
      </c>
      <c r="N230" s="20" t="n">
        <v>-1114.54</v>
      </c>
      <c r="U230" s="20" t="n">
        <v>-178.562</v>
      </c>
      <c r="V230" s="20" t="n">
        <v>-806.818</v>
      </c>
      <c r="W230" s="20" t="n">
        <v>-739.276</v>
      </c>
      <c r="X230" s="20" t="n">
        <v>-1114.54</v>
      </c>
    </row>
    <row r="231">
      <c r="A231" s="9" t="inlineStr">
        <is>
          <t>영업활동 현금흐름</t>
        </is>
      </c>
      <c r="F231" s="12" t="n">
        <v>2898.923</v>
      </c>
      <c r="J231" s="12" t="n">
        <v>2417.808</v>
      </c>
      <c r="N231" s="12" t="n">
        <v>-819.08</v>
      </c>
      <c r="P231" s="12" t="n">
        <v>302.135</v>
      </c>
      <c r="Q231" s="12" t="n">
        <v>741.162</v>
      </c>
      <c r="R231" s="12" t="n">
        <v>396.281</v>
      </c>
      <c r="S231" s="12" t="n">
        <v>-446.134</v>
      </c>
      <c r="T231" s="12" t="n">
        <v>-2536.719</v>
      </c>
      <c r="U231" s="12" t="n">
        <v>3322.314</v>
      </c>
      <c r="V231" s="12" t="n">
        <v>2898.923</v>
      </c>
      <c r="W231" s="12" t="n">
        <v>2417.808</v>
      </c>
      <c r="X231" s="12" t="n">
        <v>-819.08</v>
      </c>
    </row>
    <row r="232">
      <c r="A232" s="18" t="inlineStr">
        <is>
          <t>정기예금 예입</t>
        </is>
      </c>
      <c r="F232" s="20" t="n">
        <v>-68.004</v>
      </c>
      <c r="J232" s="20" t="n">
        <v>-68.01000000000001</v>
      </c>
      <c r="N232" s="20" t="n">
        <v>-68.304</v>
      </c>
      <c r="P232" s="20" t="n">
        <v>-68.021</v>
      </c>
      <c r="Q232" s="20" t="n">
        <v>-68.021</v>
      </c>
      <c r="R232" s="20" t="n">
        <v>-68.021</v>
      </c>
      <c r="S232" s="20" t="n">
        <v>-68.021</v>
      </c>
      <c r="T232" s="20" t="n">
        <v>-68.004</v>
      </c>
      <c r="U232" s="20" t="n">
        <v>-68.004</v>
      </c>
      <c r="V232" s="20" t="n">
        <v>-68.004</v>
      </c>
      <c r="W232" s="20" t="n">
        <v>-68.01000000000001</v>
      </c>
      <c r="X232" s="20" t="n">
        <v>-68.304</v>
      </c>
    </row>
    <row r="233">
      <c r="A233" s="18" t="inlineStr">
        <is>
          <t>정기예금 인출</t>
        </is>
      </c>
      <c r="F233" s="20" t="n">
        <v>68</v>
      </c>
      <c r="J233" s="20" t="n">
        <v>68</v>
      </c>
      <c r="N233" s="20" t="n">
        <v>68</v>
      </c>
      <c r="P233" s="20" t="n">
        <v>58</v>
      </c>
      <c r="Q233" s="20" t="n">
        <v>68</v>
      </c>
      <c r="R233" s="20" t="n">
        <v>68</v>
      </c>
      <c r="S233" s="20" t="n">
        <v>68</v>
      </c>
      <c r="T233" s="20" t="n">
        <v>68</v>
      </c>
      <c r="U233" s="20" t="n">
        <v>68</v>
      </c>
      <c r="V233" s="20" t="n">
        <v>68</v>
      </c>
      <c r="W233" s="20" t="n">
        <v>68</v>
      </c>
      <c r="X233" s="20" t="n">
        <v>68</v>
      </c>
    </row>
    <row r="234">
      <c r="A234" s="18" t="inlineStr">
        <is>
          <t>유형자산 취득(설비투자)</t>
        </is>
      </c>
      <c r="F234" s="20" t="n">
        <v>-32.612</v>
      </c>
      <c r="J234" s="20" t="n">
        <v>-26.226</v>
      </c>
      <c r="N234" s="20" t="n">
        <v>-213.272</v>
      </c>
      <c r="P234" s="20" t="n">
        <v>-91.38</v>
      </c>
      <c r="Q234" s="20" t="n">
        <v>-27.537</v>
      </c>
      <c r="R234" s="20" t="n">
        <v>-5.267</v>
      </c>
      <c r="S234" s="20" t="n">
        <v>-24.044</v>
      </c>
      <c r="T234" s="20" t="n">
        <v>-23.732</v>
      </c>
      <c r="U234" s="20" t="n">
        <v>-27.511</v>
      </c>
      <c r="V234" s="20" t="n">
        <v>-32.612</v>
      </c>
      <c r="W234" s="20" t="n">
        <v>-26.226</v>
      </c>
      <c r="X234" s="20" t="n">
        <v>-213.272</v>
      </c>
    </row>
    <row r="235">
      <c r="A235" s="18" t="inlineStr">
        <is>
          <t>유형자산 매각</t>
        </is>
      </c>
      <c r="F235" s="20" t="n">
        <v>0</v>
      </c>
      <c r="J235" s="20" t="n">
        <v>3.165</v>
      </c>
      <c r="N235" s="20" t="n">
        <v>0.121</v>
      </c>
      <c r="P235" s="20" t="n">
        <v>8.108000000000001</v>
      </c>
      <c r="Q235" s="20" t="n">
        <v>0</v>
      </c>
      <c r="S235" s="20" t="n">
        <v>0</v>
      </c>
      <c r="T235" s="20" t="n">
        <v>167.581</v>
      </c>
      <c r="U235" s="20" t="n">
        <v>0</v>
      </c>
      <c r="V235" s="20" t="n">
        <v>0</v>
      </c>
      <c r="W235" s="20" t="n">
        <v>3.165</v>
      </c>
      <c r="X235" s="20" t="n">
        <v>0.121</v>
      </c>
    </row>
    <row r="236">
      <c r="A236" s="18" t="inlineStr">
        <is>
          <t>무형자산 취득</t>
        </is>
      </c>
      <c r="F236" s="20" t="n">
        <v>-209.707</v>
      </c>
      <c r="J236" s="20" t="n">
        <v>-5.496</v>
      </c>
      <c r="N236" s="20" t="n">
        <v>0</v>
      </c>
      <c r="P236" s="20" t="n">
        <v>0</v>
      </c>
      <c r="Q236" s="20" t="n">
        <v>-0.314</v>
      </c>
      <c r="R236" s="20" t="n">
        <v>-10.97</v>
      </c>
      <c r="S236" s="20" t="n">
        <v>-6.177</v>
      </c>
      <c r="T236" s="20" t="n">
        <v>-2.424</v>
      </c>
      <c r="U236" s="20" t="n">
        <v>-620.952</v>
      </c>
      <c r="V236" s="20" t="n">
        <v>-209.707</v>
      </c>
      <c r="W236" s="20" t="n">
        <v>-5.496</v>
      </c>
      <c r="X236" s="20" t="n">
        <v>0</v>
      </c>
    </row>
    <row r="237">
      <c r="A237" s="18" t="inlineStr">
        <is>
          <t>유가증권 매각</t>
        </is>
      </c>
      <c r="P237" s="20" t="n">
        <v>47.51</v>
      </c>
      <c r="Q237" s="20" t="n">
        <v>0</v>
      </c>
    </row>
    <row r="238">
      <c r="A238" s="18" t="inlineStr">
        <is>
          <t>투자유가증권 매각</t>
        </is>
      </c>
      <c r="F238" s="20" t="n">
        <v>0</v>
      </c>
      <c r="Q238" s="20" t="n">
        <v>0</v>
      </c>
      <c r="R238" s="20" t="n">
        <v>30</v>
      </c>
      <c r="S238" s="20" t="n">
        <v>0</v>
      </c>
      <c r="T238" s="20" t="n">
        <v>0</v>
      </c>
      <c r="U238" s="20" t="n">
        <v>2.233</v>
      </c>
      <c r="V238" s="20" t="n">
        <v>0</v>
      </c>
    </row>
    <row r="239">
      <c r="A239" s="18" t="inlineStr">
        <is>
          <t>연결범위 변경을 수반하는 자회사 주식 취득에 따른 지출</t>
        </is>
      </c>
      <c r="F239" s="20" t="n">
        <v>-76.48099999999999</v>
      </c>
      <c r="J239" s="20" t="n">
        <v>0</v>
      </c>
      <c r="U239" s="20" t="n">
        <v>0</v>
      </c>
      <c r="V239" s="20" t="n">
        <v>-76.48099999999999</v>
      </c>
      <c r="W239" s="20" t="n">
        <v>0</v>
      </c>
    </row>
    <row r="240">
      <c r="A240" s="18" t="inlineStr">
        <is>
          <t>연결범위 변경을 수반하는 자회사 주식 취득에 따른 수입</t>
        </is>
      </c>
      <c r="F240" s="20" t="n">
        <v>32.722</v>
      </c>
      <c r="J240" s="20" t="n">
        <v>0</v>
      </c>
      <c r="U240" s="20" t="n">
        <v>0</v>
      </c>
      <c r="V240" s="20" t="n">
        <v>32.722</v>
      </c>
      <c r="W240" s="20" t="n">
        <v>0</v>
      </c>
    </row>
    <row r="241">
      <c r="A241" s="18" t="inlineStr">
        <is>
          <t>투자유가증권 취득</t>
        </is>
      </c>
      <c r="J241" s="20" t="n">
        <v>0</v>
      </c>
      <c r="N241" s="20" t="n">
        <v>-707.696</v>
      </c>
      <c r="W241" s="20" t="n">
        <v>0</v>
      </c>
      <c r="X241" s="20" t="n">
        <v>-707.696</v>
      </c>
    </row>
    <row r="242">
      <c r="A242" s="18" t="inlineStr">
        <is>
          <t>사업양수 지출</t>
        </is>
      </c>
      <c r="F242" s="20" t="n">
        <v>0</v>
      </c>
      <c r="J242" s="20" t="n">
        <v>-100</v>
      </c>
      <c r="N242" s="20" t="n">
        <v>0</v>
      </c>
      <c r="V242" s="20" t="n">
        <v>0</v>
      </c>
      <c r="W242" s="20" t="n">
        <v>-100</v>
      </c>
      <c r="X242" s="20" t="n">
        <v>0</v>
      </c>
    </row>
    <row r="243">
      <c r="A243" s="18" t="inlineStr">
        <is>
          <t>보증금 납입에 따른 지출</t>
        </is>
      </c>
      <c r="F243" s="20" t="n">
        <v>-30.254</v>
      </c>
      <c r="J243" s="20" t="n">
        <v>-254.688</v>
      </c>
      <c r="N243" s="20" t="n">
        <v>-171.996</v>
      </c>
      <c r="P243" s="20" t="n">
        <v>-95.41200000000001</v>
      </c>
      <c r="Q243" s="20" t="n">
        <v>-5.257</v>
      </c>
      <c r="R243" s="20" t="n">
        <v>-3.925</v>
      </c>
      <c r="S243" s="20" t="n">
        <v>-7.808</v>
      </c>
      <c r="V243" s="20" t="n">
        <v>-30.254</v>
      </c>
      <c r="W243" s="20" t="n">
        <v>-254.688</v>
      </c>
      <c r="X243" s="20" t="n">
        <v>-171.996</v>
      </c>
    </row>
    <row r="244">
      <c r="A244" s="18" t="inlineStr">
        <is>
          <t>보증금 회수에 따른 수입</t>
        </is>
      </c>
      <c r="P244" s="20" t="n">
        <v>4.38</v>
      </c>
      <c r="Q244" s="20" t="n">
        <v>27.139</v>
      </c>
      <c r="R244" s="20" t="n">
        <v>0.01</v>
      </c>
      <c r="S244" s="20" t="n">
        <v>3.211</v>
      </c>
    </row>
    <row r="245">
      <c r="A245" s="18" t="inlineStr">
        <is>
          <t>지점 이전에 따른 지출</t>
        </is>
      </c>
      <c r="P245" s="20" t="n">
        <v>-9.65</v>
      </c>
      <c r="Q245" s="20" t="n">
        <v>0</v>
      </c>
    </row>
    <row r="246">
      <c r="A246" s="18" t="inlineStr">
        <is>
          <t>자산복구부채 이행 지출</t>
        </is>
      </c>
      <c r="P246" s="20" t="n">
        <v>0</v>
      </c>
      <c r="Q246" s="20" t="n">
        <v>-0.212</v>
      </c>
    </row>
    <row r="247">
      <c r="A247" s="18" t="inlineStr">
        <is>
          <t>기타</t>
        </is>
      </c>
      <c r="F247" s="20" t="n">
        <v>-53.128</v>
      </c>
      <c r="J247" s="20" t="n">
        <v>15.433</v>
      </c>
      <c r="N247" s="20" t="n">
        <v>27.659</v>
      </c>
      <c r="P247" s="20" t="n">
        <v>-0.053</v>
      </c>
      <c r="Q247" s="20" t="n">
        <v>-1.034</v>
      </c>
      <c r="R247" s="20" t="n">
        <v>-1.774</v>
      </c>
      <c r="S247" s="20" t="n">
        <v>-6.544</v>
      </c>
      <c r="T247" s="20" t="n">
        <v>-2.551</v>
      </c>
      <c r="U247" s="20" t="n">
        <v>-15.873</v>
      </c>
      <c r="V247" s="20" t="n">
        <v>-53.128</v>
      </c>
      <c r="W247" s="20" t="n">
        <v>15.433</v>
      </c>
      <c r="X247" s="20" t="n">
        <v>27.659</v>
      </c>
    </row>
    <row r="248">
      <c r="A248" s="9" t="inlineStr">
        <is>
          <t>투자활동 현금흐름</t>
        </is>
      </c>
      <c r="F248" s="12" t="n">
        <v>-369.465</v>
      </c>
      <c r="J248" s="12" t="n">
        <v>-367.822</v>
      </c>
      <c r="N248" s="12" t="n">
        <v>-1065.488</v>
      </c>
      <c r="P248" s="12" t="n">
        <v>-146.519</v>
      </c>
      <c r="Q248" s="12" t="n">
        <v>-7.024</v>
      </c>
      <c r="R248" s="12" t="n">
        <v>8.052</v>
      </c>
      <c r="S248" s="12" t="n">
        <v>-36.787</v>
      </c>
      <c r="T248" s="12" t="n">
        <v>138.868</v>
      </c>
      <c r="U248" s="12" t="n">
        <v>-662.1079999999999</v>
      </c>
      <c r="V248" s="12" t="n">
        <v>-369.465</v>
      </c>
      <c r="W248" s="12" t="n">
        <v>-367.822</v>
      </c>
      <c r="X248" s="12" t="n">
        <v>-1065.488</v>
      </c>
    </row>
    <row r="249">
      <c r="A249" s="18" t="inlineStr">
        <is>
          <t>단기차입</t>
        </is>
      </c>
      <c r="P249" s="20" t="n">
        <v>0</v>
      </c>
      <c r="Q249" s="20" t="n">
        <v>100</v>
      </c>
      <c r="R249" s="20" t="n">
        <v>0</v>
      </c>
      <c r="S249" s="20" t="n">
        <v>0</v>
      </c>
      <c r="T249" s="20" t="n">
        <v>1100</v>
      </c>
      <c r="U249" s="20" t="n">
        <v>200</v>
      </c>
    </row>
    <row r="250">
      <c r="A250" s="18" t="inlineStr">
        <is>
          <t>단기차입금 상환</t>
        </is>
      </c>
      <c r="P250" s="20" t="n">
        <v>0</v>
      </c>
      <c r="Q250" s="20" t="n">
        <v>-200</v>
      </c>
      <c r="R250" s="20" t="n">
        <v>0</v>
      </c>
    </row>
    <row r="251">
      <c r="A251" s="18" t="inlineStr">
        <is>
          <t>단기차입금 순증감</t>
        </is>
      </c>
      <c r="F251" s="20" t="n">
        <v>-200</v>
      </c>
      <c r="J251" s="20" t="n">
        <v>0</v>
      </c>
      <c r="U251" s="20" t="n">
        <v>200</v>
      </c>
      <c r="V251" s="20" t="n">
        <v>-200</v>
      </c>
      <c r="W251" s="20" t="n">
        <v>0</v>
      </c>
    </row>
    <row r="252">
      <c r="A252" s="18" t="inlineStr">
        <is>
          <t>장기차입</t>
        </is>
      </c>
      <c r="J252" s="20" t="n">
        <v>0</v>
      </c>
      <c r="N252" s="20" t="n">
        <v>20</v>
      </c>
      <c r="Q252" s="20" t="n">
        <v>0</v>
      </c>
      <c r="R252" s="20" t="n">
        <v>300</v>
      </c>
      <c r="S252" s="20" t="n">
        <v>500</v>
      </c>
      <c r="T252" s="20" t="n">
        <v>0</v>
      </c>
      <c r="W252" s="20" t="n">
        <v>0</v>
      </c>
      <c r="X252" s="20" t="n">
        <v>20</v>
      </c>
    </row>
    <row r="253">
      <c r="A253" s="18" t="inlineStr">
        <is>
          <t>사채 상환</t>
        </is>
      </c>
      <c r="Q253" s="20" t="n">
        <v>0</v>
      </c>
      <c r="R253" s="20" t="n">
        <v>-400</v>
      </c>
      <c r="S253" s="20" t="n">
        <v>-800</v>
      </c>
      <c r="T253" s="20" t="n">
        <v>0</v>
      </c>
    </row>
    <row r="254">
      <c r="A254" s="18" t="inlineStr">
        <is>
          <t>장기차입금 상환</t>
        </is>
      </c>
      <c r="F254" s="20" t="n">
        <v>-5.117</v>
      </c>
      <c r="J254" s="20" t="n">
        <v>-510.584</v>
      </c>
      <c r="N254" s="20" t="n">
        <v>-324.335</v>
      </c>
      <c r="U254" s="20" t="n">
        <v>0</v>
      </c>
      <c r="V254" s="20" t="n">
        <v>-5.117</v>
      </c>
      <c r="W254" s="20" t="n">
        <v>-510.584</v>
      </c>
      <c r="X254" s="20" t="n">
        <v>-324.335</v>
      </c>
    </row>
    <row r="255">
      <c r="A255" s="18" t="inlineStr">
        <is>
          <t>주식 발행</t>
        </is>
      </c>
      <c r="F255" s="20" t="n">
        <v>2.842</v>
      </c>
      <c r="J255" s="20" t="n">
        <v>15.265</v>
      </c>
      <c r="N255" s="20" t="n">
        <v>11.194</v>
      </c>
      <c r="P255" s="20" t="n">
        <v>0</v>
      </c>
      <c r="Q255" s="20" t="n">
        <v>901.193</v>
      </c>
      <c r="R255" s="20" t="n">
        <v>169.731</v>
      </c>
      <c r="S255" s="20" t="n">
        <v>4.978</v>
      </c>
      <c r="T255" s="20" t="n">
        <v>0</v>
      </c>
      <c r="U255" s="20" t="n">
        <v>31.952</v>
      </c>
      <c r="V255" s="20" t="n">
        <v>2.842</v>
      </c>
      <c r="W255" s="20" t="n">
        <v>15.265</v>
      </c>
      <c r="X255" s="20" t="n">
        <v>11.194</v>
      </c>
    </row>
    <row r="256">
      <c r="A256" s="18" t="inlineStr">
        <is>
          <t>상장 관련 비용 지출</t>
        </is>
      </c>
      <c r="P256" s="20" t="n">
        <v>0</v>
      </c>
      <c r="Q256" s="20" t="n">
        <v>-16.79</v>
      </c>
    </row>
    <row r="257">
      <c r="A257" s="18" t="inlineStr">
        <is>
          <t>상장 관련 비용 지출</t>
        </is>
      </c>
      <c r="Q257" s="20" t="n">
        <v>-16.79</v>
      </c>
      <c r="R257" s="20" t="n">
        <v>0</v>
      </c>
    </row>
    <row r="258">
      <c r="A258" s="18" t="inlineStr">
        <is>
          <t>시장 변경 비용 지출</t>
        </is>
      </c>
      <c r="Q258" s="20" t="n">
        <v>0</v>
      </c>
      <c r="R258" s="20" t="n">
        <v>-27.193</v>
      </c>
      <c r="S258" s="20" t="n">
        <v>0</v>
      </c>
    </row>
    <row r="259">
      <c r="A259" s="18" t="inlineStr">
        <is>
          <t>자기주식 취득</t>
        </is>
      </c>
      <c r="J259" s="20" t="n">
        <v>0</v>
      </c>
      <c r="N259" s="20" t="n">
        <v>-984.627</v>
      </c>
      <c r="W259" s="20" t="n">
        <v>0</v>
      </c>
      <c r="X259" s="20" t="n">
        <v>-984.627</v>
      </c>
    </row>
    <row r="260">
      <c r="A260" s="18" t="inlineStr">
        <is>
          <t>자기주식 처분</t>
        </is>
      </c>
      <c r="J260" s="20" t="n">
        <v>0</v>
      </c>
      <c r="N260" s="20" t="n">
        <v>975.249</v>
      </c>
      <c r="W260" s="20" t="n">
        <v>0</v>
      </c>
      <c r="X260" s="20" t="n">
        <v>975.249</v>
      </c>
    </row>
    <row r="261">
      <c r="A261" s="18" t="inlineStr">
        <is>
          <t>배당금 지급</t>
        </is>
      </c>
      <c r="F261" s="20" t="n">
        <v>-96.708</v>
      </c>
      <c r="J261" s="20" t="n">
        <v>-313.459</v>
      </c>
      <c r="N261" s="20" t="n">
        <v>-358.084</v>
      </c>
      <c r="R261" s="20" t="n">
        <v>0</v>
      </c>
      <c r="S261" s="20" t="n">
        <v>-73.143</v>
      </c>
      <c r="T261" s="20" t="n">
        <v>-80.714</v>
      </c>
      <c r="U261" s="20" t="n">
        <v>-88.071</v>
      </c>
      <c r="V261" s="20" t="n">
        <v>-96.708</v>
      </c>
      <c r="W261" s="20" t="n">
        <v>-313.459</v>
      </c>
      <c r="X261" s="20" t="n">
        <v>-358.084</v>
      </c>
    </row>
    <row r="262">
      <c r="A262" s="18" t="inlineStr">
        <is>
          <t>기타</t>
        </is>
      </c>
      <c r="F262" s="20" t="n">
        <v>0</v>
      </c>
      <c r="Q262" s="20" t="n">
        <v>0</v>
      </c>
      <c r="R262" s="20" t="n">
        <v>-0.332</v>
      </c>
      <c r="S262" s="20" t="n">
        <v>-0.08500000000000001</v>
      </c>
      <c r="T262" s="20" t="n">
        <v>1.942</v>
      </c>
      <c r="U262" s="20" t="n">
        <v>-0.173</v>
      </c>
      <c r="V262" s="20" t="n">
        <v>0</v>
      </c>
    </row>
    <row r="263">
      <c r="A263" s="9" t="inlineStr">
        <is>
          <t>재무활동 현금흐름</t>
        </is>
      </c>
      <c r="F263" s="12" t="n">
        <v>-298.982</v>
      </c>
      <c r="J263" s="12" t="n">
        <v>-808.778</v>
      </c>
      <c r="N263" s="12" t="n">
        <v>-660.603</v>
      </c>
      <c r="P263" s="12" t="n">
        <v>0</v>
      </c>
      <c r="Q263" s="12" t="n">
        <v>784.402</v>
      </c>
      <c r="R263" s="12" t="n">
        <v>42.204</v>
      </c>
      <c r="S263" s="12" t="n">
        <v>-368.25</v>
      </c>
      <c r="T263" s="12" t="n">
        <v>1021.228</v>
      </c>
      <c r="U263" s="12" t="n">
        <v>143.706</v>
      </c>
      <c r="V263" s="12" t="n">
        <v>-298.982</v>
      </c>
      <c r="W263" s="12" t="n">
        <v>-808.778</v>
      </c>
      <c r="X263" s="12" t="n">
        <v>-660.603</v>
      </c>
    </row>
    <row r="264">
      <c r="A264" s="18" t="inlineStr">
        <is>
          <t>현금성자산 증감</t>
        </is>
      </c>
      <c r="F264" s="20" t="n">
        <v>2230.475</v>
      </c>
      <c r="J264" s="20" t="n">
        <v>1241.207</v>
      </c>
      <c r="N264" s="20" t="n">
        <v>-2545.172</v>
      </c>
      <c r="P264" s="20" t="n">
        <v>155.615</v>
      </c>
      <c r="Q264" s="20" t="n">
        <v>1518.54</v>
      </c>
      <c r="R264" s="20" t="n">
        <v>446.538</v>
      </c>
      <c r="S264" s="20" t="n">
        <v>-851.173</v>
      </c>
      <c r="T264" s="20" t="n">
        <v>-1376.622</v>
      </c>
      <c r="U264" s="20" t="n">
        <v>2803.913</v>
      </c>
      <c r="V264" s="20" t="n">
        <v>2230.475</v>
      </c>
      <c r="W264" s="20" t="n">
        <v>1241.207</v>
      </c>
      <c r="X264" s="20" t="n">
        <v>-2545.172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토메이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14711.856</v>
      </c>
      <c r="D5" s="12" t="n">
        <v>13236.747</v>
      </c>
      <c r="E5" s="12" t="n">
        <v>14425.522</v>
      </c>
      <c r="F5" s="12" t="n">
        <v>14746.908</v>
      </c>
      <c r="G5" s="12" t="n">
        <v>14901.157</v>
      </c>
      <c r="H5" s="11" t="n">
        <v>8402.526</v>
      </c>
      <c r="I5" s="12" t="n">
        <v>10173.248</v>
      </c>
      <c r="J5" s="12" t="n">
        <v>12653.484</v>
      </c>
      <c r="K5" s="12" t="n">
        <v>14711.856</v>
      </c>
      <c r="L5" s="12" t="n">
        <v>14901.157</v>
      </c>
    </row>
    <row r="6">
      <c r="A6" s="18" t="inlineStr">
        <is>
          <t>현금및현금성자산</t>
        </is>
      </c>
      <c r="B6" s="10" t="n"/>
      <c r="C6" s="19" t="n">
        <v>7884.265</v>
      </c>
      <c r="D6" s="20" t="n">
        <v>7137.021</v>
      </c>
      <c r="E6" s="20" t="n">
        <v>7657.355</v>
      </c>
      <c r="F6" s="20" t="n">
        <v>7716.22</v>
      </c>
      <c r="G6" s="20" t="n">
        <v>5339.397</v>
      </c>
      <c r="H6" s="19" t="n">
        <v>1608.65</v>
      </c>
      <c r="I6" s="20" t="n">
        <v>4412.567</v>
      </c>
      <c r="J6" s="20" t="n">
        <v>6643.047</v>
      </c>
      <c r="K6" s="20" t="n">
        <v>7884.265</v>
      </c>
      <c r="L6" s="20" t="n">
        <v>5339.397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5714.883</v>
      </c>
      <c r="D8" s="20" t="n">
        <v>5041.886</v>
      </c>
      <c r="E8" s="20" t="n">
        <v>5357.262</v>
      </c>
      <c r="F8" s="20" t="n">
        <v>5480.42</v>
      </c>
      <c r="G8" s="20" t="n">
        <v>7468.722</v>
      </c>
      <c r="H8" s="19" t="n">
        <v>6113.174</v>
      </c>
      <c r="I8" s="20" t="n">
        <v>4911.968</v>
      </c>
      <c r="J8" s="20" t="n">
        <v>5253.281</v>
      </c>
      <c r="K8" s="20" t="n">
        <v>5714.883</v>
      </c>
      <c r="L8" s="20" t="n">
        <v>7468.722</v>
      </c>
    </row>
    <row r="9">
      <c r="A9" s="18" t="inlineStr">
        <is>
          <t>재고자산</t>
        </is>
      </c>
      <c r="B9" s="10" t="n"/>
      <c r="C9" s="19" t="n">
        <v>277.867</v>
      </c>
      <c r="D9" s="20" t="n">
        <v>300.834</v>
      </c>
      <c r="E9" s="20" t="n">
        <v>386.702</v>
      </c>
      <c r="F9" s="20" t="n">
        <v>497.684</v>
      </c>
      <c r="G9" s="20" t="n">
        <v>572.102</v>
      </c>
      <c r="H9" s="19" t="n">
        <v>174.996</v>
      </c>
      <c r="I9" s="20" t="n">
        <v>180.195</v>
      </c>
      <c r="J9" s="20" t="n">
        <v>145.032</v>
      </c>
      <c r="K9" s="20" t="n">
        <v>277.867</v>
      </c>
      <c r="L9" s="20" t="n">
        <v>572.102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1872.092</v>
      </c>
      <c r="D11" s="12" t="n">
        <v>2503.979</v>
      </c>
      <c r="E11" s="12" t="n">
        <v>2607.816</v>
      </c>
      <c r="F11" s="12" t="n">
        <v>2995.044</v>
      </c>
      <c r="G11" s="12" t="n">
        <v>3329.006</v>
      </c>
      <c r="H11" s="11" t="n">
        <v>953.2</v>
      </c>
      <c r="I11" s="12" t="n">
        <v>1360.047</v>
      </c>
      <c r="J11" s="12" t="n">
        <v>1519.115</v>
      </c>
      <c r="K11" s="12" t="n">
        <v>1872.092</v>
      </c>
      <c r="L11" s="12" t="n">
        <v>3329.006</v>
      </c>
    </row>
    <row r="12">
      <c r="A12" s="18" t="inlineStr">
        <is>
          <t>유형자산</t>
        </is>
      </c>
      <c r="B12" s="10" t="n"/>
      <c r="C12" s="19" t="n">
        <v>249.4</v>
      </c>
      <c r="D12" s="20" t="n">
        <v>419.624</v>
      </c>
      <c r="E12" s="20" t="n">
        <v>416.335</v>
      </c>
      <c r="F12" s="20" t="n">
        <v>394.516</v>
      </c>
      <c r="G12" s="20" t="n">
        <v>373.515</v>
      </c>
      <c r="H12" s="19" t="n">
        <v>212.966</v>
      </c>
      <c r="I12" s="20" t="n">
        <v>217.825</v>
      </c>
      <c r="J12" s="20" t="n">
        <v>230.056</v>
      </c>
      <c r="K12" s="20" t="n">
        <v>249.4</v>
      </c>
      <c r="L12" s="20" t="n">
        <v>373.515</v>
      </c>
    </row>
    <row r="13">
      <c r="A13" s="18" t="inlineStr">
        <is>
          <t>무형자산</t>
        </is>
      </c>
      <c r="B13" s="10" t="n"/>
      <c r="C13" s="19" t="n">
        <v>522.776</v>
      </c>
      <c r="D13" s="20" t="n">
        <v>475.795</v>
      </c>
      <c r="E13" s="20" t="n">
        <v>428.814</v>
      </c>
      <c r="F13" s="20" t="n">
        <v>381.833</v>
      </c>
      <c r="G13" s="20" t="n">
        <v>273.185</v>
      </c>
      <c r="H13" s="19" t="n">
        <v>14.446</v>
      </c>
      <c r="I13" s="20" t="n">
        <v>546.909</v>
      </c>
      <c r="J13" s="20" t="n">
        <v>603.87</v>
      </c>
      <c r="K13" s="20" t="n">
        <v>522.776</v>
      </c>
      <c r="L13" s="20" t="n">
        <v>273.185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16583.949</v>
      </c>
      <c r="D16" s="12" t="n">
        <v>15740.726</v>
      </c>
      <c r="E16" s="12" t="n">
        <v>17033.338</v>
      </c>
      <c r="F16" s="12" t="n">
        <v>17741.953</v>
      </c>
      <c r="G16" s="12" t="n">
        <v>18230.164</v>
      </c>
      <c r="H16" s="11" t="n">
        <v>9355.726000000001</v>
      </c>
      <c r="I16" s="12" t="n">
        <v>11533.295</v>
      </c>
      <c r="J16" s="12" t="n">
        <v>14172.599</v>
      </c>
      <c r="K16" s="12" t="n">
        <v>16583.949</v>
      </c>
      <c r="L16" s="12" t="n">
        <v>18230.164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6644.963</v>
      </c>
      <c r="D18" s="12" t="n">
        <v>6168.014</v>
      </c>
      <c r="E18" s="12" t="n">
        <v>6335.96</v>
      </c>
      <c r="F18" s="12" t="n">
        <v>6352.428</v>
      </c>
      <c r="G18" s="12" t="n">
        <v>6036.942</v>
      </c>
      <c r="H18" s="11" t="n">
        <v>3424.072</v>
      </c>
      <c r="I18" s="12" t="n">
        <v>4692.983</v>
      </c>
      <c r="J18" s="12" t="n">
        <v>6125.826</v>
      </c>
      <c r="K18" s="12" t="n">
        <v>6644.963</v>
      </c>
      <c r="L18" s="12" t="n">
        <v>6036.942</v>
      </c>
    </row>
    <row r="19">
      <c r="A19" s="18" t="inlineStr">
        <is>
          <t>매입채무</t>
        </is>
      </c>
      <c r="B19" s="10" t="n"/>
      <c r="C19" s="19" t="n">
        <v>3179.229</v>
      </c>
      <c r="D19" s="20" t="n">
        <v>2818.249</v>
      </c>
      <c r="E19" s="20" t="n">
        <v>3143.573</v>
      </c>
      <c r="F19" s="20" t="n">
        <v>2949.411</v>
      </c>
      <c r="G19" s="20" t="n">
        <v>3127.838</v>
      </c>
      <c r="H19" s="19" t="n">
        <v>1593.91</v>
      </c>
      <c r="I19" s="20" t="n">
        <v>1915.835</v>
      </c>
      <c r="J19" s="20" t="n">
        <v>2949.533</v>
      </c>
      <c r="K19" s="20" t="n">
        <v>3179.229</v>
      </c>
      <c r="L19" s="20" t="n">
        <v>3127.838</v>
      </c>
    </row>
    <row r="20">
      <c r="A20" s="18" t="inlineStr">
        <is>
          <t>단기차입금</t>
        </is>
      </c>
      <c r="B20" s="10" t="n"/>
      <c r="C20" s="19" t="n">
        <v>1200</v>
      </c>
      <c r="D20" s="20" t="n">
        <v>1600</v>
      </c>
      <c r="E20" s="20" t="n">
        <v>1200</v>
      </c>
      <c r="F20" s="20" t="n">
        <v>1400</v>
      </c>
      <c r="G20" s="20" t="n">
        <v>1200</v>
      </c>
      <c r="H20" s="19" t="n">
        <v>1200</v>
      </c>
      <c r="I20" s="20" t="n">
        <v>1400</v>
      </c>
      <c r="J20" s="20" t="n">
        <v>1200</v>
      </c>
      <c r="K20" s="20" t="n">
        <v>1200</v>
      </c>
      <c r="L20" s="20" t="n">
        <v>1200</v>
      </c>
    </row>
    <row r="21">
      <c r="A21" s="18" t="inlineStr">
        <is>
          <t>유동성장기부채</t>
        </is>
      </c>
      <c r="B21" s="10" t="n"/>
      <c r="C21" s="19" t="n">
        <v>310.584</v>
      </c>
      <c r="D21" s="20" t="n">
        <v>310.584</v>
      </c>
      <c r="E21" s="20" t="n">
        <v>310.584</v>
      </c>
      <c r="F21" s="20" t="n">
        <v>306.66</v>
      </c>
      <c r="G21" s="20" t="n">
        <v>6.66</v>
      </c>
      <c r="H21" s="19" t="n">
        <v>0</v>
      </c>
      <c r="I21" s="20" t="n">
        <v>200</v>
      </c>
      <c r="J21" s="20" t="n">
        <v>510.584</v>
      </c>
      <c r="K21" s="20" t="n">
        <v>310.584</v>
      </c>
      <c r="L21" s="20" t="n">
        <v>6.66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141.082</v>
      </c>
      <c r="D23" s="12" t="n">
        <v>154.589</v>
      </c>
      <c r="E23" s="12" t="n">
        <v>140.412</v>
      </c>
      <c r="F23" s="12" t="n">
        <v>170.881</v>
      </c>
      <c r="G23" s="12" t="n">
        <v>184.731</v>
      </c>
      <c r="H23" s="11" t="n">
        <v>855.75</v>
      </c>
      <c r="I23" s="12" t="n">
        <v>663.403</v>
      </c>
      <c r="J23" s="12" t="n">
        <v>407.447</v>
      </c>
      <c r="K23" s="12" t="n">
        <v>141.082</v>
      </c>
      <c r="L23" s="12" t="n">
        <v>184.731</v>
      </c>
    </row>
    <row r="24">
      <c r="A24" s="18" t="inlineStr">
        <is>
          <t>장기차입금</t>
        </is>
      </c>
      <c r="B24" s="10" t="n"/>
      <c r="C24" s="19" t="n">
        <v>10.976</v>
      </c>
      <c r="D24" s="20" t="n">
        <v>8.33</v>
      </c>
      <c r="E24" s="20" t="n">
        <v>5.684</v>
      </c>
      <c r="F24" s="20" t="n">
        <v>12.785</v>
      </c>
      <c r="G24" s="20" t="n">
        <v>10.565</v>
      </c>
      <c r="H24" s="19" t="n">
        <v>800</v>
      </c>
      <c r="I24" s="20" t="n">
        <v>600</v>
      </c>
      <c r="J24" s="20" t="n">
        <v>321.56</v>
      </c>
      <c r="K24" s="20" t="n">
        <v>10.976</v>
      </c>
      <c r="L24" s="20" t="n">
        <v>10.565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6786.045</v>
      </c>
      <c r="D27" s="12" t="n">
        <v>6322.603</v>
      </c>
      <c r="E27" s="12" t="n">
        <v>6476.373</v>
      </c>
      <c r="F27" s="12" t="n">
        <v>6523.309</v>
      </c>
      <c r="G27" s="12" t="n">
        <v>6221.674</v>
      </c>
      <c r="H27" s="11" t="n">
        <v>4279.823</v>
      </c>
      <c r="I27" s="12" t="n">
        <v>5356.386</v>
      </c>
      <c r="J27" s="12" t="n">
        <v>6533.274</v>
      </c>
      <c r="K27" s="12" t="n">
        <v>6786.045</v>
      </c>
      <c r="L27" s="12" t="n">
        <v>6221.674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9774.637000000001</v>
      </c>
      <c r="D31" s="12" t="n">
        <v>9385.727999999999</v>
      </c>
      <c r="E31" s="12" t="n">
        <v>10515.166</v>
      </c>
      <c r="F31" s="12" t="n">
        <v>11167.021</v>
      </c>
      <c r="G31" s="12" t="n">
        <v>11947.043</v>
      </c>
      <c r="H31" s="11" t="n">
        <v>5074.367</v>
      </c>
      <c r="I31" s="12" t="n">
        <v>6171.98</v>
      </c>
      <c r="J31" s="12" t="n">
        <v>7632.451</v>
      </c>
      <c r="K31" s="12" t="n">
        <v>9774.637000000001</v>
      </c>
      <c r="L31" s="12" t="n">
        <v>11947.043</v>
      </c>
    </row>
    <row r="32">
      <c r="A32" s="18" t="inlineStr">
        <is>
          <t>자본금</t>
        </is>
      </c>
      <c r="B32" s="10" t="n"/>
      <c r="C32" s="19" t="n">
        <v>641.253</v>
      </c>
      <c r="D32" s="20" t="n">
        <v>645.527</v>
      </c>
      <c r="E32" s="20" t="n">
        <v>646.381</v>
      </c>
      <c r="F32" s="20" t="n">
        <v>646.381</v>
      </c>
      <c r="G32" s="20" t="n">
        <v>647.437</v>
      </c>
      <c r="H32" s="19" t="n">
        <v>607.6900000000001</v>
      </c>
      <c r="I32" s="20" t="n">
        <v>624.797</v>
      </c>
      <c r="J32" s="20" t="n">
        <v>629.217</v>
      </c>
      <c r="K32" s="20" t="n">
        <v>641.253</v>
      </c>
      <c r="L32" s="20" t="n">
        <v>647.437</v>
      </c>
    </row>
    <row r="33">
      <c r="A33" s="18" t="inlineStr">
        <is>
          <t>이익잉여금</t>
        </is>
      </c>
      <c r="B33" s="10" t="n"/>
      <c r="C33" s="19" t="n">
        <v>8487.351000000001</v>
      </c>
      <c r="D33" s="20" t="n">
        <v>8805.337</v>
      </c>
      <c r="E33" s="20" t="n">
        <v>9440.558999999999</v>
      </c>
      <c r="F33" s="20" t="n">
        <v>9826.745000000001</v>
      </c>
      <c r="G33" s="20" t="n">
        <v>10599.26</v>
      </c>
      <c r="H33" s="19" t="n">
        <v>3849.489</v>
      </c>
      <c r="I33" s="20" t="n">
        <v>4912.023</v>
      </c>
      <c r="J33" s="20" t="n">
        <v>6368.276</v>
      </c>
      <c r="K33" s="20" t="n">
        <v>8487.351000000001</v>
      </c>
      <c r="L33" s="20" t="n">
        <v>10599.26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9797.903</v>
      </c>
      <c r="D35" s="12" t="n">
        <v>9418.121999999999</v>
      </c>
      <c r="E35" s="12" t="n">
        <v>10556.965</v>
      </c>
      <c r="F35" s="12" t="n">
        <v>11218.643</v>
      </c>
      <c r="G35" s="12" t="n">
        <v>12008.489</v>
      </c>
      <c r="H35" s="11" t="n">
        <v>5075.903</v>
      </c>
      <c r="I35" s="12" t="n">
        <v>6176.908</v>
      </c>
      <c r="J35" s="12" t="n">
        <v>7639.325</v>
      </c>
      <c r="K35" s="12" t="n">
        <v>9797.903</v>
      </c>
      <c r="L35" s="12" t="n">
        <v>12008.489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2417.808</v>
      </c>
      <c r="D37" s="12" t="n"/>
      <c r="E37" s="12" t="n"/>
      <c r="F37" s="12" t="n"/>
      <c r="G37" s="12" t="n">
        <v>-819.08</v>
      </c>
      <c r="H37" s="11" t="n">
        <v>-2536.719</v>
      </c>
      <c r="I37" s="12" t="n">
        <v>3322.314</v>
      </c>
      <c r="J37" s="12" t="n">
        <v>2898.923</v>
      </c>
      <c r="K37" s="12" t="n">
        <v>2417.808</v>
      </c>
      <c r="L37" s="12" t="n">
        <v>-819.08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31.722</v>
      </c>
      <c r="D38" s="20" t="n"/>
      <c r="E38" s="20" t="n"/>
      <c r="F38" s="20" t="n"/>
      <c r="G38" s="20" t="n">
        <v>213.272</v>
      </c>
      <c r="H38" s="19" t="n">
        <v>26.156</v>
      </c>
      <c r="I38" s="20" t="n">
        <v>648.463</v>
      </c>
      <c r="J38" s="20" t="n">
        <v>242.319</v>
      </c>
      <c r="K38" s="20" t="n">
        <v>31.722</v>
      </c>
      <c r="L38" s="20" t="n">
        <v>213.272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313.459</v>
      </c>
      <c r="D40" s="20" t="n"/>
      <c r="E40" s="20" t="n"/>
      <c r="F40" s="20" t="n"/>
      <c r="G40" s="20" t="n">
        <v>358.084</v>
      </c>
      <c r="H40" s="19" t="n">
        <v>80.714</v>
      </c>
      <c r="I40" s="20" t="n">
        <v>88.071</v>
      </c>
      <c r="J40" s="20" t="n">
        <v>96.708</v>
      </c>
      <c r="K40" s="20" t="n">
        <v>313.459</v>
      </c>
      <c r="L40" s="20" t="n">
        <v>358.084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7884.265</v>
      </c>
      <c r="D71" s="20" t="n">
        <v>7137.021</v>
      </c>
      <c r="E71" s="20" t="n">
        <v>7657.355</v>
      </c>
      <c r="F71" s="20" t="n">
        <v>7716.22</v>
      </c>
      <c r="G71" s="20" t="n">
        <v>5339.397</v>
      </c>
      <c r="H71" s="20" t="n">
        <v>1608.65</v>
      </c>
      <c r="I71" s="20" t="n">
        <v>4412.567</v>
      </c>
      <c r="J71" s="20" t="n">
        <v>6643.047</v>
      </c>
      <c r="K71" s="20" t="n">
        <v>7884.265</v>
      </c>
      <c r="L71" s="20" t="n">
        <v>5339.397</v>
      </c>
    </row>
    <row r="72">
      <c r="A72" s="18" t="inlineStr">
        <is>
          <t>받을어음·매출채권</t>
        </is>
      </c>
      <c r="C72" s="20" t="n">
        <v>5714.883</v>
      </c>
      <c r="D72" s="20" t="n">
        <v>5041.886</v>
      </c>
      <c r="E72" s="20" t="n">
        <v>5357.262</v>
      </c>
      <c r="F72" s="20" t="n">
        <v>5480.42</v>
      </c>
      <c r="H72" s="20" t="n">
        <v>6113.174</v>
      </c>
      <c r="I72" s="20" t="n">
        <v>4911.968</v>
      </c>
      <c r="J72" s="20" t="n">
        <v>5253.281</v>
      </c>
      <c r="K72" s="20" t="n">
        <v>5714.883</v>
      </c>
    </row>
    <row r="73">
      <c r="A73" s="18" t="inlineStr">
        <is>
          <t>매출채권</t>
        </is>
      </c>
      <c r="C73" s="20" t="n">
        <v>5714.883</v>
      </c>
      <c r="G73" s="20" t="n">
        <v>7468.722</v>
      </c>
      <c r="H73" s="20" t="n">
        <v>6113.174</v>
      </c>
      <c r="I73" s="20" t="n">
        <v>4911.968</v>
      </c>
      <c r="J73" s="20" t="n">
        <v>5253.281</v>
      </c>
      <c r="K73" s="20" t="n">
        <v>5714.883</v>
      </c>
      <c r="L73" s="20" t="n">
        <v>7468.722</v>
      </c>
    </row>
    <row r="74">
      <c r="A74" s="18" t="inlineStr">
        <is>
          <t>상품·제품</t>
        </is>
      </c>
      <c r="C74" s="20" t="n">
        <v>33.714</v>
      </c>
      <c r="D74" s="20" t="n">
        <v>27.091</v>
      </c>
      <c r="E74" s="20" t="n">
        <v>21.704</v>
      </c>
      <c r="F74" s="20" t="n">
        <v>19.349</v>
      </c>
      <c r="G74" s="20" t="n">
        <v>23.086</v>
      </c>
      <c r="H74" s="20" t="n">
        <v>9.144</v>
      </c>
      <c r="I74" s="20" t="n">
        <v>7.306</v>
      </c>
      <c r="J74" s="20" t="n">
        <v>22.957</v>
      </c>
      <c r="K74" s="20" t="n">
        <v>33.714</v>
      </c>
      <c r="L74" s="20" t="n">
        <v>23.086</v>
      </c>
    </row>
    <row r="75">
      <c r="A75" s="18" t="inlineStr">
        <is>
          <t>원재료·저장품</t>
        </is>
      </c>
      <c r="C75" s="20" t="n">
        <v>244.153</v>
      </c>
      <c r="D75" s="20" t="n">
        <v>273.743</v>
      </c>
      <c r="E75" s="20" t="n">
        <v>364.998</v>
      </c>
      <c r="F75" s="20" t="n">
        <v>478.335</v>
      </c>
      <c r="G75" s="20" t="n">
        <v>549.016</v>
      </c>
      <c r="H75" s="20" t="n">
        <v>165.852</v>
      </c>
      <c r="I75" s="20" t="n">
        <v>172.889</v>
      </c>
      <c r="J75" s="20" t="n">
        <v>122.075</v>
      </c>
      <c r="K75" s="20" t="n">
        <v>244.153</v>
      </c>
      <c r="L75" s="20" t="n">
        <v>549.016</v>
      </c>
    </row>
    <row r="76">
      <c r="A76" s="18" t="inlineStr">
        <is>
          <t>선급비용</t>
        </is>
      </c>
      <c r="C76" s="20" t="n">
        <v>540.573</v>
      </c>
      <c r="G76" s="20" t="n">
        <v>1053.679</v>
      </c>
      <c r="K76" s="20" t="n">
        <v>540.573</v>
      </c>
      <c r="L76" s="20" t="n">
        <v>1053.679</v>
      </c>
    </row>
    <row r="77">
      <c r="A77" s="18" t="inlineStr">
        <is>
          <t>기타</t>
        </is>
      </c>
      <c r="C77" s="20" t="n">
        <v>345.412</v>
      </c>
      <c r="D77" s="20" t="n">
        <v>795.7670000000001</v>
      </c>
      <c r="E77" s="20" t="n">
        <v>1070.535</v>
      </c>
      <c r="F77" s="20" t="n">
        <v>1105.296</v>
      </c>
      <c r="G77" s="20" t="n">
        <v>525.77</v>
      </c>
      <c r="H77" s="20" t="n">
        <v>554.548</v>
      </c>
      <c r="I77" s="20" t="n">
        <v>738.081</v>
      </c>
      <c r="J77" s="20" t="n">
        <v>656.942</v>
      </c>
      <c r="K77" s="20" t="n">
        <v>345.412</v>
      </c>
      <c r="L77" s="20" t="n">
        <v>525.77</v>
      </c>
    </row>
    <row r="78">
      <c r="A78" s="18" t="inlineStr">
        <is>
          <t>대손충당금</t>
        </is>
      </c>
      <c r="C78" s="20" t="n">
        <v>-51.146</v>
      </c>
      <c r="D78" s="20" t="n">
        <v>-38.764</v>
      </c>
      <c r="E78" s="20" t="n">
        <v>-46.332</v>
      </c>
      <c r="F78" s="20" t="n">
        <v>-52.714</v>
      </c>
      <c r="G78" s="20" t="n">
        <v>-58.515</v>
      </c>
      <c r="H78" s="20" t="n">
        <v>-48.843</v>
      </c>
      <c r="I78" s="20" t="n">
        <v>-69.565</v>
      </c>
      <c r="J78" s="20" t="n">
        <v>-44.82</v>
      </c>
      <c r="K78" s="20" t="n">
        <v>-51.146</v>
      </c>
      <c r="L78" s="20" t="n">
        <v>-58.515</v>
      </c>
    </row>
    <row r="79">
      <c r="A79" s="9" t="inlineStr">
        <is>
          <t>유동자산 합계</t>
        </is>
      </c>
      <c r="C79" s="12" t="n">
        <v>14711.856</v>
      </c>
      <c r="D79" s="12" t="n">
        <v>13236.747</v>
      </c>
      <c r="E79" s="12" t="n">
        <v>14425.522</v>
      </c>
      <c r="F79" s="12" t="n">
        <v>14746.908</v>
      </c>
      <c r="G79" s="12" t="n">
        <v>14901.157</v>
      </c>
      <c r="H79" s="12" t="n">
        <v>8402.526</v>
      </c>
      <c r="I79" s="12" t="n">
        <v>10173.248</v>
      </c>
      <c r="J79" s="12" t="n">
        <v>12653.484</v>
      </c>
      <c r="K79" s="12" t="n">
        <v>14711.856</v>
      </c>
      <c r="L79" s="12" t="n">
        <v>14901.157</v>
      </c>
    </row>
    <row r="80">
      <c r="A80" s="18" t="inlineStr">
        <is>
          <t>건물·구축물</t>
        </is>
      </c>
      <c r="C80" s="20" t="n">
        <v>258.694</v>
      </c>
      <c r="G80" s="20" t="n">
        <v>290.43</v>
      </c>
      <c r="H80" s="20" t="n">
        <v>181.042</v>
      </c>
      <c r="I80" s="20" t="n">
        <v>192.964</v>
      </c>
      <c r="J80" s="20" t="n">
        <v>227.14</v>
      </c>
      <c r="K80" s="20" t="n">
        <v>258.694</v>
      </c>
      <c r="L80" s="20" t="n">
        <v>290.43</v>
      </c>
    </row>
    <row r="81">
      <c r="A81" s="18" t="inlineStr">
        <is>
          <t>감가상각누계액</t>
        </is>
      </c>
      <c r="C81" s="20" t="n">
        <v>-127.954</v>
      </c>
      <c r="G81" s="20" t="n">
        <v>-160.795</v>
      </c>
      <c r="H81" s="20" t="n">
        <v>-82.52</v>
      </c>
      <c r="I81" s="20" t="n">
        <v>-94.01000000000001</v>
      </c>
      <c r="J81" s="20" t="n">
        <v>-108.605</v>
      </c>
      <c r="K81" s="20" t="n">
        <v>-127.954</v>
      </c>
      <c r="L81" s="20" t="n">
        <v>-160.795</v>
      </c>
    </row>
    <row r="82">
      <c r="A82" s="18" t="inlineStr">
        <is>
          <t>건물·구축물(순액)</t>
        </is>
      </c>
      <c r="C82" s="20" t="n">
        <v>130.739</v>
      </c>
      <c r="G82" s="20" t="n">
        <v>129.635</v>
      </c>
      <c r="H82" s="20" t="n">
        <v>98.52200000000001</v>
      </c>
      <c r="I82" s="20" t="n">
        <v>98.95399999999999</v>
      </c>
      <c r="J82" s="20" t="n">
        <v>118.535</v>
      </c>
      <c r="K82" s="20" t="n">
        <v>130.739</v>
      </c>
      <c r="L82" s="20" t="n">
        <v>129.635</v>
      </c>
    </row>
    <row r="83">
      <c r="A83" s="18" t="inlineStr">
        <is>
          <t>기계장치·운반구</t>
        </is>
      </c>
      <c r="C83" s="20" t="n">
        <v>59.744</v>
      </c>
      <c r="G83" s="20" t="n">
        <v>63.07</v>
      </c>
      <c r="H83" s="20" t="n">
        <v>27.467</v>
      </c>
      <c r="I83" s="20" t="n">
        <v>38.107</v>
      </c>
      <c r="J83" s="20" t="n">
        <v>59.163</v>
      </c>
      <c r="K83" s="20" t="n">
        <v>59.744</v>
      </c>
      <c r="L83" s="20" t="n">
        <v>63.07</v>
      </c>
    </row>
    <row r="84">
      <c r="A84" s="18" t="inlineStr">
        <is>
          <t>감가상각누계액</t>
        </is>
      </c>
      <c r="C84" s="20" t="n">
        <v>-51.04</v>
      </c>
      <c r="G84" s="20" t="n">
        <v>-58.226</v>
      </c>
      <c r="H84" s="20" t="n">
        <v>-20.063</v>
      </c>
      <c r="I84" s="20" t="n">
        <v>-28.359</v>
      </c>
      <c r="J84" s="20" t="n">
        <v>-51.358</v>
      </c>
      <c r="K84" s="20" t="n">
        <v>-51.04</v>
      </c>
      <c r="L84" s="20" t="n">
        <v>-58.226</v>
      </c>
    </row>
    <row r="85">
      <c r="A85" s="18" t="inlineStr">
        <is>
          <t>기계장치·운반구(순액)</t>
        </is>
      </c>
      <c r="C85" s="20" t="n">
        <v>8.702999999999999</v>
      </c>
      <c r="G85" s="20" t="n">
        <v>4.844</v>
      </c>
      <c r="H85" s="20" t="n">
        <v>7.403</v>
      </c>
      <c r="I85" s="20" t="n">
        <v>9.747999999999999</v>
      </c>
      <c r="J85" s="20" t="n">
        <v>7.804</v>
      </c>
      <c r="K85" s="20" t="n">
        <v>8.702999999999999</v>
      </c>
      <c r="L85" s="20" t="n">
        <v>4.844</v>
      </c>
    </row>
    <row r="86">
      <c r="A86" s="18" t="inlineStr">
        <is>
          <t>공구·기구·비품</t>
        </is>
      </c>
      <c r="C86" s="20" t="n">
        <v>103.578</v>
      </c>
      <c r="G86" s="20" t="n">
        <v>80.32899999999999</v>
      </c>
      <c r="H86" s="20" t="n">
        <v>80.11199999999999</v>
      </c>
      <c r="I86" s="20" t="n">
        <v>80.64100000000001</v>
      </c>
      <c r="J86" s="20" t="n">
        <v>99.15900000000001</v>
      </c>
      <c r="K86" s="20" t="n">
        <v>103.578</v>
      </c>
      <c r="L86" s="20" t="n">
        <v>80.32899999999999</v>
      </c>
    </row>
    <row r="87">
      <c r="A87" s="18" t="inlineStr">
        <is>
          <t>감가상각누계액</t>
        </is>
      </c>
      <c r="C87" s="20" t="n">
        <v>-84.238</v>
      </c>
      <c r="G87" s="20" t="n">
        <v>-64.75</v>
      </c>
      <c r="H87" s="20" t="n">
        <v>-62.397</v>
      </c>
      <c r="I87" s="20" t="n">
        <v>-63.453</v>
      </c>
      <c r="J87" s="20" t="n">
        <v>-85.02800000000001</v>
      </c>
      <c r="K87" s="20" t="n">
        <v>-84.238</v>
      </c>
      <c r="L87" s="20" t="n">
        <v>-64.75</v>
      </c>
    </row>
    <row r="88">
      <c r="A88" s="18" t="inlineStr">
        <is>
          <t>공구·기구·비품(순액)</t>
        </is>
      </c>
      <c r="C88" s="20" t="n">
        <v>19.34</v>
      </c>
      <c r="G88" s="20" t="n">
        <v>15.578</v>
      </c>
      <c r="H88" s="20" t="n">
        <v>17.715</v>
      </c>
      <c r="I88" s="20" t="n">
        <v>17.187</v>
      </c>
      <c r="J88" s="20" t="n">
        <v>14.13</v>
      </c>
      <c r="K88" s="20" t="n">
        <v>19.34</v>
      </c>
      <c r="L88" s="20" t="n">
        <v>15.578</v>
      </c>
    </row>
    <row r="89">
      <c r="A89" s="18" t="inlineStr">
        <is>
          <t>토지</t>
        </is>
      </c>
      <c r="C89" s="20" t="n">
        <v>89.586</v>
      </c>
      <c r="G89" s="20" t="n">
        <v>223.457</v>
      </c>
      <c r="H89" s="20" t="n">
        <v>89.324</v>
      </c>
      <c r="I89" s="20" t="n">
        <v>89.586</v>
      </c>
      <c r="J89" s="20" t="n">
        <v>89.586</v>
      </c>
      <c r="K89" s="20" t="n">
        <v>89.586</v>
      </c>
      <c r="L89" s="20" t="n">
        <v>223.457</v>
      </c>
    </row>
    <row r="90">
      <c r="A90" s="18" t="inlineStr">
        <is>
          <t>건설중인자산</t>
        </is>
      </c>
      <c r="C90" s="20" t="n">
        <v>1.03</v>
      </c>
      <c r="G90" s="20" t="n">
        <v>0</v>
      </c>
      <c r="H90" s="20" t="n">
        <v>0</v>
      </c>
      <c r="I90" s="20" t="n">
        <v>2.35</v>
      </c>
      <c r="J90" s="20" t="n">
        <v>0</v>
      </c>
      <c r="K90" s="20" t="n">
        <v>1.03</v>
      </c>
      <c r="L90" s="20" t="n">
        <v>0</v>
      </c>
    </row>
    <row r="91">
      <c r="A91" s="18" t="inlineStr">
        <is>
          <t>유형자산 합계</t>
        </is>
      </c>
      <c r="C91" s="20" t="n">
        <v>249.4</v>
      </c>
      <c r="D91" s="20" t="n">
        <v>419.624</v>
      </c>
      <c r="E91" s="20" t="n">
        <v>416.335</v>
      </c>
      <c r="F91" s="20" t="n">
        <v>394.516</v>
      </c>
      <c r="G91" s="20" t="n">
        <v>373.515</v>
      </c>
      <c r="H91" s="20" t="n">
        <v>212.966</v>
      </c>
      <c r="I91" s="20" t="n">
        <v>217.825</v>
      </c>
      <c r="J91" s="20" t="n">
        <v>230.056</v>
      </c>
      <c r="K91" s="20" t="n">
        <v>249.4</v>
      </c>
      <c r="L91" s="20" t="n">
        <v>373.515</v>
      </c>
    </row>
    <row r="92">
      <c r="A92" s="18" t="inlineStr">
        <is>
          <t>무형자산</t>
        </is>
      </c>
      <c r="C92" s="20" t="n">
        <v>522.776</v>
      </c>
      <c r="D92" s="20" t="n">
        <v>475.795</v>
      </c>
      <c r="E92" s="20" t="n">
        <v>428.814</v>
      </c>
      <c r="F92" s="20" t="n">
        <v>381.833</v>
      </c>
      <c r="G92" s="20" t="n">
        <v>273.185</v>
      </c>
      <c r="H92" s="20" t="n">
        <v>14.446</v>
      </c>
      <c r="I92" s="20" t="n">
        <v>546.909</v>
      </c>
      <c r="J92" s="20" t="n">
        <v>603.87</v>
      </c>
      <c r="K92" s="20" t="n">
        <v>522.776</v>
      </c>
      <c r="L92" s="20" t="n">
        <v>273.185</v>
      </c>
    </row>
    <row r="93">
      <c r="A93" s="18" t="inlineStr">
        <is>
          <t>투자유가증권</t>
        </is>
      </c>
      <c r="C93" s="20" t="n">
        <v>22.554</v>
      </c>
      <c r="D93" s="20" t="n">
        <v>442.112</v>
      </c>
      <c r="E93" s="20" t="n">
        <v>442.613</v>
      </c>
      <c r="F93" s="20" t="n">
        <v>720.7859999999999</v>
      </c>
      <c r="G93" s="20" t="n">
        <v>728.616</v>
      </c>
      <c r="H93" s="20" t="n">
        <v>26.094</v>
      </c>
      <c r="I93" s="20" t="n">
        <v>30.276</v>
      </c>
      <c r="J93" s="20" t="n">
        <v>23.652</v>
      </c>
      <c r="K93" s="20" t="n">
        <v>22.554</v>
      </c>
      <c r="L93" s="20" t="n">
        <v>728.616</v>
      </c>
    </row>
    <row r="94">
      <c r="A94" s="18" t="inlineStr">
        <is>
          <t>장기선급비용</t>
        </is>
      </c>
      <c r="C94" s="20" t="n">
        <v>396.092</v>
      </c>
      <c r="G94" s="20" t="n">
        <v>979.917</v>
      </c>
      <c r="K94" s="20" t="n">
        <v>396.092</v>
      </c>
      <c r="L94" s="20" t="n">
        <v>979.917</v>
      </c>
    </row>
    <row r="95">
      <c r="A95" s="18" t="inlineStr">
        <is>
          <t>이연법인세자산</t>
        </is>
      </c>
      <c r="C95" s="20" t="n">
        <v>77.408</v>
      </c>
      <c r="D95" s="20" t="n">
        <v>75.607</v>
      </c>
      <c r="E95" s="20" t="n">
        <v>75.45099999999999</v>
      </c>
      <c r="F95" s="20" t="n">
        <v>82.239</v>
      </c>
      <c r="G95" s="20" t="n">
        <v>117.021</v>
      </c>
      <c r="H95" s="20" t="n">
        <v>54.695</v>
      </c>
      <c r="I95" s="20" t="n">
        <v>56.139</v>
      </c>
      <c r="J95" s="20" t="n">
        <v>60.793</v>
      </c>
      <c r="K95" s="20" t="n">
        <v>77.408</v>
      </c>
      <c r="L95" s="20" t="n">
        <v>117.021</v>
      </c>
    </row>
    <row r="96">
      <c r="A96" s="18" t="inlineStr">
        <is>
          <t>기타</t>
        </is>
      </c>
      <c r="C96" s="20" t="n">
        <v>640.996</v>
      </c>
      <c r="D96" s="20" t="n">
        <v>1127.976</v>
      </c>
      <c r="E96" s="20" t="n">
        <v>1281.737</v>
      </c>
      <c r="F96" s="20" t="n">
        <v>1452.805</v>
      </c>
      <c r="G96" s="20" t="n">
        <v>893.884</v>
      </c>
      <c r="H96" s="20" t="n">
        <v>682.134</v>
      </c>
      <c r="I96" s="20" t="n">
        <v>546.032</v>
      </c>
      <c r="J96" s="20" t="n">
        <v>637.879</v>
      </c>
      <c r="K96" s="20" t="n">
        <v>640.996</v>
      </c>
      <c r="L96" s="20" t="n">
        <v>893.884</v>
      </c>
    </row>
    <row r="97">
      <c r="A97" s="18" t="inlineStr">
        <is>
          <t>대손충당금</t>
        </is>
      </c>
      <c r="C97" s="20" t="n">
        <v>-37.136</v>
      </c>
      <c r="D97" s="20" t="n">
        <v>-37.136</v>
      </c>
      <c r="E97" s="20" t="n">
        <v>-37.136</v>
      </c>
      <c r="F97" s="20" t="n">
        <v>-37.136</v>
      </c>
      <c r="G97" s="20" t="n">
        <v>-37.136</v>
      </c>
      <c r="H97" s="20" t="n">
        <v>-37.136</v>
      </c>
      <c r="I97" s="20" t="n">
        <v>-37.136</v>
      </c>
      <c r="J97" s="20" t="n">
        <v>-37.136</v>
      </c>
      <c r="K97" s="20" t="n">
        <v>-37.136</v>
      </c>
      <c r="L97" s="20" t="n">
        <v>-37.136</v>
      </c>
    </row>
    <row r="98">
      <c r="A98" s="18" t="inlineStr">
        <is>
          <t>투자 및 기타자산 합계</t>
        </is>
      </c>
      <c r="C98" s="20" t="n">
        <v>1099.916</v>
      </c>
      <c r="D98" s="20" t="n">
        <v>1608.56</v>
      </c>
      <c r="E98" s="20" t="n">
        <v>1762.666</v>
      </c>
      <c r="F98" s="20" t="n">
        <v>2218.694</v>
      </c>
      <c r="G98" s="20" t="n">
        <v>2682.304</v>
      </c>
      <c r="H98" s="20" t="n">
        <v>725.787</v>
      </c>
      <c r="I98" s="20" t="n">
        <v>595.311</v>
      </c>
      <c r="J98" s="20" t="n">
        <v>685.188</v>
      </c>
      <c r="K98" s="20" t="n">
        <v>1099.916</v>
      </c>
      <c r="L98" s="20" t="n">
        <v>2682.304</v>
      </c>
    </row>
    <row r="99">
      <c r="A99" s="9" t="inlineStr">
        <is>
          <t>비유동자산 합계</t>
        </is>
      </c>
      <c r="C99" s="12" t="n">
        <v>1872.092</v>
      </c>
      <c r="D99" s="12" t="n">
        <v>2503.979</v>
      </c>
      <c r="E99" s="12" t="n">
        <v>2607.816</v>
      </c>
      <c r="F99" s="12" t="n">
        <v>2995.044</v>
      </c>
      <c r="G99" s="12" t="n">
        <v>3329.006</v>
      </c>
      <c r="H99" s="12" t="n">
        <v>953.2</v>
      </c>
      <c r="I99" s="12" t="n">
        <v>1360.047</v>
      </c>
      <c r="J99" s="12" t="n">
        <v>1519.115</v>
      </c>
      <c r="K99" s="12" t="n">
        <v>1872.092</v>
      </c>
      <c r="L99" s="12" t="n">
        <v>3329.006</v>
      </c>
    </row>
    <row r="100">
      <c r="A100" s="9" t="inlineStr">
        <is>
          <t>자산 합계</t>
        </is>
      </c>
      <c r="C100" s="12" t="n">
        <v>16583.949</v>
      </c>
      <c r="D100" s="12" t="n">
        <v>15740.726</v>
      </c>
      <c r="E100" s="12" t="n">
        <v>17033.338</v>
      </c>
      <c r="F100" s="12" t="n">
        <v>17741.953</v>
      </c>
      <c r="G100" s="12" t="n">
        <v>18230.164</v>
      </c>
      <c r="H100" s="12" t="n">
        <v>9355.726000000001</v>
      </c>
      <c r="I100" s="12" t="n">
        <v>11533.295</v>
      </c>
      <c r="J100" s="12" t="n">
        <v>14172.599</v>
      </c>
      <c r="K100" s="12" t="n">
        <v>16583.949</v>
      </c>
      <c r="L100" s="12" t="n">
        <v>18230.164</v>
      </c>
    </row>
    <row r="101">
      <c r="A101" s="18" t="inlineStr">
        <is>
          <t>지급어음·매입채무</t>
        </is>
      </c>
      <c r="C101" s="20" t="n">
        <v>3179.229</v>
      </c>
      <c r="D101" s="20" t="n">
        <v>2818.249</v>
      </c>
      <c r="E101" s="20" t="n">
        <v>3143.573</v>
      </c>
      <c r="F101" s="20" t="n">
        <v>2949.411</v>
      </c>
      <c r="G101" s="20" t="n">
        <v>3127.838</v>
      </c>
      <c r="H101" s="20" t="n">
        <v>1593.91</v>
      </c>
      <c r="I101" s="20" t="n">
        <v>1915.835</v>
      </c>
      <c r="J101" s="20" t="n">
        <v>2949.533</v>
      </c>
      <c r="K101" s="20" t="n">
        <v>3179.229</v>
      </c>
      <c r="L101" s="20" t="n">
        <v>3127.838</v>
      </c>
    </row>
    <row r="102">
      <c r="A102" s="18" t="inlineStr">
        <is>
          <t>단기차입금</t>
        </is>
      </c>
      <c r="C102" s="20" t="n">
        <v>1200</v>
      </c>
      <c r="D102" s="20" t="n">
        <v>1600</v>
      </c>
      <c r="E102" s="20" t="n">
        <v>1200</v>
      </c>
      <c r="F102" s="20" t="n">
        <v>1400</v>
      </c>
      <c r="G102" s="20" t="n">
        <v>1200</v>
      </c>
      <c r="H102" s="20" t="n">
        <v>1200</v>
      </c>
      <c r="I102" s="20" t="n">
        <v>1400</v>
      </c>
      <c r="J102" s="20" t="n">
        <v>1200</v>
      </c>
      <c r="K102" s="20" t="n">
        <v>1200</v>
      </c>
      <c r="L102" s="20" t="n">
        <v>1200</v>
      </c>
    </row>
    <row r="103">
      <c r="A103" s="18" t="inlineStr">
        <is>
          <t>1년 내 상환 장기차입금</t>
        </is>
      </c>
      <c r="C103" s="20" t="n">
        <v>310.584</v>
      </c>
      <c r="D103" s="20" t="n">
        <v>310.584</v>
      </c>
      <c r="E103" s="20" t="n">
        <v>310.584</v>
      </c>
      <c r="F103" s="20" t="n">
        <v>306.66</v>
      </c>
      <c r="G103" s="20" t="n">
        <v>6.66</v>
      </c>
      <c r="H103" s="20" t="n">
        <v>0</v>
      </c>
      <c r="I103" s="20" t="n">
        <v>200</v>
      </c>
      <c r="J103" s="20" t="n">
        <v>510.584</v>
      </c>
      <c r="K103" s="20" t="n">
        <v>310.584</v>
      </c>
      <c r="L103" s="20" t="n">
        <v>6.66</v>
      </c>
    </row>
    <row r="104">
      <c r="A104" s="18" t="inlineStr">
        <is>
          <t>미지급금</t>
        </is>
      </c>
      <c r="C104" s="20" t="n">
        <v>686.991</v>
      </c>
      <c r="D104" s="20" t="n">
        <v>664.514</v>
      </c>
      <c r="E104" s="20" t="n">
        <v>729.21</v>
      </c>
      <c r="F104" s="20" t="n">
        <v>899.099</v>
      </c>
      <c r="G104" s="20" t="n">
        <v>694.3440000000001</v>
      </c>
      <c r="H104" s="20" t="n">
        <v>329.58</v>
      </c>
      <c r="I104" s="20" t="n">
        <v>429.278</v>
      </c>
      <c r="J104" s="20" t="n">
        <v>597.723</v>
      </c>
      <c r="K104" s="20" t="n">
        <v>686.991</v>
      </c>
      <c r="L104" s="20" t="n">
        <v>694.3440000000001</v>
      </c>
    </row>
    <row r="105">
      <c r="A105" s="18" t="inlineStr">
        <is>
          <t>미지급법인세</t>
        </is>
      </c>
      <c r="C105" s="20" t="n">
        <v>691.396</v>
      </c>
      <c r="D105" s="20" t="n">
        <v>256.947</v>
      </c>
      <c r="E105" s="20" t="n">
        <v>567.2140000000001</v>
      </c>
      <c r="F105" s="20" t="n">
        <v>314.051</v>
      </c>
      <c r="G105" s="20" t="n">
        <v>652.388</v>
      </c>
      <c r="H105" s="20" t="n">
        <v>109.035</v>
      </c>
      <c r="I105" s="20" t="n">
        <v>540.188</v>
      </c>
      <c r="J105" s="20" t="n">
        <v>440.073</v>
      </c>
      <c r="K105" s="20" t="n">
        <v>691.396</v>
      </c>
      <c r="L105" s="20" t="n">
        <v>652.388</v>
      </c>
    </row>
    <row r="106">
      <c r="A106" s="18" t="inlineStr">
        <is>
          <t>상여충당금</t>
        </is>
      </c>
      <c r="C106" s="20" t="n">
        <v>86.51600000000001</v>
      </c>
      <c r="D106" s="20" t="n">
        <v>27.211</v>
      </c>
      <c r="E106" s="20" t="n">
        <v>104.69</v>
      </c>
      <c r="F106" s="20" t="n">
        <v>26.471</v>
      </c>
      <c r="G106" s="20" t="n">
        <v>89.89100000000001</v>
      </c>
      <c r="H106" s="20" t="n">
        <v>58.58</v>
      </c>
      <c r="I106" s="20" t="n">
        <v>66.87</v>
      </c>
      <c r="J106" s="20" t="n">
        <v>77.35599999999999</v>
      </c>
      <c r="K106" s="20" t="n">
        <v>86.51600000000001</v>
      </c>
      <c r="L106" s="20" t="n">
        <v>89.89100000000001</v>
      </c>
    </row>
    <row r="107">
      <c r="A107" s="18" t="inlineStr">
        <is>
          <t>판매촉진 충당금</t>
        </is>
      </c>
      <c r="H107" s="20" t="n">
        <v>0</v>
      </c>
    </row>
    <row r="108">
      <c r="A108" s="18" t="inlineStr">
        <is>
          <t>기타</t>
        </is>
      </c>
      <c r="C108" s="20" t="n">
        <v>490.244</v>
      </c>
      <c r="D108" s="20" t="n">
        <v>490.507</v>
      </c>
      <c r="E108" s="20" t="n">
        <v>280.688</v>
      </c>
      <c r="F108" s="20" t="n">
        <v>456.734</v>
      </c>
      <c r="G108" s="20" t="n">
        <v>265.82</v>
      </c>
      <c r="H108" s="20" t="n">
        <v>132.966</v>
      </c>
      <c r="I108" s="20" t="n">
        <v>140.81</v>
      </c>
      <c r="J108" s="20" t="n">
        <v>350.554</v>
      </c>
      <c r="K108" s="20" t="n">
        <v>490.244</v>
      </c>
      <c r="L108" s="20" t="n">
        <v>265.82</v>
      </c>
    </row>
    <row r="109">
      <c r="A109" s="9" t="inlineStr">
        <is>
          <t>유동부채 합계</t>
        </is>
      </c>
      <c r="C109" s="12" t="n">
        <v>6644.963</v>
      </c>
      <c r="D109" s="12" t="n">
        <v>6168.014</v>
      </c>
      <c r="E109" s="12" t="n">
        <v>6335.96</v>
      </c>
      <c r="F109" s="12" t="n">
        <v>6352.428</v>
      </c>
      <c r="G109" s="12" t="n">
        <v>6036.942</v>
      </c>
      <c r="H109" s="12" t="n">
        <v>3424.072</v>
      </c>
      <c r="I109" s="12" t="n">
        <v>4692.983</v>
      </c>
      <c r="J109" s="12" t="n">
        <v>6125.826</v>
      </c>
      <c r="K109" s="12" t="n">
        <v>6644.963</v>
      </c>
      <c r="L109" s="12" t="n">
        <v>6036.942</v>
      </c>
    </row>
    <row r="110">
      <c r="A110" s="18" t="inlineStr">
        <is>
          <t>장기차입금</t>
        </is>
      </c>
      <c r="C110" s="20" t="n">
        <v>10.976</v>
      </c>
      <c r="D110" s="20" t="n">
        <v>8.33</v>
      </c>
      <c r="E110" s="20" t="n">
        <v>5.684</v>
      </c>
      <c r="F110" s="20" t="n">
        <v>12.785</v>
      </c>
      <c r="G110" s="20" t="n">
        <v>10.565</v>
      </c>
      <c r="H110" s="20" t="n">
        <v>800</v>
      </c>
      <c r="I110" s="20" t="n">
        <v>600</v>
      </c>
      <c r="J110" s="20" t="n">
        <v>321.56</v>
      </c>
      <c r="K110" s="20" t="n">
        <v>10.976</v>
      </c>
      <c r="L110" s="20" t="n">
        <v>10.565</v>
      </c>
    </row>
    <row r="111">
      <c r="A111" s="18" t="inlineStr">
        <is>
          <t>자산복구부채</t>
        </is>
      </c>
      <c r="C111" s="20" t="n">
        <v>79.188</v>
      </c>
      <c r="D111" s="20" t="n">
        <v>81.43000000000001</v>
      </c>
      <c r="E111" s="20" t="n">
        <v>50.592</v>
      </c>
      <c r="F111" s="20" t="n">
        <v>58.975</v>
      </c>
      <c r="G111" s="20" t="n">
        <v>47.856</v>
      </c>
      <c r="H111" s="20" t="n">
        <v>50.932</v>
      </c>
      <c r="I111" s="20" t="n">
        <v>55.057</v>
      </c>
      <c r="J111" s="20" t="n">
        <v>66.922</v>
      </c>
      <c r="K111" s="20" t="n">
        <v>79.188</v>
      </c>
      <c r="L111" s="20" t="n">
        <v>47.856</v>
      </c>
    </row>
    <row r="112">
      <c r="A112" s="18" t="inlineStr">
        <is>
          <t>기타</t>
        </is>
      </c>
      <c r="C112" s="20" t="n">
        <v>50.918</v>
      </c>
      <c r="D112" s="20" t="n">
        <v>64.82899999999999</v>
      </c>
      <c r="E112" s="20" t="n">
        <v>84.13500000000001</v>
      </c>
      <c r="F112" s="20" t="n">
        <v>99.12</v>
      </c>
      <c r="G112" s="20" t="n">
        <v>126.31</v>
      </c>
      <c r="H112" s="20" t="n">
        <v>4.818</v>
      </c>
      <c r="I112" s="20" t="n">
        <v>8.345000000000001</v>
      </c>
      <c r="J112" s="20" t="n">
        <v>18.964</v>
      </c>
      <c r="K112" s="20" t="n">
        <v>50.918</v>
      </c>
      <c r="L112" s="20" t="n">
        <v>126.31</v>
      </c>
    </row>
    <row r="113">
      <c r="A113" s="9" t="inlineStr">
        <is>
          <t>비유동부채 합계</t>
        </is>
      </c>
      <c r="C113" s="12" t="n">
        <v>141.082</v>
      </c>
      <c r="D113" s="12" t="n">
        <v>154.589</v>
      </c>
      <c r="E113" s="12" t="n">
        <v>140.412</v>
      </c>
      <c r="F113" s="12" t="n">
        <v>170.881</v>
      </c>
      <c r="G113" s="12" t="n">
        <v>184.731</v>
      </c>
      <c r="H113" s="12" t="n">
        <v>855.75</v>
      </c>
      <c r="I113" s="12" t="n">
        <v>663.403</v>
      </c>
      <c r="J113" s="12" t="n">
        <v>407.447</v>
      </c>
      <c r="K113" s="12" t="n">
        <v>141.082</v>
      </c>
      <c r="L113" s="12" t="n">
        <v>184.731</v>
      </c>
    </row>
    <row r="114">
      <c r="A114" s="9" t="inlineStr">
        <is>
          <t>부채 합계</t>
        </is>
      </c>
      <c r="C114" s="12" t="n">
        <v>6786.045</v>
      </c>
      <c r="D114" s="12" t="n">
        <v>6322.603</v>
      </c>
      <c r="E114" s="12" t="n">
        <v>6476.373</v>
      </c>
      <c r="F114" s="12" t="n">
        <v>6523.309</v>
      </c>
      <c r="G114" s="12" t="n">
        <v>6221.674</v>
      </c>
      <c r="H114" s="12" t="n">
        <v>4279.823</v>
      </c>
      <c r="I114" s="12" t="n">
        <v>5356.386</v>
      </c>
      <c r="J114" s="12" t="n">
        <v>6533.274</v>
      </c>
      <c r="K114" s="12" t="n">
        <v>6786.045</v>
      </c>
      <c r="L114" s="12" t="n">
        <v>6221.674</v>
      </c>
    </row>
    <row r="115">
      <c r="A115" s="18" t="inlineStr">
        <is>
          <t>자본금</t>
        </is>
      </c>
      <c r="C115" s="20" t="n">
        <v>641.253</v>
      </c>
      <c r="D115" s="20" t="n">
        <v>645.527</v>
      </c>
      <c r="E115" s="20" t="n">
        <v>646.381</v>
      </c>
      <c r="F115" s="20" t="n">
        <v>646.381</v>
      </c>
      <c r="G115" s="20" t="n">
        <v>647.437</v>
      </c>
      <c r="H115" s="20" t="n">
        <v>607.6900000000001</v>
      </c>
      <c r="I115" s="20" t="n">
        <v>624.797</v>
      </c>
      <c r="J115" s="20" t="n">
        <v>629.217</v>
      </c>
      <c r="K115" s="20" t="n">
        <v>641.253</v>
      </c>
      <c r="L115" s="20" t="n">
        <v>647.437</v>
      </c>
    </row>
    <row r="116">
      <c r="A116" s="18" t="inlineStr">
        <is>
          <t>신주청약증거금</t>
        </is>
      </c>
      <c r="H116" s="20" t="n">
        <v>2.112</v>
      </c>
      <c r="I116" s="20" t="n">
        <v>0</v>
      </c>
    </row>
    <row r="117">
      <c r="A117" s="18" t="inlineStr">
        <is>
          <t>자본잉여금</t>
        </is>
      </c>
      <c r="C117" s="20" t="n">
        <v>631.253</v>
      </c>
      <c r="D117" s="20" t="n">
        <v>651.3150000000001</v>
      </c>
      <c r="E117" s="20" t="n">
        <v>706.871</v>
      </c>
      <c r="F117" s="20" t="n">
        <v>685.636</v>
      </c>
      <c r="G117" s="20" t="n">
        <v>686.692</v>
      </c>
      <c r="H117" s="20" t="n">
        <v>597.6900000000001</v>
      </c>
      <c r="I117" s="20" t="n">
        <v>614.797</v>
      </c>
      <c r="J117" s="20" t="n">
        <v>619.217</v>
      </c>
      <c r="K117" s="20" t="n">
        <v>631.253</v>
      </c>
      <c r="L117" s="20" t="n">
        <v>686.692</v>
      </c>
    </row>
    <row r="118">
      <c r="A118" s="18" t="inlineStr">
        <is>
          <t>이익잉여금</t>
        </is>
      </c>
      <c r="C118" s="20" t="n">
        <v>8487.351000000001</v>
      </c>
      <c r="D118" s="20" t="n">
        <v>8805.337</v>
      </c>
      <c r="E118" s="20" t="n">
        <v>9440.558999999999</v>
      </c>
      <c r="F118" s="20" t="n">
        <v>9826.745000000001</v>
      </c>
      <c r="G118" s="20" t="n">
        <v>10599.26</v>
      </c>
      <c r="H118" s="20" t="n">
        <v>3849.489</v>
      </c>
      <c r="I118" s="20" t="n">
        <v>4912.023</v>
      </c>
      <c r="J118" s="20" t="n">
        <v>6368.276</v>
      </c>
      <c r="K118" s="20" t="n">
        <v>8487.351000000001</v>
      </c>
      <c r="L118" s="20" t="n">
        <v>10599.26</v>
      </c>
    </row>
    <row r="119">
      <c r="A119" s="18" t="inlineStr">
        <is>
          <t>자기주식</t>
        </is>
      </c>
      <c r="C119" s="20" t="n">
        <v>-0.663</v>
      </c>
      <c r="D119" s="20" t="n">
        <v>-740.0650000000001</v>
      </c>
      <c r="E119" s="20" t="n">
        <v>-302.605</v>
      </c>
      <c r="F119" s="20" t="n">
        <v>-0.663</v>
      </c>
      <c r="G119" s="20" t="n">
        <v>-0.663</v>
      </c>
      <c r="H119" s="20" t="n">
        <v>-0.49</v>
      </c>
      <c r="I119" s="20" t="n">
        <v>-0.663</v>
      </c>
      <c r="J119" s="20" t="n">
        <v>-0.663</v>
      </c>
      <c r="K119" s="20" t="n">
        <v>-0.663</v>
      </c>
      <c r="L119" s="20" t="n">
        <v>-0.663</v>
      </c>
    </row>
    <row r="120">
      <c r="A120" s="9" t="inlineStr">
        <is>
          <t>주주자본 합계</t>
        </is>
      </c>
      <c r="C120" s="12" t="n">
        <v>9759.195</v>
      </c>
      <c r="D120" s="12" t="n">
        <v>9362.114</v>
      </c>
      <c r="E120" s="12" t="n">
        <v>10491.206</v>
      </c>
      <c r="F120" s="12" t="n">
        <v>11158.1</v>
      </c>
      <c r="G120" s="12" t="n">
        <v>11932.727</v>
      </c>
      <c r="H120" s="12" t="n">
        <v>5056.49</v>
      </c>
      <c r="I120" s="12" t="n">
        <v>6150.954</v>
      </c>
      <c r="J120" s="12" t="n">
        <v>7616.048</v>
      </c>
      <c r="K120" s="12" t="n">
        <v>9759.195</v>
      </c>
      <c r="L120" s="12" t="n">
        <v>11932.727</v>
      </c>
    </row>
    <row r="121">
      <c r="A121" s="18" t="inlineStr">
        <is>
          <t>기타유가증권 평가차액</t>
        </is>
      </c>
      <c r="C121" s="20" t="n">
        <v>15.441</v>
      </c>
      <c r="D121" s="20" t="n">
        <v>23.613</v>
      </c>
      <c r="E121" s="20" t="n">
        <v>23.959</v>
      </c>
      <c r="F121" s="20" t="n">
        <v>8.92</v>
      </c>
      <c r="G121" s="20" t="n">
        <v>14.315</v>
      </c>
      <c r="H121" s="20" t="n">
        <v>17.876</v>
      </c>
      <c r="I121" s="20" t="n">
        <v>21.025</v>
      </c>
      <c r="J121" s="20" t="n">
        <v>16.401</v>
      </c>
      <c r="K121" s="20" t="n">
        <v>15.441</v>
      </c>
      <c r="L121" s="20" t="n">
        <v>14.315</v>
      </c>
    </row>
    <row r="122">
      <c r="A122" s="18" t="inlineStr">
        <is>
          <t>기타포괄손익누계액 합계</t>
        </is>
      </c>
      <c r="C122" s="20" t="n">
        <v>15.441</v>
      </c>
      <c r="D122" s="20" t="n">
        <v>23.613</v>
      </c>
      <c r="E122" s="20" t="n">
        <v>23.959</v>
      </c>
      <c r="F122" s="20" t="n">
        <v>8.92</v>
      </c>
      <c r="G122" s="20" t="n">
        <v>14.315</v>
      </c>
      <c r="H122" s="20" t="n">
        <v>17.876</v>
      </c>
      <c r="I122" s="20" t="n">
        <v>21.025</v>
      </c>
      <c r="J122" s="20" t="n">
        <v>16.401</v>
      </c>
      <c r="K122" s="20" t="n">
        <v>15.441</v>
      </c>
      <c r="L122" s="20" t="n">
        <v>14.315</v>
      </c>
    </row>
    <row r="123">
      <c r="A123" s="18" t="inlineStr">
        <is>
          <t>신주예약권</t>
        </is>
      </c>
      <c r="C123" s="20" t="n">
        <v>23.266</v>
      </c>
      <c r="D123" s="20" t="n">
        <v>32.394</v>
      </c>
      <c r="E123" s="20" t="n">
        <v>41.799</v>
      </c>
      <c r="F123" s="20" t="n">
        <v>51.622</v>
      </c>
      <c r="G123" s="20" t="n">
        <v>61.446</v>
      </c>
      <c r="H123" s="20" t="n">
        <v>1.536</v>
      </c>
      <c r="I123" s="20" t="n">
        <v>4.928</v>
      </c>
      <c r="J123" s="20" t="n">
        <v>6.874</v>
      </c>
      <c r="K123" s="20" t="n">
        <v>23.266</v>
      </c>
      <c r="L123" s="20" t="n">
        <v>61.446</v>
      </c>
    </row>
    <row r="124">
      <c r="A124" s="9" t="inlineStr">
        <is>
          <t>순자산 합계</t>
        </is>
      </c>
      <c r="C124" s="12" t="n">
        <v>9797.903</v>
      </c>
      <c r="D124" s="12" t="n">
        <v>9418.121999999999</v>
      </c>
      <c r="E124" s="12" t="n">
        <v>10556.965</v>
      </c>
      <c r="F124" s="12" t="n">
        <v>11218.643</v>
      </c>
      <c r="G124" s="12" t="n">
        <v>12008.489</v>
      </c>
      <c r="H124" s="12" t="n">
        <v>5075.903</v>
      </c>
      <c r="I124" s="12" t="n">
        <v>6176.908</v>
      </c>
      <c r="J124" s="12" t="n">
        <v>7639.325</v>
      </c>
      <c r="K124" s="12" t="n">
        <v>9797.903</v>
      </c>
      <c r="L124" s="12" t="n">
        <v>12008.489</v>
      </c>
    </row>
    <row r="125">
      <c r="A125" s="9" t="inlineStr">
        <is>
          <t>부채·순자산 합계</t>
        </is>
      </c>
      <c r="C125" s="12" t="n">
        <v>16583.949</v>
      </c>
      <c r="D125" s="12" t="n">
        <v>15740.726</v>
      </c>
      <c r="E125" s="12" t="n">
        <v>17033.338</v>
      </c>
      <c r="F125" s="12" t="n">
        <v>17741.953</v>
      </c>
      <c r="G125" s="12" t="n">
        <v>18230.164</v>
      </c>
      <c r="H125" s="12" t="n">
        <v>9355.726000000001</v>
      </c>
      <c r="I125" s="12" t="n">
        <v>11533.295</v>
      </c>
      <c r="J125" s="12" t="n">
        <v>14172.599</v>
      </c>
      <c r="K125" s="12" t="n">
        <v>16583.949</v>
      </c>
      <c r="L125" s="12" t="n">
        <v>18230.164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44" customWidth="1" min="6" max="6"/>
  </cols>
  <sheetData>
    <row r="1">
      <c r="A1" s="50" t="inlineStr">
        <is>
          <t>토메이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FY26 실적</t>
        </is>
      </c>
      <c r="B4" s="52" t="n"/>
      <c r="C4" s="52" t="n"/>
      <c r="D4" s="52" t="n"/>
      <c r="E4" s="52" t="n"/>
      <c r="F4" s="52" t="n"/>
    </row>
    <row r="5">
      <c r="A5" s="53" t="inlineStr">
        <is>
          <t>항목</t>
        </is>
      </c>
      <c r="B5" s="53" t="inlineStr">
        <is>
          <t>값</t>
        </is>
      </c>
      <c r="F5" s="53" t="inlineStr">
        <is>
          <t>출처</t>
        </is>
      </c>
    </row>
    <row r="6">
      <c r="A6" s="54" t="inlineStr">
        <is>
          <t>매출</t>
        </is>
      </c>
      <c r="B6" s="55" t="n">
        <v>325.79</v>
      </c>
      <c r="F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107.53</v>
      </c>
    </row>
    <row r="8">
      <c r="A8" s="54" t="inlineStr">
        <is>
          <t>sga</t>
        </is>
      </c>
      <c r="B8" s="55" t="n">
        <v>71.84</v>
      </c>
    </row>
    <row r="9">
      <c r="A9" s="54" t="inlineStr">
        <is>
          <t>영업이익</t>
        </is>
      </c>
      <c r="B9" s="55" t="n">
        <v>35.7</v>
      </c>
    </row>
    <row r="10">
      <c r="A10" s="54" t="inlineStr">
        <is>
          <t>ord</t>
        </is>
      </c>
      <c r="B10" s="55" t="n">
        <v>36.06</v>
      </c>
    </row>
    <row r="11">
      <c r="A11" s="54" t="inlineStr">
        <is>
          <t>pbt</t>
        </is>
      </c>
      <c r="B11" s="55" t="n">
        <v>35.23</v>
      </c>
    </row>
    <row r="12">
      <c r="A12" s="54" t="inlineStr">
        <is>
          <t>순이익</t>
        </is>
      </c>
      <c r="B12" s="55" t="n">
        <v>24.7</v>
      </c>
    </row>
    <row r="13">
      <c r="A13" s="54" t="inlineStr">
        <is>
          <t>EPS</t>
        </is>
      </c>
      <c r="B13" s="55" t="n">
        <v>83.06999999999999</v>
      </c>
    </row>
    <row r="14">
      <c r="A14" s="54" t="inlineStr">
        <is>
          <t>dps</t>
        </is>
      </c>
      <c r="B14" s="57" t="n">
        <v>13</v>
      </c>
    </row>
    <row r="15">
      <c r="A15" s="54" t="inlineStr">
        <is>
          <t>매출 YoY</t>
        </is>
      </c>
      <c r="B15" s="55" t="n">
        <v>12.1</v>
      </c>
    </row>
    <row r="16">
      <c r="A16" s="54" t="inlineStr">
        <is>
          <t>영업이익 YoY</t>
        </is>
      </c>
      <c r="B16" s="55" t="n">
        <v>8.4</v>
      </c>
    </row>
    <row r="17">
      <c r="A17" s="54" t="inlineStr">
        <is>
          <t>순이익 YoY</t>
        </is>
      </c>
      <c r="B17" s="55" t="n">
        <v>1.5</v>
      </c>
    </row>
    <row r="18">
      <c r="A18" s="54" t="inlineStr">
        <is>
          <t>ROE</t>
        </is>
      </c>
      <c r="B18" s="55" t="n">
        <v>22.7</v>
      </c>
    </row>
    <row r="20">
      <c r="A20" s="52" t="inlineStr">
        <is>
          <t>this_results · FY26_initial_guidance(25.10.15, 수정 없음)</t>
        </is>
      </c>
      <c r="B20" s="52" t="n"/>
      <c r="C20" s="52" t="n"/>
      <c r="D20" s="52" t="n"/>
      <c r="E20" s="52" t="n"/>
      <c r="F20" s="52" t="n"/>
    </row>
    <row r="21">
      <c r="A21" s="53" t="inlineStr">
        <is>
          <t>항목</t>
        </is>
      </c>
      <c r="B21" s="53" t="inlineStr">
        <is>
          <t>값</t>
        </is>
      </c>
      <c r="F21" s="53" t="inlineStr">
        <is>
          <t>출처</t>
        </is>
      </c>
    </row>
    <row r="22">
      <c r="A22" s="54" t="inlineStr">
        <is>
          <t>매출</t>
        </is>
      </c>
      <c r="B22" s="55" t="n">
        <v>348</v>
      </c>
      <c r="F22" s="56" t="inlineStr">
        <is>
          <t>2단계 보고서 자료(회사 설명회 자료·공시)</t>
        </is>
      </c>
    </row>
    <row r="23">
      <c r="A23" s="54" t="inlineStr">
        <is>
          <t>영업이익</t>
        </is>
      </c>
      <c r="B23" s="55" t="n">
        <v>36.62</v>
      </c>
    </row>
    <row r="24">
      <c r="A24" s="54" t="inlineStr">
        <is>
          <t>ord</t>
        </is>
      </c>
      <c r="B24" s="55" t="n">
        <v>37.04</v>
      </c>
    </row>
    <row r="25">
      <c r="A25" s="54" t="inlineStr">
        <is>
          <t>순이익</t>
        </is>
      </c>
      <c r="B25" s="55" t="n">
        <v>25.84</v>
      </c>
    </row>
    <row r="26">
      <c r="A26" s="54" t="inlineStr">
        <is>
          <t>EPS</t>
        </is>
      </c>
      <c r="B26" s="55" t="n">
        <v>86.19</v>
      </c>
    </row>
    <row r="27">
      <c r="A27" s="54" t="inlineStr">
        <is>
          <t>achieve 매출 %</t>
        </is>
      </c>
      <c r="B27" s="55" t="n">
        <v>93.59999999999999</v>
      </c>
    </row>
    <row r="28">
      <c r="A28" s="54" t="inlineStr">
        <is>
          <t>achieve 영업이익 %</t>
        </is>
      </c>
      <c r="B28" s="55" t="n">
        <v>97.5</v>
      </c>
    </row>
    <row r="30">
      <c r="A30" s="52" t="inlineStr">
        <is>
          <t>this_results · Q4_standalone(26.6~8)</t>
        </is>
      </c>
      <c r="B30" s="52" t="n"/>
      <c r="C30" s="52" t="n"/>
      <c r="D30" s="52" t="n"/>
      <c r="E30" s="52" t="n"/>
      <c r="F30" s="52" t="n"/>
    </row>
    <row r="31">
      <c r="A31" s="53" t="inlineStr">
        <is>
          <t>항목</t>
        </is>
      </c>
      <c r="B31" s="53" t="inlineStr">
        <is>
          <t>값</t>
        </is>
      </c>
      <c r="F31" s="53" t="inlineStr">
        <is>
          <t>출처</t>
        </is>
      </c>
    </row>
    <row r="32">
      <c r="A32" s="54" t="inlineStr">
        <is>
          <t>매출</t>
        </is>
      </c>
      <c r="B32" s="55" t="n">
        <v>98.48</v>
      </c>
      <c r="F32" s="56" t="inlineStr">
        <is>
          <t>2단계 보고서 자료(회사 설명회 자료·공시)</t>
        </is>
      </c>
    </row>
    <row r="33">
      <c r="A33" s="54" t="inlineStr">
        <is>
          <t>영업이익</t>
        </is>
      </c>
      <c r="B33" s="55" t="n">
        <v>10.88</v>
      </c>
    </row>
    <row r="34">
      <c r="A34" s="54" t="inlineStr">
        <is>
          <t>ord</t>
        </is>
      </c>
      <c r="B34" s="55" t="n">
        <v>11.15</v>
      </c>
    </row>
    <row r="35">
      <c r="A35" s="54" t="inlineStr">
        <is>
          <t>순이익</t>
        </is>
      </c>
      <c r="B35" s="55" t="n">
        <v>7.73</v>
      </c>
    </row>
    <row r="36">
      <c r="A36" s="54" t="inlineStr">
        <is>
          <t>매출 YoY</t>
        </is>
      </c>
      <c r="B36" s="55" t="n">
        <v>24.7</v>
      </c>
    </row>
    <row r="37">
      <c r="A37" s="54" t="inlineStr">
        <is>
          <t>영업이익 YoY</t>
        </is>
      </c>
      <c r="B37" s="55" t="n">
        <v>9.1</v>
      </c>
    </row>
    <row r="39">
      <c r="A39" s="52" t="inlineStr">
        <is>
          <t>this results · FY27 가이던스</t>
        </is>
      </c>
      <c r="B39" s="52" t="n"/>
      <c r="C39" s="52" t="n"/>
      <c r="D39" s="52" t="n"/>
      <c r="E39" s="52" t="n"/>
      <c r="F39" s="52" t="n"/>
    </row>
    <row r="40">
      <c r="A40" s="53" t="inlineStr">
        <is>
          <t>항목</t>
        </is>
      </c>
      <c r="B40" s="53" t="inlineStr">
        <is>
          <t>값</t>
        </is>
      </c>
      <c r="F40" s="53" t="inlineStr">
        <is>
          <t>출처</t>
        </is>
      </c>
    </row>
    <row r="41">
      <c r="A41" s="54" t="inlineStr">
        <is>
          <t>매출</t>
        </is>
      </c>
      <c r="B41" s="55" t="n">
        <v>402.36</v>
      </c>
      <c r="F41" s="56" t="inlineStr">
        <is>
          <t>2단계 보고서 자료(회사 설명회 자료·공시)</t>
        </is>
      </c>
    </row>
    <row r="42">
      <c r="A42" s="54" t="inlineStr">
        <is>
          <t>영업이익</t>
        </is>
      </c>
      <c r="B42" s="55" t="n">
        <v>46.33</v>
      </c>
    </row>
    <row r="43">
      <c r="A43" s="54" t="inlineStr">
        <is>
          <t>ord</t>
        </is>
      </c>
      <c r="B43" s="55" t="n">
        <v>46.78</v>
      </c>
    </row>
    <row r="44">
      <c r="A44" s="54" t="inlineStr">
        <is>
          <t>순이익</t>
        </is>
      </c>
      <c r="B44" s="55" t="n">
        <v>32.58</v>
      </c>
    </row>
    <row r="45">
      <c r="A45" s="54" t="inlineStr">
        <is>
          <t>EPS</t>
        </is>
      </c>
      <c r="B45" s="55" t="n">
        <v>108.29</v>
      </c>
    </row>
    <row r="46">
      <c r="A46" s="54" t="inlineStr">
        <is>
          <t>dps</t>
        </is>
      </c>
      <c r="B46" s="57" t="n">
        <v>17</v>
      </c>
    </row>
    <row r="47">
      <c r="A47" s="54" t="inlineStr">
        <is>
          <t>매출 YoY</t>
        </is>
      </c>
      <c r="B47" s="55" t="n">
        <v>23.5</v>
      </c>
    </row>
    <row r="48">
      <c r="A48" s="54" t="inlineStr">
        <is>
          <t>영업이익 YoY</t>
        </is>
      </c>
      <c r="B48" s="55" t="n">
        <v>29.8</v>
      </c>
    </row>
    <row r="49">
      <c r="A49" s="54" t="inlineStr">
        <is>
          <t>상반기 매출</t>
        </is>
      </c>
      <c r="B49" s="55" t="n">
        <v>194.07</v>
      </c>
    </row>
    <row r="50">
      <c r="A50" s="54" t="inlineStr">
        <is>
          <t>상반기 영업이익</t>
        </is>
      </c>
      <c r="B50" s="55" t="n">
        <v>22.14</v>
      </c>
    </row>
    <row r="51">
      <c r="A51" s="54" t="inlineStr">
        <is>
          <t>상반기 순이익</t>
        </is>
      </c>
      <c r="B51" s="55" t="n">
        <v>15.58</v>
      </c>
    </row>
    <row r="52">
      <c r="A52" s="54" t="inlineStr">
        <is>
          <t>상반기 EPS</t>
        </is>
      </c>
      <c r="B52" s="55" t="n">
        <v>51.79</v>
      </c>
    </row>
    <row r="54">
      <c r="A54" s="52" t="inlineStr">
        <is>
          <t>가이던스 path annual</t>
        </is>
      </c>
      <c r="B54" s="52" t="n"/>
      <c r="C54" s="52" t="n"/>
      <c r="D54" s="52" t="n"/>
      <c r="E54" s="52" t="n"/>
      <c r="F54" s="52" t="n"/>
    </row>
    <row r="55">
      <c r="A55" s="53" t="inlineStr">
        <is>
          <t>항목</t>
        </is>
      </c>
      <c r="B55" s="53" t="inlineStr">
        <is>
          <t>initial 매출</t>
        </is>
      </c>
      <c r="C55" s="53" t="inlineStr">
        <is>
          <t>initial 영업이익</t>
        </is>
      </c>
      <c r="D55" s="53" t="inlineStr">
        <is>
          <t>실적 매출</t>
        </is>
      </c>
      <c r="E55" s="53" t="inlineStr">
        <is>
          <t>실적 영업이익</t>
        </is>
      </c>
      <c r="F55" s="53" t="inlineStr">
        <is>
          <t>출처</t>
        </is>
      </c>
    </row>
    <row r="56">
      <c r="A56" s="54" t="inlineStr">
        <is>
          <t>FY8/22</t>
        </is>
      </c>
      <c r="B56" s="55" t="n">
        <v>157.19</v>
      </c>
      <c r="C56" s="55" t="n">
        <v>6.26</v>
      </c>
      <c r="D56" s="55" t="n">
        <v>177.01</v>
      </c>
      <c r="E56" s="55" t="n">
        <v>3.34</v>
      </c>
      <c r="F56" s="56" t="inlineStr">
        <is>
          <t>2단계 보고서 자료(회사 설명회 자료·공시)</t>
        </is>
      </c>
    </row>
    <row r="57">
      <c r="A57" s="54" t="inlineStr">
        <is>
          <t>FY8/23</t>
        </is>
      </c>
      <c r="B57" s="55" t="n">
        <v>221.45</v>
      </c>
      <c r="C57" s="55" t="n">
        <v>13.6</v>
      </c>
      <c r="D57" s="55" t="n">
        <v>205.31</v>
      </c>
      <c r="E57" s="55" t="n">
        <v>16.49</v>
      </c>
    </row>
    <row r="58">
      <c r="A58" s="54" t="inlineStr">
        <is>
          <t>FY8/24</t>
        </is>
      </c>
      <c r="B58" s="58" t="inlineStr">
        <is>
          <t>232.6~273.9(범위)</t>
        </is>
      </c>
      <c r="C58" s="55" t="n">
        <v>19.76</v>
      </c>
      <c r="D58" s="55" t="n">
        <v>239.18</v>
      </c>
      <c r="E58" s="55" t="n">
        <v>23.14</v>
      </c>
    </row>
    <row r="59">
      <c r="A59" s="54" t="inlineStr">
        <is>
          <t>FY8/25</t>
        </is>
      </c>
      <c r="B59" s="55" t="n">
        <v>299.92</v>
      </c>
      <c r="C59" s="55" t="n">
        <v>28.69</v>
      </c>
      <c r="D59" s="55" t="n">
        <v>290.7</v>
      </c>
      <c r="E59" s="55" t="n">
        <v>32.93</v>
      </c>
    </row>
    <row r="60">
      <c r="A60" s="54" t="inlineStr">
        <is>
          <t>FY8/26</t>
        </is>
      </c>
      <c r="B60" s="55" t="n">
        <v>348</v>
      </c>
      <c r="C60" s="55" t="n">
        <v>36.62</v>
      </c>
      <c r="D60" s="55" t="n">
        <v>325.79</v>
      </c>
      <c r="E60" s="55" t="n">
        <v>35.7</v>
      </c>
    </row>
    <row r="61">
      <c r="A61" s="54" t="inlineStr">
        <is>
          <t>FY8/27</t>
        </is>
      </c>
      <c r="B61" s="55" t="n">
        <v>402.36</v>
      </c>
      <c r="C61" s="55" t="n">
        <v>46.33</v>
      </c>
      <c r="D61" s="58" t="n"/>
      <c r="E61" s="5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https://www2.jpx.co.jp/disc/44390/140120261013549435.pdf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https://www2.jpx.co.jp/disc/44390/140120260713591957.pdf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https://www2.jpx.co.jp/disc/44390/140120260409500963.pdf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https://www2.jpx.co.jp/disc/44390/140120260113532140.pdf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https://www2.jpx.co.jp/disc/44390/140120251010572198.pdf</t>
        </is>
      </c>
    </row>
    <row r="9">
      <c r="A9" t="inlineStr">
        <is>
          <t>2025-07-14</t>
        </is>
      </c>
      <c r="B9" t="inlineStr">
        <is>
          <t>2025년 8월 결산기 ３분기 결산단신</t>
        </is>
      </c>
      <c r="C9" t="inlineStr">
        <is>
          <t>https://www2.jpx.co.jp/disc/44390/140120250710511692.pdf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https://www2.jpx.co.jp/disc/44390/140120250411513884.pdf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https://www2.jpx.co.jp/disc/44390/140120250110548936.pdf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https://www2.jpx.co.jp/disc/44390/140120241011597392.pdf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https://www2.jpx.co.jp/disc/44390/140120240711547831.pdf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https://www2.jpx.co.jp/disc/44390/140120240410568652.pdf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https://www2.jpx.co.jp/disc/44390/140120240111513609.pdf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https://www2.jpx.co.jp/disc/44390/140120231012565932.pdf</t>
        </is>
      </c>
    </row>
    <row r="17">
      <c r="A17" t="inlineStr">
        <is>
          <t>2023-07-13</t>
        </is>
      </c>
      <c r="B17" t="inlineStr">
        <is>
          <t>2023년 8월 결산기 ３분기 결산단신</t>
        </is>
      </c>
      <c r="C17" t="inlineStr">
        <is>
          <t>https://www2.jpx.co.jp/disc/44390/140120230712520823.pdf</t>
        </is>
      </c>
    </row>
    <row r="18">
      <c r="A18" t="inlineStr">
        <is>
          <t>2023-04-13</t>
        </is>
      </c>
      <c r="B18" t="inlineStr">
        <is>
          <t>2023년 8월 결산기 ２분기 결산단신</t>
        </is>
      </c>
      <c r="C18" t="inlineStr">
        <is>
          <t>https://www2.jpx.co.jp/disc/44390/140120230412545994.pdf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https://www2.jpx.co.jp/disc/44390/140120230111587916.pdf</t>
        </is>
      </c>
    </row>
    <row r="20">
      <c r="A20" t="inlineStr">
        <is>
          <t>2022-10-13</t>
        </is>
      </c>
      <c r="B20" t="inlineStr">
        <is>
          <t>2022년 8월 결산기 연간 결산단신</t>
        </is>
      </c>
      <c r="C20" t="inlineStr">
        <is>
          <t>https://www2.jpx.co.jp/disc/44390/140120221012543198.pdf</t>
        </is>
      </c>
    </row>
    <row r="21">
      <c r="A21" t="inlineStr">
        <is>
          <t>2021-10-13</t>
        </is>
      </c>
      <c r="B21" t="inlineStr">
        <is>
          <t>2021년 8월 결산기 연간 결산단신</t>
        </is>
      </c>
      <c r="C21" t="inlineStr">
        <is>
          <t>https://www2.jpx.co.jp/disc/44390/140120211011409260.pdf</t>
        </is>
      </c>
    </row>
    <row r="22">
      <c r="A22" t="inlineStr">
        <is>
          <t>2020-10-13</t>
        </is>
      </c>
      <c r="B22" t="inlineStr">
        <is>
          <t>2020년 8월 결산기 연간 결산단신</t>
        </is>
      </c>
      <c r="C22" t="inlineStr">
        <is>
          <t>https://www2.jpx.co.jp/disc/44390/140120201012402285.pdf</t>
        </is>
      </c>
    </row>
    <row r="23">
      <c r="A23" t="inlineStr">
        <is>
          <t>2019-10-11</t>
        </is>
      </c>
      <c r="B23" t="inlineStr">
        <is>
          <t>2019년 8월 결산기 연간 결산단신</t>
        </is>
      </c>
      <c r="C23" t="inlineStr">
        <is>
          <t>https://www2.jpx.co.jp/disc/44390/140120191009406347.pdf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2026-10-28T07:03:05Z</dcterms:created>
  <dcterms:modified xmlns:dcterms="http://purl.org/dc/terms/" xmlns:xsi="http://www.w3.org/2001/XMLSchema-instance" xsi:type="dcterms:W3CDTF">2026-10-28T07:03:06Z</dcterms:modified>
</cp:coreProperties>
</file>