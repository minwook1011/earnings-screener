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2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옥사이드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1370.127</v>
      </c>
      <c r="D4" s="12" t="n">
        <v>1913.258</v>
      </c>
      <c r="E4" s="12" t="n">
        <v>1388.064</v>
      </c>
      <c r="F4" s="12" t="n">
        <v>2010.606</v>
      </c>
      <c r="G4" s="12" t="n">
        <v>2322.97</v>
      </c>
      <c r="H4" s="12" t="n">
        <v>2673.211</v>
      </c>
      <c r="I4" s="12" t="n">
        <v>1787.587</v>
      </c>
      <c r="J4" s="12" t="n">
        <v>2363.858</v>
      </c>
      <c r="K4" s="12" t="n">
        <v>2206.54</v>
      </c>
      <c r="L4" s="12" t="n">
        <v>3682.408</v>
      </c>
      <c r="M4" s="12" t="n">
        <v>2192.297</v>
      </c>
      <c r="N4" s="12" t="n">
        <v>2743.197</v>
      </c>
      <c r="O4" s="11" t="n"/>
      <c r="P4" s="12" t="n"/>
      <c r="Q4" s="12" t="n"/>
      <c r="R4" s="12" t="n">
        <v>3065.267</v>
      </c>
      <c r="S4" s="12" t="n">
        <v>3579.619</v>
      </c>
      <c r="T4" s="12" t="n">
        <v>4756.708</v>
      </c>
      <c r="U4" s="12" t="n">
        <v>5752.663</v>
      </c>
      <c r="V4" s="12" t="n">
        <v>6606.974</v>
      </c>
      <c r="W4" s="12" t="n">
        <v>8394.851000000001</v>
      </c>
      <c r="X4" s="12" t="n">
        <v>10040.393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1178.029</v>
      </c>
      <c r="D11" s="22" t="n">
        <v>1413.664</v>
      </c>
      <c r="E11" s="22" t="n">
        <v>1007.162</v>
      </c>
      <c r="F11" s="22" t="n">
        <v>1235.633</v>
      </c>
      <c r="G11" s="22" t="n">
        <v>1451.673</v>
      </c>
      <c r="H11" s="22" t="n">
        <v>1439.877</v>
      </c>
      <c r="I11" s="22" t="n">
        <v>986.526</v>
      </c>
      <c r="J11" s="22" t="n">
        <v>1847.411</v>
      </c>
      <c r="K11" s="22" t="n">
        <v>1579.029</v>
      </c>
      <c r="L11" s="22" t="n">
        <v>2257.936</v>
      </c>
      <c r="M11" s="22" t="n">
        <v>1380.605</v>
      </c>
      <c r="N11" s="22" t="n">
        <v>1622.622</v>
      </c>
      <c r="O11" s="21" t="n"/>
      <c r="P11" s="22" t="n"/>
      <c r="Q11" s="22" t="n"/>
      <c r="R11" s="22" t="n">
        <v>2298.01</v>
      </c>
      <c r="S11" s="22" t="n">
        <v>2496.223</v>
      </c>
      <c r="T11" s="22" t="n">
        <v>3126.329</v>
      </c>
      <c r="U11" s="22" t="n">
        <v>3473.414</v>
      </c>
      <c r="V11" s="22" t="n">
        <v>4722.877</v>
      </c>
      <c r="W11" s="22" t="n">
        <v>5134.345</v>
      </c>
      <c r="X11" s="22" t="n">
        <v>6670.902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757.817</v>
      </c>
      <c r="D17" s="22" t="n">
        <v>804.146</v>
      </c>
      <c r="E17" s="22" t="n">
        <v>786.912</v>
      </c>
      <c r="F17" s="22" t="n">
        <v>765.204</v>
      </c>
      <c r="G17" s="22" t="n">
        <v>831.373</v>
      </c>
      <c r="H17" s="22" t="n">
        <v>750.6950000000001</v>
      </c>
      <c r="I17" s="22" t="n">
        <v>873.298</v>
      </c>
      <c r="J17" s="22" t="n">
        <v>634.117</v>
      </c>
      <c r="K17" s="22" t="n">
        <v>695.992</v>
      </c>
      <c r="L17" s="22" t="n">
        <v>623.338</v>
      </c>
      <c r="M17" s="22" t="n">
        <v>612.67</v>
      </c>
      <c r="N17" s="22" t="n">
        <v>678.5069999999999</v>
      </c>
      <c r="O17" s="21" t="n"/>
      <c r="P17" s="22" t="n"/>
      <c r="Q17" s="22" t="n"/>
      <c r="R17" s="22" t="n">
        <v>644.269</v>
      </c>
      <c r="S17" s="22" t="n">
        <v>717.64</v>
      </c>
      <c r="T17" s="22" t="n">
        <v>1033.595</v>
      </c>
      <c r="U17" s="22" t="n">
        <v>1742.189</v>
      </c>
      <c r="V17" s="22" t="n">
        <v>2867.233</v>
      </c>
      <c r="W17" s="22" t="n">
        <v>3134.184</v>
      </c>
      <c r="X17" s="22" t="n">
        <v>2826.745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-565.7190000000001</v>
      </c>
      <c r="D19" s="12" t="n">
        <v>-304.553</v>
      </c>
      <c r="E19" s="12" t="n">
        <v>-406.01</v>
      </c>
      <c r="F19" s="12" t="n">
        <v>9.768000000000001</v>
      </c>
      <c r="G19" s="12" t="n">
        <v>39.925</v>
      </c>
      <c r="H19" s="12" t="n">
        <v>482.637</v>
      </c>
      <c r="I19" s="12" t="n">
        <v>-72.23699999999999</v>
      </c>
      <c r="J19" s="12" t="n">
        <v>-117.669</v>
      </c>
      <c r="K19" s="12" t="n">
        <v>-68.483</v>
      </c>
      <c r="L19" s="12" t="n">
        <v>801.134</v>
      </c>
      <c r="M19" s="12" t="n">
        <v>199.022</v>
      </c>
      <c r="N19" s="12" t="n">
        <v>442.067</v>
      </c>
      <c r="O19" s="11" t="n"/>
      <c r="P19" s="12" t="n"/>
      <c r="Q19" s="12" t="n"/>
      <c r="R19" s="12" t="n">
        <v>122.987</v>
      </c>
      <c r="S19" s="12" t="n">
        <v>365.755</v>
      </c>
      <c r="T19" s="12" t="n">
        <v>596.784</v>
      </c>
      <c r="U19" s="12" t="n">
        <v>537.058</v>
      </c>
      <c r="V19" s="12" t="n">
        <v>-983.1369999999999</v>
      </c>
      <c r="W19" s="12" t="n">
        <v>126.32</v>
      </c>
      <c r="X19" s="12" t="n">
        <v>542.745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2.364</v>
      </c>
      <c r="D35" s="22" t="n">
        <v>274.116</v>
      </c>
      <c r="E35" s="22" t="n">
        <v>2.366</v>
      </c>
      <c r="F35" s="22" t="n">
        <v>10.28</v>
      </c>
      <c r="G35" s="22" t="n">
        <v>9.994</v>
      </c>
      <c r="H35" s="22" t="n">
        <v>5.886</v>
      </c>
      <c r="I35" s="22" t="n">
        <v>0</v>
      </c>
      <c r="J35" s="22" t="n">
        <v>85.879</v>
      </c>
      <c r="K35" s="22" t="n">
        <v>18.047</v>
      </c>
      <c r="L35" s="22" t="n">
        <v>671.505</v>
      </c>
      <c r="M35" s="22" t="n">
        <v>13.269</v>
      </c>
      <c r="N35" s="22" t="n">
        <v>272.33</v>
      </c>
      <c r="O35" s="21" t="n"/>
      <c r="P35" s="22" t="n"/>
      <c r="Q35" s="22" t="n"/>
      <c r="R35" s="22" t="n"/>
      <c r="S35" s="22" t="n"/>
      <c r="T35" s="22" t="n">
        <v>0</v>
      </c>
      <c r="U35" s="22" t="n">
        <v>5.538</v>
      </c>
      <c r="V35" s="22" t="n">
        <v>286.49</v>
      </c>
      <c r="W35" s="22" t="n">
        <v>28.526</v>
      </c>
      <c r="X35" s="22" t="n">
        <v>775.431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2.175</v>
      </c>
      <c r="D37" s="22" t="n">
        <v>0</v>
      </c>
      <c r="E37" s="22" t="n">
        <v>0</v>
      </c>
      <c r="F37" s="22" t="n">
        <v>18.334</v>
      </c>
      <c r="G37" s="22" t="n">
        <v>2715.74</v>
      </c>
      <c r="H37" s="22" t="n">
        <v>358.516</v>
      </c>
      <c r="I37" s="22" t="n">
        <v>2.308</v>
      </c>
      <c r="J37" s="22" t="n">
        <v>72.38800000000001</v>
      </c>
      <c r="K37" s="22" t="n">
        <v>0.048</v>
      </c>
      <c r="L37" s="22" t="n">
        <v>2423.827</v>
      </c>
      <c r="M37" s="22" t="n">
        <v>0</v>
      </c>
      <c r="N37" s="22" t="n">
        <v>92.53</v>
      </c>
      <c r="O37" s="21" t="n"/>
      <c r="P37" s="22" t="n"/>
      <c r="Q37" s="22" t="n"/>
      <c r="R37" s="22" t="n"/>
      <c r="S37" s="22" t="n">
        <v>0</v>
      </c>
      <c r="T37" s="22" t="n">
        <v>8.154999999999999</v>
      </c>
      <c r="U37" s="22" t="n">
        <v>0.141</v>
      </c>
      <c r="V37" s="22" t="n">
        <v>2.737</v>
      </c>
      <c r="W37" s="22" t="n">
        <v>3092.59</v>
      </c>
      <c r="X37" s="22" t="n">
        <v>2498.571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138.848</v>
      </c>
      <c r="D39" s="22" t="n">
        <v>113.717</v>
      </c>
      <c r="E39" s="22" t="n">
        <v>104.009</v>
      </c>
      <c r="F39" s="22" t="n">
        <v>86.396</v>
      </c>
      <c r="G39" s="22" t="n">
        <v>-97.65900000000001</v>
      </c>
      <c r="H39" s="22" t="n">
        <v>210.805</v>
      </c>
      <c r="I39" s="22" t="n">
        <v>1.256</v>
      </c>
      <c r="J39" s="22" t="n">
        <v>65.22199999999999</v>
      </c>
      <c r="K39" s="22" t="n">
        <v>103.065</v>
      </c>
      <c r="L39" s="22" t="n">
        <v>200.006</v>
      </c>
      <c r="M39" s="22" t="n">
        <v>3.285</v>
      </c>
      <c r="N39" s="22" t="n">
        <v>12.509</v>
      </c>
      <c r="O39" s="21" t="n"/>
      <c r="P39" s="22" t="n"/>
      <c r="Q39" s="22" t="n"/>
      <c r="R39" s="22" t="n">
        <v>32.354</v>
      </c>
      <c r="S39" s="22" t="n">
        <v>17.104</v>
      </c>
      <c r="T39" s="22" t="n">
        <v>82.238</v>
      </c>
      <c r="U39" s="22" t="n">
        <v>288.015</v>
      </c>
      <c r="V39" s="22" t="n">
        <v>426.901</v>
      </c>
      <c r="W39" s="22" t="n">
        <v>303.551</v>
      </c>
      <c r="X39" s="22" t="n">
        <v>369.549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113.442</v>
      </c>
      <c r="D41" s="22" t="n">
        <v>8.992000000000001</v>
      </c>
      <c r="E41" s="22" t="n">
        <v>58.968</v>
      </c>
      <c r="F41" s="22" t="n">
        <v>52.423</v>
      </c>
      <c r="G41" s="22" t="n">
        <v>99.249</v>
      </c>
      <c r="H41" s="22" t="n">
        <v>-11.135</v>
      </c>
      <c r="I41" s="22" t="n">
        <v>195.561</v>
      </c>
      <c r="J41" s="22" t="n">
        <v>-91.468</v>
      </c>
      <c r="K41" s="22" t="n">
        <v>72.982</v>
      </c>
      <c r="L41" s="22" t="n">
        <v>61.002</v>
      </c>
      <c r="M41" s="22" t="n">
        <v>56.392</v>
      </c>
      <c r="N41" s="22" t="n">
        <v>42.143</v>
      </c>
      <c r="O41" s="21" t="n"/>
      <c r="P41" s="22" t="n"/>
      <c r="Q41" s="22" t="n"/>
      <c r="R41" s="22" t="n">
        <v>50.431</v>
      </c>
      <c r="S41" s="22" t="n">
        <v>59.972</v>
      </c>
      <c r="T41" s="22" t="n">
        <v>80.03100000000001</v>
      </c>
      <c r="U41" s="22" t="n">
        <v>137.202</v>
      </c>
      <c r="V41" s="22" t="n">
        <v>210.052</v>
      </c>
      <c r="W41" s="22" t="n">
        <v>199.505</v>
      </c>
      <c r="X41" s="22" t="n">
        <v>238.077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-540.124</v>
      </c>
      <c r="D43" s="12" t="n">
        <v>74.288</v>
      </c>
      <c r="E43" s="12" t="n">
        <v>-358.603</v>
      </c>
      <c r="F43" s="12" t="n">
        <v>35.687</v>
      </c>
      <c r="G43" s="12" t="n">
        <v>-2862.731</v>
      </c>
      <c r="H43" s="12" t="n">
        <v>351.95</v>
      </c>
      <c r="I43" s="12" t="n">
        <v>-268.85</v>
      </c>
      <c r="J43" s="12" t="n">
        <v>52.511</v>
      </c>
      <c r="K43" s="12" t="n">
        <v>-20.4</v>
      </c>
      <c r="L43" s="12" t="n">
        <v>-812.183</v>
      </c>
      <c r="M43" s="12" t="n">
        <v>159.184</v>
      </c>
      <c r="N43" s="12" t="n">
        <v>592.2329999999999</v>
      </c>
      <c r="O43" s="11" t="n"/>
      <c r="P43" s="12" t="n"/>
      <c r="Q43" s="12" t="n"/>
      <c r="R43" s="12" t="n">
        <v>104.91</v>
      </c>
      <c r="S43" s="12" t="n">
        <v>322.887</v>
      </c>
      <c r="T43" s="12" t="n">
        <v>590.836</v>
      </c>
      <c r="U43" s="12" t="n">
        <v>693.268</v>
      </c>
      <c r="V43" s="12" t="n">
        <v>-482.535</v>
      </c>
      <c r="W43" s="12" t="n">
        <v>-2833.697</v>
      </c>
      <c r="X43" s="12" t="n">
        <v>-1048.922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-115.523</v>
      </c>
      <c r="D45" s="22" t="n">
        <v>8.394</v>
      </c>
      <c r="E45" s="22" t="n">
        <v>-97.97799999999999</v>
      </c>
      <c r="F45" s="22" t="n">
        <v>17.398</v>
      </c>
      <c r="G45" s="22" t="n">
        <v>-147.223</v>
      </c>
      <c r="H45" s="22" t="n">
        <v>97.71899999999999</v>
      </c>
      <c r="I45" s="22" t="n">
        <v>5.999</v>
      </c>
      <c r="J45" s="22" t="n">
        <v>47.893</v>
      </c>
      <c r="K45" s="22" t="n">
        <v>22.887</v>
      </c>
      <c r="L45" s="22" t="n">
        <v>-587.625</v>
      </c>
      <c r="M45" s="22" t="n">
        <v>88.839</v>
      </c>
      <c r="N45" s="22" t="n">
        <v>91.488</v>
      </c>
      <c r="O45" s="21" t="n"/>
      <c r="P45" s="22" t="n"/>
      <c r="Q45" s="22" t="n"/>
      <c r="R45" s="22" t="n">
        <v>27.949</v>
      </c>
      <c r="S45" s="22" t="n">
        <v>12.429</v>
      </c>
      <c r="T45" s="22" t="n">
        <v>95.096</v>
      </c>
      <c r="U45" s="22" t="n">
        <v>135.872</v>
      </c>
      <c r="V45" s="22" t="n">
        <v>-60.231</v>
      </c>
      <c r="W45" s="22" t="n">
        <v>-130.084</v>
      </c>
      <c r="X45" s="22" t="n">
        <v>-510.846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-424.6</v>
      </c>
      <c r="D47" s="12" t="n">
        <v>65.895</v>
      </c>
      <c r="E47" s="12" t="n">
        <v>-260.625</v>
      </c>
      <c r="F47" s="12" t="n">
        <v>18.289</v>
      </c>
      <c r="G47" s="12" t="n">
        <v>-2715.507</v>
      </c>
      <c r="H47" s="12" t="n">
        <v>254.23</v>
      </c>
      <c r="I47" s="12" t="n">
        <v>-274.85</v>
      </c>
      <c r="J47" s="12" t="n">
        <v>4.619</v>
      </c>
      <c r="K47" s="12" t="n">
        <v>-43.287</v>
      </c>
      <c r="L47" s="12" t="n">
        <v>-224.557</v>
      </c>
      <c r="M47" s="12" t="n">
        <v>70.345</v>
      </c>
      <c r="N47" s="12" t="n">
        <v>500.744</v>
      </c>
      <c r="O47" s="11" t="n"/>
      <c r="P47" s="12" t="n"/>
      <c r="Q47" s="12" t="n"/>
      <c r="R47" s="12" t="n">
        <v>76.95999999999999</v>
      </c>
      <c r="S47" s="12" t="n">
        <v>310.458</v>
      </c>
      <c r="T47" s="12" t="n">
        <v>495.74</v>
      </c>
      <c r="U47" s="12" t="n">
        <v>557.395</v>
      </c>
      <c r="V47" s="12" t="n">
        <v>-422.303</v>
      </c>
      <c r="W47" s="12" t="n">
        <v>-2703.613</v>
      </c>
      <c r="X47" s="12" t="n">
        <v>-538.075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-424.6</v>
      </c>
      <c r="D49" s="12" t="n">
        <v>65.895</v>
      </c>
      <c r="E49" s="12" t="n">
        <v>-260.625</v>
      </c>
      <c r="F49" s="12" t="n">
        <v>18.289</v>
      </c>
      <c r="G49" s="12" t="n">
        <v>-2715.507</v>
      </c>
      <c r="H49" s="12" t="n">
        <v>254.23</v>
      </c>
      <c r="I49" s="12" t="n">
        <v>-274.85</v>
      </c>
      <c r="J49" s="12" t="n">
        <v>4.619</v>
      </c>
      <c r="K49" s="12" t="n">
        <v>-43.287</v>
      </c>
      <c r="L49" s="12" t="n">
        <v>-224.557</v>
      </c>
      <c r="M49" s="12" t="n">
        <v>70.345</v>
      </c>
      <c r="N49" s="12" t="n">
        <v>500.744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-422.303</v>
      </c>
      <c r="W49" s="12" t="n">
        <v>-2703.613</v>
      </c>
      <c r="X49" s="12" t="n">
        <v>-538.075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1370.127</v>
      </c>
      <c r="D84" s="12" t="n">
        <v>1913.258</v>
      </c>
      <c r="E84" s="12" t="n">
        <v>1388.064</v>
      </c>
      <c r="F84" s="12" t="n">
        <v>2010.606</v>
      </c>
      <c r="G84" s="12" t="n">
        <v>2322.97</v>
      </c>
      <c r="H84" s="12" t="n">
        <v>2673.211</v>
      </c>
      <c r="I84" s="12" t="n">
        <v>1787.587</v>
      </c>
      <c r="J84" s="12" t="n">
        <v>2363.858</v>
      </c>
      <c r="K84" s="12" t="n">
        <v>2206.54</v>
      </c>
      <c r="L84" s="12" t="n">
        <v>3682.408</v>
      </c>
      <c r="M84" s="12" t="n">
        <v>2192.297</v>
      </c>
      <c r="N84" s="12" t="n">
        <v>2743.197</v>
      </c>
      <c r="T84" s="12" t="n">
        <v>1183.798</v>
      </c>
      <c r="U84" s="12" t="n">
        <v>1331.54</v>
      </c>
      <c r="V84" s="12" t="n">
        <v>1913.258</v>
      </c>
      <c r="W84" s="12" t="n">
        <v>2673.211</v>
      </c>
      <c r="X84" s="12" t="n">
        <v>3682.408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1178.029</v>
      </c>
      <c r="D86" s="22" t="n">
        <v>1413.664</v>
      </c>
      <c r="E86" s="22" t="n">
        <v>1007.162</v>
      </c>
      <c r="F86" s="22" t="n">
        <v>1235.633</v>
      </c>
      <c r="G86" s="22" t="n">
        <v>1451.673</v>
      </c>
      <c r="H86" s="22" t="n">
        <v>1439.877</v>
      </c>
      <c r="I86" s="22" t="n">
        <v>986.526</v>
      </c>
      <c r="J86" s="22" t="n">
        <v>1847.411</v>
      </c>
      <c r="K86" s="22" t="n">
        <v>1579.029</v>
      </c>
      <c r="L86" s="22" t="n">
        <v>2257.936</v>
      </c>
      <c r="M86" s="22" t="n">
        <v>1380.605</v>
      </c>
      <c r="N86" s="22" t="n">
        <v>1622.622</v>
      </c>
      <c r="T86" s="22" t="n">
        <v>773.259</v>
      </c>
      <c r="U86" s="22" t="n">
        <v>854.799</v>
      </c>
      <c r="V86" s="22" t="n">
        <v>1413.664</v>
      </c>
      <c r="W86" s="22" t="n">
        <v>1439.877</v>
      </c>
      <c r="X86" s="22" t="n">
        <v>2257.936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192.097</v>
      </c>
      <c r="D88" s="12" t="n">
        <v>499.594</v>
      </c>
      <c r="E88" s="12" t="n">
        <v>380.901</v>
      </c>
      <c r="F88" s="12" t="n">
        <v>774.973</v>
      </c>
      <c r="G88" s="12" t="n">
        <v>871.297</v>
      </c>
      <c r="H88" s="12" t="n">
        <v>1233.334</v>
      </c>
      <c r="I88" s="12" t="n">
        <v>801.061</v>
      </c>
      <c r="J88" s="12" t="n">
        <v>516.447</v>
      </c>
      <c r="K88" s="12" t="n">
        <v>627.51</v>
      </c>
      <c r="L88" s="12" t="n">
        <v>1424.473</v>
      </c>
      <c r="M88" s="12" t="n">
        <v>811.692</v>
      </c>
      <c r="N88" s="12" t="n">
        <v>1120.574</v>
      </c>
      <c r="T88" s="12" t="n">
        <v>410.54</v>
      </c>
      <c r="U88" s="12" t="n">
        <v>476.741</v>
      </c>
      <c r="V88" s="12" t="n">
        <v>499.594</v>
      </c>
      <c r="W88" s="12" t="n">
        <v>1233.334</v>
      </c>
      <c r="X88" s="12" t="n">
        <v>1424.473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757.817</v>
      </c>
      <c r="D90" s="22" t="n">
        <v>804.146</v>
      </c>
      <c r="E90" s="22" t="n">
        <v>786.912</v>
      </c>
      <c r="F90" s="22" t="n">
        <v>765.204</v>
      </c>
      <c r="G90" s="22" t="n">
        <v>831.373</v>
      </c>
      <c r="H90" s="22" t="n">
        <v>750.6950000000001</v>
      </c>
      <c r="I90" s="22" t="n">
        <v>873.298</v>
      </c>
      <c r="J90" s="22" t="n">
        <v>634.117</v>
      </c>
      <c r="K90" s="22" t="n">
        <v>695.992</v>
      </c>
      <c r="L90" s="22" t="n">
        <v>623.338</v>
      </c>
      <c r="M90" s="22" t="n">
        <v>612.67</v>
      </c>
      <c r="N90" s="22" t="n">
        <v>678.5069999999999</v>
      </c>
      <c r="T90" s="22" t="n">
        <v>309.405</v>
      </c>
      <c r="U90" s="22" t="n">
        <v>438.518</v>
      </c>
      <c r="V90" s="22" t="n">
        <v>804.146</v>
      </c>
      <c r="W90" s="22" t="n">
        <v>750.6950000000001</v>
      </c>
      <c r="X90" s="22" t="n">
        <v>623.338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영업이익(손실)</t>
        </is>
      </c>
      <c r="C92" s="12" t="n">
        <v>-565.7190000000001</v>
      </c>
      <c r="D92" s="12" t="n">
        <v>-304.553</v>
      </c>
      <c r="E92" s="12" t="n">
        <v>-406.01</v>
      </c>
      <c r="F92" s="12" t="n">
        <v>9.768000000000001</v>
      </c>
      <c r="G92" s="12" t="n">
        <v>39.925</v>
      </c>
      <c r="H92" s="12" t="n">
        <v>482.637</v>
      </c>
      <c r="I92" s="12" t="n">
        <v>-72.23699999999999</v>
      </c>
      <c r="J92" s="12" t="n">
        <v>-117.669</v>
      </c>
      <c r="K92" s="12" t="n">
        <v>-68.483</v>
      </c>
      <c r="L92" s="12" t="n">
        <v>801.134</v>
      </c>
      <c r="M92" s="12" t="n">
        <v>199.022</v>
      </c>
      <c r="N92" s="12" t="n">
        <v>442.067</v>
      </c>
      <c r="T92" s="12" t="n">
        <v>101.135</v>
      </c>
      <c r="U92" s="12" t="n">
        <v>38.222</v>
      </c>
      <c r="V92" s="12" t="n">
        <v>-304.553</v>
      </c>
      <c r="W92" s="12" t="n">
        <v>482.637</v>
      </c>
      <c r="X92" s="12" t="n">
        <v>801.134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0.153</v>
      </c>
      <c r="D95" s="22" t="n">
        <v>-4.745</v>
      </c>
      <c r="E95" s="22" t="n">
        <v>0.184</v>
      </c>
      <c r="F95" s="22" t="n">
        <v>0.255</v>
      </c>
      <c r="G95" s="22" t="n">
        <v>0.148</v>
      </c>
      <c r="H95" s="22" t="n">
        <v>1.012</v>
      </c>
      <c r="I95" s="22" t="n">
        <v>0.129</v>
      </c>
      <c r="J95" s="22" t="n">
        <v>3.082</v>
      </c>
      <c r="K95" s="22" t="n">
        <v>0.184</v>
      </c>
      <c r="L95" s="22" t="n">
        <v>2.615</v>
      </c>
      <c r="M95" s="22" t="n">
        <v>0</v>
      </c>
      <c r="N95" s="22" t="n">
        <v>3.043</v>
      </c>
      <c r="T95" s="22" t="n">
        <v>0.043</v>
      </c>
      <c r="U95" s="22" t="n">
        <v>0.649</v>
      </c>
      <c r="V95" s="22" t="n">
        <v>-4.745</v>
      </c>
      <c r="W95" s="22" t="n">
        <v>1.012</v>
      </c>
      <c r="X95" s="22" t="n">
        <v>2.615</v>
      </c>
    </row>
    <row r="96">
      <c r="A96" s="20" t="inlineStr">
        <is>
          <t>임대료 수익</t>
        </is>
      </c>
      <c r="E96" s="22" t="n">
        <v>0.866</v>
      </c>
      <c r="I96" s="22" t="n">
        <v>0.978</v>
      </c>
      <c r="J96" s="22" t="n">
        <v>1.116</v>
      </c>
      <c r="M96" s="22" t="n">
        <v>1.534</v>
      </c>
      <c r="N96" s="22" t="n">
        <v>2.132</v>
      </c>
    </row>
    <row r="97">
      <c r="A97" s="20" t="inlineStr">
        <is>
          <t>외환차익</t>
        </is>
      </c>
      <c r="E97" s="22" t="n">
        <v>100.085</v>
      </c>
      <c r="F97" s="22" t="n">
        <v>84.387</v>
      </c>
      <c r="G97" s="22" t="n">
        <v>-184.472</v>
      </c>
      <c r="H97" s="22" t="n">
        <v>208.921</v>
      </c>
      <c r="I97" s="22" t="n">
        <v>0</v>
      </c>
      <c r="J97" s="22" t="n">
        <v>60.779</v>
      </c>
      <c r="K97" s="22" t="n">
        <v>101.495</v>
      </c>
      <c r="L97" s="22" t="n">
        <v>194.665</v>
      </c>
      <c r="M97" s="22" t="n">
        <v>0.356</v>
      </c>
      <c r="N97" s="22" t="n">
        <v>-0.356</v>
      </c>
      <c r="W97" s="22" t="n">
        <v>208.921</v>
      </c>
      <c r="X97" s="22" t="n">
        <v>194.665</v>
      </c>
    </row>
    <row r="98">
      <c r="A98" s="20" t="inlineStr">
        <is>
          <t>보조금 수입</t>
        </is>
      </c>
      <c r="C98" s="22" t="n">
        <v>196.327</v>
      </c>
      <c r="D98" s="22" t="n">
        <v>85.904</v>
      </c>
      <c r="E98" s="22" t="n">
        <v>2.323</v>
      </c>
      <c r="F98" s="22" t="n">
        <v>0</v>
      </c>
      <c r="G98" s="22" t="n">
        <v>0</v>
      </c>
      <c r="H98" s="22" t="n">
        <v>0</v>
      </c>
      <c r="T98" s="22" t="n">
        <v>10.514</v>
      </c>
      <c r="U98" s="22" t="n">
        <v>14.276</v>
      </c>
      <c r="V98" s="22" t="n">
        <v>85.904</v>
      </c>
      <c r="W98" s="22" t="n">
        <v>0</v>
      </c>
    </row>
    <row r="99">
      <c r="A99" s="20" t="inlineStr">
        <is>
          <t>보조금 수입</t>
        </is>
      </c>
      <c r="D99" s="22" t="n">
        <v>0.2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0.8080000000000001</v>
      </c>
      <c r="N99" s="22" t="n">
        <v>0</v>
      </c>
      <c r="V99" s="22" t="n">
        <v>0.2</v>
      </c>
      <c r="W99" s="22" t="n">
        <v>0</v>
      </c>
      <c r="X99" s="22" t="n">
        <v>0</v>
      </c>
    </row>
    <row r="100">
      <c r="A100" s="20" t="inlineStr">
        <is>
          <t>기타</t>
        </is>
      </c>
      <c r="C100" s="22" t="n">
        <v>0.883</v>
      </c>
      <c r="D100" s="22" t="n">
        <v>1.296</v>
      </c>
      <c r="E100" s="22" t="n">
        <v>2.872</v>
      </c>
      <c r="F100" s="22" t="n">
        <v>2.621</v>
      </c>
      <c r="G100" s="22" t="n">
        <v>4.842</v>
      </c>
      <c r="H100" s="22" t="n">
        <v>-1.45</v>
      </c>
      <c r="I100" s="22" t="n">
        <v>0.148</v>
      </c>
      <c r="J100" s="22" t="n">
        <v>0.244</v>
      </c>
      <c r="K100" s="22" t="n">
        <v>3.481</v>
      </c>
      <c r="L100" s="22" t="n">
        <v>2.727</v>
      </c>
      <c r="M100" s="22" t="n">
        <v>0.585</v>
      </c>
      <c r="N100" s="22" t="n">
        <v>1.691</v>
      </c>
      <c r="T100" s="22" t="n">
        <v>-11.466</v>
      </c>
      <c r="U100" s="22" t="n">
        <v>1.562</v>
      </c>
      <c r="V100" s="22" t="n">
        <v>1.296</v>
      </c>
      <c r="W100" s="22" t="n">
        <v>-1.45</v>
      </c>
      <c r="X100" s="22" t="n">
        <v>2.727</v>
      </c>
    </row>
    <row r="101">
      <c r="A101" s="20" t="inlineStr">
        <is>
          <t>영업외수익 합계</t>
        </is>
      </c>
      <c r="C101" s="22" t="n">
        <v>138.848</v>
      </c>
      <c r="D101" s="22" t="n">
        <v>113.717</v>
      </c>
      <c r="E101" s="22" t="n">
        <v>104.009</v>
      </c>
      <c r="F101" s="22" t="n">
        <v>86.396</v>
      </c>
      <c r="G101" s="22" t="n">
        <v>-97.65900000000001</v>
      </c>
      <c r="H101" s="22" t="n">
        <v>210.805</v>
      </c>
      <c r="I101" s="22" t="n">
        <v>1.256</v>
      </c>
      <c r="J101" s="22" t="n">
        <v>65.22199999999999</v>
      </c>
      <c r="K101" s="22" t="n">
        <v>103.065</v>
      </c>
      <c r="L101" s="22" t="n">
        <v>200.006</v>
      </c>
      <c r="M101" s="22" t="n">
        <v>3.285</v>
      </c>
      <c r="N101" s="22" t="n">
        <v>12.509</v>
      </c>
      <c r="T101" s="22" t="n">
        <v>11.397</v>
      </c>
      <c r="U101" s="22" t="n">
        <v>193.808</v>
      </c>
      <c r="V101" s="22" t="n">
        <v>113.717</v>
      </c>
      <c r="W101" s="22" t="n">
        <v>210.805</v>
      </c>
      <c r="X101" s="22" t="n">
        <v>200.006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C103" s="22" t="n">
        <v>39.098</v>
      </c>
      <c r="D103" s="22" t="n">
        <v>33.553</v>
      </c>
      <c r="E103" s="22" t="n">
        <v>34.366</v>
      </c>
      <c r="F103" s="22" t="n">
        <v>36.491</v>
      </c>
      <c r="G103" s="22" t="n">
        <v>37.93</v>
      </c>
      <c r="H103" s="22" t="n">
        <v>39.104</v>
      </c>
      <c r="I103" s="22" t="n">
        <v>41.564</v>
      </c>
      <c r="J103" s="22" t="n">
        <v>40.632</v>
      </c>
      <c r="K103" s="22" t="n">
        <v>38.713</v>
      </c>
      <c r="L103" s="22" t="n">
        <v>42.116</v>
      </c>
      <c r="M103" s="22" t="n">
        <v>26.678</v>
      </c>
      <c r="N103" s="22" t="n">
        <v>30.648</v>
      </c>
      <c r="T103" s="22" t="n">
        <v>10.757</v>
      </c>
      <c r="U103" s="22" t="n">
        <v>7.835</v>
      </c>
      <c r="V103" s="22" t="n">
        <v>33.553</v>
      </c>
      <c r="W103" s="22" t="n">
        <v>39.104</v>
      </c>
      <c r="X103" s="22" t="n">
        <v>42.116</v>
      </c>
    </row>
    <row r="104">
      <c r="A104" s="20" t="inlineStr">
        <is>
          <t>지급수수료</t>
        </is>
      </c>
      <c r="C104" s="22" t="n">
        <v>28.276</v>
      </c>
      <c r="D104" s="22" t="n">
        <v>2.338</v>
      </c>
      <c r="E104" s="22" t="n">
        <v>22.485</v>
      </c>
      <c r="F104" s="22" t="n">
        <v>7.035</v>
      </c>
      <c r="G104" s="22" t="n">
        <v>3.748</v>
      </c>
      <c r="H104" s="22" t="n">
        <v>3.56</v>
      </c>
      <c r="I104" s="22" t="n">
        <v>3.836</v>
      </c>
      <c r="J104" s="22" t="n">
        <v>5.766</v>
      </c>
      <c r="K104" s="22" t="n">
        <v>2.223</v>
      </c>
      <c r="L104" s="22" t="n">
        <v>2.259</v>
      </c>
      <c r="M104" s="22" t="n">
        <v>29.125</v>
      </c>
      <c r="N104" s="22" t="n">
        <v>3.39</v>
      </c>
      <c r="T104" s="22" t="n">
        <v>0</v>
      </c>
      <c r="U104" s="22" t="n">
        <v>81.473</v>
      </c>
      <c r="V104" s="22" t="n">
        <v>2.338</v>
      </c>
      <c r="W104" s="22" t="n">
        <v>3.56</v>
      </c>
      <c r="X104" s="22" t="n">
        <v>2.259</v>
      </c>
    </row>
    <row r="105">
      <c r="A105" s="20" t="inlineStr">
        <is>
          <t>주식교부비</t>
        </is>
      </c>
      <c r="T105" s="22" t="n">
        <v>0.447</v>
      </c>
      <c r="U105" s="22" t="n">
        <v>0.412</v>
      </c>
    </row>
    <row r="106">
      <c r="A106" s="20" t="inlineStr">
        <is>
          <t>외환차손</t>
        </is>
      </c>
      <c r="E106" s="22" t="n">
        <v>0</v>
      </c>
      <c r="I106" s="22" t="n">
        <v>149.243</v>
      </c>
      <c r="J106" s="22" t="n">
        <v>-149.243</v>
      </c>
      <c r="K106" s="22" t="n">
        <v>0</v>
      </c>
      <c r="M106" s="22" t="n">
        <v>0</v>
      </c>
      <c r="N106" s="22" t="n">
        <v>5.437</v>
      </c>
    </row>
    <row r="107">
      <c r="A107" s="20" t="inlineStr">
        <is>
          <t>기타</t>
        </is>
      </c>
      <c r="C107" s="22" t="n">
        <v>1.589</v>
      </c>
      <c r="D107" s="22" t="n">
        <v>17.581</v>
      </c>
      <c r="E107" s="22" t="n">
        <v>2.117</v>
      </c>
      <c r="F107" s="22" t="n">
        <v>8.896000000000001</v>
      </c>
      <c r="G107" s="22" t="n">
        <v>1.889</v>
      </c>
      <c r="H107" s="22" t="n">
        <v>-5.014</v>
      </c>
      <c r="I107" s="22" t="n">
        <v>0.917</v>
      </c>
      <c r="J107" s="22" t="n">
        <v>11.376</v>
      </c>
      <c r="K107" s="22" t="n">
        <v>32.047</v>
      </c>
      <c r="L107" s="22" t="n">
        <v>-22.712</v>
      </c>
      <c r="M107" s="22" t="n">
        <v>0.588</v>
      </c>
      <c r="N107" s="22" t="n">
        <v>2.667</v>
      </c>
      <c r="T107" s="22" t="n">
        <v>-10.339</v>
      </c>
      <c r="U107" s="22" t="n">
        <v>-5.457</v>
      </c>
      <c r="V107" s="22" t="n">
        <v>17.581</v>
      </c>
      <c r="W107" s="22" t="n">
        <v>-5.014</v>
      </c>
      <c r="X107" s="22" t="n">
        <v>-22.712</v>
      </c>
    </row>
    <row r="108">
      <c r="A108" s="20" t="inlineStr">
        <is>
          <t>영업외비용 합계</t>
        </is>
      </c>
      <c r="C108" s="22" t="n">
        <v>113.442</v>
      </c>
      <c r="D108" s="22" t="n">
        <v>8.992000000000001</v>
      </c>
      <c r="E108" s="22" t="n">
        <v>58.968</v>
      </c>
      <c r="F108" s="22" t="n">
        <v>52.423</v>
      </c>
      <c r="G108" s="22" t="n">
        <v>99.249</v>
      </c>
      <c r="H108" s="22" t="n">
        <v>-11.135</v>
      </c>
      <c r="I108" s="22" t="n">
        <v>195.561</v>
      </c>
      <c r="J108" s="22" t="n">
        <v>-91.468</v>
      </c>
      <c r="K108" s="22" t="n">
        <v>72.982</v>
      </c>
      <c r="L108" s="22" t="n">
        <v>61.002</v>
      </c>
      <c r="M108" s="22" t="n">
        <v>56.392</v>
      </c>
      <c r="N108" s="22" t="n">
        <v>42.143</v>
      </c>
      <c r="T108" s="22" t="n">
        <v>12.582</v>
      </c>
      <c r="U108" s="22" t="n">
        <v>84.26300000000001</v>
      </c>
      <c r="V108" s="22" t="n">
        <v>8.992000000000001</v>
      </c>
      <c r="W108" s="22" t="n">
        <v>-11.135</v>
      </c>
      <c r="X108" s="22" t="n">
        <v>61.002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IF(OR(G108="",C108=""),"",IF(G108*C108&lt;=0,"",IFERROR(G108/C108-1,"")))</f>
        <v/>
      </c>
      <c r="H109" s="17">
        <f>IF(OR(H108="",D108=""),"",IF(H108*D108&lt;=0,"",IFERROR(H108/D108-1,"")))</f>
        <v/>
      </c>
      <c r="I109" s="17">
        <f>IF(OR(I108="",E108=""),"",IF(I108*E108&lt;=0,"",IFERROR(I108/E108-1,"")))</f>
        <v/>
      </c>
      <c r="J109" s="17">
        <f>IF(OR(J108="",F108=""),"",IF(J108*F108&lt;=0,"",IFERROR(J108/F108-1,"")))</f>
        <v/>
      </c>
      <c r="K109" s="17">
        <f>IF(OR(K108="",G108=""),"",IF(K108*G108&lt;=0,"",IFERROR(K108/G108-1,"")))</f>
        <v/>
      </c>
      <c r="L109" s="17">
        <f>IF(OR(L108="",H108=""),"",IF(L108*H108&lt;=0,"",IFERROR(L108/H108-1,"")))</f>
        <v/>
      </c>
      <c r="M109" s="17">
        <f>IF(OR(M108="",I108=""),"",IF(M108*I108&lt;=0,"",IFERROR(M108/I108-1,"")))</f>
        <v/>
      </c>
      <c r="N109" s="17">
        <f>IF(OR(N108="",J108=""),"",IF(N108*J108&lt;=0,"",IFERROR(N108/J108-1,"")))</f>
        <v/>
      </c>
      <c r="T109" s="17">
        <f>IF(OR(T108="",S108=""),"",IF(T108*S108&lt;=0,"",IFERROR(T108/S108-1,"")))</f>
        <v/>
      </c>
      <c r="U109" s="17">
        <f>IF(OR(U108="",T108=""),"",IF(U108*T108&lt;=0,"",IFERROR(U108/T108-1,"")))</f>
        <v/>
      </c>
      <c r="V109" s="17">
        <f>IF(OR(V108="",U108=""),"",IF(V108*U108&lt;=0,"",IFERROR(V108/U108-1,"")))</f>
        <v/>
      </c>
      <c r="W109" s="17">
        <f>IF(OR(W108="",V108=""),"",IF(W108*V108&lt;=0,"",IFERROR(W108/V108-1,"")))</f>
        <v/>
      </c>
      <c r="X109" s="17">
        <f>IF(OR(X108="",W108=""),"",IF(X108*W108&lt;=0,"",IFERROR(X108/W108-1,"")))</f>
        <v/>
      </c>
    </row>
    <row r="110">
      <c r="A110" s="9" t="inlineStr">
        <is>
          <t>경상이익(손실)</t>
        </is>
      </c>
      <c r="C110" s="12" t="n">
        <v>-540.314</v>
      </c>
      <c r="D110" s="12" t="n">
        <v>-199.827</v>
      </c>
      <c r="E110" s="12" t="n">
        <v>-360.97</v>
      </c>
      <c r="F110" s="12" t="n">
        <v>43.743</v>
      </c>
      <c r="G110" s="12" t="n">
        <v>-156.985</v>
      </c>
      <c r="H110" s="12" t="n">
        <v>704.578</v>
      </c>
      <c r="I110" s="12" t="n">
        <v>-266.542</v>
      </c>
      <c r="J110" s="12" t="n">
        <v>39.021</v>
      </c>
      <c r="K110" s="12" t="n">
        <v>-38.4</v>
      </c>
      <c r="L110" s="12" t="n">
        <v>940.138</v>
      </c>
      <c r="M110" s="12" t="n">
        <v>145.915</v>
      </c>
      <c r="N110" s="12" t="n">
        <v>412.433</v>
      </c>
      <c r="T110" s="12" t="n">
        <v>99.95</v>
      </c>
      <c r="U110" s="12" t="n">
        <v>147.767</v>
      </c>
      <c r="V110" s="12" t="n">
        <v>-199.827</v>
      </c>
      <c r="W110" s="12" t="n">
        <v>704.578</v>
      </c>
      <c r="X110" s="12" t="n">
        <v>940.138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IF(OR(G110="",C110=""),"",IF(C110&lt;=0,"",IFERROR(G110/C110-1,"")))</f>
        <v/>
      </c>
      <c r="H111" s="17">
        <f>IF(OR(H110="",D110=""),"",IF(D110&lt;=0,"",IFERROR(H110/D110-1,"")))</f>
        <v/>
      </c>
      <c r="I111" s="17">
        <f>IF(OR(I110="",E110=""),"",IF(E110&lt;=0,"",IFERROR(I110/E110-1,"")))</f>
        <v/>
      </c>
      <c r="J111" s="17">
        <f>IF(OR(J110="",F110=""),"",IF(F110&lt;=0,"",IFERROR(J110/F110-1,"")))</f>
        <v/>
      </c>
      <c r="K111" s="17">
        <f>IF(OR(K110="",G110=""),"",IF(G110&lt;=0,"",IFERROR(K110/G110-1,"")))</f>
        <v/>
      </c>
      <c r="L111" s="17">
        <f>IF(OR(L110="",H110=""),"",IF(H110&lt;=0,"",IFERROR(L110/H110-1,"")))</f>
        <v/>
      </c>
      <c r="M111" s="17">
        <f>IF(OR(M110="",I110=""),"",IF(I110&lt;=0,"",IFERROR(M110/I110-1,"")))</f>
        <v/>
      </c>
      <c r="N111" s="17">
        <f>IF(OR(N110="",J110=""),"",IF(J110&lt;=0,"",IFERROR(N110/J110-1,"")))</f>
        <v/>
      </c>
      <c r="T111" s="17">
        <f>IF(OR(T110="",S110=""),"",IF(S110&lt;=0,"",IFERROR(T110/S110-1,"")))</f>
        <v/>
      </c>
      <c r="U111" s="17">
        <f>IF(OR(U110="",T110=""),"",IF(T110&lt;=0,"",IFERROR(U110/T110-1,"")))</f>
        <v/>
      </c>
      <c r="V111" s="17">
        <f>IF(OR(V110="",U110=""),"",IF(U110&lt;=0,"",IFERROR(V110/U110-1,"")))</f>
        <v/>
      </c>
      <c r="W111" s="17">
        <f>IF(OR(W110="",V110=""),"",IF(V110&lt;=0,"",IFERROR(W110/V110-1,"")))</f>
        <v/>
      </c>
      <c r="X111" s="17">
        <f>IF(OR(X110="",W110=""),"",IF(W110&lt;=0,"",IFERROR(X110/W110-1,"")))</f>
        <v/>
      </c>
    </row>
    <row r="112">
      <c r="A112" s="20" t="inlineStr">
        <is>
          <t>고정자산 매각이익</t>
        </is>
      </c>
      <c r="C112" s="22" t="n">
        <v>0.152</v>
      </c>
      <c r="D112" s="22" t="n">
        <v>239.961</v>
      </c>
      <c r="E112" s="22" t="n">
        <v>2.366</v>
      </c>
      <c r="F112" s="22" t="n">
        <v>5.084</v>
      </c>
      <c r="G112" s="22" t="n">
        <v>9.994</v>
      </c>
      <c r="H112" s="22" t="n">
        <v>5.886</v>
      </c>
      <c r="I112" s="22" t="n">
        <v>0</v>
      </c>
      <c r="J112" s="22" t="n">
        <v>10.163</v>
      </c>
      <c r="K112" s="22" t="n">
        <v>18.047</v>
      </c>
      <c r="L112" s="22" t="n">
        <v>0.916</v>
      </c>
      <c r="M112" s="22" t="n">
        <v>13.269</v>
      </c>
      <c r="N112" s="22" t="n">
        <v>15.826</v>
      </c>
      <c r="T112" s="22" t="n">
        <v>0</v>
      </c>
      <c r="U112" s="22" t="n">
        <v>0</v>
      </c>
      <c r="V112" s="22" t="n">
        <v>239.961</v>
      </c>
      <c r="W112" s="22" t="n">
        <v>5.886</v>
      </c>
      <c r="X112" s="22" t="n">
        <v>0.916</v>
      </c>
    </row>
    <row r="113">
      <c r="A113" s="20" t="inlineStr">
        <is>
          <t>보조금 수입</t>
        </is>
      </c>
      <c r="C113" s="22" t="n">
        <v>2.211</v>
      </c>
      <c r="D113" s="22" t="n">
        <v>0</v>
      </c>
      <c r="G113" s="22" t="n">
        <v>0</v>
      </c>
      <c r="H113" s="22" t="n">
        <v>0</v>
      </c>
      <c r="K113" s="22" t="n">
        <v>0</v>
      </c>
      <c r="L113" s="22" t="n">
        <v>670.5890000000001</v>
      </c>
      <c r="V113" s="22" t="n">
        <v>0</v>
      </c>
      <c r="W113" s="22" t="n">
        <v>0</v>
      </c>
      <c r="X113" s="22" t="n">
        <v>670.5890000000001</v>
      </c>
    </row>
    <row r="114">
      <c r="A114" s="20" t="inlineStr">
        <is>
          <t>특별이익 합계</t>
        </is>
      </c>
      <c r="C114" s="22" t="n">
        <v>2.364</v>
      </c>
      <c r="D114" s="22" t="n">
        <v>274.116</v>
      </c>
      <c r="E114" s="22" t="n">
        <v>2.366</v>
      </c>
      <c r="F114" s="22" t="n">
        <v>10.28</v>
      </c>
      <c r="G114" s="22" t="n">
        <v>9.994</v>
      </c>
      <c r="H114" s="22" t="n">
        <v>5.886</v>
      </c>
      <c r="I114" s="22" t="n">
        <v>0</v>
      </c>
      <c r="J114" s="22" t="n">
        <v>85.879</v>
      </c>
      <c r="K114" s="22" t="n">
        <v>18.047</v>
      </c>
      <c r="L114" s="22" t="n">
        <v>671.505</v>
      </c>
      <c r="M114" s="22" t="n">
        <v>13.269</v>
      </c>
      <c r="N114" s="22" t="n">
        <v>272.33</v>
      </c>
      <c r="T114" s="22" t="n">
        <v>0</v>
      </c>
      <c r="U114" s="22" t="n">
        <v>0</v>
      </c>
      <c r="V114" s="22" t="n">
        <v>274.116</v>
      </c>
      <c r="W114" s="22" t="n">
        <v>5.886</v>
      </c>
      <c r="X114" s="22" t="n">
        <v>671.505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IF(OR(G114="",C114=""),"",IF(G114*C114&lt;=0,"",IFERROR(G114/C114-1,"")))</f>
        <v/>
      </c>
      <c r="H115" s="17">
        <f>IF(OR(H114="",D114=""),"",IF(H114*D114&lt;=0,"",IFERROR(H114/D114-1,"")))</f>
        <v/>
      </c>
      <c r="I115" s="17">
        <f>IF(OR(I114="",E114=""),"",IF(I114*E114&lt;=0,"",IFERROR(I114/E114-1,"")))</f>
        <v/>
      </c>
      <c r="J115" s="17">
        <f>IF(OR(J114="",F114=""),"",IF(J114*F114&lt;=0,"",IFERROR(J114/F114-1,"")))</f>
        <v/>
      </c>
      <c r="K115" s="17">
        <f>IF(OR(K114="",G114=""),"",IF(K114*G114&lt;=0,"",IFERROR(K114/G114-1,"")))</f>
        <v/>
      </c>
      <c r="L115" s="17">
        <f>IF(OR(L114="",H114=""),"",IF(L114*H114&lt;=0,"",IFERROR(L114/H114-1,"")))</f>
        <v/>
      </c>
      <c r="M115" s="17">
        <f>IF(OR(M114="",I114=""),"",IF(M114*I114&lt;=0,"",IFERROR(M114/I114-1,"")))</f>
        <v/>
      </c>
      <c r="N115" s="17">
        <f>IF(OR(N114="",J114=""),"",IF(N114*J114&lt;=0,"",IFERROR(N114/J114-1,"")))</f>
        <v/>
      </c>
      <c r="T115" s="17">
        <f>IF(OR(T114="",S114=""),"",IF(T114*S114&lt;=0,"",IFERROR(T114/S114-1,"")))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  <c r="W115" s="17">
        <f>IF(OR(W114="",V114=""),"",IF(W114*V114&lt;=0,"",IFERROR(W114/V114-1,"")))</f>
        <v/>
      </c>
      <c r="X115" s="17">
        <f>IF(OR(X114="",W114=""),"",IF(X114*W114&lt;=0,"",IFERROR(X114/W114-1,"")))</f>
        <v/>
      </c>
    </row>
    <row r="116">
      <c r="A116" s="20" t="inlineStr">
        <is>
          <t>고정자산 매각손실</t>
        </is>
      </c>
      <c r="C116" s="22" t="n">
        <v>0</v>
      </c>
      <c r="D116" s="22" t="n">
        <v>0</v>
      </c>
      <c r="E116" s="22" t="n">
        <v>0</v>
      </c>
      <c r="F116" s="22" t="n">
        <v>13.325</v>
      </c>
      <c r="G116" s="22" t="n">
        <v>-0.097</v>
      </c>
      <c r="H116" s="22" t="n">
        <v>-13.228</v>
      </c>
      <c r="I116" s="22" t="n">
        <v>2.308</v>
      </c>
      <c r="J116" s="22" t="n">
        <v>-0.026</v>
      </c>
      <c r="K116" s="22" t="n">
        <v>0.048</v>
      </c>
      <c r="L116" s="22" t="n">
        <v>0.073</v>
      </c>
      <c r="M116" s="22" t="n">
        <v>0</v>
      </c>
      <c r="N116" s="22" t="n">
        <v>0</v>
      </c>
      <c r="T116" s="22" t="n">
        <v>0</v>
      </c>
      <c r="U116" s="22" t="n">
        <v>0</v>
      </c>
      <c r="V116" s="22" t="n">
        <v>0</v>
      </c>
      <c r="W116" s="22" t="n">
        <v>-13.228</v>
      </c>
      <c r="X116" s="22" t="n">
        <v>0.073</v>
      </c>
    </row>
    <row r="117">
      <c r="A117" s="20" t="inlineStr">
        <is>
          <t>손상차손</t>
        </is>
      </c>
      <c r="D117" s="22" t="n">
        <v>0</v>
      </c>
      <c r="H117" s="22" t="n">
        <v>7.301</v>
      </c>
      <c r="L117" s="22" t="n">
        <v>0</v>
      </c>
      <c r="V117" s="22" t="n">
        <v>0</v>
      </c>
      <c r="W117" s="22" t="n">
        <v>7.301</v>
      </c>
      <c r="X117" s="22" t="n">
        <v>0</v>
      </c>
    </row>
    <row r="118">
      <c r="A118" s="20" t="inlineStr">
        <is>
          <t>고정자산 압축손실</t>
        </is>
      </c>
      <c r="C118" s="22" t="n">
        <v>2.175</v>
      </c>
      <c r="D118" s="22" t="n">
        <v>0</v>
      </c>
      <c r="G118" s="22" t="n">
        <v>0</v>
      </c>
      <c r="H118" s="22" t="n">
        <v>0</v>
      </c>
      <c r="K118" s="22" t="n">
        <v>0</v>
      </c>
      <c r="L118" s="22" t="n">
        <v>643.205</v>
      </c>
      <c r="V118" s="22" t="n">
        <v>0</v>
      </c>
      <c r="W118" s="22" t="n">
        <v>0</v>
      </c>
      <c r="X118" s="22" t="n">
        <v>643.205</v>
      </c>
    </row>
    <row r="119">
      <c r="A119" s="20" t="inlineStr">
        <is>
          <t>특별손실 합계</t>
        </is>
      </c>
      <c r="C119" s="22" t="n">
        <v>2.175</v>
      </c>
      <c r="D119" s="22" t="n">
        <v>0</v>
      </c>
      <c r="E119" s="22" t="n">
        <v>0</v>
      </c>
      <c r="F119" s="22" t="n">
        <v>18.334</v>
      </c>
      <c r="G119" s="22" t="n">
        <v>2715.74</v>
      </c>
      <c r="H119" s="22" t="n">
        <v>358.516</v>
      </c>
      <c r="I119" s="22" t="n">
        <v>2.308</v>
      </c>
      <c r="J119" s="22" t="n">
        <v>72.38800000000001</v>
      </c>
      <c r="K119" s="22" t="n">
        <v>0.048</v>
      </c>
      <c r="L119" s="22" t="n">
        <v>2423.827</v>
      </c>
      <c r="M119" s="22" t="n">
        <v>0</v>
      </c>
      <c r="N119" s="22" t="n">
        <v>92.53</v>
      </c>
      <c r="T119" s="22" t="n">
        <v>8.154999999999999</v>
      </c>
      <c r="U119" s="22" t="n">
        <v>0</v>
      </c>
      <c r="V119" s="22" t="n">
        <v>0</v>
      </c>
      <c r="W119" s="22" t="n">
        <v>358.516</v>
      </c>
      <c r="X119" s="22" t="n">
        <v>2423.827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IF(OR(G119="",C119=""),"",IF(G119*C119&lt;=0,"",IFERROR(G119/C119-1,"")))</f>
        <v/>
      </c>
      <c r="H120" s="17">
        <f>IF(OR(H119="",D119=""),"",IF(H119*D119&lt;=0,"",IFERROR(H119/D119-1,"")))</f>
        <v/>
      </c>
      <c r="I120" s="17">
        <f>IF(OR(I119="",E119=""),"",IF(I119*E119&lt;=0,"",IFERROR(I119/E119-1,"")))</f>
        <v/>
      </c>
      <c r="J120" s="17">
        <f>IF(OR(J119="",F119=""),"",IF(J119*F119&lt;=0,"",IFERROR(J119/F119-1,"")))</f>
        <v/>
      </c>
      <c r="K120" s="17">
        <f>IF(OR(K119="",G119=""),"",IF(K119*G119&lt;=0,"",IFERROR(K119/G119-1,"")))</f>
        <v/>
      </c>
      <c r="L120" s="17">
        <f>IF(OR(L119="",H119=""),"",IF(L119*H119&lt;=0,"",IFERROR(L119/H119-1,"")))</f>
        <v/>
      </c>
      <c r="M120" s="17">
        <f>IF(OR(M119="",I119=""),"",IF(M119*I119&lt;=0,"",IFERROR(M119/I119-1,"")))</f>
        <v/>
      </c>
      <c r="N120" s="17">
        <f>IF(OR(N119="",J119=""),"",IF(N119*J119&lt;=0,"",IFERROR(N119/J119-1,"")))</f>
        <v/>
      </c>
      <c r="T120" s="17">
        <f>IF(OR(T119="",S119=""),"",IF(T119*S119&lt;=0,"",IFERROR(T119/S119-1,"")))</f>
        <v/>
      </c>
      <c r="U120" s="17">
        <f>IF(OR(U119="",T119=""),"",IF(U119*T119&lt;=0,"",IFERROR(U119/T119-1,"")))</f>
        <v/>
      </c>
      <c r="V120" s="17">
        <f>IF(OR(V119="",U119=""),"",IF(V119*U119&lt;=0,"",IFERROR(V119/U119-1,"")))</f>
        <v/>
      </c>
      <c r="W120" s="17">
        <f>IF(OR(W119="",V119=""),"",IF(W119*V119&lt;=0,"",IFERROR(W119/V119-1,"")))</f>
        <v/>
      </c>
      <c r="X120" s="17">
        <f>IF(OR(X119="",W119=""),"",IF(X119*W119&lt;=0,"",IFERROR(X119/W119-1,"")))</f>
        <v/>
      </c>
    </row>
    <row r="121">
      <c r="A121" s="9" t="inlineStr">
        <is>
          <t>법인세차감전 중간순이익(손실)</t>
        </is>
      </c>
      <c r="C121" s="12" t="n">
        <v>-540.124</v>
      </c>
      <c r="D121" s="12" t="n">
        <v>74.288</v>
      </c>
      <c r="E121" s="12" t="n">
        <v>-358.603</v>
      </c>
      <c r="F121" s="12" t="n">
        <v>35.687</v>
      </c>
      <c r="G121" s="12" t="n">
        <v>-2862.731</v>
      </c>
      <c r="H121" s="12" t="n">
        <v>351.95</v>
      </c>
      <c r="I121" s="12" t="n">
        <v>-268.85</v>
      </c>
      <c r="J121" s="12" t="n">
        <v>52.511</v>
      </c>
      <c r="K121" s="12" t="n">
        <v>-20.4</v>
      </c>
      <c r="L121" s="12" t="n">
        <v>-812.183</v>
      </c>
      <c r="M121" s="12" t="n">
        <v>159.184</v>
      </c>
      <c r="N121" s="12" t="n">
        <v>592.2329999999999</v>
      </c>
      <c r="T121" s="12" t="n">
        <v>91.795</v>
      </c>
      <c r="U121" s="12" t="n">
        <v>147.768</v>
      </c>
      <c r="V121" s="12" t="n">
        <v>74.288</v>
      </c>
      <c r="W121" s="12" t="n">
        <v>351.95</v>
      </c>
      <c r="X121" s="12" t="n">
        <v>-812.183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IF(OR(G121="",C121=""),"",IF(C121&lt;=0,"",IFERROR(G121/C121-1,"")))</f>
        <v/>
      </c>
      <c r="H122" s="17">
        <f>IF(OR(H121="",D121=""),"",IF(D121&lt;=0,"",IFERROR(H121/D121-1,"")))</f>
        <v/>
      </c>
      <c r="I122" s="17">
        <f>IF(OR(I121="",E121=""),"",IF(E121&lt;=0,"",IFERROR(I121/E121-1,"")))</f>
        <v/>
      </c>
      <c r="J122" s="17">
        <f>IF(OR(J121="",F121=""),"",IF(F121&lt;=0,"",IFERROR(J121/F121-1,"")))</f>
        <v/>
      </c>
      <c r="K122" s="17">
        <f>IF(OR(K121="",G121=""),"",IF(G121&lt;=0,"",IFERROR(K121/G121-1,"")))</f>
        <v/>
      </c>
      <c r="L122" s="17">
        <f>IF(OR(L121="",H121=""),"",IF(H121&lt;=0,"",IFERROR(L121/H121-1,"")))</f>
        <v/>
      </c>
      <c r="M122" s="17">
        <f>IF(OR(M121="",I121=""),"",IF(I121&lt;=0,"",IFERROR(M121/I121-1,"")))</f>
        <v/>
      </c>
      <c r="N122" s="17">
        <f>IF(OR(N121="",J121=""),"",IF(J121&lt;=0,"",IFERROR(N121/J121-1,"")))</f>
        <v/>
      </c>
      <c r="T122" s="17">
        <f>IF(OR(T121="",S121=""),"",IF(S121&lt;=0,"",IFERROR(T121/S121-1,"")))</f>
        <v/>
      </c>
      <c r="U122" s="17">
        <f>IF(OR(U121="",T121=""),"",IF(T121&lt;=0,"",IFERROR(U121/T121-1,"")))</f>
        <v/>
      </c>
      <c r="V122" s="17">
        <f>IF(OR(V121="",U121=""),"",IF(U121&lt;=0,"",IFERROR(V121/U121-1,"")))</f>
        <v/>
      </c>
      <c r="W122" s="17">
        <f>IF(OR(W121="",V121=""),"",IF(V121&lt;=0,"",IFERROR(W121/V121-1,"")))</f>
        <v/>
      </c>
      <c r="X122" s="17">
        <f>IF(OR(X121="",W121=""),"",IF(W121&lt;=0,"",IFERROR(X121/W121-1,"")))</f>
        <v/>
      </c>
    </row>
    <row r="123">
      <c r="A123" s="20" t="inlineStr">
        <is>
          <t>법인세·주민세·사업세</t>
        </is>
      </c>
      <c r="C123" s="22" t="n">
        <v>-40.596</v>
      </c>
      <c r="D123" s="22" t="n">
        <v>4.854</v>
      </c>
      <c r="E123" s="22" t="n">
        <v>2.29</v>
      </c>
      <c r="F123" s="22" t="n">
        <v>2.29</v>
      </c>
      <c r="G123" s="22" t="n">
        <v>9.800000000000001</v>
      </c>
      <c r="H123" s="22" t="n">
        <v>15.896</v>
      </c>
      <c r="I123" s="22" t="n">
        <v>40.098</v>
      </c>
      <c r="J123" s="22" t="n">
        <v>9.882</v>
      </c>
      <c r="K123" s="22" t="n">
        <v>20.588</v>
      </c>
      <c r="L123" s="22" t="n">
        <v>-62.343</v>
      </c>
      <c r="M123" s="22" t="n">
        <v>70.13500000000001</v>
      </c>
      <c r="N123" s="22" t="n">
        <v>102.601</v>
      </c>
      <c r="T123" s="22" t="n">
        <v>-26.73</v>
      </c>
      <c r="U123" s="22" t="n">
        <v>-35.97</v>
      </c>
      <c r="V123" s="22" t="n">
        <v>4.854</v>
      </c>
      <c r="W123" s="22" t="n">
        <v>15.896</v>
      </c>
      <c r="X123" s="22" t="n">
        <v>-62.343</v>
      </c>
    </row>
    <row r="124">
      <c r="A124" s="20" t="inlineStr">
        <is>
          <t>법인세 조정액</t>
        </is>
      </c>
      <c r="C124" s="22" t="n">
        <v>-74.92700000000001</v>
      </c>
      <c r="D124" s="22" t="n">
        <v>3.54</v>
      </c>
      <c r="E124" s="22" t="n">
        <v>-100.268</v>
      </c>
      <c r="F124" s="22" t="n">
        <v>15.108</v>
      </c>
      <c r="G124" s="22" t="n">
        <v>-157.024</v>
      </c>
      <c r="H124" s="22" t="n">
        <v>81.824</v>
      </c>
      <c r="I124" s="22" t="n">
        <v>-34.099</v>
      </c>
      <c r="J124" s="22" t="n">
        <v>38.01</v>
      </c>
      <c r="K124" s="22" t="n">
        <v>2.299</v>
      </c>
      <c r="L124" s="22" t="n">
        <v>-525.2809999999999</v>
      </c>
      <c r="M124" s="22" t="n">
        <v>18.703</v>
      </c>
      <c r="N124" s="22" t="n">
        <v>-11.113</v>
      </c>
      <c r="T124" s="22" t="n">
        <v>37.924</v>
      </c>
      <c r="U124" s="22" t="n">
        <v>6.62</v>
      </c>
      <c r="V124" s="22" t="n">
        <v>3.54</v>
      </c>
      <c r="W124" s="22" t="n">
        <v>81.824</v>
      </c>
      <c r="X124" s="22" t="n">
        <v>-525.2809999999999</v>
      </c>
    </row>
    <row r="125">
      <c r="A125" s="20" t="inlineStr">
        <is>
          <t>법인세 등 합계</t>
        </is>
      </c>
      <c r="C125" s="22" t="n">
        <v>-115.523</v>
      </c>
      <c r="D125" s="22" t="n">
        <v>8.394</v>
      </c>
      <c r="E125" s="22" t="n">
        <v>-97.97799999999999</v>
      </c>
      <c r="F125" s="22" t="n">
        <v>17.398</v>
      </c>
      <c r="G125" s="22" t="n">
        <v>-147.223</v>
      </c>
      <c r="H125" s="22" t="n">
        <v>97.71899999999999</v>
      </c>
      <c r="I125" s="22" t="n">
        <v>5.999</v>
      </c>
      <c r="J125" s="22" t="n">
        <v>47.893</v>
      </c>
      <c r="K125" s="22" t="n">
        <v>22.887</v>
      </c>
      <c r="L125" s="22" t="n">
        <v>-587.625</v>
      </c>
      <c r="M125" s="22" t="n">
        <v>88.839</v>
      </c>
      <c r="N125" s="22" t="n">
        <v>91.488</v>
      </c>
      <c r="T125" s="22" t="n">
        <v>11.193</v>
      </c>
      <c r="U125" s="22" t="n">
        <v>-29.349</v>
      </c>
      <c r="V125" s="22" t="n">
        <v>8.394</v>
      </c>
      <c r="W125" s="22" t="n">
        <v>97.71899999999999</v>
      </c>
      <c r="X125" s="22" t="n">
        <v>-587.625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IF(OR(G125="",C125=""),"",IF(G125*C125&lt;=0,"",IFERROR(G125/C125-1,"")))</f>
        <v/>
      </c>
      <c r="H126" s="17">
        <f>IF(OR(H125="",D125=""),"",IF(H125*D125&lt;=0,"",IFERROR(H125/D125-1,"")))</f>
        <v/>
      </c>
      <c r="I126" s="17">
        <f>IF(OR(I125="",E125=""),"",IF(I125*E125&lt;=0,"",IFERROR(I125/E125-1,"")))</f>
        <v/>
      </c>
      <c r="J126" s="17">
        <f>IF(OR(J125="",F125=""),"",IF(J125*F125&lt;=0,"",IFERROR(J125/F125-1,"")))</f>
        <v/>
      </c>
      <c r="K126" s="17">
        <f>IF(OR(K125="",G125=""),"",IF(K125*G125&lt;=0,"",IFERROR(K125/G125-1,"")))</f>
        <v/>
      </c>
      <c r="L126" s="17">
        <f>IF(OR(L125="",H125=""),"",IF(L125*H125&lt;=0,"",IFERROR(L125/H125-1,"")))</f>
        <v/>
      </c>
      <c r="M126" s="17">
        <f>IF(OR(M125="",I125=""),"",IF(M125*I125&lt;=0,"",IFERROR(M125/I125-1,"")))</f>
        <v/>
      </c>
      <c r="N126" s="17">
        <f>IF(OR(N125="",J125=""),"",IF(N125*J125&lt;=0,"",IFERROR(N125/J125-1,"")))</f>
        <v/>
      </c>
      <c r="T126" s="17">
        <f>IF(OR(T125="",S125=""),"",IF(T125*S125&lt;=0,"",IFERROR(T125/S125-1,"")))</f>
        <v/>
      </c>
      <c r="U126" s="17">
        <f>IF(OR(U125="",T125=""),"",IF(U125*T125&lt;=0,"",IFERROR(U125/T125-1,"")))</f>
        <v/>
      </c>
      <c r="V126" s="17">
        <f>IF(OR(V125="",U125=""),"",IF(V125*U125&lt;=0,"",IFERROR(V125/U125-1,"")))</f>
        <v/>
      </c>
      <c r="W126" s="17">
        <f>IF(OR(W125="",V125=""),"",IF(W125*V125&lt;=0,"",IFERROR(W125/V125-1,"")))</f>
        <v/>
      </c>
      <c r="X126" s="17">
        <f>IF(OR(X125="",W125=""),"",IF(X125*W125&lt;=0,"",IFERROR(X125/W125-1,"")))</f>
        <v/>
      </c>
    </row>
    <row r="127">
      <c r="A127" s="9" t="inlineStr">
        <is>
          <t>중간순이익(손실)</t>
        </is>
      </c>
      <c r="C127" s="12" t="n">
        <v>-424.6</v>
      </c>
      <c r="D127" s="12" t="n">
        <v>65.895</v>
      </c>
      <c r="E127" s="12" t="n">
        <v>-260.625</v>
      </c>
      <c r="F127" s="12" t="n">
        <v>18.289</v>
      </c>
      <c r="G127" s="12" t="n">
        <v>-2715.507</v>
      </c>
      <c r="H127" s="12" t="n">
        <v>254.23</v>
      </c>
      <c r="I127" s="12" t="n">
        <v>-274.85</v>
      </c>
      <c r="J127" s="12" t="n">
        <v>4.619</v>
      </c>
      <c r="K127" s="12" t="n">
        <v>-43.287</v>
      </c>
      <c r="L127" s="12" t="n">
        <v>-224.557</v>
      </c>
      <c r="M127" s="12" t="n">
        <v>70.345</v>
      </c>
      <c r="N127" s="12" t="n">
        <v>500.744</v>
      </c>
      <c r="T127" s="12" t="n">
        <v>80.60299999999999</v>
      </c>
      <c r="U127" s="12" t="n">
        <v>177.116</v>
      </c>
      <c r="V127" s="12" t="n">
        <v>65.895</v>
      </c>
      <c r="W127" s="12" t="n">
        <v>254.23</v>
      </c>
      <c r="X127" s="12" t="n">
        <v>-224.557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29">
      <c r="A129" s="9" t="inlineStr">
        <is>
          <t>비지배주주 순이익</t>
        </is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V129" s="12" t="n">
        <v>0</v>
      </c>
      <c r="W129" s="12" t="n">
        <v>0</v>
      </c>
      <c r="X129" s="12" t="n">
        <v>0</v>
      </c>
    </row>
    <row r="130">
      <c r="A130" s="9" t="inlineStr">
        <is>
          <t>지배주주 귀속 중간순이익(손실)</t>
        </is>
      </c>
      <c r="C130" s="12" t="n">
        <v>-424.6</v>
      </c>
      <c r="D130" s="12" t="n">
        <v>65.895</v>
      </c>
      <c r="E130" s="12" t="n">
        <v>-260.625</v>
      </c>
      <c r="F130" s="12" t="n">
        <v>18.289</v>
      </c>
      <c r="G130" s="12" t="n">
        <v>-2715.507</v>
      </c>
      <c r="H130" s="12" t="n">
        <v>254.23</v>
      </c>
      <c r="I130" s="12" t="n">
        <v>-274.85</v>
      </c>
      <c r="J130" s="12" t="n">
        <v>4.619</v>
      </c>
      <c r="K130" s="12" t="n">
        <v>-43.287</v>
      </c>
      <c r="L130" s="12" t="n">
        <v>-224.557</v>
      </c>
      <c r="M130" s="12" t="n">
        <v>70.345</v>
      </c>
      <c r="N130" s="12" t="n">
        <v>500.744</v>
      </c>
      <c r="V130" s="12" t="n">
        <v>65.895</v>
      </c>
      <c r="W130" s="12" t="n">
        <v>254.23</v>
      </c>
      <c r="X130" s="12" t="n">
        <v>-224.557</v>
      </c>
    </row>
    <row r="131">
      <c r="A131" s="45" t="inlineStr">
        <is>
          <t>YoY</t>
        </is>
      </c>
      <c r="B131" s="3" t="inlineStr">
        <is>
          <t>전년 같은 분기·전년 대비</t>
        </is>
      </c>
      <c r="G131" s="17">
        <f>IF(OR(G130="",C130=""),"",IF(C130&lt;=0,"",IFERROR(G130/C130-1,"")))</f>
        <v/>
      </c>
      <c r="H131" s="17">
        <f>IF(OR(H130="",D130=""),"",IF(D130&lt;=0,"",IFERROR(H130/D130-1,"")))</f>
        <v/>
      </c>
      <c r="I131" s="17">
        <f>IF(OR(I130="",E130=""),"",IF(E130&lt;=0,"",IFERROR(I130/E130-1,"")))</f>
        <v/>
      </c>
      <c r="J131" s="17">
        <f>IF(OR(J130="",F130=""),"",IF(F130&lt;=0,"",IFERROR(J130/F130-1,"")))</f>
        <v/>
      </c>
      <c r="K131" s="17">
        <f>IF(OR(K130="",G130=""),"",IF(G130&lt;=0,"",IFERROR(K130/G130-1,"")))</f>
        <v/>
      </c>
      <c r="L131" s="17">
        <f>IF(OR(L130="",H130=""),"",IF(H130&lt;=0,"",IFERROR(L130/H130-1,"")))</f>
        <v/>
      </c>
      <c r="M131" s="17">
        <f>IF(OR(M130="",I130=""),"",IF(I130&lt;=0,"",IFERROR(M130/I130-1,"")))</f>
        <v/>
      </c>
      <c r="N131" s="17">
        <f>IF(OR(N130="",J130=""),"",IF(J130&lt;=0,"",IFERROR(N130/J130-1,"")))</f>
        <v/>
      </c>
      <c r="V131" s="17">
        <f>IF(OR(V130="",U130=""),"",IF(U130&lt;=0,"",IFERROR(V130/U130-1,"")))</f>
        <v/>
      </c>
      <c r="W131" s="17">
        <f>IF(OR(W130="",V130=""),"",IF(V130&lt;=0,"",IFERROR(W130/V130-1,"")))</f>
        <v/>
      </c>
      <c r="X131" s="17">
        <f>IF(OR(X130="",W130=""),"",IF(W130&lt;=0,"",IFERROR(X130/W130-1,"")))</f>
        <v/>
      </c>
    </row>
    <row r="133">
      <c r="A133" s="18" t="inlineStr">
        <is>
          <t>포괄손익 · 전 항목</t>
        </is>
      </c>
      <c r="B133" s="44" t="inlineStr">
        <is>
          <t>분기 = 3개월 단독</t>
        </is>
      </c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</row>
    <row r="134">
      <c r="A134" s="5" t="inlineStr">
        <is>
          <t>항목</t>
        </is>
      </c>
      <c r="B134" s="5" t="inlineStr">
        <is>
          <t>참고</t>
        </is>
      </c>
      <c r="C134" s="5" t="inlineStr">
        <is>
          <t>2024.3Q</t>
        </is>
      </c>
      <c r="D134" s="5" t="inlineStr">
        <is>
          <t>2024.4Q</t>
        </is>
      </c>
      <c r="E134" s="5" t="inlineStr">
        <is>
          <t>2025.1Q</t>
        </is>
      </c>
      <c r="F134" s="5" t="inlineStr">
        <is>
          <t>2025.2Q</t>
        </is>
      </c>
      <c r="G134" s="5" t="inlineStr">
        <is>
          <t>2025.3Q</t>
        </is>
      </c>
      <c r="H134" s="5" t="inlineStr">
        <is>
          <t>2025.4Q</t>
        </is>
      </c>
      <c r="I134" s="5" t="inlineStr">
        <is>
          <t>2026.1Q</t>
        </is>
      </c>
      <c r="J134" s="5" t="inlineStr">
        <is>
          <t>2026.2Q</t>
        </is>
      </c>
      <c r="K134" s="5" t="inlineStr">
        <is>
          <t>2026.3Q</t>
        </is>
      </c>
      <c r="L134" s="5" t="inlineStr">
        <is>
          <t>2026.4Q</t>
        </is>
      </c>
      <c r="M134" s="5" t="inlineStr">
        <is>
          <t>2027.1Q</t>
        </is>
      </c>
      <c r="N134" s="5" t="inlineStr">
        <is>
          <t>2027.2Q</t>
        </is>
      </c>
      <c r="O134" s="5" t="inlineStr">
        <is>
          <t>2017</t>
        </is>
      </c>
      <c r="P134" s="5" t="inlineStr">
        <is>
          <t>2018</t>
        </is>
      </c>
      <c r="Q134" s="5" t="inlineStr">
        <is>
          <t>2019</t>
        </is>
      </c>
      <c r="R134" s="5" t="inlineStr">
        <is>
          <t>2020</t>
        </is>
      </c>
      <c r="S134" s="5" t="inlineStr">
        <is>
          <t>2021</t>
        </is>
      </c>
      <c r="T134" s="5" t="inlineStr">
        <is>
          <t>2022</t>
        </is>
      </c>
      <c r="U134" s="5" t="inlineStr">
        <is>
          <t>2023</t>
        </is>
      </c>
      <c r="V134" s="5" t="inlineStr">
        <is>
          <t>2024</t>
        </is>
      </c>
      <c r="W134" s="5" t="inlineStr">
        <is>
          <t>2025</t>
        </is>
      </c>
      <c r="X134" s="5" t="inlineStr">
        <is>
          <t>2026</t>
        </is>
      </c>
      <c r="Y134" s="5" t="inlineStr">
        <is>
          <t>2027(MW)</t>
        </is>
      </c>
      <c r="Z134" s="5" t="inlineStr">
        <is>
          <t>2028(MW)</t>
        </is>
      </c>
      <c r="AA134" s="5" t="inlineStr">
        <is>
          <t>2029(MW)</t>
        </is>
      </c>
      <c r="AB134" s="5" t="inlineStr">
        <is>
          <t>2030(MW)</t>
        </is>
      </c>
      <c r="AC134" s="5" t="inlineStr">
        <is>
          <t>2031(MW)</t>
        </is>
      </c>
    </row>
    <row r="135">
      <c r="A135" s="9" t="inlineStr">
        <is>
          <t>중간순이익(손실)</t>
        </is>
      </c>
      <c r="C135" s="12" t="n">
        <v>-424.6</v>
      </c>
      <c r="D135" s="12" t="n">
        <v>65.895</v>
      </c>
      <c r="E135" s="12" t="n">
        <v>-260.625</v>
      </c>
      <c r="F135" s="12" t="n">
        <v>18.289</v>
      </c>
      <c r="G135" s="12" t="n">
        <v>-2715.507</v>
      </c>
      <c r="H135" s="12" t="n">
        <v>254.23</v>
      </c>
      <c r="I135" s="12" t="n">
        <v>-274.85</v>
      </c>
      <c r="J135" s="12" t="n">
        <v>4.619</v>
      </c>
      <c r="K135" s="12" t="n">
        <v>-43.287</v>
      </c>
      <c r="L135" s="12" t="n">
        <v>-224.557</v>
      </c>
      <c r="M135" s="12" t="n">
        <v>70.345</v>
      </c>
      <c r="N135" s="12" t="n">
        <v>500.744</v>
      </c>
      <c r="V135" s="12" t="n">
        <v>65.895</v>
      </c>
      <c r="W135" s="12" t="n">
        <v>254.23</v>
      </c>
      <c r="X135" s="12" t="n">
        <v>-224.557</v>
      </c>
    </row>
    <row r="136">
      <c r="A136" s="20" t="inlineStr">
        <is>
          <t>기타유가증권 평가차액</t>
        </is>
      </c>
      <c r="C136" s="22" t="n">
        <v>0.041</v>
      </c>
      <c r="D136" s="22" t="n">
        <v>0.172</v>
      </c>
      <c r="E136" s="22" t="n">
        <v>0.289</v>
      </c>
      <c r="F136" s="22" t="n">
        <v>-0.5679999999999999</v>
      </c>
      <c r="G136" s="22" t="n">
        <v>0.282</v>
      </c>
      <c r="H136" s="22" t="n">
        <v>-0.05</v>
      </c>
      <c r="I136" s="22" t="n">
        <v>-0.284</v>
      </c>
      <c r="J136" s="22" t="n">
        <v>0.143</v>
      </c>
      <c r="K136" s="22" t="n">
        <v>0.456</v>
      </c>
      <c r="L136" s="22" t="n">
        <v>-0.038</v>
      </c>
      <c r="M136" s="22" t="n">
        <v>0.168</v>
      </c>
      <c r="N136" s="22" t="n">
        <v>0.03</v>
      </c>
      <c r="V136" s="22" t="n">
        <v>0.172</v>
      </c>
      <c r="W136" s="22" t="n">
        <v>-0.05</v>
      </c>
      <c r="X136" s="22" t="n">
        <v>-0.038</v>
      </c>
    </row>
    <row r="137">
      <c r="A137" s="20" t="inlineStr">
        <is>
          <t>해외사업환산조정</t>
        </is>
      </c>
      <c r="C137" s="22" t="n">
        <v>43.812</v>
      </c>
      <c r="D137" s="22" t="n">
        <v>-28.838</v>
      </c>
      <c r="E137" s="22" t="n">
        <v>174.664</v>
      </c>
      <c r="F137" s="22" t="n">
        <v>152.87</v>
      </c>
      <c r="G137" s="22" t="n">
        <v>-211.258</v>
      </c>
      <c r="H137" s="22" t="n">
        <v>129.315</v>
      </c>
      <c r="I137" s="22" t="n">
        <v>-85.994</v>
      </c>
      <c r="J137" s="22" t="n">
        <v>50.464</v>
      </c>
      <c r="K137" s="22" t="n">
        <v>49.389</v>
      </c>
      <c r="L137" s="22" t="n">
        <v>-407.383</v>
      </c>
      <c r="M137" s="22" t="n">
        <v>0</v>
      </c>
      <c r="N137" s="22" t="n">
        <v>0</v>
      </c>
      <c r="V137" s="22" t="n">
        <v>-28.838</v>
      </c>
      <c r="W137" s="22" t="n">
        <v>129.315</v>
      </c>
      <c r="X137" s="22" t="n">
        <v>-407.383</v>
      </c>
    </row>
    <row r="138">
      <c r="A138" s="20" t="inlineStr">
        <is>
          <t>기타포괄손익 합계</t>
        </is>
      </c>
      <c r="C138" s="22" t="n">
        <v>43.853</v>
      </c>
      <c r="D138" s="22" t="n">
        <v>-28.667</v>
      </c>
      <c r="E138" s="22" t="n">
        <v>174.953</v>
      </c>
      <c r="F138" s="22" t="n">
        <v>152.302</v>
      </c>
      <c r="G138" s="22" t="n">
        <v>-210.976</v>
      </c>
      <c r="H138" s="22" t="n">
        <v>129.265</v>
      </c>
      <c r="I138" s="22" t="n">
        <v>-86.279</v>
      </c>
      <c r="J138" s="22" t="n">
        <v>50.608</v>
      </c>
      <c r="K138" s="22" t="n">
        <v>49.846</v>
      </c>
      <c r="L138" s="22" t="n">
        <v>-407.422</v>
      </c>
      <c r="M138" s="22" t="n">
        <v>0.168</v>
      </c>
      <c r="N138" s="22" t="n">
        <v>0.03</v>
      </c>
      <c r="V138" s="22" t="n">
        <v>-28.667</v>
      </c>
      <c r="W138" s="22" t="n">
        <v>129.265</v>
      </c>
      <c r="X138" s="22" t="n">
        <v>-407.422</v>
      </c>
    </row>
    <row r="139">
      <c r="A139" s="9" t="inlineStr">
        <is>
          <t>포괄이익</t>
        </is>
      </c>
      <c r="C139" s="12" t="n">
        <v>-380.747</v>
      </c>
      <c r="D139" s="12" t="n">
        <v>37.228</v>
      </c>
      <c r="E139" s="12" t="n">
        <v>-85.67100000000001</v>
      </c>
      <c r="F139" s="12" t="n">
        <v>170.59</v>
      </c>
      <c r="G139" s="12" t="n">
        <v>-2926.483</v>
      </c>
      <c r="H139" s="12" t="n">
        <v>383.496</v>
      </c>
      <c r="I139" s="12" t="n">
        <v>-361.129</v>
      </c>
      <c r="J139" s="12" t="n">
        <v>55.227</v>
      </c>
      <c r="K139" s="12" t="n">
        <v>6.559</v>
      </c>
      <c r="L139" s="12" t="n">
        <v>-631.979</v>
      </c>
      <c r="M139" s="12" t="n">
        <v>70.514</v>
      </c>
      <c r="N139" s="12" t="n">
        <v>500.773</v>
      </c>
      <c r="V139" s="12" t="n">
        <v>37.228</v>
      </c>
      <c r="W139" s="12" t="n">
        <v>383.496</v>
      </c>
      <c r="X139" s="12" t="n">
        <v>-631.979</v>
      </c>
    </row>
    <row r="140">
      <c r="A140" s="9" t="inlineStr">
        <is>
          <t>지배주주 포괄이익</t>
        </is>
      </c>
      <c r="C140" s="12" t="n">
        <v>-380.747</v>
      </c>
      <c r="D140" s="12" t="n">
        <v>37.228</v>
      </c>
      <c r="E140" s="12" t="n">
        <v>-85.67100000000001</v>
      </c>
      <c r="F140" s="12" t="n">
        <v>170.59</v>
      </c>
      <c r="G140" s="12" t="n">
        <v>-2926.483</v>
      </c>
      <c r="H140" s="12" t="n">
        <v>383.496</v>
      </c>
      <c r="I140" s="12" t="n">
        <v>-361.129</v>
      </c>
      <c r="J140" s="12" t="n">
        <v>55.227</v>
      </c>
      <c r="K140" s="12" t="n">
        <v>6.559</v>
      </c>
      <c r="L140" s="12" t="n">
        <v>-631.979</v>
      </c>
      <c r="M140" s="12" t="n">
        <v>70.514</v>
      </c>
      <c r="N140" s="12" t="n">
        <v>500.773</v>
      </c>
      <c r="V140" s="12" t="n">
        <v>37.228</v>
      </c>
      <c r="W140" s="12" t="n">
        <v>383.496</v>
      </c>
      <c r="X140" s="12" t="n">
        <v>-631.979</v>
      </c>
    </row>
    <row r="141">
      <c r="A141" s="9" t="inlineStr">
        <is>
          <t>비지배주주 포괄이익</t>
        </is>
      </c>
      <c r="C141" s="12" t="n">
        <v>0</v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V141" s="12" t="n">
        <v>0</v>
      </c>
      <c r="W141" s="12" t="n">
        <v>0</v>
      </c>
      <c r="X141" s="12" t="n">
        <v>0</v>
      </c>
    </row>
    <row r="143">
      <c r="A143" s="18" t="inlineStr">
        <is>
          <t>현금흐름표 · 전 항목</t>
        </is>
      </c>
      <c r="B143" s="44" t="inlineStr">
        <is>
          <t>분기 = 결산기 첫날부터 누계(공시 그대로)</t>
        </is>
      </c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2024.3Q</t>
        </is>
      </c>
      <c r="D144" s="5" t="inlineStr">
        <is>
          <t>2024.4Q</t>
        </is>
      </c>
      <c r="E144" s="5" t="inlineStr">
        <is>
          <t>2025.1Q</t>
        </is>
      </c>
      <c r="F144" s="5" t="inlineStr">
        <is>
          <t>2025.2Q</t>
        </is>
      </c>
      <c r="G144" s="5" t="inlineStr">
        <is>
          <t>2025.3Q</t>
        </is>
      </c>
      <c r="H144" s="5" t="inlineStr">
        <is>
          <t>2025.4Q</t>
        </is>
      </c>
      <c r="I144" s="5" t="inlineStr">
        <is>
          <t>2026.1Q</t>
        </is>
      </c>
      <c r="J144" s="5" t="inlineStr">
        <is>
          <t>2026.2Q</t>
        </is>
      </c>
      <c r="K144" s="5" t="inlineStr">
        <is>
          <t>2026.3Q</t>
        </is>
      </c>
      <c r="L144" s="5" t="inlineStr">
        <is>
          <t>2026.4Q</t>
        </is>
      </c>
      <c r="M144" s="5" t="inlineStr">
        <is>
          <t>2027.1Q</t>
        </is>
      </c>
      <c r="N144" s="5" t="inlineStr">
        <is>
          <t>2027.2Q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9" t="inlineStr">
        <is>
          <t>법인세차감전 중간순이익(손실)</t>
        </is>
      </c>
      <c r="D145" s="12" t="n">
        <v>-482.535</v>
      </c>
      <c r="F145" s="12" t="n">
        <v>-322.916</v>
      </c>
      <c r="H145" s="12" t="n">
        <v>-2833.697</v>
      </c>
      <c r="J145" s="12" t="n">
        <v>-216.339</v>
      </c>
      <c r="L145" s="12" t="n">
        <v>-1048.922</v>
      </c>
      <c r="N145" s="12" t="n">
        <v>751.417</v>
      </c>
      <c r="R145" s="12" t="n">
        <v>104.91</v>
      </c>
      <c r="S145" s="12" t="n">
        <v>322.887</v>
      </c>
      <c r="T145" s="12" t="n">
        <v>590.836</v>
      </c>
      <c r="U145" s="12" t="n">
        <v>693.268</v>
      </c>
      <c r="V145" s="12" t="n">
        <v>-482.535</v>
      </c>
      <c r="W145" s="12" t="n">
        <v>-2833.697</v>
      </c>
      <c r="X145" s="12" t="n">
        <v>-1048.922</v>
      </c>
    </row>
    <row r="146">
      <c r="A146" s="20" t="inlineStr">
        <is>
          <t>감가상각비</t>
        </is>
      </c>
      <c r="D146" s="22" t="n">
        <v>715.667</v>
      </c>
      <c r="F146" s="22" t="n">
        <v>396.998</v>
      </c>
      <c r="H146" s="22" t="n">
        <v>816.636</v>
      </c>
      <c r="J146" s="22" t="n">
        <v>453.276</v>
      </c>
      <c r="L146" s="22" t="n">
        <v>884.475</v>
      </c>
      <c r="N146" s="22" t="n">
        <v>324.043</v>
      </c>
      <c r="R146" s="22" t="n">
        <v>208.771</v>
      </c>
      <c r="S146" s="22" t="n">
        <v>224.765</v>
      </c>
      <c r="T146" s="22" t="n">
        <v>268.881</v>
      </c>
      <c r="U146" s="22" t="n">
        <v>356.43</v>
      </c>
      <c r="V146" s="22" t="n">
        <v>715.667</v>
      </c>
      <c r="W146" s="22" t="n">
        <v>816.636</v>
      </c>
      <c r="X146" s="22" t="n">
        <v>884.475</v>
      </c>
    </row>
    <row r="147">
      <c r="A147" s="20" t="inlineStr">
        <is>
          <t>손상차손</t>
        </is>
      </c>
      <c r="D147" s="22" t="n">
        <v>0</v>
      </c>
      <c r="H147" s="22" t="n">
        <v>2723.138</v>
      </c>
      <c r="L147" s="22" t="n">
        <v>0</v>
      </c>
      <c r="S147" s="22" t="n">
        <v>0</v>
      </c>
      <c r="T147" s="22" t="n">
        <v>8.154999999999999</v>
      </c>
      <c r="U147" s="22" t="n">
        <v>0</v>
      </c>
      <c r="V147" s="22" t="n">
        <v>0</v>
      </c>
      <c r="W147" s="22" t="n">
        <v>2723.138</v>
      </c>
      <c r="X147" s="22" t="n">
        <v>0</v>
      </c>
    </row>
    <row r="148">
      <c r="A148" s="20" t="inlineStr">
        <is>
          <t>영업권 상각</t>
        </is>
      </c>
      <c r="D148" s="22" t="n">
        <v>130.699</v>
      </c>
      <c r="F148" s="22" t="n">
        <v>93.53100000000001</v>
      </c>
      <c r="H148" s="22" t="n">
        <v>139.651</v>
      </c>
      <c r="J148" s="22" t="n">
        <v>0</v>
      </c>
      <c r="L148" s="22" t="n">
        <v>0</v>
      </c>
      <c r="R148" s="22" t="n">
        <v>116.456</v>
      </c>
      <c r="S148" s="22" t="n">
        <v>62.095</v>
      </c>
      <c r="T148" s="22" t="n">
        <v>0.644</v>
      </c>
      <c r="U148" s="22" t="n">
        <v>0</v>
      </c>
      <c r="V148" s="22" t="n">
        <v>130.699</v>
      </c>
      <c r="W148" s="22" t="n">
        <v>139.651</v>
      </c>
      <c r="X148" s="22" t="n">
        <v>0</v>
      </c>
    </row>
    <row r="149">
      <c r="A149" s="20" t="inlineStr">
        <is>
          <t>관계회사 주식 매각손익</t>
        </is>
      </c>
      <c r="H149" s="22" t="n">
        <v>0</v>
      </c>
      <c r="L149" s="22" t="n">
        <v>1773.877</v>
      </c>
      <c r="W149" s="22" t="n">
        <v>0</v>
      </c>
      <c r="X149" s="22" t="n">
        <v>1773.877</v>
      </c>
    </row>
    <row r="150">
      <c r="A150" s="20" t="inlineStr">
        <is>
          <t>고객 관련 자산 상각액</t>
        </is>
      </c>
      <c r="D150" s="22" t="n">
        <v>58.943</v>
      </c>
      <c r="F150" s="22" t="n">
        <v>42.181</v>
      </c>
      <c r="H150" s="22" t="n">
        <v>62.98</v>
      </c>
      <c r="J150" s="22" t="n">
        <v>0</v>
      </c>
      <c r="L150" s="22" t="n">
        <v>0</v>
      </c>
      <c r="V150" s="22" t="n">
        <v>58.943</v>
      </c>
      <c r="W150" s="22" t="n">
        <v>62.98</v>
      </c>
      <c r="X150" s="22" t="n">
        <v>0</v>
      </c>
    </row>
    <row r="151">
      <c r="A151" s="20" t="inlineStr">
        <is>
          <t>고정자산 매각손익</t>
        </is>
      </c>
      <c r="D151" s="22" t="n">
        <v>-249.355</v>
      </c>
      <c r="F151" s="22" t="n">
        <v>5.875</v>
      </c>
      <c r="H151" s="22" t="n">
        <v>-23.33</v>
      </c>
      <c r="J151" s="22" t="n">
        <v>-7.881</v>
      </c>
      <c r="L151" s="22" t="n">
        <v>-26.722</v>
      </c>
      <c r="N151" s="22" t="n">
        <v>-29.095</v>
      </c>
      <c r="T151" s="22" t="n">
        <v>0</v>
      </c>
      <c r="U151" s="22" t="n">
        <v>-5.396</v>
      </c>
      <c r="V151" s="22" t="n">
        <v>-249.355</v>
      </c>
      <c r="W151" s="22" t="n">
        <v>-23.33</v>
      </c>
      <c r="X151" s="22" t="n">
        <v>-26.722</v>
      </c>
    </row>
    <row r="152">
      <c r="A152" s="20" t="inlineStr">
        <is>
          <t>고정자산 제각손실</t>
        </is>
      </c>
      <c r="D152" s="22" t="n">
        <v>0</v>
      </c>
      <c r="H152" s="22" t="n">
        <v>6.897</v>
      </c>
      <c r="J152" s="22" t="n">
        <v>0</v>
      </c>
      <c r="L152" s="22" t="n">
        <v>39.338</v>
      </c>
      <c r="N152" s="22" t="n">
        <v>0.616</v>
      </c>
      <c r="R152" s="22" t="n">
        <v>4.759</v>
      </c>
      <c r="S152" s="22" t="n">
        <v>1.639</v>
      </c>
      <c r="T152" s="22" t="n">
        <v>0</v>
      </c>
      <c r="V152" s="22" t="n">
        <v>0</v>
      </c>
      <c r="W152" s="22" t="n">
        <v>6.897</v>
      </c>
      <c r="X152" s="22" t="n">
        <v>39.338</v>
      </c>
    </row>
    <row r="153">
      <c r="A153" s="20" t="inlineStr">
        <is>
          <t>고정자산 압축손실</t>
        </is>
      </c>
      <c r="D153" s="22" t="n">
        <v>2.737</v>
      </c>
      <c r="F153" s="22" t="n">
        <v>5.009</v>
      </c>
      <c r="H153" s="22" t="n">
        <v>5.009</v>
      </c>
      <c r="J153" s="22" t="n">
        <v>72.414</v>
      </c>
      <c r="L153" s="22" t="n">
        <v>715.619</v>
      </c>
      <c r="N153" s="22" t="n">
        <v>92.53</v>
      </c>
      <c r="V153" s="22" t="n">
        <v>2.737</v>
      </c>
      <c r="W153" s="22" t="n">
        <v>5.009</v>
      </c>
      <c r="X153" s="22" t="n">
        <v>715.619</v>
      </c>
    </row>
    <row r="154">
      <c r="A154" s="20" t="inlineStr">
        <is>
          <t>보조금 수입</t>
        </is>
      </c>
      <c r="D154" s="22" t="n">
        <v>-1.921</v>
      </c>
      <c r="H154" s="22" t="n">
        <v>-81.822</v>
      </c>
      <c r="J154" s="22" t="n">
        <v>0</v>
      </c>
      <c r="L154" s="22" t="n">
        <v>0</v>
      </c>
      <c r="N154" s="22" t="n">
        <v>-0.8080000000000001</v>
      </c>
      <c r="V154" s="22" t="n">
        <v>-1.921</v>
      </c>
      <c r="W154" s="22" t="n">
        <v>-81.822</v>
      </c>
      <c r="X154" s="22" t="n">
        <v>0</v>
      </c>
    </row>
    <row r="155">
      <c r="A155" s="20" t="inlineStr">
        <is>
          <t>보조금 수입</t>
        </is>
      </c>
      <c r="D155" s="22" t="n">
        <v>-386.864</v>
      </c>
      <c r="F155" s="22" t="n">
        <v>-7.519</v>
      </c>
      <c r="H155" s="22" t="n">
        <v>-7.519</v>
      </c>
      <c r="J155" s="22" t="n">
        <v>-75.94</v>
      </c>
      <c r="L155" s="22" t="n">
        <v>-746.304</v>
      </c>
      <c r="N155" s="22" t="n">
        <v>-96.378</v>
      </c>
      <c r="V155" s="22" t="n">
        <v>-386.864</v>
      </c>
      <c r="W155" s="22" t="n">
        <v>-7.519</v>
      </c>
      <c r="X155" s="22" t="n">
        <v>-746.304</v>
      </c>
    </row>
    <row r="156">
      <c r="A156" s="20" t="inlineStr">
        <is>
          <t>투자유가증권 매각손익</t>
        </is>
      </c>
      <c r="J156" s="22" t="n">
        <v>0</v>
      </c>
      <c r="N156" s="22" t="n">
        <v>-6</v>
      </c>
    </row>
    <row r="157">
      <c r="A157" s="20" t="inlineStr">
        <is>
          <t>지급수수료</t>
        </is>
      </c>
      <c r="D157" s="22" t="n">
        <v>49.805</v>
      </c>
      <c r="F157" s="22" t="n">
        <v>29.52</v>
      </c>
      <c r="H157" s="22" t="n">
        <v>36.828</v>
      </c>
      <c r="J157" s="22" t="n">
        <v>9.602</v>
      </c>
      <c r="L157" s="22" t="n">
        <v>14.084</v>
      </c>
      <c r="N157" s="22" t="n">
        <v>32.515</v>
      </c>
      <c r="V157" s="22" t="n">
        <v>49.805</v>
      </c>
      <c r="W157" s="22" t="n">
        <v>36.828</v>
      </c>
      <c r="X157" s="22" t="n">
        <v>14.084</v>
      </c>
    </row>
    <row r="158">
      <c r="A158" s="20" t="inlineStr">
        <is>
          <t>화해금 수령</t>
        </is>
      </c>
      <c r="D158" s="22" t="n">
        <v>-34.155</v>
      </c>
      <c r="H158" s="22" t="n">
        <v>0</v>
      </c>
      <c r="V158" s="22" t="n">
        <v>-34.155</v>
      </c>
      <c r="W158" s="22" t="n">
        <v>0</v>
      </c>
    </row>
    <row r="159">
      <c r="A159" s="20" t="inlineStr">
        <is>
          <t>수증익</t>
        </is>
      </c>
      <c r="J159" s="22" t="n">
        <v>0</v>
      </c>
      <c r="N159" s="22" t="n">
        <v>-160.125</v>
      </c>
    </row>
    <row r="160">
      <c r="A160" s="20" t="inlineStr">
        <is>
          <t>대손충당금 증감</t>
        </is>
      </c>
      <c r="D160" s="22" t="n">
        <v>0</v>
      </c>
      <c r="F160" s="22" t="n">
        <v>0</v>
      </c>
      <c r="H160" s="22" t="n">
        <v>3.896</v>
      </c>
      <c r="J160" s="22" t="n">
        <v>31.35</v>
      </c>
      <c r="L160" s="22" t="n">
        <v>24.224</v>
      </c>
      <c r="N160" s="22" t="n">
        <v>0</v>
      </c>
      <c r="V160" s="22" t="n">
        <v>0</v>
      </c>
      <c r="W160" s="22" t="n">
        <v>3.896</v>
      </c>
      <c r="X160" s="22" t="n">
        <v>24.224</v>
      </c>
    </row>
    <row r="161">
      <c r="A161" s="20" t="inlineStr">
        <is>
          <t>상여충당금 증감</t>
        </is>
      </c>
      <c r="D161" s="22" t="n">
        <v>-7.504</v>
      </c>
      <c r="F161" s="22" t="n">
        <v>-0.475</v>
      </c>
      <c r="H161" s="22" t="n">
        <v>-21.546</v>
      </c>
      <c r="J161" s="22" t="n">
        <v>3.751</v>
      </c>
      <c r="L161" s="22" t="n">
        <v>5.418</v>
      </c>
      <c r="N161" s="22" t="n">
        <v>32.435</v>
      </c>
      <c r="R161" s="22" t="n">
        <v>-9.553000000000001</v>
      </c>
      <c r="S161" s="22" t="n">
        <v>30.591</v>
      </c>
      <c r="T161" s="22" t="n">
        <v>17</v>
      </c>
      <c r="U161" s="22" t="n">
        <v>27.705</v>
      </c>
      <c r="V161" s="22" t="n">
        <v>-7.504</v>
      </c>
      <c r="W161" s="22" t="n">
        <v>-21.546</v>
      </c>
      <c r="X161" s="22" t="n">
        <v>5.418</v>
      </c>
    </row>
    <row r="162">
      <c r="A162" s="20" t="inlineStr">
        <is>
          <t>수선충당금 증감액</t>
        </is>
      </c>
      <c r="D162" s="22" t="n">
        <v>-42.288</v>
      </c>
      <c r="F162" s="22" t="n">
        <v>39.704</v>
      </c>
      <c r="H162" s="22" t="n">
        <v>56.56</v>
      </c>
      <c r="J162" s="22" t="n">
        <v>5.978</v>
      </c>
      <c r="L162" s="22" t="n">
        <v>28.795</v>
      </c>
      <c r="N162" s="22" t="n">
        <v>5.341</v>
      </c>
      <c r="R162" s="22" t="n">
        <v>99.128</v>
      </c>
      <c r="S162" s="22" t="n">
        <v>28.911</v>
      </c>
      <c r="T162" s="22" t="n">
        <v>-67.227</v>
      </c>
      <c r="U162" s="22" t="n">
        <v>-29.109</v>
      </c>
      <c r="V162" s="22" t="n">
        <v>-42.288</v>
      </c>
      <c r="W162" s="22" t="n">
        <v>56.56</v>
      </c>
      <c r="X162" s="22" t="n">
        <v>28.795</v>
      </c>
    </row>
    <row r="163">
      <c r="A163" s="20" t="inlineStr">
        <is>
          <t>제품보증 충당금 증감</t>
        </is>
      </c>
      <c r="D163" s="22" t="n">
        <v>58.451</v>
      </c>
      <c r="F163" s="22" t="n">
        <v>-16.974</v>
      </c>
      <c r="H163" s="22" t="n">
        <v>9.904999999999999</v>
      </c>
      <c r="J163" s="22" t="n">
        <v>26.216</v>
      </c>
      <c r="L163" s="22" t="n">
        <v>-6.56</v>
      </c>
      <c r="N163" s="22" t="n">
        <v>43.433</v>
      </c>
      <c r="R163" s="22" t="n">
        <v>0</v>
      </c>
      <c r="S163" s="22" t="n">
        <v>11.82</v>
      </c>
      <c r="T163" s="22" t="n">
        <v>5.527</v>
      </c>
      <c r="U163" s="22" t="n">
        <v>10.353</v>
      </c>
      <c r="V163" s="22" t="n">
        <v>58.451</v>
      </c>
      <c r="W163" s="22" t="n">
        <v>9.904999999999999</v>
      </c>
      <c r="X163" s="22" t="n">
        <v>-6.56</v>
      </c>
    </row>
    <row r="164">
      <c r="A164" s="20" t="inlineStr">
        <is>
          <t>미수금 증감</t>
        </is>
      </c>
      <c r="R164" s="22" t="n">
        <v>15.197</v>
      </c>
      <c r="S164" s="22" t="n">
        <v>1.142</v>
      </c>
      <c r="T164" s="22" t="n">
        <v>-9.987</v>
      </c>
      <c r="U164" s="22" t="n">
        <v>0.57</v>
      </c>
    </row>
    <row r="165">
      <c r="A165" s="20" t="inlineStr">
        <is>
          <t>종업원 주식보상 충당금 증감액</t>
        </is>
      </c>
      <c r="D165" s="22" t="n">
        <v>5.654</v>
      </c>
      <c r="F165" s="22" t="n">
        <v>2.508</v>
      </c>
      <c r="H165" s="22" t="n">
        <v>4.125</v>
      </c>
      <c r="J165" s="22" t="n">
        <v>7.44</v>
      </c>
      <c r="L165" s="22" t="n">
        <v>18.359</v>
      </c>
      <c r="N165" s="22" t="n">
        <v>-28.139</v>
      </c>
      <c r="V165" s="22" t="n">
        <v>5.654</v>
      </c>
      <c r="W165" s="22" t="n">
        <v>4.125</v>
      </c>
      <c r="X165" s="22" t="n">
        <v>18.359</v>
      </c>
    </row>
    <row r="166">
      <c r="A166" s="20" t="inlineStr">
        <is>
          <t>퇴직급여부채 증감</t>
        </is>
      </c>
      <c r="D166" s="22" t="n">
        <v>-0.311</v>
      </c>
      <c r="H166" s="22" t="n">
        <v>-0.145</v>
      </c>
      <c r="L166" s="22" t="n">
        <v>-0.224</v>
      </c>
      <c r="V166" s="22" t="n">
        <v>-0.311</v>
      </c>
      <c r="W166" s="22" t="n">
        <v>-0.145</v>
      </c>
      <c r="X166" s="22" t="n">
        <v>-0.224</v>
      </c>
    </row>
    <row r="167">
      <c r="A167" s="20" t="inlineStr">
        <is>
          <t>미지급금 증감</t>
        </is>
      </c>
      <c r="D167" s="22" t="n">
        <v>-50.706</v>
      </c>
      <c r="F167" s="22" t="n">
        <v>-68.176</v>
      </c>
      <c r="H167" s="22" t="n">
        <v>76.483</v>
      </c>
      <c r="J167" s="22" t="n">
        <v>-221.888</v>
      </c>
      <c r="L167" s="22" t="n">
        <v>-76.59399999999999</v>
      </c>
      <c r="N167" s="22" t="n">
        <v>-59.47</v>
      </c>
      <c r="R167" s="22" t="n">
        <v>-14.229</v>
      </c>
      <c r="S167" s="22" t="n">
        <v>70.014</v>
      </c>
      <c r="T167" s="22" t="n">
        <v>-47.218</v>
      </c>
      <c r="U167" s="22" t="n">
        <v>188.516</v>
      </c>
      <c r="V167" s="22" t="n">
        <v>-50.706</v>
      </c>
      <c r="W167" s="22" t="n">
        <v>76.483</v>
      </c>
      <c r="X167" s="22" t="n">
        <v>-76.59399999999999</v>
      </c>
    </row>
    <row r="168">
      <c r="A168" s="20" t="inlineStr">
        <is>
          <t>선수금 증감</t>
        </is>
      </c>
      <c r="D168" s="22" t="n">
        <v>-160.302</v>
      </c>
      <c r="F168" s="22" t="n">
        <v>-218.084</v>
      </c>
      <c r="H168" s="22" t="n">
        <v>-43.296</v>
      </c>
      <c r="J168" s="22" t="n">
        <v>-72.292</v>
      </c>
      <c r="L168" s="22" t="n">
        <v>12.56</v>
      </c>
      <c r="N168" s="22" t="n">
        <v>-136.855</v>
      </c>
      <c r="R168" s="22" t="n">
        <v>-15.271</v>
      </c>
      <c r="S168" s="22" t="n">
        <v>92.98</v>
      </c>
      <c r="T168" s="22" t="n">
        <v>49.511</v>
      </c>
      <c r="U168" s="22" t="n">
        <v>345.67</v>
      </c>
      <c r="V168" s="22" t="n">
        <v>-160.302</v>
      </c>
      <c r="W168" s="22" t="n">
        <v>-43.296</v>
      </c>
      <c r="X168" s="22" t="n">
        <v>12.56</v>
      </c>
    </row>
    <row r="169">
      <c r="A169" s="20" t="inlineStr">
        <is>
          <t>계약부채 증감</t>
        </is>
      </c>
      <c r="D169" s="22" t="n">
        <v>65.374</v>
      </c>
      <c r="F169" s="22" t="n">
        <v>417.178</v>
      </c>
      <c r="T169" s="22" t="n">
        <v>0</v>
      </c>
      <c r="U169" s="22" t="n">
        <v>-115.761</v>
      </c>
      <c r="V169" s="22" t="n">
        <v>65.374</v>
      </c>
    </row>
    <row r="170">
      <c r="A170" s="20" t="inlineStr">
        <is>
          <t>계약부채 증감</t>
        </is>
      </c>
      <c r="D170" s="22" t="n">
        <v>65.374</v>
      </c>
      <c r="F170" s="22" t="n">
        <v>417.178</v>
      </c>
      <c r="H170" s="22" t="n">
        <v>212.831</v>
      </c>
      <c r="J170" s="22" t="n">
        <v>-157.701</v>
      </c>
      <c r="L170" s="22" t="n">
        <v>-115.819</v>
      </c>
      <c r="N170" s="22" t="n">
        <v>157.351</v>
      </c>
      <c r="V170" s="22" t="n">
        <v>65.374</v>
      </c>
      <c r="W170" s="22" t="n">
        <v>212.831</v>
      </c>
      <c r="X170" s="22" t="n">
        <v>-115.819</v>
      </c>
    </row>
    <row r="171">
      <c r="A171" s="20" t="inlineStr">
        <is>
          <t>외환차손익</t>
        </is>
      </c>
      <c r="D171" s="22" t="n">
        <v>-36.89</v>
      </c>
      <c r="F171" s="22" t="n">
        <v>-170.332</v>
      </c>
      <c r="H171" s="22" t="n">
        <v>-205.13</v>
      </c>
      <c r="J171" s="22" t="n">
        <v>10.402</v>
      </c>
      <c r="L171" s="22" t="n">
        <v>-368.951</v>
      </c>
      <c r="N171" s="22" t="n">
        <v>-11.474</v>
      </c>
      <c r="R171" s="22" t="n">
        <v>1.127</v>
      </c>
      <c r="S171" s="22" t="n">
        <v>3.178</v>
      </c>
      <c r="T171" s="22" t="n">
        <v>-4.84</v>
      </c>
      <c r="U171" s="22" t="n">
        <v>-213.856</v>
      </c>
      <c r="V171" s="22" t="n">
        <v>-36.89</v>
      </c>
      <c r="W171" s="22" t="n">
        <v>-205.13</v>
      </c>
      <c r="X171" s="22" t="n">
        <v>-368.951</v>
      </c>
    </row>
    <row r="172">
      <c r="A172" s="20" t="inlineStr">
        <is>
          <t>이자수익</t>
        </is>
      </c>
      <c r="D172" s="22" t="n">
        <v>-2.358</v>
      </c>
      <c r="F172" s="22" t="n">
        <v>-0.439</v>
      </c>
      <c r="H172" s="22" t="n">
        <v>-1.599</v>
      </c>
      <c r="J172" s="22" t="n">
        <v>-3.211</v>
      </c>
      <c r="L172" s="22" t="n">
        <v>-6.01</v>
      </c>
      <c r="N172" s="22" t="n">
        <v>-3.043</v>
      </c>
      <c r="R172" s="22" t="n">
        <v>-0.881</v>
      </c>
      <c r="S172" s="22" t="n">
        <v>-0.273</v>
      </c>
      <c r="T172" s="22" t="n">
        <v>-0.124</v>
      </c>
      <c r="U172" s="22" t="n">
        <v>-1.529</v>
      </c>
      <c r="V172" s="22" t="n">
        <v>-2.358</v>
      </c>
      <c r="W172" s="22" t="n">
        <v>-1.599</v>
      </c>
      <c r="X172" s="22" t="n">
        <v>-6.01</v>
      </c>
    </row>
    <row r="173">
      <c r="A173" s="20" t="inlineStr">
        <is>
          <t>이자비용</t>
        </is>
      </c>
      <c r="D173" s="22" t="n">
        <v>135.222</v>
      </c>
      <c r="F173" s="22" t="n">
        <v>70.857</v>
      </c>
      <c r="H173" s="22" t="n">
        <v>147.891</v>
      </c>
      <c r="J173" s="22" t="n">
        <v>82.196</v>
      </c>
      <c r="L173" s="22" t="n">
        <v>163.025</v>
      </c>
      <c r="N173" s="22" t="n">
        <v>57.326</v>
      </c>
      <c r="R173" s="22" t="n">
        <v>38.216</v>
      </c>
      <c r="S173" s="22" t="n">
        <v>48.535</v>
      </c>
      <c r="T173" s="22" t="n">
        <v>50.323</v>
      </c>
      <c r="U173" s="22" t="n">
        <v>34.023</v>
      </c>
      <c r="V173" s="22" t="n">
        <v>135.222</v>
      </c>
      <c r="W173" s="22" t="n">
        <v>147.891</v>
      </c>
      <c r="X173" s="22" t="n">
        <v>163.025</v>
      </c>
    </row>
    <row r="174">
      <c r="A174" s="20" t="inlineStr">
        <is>
          <t>매출채권 증감</t>
        </is>
      </c>
      <c r="D174" s="22" t="n">
        <v>-450.72</v>
      </c>
      <c r="F174" s="22" t="n">
        <v>277.017</v>
      </c>
      <c r="H174" s="22" t="n">
        <v>-397.271</v>
      </c>
      <c r="J174" s="22" t="n">
        <v>653.36</v>
      </c>
      <c r="L174" s="22" t="n">
        <v>145.655</v>
      </c>
      <c r="N174" s="22" t="n">
        <v>71.55800000000001</v>
      </c>
      <c r="R174" s="22" t="n">
        <v>-445.288</v>
      </c>
      <c r="S174" s="22" t="n">
        <v>88.47799999999999</v>
      </c>
      <c r="T174" s="22" t="n">
        <v>125.321</v>
      </c>
      <c r="U174" s="22" t="n">
        <v>-8.266</v>
      </c>
      <c r="V174" s="22" t="n">
        <v>-450.72</v>
      </c>
      <c r="W174" s="22" t="n">
        <v>-397.271</v>
      </c>
      <c r="X174" s="22" t="n">
        <v>145.655</v>
      </c>
    </row>
    <row r="175">
      <c r="A175" s="20" t="inlineStr">
        <is>
          <t>재고자산 증감</t>
        </is>
      </c>
      <c r="D175" s="22" t="n">
        <v>-186.915</v>
      </c>
      <c r="F175" s="22" t="n">
        <v>-357.8</v>
      </c>
      <c r="H175" s="22" t="n">
        <v>127.768</v>
      </c>
      <c r="J175" s="22" t="n">
        <v>-122.696</v>
      </c>
      <c r="L175" s="22" t="n">
        <v>186.48</v>
      </c>
      <c r="N175" s="22" t="n">
        <v>-329.303</v>
      </c>
      <c r="R175" s="22" t="n">
        <v>-239.389</v>
      </c>
      <c r="S175" s="22" t="n">
        <v>-372.013</v>
      </c>
      <c r="T175" s="22" t="n">
        <v>-433.317</v>
      </c>
      <c r="U175" s="22" t="n">
        <v>-1157.31</v>
      </c>
      <c r="V175" s="22" t="n">
        <v>-186.915</v>
      </c>
      <c r="W175" s="22" t="n">
        <v>127.768</v>
      </c>
      <c r="X175" s="22" t="n">
        <v>186.48</v>
      </c>
    </row>
    <row r="176">
      <c r="A176" s="20" t="inlineStr">
        <is>
          <t>매입채무 증감</t>
        </is>
      </c>
      <c r="D176" s="22" t="n">
        <v>-216.701</v>
      </c>
      <c r="F176" s="22" t="n">
        <v>25.092</v>
      </c>
      <c r="H176" s="22" t="n">
        <v>92.202</v>
      </c>
      <c r="J176" s="22" t="n">
        <v>150.696</v>
      </c>
      <c r="L176" s="22" t="n">
        <v>549.303</v>
      </c>
      <c r="N176" s="22" t="n">
        <v>-285.913</v>
      </c>
      <c r="R176" s="22" t="n">
        <v>69.241</v>
      </c>
      <c r="S176" s="22" t="n">
        <v>-18.174</v>
      </c>
      <c r="T176" s="22" t="n">
        <v>72.011</v>
      </c>
      <c r="U176" s="22" t="n">
        <v>107.232</v>
      </c>
      <c r="V176" s="22" t="n">
        <v>-216.701</v>
      </c>
      <c r="W176" s="22" t="n">
        <v>92.202</v>
      </c>
      <c r="X176" s="22" t="n">
        <v>549.303</v>
      </c>
    </row>
    <row r="177">
      <c r="A177" s="20" t="inlineStr">
        <is>
          <t>기타</t>
        </is>
      </c>
      <c r="D177" s="22" t="n">
        <v>-26.895</v>
      </c>
      <c r="F177" s="22" t="n">
        <v>18.371</v>
      </c>
      <c r="H177" s="22" t="n">
        <v>-51.467</v>
      </c>
      <c r="J177" s="22" t="n">
        <v>-130.641</v>
      </c>
      <c r="L177" s="22" t="n">
        <v>7.401</v>
      </c>
      <c r="N177" s="22" t="n">
        <v>-13.956</v>
      </c>
      <c r="R177" s="22" t="n">
        <v>36.076</v>
      </c>
      <c r="S177" s="22" t="n">
        <v>24.226</v>
      </c>
      <c r="T177" s="22" t="n">
        <v>-60.078</v>
      </c>
      <c r="U177" s="22" t="n">
        <v>-47.093</v>
      </c>
      <c r="V177" s="22" t="n">
        <v>-26.895</v>
      </c>
      <c r="W177" s="22" t="n">
        <v>-51.467</v>
      </c>
      <c r="X177" s="22" t="n">
        <v>7.401</v>
      </c>
    </row>
    <row r="178">
      <c r="A178" s="20" t="inlineStr">
        <is>
          <t>소계</t>
        </is>
      </c>
      <c r="D178" s="22" t="n">
        <v>-1113.87</v>
      </c>
      <c r="F178" s="22" t="n">
        <v>261.127</v>
      </c>
      <c r="H178" s="22" t="n">
        <v>855.979</v>
      </c>
      <c r="J178" s="22" t="n">
        <v>498.093</v>
      </c>
      <c r="L178" s="22" t="n">
        <v>2172.509</v>
      </c>
      <c r="N178" s="22" t="n">
        <v>408.007</v>
      </c>
      <c r="R178" s="22" t="n">
        <v>-30.728</v>
      </c>
      <c r="S178" s="22" t="n">
        <v>620.803</v>
      </c>
      <c r="T178" s="22" t="n">
        <v>565.419</v>
      </c>
      <c r="U178" s="22" t="n">
        <v>185.449</v>
      </c>
      <c r="V178" s="22" t="n">
        <v>-1113.87</v>
      </c>
      <c r="W178" s="22" t="n">
        <v>855.979</v>
      </c>
      <c r="X178" s="22" t="n">
        <v>2172.509</v>
      </c>
    </row>
    <row r="179">
      <c r="A179" s="20" t="inlineStr">
        <is>
          <t>이자 수취</t>
        </is>
      </c>
      <c r="D179" s="22" t="n">
        <v>2.358</v>
      </c>
      <c r="F179" s="22" t="n">
        <v>0.327</v>
      </c>
      <c r="H179" s="22" t="n">
        <v>1.448</v>
      </c>
      <c r="J179" s="22" t="n">
        <v>3.094</v>
      </c>
      <c r="L179" s="22" t="n">
        <v>5.827</v>
      </c>
      <c r="N179" s="22" t="n">
        <v>3.043</v>
      </c>
      <c r="R179" s="22" t="n">
        <v>0.881</v>
      </c>
      <c r="S179" s="22" t="n">
        <v>0.273</v>
      </c>
      <c r="T179" s="22" t="n">
        <v>0.124</v>
      </c>
      <c r="U179" s="22" t="n">
        <v>1.529</v>
      </c>
      <c r="V179" s="22" t="n">
        <v>2.358</v>
      </c>
      <c r="W179" s="22" t="n">
        <v>1.448</v>
      </c>
      <c r="X179" s="22" t="n">
        <v>5.827</v>
      </c>
    </row>
    <row r="180">
      <c r="A180" s="20" t="inlineStr">
        <is>
          <t>이자 지급</t>
        </is>
      </c>
      <c r="D180" s="22" t="n">
        <v>-134.334</v>
      </c>
      <c r="F180" s="22" t="n">
        <v>-69.47199999999999</v>
      </c>
      <c r="H180" s="22" t="n">
        <v>-146.978</v>
      </c>
      <c r="J180" s="22" t="n">
        <v>-84.642</v>
      </c>
      <c r="L180" s="22" t="n">
        <v>-170.454</v>
      </c>
      <c r="N180" s="22" t="n">
        <v>-54.886</v>
      </c>
      <c r="R180" s="22" t="n">
        <v>-36.007</v>
      </c>
      <c r="S180" s="22" t="n">
        <v>-46.694</v>
      </c>
      <c r="T180" s="22" t="n">
        <v>-53.555</v>
      </c>
      <c r="U180" s="22" t="n">
        <v>-33.944</v>
      </c>
      <c r="V180" s="22" t="n">
        <v>-134.334</v>
      </c>
      <c r="W180" s="22" t="n">
        <v>-146.978</v>
      </c>
      <c r="X180" s="22" t="n">
        <v>-170.454</v>
      </c>
    </row>
    <row r="181">
      <c r="A181" s="20" t="inlineStr">
        <is>
          <t>지급수수료 지급</t>
        </is>
      </c>
      <c r="T181" s="22" t="n">
        <v>0</v>
      </c>
      <c r="U181" s="22" t="n">
        <v>-95.905</v>
      </c>
    </row>
    <row r="182">
      <c r="A182" s="20" t="inlineStr">
        <is>
          <t>보조금 수취</t>
        </is>
      </c>
      <c r="D182" s="22" t="n">
        <v>1.921</v>
      </c>
      <c r="H182" s="22" t="n">
        <v>81.432</v>
      </c>
      <c r="J182" s="22" t="n">
        <v>0</v>
      </c>
      <c r="L182" s="22" t="n">
        <v>0</v>
      </c>
      <c r="N182" s="22" t="n">
        <v>0.8080000000000001</v>
      </c>
      <c r="V182" s="22" t="n">
        <v>1.921</v>
      </c>
      <c r="W182" s="22" t="n">
        <v>81.432</v>
      </c>
      <c r="X182" s="22" t="n">
        <v>0</v>
      </c>
    </row>
    <row r="183">
      <c r="A183" s="20" t="inlineStr">
        <is>
          <t>보조금 수취</t>
        </is>
      </c>
      <c r="D183" s="22" t="n">
        <v>420.239</v>
      </c>
      <c r="F183" s="22" t="n">
        <v>5.009</v>
      </c>
      <c r="H183" s="22" t="n">
        <v>1.189</v>
      </c>
      <c r="J183" s="22" t="n">
        <v>94.194</v>
      </c>
      <c r="L183" s="22" t="n">
        <v>897.278</v>
      </c>
      <c r="N183" s="22" t="n">
        <v>429.686</v>
      </c>
      <c r="V183" s="22" t="n">
        <v>420.239</v>
      </c>
      <c r="W183" s="22" t="n">
        <v>1.189</v>
      </c>
      <c r="X183" s="22" t="n">
        <v>897.278</v>
      </c>
    </row>
    <row r="184">
      <c r="A184" s="20" t="inlineStr">
        <is>
          <t>법인세 납부</t>
        </is>
      </c>
      <c r="D184" s="22" t="n">
        <v>-130.088</v>
      </c>
      <c r="R184" s="22" t="n">
        <v>-60.242</v>
      </c>
      <c r="S184" s="22" t="n">
        <v>-6.085</v>
      </c>
      <c r="T184" s="22" t="n">
        <v>-68.607</v>
      </c>
      <c r="U184" s="22" t="n">
        <v>-176.384</v>
      </c>
      <c r="V184" s="22" t="n">
        <v>-130.088</v>
      </c>
    </row>
    <row r="185">
      <c r="A185" s="20" t="inlineStr">
        <is>
          <t>화해금 수취액</t>
        </is>
      </c>
      <c r="D185" s="22" t="n">
        <v>0</v>
      </c>
      <c r="F185" s="22" t="n">
        <v>37.455</v>
      </c>
      <c r="H185" s="22" t="n">
        <v>37.455</v>
      </c>
      <c r="J185" s="22" t="n">
        <v>0</v>
      </c>
      <c r="L185" s="22" t="n">
        <v>0</v>
      </c>
      <c r="V185" s="22" t="n">
        <v>0</v>
      </c>
      <c r="W185" s="22" t="n">
        <v>37.455</v>
      </c>
      <c r="X185" s="22" t="n">
        <v>0</v>
      </c>
    </row>
    <row r="186">
      <c r="A186" s="20" t="inlineStr">
        <is>
          <t>법인세 납부·환급</t>
        </is>
      </c>
      <c r="D186" s="22" t="n">
        <v>-130.088</v>
      </c>
      <c r="F186" s="22" t="n">
        <v>55.776</v>
      </c>
      <c r="H186" s="22" t="n">
        <v>54.637</v>
      </c>
      <c r="J186" s="22" t="n">
        <v>-30.986</v>
      </c>
      <c r="L186" s="22" t="n">
        <v>-58.288</v>
      </c>
      <c r="N186" s="22" t="n">
        <v>6.574</v>
      </c>
      <c r="V186" s="22" t="n">
        <v>-130.088</v>
      </c>
      <c r="W186" s="22" t="n">
        <v>54.637</v>
      </c>
      <c r="X186" s="22" t="n">
        <v>-58.288</v>
      </c>
    </row>
    <row r="187">
      <c r="A187" s="9" t="inlineStr">
        <is>
          <t>영업활동 현금흐름</t>
        </is>
      </c>
      <c r="D187" s="12" t="n">
        <v>-953.774</v>
      </c>
      <c r="F187" s="12" t="n">
        <v>290.223</v>
      </c>
      <c r="H187" s="12" t="n">
        <v>885.164</v>
      </c>
      <c r="J187" s="12" t="n">
        <v>479.754</v>
      </c>
      <c r="L187" s="12" t="n">
        <v>2846.872</v>
      </c>
      <c r="N187" s="12" t="n">
        <v>793.2329999999999</v>
      </c>
      <c r="R187" s="12" t="n">
        <v>-126.097</v>
      </c>
      <c r="S187" s="12" t="n">
        <v>568.296</v>
      </c>
      <c r="T187" s="12" t="n">
        <v>443.381</v>
      </c>
      <c r="U187" s="12" t="n">
        <v>-119.255</v>
      </c>
      <c r="V187" s="12" t="n">
        <v>-953.774</v>
      </c>
      <c r="W187" s="12" t="n">
        <v>885.164</v>
      </c>
      <c r="X187" s="12" t="n">
        <v>2846.872</v>
      </c>
    </row>
    <row r="188">
      <c r="A188" s="20" t="inlineStr">
        <is>
          <t>정기예금 예입</t>
        </is>
      </c>
      <c r="R188" s="22" t="n">
        <v>-10.4</v>
      </c>
      <c r="S188" s="22" t="n">
        <v>0</v>
      </c>
    </row>
    <row r="189">
      <c r="A189" s="20" t="inlineStr">
        <is>
          <t>정기예금 인출</t>
        </is>
      </c>
      <c r="R189" s="22" t="n">
        <v>56.401</v>
      </c>
      <c r="S189" s="22" t="n">
        <v>0</v>
      </c>
    </row>
    <row r="190">
      <c r="A190" s="20" t="inlineStr">
        <is>
          <t>유형자산 취득(설비투자)</t>
        </is>
      </c>
      <c r="D190" s="22" t="n">
        <v>-1676.452</v>
      </c>
      <c r="F190" s="22" t="n">
        <v>-990.172</v>
      </c>
      <c r="H190" s="22" t="n">
        <v>-1660.574</v>
      </c>
      <c r="J190" s="22" t="n">
        <v>-329.989</v>
      </c>
      <c r="L190" s="22" t="n">
        <v>-647.994</v>
      </c>
      <c r="N190" s="22" t="n">
        <v>-1657.198</v>
      </c>
      <c r="R190" s="22" t="n">
        <v>-498.187</v>
      </c>
      <c r="S190" s="22" t="n">
        <v>-244.946</v>
      </c>
      <c r="T190" s="22" t="n">
        <v>-789.7380000000001</v>
      </c>
      <c r="U190" s="22" t="n">
        <v>-1483.042</v>
      </c>
      <c r="V190" s="22" t="n">
        <v>-1676.452</v>
      </c>
      <c r="W190" s="22" t="n">
        <v>-1660.574</v>
      </c>
      <c r="X190" s="22" t="n">
        <v>-647.994</v>
      </c>
    </row>
    <row r="191">
      <c r="A191" s="20" t="inlineStr">
        <is>
          <t>유형자산 매각</t>
        </is>
      </c>
      <c r="D191" s="22" t="n">
        <v>300.511</v>
      </c>
      <c r="F191" s="22" t="n">
        <v>72.25</v>
      </c>
      <c r="H191" s="22" t="n">
        <v>146.686</v>
      </c>
      <c r="J191" s="22" t="n">
        <v>261.6</v>
      </c>
      <c r="L191" s="22" t="n">
        <v>328.222</v>
      </c>
      <c r="N191" s="22" t="n">
        <v>23.106</v>
      </c>
      <c r="T191" s="22" t="n">
        <v>0</v>
      </c>
      <c r="U191" s="22" t="n">
        <v>22.633</v>
      </c>
      <c r="V191" s="22" t="n">
        <v>300.511</v>
      </c>
      <c r="W191" s="22" t="n">
        <v>146.686</v>
      </c>
      <c r="X191" s="22" t="n">
        <v>328.222</v>
      </c>
    </row>
    <row r="192">
      <c r="A192" s="20" t="inlineStr">
        <is>
          <t>무형자산 취득</t>
        </is>
      </c>
      <c r="D192" s="22" t="n">
        <v>-90.54900000000001</v>
      </c>
      <c r="F192" s="22" t="n">
        <v>-7.26</v>
      </c>
      <c r="H192" s="22" t="n">
        <v>-48.335</v>
      </c>
      <c r="J192" s="22" t="n">
        <v>-14.391</v>
      </c>
      <c r="L192" s="22" t="n">
        <v>-27.852</v>
      </c>
      <c r="N192" s="22" t="n">
        <v>-41.248</v>
      </c>
      <c r="R192" s="22" t="n">
        <v>-46.763</v>
      </c>
      <c r="S192" s="22" t="n">
        <v>-42.094</v>
      </c>
      <c r="T192" s="22" t="n">
        <v>-36.466</v>
      </c>
      <c r="U192" s="22" t="n">
        <v>-13.13</v>
      </c>
      <c r="V192" s="22" t="n">
        <v>-90.54900000000001</v>
      </c>
      <c r="W192" s="22" t="n">
        <v>-48.335</v>
      </c>
      <c r="X192" s="22" t="n">
        <v>-27.852</v>
      </c>
    </row>
    <row r="193">
      <c r="A193" s="20" t="inlineStr">
        <is>
          <t>투자유가증권 취득</t>
        </is>
      </c>
      <c r="T193" s="22" t="n">
        <v>-8</v>
      </c>
      <c r="U193" s="22" t="n">
        <v>-58.985</v>
      </c>
    </row>
    <row r="194">
      <c r="A194" s="20" t="inlineStr">
        <is>
          <t>임차보증금·보증금 납입</t>
        </is>
      </c>
      <c r="D194" s="22" t="n">
        <v>-3.513</v>
      </c>
      <c r="F194" s="22" t="n">
        <v>-0.116</v>
      </c>
      <c r="H194" s="22" t="n">
        <v>-1.297</v>
      </c>
      <c r="J194" s="22" t="n">
        <v>0</v>
      </c>
      <c r="L194" s="22" t="n">
        <v>0</v>
      </c>
      <c r="R194" s="22" t="n">
        <v>-9.141</v>
      </c>
      <c r="S194" s="22" t="n">
        <v>-13.595</v>
      </c>
      <c r="T194" s="22" t="n">
        <v>-24.959</v>
      </c>
      <c r="U194" s="22" t="n">
        <v>-88.511</v>
      </c>
      <c r="V194" s="22" t="n">
        <v>-3.513</v>
      </c>
      <c r="W194" s="22" t="n">
        <v>-1.297</v>
      </c>
      <c r="X194" s="22" t="n">
        <v>0</v>
      </c>
    </row>
    <row r="195">
      <c r="A195" s="20" t="inlineStr">
        <is>
          <t>담보예금 예치 지출</t>
        </is>
      </c>
      <c r="R195" s="22" t="n">
        <v>0</v>
      </c>
      <c r="S195" s="22" t="n">
        <v>-40</v>
      </c>
      <c r="T195" s="22" t="n">
        <v>0</v>
      </c>
    </row>
    <row r="196">
      <c r="A196" s="20" t="inlineStr">
        <is>
          <t>담보예금 인출 수입</t>
        </is>
      </c>
      <c r="R196" s="22" t="n">
        <v>0</v>
      </c>
      <c r="S196" s="22" t="n">
        <v>40</v>
      </c>
      <c r="T196" s="22" t="n">
        <v>0</v>
      </c>
    </row>
    <row r="197">
      <c r="A197" s="20" t="inlineStr">
        <is>
          <t>담보예금 해지 수입</t>
        </is>
      </c>
      <c r="S197" s="22" t="n">
        <v>0</v>
      </c>
      <c r="T197" s="22" t="n">
        <v>10</v>
      </c>
      <c r="U197" s="22" t="n">
        <v>0</v>
      </c>
    </row>
    <row r="198">
      <c r="A198" s="20" t="inlineStr">
        <is>
          <t>투자유가증권 매각</t>
        </is>
      </c>
      <c r="J198" s="22" t="n">
        <v>0</v>
      </c>
      <c r="N198" s="22" t="n">
        <v>6</v>
      </c>
    </row>
    <row r="199">
      <c r="A199" s="20" t="inlineStr">
        <is>
          <t>임차보증금·보증금 회수</t>
        </is>
      </c>
      <c r="D199" s="22" t="n">
        <v>0</v>
      </c>
      <c r="F199" s="22" t="n">
        <v>0.079</v>
      </c>
      <c r="H199" s="22" t="n">
        <v>0.229</v>
      </c>
      <c r="J199" s="22" t="n">
        <v>2.73</v>
      </c>
      <c r="L199" s="22" t="n">
        <v>18.675</v>
      </c>
      <c r="N199" s="22" t="n">
        <v>0</v>
      </c>
      <c r="V199" s="22" t="n">
        <v>0</v>
      </c>
      <c r="W199" s="22" t="n">
        <v>0.229</v>
      </c>
      <c r="X199" s="22" t="n">
        <v>18.675</v>
      </c>
    </row>
    <row r="200">
      <c r="A200" s="20" t="inlineStr">
        <is>
          <t>대여</t>
        </is>
      </c>
      <c r="D200" s="22" t="n">
        <v>-1284.688</v>
      </c>
      <c r="F200" s="22" t="n">
        <v>0</v>
      </c>
      <c r="H200" s="22" t="n">
        <v>0</v>
      </c>
      <c r="V200" s="22" t="n">
        <v>-1284.688</v>
      </c>
      <c r="W200" s="22" t="n">
        <v>0</v>
      </c>
    </row>
    <row r="201">
      <c r="A201" s="20" t="inlineStr">
        <is>
          <t>종업원 대여</t>
        </is>
      </c>
      <c r="D201" s="22" t="n">
        <v>-1.559</v>
      </c>
      <c r="F201" s="22" t="n">
        <v>-0.164</v>
      </c>
      <c r="H201" s="22" t="n">
        <v>-0.518</v>
      </c>
      <c r="J201" s="22" t="n">
        <v>-1.634</v>
      </c>
      <c r="L201" s="22" t="n">
        <v>-1.721</v>
      </c>
      <c r="N201" s="22" t="n">
        <v>0</v>
      </c>
      <c r="V201" s="22" t="n">
        <v>-1.559</v>
      </c>
      <c r="W201" s="22" t="n">
        <v>-0.518</v>
      </c>
      <c r="X201" s="22" t="n">
        <v>-1.721</v>
      </c>
    </row>
    <row r="202">
      <c r="A202" s="20" t="inlineStr">
        <is>
          <t>종업원 대여금 회수</t>
        </is>
      </c>
      <c r="D202" s="22" t="n">
        <v>3.217</v>
      </c>
      <c r="F202" s="22" t="n">
        <v>0.896</v>
      </c>
      <c r="H202" s="22" t="n">
        <v>1.683</v>
      </c>
      <c r="J202" s="22" t="n">
        <v>0.426</v>
      </c>
      <c r="L202" s="22" t="n">
        <v>1.28</v>
      </c>
      <c r="N202" s="22" t="n">
        <v>0</v>
      </c>
      <c r="V202" s="22" t="n">
        <v>3.217</v>
      </c>
      <c r="W202" s="22" t="n">
        <v>1.683</v>
      </c>
      <c r="X202" s="22" t="n">
        <v>1.28</v>
      </c>
    </row>
    <row r="203">
      <c r="A203" s="20" t="inlineStr">
        <is>
          <t>연결범위 변경 자회사 주식 취득</t>
        </is>
      </c>
      <c r="D203" s="22" t="n">
        <v>-3386.91</v>
      </c>
      <c r="F203" s="22" t="n">
        <v>0</v>
      </c>
      <c r="H203" s="22" t="n">
        <v>0</v>
      </c>
      <c r="V203" s="22" t="n">
        <v>-3386.91</v>
      </c>
      <c r="W203" s="22" t="n">
        <v>0</v>
      </c>
    </row>
    <row r="204">
      <c r="A204" s="20" t="inlineStr">
        <is>
          <t>구속성 예금 예치 지출</t>
        </is>
      </c>
      <c r="F204" s="22" t="n">
        <v>0</v>
      </c>
    </row>
    <row r="205">
      <c r="A205" s="20" t="inlineStr">
        <is>
          <t>연결범위 변경 자회사 주식 매각(지출)</t>
        </is>
      </c>
      <c r="H205" s="22" t="n">
        <v>0</v>
      </c>
      <c r="L205" s="22" t="n">
        <v>-360.189</v>
      </c>
      <c r="W205" s="22" t="n">
        <v>0</v>
      </c>
      <c r="X205" s="22" t="n">
        <v>-360.189</v>
      </c>
    </row>
    <row r="206">
      <c r="A206" s="20" t="inlineStr">
        <is>
          <t>구속성 예금 인출 수입</t>
        </is>
      </c>
      <c r="D206" s="22" t="n">
        <v>1.288</v>
      </c>
      <c r="H206" s="22" t="n">
        <v>0</v>
      </c>
      <c r="L206" s="22" t="n">
        <v>5.658</v>
      </c>
      <c r="V206" s="22" t="n">
        <v>1.288</v>
      </c>
      <c r="W206" s="22" t="n">
        <v>0</v>
      </c>
      <c r="X206" s="22" t="n">
        <v>5.658</v>
      </c>
    </row>
    <row r="207">
      <c r="A207" s="20" t="inlineStr">
        <is>
          <t>기타</t>
        </is>
      </c>
      <c r="D207" s="22" t="n">
        <v>-4.227</v>
      </c>
      <c r="H207" s="22" t="n">
        <v>17.295</v>
      </c>
      <c r="L207" s="22" t="n">
        <v>0</v>
      </c>
      <c r="T207" s="22" t="n">
        <v>0</v>
      </c>
      <c r="U207" s="22" t="n">
        <v>-111.219</v>
      </c>
      <c r="V207" s="22" t="n">
        <v>-4.227</v>
      </c>
      <c r="W207" s="22" t="n">
        <v>17.295</v>
      </c>
      <c r="X207" s="22" t="n">
        <v>0</v>
      </c>
    </row>
    <row r="208">
      <c r="A208" s="20" t="inlineStr">
        <is>
          <t>연결범위 변경 자회사 주식 매각</t>
        </is>
      </c>
      <c r="J208" s="22" t="n">
        <v>0</v>
      </c>
      <c r="N208" s="22" t="n">
        <v>1000</v>
      </c>
    </row>
    <row r="209">
      <c r="A209" s="9" t="inlineStr">
        <is>
          <t>투자활동 현금흐름</t>
        </is>
      </c>
      <c r="D209" s="12" t="n">
        <v>-6142.884</v>
      </c>
      <c r="F209" s="12" t="n">
        <v>-924.486</v>
      </c>
      <c r="H209" s="12" t="n">
        <v>-1544.831</v>
      </c>
      <c r="J209" s="12" t="n">
        <v>-81.258</v>
      </c>
      <c r="L209" s="12" t="n">
        <v>-683.92</v>
      </c>
      <c r="N209" s="12" t="n">
        <v>-669.34</v>
      </c>
      <c r="R209" s="12" t="n">
        <v>-508.092</v>
      </c>
      <c r="S209" s="12" t="n">
        <v>-300.636</v>
      </c>
      <c r="T209" s="12" t="n">
        <v>-849.165</v>
      </c>
      <c r="U209" s="12" t="n">
        <v>-1732.255</v>
      </c>
      <c r="V209" s="12" t="n">
        <v>-6142.884</v>
      </c>
      <c r="W209" s="12" t="n">
        <v>-1544.831</v>
      </c>
      <c r="X209" s="12" t="n">
        <v>-683.92</v>
      </c>
    </row>
    <row r="210">
      <c r="A210" s="20" t="inlineStr">
        <is>
          <t>단기차입금 순증감</t>
        </is>
      </c>
      <c r="D210" s="22" t="n">
        <v>900</v>
      </c>
      <c r="F210" s="22" t="n">
        <v>1200</v>
      </c>
      <c r="H210" s="22" t="n">
        <v>1400</v>
      </c>
      <c r="J210" s="22" t="n">
        <v>-100</v>
      </c>
      <c r="L210" s="22" t="n">
        <v>200</v>
      </c>
      <c r="N210" s="22" t="n">
        <v>-500</v>
      </c>
      <c r="R210" s="22" t="n">
        <v>250</v>
      </c>
      <c r="S210" s="22" t="n">
        <v>-150</v>
      </c>
      <c r="T210" s="22" t="n">
        <v>-850</v>
      </c>
      <c r="U210" s="22" t="n">
        <v>600</v>
      </c>
      <c r="V210" s="22" t="n">
        <v>900</v>
      </c>
      <c r="W210" s="22" t="n">
        <v>1400</v>
      </c>
      <c r="X210" s="22" t="n">
        <v>200</v>
      </c>
    </row>
    <row r="211">
      <c r="A211" s="20" t="inlineStr">
        <is>
          <t>장기차입</t>
        </is>
      </c>
      <c r="D211" s="22" t="n">
        <v>7100</v>
      </c>
      <c r="F211" s="22" t="n">
        <v>320</v>
      </c>
      <c r="H211" s="22" t="n">
        <v>620</v>
      </c>
      <c r="J211" s="22" t="n">
        <v>370</v>
      </c>
      <c r="L211" s="22" t="n">
        <v>370</v>
      </c>
      <c r="N211" s="22" t="n">
        <v>754</v>
      </c>
      <c r="R211" s="22" t="n">
        <v>444</v>
      </c>
      <c r="S211" s="22" t="n">
        <v>1016.5</v>
      </c>
      <c r="T211" s="22" t="n">
        <v>0</v>
      </c>
      <c r="U211" s="22" t="n">
        <v>1200</v>
      </c>
      <c r="V211" s="22" t="n">
        <v>7100</v>
      </c>
      <c r="W211" s="22" t="n">
        <v>620</v>
      </c>
      <c r="X211" s="22" t="n">
        <v>370</v>
      </c>
    </row>
    <row r="212">
      <c r="A212" s="20" t="inlineStr">
        <is>
          <t>장기차입금 상환</t>
        </is>
      </c>
      <c r="D212" s="22" t="n">
        <v>-3501.081</v>
      </c>
      <c r="F212" s="22" t="n">
        <v>-419.923</v>
      </c>
      <c r="H212" s="22" t="n">
        <v>-918.846</v>
      </c>
      <c r="J212" s="22" t="n">
        <v>-635.538</v>
      </c>
      <c r="L212" s="22" t="n">
        <v>-2977.276</v>
      </c>
      <c r="N212" s="22" t="n">
        <v>-738.059</v>
      </c>
      <c r="R212" s="22" t="n">
        <v>-339.986</v>
      </c>
      <c r="S212" s="22" t="n">
        <v>-547.364</v>
      </c>
      <c r="T212" s="22" t="n">
        <v>-275.972</v>
      </c>
      <c r="U212" s="22" t="n">
        <v>-725.7569999999999</v>
      </c>
      <c r="V212" s="22" t="n">
        <v>-3501.081</v>
      </c>
      <c r="W212" s="22" t="n">
        <v>-918.846</v>
      </c>
      <c r="X212" s="22" t="n">
        <v>-2977.276</v>
      </c>
    </row>
    <row r="213">
      <c r="A213" s="20" t="inlineStr">
        <is>
          <t>사채 발행</t>
        </is>
      </c>
      <c r="D213" s="22" t="n">
        <v>147.45</v>
      </c>
      <c r="F213" s="22" t="n">
        <v>0</v>
      </c>
      <c r="H213" s="22" t="n">
        <v>0</v>
      </c>
      <c r="V213" s="22" t="n">
        <v>147.45</v>
      </c>
      <c r="W213" s="22" t="n">
        <v>0</v>
      </c>
    </row>
    <row r="214">
      <c r="A214" s="20" t="inlineStr">
        <is>
          <t>사채 상환</t>
        </is>
      </c>
      <c r="D214" s="22" t="n">
        <v>-157</v>
      </c>
      <c r="F214" s="22" t="n">
        <v>-3.5</v>
      </c>
      <c r="H214" s="22" t="n">
        <v>-7</v>
      </c>
      <c r="J214" s="22" t="n">
        <v>-4.5</v>
      </c>
      <c r="L214" s="22" t="n">
        <v>-4.5</v>
      </c>
      <c r="N214" s="22" t="n">
        <v>0</v>
      </c>
      <c r="R214" s="22" t="n">
        <v>-25.2</v>
      </c>
      <c r="S214" s="22" t="n">
        <v>-25.8</v>
      </c>
      <c r="T214" s="22" t="n">
        <v>-23</v>
      </c>
      <c r="U214" s="22" t="n">
        <v>-7</v>
      </c>
      <c r="V214" s="22" t="n">
        <v>-157</v>
      </c>
      <c r="W214" s="22" t="n">
        <v>-7</v>
      </c>
      <c r="X214" s="22" t="n">
        <v>-4.5</v>
      </c>
    </row>
    <row r="215">
      <c r="A215" s="20" t="inlineStr">
        <is>
          <t>리스부채 상환</t>
        </is>
      </c>
      <c r="D215" s="22" t="n">
        <v>-1.805</v>
      </c>
      <c r="F215" s="22" t="n">
        <v>-0.854</v>
      </c>
      <c r="H215" s="22" t="n">
        <v>-1.805</v>
      </c>
      <c r="J215" s="22" t="n">
        <v>-0.615</v>
      </c>
      <c r="L215" s="22" t="n">
        <v>-3.769</v>
      </c>
      <c r="N215" s="22" t="n">
        <v>-4.422</v>
      </c>
      <c r="R215" s="22" t="n">
        <v>-3.435</v>
      </c>
      <c r="S215" s="22" t="n">
        <v>-3.754</v>
      </c>
      <c r="T215" s="22" t="n">
        <v>-3.096</v>
      </c>
      <c r="U215" s="22" t="n">
        <v>-3.849</v>
      </c>
      <c r="V215" s="22" t="n">
        <v>-1.805</v>
      </c>
      <c r="W215" s="22" t="n">
        <v>-1.805</v>
      </c>
      <c r="X215" s="22" t="n">
        <v>-3.769</v>
      </c>
    </row>
    <row r="216">
      <c r="A216" s="20" t="inlineStr">
        <is>
          <t>할부채무 상환 지출</t>
        </is>
      </c>
      <c r="D216" s="22" t="n">
        <v>-0.719</v>
      </c>
      <c r="F216" s="22" t="n">
        <v>0</v>
      </c>
      <c r="H216" s="22" t="n">
        <v>0</v>
      </c>
      <c r="R216" s="22" t="n">
        <v>-60.297</v>
      </c>
      <c r="S216" s="22" t="n">
        <v>-59.747</v>
      </c>
      <c r="T216" s="22" t="n">
        <v>-37.578</v>
      </c>
      <c r="U216" s="22" t="n">
        <v>-24.088</v>
      </c>
      <c r="V216" s="22" t="n">
        <v>-0.719</v>
      </c>
      <c r="W216" s="22" t="n">
        <v>0</v>
      </c>
    </row>
    <row r="217">
      <c r="A217" s="20" t="inlineStr">
        <is>
          <t>자기주식 취득</t>
        </is>
      </c>
      <c r="D217" s="22" t="n">
        <v>-0.28</v>
      </c>
      <c r="F217" s="22" t="n">
        <v>0</v>
      </c>
      <c r="H217" s="22" t="n">
        <v>0</v>
      </c>
      <c r="S217" s="22" t="n">
        <v>0</v>
      </c>
      <c r="T217" s="22" t="n">
        <v>-0.189</v>
      </c>
      <c r="U217" s="22" t="n">
        <v>-1.122</v>
      </c>
      <c r="V217" s="22" t="n">
        <v>-0.28</v>
      </c>
      <c r="W217" s="22" t="n">
        <v>0</v>
      </c>
    </row>
    <row r="218">
      <c r="A218" s="20" t="inlineStr">
        <is>
          <t>주식 발행</t>
        </is>
      </c>
      <c r="D218" s="22" t="n">
        <v>2863.72</v>
      </c>
      <c r="F218" s="22" t="n">
        <v>114.279</v>
      </c>
      <c r="H218" s="22" t="n">
        <v>223.358</v>
      </c>
      <c r="J218" s="22" t="n">
        <v>169.334</v>
      </c>
      <c r="L218" s="22" t="n">
        <v>174.751</v>
      </c>
      <c r="N218" s="22" t="n">
        <v>22.036</v>
      </c>
      <c r="R218" s="22" t="n">
        <v>68</v>
      </c>
      <c r="S218" s="22" t="n">
        <v>11.55</v>
      </c>
      <c r="T218" s="22" t="n">
        <v>2565.786</v>
      </c>
      <c r="U218" s="22" t="n">
        <v>83.18899999999999</v>
      </c>
      <c r="V218" s="22" t="n">
        <v>2863.72</v>
      </c>
      <c r="W218" s="22" t="n">
        <v>223.358</v>
      </c>
      <c r="X218" s="22" t="n">
        <v>174.751</v>
      </c>
    </row>
    <row r="219">
      <c r="A219" s="20" t="inlineStr">
        <is>
          <t>신주예약권 발행</t>
        </is>
      </c>
      <c r="D219" s="22" t="n">
        <v>0</v>
      </c>
      <c r="H219" s="22" t="n">
        <v>23.078</v>
      </c>
      <c r="J219" s="22" t="n">
        <v>0</v>
      </c>
      <c r="L219" s="22" t="n">
        <v>0</v>
      </c>
      <c r="N219" s="22" t="n">
        <v>0.33</v>
      </c>
      <c r="V219" s="22" t="n">
        <v>0</v>
      </c>
      <c r="W219" s="22" t="n">
        <v>23.078</v>
      </c>
      <c r="X219" s="22" t="n">
        <v>0</v>
      </c>
    </row>
    <row r="220">
      <c r="A220" s="20" t="inlineStr">
        <is>
          <t>자기 신주예약권 취득 지출</t>
        </is>
      </c>
      <c r="D220" s="22" t="n">
        <v>0</v>
      </c>
      <c r="H220" s="22" t="n">
        <v>-22.068</v>
      </c>
      <c r="L220" s="22" t="n">
        <v>0</v>
      </c>
      <c r="V220" s="22" t="n">
        <v>0</v>
      </c>
      <c r="W220" s="22" t="n">
        <v>-22.068</v>
      </c>
      <c r="X220" s="22" t="n">
        <v>0</v>
      </c>
    </row>
    <row r="221">
      <c r="A221" s="20" t="inlineStr">
        <is>
          <t>기타</t>
        </is>
      </c>
      <c r="D221" s="22" t="n">
        <v>-49.788</v>
      </c>
      <c r="F221" s="22" t="n">
        <v>-35.907</v>
      </c>
      <c r="H221" s="22" t="n">
        <v>-39.038</v>
      </c>
      <c r="J221" s="22" t="n">
        <v>-9.6</v>
      </c>
      <c r="L221" s="22" t="n">
        <v>-11.342</v>
      </c>
      <c r="N221" s="22" t="n">
        <v>-35.14</v>
      </c>
      <c r="V221" s="22" t="n">
        <v>-49.788</v>
      </c>
      <c r="W221" s="22" t="n">
        <v>-39.038</v>
      </c>
      <c r="X221" s="22" t="n">
        <v>-11.342</v>
      </c>
    </row>
    <row r="222">
      <c r="A222" s="9" t="inlineStr">
        <is>
          <t>재무활동 현금흐름</t>
        </is>
      </c>
      <c r="D222" s="12" t="n">
        <v>7300.495</v>
      </c>
      <c r="F222" s="12" t="n">
        <v>1174.094</v>
      </c>
      <c r="H222" s="12" t="n">
        <v>1277.677</v>
      </c>
      <c r="J222" s="12" t="n">
        <v>-210.919</v>
      </c>
      <c r="L222" s="12" t="n">
        <v>-2252.136</v>
      </c>
      <c r="N222" s="12" t="n">
        <v>-501.255</v>
      </c>
      <c r="R222" s="12" t="n">
        <v>333.08</v>
      </c>
      <c r="S222" s="12" t="n">
        <v>241.384</v>
      </c>
      <c r="T222" s="12" t="n">
        <v>1375.95</v>
      </c>
      <c r="U222" s="12" t="n">
        <v>1121.372</v>
      </c>
      <c r="V222" s="12" t="n">
        <v>7300.495</v>
      </c>
      <c r="W222" s="12" t="n">
        <v>1277.677</v>
      </c>
      <c r="X222" s="12" t="n">
        <v>-2252.136</v>
      </c>
    </row>
    <row r="223">
      <c r="A223" s="20" t="inlineStr">
        <is>
          <t>현금성자산 환산차이</t>
        </is>
      </c>
      <c r="D223" s="22" t="n">
        <v>-15.268</v>
      </c>
      <c r="F223" s="22" t="n">
        <v>7.009</v>
      </c>
      <c r="H223" s="22" t="n">
        <v>-4.66</v>
      </c>
      <c r="J223" s="22" t="n">
        <v>-1.02</v>
      </c>
      <c r="L223" s="22" t="n">
        <v>136.635</v>
      </c>
      <c r="N223" s="22" t="n">
        <v>11.474</v>
      </c>
      <c r="R223" s="22" t="n">
        <v>-1.127</v>
      </c>
      <c r="S223" s="22" t="n">
        <v>-3.178</v>
      </c>
      <c r="T223" s="22" t="n">
        <v>4.84</v>
      </c>
      <c r="U223" s="22" t="n">
        <v>21.795</v>
      </c>
      <c r="V223" s="22" t="n">
        <v>-15.268</v>
      </c>
      <c r="W223" s="22" t="n">
        <v>-4.66</v>
      </c>
      <c r="X223" s="22" t="n">
        <v>136.635</v>
      </c>
    </row>
    <row r="224">
      <c r="A224" s="20" t="inlineStr">
        <is>
          <t>현금성자산 증감</t>
        </is>
      </c>
      <c r="D224" s="22" t="n">
        <v>188.567</v>
      </c>
      <c r="F224" s="22" t="n">
        <v>546.841</v>
      </c>
      <c r="H224" s="22" t="n">
        <v>613.349</v>
      </c>
      <c r="J224" s="22" t="n">
        <v>186.555</v>
      </c>
      <c r="L224" s="22" t="n">
        <v>47.452</v>
      </c>
      <c r="N224" s="22" t="n">
        <v>-365.887</v>
      </c>
      <c r="R224" s="22" t="n">
        <v>-302.236</v>
      </c>
      <c r="S224" s="22" t="n">
        <v>505.865</v>
      </c>
      <c r="T224" s="22" t="n">
        <v>975.0069999999999</v>
      </c>
      <c r="U224" s="22" t="n">
        <v>-708.343</v>
      </c>
      <c r="V224" s="22" t="n">
        <v>188.567</v>
      </c>
      <c r="W224" s="22" t="n">
        <v>613.349</v>
      </c>
      <c r="X224" s="22" t="n">
        <v>47.452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옥사이드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8293.462</v>
      </c>
      <c r="D5" s="12" t="n">
        <v>8503.011</v>
      </c>
      <c r="E5" s="12" t="n">
        <v>7766.505</v>
      </c>
      <c r="F5" s="12" t="n">
        <v>7199.934</v>
      </c>
      <c r="G5" s="12" t="n">
        <v>6890.059</v>
      </c>
      <c r="H5" s="11" t="n">
        <v>4761.103</v>
      </c>
      <c r="I5" s="12" t="n">
        <v>5472.52</v>
      </c>
      <c r="J5" s="12" t="n">
        <v>7559.106</v>
      </c>
      <c r="K5" s="12" t="n">
        <v>8524.155000000001</v>
      </c>
      <c r="L5" s="12" t="n">
        <v>7766.505</v>
      </c>
    </row>
    <row r="6">
      <c r="A6" s="20" t="inlineStr">
        <is>
          <t>현금및현금성자산</t>
        </is>
      </c>
      <c r="B6" s="10" t="n"/>
      <c r="C6" s="21" t="n">
        <v>2432.023</v>
      </c>
      <c r="D6" s="22" t="n">
        <v>2647.575</v>
      </c>
      <c r="E6" s="22" t="n">
        <v>2287.394</v>
      </c>
      <c r="F6" s="22" t="n">
        <v>1951.306</v>
      </c>
      <c r="G6" s="22" t="n">
        <v>1921.507</v>
      </c>
      <c r="H6" s="21" t="n">
        <v>2146.368</v>
      </c>
      <c r="I6" s="22" t="n">
        <v>1438.024</v>
      </c>
      <c r="J6" s="22" t="n">
        <v>1631.297</v>
      </c>
      <c r="K6" s="22" t="n">
        <v>2245.402</v>
      </c>
      <c r="L6" s="22" t="n">
        <v>2287.394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1138.744</v>
      </c>
      <c r="D8" s="22" t="n">
        <v>1134.559</v>
      </c>
      <c r="E8" s="22" t="n">
        <v>1280.659</v>
      </c>
      <c r="F8" s="22" t="n">
        <v>642.376</v>
      </c>
      <c r="G8" s="22" t="n">
        <v>1249.14</v>
      </c>
      <c r="H8" s="21" t="n">
        <v>622.684</v>
      </c>
      <c r="I8" s="22" t="n">
        <v>628.207</v>
      </c>
      <c r="J8" s="22" t="n">
        <v>1349.647</v>
      </c>
      <c r="K8" s="22" t="n">
        <v>1783.867</v>
      </c>
      <c r="L8" s="22" t="n">
        <v>1280.659</v>
      </c>
    </row>
    <row r="9">
      <c r="A9" s="20" t="inlineStr">
        <is>
          <t>재고자산</t>
        </is>
      </c>
      <c r="B9" s="10" t="n"/>
      <c r="C9" s="21" t="n">
        <v>4209.959</v>
      </c>
      <c r="D9" s="22" t="n">
        <v>4306.076</v>
      </c>
      <c r="E9" s="22" t="n">
        <v>2830.518</v>
      </c>
      <c r="F9" s="22" t="n">
        <v>3039.389</v>
      </c>
      <c r="G9" s="22" t="n">
        <v>3159.821</v>
      </c>
      <c r="H9" s="21" t="n">
        <v>1799.249</v>
      </c>
      <c r="I9" s="22" t="n">
        <v>2956.559</v>
      </c>
      <c r="J9" s="22" t="n">
        <v>4110.263</v>
      </c>
      <c r="K9" s="22" t="n">
        <v>4102.579</v>
      </c>
      <c r="L9" s="22" t="n">
        <v>2830.518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8991.690000000001</v>
      </c>
      <c r="D11" s="12" t="n">
        <v>8826.184999999999</v>
      </c>
      <c r="E11" s="12" t="n">
        <v>7006.646</v>
      </c>
      <c r="F11" s="12" t="n">
        <v>7320.844</v>
      </c>
      <c r="G11" s="12" t="n">
        <v>8504.700000000001</v>
      </c>
      <c r="H11" s="11" t="n">
        <v>3949.894</v>
      </c>
      <c r="I11" s="12" t="n">
        <v>5319.02</v>
      </c>
      <c r="J11" s="12" t="n">
        <v>11692.604</v>
      </c>
      <c r="K11" s="12" t="n">
        <v>9681.929</v>
      </c>
      <c r="L11" s="12" t="n">
        <v>7006.646</v>
      </c>
    </row>
    <row r="12">
      <c r="A12" s="20" t="inlineStr">
        <is>
          <t>유형자산</t>
        </is>
      </c>
      <c r="B12" s="10" t="n"/>
      <c r="C12" s="21" t="n">
        <v>8281.605</v>
      </c>
      <c r="D12" s="22" t="n">
        <v>8109.589</v>
      </c>
      <c r="E12" s="22" t="n">
        <v>5894.181</v>
      </c>
      <c r="F12" s="22" t="n">
        <v>6196.964</v>
      </c>
      <c r="G12" s="22" t="n">
        <v>7360.392</v>
      </c>
      <c r="H12" s="21" t="n">
        <v>3575.119</v>
      </c>
      <c r="I12" s="22" t="n">
        <v>4565.635</v>
      </c>
      <c r="J12" s="22" t="n">
        <v>8131.626</v>
      </c>
      <c r="K12" s="22" t="n">
        <v>8905.661</v>
      </c>
      <c r="L12" s="22" t="n">
        <v>5894.181</v>
      </c>
    </row>
    <row r="13">
      <c r="A13" s="20" t="inlineStr">
        <is>
          <t>무형자산</t>
        </is>
      </c>
      <c r="B13" s="10" t="n"/>
      <c r="C13" s="21" t="n">
        <v>279.882</v>
      </c>
      <c r="D13" s="22" t="n">
        <v>277.834</v>
      </c>
      <c r="E13" s="22" t="n">
        <v>135.439</v>
      </c>
      <c r="F13" s="22" t="n">
        <v>167.946</v>
      </c>
      <c r="G13" s="22" t="n">
        <v>179.788</v>
      </c>
      <c r="H13" s="21" t="n">
        <v>77.88500000000001</v>
      </c>
      <c r="I13" s="22" t="n">
        <v>68.393</v>
      </c>
      <c r="J13" s="22" t="n">
        <v>3043.983</v>
      </c>
      <c r="K13" s="22" t="n">
        <v>286.646</v>
      </c>
      <c r="L13" s="22" t="n">
        <v>135.439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17285.153</v>
      </c>
      <c r="D16" s="12" t="n">
        <v>17329.196</v>
      </c>
      <c r="E16" s="12" t="n">
        <v>14773.151</v>
      </c>
      <c r="F16" s="12" t="n">
        <v>14520.779</v>
      </c>
      <c r="G16" s="12" t="n">
        <v>15394.76</v>
      </c>
      <c r="H16" s="11" t="n">
        <v>8710.998</v>
      </c>
      <c r="I16" s="12" t="n">
        <v>10791.54</v>
      </c>
      <c r="J16" s="12" t="n">
        <v>19251.711</v>
      </c>
      <c r="K16" s="12" t="n">
        <v>18206.085</v>
      </c>
      <c r="L16" s="12" t="n">
        <v>14773.151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5954.574</v>
      </c>
      <c r="D18" s="12" t="n">
        <v>6156.425</v>
      </c>
      <c r="E18" s="12" t="n">
        <v>6592.547</v>
      </c>
      <c r="F18" s="12" t="n">
        <v>6179.975</v>
      </c>
      <c r="G18" s="12" t="n">
        <v>6270.604</v>
      </c>
      <c r="H18" s="11" t="n">
        <v>1785.653</v>
      </c>
      <c r="I18" s="12" t="n">
        <v>3040.852</v>
      </c>
      <c r="J18" s="12" t="n">
        <v>4602.253</v>
      </c>
      <c r="K18" s="12" t="n">
        <v>6346.888</v>
      </c>
      <c r="L18" s="12" t="n">
        <v>6592.547</v>
      </c>
    </row>
    <row r="19">
      <c r="A19" s="20" t="inlineStr">
        <is>
          <t>매입채무</t>
        </is>
      </c>
      <c r="B19" s="10" t="n"/>
      <c r="C19" s="21" t="n">
        <v>512.898</v>
      </c>
      <c r="D19" s="22" t="n">
        <v>475.317</v>
      </c>
      <c r="E19" s="22" t="n">
        <v>827.602</v>
      </c>
      <c r="F19" s="22" t="n">
        <v>479.54</v>
      </c>
      <c r="G19" s="22" t="n">
        <v>541.688</v>
      </c>
      <c r="H19" s="21" t="n">
        <v>266.993</v>
      </c>
      <c r="I19" s="22" t="n">
        <v>374.226</v>
      </c>
      <c r="J19" s="22" t="n">
        <v>261.69</v>
      </c>
      <c r="K19" s="22" t="n">
        <v>366.305</v>
      </c>
      <c r="L19" s="22" t="n">
        <v>827.602</v>
      </c>
    </row>
    <row r="20">
      <c r="A20" s="20" t="inlineStr">
        <is>
          <t>단기차입금</t>
        </is>
      </c>
      <c r="B20" s="10" t="n"/>
      <c r="C20" s="21" t="n">
        <v>2800</v>
      </c>
      <c r="D20" s="22" t="n">
        <v>2800</v>
      </c>
      <c r="E20" s="22" t="n">
        <v>3100</v>
      </c>
      <c r="F20" s="22" t="n">
        <v>2900</v>
      </c>
      <c r="G20" s="22" t="n">
        <v>2600</v>
      </c>
      <c r="H20" s="21" t="n">
        <v>0</v>
      </c>
      <c r="I20" s="22" t="n">
        <v>600</v>
      </c>
      <c r="J20" s="22" t="n">
        <v>1500</v>
      </c>
      <c r="K20" s="22" t="n">
        <v>2900</v>
      </c>
      <c r="L20" s="22" t="n">
        <v>3100</v>
      </c>
    </row>
    <row r="21">
      <c r="A21" s="20" t="inlineStr">
        <is>
          <t>유동성장기부채</t>
        </is>
      </c>
      <c r="B21" s="10" t="n"/>
      <c r="C21" s="21" t="n">
        <v>1163.38</v>
      </c>
      <c r="D21" s="22" t="n">
        <v>1167.774</v>
      </c>
      <c r="E21" s="22" t="n">
        <v>984.948</v>
      </c>
      <c r="F21" s="22" t="n">
        <v>720.567</v>
      </c>
      <c r="G21" s="22" t="n">
        <v>707.925</v>
      </c>
      <c r="H21" s="21" t="n">
        <v>279.326</v>
      </c>
      <c r="I21" s="22" t="n">
        <v>554.5359999999999</v>
      </c>
      <c r="J21" s="22" t="n">
        <v>912.866</v>
      </c>
      <c r="K21" s="22" t="n">
        <v>1107.866</v>
      </c>
      <c r="L21" s="22" t="n">
        <v>984.948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6053.098</v>
      </c>
      <c r="D23" s="12" t="n">
        <v>5851.852</v>
      </c>
      <c r="E23" s="12" t="n">
        <v>3485.614</v>
      </c>
      <c r="F23" s="12" t="n">
        <v>3557.919</v>
      </c>
      <c r="G23" s="12" t="n">
        <v>3774.771</v>
      </c>
      <c r="H23" s="11" t="n">
        <v>2337.913</v>
      </c>
      <c r="I23" s="12" t="n">
        <v>2522.555</v>
      </c>
      <c r="J23" s="12" t="n">
        <v>7039.032</v>
      </c>
      <c r="K23" s="12" t="n">
        <v>6446.314</v>
      </c>
      <c r="L23" s="12" t="n">
        <v>3485.614</v>
      </c>
    </row>
    <row r="24">
      <c r="A24" s="20" t="inlineStr">
        <is>
          <t>장기차입금</t>
        </is>
      </c>
      <c r="B24" s="10" t="n"/>
      <c r="C24" s="21" t="n">
        <v>5874.402</v>
      </c>
      <c r="D24" s="22" t="n">
        <v>5631.091</v>
      </c>
      <c r="E24" s="22" t="n">
        <v>3307.697</v>
      </c>
      <c r="F24" s="22" t="n">
        <v>3381.906</v>
      </c>
      <c r="G24" s="22" t="n">
        <v>3600.661</v>
      </c>
      <c r="H24" s="21" t="n">
        <v>2157.857</v>
      </c>
      <c r="I24" s="22" t="n">
        <v>2506.89</v>
      </c>
      <c r="J24" s="22" t="n">
        <v>6638.761</v>
      </c>
      <c r="K24" s="22" t="n">
        <v>6211.368</v>
      </c>
      <c r="L24" s="22" t="n">
        <v>3307.697</v>
      </c>
    </row>
    <row r="25">
      <c r="A25" s="20" t="inlineStr">
        <is>
          <t>사채</t>
        </is>
      </c>
      <c r="B25" s="10" t="n"/>
      <c r="C25" s="21" t="n">
        <v>150</v>
      </c>
      <c r="D25" s="22" t="n">
        <v>150</v>
      </c>
      <c r="E25" s="22" t="n">
        <v>150</v>
      </c>
      <c r="F25" s="22" t="n">
        <v>150</v>
      </c>
      <c r="G25" s="22" t="n">
        <v>150</v>
      </c>
      <c r="H25" s="21" t="n">
        <v>168.5</v>
      </c>
      <c r="I25" s="22" t="n">
        <v>11.5</v>
      </c>
      <c r="J25" s="22" t="n">
        <v>154.5</v>
      </c>
      <c r="K25" s="22" t="n">
        <v>150</v>
      </c>
      <c r="L25" s="22" t="n">
        <v>150</v>
      </c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12007.673</v>
      </c>
      <c r="D27" s="12" t="n">
        <v>12008.277</v>
      </c>
      <c r="E27" s="12" t="n">
        <v>10078.161</v>
      </c>
      <c r="F27" s="12" t="n">
        <v>9737.895</v>
      </c>
      <c r="G27" s="12" t="n">
        <v>10045.375</v>
      </c>
      <c r="H27" s="11" t="n">
        <v>4123.567</v>
      </c>
      <c r="I27" s="12" t="n">
        <v>5563.407</v>
      </c>
      <c r="J27" s="12" t="n">
        <v>11641.285</v>
      </c>
      <c r="K27" s="12" t="n">
        <v>12793.202</v>
      </c>
      <c r="L27" s="12" t="n">
        <v>10078.161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5277.48</v>
      </c>
      <c r="D31" s="12" t="n">
        <v>5320.919</v>
      </c>
      <c r="E31" s="12" t="n">
        <v>4694.989</v>
      </c>
      <c r="F31" s="12" t="n">
        <v>4782.553</v>
      </c>
      <c r="G31" s="12" t="n">
        <v>5349.054</v>
      </c>
      <c r="H31" s="11" t="n">
        <v>4587.43</v>
      </c>
      <c r="I31" s="12" t="n">
        <v>5228.132</v>
      </c>
      <c r="J31" s="12" t="n">
        <v>7610.426</v>
      </c>
      <c r="K31" s="12" t="n">
        <v>5412.882</v>
      </c>
      <c r="L31" s="12" t="n">
        <v>4694.989</v>
      </c>
    </row>
    <row r="32">
      <c r="A32" s="20" t="inlineStr">
        <is>
          <t>자본금</t>
        </is>
      </c>
      <c r="B32" s="10" t="n"/>
      <c r="C32" s="21" t="n">
        <v>3392.527</v>
      </c>
      <c r="D32" s="22" t="n">
        <v>3410.967</v>
      </c>
      <c r="E32" s="22" t="n">
        <v>3413.992</v>
      </c>
      <c r="F32" s="22" t="n">
        <v>3422.517</v>
      </c>
      <c r="G32" s="22" t="n">
        <v>3455.38</v>
      </c>
      <c r="H32" s="21" t="n">
        <v>1695.621</v>
      </c>
      <c r="I32" s="22" t="n">
        <v>1737.696</v>
      </c>
      <c r="J32" s="22" t="n">
        <v>3177.014</v>
      </c>
      <c r="K32" s="22" t="n">
        <v>3307.277</v>
      </c>
      <c r="L32" s="22" t="n">
        <v>3413.992</v>
      </c>
    </row>
    <row r="33">
      <c r="A33" s="20" t="inlineStr">
        <is>
          <t>이익잉여금</t>
        </is>
      </c>
      <c r="B33" s="10" t="n"/>
      <c r="C33" s="21" t="n">
        <v>-2321.573</v>
      </c>
      <c r="D33" s="22" t="n">
        <v>-2364.86</v>
      </c>
      <c r="E33" s="22" t="n">
        <v>-2589.417</v>
      </c>
      <c r="F33" s="22" t="n">
        <v>-2519.072</v>
      </c>
      <c r="G33" s="22" t="n">
        <v>-2018.327</v>
      </c>
      <c r="H33" s="21" t="n">
        <v>739.554</v>
      </c>
      <c r="I33" s="22" t="n">
        <v>1296.95</v>
      </c>
      <c r="J33" s="22" t="n">
        <v>652.271</v>
      </c>
      <c r="K33" s="22" t="n">
        <v>-2051.342</v>
      </c>
      <c r="L33" s="22" t="n">
        <v>-2589.417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5277.48</v>
      </c>
      <c r="D35" s="12" t="n">
        <v>5320.919</v>
      </c>
      <c r="E35" s="12" t="n">
        <v>4694.989</v>
      </c>
      <c r="F35" s="12" t="n">
        <v>4782.883</v>
      </c>
      <c r="G35" s="12" t="n">
        <v>5349.384</v>
      </c>
      <c r="H35" s="11" t="n">
        <v>4587.43</v>
      </c>
      <c r="I35" s="12" t="n">
        <v>5228.132</v>
      </c>
      <c r="J35" s="12" t="n">
        <v>7610.426</v>
      </c>
      <c r="K35" s="12" t="n">
        <v>5412.882</v>
      </c>
      <c r="L35" s="12" t="n">
        <v>4694.989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1074.695</v>
      </c>
      <c r="D37" s="12" t="n"/>
      <c r="E37" s="12" t="n">
        <v>2846.872</v>
      </c>
      <c r="F37" s="12" t="n"/>
      <c r="G37" s="12" t="n">
        <v>3160.351</v>
      </c>
      <c r="H37" s="11" t="n">
        <v>443.381</v>
      </c>
      <c r="I37" s="12" t="n">
        <v>-119.255</v>
      </c>
      <c r="J37" s="12" t="n">
        <v>-953.774</v>
      </c>
      <c r="K37" s="12" t="n">
        <v>885.164</v>
      </c>
      <c r="L37" s="12" t="n">
        <v>2846.872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1055.857</v>
      </c>
      <c r="D38" s="22" t="n"/>
      <c r="E38" s="22" t="n">
        <v>675.846</v>
      </c>
      <c r="F38" s="22" t="n"/>
      <c r="G38" s="22" t="n">
        <v>2029.912</v>
      </c>
      <c r="H38" s="21" t="n">
        <v>826.204</v>
      </c>
      <c r="I38" s="22" t="n">
        <v>1496.172</v>
      </c>
      <c r="J38" s="22" t="n">
        <v>1767.001</v>
      </c>
      <c r="K38" s="22" t="n">
        <v>1708.909</v>
      </c>
      <c r="L38" s="22" t="n">
        <v>675.846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2432.023</v>
      </c>
      <c r="D71" s="22" t="n">
        <v>2647.575</v>
      </c>
      <c r="E71" s="22" t="n">
        <v>2287.394</v>
      </c>
      <c r="F71" s="22" t="n">
        <v>1951.306</v>
      </c>
      <c r="G71" s="22" t="n">
        <v>1921.507</v>
      </c>
      <c r="H71" s="22" t="n">
        <v>2146.368</v>
      </c>
      <c r="I71" s="22" t="n">
        <v>1438.024</v>
      </c>
      <c r="J71" s="22" t="n">
        <v>1631.297</v>
      </c>
      <c r="K71" s="22" t="n">
        <v>2245.402</v>
      </c>
      <c r="L71" s="22" t="n">
        <v>2287.394</v>
      </c>
    </row>
    <row r="72">
      <c r="A72" s="20" t="inlineStr">
        <is>
          <t>받을어음·매출채권</t>
        </is>
      </c>
      <c r="C72" s="22" t="n">
        <v>1138.744</v>
      </c>
      <c r="D72" s="22" t="n">
        <v>1134.559</v>
      </c>
      <c r="H72" s="22" t="n">
        <v>622.684</v>
      </c>
      <c r="J72" s="22" t="n">
        <v>1350.683</v>
      </c>
      <c r="K72" s="22" t="n">
        <v>1786.511</v>
      </c>
    </row>
    <row r="73">
      <c r="A73" s="20" t="inlineStr">
        <is>
          <t>받을어음</t>
        </is>
      </c>
      <c r="E73" s="22" t="n">
        <v>0</v>
      </c>
      <c r="H73" s="22" t="n">
        <v>23</v>
      </c>
      <c r="J73" s="22" t="n">
        <v>1.035</v>
      </c>
      <c r="K73" s="22" t="n">
        <v>2.643</v>
      </c>
      <c r="L73" s="22" t="n">
        <v>0</v>
      </c>
    </row>
    <row r="74">
      <c r="A74" s="20" t="inlineStr">
        <is>
          <t>매출채권</t>
        </is>
      </c>
      <c r="E74" s="22" t="n">
        <v>1280.659</v>
      </c>
      <c r="F74" s="22" t="n">
        <v>642.376</v>
      </c>
      <c r="G74" s="22" t="n">
        <v>1249.14</v>
      </c>
      <c r="H74" s="22" t="n">
        <v>622.684</v>
      </c>
      <c r="I74" s="22" t="n">
        <v>628.207</v>
      </c>
      <c r="J74" s="22" t="n">
        <v>1349.647</v>
      </c>
      <c r="K74" s="22" t="n">
        <v>1783.867</v>
      </c>
      <c r="L74" s="22" t="n">
        <v>1280.659</v>
      </c>
    </row>
    <row r="75">
      <c r="A75" s="20" t="inlineStr">
        <is>
          <t>제품</t>
        </is>
      </c>
      <c r="H75" s="22" t="n">
        <v>48.762</v>
      </c>
      <c r="I75" s="22" t="n">
        <v>229.67</v>
      </c>
    </row>
    <row r="76">
      <c r="A76" s="20" t="inlineStr">
        <is>
          <t>전자기록채권</t>
        </is>
      </c>
      <c r="C76" s="22" t="n">
        <v>2.975</v>
      </c>
      <c r="D76" s="22" t="n">
        <v>2.354</v>
      </c>
      <c r="E76" s="22" t="n">
        <v>40.04</v>
      </c>
      <c r="F76" s="22" t="n">
        <v>0</v>
      </c>
      <c r="G76" s="22" t="n">
        <v>0</v>
      </c>
      <c r="H76" s="22" t="n">
        <v>23</v>
      </c>
      <c r="I76" s="22" t="n">
        <v>25.744</v>
      </c>
      <c r="J76" s="22" t="n">
        <v>11.853</v>
      </c>
      <c r="K76" s="22" t="n">
        <v>25.619</v>
      </c>
      <c r="L76" s="22" t="n">
        <v>40.04</v>
      </c>
    </row>
    <row r="77">
      <c r="A77" s="20" t="inlineStr">
        <is>
          <t>상품·제품</t>
        </is>
      </c>
      <c r="C77" s="22" t="n">
        <v>476.393</v>
      </c>
      <c r="D77" s="22" t="n">
        <v>328.163</v>
      </c>
      <c r="E77" s="22" t="n">
        <v>239.254</v>
      </c>
      <c r="F77" s="22" t="n">
        <v>193.219</v>
      </c>
      <c r="G77" s="22" t="n">
        <v>117.798</v>
      </c>
      <c r="J77" s="22" t="n">
        <v>207.458</v>
      </c>
      <c r="K77" s="22" t="n">
        <v>676.14</v>
      </c>
      <c r="L77" s="22" t="n">
        <v>239.254</v>
      </c>
    </row>
    <row r="78">
      <c r="A78" s="20" t="inlineStr">
        <is>
          <t>재공품</t>
        </is>
      </c>
      <c r="C78" s="22" t="n">
        <v>2887.126</v>
      </c>
      <c r="D78" s="22" t="n">
        <v>3238.904</v>
      </c>
      <c r="E78" s="22" t="n">
        <v>1843.799</v>
      </c>
      <c r="F78" s="22" t="n">
        <v>2008.781</v>
      </c>
      <c r="G78" s="22" t="n">
        <v>2145.625</v>
      </c>
      <c r="H78" s="22" t="n">
        <v>1290.021</v>
      </c>
      <c r="I78" s="22" t="n">
        <v>1726.941</v>
      </c>
      <c r="J78" s="22" t="n">
        <v>2501.779</v>
      </c>
      <c r="K78" s="22" t="n">
        <v>2535.984</v>
      </c>
      <c r="L78" s="22" t="n">
        <v>1843.799</v>
      </c>
    </row>
    <row r="79">
      <c r="A79" s="20" t="inlineStr">
        <is>
          <t>원재료·저장품</t>
        </is>
      </c>
      <c r="C79" s="22" t="n">
        <v>846.4400000000001</v>
      </c>
      <c r="D79" s="22" t="n">
        <v>739.009</v>
      </c>
      <c r="E79" s="22" t="n">
        <v>747.465</v>
      </c>
      <c r="F79" s="22" t="n">
        <v>837.389</v>
      </c>
      <c r="G79" s="22" t="n">
        <v>896.398</v>
      </c>
      <c r="H79" s="22" t="n">
        <v>460.466</v>
      </c>
      <c r="I79" s="22" t="n">
        <v>999.948</v>
      </c>
      <c r="J79" s="22" t="n">
        <v>1401.026</v>
      </c>
      <c r="K79" s="22" t="n">
        <v>890.455</v>
      </c>
      <c r="L79" s="22" t="n">
        <v>747.465</v>
      </c>
    </row>
    <row r="80">
      <c r="A80" s="20" t="inlineStr">
        <is>
          <t>선급비용</t>
        </is>
      </c>
      <c r="H80" s="22" t="n">
        <v>42.56</v>
      </c>
      <c r="I80" s="22" t="n">
        <v>53.836</v>
      </c>
    </row>
    <row r="81">
      <c r="A81" s="20" t="inlineStr">
        <is>
          <t>선급금</t>
        </is>
      </c>
      <c r="H81" s="22" t="n">
        <v>2.938</v>
      </c>
      <c r="I81" s="22" t="n">
        <v>30.976</v>
      </c>
    </row>
    <row r="82">
      <c r="A82" s="20" t="inlineStr">
        <is>
          <t>미수금</t>
        </is>
      </c>
      <c r="E82" s="22" t="n">
        <v>1011.703</v>
      </c>
      <c r="K82" s="22" t="n">
        <v>47.253</v>
      </c>
      <c r="L82" s="22" t="n">
        <v>1011.703</v>
      </c>
    </row>
    <row r="83">
      <c r="A83" s="20" t="inlineStr">
        <is>
          <t>기타</t>
        </is>
      </c>
      <c r="C83" s="22" t="n">
        <v>546.423</v>
      </c>
      <c r="D83" s="22" t="n">
        <v>450.295</v>
      </c>
      <c r="E83" s="22" t="n">
        <v>1327.891</v>
      </c>
      <c r="F83" s="22" t="n">
        <v>1566.86</v>
      </c>
      <c r="G83" s="22" t="n">
        <v>559.588</v>
      </c>
      <c r="H83" s="22" t="n">
        <v>124.301</v>
      </c>
      <c r="I83" s="22" t="n">
        <v>339.17</v>
      </c>
      <c r="J83" s="22" t="n">
        <v>455.007</v>
      </c>
      <c r="K83" s="22" t="n">
        <v>320.908</v>
      </c>
      <c r="L83" s="22" t="n">
        <v>1327.891</v>
      </c>
    </row>
    <row r="84">
      <c r="A84" s="20" t="inlineStr">
        <is>
          <t>대손충당금</t>
        </is>
      </c>
      <c r="C84" s="22" t="n">
        <v>-36.665</v>
      </c>
      <c r="D84" s="22" t="n">
        <v>-37.85</v>
      </c>
      <c r="E84" s="22" t="n">
        <v>0</v>
      </c>
      <c r="J84" s="22" t="n">
        <v>0</v>
      </c>
      <c r="K84" s="22" t="n">
        <v>-4.119</v>
      </c>
      <c r="L84" s="22" t="n">
        <v>0</v>
      </c>
    </row>
    <row r="85">
      <c r="A85" s="9" t="inlineStr">
        <is>
          <t>유동자산 합계</t>
        </is>
      </c>
      <c r="C85" s="12" t="n">
        <v>8293.462</v>
      </c>
      <c r="D85" s="12" t="n">
        <v>8503.011</v>
      </c>
      <c r="E85" s="12" t="n">
        <v>7766.505</v>
      </c>
      <c r="F85" s="12" t="n">
        <v>7199.934</v>
      </c>
      <c r="G85" s="12" t="n">
        <v>6890.059</v>
      </c>
      <c r="H85" s="12" t="n">
        <v>4761.103</v>
      </c>
      <c r="I85" s="12" t="n">
        <v>5472.52</v>
      </c>
      <c r="J85" s="12" t="n">
        <v>7559.106</v>
      </c>
      <c r="K85" s="12" t="n">
        <v>8524.155000000001</v>
      </c>
      <c r="L85" s="12" t="n">
        <v>7766.505</v>
      </c>
    </row>
    <row r="86">
      <c r="A86" s="20" t="inlineStr">
        <is>
          <t>건물</t>
        </is>
      </c>
      <c r="H86" s="22" t="n">
        <v>1126.572</v>
      </c>
      <c r="I86" s="22" t="n">
        <v>1402.214</v>
      </c>
    </row>
    <row r="87">
      <c r="A87" s="20" t="inlineStr">
        <is>
          <t>감가상각누계액</t>
        </is>
      </c>
      <c r="H87" s="22" t="n">
        <v>-491.362</v>
      </c>
      <c r="I87" s="22" t="n">
        <v>-552.97</v>
      </c>
    </row>
    <row r="88">
      <c r="A88" s="20" t="inlineStr">
        <is>
          <t>건물(순액)</t>
        </is>
      </c>
      <c r="H88" s="22" t="n">
        <v>635.2089999999999</v>
      </c>
      <c r="I88" s="22" t="n">
        <v>849.2430000000001</v>
      </c>
    </row>
    <row r="89">
      <c r="A89" s="20" t="inlineStr">
        <is>
          <t>구축물</t>
        </is>
      </c>
      <c r="H89" s="22" t="n">
        <v>19.424</v>
      </c>
      <c r="I89" s="22" t="n">
        <v>19.424</v>
      </c>
    </row>
    <row r="90">
      <c r="A90" s="20" t="inlineStr">
        <is>
          <t>감가상각누계액</t>
        </is>
      </c>
      <c r="H90" s="22" t="n">
        <v>-14.064</v>
      </c>
      <c r="I90" s="22" t="n">
        <v>-14.57</v>
      </c>
    </row>
    <row r="91">
      <c r="A91" s="20" t="inlineStr">
        <is>
          <t>구축물(순액)</t>
        </is>
      </c>
      <c r="H91" s="22" t="n">
        <v>5.36</v>
      </c>
      <c r="I91" s="22" t="n">
        <v>4.854</v>
      </c>
    </row>
    <row r="92">
      <c r="A92" s="20" t="inlineStr">
        <is>
          <t>기계장치</t>
        </is>
      </c>
      <c r="H92" s="22" t="n">
        <v>3132.645</v>
      </c>
      <c r="I92" s="22" t="n">
        <v>3374.8</v>
      </c>
    </row>
    <row r="93">
      <c r="A93" s="20" t="inlineStr">
        <is>
          <t>감가상각누계액</t>
        </is>
      </c>
      <c r="H93" s="22" t="n">
        <v>-972.8869999999999</v>
      </c>
      <c r="I93" s="22" t="n">
        <v>-1113.695</v>
      </c>
    </row>
    <row r="94">
      <c r="A94" s="20" t="inlineStr">
        <is>
          <t>기계장치(순액)</t>
        </is>
      </c>
      <c r="H94" s="22" t="n">
        <v>2159.758</v>
      </c>
      <c r="I94" s="22" t="n">
        <v>2261.104</v>
      </c>
    </row>
    <row r="95">
      <c r="A95" s="20" t="inlineStr">
        <is>
          <t>공구·기구·비품</t>
        </is>
      </c>
      <c r="H95" s="22" t="n">
        <v>581.436</v>
      </c>
      <c r="I95" s="22" t="n">
        <v>900.468</v>
      </c>
    </row>
    <row r="96">
      <c r="A96" s="20" t="inlineStr">
        <is>
          <t>감가상각누계액</t>
        </is>
      </c>
      <c r="H96" s="22" t="n">
        <v>-373.411</v>
      </c>
      <c r="I96" s="22" t="n">
        <v>-453.684</v>
      </c>
    </row>
    <row r="97">
      <c r="A97" s="20" t="inlineStr">
        <is>
          <t>공구·기구·비품(순액)</t>
        </is>
      </c>
      <c r="H97" s="22" t="n">
        <v>208.025</v>
      </c>
      <c r="I97" s="22" t="n">
        <v>446.784</v>
      </c>
    </row>
    <row r="98">
      <c r="A98" s="20" t="inlineStr">
        <is>
          <t>건물·구축물(순액)</t>
        </is>
      </c>
      <c r="C98" s="22" t="n">
        <v>3263.271</v>
      </c>
      <c r="D98" s="22" t="n">
        <v>3211.46</v>
      </c>
      <c r="E98" s="22" t="n">
        <v>2396.862</v>
      </c>
      <c r="F98" s="22" t="n">
        <v>2379.072</v>
      </c>
      <c r="G98" s="22" t="n">
        <v>2392.273</v>
      </c>
      <c r="J98" s="22" t="n">
        <v>2592.049</v>
      </c>
      <c r="K98" s="22" t="n">
        <v>2568.616</v>
      </c>
      <c r="L98" s="22" t="n">
        <v>2396.862</v>
      </c>
    </row>
    <row r="99">
      <c r="A99" s="20" t="inlineStr">
        <is>
          <t>기계장치·운반구(순액)</t>
        </is>
      </c>
      <c r="C99" s="22" t="n">
        <v>3727.904</v>
      </c>
      <c r="D99" s="22" t="n">
        <v>3693.102</v>
      </c>
      <c r="E99" s="22" t="n">
        <v>2330.02</v>
      </c>
      <c r="F99" s="22" t="n">
        <v>2646.554</v>
      </c>
      <c r="G99" s="22" t="n">
        <v>3633.795</v>
      </c>
      <c r="J99" s="22" t="n">
        <v>3909.362</v>
      </c>
      <c r="K99" s="22" t="n">
        <v>3979.436</v>
      </c>
      <c r="L99" s="22" t="n">
        <v>2330.02</v>
      </c>
    </row>
    <row r="100">
      <c r="A100" s="20" t="inlineStr">
        <is>
          <t>기타</t>
        </is>
      </c>
      <c r="H100" s="22" t="n">
        <v>35.624</v>
      </c>
      <c r="I100" s="22" t="n">
        <v>66.836</v>
      </c>
    </row>
    <row r="101">
      <c r="A101" s="20" t="inlineStr">
        <is>
          <t>감가상각누계액</t>
        </is>
      </c>
      <c r="H101" s="22" t="n">
        <v>-22.271</v>
      </c>
      <c r="I101" s="22" t="n">
        <v>-32.826</v>
      </c>
    </row>
    <row r="102">
      <c r="A102" s="20" t="inlineStr">
        <is>
          <t>토지</t>
        </is>
      </c>
      <c r="E102" s="22" t="n">
        <v>188.068</v>
      </c>
      <c r="H102" s="22" t="n">
        <v>154.858</v>
      </c>
      <c r="I102" s="22" t="n">
        <v>186.048</v>
      </c>
      <c r="J102" s="22" t="n">
        <v>188.068</v>
      </c>
      <c r="K102" s="22" t="n">
        <v>188.068</v>
      </c>
      <c r="L102" s="22" t="n">
        <v>188.068</v>
      </c>
    </row>
    <row r="103">
      <c r="A103" s="20" t="inlineStr">
        <is>
          <t>리스자산</t>
        </is>
      </c>
      <c r="H103" s="22" t="n">
        <v>19.088</v>
      </c>
      <c r="I103" s="22" t="n">
        <v>14.589</v>
      </c>
    </row>
    <row r="104">
      <c r="A104" s="20" t="inlineStr">
        <is>
          <t>감가상각누계액</t>
        </is>
      </c>
      <c r="H104" s="22" t="n">
        <v>-10.03</v>
      </c>
      <c r="I104" s="22" t="n">
        <v>-9.061</v>
      </c>
    </row>
    <row r="105">
      <c r="A105" s="20" t="inlineStr">
        <is>
          <t>리스자산(순액)</t>
        </is>
      </c>
      <c r="H105" s="22" t="n">
        <v>9.058</v>
      </c>
      <c r="I105" s="22" t="n">
        <v>5.528</v>
      </c>
    </row>
    <row r="106">
      <c r="A106" s="20" t="inlineStr">
        <is>
          <t>건설중인자산</t>
        </is>
      </c>
      <c r="E106" s="22" t="n">
        <v>205.059</v>
      </c>
      <c r="H106" s="22" t="n">
        <v>389.495</v>
      </c>
      <c r="I106" s="22" t="n">
        <v>96.96599999999999</v>
      </c>
      <c r="J106" s="22" t="n">
        <v>464.793</v>
      </c>
      <c r="K106" s="22" t="n">
        <v>1330.982</v>
      </c>
      <c r="L106" s="22" t="n">
        <v>205.059</v>
      </c>
    </row>
    <row r="107">
      <c r="A107" s="20" t="inlineStr">
        <is>
          <t>설비 선급금</t>
        </is>
      </c>
      <c r="H107" s="22" t="n">
        <v>0</v>
      </c>
      <c r="I107" s="22" t="n">
        <v>681.095</v>
      </c>
    </row>
    <row r="108">
      <c r="A108" s="20" t="inlineStr">
        <is>
          <t>기타(순액)</t>
        </is>
      </c>
      <c r="C108" s="22" t="n">
        <v>1290.428</v>
      </c>
      <c r="D108" s="22" t="n">
        <v>1205.026</v>
      </c>
      <c r="E108" s="22" t="n">
        <v>1167.298</v>
      </c>
      <c r="F108" s="22" t="n">
        <v>1171.337</v>
      </c>
      <c r="G108" s="22" t="n">
        <v>1334.323</v>
      </c>
      <c r="H108" s="22" t="n">
        <v>13.352</v>
      </c>
      <c r="I108" s="22" t="n">
        <v>34.01</v>
      </c>
      <c r="J108" s="22" t="n">
        <v>977.352</v>
      </c>
      <c r="K108" s="22" t="n">
        <v>838.557</v>
      </c>
      <c r="L108" s="22" t="n">
        <v>1167.298</v>
      </c>
    </row>
    <row r="109">
      <c r="A109" s="20" t="inlineStr">
        <is>
          <t>유형자산 합계</t>
        </is>
      </c>
      <c r="C109" s="22" t="n">
        <v>8281.605</v>
      </c>
      <c r="D109" s="22" t="n">
        <v>8109.589</v>
      </c>
      <c r="E109" s="22" t="n">
        <v>5894.181</v>
      </c>
      <c r="F109" s="22" t="n">
        <v>6196.964</v>
      </c>
      <c r="G109" s="22" t="n">
        <v>7360.392</v>
      </c>
      <c r="H109" s="22" t="n">
        <v>3575.119</v>
      </c>
      <c r="I109" s="22" t="n">
        <v>4565.635</v>
      </c>
      <c r="J109" s="22" t="n">
        <v>8131.626</v>
      </c>
      <c r="K109" s="22" t="n">
        <v>8905.661</v>
      </c>
      <c r="L109" s="22" t="n">
        <v>5894.181</v>
      </c>
    </row>
    <row r="110">
      <c r="A110" s="20" t="inlineStr">
        <is>
          <t>소프트웨어</t>
        </is>
      </c>
      <c r="H110" s="22" t="n">
        <v>64.104</v>
      </c>
      <c r="I110" s="22" t="n">
        <v>53.301</v>
      </c>
    </row>
    <row r="111">
      <c r="A111" s="20" t="inlineStr">
        <is>
          <t>영업권</t>
        </is>
      </c>
      <c r="H111" s="22" t="n">
        <v>0</v>
      </c>
      <c r="J111" s="22" t="n">
        <v>1641.346</v>
      </c>
      <c r="K111" s="22" t="n">
        <v>0</v>
      </c>
    </row>
    <row r="112">
      <c r="A112" s="20" t="inlineStr">
        <is>
          <t>고객관계자산</t>
        </is>
      </c>
      <c r="J112" s="22" t="n">
        <v>1140.346</v>
      </c>
      <c r="K112" s="22" t="n">
        <v>0</v>
      </c>
    </row>
    <row r="113">
      <c r="A113" s="20" t="inlineStr">
        <is>
          <t>기타</t>
        </is>
      </c>
      <c r="H113" s="22" t="n">
        <v>13.781</v>
      </c>
      <c r="I113" s="22" t="n">
        <v>15.092</v>
      </c>
      <c r="J113" s="22" t="n">
        <v>262.29</v>
      </c>
      <c r="K113" s="22" t="n">
        <v>286.646</v>
      </c>
    </row>
    <row r="114">
      <c r="A114" s="20" t="inlineStr">
        <is>
          <t>무형자산</t>
        </is>
      </c>
      <c r="C114" s="22" t="n">
        <v>279.882</v>
      </c>
      <c r="D114" s="22" t="n">
        <v>277.834</v>
      </c>
      <c r="E114" s="22" t="n">
        <v>135.439</v>
      </c>
      <c r="F114" s="22" t="n">
        <v>167.946</v>
      </c>
      <c r="G114" s="22" t="n">
        <v>179.788</v>
      </c>
      <c r="H114" s="22" t="n">
        <v>77.88500000000001</v>
      </c>
      <c r="I114" s="22" t="n">
        <v>68.393</v>
      </c>
      <c r="J114" s="22" t="n">
        <v>3043.983</v>
      </c>
      <c r="K114" s="22" t="n">
        <v>286.646</v>
      </c>
      <c r="L114" s="22" t="n">
        <v>135.439</v>
      </c>
    </row>
    <row r="115">
      <c r="A115" s="20" t="inlineStr">
        <is>
          <t>투자유가증권</t>
        </is>
      </c>
      <c r="H115" s="22" t="n">
        <v>8</v>
      </c>
      <c r="I115" s="22" t="n">
        <v>67.264</v>
      </c>
    </row>
    <row r="116">
      <c r="A116" s="20" t="inlineStr">
        <is>
          <t>출자금</t>
        </is>
      </c>
      <c r="H116" s="22" t="n">
        <v>0.01</v>
      </c>
      <c r="I116" s="22" t="n">
        <v>0.01</v>
      </c>
    </row>
    <row r="117">
      <c r="A117" s="20" t="inlineStr">
        <is>
          <t>장기선급비용</t>
        </is>
      </c>
      <c r="H117" s="22" t="n">
        <v>26.465</v>
      </c>
      <c r="I117" s="22" t="n">
        <v>37.679</v>
      </c>
    </row>
    <row r="118">
      <c r="A118" s="20" t="inlineStr">
        <is>
          <t>이연법인세자산</t>
        </is>
      </c>
      <c r="E118" s="22" t="n">
        <v>718.1319999999999</v>
      </c>
      <c r="H118" s="22" t="n">
        <v>160.513</v>
      </c>
      <c r="I118" s="22" t="n">
        <v>154.851</v>
      </c>
      <c r="J118" s="22" t="n">
        <v>212.836</v>
      </c>
      <c r="K118" s="22" t="n">
        <v>193.328</v>
      </c>
      <c r="L118" s="22" t="n">
        <v>718.1319999999999</v>
      </c>
    </row>
    <row r="119">
      <c r="A119" s="20" t="inlineStr">
        <is>
          <t>기타</t>
        </is>
      </c>
      <c r="E119" s="22" t="n">
        <v>258.892</v>
      </c>
      <c r="H119" s="22" t="n">
        <v>101.899</v>
      </c>
      <c r="I119" s="22" t="n">
        <v>425.185</v>
      </c>
      <c r="J119" s="22" t="n">
        <v>304.157</v>
      </c>
      <c r="K119" s="22" t="n">
        <v>296.293</v>
      </c>
      <c r="L119" s="22" t="n">
        <v>258.892</v>
      </c>
    </row>
    <row r="120">
      <c r="A120" s="20" t="inlineStr">
        <is>
          <t>투자 및 기타자산</t>
        </is>
      </c>
      <c r="C120" s="22" t="n">
        <v>430.202</v>
      </c>
      <c r="D120" s="22" t="n">
        <v>438.76</v>
      </c>
      <c r="E120" s="22" t="n">
        <v>977.025</v>
      </c>
      <c r="F120" s="22" t="n">
        <v>955.933</v>
      </c>
      <c r="G120" s="22" t="n">
        <v>964.52</v>
      </c>
      <c r="H120" s="22" t="n">
        <v>296.889</v>
      </c>
      <c r="I120" s="22" t="n">
        <v>684.99</v>
      </c>
      <c r="J120" s="22" t="n">
        <v>516.994</v>
      </c>
      <c r="K120" s="22" t="n">
        <v>489.621</v>
      </c>
      <c r="L120" s="22" t="n">
        <v>977.025</v>
      </c>
    </row>
    <row r="121">
      <c r="A121" s="9" t="inlineStr">
        <is>
          <t>비유동자산 합계</t>
        </is>
      </c>
      <c r="C121" s="12" t="n">
        <v>8991.690000000001</v>
      </c>
      <c r="D121" s="12" t="n">
        <v>8826.184999999999</v>
      </c>
      <c r="E121" s="12" t="n">
        <v>7006.646</v>
      </c>
      <c r="F121" s="12" t="n">
        <v>7320.844</v>
      </c>
      <c r="G121" s="12" t="n">
        <v>8504.700000000001</v>
      </c>
      <c r="H121" s="12" t="n">
        <v>3949.894</v>
      </c>
      <c r="I121" s="12" t="n">
        <v>5319.02</v>
      </c>
      <c r="J121" s="12" t="n">
        <v>11692.604</v>
      </c>
      <c r="K121" s="12" t="n">
        <v>9681.929</v>
      </c>
      <c r="L121" s="12" t="n">
        <v>7006.646</v>
      </c>
    </row>
    <row r="122">
      <c r="A122" s="9" t="inlineStr">
        <is>
          <t>자산 합계</t>
        </is>
      </c>
      <c r="C122" s="12" t="n">
        <v>17285.153</v>
      </c>
      <c r="D122" s="12" t="n">
        <v>17329.196</v>
      </c>
      <c r="E122" s="12" t="n">
        <v>14773.151</v>
      </c>
      <c r="F122" s="12" t="n">
        <v>14520.779</v>
      </c>
      <c r="G122" s="12" t="n">
        <v>15394.76</v>
      </c>
      <c r="H122" s="12" t="n">
        <v>8710.998</v>
      </c>
      <c r="I122" s="12" t="n">
        <v>10791.54</v>
      </c>
      <c r="J122" s="12" t="n">
        <v>19251.711</v>
      </c>
      <c r="K122" s="12" t="n">
        <v>18206.085</v>
      </c>
      <c r="L122" s="12" t="n">
        <v>14773.151</v>
      </c>
    </row>
    <row r="123">
      <c r="A123" s="20" t="inlineStr">
        <is>
          <t>지급어음·매입채무</t>
        </is>
      </c>
      <c r="C123" s="22" t="n">
        <v>512.898</v>
      </c>
      <c r="D123" s="22" t="n">
        <v>475.317</v>
      </c>
      <c r="E123" s="22" t="n">
        <v>827.602</v>
      </c>
      <c r="J123" s="22" t="n">
        <v>261.69</v>
      </c>
      <c r="K123" s="22" t="n">
        <v>366.305</v>
      </c>
      <c r="L123" s="22" t="n">
        <v>827.602</v>
      </c>
    </row>
    <row r="124">
      <c r="A124" s="20" t="inlineStr">
        <is>
          <t>매입채무</t>
        </is>
      </c>
      <c r="E124" s="22" t="n">
        <v>827.602</v>
      </c>
      <c r="F124" s="22" t="n">
        <v>479.54</v>
      </c>
      <c r="G124" s="22" t="n">
        <v>541.688</v>
      </c>
      <c r="H124" s="22" t="n">
        <v>266.993</v>
      </c>
      <c r="I124" s="22" t="n">
        <v>374.226</v>
      </c>
      <c r="L124" s="22" t="n">
        <v>827.602</v>
      </c>
    </row>
    <row r="125">
      <c r="A125" s="20" t="inlineStr">
        <is>
          <t>단기차입금</t>
        </is>
      </c>
      <c r="C125" s="22" t="n">
        <v>2800</v>
      </c>
      <c r="D125" s="22" t="n">
        <v>2800</v>
      </c>
      <c r="E125" s="22" t="n">
        <v>3100</v>
      </c>
      <c r="F125" s="22" t="n">
        <v>2900</v>
      </c>
      <c r="G125" s="22" t="n">
        <v>2600</v>
      </c>
      <c r="H125" s="22" t="n">
        <v>0</v>
      </c>
      <c r="I125" s="22" t="n">
        <v>600</v>
      </c>
      <c r="J125" s="22" t="n">
        <v>1500</v>
      </c>
      <c r="K125" s="22" t="n">
        <v>2900</v>
      </c>
      <c r="L125" s="22" t="n">
        <v>3100</v>
      </c>
    </row>
    <row r="126">
      <c r="A126" s="20" t="inlineStr">
        <is>
          <t>1년 내 상환 사채</t>
        </is>
      </c>
      <c r="C126" s="22" t="n">
        <v>0</v>
      </c>
      <c r="D126" s="22" t="n">
        <v>0</v>
      </c>
      <c r="E126" s="22" t="n">
        <v>0</v>
      </c>
      <c r="H126" s="22" t="n">
        <v>7</v>
      </c>
      <c r="I126" s="22" t="n">
        <v>157</v>
      </c>
      <c r="J126" s="22" t="n">
        <v>7</v>
      </c>
      <c r="K126" s="22" t="n">
        <v>4.5</v>
      </c>
      <c r="L126" s="22" t="n">
        <v>0</v>
      </c>
    </row>
    <row r="127">
      <c r="A127" s="20" t="inlineStr">
        <is>
          <t>1년 내 상환 장기차입금</t>
        </is>
      </c>
      <c r="C127" s="22" t="n">
        <v>1163.38</v>
      </c>
      <c r="D127" s="22" t="n">
        <v>1167.774</v>
      </c>
      <c r="E127" s="22" t="n">
        <v>984.948</v>
      </c>
      <c r="F127" s="22" t="n">
        <v>720.567</v>
      </c>
      <c r="G127" s="22" t="n">
        <v>707.925</v>
      </c>
      <c r="H127" s="22" t="n">
        <v>272.326</v>
      </c>
      <c r="I127" s="22" t="n">
        <v>397.536</v>
      </c>
      <c r="J127" s="22" t="n">
        <v>905.866</v>
      </c>
      <c r="K127" s="22" t="n">
        <v>1103.366</v>
      </c>
      <c r="L127" s="22" t="n">
        <v>984.948</v>
      </c>
    </row>
    <row r="128">
      <c r="A128" s="20" t="inlineStr">
        <is>
          <t>리스부채</t>
        </is>
      </c>
      <c r="H128" s="22" t="n">
        <v>3.096</v>
      </c>
      <c r="I128" s="22" t="n">
        <v>1.805</v>
      </c>
    </row>
    <row r="129">
      <c r="A129" s="20" t="inlineStr">
        <is>
          <t>미지급금</t>
        </is>
      </c>
      <c r="H129" s="22" t="n">
        <v>320.044</v>
      </c>
      <c r="I129" s="22" t="n">
        <v>367.973</v>
      </c>
    </row>
    <row r="130">
      <c r="A130" s="20" t="inlineStr">
        <is>
          <t>1년 내 지급 예정 장기미지급금</t>
        </is>
      </c>
      <c r="H130" s="22" t="n">
        <v>24.088</v>
      </c>
      <c r="I130" s="22" t="n">
        <v>0.719</v>
      </c>
    </row>
    <row r="131">
      <c r="A131" s="20" t="inlineStr">
        <is>
          <t>미지급비용</t>
        </is>
      </c>
      <c r="H131" s="22" t="n">
        <v>86.408</v>
      </c>
      <c r="I131" s="22" t="n">
        <v>119.288</v>
      </c>
    </row>
    <row r="132">
      <c r="A132" s="20" t="inlineStr">
        <is>
          <t>미지급법인세</t>
        </is>
      </c>
      <c r="C132" s="22" t="n">
        <v>81.372</v>
      </c>
      <c r="D132" s="22" t="n">
        <v>73.327</v>
      </c>
      <c r="E132" s="22" t="n">
        <v>23.533</v>
      </c>
      <c r="F132" s="22" t="n">
        <v>88.31999999999999</v>
      </c>
      <c r="G132" s="22" t="n">
        <v>213.009</v>
      </c>
      <c r="H132" s="22" t="n">
        <v>137.666</v>
      </c>
      <c r="I132" s="22" t="n">
        <v>84.97</v>
      </c>
      <c r="J132" s="22" t="n">
        <v>32.844</v>
      </c>
      <c r="K132" s="22" t="n">
        <v>64.625</v>
      </c>
      <c r="L132" s="22" t="n">
        <v>23.533</v>
      </c>
    </row>
    <row r="133">
      <c r="A133" s="20" t="inlineStr">
        <is>
          <t>계약부채</t>
        </is>
      </c>
      <c r="E133" s="22" t="n">
        <v>302.168</v>
      </c>
      <c r="H133" s="22" t="n">
        <v>0</v>
      </c>
      <c r="I133" s="22" t="n">
        <v>147.681</v>
      </c>
      <c r="J133" s="22" t="n">
        <v>219.238</v>
      </c>
      <c r="K133" s="22" t="n">
        <v>433.394</v>
      </c>
      <c r="L133" s="22" t="n">
        <v>302.168</v>
      </c>
    </row>
    <row r="134">
      <c r="A134" s="20" t="inlineStr">
        <is>
          <t>선수금</t>
        </is>
      </c>
      <c r="H134" s="22" t="n">
        <v>292.174</v>
      </c>
      <c r="I134" s="22" t="n">
        <v>367.493</v>
      </c>
    </row>
    <row r="135">
      <c r="A135" s="20" t="inlineStr">
        <is>
          <t>예수금</t>
        </is>
      </c>
      <c r="H135" s="22" t="n">
        <v>115.752</v>
      </c>
      <c r="I135" s="22" t="n">
        <v>152.843</v>
      </c>
    </row>
    <row r="136">
      <c r="A136" s="20" t="inlineStr">
        <is>
          <t>상여충당금</t>
        </is>
      </c>
      <c r="C136" s="22" t="n">
        <v>104.406</v>
      </c>
      <c r="D136" s="22" t="n">
        <v>157.447</v>
      </c>
      <c r="E136" s="22" t="n">
        <v>106.073</v>
      </c>
      <c r="F136" s="22" t="n">
        <v>173.93</v>
      </c>
      <c r="G136" s="22" t="n">
        <v>138.508</v>
      </c>
      <c r="H136" s="22" t="n">
        <v>102</v>
      </c>
      <c r="I136" s="22" t="n">
        <v>129.705</v>
      </c>
      <c r="J136" s="22" t="n">
        <v>122.2</v>
      </c>
      <c r="K136" s="22" t="n">
        <v>100.654</v>
      </c>
      <c r="L136" s="22" t="n">
        <v>106.073</v>
      </c>
    </row>
    <row r="137">
      <c r="A137" s="20" t="inlineStr">
        <is>
          <t>수선충당금</t>
        </is>
      </c>
      <c r="C137" s="22" t="n">
        <v>131.418</v>
      </c>
      <c r="D137" s="22" t="n">
        <v>134.652</v>
      </c>
      <c r="E137" s="22" t="n">
        <v>154.235</v>
      </c>
      <c r="F137" s="22" t="n">
        <v>155.652</v>
      </c>
      <c r="G137" s="22" t="n">
        <v>159.576</v>
      </c>
      <c r="H137" s="22" t="n">
        <v>140.277</v>
      </c>
      <c r="I137" s="22" t="n">
        <v>111.168</v>
      </c>
      <c r="J137" s="22" t="n">
        <v>68.88</v>
      </c>
      <c r="K137" s="22" t="n">
        <v>125.44</v>
      </c>
      <c r="L137" s="22" t="n">
        <v>154.235</v>
      </c>
    </row>
    <row r="138">
      <c r="A138" s="20" t="inlineStr">
        <is>
          <t>제품보증 충당금</t>
        </is>
      </c>
      <c r="C138" s="22" t="n">
        <v>147.158</v>
      </c>
      <c r="D138" s="22" t="n">
        <v>130.908</v>
      </c>
      <c r="E138" s="22" t="n">
        <v>100.108</v>
      </c>
      <c r="F138" s="22" t="n">
        <v>120.843</v>
      </c>
      <c r="G138" s="22" t="n">
        <v>143.541</v>
      </c>
      <c r="H138" s="22" t="n">
        <v>17.347</v>
      </c>
      <c r="I138" s="22" t="n">
        <v>27.7</v>
      </c>
      <c r="J138" s="22" t="n">
        <v>108.734</v>
      </c>
      <c r="K138" s="22" t="n">
        <v>121.271</v>
      </c>
      <c r="L138" s="22" t="n">
        <v>100.108</v>
      </c>
    </row>
    <row r="139">
      <c r="A139" s="20" t="inlineStr">
        <is>
          <t>종업원 주식보상 충당금</t>
        </is>
      </c>
      <c r="C139" s="22" t="n">
        <v>17.22</v>
      </c>
      <c r="D139" s="22" t="n">
        <v>19.287</v>
      </c>
      <c r="E139" s="22" t="n">
        <v>28.139</v>
      </c>
      <c r="F139" s="22" t="n">
        <v>111.841</v>
      </c>
      <c r="G139" s="22" t="n">
        <v>0</v>
      </c>
      <c r="K139" s="22" t="n">
        <v>0</v>
      </c>
      <c r="L139" s="22" t="n">
        <v>28.139</v>
      </c>
    </row>
    <row r="140">
      <c r="A140" s="20" t="inlineStr">
        <is>
          <t>기타</t>
        </is>
      </c>
      <c r="C140" s="22" t="n">
        <v>996.7190000000001</v>
      </c>
      <c r="D140" s="22" t="n">
        <v>1197.709</v>
      </c>
      <c r="E140" s="22" t="n">
        <v>1267.909</v>
      </c>
      <c r="F140" s="22" t="n">
        <v>1429.279</v>
      </c>
      <c r="G140" s="22" t="n">
        <v>1766.355</v>
      </c>
      <c r="H140" s="22" t="n">
        <v>0.479</v>
      </c>
      <c r="I140" s="22" t="n">
        <v>0.74</v>
      </c>
      <c r="J140" s="22" t="n">
        <v>1375.797</v>
      </c>
      <c r="K140" s="22" t="n">
        <v>1127.33</v>
      </c>
      <c r="L140" s="22" t="n">
        <v>1267.909</v>
      </c>
    </row>
    <row r="141">
      <c r="A141" s="9" t="inlineStr">
        <is>
          <t>유동부채 합계</t>
        </is>
      </c>
      <c r="C141" s="12" t="n">
        <v>5954.574</v>
      </c>
      <c r="D141" s="12" t="n">
        <v>6156.425</v>
      </c>
      <c r="E141" s="12" t="n">
        <v>6592.547</v>
      </c>
      <c r="F141" s="12" t="n">
        <v>6179.975</v>
      </c>
      <c r="G141" s="12" t="n">
        <v>6270.604</v>
      </c>
      <c r="H141" s="12" t="n">
        <v>1785.653</v>
      </c>
      <c r="I141" s="12" t="n">
        <v>3040.852</v>
      </c>
      <c r="J141" s="12" t="n">
        <v>4602.253</v>
      </c>
      <c r="K141" s="12" t="n">
        <v>6346.888</v>
      </c>
      <c r="L141" s="12" t="n">
        <v>6592.547</v>
      </c>
    </row>
    <row r="142">
      <c r="A142" s="20" t="inlineStr">
        <is>
          <t>사채</t>
        </is>
      </c>
      <c r="C142" s="22" t="n">
        <v>150</v>
      </c>
      <c r="D142" s="22" t="n">
        <v>150</v>
      </c>
      <c r="E142" s="22" t="n">
        <v>150</v>
      </c>
      <c r="F142" s="22" t="n">
        <v>150</v>
      </c>
      <c r="G142" s="22" t="n">
        <v>150</v>
      </c>
      <c r="H142" s="22" t="n">
        <v>168.5</v>
      </c>
      <c r="I142" s="22" t="n">
        <v>11.5</v>
      </c>
      <c r="J142" s="22" t="n">
        <v>154.5</v>
      </c>
      <c r="K142" s="22" t="n">
        <v>150</v>
      </c>
      <c r="L142" s="22" t="n">
        <v>150</v>
      </c>
    </row>
    <row r="143">
      <c r="A143" s="20" t="inlineStr">
        <is>
          <t>장기차입금</t>
        </is>
      </c>
      <c r="C143" s="22" t="n">
        <v>5874.402</v>
      </c>
      <c r="D143" s="22" t="n">
        <v>5631.091</v>
      </c>
      <c r="E143" s="22" t="n">
        <v>3307.697</v>
      </c>
      <c r="F143" s="22" t="n">
        <v>3381.906</v>
      </c>
      <c r="G143" s="22" t="n">
        <v>3600.661</v>
      </c>
      <c r="H143" s="22" t="n">
        <v>2157.857</v>
      </c>
      <c r="I143" s="22" t="n">
        <v>2506.89</v>
      </c>
      <c r="J143" s="22" t="n">
        <v>6638.761</v>
      </c>
      <c r="K143" s="22" t="n">
        <v>6211.368</v>
      </c>
      <c r="L143" s="22" t="n">
        <v>3307.697</v>
      </c>
    </row>
    <row r="144">
      <c r="A144" s="20" t="inlineStr">
        <is>
          <t>리스부채</t>
        </is>
      </c>
      <c r="H144" s="22" t="n">
        <v>6.723</v>
      </c>
      <c r="I144" s="22" t="n">
        <v>4.165</v>
      </c>
    </row>
    <row r="145">
      <c r="A145" s="20" t="inlineStr">
        <is>
          <t>종업원 주식보상 충당금</t>
        </is>
      </c>
      <c r="C145" s="22" t="n">
        <v>0</v>
      </c>
      <c r="K145" s="22" t="n">
        <v>9.779999999999999</v>
      </c>
    </row>
    <row r="146">
      <c r="A146" s="20" t="inlineStr">
        <is>
          <t>이연법인세부채</t>
        </is>
      </c>
      <c r="E146" s="22" t="n">
        <v>0</v>
      </c>
      <c r="J146" s="22" t="n">
        <v>237.234</v>
      </c>
      <c r="K146" s="22" t="n">
        <v>73.611</v>
      </c>
      <c r="L146" s="22" t="n">
        <v>0</v>
      </c>
    </row>
    <row r="147">
      <c r="A147" s="20" t="inlineStr">
        <is>
          <t>종업원 주식보상 충당금</t>
        </is>
      </c>
      <c r="J147" s="22" t="n">
        <v>5.654</v>
      </c>
    </row>
    <row r="148">
      <c r="A148" s="20" t="inlineStr">
        <is>
          <t>종업원 주식보상 충당금</t>
        </is>
      </c>
      <c r="D148" s="22" t="n">
        <v>0</v>
      </c>
      <c r="E148" s="22" t="n">
        <v>0</v>
      </c>
      <c r="J148" s="22" t="n">
        <v>5.654</v>
      </c>
      <c r="K148" s="22" t="n">
        <v>9.779999999999999</v>
      </c>
      <c r="L148" s="22" t="n">
        <v>0</v>
      </c>
    </row>
    <row r="149">
      <c r="A149" s="20" t="inlineStr">
        <is>
          <t>퇴직급여부채</t>
        </is>
      </c>
      <c r="C149" s="22" t="n">
        <v>0.421</v>
      </c>
      <c r="D149" s="22" t="n">
        <v>0.441</v>
      </c>
      <c r="E149" s="22" t="n">
        <v>0</v>
      </c>
      <c r="J149" s="22" t="n">
        <v>0.522</v>
      </c>
      <c r="K149" s="22" t="n">
        <v>0.425</v>
      </c>
      <c r="L149" s="22" t="n">
        <v>0</v>
      </c>
    </row>
    <row r="150">
      <c r="A150" s="20" t="inlineStr">
        <is>
          <t>기타</t>
        </is>
      </c>
      <c r="C150" s="22" t="n">
        <v>28.274</v>
      </c>
      <c r="D150" s="22" t="n">
        <v>70.319</v>
      </c>
      <c r="E150" s="22" t="n">
        <v>27.917</v>
      </c>
      <c r="F150" s="22" t="n">
        <v>26.013</v>
      </c>
      <c r="G150" s="22" t="n">
        <v>24.11</v>
      </c>
      <c r="H150" s="22" t="n">
        <v>4.833</v>
      </c>
      <c r="I150" s="22" t="n">
        <v>0</v>
      </c>
      <c r="J150" s="22" t="n">
        <v>2.359</v>
      </c>
      <c r="K150" s="22" t="n">
        <v>1.128</v>
      </c>
      <c r="L150" s="22" t="n">
        <v>27.917</v>
      </c>
    </row>
    <row r="151">
      <c r="A151" s="9" t="inlineStr">
        <is>
          <t>비유동부채 합계</t>
        </is>
      </c>
      <c r="C151" s="12" t="n">
        <v>6053.098</v>
      </c>
      <c r="D151" s="12" t="n">
        <v>5851.852</v>
      </c>
      <c r="E151" s="12" t="n">
        <v>3485.614</v>
      </c>
      <c r="F151" s="12" t="n">
        <v>3557.919</v>
      </c>
      <c r="G151" s="12" t="n">
        <v>3774.771</v>
      </c>
      <c r="H151" s="12" t="n">
        <v>2337.913</v>
      </c>
      <c r="I151" s="12" t="n">
        <v>2522.555</v>
      </c>
      <c r="J151" s="12" t="n">
        <v>7039.032</v>
      </c>
      <c r="K151" s="12" t="n">
        <v>6446.314</v>
      </c>
      <c r="L151" s="12" t="n">
        <v>3485.614</v>
      </c>
    </row>
    <row r="152">
      <c r="A152" s="9" t="inlineStr">
        <is>
          <t>부채 합계</t>
        </is>
      </c>
      <c r="C152" s="12" t="n">
        <v>12007.673</v>
      </c>
      <c r="D152" s="12" t="n">
        <v>12008.277</v>
      </c>
      <c r="E152" s="12" t="n">
        <v>10078.161</v>
      </c>
      <c r="F152" s="12" t="n">
        <v>9737.895</v>
      </c>
      <c r="G152" s="12" t="n">
        <v>10045.375</v>
      </c>
      <c r="H152" s="12" t="n">
        <v>4123.567</v>
      </c>
      <c r="I152" s="12" t="n">
        <v>5563.407</v>
      </c>
      <c r="J152" s="12" t="n">
        <v>11641.285</v>
      </c>
      <c r="K152" s="12" t="n">
        <v>12793.202</v>
      </c>
      <c r="L152" s="12" t="n">
        <v>10078.161</v>
      </c>
    </row>
    <row r="153">
      <c r="A153" s="20" t="inlineStr">
        <is>
          <t>자본금</t>
        </is>
      </c>
      <c r="C153" s="22" t="n">
        <v>3392.527</v>
      </c>
      <c r="D153" s="22" t="n">
        <v>3410.967</v>
      </c>
      <c r="E153" s="22" t="n">
        <v>3413.992</v>
      </c>
      <c r="F153" s="22" t="n">
        <v>3422.517</v>
      </c>
      <c r="G153" s="22" t="n">
        <v>3455.38</v>
      </c>
      <c r="H153" s="22" t="n">
        <v>1695.621</v>
      </c>
      <c r="I153" s="22" t="n">
        <v>1737.696</v>
      </c>
      <c r="J153" s="22" t="n">
        <v>3177.014</v>
      </c>
      <c r="K153" s="22" t="n">
        <v>3307.277</v>
      </c>
      <c r="L153" s="22" t="n">
        <v>3413.992</v>
      </c>
    </row>
    <row r="154">
      <c r="A154" s="20" t="inlineStr">
        <is>
          <t>자본준비금</t>
        </is>
      </c>
      <c r="H154" s="22" t="n">
        <v>2152.443</v>
      </c>
      <c r="I154" s="22" t="n">
        <v>2194.518</v>
      </c>
    </row>
    <row r="155">
      <c r="A155" s="20" t="inlineStr">
        <is>
          <t>자본잉여금</t>
        </is>
      </c>
      <c r="C155" s="22" t="n">
        <v>3849.349</v>
      </c>
      <c r="D155" s="22" t="n">
        <v>3867.789</v>
      </c>
      <c r="E155" s="22" t="n">
        <v>3870.814</v>
      </c>
      <c r="F155" s="22" t="n">
        <v>3879.339</v>
      </c>
      <c r="G155" s="22" t="n">
        <v>3912.203</v>
      </c>
      <c r="H155" s="22" t="n">
        <v>2152.443</v>
      </c>
      <c r="I155" s="22" t="n">
        <v>2194.518</v>
      </c>
      <c r="J155" s="22" t="n">
        <v>3633.837</v>
      </c>
      <c r="K155" s="22" t="n">
        <v>3764.099</v>
      </c>
      <c r="L155" s="22" t="n">
        <v>3870.814</v>
      </c>
    </row>
    <row r="156">
      <c r="A156" s="20" t="inlineStr">
        <is>
          <t>이월이익잉여금</t>
        </is>
      </c>
      <c r="H156" s="22" t="n">
        <v>739.554</v>
      </c>
      <c r="I156" s="22" t="n">
        <v>1296.95</v>
      </c>
    </row>
    <row r="157">
      <c r="A157" s="20" t="inlineStr">
        <is>
          <t>이익잉여금</t>
        </is>
      </c>
      <c r="C157" s="22" t="n">
        <v>-2321.573</v>
      </c>
      <c r="D157" s="22" t="n">
        <v>-2364.86</v>
      </c>
      <c r="E157" s="22" t="n">
        <v>-2589.417</v>
      </c>
      <c r="F157" s="22" t="n">
        <v>-2519.072</v>
      </c>
      <c r="G157" s="22" t="n">
        <v>-2018.327</v>
      </c>
      <c r="H157" s="22" t="n">
        <v>739.554</v>
      </c>
      <c r="I157" s="22" t="n">
        <v>1296.95</v>
      </c>
      <c r="J157" s="22" t="n">
        <v>652.271</v>
      </c>
      <c r="K157" s="22" t="n">
        <v>-2051.342</v>
      </c>
      <c r="L157" s="22" t="n">
        <v>-2589.417</v>
      </c>
    </row>
    <row r="158">
      <c r="A158" s="20" t="inlineStr">
        <is>
          <t>자기주식</t>
        </is>
      </c>
      <c r="C158" s="22" t="n">
        <v>-1.591</v>
      </c>
      <c r="D158" s="22" t="n">
        <v>-1.591</v>
      </c>
      <c r="E158" s="22" t="n">
        <v>-1.591</v>
      </c>
      <c r="F158" s="22" t="n">
        <v>-1.591</v>
      </c>
      <c r="G158" s="22" t="n">
        <v>-1.591</v>
      </c>
      <c r="H158" s="22" t="n">
        <v>-0.189</v>
      </c>
      <c r="I158" s="22" t="n">
        <v>-1.311</v>
      </c>
      <c r="J158" s="22" t="n">
        <v>-1.591</v>
      </c>
      <c r="K158" s="22" t="n">
        <v>-1.591</v>
      </c>
      <c r="L158" s="22" t="n">
        <v>-1.591</v>
      </c>
    </row>
    <row r="159">
      <c r="A159" s="9" t="inlineStr">
        <is>
          <t>주주자본 합계</t>
        </is>
      </c>
      <c r="C159" s="12" t="n">
        <v>4918.712</v>
      </c>
      <c r="D159" s="12" t="n">
        <v>4912.304</v>
      </c>
      <c r="E159" s="12" t="n">
        <v>4693.797</v>
      </c>
      <c r="F159" s="12" t="n">
        <v>4781.193</v>
      </c>
      <c r="G159" s="12" t="n">
        <v>5347.664</v>
      </c>
      <c r="H159" s="12" t="n">
        <v>4587.43</v>
      </c>
      <c r="I159" s="12" t="n">
        <v>5227.853</v>
      </c>
      <c r="J159" s="12" t="n">
        <v>7461.53</v>
      </c>
      <c r="K159" s="12" t="n">
        <v>5018.443</v>
      </c>
      <c r="L159" s="12" t="n">
        <v>4693.797</v>
      </c>
    </row>
    <row r="160">
      <c r="A160" s="20" t="inlineStr">
        <is>
          <t>기타유가증권 평가차액</t>
        </is>
      </c>
      <c r="C160" s="22" t="n">
        <v>0.773</v>
      </c>
      <c r="D160" s="22" t="n">
        <v>1.23</v>
      </c>
      <c r="E160" s="22" t="n">
        <v>1.192</v>
      </c>
      <c r="F160" s="22" t="n">
        <v>1.36</v>
      </c>
      <c r="G160" s="22" t="n">
        <v>1.39</v>
      </c>
      <c r="H160" s="22" t="n">
        <v>0</v>
      </c>
      <c r="I160" s="22" t="n">
        <v>0.279</v>
      </c>
      <c r="J160" s="22" t="n">
        <v>0.962</v>
      </c>
      <c r="K160" s="22" t="n">
        <v>0.914</v>
      </c>
      <c r="L160" s="22" t="n">
        <v>1.192</v>
      </c>
    </row>
    <row r="161">
      <c r="A161" s="20" t="inlineStr">
        <is>
          <t>해외사업환산조정</t>
        </is>
      </c>
      <c r="C161" s="22" t="n">
        <v>357.994</v>
      </c>
      <c r="D161" s="22" t="n">
        <v>407.384</v>
      </c>
      <c r="E161" s="22" t="n">
        <v>0</v>
      </c>
      <c r="J161" s="22" t="n">
        <v>147.932</v>
      </c>
      <c r="K161" s="22" t="n">
        <v>393.524</v>
      </c>
      <c r="L161" s="22" t="n">
        <v>0</v>
      </c>
    </row>
    <row r="162">
      <c r="A162" s="20" t="inlineStr">
        <is>
          <t>기타포괄손익누계액 합계</t>
        </is>
      </c>
      <c r="C162" s="22" t="n">
        <v>358.767</v>
      </c>
      <c r="D162" s="22" t="n">
        <v>408.614</v>
      </c>
      <c r="E162" s="22" t="n">
        <v>1.192</v>
      </c>
      <c r="F162" s="22" t="n">
        <v>1.36</v>
      </c>
      <c r="G162" s="22" t="n">
        <v>1.39</v>
      </c>
      <c r="H162" s="22" t="n">
        <v>0</v>
      </c>
      <c r="I162" s="22" t="n">
        <v>0.279</v>
      </c>
      <c r="J162" s="22" t="n">
        <v>148.895</v>
      </c>
      <c r="K162" s="22" t="n">
        <v>394.439</v>
      </c>
      <c r="L162" s="22" t="n">
        <v>1.192</v>
      </c>
    </row>
    <row r="163">
      <c r="A163" s="20" t="inlineStr">
        <is>
          <t>신주예약권</t>
        </is>
      </c>
      <c r="E163" s="22" t="n">
        <v>0</v>
      </c>
      <c r="F163" s="22" t="n">
        <v>0.33</v>
      </c>
      <c r="G163" s="22" t="n">
        <v>0.33</v>
      </c>
      <c r="J163" s="22" t="n">
        <v>0</v>
      </c>
      <c r="L163" s="22" t="n">
        <v>0</v>
      </c>
    </row>
    <row r="164">
      <c r="A164" s="9" t="inlineStr">
        <is>
          <t>순자산 합계</t>
        </is>
      </c>
      <c r="C164" s="12" t="n">
        <v>5277.48</v>
      </c>
      <c r="D164" s="12" t="n">
        <v>5320.919</v>
      </c>
      <c r="E164" s="12" t="n">
        <v>4694.989</v>
      </c>
      <c r="F164" s="12" t="n">
        <v>4782.883</v>
      </c>
      <c r="G164" s="12" t="n">
        <v>5349.384</v>
      </c>
      <c r="H164" s="12" t="n">
        <v>4587.43</v>
      </c>
      <c r="I164" s="12" t="n">
        <v>5228.132</v>
      </c>
      <c r="J164" s="12" t="n">
        <v>7610.426</v>
      </c>
      <c r="K164" s="12" t="n">
        <v>5412.882</v>
      </c>
      <c r="L164" s="12" t="n">
        <v>4694.989</v>
      </c>
    </row>
    <row r="165">
      <c r="A165" s="9" t="inlineStr">
        <is>
          <t>부채·순자산 합계</t>
        </is>
      </c>
      <c r="C165" s="12" t="n">
        <v>17285.153</v>
      </c>
      <c r="D165" s="12" t="n">
        <v>17329.196</v>
      </c>
      <c r="E165" s="12" t="n">
        <v>14773.151</v>
      </c>
      <c r="F165" s="12" t="n">
        <v>14520.779</v>
      </c>
      <c r="G165" s="12" t="n">
        <v>15394.76</v>
      </c>
      <c r="H165" s="12" t="n">
        <v>8710.998</v>
      </c>
      <c r="I165" s="12" t="n">
        <v>10791.54</v>
      </c>
      <c r="J165" s="12" t="n">
        <v>19251.711</v>
      </c>
      <c r="K165" s="12" t="n">
        <v>18206.085</v>
      </c>
      <c r="L165" s="12" t="n">
        <v>14773.151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44" customWidth="1" min="6" max="6"/>
  </cols>
  <sheetData>
    <row r="1">
      <c r="A1" s="52" t="inlineStr">
        <is>
          <t>옥사이드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filing</t>
        </is>
      </c>
      <c r="B4" s="54" t="n"/>
      <c r="C4" s="54" t="n"/>
      <c r="D4" s="54" t="n"/>
      <c r="E4" s="54" t="n"/>
      <c r="F4" s="54" t="n"/>
    </row>
    <row r="5">
      <c r="A5" s="55" t="inlineStr">
        <is>
          <t>항목</t>
        </is>
      </c>
      <c r="B5" s="55" t="inlineStr">
        <is>
          <t>값</t>
        </is>
      </c>
      <c r="F5" s="55" t="inlineStr">
        <is>
          <t>출처</t>
        </is>
      </c>
    </row>
    <row r="6">
      <c r="A6" s="56" t="inlineStr">
        <is>
          <t>매출</t>
        </is>
      </c>
      <c r="B6" s="57" t="n">
        <v>27.4</v>
      </c>
      <c r="F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11.2</v>
      </c>
    </row>
    <row r="8">
      <c r="A8" s="56" t="inlineStr">
        <is>
          <t>영업이익</t>
        </is>
      </c>
      <c r="B8" s="57" t="n">
        <v>4.4</v>
      </c>
    </row>
    <row r="9">
      <c r="A9" s="56" t="inlineStr">
        <is>
          <t>ord</t>
        </is>
      </c>
      <c r="B9" s="57" t="n">
        <v>4.13</v>
      </c>
    </row>
    <row r="10">
      <c r="A10" s="56" t="inlineStr">
        <is>
          <t>pbt</t>
        </is>
      </c>
      <c r="B10" s="57" t="n">
        <v>5.9</v>
      </c>
    </row>
    <row r="11">
      <c r="A11" s="56" t="inlineStr">
        <is>
          <t>순이익</t>
        </is>
      </c>
      <c r="B11" s="57" t="n">
        <v>5</v>
      </c>
    </row>
    <row r="13">
      <c r="A13" s="54" t="inlineStr">
        <is>
          <t>segments_q · 반도체</t>
        </is>
      </c>
      <c r="B13" s="54" t="n"/>
      <c r="C13" s="54" t="n"/>
      <c r="D13" s="54" t="n"/>
      <c r="E13" s="54" t="n"/>
      <c r="F13" s="54" t="n"/>
    </row>
    <row r="14">
      <c r="A14" s="55" t="inlineStr">
        <is>
          <t>항목</t>
        </is>
      </c>
      <c r="B14" s="55" t="inlineStr">
        <is>
          <t>값</t>
        </is>
      </c>
      <c r="F14" s="55" t="inlineStr">
        <is>
          <t>출처</t>
        </is>
      </c>
    </row>
    <row r="15">
      <c r="A15" s="56" t="inlineStr">
        <is>
          <t>2026-Q1</t>
        </is>
      </c>
      <c r="B15" s="57" t="n">
        <v>8.34</v>
      </c>
      <c r="F15" s="58" t="inlineStr">
        <is>
          <t>2단계 보고서 자료(회사 설명회 자료·공시)</t>
        </is>
      </c>
    </row>
    <row r="16">
      <c r="A16" s="56" t="inlineStr">
        <is>
          <t>2026-Q2</t>
        </is>
      </c>
      <c r="B16" s="57" t="n">
        <v>10.83</v>
      </c>
    </row>
    <row r="17">
      <c r="A17" s="56" t="inlineStr">
        <is>
          <t>2026-Q3</t>
        </is>
      </c>
      <c r="B17" s="57" t="n">
        <v>11.39</v>
      </c>
    </row>
    <row r="18">
      <c r="A18" s="56" t="inlineStr">
        <is>
          <t>2026-Q4</t>
        </is>
      </c>
      <c r="B18" s="57" t="n">
        <v>19.43</v>
      </c>
    </row>
    <row r="19">
      <c r="A19" s="56" t="inlineStr">
        <is>
          <t>2027-Q1</t>
        </is>
      </c>
      <c r="B19" s="57" t="n">
        <v>15.76</v>
      </c>
    </row>
    <row r="20">
      <c r="A20" s="56" t="inlineStr">
        <is>
          <t>2027-Q2</t>
        </is>
      </c>
      <c r="B20" s="57" t="n">
        <v>16.83</v>
      </c>
    </row>
    <row r="21">
      <c r="A21" s="56" t="inlineStr">
        <is>
          <t>2027-Q3G</t>
        </is>
      </c>
      <c r="B21" s="57" t="n">
        <v>18.2</v>
      </c>
    </row>
    <row r="22">
      <c r="A22" s="56" t="inlineStr">
        <is>
          <t>2027-Q4G</t>
        </is>
      </c>
      <c r="B22" s="57" t="n">
        <v>21.6</v>
      </c>
    </row>
    <row r="24">
      <c r="A24" s="54" t="inlineStr">
        <is>
          <t>segments_q · 헬스케어</t>
        </is>
      </c>
      <c r="B24" s="54" t="n"/>
      <c r="C24" s="54" t="n"/>
      <c r="D24" s="54" t="n"/>
      <c r="E24" s="54" t="n"/>
      <c r="F24" s="54" t="n"/>
    </row>
    <row r="25">
      <c r="A25" s="55" t="inlineStr">
        <is>
          <t>항목</t>
        </is>
      </c>
      <c r="B25" s="55" t="inlineStr">
        <is>
          <t>값</t>
        </is>
      </c>
      <c r="F25" s="55" t="inlineStr">
        <is>
          <t>출처</t>
        </is>
      </c>
    </row>
    <row r="26">
      <c r="A26" s="56" t="inlineStr">
        <is>
          <t>2026-Q1</t>
        </is>
      </c>
      <c r="B26" s="57" t="n">
        <v>3.46</v>
      </c>
      <c r="F26" s="58" t="inlineStr">
        <is>
          <t>2단계 보고서 자료(회사 설명회 자료·공시)</t>
        </is>
      </c>
    </row>
    <row r="27">
      <c r="A27" s="56" t="inlineStr">
        <is>
          <t>2026-Q2</t>
        </is>
      </c>
      <c r="B27" s="57" t="n">
        <v>8.130000000000001</v>
      </c>
    </row>
    <row r="28">
      <c r="A28" s="56" t="inlineStr">
        <is>
          <t>2026-Q3</t>
        </is>
      </c>
      <c r="B28" s="57" t="n">
        <v>4.21</v>
      </c>
    </row>
    <row r="29">
      <c r="A29" s="56" t="inlineStr">
        <is>
          <t>2026-Q4</t>
        </is>
      </c>
      <c r="B29" s="57" t="n">
        <v>4.15</v>
      </c>
    </row>
    <row r="30">
      <c r="A30" s="56" t="inlineStr">
        <is>
          <t>2027-Q1</t>
        </is>
      </c>
      <c r="B30" s="57" t="n">
        <v>3.26</v>
      </c>
    </row>
    <row r="31">
      <c r="A31" s="56" t="inlineStr">
        <is>
          <t>2027-Q2</t>
        </is>
      </c>
      <c r="B31" s="57" t="n">
        <v>5.48</v>
      </c>
    </row>
    <row r="32">
      <c r="A32" s="56" t="inlineStr">
        <is>
          <t>2027-Q3G</t>
        </is>
      </c>
      <c r="B32" s="57" t="n">
        <v>2.85</v>
      </c>
    </row>
    <row r="33">
      <c r="A33" s="56" t="inlineStr">
        <is>
          <t>2027-Q4G</t>
        </is>
      </c>
      <c r="B33" s="57" t="n">
        <v>0.59</v>
      </c>
    </row>
    <row r="35">
      <c r="A35" s="54" t="inlineStr">
        <is>
          <t>segments_q · 신영역</t>
        </is>
      </c>
      <c r="B35" s="54" t="n"/>
      <c r="C35" s="54" t="n"/>
      <c r="D35" s="54" t="n"/>
      <c r="E35" s="54" t="n"/>
      <c r="F35" s="54" t="n"/>
    </row>
    <row r="36">
      <c r="A36" s="55" t="inlineStr">
        <is>
          <t>항목</t>
        </is>
      </c>
      <c r="B36" s="55" t="inlineStr">
        <is>
          <t>값</t>
        </is>
      </c>
      <c r="F36" s="55" t="inlineStr">
        <is>
          <t>출처</t>
        </is>
      </c>
    </row>
    <row r="37">
      <c r="A37" s="56" t="inlineStr">
        <is>
          <t>2026-Q1</t>
        </is>
      </c>
      <c r="B37" s="57" t="n">
        <v>6.06</v>
      </c>
      <c r="F37" s="58" t="inlineStr">
        <is>
          <t>2단계 보고서 자료(회사 설명회 자료·공시)</t>
        </is>
      </c>
    </row>
    <row r="38">
      <c r="A38" s="56" t="inlineStr">
        <is>
          <t>2026-Q2</t>
        </is>
      </c>
      <c r="B38" s="57" t="n">
        <v>4.66</v>
      </c>
    </row>
    <row r="39">
      <c r="A39" s="56" t="inlineStr">
        <is>
          <t>2026-Q3</t>
        </is>
      </c>
      <c r="B39" s="57" t="n">
        <v>6.44</v>
      </c>
    </row>
    <row r="40">
      <c r="A40" s="56" t="inlineStr">
        <is>
          <t>2026-Q4</t>
        </is>
      </c>
      <c r="B40" s="57" t="n">
        <v>13.23</v>
      </c>
    </row>
    <row r="41">
      <c r="A41" s="56" t="inlineStr">
        <is>
          <t>2027-Q1</t>
        </is>
      </c>
      <c r="B41" s="57" t="n">
        <v>2.89</v>
      </c>
    </row>
    <row r="42">
      <c r="A42" s="56" t="inlineStr">
        <is>
          <t>2027-Q2</t>
        </is>
      </c>
      <c r="B42" s="57" t="n">
        <v>5.11</v>
      </c>
    </row>
    <row r="43">
      <c r="A43" s="56" t="inlineStr">
        <is>
          <t>2027-Q3G</t>
        </is>
      </c>
      <c r="B43" s="57" t="n">
        <v>4.93</v>
      </c>
    </row>
    <row r="44">
      <c r="A44" s="56" t="inlineStr">
        <is>
          <t>2027-Q4G</t>
        </is>
      </c>
      <c r="B44" s="57" t="n">
        <v>5.7</v>
      </c>
    </row>
    <row r="46">
      <c r="A46" s="54" t="inlineStr">
        <is>
          <t>PER band</t>
        </is>
      </c>
      <c r="B46" s="54" t="n"/>
      <c r="C46" s="54" t="n"/>
      <c r="D46" s="54" t="n"/>
      <c r="E46" s="54" t="n"/>
      <c r="F46" s="54" t="n"/>
    </row>
    <row r="47">
      <c r="A47" s="55" t="inlineStr">
        <is>
          <t>항목</t>
        </is>
      </c>
      <c r="B47" s="55" t="inlineStr">
        <is>
          <t>값</t>
        </is>
      </c>
      <c r="F47" s="55" t="inlineStr">
        <is>
          <t>출처</t>
        </is>
      </c>
    </row>
    <row r="48">
      <c r="A48" s="56" t="inlineStr">
        <is>
          <t>lo</t>
        </is>
      </c>
      <c r="B48" s="57" t="n">
        <v>25</v>
      </c>
      <c r="F48" s="58" t="inlineStr">
        <is>
          <t>2단계 보고서 자료(회사 설명회 자료·공시)</t>
        </is>
      </c>
    </row>
    <row r="49">
      <c r="A49" s="56" t="inlineStr">
        <is>
          <t>avg</t>
        </is>
      </c>
      <c r="B49" s="57" t="n">
        <v>74.2</v>
      </c>
    </row>
    <row r="50">
      <c r="A50" s="56" t="inlineStr">
        <is>
          <t>hi</t>
        </is>
      </c>
      <c r="B50" s="57" t="n">
        <v>130</v>
      </c>
    </row>
    <row r="52">
      <c r="A52" s="54" t="inlineStr">
        <is>
          <t>kla 매출 달러 100m</t>
        </is>
      </c>
      <c r="B52" s="54" t="n"/>
      <c r="C52" s="54" t="n"/>
      <c r="D52" s="54" t="n"/>
      <c r="E52" s="54" t="n"/>
      <c r="F52" s="54" t="n"/>
    </row>
    <row r="53">
      <c r="A53" s="55" t="inlineStr">
        <is>
          <t>항목</t>
        </is>
      </c>
      <c r="B53" s="55" t="inlineStr">
        <is>
          <t>값</t>
        </is>
      </c>
      <c r="F53" s="55" t="inlineStr">
        <is>
          <t>출처</t>
        </is>
      </c>
    </row>
    <row r="54">
      <c r="A54" s="56" t="inlineStr">
        <is>
          <t>CY2Q25</t>
        </is>
      </c>
      <c r="B54" s="57" t="n">
        <v>31.75</v>
      </c>
      <c r="F54" s="58" t="inlineStr">
        <is>
          <t>2단계 보고서 자료(회사 설명회 자료·공시)</t>
        </is>
      </c>
    </row>
    <row r="55">
      <c r="A55" s="56" t="inlineStr">
        <is>
          <t>CY3Q25</t>
        </is>
      </c>
      <c r="B55" s="57" t="n">
        <v>32.1</v>
      </c>
    </row>
    <row r="56">
      <c r="A56" s="56" t="inlineStr">
        <is>
          <t>CY4Q25</t>
        </is>
      </c>
      <c r="B56" s="57" t="n">
        <v>32.97</v>
      </c>
    </row>
    <row r="57">
      <c r="A57" s="56" t="inlineStr">
        <is>
          <t>CY1Q26</t>
        </is>
      </c>
      <c r="B57" s="57" t="n">
        <v>34.15</v>
      </c>
    </row>
    <row r="58">
      <c r="A58" s="56" t="inlineStr">
        <is>
          <t>CY2Q26</t>
        </is>
      </c>
      <c r="B58" s="57" t="n">
        <v>36.58</v>
      </c>
    </row>
    <row r="60">
      <c r="A60" s="54" t="inlineStr">
        <is>
          <t>가이던스 path FY2027</t>
        </is>
      </c>
      <c r="B60" s="54" t="n"/>
      <c r="C60" s="54" t="n"/>
      <c r="D60" s="54" t="n"/>
      <c r="E60" s="54" t="n"/>
      <c r="F60" s="54" t="n"/>
    </row>
    <row r="61">
      <c r="A61" s="55" t="inlineStr">
        <is>
          <t>항목</t>
        </is>
      </c>
      <c r="B61" s="55" t="inlineStr">
        <is>
          <t>매출</t>
        </is>
      </c>
      <c r="C61" s="55" t="inlineStr">
        <is>
          <t>영업이익</t>
        </is>
      </c>
      <c r="D61" s="55" t="inlineStr">
        <is>
          <t>순이익</t>
        </is>
      </c>
      <c r="E61" s="55" t="inlineStr">
        <is>
          <t>EPS</t>
        </is>
      </c>
      <c r="F61" s="55" t="inlineStr">
        <is>
          <t>출처</t>
        </is>
      </c>
    </row>
    <row r="62">
      <c r="A62" s="56" t="inlineStr">
        <is>
          <t>2026-04-14</t>
        </is>
      </c>
      <c r="B62" s="57" t="n">
        <v>98.28</v>
      </c>
      <c r="C62" s="57" t="n">
        <v>9.33</v>
      </c>
      <c r="D62" s="57" t="n">
        <v>5.97</v>
      </c>
      <c r="E62" s="57" t="n">
        <v>52.14</v>
      </c>
      <c r="F62" s="58" t="inlineStr">
        <is>
          <t>2단계 보고서 자료(회사 설명회 자료·공시)</t>
        </is>
      </c>
    </row>
    <row r="63">
      <c r="A63" s="56" t="inlineStr">
        <is>
          <t>2026-10-15</t>
        </is>
      </c>
      <c r="B63" s="57" t="n">
        <v>103.23</v>
      </c>
      <c r="C63" s="57" t="n">
        <v>13.67</v>
      </c>
      <c r="D63" s="57" t="n">
        <v>13.28</v>
      </c>
      <c r="E63" s="57" t="n">
        <v>114.5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https://www2.jpx.co.jp/disc/65210/140120261014550863.pdf</t>
        </is>
      </c>
    </row>
    <row r="5">
      <c r="A5" t="inlineStr">
        <is>
          <t>2026-07-14</t>
        </is>
      </c>
      <c r="B5" t="inlineStr">
        <is>
          <t>2027년 2월 결산기 １분기 결산단신</t>
        </is>
      </c>
      <c r="C5" t="inlineStr">
        <is>
          <t>https://www2.jpx.co.jp/disc/65210/140120260714592903.pdf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https://www2.jpx.co.jp/disc/65210/140120260413503111.pdf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https://www2.jpx.co.jp/disc/65210/140120260114533186.pdf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https://www2.jpx.co.jp/disc/65210/140120251015573524.pdf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https://www2.jpx.co.jp/disc/65210/140120250715514411.pdf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https://www2.jpx.co.jp/disc/65210/140120250414514687.pdf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https://www2.jpx.co.jp/disc/65210/140120250114549922.pdf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https://www2.jpx.co.jp/disc/65210/140120241015598193.pdf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https://www2.jpx.co.jp/disc/65210/140120240712548745.pdf</t>
        </is>
      </c>
    </row>
    <row r="14">
      <c r="A14" t="inlineStr">
        <is>
          <t>2024-04-15</t>
        </is>
      </c>
      <c r="B14" t="inlineStr">
        <is>
          <t>2024년 2월 결산기 연간 결산단신</t>
        </is>
      </c>
      <c r="C14" t="inlineStr">
        <is>
          <t>https://www2.jpx.co.jp/disc/65210/140120240415571081.pdf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https://www2.jpx.co.jp/disc/65210/140120240112514556.pdf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https://www2.jpx.co.jp/disc/65210/140120231013566787.pdf</t>
        </is>
      </c>
    </row>
    <row r="17">
      <c r="A17" t="inlineStr">
        <is>
          <t>2023-07-13</t>
        </is>
      </c>
      <c r="B17" t="inlineStr">
        <is>
          <t>2024년 2월 결산기 １분기 결산단신</t>
        </is>
      </c>
      <c r="C17" t="inlineStr">
        <is>
          <t>https://www2.jpx.co.jp/disc/65210/140120230713521813.pdf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https://www2.jpx.co.jp/disc/65210/140120230414547706.pdf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https://www2.jpx.co.jp/disc/65210/140120230113589111.pdf</t>
        </is>
      </c>
    </row>
    <row r="20">
      <c r="A20" t="inlineStr">
        <is>
          <t>2022-04-13</t>
        </is>
      </c>
      <c r="B20" t="inlineStr">
        <is>
          <t>2022년 2월 결산기 연간 결산단신</t>
        </is>
      </c>
      <c r="C20" t="inlineStr">
        <is>
          <t>https://www2.jpx.co.jp/disc/65210/140120220413521127.pdf</t>
        </is>
      </c>
    </row>
    <row r="21">
      <c r="A21" t="inlineStr">
        <is>
          <t>2021-04-12</t>
        </is>
      </c>
      <c r="B21" t="inlineStr">
        <is>
          <t>2021년 2월 결산기 연간 결산단신</t>
        </is>
      </c>
      <c r="C21" t="inlineStr">
        <is>
          <t>https://www2.jpx.co.jp/disc/65210/140120210409492397.pdf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2026-10-28T07:38:04Z</dcterms:created>
  <dcterms:modified xmlns:dcterms="http://purl.org/dc/terms/" xmlns:xsi="http://www.w3.org/2001/XMLSchema-instance" xsi:type="dcterms:W3CDTF">2026-10-28T07:38:04Z</dcterms:modified>
</cp:coreProperties>
</file>