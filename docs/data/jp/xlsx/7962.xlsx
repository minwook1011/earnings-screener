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8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7962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5월 결산 · 일본 기준 · 2027.4Q = 2027년 5월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2025.1Q</t>
        </is>
      </c>
      <c r="D3" s="5" t="inlineStr">
        <is>
          <t>2025.2Q</t>
        </is>
      </c>
      <c r="E3" s="5" t="inlineStr">
        <is>
          <t>2025.3Q</t>
        </is>
      </c>
      <c r="F3" s="5" t="inlineStr">
        <is>
          <t>2025.4Q</t>
        </is>
      </c>
      <c r="G3" s="5" t="inlineStr">
        <is>
          <t>2026.1Q</t>
        </is>
      </c>
      <c r="H3" s="5" t="inlineStr">
        <is>
          <t>2026.2Q</t>
        </is>
      </c>
      <c r="I3" s="5" t="inlineStr">
        <is>
          <t>2026.3Q</t>
        </is>
      </c>
      <c r="J3" s="5" t="inlineStr">
        <is>
          <t>2026.4Q</t>
        </is>
      </c>
      <c r="K3" s="5" t="inlineStr">
        <is>
          <t>2027.1Q</t>
        </is>
      </c>
      <c r="L3" s="5" t="inlineStr">
        <is>
          <t>2027.2Q</t>
        </is>
      </c>
      <c r="M3" s="5" t="inlineStr">
        <is>
          <t>2027.3Q</t>
        </is>
      </c>
      <c r="N3" s="5" t="inlineStr">
        <is>
          <t>2027.4Q</t>
        </is>
      </c>
      <c r="O3" s="6" t="inlineStr">
        <is>
          <t>2018</t>
        </is>
      </c>
      <c r="P3" s="5" t="inlineStr">
        <is>
          <t>2019</t>
        </is>
      </c>
      <c r="Q3" s="5" t="inlineStr">
        <is>
          <t>2020</t>
        </is>
      </c>
      <c r="R3" s="5" t="inlineStr">
        <is>
          <t>2021</t>
        </is>
      </c>
      <c r="S3" s="5" t="inlineStr">
        <is>
          <t>2022</t>
        </is>
      </c>
      <c r="T3" s="5" t="inlineStr">
        <is>
          <t>2023</t>
        </is>
      </c>
      <c r="U3" s="5" t="inlineStr">
        <is>
          <t>2024</t>
        </is>
      </c>
      <c r="V3" s="5" t="inlineStr">
        <is>
          <t>2025</t>
        </is>
      </c>
      <c r="W3" s="5" t="inlineStr">
        <is>
          <t>2026</t>
        </is>
      </c>
      <c r="X3" s="5" t="inlineStr">
        <is>
          <t>2027</t>
        </is>
      </c>
      <c r="Y3" s="7" t="inlineStr">
        <is>
          <t>2028(MW)</t>
        </is>
      </c>
      <c r="Z3" s="8" t="inlineStr">
        <is>
          <t>2029(MW)</t>
        </is>
      </c>
      <c r="AA3" s="8" t="inlineStr">
        <is>
          <t>2030(MW)</t>
        </is>
      </c>
      <c r="AB3" s="8" t="inlineStr">
        <is>
          <t>2031(MW)</t>
        </is>
      </c>
      <c r="AC3" s="8" t="inlineStr">
        <is>
          <t>2032(MW)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8785.175999999999</v>
      </c>
      <c r="D4" s="12" t="n">
        <v>9734.880999999999</v>
      </c>
      <c r="E4" s="12" t="n">
        <v>10261.756</v>
      </c>
      <c r="F4" s="12" t="n">
        <v>10771.256</v>
      </c>
      <c r="G4" s="12" t="n">
        <v>8251.473</v>
      </c>
      <c r="H4" s="12" t="n">
        <v>9715.757</v>
      </c>
      <c r="I4" s="12" t="n">
        <v>9934.630999999999</v>
      </c>
      <c r="J4" s="12" t="n">
        <v>11737.639</v>
      </c>
      <c r="K4" s="12" t="n"/>
      <c r="L4" s="12" t="n"/>
      <c r="M4" s="12" t="n"/>
      <c r="N4" s="12" t="n"/>
      <c r="O4" s="11" t="n">
        <v>34627.821</v>
      </c>
      <c r="P4" s="12" t="n">
        <v>34788.058</v>
      </c>
      <c r="Q4" s="12" t="n">
        <v>34329.544</v>
      </c>
      <c r="R4" s="12" t="n">
        <v>33455.274</v>
      </c>
      <c r="S4" s="12" t="n">
        <v>36319.071</v>
      </c>
      <c r="T4" s="12" t="n">
        <v>36636.516</v>
      </c>
      <c r="U4" s="12" t="n">
        <v>39393.899</v>
      </c>
      <c r="V4" s="12" t="n">
        <v>39553.069</v>
      </c>
      <c r="W4" s="12" t="n">
        <v>39639.5</v>
      </c>
      <c r="X4" s="12" t="n">
        <v>39134.788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StationeryAndOfficeSupplyReportableSegmentsMember</t>
        </is>
      </c>
      <c r="B7" s="10" t="n"/>
      <c r="C7" s="19" t="n">
        <v>5183.236</v>
      </c>
      <c r="D7" s="20" t="n">
        <v>6189.249</v>
      </c>
      <c r="E7" s="20" t="n">
        <v>6839.502</v>
      </c>
      <c r="F7" s="20" t="n">
        <v>7122.651</v>
      </c>
      <c r="G7" s="20" t="n">
        <v>4922.836</v>
      </c>
      <c r="H7" s="20" t="n">
        <v>6096.275</v>
      </c>
      <c r="I7" s="20" t="n">
        <v>6846.367</v>
      </c>
      <c r="J7" s="20" t="n">
        <v>7312.615</v>
      </c>
      <c r="K7" s="20" t="n"/>
      <c r="L7" s="20" t="n"/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25334.638</v>
      </c>
      <c r="W7" s="20" t="n">
        <v>25178.093</v>
      </c>
      <c r="X7" s="20" t="n">
        <v>24902.916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LifestyleProductsReportableSegmentMember</t>
        </is>
      </c>
      <c r="B10" s="10" t="n"/>
      <c r="C10" s="19" t="n">
        <v>3601.94</v>
      </c>
      <c r="D10" s="20" t="n"/>
      <c r="E10" s="20" t="n"/>
      <c r="F10" s="20" t="n"/>
      <c r="G10" s="20" t="n">
        <v>3328.637</v>
      </c>
      <c r="H10" s="20" t="n"/>
      <c r="I10" s="20" t="n"/>
      <c r="J10" s="20" t="n"/>
      <c r="K10" s="20" t="n"/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LifeStyleProductsReportableSegmentMember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InteriorLifeStyleReportableSegmentsMember</t>
        </is>
      </c>
      <c r="B16" s="10" t="n"/>
      <c r="C16" s="19" t="n"/>
      <c r="D16" s="20" t="n"/>
      <c r="E16" s="20" t="n">
        <v>3422.254</v>
      </c>
      <c r="F16" s="20" t="n">
        <v>3648.605</v>
      </c>
      <c r="G16" s="20" t="n"/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14218.431</v>
      </c>
      <c r="W16" s="20" t="n">
        <v>14461.407</v>
      </c>
      <c r="X16" s="20" t="n">
        <v>14231.871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>
        <v>8785.175999999999</v>
      </c>
      <c r="D19" s="20" t="n"/>
      <c r="E19" s="20" t="n"/>
      <c r="F19" s="20" t="n"/>
      <c r="G19" s="20" t="n">
        <v>8251.473</v>
      </c>
      <c r="H19" s="20" t="n"/>
      <c r="I19" s="20" t="n"/>
      <c r="J19" s="20" t="n"/>
      <c r="K19" s="20" t="n"/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5537.849</v>
      </c>
      <c r="D23" s="20" t="n">
        <v>5973.641</v>
      </c>
      <c r="E23" s="20" t="n">
        <v>6129.678</v>
      </c>
      <c r="F23" s="20" t="n">
        <v>7595.652</v>
      </c>
      <c r="G23" s="20" t="n">
        <v>5035.836</v>
      </c>
      <c r="H23" s="20" t="n">
        <v>5894.876</v>
      </c>
      <c r="I23" s="20" t="n">
        <v>6108.146</v>
      </c>
      <c r="J23" s="20" t="n">
        <v>7735.502</v>
      </c>
      <c r="K23" s="20" t="n"/>
      <c r="L23" s="20" t="n"/>
      <c r="M23" s="20" t="n"/>
      <c r="N23" s="20" t="n"/>
      <c r="O23" s="19" t="n">
        <v>21653.1</v>
      </c>
      <c r="P23" s="20" t="n">
        <v>21198.62</v>
      </c>
      <c r="Q23" s="20" t="n">
        <v>21146.112</v>
      </c>
      <c r="R23" s="20" t="n">
        <v>20554.178</v>
      </c>
      <c r="S23" s="20" t="n">
        <v>21880.29</v>
      </c>
      <c r="T23" s="20" t="n">
        <v>23159.303</v>
      </c>
      <c r="U23" s="20" t="n">
        <v>25203.192</v>
      </c>
      <c r="V23" s="20" t="n">
        <v>25236.82</v>
      </c>
      <c r="W23" s="20" t="n">
        <v>24774.36</v>
      </c>
      <c r="X23" s="20" t="n">
        <v>24044.543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3500.086</v>
      </c>
      <c r="D29" s="20" t="n">
        <v>3489.966</v>
      </c>
      <c r="E29" s="20" t="n">
        <v>3763.823</v>
      </c>
      <c r="F29" s="20" t="n">
        <v>3804.256</v>
      </c>
      <c r="G29" s="20" t="n">
        <v>3429.424</v>
      </c>
      <c r="H29" s="20" t="n">
        <v>3408.246</v>
      </c>
      <c r="I29" s="20" t="n">
        <v>3502.363</v>
      </c>
      <c r="J29" s="20" t="n">
        <v>3987.392</v>
      </c>
      <c r="K29" s="20" t="n"/>
      <c r="L29" s="20" t="n"/>
      <c r="M29" s="20" t="n"/>
      <c r="N29" s="20" t="n"/>
      <c r="O29" s="19" t="n">
        <v>11283.751</v>
      </c>
      <c r="P29" s="20" t="n">
        <v>11676.825</v>
      </c>
      <c r="Q29" s="20" t="n">
        <v>11788.389</v>
      </c>
      <c r="R29" s="20" t="n">
        <v>11668.499</v>
      </c>
      <c r="S29" s="20" t="n">
        <v>12021.975</v>
      </c>
      <c r="T29" s="20" t="n">
        <v>12469.604</v>
      </c>
      <c r="U29" s="20" t="n">
        <v>13822.398</v>
      </c>
      <c r="V29" s="20" t="n">
        <v>14558.131</v>
      </c>
      <c r="W29" s="20" t="n">
        <v>14327.425</v>
      </c>
      <c r="X29" s="20" t="n">
        <v>13961.333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-252.759</v>
      </c>
      <c r="D31" s="12" t="n">
        <v>271.273</v>
      </c>
      <c r="E31" s="12" t="n">
        <v>368.255</v>
      </c>
      <c r="F31" s="12" t="n">
        <v>-628.652</v>
      </c>
      <c r="G31" s="12" t="n">
        <v>-213.787</v>
      </c>
      <c r="H31" s="12" t="n">
        <v>412.634</v>
      </c>
      <c r="I31" s="12" t="n">
        <v>324.122</v>
      </c>
      <c r="J31" s="12" t="n">
        <v>14.746</v>
      </c>
      <c r="K31" s="12" t="n"/>
      <c r="L31" s="12" t="n"/>
      <c r="M31" s="12" t="n"/>
      <c r="N31" s="12" t="n"/>
      <c r="O31" s="11" t="n">
        <v>1690.969</v>
      </c>
      <c r="P31" s="12" t="n">
        <v>1912.612</v>
      </c>
      <c r="Q31" s="12" t="n">
        <v>1395.042</v>
      </c>
      <c r="R31" s="12" t="n">
        <v>1232.597</v>
      </c>
      <c r="S31" s="12" t="n">
        <v>2416.805</v>
      </c>
      <c r="T31" s="12" t="n">
        <v>1007.607</v>
      </c>
      <c r="U31" s="12" t="n">
        <v>368.308</v>
      </c>
      <c r="V31" s="12" t="n">
        <v>-241.883</v>
      </c>
      <c r="W31" s="12" t="n">
        <v>537.715</v>
      </c>
      <c r="X31" s="12" t="n">
        <v>1128.91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0</v>
      </c>
      <c r="D47" s="20" t="n">
        <v>0</v>
      </c>
      <c r="E47" s="20" t="n">
        <v>0</v>
      </c>
      <c r="F47" s="20" t="n">
        <v>137.905</v>
      </c>
      <c r="G47" s="20" t="n"/>
      <c r="H47" s="20" t="n"/>
      <c r="I47" s="20" t="n"/>
      <c r="J47" s="20" t="n">
        <v>101.941</v>
      </c>
      <c r="K47" s="20" t="n"/>
      <c r="L47" s="20" t="n"/>
      <c r="M47" s="20" t="n"/>
      <c r="N47" s="20" t="n"/>
      <c r="O47" s="19" t="n">
        <v>0.696</v>
      </c>
      <c r="P47" s="20" t="n">
        <v>0.982</v>
      </c>
      <c r="Q47" s="20" t="n">
        <v>0.752</v>
      </c>
      <c r="R47" s="20" t="n">
        <v>87.492</v>
      </c>
      <c r="S47" s="20" t="n">
        <v>0.453</v>
      </c>
      <c r="T47" s="20" t="n">
        <v>1.563</v>
      </c>
      <c r="U47" s="20" t="n">
        <v>180.199</v>
      </c>
      <c r="V47" s="20" t="n">
        <v>137.905</v>
      </c>
      <c r="W47" s="20" t="n">
        <v>103.157</v>
      </c>
      <c r="X47" s="20" t="n">
        <v>180.658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0.103</v>
      </c>
      <c r="D49" s="20" t="n">
        <v>0.016</v>
      </c>
      <c r="E49" s="20" t="n">
        <v>0.076</v>
      </c>
      <c r="F49" s="20" t="n">
        <v>225.955</v>
      </c>
      <c r="G49" s="20" t="n">
        <v>20.332</v>
      </c>
      <c r="H49" s="20" t="n">
        <v>-5.539</v>
      </c>
      <c r="I49" s="20" t="n">
        <v>6.962</v>
      </c>
      <c r="J49" s="20" t="n">
        <v>97.078</v>
      </c>
      <c r="K49" s="20" t="n"/>
      <c r="L49" s="20" t="n"/>
      <c r="M49" s="20" t="n"/>
      <c r="N49" s="20" t="n"/>
      <c r="O49" s="19" t="n">
        <v>52.62</v>
      </c>
      <c r="P49" s="20" t="n">
        <v>115.311</v>
      </c>
      <c r="Q49" s="20" t="n">
        <v>82.78700000000001</v>
      </c>
      <c r="R49" s="20" t="n">
        <v>37.72</v>
      </c>
      <c r="S49" s="20" t="n">
        <v>37.168</v>
      </c>
      <c r="T49" s="20" t="n">
        <v>115.578</v>
      </c>
      <c r="U49" s="20" t="n">
        <v>0.384</v>
      </c>
      <c r="V49" s="20" t="n">
        <v>226.15</v>
      </c>
      <c r="W49" s="20" t="n">
        <v>118.833</v>
      </c>
      <c r="X49" s="20" t="n">
        <v>57.503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202.21</v>
      </c>
      <c r="D51" s="20" t="n">
        <v>75.209</v>
      </c>
      <c r="E51" s="20" t="n">
        <v>134.335</v>
      </c>
      <c r="F51" s="20" t="n">
        <v>52.674</v>
      </c>
      <c r="G51" s="20" t="n">
        <v>136.259</v>
      </c>
      <c r="H51" s="20" t="n">
        <v>110.789</v>
      </c>
      <c r="I51" s="20" t="n">
        <v>118.034</v>
      </c>
      <c r="J51" s="20" t="n">
        <v>48.036</v>
      </c>
      <c r="K51" s="20" t="n"/>
      <c r="L51" s="20" t="n"/>
      <c r="M51" s="20" t="n"/>
      <c r="N51" s="20" t="n"/>
      <c r="O51" s="19" t="n">
        <v>201.272</v>
      </c>
      <c r="P51" s="20" t="n">
        <v>246.952</v>
      </c>
      <c r="Q51" s="20" t="n">
        <v>303.108</v>
      </c>
      <c r="R51" s="20" t="n">
        <v>323.166</v>
      </c>
      <c r="S51" s="20" t="n">
        <v>394.536</v>
      </c>
      <c r="T51" s="20" t="n">
        <v>397.023</v>
      </c>
      <c r="U51" s="20" t="n">
        <v>365.153</v>
      </c>
      <c r="V51" s="20" t="n">
        <v>464.428</v>
      </c>
      <c r="W51" s="20" t="n">
        <v>413.118</v>
      </c>
      <c r="X51" s="20" t="n">
        <v>515.499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24.483</v>
      </c>
      <c r="D53" s="20" t="n">
        <v>90.46599999999999</v>
      </c>
      <c r="E53" s="20" t="n">
        <v>-32.069</v>
      </c>
      <c r="F53" s="20" t="n">
        <v>9.385999999999999</v>
      </c>
      <c r="G53" s="20" t="n">
        <v>57.741</v>
      </c>
      <c r="H53" s="20" t="n">
        <v>5.35</v>
      </c>
      <c r="I53" s="20" t="n">
        <v>35.116</v>
      </c>
      <c r="J53" s="20" t="n">
        <v>16.384</v>
      </c>
      <c r="K53" s="20" t="n"/>
      <c r="L53" s="20" t="n"/>
      <c r="M53" s="20" t="n"/>
      <c r="N53" s="20" t="n"/>
      <c r="O53" s="19" t="n">
        <v>64.18000000000001</v>
      </c>
      <c r="P53" s="20" t="n">
        <v>70.498</v>
      </c>
      <c r="Q53" s="20" t="n">
        <v>61.209</v>
      </c>
      <c r="R53" s="20" t="n">
        <v>66.32299999999999</v>
      </c>
      <c r="S53" s="20" t="n">
        <v>55.89</v>
      </c>
      <c r="T53" s="20" t="n">
        <v>66.039</v>
      </c>
      <c r="U53" s="20" t="n">
        <v>96.184</v>
      </c>
      <c r="V53" s="20" t="n">
        <v>92.26600000000001</v>
      </c>
      <c r="W53" s="20" t="n">
        <v>114.591</v>
      </c>
      <c r="X53" s="20" t="n">
        <v>133.465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-75.13500000000001</v>
      </c>
      <c r="D55" s="12" t="n">
        <v>255.999</v>
      </c>
      <c r="E55" s="12" t="n">
        <v>534.583</v>
      </c>
      <c r="F55" s="12" t="n">
        <v>-673.414</v>
      </c>
      <c r="G55" s="12" t="n">
        <v>-155.602</v>
      </c>
      <c r="H55" s="12" t="n">
        <v>523.612</v>
      </c>
      <c r="I55" s="12" t="n">
        <v>401.294</v>
      </c>
      <c r="J55" s="12" t="n">
        <v>51.262</v>
      </c>
      <c r="K55" s="12" t="n"/>
      <c r="L55" s="12" t="n"/>
      <c r="M55" s="12" t="n"/>
      <c r="N55" s="12" t="n"/>
      <c r="O55" s="11" t="n">
        <v>1776.137</v>
      </c>
      <c r="P55" s="12" t="n">
        <v>1974.736</v>
      </c>
      <c r="Q55" s="12" t="n">
        <v>1554.905</v>
      </c>
      <c r="R55" s="12" t="n">
        <v>1539.213</v>
      </c>
      <c r="S55" s="12" t="n">
        <v>2718.736</v>
      </c>
      <c r="T55" s="12" t="n">
        <v>1224.577</v>
      </c>
      <c r="U55" s="12" t="n">
        <v>817.092</v>
      </c>
      <c r="V55" s="12" t="n">
        <v>42.033</v>
      </c>
      <c r="W55" s="12" t="n">
        <v>820.566</v>
      </c>
      <c r="X55" s="12" t="n">
        <v>1634.098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142.943</v>
      </c>
      <c r="D57" s="20" t="n">
        <v>113.025</v>
      </c>
      <c r="E57" s="20" t="n">
        <v>70.758</v>
      </c>
      <c r="F57" s="20" t="n">
        <v>33.375</v>
      </c>
      <c r="G57" s="20" t="n">
        <v>143.34</v>
      </c>
      <c r="H57" s="20" t="n">
        <v>197.118</v>
      </c>
      <c r="I57" s="20" t="n">
        <v>80.107</v>
      </c>
      <c r="J57" s="20" t="n">
        <v>-24.944</v>
      </c>
      <c r="K57" s="20" t="n"/>
      <c r="L57" s="20" t="n"/>
      <c r="M57" s="20" t="n"/>
      <c r="N57" s="20" t="n"/>
      <c r="O57" s="19" t="n">
        <v>552.367</v>
      </c>
      <c r="P57" s="20" t="n">
        <v>561.38</v>
      </c>
      <c r="Q57" s="20" t="n">
        <v>576.596</v>
      </c>
      <c r="R57" s="20" t="n">
        <v>457.031</v>
      </c>
      <c r="S57" s="20" t="n">
        <v>753.519</v>
      </c>
      <c r="T57" s="20" t="n">
        <v>434.584</v>
      </c>
      <c r="U57" s="20" t="n">
        <v>397.201</v>
      </c>
      <c r="V57" s="20" t="n">
        <v>360.101</v>
      </c>
      <c r="W57" s="20" t="n">
        <v>395.621</v>
      </c>
      <c r="X57" s="20" t="n">
        <v>633.655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-218.078</v>
      </c>
      <c r="D59" s="12" t="n">
        <v>142.975</v>
      </c>
      <c r="E59" s="12" t="n">
        <v>463.824</v>
      </c>
      <c r="F59" s="12" t="n">
        <v>-706.789</v>
      </c>
      <c r="G59" s="12" t="n">
        <v>-298.942</v>
      </c>
      <c r="H59" s="12" t="n">
        <v>326.493</v>
      </c>
      <c r="I59" s="12" t="n">
        <v>321.188</v>
      </c>
      <c r="J59" s="12" t="n">
        <v>76.205</v>
      </c>
      <c r="K59" s="12" t="n"/>
      <c r="L59" s="12" t="n"/>
      <c r="M59" s="12" t="n"/>
      <c r="N59" s="12" t="n"/>
      <c r="O59" s="11" t="n">
        <v>1223.769</v>
      </c>
      <c r="P59" s="12" t="n">
        <v>1413.355</v>
      </c>
      <c r="Q59" s="12" t="n">
        <v>978.309</v>
      </c>
      <c r="R59" s="12" t="n">
        <v>1082.181</v>
      </c>
      <c r="S59" s="12" t="n">
        <v>1965.216</v>
      </c>
      <c r="T59" s="12" t="n">
        <v>789.9930000000001</v>
      </c>
      <c r="U59" s="12" t="n">
        <v>419.891</v>
      </c>
      <c r="V59" s="12" t="n">
        <v>-318.068</v>
      </c>
      <c r="W59" s="12" t="n">
        <v>424.944</v>
      </c>
      <c r="X59" s="12" t="n">
        <v>1000.443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-218.078</v>
      </c>
      <c r="D61" s="12" t="n">
        <v>142.975</v>
      </c>
      <c r="E61" s="12" t="n">
        <v>463.824</v>
      </c>
      <c r="F61" s="12" t="n">
        <v>-706.789</v>
      </c>
      <c r="G61" s="12" t="n">
        <v>-298.942</v>
      </c>
      <c r="H61" s="12" t="n">
        <v>326.493</v>
      </c>
      <c r="I61" s="12" t="n">
        <v>321.188</v>
      </c>
      <c r="J61" s="12" t="n">
        <v>76.205</v>
      </c>
      <c r="K61" s="12" t="n"/>
      <c r="L61" s="12" t="n"/>
      <c r="M61" s="12" t="n"/>
      <c r="N61" s="12" t="n"/>
      <c r="O61" s="11" t="n">
        <v>1204.004</v>
      </c>
      <c r="P61" s="12" t="n">
        <v>1402.847</v>
      </c>
      <c r="Q61" s="12" t="n">
        <v>963.042</v>
      </c>
      <c r="R61" s="12" t="n">
        <v>1081.679</v>
      </c>
      <c r="S61" s="12" t="n">
        <v>1963.34</v>
      </c>
      <c r="T61" s="12" t="n">
        <v>788.782</v>
      </c>
      <c r="U61" s="12" t="n">
        <v>419.79</v>
      </c>
      <c r="V61" s="12" t="n">
        <v>-318.068</v>
      </c>
      <c r="W61" s="12" t="n">
        <v>424.944</v>
      </c>
      <c r="X61" s="12" t="n">
        <v>1000.443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(2026.10.28)</t>
        </is>
      </c>
      <c r="B65" s="27" t="n">
        <v>750</v>
      </c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>
        <v>31459692</v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 2026.10.28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2025.1Q</t>
        </is>
      </c>
      <c r="D95" s="5" t="inlineStr">
        <is>
          <t>2025.2Q</t>
        </is>
      </c>
      <c r="E95" s="5" t="inlineStr">
        <is>
          <t>2025.3Q</t>
        </is>
      </c>
      <c r="F95" s="5" t="inlineStr">
        <is>
          <t>2025.4Q</t>
        </is>
      </c>
      <c r="G95" s="5" t="inlineStr">
        <is>
          <t>2026.1Q</t>
        </is>
      </c>
      <c r="H95" s="5" t="inlineStr">
        <is>
          <t>2026.2Q</t>
        </is>
      </c>
      <c r="I95" s="5" t="inlineStr">
        <is>
          <t>2026.3Q</t>
        </is>
      </c>
      <c r="J95" s="5" t="inlineStr">
        <is>
          <t>2026.4Q</t>
        </is>
      </c>
      <c r="K95" s="5" t="inlineStr">
        <is>
          <t>2027.1Q</t>
        </is>
      </c>
      <c r="L95" s="5" t="inlineStr">
        <is>
          <t>2027.2Q</t>
        </is>
      </c>
      <c r="M95" s="5" t="inlineStr">
        <is>
          <t>2027.3Q</t>
        </is>
      </c>
      <c r="N95" s="5" t="inlineStr">
        <is>
          <t>2027.4Q</t>
        </is>
      </c>
      <c r="O95" s="5" t="inlineStr">
        <is>
          <t>2018</t>
        </is>
      </c>
      <c r="P95" s="5" t="inlineStr">
        <is>
          <t>2019</t>
        </is>
      </c>
      <c r="Q95" s="5" t="inlineStr">
        <is>
          <t>2020</t>
        </is>
      </c>
      <c r="R95" s="5" t="inlineStr">
        <is>
          <t>2021</t>
        </is>
      </c>
      <c r="S95" s="5" t="inlineStr">
        <is>
          <t>2022</t>
        </is>
      </c>
      <c r="T95" s="5" t="inlineStr">
        <is>
          <t>2023</t>
        </is>
      </c>
      <c r="U95" s="5" t="inlineStr">
        <is>
          <t>2024</t>
        </is>
      </c>
      <c r="V95" s="5" t="inlineStr">
        <is>
          <t>2025</t>
        </is>
      </c>
      <c r="W95" s="5" t="inlineStr">
        <is>
          <t>2026</t>
        </is>
      </c>
      <c r="X95" s="5" t="inlineStr">
        <is>
          <t>2027</t>
        </is>
      </c>
      <c r="Y95" s="5" t="inlineStr">
        <is>
          <t>2028(MW)</t>
        </is>
      </c>
      <c r="Z95" s="5" t="inlineStr">
        <is>
          <t>2029(MW)</t>
        </is>
      </c>
      <c r="AA95" s="5" t="inlineStr">
        <is>
          <t>2030(MW)</t>
        </is>
      </c>
      <c r="AB95" s="5" t="inlineStr">
        <is>
          <t>2031(MW)</t>
        </is>
      </c>
      <c r="AC95" s="5" t="inlineStr">
        <is>
          <t>2032(MW)</t>
        </is>
      </c>
    </row>
    <row r="96">
      <c r="A96" s="9" t="inlineStr">
        <is>
          <t>매출액</t>
        </is>
      </c>
      <c r="C96" s="12" t="n">
        <v>8785.175999999999</v>
      </c>
      <c r="D96" s="12" t="n">
        <v>9734.880999999999</v>
      </c>
      <c r="E96" s="12" t="n">
        <v>10261.756</v>
      </c>
      <c r="F96" s="12" t="n">
        <v>10771.256</v>
      </c>
      <c r="G96" s="12" t="n">
        <v>8251.473</v>
      </c>
      <c r="H96" s="12" t="n">
        <v>9715.757</v>
      </c>
      <c r="I96" s="12" t="n">
        <v>9934.630999999999</v>
      </c>
      <c r="J96" s="12" t="n">
        <v>11737.639</v>
      </c>
      <c r="S96" s="12" t="n">
        <v>9973.371999999999</v>
      </c>
      <c r="T96" s="12" t="n">
        <v>7701.035</v>
      </c>
      <c r="U96" s="12" t="n">
        <v>10803.535</v>
      </c>
      <c r="V96" s="12" t="n">
        <v>10771.256</v>
      </c>
      <c r="W96" s="12" t="n">
        <v>11737.639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S97" s="15">
        <f>IF(OR(S96="",R96=""),"",IF(R96&lt;=0,"",IFERROR(S96/R96-1,"")))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</row>
    <row r="98">
      <c r="A98" s="18" t="inlineStr">
        <is>
          <t>매출원가</t>
        </is>
      </c>
      <c r="C98" s="20" t="n">
        <v>5537.849</v>
      </c>
      <c r="D98" s="20" t="n">
        <v>5973.641</v>
      </c>
      <c r="E98" s="20" t="n">
        <v>6129.678</v>
      </c>
      <c r="F98" s="20" t="n">
        <v>7595.652</v>
      </c>
      <c r="G98" s="20" t="n">
        <v>5035.836</v>
      </c>
      <c r="H98" s="20" t="n">
        <v>5894.876</v>
      </c>
      <c r="I98" s="20" t="n">
        <v>6108.146</v>
      </c>
      <c r="J98" s="20" t="n">
        <v>7735.502</v>
      </c>
      <c r="S98" s="20" t="n">
        <v>5363.299</v>
      </c>
      <c r="T98" s="20" t="n">
        <v>4649.623</v>
      </c>
      <c r="U98" s="20" t="n">
        <v>7241.392</v>
      </c>
      <c r="V98" s="20" t="n">
        <v>7595.652</v>
      </c>
      <c r="W98" s="20" t="n">
        <v>7735.502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S99" s="15">
        <f>IF(OR(S98="",R98=""),"",IF(S98*R98&lt;=0,"",IFERROR(S98/R98-1,"")))</f>
        <v/>
      </c>
      <c r="T99" s="15">
        <f>IF(OR(T98="",S98=""),"",IF(T98*S98&lt;=0,"",IFERROR(T98/S98-1,"")))</f>
        <v/>
      </c>
      <c r="U99" s="15">
        <f>IF(OR(U98="",T98=""),"",IF(U98*T98&lt;=0,"",IFERROR(U98/T98-1,"")))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</row>
    <row r="100">
      <c r="A100" s="9" t="inlineStr">
        <is>
          <t>매출총이익</t>
        </is>
      </c>
      <c r="C100" s="12" t="n">
        <v>3247.326</v>
      </c>
      <c r="D100" s="12" t="n">
        <v>3761.24</v>
      </c>
      <c r="E100" s="12" t="n">
        <v>4132.079</v>
      </c>
      <c r="F100" s="12" t="n">
        <v>3175.603</v>
      </c>
      <c r="G100" s="12" t="n">
        <v>3215.636</v>
      </c>
      <c r="H100" s="12" t="n">
        <v>3820.881</v>
      </c>
      <c r="I100" s="12" t="n">
        <v>3826.485</v>
      </c>
      <c r="J100" s="12" t="n">
        <v>4002.138</v>
      </c>
      <c r="S100" s="12" t="n">
        <v>4610.072</v>
      </c>
      <c r="T100" s="12" t="n">
        <v>3051.412</v>
      </c>
      <c r="U100" s="12" t="n">
        <v>3562.143</v>
      </c>
      <c r="V100" s="12" t="n">
        <v>3175.603</v>
      </c>
      <c r="W100" s="12" t="n">
        <v>4002.138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S101" s="15">
        <f>IF(OR(S100="",R100=""),"",IF(R100&lt;=0,"",IFERROR(S100/R100-1,"")))</f>
        <v/>
      </c>
      <c r="T101" s="15">
        <f>IF(OR(T100="",S100=""),"",IF(S100&lt;=0,"",IFERROR(T100/S100-1,"")))</f>
        <v/>
      </c>
      <c r="U101" s="15">
        <f>IF(OR(U100="",T100=""),"",IF(T100&lt;=0,"",IFERROR(U100/T100-1,"")))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</row>
    <row r="102">
      <c r="A102" s="18" t="inlineStr">
        <is>
          <t>판매비와 관리비</t>
        </is>
      </c>
      <c r="C102" s="20" t="n">
        <v>3500.086</v>
      </c>
      <c r="D102" s="20" t="n">
        <v>3489.966</v>
      </c>
      <c r="E102" s="20" t="n">
        <v>3763.823</v>
      </c>
      <c r="F102" s="20" t="n">
        <v>3804.256</v>
      </c>
      <c r="G102" s="20" t="n">
        <v>3429.424</v>
      </c>
      <c r="H102" s="20" t="n">
        <v>3408.246</v>
      </c>
      <c r="I102" s="20" t="n">
        <v>3502.363</v>
      </c>
      <c r="J102" s="20" t="n">
        <v>3987.392</v>
      </c>
      <c r="S102" s="20" t="n">
        <v>2974.734</v>
      </c>
      <c r="T102" s="20" t="n">
        <v>2125.22</v>
      </c>
      <c r="U102" s="20" t="n">
        <v>2947.929</v>
      </c>
      <c r="V102" s="20" t="n">
        <v>3804.256</v>
      </c>
      <c r="W102" s="20" t="n">
        <v>3987.392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S103" s="15">
        <f>IF(OR(S102="",R102=""),"",IF(S102*R102&lt;=0,"",IFERROR(S102/R102-1,"")))</f>
        <v/>
      </c>
      <c r="T103" s="15">
        <f>IF(OR(T102="",S102=""),"",IF(T102*S102&lt;=0,"",IFERROR(T102/S102-1,"")))</f>
        <v/>
      </c>
      <c r="U103" s="15">
        <f>IF(OR(U102="",T102=""),"",IF(U102*T102&lt;=0,"",IFERROR(U102/T102-1,"")))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</row>
    <row r="104">
      <c r="A104" s="9" t="inlineStr">
        <is>
          <t>영업이익</t>
        </is>
      </c>
      <c r="C104" s="12" t="n">
        <v>-252.759</v>
      </c>
      <c r="D104" s="12" t="n">
        <v>271.273</v>
      </c>
      <c r="E104" s="12" t="n">
        <v>368.255</v>
      </c>
      <c r="F104" s="12" t="n">
        <v>-628.652</v>
      </c>
      <c r="G104" s="12" t="n">
        <v>-213.787</v>
      </c>
      <c r="H104" s="12" t="n">
        <v>412.634</v>
      </c>
      <c r="I104" s="12" t="n">
        <v>324.122</v>
      </c>
      <c r="J104" s="12" t="n">
        <v>14.746</v>
      </c>
      <c r="S104" s="12" t="n">
        <v>1635.339</v>
      </c>
      <c r="T104" s="12" t="n">
        <v>926.191</v>
      </c>
      <c r="U104" s="12" t="n">
        <v>614.213</v>
      </c>
      <c r="V104" s="12" t="n">
        <v>-628.652</v>
      </c>
      <c r="W104" s="12" t="n">
        <v>14.746</v>
      </c>
    </row>
    <row r="105">
      <c r="A105" s="43" t="inlineStr">
        <is>
          <t>OPM</t>
        </is>
      </c>
      <c r="B105" s="3" t="inlineStr">
        <is>
          <t>영업이익 ÷ 매출</t>
        </is>
      </c>
      <c r="C105" s="15">
        <f>IF(OR(C104="",C96=""),"",IF(C96&lt;=0,"",IFERROR(C104/C96,"")))</f>
        <v/>
      </c>
      <c r="D105" s="15">
        <f>IF(OR(D104="",D96=""),"",IF(D96&lt;=0,"",IFERROR(D104/D96,"")))</f>
        <v/>
      </c>
      <c r="E105" s="15">
        <f>IF(OR(E104="",E96=""),"",IF(E96&lt;=0,"",IFERROR(E104/E96,"")))</f>
        <v/>
      </c>
      <c r="F105" s="15">
        <f>IF(OR(F104="",F96=""),"",IF(F96&lt;=0,"",IFERROR(F104/F96,"")))</f>
        <v/>
      </c>
      <c r="G105" s="15">
        <f>IF(OR(G104="",G96=""),"",IF(G96&lt;=0,"",IFERROR(G104/G96,"")))</f>
        <v/>
      </c>
      <c r="H105" s="15">
        <f>IF(OR(H104="",H96=""),"",IF(H96&lt;=0,"",IFERROR(H104/H96,"")))</f>
        <v/>
      </c>
      <c r="I105" s="15">
        <f>IF(OR(I104="",I96=""),"",IF(I96&lt;=0,"",IFERROR(I104/I96,"")))</f>
        <v/>
      </c>
      <c r="J105" s="15">
        <f>IF(OR(J104="",J96=""),"",IF(J96&lt;=0,"",IFERROR(J104/J96,"")))</f>
        <v/>
      </c>
      <c r="S105" s="15">
        <f>IF(OR(S104="",S96=""),"",IF(S96&lt;=0,"",IFERROR(S104/S96,"")))</f>
        <v/>
      </c>
      <c r="T105" s="15">
        <f>IF(OR(T104="",T96=""),"",IF(T96&lt;=0,"",IFERROR(T104/T96,"")))</f>
        <v/>
      </c>
      <c r="U105" s="15">
        <f>IF(OR(U104="",U96=""),"",IF(U96&lt;=0,"",IFERROR(U104/U96,"")))</f>
        <v/>
      </c>
      <c r="V105" s="15">
        <f>IF(OR(V104="",V96=""),"",IF(V96&lt;=0,"",IFERROR(V104/V96,"")))</f>
        <v/>
      </c>
      <c r="W105" s="15">
        <f>IF(OR(W104="",W96=""),"",IF(W96&lt;=0,"",IFERROR(W104/W96,"")))</f>
        <v/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IF(OR(G104="",C104=""),"",IF(C104&lt;=0,"",IFERROR(G104/C104-1,"")))</f>
        <v/>
      </c>
      <c r="H106" s="15">
        <f>IF(OR(H104="",D104=""),"",IF(D104&lt;=0,"",IFERROR(H104/D104-1,"")))</f>
        <v/>
      </c>
      <c r="I106" s="15">
        <f>IF(OR(I104="",E104=""),"",IF(E104&lt;=0,"",IFERROR(I104/E104-1,"")))</f>
        <v/>
      </c>
      <c r="J106" s="15">
        <f>IF(OR(J104="",F104=""),"",IF(F104&lt;=0,"",IFERROR(J104/F104-1,"")))</f>
        <v/>
      </c>
      <c r="S106" s="15">
        <f>IF(OR(S104="",R104=""),"",IF(R104&lt;=0,"",IFERROR(S104/R104-1,"")))</f>
        <v/>
      </c>
      <c r="T106" s="15">
        <f>IF(OR(T104="",S104=""),"",IF(S104&lt;=0,"",IFERROR(T104/S104-1,"")))</f>
        <v/>
      </c>
      <c r="U106" s="15">
        <f>IF(OR(U104="",T104=""),"",IF(T104&lt;=0,"",IFERROR(U104/T104-1,"")))</f>
        <v/>
      </c>
      <c r="V106" s="15">
        <f>IF(OR(V104="",U104=""),"",IF(U104&lt;=0,"",IFERROR(V104/U104-1,"")))</f>
        <v/>
      </c>
      <c r="W106" s="15">
        <f>IF(OR(W104="",V104=""),"",IF(V104&lt;=0,"",IFERROR(W104/V104-1,"")))</f>
        <v/>
      </c>
    </row>
    <row r="107">
      <c r="A107" s="18" t="inlineStr">
        <is>
          <t>이자수익</t>
        </is>
      </c>
      <c r="C107" s="20" t="n">
        <v>6.257</v>
      </c>
      <c r="D107" s="20" t="n">
        <v>4.335</v>
      </c>
      <c r="E107" s="20" t="n">
        <v>7.221</v>
      </c>
      <c r="F107" s="20" t="n">
        <v>4.755</v>
      </c>
      <c r="G107" s="20" t="n">
        <v>3.175</v>
      </c>
      <c r="H107" s="20" t="n">
        <v>3.021</v>
      </c>
      <c r="I107" s="20" t="n">
        <v>9.720000000000001</v>
      </c>
      <c r="J107" s="20" t="n">
        <v>7.166</v>
      </c>
      <c r="S107" s="20" t="n">
        <v>4.031</v>
      </c>
      <c r="T107" s="20" t="n">
        <v>1.36</v>
      </c>
      <c r="U107" s="20" t="n">
        <v>2.349</v>
      </c>
      <c r="V107" s="20" t="n">
        <v>4.755</v>
      </c>
      <c r="W107" s="20" t="n">
        <v>7.166</v>
      </c>
    </row>
    <row r="108">
      <c r="A108" s="18" t="inlineStr">
        <is>
          <t>배당금수익</t>
        </is>
      </c>
      <c r="C108" s="20" t="n">
        <v>54.754</v>
      </c>
      <c r="D108" s="20" t="n">
        <v>39.967</v>
      </c>
      <c r="E108" s="20" t="n">
        <v>2.806</v>
      </c>
      <c r="F108" s="20" t="n">
        <v>7.453</v>
      </c>
      <c r="G108" s="20" t="n">
        <v>68.798</v>
      </c>
      <c r="H108" s="20" t="n">
        <v>46.277</v>
      </c>
      <c r="I108" s="20" t="n">
        <v>1.236</v>
      </c>
      <c r="J108" s="20" t="n">
        <v>-16.521</v>
      </c>
      <c r="S108" s="20" t="n">
        <v>1.651</v>
      </c>
      <c r="T108" s="20" t="n">
        <v>-18.435</v>
      </c>
      <c r="U108" s="20" t="n">
        <v>-18.064</v>
      </c>
      <c r="V108" s="20" t="n">
        <v>7.453</v>
      </c>
      <c r="W108" s="20" t="n">
        <v>-16.521</v>
      </c>
    </row>
    <row r="109">
      <c r="A109" s="18" t="inlineStr">
        <is>
          <t>외환차익</t>
        </is>
      </c>
      <c r="C109" s="20" t="n">
        <v>84.321</v>
      </c>
      <c r="D109" s="20" t="n">
        <v>-84.321</v>
      </c>
      <c r="E109" s="20" t="n">
        <v>70.542</v>
      </c>
      <c r="F109" s="20" t="n">
        <v>71.224</v>
      </c>
      <c r="G109" s="20" t="n">
        <v>0</v>
      </c>
      <c r="H109" s="20" t="n">
        <v>11.506</v>
      </c>
      <c r="I109" s="20" t="n">
        <v>64.849</v>
      </c>
      <c r="J109" s="20" t="n">
        <v>-67.511</v>
      </c>
      <c r="S109" s="20" t="n">
        <v>29.3</v>
      </c>
      <c r="T109" s="20" t="n">
        <v>75.961</v>
      </c>
      <c r="U109" s="20" t="n">
        <v>-36.934</v>
      </c>
      <c r="V109" s="20" t="n">
        <v>71.224</v>
      </c>
      <c r="W109" s="20" t="n">
        <v>-67.511</v>
      </c>
    </row>
    <row r="110">
      <c r="A110" s="18" t="inlineStr">
        <is>
          <t>임대료 수익</t>
        </is>
      </c>
      <c r="C110" s="20" t="n">
        <v>37.094</v>
      </c>
      <c r="D110" s="20" t="n">
        <v>37.995</v>
      </c>
      <c r="E110" s="20" t="n">
        <v>37.358</v>
      </c>
      <c r="F110" s="20" t="n">
        <v>36.89</v>
      </c>
      <c r="G110" s="20" t="n">
        <v>37.254</v>
      </c>
      <c r="H110" s="20" t="n">
        <v>37.666</v>
      </c>
      <c r="I110" s="20" t="n">
        <v>37.503</v>
      </c>
      <c r="J110" s="20" t="n">
        <v>37.828</v>
      </c>
      <c r="S110" s="20" t="n">
        <v>40.258</v>
      </c>
      <c r="T110" s="20" t="n">
        <v>37.607</v>
      </c>
      <c r="U110" s="20" t="n">
        <v>39.127</v>
      </c>
      <c r="V110" s="20" t="n">
        <v>36.89</v>
      </c>
      <c r="W110" s="20" t="n">
        <v>37.828</v>
      </c>
    </row>
    <row r="111">
      <c r="A111" s="18" t="inlineStr">
        <is>
          <t>기타</t>
        </is>
      </c>
      <c r="C111" s="20" t="n">
        <v>19.783</v>
      </c>
      <c r="D111" s="20" t="n">
        <v>77.233</v>
      </c>
      <c r="E111" s="20" t="n">
        <v>16.407</v>
      </c>
      <c r="F111" s="20" t="n">
        <v>-67.648</v>
      </c>
      <c r="G111" s="20" t="n">
        <v>27.031</v>
      </c>
      <c r="H111" s="20" t="n">
        <v>12.317</v>
      </c>
      <c r="I111" s="20" t="n">
        <v>4.727</v>
      </c>
      <c r="J111" s="20" t="n">
        <v>39.97</v>
      </c>
      <c r="S111" s="20" t="n">
        <v>-13.298</v>
      </c>
      <c r="T111" s="20" t="n">
        <v>40.484</v>
      </c>
      <c r="U111" s="20" t="n">
        <v>40.536</v>
      </c>
      <c r="V111" s="20" t="n">
        <v>-67.648</v>
      </c>
      <c r="W111" s="20" t="n">
        <v>39.97</v>
      </c>
    </row>
    <row r="112">
      <c r="A112" s="18" t="inlineStr">
        <is>
          <t>영업외수익 합계</t>
        </is>
      </c>
      <c r="C112" s="20" t="n">
        <v>202.21</v>
      </c>
      <c r="D112" s="20" t="n">
        <v>75.209</v>
      </c>
      <c r="E112" s="20" t="n">
        <v>134.335</v>
      </c>
      <c r="F112" s="20" t="n">
        <v>52.674</v>
      </c>
      <c r="G112" s="20" t="n">
        <v>136.259</v>
      </c>
      <c r="H112" s="20" t="n">
        <v>110.789</v>
      </c>
      <c r="I112" s="20" t="n">
        <v>118.034</v>
      </c>
      <c r="J112" s="20" t="n">
        <v>48.036</v>
      </c>
      <c r="S112" s="20" t="n">
        <v>146.951</v>
      </c>
      <c r="T112" s="20" t="n">
        <v>154.244</v>
      </c>
      <c r="U112" s="20" t="n">
        <v>27.012</v>
      </c>
      <c r="V112" s="20" t="n">
        <v>52.674</v>
      </c>
      <c r="W112" s="20" t="n">
        <v>48.036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IF(OR(G112="",C112=""),"",IF(G112*C112&lt;=0,"",IFERROR(G112/C112-1,"")))</f>
        <v/>
      </c>
      <c r="H113" s="15">
        <f>IF(OR(H112="",D112=""),"",IF(H112*D112&lt;=0,"",IFERROR(H112/D112-1,"")))</f>
        <v/>
      </c>
      <c r="I113" s="15">
        <f>IF(OR(I112="",E112=""),"",IF(I112*E112&lt;=0,"",IFERROR(I112/E112-1,"")))</f>
        <v/>
      </c>
      <c r="J113" s="15">
        <f>IF(OR(J112="",F112=""),"",IF(J112*F112&lt;=0,"",IFERROR(J112/F112-1,"")))</f>
        <v/>
      </c>
      <c r="S113" s="15">
        <f>IF(OR(S112="",R112=""),"",IF(S112*R112&lt;=0,"",IFERROR(S112/R112-1,"")))</f>
        <v/>
      </c>
      <c r="T113" s="15">
        <f>IF(OR(T112="",S112=""),"",IF(T112*S112&lt;=0,"",IFERROR(T112/S112-1,"")))</f>
        <v/>
      </c>
      <c r="U113" s="15">
        <f>IF(OR(U112="",T112=""),"",IF(U112*T112&lt;=0,"",IFERROR(U112/T112-1,"")))</f>
        <v/>
      </c>
      <c r="V113" s="15">
        <f>IF(OR(V112="",U112=""),"",IF(V112*U112&lt;=0,"",IFERROR(V112/U112-1,"")))</f>
        <v/>
      </c>
      <c r="W113" s="15">
        <f>IF(OR(W112="",V112=""),"",IF(W112*V112&lt;=0,"",IFERROR(W112/V112-1,"")))</f>
        <v/>
      </c>
    </row>
    <row r="114">
      <c r="A114" s="18" t="inlineStr">
        <is>
          <t>이자비용</t>
        </is>
      </c>
      <c r="C114" s="20" t="n">
        <v>11.93</v>
      </c>
      <c r="D114" s="20" t="n">
        <v>13.826</v>
      </c>
      <c r="E114" s="20" t="n">
        <v>18.434</v>
      </c>
      <c r="F114" s="20" t="n">
        <v>1.075</v>
      </c>
      <c r="G114" s="20" t="n">
        <v>18.455</v>
      </c>
      <c r="H114" s="20" t="n">
        <v>19.894</v>
      </c>
      <c r="I114" s="20" t="n">
        <v>23.328</v>
      </c>
      <c r="J114" s="20" t="n">
        <v>3.011</v>
      </c>
      <c r="S114" s="20" t="n">
        <v>-3.813</v>
      </c>
      <c r="T114" s="20" t="n">
        <v>-13.174</v>
      </c>
      <c r="U114" s="20" t="n">
        <v>9.398999999999999</v>
      </c>
      <c r="V114" s="20" t="n">
        <v>1.075</v>
      </c>
      <c r="W114" s="20" t="n">
        <v>3.011</v>
      </c>
    </row>
    <row r="115">
      <c r="A115" s="18" t="inlineStr">
        <is>
          <t>외환차손</t>
        </is>
      </c>
      <c r="C115" s="20" t="n">
        <v>0</v>
      </c>
      <c r="D115" s="20" t="n">
        <v>61.66</v>
      </c>
      <c r="G115" s="20" t="n">
        <v>26.084</v>
      </c>
      <c r="H115" s="20" t="n">
        <v>-26.084</v>
      </c>
    </row>
    <row r="116">
      <c r="A116" s="18" t="inlineStr">
        <is>
          <t>Cost Of Lease Revenue NOE</t>
        </is>
      </c>
      <c r="C116" s="20" t="n">
        <v>11.748</v>
      </c>
      <c r="D116" s="20" t="n">
        <v>12.417</v>
      </c>
      <c r="E116" s="20" t="n">
        <v>10.869</v>
      </c>
      <c r="F116" s="20" t="n">
        <v>9.032999999999999</v>
      </c>
      <c r="G116" s="20" t="n">
        <v>12.607</v>
      </c>
      <c r="H116" s="20" t="n">
        <v>11.05</v>
      </c>
      <c r="I116" s="20" t="n">
        <v>11.323</v>
      </c>
      <c r="J116" s="20" t="n">
        <v>10.451</v>
      </c>
      <c r="S116" s="20" t="n">
        <v>4.337</v>
      </c>
      <c r="T116" s="20" t="n">
        <v>8.06</v>
      </c>
      <c r="U116" s="20" t="n">
        <v>13.745</v>
      </c>
      <c r="V116" s="20" t="n">
        <v>9.032999999999999</v>
      </c>
      <c r="W116" s="20" t="n">
        <v>10.451</v>
      </c>
    </row>
    <row r="117">
      <c r="A117" s="18" t="inlineStr">
        <is>
          <t>기타</t>
        </is>
      </c>
      <c r="C117" s="20" t="n">
        <v>0.804</v>
      </c>
      <c r="D117" s="20" t="n">
        <v>2.562</v>
      </c>
      <c r="E117" s="20" t="n">
        <v>0.288</v>
      </c>
      <c r="F117" s="20" t="n">
        <v>-0.721</v>
      </c>
      <c r="G117" s="20" t="n">
        <v>0.593</v>
      </c>
      <c r="H117" s="20" t="n">
        <v>0.492</v>
      </c>
      <c r="I117" s="20" t="n">
        <v>0.463</v>
      </c>
      <c r="J117" s="20" t="n">
        <v>2.923</v>
      </c>
      <c r="S117" s="20" t="n">
        <v>1.089</v>
      </c>
      <c r="T117" s="20" t="n">
        <v>-2.816</v>
      </c>
      <c r="U117" s="20" t="n">
        <v>5.244</v>
      </c>
      <c r="V117" s="20" t="n">
        <v>-0.721</v>
      </c>
      <c r="W117" s="20" t="n">
        <v>2.923</v>
      </c>
    </row>
    <row r="118">
      <c r="A118" s="18" t="inlineStr">
        <is>
          <t>영업외비용 합계</t>
        </is>
      </c>
      <c r="C118" s="20" t="n">
        <v>24.483</v>
      </c>
      <c r="D118" s="20" t="n">
        <v>90.46599999999999</v>
      </c>
      <c r="E118" s="20" t="n">
        <v>-32.069</v>
      </c>
      <c r="F118" s="20" t="n">
        <v>9.385999999999999</v>
      </c>
      <c r="G118" s="20" t="n">
        <v>57.741</v>
      </c>
      <c r="H118" s="20" t="n">
        <v>5.35</v>
      </c>
      <c r="I118" s="20" t="n">
        <v>35.116</v>
      </c>
      <c r="J118" s="20" t="n">
        <v>16.384</v>
      </c>
      <c r="S118" s="20" t="n">
        <v>1.613</v>
      </c>
      <c r="T118" s="20" t="n">
        <v>-12.747</v>
      </c>
      <c r="U118" s="20" t="n">
        <v>28.388</v>
      </c>
      <c r="V118" s="20" t="n">
        <v>9.385999999999999</v>
      </c>
      <c r="W118" s="20" t="n">
        <v>16.384</v>
      </c>
    </row>
    <row r="119">
      <c r="A119" s="43" t="inlineStr">
        <is>
          <t>YoY</t>
        </is>
      </c>
      <c r="B119" s="3" t="inlineStr">
        <is>
          <t>전년 같은 분기·전년 대비</t>
        </is>
      </c>
      <c r="G119" s="15">
        <f>IF(OR(G118="",C118=""),"",IF(G118*C118&lt;=0,"",IFERROR(G118/C118-1,"")))</f>
        <v/>
      </c>
      <c r="H119" s="15">
        <f>IF(OR(H118="",D118=""),"",IF(H118*D118&lt;=0,"",IFERROR(H118/D118-1,"")))</f>
        <v/>
      </c>
      <c r="I119" s="15">
        <f>IF(OR(I118="",E118=""),"",IF(I118*E118&lt;=0,"",IFERROR(I118/E118-1,"")))</f>
        <v/>
      </c>
      <c r="J119" s="15">
        <f>IF(OR(J118="",F118=""),"",IF(J118*F118&lt;=0,"",IFERROR(J118/F118-1,"")))</f>
        <v/>
      </c>
      <c r="S119" s="15">
        <f>IF(OR(S118="",R118=""),"",IF(S118*R118&lt;=0,"",IFERROR(S118/R118-1,"")))</f>
        <v/>
      </c>
      <c r="T119" s="15">
        <f>IF(OR(T118="",S118=""),"",IF(T118*S118&lt;=0,"",IFERROR(T118/S118-1,"")))</f>
        <v/>
      </c>
      <c r="U119" s="15">
        <f>IF(OR(U118="",T118=""),"",IF(U118*T118&lt;=0,"",IFERROR(U118/T118-1,"")))</f>
        <v/>
      </c>
      <c r="V119" s="15">
        <f>IF(OR(V118="",U118=""),"",IF(V118*U118&lt;=0,"",IFERROR(V118/U118-1,"")))</f>
        <v/>
      </c>
      <c r="W119" s="15">
        <f>IF(OR(W118="",V118=""),"",IF(W118*V118&lt;=0,"",IFERROR(W118/V118-1,"")))</f>
        <v/>
      </c>
    </row>
    <row r="120">
      <c r="A120" s="9" t="inlineStr">
        <is>
          <t>경상이익</t>
        </is>
      </c>
      <c r="C120" s="12" t="n">
        <v>-75.032</v>
      </c>
      <c r="D120" s="12" t="n">
        <v>256.016</v>
      </c>
      <c r="E120" s="12" t="n">
        <v>534.659</v>
      </c>
      <c r="F120" s="12" t="n">
        <v>-585.365</v>
      </c>
      <c r="G120" s="12" t="n">
        <v>-135.269</v>
      </c>
      <c r="H120" s="12" t="n">
        <v>518.073</v>
      </c>
      <c r="I120" s="12" t="n">
        <v>407.039</v>
      </c>
      <c r="J120" s="12" t="n">
        <v>46.399</v>
      </c>
      <c r="S120" s="12" t="n">
        <v>1780.676</v>
      </c>
      <c r="T120" s="12" t="n">
        <v>1093.184</v>
      </c>
      <c r="U120" s="12" t="n">
        <v>612.8390000000001</v>
      </c>
      <c r="V120" s="12" t="n">
        <v>-585.365</v>
      </c>
      <c r="W120" s="12" t="n">
        <v>46.399</v>
      </c>
    </row>
    <row r="121">
      <c r="A121" s="43" t="inlineStr">
        <is>
          <t>YoY</t>
        </is>
      </c>
      <c r="B121" s="3" t="inlineStr">
        <is>
          <t>전년 같은 분기·전년 대비</t>
        </is>
      </c>
      <c r="G121" s="15">
        <f>IF(OR(G120="",C120=""),"",IF(C120&lt;=0,"",IFERROR(G120/C120-1,"")))</f>
        <v/>
      </c>
      <c r="H121" s="15">
        <f>IF(OR(H120="",D120=""),"",IF(D120&lt;=0,"",IFERROR(H120/D120-1,"")))</f>
        <v/>
      </c>
      <c r="I121" s="15">
        <f>IF(OR(I120="",E120=""),"",IF(E120&lt;=0,"",IFERROR(I120/E120-1,"")))</f>
        <v/>
      </c>
      <c r="J121" s="15">
        <f>IF(OR(J120="",F120=""),"",IF(F120&lt;=0,"",IFERROR(J120/F120-1,"")))</f>
        <v/>
      </c>
      <c r="S121" s="15">
        <f>IF(OR(S120="",R120=""),"",IF(R120&lt;=0,"",IFERROR(S120/R120-1,"")))</f>
        <v/>
      </c>
      <c r="T121" s="15">
        <f>IF(OR(T120="",S120=""),"",IF(S120&lt;=0,"",IFERROR(T120/S120-1,"")))</f>
        <v/>
      </c>
      <c r="U121" s="15">
        <f>IF(OR(U120="",T120=""),"",IF(T120&lt;=0,"",IFERROR(U120/T120-1,"")))</f>
        <v/>
      </c>
      <c r="V121" s="15">
        <f>IF(OR(V120="",U120=""),"",IF(U120&lt;=0,"",IFERROR(V120/U120-1,"")))</f>
        <v/>
      </c>
      <c r="W121" s="15">
        <f>IF(OR(W120="",V120=""),"",IF(V120&lt;=0,"",IFERROR(W120/V120-1,"")))</f>
        <v/>
      </c>
    </row>
    <row r="122">
      <c r="A122" s="18" t="inlineStr">
        <is>
          <t>고정자산 매각이익</t>
        </is>
      </c>
      <c r="C122" s="20" t="n">
        <v>0</v>
      </c>
      <c r="D122" s="20" t="n">
        <v>0</v>
      </c>
      <c r="E122" s="20" t="n">
        <v>0</v>
      </c>
      <c r="F122" s="20" t="n">
        <v>137.905</v>
      </c>
      <c r="J122" s="20" t="n">
        <v>-1.147</v>
      </c>
      <c r="S122" s="20" t="n">
        <v>0.361</v>
      </c>
      <c r="T122" s="20" t="n">
        <v>0.513</v>
      </c>
      <c r="U122" s="20" t="n">
        <v>-137.608</v>
      </c>
      <c r="V122" s="20" t="n">
        <v>137.905</v>
      </c>
      <c r="W122" s="20" t="n">
        <v>-1.147</v>
      </c>
    </row>
    <row r="123">
      <c r="A123" s="18" t="inlineStr">
        <is>
          <t>투자유가증권 매각이익</t>
        </is>
      </c>
      <c r="S123" s="20" t="n">
        <v>-0.911</v>
      </c>
      <c r="T123" s="20" t="n">
        <v>0.911</v>
      </c>
    </row>
    <row r="124">
      <c r="A124" s="18" t="inlineStr">
        <is>
          <t>화해금 수령</t>
        </is>
      </c>
      <c r="T124" s="20" t="n">
        <v>-20.68</v>
      </c>
      <c r="U124" s="20" t="n">
        <v>20.68</v>
      </c>
    </row>
    <row r="125">
      <c r="A125" s="18" t="inlineStr">
        <is>
          <t>Gain On Extinguishment Of Tie In Shares EI</t>
        </is>
      </c>
      <c r="T125" s="20" t="n">
        <v>-8.477</v>
      </c>
      <c r="U125" s="20" t="n">
        <v>8.477</v>
      </c>
    </row>
    <row r="126">
      <c r="A126" s="18" t="inlineStr">
        <is>
          <t>특별이익 합계</t>
        </is>
      </c>
      <c r="C126" s="20" t="n">
        <v>0</v>
      </c>
      <c r="D126" s="20" t="n">
        <v>0</v>
      </c>
      <c r="E126" s="20" t="n">
        <v>0</v>
      </c>
      <c r="F126" s="20" t="n">
        <v>137.905</v>
      </c>
      <c r="J126" s="20" t="n">
        <v>101.941</v>
      </c>
      <c r="S126" s="20" t="n">
        <v>-0.55</v>
      </c>
      <c r="T126" s="20" t="n">
        <v>-42.427</v>
      </c>
      <c r="U126" s="20" t="n">
        <v>42.452</v>
      </c>
      <c r="V126" s="20" t="n">
        <v>137.905</v>
      </c>
      <c r="W126" s="20" t="n">
        <v>101.941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J127" s="15">
        <f>IF(OR(J126="",F126=""),"",IF(J126*F126&lt;=0,"",IFERROR(J126/F126-1,"")))</f>
        <v/>
      </c>
      <c r="S127" s="15">
        <f>IF(OR(S126="",R126=""),"",IF(S126*R126&lt;=0,"",IFERROR(S126/R126-1,"")))</f>
        <v/>
      </c>
      <c r="T127" s="15">
        <f>IF(OR(T126="",S126=""),"",IF(T126*S126&lt;=0,"",IFERROR(T126/S126-1,"")))</f>
        <v/>
      </c>
      <c r="U127" s="15">
        <f>IF(OR(U126="",T126=""),"",IF(U126*T126&lt;=0,"",IFERROR(U126/T126-1,"")))</f>
        <v/>
      </c>
      <c r="V127" s="15">
        <f>IF(OR(V126="",U126=""),"",IF(V126*U126&lt;=0,"",IFERROR(V126/U126-1,"")))</f>
        <v/>
      </c>
      <c r="W127" s="15">
        <f>IF(OR(W126="",V126=""),"",IF(W126*V126&lt;=0,"",IFERROR(W126/V126-1,"")))</f>
        <v/>
      </c>
    </row>
    <row r="128">
      <c r="A128" s="18" t="inlineStr">
        <is>
          <t>고정자산 매각손실</t>
        </is>
      </c>
      <c r="C128" s="20" t="n">
        <v>0</v>
      </c>
      <c r="D128" s="20" t="n">
        <v>0</v>
      </c>
      <c r="E128" s="20" t="n">
        <v>0</v>
      </c>
      <c r="F128" s="20" t="n">
        <v>0.007</v>
      </c>
      <c r="G128" s="20" t="n">
        <v>0.139</v>
      </c>
      <c r="H128" s="20" t="n">
        <v>0</v>
      </c>
      <c r="I128" s="20" t="n">
        <v>0</v>
      </c>
      <c r="J128" s="20" t="n">
        <v>-0.139</v>
      </c>
      <c r="T128" s="20" t="n">
        <v>0</v>
      </c>
      <c r="U128" s="20" t="n">
        <v>0.254</v>
      </c>
      <c r="V128" s="20" t="n">
        <v>0.007</v>
      </c>
      <c r="W128" s="20" t="n">
        <v>-0.139</v>
      </c>
    </row>
    <row r="129">
      <c r="A129" s="18" t="inlineStr">
        <is>
          <t>고정자산 제각손실</t>
        </is>
      </c>
      <c r="C129" s="20" t="n">
        <v>0.103</v>
      </c>
      <c r="D129" s="20" t="n">
        <v>0.016</v>
      </c>
      <c r="E129" s="20" t="n">
        <v>0.076</v>
      </c>
      <c r="F129" s="20" t="n">
        <v>3.953</v>
      </c>
      <c r="G129" s="20" t="n">
        <v>0.09</v>
      </c>
      <c r="H129" s="20" t="n">
        <v>0.956</v>
      </c>
      <c r="I129" s="20" t="n">
        <v>0.111</v>
      </c>
      <c r="J129" s="20" t="n">
        <v>1.018</v>
      </c>
      <c r="S129" s="20" t="n">
        <v>3.895</v>
      </c>
      <c r="T129" s="20" t="n">
        <v>115.019</v>
      </c>
      <c r="U129" s="20" t="n">
        <v>-3.106</v>
      </c>
      <c r="V129" s="20" t="n">
        <v>3.953</v>
      </c>
      <c r="W129" s="20" t="n">
        <v>1.018</v>
      </c>
    </row>
    <row r="130">
      <c r="A130" s="18" t="inlineStr">
        <is>
          <t>투자유가증권 평가손실</t>
        </is>
      </c>
      <c r="S130" s="20" t="n">
        <v>-0.478</v>
      </c>
      <c r="T130" s="20" t="n">
        <v>0.478</v>
      </c>
    </row>
    <row r="131">
      <c r="A131" s="18" t="inlineStr">
        <is>
          <t>특별퇴직금</t>
        </is>
      </c>
      <c r="C131" s="20" t="n">
        <v>0</v>
      </c>
      <c r="D131" s="20" t="n">
        <v>0</v>
      </c>
      <c r="E131" s="20" t="n">
        <v>0</v>
      </c>
      <c r="F131" s="20" t="n">
        <v>49.868</v>
      </c>
      <c r="G131" s="20" t="n">
        <v>20.102</v>
      </c>
      <c r="H131" s="20" t="n">
        <v>-6.495</v>
      </c>
      <c r="I131" s="20" t="n">
        <v>6.851</v>
      </c>
      <c r="J131" s="20" t="n">
        <v>-20.458</v>
      </c>
      <c r="T131" s="20" t="n">
        <v>0</v>
      </c>
      <c r="U131" s="20" t="n">
        <v>-49.868</v>
      </c>
      <c r="V131" s="20" t="n">
        <v>49.868</v>
      </c>
      <c r="W131" s="20" t="n">
        <v>-20.458</v>
      </c>
    </row>
    <row r="132">
      <c r="A132" s="18" t="inlineStr">
        <is>
          <t>특별손실 합계</t>
        </is>
      </c>
      <c r="C132" s="20" t="n">
        <v>0.103</v>
      </c>
      <c r="D132" s="20" t="n">
        <v>0.016</v>
      </c>
      <c r="E132" s="20" t="n">
        <v>0.076</v>
      </c>
      <c r="F132" s="20" t="n">
        <v>225.955</v>
      </c>
      <c r="G132" s="20" t="n">
        <v>20.332</v>
      </c>
      <c r="H132" s="20" t="n">
        <v>-5.539</v>
      </c>
      <c r="I132" s="20" t="n">
        <v>6.962</v>
      </c>
      <c r="J132" s="20" t="n">
        <v>97.078</v>
      </c>
      <c r="S132" s="20" t="n">
        <v>33.512</v>
      </c>
      <c r="T132" s="20" t="n">
        <v>115.497</v>
      </c>
      <c r="U132" s="20" t="n">
        <v>-52.72</v>
      </c>
      <c r="V132" s="20" t="n">
        <v>225.955</v>
      </c>
      <c r="W132" s="20" t="n">
        <v>97.078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IF(OR(G132="",C132=""),"",IF(G132*C132&lt;=0,"",IFERROR(G132/C132-1,"")))</f>
        <v/>
      </c>
      <c r="H133" s="15">
        <f>IF(OR(H132="",D132=""),"",IF(H132*D132&lt;=0,"",IFERROR(H132/D132-1,"")))</f>
        <v/>
      </c>
      <c r="I133" s="15">
        <f>IF(OR(I132="",E132=""),"",IF(I132*E132&lt;=0,"",IFERROR(I132/E132-1,"")))</f>
        <v/>
      </c>
      <c r="J133" s="15">
        <f>IF(OR(J132="",F132=""),"",IF(J132*F132&lt;=0,"",IFERROR(J132/F132-1,"")))</f>
        <v/>
      </c>
      <c r="S133" s="15">
        <f>IF(OR(S132="",R132=""),"",IF(S132*R132&lt;=0,"",IFERROR(S132/R132-1,"")))</f>
        <v/>
      </c>
      <c r="T133" s="15">
        <f>IF(OR(T132="",S132=""),"",IF(T132*S132&lt;=0,"",IFERROR(T132/S132-1,"")))</f>
        <v/>
      </c>
      <c r="U133" s="15">
        <f>IF(OR(U132="",T132=""),"",IF(U132*T132&lt;=0,"",IFERROR(U132/T132-1,"")))</f>
        <v/>
      </c>
      <c r="V133" s="15">
        <f>IF(OR(V132="",U132=""),"",IF(V132*U132&lt;=0,"",IFERROR(V132/U132-1,"")))</f>
        <v/>
      </c>
      <c r="W133" s="15">
        <f>IF(OR(W132="",V132=""),"",IF(W132*V132&lt;=0,"",IFERROR(W132/V132-1,"")))</f>
        <v/>
      </c>
    </row>
    <row r="134">
      <c r="A134" s="9" t="inlineStr">
        <is>
          <t>법인세차감전 순이익</t>
        </is>
      </c>
      <c r="C134" s="12" t="n">
        <v>-75.13500000000001</v>
      </c>
      <c r="D134" s="12" t="n">
        <v>255.999</v>
      </c>
      <c r="E134" s="12" t="n">
        <v>534.583</v>
      </c>
      <c r="F134" s="12" t="n">
        <v>-673.414</v>
      </c>
      <c r="G134" s="12" t="n">
        <v>-155.602</v>
      </c>
      <c r="H134" s="12" t="n">
        <v>523.612</v>
      </c>
      <c r="I134" s="12" t="n">
        <v>401.294</v>
      </c>
      <c r="J134" s="12" t="n">
        <v>51.262</v>
      </c>
      <c r="S134" s="12" t="n">
        <v>1746.614</v>
      </c>
      <c r="T134" s="12" t="n">
        <v>935.259</v>
      </c>
      <c r="U134" s="12" t="n">
        <v>708.011</v>
      </c>
      <c r="V134" s="12" t="n">
        <v>-673.414</v>
      </c>
      <c r="W134" s="12" t="n">
        <v>51.262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S135" s="15">
        <f>IF(OR(S134="",R134=""),"",IF(R134&lt;=0,"",IFERROR(S134/R134-1,"")))</f>
        <v/>
      </c>
      <c r="T135" s="15">
        <f>IF(OR(T134="",S134=""),"",IF(S134&lt;=0,"",IFERROR(T134/S134-1,"")))</f>
        <v/>
      </c>
      <c r="U135" s="15">
        <f>IF(OR(U134="",T134=""),"",IF(T134&lt;=0,"",IFERROR(U134/T134-1,"")))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</row>
    <row r="136">
      <c r="A136" s="18" t="inlineStr">
        <is>
          <t>법인세·주민세·사업세</t>
        </is>
      </c>
      <c r="C136" s="20" t="n">
        <v>89.089</v>
      </c>
      <c r="D136" s="20" t="n">
        <v>123.472</v>
      </c>
      <c r="E136" s="20" t="n">
        <v>38.665</v>
      </c>
      <c r="F136" s="20" t="n">
        <v>63.657</v>
      </c>
      <c r="G136" s="20" t="n">
        <v>98.64100000000001</v>
      </c>
      <c r="H136" s="20" t="n">
        <v>108.5</v>
      </c>
      <c r="I136" s="20" t="n">
        <v>39.569</v>
      </c>
      <c r="J136" s="20" t="n">
        <v>93.824</v>
      </c>
      <c r="S136" s="20" t="n">
        <v>526.835</v>
      </c>
      <c r="T136" s="20" t="n">
        <v>209.786</v>
      </c>
      <c r="U136" s="20" t="n">
        <v>109.546</v>
      </c>
      <c r="V136" s="20" t="n">
        <v>63.657</v>
      </c>
      <c r="W136" s="20" t="n">
        <v>93.824</v>
      </c>
    </row>
    <row r="137">
      <c r="A137" s="18" t="inlineStr">
        <is>
          <t>법인세 조정액</t>
        </is>
      </c>
      <c r="C137" s="20" t="n">
        <v>53.854</v>
      </c>
      <c r="D137" s="20" t="n">
        <v>-10.448</v>
      </c>
      <c r="E137" s="20" t="n">
        <v>27.168</v>
      </c>
      <c r="F137" s="20" t="n">
        <v>-25.962</v>
      </c>
      <c r="G137" s="20" t="n">
        <v>-60.958</v>
      </c>
      <c r="H137" s="20" t="n">
        <v>70.23699999999999</v>
      </c>
      <c r="I137" s="20" t="n">
        <v>40.2</v>
      </c>
      <c r="J137" s="20" t="n">
        <v>0.679</v>
      </c>
      <c r="S137" s="20" t="n">
        <v>-146.355</v>
      </c>
      <c r="T137" s="20" t="n">
        <v>24.751</v>
      </c>
      <c r="U137" s="20" t="n">
        <v>77.006</v>
      </c>
      <c r="V137" s="20" t="n">
        <v>-25.962</v>
      </c>
      <c r="W137" s="20" t="n">
        <v>0.679</v>
      </c>
    </row>
    <row r="138">
      <c r="A138" s="18" t="inlineStr">
        <is>
          <t>과년도 법인세</t>
        </is>
      </c>
      <c r="C138" s="20" t="n">
        <v>0</v>
      </c>
      <c r="D138" s="20" t="n">
        <v>0</v>
      </c>
      <c r="E138" s="20" t="n">
        <v>4.925</v>
      </c>
      <c r="F138" s="20" t="n">
        <v>-4.32</v>
      </c>
      <c r="G138" s="20" t="n">
        <v>105.657</v>
      </c>
      <c r="H138" s="20" t="n">
        <v>18.379</v>
      </c>
      <c r="I138" s="20" t="n">
        <v>0.339</v>
      </c>
      <c r="J138" s="20" t="n">
        <v>-119.447</v>
      </c>
      <c r="T138" s="20" t="n">
        <v>-24.114</v>
      </c>
      <c r="U138" s="20" t="n">
        <v>27.675</v>
      </c>
      <c r="V138" s="20" t="n">
        <v>-4.32</v>
      </c>
      <c r="W138" s="20" t="n">
        <v>-119.447</v>
      </c>
    </row>
    <row r="139">
      <c r="A139" s="18" t="inlineStr">
        <is>
          <t>법인세 등 합계</t>
        </is>
      </c>
      <c r="C139" s="20" t="n">
        <v>142.943</v>
      </c>
      <c r="D139" s="20" t="n">
        <v>113.025</v>
      </c>
      <c r="E139" s="20" t="n">
        <v>70.758</v>
      </c>
      <c r="F139" s="20" t="n">
        <v>33.375</v>
      </c>
      <c r="G139" s="20" t="n">
        <v>143.34</v>
      </c>
      <c r="H139" s="20" t="n">
        <v>197.118</v>
      </c>
      <c r="I139" s="20" t="n">
        <v>80.107</v>
      </c>
      <c r="J139" s="20" t="n">
        <v>-24.944</v>
      </c>
      <c r="S139" s="20" t="n">
        <v>380.479</v>
      </c>
      <c r="T139" s="20" t="n">
        <v>210.422</v>
      </c>
      <c r="U139" s="20" t="n">
        <v>214.229</v>
      </c>
      <c r="V139" s="20" t="n">
        <v>33.375</v>
      </c>
      <c r="W139" s="20" t="n">
        <v>-24.944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IF(OR(G139="",C139=""),"",IF(G139*C139&lt;=0,"",IFERROR(G139/C139-1,"")))</f>
        <v/>
      </c>
      <c r="H140" s="15">
        <f>IF(OR(H139="",D139=""),"",IF(H139*D139&lt;=0,"",IFERROR(H139/D139-1,"")))</f>
        <v/>
      </c>
      <c r="I140" s="15">
        <f>IF(OR(I139="",E139=""),"",IF(I139*E139&lt;=0,"",IFERROR(I139/E139-1,"")))</f>
        <v/>
      </c>
      <c r="J140" s="15">
        <f>IF(OR(J139="",F139=""),"",IF(J139*F139&lt;=0,"",IFERROR(J139/F139-1,"")))</f>
        <v/>
      </c>
      <c r="S140" s="15">
        <f>IF(OR(S139="",R139=""),"",IF(S139*R139&lt;=0,"",IFERROR(S139/R139-1,"")))</f>
        <v/>
      </c>
      <c r="T140" s="15">
        <f>IF(OR(T139="",S139=""),"",IF(T139*S139&lt;=0,"",IFERROR(T139/S139-1,"")))</f>
        <v/>
      </c>
      <c r="U140" s="15">
        <f>IF(OR(U139="",T139=""),"",IF(U139*T139&lt;=0,"",IFERROR(U139/T139-1,"")))</f>
        <v/>
      </c>
      <c r="V140" s="15">
        <f>IF(OR(V139="",U139=""),"",IF(V139*U139&lt;=0,"",IFERROR(V139/U139-1,"")))</f>
        <v/>
      </c>
      <c r="W140" s="15">
        <f>IF(OR(W139="",V139=""),"",IF(W139*V139&lt;=0,"",IFERROR(W139/V139-1,"")))</f>
        <v/>
      </c>
    </row>
    <row r="141">
      <c r="A141" s="9" t="inlineStr">
        <is>
          <t>순이익</t>
        </is>
      </c>
      <c r="C141" s="12" t="n">
        <v>-218.078</v>
      </c>
      <c r="D141" s="12" t="n">
        <v>142.975</v>
      </c>
      <c r="E141" s="12" t="n">
        <v>463.824</v>
      </c>
      <c r="F141" s="12" t="n">
        <v>-706.789</v>
      </c>
      <c r="G141" s="12" t="n">
        <v>-298.942</v>
      </c>
      <c r="H141" s="12" t="n">
        <v>326.493</v>
      </c>
      <c r="I141" s="12" t="n">
        <v>321.188</v>
      </c>
      <c r="J141" s="12" t="n">
        <v>76.205</v>
      </c>
      <c r="S141" s="12" t="n">
        <v>1366.134</v>
      </c>
      <c r="T141" s="12" t="n">
        <v>724.837</v>
      </c>
      <c r="U141" s="12" t="n">
        <v>493.782</v>
      </c>
      <c r="V141" s="12" t="n">
        <v>-706.789</v>
      </c>
      <c r="W141" s="12" t="n">
        <v>76.205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S142" s="15">
        <f>IF(OR(S141="",R141=""),"",IF(R141&lt;=0,"",IFERROR(S141/R141-1,"")))</f>
        <v/>
      </c>
      <c r="T142" s="15">
        <f>IF(OR(T141="",S141=""),"",IF(S141&lt;=0,"",IFERROR(T141/S141-1,"")))</f>
        <v/>
      </c>
      <c r="U142" s="15">
        <f>IF(OR(U141="",T141=""),"",IF(T141&lt;=0,"",IFERROR(U141/T141-1,"")))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</row>
    <row r="143">
      <c r="A143" s="9" t="inlineStr">
        <is>
          <t>비지배주주 순이익</t>
        </is>
      </c>
      <c r="S143" s="12" t="n">
        <v>1.043</v>
      </c>
      <c r="T143" s="12" t="n">
        <v>1.109</v>
      </c>
      <c r="U143" s="12" t="n">
        <v>0.101</v>
      </c>
    </row>
    <row r="144">
      <c r="A144" s="9" t="inlineStr">
        <is>
          <t>지배주주 순이익</t>
        </is>
      </c>
      <c r="C144" s="12" t="n">
        <v>-218.078</v>
      </c>
      <c r="D144" s="12" t="n">
        <v>142.975</v>
      </c>
      <c r="E144" s="12" t="n">
        <v>463.824</v>
      </c>
      <c r="F144" s="12" t="n">
        <v>-706.789</v>
      </c>
      <c r="G144" s="12" t="n">
        <v>-298.942</v>
      </c>
      <c r="H144" s="12" t="n">
        <v>326.493</v>
      </c>
      <c r="I144" s="12" t="n">
        <v>321.188</v>
      </c>
      <c r="J144" s="12" t="n">
        <v>76.205</v>
      </c>
      <c r="S144" s="12" t="n">
        <v>1365.091</v>
      </c>
      <c r="T144" s="12" t="n">
        <v>723.728</v>
      </c>
      <c r="U144" s="12" t="n">
        <v>493.681</v>
      </c>
      <c r="V144" s="12" t="n">
        <v>-706.789</v>
      </c>
      <c r="W144" s="12" t="n">
        <v>76.205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IF(OR(G144="",C144=""),"",IF(C144&lt;=0,"",IFERROR(G144/C144-1,"")))</f>
        <v/>
      </c>
      <c r="H145" s="15">
        <f>IF(OR(H144="",D144=""),"",IF(D144&lt;=0,"",IFERROR(H144/D144-1,"")))</f>
        <v/>
      </c>
      <c r="I145" s="15">
        <f>IF(OR(I144="",E144=""),"",IF(E144&lt;=0,"",IFERROR(I144/E144-1,"")))</f>
        <v/>
      </c>
      <c r="J145" s="15">
        <f>IF(OR(J144="",F144=""),"",IF(F144&lt;=0,"",IFERROR(J144/F144-1,"")))</f>
        <v/>
      </c>
      <c r="S145" s="15">
        <f>IF(OR(S144="",R144=""),"",IF(R144&lt;=0,"",IFERROR(S144/R144-1,"")))</f>
        <v/>
      </c>
      <c r="T145" s="15">
        <f>IF(OR(T144="",S144=""),"",IF(S144&lt;=0,"",IFERROR(T144/S144-1,"")))</f>
        <v/>
      </c>
      <c r="U145" s="15">
        <f>IF(OR(U144="",T144=""),"",IF(T144&lt;=0,"",IFERROR(U144/T144-1,"")))</f>
        <v/>
      </c>
      <c r="V145" s="15">
        <f>IF(OR(V144="",U144=""),"",IF(U144&lt;=0,"",IFERROR(V144/U144-1,"")))</f>
        <v/>
      </c>
      <c r="W145" s="15">
        <f>IF(OR(W144="",V144=""),"",IF(V144&lt;=0,"",IFERROR(W144/V144-1,"")))</f>
        <v/>
      </c>
    </row>
    <row r="147">
      <c r="A147" s="16" t="inlineStr">
        <is>
          <t>포괄손익 · 전 항목</t>
        </is>
      </c>
      <c r="B147" s="42" t="inlineStr">
        <is>
          <t>분기 = 3개월 단독</t>
        </is>
      </c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</row>
    <row r="148">
      <c r="A148" s="5" t="inlineStr">
        <is>
          <t>항목</t>
        </is>
      </c>
      <c r="B148" s="5" t="inlineStr">
        <is>
          <t>참고</t>
        </is>
      </c>
      <c r="C148" s="5" t="inlineStr">
        <is>
          <t>2025.1Q</t>
        </is>
      </c>
      <c r="D148" s="5" t="inlineStr">
        <is>
          <t>2025.2Q</t>
        </is>
      </c>
      <c r="E148" s="5" t="inlineStr">
        <is>
          <t>2025.3Q</t>
        </is>
      </c>
      <c r="F148" s="5" t="inlineStr">
        <is>
          <t>2025.4Q</t>
        </is>
      </c>
      <c r="G148" s="5" t="inlineStr">
        <is>
          <t>2026.1Q</t>
        </is>
      </c>
      <c r="H148" s="5" t="inlineStr">
        <is>
          <t>2026.2Q</t>
        </is>
      </c>
      <c r="I148" s="5" t="inlineStr">
        <is>
          <t>2026.3Q</t>
        </is>
      </c>
      <c r="J148" s="5" t="inlineStr">
        <is>
          <t>2026.4Q</t>
        </is>
      </c>
      <c r="K148" s="5" t="inlineStr">
        <is>
          <t>2027.1Q</t>
        </is>
      </c>
      <c r="L148" s="5" t="inlineStr">
        <is>
          <t>2027.2Q</t>
        </is>
      </c>
      <c r="M148" s="5" t="inlineStr">
        <is>
          <t>2027.3Q</t>
        </is>
      </c>
      <c r="N148" s="5" t="inlineStr">
        <is>
          <t>2027.4Q</t>
        </is>
      </c>
      <c r="O148" s="5" t="inlineStr">
        <is>
          <t>2018</t>
        </is>
      </c>
      <c r="P148" s="5" t="inlineStr">
        <is>
          <t>2019</t>
        </is>
      </c>
      <c r="Q148" s="5" t="inlineStr">
        <is>
          <t>2020</t>
        </is>
      </c>
      <c r="R148" s="5" t="inlineStr">
        <is>
          <t>2021</t>
        </is>
      </c>
      <c r="S148" s="5" t="inlineStr">
        <is>
          <t>2022</t>
        </is>
      </c>
      <c r="T148" s="5" t="inlineStr">
        <is>
          <t>2023</t>
        </is>
      </c>
      <c r="U148" s="5" t="inlineStr">
        <is>
          <t>2024</t>
        </is>
      </c>
      <c r="V148" s="5" t="inlineStr">
        <is>
          <t>2025</t>
        </is>
      </c>
      <c r="W148" s="5" t="inlineStr">
        <is>
          <t>2026</t>
        </is>
      </c>
      <c r="X148" s="5" t="inlineStr">
        <is>
          <t>2027</t>
        </is>
      </c>
      <c r="Y148" s="5" t="inlineStr">
        <is>
          <t>2028(MW)</t>
        </is>
      </c>
      <c r="Z148" s="5" t="inlineStr">
        <is>
          <t>2029(MW)</t>
        </is>
      </c>
      <c r="AA148" s="5" t="inlineStr">
        <is>
          <t>2030(MW)</t>
        </is>
      </c>
      <c r="AB148" s="5" t="inlineStr">
        <is>
          <t>2031(MW)</t>
        </is>
      </c>
      <c r="AC148" s="5" t="inlineStr">
        <is>
          <t>2032(MW)</t>
        </is>
      </c>
    </row>
    <row r="149">
      <c r="A149" s="9" t="inlineStr">
        <is>
          <t>순이익</t>
        </is>
      </c>
      <c r="C149" s="12" t="n">
        <v>-218.078</v>
      </c>
      <c r="D149" s="12" t="n">
        <v>142.975</v>
      </c>
      <c r="E149" s="12" t="n">
        <v>463.824</v>
      </c>
      <c r="F149" s="12" t="n">
        <v>-706.789</v>
      </c>
      <c r="G149" s="12" t="n">
        <v>-298.942</v>
      </c>
      <c r="H149" s="12" t="n">
        <v>326.493</v>
      </c>
      <c r="I149" s="12" t="n">
        <v>321.188</v>
      </c>
      <c r="J149" s="12" t="n">
        <v>76.205</v>
      </c>
      <c r="S149" s="12" t="n">
        <v>1366.134</v>
      </c>
      <c r="T149" s="12" t="n">
        <v>724.837</v>
      </c>
      <c r="U149" s="12" t="n">
        <v>493.782</v>
      </c>
      <c r="V149" s="12" t="n">
        <v>-706.789</v>
      </c>
      <c r="W149" s="12" t="n">
        <v>76.205</v>
      </c>
    </row>
    <row r="150">
      <c r="A150" s="18" t="inlineStr">
        <is>
          <t>기타유가증권 평가차액</t>
        </is>
      </c>
      <c r="C150" s="20" t="n">
        <v>-21.408</v>
      </c>
      <c r="D150" s="20" t="n">
        <v>-11.429</v>
      </c>
      <c r="E150" s="20" t="n">
        <v>80.23999999999999</v>
      </c>
      <c r="F150" s="20" t="n">
        <v>69.328</v>
      </c>
      <c r="G150" s="20" t="n">
        <v>426.347</v>
      </c>
      <c r="H150" s="20" t="n">
        <v>258.781</v>
      </c>
      <c r="I150" s="20" t="n">
        <v>166.584</v>
      </c>
      <c r="J150" s="20" t="n">
        <v>-931.447</v>
      </c>
      <c r="S150" s="20" t="n">
        <v>400.333</v>
      </c>
      <c r="T150" s="20" t="n">
        <v>-590.035</v>
      </c>
      <c r="U150" s="20" t="n">
        <v>283.538</v>
      </c>
      <c r="V150" s="20" t="n">
        <v>69.328</v>
      </c>
      <c r="W150" s="20" t="n">
        <v>-931.447</v>
      </c>
    </row>
    <row r="151">
      <c r="A151" s="18" t="inlineStr">
        <is>
          <t>이연헤지손익</t>
        </is>
      </c>
      <c r="C151" s="20" t="n">
        <v>-16.354</v>
      </c>
      <c r="D151" s="20" t="n">
        <v>18.797</v>
      </c>
      <c r="E151" s="20" t="n">
        <v>-8.792999999999999</v>
      </c>
      <c r="F151" s="20" t="n">
        <v>3.848</v>
      </c>
      <c r="G151" s="20" t="n">
        <v>-2.292</v>
      </c>
      <c r="H151" s="20" t="n">
        <v>3.026</v>
      </c>
      <c r="I151" s="20" t="n">
        <v>1.637</v>
      </c>
      <c r="J151" s="20" t="n">
        <v>-4.126</v>
      </c>
      <c r="S151" s="20" t="n">
        <v>0.853</v>
      </c>
      <c r="T151" s="20" t="n">
        <v>7.249</v>
      </c>
      <c r="U151" s="20" t="n">
        <v>5.484</v>
      </c>
      <c r="V151" s="20" t="n">
        <v>3.848</v>
      </c>
      <c r="W151" s="20" t="n">
        <v>-4.126</v>
      </c>
    </row>
    <row r="152">
      <c r="A152" s="18" t="inlineStr">
        <is>
          <t>해외사업환산조정</t>
        </is>
      </c>
      <c r="C152" s="20" t="n">
        <v>-117.328</v>
      </c>
      <c r="D152" s="20" t="n">
        <v>62.516</v>
      </c>
      <c r="E152" s="20" t="n">
        <v>-13.968</v>
      </c>
      <c r="F152" s="20" t="n">
        <v>430.697</v>
      </c>
      <c r="G152" s="20" t="n">
        <v>62.936</v>
      </c>
      <c r="H152" s="20" t="n">
        <v>239.054</v>
      </c>
      <c r="I152" s="20" t="n">
        <v>93.532</v>
      </c>
      <c r="J152" s="20" t="n">
        <v>-530.581</v>
      </c>
      <c r="S152" s="20" t="n">
        <v>-8.396000000000001</v>
      </c>
      <c r="T152" s="20" t="n">
        <v>199.45</v>
      </c>
      <c r="U152" s="20" t="n">
        <v>-6.757</v>
      </c>
      <c r="V152" s="20" t="n">
        <v>430.697</v>
      </c>
      <c r="W152" s="20" t="n">
        <v>-530.581</v>
      </c>
    </row>
    <row r="153">
      <c r="A153" s="18" t="inlineStr">
        <is>
          <t>퇴직급여 조정액</t>
        </is>
      </c>
      <c r="C153" s="20" t="n">
        <v>-15.865</v>
      </c>
      <c r="D153" s="20" t="n">
        <v>-13.484</v>
      </c>
      <c r="E153" s="20" t="n">
        <v>-14.718</v>
      </c>
      <c r="F153" s="20" t="n">
        <v>141.98</v>
      </c>
      <c r="G153" s="20" t="n">
        <v>-13.532</v>
      </c>
      <c r="H153" s="20" t="n">
        <v>-12.284</v>
      </c>
      <c r="I153" s="20" t="n">
        <v>-13.606</v>
      </c>
      <c r="J153" s="20" t="n">
        <v>-52.076</v>
      </c>
      <c r="S153" s="20" t="n">
        <v>288.313</v>
      </c>
      <c r="T153" s="20" t="n">
        <v>-122.612</v>
      </c>
      <c r="U153" s="20" t="n">
        <v>96.496</v>
      </c>
      <c r="V153" s="20" t="n">
        <v>141.98</v>
      </c>
      <c r="W153" s="20" t="n">
        <v>-52.076</v>
      </c>
    </row>
    <row r="154">
      <c r="A154" s="18" t="inlineStr">
        <is>
          <t>기타포괄손익 합계</t>
        </is>
      </c>
      <c r="C154" s="20" t="n">
        <v>-170.956</v>
      </c>
      <c r="D154" s="20" t="n">
        <v>56.401</v>
      </c>
      <c r="E154" s="20" t="n">
        <v>42.76</v>
      </c>
      <c r="F154" s="20" t="n">
        <v>645.855</v>
      </c>
      <c r="G154" s="20" t="n">
        <v>473.459</v>
      </c>
      <c r="H154" s="20" t="n">
        <v>488.577</v>
      </c>
      <c r="I154" s="20" t="n">
        <v>248.147</v>
      </c>
      <c r="J154" s="20" t="n">
        <v>-1518.231</v>
      </c>
      <c r="S154" s="20" t="n">
        <v>681.105</v>
      </c>
      <c r="T154" s="20" t="n">
        <v>-505.949</v>
      </c>
      <c r="U154" s="20" t="n">
        <v>378.763</v>
      </c>
      <c r="V154" s="20" t="n">
        <v>645.855</v>
      </c>
      <c r="W154" s="20" t="n">
        <v>-1518.231</v>
      </c>
    </row>
    <row r="155">
      <c r="A155" s="9" t="inlineStr">
        <is>
          <t>포괄이익</t>
        </is>
      </c>
      <c r="C155" s="12" t="n">
        <v>-389.035</v>
      </c>
      <c r="D155" s="12" t="n">
        <v>199.376</v>
      </c>
      <c r="E155" s="12" t="n">
        <v>506.585</v>
      </c>
      <c r="F155" s="12" t="n">
        <v>-60.934</v>
      </c>
      <c r="G155" s="12" t="n">
        <v>174.516</v>
      </c>
      <c r="H155" s="12" t="n">
        <v>815.072</v>
      </c>
      <c r="I155" s="12" t="n">
        <v>569.335</v>
      </c>
      <c r="J155" s="12" t="n">
        <v>-1442.027</v>
      </c>
      <c r="S155" s="12" t="n">
        <v>2047.24</v>
      </c>
      <c r="T155" s="12" t="n">
        <v>218.888</v>
      </c>
      <c r="U155" s="12" t="n">
        <v>872.546</v>
      </c>
      <c r="V155" s="12" t="n">
        <v>-60.934</v>
      </c>
      <c r="W155" s="12" t="n">
        <v>-1442.027</v>
      </c>
    </row>
    <row r="156">
      <c r="A156" s="9" t="inlineStr">
        <is>
          <t>지배주주 포괄이익</t>
        </is>
      </c>
      <c r="C156" s="12" t="n">
        <v>-389.035</v>
      </c>
      <c r="D156" s="12" t="n">
        <v>199.376</v>
      </c>
      <c r="E156" s="12" t="n">
        <v>506.585</v>
      </c>
      <c r="F156" s="12" t="n">
        <v>-60.934</v>
      </c>
      <c r="G156" s="12" t="n">
        <v>174.516</v>
      </c>
      <c r="H156" s="12" t="n">
        <v>815.072</v>
      </c>
      <c r="I156" s="12" t="n">
        <v>569.335</v>
      </c>
      <c r="J156" s="12" t="n">
        <v>-1442.027</v>
      </c>
      <c r="S156" s="12" t="n">
        <v>2046.196</v>
      </c>
      <c r="T156" s="12" t="n">
        <v>217.779</v>
      </c>
      <c r="U156" s="12" t="n">
        <v>872.4450000000001</v>
      </c>
      <c r="V156" s="12" t="n">
        <v>-60.934</v>
      </c>
      <c r="W156" s="12" t="n">
        <v>-1442.027</v>
      </c>
    </row>
    <row r="157">
      <c r="A157" s="9" t="inlineStr">
        <is>
          <t>비지배주주 포괄이익</t>
        </is>
      </c>
      <c r="S157" s="12" t="n">
        <v>1.043</v>
      </c>
      <c r="T157" s="12" t="n">
        <v>1.109</v>
      </c>
      <c r="U157" s="12" t="n">
        <v>0.101</v>
      </c>
    </row>
    <row r="159">
      <c r="A159" s="16" t="inlineStr">
        <is>
          <t>부문 · 전 항목</t>
        </is>
      </c>
      <c r="B159" s="42" t="inlineStr">
        <is>
          <t>부문 · 항목</t>
        </is>
      </c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</row>
    <row r="160">
      <c r="A160" s="5" t="inlineStr">
        <is>
          <t>항목</t>
        </is>
      </c>
      <c r="B160" s="5" t="inlineStr">
        <is>
          <t>참고</t>
        </is>
      </c>
      <c r="C160" s="5" t="inlineStr">
        <is>
          <t>2025.1Q</t>
        </is>
      </c>
      <c r="D160" s="5" t="inlineStr">
        <is>
          <t>2025.2Q</t>
        </is>
      </c>
      <c r="E160" s="5" t="inlineStr">
        <is>
          <t>2025.3Q</t>
        </is>
      </c>
      <c r="F160" s="5" t="inlineStr">
        <is>
          <t>2025.4Q</t>
        </is>
      </c>
      <c r="G160" s="5" t="inlineStr">
        <is>
          <t>2026.1Q</t>
        </is>
      </c>
      <c r="H160" s="5" t="inlineStr">
        <is>
          <t>2026.2Q</t>
        </is>
      </c>
      <c r="I160" s="5" t="inlineStr">
        <is>
          <t>2026.3Q</t>
        </is>
      </c>
      <c r="J160" s="5" t="inlineStr">
        <is>
          <t>2026.4Q</t>
        </is>
      </c>
      <c r="K160" s="5" t="inlineStr">
        <is>
          <t>2027.1Q</t>
        </is>
      </c>
      <c r="L160" s="5" t="inlineStr">
        <is>
          <t>2027.2Q</t>
        </is>
      </c>
      <c r="M160" s="5" t="inlineStr">
        <is>
          <t>2027.3Q</t>
        </is>
      </c>
      <c r="N160" s="5" t="inlineStr">
        <is>
          <t>2027.4Q</t>
        </is>
      </c>
      <c r="O160" s="5" t="inlineStr">
        <is>
          <t>2018</t>
        </is>
      </c>
      <c r="P160" s="5" t="inlineStr">
        <is>
          <t>2019</t>
        </is>
      </c>
      <c r="Q160" s="5" t="inlineStr">
        <is>
          <t>2020</t>
        </is>
      </c>
      <c r="R160" s="5" t="inlineStr">
        <is>
          <t>2021</t>
        </is>
      </c>
      <c r="S160" s="5" t="inlineStr">
        <is>
          <t>2022</t>
        </is>
      </c>
      <c r="T160" s="5" t="inlineStr">
        <is>
          <t>2023</t>
        </is>
      </c>
      <c r="U160" s="5" t="inlineStr">
        <is>
          <t>2024</t>
        </is>
      </c>
      <c r="V160" s="5" t="inlineStr">
        <is>
          <t>2025</t>
        </is>
      </c>
      <c r="W160" s="5" t="inlineStr">
        <is>
          <t>2026</t>
        </is>
      </c>
      <c r="X160" s="5" t="inlineStr">
        <is>
          <t>2027</t>
        </is>
      </c>
      <c r="Y160" s="5" t="inlineStr">
        <is>
          <t>2028(MW)</t>
        </is>
      </c>
      <c r="Z160" s="5" t="inlineStr">
        <is>
          <t>2029(MW)</t>
        </is>
      </c>
      <c r="AA160" s="5" t="inlineStr">
        <is>
          <t>2030(MW)</t>
        </is>
      </c>
      <c r="AB160" s="5" t="inlineStr">
        <is>
          <t>2031(MW)</t>
        </is>
      </c>
      <c r="AC160" s="5" t="inlineStr">
        <is>
          <t>2032(MW)</t>
        </is>
      </c>
    </row>
    <row r="161">
      <c r="A161" s="18" t="inlineStr">
        <is>
          <t>StationeryAndOfficeSupplyReportableSegmentsMember · 외부 고객 매출</t>
        </is>
      </c>
      <c r="C161" s="20" t="n">
        <v>5183.236</v>
      </c>
      <c r="D161" s="20" t="n">
        <v>6189.249</v>
      </c>
      <c r="E161" s="20" t="n">
        <v>6839.502</v>
      </c>
      <c r="F161" s="20" t="n">
        <v>7122.651</v>
      </c>
      <c r="G161" s="20" t="n">
        <v>4922.836</v>
      </c>
      <c r="H161" s="20" t="n">
        <v>6096.275</v>
      </c>
      <c r="I161" s="20" t="n">
        <v>6846.367</v>
      </c>
      <c r="J161" s="20" t="n">
        <v>7312.615</v>
      </c>
      <c r="V161" s="20" t="n">
        <v>7122.651</v>
      </c>
      <c r="W161" s="20" t="n">
        <v>7312.615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</row>
    <row r="163">
      <c r="A163" s="18" t="inlineStr">
        <is>
          <t>LifestyleProductsReportableSegmentMember · 외부 고객 매출</t>
        </is>
      </c>
      <c r="C163" s="20" t="n">
        <v>3601.94</v>
      </c>
      <c r="G163" s="20" t="n">
        <v>3328.637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</row>
    <row r="165">
      <c r="A165" s="18" t="inlineStr">
        <is>
          <t>합계 · 외부 고객 매출</t>
        </is>
      </c>
      <c r="C165" s="20" t="n">
        <v>8785.175999999999</v>
      </c>
      <c r="D165" s="20" t="n">
        <v>9734.880999999999</v>
      </c>
      <c r="E165" s="20" t="n">
        <v>10261.756</v>
      </c>
      <c r="G165" s="20" t="n">
        <v>8251.473</v>
      </c>
      <c r="H165" s="20" t="n">
        <v>9715.757</v>
      </c>
      <c r="I165" s="20" t="n">
        <v>9934.630999999999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</row>
    <row r="167">
      <c r="A167" s="18" t="inlineStr">
        <is>
          <t>InteriorLifeStyleReportableSegmentsMember · 외부 고객 매출</t>
        </is>
      </c>
      <c r="E167" s="20" t="n">
        <v>3422.254</v>
      </c>
      <c r="F167" s="20" t="n">
        <v>3648.605</v>
      </c>
      <c r="V167" s="20" t="n">
        <v>3648.605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V168" s="15">
        <f>IF(OR(V167="",U167=""),"",IF(U167&lt;=0,"",IFERROR(V167/U167-1,"")))</f>
        <v/>
      </c>
    </row>
    <row r="169">
      <c r="A169" s="18" t="inlineStr">
        <is>
          <t>조정액 · 외부 고객 매출</t>
        </is>
      </c>
      <c r="C169" s="20" t="n">
        <v>0</v>
      </c>
      <c r="D169" s="20" t="n">
        <v>0</v>
      </c>
      <c r="E169" s="20" t="n">
        <v>0</v>
      </c>
      <c r="F169" s="20" t="n">
        <v>0</v>
      </c>
      <c r="G169" s="20" t="n">
        <v>0</v>
      </c>
      <c r="H169" s="20" t="n">
        <v>0</v>
      </c>
      <c r="I169" s="20" t="n">
        <v>0</v>
      </c>
      <c r="J169" s="20" t="n">
        <v>0</v>
      </c>
      <c r="V169" s="20" t="n">
        <v>0</v>
      </c>
      <c r="W169" s="20" t="n">
        <v>0</v>
      </c>
    </row>
    <row r="170">
      <c r="A170" s="18" t="inlineStr">
        <is>
          <t>EntityTotalMember · 외부 고객 매출</t>
        </is>
      </c>
      <c r="C170" s="20" t="n">
        <v>8785.175999999999</v>
      </c>
      <c r="G170" s="20" t="n">
        <v>8251.473</v>
      </c>
    </row>
    <row r="171">
      <c r="A171" s="9" t="inlineStr">
        <is>
          <t>외부 고객 매출</t>
        </is>
      </c>
      <c r="C171" s="12" t="n">
        <v>8785.175999999999</v>
      </c>
      <c r="D171" s="12" t="n">
        <v>9734.880999999999</v>
      </c>
      <c r="E171" s="12" t="n">
        <v>10261.756</v>
      </c>
      <c r="F171" s="12" t="n">
        <v>10771.256</v>
      </c>
      <c r="V171" s="12" t="n">
        <v>10771.256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V172" s="15">
        <f>IF(OR(V171="",U171=""),"",IF(U171&lt;=0,"",IFERROR(V171/U171-1,"")))</f>
        <v/>
      </c>
    </row>
    <row r="173">
      <c r="A173" s="18" t="inlineStr">
        <is>
          <t>StationeryAndOfficeSupplyReportableSegmentsMember · 부문 간 내부매출·대체</t>
        </is>
      </c>
      <c r="C173" s="20" t="n">
        <v>23.281</v>
      </c>
      <c r="D173" s="20" t="n">
        <v>21.063</v>
      </c>
      <c r="E173" s="20" t="n">
        <v>26.047</v>
      </c>
      <c r="F173" s="20" t="n">
        <v>11.496</v>
      </c>
      <c r="G173" s="20" t="n">
        <v>63.093</v>
      </c>
      <c r="H173" s="20" t="n">
        <v>24.116</v>
      </c>
      <c r="I173" s="20" t="n">
        <v>23.729</v>
      </c>
      <c r="J173" s="20" t="n">
        <v>-12.373</v>
      </c>
      <c r="V173" s="20" t="n">
        <v>11.496</v>
      </c>
      <c r="W173" s="20" t="n">
        <v>-12.373</v>
      </c>
    </row>
    <row r="174">
      <c r="A174" s="18" t="inlineStr">
        <is>
          <t>LifestyleProductsReportableSegmentMember · 부문 간 내부매출·대체</t>
        </is>
      </c>
      <c r="C174" s="20" t="n">
        <v>60.857</v>
      </c>
      <c r="G174" s="20" t="n">
        <v>24.424</v>
      </c>
    </row>
    <row r="175">
      <c r="A175" s="18" t="inlineStr">
        <is>
          <t>합계 · 부문 간 내부매출·대체</t>
        </is>
      </c>
      <c r="C175" s="20" t="n">
        <v>84.13800000000001</v>
      </c>
      <c r="D175" s="20" t="n">
        <v>103.985</v>
      </c>
      <c r="E175" s="20" t="n">
        <v>108.64</v>
      </c>
      <c r="G175" s="20" t="n">
        <v>87.518</v>
      </c>
      <c r="H175" s="20" t="n">
        <v>53.186</v>
      </c>
      <c r="I175" s="20" t="n">
        <v>67.93000000000001</v>
      </c>
    </row>
    <row r="176">
      <c r="A176" s="18" t="inlineStr">
        <is>
          <t>InteriorLifeStyleReportableSegmentsMember · 부문 간 내부매출·대체</t>
        </is>
      </c>
      <c r="E176" s="20" t="n">
        <v>82.593</v>
      </c>
      <c r="F176" s="20" t="n">
        <v>22.315</v>
      </c>
      <c r="V176" s="20" t="n">
        <v>22.315</v>
      </c>
    </row>
    <row r="177">
      <c r="A177" s="18" t="inlineStr">
        <is>
          <t>조정액 · 부문 간 내부매출·대체</t>
        </is>
      </c>
      <c r="C177" s="20" t="n">
        <v>-84.13800000000001</v>
      </c>
      <c r="D177" s="20" t="n">
        <v>-103.985</v>
      </c>
      <c r="E177" s="20" t="n">
        <v>-108.64</v>
      </c>
      <c r="F177" s="20" t="n">
        <v>-33.812</v>
      </c>
      <c r="G177" s="20" t="n">
        <v>-87.518</v>
      </c>
      <c r="H177" s="20" t="n">
        <v>-53.186</v>
      </c>
      <c r="I177" s="20" t="n">
        <v>-67.93000000000001</v>
      </c>
      <c r="J177" s="20" t="n">
        <v>-202.542</v>
      </c>
      <c r="V177" s="20" t="n">
        <v>-33.812</v>
      </c>
      <c r="W177" s="20" t="n">
        <v>-202.542</v>
      </c>
    </row>
    <row r="178">
      <c r="A178" s="18" t="inlineStr">
        <is>
          <t>EntityTotalMember · 부문 간 내부매출·대체</t>
        </is>
      </c>
      <c r="C178" s="20" t="n">
        <v>0</v>
      </c>
      <c r="G178" s="20" t="n">
        <v>0</v>
      </c>
    </row>
    <row r="179">
      <c r="A179" s="18" t="inlineStr">
        <is>
          <t>부문 간 내부매출·대체</t>
        </is>
      </c>
      <c r="C179" s="20" t="n">
        <v>0</v>
      </c>
      <c r="D179" s="20" t="n">
        <v>0</v>
      </c>
      <c r="E179" s="20" t="n">
        <v>0</v>
      </c>
      <c r="F179" s="20" t="n">
        <v>0</v>
      </c>
      <c r="V179" s="20" t="n">
        <v>0</v>
      </c>
    </row>
    <row r="180">
      <c r="A180" s="18" t="inlineStr">
        <is>
          <t>StationeryAndOfficeSupplyReportableSegmentsMember · 계</t>
        </is>
      </c>
      <c r="C180" s="20" t="n">
        <v>5206.517</v>
      </c>
      <c r="D180" s="20" t="n">
        <v>6210.312</v>
      </c>
      <c r="E180" s="20" t="n">
        <v>6865.549</v>
      </c>
      <c r="F180" s="20" t="n">
        <v>7134.148</v>
      </c>
      <c r="G180" s="20" t="n">
        <v>4985.93</v>
      </c>
      <c r="H180" s="20" t="n">
        <v>6120.391</v>
      </c>
      <c r="I180" s="20" t="n">
        <v>6870.095</v>
      </c>
      <c r="J180" s="20" t="n">
        <v>7300.242</v>
      </c>
      <c r="V180" s="20" t="n">
        <v>7134.148</v>
      </c>
      <c r="W180" s="20" t="n">
        <v>7300.242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IF(OR(G180="",C180=""),"",IF(C180&lt;=0,"",IFERROR(G180/C180-1,"")))</f>
        <v/>
      </c>
      <c r="H181" s="15">
        <f>IF(OR(H180="",D180=""),"",IF(D180&lt;=0,"",IFERROR(H180/D180-1,"")))</f>
        <v/>
      </c>
      <c r="I181" s="15">
        <f>IF(OR(I180="",E180=""),"",IF(E180&lt;=0,"",IFERROR(I180/E180-1,"")))</f>
        <v/>
      </c>
      <c r="J181" s="15">
        <f>IF(OR(J180="",F180=""),"",IF(F180&lt;=0,"",IFERROR(J180/F180-1,"")))</f>
        <v/>
      </c>
      <c r="V181" s="15">
        <f>IF(OR(V180="",U180=""),"",IF(U180&lt;=0,"",IFERROR(V180/U180-1,"")))</f>
        <v/>
      </c>
      <c r="W181" s="15">
        <f>IF(OR(W180="",V180=""),"",IF(V180&lt;=0,"",IFERROR(W180/V180-1,"")))</f>
        <v/>
      </c>
    </row>
    <row r="182">
      <c r="A182" s="18" t="inlineStr">
        <is>
          <t>LifestyleProductsReportableSegmentMember · 계</t>
        </is>
      </c>
      <c r="C182" s="20" t="n">
        <v>3662.797</v>
      </c>
      <c r="G182" s="20" t="n">
        <v>3353.061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IF(OR(G182="",C182=""),"",IF(C182&lt;=0,"",IFERROR(G182/C182-1,"")))</f>
        <v/>
      </c>
    </row>
    <row r="184">
      <c r="A184" s="18" t="inlineStr">
        <is>
          <t>합계 · 계</t>
        </is>
      </c>
      <c r="C184" s="20" t="n">
        <v>8869.315000000001</v>
      </c>
      <c r="D184" s="20" t="n">
        <v>9838.866</v>
      </c>
      <c r="E184" s="20" t="n">
        <v>10370.396</v>
      </c>
      <c r="G184" s="20" t="n">
        <v>8338.991</v>
      </c>
      <c r="H184" s="20" t="n">
        <v>9768.944</v>
      </c>
      <c r="I184" s="20" t="n">
        <v>10002.56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IF(OR(G184="",C184=""),"",IF(C184&lt;=0,"",IFERROR(G184/C184-1,"")))</f>
        <v/>
      </c>
      <c r="H185" s="15">
        <f>IF(OR(H184="",D184=""),"",IF(D184&lt;=0,"",IFERROR(H184/D184-1,"")))</f>
        <v/>
      </c>
      <c r="I185" s="15">
        <f>IF(OR(I184="",E184=""),"",IF(E184&lt;=0,"",IFERROR(I184/E184-1,"")))</f>
        <v/>
      </c>
    </row>
    <row r="186">
      <c r="A186" s="18" t="inlineStr">
        <is>
          <t>InteriorLifeStyleReportableSegmentsMember · 계</t>
        </is>
      </c>
      <c r="E186" s="20" t="n">
        <v>3504.847</v>
      </c>
      <c r="F186" s="20" t="n">
        <v>3670.921</v>
      </c>
      <c r="V186" s="20" t="n">
        <v>3670.921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V187" s="15">
        <f>IF(OR(V186="",U186=""),"",IF(U186&lt;=0,"",IFERROR(V186/U186-1,"")))</f>
        <v/>
      </c>
    </row>
    <row r="188">
      <c r="A188" s="18" t="inlineStr">
        <is>
          <t>조정액 · 계</t>
        </is>
      </c>
      <c r="C188" s="20" t="n">
        <v>-84.13800000000001</v>
      </c>
      <c r="D188" s="20" t="n">
        <v>-103.985</v>
      </c>
      <c r="E188" s="20" t="n">
        <v>-108.64</v>
      </c>
      <c r="F188" s="20" t="n">
        <v>-33.812</v>
      </c>
      <c r="G188" s="20" t="n">
        <v>-87.518</v>
      </c>
      <c r="H188" s="20" t="n">
        <v>-53.186</v>
      </c>
      <c r="I188" s="20" t="n">
        <v>-67.93000000000001</v>
      </c>
      <c r="J188" s="20" t="n">
        <v>-202.542</v>
      </c>
      <c r="V188" s="20" t="n">
        <v>-33.812</v>
      </c>
      <c r="W188" s="20" t="n">
        <v>-202.542</v>
      </c>
    </row>
    <row r="189">
      <c r="A189" s="18" t="inlineStr">
        <is>
          <t>EntityTotalMember · 계</t>
        </is>
      </c>
      <c r="C189" s="20" t="n">
        <v>8785.175999999999</v>
      </c>
      <c r="G189" s="20" t="n">
        <v>8251.473</v>
      </c>
    </row>
    <row r="190">
      <c r="A190" s="9" t="inlineStr">
        <is>
          <t>계</t>
        </is>
      </c>
      <c r="C190" s="12" t="n">
        <v>8785.175999999999</v>
      </c>
      <c r="D190" s="12" t="n">
        <v>9734.880999999999</v>
      </c>
      <c r="E190" s="12" t="n">
        <v>10261.756</v>
      </c>
      <c r="F190" s="12" t="n">
        <v>10771.256</v>
      </c>
      <c r="V190" s="12" t="n">
        <v>10771.256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V191" s="15">
        <f>IF(OR(V190="",U190=""),"",IF(U190&lt;=0,"",IFERROR(V190/U190-1,"")))</f>
        <v/>
      </c>
    </row>
    <row r="192">
      <c r="A192" s="18" t="inlineStr">
        <is>
          <t>StationeryAndOfficeSupplyReportableSegmentsMember · 부문 이익</t>
        </is>
      </c>
      <c r="C192" s="20" t="n">
        <v>-297.306</v>
      </c>
      <c r="D192" s="20" t="n">
        <v>157.08</v>
      </c>
      <c r="E192" s="20" t="n">
        <v>399.402</v>
      </c>
      <c r="F192" s="20" t="n">
        <v>-726.756</v>
      </c>
      <c r="G192" s="20" t="n">
        <v>-338.173</v>
      </c>
      <c r="H192" s="20" t="n">
        <v>223.684</v>
      </c>
      <c r="I192" s="20" t="n">
        <v>394.208</v>
      </c>
      <c r="J192" s="20" t="n">
        <v>102.944</v>
      </c>
      <c r="V192" s="20" t="n">
        <v>-726.756</v>
      </c>
      <c r="W192" s="20" t="n">
        <v>102.944</v>
      </c>
    </row>
    <row r="193">
      <c r="A193" s="43" t="inlineStr">
        <is>
          <t>OPM</t>
        </is>
      </c>
      <c r="B193" s="3" t="inlineStr">
        <is>
          <t>영업이익 ÷ 매출</t>
        </is>
      </c>
      <c r="C193" s="15">
        <f>IF(OR(C192="",C180=""),"",IF(C180&lt;=0,"",IFERROR(C192/C180,"")))</f>
        <v/>
      </c>
      <c r="D193" s="15">
        <f>IF(OR(D192="",D180=""),"",IF(D180&lt;=0,"",IFERROR(D192/D180,"")))</f>
        <v/>
      </c>
      <c r="E193" s="15">
        <f>IF(OR(E192="",E180=""),"",IF(E180&lt;=0,"",IFERROR(E192/E180,"")))</f>
        <v/>
      </c>
      <c r="F193" s="15">
        <f>IF(OR(F192="",F180=""),"",IF(F180&lt;=0,"",IFERROR(F192/F180,"")))</f>
        <v/>
      </c>
      <c r="G193" s="15">
        <f>IF(OR(G192="",G180=""),"",IF(G180&lt;=0,"",IFERROR(G192/G180,"")))</f>
        <v/>
      </c>
      <c r="H193" s="15">
        <f>IF(OR(H192="",H180=""),"",IF(H180&lt;=0,"",IFERROR(H192/H180,"")))</f>
        <v/>
      </c>
      <c r="I193" s="15">
        <f>IF(OR(I192="",I180=""),"",IF(I180&lt;=0,"",IFERROR(I192/I180,"")))</f>
        <v/>
      </c>
      <c r="J193" s="15">
        <f>IF(OR(J192="",J180=""),"",IF(J180&lt;=0,"",IFERROR(J192/J180,"")))</f>
        <v/>
      </c>
      <c r="V193" s="15">
        <f>IF(OR(V192="",V180=""),"",IF(V180&lt;=0,"",IFERROR(V192/V180,"")))</f>
        <v/>
      </c>
      <c r="W193" s="15">
        <f>IF(OR(W192="",W180=""),"",IF(W180&lt;=0,"",IFERROR(W192/W180,"")))</f>
        <v/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IF(OR(G192="",C192=""),"",IF(C192&lt;=0,"",IFERROR(G192/C192-1,"")))</f>
        <v/>
      </c>
      <c r="H194" s="15">
        <f>IF(OR(H192="",D192=""),"",IF(D192&lt;=0,"",IFERROR(H192/D192-1,"")))</f>
        <v/>
      </c>
      <c r="I194" s="15">
        <f>IF(OR(I192="",E192=""),"",IF(E192&lt;=0,"",IFERROR(I192/E192-1,"")))</f>
        <v/>
      </c>
      <c r="J194" s="15">
        <f>IF(OR(J192="",F192=""),"",IF(F192&lt;=0,"",IFERROR(J192/F192-1,"")))</f>
        <v/>
      </c>
      <c r="V194" s="15">
        <f>IF(OR(V192="",U192=""),"",IF(U192&lt;=0,"",IFERROR(V192/U192-1,"")))</f>
        <v/>
      </c>
      <c r="W194" s="15">
        <f>IF(OR(W192="",V192=""),"",IF(V192&lt;=0,"",IFERROR(W192/V192-1,"")))</f>
        <v/>
      </c>
    </row>
    <row r="195">
      <c r="A195" s="18" t="inlineStr">
        <is>
          <t>LifestyleProductsReportableSegmentMember · 부문 이익(손실)</t>
        </is>
      </c>
      <c r="C195" s="20" t="n">
        <v>41.631</v>
      </c>
      <c r="G195" s="20" t="n">
        <v>120.255</v>
      </c>
    </row>
    <row r="196">
      <c r="A196" s="43" t="inlineStr">
        <is>
          <t>OPM</t>
        </is>
      </c>
      <c r="B196" s="3" t="inlineStr">
        <is>
          <t>영업이익 ÷ 매출</t>
        </is>
      </c>
      <c r="C196" s="15">
        <f>IF(OR(C195="",C182=""),"",IF(C182&lt;=0,"",IFERROR(C195/C182,"")))</f>
        <v/>
      </c>
      <c r="G196" s="15">
        <f>IF(OR(G195="",G182=""),"",IF(G182&lt;=0,"",IFERROR(G195/G182,"")))</f>
        <v/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G197" s="15">
        <f>IF(OR(G195="",C195=""),"",IF(C195&lt;=0,"",IFERROR(G195/C195-1,"")))</f>
        <v/>
      </c>
    </row>
    <row r="198">
      <c r="A198" s="18" t="inlineStr">
        <is>
          <t>합계 · 부문 이익</t>
        </is>
      </c>
      <c r="C198" s="20" t="n">
        <v>-255.674</v>
      </c>
      <c r="D198" s="20" t="n">
        <v>268.442</v>
      </c>
      <c r="E198" s="20" t="n">
        <v>360.427</v>
      </c>
      <c r="G198" s="20" t="n">
        <v>-217.918</v>
      </c>
      <c r="H198" s="20" t="n">
        <v>408.918</v>
      </c>
      <c r="I198" s="20" t="n">
        <v>324.7</v>
      </c>
    </row>
    <row r="199">
      <c r="A199" s="43" t="inlineStr">
        <is>
          <t>OPM</t>
        </is>
      </c>
      <c r="B199" s="3" t="inlineStr">
        <is>
          <t>영업이익 ÷ 매출</t>
        </is>
      </c>
      <c r="C199" s="15">
        <f>IF(OR(C198="",C184=""),"",IF(C184&lt;=0,"",IFERROR(C198/C184,"")))</f>
        <v/>
      </c>
      <c r="D199" s="15">
        <f>IF(OR(D198="",D184=""),"",IF(D184&lt;=0,"",IFERROR(D198/D184,"")))</f>
        <v/>
      </c>
      <c r="E199" s="15">
        <f>IF(OR(E198="",E184=""),"",IF(E184&lt;=0,"",IFERROR(E198/E184,"")))</f>
        <v/>
      </c>
      <c r="G199" s="15">
        <f>IF(OR(G198="",G184=""),"",IF(G184&lt;=0,"",IFERROR(G198/G184,"")))</f>
        <v/>
      </c>
      <c r="H199" s="15">
        <f>IF(OR(H198="",H184=""),"",IF(H184&lt;=0,"",IFERROR(H198/H184,"")))</f>
        <v/>
      </c>
      <c r="I199" s="15">
        <f>IF(OR(I198="",I184=""),"",IF(I184&lt;=0,"",IFERROR(I198/I184,"")))</f>
        <v/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IF(OR(G198="",C198=""),"",IF(C198&lt;=0,"",IFERROR(G198/C198-1,"")))</f>
        <v/>
      </c>
      <c r="H200" s="15">
        <f>IF(OR(H198="",D198=""),"",IF(D198&lt;=0,"",IFERROR(H198/D198-1,"")))</f>
        <v/>
      </c>
      <c r="I200" s="15">
        <f>IF(OR(I198="",E198=""),"",IF(E198&lt;=0,"",IFERROR(I198/E198-1,"")))</f>
        <v/>
      </c>
    </row>
    <row r="201">
      <c r="A201" s="18" t="inlineStr">
        <is>
          <t>InteriorLifeStyleReportableSegmentsMember · 부문 이익</t>
        </is>
      </c>
      <c r="E201" s="20" t="n">
        <v>-38.976</v>
      </c>
      <c r="F201" s="20" t="n">
        <v>80.033</v>
      </c>
      <c r="V201" s="20" t="n">
        <v>80.033</v>
      </c>
    </row>
    <row r="202">
      <c r="A202" s="43" t="inlineStr">
        <is>
          <t>OPM</t>
        </is>
      </c>
      <c r="B202" s="3" t="inlineStr">
        <is>
          <t>영업이익 ÷ 매출</t>
        </is>
      </c>
      <c r="E202" s="15">
        <f>IF(OR(E201="",E186=""),"",IF(E186&lt;=0,"",IFERROR(E201/E186,"")))</f>
        <v/>
      </c>
      <c r="F202" s="15">
        <f>IF(OR(F201="",F186=""),"",IF(F186&lt;=0,"",IFERROR(F201/F186,"")))</f>
        <v/>
      </c>
      <c r="V202" s="15">
        <f>IF(OR(V201="",V186=""),"",IF(V186&lt;=0,"",IFERROR(V201/V186,"")))</f>
        <v/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V203" s="15">
        <f>IF(OR(V201="",U201=""),"",IF(U201&lt;=0,"",IFERROR(V201/U201-1,"")))</f>
        <v/>
      </c>
    </row>
    <row r="204">
      <c r="A204" s="18" t="inlineStr">
        <is>
          <t>조정액 · 부문 이익</t>
        </is>
      </c>
      <c r="C204" s="20" t="n">
        <v>2.915</v>
      </c>
      <c r="D204" s="20" t="n">
        <v>2.83</v>
      </c>
      <c r="E204" s="20" t="n">
        <v>7.829</v>
      </c>
      <c r="F204" s="20" t="n">
        <v>18.072</v>
      </c>
      <c r="G204" s="20" t="n">
        <v>4.13</v>
      </c>
      <c r="H204" s="20" t="n">
        <v>3.717</v>
      </c>
      <c r="I204" s="20" t="n">
        <v>-0.579</v>
      </c>
      <c r="J204" s="20" t="n">
        <v>16.405</v>
      </c>
      <c r="V204" s="20" t="n">
        <v>18.072</v>
      </c>
      <c r="W204" s="20" t="n">
        <v>16.405</v>
      </c>
    </row>
    <row r="205">
      <c r="A205" s="18" t="inlineStr">
        <is>
          <t>EntityTotalMember · 부문 이익</t>
        </is>
      </c>
      <c r="C205" s="20" t="n">
        <v>-252.759</v>
      </c>
      <c r="G205" s="20" t="n">
        <v>-213.787</v>
      </c>
    </row>
    <row r="206">
      <c r="A206" s="9" t="inlineStr">
        <is>
          <t>부문 이익</t>
        </is>
      </c>
      <c r="C206" s="12" t="n">
        <v>-252.759</v>
      </c>
      <c r="D206" s="12" t="n">
        <v>271.273</v>
      </c>
      <c r="E206" s="12" t="n">
        <v>368.255</v>
      </c>
      <c r="F206" s="12" t="n">
        <v>-628.652</v>
      </c>
      <c r="V206" s="12" t="n">
        <v>-628.652</v>
      </c>
    </row>
    <row r="207">
      <c r="A207" s="43" t="inlineStr">
        <is>
          <t>OPM</t>
        </is>
      </c>
      <c r="B207" s="3" t="inlineStr">
        <is>
          <t>영업이익 ÷ 매출</t>
        </is>
      </c>
      <c r="C207" s="15">
        <f>IF(OR(C206="",C171=""),"",IF(C171&lt;=0,"",IFERROR(C206/C171,"")))</f>
        <v/>
      </c>
      <c r="D207" s="15">
        <f>IF(OR(D206="",D171=""),"",IF(D171&lt;=0,"",IFERROR(D206/D171,"")))</f>
        <v/>
      </c>
      <c r="E207" s="15">
        <f>IF(OR(E206="",E171=""),"",IF(E171&lt;=0,"",IFERROR(E206/E171,"")))</f>
        <v/>
      </c>
      <c r="F207" s="15">
        <f>IF(OR(F206="",F171=""),"",IF(F171&lt;=0,"",IFERROR(F206/F171,"")))</f>
        <v/>
      </c>
      <c r="V207" s="15">
        <f>IF(OR(V206="",V171=""),"",IF(V171&lt;=0,"",IFERROR(V206/V171,"")))</f>
        <v/>
      </c>
    </row>
    <row r="208">
      <c r="A208" s="43" t="inlineStr">
        <is>
          <t>YoY</t>
        </is>
      </c>
      <c r="B208" s="3" t="inlineStr">
        <is>
          <t>전년 같은 분기·전년 대비</t>
        </is>
      </c>
      <c r="V208" s="15">
        <f>IF(OR(V206="",U206=""),"",IF(U206&lt;=0,"",IFERROR(V206/U206-1,"")))</f>
        <v/>
      </c>
    </row>
    <row r="210">
      <c r="A210" s="16" t="inlineStr">
        <is>
          <t>현금흐름표 · 전 항목</t>
        </is>
      </c>
      <c r="B210" s="42" t="inlineStr">
        <is>
          <t>분기 = 결산기 첫날부터 누계(공시 그대로)</t>
        </is>
      </c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</row>
    <row r="211">
      <c r="A211" s="5" t="inlineStr">
        <is>
          <t>항목</t>
        </is>
      </c>
      <c r="B211" s="5" t="inlineStr">
        <is>
          <t>참고</t>
        </is>
      </c>
      <c r="C211" s="5" t="inlineStr">
        <is>
          <t>2025.1Q</t>
        </is>
      </c>
      <c r="D211" s="5" t="inlineStr">
        <is>
          <t>2025.2Q</t>
        </is>
      </c>
      <c r="E211" s="5" t="inlineStr">
        <is>
          <t>2025.3Q</t>
        </is>
      </c>
      <c r="F211" s="5" t="inlineStr">
        <is>
          <t>2025.4Q</t>
        </is>
      </c>
      <c r="G211" s="5" t="inlineStr">
        <is>
          <t>2026.1Q</t>
        </is>
      </c>
      <c r="H211" s="5" t="inlineStr">
        <is>
          <t>2026.2Q</t>
        </is>
      </c>
      <c r="I211" s="5" t="inlineStr">
        <is>
          <t>2026.3Q</t>
        </is>
      </c>
      <c r="J211" s="5" t="inlineStr">
        <is>
          <t>2026.4Q</t>
        </is>
      </c>
      <c r="K211" s="5" t="inlineStr">
        <is>
          <t>2027.1Q</t>
        </is>
      </c>
      <c r="L211" s="5" t="inlineStr">
        <is>
          <t>2027.2Q</t>
        </is>
      </c>
      <c r="M211" s="5" t="inlineStr">
        <is>
          <t>2027.3Q</t>
        </is>
      </c>
      <c r="N211" s="5" t="inlineStr">
        <is>
          <t>2027.4Q</t>
        </is>
      </c>
      <c r="O211" s="5" t="inlineStr">
        <is>
          <t>2018</t>
        </is>
      </c>
      <c r="P211" s="5" t="inlineStr">
        <is>
          <t>2019</t>
        </is>
      </c>
      <c r="Q211" s="5" t="inlineStr">
        <is>
          <t>2020</t>
        </is>
      </c>
      <c r="R211" s="5" t="inlineStr">
        <is>
          <t>2021</t>
        </is>
      </c>
      <c r="S211" s="5" t="inlineStr">
        <is>
          <t>2022</t>
        </is>
      </c>
      <c r="T211" s="5" t="inlineStr">
        <is>
          <t>2023</t>
        </is>
      </c>
      <c r="U211" s="5" t="inlineStr">
        <is>
          <t>2024</t>
        </is>
      </c>
      <c r="V211" s="5" t="inlineStr">
        <is>
          <t>2025</t>
        </is>
      </c>
      <c r="W211" s="5" t="inlineStr">
        <is>
          <t>2026</t>
        </is>
      </c>
      <c r="X211" s="5" t="inlineStr">
        <is>
          <t>2027</t>
        </is>
      </c>
      <c r="Y211" s="5" t="inlineStr">
        <is>
          <t>2028(MW)</t>
        </is>
      </c>
      <c r="Z211" s="5" t="inlineStr">
        <is>
          <t>2029(MW)</t>
        </is>
      </c>
      <c r="AA211" s="5" t="inlineStr">
        <is>
          <t>2030(MW)</t>
        </is>
      </c>
      <c r="AB211" s="5" t="inlineStr">
        <is>
          <t>2031(MW)</t>
        </is>
      </c>
      <c r="AC211" s="5" t="inlineStr">
        <is>
          <t>2032(MW)</t>
        </is>
      </c>
    </row>
    <row r="212">
      <c r="A212" s="9" t="inlineStr">
        <is>
          <t>법인세차감전 순이익</t>
        </is>
      </c>
      <c r="D212" s="12" t="n">
        <v>180.864</v>
      </c>
      <c r="F212" s="12" t="n">
        <v>42.033</v>
      </c>
      <c r="H212" s="12" t="n">
        <v>368.01</v>
      </c>
      <c r="J212" s="12" t="n">
        <v>820.566</v>
      </c>
      <c r="N212" s="12" t="n">
        <v>1634.098</v>
      </c>
      <c r="O212" s="12" t="n">
        <v>1776.137</v>
      </c>
      <c r="P212" s="12" t="n">
        <v>1974.736</v>
      </c>
      <c r="Q212" s="12" t="n">
        <v>1554.905</v>
      </c>
      <c r="R212" s="12" t="n">
        <v>1539.213</v>
      </c>
      <c r="S212" s="12" t="n">
        <v>2718.736</v>
      </c>
      <c r="T212" s="12" t="n">
        <v>1224.577</v>
      </c>
      <c r="U212" s="12" t="n">
        <v>817.092</v>
      </c>
      <c r="V212" s="12" t="n">
        <v>42.033</v>
      </c>
      <c r="W212" s="12" t="n">
        <v>820.566</v>
      </c>
      <c r="X212" s="12" t="n">
        <v>1634.098</v>
      </c>
    </row>
    <row r="213">
      <c r="A213" s="18" t="inlineStr">
        <is>
          <t>감가상각비</t>
        </is>
      </c>
      <c r="D213" s="20" t="n">
        <v>324.652</v>
      </c>
      <c r="F213" s="20" t="n">
        <v>655.669</v>
      </c>
      <c r="H213" s="20" t="n">
        <v>300.294</v>
      </c>
      <c r="J213" s="20" t="n">
        <v>744.881</v>
      </c>
      <c r="N213" s="20" t="n">
        <v>649.085</v>
      </c>
      <c r="O213" s="20" t="n">
        <v>680.885</v>
      </c>
      <c r="P213" s="20" t="n">
        <v>641.681</v>
      </c>
      <c r="Q213" s="20" t="n">
        <v>650.567</v>
      </c>
      <c r="R213" s="20" t="n">
        <v>643.426</v>
      </c>
      <c r="S213" s="20" t="n">
        <v>628.628</v>
      </c>
      <c r="T213" s="20" t="n">
        <v>658.967</v>
      </c>
      <c r="U213" s="20" t="n">
        <v>631.6369999999999</v>
      </c>
      <c r="V213" s="20" t="n">
        <v>655.669</v>
      </c>
      <c r="W213" s="20" t="n">
        <v>744.881</v>
      </c>
      <c r="X213" s="20" t="n">
        <v>649.085</v>
      </c>
    </row>
    <row r="214">
      <c r="A214" s="18" t="inlineStr">
        <is>
          <t>손상차손</t>
        </is>
      </c>
      <c r="F214" s="20" t="n">
        <v>172.125</v>
      </c>
      <c r="J214" s="20" t="n">
        <v>116.057</v>
      </c>
      <c r="N214" s="20" t="n">
        <v>37.527</v>
      </c>
      <c r="O214" s="20" t="n">
        <v>48.288</v>
      </c>
      <c r="P214" s="20" t="n">
        <v>106.984</v>
      </c>
      <c r="Q214" s="20" t="n">
        <v>67.462</v>
      </c>
      <c r="R214" s="20" t="n">
        <v>21.913</v>
      </c>
      <c r="S214" s="20" t="n">
        <v>0</v>
      </c>
      <c r="U214" s="20" t="n">
        <v>0</v>
      </c>
      <c r="V214" s="20" t="n">
        <v>172.125</v>
      </c>
      <c r="W214" s="20" t="n">
        <v>116.057</v>
      </c>
      <c r="X214" s="20" t="n">
        <v>37.527</v>
      </c>
    </row>
    <row r="215">
      <c r="A215" s="18" t="inlineStr">
        <is>
          <t>영업권 상각</t>
        </is>
      </c>
      <c r="D215" s="20" t="n">
        <v>100.029</v>
      </c>
      <c r="F215" s="20" t="n">
        <v>240.56</v>
      </c>
      <c r="H215" s="20" t="n">
        <v>82.17400000000001</v>
      </c>
      <c r="J215" s="20" t="n">
        <v>200.059</v>
      </c>
      <c r="N215" s="20" t="n">
        <v>164.349</v>
      </c>
      <c r="O215" s="20" t="n">
        <v>155.516</v>
      </c>
      <c r="P215" s="20" t="n">
        <v>142.645</v>
      </c>
      <c r="Q215" s="20" t="n">
        <v>0</v>
      </c>
      <c r="S215" s="20" t="n">
        <v>0</v>
      </c>
      <c r="T215" s="20" t="n">
        <v>82.17400000000001</v>
      </c>
      <c r="U215" s="20" t="n">
        <v>196.104</v>
      </c>
      <c r="V215" s="20" t="n">
        <v>240.56</v>
      </c>
      <c r="W215" s="20" t="n">
        <v>200.059</v>
      </c>
      <c r="X215" s="20" t="n">
        <v>164.349</v>
      </c>
    </row>
    <row r="216">
      <c r="A216" s="18" t="inlineStr">
        <is>
          <t>대손충당금 증감</t>
        </is>
      </c>
      <c r="D216" s="20" t="n">
        <v>-3.071</v>
      </c>
      <c r="F216" s="20" t="n">
        <v>2.31</v>
      </c>
      <c r="H216" s="20" t="n">
        <v>1.034</v>
      </c>
      <c r="J216" s="20" t="n">
        <v>-3.015</v>
      </c>
      <c r="N216" s="20" t="n">
        <v>0.728</v>
      </c>
      <c r="O216" s="20" t="n">
        <v>8.491</v>
      </c>
      <c r="P216" s="20" t="n">
        <v>-1.368</v>
      </c>
      <c r="Q216" s="20" t="n">
        <v>-1.917</v>
      </c>
      <c r="R216" s="20" t="n">
        <v>-1.241</v>
      </c>
      <c r="S216" s="20" t="n">
        <v>14.027</v>
      </c>
      <c r="T216" s="20" t="n">
        <v>-17.69</v>
      </c>
      <c r="U216" s="20" t="n">
        <v>-2.585</v>
      </c>
      <c r="V216" s="20" t="n">
        <v>2.31</v>
      </c>
      <c r="W216" s="20" t="n">
        <v>-3.015</v>
      </c>
      <c r="X216" s="20" t="n">
        <v>0.728</v>
      </c>
    </row>
    <row r="217">
      <c r="A217" s="18" t="inlineStr">
        <is>
          <t>퇴직급여부채 증감</t>
        </is>
      </c>
      <c r="D217" s="20" t="n">
        <v>10.156</v>
      </c>
      <c r="F217" s="20" t="n">
        <v>-8.617000000000001</v>
      </c>
      <c r="H217" s="20" t="n">
        <v>-0.048</v>
      </c>
      <c r="J217" s="20" t="n">
        <v>37.775</v>
      </c>
      <c r="N217" s="20" t="n">
        <v>16.742</v>
      </c>
      <c r="O217" s="20" t="n">
        <v>44.523</v>
      </c>
      <c r="P217" s="20" t="n">
        <v>46.697</v>
      </c>
      <c r="Q217" s="20" t="n">
        <v>42.467</v>
      </c>
      <c r="R217" s="20" t="n">
        <v>50.982</v>
      </c>
      <c r="S217" s="20" t="n">
        <v>87.714</v>
      </c>
      <c r="T217" s="20" t="n">
        <v>-48.481</v>
      </c>
      <c r="U217" s="20" t="n">
        <v>-62.231</v>
      </c>
      <c r="V217" s="20" t="n">
        <v>-8.617000000000001</v>
      </c>
      <c r="W217" s="20" t="n">
        <v>37.775</v>
      </c>
      <c r="X217" s="20" t="n">
        <v>16.742</v>
      </c>
    </row>
    <row r="218">
      <c r="A218" s="18" t="inlineStr">
        <is>
          <t>퇴직급여자산 증감</t>
        </is>
      </c>
      <c r="D218" s="20" t="n">
        <v>-99.623</v>
      </c>
      <c r="F218" s="20" t="n">
        <v>-119.616</v>
      </c>
      <c r="H218" s="20" t="n">
        <v>-93.744</v>
      </c>
      <c r="J218" s="20" t="n">
        <v>-197.999</v>
      </c>
      <c r="N218" s="20" t="n">
        <v>-185.607</v>
      </c>
      <c r="O218" s="20" t="n">
        <v>-81.303</v>
      </c>
      <c r="P218" s="20" t="n">
        <v>-83.803</v>
      </c>
      <c r="Q218" s="20" t="n">
        <v>20.011</v>
      </c>
      <c r="R218" s="20" t="n">
        <v>25.553</v>
      </c>
      <c r="S218" s="20" t="n">
        <v>51.974</v>
      </c>
      <c r="T218" s="20" t="n">
        <v>-161.73</v>
      </c>
      <c r="U218" s="20" t="n">
        <v>-96.309</v>
      </c>
      <c r="V218" s="20" t="n">
        <v>-119.616</v>
      </c>
      <c r="W218" s="20" t="n">
        <v>-197.999</v>
      </c>
      <c r="X218" s="20" t="n">
        <v>-185.607</v>
      </c>
    </row>
    <row r="219">
      <c r="A219" s="18" t="inlineStr">
        <is>
          <t>이자·배당금 수익</t>
        </is>
      </c>
      <c r="D219" s="20" t="n">
        <v>-105.313</v>
      </c>
      <c r="F219" s="20" t="n">
        <v>-127.549</v>
      </c>
      <c r="H219" s="20" t="n">
        <v>-121.272</v>
      </c>
      <c r="J219" s="20" t="n">
        <v>-122.873</v>
      </c>
      <c r="N219" s="20" t="n">
        <v>-173.83</v>
      </c>
      <c r="O219" s="20" t="n">
        <v>-54.238</v>
      </c>
      <c r="P219" s="20" t="n">
        <v>-56.844</v>
      </c>
      <c r="Q219" s="20" t="n">
        <v>-64.307</v>
      </c>
      <c r="R219" s="20" t="n">
        <v>-74.527</v>
      </c>
      <c r="S219" s="20" t="n">
        <v>-72.90000000000001</v>
      </c>
      <c r="T219" s="20" t="n">
        <v>-75.828</v>
      </c>
      <c r="U219" s="20" t="n">
        <v>-105.003</v>
      </c>
      <c r="V219" s="20" t="n">
        <v>-127.549</v>
      </c>
      <c r="W219" s="20" t="n">
        <v>-122.873</v>
      </c>
      <c r="X219" s="20" t="n">
        <v>-173.83</v>
      </c>
    </row>
    <row r="220">
      <c r="A220" s="18" t="inlineStr">
        <is>
          <t>이자비용</t>
        </is>
      </c>
      <c r="D220" s="20" t="n">
        <v>25.756</v>
      </c>
      <c r="F220" s="20" t="n">
        <v>45.265</v>
      </c>
      <c r="H220" s="20" t="n">
        <v>38.349</v>
      </c>
      <c r="J220" s="20" t="n">
        <v>64.688</v>
      </c>
      <c r="N220" s="20" t="n">
        <v>84.40900000000001</v>
      </c>
      <c r="O220" s="20" t="n">
        <v>19.783</v>
      </c>
      <c r="P220" s="20" t="n">
        <v>7.805</v>
      </c>
      <c r="Q220" s="20" t="n">
        <v>4.928</v>
      </c>
      <c r="R220" s="20" t="n">
        <v>7.491</v>
      </c>
      <c r="S220" s="20" t="n">
        <v>6.795</v>
      </c>
      <c r="T220" s="20" t="n">
        <v>18.663</v>
      </c>
      <c r="U220" s="20" t="n">
        <v>42.744</v>
      </c>
      <c r="V220" s="20" t="n">
        <v>45.265</v>
      </c>
      <c r="W220" s="20" t="n">
        <v>64.688</v>
      </c>
      <c r="X220" s="20" t="n">
        <v>84.40900000000001</v>
      </c>
    </row>
    <row r="221">
      <c r="A221" s="18" t="inlineStr">
        <is>
          <t>외환차손익</t>
        </is>
      </c>
      <c r="D221" s="20" t="n">
        <v>-1.708</v>
      </c>
      <c r="F221" s="20" t="n">
        <v>-32.236</v>
      </c>
      <c r="H221" s="20" t="n">
        <v>-14.612</v>
      </c>
      <c r="J221" s="20" t="n">
        <v>8.673</v>
      </c>
      <c r="N221" s="20" t="n">
        <v>-14.377</v>
      </c>
      <c r="O221" s="20" t="n">
        <v>-41.777</v>
      </c>
      <c r="P221" s="20" t="n">
        <v>7.24</v>
      </c>
      <c r="Q221" s="20" t="n">
        <v>16.546</v>
      </c>
      <c r="R221" s="20" t="n">
        <v>-2.552</v>
      </c>
      <c r="S221" s="20" t="n">
        <v>-13.977</v>
      </c>
      <c r="T221" s="20" t="n">
        <v>-61.444</v>
      </c>
      <c r="U221" s="20" t="n">
        <v>-18.2</v>
      </c>
      <c r="V221" s="20" t="n">
        <v>-32.236</v>
      </c>
      <c r="W221" s="20" t="n">
        <v>8.673</v>
      </c>
      <c r="X221" s="20" t="n">
        <v>-14.377</v>
      </c>
    </row>
    <row r="222">
      <c r="A222" s="18" t="inlineStr">
        <is>
          <t>고정자산 제각·매각손익</t>
        </is>
      </c>
      <c r="D222" s="20" t="n">
        <v>0.119</v>
      </c>
      <c r="H222" s="20" t="n">
        <v>1.186</v>
      </c>
    </row>
    <row r="223">
      <c r="A223" s="18" t="inlineStr">
        <is>
          <t>고정자산 제각손실</t>
        </is>
      </c>
      <c r="F223" s="20" t="n">
        <v>4.148</v>
      </c>
      <c r="J223" s="20" t="n">
        <v>2.175</v>
      </c>
      <c r="N223" s="20" t="n">
        <v>2.202</v>
      </c>
      <c r="O223" s="20" t="n">
        <v>4.174</v>
      </c>
      <c r="P223" s="20" t="n">
        <v>8.327</v>
      </c>
      <c r="Q223" s="20" t="n">
        <v>15.325</v>
      </c>
      <c r="R223" s="20" t="n">
        <v>14.725</v>
      </c>
      <c r="S223" s="20" t="n">
        <v>7.073</v>
      </c>
      <c r="T223" s="20" t="n">
        <v>115.1</v>
      </c>
      <c r="U223" s="20" t="n">
        <v>0.122</v>
      </c>
      <c r="V223" s="20" t="n">
        <v>4.148</v>
      </c>
      <c r="W223" s="20" t="n">
        <v>2.175</v>
      </c>
      <c r="X223" s="20" t="n">
        <v>2.202</v>
      </c>
    </row>
    <row r="224">
      <c r="A224" s="18" t="inlineStr">
        <is>
          <t>고정자산 매각손익</t>
        </is>
      </c>
      <c r="F224" s="20" t="n">
        <v>-137.898</v>
      </c>
      <c r="J224" s="20" t="n">
        <v>-0.06900000000000001</v>
      </c>
      <c r="N224" s="20" t="n">
        <v>-1.076</v>
      </c>
      <c r="O224" s="20" t="n">
        <v>-0.538</v>
      </c>
      <c r="P224" s="20" t="n">
        <v>-0.232</v>
      </c>
      <c r="Q224" s="20" t="n">
        <v>-0.752</v>
      </c>
      <c r="R224" s="20" t="n">
        <v>-86.41</v>
      </c>
      <c r="S224" s="20" t="n">
        <v>-0.453</v>
      </c>
      <c r="T224" s="20" t="n">
        <v>-0.652</v>
      </c>
      <c r="U224" s="20" t="n">
        <v>0.122</v>
      </c>
      <c r="V224" s="20" t="n">
        <v>-137.898</v>
      </c>
      <c r="W224" s="20" t="n">
        <v>-0.06900000000000001</v>
      </c>
      <c r="X224" s="20" t="n">
        <v>-1.076</v>
      </c>
    </row>
    <row r="225">
      <c r="A225" s="18" t="inlineStr">
        <is>
          <t>투자유가증권 매각손익</t>
        </is>
      </c>
      <c r="F225" s="20" t="n">
        <v>0</v>
      </c>
      <c r="J225" s="20" t="n">
        <v>-103.087</v>
      </c>
      <c r="N225" s="20" t="n">
        <v>-179.441</v>
      </c>
      <c r="T225" s="20" t="n">
        <v>-0.911</v>
      </c>
      <c r="U225" s="20" t="n">
        <v>-136.209</v>
      </c>
      <c r="V225" s="20" t="n">
        <v>0</v>
      </c>
      <c r="W225" s="20" t="n">
        <v>-103.087</v>
      </c>
      <c r="X225" s="20" t="n">
        <v>-179.441</v>
      </c>
    </row>
    <row r="226">
      <c r="A226" s="18" t="inlineStr">
        <is>
          <t>보조금 수입</t>
        </is>
      </c>
      <c r="R226" s="20" t="n">
        <v>-10.814</v>
      </c>
      <c r="S226" s="20" t="n">
        <v>-40.252</v>
      </c>
      <c r="T226" s="20" t="n">
        <v>-17.266</v>
      </c>
      <c r="U226" s="20" t="n">
        <v>-7.75</v>
      </c>
    </row>
    <row r="227">
      <c r="A227" s="18" t="inlineStr">
        <is>
          <t>특별퇴직금</t>
        </is>
      </c>
      <c r="D227" s="20" t="n">
        <v>0</v>
      </c>
      <c r="F227" s="20" t="n">
        <v>49.868</v>
      </c>
      <c r="H227" s="20" t="n">
        <v>13.607</v>
      </c>
      <c r="J227" s="20" t="n">
        <v>0</v>
      </c>
      <c r="N227" s="20" t="n">
        <v>17.633</v>
      </c>
      <c r="R227" s="20" t="n">
        <v>0</v>
      </c>
      <c r="S227" s="20" t="n">
        <v>30.095</v>
      </c>
      <c r="T227" s="20" t="n">
        <v>0</v>
      </c>
      <c r="U227" s="20" t="n">
        <v>0</v>
      </c>
      <c r="V227" s="20" t="n">
        <v>49.868</v>
      </c>
      <c r="W227" s="20" t="n">
        <v>0</v>
      </c>
      <c r="X227" s="20" t="n">
        <v>17.633</v>
      </c>
    </row>
    <row r="228">
      <c r="A228" s="18" t="inlineStr">
        <is>
          <t>매출채권 증감</t>
        </is>
      </c>
      <c r="D228" s="20" t="n">
        <v>-83.78400000000001</v>
      </c>
      <c r="F228" s="20" t="n">
        <v>-244.471</v>
      </c>
      <c r="H228" s="20" t="n">
        <v>-130.374</v>
      </c>
      <c r="J228" s="20" t="n">
        <v>-59.756</v>
      </c>
      <c r="N228" s="20" t="n">
        <v>-169.093</v>
      </c>
      <c r="O228" s="20" t="n">
        <v>-84.377</v>
      </c>
      <c r="P228" s="20" t="n">
        <v>-229.864</v>
      </c>
      <c r="Q228" s="20" t="n">
        <v>85.31100000000001</v>
      </c>
      <c r="R228" s="20" t="n">
        <v>88.13800000000001</v>
      </c>
      <c r="S228" s="20" t="n">
        <v>208.271</v>
      </c>
      <c r="T228" s="20" t="n">
        <v>74.508</v>
      </c>
      <c r="U228" s="20" t="n">
        <v>351.739</v>
      </c>
      <c r="V228" s="20" t="n">
        <v>-244.471</v>
      </c>
      <c r="W228" s="20" t="n">
        <v>-59.756</v>
      </c>
      <c r="X228" s="20" t="n">
        <v>-169.093</v>
      </c>
    </row>
    <row r="229">
      <c r="A229" s="18" t="inlineStr">
        <is>
          <t>재고자산 증감</t>
        </is>
      </c>
      <c r="D229" s="20" t="n">
        <v>-700.686</v>
      </c>
      <c r="F229" s="20" t="n">
        <v>584.109</v>
      </c>
      <c r="H229" s="20" t="n">
        <v>-966.662</v>
      </c>
      <c r="J229" s="20" t="n">
        <v>129.288</v>
      </c>
      <c r="N229" s="20" t="n">
        <v>315.819</v>
      </c>
      <c r="O229" s="20" t="n">
        <v>1382.575</v>
      </c>
      <c r="P229" s="20" t="n">
        <v>-494.241</v>
      </c>
      <c r="Q229" s="20" t="n">
        <v>-414.491</v>
      </c>
      <c r="R229" s="20" t="n">
        <v>-271.024</v>
      </c>
      <c r="S229" s="20" t="n">
        <v>-184.096</v>
      </c>
      <c r="T229" s="20" t="n">
        <v>-1304.236</v>
      </c>
      <c r="U229" s="20" t="n">
        <v>-874.458</v>
      </c>
      <c r="V229" s="20" t="n">
        <v>584.109</v>
      </c>
      <c r="W229" s="20" t="n">
        <v>129.288</v>
      </c>
      <c r="X229" s="20" t="n">
        <v>315.819</v>
      </c>
    </row>
    <row r="230">
      <c r="A230" s="18" t="inlineStr">
        <is>
          <t>기타 자산 증감</t>
        </is>
      </c>
      <c r="D230" s="20" t="n">
        <v>-281.957</v>
      </c>
      <c r="F230" s="20" t="n">
        <v>146.668</v>
      </c>
      <c r="H230" s="20" t="n">
        <v>-80.419</v>
      </c>
      <c r="J230" s="20" t="n">
        <v>-32.779</v>
      </c>
      <c r="N230" s="20" t="n">
        <v>-232.357</v>
      </c>
      <c r="O230" s="20" t="n">
        <v>55.349</v>
      </c>
      <c r="P230" s="20" t="n">
        <v>40.771</v>
      </c>
      <c r="Q230" s="20" t="n">
        <v>43.286</v>
      </c>
      <c r="R230" s="20" t="n">
        <v>-105.996</v>
      </c>
      <c r="S230" s="20" t="n">
        <v>-90.95099999999999</v>
      </c>
      <c r="T230" s="20" t="n">
        <v>174.254</v>
      </c>
      <c r="U230" s="20" t="n">
        <v>-40.262</v>
      </c>
      <c r="V230" s="20" t="n">
        <v>146.668</v>
      </c>
      <c r="W230" s="20" t="n">
        <v>-32.779</v>
      </c>
      <c r="X230" s="20" t="n">
        <v>-232.357</v>
      </c>
    </row>
    <row r="231">
      <c r="A231" s="18" t="inlineStr">
        <is>
          <t>매입채무 증감</t>
        </is>
      </c>
      <c r="D231" s="20" t="n">
        <v>610.239</v>
      </c>
      <c r="F231" s="20" t="n">
        <v>-444.454</v>
      </c>
      <c r="H231" s="20" t="n">
        <v>241.303</v>
      </c>
      <c r="J231" s="20" t="n">
        <v>245.162</v>
      </c>
      <c r="N231" s="20" t="n">
        <v>141.831</v>
      </c>
      <c r="O231" s="20" t="n">
        <v>-60.115</v>
      </c>
      <c r="P231" s="20" t="n">
        <v>-14.33</v>
      </c>
      <c r="Q231" s="20" t="n">
        <v>-237.071</v>
      </c>
      <c r="R231" s="20" t="n">
        <v>477.194</v>
      </c>
      <c r="S231" s="20" t="n">
        <v>-120.652</v>
      </c>
      <c r="T231" s="20" t="n">
        <v>-579.818</v>
      </c>
      <c r="U231" s="20" t="n">
        <v>-293.586</v>
      </c>
      <c r="V231" s="20" t="n">
        <v>-444.454</v>
      </c>
      <c r="W231" s="20" t="n">
        <v>245.162</v>
      </c>
      <c r="X231" s="20" t="n">
        <v>141.831</v>
      </c>
    </row>
    <row r="232">
      <c r="A232" s="18" t="inlineStr">
        <is>
          <t>보험 해약환급금</t>
        </is>
      </c>
      <c r="R232" s="20" t="n">
        <v>0</v>
      </c>
      <c r="S232" s="20" t="n">
        <v>-44.756</v>
      </c>
      <c r="T232" s="20" t="n">
        <v>0</v>
      </c>
    </row>
    <row r="233">
      <c r="A233" s="18" t="inlineStr">
        <is>
          <t>미수 소비세 증감</t>
        </is>
      </c>
      <c r="D233" s="20" t="n">
        <v>23.771</v>
      </c>
      <c r="F233" s="20" t="n">
        <v>84.51600000000001</v>
      </c>
      <c r="H233" s="20" t="n">
        <v>13.166</v>
      </c>
      <c r="J233" s="20" t="n">
        <v>-30.106</v>
      </c>
      <c r="N233" s="20" t="n">
        <v>4.72</v>
      </c>
      <c r="S233" s="20" t="n">
        <v>5.298</v>
      </c>
      <c r="T233" s="20" t="n">
        <v>-212.746</v>
      </c>
      <c r="U233" s="20" t="n">
        <v>80.28700000000001</v>
      </c>
      <c r="V233" s="20" t="n">
        <v>84.51600000000001</v>
      </c>
      <c r="W233" s="20" t="n">
        <v>-30.106</v>
      </c>
      <c r="X233" s="20" t="n">
        <v>4.72</v>
      </c>
    </row>
    <row r="234">
      <c r="A234" s="18" t="inlineStr">
        <is>
          <t>미지급 소비세 증감</t>
        </is>
      </c>
      <c r="D234" s="20" t="n">
        <v>-198.652</v>
      </c>
      <c r="F234" s="20" t="n">
        <v>138.11</v>
      </c>
      <c r="H234" s="20" t="n">
        <v>-4.868</v>
      </c>
      <c r="J234" s="20" t="n">
        <v>-115.283</v>
      </c>
      <c r="N234" s="20" t="n">
        <v>192.953</v>
      </c>
      <c r="S234" s="20" t="n">
        <v>109.308</v>
      </c>
      <c r="T234" s="20" t="n">
        <v>-279.464</v>
      </c>
      <c r="U234" s="20" t="n">
        <v>90.129</v>
      </c>
      <c r="V234" s="20" t="n">
        <v>138.11</v>
      </c>
      <c r="W234" s="20" t="n">
        <v>-115.283</v>
      </c>
      <c r="X234" s="20" t="n">
        <v>192.953</v>
      </c>
    </row>
    <row r="235">
      <c r="A235" s="18" t="inlineStr">
        <is>
          <t>화해금 수령</t>
        </is>
      </c>
      <c r="F235" s="20" t="n">
        <v>0</v>
      </c>
      <c r="T235" s="20" t="n">
        <v>0</v>
      </c>
      <c r="U235" s="20" t="n">
        <v>-20.68</v>
      </c>
      <c r="V235" s="20" t="n">
        <v>0</v>
      </c>
    </row>
    <row r="236">
      <c r="A236" s="18" t="inlineStr">
        <is>
          <t>Loss Gain On Extinguishment Of Tie In Shares Ope CF</t>
        </is>
      </c>
      <c r="F236" s="20" t="n">
        <v>0</v>
      </c>
      <c r="T236" s="20" t="n">
        <v>0</v>
      </c>
      <c r="U236" s="20" t="n">
        <v>-8.477</v>
      </c>
      <c r="V236" s="20" t="n">
        <v>0</v>
      </c>
    </row>
    <row r="237">
      <c r="A237" s="18" t="inlineStr">
        <is>
          <t>관계회사 출자금 매각이익</t>
        </is>
      </c>
      <c r="T237" s="20" t="n">
        <v>0</v>
      </c>
      <c r="U237" s="20" t="n">
        <v>-14.693</v>
      </c>
    </row>
    <row r="238">
      <c r="A238" s="18" t="inlineStr">
        <is>
          <t>관계회사 출자금 매각이익</t>
        </is>
      </c>
      <c r="F238" s="20" t="n">
        <v>0</v>
      </c>
      <c r="U238" s="20" t="n">
        <v>-14.693</v>
      </c>
      <c r="V238" s="20" t="n">
        <v>0</v>
      </c>
    </row>
    <row r="239">
      <c r="A239" s="18" t="inlineStr">
        <is>
          <t>기타 부채 증감</t>
        </is>
      </c>
      <c r="D239" s="20" t="n">
        <v>14.432</v>
      </c>
      <c r="F239" s="20" t="n">
        <v>91.604</v>
      </c>
      <c r="H239" s="20" t="n">
        <v>54.377</v>
      </c>
      <c r="J239" s="20" t="n">
        <v>15.643</v>
      </c>
      <c r="N239" s="20" t="n">
        <v>106.549</v>
      </c>
      <c r="O239" s="20" t="n">
        <v>322.047</v>
      </c>
      <c r="P239" s="20" t="n">
        <v>-48.437</v>
      </c>
      <c r="Q239" s="20" t="n">
        <v>-79.13800000000001</v>
      </c>
      <c r="R239" s="20" t="n">
        <v>50.893</v>
      </c>
      <c r="S239" s="20" t="n">
        <v>234.395</v>
      </c>
      <c r="T239" s="20" t="n">
        <v>77.69199999999999</v>
      </c>
      <c r="U239" s="20" t="n">
        <v>-137.863</v>
      </c>
      <c r="V239" s="20" t="n">
        <v>91.604</v>
      </c>
      <c r="W239" s="20" t="n">
        <v>15.643</v>
      </c>
      <c r="X239" s="20" t="n">
        <v>106.549</v>
      </c>
    </row>
    <row r="240">
      <c r="A240" s="18" t="inlineStr">
        <is>
          <t>기타</t>
        </is>
      </c>
      <c r="D240" s="20" t="n">
        <v>-17.043</v>
      </c>
      <c r="F240" s="20" t="n">
        <v>133.982</v>
      </c>
      <c r="H240" s="20" t="n">
        <v>-13.978</v>
      </c>
      <c r="J240" s="20" t="n">
        <v>57.841</v>
      </c>
      <c r="N240" s="20" t="n">
        <v>79.542</v>
      </c>
      <c r="O240" s="20" t="n">
        <v>58.682</v>
      </c>
      <c r="P240" s="20" t="n">
        <v>23.491</v>
      </c>
      <c r="Q240" s="20" t="n">
        <v>34.74</v>
      </c>
      <c r="R240" s="20" t="n">
        <v>34.068</v>
      </c>
      <c r="S240" s="20" t="n">
        <v>30.103</v>
      </c>
      <c r="T240" s="20" t="n">
        <v>27.227</v>
      </c>
      <c r="U240" s="20" t="n">
        <v>43.318</v>
      </c>
      <c r="V240" s="20" t="n">
        <v>133.982</v>
      </c>
      <c r="W240" s="20" t="n">
        <v>57.841</v>
      </c>
      <c r="X240" s="20" t="n">
        <v>79.542</v>
      </c>
    </row>
    <row r="241">
      <c r="A241" s="18" t="inlineStr">
        <is>
          <t>소계</t>
        </is>
      </c>
      <c r="D241" s="20" t="n">
        <v>-201.817</v>
      </c>
      <c r="F241" s="20" t="n">
        <v>1276.131</v>
      </c>
      <c r="H241" s="20" t="n">
        <v>-312.473</v>
      </c>
      <c r="J241" s="20" t="n">
        <v>1777.842</v>
      </c>
      <c r="N241" s="20" t="n">
        <v>2492.412</v>
      </c>
      <c r="O241" s="20" t="n">
        <v>4234.106</v>
      </c>
      <c r="P241" s="20" t="n">
        <v>2071.259</v>
      </c>
      <c r="Q241" s="20" t="n">
        <v>1737.873</v>
      </c>
      <c r="R241" s="20" t="n">
        <v>2401.033</v>
      </c>
      <c r="S241" s="20" t="n">
        <v>3564.381</v>
      </c>
      <c r="T241" s="20" t="n">
        <v>-307.104</v>
      </c>
      <c r="U241" s="20" t="n">
        <v>442.738</v>
      </c>
      <c r="V241" s="20" t="n">
        <v>1276.131</v>
      </c>
      <c r="W241" s="20" t="n">
        <v>1777.842</v>
      </c>
      <c r="X241" s="20" t="n">
        <v>2492.412</v>
      </c>
    </row>
    <row r="242">
      <c r="A242" s="18" t="inlineStr">
        <is>
          <t>이자·배당금 수취</t>
        </is>
      </c>
      <c r="D242" s="20" t="n">
        <v>105.425</v>
      </c>
      <c r="F242" s="20" t="n">
        <v>127.255</v>
      </c>
      <c r="H242" s="20" t="n">
        <v>124.056</v>
      </c>
      <c r="J242" s="20" t="n">
        <v>120.899</v>
      </c>
      <c r="N242" s="20" t="n">
        <v>173.955</v>
      </c>
      <c r="O242" s="20" t="n">
        <v>54.075</v>
      </c>
      <c r="P242" s="20" t="n">
        <v>56.754</v>
      </c>
      <c r="Q242" s="20" t="n">
        <v>62.114</v>
      </c>
      <c r="R242" s="20" t="n">
        <v>72.407</v>
      </c>
      <c r="S242" s="20" t="n">
        <v>70.89700000000001</v>
      </c>
      <c r="T242" s="20" t="n">
        <v>74.61499999999999</v>
      </c>
      <c r="U242" s="20" t="n">
        <v>100.513</v>
      </c>
      <c r="V242" s="20" t="n">
        <v>127.255</v>
      </c>
      <c r="W242" s="20" t="n">
        <v>120.899</v>
      </c>
      <c r="X242" s="20" t="n">
        <v>173.955</v>
      </c>
    </row>
    <row r="243">
      <c r="A243" s="18" t="inlineStr">
        <is>
          <t>이자 지급</t>
        </is>
      </c>
      <c r="D243" s="20" t="n">
        <v>-23.304</v>
      </c>
      <c r="F243" s="20" t="n">
        <v>-46.347</v>
      </c>
      <c r="H243" s="20" t="n">
        <v>-36.588</v>
      </c>
      <c r="J243" s="20" t="n">
        <v>-62.876</v>
      </c>
      <c r="N243" s="20" t="n">
        <v>-84.215</v>
      </c>
      <c r="O243" s="20" t="n">
        <v>-22.703</v>
      </c>
      <c r="P243" s="20" t="n">
        <v>-8.413</v>
      </c>
      <c r="Q243" s="20" t="n">
        <v>-4.976</v>
      </c>
      <c r="R243" s="20" t="n">
        <v>-7.491</v>
      </c>
      <c r="S243" s="20" t="n">
        <v>-6.83</v>
      </c>
      <c r="T243" s="20" t="n">
        <v>-22.94</v>
      </c>
      <c r="U243" s="20" t="n">
        <v>-42.766</v>
      </c>
      <c r="V243" s="20" t="n">
        <v>-46.347</v>
      </c>
      <c r="W243" s="20" t="n">
        <v>-62.876</v>
      </c>
      <c r="X243" s="20" t="n">
        <v>-84.215</v>
      </c>
    </row>
    <row r="244">
      <c r="A244" s="18" t="inlineStr">
        <is>
          <t>법인세 환급</t>
        </is>
      </c>
      <c r="D244" s="20" t="n">
        <v>0</v>
      </c>
      <c r="F244" s="20" t="n">
        <v>22.427</v>
      </c>
      <c r="H244" s="20" t="n">
        <v>9.311999999999999</v>
      </c>
      <c r="J244" s="20" t="n">
        <v>0</v>
      </c>
      <c r="N244" s="20" t="n">
        <v>16.609</v>
      </c>
      <c r="P244" s="20" t="n">
        <v>0</v>
      </c>
      <c r="Q244" s="20" t="n">
        <v>56.131</v>
      </c>
      <c r="R244" s="20" t="n">
        <v>1.694</v>
      </c>
      <c r="S244" s="20" t="n">
        <v>3.173</v>
      </c>
      <c r="T244" s="20" t="n">
        <v>0</v>
      </c>
      <c r="U244" s="20" t="n">
        <v>0</v>
      </c>
      <c r="V244" s="20" t="n">
        <v>22.427</v>
      </c>
      <c r="W244" s="20" t="n">
        <v>0</v>
      </c>
      <c r="X244" s="20" t="n">
        <v>16.609</v>
      </c>
    </row>
    <row r="245">
      <c r="A245" s="18" t="inlineStr">
        <is>
          <t>화해금 수취액</t>
        </is>
      </c>
      <c r="D245" s="20" t="n">
        <v>0</v>
      </c>
      <c r="F245" s="20" t="n">
        <v>0</v>
      </c>
      <c r="T245" s="20" t="n">
        <v>0</v>
      </c>
      <c r="U245" s="20" t="n">
        <v>12</v>
      </c>
      <c r="V245" s="20" t="n">
        <v>0</v>
      </c>
    </row>
    <row r="246">
      <c r="A246" s="18" t="inlineStr">
        <is>
          <t>법인세 납부</t>
        </is>
      </c>
      <c r="D246" s="20" t="n">
        <v>-231.643</v>
      </c>
      <c r="F246" s="20" t="n">
        <v>-282.404</v>
      </c>
      <c r="H246" s="20" t="n">
        <v>-328.646</v>
      </c>
      <c r="J246" s="20" t="n">
        <v>-366.883</v>
      </c>
      <c r="N246" s="20" t="n">
        <v>-466.871</v>
      </c>
      <c r="O246" s="20" t="n">
        <v>-349.35</v>
      </c>
      <c r="P246" s="20" t="n">
        <v>-600.79</v>
      </c>
      <c r="Q246" s="20" t="n">
        <v>-527.5</v>
      </c>
      <c r="R246" s="20" t="n">
        <v>-488.77</v>
      </c>
      <c r="S246" s="20" t="n">
        <v>-533.771</v>
      </c>
      <c r="T246" s="20" t="n">
        <v>-1040.141</v>
      </c>
      <c r="U246" s="20" t="n">
        <v>-346.217</v>
      </c>
      <c r="V246" s="20" t="n">
        <v>-282.404</v>
      </c>
      <c r="W246" s="20" t="n">
        <v>-366.883</v>
      </c>
      <c r="X246" s="20" t="n">
        <v>-466.871</v>
      </c>
    </row>
    <row r="247">
      <c r="A247" s="18" t="inlineStr">
        <is>
          <t>보조금 수취</t>
        </is>
      </c>
      <c r="R247" s="20" t="n">
        <v>10.814</v>
      </c>
      <c r="S247" s="20" t="n">
        <v>40.252</v>
      </c>
      <c r="T247" s="20" t="n">
        <v>17.266</v>
      </c>
      <c r="U247" s="20" t="n">
        <v>7.75</v>
      </c>
    </row>
    <row r="248">
      <c r="A248" s="18" t="inlineStr">
        <is>
          <t>특별퇴직금 지급액</t>
        </is>
      </c>
      <c r="D248" s="20" t="n">
        <v>0</v>
      </c>
      <c r="F248" s="20" t="n">
        <v>-49.868</v>
      </c>
      <c r="H248" s="20" t="n">
        <v>-13.607</v>
      </c>
      <c r="J248" s="20" t="n">
        <v>0</v>
      </c>
      <c r="N248" s="20" t="n">
        <v>-17.633</v>
      </c>
      <c r="R248" s="20" t="n">
        <v>0</v>
      </c>
      <c r="S248" s="20" t="n">
        <v>-30.095</v>
      </c>
      <c r="T248" s="20" t="n">
        <v>0</v>
      </c>
      <c r="U248" s="20" t="n">
        <v>0</v>
      </c>
      <c r="V248" s="20" t="n">
        <v>-49.868</v>
      </c>
      <c r="W248" s="20" t="n">
        <v>0</v>
      </c>
      <c r="X248" s="20" t="n">
        <v>-17.633</v>
      </c>
    </row>
    <row r="249">
      <c r="A249" s="9" t="inlineStr">
        <is>
          <t>영업활동 현금흐름</t>
        </is>
      </c>
      <c r="D249" s="12" t="n">
        <v>-351.34</v>
      </c>
      <c r="F249" s="12" t="n">
        <v>1047.192</v>
      </c>
      <c r="H249" s="12" t="n">
        <v>-557.947</v>
      </c>
      <c r="J249" s="12" t="n">
        <v>1468.981</v>
      </c>
      <c r="N249" s="12" t="n">
        <v>2114.256</v>
      </c>
      <c r="O249" s="12" t="n">
        <v>3916.128</v>
      </c>
      <c r="P249" s="12" t="n">
        <v>1518.81</v>
      </c>
      <c r="Q249" s="12" t="n">
        <v>1323.642</v>
      </c>
      <c r="R249" s="12" t="n">
        <v>1989.687</v>
      </c>
      <c r="S249" s="12" t="n">
        <v>3108.007</v>
      </c>
      <c r="T249" s="12" t="n">
        <v>-1278.303</v>
      </c>
      <c r="U249" s="12" t="n">
        <v>166.267</v>
      </c>
      <c r="V249" s="12" t="n">
        <v>1047.192</v>
      </c>
      <c r="W249" s="12" t="n">
        <v>1468.981</v>
      </c>
      <c r="X249" s="12" t="n">
        <v>2114.256</v>
      </c>
    </row>
    <row r="250">
      <c r="A250" s="18" t="inlineStr">
        <is>
          <t>Purchase Of Property Plant And Equipment And Intangible Assets Inv CF</t>
        </is>
      </c>
      <c r="D250" s="20" t="n">
        <v>-379.742</v>
      </c>
      <c r="H250" s="20" t="n">
        <v>-323.778</v>
      </c>
    </row>
    <row r="251">
      <c r="A251" s="18" t="inlineStr">
        <is>
          <t>Proceeds From Sales Of Property Plant And Equipment And Intangible Assets Inv CF</t>
        </is>
      </c>
      <c r="D251" s="20" t="n">
        <v>0</v>
      </c>
      <c r="H251" s="20" t="n">
        <v>2.673</v>
      </c>
    </row>
    <row r="252">
      <c r="A252" s="18" t="inlineStr">
        <is>
          <t>투자유가증권 취득</t>
        </is>
      </c>
      <c r="D252" s="20" t="n">
        <v>-0.299</v>
      </c>
      <c r="F252" s="20" t="n">
        <v>-0.247</v>
      </c>
      <c r="H252" s="20" t="n">
        <v>-0.26</v>
      </c>
      <c r="J252" s="20" t="n">
        <v>-0.609</v>
      </c>
      <c r="N252" s="20" t="n">
        <v>-0.573</v>
      </c>
      <c r="T252" s="20" t="n">
        <v>0</v>
      </c>
      <c r="U252" s="20" t="n">
        <v>-149.642</v>
      </c>
      <c r="V252" s="20" t="n">
        <v>-0.247</v>
      </c>
      <c r="W252" s="20" t="n">
        <v>-0.609</v>
      </c>
      <c r="X252" s="20" t="n">
        <v>-0.573</v>
      </c>
    </row>
    <row r="253">
      <c r="A253" s="18" t="inlineStr">
        <is>
          <t>임차보증금·보증금 납입</t>
        </is>
      </c>
      <c r="D253" s="20" t="n">
        <v>-6.626</v>
      </c>
      <c r="H253" s="20" t="n">
        <v>-6.205</v>
      </c>
    </row>
    <row r="254">
      <c r="A254" s="18" t="inlineStr">
        <is>
          <t>임차보증금·보증금 회수</t>
        </is>
      </c>
      <c r="D254" s="20" t="n">
        <v>5.077</v>
      </c>
      <c r="H254" s="20" t="n">
        <v>4.153</v>
      </c>
    </row>
    <row r="255">
      <c r="A255" s="18" t="inlineStr">
        <is>
          <t>투자유가증권 매각</t>
        </is>
      </c>
      <c r="F255" s="20" t="n">
        <v>0</v>
      </c>
      <c r="J255" s="20" t="n">
        <v>146.959</v>
      </c>
      <c r="N255" s="20" t="n">
        <v>256.342</v>
      </c>
      <c r="T255" s="20" t="n">
        <v>0</v>
      </c>
      <c r="U255" s="20" t="n">
        <v>232.502</v>
      </c>
      <c r="V255" s="20" t="n">
        <v>0</v>
      </c>
      <c r="W255" s="20" t="n">
        <v>146.959</v>
      </c>
      <c r="X255" s="20" t="n">
        <v>256.342</v>
      </c>
    </row>
    <row r="256">
      <c r="A256" s="18" t="inlineStr">
        <is>
          <t>유형자산 취득(설비투자)</t>
        </is>
      </c>
      <c r="F256" s="20" t="n">
        <v>-425.662</v>
      </c>
      <c r="J256" s="20" t="n">
        <v>-403.822</v>
      </c>
      <c r="N256" s="20" t="n">
        <v>-585.773</v>
      </c>
      <c r="O256" s="20" t="n">
        <v>-422.656</v>
      </c>
      <c r="P256" s="20" t="n">
        <v>-378.745</v>
      </c>
      <c r="Q256" s="20" t="n">
        <v>-381.732</v>
      </c>
      <c r="R256" s="20" t="n">
        <v>-533.8339999999999</v>
      </c>
      <c r="S256" s="20" t="n">
        <v>-296.95</v>
      </c>
      <c r="T256" s="20" t="n">
        <v>-508.533</v>
      </c>
      <c r="U256" s="20" t="n">
        <v>-385.001</v>
      </c>
      <c r="V256" s="20" t="n">
        <v>-425.662</v>
      </c>
      <c r="W256" s="20" t="n">
        <v>-403.822</v>
      </c>
      <c r="X256" s="20" t="n">
        <v>-585.773</v>
      </c>
    </row>
    <row r="257">
      <c r="A257" s="18" t="inlineStr">
        <is>
          <t>무형자산 취득</t>
        </is>
      </c>
      <c r="F257" s="20" t="n">
        <v>-191.599</v>
      </c>
      <c r="J257" s="20" t="n">
        <v>-486.874</v>
      </c>
      <c r="N257" s="20" t="n">
        <v>-169.79</v>
      </c>
      <c r="O257" s="20" t="n">
        <v>-32.277</v>
      </c>
      <c r="P257" s="20" t="n">
        <v>-78.59999999999999</v>
      </c>
      <c r="Q257" s="20" t="n">
        <v>-70.08499999999999</v>
      </c>
      <c r="R257" s="20" t="n">
        <v>-232.357</v>
      </c>
      <c r="S257" s="20" t="n">
        <v>-133.844</v>
      </c>
      <c r="T257" s="20" t="n">
        <v>-289.954</v>
      </c>
      <c r="U257" s="20" t="n">
        <v>-251.658</v>
      </c>
      <c r="V257" s="20" t="n">
        <v>-191.599</v>
      </c>
      <c r="W257" s="20" t="n">
        <v>-486.874</v>
      </c>
      <c r="X257" s="20" t="n">
        <v>-169.79</v>
      </c>
    </row>
    <row r="258">
      <c r="A258" s="18" t="inlineStr">
        <is>
          <t>유형자산 매각</t>
        </is>
      </c>
      <c r="F258" s="20" t="n">
        <v>154.276</v>
      </c>
      <c r="J258" s="20" t="n">
        <v>0.07000000000000001</v>
      </c>
      <c r="N258" s="20" t="n">
        <v>1.216</v>
      </c>
      <c r="O258" s="20" t="n">
        <v>6.082</v>
      </c>
      <c r="P258" s="20" t="n">
        <v>0.232</v>
      </c>
      <c r="Q258" s="20" t="n">
        <v>1.702</v>
      </c>
      <c r="R258" s="20" t="n">
        <v>205.155</v>
      </c>
      <c r="S258" s="20" t="n">
        <v>0.819</v>
      </c>
      <c r="T258" s="20" t="n">
        <v>11.187</v>
      </c>
      <c r="U258" s="20" t="n">
        <v>6.277</v>
      </c>
      <c r="V258" s="20" t="n">
        <v>154.276</v>
      </c>
      <c r="W258" s="20" t="n">
        <v>0.07000000000000001</v>
      </c>
      <c r="X258" s="20" t="n">
        <v>1.216</v>
      </c>
    </row>
    <row r="259">
      <c r="A259" s="18" t="inlineStr">
        <is>
          <t>대여</t>
        </is>
      </c>
      <c r="F259" s="20" t="n">
        <v>0</v>
      </c>
      <c r="T259" s="20" t="n">
        <v>0</v>
      </c>
      <c r="U259" s="20" t="n">
        <v>-137.45</v>
      </c>
      <c r="V259" s="20" t="n">
        <v>0</v>
      </c>
    </row>
    <row r="260">
      <c r="A260" s="18" t="inlineStr">
        <is>
          <t>대여금 회수</t>
        </is>
      </c>
      <c r="F260" s="20" t="n">
        <v>0</v>
      </c>
      <c r="T260" s="20" t="n">
        <v>0</v>
      </c>
      <c r="U260" s="20" t="n">
        <v>7.45</v>
      </c>
      <c r="V260" s="20" t="n">
        <v>0</v>
      </c>
    </row>
    <row r="261">
      <c r="A261" s="18" t="inlineStr">
        <is>
          <t>보증금 납입</t>
        </is>
      </c>
      <c r="F261" s="20" t="n">
        <v>-15.093</v>
      </c>
      <c r="J261" s="20" t="n">
        <v>-7.853</v>
      </c>
      <c r="N261" s="20" t="n">
        <v>-9.722</v>
      </c>
      <c r="O261" s="20" t="n">
        <v>-4.907</v>
      </c>
      <c r="P261" s="20" t="n">
        <v>-79.29300000000001</v>
      </c>
      <c r="Q261" s="20" t="n">
        <v>-9.315</v>
      </c>
      <c r="R261" s="20" t="n">
        <v>-22.215</v>
      </c>
      <c r="S261" s="20" t="n">
        <v>-2.095</v>
      </c>
      <c r="T261" s="20" t="n">
        <v>-3.689</v>
      </c>
      <c r="U261" s="20" t="n">
        <v>-5.037</v>
      </c>
      <c r="V261" s="20" t="n">
        <v>-15.093</v>
      </c>
      <c r="W261" s="20" t="n">
        <v>-7.853</v>
      </c>
      <c r="X261" s="20" t="n">
        <v>-9.722</v>
      </c>
    </row>
    <row r="262">
      <c r="A262" s="18" t="inlineStr">
        <is>
          <t>보증금 회수</t>
        </is>
      </c>
      <c r="F262" s="20" t="n">
        <v>4.353</v>
      </c>
      <c r="J262" s="20" t="n">
        <v>7.104</v>
      </c>
      <c r="N262" s="20" t="n">
        <v>13.011</v>
      </c>
      <c r="O262" s="20" t="n">
        <v>28.259</v>
      </c>
      <c r="P262" s="20" t="n">
        <v>85.46299999999999</v>
      </c>
      <c r="Q262" s="20" t="n">
        <v>16.991</v>
      </c>
      <c r="R262" s="20" t="n">
        <v>16.374</v>
      </c>
      <c r="S262" s="20" t="n">
        <v>19.582</v>
      </c>
      <c r="T262" s="20" t="n">
        <v>5.985</v>
      </c>
      <c r="U262" s="20" t="n">
        <v>6.341</v>
      </c>
      <c r="V262" s="20" t="n">
        <v>4.353</v>
      </c>
      <c r="W262" s="20" t="n">
        <v>7.104</v>
      </c>
      <c r="X262" s="20" t="n">
        <v>13.011</v>
      </c>
    </row>
    <row r="263">
      <c r="A263" s="18" t="inlineStr">
        <is>
          <t>보험적립금 적립</t>
        </is>
      </c>
      <c r="O263" s="20" t="n">
        <v>-4.4</v>
      </c>
      <c r="P263" s="20" t="n">
        <v>-4.4</v>
      </c>
      <c r="Q263" s="20" t="n">
        <v>-4.4</v>
      </c>
      <c r="R263" s="20" t="n">
        <v>-4.4</v>
      </c>
      <c r="S263" s="20" t="n">
        <v>0</v>
      </c>
    </row>
    <row r="264">
      <c r="A264" s="18" t="inlineStr">
        <is>
          <t>보험적립금 해약</t>
        </is>
      </c>
      <c r="R264" s="20" t="n">
        <v>0</v>
      </c>
      <c r="S264" s="20" t="n">
        <v>94.66800000000001</v>
      </c>
      <c r="T264" s="20" t="n">
        <v>0</v>
      </c>
    </row>
    <row r="265">
      <c r="A265" s="18" t="inlineStr">
        <is>
          <t>정기예금 예입</t>
        </is>
      </c>
      <c r="D265" s="20" t="n">
        <v>-231</v>
      </c>
      <c r="F265" s="20" t="n">
        <v>-519.5</v>
      </c>
      <c r="H265" s="20" t="n">
        <v>-234</v>
      </c>
      <c r="J265" s="20" t="n">
        <v>-468.258</v>
      </c>
      <c r="N265" s="20" t="n">
        <v>-471.449</v>
      </c>
      <c r="O265" s="20" t="n">
        <v>-287.3</v>
      </c>
      <c r="P265" s="20" t="n">
        <v>-351.36</v>
      </c>
      <c r="Q265" s="20" t="n">
        <v>-333.2</v>
      </c>
      <c r="R265" s="20" t="n">
        <v>-382.8</v>
      </c>
      <c r="S265" s="20" t="n">
        <v>-600.486</v>
      </c>
      <c r="T265" s="20" t="n">
        <v>-632.2</v>
      </c>
      <c r="U265" s="20" t="n">
        <v>-642</v>
      </c>
      <c r="V265" s="20" t="n">
        <v>-519.5</v>
      </c>
      <c r="W265" s="20" t="n">
        <v>-468.258</v>
      </c>
      <c r="X265" s="20" t="n">
        <v>-471.449</v>
      </c>
    </row>
    <row r="266">
      <c r="A266" s="18" t="inlineStr">
        <is>
          <t>정기예금 인출</t>
        </is>
      </c>
      <c r="D266" s="20" t="n">
        <v>219.603</v>
      </c>
      <c r="F266" s="20" t="n">
        <v>594.504</v>
      </c>
      <c r="H266" s="20" t="n">
        <v>255.695</v>
      </c>
      <c r="J266" s="20" t="n">
        <v>432.02</v>
      </c>
      <c r="N266" s="20" t="n">
        <v>468.321</v>
      </c>
      <c r="O266" s="20" t="n">
        <v>256.832</v>
      </c>
      <c r="P266" s="20" t="n">
        <v>321.401</v>
      </c>
      <c r="Q266" s="20" t="n">
        <v>278.804</v>
      </c>
      <c r="R266" s="20" t="n">
        <v>439.214</v>
      </c>
      <c r="S266" s="20" t="n">
        <v>460.676</v>
      </c>
      <c r="T266" s="20" t="n">
        <v>613.21</v>
      </c>
      <c r="U266" s="20" t="n">
        <v>642.0069999999999</v>
      </c>
      <c r="V266" s="20" t="n">
        <v>594.504</v>
      </c>
      <c r="W266" s="20" t="n">
        <v>432.02</v>
      </c>
      <c r="X266" s="20" t="n">
        <v>468.321</v>
      </c>
    </row>
    <row r="267">
      <c r="A267" s="18" t="inlineStr">
        <is>
          <t>자회사 주식 취득</t>
        </is>
      </c>
      <c r="F267" s="20" t="n">
        <v>0</v>
      </c>
      <c r="Q267" s="20" t="n">
        <v>0</v>
      </c>
      <c r="R267" s="20" t="n">
        <v>-830</v>
      </c>
      <c r="S267" s="20" t="n">
        <v>0</v>
      </c>
      <c r="T267" s="20" t="n">
        <v>0</v>
      </c>
      <c r="U267" s="20" t="n">
        <v>-550</v>
      </c>
      <c r="V267" s="20" t="n">
        <v>0</v>
      </c>
    </row>
    <row r="268">
      <c r="A268" s="18" t="inlineStr">
        <is>
          <t>연결범위 변경 자회사 주식 취득</t>
        </is>
      </c>
      <c r="S268" s="20" t="n">
        <v>0</v>
      </c>
      <c r="T268" s="20" t="n">
        <v>-2773.84</v>
      </c>
      <c r="U268" s="20" t="n">
        <v>0</v>
      </c>
    </row>
    <row r="269">
      <c r="A269" s="18" t="inlineStr">
        <is>
          <t>기타</t>
        </is>
      </c>
      <c r="D269" s="20" t="n">
        <v>-13.568</v>
      </c>
      <c r="F269" s="20" t="n">
        <v>-45.674</v>
      </c>
      <c r="H269" s="20" t="n">
        <v>-25.573</v>
      </c>
      <c r="J269" s="20" t="n">
        <v>-44.685</v>
      </c>
      <c r="N269" s="20" t="n">
        <v>-51.797</v>
      </c>
      <c r="O269" s="20" t="n">
        <v>-3.34</v>
      </c>
      <c r="P269" s="20" t="n">
        <v>-2.592</v>
      </c>
      <c r="Q269" s="20" t="n">
        <v>-3.342</v>
      </c>
      <c r="R269" s="20" t="n">
        <v>-12.523</v>
      </c>
      <c r="S269" s="20" t="n">
        <v>-34.458</v>
      </c>
      <c r="T269" s="20" t="n">
        <v>-0.954</v>
      </c>
      <c r="U269" s="20" t="n">
        <v>-8.648</v>
      </c>
      <c r="V269" s="20" t="n">
        <v>-45.674</v>
      </c>
      <c r="W269" s="20" t="n">
        <v>-44.685</v>
      </c>
      <c r="X269" s="20" t="n">
        <v>-51.797</v>
      </c>
    </row>
    <row r="270">
      <c r="A270" s="9" t="inlineStr">
        <is>
          <t>투자활동 현금흐름</t>
        </is>
      </c>
      <c r="D270" s="12" t="n">
        <v>-406.556</v>
      </c>
      <c r="F270" s="12" t="n">
        <v>-444.642</v>
      </c>
      <c r="H270" s="12" t="n">
        <v>-327.295</v>
      </c>
      <c r="J270" s="12" t="n">
        <v>-825.95</v>
      </c>
      <c r="N270" s="12" t="n">
        <v>-550.2140000000001</v>
      </c>
      <c r="O270" s="12" t="n">
        <v>-463.708</v>
      </c>
      <c r="P270" s="12" t="n">
        <v>-487.894</v>
      </c>
      <c r="Q270" s="12" t="n">
        <v>-504.578</v>
      </c>
      <c r="R270" s="12" t="n">
        <v>-1357.386</v>
      </c>
      <c r="S270" s="12" t="n">
        <v>-492.089</v>
      </c>
      <c r="T270" s="12" t="n">
        <v>-3578.789</v>
      </c>
      <c r="U270" s="12" t="n">
        <v>-1234.86</v>
      </c>
      <c r="V270" s="12" t="n">
        <v>-444.642</v>
      </c>
      <c r="W270" s="12" t="n">
        <v>-825.95</v>
      </c>
      <c r="X270" s="12" t="n">
        <v>-550.2140000000001</v>
      </c>
    </row>
    <row r="271">
      <c r="A271" s="18" t="inlineStr">
        <is>
          <t>단기차입금 순증감</t>
        </is>
      </c>
      <c r="D271" s="20" t="n">
        <v>1580</v>
      </c>
      <c r="F271" s="20" t="n">
        <v>340</v>
      </c>
      <c r="H271" s="20" t="n">
        <v>1260</v>
      </c>
      <c r="J271" s="20" t="n">
        <v>1010</v>
      </c>
      <c r="N271" s="20" t="n">
        <v>-1040</v>
      </c>
      <c r="O271" s="20" t="n">
        <v>-1180</v>
      </c>
      <c r="P271" s="20" t="n">
        <v>-720</v>
      </c>
      <c r="Q271" s="20" t="n">
        <v>0</v>
      </c>
      <c r="R271" s="20" t="n">
        <v>850</v>
      </c>
      <c r="S271" s="20" t="n">
        <v>-850</v>
      </c>
      <c r="T271" s="20" t="n">
        <v>1000</v>
      </c>
      <c r="U271" s="20" t="n">
        <v>2150</v>
      </c>
      <c r="V271" s="20" t="n">
        <v>340</v>
      </c>
      <c r="W271" s="20" t="n">
        <v>1010</v>
      </c>
      <c r="X271" s="20" t="n">
        <v>-1040</v>
      </c>
    </row>
    <row r="272">
      <c r="A272" s="18" t="inlineStr">
        <is>
          <t>장기차입</t>
        </is>
      </c>
      <c r="S272" s="20" t="n">
        <v>0</v>
      </c>
      <c r="T272" s="20" t="n">
        <v>3000</v>
      </c>
      <c r="U272" s="20" t="n">
        <v>0</v>
      </c>
    </row>
    <row r="273">
      <c r="A273" s="18" t="inlineStr">
        <is>
          <t>장기차입금 상환</t>
        </is>
      </c>
      <c r="D273" s="20" t="n">
        <v>-218.903</v>
      </c>
      <c r="F273" s="20" t="n">
        <v>-594.837</v>
      </c>
      <c r="H273" s="20" t="n">
        <v>-218.903</v>
      </c>
      <c r="J273" s="20" t="n">
        <v>-437.806</v>
      </c>
      <c r="N273" s="20" t="n">
        <v>-437.806</v>
      </c>
      <c r="O273" s="20" t="n">
        <v>-886</v>
      </c>
      <c r="P273" s="20" t="n">
        <v>-286</v>
      </c>
      <c r="Q273" s="20" t="n">
        <v>-16</v>
      </c>
      <c r="R273" s="20" t="n">
        <v>0</v>
      </c>
      <c r="S273" s="20" t="n">
        <v>-47.689</v>
      </c>
      <c r="T273" s="20" t="n">
        <v>-24.708</v>
      </c>
      <c r="U273" s="20" t="n">
        <v>-448.402</v>
      </c>
      <c r="V273" s="20" t="n">
        <v>-594.837</v>
      </c>
      <c r="W273" s="20" t="n">
        <v>-437.806</v>
      </c>
      <c r="X273" s="20" t="n">
        <v>-437.806</v>
      </c>
    </row>
    <row r="274">
      <c r="A274" s="18" t="inlineStr">
        <is>
          <t>자기주식 취득</t>
        </is>
      </c>
      <c r="F274" s="20" t="n">
        <v>-416.136</v>
      </c>
      <c r="J274" s="20" t="n">
        <v>-0.244</v>
      </c>
      <c r="N274" s="20" t="n">
        <v>0</v>
      </c>
      <c r="O274" s="20" t="n">
        <v>-0.151</v>
      </c>
      <c r="P274" s="20" t="n">
        <v>-0.243</v>
      </c>
      <c r="Q274" s="20" t="n">
        <v>0</v>
      </c>
      <c r="R274" s="20" t="n">
        <v>-0.212</v>
      </c>
      <c r="S274" s="20" t="n">
        <v>-0.1</v>
      </c>
      <c r="T274" s="20" t="n">
        <v>-0.226</v>
      </c>
      <c r="U274" s="20" t="n">
        <v>-0.082</v>
      </c>
      <c r="V274" s="20" t="n">
        <v>-416.136</v>
      </c>
      <c r="W274" s="20" t="n">
        <v>-0.244</v>
      </c>
      <c r="X274" s="20" t="n">
        <v>0</v>
      </c>
    </row>
    <row r="275">
      <c r="A275" s="18" t="inlineStr">
        <is>
          <t>배당금 지급</t>
        </is>
      </c>
      <c r="D275" s="20" t="n">
        <v>-197.065</v>
      </c>
      <c r="F275" s="20" t="n">
        <v>-399.794</v>
      </c>
      <c r="H275" s="20" t="n">
        <v>-197.551</v>
      </c>
      <c r="J275" s="20" t="n">
        <v>-393.948</v>
      </c>
      <c r="N275" s="20" t="n">
        <v>-394.887</v>
      </c>
      <c r="O275" s="20" t="n">
        <v>-398.429</v>
      </c>
      <c r="P275" s="20" t="n">
        <v>-568.658</v>
      </c>
      <c r="Q275" s="20" t="n">
        <v>-483.045</v>
      </c>
      <c r="R275" s="20" t="n">
        <v>-397.863</v>
      </c>
      <c r="S275" s="20" t="n">
        <v>-483.789</v>
      </c>
      <c r="T275" s="20" t="n">
        <v>-767.756</v>
      </c>
      <c r="U275" s="20" t="n">
        <v>-626.162</v>
      </c>
      <c r="V275" s="20" t="n">
        <v>-399.794</v>
      </c>
      <c r="W275" s="20" t="n">
        <v>-393.948</v>
      </c>
      <c r="X275" s="20" t="n">
        <v>-394.887</v>
      </c>
    </row>
    <row r="276">
      <c r="A276" s="18" t="inlineStr">
        <is>
          <t>연결범위 변동 없는 자회사 주식 매각 수입</t>
        </is>
      </c>
      <c r="Q276" s="20" t="n">
        <v>0</v>
      </c>
      <c r="R276" s="20" t="n">
        <v>5.95</v>
      </c>
      <c r="S276" s="20" t="n">
        <v>0</v>
      </c>
    </row>
    <row r="277">
      <c r="A277" s="18" t="inlineStr">
        <is>
          <t>연결범위 변경 없는 자회사 주식 취득</t>
        </is>
      </c>
      <c r="F277" s="20" t="n">
        <v>0</v>
      </c>
      <c r="P277" s="20" t="n">
        <v>0</v>
      </c>
      <c r="Q277" s="20" t="n">
        <v>-400</v>
      </c>
      <c r="R277" s="20" t="n">
        <v>0</v>
      </c>
      <c r="T277" s="20" t="n">
        <v>0</v>
      </c>
      <c r="U277" s="20" t="n">
        <v>-9.4</v>
      </c>
      <c r="V277" s="20" t="n">
        <v>0</v>
      </c>
    </row>
    <row r="278">
      <c r="A278" s="18" t="inlineStr">
        <is>
          <t>기타</t>
        </is>
      </c>
      <c r="D278" s="20" t="n">
        <v>-0.554</v>
      </c>
      <c r="F278" s="20" t="n">
        <v>-0.959</v>
      </c>
      <c r="H278" s="20" t="n">
        <v>-1.653</v>
      </c>
      <c r="J278" s="20" t="n">
        <v>-2.265</v>
      </c>
      <c r="N278" s="20" t="n">
        <v>-3.835</v>
      </c>
      <c r="O278" s="20" t="n">
        <v>0.043</v>
      </c>
      <c r="P278" s="20" t="n">
        <v>0.06</v>
      </c>
      <c r="Q278" s="20" t="n">
        <v>-0.966</v>
      </c>
      <c r="R278" s="20" t="n">
        <v>-1.07</v>
      </c>
      <c r="S278" s="20" t="n">
        <v>-0.752</v>
      </c>
      <c r="T278" s="20" t="n">
        <v>-0.668</v>
      </c>
      <c r="U278" s="20" t="n">
        <v>-0.629</v>
      </c>
      <c r="V278" s="20" t="n">
        <v>-0.959</v>
      </c>
      <c r="W278" s="20" t="n">
        <v>-2.265</v>
      </c>
      <c r="X278" s="20" t="n">
        <v>-3.835</v>
      </c>
    </row>
    <row r="279">
      <c r="A279" s="9" t="inlineStr">
        <is>
          <t>재무활동 현금흐름</t>
        </is>
      </c>
      <c r="D279" s="12" t="n">
        <v>1163.477</v>
      </c>
      <c r="F279" s="12" t="n">
        <v>-1071.728</v>
      </c>
      <c r="H279" s="12" t="n">
        <v>841.891</v>
      </c>
      <c r="J279" s="12" t="n">
        <v>175.735</v>
      </c>
      <c r="N279" s="12" t="n">
        <v>-1876.529</v>
      </c>
      <c r="O279" s="12" t="n">
        <v>-2464.537</v>
      </c>
      <c r="P279" s="12" t="n">
        <v>-1574.842</v>
      </c>
      <c r="Q279" s="12" t="n">
        <v>-900.0119999999999</v>
      </c>
      <c r="R279" s="12" t="n">
        <v>456.803</v>
      </c>
      <c r="S279" s="12" t="n">
        <v>-1382.331</v>
      </c>
      <c r="T279" s="12" t="n">
        <v>3206.64</v>
      </c>
      <c r="U279" s="12" t="n">
        <v>1065.323</v>
      </c>
      <c r="V279" s="12" t="n">
        <v>-1071.728</v>
      </c>
      <c r="W279" s="12" t="n">
        <v>175.735</v>
      </c>
      <c r="X279" s="12" t="n">
        <v>-1876.529</v>
      </c>
    </row>
    <row r="280">
      <c r="A280" s="18" t="inlineStr">
        <is>
          <t>현금성자산 환산차이</t>
        </is>
      </c>
      <c r="D280" s="20" t="n">
        <v>-39.099</v>
      </c>
      <c r="F280" s="20" t="n">
        <v>234.89</v>
      </c>
      <c r="H280" s="20" t="n">
        <v>196.786</v>
      </c>
      <c r="J280" s="20" t="n">
        <v>-108.777</v>
      </c>
      <c r="N280" s="20" t="n">
        <v>276.544</v>
      </c>
      <c r="O280" s="20" t="n">
        <v>-13.339</v>
      </c>
      <c r="P280" s="20" t="n">
        <v>2.861</v>
      </c>
      <c r="Q280" s="20" t="n">
        <v>-17.151</v>
      </c>
      <c r="R280" s="20" t="n">
        <v>-46.661</v>
      </c>
      <c r="S280" s="20" t="n">
        <v>74.55</v>
      </c>
      <c r="T280" s="20" t="n">
        <v>254.916</v>
      </c>
      <c r="U280" s="20" t="n">
        <v>135.953</v>
      </c>
      <c r="V280" s="20" t="n">
        <v>234.89</v>
      </c>
      <c r="W280" s="20" t="n">
        <v>-108.777</v>
      </c>
      <c r="X280" s="20" t="n">
        <v>276.544</v>
      </c>
    </row>
    <row r="281">
      <c r="A281" s="18" t="inlineStr">
        <is>
          <t>현금성자산 증감</t>
        </is>
      </c>
      <c r="D281" s="20" t="n">
        <v>366.48</v>
      </c>
      <c r="F281" s="20" t="n">
        <v>-234.286</v>
      </c>
      <c r="H281" s="20" t="n">
        <v>153.436</v>
      </c>
      <c r="J281" s="20" t="n">
        <v>709.989</v>
      </c>
      <c r="N281" s="20" t="n">
        <v>-35.943</v>
      </c>
      <c r="O281" s="20" t="n">
        <v>974.542</v>
      </c>
      <c r="P281" s="20" t="n">
        <v>-541.064</v>
      </c>
      <c r="Q281" s="20" t="n">
        <v>-98.098</v>
      </c>
      <c r="R281" s="20" t="n">
        <v>1042.443</v>
      </c>
      <c r="S281" s="20" t="n">
        <v>1308.137</v>
      </c>
      <c r="T281" s="20" t="n">
        <v>-1395.536</v>
      </c>
      <c r="U281" s="20" t="n">
        <v>132.684</v>
      </c>
      <c r="V281" s="20" t="n">
        <v>-234.286</v>
      </c>
      <c r="W281" s="20" t="n">
        <v>709.989</v>
      </c>
      <c r="X281" s="20" t="n">
        <v>-35.943</v>
      </c>
    </row>
    <row r="282">
      <c r="A282" s="18" t="inlineStr">
        <is>
          <t>신규 연결 현금성자산 증가</t>
        </is>
      </c>
      <c r="R282" s="20" t="n">
        <v>0</v>
      </c>
      <c r="S282" s="20" t="n">
        <v>314.121</v>
      </c>
      <c r="T282" s="20" t="n">
        <v>0</v>
      </c>
    </row>
    <row r="283">
      <c r="A283" s="18" t="inlineStr">
        <is>
          <t>비연결 자회사 합병에 따른 현금성자산 증가</t>
        </is>
      </c>
      <c r="F283" s="20" t="n">
        <v>0</v>
      </c>
      <c r="T283" s="20" t="n">
        <v>0</v>
      </c>
      <c r="U283" s="20" t="n">
        <v>153.684</v>
      </c>
      <c r="V283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1" t="inlineStr">
        <is>
          <t>7962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2023</t>
        </is>
      </c>
      <c r="I3" s="5" t="inlineStr">
        <is>
          <t>2024</t>
        </is>
      </c>
      <c r="J3" s="5" t="inlineStr">
        <is>
          <t>2025</t>
        </is>
      </c>
      <c r="K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</row>
    <row r="5">
      <c r="A5" s="9" t="inlineStr">
        <is>
          <t>유동자산</t>
        </is>
      </c>
      <c r="B5" s="10" t="n"/>
      <c r="C5" s="11" t="n">
        <v>24063.443</v>
      </c>
      <c r="D5" s="12" t="n">
        <v>24329.621</v>
      </c>
      <c r="E5" s="12" t="n">
        <v>25483.552</v>
      </c>
      <c r="F5" s="12" t="n">
        <v>26083.852</v>
      </c>
      <c r="G5" s="12" t="n">
        <v>24305.467</v>
      </c>
      <c r="H5" s="11" t="n">
        <v>26357.806</v>
      </c>
      <c r="I5" s="12" t="n">
        <v>26624.746</v>
      </c>
      <c r="J5" s="12" t="n">
        <v>26347.865</v>
      </c>
      <c r="K5" s="12" t="n">
        <v>26083.852</v>
      </c>
    </row>
    <row r="6">
      <c r="A6" s="18" t="inlineStr">
        <is>
          <t>현금및현금성자산</t>
        </is>
      </c>
      <c r="B6" s="10" t="n"/>
      <c r="C6" s="19" t="n">
        <v>6831.528</v>
      </c>
      <c r="D6" s="20" t="n">
        <v>6747.841</v>
      </c>
      <c r="E6" s="20" t="n">
        <v>6984.794</v>
      </c>
      <c r="F6" s="20" t="n">
        <v>7398.912</v>
      </c>
      <c r="G6" s="20" t="n">
        <v>6832.976</v>
      </c>
      <c r="H6" s="19" t="n">
        <v>6888.375</v>
      </c>
      <c r="I6" s="20" t="n">
        <v>7103.652</v>
      </c>
      <c r="J6" s="20" t="n">
        <v>7742.985</v>
      </c>
      <c r="K6" s="20" t="n">
        <v>7398.912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</row>
    <row r="8">
      <c r="A8" s="18" t="inlineStr">
        <is>
          <t>매출채권</t>
        </is>
      </c>
      <c r="B8" s="10" t="n"/>
      <c r="C8" s="19" t="n">
        <v>5159.478</v>
      </c>
      <c r="D8" s="20" t="n">
        <v>4140.375</v>
      </c>
      <c r="E8" s="20" t="n">
        <v>5354.194</v>
      </c>
      <c r="F8" s="20" t="n">
        <v>5232.014</v>
      </c>
      <c r="G8" s="20" t="n">
        <v>5405.64</v>
      </c>
      <c r="H8" s="19" t="n">
        <v>5285.919</v>
      </c>
      <c r="I8" s="20" t="n">
        <v>5620.898</v>
      </c>
      <c r="J8" s="20" t="n">
        <v>5192.359</v>
      </c>
      <c r="K8" s="20" t="n">
        <v>5232.014</v>
      </c>
    </row>
    <row r="9">
      <c r="A9" s="18" t="inlineStr">
        <is>
          <t>재고자산</t>
        </is>
      </c>
      <c r="B9" s="10" t="n"/>
      <c r="C9" s="19" t="n">
        <v>11192.747</v>
      </c>
      <c r="D9" s="20" t="n">
        <v>12468.9</v>
      </c>
      <c r="E9" s="20" t="n">
        <v>12218.751</v>
      </c>
      <c r="F9" s="20" t="n">
        <v>12435.316</v>
      </c>
      <c r="G9" s="20" t="n">
        <v>10981.945</v>
      </c>
      <c r="H9" s="19" t="n">
        <v>12978.227</v>
      </c>
      <c r="I9" s="20" t="n">
        <v>13033.338</v>
      </c>
      <c r="J9" s="20" t="n">
        <v>12386.749</v>
      </c>
      <c r="K9" s="20" t="n">
        <v>12435.316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</row>
    <row r="11">
      <c r="A11" s="9" t="inlineStr">
        <is>
          <t>비유동자산</t>
        </is>
      </c>
      <c r="B11" s="10" t="n"/>
      <c r="C11" s="11" t="n">
        <v>11449.723</v>
      </c>
      <c r="D11" s="12" t="n">
        <v>12045.696</v>
      </c>
      <c r="E11" s="12" t="n">
        <v>12479.963</v>
      </c>
      <c r="F11" s="12" t="n">
        <v>12756.019</v>
      </c>
      <c r="G11" s="12" t="n">
        <v>13046.618</v>
      </c>
      <c r="H11" s="11" t="n">
        <v>11608.368</v>
      </c>
      <c r="I11" s="12" t="n">
        <v>11926.237</v>
      </c>
      <c r="J11" s="12" t="n">
        <v>11963.919</v>
      </c>
      <c r="K11" s="12" t="n">
        <v>12756.019</v>
      </c>
    </row>
    <row r="12">
      <c r="A12" s="18" t="inlineStr">
        <is>
          <t>유형자산</t>
        </is>
      </c>
      <c r="B12" s="10" t="n"/>
      <c r="C12" s="19" t="n">
        <v>4111.615</v>
      </c>
      <c r="D12" s="20" t="n">
        <v>4103.731</v>
      </c>
      <c r="E12" s="20" t="n">
        <v>4170.351</v>
      </c>
      <c r="F12" s="20" t="n">
        <v>4166.872</v>
      </c>
      <c r="G12" s="20" t="n">
        <v>4189.54</v>
      </c>
      <c r="H12" s="19" t="n">
        <v>4444.374</v>
      </c>
      <c r="I12" s="20" t="n">
        <v>4304.689</v>
      </c>
      <c r="J12" s="20" t="n">
        <v>4221.397</v>
      </c>
      <c r="K12" s="20" t="n">
        <v>4166.872</v>
      </c>
    </row>
    <row r="13">
      <c r="A13" s="18" t="inlineStr">
        <is>
          <t>무형자산</t>
        </is>
      </c>
      <c r="B13" s="10" t="n"/>
      <c r="C13" s="19" t="n">
        <v>1824.23</v>
      </c>
      <c r="D13" s="20" t="n">
        <v>1777.928</v>
      </c>
      <c r="E13" s="20" t="n">
        <v>1712.246</v>
      </c>
      <c r="F13" s="20" t="n">
        <v>1719.196</v>
      </c>
      <c r="G13" s="20" t="n">
        <v>1646.702</v>
      </c>
      <c r="H13" s="19" t="n">
        <v>2214.67</v>
      </c>
      <c r="I13" s="20" t="n">
        <v>2106.85</v>
      </c>
      <c r="J13" s="20" t="n">
        <v>2032.081</v>
      </c>
      <c r="K13" s="20" t="n">
        <v>1719.196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</row>
    <row r="16">
      <c r="A16" s="9" t="inlineStr">
        <is>
          <t>자산총계</t>
        </is>
      </c>
      <c r="B16" s="10" t="n"/>
      <c r="C16" s="11" t="n">
        <v>35513.167</v>
      </c>
      <c r="D16" s="12" t="n">
        <v>36375.317</v>
      </c>
      <c r="E16" s="12" t="n">
        <v>37963.515</v>
      </c>
      <c r="F16" s="12" t="n">
        <v>38839.871</v>
      </c>
      <c r="G16" s="12" t="n">
        <v>37352.086</v>
      </c>
      <c r="H16" s="11" t="n">
        <v>37966.175</v>
      </c>
      <c r="I16" s="12" t="n">
        <v>38550.983</v>
      </c>
      <c r="J16" s="12" t="n">
        <v>38311.785</v>
      </c>
      <c r="K16" s="12" t="n">
        <v>38839.871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</row>
    <row r="18">
      <c r="A18" s="9" t="inlineStr">
        <is>
          <t>유동부채</t>
        </is>
      </c>
      <c r="B18" s="10" t="n"/>
      <c r="C18" s="11" t="n">
        <v>8210.456</v>
      </c>
      <c r="D18" s="12" t="n">
        <v>9155.888000000001</v>
      </c>
      <c r="E18" s="12" t="n">
        <v>9664.630999999999</v>
      </c>
      <c r="F18" s="12" t="n">
        <v>10263.576</v>
      </c>
      <c r="G18" s="12" t="n">
        <v>7676.381</v>
      </c>
      <c r="H18" s="11" t="n">
        <v>9736.853999999999</v>
      </c>
      <c r="I18" s="12" t="n">
        <v>10168.248</v>
      </c>
      <c r="J18" s="12" t="n">
        <v>10796.674</v>
      </c>
      <c r="K18" s="12" t="n">
        <v>10263.576</v>
      </c>
    </row>
    <row r="19">
      <c r="A19" s="18" t="inlineStr">
        <is>
          <t>매입채무</t>
        </is>
      </c>
      <c r="B19" s="10" t="n"/>
      <c r="C19" s="19" t="n">
        <v>1140.419</v>
      </c>
      <c r="D19" s="20" t="n">
        <v>1376.193</v>
      </c>
      <c r="E19" s="20" t="n">
        <v>1391.589</v>
      </c>
      <c r="F19" s="20" t="n">
        <v>1296.677</v>
      </c>
      <c r="G19" s="20" t="n">
        <v>1311.242</v>
      </c>
      <c r="H19" s="19" t="n">
        <v>1736.058</v>
      </c>
      <c r="I19" s="20" t="n">
        <v>1401.556</v>
      </c>
      <c r="J19" s="20" t="n">
        <v>1702.479</v>
      </c>
      <c r="K19" s="20" t="n">
        <v>1296.677</v>
      </c>
    </row>
    <row r="20">
      <c r="A20" s="18" t="inlineStr">
        <is>
          <t>단기차입금</t>
        </is>
      </c>
      <c r="B20" s="10" t="n"/>
      <c r="C20" s="19" t="n">
        <v>4540</v>
      </c>
      <c r="D20" s="20" t="n">
        <v>5270</v>
      </c>
      <c r="E20" s="20" t="n">
        <v>5800</v>
      </c>
      <c r="F20" s="20" t="n">
        <v>6230</v>
      </c>
      <c r="G20" s="20" t="n">
        <v>3500</v>
      </c>
      <c r="H20" s="19" t="n">
        <v>5660</v>
      </c>
      <c r="I20" s="20" t="n">
        <v>6100</v>
      </c>
      <c r="J20" s="20" t="n">
        <v>6440</v>
      </c>
      <c r="K20" s="20" t="n">
        <v>6230</v>
      </c>
    </row>
    <row r="21">
      <c r="A21" s="18" t="inlineStr">
        <is>
          <t>유동성장기부채</t>
        </is>
      </c>
      <c r="B21" s="10" t="n"/>
      <c r="C21" s="19" t="n">
        <v>437.806</v>
      </c>
      <c r="D21" s="20" t="n">
        <v>599.2329999999999</v>
      </c>
      <c r="E21" s="20" t="n">
        <v>437.806</v>
      </c>
      <c r="F21" s="20" t="n">
        <v>600.003</v>
      </c>
      <c r="G21" s="20" t="n">
        <v>437.806</v>
      </c>
      <c r="H21" s="19" t="n">
        <v>451.89</v>
      </c>
      <c r="I21" s="20" t="n">
        <v>650.316</v>
      </c>
      <c r="J21" s="20" t="n">
        <v>599.2329999999999</v>
      </c>
      <c r="K21" s="20" t="n">
        <v>600.003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</row>
    <row r="23">
      <c r="A23" s="9" t="inlineStr">
        <is>
          <t>비유동부채</t>
        </is>
      </c>
      <c r="B23" s="10" t="n"/>
      <c r="C23" s="11" t="n">
        <v>3250.422</v>
      </c>
      <c r="D23" s="12" t="n">
        <v>3189.507</v>
      </c>
      <c r="E23" s="12" t="n">
        <v>3425.348</v>
      </c>
      <c r="F23" s="12" t="n">
        <v>3330.546</v>
      </c>
      <c r="G23" s="12" t="n">
        <v>3443.01</v>
      </c>
      <c r="H23" s="11" t="n">
        <v>3965.5</v>
      </c>
      <c r="I23" s="12" t="n">
        <v>3584.173</v>
      </c>
      <c r="J23" s="12" t="n">
        <v>3262.793</v>
      </c>
      <c r="K23" s="12" t="n">
        <v>3330.546</v>
      </c>
    </row>
    <row r="24">
      <c r="A24" s="18" t="inlineStr">
        <is>
          <t>장기차입금</t>
        </is>
      </c>
      <c r="B24" s="10" t="n"/>
      <c r="C24" s="19" t="n">
        <v>1300.482</v>
      </c>
      <c r="D24" s="20" t="n">
        <v>1083.889</v>
      </c>
      <c r="E24" s="20" t="n">
        <v>1081.579</v>
      </c>
      <c r="F24" s="20" t="n">
        <v>864.986</v>
      </c>
      <c r="G24" s="20" t="n">
        <v>862.676</v>
      </c>
      <c r="H24" s="19" t="n">
        <v>2322.347</v>
      </c>
      <c r="I24" s="20" t="n">
        <v>1740.598</v>
      </c>
      <c r="J24" s="20" t="n">
        <v>1302.792</v>
      </c>
      <c r="K24" s="20" t="n">
        <v>864.986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</row>
    <row r="27">
      <c r="A27" s="9" t="inlineStr">
        <is>
          <t>부채총계</t>
        </is>
      </c>
      <c r="B27" s="10" t="n"/>
      <c r="C27" s="11" t="n">
        <v>11460.879</v>
      </c>
      <c r="D27" s="12" t="n">
        <v>12345.396</v>
      </c>
      <c r="E27" s="12" t="n">
        <v>13089.979</v>
      </c>
      <c r="F27" s="12" t="n">
        <v>13594.122</v>
      </c>
      <c r="G27" s="12" t="n">
        <v>11119.391</v>
      </c>
      <c r="H27" s="11" t="n">
        <v>13702.354</v>
      </c>
      <c r="I27" s="12" t="n">
        <v>13752.422</v>
      </c>
      <c r="J27" s="12" t="n">
        <v>14059.468</v>
      </c>
      <c r="K27" s="12" t="n">
        <v>13594.122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</row>
    <row r="31">
      <c r="A31" s="9" t="inlineStr">
        <is>
          <t>지배주주지분</t>
        </is>
      </c>
      <c r="B31" s="10" t="n"/>
      <c r="C31" s="11" t="n">
        <v>23965.2</v>
      </c>
      <c r="D31" s="12" t="n">
        <v>23942.833</v>
      </c>
      <c r="E31" s="12" t="n">
        <v>24786.447</v>
      </c>
      <c r="F31" s="12" t="n">
        <v>25158.661</v>
      </c>
      <c r="G31" s="12" t="n">
        <v>26145.606</v>
      </c>
      <c r="H31" s="11" t="n">
        <v>24176.732</v>
      </c>
      <c r="I31" s="12" t="n">
        <v>24711.472</v>
      </c>
      <c r="J31" s="12" t="n">
        <v>24165.229</v>
      </c>
      <c r="K31" s="12" t="n">
        <v>25158.661</v>
      </c>
    </row>
    <row r="32">
      <c r="A32" s="18" t="inlineStr">
        <is>
          <t>자본금</t>
        </is>
      </c>
      <c r="B32" s="10" t="n"/>
      <c r="C32" s="19" t="n">
        <v>1978.69</v>
      </c>
      <c r="D32" s="20" t="n">
        <v>1978.69</v>
      </c>
      <c r="E32" s="20" t="n">
        <v>1978.69</v>
      </c>
      <c r="F32" s="20" t="n">
        <v>1978.69</v>
      </c>
      <c r="G32" s="20" t="n">
        <v>1978.69</v>
      </c>
      <c r="H32" s="19" t="n">
        <v>1978.69</v>
      </c>
      <c r="I32" s="20" t="n">
        <v>1978.69</v>
      </c>
      <c r="J32" s="20" t="n">
        <v>1978.69</v>
      </c>
      <c r="K32" s="20" t="n">
        <v>1978.69</v>
      </c>
    </row>
    <row r="33">
      <c r="A33" s="18" t="inlineStr">
        <is>
          <t>이익잉여금</t>
        </is>
      </c>
      <c r="B33" s="10" t="n"/>
      <c r="C33" s="19" t="n">
        <v>21593.605</v>
      </c>
      <c r="D33" s="20" t="n">
        <v>21097.779</v>
      </c>
      <c r="E33" s="20" t="n">
        <v>21423.05</v>
      </c>
      <c r="F33" s="20" t="n">
        <v>21547.117</v>
      </c>
      <c r="G33" s="20" t="n">
        <v>22198.821</v>
      </c>
      <c r="H33" s="19" t="n">
        <v>21925.214</v>
      </c>
      <c r="I33" s="20" t="n">
        <v>21806.379</v>
      </c>
      <c r="J33" s="20" t="n">
        <v>21557.382</v>
      </c>
      <c r="K33" s="20" t="n">
        <v>21547.117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>
        <v>0</v>
      </c>
      <c r="I34" s="20" t="n"/>
      <c r="J34" s="20" t="n"/>
      <c r="K34" s="20" t="n"/>
    </row>
    <row r="35">
      <c r="A35" s="9" t="inlineStr">
        <is>
          <t>자본총계</t>
        </is>
      </c>
      <c r="B35" s="10" t="n"/>
      <c r="C35" s="11" t="n">
        <v>24052.288</v>
      </c>
      <c r="D35" s="12" t="n">
        <v>24029.921</v>
      </c>
      <c r="E35" s="12" t="n">
        <v>24873.535</v>
      </c>
      <c r="F35" s="12" t="n">
        <v>25245.749</v>
      </c>
      <c r="G35" s="12" t="n">
        <v>26232.694</v>
      </c>
      <c r="H35" s="11" t="n">
        <v>24263.82</v>
      </c>
      <c r="I35" s="12" t="n">
        <v>24798.56</v>
      </c>
      <c r="J35" s="12" t="n">
        <v>24252.317</v>
      </c>
      <c r="K35" s="12" t="n">
        <v>25245.749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</row>
    <row r="37">
      <c r="A37" s="9" t="inlineStr">
        <is>
          <t>영업활동현금흐름</t>
        </is>
      </c>
      <c r="B37" s="10" t="n"/>
      <c r="C37" s="11" t="n"/>
      <c r="D37" s="12" t="n">
        <v>840.585</v>
      </c>
      <c r="E37" s="12" t="n"/>
      <c r="F37" s="12" t="n">
        <v>1468.981</v>
      </c>
      <c r="G37" s="12" t="n"/>
      <c r="H37" s="11" t="n">
        <v>-1278.303</v>
      </c>
      <c r="I37" s="12" t="n">
        <v>166.267</v>
      </c>
      <c r="J37" s="12" t="n">
        <v>1047.192</v>
      </c>
      <c r="K37" s="12" t="n">
        <v>1468.981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>
        <v>890.696</v>
      </c>
      <c r="G38" s="20" t="n"/>
      <c r="H38" s="19" t="n">
        <v>798.487</v>
      </c>
      <c r="I38" s="20" t="n">
        <v>636.659</v>
      </c>
      <c r="J38" s="20" t="n">
        <v>617.261</v>
      </c>
      <c r="K38" s="20" t="n">
        <v>890.696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400.28</v>
      </c>
      <c r="E40" s="20" t="n"/>
      <c r="F40" s="20" t="n">
        <v>393.948</v>
      </c>
      <c r="G40" s="20" t="n"/>
      <c r="H40" s="19" t="n">
        <v>767.756</v>
      </c>
      <c r="I40" s="20" t="n">
        <v>626.162</v>
      </c>
      <c r="J40" s="20" t="n">
        <v>399.794</v>
      </c>
      <c r="K40" s="20" t="n">
        <v>393.948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IFERROR((IF(COUNT('연간'!D31:G31)&lt;4,"",SUM('연간'!D31:G31)))/(IF(COUNT('연간'!D53:G53)&lt;4,"",SUM('연간'!D53:G53))),"")</f>
        <v/>
      </c>
      <c r="D48" s="31">
        <f>IFERROR((IF(COUNT('연간'!E31:H31)&lt;4,"",SUM('연간'!E31:H31)))/(IF(COUNT('연간'!E53:H53)&lt;4,"",SUM('연간'!E53:H53))),"")</f>
        <v/>
      </c>
      <c r="E48" s="31">
        <f>IFERROR((IF(COUNT('연간'!F31:I31)&lt;4,"",SUM('연간'!F31:I31)))/(IF(COUNT('연간'!F53:I53)&lt;4,"",SUM('연간'!F53:I53))),"")</f>
        <v/>
      </c>
      <c r="F48" s="31">
        <f>IFERROR((IF(COUNT('연간'!G31:J31)&lt;4,"",SUM('연간'!G31:J31)))/(IF(COUNT('연간'!G53:J53)&lt;4,"",SUM('연간'!G53:J53))),"")</f>
        <v/>
      </c>
      <c r="G48" s="31">
        <f>IFERROR((IF(COUNT('연간'!H31:K31)&lt;4,"",SUM('연간'!H31:K31)))/(IF(COUNT('연간'!H53:K53)&lt;4,"",SUM('연간'!H53:K53))),"")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IFERROR(IF((IF(COUNT('연간'!D61:G61)&lt;4,"",SUM('연간'!D61:G61)))&lt;=0,"적자",C28/(IF(COUNT('연간'!D61:G61)&lt;4,"",SUM('연간'!D61:G61)))),"")</f>
        <v/>
      </c>
      <c r="D49" s="47">
        <f>IFERROR(IF((IF(COUNT('연간'!E61:H61)&lt;4,"",SUM('연간'!E61:H61)))&lt;=0,"적자",D28/(IF(COUNT('연간'!E61:H61)&lt;4,"",SUM('연간'!E61:H61)))),"")</f>
        <v/>
      </c>
      <c r="E49" s="47">
        <f>IFERROR(IF((IF(COUNT('연간'!F61:I61)&lt;4,"",SUM('연간'!F61:I61)))&lt;=0,"적자",E28/(IF(COUNT('연간'!F61:I61)&lt;4,"",SUM('연간'!F61:I61)))),"")</f>
        <v/>
      </c>
      <c r="F49" s="47">
        <f>IFERROR(IF((IF(COUNT('연간'!G61:J61)&lt;4,"",SUM('연간'!G61:J61)))&lt;=0,"적자",F28/(IF(COUNT('연간'!G61:J61)&lt;4,"",SUM('연간'!G61:J61)))),"")</f>
        <v/>
      </c>
      <c r="G49" s="47">
        <f>IFERROR(IF((IF(COUNT('연간'!H61:K61)&lt;4,"",SUM('연간'!H61:K61)))&lt;=0,"적자",G28/(IF(COUNT('연간'!H61:K61)&lt;4,"",SUM('연간'!H61:K61)))),"")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IFERROR((IF(COUNT('연간'!D61:G61)&lt;4,"",SUM('연간'!D61:G61)))/C31,"")</f>
        <v/>
      </c>
      <c r="D51" s="36">
        <f>IFERROR((IF(COUNT('연간'!E61:H61)&lt;4,"",SUM('연간'!E61:H61)))/D31,"")</f>
        <v/>
      </c>
      <c r="E51" s="36">
        <f>IFERROR((IF(COUNT('연간'!F61:I61)&lt;4,"",SUM('연간'!F61:I61)))/E31,"")</f>
        <v/>
      </c>
      <c r="F51" s="36">
        <f>IFERROR((IF(COUNT('연간'!G61:J61)&lt;4,"",SUM('연간'!G61:J61)))/F31,"")</f>
        <v/>
      </c>
      <c r="G51" s="36">
        <f>IFERROR((IF(COUNT('연간'!H61:K61)&lt;4,"",SUM('연간'!H61:K61)))/G31,"")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IFERROR((IF(COUNT('연간'!D59:G59)&lt;4,"",SUM('연간'!D59:G59)))/C16,"")</f>
        <v/>
      </c>
      <c r="D52" s="36">
        <f>IFERROR((IF(COUNT('연간'!E59:H59)&lt;4,"",SUM('연간'!E59:H59)))/D16,"")</f>
        <v/>
      </c>
      <c r="E52" s="36">
        <f>IFERROR((IF(COUNT('연간'!F59:I59)&lt;4,"",SUM('연간'!F59:I59)))/E16,"")</f>
        <v/>
      </c>
      <c r="F52" s="36">
        <f>IFERROR((IF(COUNT('연간'!G59:J59)&lt;4,"",SUM('연간'!G59:J59)))/F16,"")</f>
        <v/>
      </c>
      <c r="G52" s="36">
        <f>IFERROR((IF(COUNT('연간'!H59:K59)&lt;4,"",SUM('연간'!H59:K59)))/G16,"")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IFERROR((IF(COUNT('연간'!D31:G31)&lt;4,"",SUM('연간'!D31:G31)))*(1-0.3)/(C35+C29),"")</f>
        <v/>
      </c>
      <c r="D53" s="36">
        <f>IFERROR((IF(COUNT('연간'!E31:H31)&lt;4,"",SUM('연간'!E31:H31)))*(1-0.3)/(D35+D29),"")</f>
        <v/>
      </c>
      <c r="E53" s="36">
        <f>IFERROR((IF(COUNT('연간'!F31:I31)&lt;4,"",SUM('연간'!F31:I31)))*(1-0.3)/(E35+E29),"")</f>
        <v/>
      </c>
      <c r="F53" s="36">
        <f>IFERROR((IF(COUNT('연간'!G31:J31)&lt;4,"",SUM('연간'!G31:J31)))*(1-0.3)/(F35+F29),"")</f>
        <v/>
      </c>
      <c r="G53" s="36">
        <f>IFERROR((IF(COUNT('연간'!H31:K31)&lt;4,"",SUM('연간'!H31:K31)))*(1-0.3)/(G35+G29),"")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IFERROR((IF(COUNT('연간'!D25:G25)&lt;4,"",SUM('연간'!D25:G25)))/(IF(COUNT('연간'!D4:G4)&lt;4,"",SUM('연간'!D4:G4))),"")</f>
        <v/>
      </c>
      <c r="D54" s="36">
        <f>IFERROR((IF(COUNT('연간'!E25:H25)&lt;4,"",SUM('연간'!E25:H25)))/(IF(COUNT('연간'!E4:H4)&lt;4,"",SUM('연간'!E4:H4))),"")</f>
        <v/>
      </c>
      <c r="E54" s="36">
        <f>IFERROR((IF(COUNT('연간'!F25:I25)&lt;4,"",SUM('연간'!F25:I25)))/(IF(COUNT('연간'!F4:I4)&lt;4,"",SUM('연간'!F4:I4))),"")</f>
        <v/>
      </c>
      <c r="F54" s="36">
        <f>IFERROR((IF(COUNT('연간'!G25:J25)&lt;4,"",SUM('연간'!G25:J25)))/(IF(COUNT('연간'!G4:J4)&lt;4,"",SUM('연간'!G4:J4))),"")</f>
        <v/>
      </c>
      <c r="G54" s="36">
        <f>IFERROR((IF(COUNT('연간'!H25:K25)&lt;4,"",SUM('연간'!H25:K25)))/(IF(COUNT('연간'!H4:K4)&lt;4,"",SUM('연간'!H4:K4))),"")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IFERROR((IF(COUNT('연간'!D31:G31)&lt;4,"",SUM('연간'!D31:G31)))/(IF(COUNT('연간'!D4:G4)&lt;4,"",SUM('연간'!D4:G4))),"")</f>
        <v/>
      </c>
      <c r="D55" s="36">
        <f>IFERROR((IF(COUNT('연간'!E31:H31)&lt;4,"",SUM('연간'!E31:H31)))/(IF(COUNT('연간'!E4:H4)&lt;4,"",SUM('연간'!E4:H4))),"")</f>
        <v/>
      </c>
      <c r="E55" s="36">
        <f>IFERROR((IF(COUNT('연간'!F31:I31)&lt;4,"",SUM('연간'!F31:I31)))/(IF(COUNT('연간'!F4:I4)&lt;4,"",SUM('연간'!F4:I4))),"")</f>
        <v/>
      </c>
      <c r="F55" s="36">
        <f>IFERROR((IF(COUNT('연간'!G31:J31)&lt;4,"",SUM('연간'!G31:J31)))/(IF(COUNT('연간'!G4:J4)&lt;4,"",SUM('연간'!G4:J4))),"")</f>
        <v/>
      </c>
      <c r="G55" s="36">
        <f>IFERROR((IF(COUNT('연간'!H31:K31)&lt;4,"",SUM('연간'!H31:K31)))/(IF(COUNT('연간'!H4:K4)&lt;4,"",SUM('연간'!H4:K4))),"")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IFERROR((IF(COUNT('연간'!D59:G59)&lt;4,"",SUM('연간'!D59:G59)))/(IF(COUNT('연간'!D4:G4)&lt;4,"",SUM('연간'!D4:G4))),"")</f>
        <v/>
      </c>
      <c r="D56" s="36">
        <f>IFERROR((IF(COUNT('연간'!E59:H59)&lt;4,"",SUM('연간'!E59:H59)))/(IF(COUNT('연간'!E4:H4)&lt;4,"",SUM('연간'!E4:H4))),"")</f>
        <v/>
      </c>
      <c r="E56" s="36">
        <f>IFERROR((IF(COUNT('연간'!F59:I59)&lt;4,"",SUM('연간'!F59:I59)))/(IF(COUNT('연간'!F4:I4)&lt;4,"",SUM('연간'!F4:I4))),"")</f>
        <v/>
      </c>
      <c r="F56" s="36">
        <f>IFERROR((IF(COUNT('연간'!G59:J59)&lt;4,"",SUM('연간'!G59:J59)))/(IF(COUNT('연간'!G4:J4)&lt;4,"",SUM('연간'!G4:J4))),"")</f>
        <v/>
      </c>
      <c r="G56" s="36">
        <f>IFERROR((IF(COUNT('연간'!H59:K59)&lt;4,"",SUM('연간'!H59:K59)))/(IF(COUNT('연간'!H4:K4)&lt;4,"",SUM('연간'!H4:K4))),"")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IFERROR((IF(COUNT('연간'!D4:G4)&lt;4,"",SUM('연간'!D4:G4)))/C16,"")</f>
        <v/>
      </c>
      <c r="D58" s="31">
        <f>IFERROR((IF(COUNT('연간'!E4:H4)&lt;4,"",SUM('연간'!E4:H4)))/D16,"")</f>
        <v/>
      </c>
      <c r="E58" s="31">
        <f>IFERROR((IF(COUNT('연간'!F4:I4)&lt;4,"",SUM('연간'!F4:I4)))/E16,"")</f>
        <v/>
      </c>
      <c r="F58" s="31">
        <f>IFERROR((IF(COUNT('연간'!G4:J4)&lt;4,"",SUM('연간'!G4:J4)))/F16,"")</f>
        <v/>
      </c>
      <c r="G58" s="31">
        <f>IFERROR((IF(COUNT('연간'!H4:K4)&lt;4,"",SUM('연간'!H4:K4)))/G16,"")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IFERROR(C8/(IF(COUNT('연간'!D4:G4)&lt;4,"",SUM('연간'!D4:G4)))*365,"")</f>
        <v/>
      </c>
      <c r="D59" s="49">
        <f>IFERROR(D8/(IF(COUNT('연간'!E4:H4)&lt;4,"",SUM('연간'!E4:H4)))*365,"")</f>
        <v/>
      </c>
      <c r="E59" s="49">
        <f>IFERROR(E8/(IF(COUNT('연간'!F4:I4)&lt;4,"",SUM('연간'!F4:I4)))*365,"")</f>
        <v/>
      </c>
      <c r="F59" s="49">
        <f>IFERROR(F8/(IF(COUNT('연간'!G4:J4)&lt;4,"",SUM('연간'!G4:J4)))*365,"")</f>
        <v/>
      </c>
      <c r="G59" s="49">
        <f>IFERROR(G8/(IF(COUNT('연간'!H4:K4)&lt;4,"",SUM('연간'!H4:K4)))*365,"")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IFERROR(C9/(IF(COUNT('연간'!D23:G23)&lt;4,"",SUM('연간'!D23:G23)))*365,"")</f>
        <v/>
      </c>
      <c r="D60" s="49">
        <f>IFERROR(D9/(IF(COUNT('연간'!E23:H23)&lt;4,"",SUM('연간'!E23:H23)))*365,"")</f>
        <v/>
      </c>
      <c r="E60" s="49">
        <f>IFERROR(E9/(IF(COUNT('연간'!F23:I23)&lt;4,"",SUM('연간'!F23:I23)))*365,"")</f>
        <v/>
      </c>
      <c r="F60" s="49">
        <f>IFERROR(F9/(IF(COUNT('연간'!G23:J23)&lt;4,"",SUM('연간'!G23:J23)))*365,"")</f>
        <v/>
      </c>
      <c r="G60" s="49">
        <f>IFERROR(G9/(IF(COUNT('연간'!H23:K23)&lt;4,"",SUM('연간'!H23:K23)))*365,"")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IFERROR(C19/(IF(COUNT('연간'!D23:G23)&lt;4,"",SUM('연간'!D23:G23)))*365,"")</f>
        <v/>
      </c>
      <c r="D61" s="49">
        <f>IFERROR(D19/(IF(COUNT('연간'!E23:H23)&lt;4,"",SUM('연간'!E23:H23)))*365,"")</f>
        <v/>
      </c>
      <c r="E61" s="49">
        <f>IFERROR(E19/(IF(COUNT('연간'!F23:I23)&lt;4,"",SUM('연간'!F23:I23)))*365,"")</f>
        <v/>
      </c>
      <c r="F61" s="49">
        <f>IFERROR(F19/(IF(COUNT('연간'!G23:J23)&lt;4,"",SUM('연간'!G23:J23)))*365,"")</f>
        <v/>
      </c>
      <c r="G61" s="49">
        <f>IFERROR(G19/(IF(COUNT('연간'!H23:K23)&lt;4,"",SUM('연간'!H23:K23)))*365,"")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IF(C37="","",IFERROR(C37/(IF(COUNT('연간'!D59:G59)&lt;4,"",SUM('연간'!D59:G59))),""))</f>
        <v/>
      </c>
      <c r="D64" s="31">
        <f>IF(D37="","",IFERROR(D37/(IF(COUNT('연간'!E59:H59)&lt;4,"",SUM('연간'!E59:H59))),""))</f>
        <v/>
      </c>
      <c r="E64" s="31">
        <f>IF(E37="","",IFERROR(E37/(IF(COUNT('연간'!F59:I59)&lt;4,"",SUM('연간'!F59:I59))),""))</f>
        <v/>
      </c>
      <c r="F64" s="31">
        <f>IF(F37="","",IFERROR(F37/(IF(COUNT('연간'!G59:J59)&lt;4,"",SUM('연간'!G59:J59))),""))</f>
        <v/>
      </c>
      <c r="G64" s="31">
        <f>IF(G37="","",IFERROR(G37/(IF(COUNT('연간'!H59:K59)&lt;4,"",SUM('연간'!H59:K59))),""))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IF(C39="","",IFERROR(C39/(IF(COUNT('연간'!D4:G4)&lt;4,"",SUM('연간'!D4:G4))),""))</f>
        <v/>
      </c>
      <c r="D65" s="36">
        <f>IF(D39="","",IFERROR(D39/(IF(COUNT('연간'!E4:H4)&lt;4,"",SUM('연간'!E4:H4))),""))</f>
        <v/>
      </c>
      <c r="E65" s="36">
        <f>IF(E39="","",IFERROR(E39/(IF(COUNT('연간'!F4:I4)&lt;4,"",SUM('연간'!F4:I4))),""))</f>
        <v/>
      </c>
      <c r="F65" s="36">
        <f>IF(F39="","",IFERROR(F39/(IF(COUNT('연간'!G4:J4)&lt;4,"",SUM('연간'!G4:J4))),""))</f>
        <v/>
      </c>
      <c r="G65" s="36">
        <f>IF(G39="","",IFERROR(G39/(IF(COUNT('연간'!H4:K4)&lt;4,"",SUM('연간'!H4:K4))),""))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IF(C38="","",IFERROR(C38/(IF(COUNT('연간'!D4:G4)&lt;4,"",SUM('연간'!D4:G4))),""))</f>
        <v/>
      </c>
      <c r="D66" s="36">
        <f>IF(D38="","",IFERROR(D38/(IF(COUNT('연간'!E4:H4)&lt;4,"",SUM('연간'!E4:H4))),""))</f>
        <v/>
      </c>
      <c r="E66" s="36">
        <f>IF(E38="","",IFERROR(E38/(IF(COUNT('연간'!F4:I4)&lt;4,"",SUM('연간'!F4:I4))),""))</f>
        <v/>
      </c>
      <c r="F66" s="36">
        <f>IF(F38="","",IFERROR(F38/(IF(COUNT('연간'!G4:J4)&lt;4,"",SUM('연간'!G4:J4))),""))</f>
        <v/>
      </c>
      <c r="G66" s="36">
        <f>IF(G38="","",IFERROR(G38/(IF(COUNT('연간'!H4:K4)&lt;4,"",SUM('연간'!H4:K4))),""))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IF(C40="","",IFERROR(C40/(IF(COUNT('연간'!D61:G61)&lt;4,"",SUM('연간'!D61:G61))),""))</f>
        <v/>
      </c>
      <c r="D67" s="36">
        <f>IF(D40="","",IFERROR(D40/(IF(COUNT('연간'!E61:H61)&lt;4,"",SUM('연간'!E61:H61))),""))</f>
        <v/>
      </c>
      <c r="E67" s="36">
        <f>IF(E40="","",IFERROR(E40/(IF(COUNT('연간'!F61:I61)&lt;4,"",SUM('연간'!F61:I61))),""))</f>
        <v/>
      </c>
      <c r="F67" s="36">
        <f>IF(F40="","",IFERROR(F40/(IF(COUNT('연간'!G61:J61)&lt;4,"",SUM('연간'!G61:J61))),""))</f>
        <v/>
      </c>
      <c r="G67" s="36">
        <f>IF(G40="","",IFERROR(G40/(IF(COUNT('연간'!H61:K61)&lt;4,"",SUM('연간'!H61:K61))),""))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2023</t>
        </is>
      </c>
      <c r="I70" s="5" t="inlineStr">
        <is>
          <t>2024</t>
        </is>
      </c>
      <c r="J70" s="5" t="inlineStr">
        <is>
          <t>2025</t>
        </is>
      </c>
      <c r="K70" s="5" t="inlineStr">
        <is>
          <t>2026</t>
        </is>
      </c>
    </row>
    <row r="71">
      <c r="A71" s="18" t="inlineStr">
        <is>
          <t>현금 및 예금</t>
        </is>
      </c>
      <c r="C71" s="20" t="n">
        <v>6831.528</v>
      </c>
      <c r="D71" s="20" t="n">
        <v>6747.841</v>
      </c>
      <c r="E71" s="20" t="n">
        <v>6984.794</v>
      </c>
      <c r="F71" s="20" t="n">
        <v>7398.912</v>
      </c>
      <c r="G71" s="20" t="n">
        <v>6832.976</v>
      </c>
      <c r="H71" s="20" t="n">
        <v>6888.375</v>
      </c>
      <c r="I71" s="20" t="n">
        <v>7103.652</v>
      </c>
      <c r="J71" s="20" t="n">
        <v>7742.985</v>
      </c>
      <c r="K71" s="20" t="n">
        <v>7398.912</v>
      </c>
    </row>
    <row r="72">
      <c r="A72" s="18" t="inlineStr">
        <is>
          <t>받을어음</t>
        </is>
      </c>
      <c r="C72" s="20" t="n">
        <v>226.669</v>
      </c>
      <c r="D72" s="20" t="n">
        <v>208.178</v>
      </c>
      <c r="E72" s="20" t="n">
        <v>191.147</v>
      </c>
      <c r="F72" s="20" t="n">
        <v>216.239</v>
      </c>
      <c r="G72" s="20" t="n">
        <v>195.956</v>
      </c>
      <c r="H72" s="20" t="n">
        <v>305.95</v>
      </c>
      <c r="I72" s="20" t="n">
        <v>196.809</v>
      </c>
      <c r="J72" s="20" t="n">
        <v>210.874</v>
      </c>
      <c r="K72" s="20" t="n">
        <v>216.239</v>
      </c>
    </row>
    <row r="73">
      <c r="A73" s="18" t="inlineStr">
        <is>
          <t>매출채권</t>
        </is>
      </c>
      <c r="C73" s="20" t="n">
        <v>5159.478</v>
      </c>
      <c r="D73" s="20" t="n">
        <v>4140.375</v>
      </c>
      <c r="E73" s="20" t="n">
        <v>5354.194</v>
      </c>
      <c r="F73" s="20" t="n">
        <v>5232.014</v>
      </c>
      <c r="G73" s="20" t="n">
        <v>5405.64</v>
      </c>
      <c r="H73" s="20" t="n">
        <v>5285.919</v>
      </c>
      <c r="I73" s="20" t="n">
        <v>5620.898</v>
      </c>
      <c r="J73" s="20" t="n">
        <v>5192.359</v>
      </c>
      <c r="K73" s="20" t="n">
        <v>5232.014</v>
      </c>
    </row>
    <row r="74">
      <c r="A74" s="18" t="inlineStr">
        <is>
          <t>상품·제품</t>
        </is>
      </c>
      <c r="C74" s="20" t="n">
        <v>9700.866</v>
      </c>
      <c r="D74" s="20" t="n">
        <v>10804.902</v>
      </c>
      <c r="E74" s="20" t="n">
        <v>10654.992</v>
      </c>
      <c r="F74" s="20" t="n">
        <v>10790.147</v>
      </c>
      <c r="G74" s="20" t="n">
        <v>9232.373</v>
      </c>
      <c r="H74" s="20" t="n">
        <v>11024.566</v>
      </c>
      <c r="I74" s="20" t="n">
        <v>11294.477</v>
      </c>
      <c r="J74" s="20" t="n">
        <v>10767.404</v>
      </c>
      <c r="K74" s="20" t="n">
        <v>10790.147</v>
      </c>
    </row>
    <row r="75">
      <c r="A75" s="18" t="inlineStr">
        <is>
          <t>재공품</t>
        </is>
      </c>
      <c r="C75" s="20" t="n">
        <v>301.213</v>
      </c>
      <c r="D75" s="20" t="n">
        <v>340.121</v>
      </c>
      <c r="E75" s="20" t="n">
        <v>343.02</v>
      </c>
      <c r="F75" s="20" t="n">
        <v>339.412</v>
      </c>
      <c r="G75" s="20" t="n">
        <v>349.684</v>
      </c>
      <c r="H75" s="20" t="n">
        <v>422.271</v>
      </c>
      <c r="I75" s="20" t="n">
        <v>355.514</v>
      </c>
      <c r="J75" s="20" t="n">
        <v>339.076</v>
      </c>
      <c r="K75" s="20" t="n">
        <v>339.412</v>
      </c>
    </row>
    <row r="76">
      <c r="A76" s="18" t="inlineStr">
        <is>
          <t>원재료·저장품</t>
        </is>
      </c>
      <c r="C76" s="20" t="n">
        <v>1190.668</v>
      </c>
      <c r="D76" s="20" t="n">
        <v>1323.877</v>
      </c>
      <c r="E76" s="20" t="n">
        <v>1220.739</v>
      </c>
      <c r="F76" s="20" t="n">
        <v>1305.757</v>
      </c>
      <c r="G76" s="20" t="n">
        <v>1399.888</v>
      </c>
      <c r="H76" s="20" t="n">
        <v>1531.39</v>
      </c>
      <c r="I76" s="20" t="n">
        <v>1383.347</v>
      </c>
      <c r="J76" s="20" t="n">
        <v>1280.269</v>
      </c>
      <c r="K76" s="20" t="n">
        <v>1305.757</v>
      </c>
    </row>
    <row r="77">
      <c r="A77" s="18" t="inlineStr">
        <is>
          <t>기타</t>
        </is>
      </c>
      <c r="C77" s="20" t="n">
        <v>653.503</v>
      </c>
      <c r="D77" s="20" t="n">
        <v>765.16</v>
      </c>
      <c r="E77" s="20" t="n">
        <v>735.54</v>
      </c>
      <c r="F77" s="20" t="n">
        <v>802.302</v>
      </c>
      <c r="G77" s="20" t="n">
        <v>890.17</v>
      </c>
      <c r="H77" s="20" t="n">
        <v>900.04</v>
      </c>
      <c r="I77" s="20" t="n">
        <v>670.486</v>
      </c>
      <c r="J77" s="20" t="n">
        <v>815.545</v>
      </c>
      <c r="K77" s="20" t="n">
        <v>802.302</v>
      </c>
    </row>
    <row r="78">
      <c r="A78" s="18" t="inlineStr">
        <is>
          <t>대손충당금</t>
        </is>
      </c>
      <c r="C78" s="20" t="n">
        <v>-0.484</v>
      </c>
      <c r="D78" s="20" t="n">
        <v>-0.835</v>
      </c>
      <c r="E78" s="20" t="n">
        <v>-0.878</v>
      </c>
      <c r="F78" s="20" t="n">
        <v>-0.9340000000000001</v>
      </c>
      <c r="G78" s="20" t="n">
        <v>-1.223</v>
      </c>
      <c r="H78" s="20" t="n">
        <v>-0.708</v>
      </c>
      <c r="I78" s="20" t="n">
        <v>-0.44</v>
      </c>
      <c r="J78" s="20" t="n">
        <v>-0.65</v>
      </c>
      <c r="K78" s="20" t="n">
        <v>-0.9340000000000001</v>
      </c>
    </row>
    <row r="79">
      <c r="A79" s="9" t="inlineStr">
        <is>
          <t>유동자산 합계</t>
        </is>
      </c>
      <c r="C79" s="12" t="n">
        <v>24063.443</v>
      </c>
      <c r="D79" s="12" t="n">
        <v>24329.621</v>
      </c>
      <c r="E79" s="12" t="n">
        <v>25483.552</v>
      </c>
      <c r="F79" s="12" t="n">
        <v>26083.852</v>
      </c>
      <c r="G79" s="12" t="n">
        <v>24305.467</v>
      </c>
      <c r="H79" s="12" t="n">
        <v>26357.806</v>
      </c>
      <c r="I79" s="12" t="n">
        <v>26624.746</v>
      </c>
      <c r="J79" s="12" t="n">
        <v>26347.865</v>
      </c>
      <c r="K79" s="12" t="n">
        <v>26083.852</v>
      </c>
    </row>
    <row r="80">
      <c r="A80" s="18" t="inlineStr">
        <is>
          <t>건물·구축물</t>
        </is>
      </c>
      <c r="C80" s="20" t="n">
        <v>6196.545</v>
      </c>
      <c r="D80" s="20" t="n">
        <v>6211.898</v>
      </c>
      <c r="E80" s="20" t="n">
        <v>6383.8</v>
      </c>
      <c r="F80" s="20" t="n">
        <v>6442.472</v>
      </c>
      <c r="G80" s="20" t="n">
        <v>6453.964</v>
      </c>
      <c r="H80" s="20" t="n">
        <v>6162.218</v>
      </c>
      <c r="I80" s="20" t="n">
        <v>6171.625</v>
      </c>
      <c r="J80" s="20" t="n">
        <v>6204.703</v>
      </c>
      <c r="K80" s="20" t="n">
        <v>6442.472</v>
      </c>
    </row>
    <row r="81">
      <c r="A81" s="18" t="inlineStr">
        <is>
          <t>감가상각누계액</t>
        </is>
      </c>
      <c r="C81" s="20" t="n">
        <v>-4306.709</v>
      </c>
      <c r="D81" s="20" t="n">
        <v>-4350.422</v>
      </c>
      <c r="E81" s="20" t="n">
        <v>-4416.734</v>
      </c>
      <c r="F81" s="20" t="n">
        <v>-4458.457</v>
      </c>
      <c r="G81" s="20" t="n">
        <v>-4504.984</v>
      </c>
      <c r="H81" s="20" t="n">
        <v>-4024.616</v>
      </c>
      <c r="I81" s="20" t="n">
        <v>-4147.967</v>
      </c>
      <c r="J81" s="20" t="n">
        <v>-4289.35</v>
      </c>
      <c r="K81" s="20" t="n">
        <v>-4458.457</v>
      </c>
    </row>
    <row r="82">
      <c r="A82" s="18" t="inlineStr">
        <is>
          <t>건물·구축물(순액)</t>
        </is>
      </c>
      <c r="C82" s="20" t="n">
        <v>1889.836</v>
      </c>
      <c r="D82" s="20" t="n">
        <v>1861.476</v>
      </c>
      <c r="E82" s="20" t="n">
        <v>1967.066</v>
      </c>
      <c r="F82" s="20" t="n">
        <v>1984.014</v>
      </c>
      <c r="G82" s="20" t="n">
        <v>1948.979</v>
      </c>
      <c r="H82" s="20" t="n">
        <v>2137.601</v>
      </c>
      <c r="I82" s="20" t="n">
        <v>2023.658</v>
      </c>
      <c r="J82" s="20" t="n">
        <v>1915.352</v>
      </c>
      <c r="K82" s="20" t="n">
        <v>1984.014</v>
      </c>
    </row>
    <row r="83">
      <c r="A83" s="18" t="inlineStr">
        <is>
          <t>기계장치·운반구</t>
        </is>
      </c>
      <c r="C83" s="20" t="n">
        <v>3517.938</v>
      </c>
      <c r="D83" s="20" t="n">
        <v>3574.549</v>
      </c>
      <c r="E83" s="20" t="n">
        <v>3753.131</v>
      </c>
      <c r="F83" s="20" t="n">
        <v>3809.659</v>
      </c>
      <c r="G83" s="20" t="n">
        <v>3849.137</v>
      </c>
      <c r="H83" s="20" t="n">
        <v>3253.98</v>
      </c>
      <c r="I83" s="20" t="n">
        <v>3410.613</v>
      </c>
      <c r="J83" s="20" t="n">
        <v>3540.732</v>
      </c>
      <c r="K83" s="20" t="n">
        <v>3809.659</v>
      </c>
    </row>
    <row r="84">
      <c r="A84" s="18" t="inlineStr">
        <is>
          <t>감가상각누계액</t>
        </is>
      </c>
      <c r="C84" s="20" t="n">
        <v>-3221.779</v>
      </c>
      <c r="D84" s="20" t="n">
        <v>-3294.394</v>
      </c>
      <c r="E84" s="20" t="n">
        <v>-3475.803</v>
      </c>
      <c r="F84" s="20" t="n">
        <v>-3540.312</v>
      </c>
      <c r="G84" s="20" t="n">
        <v>-3583.344</v>
      </c>
      <c r="H84" s="20" t="n">
        <v>-2945.906</v>
      </c>
      <c r="I84" s="20" t="n">
        <v>-3139.11</v>
      </c>
      <c r="J84" s="20" t="n">
        <v>-3237.671</v>
      </c>
      <c r="K84" s="20" t="n">
        <v>-3540.312</v>
      </c>
    </row>
    <row r="85">
      <c r="A85" s="18" t="inlineStr">
        <is>
          <t>기계장치·운반구(순액)</t>
        </is>
      </c>
      <c r="C85" s="20" t="n">
        <v>296.158</v>
      </c>
      <c r="D85" s="20" t="n">
        <v>280.154</v>
      </c>
      <c r="E85" s="20" t="n">
        <v>277.327</v>
      </c>
      <c r="F85" s="20" t="n">
        <v>269.347</v>
      </c>
      <c r="G85" s="20" t="n">
        <v>265.792</v>
      </c>
      <c r="H85" s="20" t="n">
        <v>308.074</v>
      </c>
      <c r="I85" s="20" t="n">
        <v>271.503</v>
      </c>
      <c r="J85" s="20" t="n">
        <v>303.06</v>
      </c>
      <c r="K85" s="20" t="n">
        <v>269.347</v>
      </c>
    </row>
    <row r="86">
      <c r="A86" s="18" t="inlineStr">
        <is>
          <t>토지</t>
        </is>
      </c>
      <c r="C86" s="20" t="n">
        <v>1570.022</v>
      </c>
      <c r="D86" s="20" t="n">
        <v>1570.022</v>
      </c>
      <c r="E86" s="20" t="n">
        <v>1570.022</v>
      </c>
      <c r="F86" s="20" t="n">
        <v>1570.022</v>
      </c>
      <c r="G86" s="20" t="n">
        <v>1570.022</v>
      </c>
      <c r="H86" s="20" t="n">
        <v>1588.784</v>
      </c>
      <c r="I86" s="20" t="n">
        <v>1570.022</v>
      </c>
      <c r="J86" s="20" t="n">
        <v>1570.022</v>
      </c>
      <c r="K86" s="20" t="n">
        <v>1570.022</v>
      </c>
    </row>
    <row r="87">
      <c r="A87" s="18" t="inlineStr">
        <is>
          <t>건설중인자산</t>
        </is>
      </c>
      <c r="C87" s="20" t="n">
        <v>56.104</v>
      </c>
      <c r="D87" s="20" t="n">
        <v>90.261</v>
      </c>
      <c r="E87" s="20" t="n">
        <v>45.644</v>
      </c>
      <c r="F87" s="20" t="n">
        <v>30.095</v>
      </c>
      <c r="G87" s="20" t="n">
        <v>117.566</v>
      </c>
      <c r="H87" s="20" t="n">
        <v>160.051</v>
      </c>
      <c r="I87" s="20" t="n">
        <v>175.267</v>
      </c>
      <c r="J87" s="20" t="n">
        <v>42.688</v>
      </c>
      <c r="K87" s="20" t="n">
        <v>30.095</v>
      </c>
    </row>
    <row r="88">
      <c r="A88" s="18" t="inlineStr">
        <is>
          <t>기타</t>
        </is>
      </c>
      <c r="C88" s="20" t="n">
        <v>3172.541</v>
      </c>
      <c r="D88" s="20" t="n">
        <v>3187.509</v>
      </c>
      <c r="E88" s="20" t="n">
        <v>3204.698</v>
      </c>
      <c r="F88" s="20" t="n">
        <v>3254.191</v>
      </c>
      <c r="G88" s="20" t="n">
        <v>3247.537</v>
      </c>
      <c r="H88" s="20" t="n">
        <v>3037.857</v>
      </c>
      <c r="I88" s="20" t="n">
        <v>3090.726</v>
      </c>
      <c r="J88" s="20" t="n">
        <v>3266.826</v>
      </c>
      <c r="K88" s="20" t="n">
        <v>3254.191</v>
      </c>
    </row>
    <row r="89">
      <c r="A89" s="18" t="inlineStr">
        <is>
          <t>감가상각누계액</t>
        </is>
      </c>
      <c r="C89" s="20" t="n">
        <v>-2873.047</v>
      </c>
      <c r="D89" s="20" t="n">
        <v>-2885.692</v>
      </c>
      <c r="E89" s="20" t="n">
        <v>-2894.407</v>
      </c>
      <c r="F89" s="20" t="n">
        <v>-2940.799</v>
      </c>
      <c r="G89" s="20" t="n">
        <v>-2960.357</v>
      </c>
      <c r="H89" s="20" t="n">
        <v>-2787.994</v>
      </c>
      <c r="I89" s="20" t="n">
        <v>-2826.488</v>
      </c>
      <c r="J89" s="20" t="n">
        <v>-2876.552</v>
      </c>
      <c r="K89" s="20" t="n">
        <v>-2940.799</v>
      </c>
    </row>
    <row r="90">
      <c r="A90" s="18" t="inlineStr">
        <is>
          <t>기타(순액)</t>
        </is>
      </c>
      <c r="C90" s="20" t="n">
        <v>299.493</v>
      </c>
      <c r="D90" s="20" t="n">
        <v>301.816</v>
      </c>
      <c r="E90" s="20" t="n">
        <v>310.29</v>
      </c>
      <c r="F90" s="20" t="n">
        <v>313.392</v>
      </c>
      <c r="G90" s="20" t="n">
        <v>287.179</v>
      </c>
      <c r="H90" s="20" t="n">
        <v>249.863</v>
      </c>
      <c r="I90" s="20" t="n">
        <v>264.237</v>
      </c>
      <c r="J90" s="20" t="n">
        <v>390.273</v>
      </c>
      <c r="K90" s="20" t="n">
        <v>313.392</v>
      </c>
    </row>
    <row r="91">
      <c r="A91" s="18" t="inlineStr">
        <is>
          <t>유형자산 합계</t>
        </is>
      </c>
      <c r="C91" s="20" t="n">
        <v>4111.615</v>
      </c>
      <c r="D91" s="20" t="n">
        <v>4103.731</v>
      </c>
      <c r="E91" s="20" t="n">
        <v>4170.351</v>
      </c>
      <c r="F91" s="20" t="n">
        <v>4166.872</v>
      </c>
      <c r="G91" s="20" t="n">
        <v>4189.54</v>
      </c>
      <c r="H91" s="20" t="n">
        <v>4444.374</v>
      </c>
      <c r="I91" s="20" t="n">
        <v>4304.689</v>
      </c>
      <c r="J91" s="20" t="n">
        <v>4221.397</v>
      </c>
      <c r="K91" s="20" t="n">
        <v>4166.872</v>
      </c>
    </row>
    <row r="92">
      <c r="A92" s="18" t="inlineStr">
        <is>
          <t>영업권</t>
        </is>
      </c>
      <c r="C92" s="20" t="n">
        <v>739.574</v>
      </c>
      <c r="D92" s="20" t="n">
        <v>698.487</v>
      </c>
      <c r="E92" s="20" t="n">
        <v>657.399</v>
      </c>
      <c r="F92" s="20" t="n">
        <v>616.312</v>
      </c>
      <c r="G92" s="20" t="n">
        <v>575.224</v>
      </c>
      <c r="H92" s="20" t="n">
        <v>1528.517</v>
      </c>
      <c r="I92" s="20" t="n">
        <v>1287.957</v>
      </c>
      <c r="J92" s="20" t="n">
        <v>905.647</v>
      </c>
      <c r="K92" s="20" t="n">
        <v>616.312</v>
      </c>
    </row>
    <row r="93">
      <c r="A93" s="18" t="inlineStr">
        <is>
          <t>기타</t>
        </is>
      </c>
      <c r="C93" s="20" t="n">
        <v>1084.655</v>
      </c>
      <c r="D93" s="20" t="n">
        <v>1079.441</v>
      </c>
      <c r="E93" s="20" t="n">
        <v>1054.846</v>
      </c>
      <c r="F93" s="20" t="n">
        <v>1102.884</v>
      </c>
      <c r="G93" s="20" t="n">
        <v>1071.477</v>
      </c>
      <c r="H93" s="20" t="n">
        <v>686.152</v>
      </c>
      <c r="I93" s="20" t="n">
        <v>818.8920000000001</v>
      </c>
      <c r="J93" s="20" t="n">
        <v>1126.433</v>
      </c>
      <c r="K93" s="20" t="n">
        <v>1102.884</v>
      </c>
    </row>
    <row r="94">
      <c r="A94" s="18" t="inlineStr">
        <is>
          <t>무형자산 합계</t>
        </is>
      </c>
      <c r="C94" s="20" t="n">
        <v>1824.23</v>
      </c>
      <c r="D94" s="20" t="n">
        <v>1777.928</v>
      </c>
      <c r="E94" s="20" t="n">
        <v>1712.246</v>
      </c>
      <c r="F94" s="20" t="n">
        <v>1719.196</v>
      </c>
      <c r="G94" s="20" t="n">
        <v>1646.702</v>
      </c>
      <c r="H94" s="20" t="n">
        <v>2214.67</v>
      </c>
      <c r="I94" s="20" t="n">
        <v>2106.85</v>
      </c>
      <c r="J94" s="20" t="n">
        <v>2032.081</v>
      </c>
      <c r="K94" s="20" t="n">
        <v>1719.196</v>
      </c>
    </row>
    <row r="95">
      <c r="A95" s="18" t="inlineStr">
        <is>
          <t>투자유가증권</t>
        </is>
      </c>
      <c r="C95" s="20" t="n">
        <v>2977.8</v>
      </c>
      <c r="D95" s="20" t="n">
        <v>3600.556</v>
      </c>
      <c r="E95" s="20" t="n">
        <v>3978.663</v>
      </c>
      <c r="F95" s="20" t="n">
        <v>4222.112</v>
      </c>
      <c r="G95" s="20" t="n">
        <v>4103.598</v>
      </c>
      <c r="H95" s="20" t="n">
        <v>2893.347</v>
      </c>
      <c r="I95" s="20" t="n">
        <v>3239.4</v>
      </c>
      <c r="J95" s="20" t="n">
        <v>3185.057</v>
      </c>
      <c r="K95" s="20" t="n">
        <v>4222.112</v>
      </c>
    </row>
    <row r="96">
      <c r="A96" s="18" t="inlineStr">
        <is>
          <t>퇴직급여자산</t>
        </is>
      </c>
      <c r="C96" s="20" t="n">
        <v>1866.257</v>
      </c>
      <c r="D96" s="20" t="n">
        <v>1898.529</v>
      </c>
      <c r="E96" s="20" t="n">
        <v>1930.42</v>
      </c>
      <c r="F96" s="20" t="n">
        <v>1961.696</v>
      </c>
      <c r="G96" s="20" t="n">
        <v>2395.627</v>
      </c>
      <c r="H96" s="20" t="n">
        <v>1388.167</v>
      </c>
      <c r="I96" s="20" t="n">
        <v>1600.218</v>
      </c>
      <c r="J96" s="20" t="n">
        <v>1882.38</v>
      </c>
      <c r="K96" s="20" t="n">
        <v>1961.696</v>
      </c>
    </row>
    <row r="97">
      <c r="A97" s="18" t="inlineStr">
        <is>
          <t>이연법인세자산</t>
        </is>
      </c>
      <c r="C97" s="20" t="n">
        <v>183.265</v>
      </c>
      <c r="D97" s="20" t="n">
        <v>187.225</v>
      </c>
      <c r="E97" s="20" t="n">
        <v>202.465</v>
      </c>
      <c r="F97" s="20" t="n">
        <v>188.795</v>
      </c>
      <c r="G97" s="20" t="n">
        <v>216.289</v>
      </c>
      <c r="H97" s="20" t="n">
        <v>253.674</v>
      </c>
      <c r="I97" s="20" t="n">
        <v>221.475</v>
      </c>
      <c r="J97" s="20" t="n">
        <v>149.039</v>
      </c>
      <c r="K97" s="20" t="n">
        <v>188.795</v>
      </c>
    </row>
    <row r="98">
      <c r="A98" s="18" t="inlineStr">
        <is>
          <t>기타</t>
        </is>
      </c>
      <c r="C98" s="20" t="n">
        <v>487.753</v>
      </c>
      <c r="D98" s="20" t="n">
        <v>479.555</v>
      </c>
      <c r="E98" s="20" t="n">
        <v>487.665</v>
      </c>
      <c r="F98" s="20" t="n">
        <v>499.259</v>
      </c>
      <c r="G98" s="20" t="n">
        <v>496.133</v>
      </c>
      <c r="H98" s="20" t="n">
        <v>416.242</v>
      </c>
      <c r="I98" s="20" t="n">
        <v>454.827</v>
      </c>
      <c r="J98" s="20" t="n">
        <v>495.224</v>
      </c>
      <c r="K98" s="20" t="n">
        <v>499.259</v>
      </c>
    </row>
    <row r="99">
      <c r="A99" s="18" t="inlineStr">
        <is>
          <t>대손충당금</t>
        </is>
      </c>
      <c r="C99" s="20" t="n">
        <v>-1.199</v>
      </c>
      <c r="D99" s="20" t="n">
        <v>-1.831</v>
      </c>
      <c r="E99" s="20" t="n">
        <v>-1.849</v>
      </c>
      <c r="F99" s="20" t="n">
        <v>-1.914</v>
      </c>
      <c r="G99" s="20" t="n">
        <v>-1.272</v>
      </c>
      <c r="H99" s="20" t="n">
        <v>-2.109</v>
      </c>
      <c r="I99" s="20" t="n">
        <v>-1.224</v>
      </c>
      <c r="J99" s="20" t="n">
        <v>-1.26</v>
      </c>
      <c r="K99" s="20" t="n">
        <v>-1.914</v>
      </c>
    </row>
    <row r="100">
      <c r="A100" s="18" t="inlineStr">
        <is>
          <t>투자 및 기타자산 합계</t>
        </is>
      </c>
      <c r="C100" s="20" t="n">
        <v>5513.877</v>
      </c>
      <c r="D100" s="20" t="n">
        <v>6164.035</v>
      </c>
      <c r="E100" s="20" t="n">
        <v>6597.365</v>
      </c>
      <c r="F100" s="20" t="n">
        <v>6869.949</v>
      </c>
      <c r="G100" s="20" t="n">
        <v>7210.375</v>
      </c>
      <c r="H100" s="20" t="n">
        <v>4949.323</v>
      </c>
      <c r="I100" s="20" t="n">
        <v>5514.697</v>
      </c>
      <c r="J100" s="20" t="n">
        <v>5710.441</v>
      </c>
      <c r="K100" s="20" t="n">
        <v>6869.949</v>
      </c>
    </row>
    <row r="101">
      <c r="A101" s="9" t="inlineStr">
        <is>
          <t>비유동자산 합계</t>
        </is>
      </c>
      <c r="C101" s="12" t="n">
        <v>11449.723</v>
      </c>
      <c r="D101" s="12" t="n">
        <v>12045.696</v>
      </c>
      <c r="E101" s="12" t="n">
        <v>12479.963</v>
      </c>
      <c r="F101" s="12" t="n">
        <v>12756.019</v>
      </c>
      <c r="G101" s="12" t="n">
        <v>13046.618</v>
      </c>
      <c r="H101" s="12" t="n">
        <v>11608.368</v>
      </c>
      <c r="I101" s="12" t="n">
        <v>11926.237</v>
      </c>
      <c r="J101" s="12" t="n">
        <v>11963.919</v>
      </c>
      <c r="K101" s="12" t="n">
        <v>12756.019</v>
      </c>
    </row>
    <row r="102">
      <c r="A102" s="9" t="inlineStr">
        <is>
          <t>자산 합계</t>
        </is>
      </c>
      <c r="C102" s="12" t="n">
        <v>35513.167</v>
      </c>
      <c r="D102" s="12" t="n">
        <v>36375.317</v>
      </c>
      <c r="E102" s="12" t="n">
        <v>37963.515</v>
      </c>
      <c r="F102" s="12" t="n">
        <v>38839.871</v>
      </c>
      <c r="G102" s="12" t="n">
        <v>37352.086</v>
      </c>
      <c r="H102" s="12" t="n">
        <v>37966.175</v>
      </c>
      <c r="I102" s="12" t="n">
        <v>38550.983</v>
      </c>
      <c r="J102" s="12" t="n">
        <v>38311.785</v>
      </c>
      <c r="K102" s="12" t="n">
        <v>38839.871</v>
      </c>
    </row>
    <row r="103">
      <c r="A103" s="18" t="inlineStr">
        <is>
          <t>지급어음·매입채무</t>
        </is>
      </c>
      <c r="C103" s="20" t="n">
        <v>1140.419</v>
      </c>
      <c r="D103" s="20" t="n">
        <v>1376.193</v>
      </c>
      <c r="E103" s="20" t="n">
        <v>1391.589</v>
      </c>
      <c r="F103" s="20" t="n">
        <v>1296.677</v>
      </c>
      <c r="G103" s="20" t="n">
        <v>1311.242</v>
      </c>
      <c r="H103" s="20" t="n">
        <v>1736.058</v>
      </c>
      <c r="I103" s="20" t="n">
        <v>1401.556</v>
      </c>
      <c r="J103" s="20" t="n">
        <v>1702.479</v>
      </c>
      <c r="K103" s="20" t="n">
        <v>1296.677</v>
      </c>
    </row>
    <row r="104">
      <c r="A104" s="18" t="inlineStr">
        <is>
          <t>단기차입금</t>
        </is>
      </c>
      <c r="C104" s="20" t="n">
        <v>4540</v>
      </c>
      <c r="D104" s="20" t="n">
        <v>5270</v>
      </c>
      <c r="E104" s="20" t="n">
        <v>5800</v>
      </c>
      <c r="F104" s="20" t="n">
        <v>6230</v>
      </c>
      <c r="G104" s="20" t="n">
        <v>3500</v>
      </c>
      <c r="H104" s="20" t="n">
        <v>5660</v>
      </c>
      <c r="I104" s="20" t="n">
        <v>6100</v>
      </c>
      <c r="J104" s="20" t="n">
        <v>6440</v>
      </c>
      <c r="K104" s="20" t="n">
        <v>6230</v>
      </c>
    </row>
    <row r="105">
      <c r="A105" s="18" t="inlineStr">
        <is>
          <t>1년 내 상환 장기차입금</t>
        </is>
      </c>
      <c r="C105" s="20" t="n">
        <v>437.806</v>
      </c>
      <c r="D105" s="20" t="n">
        <v>599.2329999999999</v>
      </c>
      <c r="E105" s="20" t="n">
        <v>437.806</v>
      </c>
      <c r="F105" s="20" t="n">
        <v>600.003</v>
      </c>
      <c r="G105" s="20" t="n">
        <v>437.806</v>
      </c>
      <c r="H105" s="20" t="n">
        <v>451.89</v>
      </c>
      <c r="I105" s="20" t="n">
        <v>650.316</v>
      </c>
      <c r="J105" s="20" t="n">
        <v>599.2329999999999</v>
      </c>
      <c r="K105" s="20" t="n">
        <v>600.003</v>
      </c>
    </row>
    <row r="106">
      <c r="A106" s="18" t="inlineStr">
        <is>
          <t>미지급법인세</t>
        </is>
      </c>
      <c r="C106" s="20" t="n">
        <v>254.476</v>
      </c>
      <c r="D106" s="20" t="n">
        <v>89.389</v>
      </c>
      <c r="E106" s="20" t="n">
        <v>200.984</v>
      </c>
      <c r="F106" s="20" t="n">
        <v>143.933</v>
      </c>
      <c r="G106" s="20" t="n">
        <v>388.614</v>
      </c>
      <c r="H106" s="20" t="n">
        <v>81.374</v>
      </c>
      <c r="I106" s="20" t="n">
        <v>116.768</v>
      </c>
      <c r="J106" s="20" t="n">
        <v>148.871</v>
      </c>
      <c r="K106" s="20" t="n">
        <v>143.933</v>
      </c>
    </row>
    <row r="107">
      <c r="A107" s="18" t="inlineStr">
        <is>
          <t>미지급금</t>
        </is>
      </c>
      <c r="C107" s="20" t="n">
        <v>759.4640000000001</v>
      </c>
      <c r="D107" s="20" t="n">
        <v>723.082</v>
      </c>
      <c r="E107" s="20" t="n">
        <v>729.617</v>
      </c>
      <c r="F107" s="20" t="n">
        <v>757.274</v>
      </c>
      <c r="G107" s="20" t="n">
        <v>726.973</v>
      </c>
      <c r="H107" s="20" t="n">
        <v>775.63</v>
      </c>
      <c r="I107" s="20" t="n">
        <v>720.395</v>
      </c>
      <c r="J107" s="20" t="n">
        <v>791.967</v>
      </c>
      <c r="K107" s="20" t="n">
        <v>757.274</v>
      </c>
    </row>
    <row r="108">
      <c r="A108" s="18" t="inlineStr">
        <is>
          <t>계약부채</t>
        </is>
      </c>
      <c r="C108" s="20" t="n">
        <v>31.342</v>
      </c>
      <c r="D108" s="20" t="n">
        <v>24.356</v>
      </c>
      <c r="E108" s="20" t="n">
        <v>30.127</v>
      </c>
      <c r="F108" s="20" t="n">
        <v>42.911</v>
      </c>
      <c r="G108" s="20" t="n">
        <v>58.509</v>
      </c>
      <c r="H108" s="20" t="n">
        <v>37.934</v>
      </c>
      <c r="I108" s="20" t="n">
        <v>48.335</v>
      </c>
      <c r="J108" s="20" t="n">
        <v>49.691</v>
      </c>
      <c r="K108" s="20" t="n">
        <v>42.911</v>
      </c>
    </row>
    <row r="109">
      <c r="A109" s="18" t="inlineStr">
        <is>
          <t>임원 상여충당금</t>
        </is>
      </c>
      <c r="C109" s="20" t="n">
        <v>6.222</v>
      </c>
      <c r="D109" s="20" t="n">
        <v>1</v>
      </c>
      <c r="E109" s="20" t="n">
        <v>5.946</v>
      </c>
      <c r="F109" s="20" t="n">
        <v>10.893</v>
      </c>
      <c r="G109" s="20" t="n">
        <v>11.839</v>
      </c>
      <c r="H109" s="20" t="n">
        <v>14.218</v>
      </c>
      <c r="I109" s="20" t="n">
        <v>9.840999999999999</v>
      </c>
      <c r="J109" s="20" t="n">
        <v>6.398</v>
      </c>
      <c r="K109" s="20" t="n">
        <v>10.893</v>
      </c>
    </row>
    <row r="110">
      <c r="A110" s="18" t="inlineStr">
        <is>
          <t>주주우대 충당금</t>
        </is>
      </c>
      <c r="C110" s="20" t="n">
        <v>37.532</v>
      </c>
      <c r="D110" s="20" t="n">
        <v>37.532</v>
      </c>
      <c r="E110" s="20" t="n">
        <v>17.901</v>
      </c>
      <c r="F110" s="20" t="n">
        <v>6.064</v>
      </c>
      <c r="G110" s="20" t="n">
        <v>42.167</v>
      </c>
      <c r="K110" s="20" t="n">
        <v>6.064</v>
      </c>
    </row>
    <row r="111">
      <c r="A111" s="18" t="inlineStr">
        <is>
          <t>자산복구부채</t>
        </is>
      </c>
      <c r="C111" s="20" t="n">
        <v>0</v>
      </c>
      <c r="G111" s="20" t="n">
        <v>15</v>
      </c>
    </row>
    <row r="112">
      <c r="A112" s="18" t="inlineStr">
        <is>
          <t>기타</t>
        </is>
      </c>
      <c r="C112" s="20" t="n">
        <v>1003.193</v>
      </c>
      <c r="D112" s="20" t="n">
        <v>1035.1</v>
      </c>
      <c r="E112" s="20" t="n">
        <v>1050.659</v>
      </c>
      <c r="F112" s="20" t="n">
        <v>1175.819</v>
      </c>
      <c r="G112" s="20" t="n">
        <v>1184.228</v>
      </c>
      <c r="H112" s="20" t="n">
        <v>979.747</v>
      </c>
      <c r="I112" s="20" t="n">
        <v>1121.035</v>
      </c>
      <c r="J112" s="20" t="n">
        <v>1058.033</v>
      </c>
      <c r="K112" s="20" t="n">
        <v>1175.819</v>
      </c>
    </row>
    <row r="113">
      <c r="A113" s="9" t="inlineStr">
        <is>
          <t>유동부채 합계</t>
        </is>
      </c>
      <c r="C113" s="12" t="n">
        <v>8210.456</v>
      </c>
      <c r="D113" s="12" t="n">
        <v>9155.888000000001</v>
      </c>
      <c r="E113" s="12" t="n">
        <v>9664.630999999999</v>
      </c>
      <c r="F113" s="12" t="n">
        <v>10263.576</v>
      </c>
      <c r="G113" s="12" t="n">
        <v>7676.381</v>
      </c>
      <c r="H113" s="12" t="n">
        <v>9736.853999999999</v>
      </c>
      <c r="I113" s="12" t="n">
        <v>10168.248</v>
      </c>
      <c r="J113" s="12" t="n">
        <v>10796.674</v>
      </c>
      <c r="K113" s="12" t="n">
        <v>10263.576</v>
      </c>
    </row>
    <row r="114">
      <c r="A114" s="18" t="inlineStr">
        <is>
          <t>장기차입금</t>
        </is>
      </c>
      <c r="C114" s="20" t="n">
        <v>1300.482</v>
      </c>
      <c r="D114" s="20" t="n">
        <v>1083.889</v>
      </c>
      <c r="E114" s="20" t="n">
        <v>1081.579</v>
      </c>
      <c r="F114" s="20" t="n">
        <v>864.986</v>
      </c>
      <c r="G114" s="20" t="n">
        <v>862.676</v>
      </c>
      <c r="H114" s="20" t="n">
        <v>2322.347</v>
      </c>
      <c r="I114" s="20" t="n">
        <v>1740.598</v>
      </c>
      <c r="J114" s="20" t="n">
        <v>1302.792</v>
      </c>
      <c r="K114" s="20" t="n">
        <v>864.986</v>
      </c>
    </row>
    <row r="115">
      <c r="A115" s="18" t="inlineStr">
        <is>
          <t>이연법인세부채</t>
        </is>
      </c>
      <c r="C115" s="20" t="n">
        <v>948.343</v>
      </c>
      <c r="D115" s="20" t="n">
        <v>1081.124</v>
      </c>
      <c r="E115" s="20" t="n">
        <v>1282.653</v>
      </c>
      <c r="F115" s="20" t="n">
        <v>1381.994</v>
      </c>
      <c r="G115" s="20" t="n">
        <v>1504.45</v>
      </c>
      <c r="H115" s="20" t="n">
        <v>747.229</v>
      </c>
      <c r="I115" s="20" t="n">
        <v>927.311</v>
      </c>
      <c r="J115" s="20" t="n">
        <v>986.615</v>
      </c>
      <c r="K115" s="20" t="n">
        <v>1381.994</v>
      </c>
    </row>
    <row r="116">
      <c r="A116" s="18" t="inlineStr">
        <is>
          <t>퇴직급여부채</t>
        </is>
      </c>
      <c r="C116" s="20" t="n">
        <v>515.723</v>
      </c>
      <c r="D116" s="20" t="n">
        <v>531.528</v>
      </c>
      <c r="E116" s="20" t="n">
        <v>556.409</v>
      </c>
      <c r="F116" s="20" t="n">
        <v>567.4109999999999</v>
      </c>
      <c r="G116" s="20" t="n">
        <v>549.2910000000001</v>
      </c>
      <c r="H116" s="20" t="n">
        <v>508.01</v>
      </c>
      <c r="I116" s="20" t="n">
        <v>487.234</v>
      </c>
      <c r="J116" s="20" t="n">
        <v>500.154</v>
      </c>
      <c r="K116" s="20" t="n">
        <v>567.4109999999999</v>
      </c>
    </row>
    <row r="117">
      <c r="A117" s="18" t="inlineStr">
        <is>
          <t>자산복구부채</t>
        </is>
      </c>
      <c r="C117" s="20" t="n">
        <v>41.353</v>
      </c>
      <c r="D117" s="20" t="n">
        <v>41.983</v>
      </c>
      <c r="E117" s="20" t="n">
        <v>43.724</v>
      </c>
      <c r="F117" s="20" t="n">
        <v>45.024</v>
      </c>
      <c r="G117" s="20" t="n">
        <v>49.315</v>
      </c>
      <c r="H117" s="20" t="n">
        <v>31.259</v>
      </c>
      <c r="I117" s="20" t="n">
        <v>32.007</v>
      </c>
      <c r="J117" s="20" t="n">
        <v>36.749</v>
      </c>
      <c r="K117" s="20" t="n">
        <v>45.024</v>
      </c>
    </row>
    <row r="118">
      <c r="A118" s="18" t="inlineStr">
        <is>
          <t>기타</t>
        </is>
      </c>
      <c r="C118" s="20" t="n">
        <v>444.518</v>
      </c>
      <c r="D118" s="20" t="n">
        <v>450.982</v>
      </c>
      <c r="E118" s="20" t="n">
        <v>460.981</v>
      </c>
      <c r="F118" s="20" t="n">
        <v>471.129</v>
      </c>
      <c r="G118" s="20" t="n">
        <v>477.277</v>
      </c>
      <c r="H118" s="20" t="n">
        <v>356.653</v>
      </c>
      <c r="I118" s="20" t="n">
        <v>397.022</v>
      </c>
      <c r="J118" s="20" t="n">
        <v>436.482</v>
      </c>
      <c r="K118" s="20" t="n">
        <v>471.129</v>
      </c>
    </row>
    <row r="119">
      <c r="A119" s="9" t="inlineStr">
        <is>
          <t>비유동부채 합계</t>
        </is>
      </c>
      <c r="C119" s="12" t="n">
        <v>3250.422</v>
      </c>
      <c r="D119" s="12" t="n">
        <v>3189.507</v>
      </c>
      <c r="E119" s="12" t="n">
        <v>3425.348</v>
      </c>
      <c r="F119" s="12" t="n">
        <v>3330.546</v>
      </c>
      <c r="G119" s="12" t="n">
        <v>3443.01</v>
      </c>
      <c r="H119" s="12" t="n">
        <v>3965.5</v>
      </c>
      <c r="I119" s="12" t="n">
        <v>3584.173</v>
      </c>
      <c r="J119" s="12" t="n">
        <v>3262.793</v>
      </c>
      <c r="K119" s="12" t="n">
        <v>3330.546</v>
      </c>
    </row>
    <row r="120">
      <c r="A120" s="9" t="inlineStr">
        <is>
          <t>부채 합계</t>
        </is>
      </c>
      <c r="C120" s="12" t="n">
        <v>11460.879</v>
      </c>
      <c r="D120" s="12" t="n">
        <v>12345.396</v>
      </c>
      <c r="E120" s="12" t="n">
        <v>13089.979</v>
      </c>
      <c r="F120" s="12" t="n">
        <v>13594.122</v>
      </c>
      <c r="G120" s="12" t="n">
        <v>11119.391</v>
      </c>
      <c r="H120" s="12" t="n">
        <v>13702.354</v>
      </c>
      <c r="I120" s="12" t="n">
        <v>13752.422</v>
      </c>
      <c r="J120" s="12" t="n">
        <v>14059.468</v>
      </c>
      <c r="K120" s="12" t="n">
        <v>13594.122</v>
      </c>
    </row>
    <row r="121">
      <c r="A121" s="18" t="inlineStr">
        <is>
          <t>자본금</t>
        </is>
      </c>
      <c r="C121" s="20" t="n">
        <v>1978.69</v>
      </c>
      <c r="D121" s="20" t="n">
        <v>1978.69</v>
      </c>
      <c r="E121" s="20" t="n">
        <v>1978.69</v>
      </c>
      <c r="F121" s="20" t="n">
        <v>1978.69</v>
      </c>
      <c r="G121" s="20" t="n">
        <v>1978.69</v>
      </c>
      <c r="H121" s="20" t="n">
        <v>1978.69</v>
      </c>
      <c r="I121" s="20" t="n">
        <v>1978.69</v>
      </c>
      <c r="J121" s="20" t="n">
        <v>1978.69</v>
      </c>
      <c r="K121" s="20" t="n">
        <v>1978.69</v>
      </c>
    </row>
    <row r="122">
      <c r="A122" s="18" t="inlineStr">
        <is>
          <t>자본잉여금</t>
        </is>
      </c>
      <c r="C122" s="20" t="n">
        <v>1717.975</v>
      </c>
      <c r="D122" s="20" t="n">
        <v>1717.975</v>
      </c>
      <c r="E122" s="20" t="n">
        <v>1717.704</v>
      </c>
      <c r="F122" s="20" t="n">
        <v>1717.704</v>
      </c>
      <c r="G122" s="20" t="n">
        <v>1717.704</v>
      </c>
      <c r="H122" s="20" t="n">
        <v>1718.67</v>
      </c>
      <c r="I122" s="20" t="n">
        <v>1718.919</v>
      </c>
      <c r="J122" s="20" t="n">
        <v>1717.975</v>
      </c>
      <c r="K122" s="20" t="n">
        <v>1717.704</v>
      </c>
    </row>
    <row r="123">
      <c r="A123" s="18" t="inlineStr">
        <is>
          <t>이익잉여금</t>
        </is>
      </c>
      <c r="C123" s="20" t="n">
        <v>21593.605</v>
      </c>
      <c r="D123" s="20" t="n">
        <v>21097.779</v>
      </c>
      <c r="E123" s="20" t="n">
        <v>21423.05</v>
      </c>
      <c r="F123" s="20" t="n">
        <v>21547.117</v>
      </c>
      <c r="G123" s="20" t="n">
        <v>22198.821</v>
      </c>
      <c r="H123" s="20" t="n">
        <v>21925.214</v>
      </c>
      <c r="I123" s="20" t="n">
        <v>21806.379</v>
      </c>
      <c r="J123" s="20" t="n">
        <v>21557.382</v>
      </c>
      <c r="K123" s="20" t="n">
        <v>21547.117</v>
      </c>
    </row>
    <row r="124">
      <c r="A124" s="18" t="inlineStr">
        <is>
          <t>자기주식</t>
        </is>
      </c>
      <c r="C124" s="20" t="n">
        <v>-2947.298</v>
      </c>
      <c r="D124" s="20" t="n">
        <v>-2947.298</v>
      </c>
      <c r="E124" s="20" t="n">
        <v>-2917.261</v>
      </c>
      <c r="F124" s="20" t="n">
        <v>-2917.261</v>
      </c>
      <c r="G124" s="20" t="n">
        <v>-2917.261</v>
      </c>
      <c r="H124" s="20" t="n">
        <v>-2587.278</v>
      </c>
      <c r="I124" s="20" t="n">
        <v>-2559.762</v>
      </c>
      <c r="J124" s="20" t="n">
        <v>-2947.298</v>
      </c>
      <c r="K124" s="20" t="n">
        <v>-2917.261</v>
      </c>
    </row>
    <row r="125">
      <c r="A125" s="9" t="inlineStr">
        <is>
          <t>주주자본 합계</t>
        </is>
      </c>
      <c r="C125" s="12" t="n">
        <v>22342.973</v>
      </c>
      <c r="D125" s="12" t="n">
        <v>21847.147</v>
      </c>
      <c r="E125" s="12" t="n">
        <v>22202.184</v>
      </c>
      <c r="F125" s="12" t="n">
        <v>22326.251</v>
      </c>
      <c r="G125" s="12" t="n">
        <v>22977.955</v>
      </c>
      <c r="H125" s="12" t="n">
        <v>23035.296</v>
      </c>
      <c r="I125" s="12" t="n">
        <v>22944.227</v>
      </c>
      <c r="J125" s="12" t="n">
        <v>22306.75</v>
      </c>
      <c r="K125" s="12" t="n">
        <v>22326.251</v>
      </c>
    </row>
    <row r="126">
      <c r="A126" s="18" t="inlineStr">
        <is>
          <t>기타유가증권 평가차액</t>
        </is>
      </c>
      <c r="C126" s="20" t="n">
        <v>1085.534</v>
      </c>
      <c r="D126" s="20" t="n">
        <v>1511.881</v>
      </c>
      <c r="E126" s="20" t="n">
        <v>1770.662</v>
      </c>
      <c r="F126" s="20" t="n">
        <v>1937.246</v>
      </c>
      <c r="G126" s="20" t="n">
        <v>1909.244</v>
      </c>
      <c r="H126" s="20" t="n">
        <v>948.011</v>
      </c>
      <c r="I126" s="20" t="n">
        <v>1268.352</v>
      </c>
      <c r="J126" s="20" t="n">
        <v>1212.672</v>
      </c>
      <c r="K126" s="20" t="n">
        <v>1937.246</v>
      </c>
    </row>
    <row r="127">
      <c r="A127" s="18" t="inlineStr">
        <is>
          <t>이연헤지손익</t>
        </is>
      </c>
      <c r="C127" s="20" t="n">
        <v>0.921</v>
      </c>
      <c r="D127" s="20" t="n">
        <v>-1.37</v>
      </c>
      <c r="E127" s="20" t="n">
        <v>1.656</v>
      </c>
      <c r="F127" s="20" t="n">
        <v>3.292</v>
      </c>
      <c r="G127" s="20" t="n">
        <v>2.471</v>
      </c>
      <c r="H127" s="20" t="n">
        <v>-1.065</v>
      </c>
      <c r="I127" s="20" t="n">
        <v>1.324</v>
      </c>
      <c r="J127" s="20" t="n">
        <v>-3.673</v>
      </c>
      <c r="K127" s="20" t="n">
        <v>3.292</v>
      </c>
    </row>
    <row r="128">
      <c r="A128" s="18" t="inlineStr">
        <is>
          <t>해외사업환산조정</t>
        </is>
      </c>
      <c r="C128" s="20" t="n">
        <v>420.742</v>
      </c>
      <c r="D128" s="20" t="n">
        <v>483.678</v>
      </c>
      <c r="E128" s="20" t="n">
        <v>722.732</v>
      </c>
      <c r="F128" s="20" t="n">
        <v>816.265</v>
      </c>
      <c r="G128" s="20" t="n">
        <v>875.4299999999999</v>
      </c>
      <c r="H128" s="20" t="n">
        <v>163.744</v>
      </c>
      <c r="I128" s="20" t="n">
        <v>401.367</v>
      </c>
      <c r="J128" s="20" t="n">
        <v>487.021</v>
      </c>
      <c r="K128" s="20" t="n">
        <v>816.265</v>
      </c>
    </row>
    <row r="129">
      <c r="A129" s="18" t="inlineStr">
        <is>
          <t>퇴직급여 조정누계액</t>
        </is>
      </c>
      <c r="C129" s="20" t="n">
        <v>115.027</v>
      </c>
      <c r="D129" s="20" t="n">
        <v>101.495</v>
      </c>
      <c r="E129" s="20" t="n">
        <v>89.20999999999999</v>
      </c>
      <c r="F129" s="20" t="n">
        <v>75.605</v>
      </c>
      <c r="G129" s="20" t="n">
        <v>380.504</v>
      </c>
      <c r="H129" s="20" t="n">
        <v>30.743</v>
      </c>
      <c r="I129" s="20" t="n">
        <v>96.199</v>
      </c>
      <c r="J129" s="20" t="n">
        <v>162.458</v>
      </c>
      <c r="K129" s="20" t="n">
        <v>75.605</v>
      </c>
    </row>
    <row r="130">
      <c r="A130" s="18" t="inlineStr">
        <is>
          <t>기타포괄손익누계액 합계</t>
        </is>
      </c>
      <c r="C130" s="20" t="n">
        <v>1622.226</v>
      </c>
      <c r="D130" s="20" t="n">
        <v>2095.685</v>
      </c>
      <c r="E130" s="20" t="n">
        <v>2584.262</v>
      </c>
      <c r="F130" s="20" t="n">
        <v>2832.409</v>
      </c>
      <c r="G130" s="20" t="n">
        <v>3167.651</v>
      </c>
      <c r="H130" s="20" t="n">
        <v>1141.435</v>
      </c>
      <c r="I130" s="20" t="n">
        <v>1767.244</v>
      </c>
      <c r="J130" s="20" t="n">
        <v>1858.478</v>
      </c>
      <c r="K130" s="20" t="n">
        <v>2832.409</v>
      </c>
    </row>
    <row r="131">
      <c r="A131" s="18" t="inlineStr">
        <is>
          <t>신주예약권</t>
        </is>
      </c>
      <c r="C131" s="20" t="n">
        <v>87.08799999999999</v>
      </c>
      <c r="D131" s="20" t="n">
        <v>87.08799999999999</v>
      </c>
      <c r="E131" s="20" t="n">
        <v>87.08799999999999</v>
      </c>
      <c r="F131" s="20" t="n">
        <v>87.08799999999999</v>
      </c>
      <c r="G131" s="20" t="n">
        <v>87.08799999999999</v>
      </c>
      <c r="H131" s="20" t="n">
        <v>87.08799999999999</v>
      </c>
      <c r="I131" s="20" t="n">
        <v>87.08799999999999</v>
      </c>
      <c r="J131" s="20" t="n">
        <v>87.08799999999999</v>
      </c>
      <c r="K131" s="20" t="n">
        <v>87.08799999999999</v>
      </c>
    </row>
    <row r="132">
      <c r="A132" s="18" t="inlineStr">
        <is>
          <t>비지배지분</t>
        </is>
      </c>
      <c r="H132" s="20" t="n">
        <v>0</v>
      </c>
    </row>
    <row r="133">
      <c r="A133" s="9" t="inlineStr">
        <is>
          <t>순자산 합계</t>
        </is>
      </c>
      <c r="C133" s="12" t="n">
        <v>24052.288</v>
      </c>
      <c r="D133" s="12" t="n">
        <v>24029.921</v>
      </c>
      <c r="E133" s="12" t="n">
        <v>24873.535</v>
      </c>
      <c r="F133" s="12" t="n">
        <v>25245.749</v>
      </c>
      <c r="G133" s="12" t="n">
        <v>26232.694</v>
      </c>
      <c r="H133" s="12" t="n">
        <v>24263.82</v>
      </c>
      <c r="I133" s="12" t="n">
        <v>24798.56</v>
      </c>
      <c r="J133" s="12" t="n">
        <v>24252.317</v>
      </c>
      <c r="K133" s="12" t="n">
        <v>25245.749</v>
      </c>
    </row>
    <row r="134">
      <c r="A134" s="9" t="inlineStr">
        <is>
          <t>부채·순자산 합계</t>
        </is>
      </c>
      <c r="C134" s="12" t="n">
        <v>35513.167</v>
      </c>
      <c r="D134" s="12" t="n">
        <v>36375.317</v>
      </c>
      <c r="E134" s="12" t="n">
        <v>37963.515</v>
      </c>
      <c r="F134" s="12" t="n">
        <v>38839.871</v>
      </c>
      <c r="G134" s="12" t="n">
        <v>37352.086</v>
      </c>
      <c r="H134" s="12" t="n">
        <v>37966.175</v>
      </c>
      <c r="I134" s="12" t="n">
        <v>38550.983</v>
      </c>
      <c r="J134" s="12" t="n">
        <v>38311.785</v>
      </c>
      <c r="K134" s="12" t="n">
        <v>38839.871</v>
      </c>
    </row>
  </sheetData>
  <conditionalFormatting sqref="C43:K43">
    <cfRule type="expression" priority="1" dxfId="0">
      <formula>AND(ISNUMBER(C43),C43&gt;1.0)</formula>
    </cfRule>
  </conditionalFormatting>
  <conditionalFormatting sqref="C44:K44">
    <cfRule type="expression" priority="2" dxfId="0">
      <formula>AND(ISNUMBER(C44),C44&gt;0.5)</formula>
    </cfRule>
  </conditionalFormatting>
  <conditionalFormatting sqref="C45:K45">
    <cfRule type="expression" priority="3" dxfId="0">
      <formula>AND(ISNUMBER(C45),C45&lt;0.5)</formula>
    </cfRule>
  </conditionalFormatting>
  <conditionalFormatting sqref="C46:K46">
    <cfRule type="expression" priority="4" dxfId="0">
      <formula>AND(ISNUMBER(C46),C46&lt;1.5)</formula>
    </cfRule>
  </conditionalFormatting>
  <conditionalFormatting sqref="C47:K47">
    <cfRule type="expression" priority="5" dxfId="0">
      <formula>AND(ISNUMBER(C47),C47&lt;1.0)</formula>
    </cfRule>
  </conditionalFormatting>
  <conditionalFormatting sqref="C48:K48">
    <cfRule type="expression" priority="6" dxfId="0">
      <formula>AND(ISNUMBER(C48),C48&lt;5)</formula>
    </cfRule>
  </conditionalFormatting>
  <conditionalFormatting sqref="C49:K49">
    <cfRule type="expression" priority="7" dxfId="0">
      <formula>AND(ISNUMBER(C49),C49&gt;4)</formula>
    </cfRule>
  </conditionalFormatting>
  <conditionalFormatting sqref="C51:K51">
    <cfRule type="expression" priority="8" dxfId="0">
      <formula>AND(ISNUMBER(C51),C51&lt;0.15)</formula>
    </cfRule>
  </conditionalFormatting>
  <conditionalFormatting sqref="C52:K52">
    <cfRule type="expression" priority="9" dxfId="0">
      <formula>AND(ISNUMBER(C52),C52&lt;0.05)</formula>
    </cfRule>
  </conditionalFormatting>
  <conditionalFormatting sqref="C53:K53">
    <cfRule type="expression" priority="10" dxfId="0">
      <formula>AND(ISNUMBER(C53),C53&lt;0.1)</formula>
    </cfRule>
  </conditionalFormatting>
  <conditionalFormatting sqref="C54:K54">
    <cfRule type="expression" priority="11" dxfId="0">
      <formula>AND(ISNUMBER(C54),C54&lt;0.4)</formula>
    </cfRule>
  </conditionalFormatting>
  <conditionalFormatting sqref="C55:K55">
    <cfRule type="expression" priority="12" dxfId="0">
      <formula>AND(ISNUMBER(C55),C55&lt;0.15)</formula>
    </cfRule>
  </conditionalFormatting>
  <conditionalFormatting sqref="C56:K56">
    <cfRule type="expression" priority="13" dxfId="0">
      <formula>AND(ISNUMBER(C56),C56&lt;0.1)</formula>
    </cfRule>
  </conditionalFormatting>
  <conditionalFormatting sqref="C64:K64">
    <cfRule type="expression" priority="14" dxfId="0">
      <formula>AND(ISNUMBER(C64),C64&lt;1.0)</formula>
    </cfRule>
  </conditionalFormatting>
  <conditionalFormatting sqref="C65:K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2026-07-30</t>
        </is>
      </c>
      <c r="B4" t="inlineStr">
        <is>
          <t>2026년 6월 결산기 연간 결산단신</t>
        </is>
      </c>
      <c r="C4" t="inlineStr">
        <is>
          <t>https://www2.jpx.co.jp/disc/79620/140120260730503307.pdf</t>
        </is>
      </c>
    </row>
    <row r="5">
      <c r="A5" t="inlineStr">
        <is>
          <t>2026-04-24</t>
        </is>
      </c>
      <c r="B5" t="inlineStr">
        <is>
          <t>2026년 6월 결산기 ３분기 결산단신</t>
        </is>
      </c>
      <c r="C5" t="inlineStr">
        <is>
          <t>https://www2.jpx.co.jp/disc/79620/140120260423509646.pdf</t>
        </is>
      </c>
    </row>
    <row r="6">
      <c r="A6" t="inlineStr">
        <is>
          <t>2026-01-29</t>
        </is>
      </c>
      <c r="B6" t="inlineStr">
        <is>
          <t>2026년 6월 결산기 ２분기 결산단신</t>
        </is>
      </c>
      <c r="C6" t="inlineStr">
        <is>
          <t>https://www2.jpx.co.jp/disc/79620/140120260128540741.pdf</t>
        </is>
      </c>
    </row>
    <row r="7">
      <c r="A7" t="inlineStr">
        <is>
          <t>2025-10-31</t>
        </is>
      </c>
      <c r="B7" t="inlineStr">
        <is>
          <t>2026년 6월 결산기 １분기 결산단신</t>
        </is>
      </c>
      <c r="C7" t="inlineStr">
        <is>
          <t>https://www2.jpx.co.jp/disc/79620/140120251030583477.pdf</t>
        </is>
      </c>
    </row>
    <row r="8">
      <c r="A8" t="inlineStr">
        <is>
          <t>2025-07-31</t>
        </is>
      </c>
      <c r="B8" t="inlineStr">
        <is>
          <t>2025년 6월 결산기 연간 결산단신</t>
        </is>
      </c>
      <c r="C8" t="inlineStr">
        <is>
          <t>https://www2.jpx.co.jp/disc/79620/140120250730524541.pdf</t>
        </is>
      </c>
    </row>
    <row r="9">
      <c r="A9" t="inlineStr">
        <is>
          <t>2025-04-24</t>
        </is>
      </c>
      <c r="B9" t="inlineStr">
        <is>
          <t>2025년 6월 결산기 ３분기 결산단신</t>
        </is>
      </c>
      <c r="C9" t="inlineStr">
        <is>
          <t>https://www2.jpx.co.jp/disc/79620/140120250423521388.pdf</t>
        </is>
      </c>
    </row>
    <row r="10">
      <c r="A10" t="inlineStr">
        <is>
          <t>2025-01-30</t>
        </is>
      </c>
      <c r="B10" t="inlineStr">
        <is>
          <t>2025년 6월 결산기 2분기 결산단신</t>
        </is>
      </c>
      <c r="C10" t="inlineStr">
        <is>
          <t>https://www2.jpx.co.jp/disc/79620/140120250129557510.pdf</t>
        </is>
      </c>
    </row>
    <row r="11">
      <c r="A11" t="inlineStr">
        <is>
          <t>2024-11-01</t>
        </is>
      </c>
      <c r="B11" t="inlineStr">
        <is>
          <t>2025년 6월 결산기 1분기 결산단신</t>
        </is>
      </c>
      <c r="C11" t="inlineStr">
        <is>
          <t>https://www2.jpx.co.jp/disc/79620/140120241031507962.pdf</t>
        </is>
      </c>
    </row>
    <row r="12">
      <c r="A12" t="inlineStr">
        <is>
          <t>2024-08-01</t>
        </is>
      </c>
      <c r="B12" t="inlineStr">
        <is>
          <t>2024년 6월 결산기 연간 결산단신</t>
        </is>
      </c>
      <c r="C12" t="inlineStr">
        <is>
          <t>https://www2.jpx.co.jp/disc/79620/140120240731559327.pdf</t>
        </is>
      </c>
    </row>
    <row r="13">
      <c r="A13" t="inlineStr">
        <is>
          <t>2024-04-26</t>
        </is>
      </c>
      <c r="B13" t="inlineStr">
        <is>
          <t>2024년 6월 결산기 3분기 결산단신</t>
        </is>
      </c>
      <c r="C13" t="inlineStr">
        <is>
          <t>https://www2.jpx.co.jp/disc/79620/140120240425576753.pdf</t>
        </is>
      </c>
    </row>
    <row r="14">
      <c r="A14" t="inlineStr">
        <is>
          <t>2024-02-01</t>
        </is>
      </c>
      <c r="B14" t="inlineStr">
        <is>
          <t>2024년 6월 결산기 2분기 결산단신</t>
        </is>
      </c>
      <c r="C14" t="inlineStr">
        <is>
          <t>https://www2.jpx.co.jp/disc/79620/140120240131523292.pdf</t>
        </is>
      </c>
    </row>
    <row r="15">
      <c r="A15" t="inlineStr">
        <is>
          <t>2023-10-31</t>
        </is>
      </c>
      <c r="B15" t="inlineStr">
        <is>
          <t>2024년 6월 결산기 1분기 결산단신</t>
        </is>
      </c>
      <c r="C15" t="inlineStr">
        <is>
          <t>https://www2.jpx.co.jp/disc/79620/140120231030574729.pdf</t>
        </is>
      </c>
    </row>
    <row r="16">
      <c r="A16" t="inlineStr">
        <is>
          <t>2023-08-01</t>
        </is>
      </c>
      <c r="B16" t="inlineStr">
        <is>
          <t>2023년 6월 결산기 연간 결산단신</t>
        </is>
      </c>
      <c r="C16" t="inlineStr">
        <is>
          <t>https://www2.jpx.co.jp/disc/79620/140120230731530630.pdf</t>
        </is>
      </c>
    </row>
    <row r="17">
      <c r="A17" t="inlineStr">
        <is>
          <t>2023-04-28</t>
        </is>
      </c>
      <c r="B17" t="inlineStr">
        <is>
          <t>2023년 6월 결산기 3분기 결산단신</t>
        </is>
      </c>
      <c r="C17" t="inlineStr">
        <is>
          <t>https://www2.jpx.co.jp/disc/79620/140120230427554884.pdf</t>
        </is>
      </c>
    </row>
    <row r="18">
      <c r="A18" t="inlineStr">
        <is>
          <t>2023-02-01</t>
        </is>
      </c>
      <c r="B18" t="inlineStr">
        <is>
          <t>2023년 6월 결산기 2분기 결산단신</t>
        </is>
      </c>
      <c r="C18" t="inlineStr">
        <is>
          <t>https://www2.jpx.co.jp/disc/79620/140120230131597264.pdf</t>
        </is>
      </c>
    </row>
    <row r="19">
      <c r="A19" t="inlineStr">
        <is>
          <t>2022-11-01</t>
        </is>
      </c>
      <c r="B19" t="inlineStr">
        <is>
          <t>2023년 6월 결산기 1분기 결산단신</t>
        </is>
      </c>
      <c r="C19" t="inlineStr">
        <is>
          <t>https://www2.jpx.co.jp/disc/79620/140120221031553737.pdf</t>
        </is>
      </c>
    </row>
    <row r="20">
      <c r="A20" t="inlineStr">
        <is>
          <t>2022-08-01</t>
        </is>
      </c>
      <c r="B20" t="inlineStr">
        <is>
          <t>2022년 6월 결산기 연간 결산단신</t>
        </is>
      </c>
      <c r="C20" t="inlineStr">
        <is>
          <t>https://www2.jpx.co.jp/disc/79620/140120220729508161.pdf</t>
        </is>
      </c>
    </row>
    <row r="21">
      <c r="A21" t="inlineStr">
        <is>
          <t>2021-07-30</t>
        </is>
      </c>
      <c r="B21" t="inlineStr">
        <is>
          <t>2021년 6월 결산기 연간 결산단신</t>
        </is>
      </c>
      <c r="C21" t="inlineStr">
        <is>
          <t>https://www2.jpx.co.jp/disc/79620/140120210728473208.pdf</t>
        </is>
      </c>
    </row>
    <row r="22">
      <c r="A22" t="inlineStr">
        <is>
          <t>2020-07-31</t>
        </is>
      </c>
      <c r="B22" t="inlineStr">
        <is>
          <t>2020년 6월 결산기 연간 결산단신</t>
        </is>
      </c>
      <c r="C22" t="inlineStr">
        <is>
          <t>https://www2.jpx.co.jp/disc/79620/140120200730470524.pdf</t>
        </is>
      </c>
    </row>
    <row r="23">
      <c r="A23" t="inlineStr">
        <is>
          <t>2019-08-01</t>
        </is>
      </c>
      <c r="B23" t="inlineStr">
        <is>
          <t>2019년 6월 결산기 연간 결산단신</t>
        </is>
      </c>
      <c r="C23" t="inlineStr">
        <is>
          <t>https://www2.jpx.co.jp/disc/79620/140120190801480651.pdf</t>
        </is>
      </c>
    </row>
    <row r="24">
      <c r="A24" t="inlineStr">
        <is>
          <t>2018-08-01</t>
        </is>
      </c>
      <c r="B24" t="inlineStr">
        <is>
          <t>연간 결산단신</t>
        </is>
      </c>
      <c r="C24" t="inlineStr">
        <is>
          <t>https://www2.jpx.co.jp/disc/79620/140120180731489305.pdf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2026-10-28T07:00:17Z</dcterms:created>
  <dcterms:modified xmlns:dcterms="http://purl.org/dc/terms/" xmlns:xsi="http://www.w3.org/2001/XMLSchema-instance" xsi:type="dcterms:W3CDTF">2026-10-28T07:00:18Z</dcterms:modified>
</cp:coreProperties>
</file>