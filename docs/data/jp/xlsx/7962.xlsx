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7962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5월 결산 · 일본 기준 · 2027.4Q = 2027년 5월 결산기 4분기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2025.1Q</t>
        </is>
      </c>
      <c r="D3" s="5" t="inlineStr">
        <is>
          <t>2025.2Q</t>
        </is>
      </c>
      <c r="E3" s="5" t="inlineStr">
        <is>
          <t>2025.3Q</t>
        </is>
      </c>
      <c r="F3" s="5" t="inlineStr">
        <is>
          <t>2025.4Q</t>
        </is>
      </c>
      <c r="G3" s="5" t="inlineStr">
        <is>
          <t>2026.1Q</t>
        </is>
      </c>
      <c r="H3" s="5" t="inlineStr">
        <is>
          <t>2026.2Q</t>
        </is>
      </c>
      <c r="I3" s="5" t="inlineStr">
        <is>
          <t>2026.3Q</t>
        </is>
      </c>
      <c r="J3" s="5" t="inlineStr">
        <is>
          <t>2026.4Q</t>
        </is>
      </c>
      <c r="K3" s="5" t="inlineStr">
        <is>
          <t>2027.1Q</t>
        </is>
      </c>
      <c r="L3" s="5" t="inlineStr">
        <is>
          <t>2027.2Q</t>
        </is>
      </c>
      <c r="M3" s="5" t="inlineStr">
        <is>
          <t>2027.3Q</t>
        </is>
      </c>
      <c r="N3" s="5" t="inlineStr">
        <is>
          <t>2027.4Q</t>
        </is>
      </c>
      <c r="O3" s="6" t="inlineStr">
        <is>
          <t>2018</t>
        </is>
      </c>
      <c r="P3" s="5" t="inlineStr">
        <is>
          <t>2019</t>
        </is>
      </c>
      <c r="Q3" s="5" t="inlineStr">
        <is>
          <t>2020</t>
        </is>
      </c>
      <c r="R3" s="5" t="inlineStr">
        <is>
          <t>2021</t>
        </is>
      </c>
      <c r="S3" s="5" t="inlineStr">
        <is>
          <t>2022</t>
        </is>
      </c>
      <c r="T3" s="5" t="inlineStr">
        <is>
          <t>2023</t>
        </is>
      </c>
      <c r="U3" s="5" t="inlineStr">
        <is>
          <t>2024</t>
        </is>
      </c>
      <c r="V3" s="5" t="inlineStr">
        <is>
          <t>2025</t>
        </is>
      </c>
      <c r="W3" s="5" t="inlineStr">
        <is>
          <t>2026</t>
        </is>
      </c>
      <c r="X3" s="5" t="inlineStr">
        <is>
          <t>2027</t>
        </is>
      </c>
      <c r="Y3" s="7" t="inlineStr">
        <is>
          <t>2028(MW)</t>
        </is>
      </c>
      <c r="Z3" s="8" t="inlineStr">
        <is>
          <t>2029(MW)</t>
        </is>
      </c>
      <c r="AA3" s="8" t="inlineStr">
        <is>
          <t>2030(MW)</t>
        </is>
      </c>
      <c r="AB3" s="8" t="inlineStr">
        <is>
          <t>2031(MW)</t>
        </is>
      </c>
      <c r="AC3" s="8" t="inlineStr">
        <is>
          <t>2032(MW)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8785.175999999999</v>
      </c>
      <c r="D4" s="12" t="n">
        <v>9734.880999999999</v>
      </c>
      <c r="E4" s="12" t="n">
        <v>10261.756</v>
      </c>
      <c r="F4" s="12" t="n">
        <v>10771.256</v>
      </c>
      <c r="G4" s="12" t="n">
        <v>8251.473</v>
      </c>
      <c r="H4" s="12" t="n">
        <v>9715.757</v>
      </c>
      <c r="I4" s="12" t="n">
        <v>9934.630999999999</v>
      </c>
      <c r="J4" s="12" t="n">
        <v>11737.639</v>
      </c>
      <c r="K4" s="12" t="n"/>
      <c r="L4" s="12" t="n"/>
      <c r="M4" s="12" t="n"/>
      <c r="N4" s="12" t="n"/>
      <c r="O4" s="11" t="n">
        <v>34627.821</v>
      </c>
      <c r="P4" s="12" t="n">
        <v>34788.058</v>
      </c>
      <c r="Q4" s="12" t="n">
        <v>34329.544</v>
      </c>
      <c r="R4" s="12" t="n">
        <v>33455.274</v>
      </c>
      <c r="S4" s="12" t="n">
        <v>36319.071</v>
      </c>
      <c r="T4" s="12" t="n">
        <v>36636.516</v>
      </c>
      <c r="U4" s="12" t="n">
        <v>39393.899</v>
      </c>
      <c r="V4" s="12" t="n">
        <v>39553.069</v>
      </c>
      <c r="W4" s="12" t="n">
        <v>39639.5</v>
      </c>
      <c r="X4" s="12" t="n">
        <v>39134.788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StationeryAndOfficeSupplyReportableSegmentsMember</t>
        </is>
      </c>
      <c r="B7" s="10" t="n"/>
      <c r="C7" s="19" t="n">
        <v>5183.236</v>
      </c>
      <c r="D7" s="20" t="n">
        <v>6189.249</v>
      </c>
      <c r="E7" s="20" t="n">
        <v>6839.502</v>
      </c>
      <c r="F7" s="20" t="n">
        <v>7122.651</v>
      </c>
      <c r="G7" s="20" t="n">
        <v>4922.836</v>
      </c>
      <c r="H7" s="20" t="n">
        <v>6096.275</v>
      </c>
      <c r="I7" s="20" t="n">
        <v>6846.367</v>
      </c>
      <c r="J7" s="20" t="n">
        <v>7312.615</v>
      </c>
      <c r="K7" s="20" t="n"/>
      <c r="L7" s="20" t="n"/>
      <c r="M7" s="20" t="n"/>
      <c r="N7" s="20" t="n"/>
      <c r="O7" s="19" t="n"/>
      <c r="P7" s="20" t="n"/>
      <c r="Q7" s="20" t="n"/>
      <c r="R7" s="20" t="n"/>
      <c r="S7" s="20" t="n"/>
      <c r="T7" s="20" t="n"/>
      <c r="U7" s="20" t="n"/>
      <c r="V7" s="20" t="n">
        <v>25334.638</v>
      </c>
      <c r="W7" s="20" t="n">
        <v>25178.093</v>
      </c>
      <c r="X7" s="20" t="n">
        <v>24902.916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LifestyleProductsReportableSegmentMember</t>
        </is>
      </c>
      <c r="B10" s="10" t="n"/>
      <c r="C10" s="19" t="n">
        <v>3601.94</v>
      </c>
      <c r="D10" s="20" t="n"/>
      <c r="E10" s="20" t="n"/>
      <c r="F10" s="20" t="n"/>
      <c r="G10" s="20" t="n">
        <v>3328.637</v>
      </c>
      <c r="H10" s="20" t="n"/>
      <c r="I10" s="20" t="n"/>
      <c r="J10" s="20" t="n"/>
      <c r="K10" s="20" t="n"/>
      <c r="L10" s="20" t="n"/>
      <c r="M10" s="20" t="n"/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LifeStyleProductsReportableSegmentMember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InteriorLifeStyleReportableSegmentsMember</t>
        </is>
      </c>
      <c r="B16" s="10" t="n"/>
      <c r="C16" s="19" t="n"/>
      <c r="D16" s="20" t="n"/>
      <c r="E16" s="20" t="n">
        <v>3422.254</v>
      </c>
      <c r="F16" s="20" t="n">
        <v>3648.605</v>
      </c>
      <c r="G16" s="20" t="n"/>
      <c r="H16" s="20" t="n"/>
      <c r="I16" s="20" t="n"/>
      <c r="J16" s="20" t="n"/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>
        <v>14218.431</v>
      </c>
      <c r="W16" s="20" t="n">
        <v>14461.407</v>
      </c>
      <c r="X16" s="20" t="n">
        <v>14231.871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>
        <v>8785.175999999999</v>
      </c>
      <c r="D19" s="20" t="n"/>
      <c r="E19" s="20" t="n"/>
      <c r="F19" s="20" t="n"/>
      <c r="G19" s="20" t="n">
        <v>8251.473</v>
      </c>
      <c r="H19" s="20" t="n"/>
      <c r="I19" s="20" t="n"/>
      <c r="J19" s="20" t="n"/>
      <c r="K19" s="20" t="n"/>
      <c r="L19" s="20" t="n"/>
      <c r="M19" s="20" t="n"/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5537.849</v>
      </c>
      <c r="D23" s="20" t="n">
        <v>5973.641</v>
      </c>
      <c r="E23" s="20" t="n">
        <v>6129.678</v>
      </c>
      <c r="F23" s="20" t="n">
        <v>7595.652</v>
      </c>
      <c r="G23" s="20" t="n">
        <v>5035.836</v>
      </c>
      <c r="H23" s="20" t="n">
        <v>5894.876</v>
      </c>
      <c r="I23" s="20" t="n">
        <v>6108.146</v>
      </c>
      <c r="J23" s="20" t="n">
        <v>7735.502</v>
      </c>
      <c r="K23" s="20" t="n"/>
      <c r="L23" s="20" t="n"/>
      <c r="M23" s="20" t="n"/>
      <c r="N23" s="20" t="n"/>
      <c r="O23" s="19" t="n">
        <v>21653.1</v>
      </c>
      <c r="P23" s="20" t="n">
        <v>21198.62</v>
      </c>
      <c r="Q23" s="20" t="n">
        <v>21146.112</v>
      </c>
      <c r="R23" s="20" t="n">
        <v>20554.178</v>
      </c>
      <c r="S23" s="20" t="n">
        <v>21880.29</v>
      </c>
      <c r="T23" s="20" t="n">
        <v>23159.303</v>
      </c>
      <c r="U23" s="20" t="n">
        <v>25203.192</v>
      </c>
      <c r="V23" s="20" t="n">
        <v>25236.82</v>
      </c>
      <c r="W23" s="20" t="n">
        <v>24774.36</v>
      </c>
      <c r="X23" s="20" t="n">
        <v>24044.543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3500.086</v>
      </c>
      <c r="D27" s="20" t="n">
        <v>3489.966</v>
      </c>
      <c r="E27" s="20" t="n">
        <v>3763.823</v>
      </c>
      <c r="F27" s="20" t="n">
        <v>3804.256</v>
      </c>
      <c r="G27" s="20" t="n">
        <v>3429.424</v>
      </c>
      <c r="H27" s="20" t="n">
        <v>3408.246</v>
      </c>
      <c r="I27" s="20" t="n">
        <v>3502.363</v>
      </c>
      <c r="J27" s="20" t="n">
        <v>3987.392</v>
      </c>
      <c r="K27" s="20" t="n"/>
      <c r="L27" s="20" t="n"/>
      <c r="M27" s="20" t="n"/>
      <c r="N27" s="20" t="n"/>
      <c r="O27" s="19" t="n">
        <v>11283.751</v>
      </c>
      <c r="P27" s="20" t="n">
        <v>11676.825</v>
      </c>
      <c r="Q27" s="20" t="n">
        <v>11788.389</v>
      </c>
      <c r="R27" s="20" t="n">
        <v>11668.499</v>
      </c>
      <c r="S27" s="20" t="n">
        <v>12021.975</v>
      </c>
      <c r="T27" s="20" t="n">
        <v>12469.604</v>
      </c>
      <c r="U27" s="20" t="n">
        <v>13822.398</v>
      </c>
      <c r="V27" s="20" t="n">
        <v>14558.131</v>
      </c>
      <c r="W27" s="20" t="n">
        <v>14327.425</v>
      </c>
      <c r="X27" s="20" t="n">
        <v>13961.333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-252.759</v>
      </c>
      <c r="D28" s="12" t="n">
        <v>271.273</v>
      </c>
      <c r="E28" s="12" t="n">
        <v>368.255</v>
      </c>
      <c r="F28" s="12" t="n">
        <v>-628.652</v>
      </c>
      <c r="G28" s="12" t="n">
        <v>-213.787</v>
      </c>
      <c r="H28" s="12" t="n">
        <v>412.634</v>
      </c>
      <c r="I28" s="12" t="n">
        <v>324.122</v>
      </c>
      <c r="J28" s="12" t="n">
        <v>14.746</v>
      </c>
      <c r="K28" s="12" t="n"/>
      <c r="L28" s="12" t="n"/>
      <c r="M28" s="12" t="n"/>
      <c r="N28" s="12" t="n"/>
      <c r="O28" s="11" t="n">
        <v>1690.969</v>
      </c>
      <c r="P28" s="12" t="n">
        <v>1912.612</v>
      </c>
      <c r="Q28" s="12" t="n">
        <v>1395.042</v>
      </c>
      <c r="R28" s="12" t="n">
        <v>1232.597</v>
      </c>
      <c r="S28" s="12" t="n">
        <v>2416.805</v>
      </c>
      <c r="T28" s="12" t="n">
        <v>1007.607</v>
      </c>
      <c r="U28" s="12" t="n">
        <v>368.308</v>
      </c>
      <c r="V28" s="12" t="n">
        <v>-241.883</v>
      </c>
      <c r="W28" s="12" t="n">
        <v>537.715</v>
      </c>
      <c r="X28" s="12" t="n">
        <v>1128.91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/>
      <c r="P35" s="20" t="n"/>
      <c r="Q35" s="20" t="n"/>
      <c r="R35" s="20" t="n"/>
      <c r="S35" s="20" t="n"/>
      <c r="T35" s="20" t="n"/>
      <c r="U35" s="20" t="n"/>
      <c r="V35" s="20" t="n"/>
      <c r="W35" s="20" t="n"/>
      <c r="X35" s="20" t="n"/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0</v>
      </c>
      <c r="D44" s="20" t="n">
        <v>0</v>
      </c>
      <c r="E44" s="20" t="n">
        <v>0</v>
      </c>
      <c r="F44" s="20" t="n">
        <v>137.905</v>
      </c>
      <c r="G44" s="20" t="n"/>
      <c r="H44" s="20" t="n"/>
      <c r="I44" s="20" t="n"/>
      <c r="J44" s="20" t="n">
        <v>101.941</v>
      </c>
      <c r="K44" s="20" t="n"/>
      <c r="L44" s="20" t="n"/>
      <c r="M44" s="20" t="n"/>
      <c r="N44" s="20" t="n"/>
      <c r="O44" s="19" t="n">
        <v>0.696</v>
      </c>
      <c r="P44" s="20" t="n">
        <v>0.982</v>
      </c>
      <c r="Q44" s="20" t="n">
        <v>0.752</v>
      </c>
      <c r="R44" s="20" t="n">
        <v>87.492</v>
      </c>
      <c r="S44" s="20" t="n">
        <v>0.453</v>
      </c>
      <c r="T44" s="20" t="n">
        <v>1.563</v>
      </c>
      <c r="U44" s="20" t="n">
        <v>180.199</v>
      </c>
      <c r="V44" s="20" t="n">
        <v>137.905</v>
      </c>
      <c r="W44" s="20" t="n">
        <v>103.157</v>
      </c>
      <c r="X44" s="20" t="n">
        <v>180.658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0.103</v>
      </c>
      <c r="D46" s="20" t="n">
        <v>0.016</v>
      </c>
      <c r="E46" s="20" t="n">
        <v>0.076</v>
      </c>
      <c r="F46" s="20" t="n">
        <v>225.955</v>
      </c>
      <c r="G46" s="20" t="n">
        <v>20.332</v>
      </c>
      <c r="H46" s="20" t="n">
        <v>-5.539</v>
      </c>
      <c r="I46" s="20" t="n">
        <v>6.962</v>
      </c>
      <c r="J46" s="20" t="n">
        <v>97.078</v>
      </c>
      <c r="K46" s="20" t="n"/>
      <c r="L46" s="20" t="n"/>
      <c r="M46" s="20" t="n"/>
      <c r="N46" s="20" t="n"/>
      <c r="O46" s="19" t="n">
        <v>52.62</v>
      </c>
      <c r="P46" s="20" t="n">
        <v>115.311</v>
      </c>
      <c r="Q46" s="20" t="n">
        <v>82.78700000000001</v>
      </c>
      <c r="R46" s="20" t="n">
        <v>37.72</v>
      </c>
      <c r="S46" s="20" t="n">
        <v>37.168</v>
      </c>
      <c r="T46" s="20" t="n">
        <v>115.578</v>
      </c>
      <c r="U46" s="20" t="n">
        <v>0.384</v>
      </c>
      <c r="V46" s="20" t="n">
        <v>226.15</v>
      </c>
      <c r="W46" s="20" t="n">
        <v>118.833</v>
      </c>
      <c r="X46" s="20" t="n">
        <v>57.503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202.21</v>
      </c>
      <c r="D48" s="20" t="n">
        <v>75.209</v>
      </c>
      <c r="E48" s="20" t="n">
        <v>134.335</v>
      </c>
      <c r="F48" s="20" t="n">
        <v>52.674</v>
      </c>
      <c r="G48" s="20" t="n">
        <v>136.259</v>
      </c>
      <c r="H48" s="20" t="n">
        <v>110.789</v>
      </c>
      <c r="I48" s="20" t="n">
        <v>118.034</v>
      </c>
      <c r="J48" s="20" t="n">
        <v>48.036</v>
      </c>
      <c r="K48" s="20" t="n"/>
      <c r="L48" s="20" t="n"/>
      <c r="M48" s="20" t="n"/>
      <c r="N48" s="20" t="n"/>
      <c r="O48" s="19" t="n">
        <v>201.272</v>
      </c>
      <c r="P48" s="20" t="n">
        <v>246.952</v>
      </c>
      <c r="Q48" s="20" t="n">
        <v>303.108</v>
      </c>
      <c r="R48" s="20" t="n">
        <v>323.166</v>
      </c>
      <c r="S48" s="20" t="n">
        <v>394.536</v>
      </c>
      <c r="T48" s="20" t="n">
        <v>397.023</v>
      </c>
      <c r="U48" s="20" t="n">
        <v>365.153</v>
      </c>
      <c r="V48" s="20" t="n">
        <v>464.428</v>
      </c>
      <c r="W48" s="20" t="n">
        <v>413.118</v>
      </c>
      <c r="X48" s="20" t="n">
        <v>515.499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24.483</v>
      </c>
      <c r="D50" s="20" t="n">
        <v>90.46599999999999</v>
      </c>
      <c r="E50" s="20" t="n">
        <v>-32.069</v>
      </c>
      <c r="F50" s="20" t="n">
        <v>9.385999999999999</v>
      </c>
      <c r="G50" s="20" t="n">
        <v>57.741</v>
      </c>
      <c r="H50" s="20" t="n">
        <v>5.35</v>
      </c>
      <c r="I50" s="20" t="n">
        <v>35.116</v>
      </c>
      <c r="J50" s="20" t="n">
        <v>16.384</v>
      </c>
      <c r="K50" s="20" t="n"/>
      <c r="L50" s="20" t="n"/>
      <c r="M50" s="20" t="n"/>
      <c r="N50" s="20" t="n"/>
      <c r="O50" s="19" t="n">
        <v>64.18000000000001</v>
      </c>
      <c r="P50" s="20" t="n">
        <v>70.498</v>
      </c>
      <c r="Q50" s="20" t="n">
        <v>61.209</v>
      </c>
      <c r="R50" s="20" t="n">
        <v>66.32299999999999</v>
      </c>
      <c r="S50" s="20" t="n">
        <v>55.89</v>
      </c>
      <c r="T50" s="20" t="n">
        <v>66.039</v>
      </c>
      <c r="U50" s="20" t="n">
        <v>96.184</v>
      </c>
      <c r="V50" s="20" t="n">
        <v>92.26600000000001</v>
      </c>
      <c r="W50" s="20" t="n">
        <v>114.591</v>
      </c>
      <c r="X50" s="20" t="n">
        <v>133.465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-75.13500000000001</v>
      </c>
      <c r="D52" s="12" t="n">
        <v>255.999</v>
      </c>
      <c r="E52" s="12" t="n">
        <v>534.583</v>
      </c>
      <c r="F52" s="12" t="n">
        <v>-673.414</v>
      </c>
      <c r="G52" s="12" t="n">
        <v>-155.602</v>
      </c>
      <c r="H52" s="12" t="n">
        <v>523.612</v>
      </c>
      <c r="I52" s="12" t="n">
        <v>401.294</v>
      </c>
      <c r="J52" s="12" t="n">
        <v>51.262</v>
      </c>
      <c r="K52" s="12" t="n"/>
      <c r="L52" s="12" t="n"/>
      <c r="M52" s="12" t="n"/>
      <c r="N52" s="12" t="n"/>
      <c r="O52" s="11" t="n">
        <v>1776.137</v>
      </c>
      <c r="P52" s="12" t="n">
        <v>1974.736</v>
      </c>
      <c r="Q52" s="12" t="n">
        <v>1554.905</v>
      </c>
      <c r="R52" s="12" t="n">
        <v>1539.213</v>
      </c>
      <c r="S52" s="12" t="n">
        <v>2718.736</v>
      </c>
      <c r="T52" s="12" t="n">
        <v>1224.577</v>
      </c>
      <c r="U52" s="12" t="n">
        <v>817.092</v>
      </c>
      <c r="V52" s="12" t="n">
        <v>42.033</v>
      </c>
      <c r="W52" s="12" t="n">
        <v>820.566</v>
      </c>
      <c r="X52" s="12" t="n">
        <v>1634.098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142.943</v>
      </c>
      <c r="D53" s="20" t="n">
        <v>113.025</v>
      </c>
      <c r="E53" s="20" t="n">
        <v>70.758</v>
      </c>
      <c r="F53" s="20" t="n">
        <v>33.375</v>
      </c>
      <c r="G53" s="20" t="n">
        <v>143.34</v>
      </c>
      <c r="H53" s="20" t="n">
        <v>197.118</v>
      </c>
      <c r="I53" s="20" t="n">
        <v>80.107</v>
      </c>
      <c r="J53" s="20" t="n">
        <v>-24.944</v>
      </c>
      <c r="K53" s="20" t="n"/>
      <c r="L53" s="20" t="n"/>
      <c r="M53" s="20" t="n"/>
      <c r="N53" s="20" t="n"/>
      <c r="O53" s="19" t="n">
        <v>552.367</v>
      </c>
      <c r="P53" s="20" t="n">
        <v>561.38</v>
      </c>
      <c r="Q53" s="20" t="n">
        <v>576.596</v>
      </c>
      <c r="R53" s="20" t="n">
        <v>457.031</v>
      </c>
      <c r="S53" s="20" t="n">
        <v>753.519</v>
      </c>
      <c r="T53" s="20" t="n">
        <v>434.584</v>
      </c>
      <c r="U53" s="20" t="n">
        <v>397.201</v>
      </c>
      <c r="V53" s="20" t="n">
        <v>360.101</v>
      </c>
      <c r="W53" s="20" t="n">
        <v>395.621</v>
      </c>
      <c r="X53" s="20" t="n">
        <v>633.655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-218.078</v>
      </c>
      <c r="D55" s="12" t="n">
        <v>142.975</v>
      </c>
      <c r="E55" s="12" t="n">
        <v>463.824</v>
      </c>
      <c r="F55" s="12" t="n">
        <v>-706.789</v>
      </c>
      <c r="G55" s="12" t="n">
        <v>-298.942</v>
      </c>
      <c r="H55" s="12" t="n">
        <v>326.493</v>
      </c>
      <c r="I55" s="12" t="n">
        <v>321.188</v>
      </c>
      <c r="J55" s="12" t="n">
        <v>76.205</v>
      </c>
      <c r="K55" s="12" t="n"/>
      <c r="L55" s="12" t="n"/>
      <c r="M55" s="12" t="n"/>
      <c r="N55" s="12" t="n"/>
      <c r="O55" s="11" t="n">
        <v>1223.769</v>
      </c>
      <c r="P55" s="12" t="n">
        <v>1413.355</v>
      </c>
      <c r="Q55" s="12" t="n">
        <v>978.309</v>
      </c>
      <c r="R55" s="12" t="n">
        <v>1082.181</v>
      </c>
      <c r="S55" s="12" t="n">
        <v>1965.216</v>
      </c>
      <c r="T55" s="12" t="n">
        <v>789.9930000000001</v>
      </c>
      <c r="U55" s="12" t="n">
        <v>419.891</v>
      </c>
      <c r="V55" s="12" t="n">
        <v>-318.068</v>
      </c>
      <c r="W55" s="12" t="n">
        <v>424.944</v>
      </c>
      <c r="X55" s="12" t="n">
        <v>1000.443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-218.078</v>
      </c>
      <c r="D56" s="12" t="n">
        <v>142.975</v>
      </c>
      <c r="E56" s="12" t="n">
        <v>463.824</v>
      </c>
      <c r="F56" s="12" t="n">
        <v>-706.789</v>
      </c>
      <c r="G56" s="12" t="n">
        <v>-298.942</v>
      </c>
      <c r="H56" s="12" t="n">
        <v>326.493</v>
      </c>
      <c r="I56" s="12" t="n">
        <v>321.188</v>
      </c>
      <c r="J56" s="12" t="n">
        <v>76.205</v>
      </c>
      <c r="K56" s="12" t="n"/>
      <c r="L56" s="12" t="n"/>
      <c r="M56" s="12" t="n"/>
      <c r="N56" s="12" t="n"/>
      <c r="O56" s="11" t="n">
        <v>1204.004</v>
      </c>
      <c r="P56" s="12" t="n">
        <v>1402.847</v>
      </c>
      <c r="Q56" s="12" t="n">
        <v>963.042</v>
      </c>
      <c r="R56" s="12" t="n">
        <v>1081.679</v>
      </c>
      <c r="S56" s="12" t="n">
        <v>1963.34</v>
      </c>
      <c r="T56" s="12" t="n">
        <v>788.782</v>
      </c>
      <c r="U56" s="12" t="n">
        <v>419.79</v>
      </c>
      <c r="V56" s="12" t="n">
        <v>-318.068</v>
      </c>
      <c r="W56" s="12" t="n">
        <v>424.944</v>
      </c>
      <c r="X56" s="12" t="n">
        <v>1000.443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()</t>
        </is>
      </c>
      <c r="B59" s="27" t="n"/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/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2025.1Q</t>
        </is>
      </c>
      <c r="D89" s="5" t="inlineStr">
        <is>
          <t>2025.2Q</t>
        </is>
      </c>
      <c r="E89" s="5" t="inlineStr">
        <is>
          <t>2025.3Q</t>
        </is>
      </c>
      <c r="F89" s="5" t="inlineStr">
        <is>
          <t>2025.4Q</t>
        </is>
      </c>
      <c r="G89" s="5" t="inlineStr">
        <is>
          <t>2026.1Q</t>
        </is>
      </c>
      <c r="H89" s="5" t="inlineStr">
        <is>
          <t>2026.2Q</t>
        </is>
      </c>
      <c r="I89" s="5" t="inlineStr">
        <is>
          <t>2026.3Q</t>
        </is>
      </c>
      <c r="J89" s="5" t="inlineStr">
        <is>
          <t>2026.4Q</t>
        </is>
      </c>
      <c r="K89" s="5" t="inlineStr">
        <is>
          <t>2027.1Q</t>
        </is>
      </c>
      <c r="L89" s="5" t="inlineStr">
        <is>
          <t>2027.2Q</t>
        </is>
      </c>
      <c r="M89" s="5" t="inlineStr">
        <is>
          <t>2027.3Q</t>
        </is>
      </c>
      <c r="N89" s="5" t="inlineStr">
        <is>
          <t>2027.4Q</t>
        </is>
      </c>
      <c r="O89" s="5" t="inlineStr">
        <is>
          <t>2018</t>
        </is>
      </c>
      <c r="P89" s="5" t="inlineStr">
        <is>
          <t>2019</t>
        </is>
      </c>
      <c r="Q89" s="5" t="inlineStr">
        <is>
          <t>2020</t>
        </is>
      </c>
      <c r="R89" s="5" t="inlineStr">
        <is>
          <t>2021</t>
        </is>
      </c>
      <c r="S89" s="5" t="inlineStr">
        <is>
          <t>2022</t>
        </is>
      </c>
      <c r="T89" s="5" t="inlineStr">
        <is>
          <t>2023</t>
        </is>
      </c>
      <c r="U89" s="5" t="inlineStr">
        <is>
          <t>2024</t>
        </is>
      </c>
      <c r="V89" s="5" t="inlineStr">
        <is>
          <t>2025</t>
        </is>
      </c>
      <c r="W89" s="5" t="inlineStr">
        <is>
          <t>2026</t>
        </is>
      </c>
      <c r="X89" s="5" t="inlineStr">
        <is>
          <t>2027</t>
        </is>
      </c>
      <c r="Y89" s="5" t="inlineStr">
        <is>
          <t>2028(MW)</t>
        </is>
      </c>
      <c r="Z89" s="5" t="inlineStr">
        <is>
          <t>2029(MW)</t>
        </is>
      </c>
      <c r="AA89" s="5" t="inlineStr">
        <is>
          <t>2030(MW)</t>
        </is>
      </c>
      <c r="AB89" s="5" t="inlineStr">
        <is>
          <t>2031(MW)</t>
        </is>
      </c>
      <c r="AC89" s="5" t="inlineStr">
        <is>
          <t>2032(MW)</t>
        </is>
      </c>
    </row>
    <row r="90">
      <c r="A90" s="9" t="inlineStr">
        <is>
          <t>매출액</t>
        </is>
      </c>
      <c r="C90" s="12" t="n">
        <v>8785.175999999999</v>
      </c>
      <c r="D90" s="12" t="n">
        <v>9734.880999999999</v>
      </c>
      <c r="E90" s="12" t="n">
        <v>10261.756</v>
      </c>
      <c r="F90" s="12" t="n">
        <v>10771.256</v>
      </c>
      <c r="G90" s="12" t="n">
        <v>8251.473</v>
      </c>
      <c r="H90" s="12" t="n">
        <v>9715.757</v>
      </c>
      <c r="I90" s="12" t="n">
        <v>9934.630999999999</v>
      </c>
      <c r="J90" s="12" t="n">
        <v>11737.639</v>
      </c>
      <c r="S90" s="12" t="n">
        <v>9973.371999999999</v>
      </c>
      <c r="T90" s="12" t="n">
        <v>7701.035</v>
      </c>
      <c r="U90" s="12" t="n">
        <v>10803.535</v>
      </c>
      <c r="V90" s="12" t="n">
        <v>10771.256</v>
      </c>
      <c r="W90" s="12" t="n">
        <v>11737.639</v>
      </c>
    </row>
    <row r="91">
      <c r="A91" s="18" t="inlineStr">
        <is>
          <t>매출원가</t>
        </is>
      </c>
      <c r="C91" s="20" t="n">
        <v>5537.849</v>
      </c>
      <c r="D91" s="20" t="n">
        <v>5973.641</v>
      </c>
      <c r="E91" s="20" t="n">
        <v>6129.678</v>
      </c>
      <c r="F91" s="20" t="n">
        <v>7595.652</v>
      </c>
      <c r="G91" s="20" t="n">
        <v>5035.836</v>
      </c>
      <c r="H91" s="20" t="n">
        <v>5894.876</v>
      </c>
      <c r="I91" s="20" t="n">
        <v>6108.146</v>
      </c>
      <c r="J91" s="20" t="n">
        <v>7735.502</v>
      </c>
      <c r="S91" s="20" t="n">
        <v>5363.299</v>
      </c>
      <c r="T91" s="20" t="n">
        <v>4649.623</v>
      </c>
      <c r="U91" s="20" t="n">
        <v>7241.392</v>
      </c>
      <c r="V91" s="20" t="n">
        <v>7595.652</v>
      </c>
      <c r="W91" s="20" t="n">
        <v>7735.502</v>
      </c>
    </row>
    <row r="92">
      <c r="A92" s="9" t="inlineStr">
        <is>
          <t>매출총이익</t>
        </is>
      </c>
      <c r="C92" s="12" t="n">
        <v>3247.326</v>
      </c>
      <c r="D92" s="12" t="n">
        <v>3761.24</v>
      </c>
      <c r="E92" s="12" t="n">
        <v>4132.079</v>
      </c>
      <c r="F92" s="12" t="n">
        <v>3175.603</v>
      </c>
      <c r="G92" s="12" t="n">
        <v>3215.636</v>
      </c>
      <c r="H92" s="12" t="n">
        <v>3820.881</v>
      </c>
      <c r="I92" s="12" t="n">
        <v>3826.485</v>
      </c>
      <c r="J92" s="12" t="n">
        <v>4002.138</v>
      </c>
      <c r="S92" s="12" t="n">
        <v>4610.072</v>
      </c>
      <c r="T92" s="12" t="n">
        <v>3051.412</v>
      </c>
      <c r="U92" s="12" t="n">
        <v>3562.143</v>
      </c>
      <c r="V92" s="12" t="n">
        <v>3175.603</v>
      </c>
      <c r="W92" s="12" t="n">
        <v>4002.138</v>
      </c>
    </row>
    <row r="93">
      <c r="A93" s="18" t="inlineStr">
        <is>
          <t>판매비와 관리비</t>
        </is>
      </c>
      <c r="C93" s="20" t="n">
        <v>3500.086</v>
      </c>
      <c r="D93" s="20" t="n">
        <v>3489.966</v>
      </c>
      <c r="E93" s="20" t="n">
        <v>3763.823</v>
      </c>
      <c r="F93" s="20" t="n">
        <v>3804.256</v>
      </c>
      <c r="G93" s="20" t="n">
        <v>3429.424</v>
      </c>
      <c r="H93" s="20" t="n">
        <v>3408.246</v>
      </c>
      <c r="I93" s="20" t="n">
        <v>3502.363</v>
      </c>
      <c r="J93" s="20" t="n">
        <v>3987.392</v>
      </c>
      <c r="S93" s="20" t="n">
        <v>2974.734</v>
      </c>
      <c r="T93" s="20" t="n">
        <v>2125.22</v>
      </c>
      <c r="U93" s="20" t="n">
        <v>2947.929</v>
      </c>
      <c r="V93" s="20" t="n">
        <v>3804.256</v>
      </c>
      <c r="W93" s="20" t="n">
        <v>3987.392</v>
      </c>
    </row>
    <row r="94">
      <c r="A94" s="9" t="inlineStr">
        <is>
          <t>영업이익</t>
        </is>
      </c>
      <c r="C94" s="12" t="n">
        <v>-252.759</v>
      </c>
      <c r="D94" s="12" t="n">
        <v>271.273</v>
      </c>
      <c r="E94" s="12" t="n">
        <v>368.255</v>
      </c>
      <c r="F94" s="12" t="n">
        <v>-628.652</v>
      </c>
      <c r="G94" s="12" t="n">
        <v>-213.787</v>
      </c>
      <c r="H94" s="12" t="n">
        <v>412.634</v>
      </c>
      <c r="I94" s="12" t="n">
        <v>324.122</v>
      </c>
      <c r="J94" s="12" t="n">
        <v>14.746</v>
      </c>
      <c r="S94" s="12" t="n">
        <v>1635.339</v>
      </c>
      <c r="T94" s="12" t="n">
        <v>926.191</v>
      </c>
      <c r="U94" s="12" t="n">
        <v>614.213</v>
      </c>
      <c r="V94" s="12" t="n">
        <v>-628.652</v>
      </c>
      <c r="W94" s="12" t="n">
        <v>14.746</v>
      </c>
    </row>
    <row r="95">
      <c r="A95" s="18" t="inlineStr">
        <is>
          <t>이자수익</t>
        </is>
      </c>
      <c r="C95" s="20" t="n">
        <v>6.257</v>
      </c>
      <c r="D95" s="20" t="n">
        <v>4.335</v>
      </c>
      <c r="E95" s="20" t="n">
        <v>7.221</v>
      </c>
      <c r="F95" s="20" t="n">
        <v>4.755</v>
      </c>
      <c r="G95" s="20" t="n">
        <v>3.175</v>
      </c>
      <c r="H95" s="20" t="n">
        <v>3.021</v>
      </c>
      <c r="I95" s="20" t="n">
        <v>9.720000000000001</v>
      </c>
      <c r="J95" s="20" t="n">
        <v>7.166</v>
      </c>
      <c r="S95" s="20" t="n">
        <v>4.031</v>
      </c>
      <c r="T95" s="20" t="n">
        <v>1.36</v>
      </c>
      <c r="U95" s="20" t="n">
        <v>2.349</v>
      </c>
      <c r="V95" s="20" t="n">
        <v>4.755</v>
      </c>
      <c r="W95" s="20" t="n">
        <v>7.166</v>
      </c>
    </row>
    <row r="96">
      <c r="A96" s="18" t="inlineStr">
        <is>
          <t>배당금수익</t>
        </is>
      </c>
      <c r="C96" s="20" t="n">
        <v>54.754</v>
      </c>
      <c r="D96" s="20" t="n">
        <v>39.967</v>
      </c>
      <c r="E96" s="20" t="n">
        <v>2.806</v>
      </c>
      <c r="F96" s="20" t="n">
        <v>7.453</v>
      </c>
      <c r="G96" s="20" t="n">
        <v>68.798</v>
      </c>
      <c r="H96" s="20" t="n">
        <v>46.277</v>
      </c>
      <c r="I96" s="20" t="n">
        <v>1.236</v>
      </c>
      <c r="J96" s="20" t="n">
        <v>-16.521</v>
      </c>
      <c r="S96" s="20" t="n">
        <v>1.651</v>
      </c>
      <c r="T96" s="20" t="n">
        <v>-18.435</v>
      </c>
      <c r="U96" s="20" t="n">
        <v>-18.064</v>
      </c>
      <c r="V96" s="20" t="n">
        <v>7.453</v>
      </c>
      <c r="W96" s="20" t="n">
        <v>-16.521</v>
      </c>
    </row>
    <row r="97">
      <c r="A97" s="18" t="inlineStr">
        <is>
          <t>외환차익</t>
        </is>
      </c>
      <c r="C97" s="20" t="n">
        <v>84.321</v>
      </c>
      <c r="D97" s="20" t="n">
        <v>-84.321</v>
      </c>
      <c r="E97" s="20" t="n">
        <v>70.542</v>
      </c>
      <c r="F97" s="20" t="n">
        <v>71.224</v>
      </c>
      <c r="G97" s="20" t="n">
        <v>0</v>
      </c>
      <c r="H97" s="20" t="n">
        <v>11.506</v>
      </c>
      <c r="I97" s="20" t="n">
        <v>64.849</v>
      </c>
      <c r="J97" s="20" t="n">
        <v>-67.511</v>
      </c>
      <c r="S97" s="20" t="n">
        <v>29.3</v>
      </c>
      <c r="T97" s="20" t="n">
        <v>75.961</v>
      </c>
      <c r="U97" s="20" t="n">
        <v>-36.934</v>
      </c>
      <c r="V97" s="20" t="n">
        <v>71.224</v>
      </c>
      <c r="W97" s="20" t="n">
        <v>-67.511</v>
      </c>
    </row>
    <row r="98">
      <c r="A98" s="18" t="inlineStr">
        <is>
          <t>임대료 수익</t>
        </is>
      </c>
      <c r="C98" s="20" t="n">
        <v>37.094</v>
      </c>
      <c r="D98" s="20" t="n">
        <v>37.995</v>
      </c>
      <c r="E98" s="20" t="n">
        <v>37.358</v>
      </c>
      <c r="F98" s="20" t="n">
        <v>36.89</v>
      </c>
      <c r="G98" s="20" t="n">
        <v>37.254</v>
      </c>
      <c r="H98" s="20" t="n">
        <v>37.666</v>
      </c>
      <c r="I98" s="20" t="n">
        <v>37.503</v>
      </c>
      <c r="J98" s="20" t="n">
        <v>37.828</v>
      </c>
      <c r="S98" s="20" t="n">
        <v>40.258</v>
      </c>
      <c r="T98" s="20" t="n">
        <v>37.607</v>
      </c>
      <c r="U98" s="20" t="n">
        <v>39.127</v>
      </c>
      <c r="V98" s="20" t="n">
        <v>36.89</v>
      </c>
      <c r="W98" s="20" t="n">
        <v>37.828</v>
      </c>
    </row>
    <row r="99">
      <c r="A99" s="18" t="inlineStr">
        <is>
          <t>기타</t>
        </is>
      </c>
      <c r="C99" s="20" t="n">
        <v>19.783</v>
      </c>
      <c r="D99" s="20" t="n">
        <v>77.233</v>
      </c>
      <c r="E99" s="20" t="n">
        <v>16.407</v>
      </c>
      <c r="F99" s="20" t="n">
        <v>-67.648</v>
      </c>
      <c r="G99" s="20" t="n">
        <v>27.031</v>
      </c>
      <c r="H99" s="20" t="n">
        <v>12.317</v>
      </c>
      <c r="I99" s="20" t="n">
        <v>4.727</v>
      </c>
      <c r="J99" s="20" t="n">
        <v>39.97</v>
      </c>
      <c r="S99" s="20" t="n">
        <v>-13.298</v>
      </c>
      <c r="T99" s="20" t="n">
        <v>40.484</v>
      </c>
      <c r="U99" s="20" t="n">
        <v>40.536</v>
      </c>
      <c r="V99" s="20" t="n">
        <v>-67.648</v>
      </c>
      <c r="W99" s="20" t="n">
        <v>39.97</v>
      </c>
    </row>
    <row r="100">
      <c r="A100" s="18" t="inlineStr">
        <is>
          <t>영업외수익 합계</t>
        </is>
      </c>
      <c r="C100" s="20" t="n">
        <v>202.21</v>
      </c>
      <c r="D100" s="20" t="n">
        <v>75.209</v>
      </c>
      <c r="E100" s="20" t="n">
        <v>134.335</v>
      </c>
      <c r="F100" s="20" t="n">
        <v>52.674</v>
      </c>
      <c r="G100" s="20" t="n">
        <v>136.259</v>
      </c>
      <c r="H100" s="20" t="n">
        <v>110.789</v>
      </c>
      <c r="I100" s="20" t="n">
        <v>118.034</v>
      </c>
      <c r="J100" s="20" t="n">
        <v>48.036</v>
      </c>
      <c r="S100" s="20" t="n">
        <v>146.951</v>
      </c>
      <c r="T100" s="20" t="n">
        <v>154.244</v>
      </c>
      <c r="U100" s="20" t="n">
        <v>27.012</v>
      </c>
      <c r="V100" s="20" t="n">
        <v>52.674</v>
      </c>
      <c r="W100" s="20" t="n">
        <v>48.036</v>
      </c>
    </row>
    <row r="101">
      <c r="A101" s="18" t="inlineStr">
        <is>
          <t>이자비용</t>
        </is>
      </c>
      <c r="C101" s="20" t="n">
        <v>11.93</v>
      </c>
      <c r="D101" s="20" t="n">
        <v>13.826</v>
      </c>
      <c r="E101" s="20" t="n">
        <v>18.434</v>
      </c>
      <c r="F101" s="20" t="n">
        <v>1.075</v>
      </c>
      <c r="G101" s="20" t="n">
        <v>18.455</v>
      </c>
      <c r="H101" s="20" t="n">
        <v>19.894</v>
      </c>
      <c r="I101" s="20" t="n">
        <v>23.328</v>
      </c>
      <c r="J101" s="20" t="n">
        <v>3.011</v>
      </c>
      <c r="S101" s="20" t="n">
        <v>-3.813</v>
      </c>
      <c r="T101" s="20" t="n">
        <v>-13.174</v>
      </c>
      <c r="U101" s="20" t="n">
        <v>9.398999999999999</v>
      </c>
      <c r="V101" s="20" t="n">
        <v>1.075</v>
      </c>
      <c r="W101" s="20" t="n">
        <v>3.011</v>
      </c>
    </row>
    <row r="102">
      <c r="A102" s="18" t="inlineStr">
        <is>
          <t>외환차손</t>
        </is>
      </c>
      <c r="C102" s="20" t="n">
        <v>0</v>
      </c>
      <c r="D102" s="20" t="n">
        <v>61.66</v>
      </c>
      <c r="G102" s="20" t="n">
        <v>26.084</v>
      </c>
      <c r="H102" s="20" t="n">
        <v>-26.084</v>
      </c>
    </row>
    <row r="103">
      <c r="A103" s="18" t="inlineStr">
        <is>
          <t>Cost Of Lease Revenue NOE</t>
        </is>
      </c>
      <c r="C103" s="20" t="n">
        <v>11.748</v>
      </c>
      <c r="D103" s="20" t="n">
        <v>12.417</v>
      </c>
      <c r="E103" s="20" t="n">
        <v>10.869</v>
      </c>
      <c r="F103" s="20" t="n">
        <v>9.032999999999999</v>
      </c>
      <c r="G103" s="20" t="n">
        <v>12.607</v>
      </c>
      <c r="H103" s="20" t="n">
        <v>11.05</v>
      </c>
      <c r="I103" s="20" t="n">
        <v>11.323</v>
      </c>
      <c r="J103" s="20" t="n">
        <v>10.451</v>
      </c>
      <c r="S103" s="20" t="n">
        <v>4.337</v>
      </c>
      <c r="T103" s="20" t="n">
        <v>8.06</v>
      </c>
      <c r="U103" s="20" t="n">
        <v>13.745</v>
      </c>
      <c r="V103" s="20" t="n">
        <v>9.032999999999999</v>
      </c>
      <c r="W103" s="20" t="n">
        <v>10.451</v>
      </c>
    </row>
    <row r="104">
      <c r="A104" s="18" t="inlineStr">
        <is>
          <t>기타</t>
        </is>
      </c>
      <c r="C104" s="20" t="n">
        <v>0.804</v>
      </c>
      <c r="D104" s="20" t="n">
        <v>2.562</v>
      </c>
      <c r="E104" s="20" t="n">
        <v>0.288</v>
      </c>
      <c r="F104" s="20" t="n">
        <v>-0.721</v>
      </c>
      <c r="G104" s="20" t="n">
        <v>0.593</v>
      </c>
      <c r="H104" s="20" t="n">
        <v>0.492</v>
      </c>
      <c r="I104" s="20" t="n">
        <v>0.463</v>
      </c>
      <c r="J104" s="20" t="n">
        <v>2.923</v>
      </c>
      <c r="S104" s="20" t="n">
        <v>1.089</v>
      </c>
      <c r="T104" s="20" t="n">
        <v>-2.816</v>
      </c>
      <c r="U104" s="20" t="n">
        <v>5.244</v>
      </c>
      <c r="V104" s="20" t="n">
        <v>-0.721</v>
      </c>
      <c r="W104" s="20" t="n">
        <v>2.923</v>
      </c>
    </row>
    <row r="105">
      <c r="A105" s="18" t="inlineStr">
        <is>
          <t>영업외비용 합계</t>
        </is>
      </c>
      <c r="C105" s="20" t="n">
        <v>24.483</v>
      </c>
      <c r="D105" s="20" t="n">
        <v>90.46599999999999</v>
      </c>
      <c r="E105" s="20" t="n">
        <v>-32.069</v>
      </c>
      <c r="F105" s="20" t="n">
        <v>9.385999999999999</v>
      </c>
      <c r="G105" s="20" t="n">
        <v>57.741</v>
      </c>
      <c r="H105" s="20" t="n">
        <v>5.35</v>
      </c>
      <c r="I105" s="20" t="n">
        <v>35.116</v>
      </c>
      <c r="J105" s="20" t="n">
        <v>16.384</v>
      </c>
      <c r="S105" s="20" t="n">
        <v>1.613</v>
      </c>
      <c r="T105" s="20" t="n">
        <v>-12.747</v>
      </c>
      <c r="U105" s="20" t="n">
        <v>28.388</v>
      </c>
      <c r="V105" s="20" t="n">
        <v>9.385999999999999</v>
      </c>
      <c r="W105" s="20" t="n">
        <v>16.384</v>
      </c>
    </row>
    <row r="106">
      <c r="A106" s="9" t="inlineStr">
        <is>
          <t>경상이익</t>
        </is>
      </c>
      <c r="C106" s="12" t="n">
        <v>-75.032</v>
      </c>
      <c r="D106" s="12" t="n">
        <v>256.016</v>
      </c>
      <c r="E106" s="12" t="n">
        <v>534.659</v>
      </c>
      <c r="F106" s="12" t="n">
        <v>-585.365</v>
      </c>
      <c r="G106" s="12" t="n">
        <v>-135.269</v>
      </c>
      <c r="H106" s="12" t="n">
        <v>518.073</v>
      </c>
      <c r="I106" s="12" t="n">
        <v>407.039</v>
      </c>
      <c r="J106" s="12" t="n">
        <v>46.399</v>
      </c>
      <c r="S106" s="12" t="n">
        <v>1780.676</v>
      </c>
      <c r="T106" s="12" t="n">
        <v>1093.184</v>
      </c>
      <c r="U106" s="12" t="n">
        <v>612.8390000000001</v>
      </c>
      <c r="V106" s="12" t="n">
        <v>-585.365</v>
      </c>
      <c r="W106" s="12" t="n">
        <v>46.399</v>
      </c>
    </row>
    <row r="107">
      <c r="A107" s="18" t="inlineStr">
        <is>
          <t>고정자산 매각이익</t>
        </is>
      </c>
      <c r="C107" s="20" t="n">
        <v>0</v>
      </c>
      <c r="D107" s="20" t="n">
        <v>0</v>
      </c>
      <c r="E107" s="20" t="n">
        <v>0</v>
      </c>
      <c r="F107" s="20" t="n">
        <v>137.905</v>
      </c>
      <c r="J107" s="20" t="n">
        <v>-1.147</v>
      </c>
      <c r="S107" s="20" t="n">
        <v>0.361</v>
      </c>
      <c r="T107" s="20" t="n">
        <v>0.513</v>
      </c>
      <c r="U107" s="20" t="n">
        <v>-137.608</v>
      </c>
      <c r="V107" s="20" t="n">
        <v>137.905</v>
      </c>
      <c r="W107" s="20" t="n">
        <v>-1.147</v>
      </c>
    </row>
    <row r="108">
      <c r="A108" s="18" t="inlineStr">
        <is>
          <t>투자유가증권 매각이익</t>
        </is>
      </c>
      <c r="S108" s="20" t="n">
        <v>-0.911</v>
      </c>
      <c r="T108" s="20" t="n">
        <v>0.911</v>
      </c>
    </row>
    <row r="109">
      <c r="A109" s="18" t="inlineStr">
        <is>
          <t>Settlement Received EI</t>
        </is>
      </c>
      <c r="T109" s="20" t="n">
        <v>-20.68</v>
      </c>
      <c r="U109" s="20" t="n">
        <v>20.68</v>
      </c>
    </row>
    <row r="110">
      <c r="A110" s="18" t="inlineStr">
        <is>
          <t>Gain On Extinguishment Of Tie In Shares EI</t>
        </is>
      </c>
      <c r="T110" s="20" t="n">
        <v>-8.477</v>
      </c>
      <c r="U110" s="20" t="n">
        <v>8.477</v>
      </c>
    </row>
    <row r="111">
      <c r="A111" s="18" t="inlineStr">
        <is>
          <t>특별이익 합계</t>
        </is>
      </c>
      <c r="C111" s="20" t="n">
        <v>0</v>
      </c>
      <c r="D111" s="20" t="n">
        <v>0</v>
      </c>
      <c r="E111" s="20" t="n">
        <v>0</v>
      </c>
      <c r="F111" s="20" t="n">
        <v>137.905</v>
      </c>
      <c r="J111" s="20" t="n">
        <v>101.941</v>
      </c>
      <c r="S111" s="20" t="n">
        <v>-0.55</v>
      </c>
      <c r="T111" s="20" t="n">
        <v>-42.427</v>
      </c>
      <c r="U111" s="20" t="n">
        <v>42.452</v>
      </c>
      <c r="V111" s="20" t="n">
        <v>137.905</v>
      </c>
      <c r="W111" s="20" t="n">
        <v>101.941</v>
      </c>
    </row>
    <row r="112">
      <c r="A112" s="18" t="inlineStr">
        <is>
          <t>고정자산 매각손실</t>
        </is>
      </c>
      <c r="C112" s="20" t="n">
        <v>0</v>
      </c>
      <c r="D112" s="20" t="n">
        <v>0</v>
      </c>
      <c r="E112" s="20" t="n">
        <v>0</v>
      </c>
      <c r="F112" s="20" t="n">
        <v>0.007</v>
      </c>
      <c r="G112" s="20" t="n">
        <v>0.139</v>
      </c>
      <c r="H112" s="20" t="n">
        <v>0</v>
      </c>
      <c r="I112" s="20" t="n">
        <v>0</v>
      </c>
      <c r="J112" s="20" t="n">
        <v>-0.139</v>
      </c>
      <c r="T112" s="20" t="n">
        <v>0</v>
      </c>
      <c r="U112" s="20" t="n">
        <v>0.254</v>
      </c>
      <c r="V112" s="20" t="n">
        <v>0.007</v>
      </c>
      <c r="W112" s="20" t="n">
        <v>-0.139</v>
      </c>
    </row>
    <row r="113">
      <c r="A113" s="18" t="inlineStr">
        <is>
          <t>고정자산 제각손실</t>
        </is>
      </c>
      <c r="C113" s="20" t="n">
        <v>0.103</v>
      </c>
      <c r="D113" s="20" t="n">
        <v>0.016</v>
      </c>
      <c r="E113" s="20" t="n">
        <v>0.076</v>
      </c>
      <c r="F113" s="20" t="n">
        <v>3.953</v>
      </c>
      <c r="G113" s="20" t="n">
        <v>0.09</v>
      </c>
      <c r="H113" s="20" t="n">
        <v>0.956</v>
      </c>
      <c r="I113" s="20" t="n">
        <v>0.111</v>
      </c>
      <c r="J113" s="20" t="n">
        <v>1.018</v>
      </c>
      <c r="S113" s="20" t="n">
        <v>3.895</v>
      </c>
      <c r="T113" s="20" t="n">
        <v>115.019</v>
      </c>
      <c r="U113" s="20" t="n">
        <v>-3.106</v>
      </c>
      <c r="V113" s="20" t="n">
        <v>3.953</v>
      </c>
      <c r="W113" s="20" t="n">
        <v>1.018</v>
      </c>
    </row>
    <row r="114">
      <c r="A114" s="18" t="inlineStr">
        <is>
          <t>투자유가증권 평가손실</t>
        </is>
      </c>
      <c r="S114" s="20" t="n">
        <v>-0.478</v>
      </c>
      <c r="T114" s="20" t="n">
        <v>0.478</v>
      </c>
    </row>
    <row r="115">
      <c r="A115" s="18" t="inlineStr">
        <is>
          <t>특별퇴직금</t>
        </is>
      </c>
      <c r="C115" s="20" t="n">
        <v>0</v>
      </c>
      <c r="D115" s="20" t="n">
        <v>0</v>
      </c>
      <c r="E115" s="20" t="n">
        <v>0</v>
      </c>
      <c r="F115" s="20" t="n">
        <v>49.868</v>
      </c>
      <c r="G115" s="20" t="n">
        <v>20.102</v>
      </c>
      <c r="H115" s="20" t="n">
        <v>-6.495</v>
      </c>
      <c r="I115" s="20" t="n">
        <v>6.851</v>
      </c>
      <c r="J115" s="20" t="n">
        <v>-20.458</v>
      </c>
      <c r="T115" s="20" t="n">
        <v>0</v>
      </c>
      <c r="U115" s="20" t="n">
        <v>-49.868</v>
      </c>
      <c r="V115" s="20" t="n">
        <v>49.868</v>
      </c>
      <c r="W115" s="20" t="n">
        <v>-20.458</v>
      </c>
    </row>
    <row r="116">
      <c r="A116" s="18" t="inlineStr">
        <is>
          <t>특별손실 합계</t>
        </is>
      </c>
      <c r="C116" s="20" t="n">
        <v>0.103</v>
      </c>
      <c r="D116" s="20" t="n">
        <v>0.016</v>
      </c>
      <c r="E116" s="20" t="n">
        <v>0.076</v>
      </c>
      <c r="F116" s="20" t="n">
        <v>225.955</v>
      </c>
      <c r="G116" s="20" t="n">
        <v>20.332</v>
      </c>
      <c r="H116" s="20" t="n">
        <v>-5.539</v>
      </c>
      <c r="I116" s="20" t="n">
        <v>6.962</v>
      </c>
      <c r="J116" s="20" t="n">
        <v>97.078</v>
      </c>
      <c r="S116" s="20" t="n">
        <v>33.512</v>
      </c>
      <c r="T116" s="20" t="n">
        <v>115.497</v>
      </c>
      <c r="U116" s="20" t="n">
        <v>-52.72</v>
      </c>
      <c r="V116" s="20" t="n">
        <v>225.955</v>
      </c>
      <c r="W116" s="20" t="n">
        <v>97.078</v>
      </c>
    </row>
    <row r="117">
      <c r="A117" s="9" t="inlineStr">
        <is>
          <t>법인세차감전 순이익</t>
        </is>
      </c>
      <c r="C117" s="12" t="n">
        <v>-75.13500000000001</v>
      </c>
      <c r="D117" s="12" t="n">
        <v>255.999</v>
      </c>
      <c r="E117" s="12" t="n">
        <v>534.583</v>
      </c>
      <c r="F117" s="12" t="n">
        <v>-673.414</v>
      </c>
      <c r="G117" s="12" t="n">
        <v>-155.602</v>
      </c>
      <c r="H117" s="12" t="n">
        <v>523.612</v>
      </c>
      <c r="I117" s="12" t="n">
        <v>401.294</v>
      </c>
      <c r="J117" s="12" t="n">
        <v>51.262</v>
      </c>
      <c r="S117" s="12" t="n">
        <v>1746.614</v>
      </c>
      <c r="T117" s="12" t="n">
        <v>935.259</v>
      </c>
      <c r="U117" s="12" t="n">
        <v>708.011</v>
      </c>
      <c r="V117" s="12" t="n">
        <v>-673.414</v>
      </c>
      <c r="W117" s="12" t="n">
        <v>51.262</v>
      </c>
    </row>
    <row r="118">
      <c r="A118" s="18" t="inlineStr">
        <is>
          <t>법인세·주민세·사업세</t>
        </is>
      </c>
      <c r="C118" s="20" t="n">
        <v>89.089</v>
      </c>
      <c r="D118" s="20" t="n">
        <v>123.472</v>
      </c>
      <c r="E118" s="20" t="n">
        <v>38.665</v>
      </c>
      <c r="F118" s="20" t="n">
        <v>63.657</v>
      </c>
      <c r="G118" s="20" t="n">
        <v>98.64100000000001</v>
      </c>
      <c r="H118" s="20" t="n">
        <v>108.5</v>
      </c>
      <c r="I118" s="20" t="n">
        <v>39.569</v>
      </c>
      <c r="J118" s="20" t="n">
        <v>93.824</v>
      </c>
      <c r="S118" s="20" t="n">
        <v>526.835</v>
      </c>
      <c r="T118" s="20" t="n">
        <v>209.786</v>
      </c>
      <c r="U118" s="20" t="n">
        <v>109.546</v>
      </c>
      <c r="V118" s="20" t="n">
        <v>63.657</v>
      </c>
      <c r="W118" s="20" t="n">
        <v>93.824</v>
      </c>
    </row>
    <row r="119">
      <c r="A119" s="18" t="inlineStr">
        <is>
          <t>법인세 조정액</t>
        </is>
      </c>
      <c r="C119" s="20" t="n">
        <v>53.854</v>
      </c>
      <c r="D119" s="20" t="n">
        <v>-10.448</v>
      </c>
      <c r="E119" s="20" t="n">
        <v>27.168</v>
      </c>
      <c r="F119" s="20" t="n">
        <v>-25.962</v>
      </c>
      <c r="G119" s="20" t="n">
        <v>-60.958</v>
      </c>
      <c r="H119" s="20" t="n">
        <v>70.23699999999999</v>
      </c>
      <c r="I119" s="20" t="n">
        <v>40.2</v>
      </c>
      <c r="J119" s="20" t="n">
        <v>0.679</v>
      </c>
      <c r="S119" s="20" t="n">
        <v>-146.355</v>
      </c>
      <c r="T119" s="20" t="n">
        <v>24.751</v>
      </c>
      <c r="U119" s="20" t="n">
        <v>77.006</v>
      </c>
      <c r="V119" s="20" t="n">
        <v>-25.962</v>
      </c>
      <c r="W119" s="20" t="n">
        <v>0.679</v>
      </c>
    </row>
    <row r="120">
      <c r="A120" s="18" t="inlineStr">
        <is>
          <t>과년도 법인세</t>
        </is>
      </c>
      <c r="C120" s="20" t="n">
        <v>0</v>
      </c>
      <c r="D120" s="20" t="n">
        <v>0</v>
      </c>
      <c r="E120" s="20" t="n">
        <v>4.925</v>
      </c>
      <c r="F120" s="20" t="n">
        <v>-4.32</v>
      </c>
      <c r="G120" s="20" t="n">
        <v>105.657</v>
      </c>
      <c r="H120" s="20" t="n">
        <v>18.379</v>
      </c>
      <c r="I120" s="20" t="n">
        <v>0.339</v>
      </c>
      <c r="J120" s="20" t="n">
        <v>-119.447</v>
      </c>
      <c r="T120" s="20" t="n">
        <v>-24.114</v>
      </c>
      <c r="U120" s="20" t="n">
        <v>27.675</v>
      </c>
      <c r="V120" s="20" t="n">
        <v>-4.32</v>
      </c>
      <c r="W120" s="20" t="n">
        <v>-119.447</v>
      </c>
    </row>
    <row r="121">
      <c r="A121" s="18" t="inlineStr">
        <is>
          <t>법인세 등 합계</t>
        </is>
      </c>
      <c r="C121" s="20" t="n">
        <v>142.943</v>
      </c>
      <c r="D121" s="20" t="n">
        <v>113.025</v>
      </c>
      <c r="E121" s="20" t="n">
        <v>70.758</v>
      </c>
      <c r="F121" s="20" t="n">
        <v>33.375</v>
      </c>
      <c r="G121" s="20" t="n">
        <v>143.34</v>
      </c>
      <c r="H121" s="20" t="n">
        <v>197.118</v>
      </c>
      <c r="I121" s="20" t="n">
        <v>80.107</v>
      </c>
      <c r="J121" s="20" t="n">
        <v>-24.944</v>
      </c>
      <c r="S121" s="20" t="n">
        <v>380.479</v>
      </c>
      <c r="T121" s="20" t="n">
        <v>210.422</v>
      </c>
      <c r="U121" s="20" t="n">
        <v>214.229</v>
      </c>
      <c r="V121" s="20" t="n">
        <v>33.375</v>
      </c>
      <c r="W121" s="20" t="n">
        <v>-24.944</v>
      </c>
    </row>
    <row r="122">
      <c r="A122" s="9" t="inlineStr">
        <is>
          <t>순이익</t>
        </is>
      </c>
      <c r="C122" s="12" t="n">
        <v>-218.078</v>
      </c>
      <c r="D122" s="12" t="n">
        <v>142.975</v>
      </c>
      <c r="E122" s="12" t="n">
        <v>463.824</v>
      </c>
      <c r="F122" s="12" t="n">
        <v>-706.789</v>
      </c>
      <c r="G122" s="12" t="n">
        <v>-298.942</v>
      </c>
      <c r="H122" s="12" t="n">
        <v>326.493</v>
      </c>
      <c r="I122" s="12" t="n">
        <v>321.188</v>
      </c>
      <c r="J122" s="12" t="n">
        <v>76.205</v>
      </c>
      <c r="S122" s="12" t="n">
        <v>1366.134</v>
      </c>
      <c r="T122" s="12" t="n">
        <v>724.837</v>
      </c>
      <c r="U122" s="12" t="n">
        <v>493.782</v>
      </c>
      <c r="V122" s="12" t="n">
        <v>-706.789</v>
      </c>
      <c r="W122" s="12" t="n">
        <v>76.205</v>
      </c>
    </row>
    <row r="123">
      <c r="A123" s="9" t="inlineStr">
        <is>
          <t>비지배주주 순이익</t>
        </is>
      </c>
      <c r="S123" s="12" t="n">
        <v>1.043</v>
      </c>
      <c r="T123" s="12" t="n">
        <v>1.109</v>
      </c>
      <c r="U123" s="12" t="n">
        <v>0.101</v>
      </c>
    </row>
    <row r="124">
      <c r="A124" s="9" t="inlineStr">
        <is>
          <t>지배주주 순이익</t>
        </is>
      </c>
      <c r="C124" s="12" t="n">
        <v>-218.078</v>
      </c>
      <c r="D124" s="12" t="n">
        <v>142.975</v>
      </c>
      <c r="E124" s="12" t="n">
        <v>463.824</v>
      </c>
      <c r="F124" s="12" t="n">
        <v>-706.789</v>
      </c>
      <c r="G124" s="12" t="n">
        <v>-298.942</v>
      </c>
      <c r="H124" s="12" t="n">
        <v>326.493</v>
      </c>
      <c r="I124" s="12" t="n">
        <v>321.188</v>
      </c>
      <c r="J124" s="12" t="n">
        <v>76.205</v>
      </c>
      <c r="S124" s="12" t="n">
        <v>1365.091</v>
      </c>
      <c r="T124" s="12" t="n">
        <v>723.728</v>
      </c>
      <c r="U124" s="12" t="n">
        <v>493.681</v>
      </c>
      <c r="V124" s="12" t="n">
        <v>-706.789</v>
      </c>
      <c r="W124" s="12" t="n">
        <v>76.205</v>
      </c>
    </row>
    <row r="126">
      <c r="A126" s="16" t="inlineStr">
        <is>
          <t>포괄손익 · 전 항목</t>
        </is>
      </c>
      <c r="B126" s="42" t="inlineStr">
        <is>
          <t>분기 = 3개월 단독</t>
        </is>
      </c>
      <c r="C126" s="16" t="n"/>
      <c r="D126" s="16" t="n"/>
      <c r="E126" s="16" t="n"/>
      <c r="F126" s="16" t="n"/>
      <c r="G126" s="16" t="n"/>
      <c r="H126" s="16" t="n"/>
      <c r="I126" s="16" t="n"/>
      <c r="J126" s="16" t="n"/>
      <c r="K126" s="16" t="n"/>
      <c r="L126" s="16" t="n"/>
      <c r="M126" s="16" t="n"/>
      <c r="N126" s="16" t="n"/>
      <c r="O126" s="16" t="n"/>
      <c r="P126" s="16" t="n"/>
      <c r="Q126" s="16" t="n"/>
      <c r="R126" s="16" t="n"/>
      <c r="S126" s="16" t="n"/>
      <c r="T126" s="16" t="n"/>
      <c r="U126" s="16" t="n"/>
      <c r="V126" s="16" t="n"/>
      <c r="W126" s="16" t="n"/>
      <c r="X126" s="16" t="n"/>
      <c r="Y126" s="16" t="n"/>
      <c r="Z126" s="16" t="n"/>
      <c r="AA126" s="16" t="n"/>
      <c r="AB126" s="16" t="n"/>
      <c r="AC126" s="16" t="n"/>
    </row>
    <row r="127">
      <c r="A127" s="5" t="inlineStr">
        <is>
          <t>항목</t>
        </is>
      </c>
      <c r="B127" s="5" t="inlineStr">
        <is>
          <t>참고</t>
        </is>
      </c>
      <c r="C127" s="5" t="inlineStr">
        <is>
          <t>2025.1Q</t>
        </is>
      </c>
      <c r="D127" s="5" t="inlineStr">
        <is>
          <t>2025.2Q</t>
        </is>
      </c>
      <c r="E127" s="5" t="inlineStr">
        <is>
          <t>2025.3Q</t>
        </is>
      </c>
      <c r="F127" s="5" t="inlineStr">
        <is>
          <t>2025.4Q</t>
        </is>
      </c>
      <c r="G127" s="5" t="inlineStr">
        <is>
          <t>2026.1Q</t>
        </is>
      </c>
      <c r="H127" s="5" t="inlineStr">
        <is>
          <t>2026.2Q</t>
        </is>
      </c>
      <c r="I127" s="5" t="inlineStr">
        <is>
          <t>2026.3Q</t>
        </is>
      </c>
      <c r="J127" s="5" t="inlineStr">
        <is>
          <t>2026.4Q</t>
        </is>
      </c>
      <c r="K127" s="5" t="inlineStr">
        <is>
          <t>2027.1Q</t>
        </is>
      </c>
      <c r="L127" s="5" t="inlineStr">
        <is>
          <t>2027.2Q</t>
        </is>
      </c>
      <c r="M127" s="5" t="inlineStr">
        <is>
          <t>2027.3Q</t>
        </is>
      </c>
      <c r="N127" s="5" t="inlineStr">
        <is>
          <t>2027.4Q</t>
        </is>
      </c>
      <c r="O127" s="5" t="inlineStr">
        <is>
          <t>2018</t>
        </is>
      </c>
      <c r="P127" s="5" t="inlineStr">
        <is>
          <t>2019</t>
        </is>
      </c>
      <c r="Q127" s="5" t="inlineStr">
        <is>
          <t>2020</t>
        </is>
      </c>
      <c r="R127" s="5" t="inlineStr">
        <is>
          <t>2021</t>
        </is>
      </c>
      <c r="S127" s="5" t="inlineStr">
        <is>
          <t>2022</t>
        </is>
      </c>
      <c r="T127" s="5" t="inlineStr">
        <is>
          <t>2023</t>
        </is>
      </c>
      <c r="U127" s="5" t="inlineStr">
        <is>
          <t>2024</t>
        </is>
      </c>
      <c r="V127" s="5" t="inlineStr">
        <is>
          <t>2025</t>
        </is>
      </c>
      <c r="W127" s="5" t="inlineStr">
        <is>
          <t>2026</t>
        </is>
      </c>
      <c r="X127" s="5" t="inlineStr">
        <is>
          <t>2027</t>
        </is>
      </c>
      <c r="Y127" s="5" t="inlineStr">
        <is>
          <t>2028(MW)</t>
        </is>
      </c>
      <c r="Z127" s="5" t="inlineStr">
        <is>
          <t>2029(MW)</t>
        </is>
      </c>
      <c r="AA127" s="5" t="inlineStr">
        <is>
          <t>2030(MW)</t>
        </is>
      </c>
      <c r="AB127" s="5" t="inlineStr">
        <is>
          <t>2031(MW)</t>
        </is>
      </c>
      <c r="AC127" s="5" t="inlineStr">
        <is>
          <t>2032(MW)</t>
        </is>
      </c>
    </row>
    <row r="128">
      <c r="A128" s="9" t="inlineStr">
        <is>
          <t>순이익</t>
        </is>
      </c>
      <c r="C128" s="12" t="n">
        <v>-218.078</v>
      </c>
      <c r="D128" s="12" t="n">
        <v>142.975</v>
      </c>
      <c r="E128" s="12" t="n">
        <v>463.824</v>
      </c>
      <c r="F128" s="12" t="n">
        <v>-706.789</v>
      </c>
      <c r="G128" s="12" t="n">
        <v>-298.942</v>
      </c>
      <c r="H128" s="12" t="n">
        <v>326.493</v>
      </c>
      <c r="I128" s="12" t="n">
        <v>321.188</v>
      </c>
      <c r="J128" s="12" t="n">
        <v>76.205</v>
      </c>
      <c r="S128" s="12" t="n">
        <v>1366.134</v>
      </c>
      <c r="T128" s="12" t="n">
        <v>724.837</v>
      </c>
      <c r="U128" s="12" t="n">
        <v>493.782</v>
      </c>
      <c r="V128" s="12" t="n">
        <v>-706.789</v>
      </c>
      <c r="W128" s="12" t="n">
        <v>76.205</v>
      </c>
    </row>
    <row r="129">
      <c r="A129" s="18" t="inlineStr">
        <is>
          <t>기타유가증권 평가차액</t>
        </is>
      </c>
      <c r="C129" s="20" t="n">
        <v>-21.408</v>
      </c>
      <c r="D129" s="20" t="n">
        <v>-11.429</v>
      </c>
      <c r="E129" s="20" t="n">
        <v>80.23999999999999</v>
      </c>
      <c r="F129" s="20" t="n">
        <v>69.328</v>
      </c>
      <c r="G129" s="20" t="n">
        <v>426.347</v>
      </c>
      <c r="H129" s="20" t="n">
        <v>258.781</v>
      </c>
      <c r="I129" s="20" t="n">
        <v>166.584</v>
      </c>
      <c r="J129" s="20" t="n">
        <v>-931.447</v>
      </c>
      <c r="S129" s="20" t="n">
        <v>400.333</v>
      </c>
      <c r="T129" s="20" t="n">
        <v>-590.035</v>
      </c>
      <c r="U129" s="20" t="n">
        <v>283.538</v>
      </c>
      <c r="V129" s="20" t="n">
        <v>69.328</v>
      </c>
      <c r="W129" s="20" t="n">
        <v>-931.447</v>
      </c>
    </row>
    <row r="130">
      <c r="A130" s="18" t="inlineStr">
        <is>
          <t>이연헤지손익</t>
        </is>
      </c>
      <c r="C130" s="20" t="n">
        <v>-16.354</v>
      </c>
      <c r="D130" s="20" t="n">
        <v>18.797</v>
      </c>
      <c r="E130" s="20" t="n">
        <v>-8.792999999999999</v>
      </c>
      <c r="F130" s="20" t="n">
        <v>3.848</v>
      </c>
      <c r="G130" s="20" t="n">
        <v>-2.292</v>
      </c>
      <c r="H130" s="20" t="n">
        <v>3.026</v>
      </c>
      <c r="I130" s="20" t="n">
        <v>1.637</v>
      </c>
      <c r="J130" s="20" t="n">
        <v>-4.126</v>
      </c>
      <c r="S130" s="20" t="n">
        <v>0.853</v>
      </c>
      <c r="T130" s="20" t="n">
        <v>7.249</v>
      </c>
      <c r="U130" s="20" t="n">
        <v>5.484</v>
      </c>
      <c r="V130" s="20" t="n">
        <v>3.848</v>
      </c>
      <c r="W130" s="20" t="n">
        <v>-4.126</v>
      </c>
    </row>
    <row r="131">
      <c r="A131" s="18" t="inlineStr">
        <is>
          <t>해외사업환산조정</t>
        </is>
      </c>
      <c r="C131" s="20" t="n">
        <v>-117.328</v>
      </c>
      <c r="D131" s="20" t="n">
        <v>62.516</v>
      </c>
      <c r="E131" s="20" t="n">
        <v>-13.968</v>
      </c>
      <c r="F131" s="20" t="n">
        <v>430.697</v>
      </c>
      <c r="G131" s="20" t="n">
        <v>62.936</v>
      </c>
      <c r="H131" s="20" t="n">
        <v>239.054</v>
      </c>
      <c r="I131" s="20" t="n">
        <v>93.532</v>
      </c>
      <c r="J131" s="20" t="n">
        <v>-530.581</v>
      </c>
      <c r="S131" s="20" t="n">
        <v>-8.396000000000001</v>
      </c>
      <c r="T131" s="20" t="n">
        <v>199.45</v>
      </c>
      <c r="U131" s="20" t="n">
        <v>-6.757</v>
      </c>
      <c r="V131" s="20" t="n">
        <v>430.697</v>
      </c>
      <c r="W131" s="20" t="n">
        <v>-530.581</v>
      </c>
    </row>
    <row r="132">
      <c r="A132" s="18" t="inlineStr">
        <is>
          <t>퇴직급여 조정액</t>
        </is>
      </c>
      <c r="C132" s="20" t="n">
        <v>-15.865</v>
      </c>
      <c r="D132" s="20" t="n">
        <v>-13.484</v>
      </c>
      <c r="E132" s="20" t="n">
        <v>-14.718</v>
      </c>
      <c r="F132" s="20" t="n">
        <v>141.98</v>
      </c>
      <c r="G132" s="20" t="n">
        <v>-13.532</v>
      </c>
      <c r="H132" s="20" t="n">
        <v>-12.284</v>
      </c>
      <c r="I132" s="20" t="n">
        <v>-13.606</v>
      </c>
      <c r="J132" s="20" t="n">
        <v>-52.076</v>
      </c>
      <c r="S132" s="20" t="n">
        <v>288.313</v>
      </c>
      <c r="T132" s="20" t="n">
        <v>-122.612</v>
      </c>
      <c r="U132" s="20" t="n">
        <v>96.496</v>
      </c>
      <c r="V132" s="20" t="n">
        <v>141.98</v>
      </c>
      <c r="W132" s="20" t="n">
        <v>-52.076</v>
      </c>
    </row>
    <row r="133">
      <c r="A133" s="18" t="inlineStr">
        <is>
          <t>기타포괄손익 합계</t>
        </is>
      </c>
      <c r="C133" s="20" t="n">
        <v>-170.956</v>
      </c>
      <c r="D133" s="20" t="n">
        <v>56.401</v>
      </c>
      <c r="E133" s="20" t="n">
        <v>42.76</v>
      </c>
      <c r="F133" s="20" t="n">
        <v>645.855</v>
      </c>
      <c r="G133" s="20" t="n">
        <v>473.459</v>
      </c>
      <c r="H133" s="20" t="n">
        <v>488.577</v>
      </c>
      <c r="I133" s="20" t="n">
        <v>248.147</v>
      </c>
      <c r="J133" s="20" t="n">
        <v>-1518.231</v>
      </c>
      <c r="S133" s="20" t="n">
        <v>681.105</v>
      </c>
      <c r="T133" s="20" t="n">
        <v>-505.949</v>
      </c>
      <c r="U133" s="20" t="n">
        <v>378.763</v>
      </c>
      <c r="V133" s="20" t="n">
        <v>645.855</v>
      </c>
      <c r="W133" s="20" t="n">
        <v>-1518.231</v>
      </c>
    </row>
    <row r="134">
      <c r="A134" s="9" t="inlineStr">
        <is>
          <t>포괄이익</t>
        </is>
      </c>
      <c r="C134" s="12" t="n">
        <v>-389.035</v>
      </c>
      <c r="D134" s="12" t="n">
        <v>199.376</v>
      </c>
      <c r="E134" s="12" t="n">
        <v>506.585</v>
      </c>
      <c r="F134" s="12" t="n">
        <v>-60.934</v>
      </c>
      <c r="G134" s="12" t="n">
        <v>174.516</v>
      </c>
      <c r="H134" s="12" t="n">
        <v>815.072</v>
      </c>
      <c r="I134" s="12" t="n">
        <v>569.335</v>
      </c>
      <c r="J134" s="12" t="n">
        <v>-1442.027</v>
      </c>
      <c r="S134" s="12" t="n">
        <v>2047.24</v>
      </c>
      <c r="T134" s="12" t="n">
        <v>218.888</v>
      </c>
      <c r="U134" s="12" t="n">
        <v>872.546</v>
      </c>
      <c r="V134" s="12" t="n">
        <v>-60.934</v>
      </c>
      <c r="W134" s="12" t="n">
        <v>-1442.027</v>
      </c>
    </row>
    <row r="135">
      <c r="A135" s="9" t="inlineStr">
        <is>
          <t>지배주주 포괄이익</t>
        </is>
      </c>
      <c r="C135" s="12" t="n">
        <v>-389.035</v>
      </c>
      <c r="D135" s="12" t="n">
        <v>199.376</v>
      </c>
      <c r="E135" s="12" t="n">
        <v>506.585</v>
      </c>
      <c r="F135" s="12" t="n">
        <v>-60.934</v>
      </c>
      <c r="G135" s="12" t="n">
        <v>174.516</v>
      </c>
      <c r="H135" s="12" t="n">
        <v>815.072</v>
      </c>
      <c r="I135" s="12" t="n">
        <v>569.335</v>
      </c>
      <c r="J135" s="12" t="n">
        <v>-1442.027</v>
      </c>
      <c r="S135" s="12" t="n">
        <v>2046.196</v>
      </c>
      <c r="T135" s="12" t="n">
        <v>217.779</v>
      </c>
      <c r="U135" s="12" t="n">
        <v>872.4450000000001</v>
      </c>
      <c r="V135" s="12" t="n">
        <v>-60.934</v>
      </c>
      <c r="W135" s="12" t="n">
        <v>-1442.027</v>
      </c>
    </row>
    <row r="136">
      <c r="A136" s="9" t="inlineStr">
        <is>
          <t>비지배주주 포괄이익</t>
        </is>
      </c>
      <c r="S136" s="12" t="n">
        <v>1.043</v>
      </c>
      <c r="T136" s="12" t="n">
        <v>1.109</v>
      </c>
      <c r="U136" s="12" t="n">
        <v>0.101</v>
      </c>
    </row>
    <row r="138">
      <c r="A138" s="16" t="inlineStr">
        <is>
          <t>부문 · 전 항목</t>
        </is>
      </c>
      <c r="B138" s="42" t="inlineStr">
        <is>
          <t>부문 · 항목</t>
        </is>
      </c>
      <c r="C138" s="16" t="n"/>
      <c r="D138" s="16" t="n"/>
      <c r="E138" s="16" t="n"/>
      <c r="F138" s="16" t="n"/>
      <c r="G138" s="16" t="n"/>
      <c r="H138" s="16" t="n"/>
      <c r="I138" s="16" t="n"/>
      <c r="J138" s="16" t="n"/>
      <c r="K138" s="16" t="n"/>
      <c r="L138" s="16" t="n"/>
      <c r="M138" s="16" t="n"/>
      <c r="N138" s="16" t="n"/>
      <c r="O138" s="16" t="n"/>
      <c r="P138" s="16" t="n"/>
      <c r="Q138" s="16" t="n"/>
      <c r="R138" s="16" t="n"/>
      <c r="S138" s="16" t="n"/>
      <c r="T138" s="16" t="n"/>
      <c r="U138" s="16" t="n"/>
      <c r="V138" s="16" t="n"/>
      <c r="W138" s="16" t="n"/>
      <c r="X138" s="16" t="n"/>
      <c r="Y138" s="16" t="n"/>
      <c r="Z138" s="16" t="n"/>
      <c r="AA138" s="16" t="n"/>
      <c r="AB138" s="16" t="n"/>
      <c r="AC138" s="16" t="n"/>
    </row>
    <row r="139">
      <c r="A139" s="5" t="inlineStr">
        <is>
          <t>항목</t>
        </is>
      </c>
      <c r="B139" s="5" t="inlineStr">
        <is>
          <t>참고</t>
        </is>
      </c>
      <c r="C139" s="5" t="inlineStr">
        <is>
          <t>2025.1Q</t>
        </is>
      </c>
      <c r="D139" s="5" t="inlineStr">
        <is>
          <t>2025.2Q</t>
        </is>
      </c>
      <c r="E139" s="5" t="inlineStr">
        <is>
          <t>2025.3Q</t>
        </is>
      </c>
      <c r="F139" s="5" t="inlineStr">
        <is>
          <t>2025.4Q</t>
        </is>
      </c>
      <c r="G139" s="5" t="inlineStr">
        <is>
          <t>2026.1Q</t>
        </is>
      </c>
      <c r="H139" s="5" t="inlineStr">
        <is>
          <t>2026.2Q</t>
        </is>
      </c>
      <c r="I139" s="5" t="inlineStr">
        <is>
          <t>2026.3Q</t>
        </is>
      </c>
      <c r="J139" s="5" t="inlineStr">
        <is>
          <t>2026.4Q</t>
        </is>
      </c>
      <c r="K139" s="5" t="inlineStr">
        <is>
          <t>2027.1Q</t>
        </is>
      </c>
      <c r="L139" s="5" t="inlineStr">
        <is>
          <t>2027.2Q</t>
        </is>
      </c>
      <c r="M139" s="5" t="inlineStr">
        <is>
          <t>2027.3Q</t>
        </is>
      </c>
      <c r="N139" s="5" t="inlineStr">
        <is>
          <t>2027.4Q</t>
        </is>
      </c>
      <c r="O139" s="5" t="inlineStr">
        <is>
          <t>2018</t>
        </is>
      </c>
      <c r="P139" s="5" t="inlineStr">
        <is>
          <t>2019</t>
        </is>
      </c>
      <c r="Q139" s="5" t="inlineStr">
        <is>
          <t>2020</t>
        </is>
      </c>
      <c r="R139" s="5" t="inlineStr">
        <is>
          <t>2021</t>
        </is>
      </c>
      <c r="S139" s="5" t="inlineStr">
        <is>
          <t>2022</t>
        </is>
      </c>
      <c r="T139" s="5" t="inlineStr">
        <is>
          <t>2023</t>
        </is>
      </c>
      <c r="U139" s="5" t="inlineStr">
        <is>
          <t>2024</t>
        </is>
      </c>
      <c r="V139" s="5" t="inlineStr">
        <is>
          <t>2025</t>
        </is>
      </c>
      <c r="W139" s="5" t="inlineStr">
        <is>
          <t>2026</t>
        </is>
      </c>
      <c r="X139" s="5" t="inlineStr">
        <is>
          <t>2027</t>
        </is>
      </c>
      <c r="Y139" s="5" t="inlineStr">
        <is>
          <t>2028(MW)</t>
        </is>
      </c>
      <c r="Z139" s="5" t="inlineStr">
        <is>
          <t>2029(MW)</t>
        </is>
      </c>
      <c r="AA139" s="5" t="inlineStr">
        <is>
          <t>2030(MW)</t>
        </is>
      </c>
      <c r="AB139" s="5" t="inlineStr">
        <is>
          <t>2031(MW)</t>
        </is>
      </c>
      <c r="AC139" s="5" t="inlineStr">
        <is>
          <t>2032(MW)</t>
        </is>
      </c>
    </row>
    <row r="140">
      <c r="A140" s="18" t="inlineStr">
        <is>
          <t>StationeryAndOfficeSupplyReportableSegmentsMember · 외부 고객 매출</t>
        </is>
      </c>
      <c r="C140" s="20" t="n">
        <v>5183.236</v>
      </c>
      <c r="D140" s="20" t="n">
        <v>6189.249</v>
      </c>
      <c r="E140" s="20" t="n">
        <v>6839.502</v>
      </c>
      <c r="F140" s="20" t="n">
        <v>7122.651</v>
      </c>
      <c r="G140" s="20" t="n">
        <v>4922.836</v>
      </c>
      <c r="H140" s="20" t="n">
        <v>6096.275</v>
      </c>
      <c r="I140" s="20" t="n">
        <v>6846.367</v>
      </c>
      <c r="J140" s="20" t="n">
        <v>7312.615</v>
      </c>
      <c r="V140" s="20" t="n">
        <v>7122.651</v>
      </c>
      <c r="W140" s="20" t="n">
        <v>7312.615</v>
      </c>
    </row>
    <row r="141">
      <c r="A141" s="18" t="inlineStr">
        <is>
          <t>LifestyleProductsReportableSegmentMember · 외부 고객 매출</t>
        </is>
      </c>
      <c r="C141" s="20" t="n">
        <v>3601.94</v>
      </c>
      <c r="G141" s="20" t="n">
        <v>3328.637</v>
      </c>
    </row>
    <row r="142">
      <c r="A142" s="18" t="inlineStr">
        <is>
          <t>합계 · 외부 고객 매출</t>
        </is>
      </c>
      <c r="C142" s="20" t="n">
        <v>8785.175999999999</v>
      </c>
      <c r="D142" s="20" t="n">
        <v>9734.880999999999</v>
      </c>
      <c r="E142" s="20" t="n">
        <v>10261.756</v>
      </c>
      <c r="G142" s="20" t="n">
        <v>8251.473</v>
      </c>
      <c r="H142" s="20" t="n">
        <v>9715.757</v>
      </c>
      <c r="I142" s="20" t="n">
        <v>9934.630999999999</v>
      </c>
    </row>
    <row r="143">
      <c r="A143" s="18" t="inlineStr">
        <is>
          <t>InteriorLifeStyleReportableSegmentsMember · 외부 고객 매출</t>
        </is>
      </c>
      <c r="E143" s="20" t="n">
        <v>3422.254</v>
      </c>
      <c r="F143" s="20" t="n">
        <v>3648.605</v>
      </c>
      <c r="V143" s="20" t="n">
        <v>3648.605</v>
      </c>
    </row>
    <row r="144">
      <c r="A144" s="18" t="inlineStr">
        <is>
          <t>조정액 · 외부 고객 매출</t>
        </is>
      </c>
      <c r="C144" s="20" t="n">
        <v>0</v>
      </c>
      <c r="D144" s="20" t="n">
        <v>0</v>
      </c>
      <c r="E144" s="20" t="n">
        <v>0</v>
      </c>
      <c r="F144" s="20" t="n">
        <v>0</v>
      </c>
      <c r="G144" s="20" t="n">
        <v>0</v>
      </c>
      <c r="H144" s="20" t="n">
        <v>0</v>
      </c>
      <c r="I144" s="20" t="n">
        <v>0</v>
      </c>
      <c r="J144" s="20" t="n">
        <v>0</v>
      </c>
      <c r="V144" s="20" t="n">
        <v>0</v>
      </c>
      <c r="W144" s="20" t="n">
        <v>0</v>
      </c>
    </row>
    <row r="145">
      <c r="A145" s="18" t="inlineStr">
        <is>
          <t>EntityTotalMember · 외부 고객 매출</t>
        </is>
      </c>
      <c r="C145" s="20" t="n">
        <v>8785.175999999999</v>
      </c>
      <c r="G145" s="20" t="n">
        <v>8251.473</v>
      </c>
    </row>
    <row r="146">
      <c r="A146" s="9" t="inlineStr">
        <is>
          <t>외부 고객 매출</t>
        </is>
      </c>
      <c r="C146" s="12" t="n">
        <v>8785.175999999999</v>
      </c>
      <c r="D146" s="12" t="n">
        <v>9734.880999999999</v>
      </c>
      <c r="E146" s="12" t="n">
        <v>10261.756</v>
      </c>
      <c r="F146" s="12" t="n">
        <v>10771.256</v>
      </c>
      <c r="V146" s="12" t="n">
        <v>10771.256</v>
      </c>
    </row>
    <row r="147">
      <c r="A147" s="18" t="inlineStr">
        <is>
          <t>StationeryAndOfficeSupplyReportableSegmentsMember · 부문 간 내부매출·대체</t>
        </is>
      </c>
      <c r="C147" s="20" t="n">
        <v>23.281</v>
      </c>
      <c r="D147" s="20" t="n">
        <v>21.063</v>
      </c>
      <c r="E147" s="20" t="n">
        <v>26.047</v>
      </c>
      <c r="F147" s="20" t="n">
        <v>11.496</v>
      </c>
      <c r="G147" s="20" t="n">
        <v>63.093</v>
      </c>
      <c r="H147" s="20" t="n">
        <v>24.116</v>
      </c>
      <c r="I147" s="20" t="n">
        <v>23.729</v>
      </c>
      <c r="J147" s="20" t="n">
        <v>-12.373</v>
      </c>
      <c r="V147" s="20" t="n">
        <v>11.496</v>
      </c>
      <c r="W147" s="20" t="n">
        <v>-12.373</v>
      </c>
    </row>
    <row r="148">
      <c r="A148" s="18" t="inlineStr">
        <is>
          <t>LifestyleProductsReportableSegmentMember · 부문 간 내부매출·대체</t>
        </is>
      </c>
      <c r="C148" s="20" t="n">
        <v>60.857</v>
      </c>
      <c r="G148" s="20" t="n">
        <v>24.424</v>
      </c>
    </row>
    <row r="149">
      <c r="A149" s="18" t="inlineStr">
        <is>
          <t>합계 · 부문 간 내부매출·대체</t>
        </is>
      </c>
      <c r="C149" s="20" t="n">
        <v>84.13800000000001</v>
      </c>
      <c r="D149" s="20" t="n">
        <v>103.985</v>
      </c>
      <c r="E149" s="20" t="n">
        <v>108.64</v>
      </c>
      <c r="G149" s="20" t="n">
        <v>87.518</v>
      </c>
      <c r="H149" s="20" t="n">
        <v>53.186</v>
      </c>
      <c r="I149" s="20" t="n">
        <v>67.93000000000001</v>
      </c>
    </row>
    <row r="150">
      <c r="A150" s="18" t="inlineStr">
        <is>
          <t>InteriorLifeStyleReportableSegmentsMember · 부문 간 내부매출·대체</t>
        </is>
      </c>
      <c r="E150" s="20" t="n">
        <v>82.593</v>
      </c>
      <c r="F150" s="20" t="n">
        <v>22.315</v>
      </c>
      <c r="V150" s="20" t="n">
        <v>22.315</v>
      </c>
    </row>
    <row r="151">
      <c r="A151" s="18" t="inlineStr">
        <is>
          <t>조정액 · 부문 간 내부매출·대체</t>
        </is>
      </c>
      <c r="C151" s="20" t="n">
        <v>-84.13800000000001</v>
      </c>
      <c r="D151" s="20" t="n">
        <v>-103.985</v>
      </c>
      <c r="E151" s="20" t="n">
        <v>-108.64</v>
      </c>
      <c r="F151" s="20" t="n">
        <v>-33.812</v>
      </c>
      <c r="G151" s="20" t="n">
        <v>-87.518</v>
      </c>
      <c r="H151" s="20" t="n">
        <v>-53.186</v>
      </c>
      <c r="I151" s="20" t="n">
        <v>-67.93000000000001</v>
      </c>
      <c r="J151" s="20" t="n">
        <v>-202.542</v>
      </c>
      <c r="V151" s="20" t="n">
        <v>-33.812</v>
      </c>
      <c r="W151" s="20" t="n">
        <v>-202.542</v>
      </c>
    </row>
    <row r="152">
      <c r="A152" s="18" t="inlineStr">
        <is>
          <t>EntityTotalMember · 부문 간 내부매출·대체</t>
        </is>
      </c>
      <c r="C152" s="20" t="n">
        <v>0</v>
      </c>
      <c r="G152" s="20" t="n">
        <v>0</v>
      </c>
    </row>
    <row r="153">
      <c r="A153" s="18" t="inlineStr">
        <is>
          <t>부문 간 내부매출·대체</t>
        </is>
      </c>
      <c r="C153" s="20" t="n">
        <v>0</v>
      </c>
      <c r="D153" s="20" t="n">
        <v>0</v>
      </c>
      <c r="E153" s="20" t="n">
        <v>0</v>
      </c>
      <c r="F153" s="20" t="n">
        <v>0</v>
      </c>
      <c r="V153" s="20" t="n">
        <v>0</v>
      </c>
    </row>
    <row r="154">
      <c r="A154" s="18" t="inlineStr">
        <is>
          <t>StationeryAndOfficeSupplyReportableSegmentsMember · 계</t>
        </is>
      </c>
      <c r="C154" s="20" t="n">
        <v>5206.517</v>
      </c>
      <c r="D154" s="20" t="n">
        <v>6210.312</v>
      </c>
      <c r="E154" s="20" t="n">
        <v>6865.549</v>
      </c>
      <c r="F154" s="20" t="n">
        <v>7134.148</v>
      </c>
      <c r="G154" s="20" t="n">
        <v>4985.93</v>
      </c>
      <c r="H154" s="20" t="n">
        <v>6120.391</v>
      </c>
      <c r="I154" s="20" t="n">
        <v>6870.095</v>
      </c>
      <c r="J154" s="20" t="n">
        <v>7300.242</v>
      </c>
      <c r="V154" s="20" t="n">
        <v>7134.148</v>
      </c>
      <c r="W154" s="20" t="n">
        <v>7300.242</v>
      </c>
    </row>
    <row r="155">
      <c r="A155" s="18" t="inlineStr">
        <is>
          <t>LifestyleProductsReportableSegmentMember · 계</t>
        </is>
      </c>
      <c r="C155" s="20" t="n">
        <v>3662.797</v>
      </c>
      <c r="G155" s="20" t="n">
        <v>3353.061</v>
      </c>
    </row>
    <row r="156">
      <c r="A156" s="18" t="inlineStr">
        <is>
          <t>합계 · 계</t>
        </is>
      </c>
      <c r="C156" s="20" t="n">
        <v>8869.315000000001</v>
      </c>
      <c r="D156" s="20" t="n">
        <v>9838.866</v>
      </c>
      <c r="E156" s="20" t="n">
        <v>10370.396</v>
      </c>
      <c r="G156" s="20" t="n">
        <v>8338.991</v>
      </c>
      <c r="H156" s="20" t="n">
        <v>9768.944</v>
      </c>
      <c r="I156" s="20" t="n">
        <v>10002.56</v>
      </c>
    </row>
    <row r="157">
      <c r="A157" s="18" t="inlineStr">
        <is>
          <t>InteriorLifeStyleReportableSegmentsMember · 계</t>
        </is>
      </c>
      <c r="E157" s="20" t="n">
        <v>3504.847</v>
      </c>
      <c r="F157" s="20" t="n">
        <v>3670.921</v>
      </c>
      <c r="V157" s="20" t="n">
        <v>3670.921</v>
      </c>
    </row>
    <row r="158">
      <c r="A158" s="18" t="inlineStr">
        <is>
          <t>조정액 · 계</t>
        </is>
      </c>
      <c r="C158" s="20" t="n">
        <v>-84.13800000000001</v>
      </c>
      <c r="D158" s="20" t="n">
        <v>-103.985</v>
      </c>
      <c r="E158" s="20" t="n">
        <v>-108.64</v>
      </c>
      <c r="F158" s="20" t="n">
        <v>-33.812</v>
      </c>
      <c r="G158" s="20" t="n">
        <v>-87.518</v>
      </c>
      <c r="H158" s="20" t="n">
        <v>-53.186</v>
      </c>
      <c r="I158" s="20" t="n">
        <v>-67.93000000000001</v>
      </c>
      <c r="J158" s="20" t="n">
        <v>-202.542</v>
      </c>
      <c r="V158" s="20" t="n">
        <v>-33.812</v>
      </c>
      <c r="W158" s="20" t="n">
        <v>-202.542</v>
      </c>
    </row>
    <row r="159">
      <c r="A159" s="18" t="inlineStr">
        <is>
          <t>EntityTotalMember · 계</t>
        </is>
      </c>
      <c r="C159" s="20" t="n">
        <v>8785.175999999999</v>
      </c>
      <c r="G159" s="20" t="n">
        <v>8251.473</v>
      </c>
    </row>
    <row r="160">
      <c r="A160" s="9" t="inlineStr">
        <is>
          <t>계</t>
        </is>
      </c>
      <c r="C160" s="12" t="n">
        <v>8785.175999999999</v>
      </c>
      <c r="D160" s="12" t="n">
        <v>9734.880999999999</v>
      </c>
      <c r="E160" s="12" t="n">
        <v>10261.756</v>
      </c>
      <c r="F160" s="12" t="n">
        <v>10771.256</v>
      </c>
      <c r="V160" s="12" t="n">
        <v>10771.256</v>
      </c>
    </row>
    <row r="161">
      <c r="A161" s="18" t="inlineStr">
        <is>
          <t>StationeryAndOfficeSupplyReportableSegmentsMember · 부문 이익</t>
        </is>
      </c>
      <c r="C161" s="20" t="n">
        <v>-297.306</v>
      </c>
      <c r="D161" s="20" t="n">
        <v>157.08</v>
      </c>
      <c r="E161" s="20" t="n">
        <v>399.402</v>
      </c>
      <c r="F161" s="20" t="n">
        <v>-726.756</v>
      </c>
      <c r="G161" s="20" t="n">
        <v>-338.173</v>
      </c>
      <c r="H161" s="20" t="n">
        <v>223.684</v>
      </c>
      <c r="I161" s="20" t="n">
        <v>394.208</v>
      </c>
      <c r="J161" s="20" t="n">
        <v>102.944</v>
      </c>
      <c r="V161" s="20" t="n">
        <v>-726.756</v>
      </c>
      <c r="W161" s="20" t="n">
        <v>102.944</v>
      </c>
    </row>
    <row r="162">
      <c r="A162" s="18" t="inlineStr">
        <is>
          <t>LifestyleProductsReportableSegmentMember · 부문 이익(손실)</t>
        </is>
      </c>
      <c r="C162" s="20" t="n">
        <v>41.631</v>
      </c>
      <c r="G162" s="20" t="n">
        <v>120.255</v>
      </c>
    </row>
    <row r="163">
      <c r="A163" s="18" t="inlineStr">
        <is>
          <t>합계 · 부문 이익</t>
        </is>
      </c>
      <c r="C163" s="20" t="n">
        <v>-255.674</v>
      </c>
      <c r="D163" s="20" t="n">
        <v>268.442</v>
      </c>
      <c r="E163" s="20" t="n">
        <v>360.427</v>
      </c>
      <c r="G163" s="20" t="n">
        <v>-217.918</v>
      </c>
      <c r="H163" s="20" t="n">
        <v>408.918</v>
      </c>
      <c r="I163" s="20" t="n">
        <v>324.7</v>
      </c>
    </row>
    <row r="164">
      <c r="A164" s="18" t="inlineStr">
        <is>
          <t>InteriorLifeStyleReportableSegmentsMember · 부문 이익</t>
        </is>
      </c>
      <c r="E164" s="20" t="n">
        <v>-38.976</v>
      </c>
      <c r="F164" s="20" t="n">
        <v>80.033</v>
      </c>
      <c r="V164" s="20" t="n">
        <v>80.033</v>
      </c>
    </row>
    <row r="165">
      <c r="A165" s="18" t="inlineStr">
        <is>
          <t>조정액 · 부문 이익</t>
        </is>
      </c>
      <c r="C165" s="20" t="n">
        <v>2.915</v>
      </c>
      <c r="D165" s="20" t="n">
        <v>2.83</v>
      </c>
      <c r="E165" s="20" t="n">
        <v>7.829</v>
      </c>
      <c r="F165" s="20" t="n">
        <v>18.072</v>
      </c>
      <c r="G165" s="20" t="n">
        <v>4.13</v>
      </c>
      <c r="H165" s="20" t="n">
        <v>3.717</v>
      </c>
      <c r="I165" s="20" t="n">
        <v>-0.579</v>
      </c>
      <c r="J165" s="20" t="n">
        <v>16.405</v>
      </c>
      <c r="V165" s="20" t="n">
        <v>18.072</v>
      </c>
      <c r="W165" s="20" t="n">
        <v>16.405</v>
      </c>
    </row>
    <row r="166">
      <c r="A166" s="18" t="inlineStr">
        <is>
          <t>EntityTotalMember · 부문 이익</t>
        </is>
      </c>
      <c r="C166" s="20" t="n">
        <v>-252.759</v>
      </c>
      <c r="G166" s="20" t="n">
        <v>-213.787</v>
      </c>
    </row>
    <row r="167">
      <c r="A167" s="9" t="inlineStr">
        <is>
          <t>부문 이익</t>
        </is>
      </c>
      <c r="C167" s="12" t="n">
        <v>-252.759</v>
      </c>
      <c r="D167" s="12" t="n">
        <v>271.273</v>
      </c>
      <c r="E167" s="12" t="n">
        <v>368.255</v>
      </c>
      <c r="F167" s="12" t="n">
        <v>-628.652</v>
      </c>
      <c r="V167" s="12" t="n">
        <v>-628.652</v>
      </c>
    </row>
    <row r="169">
      <c r="A169" s="16" t="inlineStr">
        <is>
          <t>현금흐름표 · 전 항목</t>
        </is>
      </c>
      <c r="B169" s="42" t="inlineStr">
        <is>
          <t>분기 = 결산기 첫날부터 누계(공시 그대로)</t>
        </is>
      </c>
      <c r="C169" s="16" t="n"/>
      <c r="D169" s="16" t="n"/>
      <c r="E169" s="16" t="n"/>
      <c r="F169" s="16" t="n"/>
      <c r="G169" s="16" t="n"/>
      <c r="H169" s="16" t="n"/>
      <c r="I169" s="16" t="n"/>
      <c r="J169" s="16" t="n"/>
      <c r="K169" s="16" t="n"/>
      <c r="L169" s="16" t="n"/>
      <c r="M169" s="16" t="n"/>
      <c r="N169" s="16" t="n"/>
      <c r="O169" s="16" t="n"/>
      <c r="P169" s="16" t="n"/>
      <c r="Q169" s="16" t="n"/>
      <c r="R169" s="16" t="n"/>
      <c r="S169" s="16" t="n"/>
      <c r="T169" s="16" t="n"/>
      <c r="U169" s="16" t="n"/>
      <c r="V169" s="16" t="n"/>
      <c r="W169" s="16" t="n"/>
      <c r="X169" s="16" t="n"/>
      <c r="Y169" s="16" t="n"/>
      <c r="Z169" s="16" t="n"/>
      <c r="AA169" s="16" t="n"/>
      <c r="AB169" s="16" t="n"/>
      <c r="AC169" s="16" t="n"/>
    </row>
    <row r="170">
      <c r="A170" s="5" t="inlineStr">
        <is>
          <t>항목</t>
        </is>
      </c>
      <c r="B170" s="5" t="inlineStr">
        <is>
          <t>참고</t>
        </is>
      </c>
      <c r="C170" s="5" t="inlineStr">
        <is>
          <t>2025.1Q</t>
        </is>
      </c>
      <c r="D170" s="5" t="inlineStr">
        <is>
          <t>2025.2Q</t>
        </is>
      </c>
      <c r="E170" s="5" t="inlineStr">
        <is>
          <t>2025.3Q</t>
        </is>
      </c>
      <c r="F170" s="5" t="inlineStr">
        <is>
          <t>2025.4Q</t>
        </is>
      </c>
      <c r="G170" s="5" t="inlineStr">
        <is>
          <t>2026.1Q</t>
        </is>
      </c>
      <c r="H170" s="5" t="inlineStr">
        <is>
          <t>2026.2Q</t>
        </is>
      </c>
      <c r="I170" s="5" t="inlineStr">
        <is>
          <t>2026.3Q</t>
        </is>
      </c>
      <c r="J170" s="5" t="inlineStr">
        <is>
          <t>2026.4Q</t>
        </is>
      </c>
      <c r="K170" s="5" t="inlineStr">
        <is>
          <t>2027.1Q</t>
        </is>
      </c>
      <c r="L170" s="5" t="inlineStr">
        <is>
          <t>2027.2Q</t>
        </is>
      </c>
      <c r="M170" s="5" t="inlineStr">
        <is>
          <t>2027.3Q</t>
        </is>
      </c>
      <c r="N170" s="5" t="inlineStr">
        <is>
          <t>2027.4Q</t>
        </is>
      </c>
      <c r="O170" s="5" t="inlineStr">
        <is>
          <t>2018</t>
        </is>
      </c>
      <c r="P170" s="5" t="inlineStr">
        <is>
          <t>2019</t>
        </is>
      </c>
      <c r="Q170" s="5" t="inlineStr">
        <is>
          <t>2020</t>
        </is>
      </c>
      <c r="R170" s="5" t="inlineStr">
        <is>
          <t>2021</t>
        </is>
      </c>
      <c r="S170" s="5" t="inlineStr">
        <is>
          <t>2022</t>
        </is>
      </c>
      <c r="T170" s="5" t="inlineStr">
        <is>
          <t>2023</t>
        </is>
      </c>
      <c r="U170" s="5" t="inlineStr">
        <is>
          <t>2024</t>
        </is>
      </c>
      <c r="V170" s="5" t="inlineStr">
        <is>
          <t>2025</t>
        </is>
      </c>
      <c r="W170" s="5" t="inlineStr">
        <is>
          <t>2026</t>
        </is>
      </c>
      <c r="X170" s="5" t="inlineStr">
        <is>
          <t>2027</t>
        </is>
      </c>
      <c r="Y170" s="5" t="inlineStr">
        <is>
          <t>2028(MW)</t>
        </is>
      </c>
      <c r="Z170" s="5" t="inlineStr">
        <is>
          <t>2029(MW)</t>
        </is>
      </c>
      <c r="AA170" s="5" t="inlineStr">
        <is>
          <t>2030(MW)</t>
        </is>
      </c>
      <c r="AB170" s="5" t="inlineStr">
        <is>
          <t>2031(MW)</t>
        </is>
      </c>
      <c r="AC170" s="5" t="inlineStr">
        <is>
          <t>2032(MW)</t>
        </is>
      </c>
    </row>
    <row r="171">
      <c r="A171" s="9" t="inlineStr">
        <is>
          <t>법인세차감전 순이익</t>
        </is>
      </c>
      <c r="D171" s="12" t="n">
        <v>180.864</v>
      </c>
      <c r="F171" s="12" t="n">
        <v>42.033</v>
      </c>
      <c r="H171" s="12" t="n">
        <v>368.01</v>
      </c>
      <c r="J171" s="12" t="n">
        <v>820.566</v>
      </c>
      <c r="N171" s="12" t="n">
        <v>1634.098</v>
      </c>
      <c r="O171" s="12" t="n">
        <v>1776.137</v>
      </c>
      <c r="P171" s="12" t="n">
        <v>1974.736</v>
      </c>
      <c r="Q171" s="12" t="n">
        <v>1554.905</v>
      </c>
      <c r="R171" s="12" t="n">
        <v>1539.213</v>
      </c>
      <c r="S171" s="12" t="n">
        <v>2718.736</v>
      </c>
      <c r="T171" s="12" t="n">
        <v>1224.577</v>
      </c>
      <c r="U171" s="12" t="n">
        <v>817.092</v>
      </c>
      <c r="V171" s="12" t="n">
        <v>42.033</v>
      </c>
      <c r="W171" s="12" t="n">
        <v>820.566</v>
      </c>
      <c r="X171" s="12" t="n">
        <v>1634.098</v>
      </c>
    </row>
    <row r="172">
      <c r="A172" s="18" t="inlineStr">
        <is>
          <t>감가상각비</t>
        </is>
      </c>
      <c r="D172" s="20" t="n">
        <v>324.652</v>
      </c>
      <c r="F172" s="20" t="n">
        <v>655.669</v>
      </c>
      <c r="H172" s="20" t="n">
        <v>300.294</v>
      </c>
      <c r="J172" s="20" t="n">
        <v>744.881</v>
      </c>
      <c r="N172" s="20" t="n">
        <v>649.085</v>
      </c>
      <c r="O172" s="20" t="n">
        <v>680.885</v>
      </c>
      <c r="P172" s="20" t="n">
        <v>641.681</v>
      </c>
      <c r="Q172" s="20" t="n">
        <v>650.567</v>
      </c>
      <c r="R172" s="20" t="n">
        <v>643.426</v>
      </c>
      <c r="S172" s="20" t="n">
        <v>628.628</v>
      </c>
      <c r="T172" s="20" t="n">
        <v>658.967</v>
      </c>
      <c r="U172" s="20" t="n">
        <v>631.6369999999999</v>
      </c>
      <c r="V172" s="20" t="n">
        <v>655.669</v>
      </c>
      <c r="W172" s="20" t="n">
        <v>744.881</v>
      </c>
      <c r="X172" s="20" t="n">
        <v>649.085</v>
      </c>
    </row>
    <row r="173">
      <c r="A173" s="18" t="inlineStr">
        <is>
          <t>손상차손</t>
        </is>
      </c>
      <c r="F173" s="20" t="n">
        <v>172.125</v>
      </c>
      <c r="J173" s="20" t="n">
        <v>116.057</v>
      </c>
      <c r="N173" s="20" t="n">
        <v>37.527</v>
      </c>
      <c r="O173" s="20" t="n">
        <v>48.288</v>
      </c>
      <c r="P173" s="20" t="n">
        <v>106.984</v>
      </c>
      <c r="Q173" s="20" t="n">
        <v>67.462</v>
      </c>
      <c r="R173" s="20" t="n">
        <v>21.913</v>
      </c>
      <c r="S173" s="20" t="n">
        <v>0</v>
      </c>
      <c r="U173" s="20" t="n">
        <v>0</v>
      </c>
      <c r="V173" s="20" t="n">
        <v>172.125</v>
      </c>
      <c r="W173" s="20" t="n">
        <v>116.057</v>
      </c>
      <c r="X173" s="20" t="n">
        <v>37.527</v>
      </c>
    </row>
    <row r="174">
      <c r="A174" s="18" t="inlineStr">
        <is>
          <t>영업권 상각</t>
        </is>
      </c>
      <c r="D174" s="20" t="n">
        <v>100.029</v>
      </c>
      <c r="F174" s="20" t="n">
        <v>240.56</v>
      </c>
      <c r="H174" s="20" t="n">
        <v>82.17400000000001</v>
      </c>
      <c r="J174" s="20" t="n">
        <v>200.059</v>
      </c>
      <c r="N174" s="20" t="n">
        <v>164.349</v>
      </c>
      <c r="O174" s="20" t="n">
        <v>155.516</v>
      </c>
      <c r="P174" s="20" t="n">
        <v>142.645</v>
      </c>
      <c r="Q174" s="20" t="n">
        <v>0</v>
      </c>
      <c r="S174" s="20" t="n">
        <v>0</v>
      </c>
      <c r="T174" s="20" t="n">
        <v>82.17400000000001</v>
      </c>
      <c r="U174" s="20" t="n">
        <v>196.104</v>
      </c>
      <c r="V174" s="20" t="n">
        <v>240.56</v>
      </c>
      <c r="W174" s="20" t="n">
        <v>200.059</v>
      </c>
      <c r="X174" s="20" t="n">
        <v>164.349</v>
      </c>
    </row>
    <row r="175">
      <c r="A175" s="18" t="inlineStr">
        <is>
          <t>대손충당금 증감</t>
        </is>
      </c>
      <c r="D175" s="20" t="n">
        <v>-3.071</v>
      </c>
      <c r="F175" s="20" t="n">
        <v>2.31</v>
      </c>
      <c r="H175" s="20" t="n">
        <v>1.034</v>
      </c>
      <c r="J175" s="20" t="n">
        <v>-3.015</v>
      </c>
      <c r="N175" s="20" t="n">
        <v>0.728</v>
      </c>
      <c r="O175" s="20" t="n">
        <v>8.491</v>
      </c>
      <c r="P175" s="20" t="n">
        <v>-1.368</v>
      </c>
      <c r="Q175" s="20" t="n">
        <v>-1.917</v>
      </c>
      <c r="R175" s="20" t="n">
        <v>-1.241</v>
      </c>
      <c r="S175" s="20" t="n">
        <v>14.027</v>
      </c>
      <c r="T175" s="20" t="n">
        <v>-17.69</v>
      </c>
      <c r="U175" s="20" t="n">
        <v>-2.585</v>
      </c>
      <c r="V175" s="20" t="n">
        <v>2.31</v>
      </c>
      <c r="W175" s="20" t="n">
        <v>-3.015</v>
      </c>
      <c r="X175" s="20" t="n">
        <v>0.728</v>
      </c>
    </row>
    <row r="176">
      <c r="A176" s="18" t="inlineStr">
        <is>
          <t>퇴직급여부채 증감</t>
        </is>
      </c>
      <c r="D176" s="20" t="n">
        <v>10.156</v>
      </c>
      <c r="F176" s="20" t="n">
        <v>-8.617000000000001</v>
      </c>
      <c r="H176" s="20" t="n">
        <v>-0.048</v>
      </c>
      <c r="J176" s="20" t="n">
        <v>37.775</v>
      </c>
      <c r="N176" s="20" t="n">
        <v>16.742</v>
      </c>
      <c r="O176" s="20" t="n">
        <v>44.523</v>
      </c>
      <c r="P176" s="20" t="n">
        <v>46.697</v>
      </c>
      <c r="Q176" s="20" t="n">
        <v>42.467</v>
      </c>
      <c r="R176" s="20" t="n">
        <v>50.982</v>
      </c>
      <c r="S176" s="20" t="n">
        <v>87.714</v>
      </c>
      <c r="T176" s="20" t="n">
        <v>-48.481</v>
      </c>
      <c r="U176" s="20" t="n">
        <v>-62.231</v>
      </c>
      <c r="V176" s="20" t="n">
        <v>-8.617000000000001</v>
      </c>
      <c r="W176" s="20" t="n">
        <v>37.775</v>
      </c>
      <c r="X176" s="20" t="n">
        <v>16.742</v>
      </c>
    </row>
    <row r="177">
      <c r="A177" s="18" t="inlineStr">
        <is>
          <t>퇴직급여자산 증감</t>
        </is>
      </c>
      <c r="D177" s="20" t="n">
        <v>-99.623</v>
      </c>
      <c r="F177" s="20" t="n">
        <v>-119.616</v>
      </c>
      <c r="H177" s="20" t="n">
        <v>-93.744</v>
      </c>
      <c r="J177" s="20" t="n">
        <v>-197.999</v>
      </c>
      <c r="N177" s="20" t="n">
        <v>-185.607</v>
      </c>
      <c r="O177" s="20" t="n">
        <v>-81.303</v>
      </c>
      <c r="P177" s="20" t="n">
        <v>-83.803</v>
      </c>
      <c r="Q177" s="20" t="n">
        <v>20.011</v>
      </c>
      <c r="R177" s="20" t="n">
        <v>25.553</v>
      </c>
      <c r="S177" s="20" t="n">
        <v>51.974</v>
      </c>
      <c r="T177" s="20" t="n">
        <v>-161.73</v>
      </c>
      <c r="U177" s="20" t="n">
        <v>-96.309</v>
      </c>
      <c r="V177" s="20" t="n">
        <v>-119.616</v>
      </c>
      <c r="W177" s="20" t="n">
        <v>-197.999</v>
      </c>
      <c r="X177" s="20" t="n">
        <v>-185.607</v>
      </c>
    </row>
    <row r="178">
      <c r="A178" s="18" t="inlineStr">
        <is>
          <t>이자·배당금 수익</t>
        </is>
      </c>
      <c r="D178" s="20" t="n">
        <v>-105.313</v>
      </c>
      <c r="F178" s="20" t="n">
        <v>-127.549</v>
      </c>
      <c r="H178" s="20" t="n">
        <v>-121.272</v>
      </c>
      <c r="J178" s="20" t="n">
        <v>-122.873</v>
      </c>
      <c r="N178" s="20" t="n">
        <v>-173.83</v>
      </c>
      <c r="O178" s="20" t="n">
        <v>-54.238</v>
      </c>
      <c r="P178" s="20" t="n">
        <v>-56.844</v>
      </c>
      <c r="Q178" s="20" t="n">
        <v>-64.307</v>
      </c>
      <c r="R178" s="20" t="n">
        <v>-74.527</v>
      </c>
      <c r="S178" s="20" t="n">
        <v>-72.90000000000001</v>
      </c>
      <c r="T178" s="20" t="n">
        <v>-75.828</v>
      </c>
      <c r="U178" s="20" t="n">
        <v>-105.003</v>
      </c>
      <c r="V178" s="20" t="n">
        <v>-127.549</v>
      </c>
      <c r="W178" s="20" t="n">
        <v>-122.873</v>
      </c>
      <c r="X178" s="20" t="n">
        <v>-173.83</v>
      </c>
    </row>
    <row r="179">
      <c r="A179" s="18" t="inlineStr">
        <is>
          <t>이자비용</t>
        </is>
      </c>
      <c r="D179" s="20" t="n">
        <v>25.756</v>
      </c>
      <c r="F179" s="20" t="n">
        <v>45.265</v>
      </c>
      <c r="H179" s="20" t="n">
        <v>38.349</v>
      </c>
      <c r="J179" s="20" t="n">
        <v>64.688</v>
      </c>
      <c r="N179" s="20" t="n">
        <v>84.40900000000001</v>
      </c>
      <c r="O179" s="20" t="n">
        <v>19.783</v>
      </c>
      <c r="P179" s="20" t="n">
        <v>7.805</v>
      </c>
      <c r="Q179" s="20" t="n">
        <v>4.928</v>
      </c>
      <c r="R179" s="20" t="n">
        <v>7.491</v>
      </c>
      <c r="S179" s="20" t="n">
        <v>6.795</v>
      </c>
      <c r="T179" s="20" t="n">
        <v>18.663</v>
      </c>
      <c r="U179" s="20" t="n">
        <v>42.744</v>
      </c>
      <c r="V179" s="20" t="n">
        <v>45.265</v>
      </c>
      <c r="W179" s="20" t="n">
        <v>64.688</v>
      </c>
      <c r="X179" s="20" t="n">
        <v>84.40900000000001</v>
      </c>
    </row>
    <row r="180">
      <c r="A180" s="18" t="inlineStr">
        <is>
          <t>외환차손익</t>
        </is>
      </c>
      <c r="D180" s="20" t="n">
        <v>-1.708</v>
      </c>
      <c r="F180" s="20" t="n">
        <v>-32.236</v>
      </c>
      <c r="H180" s="20" t="n">
        <v>-14.612</v>
      </c>
      <c r="J180" s="20" t="n">
        <v>8.673</v>
      </c>
      <c r="N180" s="20" t="n">
        <v>-14.377</v>
      </c>
      <c r="O180" s="20" t="n">
        <v>-41.777</v>
      </c>
      <c r="P180" s="20" t="n">
        <v>7.24</v>
      </c>
      <c r="Q180" s="20" t="n">
        <v>16.546</v>
      </c>
      <c r="R180" s="20" t="n">
        <v>-2.552</v>
      </c>
      <c r="S180" s="20" t="n">
        <v>-13.977</v>
      </c>
      <c r="T180" s="20" t="n">
        <v>-61.444</v>
      </c>
      <c r="U180" s="20" t="n">
        <v>-18.2</v>
      </c>
      <c r="V180" s="20" t="n">
        <v>-32.236</v>
      </c>
      <c r="W180" s="20" t="n">
        <v>8.673</v>
      </c>
      <c r="X180" s="20" t="n">
        <v>-14.377</v>
      </c>
    </row>
    <row r="181">
      <c r="A181" s="18" t="inlineStr">
        <is>
          <t>고정자산 제각·매각손익</t>
        </is>
      </c>
      <c r="D181" s="20" t="n">
        <v>0.119</v>
      </c>
      <c r="H181" s="20" t="n">
        <v>1.186</v>
      </c>
    </row>
    <row r="182">
      <c r="A182" s="18" t="inlineStr">
        <is>
          <t>고정자산 제각손실</t>
        </is>
      </c>
      <c r="F182" s="20" t="n">
        <v>4.148</v>
      </c>
      <c r="J182" s="20" t="n">
        <v>2.175</v>
      </c>
      <c r="N182" s="20" t="n">
        <v>2.202</v>
      </c>
      <c r="O182" s="20" t="n">
        <v>4.174</v>
      </c>
      <c r="P182" s="20" t="n">
        <v>8.327</v>
      </c>
      <c r="Q182" s="20" t="n">
        <v>15.325</v>
      </c>
      <c r="R182" s="20" t="n">
        <v>14.725</v>
      </c>
      <c r="S182" s="20" t="n">
        <v>7.073</v>
      </c>
      <c r="T182" s="20" t="n">
        <v>115.1</v>
      </c>
      <c r="U182" s="20" t="n">
        <v>0.122</v>
      </c>
      <c r="V182" s="20" t="n">
        <v>4.148</v>
      </c>
      <c r="W182" s="20" t="n">
        <v>2.175</v>
      </c>
      <c r="X182" s="20" t="n">
        <v>2.202</v>
      </c>
    </row>
    <row r="183">
      <c r="A183" s="18" t="inlineStr">
        <is>
          <t>고정자산 매각손익</t>
        </is>
      </c>
      <c r="F183" s="20" t="n">
        <v>-137.898</v>
      </c>
      <c r="J183" s="20" t="n">
        <v>-0.06900000000000001</v>
      </c>
      <c r="N183" s="20" t="n">
        <v>-1.076</v>
      </c>
      <c r="O183" s="20" t="n">
        <v>-0.538</v>
      </c>
      <c r="P183" s="20" t="n">
        <v>-0.232</v>
      </c>
      <c r="Q183" s="20" t="n">
        <v>-0.752</v>
      </c>
      <c r="R183" s="20" t="n">
        <v>-86.41</v>
      </c>
      <c r="S183" s="20" t="n">
        <v>-0.453</v>
      </c>
      <c r="T183" s="20" t="n">
        <v>-0.652</v>
      </c>
      <c r="U183" s="20" t="n">
        <v>0.122</v>
      </c>
      <c r="V183" s="20" t="n">
        <v>-137.898</v>
      </c>
      <c r="W183" s="20" t="n">
        <v>-0.06900000000000001</v>
      </c>
      <c r="X183" s="20" t="n">
        <v>-1.076</v>
      </c>
    </row>
    <row r="184">
      <c r="A184" s="18" t="inlineStr">
        <is>
          <t>투자유가증권 매각손익</t>
        </is>
      </c>
      <c r="F184" s="20" t="n">
        <v>0</v>
      </c>
      <c r="J184" s="20" t="n">
        <v>-103.087</v>
      </c>
      <c r="N184" s="20" t="n">
        <v>-179.441</v>
      </c>
      <c r="T184" s="20" t="n">
        <v>-0.911</v>
      </c>
      <c r="U184" s="20" t="n">
        <v>-136.209</v>
      </c>
      <c r="V184" s="20" t="n">
        <v>0</v>
      </c>
      <c r="W184" s="20" t="n">
        <v>-103.087</v>
      </c>
      <c r="X184" s="20" t="n">
        <v>-179.441</v>
      </c>
    </row>
    <row r="185">
      <c r="A185" s="18" t="inlineStr">
        <is>
          <t>보조금 수입</t>
        </is>
      </c>
      <c r="R185" s="20" t="n">
        <v>-10.814</v>
      </c>
      <c r="S185" s="20" t="n">
        <v>-40.252</v>
      </c>
      <c r="T185" s="20" t="n">
        <v>-17.266</v>
      </c>
      <c r="U185" s="20" t="n">
        <v>-7.75</v>
      </c>
    </row>
    <row r="186">
      <c r="A186" s="18" t="inlineStr">
        <is>
          <t>특별퇴직금</t>
        </is>
      </c>
      <c r="D186" s="20" t="n">
        <v>0</v>
      </c>
      <c r="F186" s="20" t="n">
        <v>49.868</v>
      </c>
      <c r="H186" s="20" t="n">
        <v>13.607</v>
      </c>
      <c r="J186" s="20" t="n">
        <v>0</v>
      </c>
      <c r="N186" s="20" t="n">
        <v>17.633</v>
      </c>
      <c r="R186" s="20" t="n">
        <v>0</v>
      </c>
      <c r="S186" s="20" t="n">
        <v>30.095</v>
      </c>
      <c r="T186" s="20" t="n">
        <v>0</v>
      </c>
      <c r="U186" s="20" t="n">
        <v>0</v>
      </c>
      <c r="V186" s="20" t="n">
        <v>49.868</v>
      </c>
      <c r="W186" s="20" t="n">
        <v>0</v>
      </c>
      <c r="X186" s="20" t="n">
        <v>17.633</v>
      </c>
    </row>
    <row r="187">
      <c r="A187" s="18" t="inlineStr">
        <is>
          <t>매출채권 증감</t>
        </is>
      </c>
      <c r="D187" s="20" t="n">
        <v>-83.78400000000001</v>
      </c>
      <c r="F187" s="20" t="n">
        <v>-244.471</v>
      </c>
      <c r="H187" s="20" t="n">
        <v>-130.374</v>
      </c>
      <c r="J187" s="20" t="n">
        <v>-59.756</v>
      </c>
      <c r="N187" s="20" t="n">
        <v>-169.093</v>
      </c>
      <c r="O187" s="20" t="n">
        <v>-84.377</v>
      </c>
      <c r="P187" s="20" t="n">
        <v>-229.864</v>
      </c>
      <c r="Q187" s="20" t="n">
        <v>85.31100000000001</v>
      </c>
      <c r="R187" s="20" t="n">
        <v>88.13800000000001</v>
      </c>
      <c r="S187" s="20" t="n">
        <v>208.271</v>
      </c>
      <c r="T187" s="20" t="n">
        <v>74.508</v>
      </c>
      <c r="U187" s="20" t="n">
        <v>351.739</v>
      </c>
      <c r="V187" s="20" t="n">
        <v>-244.471</v>
      </c>
      <c r="W187" s="20" t="n">
        <v>-59.756</v>
      </c>
      <c r="X187" s="20" t="n">
        <v>-169.093</v>
      </c>
    </row>
    <row r="188">
      <c r="A188" s="18" t="inlineStr">
        <is>
          <t>재고자산 증감</t>
        </is>
      </c>
      <c r="D188" s="20" t="n">
        <v>-700.686</v>
      </c>
      <c r="F188" s="20" t="n">
        <v>584.109</v>
      </c>
      <c r="H188" s="20" t="n">
        <v>-966.662</v>
      </c>
      <c r="J188" s="20" t="n">
        <v>129.288</v>
      </c>
      <c r="N188" s="20" t="n">
        <v>315.819</v>
      </c>
      <c r="O188" s="20" t="n">
        <v>1382.575</v>
      </c>
      <c r="P188" s="20" t="n">
        <v>-494.241</v>
      </c>
      <c r="Q188" s="20" t="n">
        <v>-414.491</v>
      </c>
      <c r="R188" s="20" t="n">
        <v>-271.024</v>
      </c>
      <c r="S188" s="20" t="n">
        <v>-184.096</v>
      </c>
      <c r="T188" s="20" t="n">
        <v>-1304.236</v>
      </c>
      <c r="U188" s="20" t="n">
        <v>-874.458</v>
      </c>
      <c r="V188" s="20" t="n">
        <v>584.109</v>
      </c>
      <c r="W188" s="20" t="n">
        <v>129.288</v>
      </c>
      <c r="X188" s="20" t="n">
        <v>315.819</v>
      </c>
    </row>
    <row r="189">
      <c r="A189" s="18" t="inlineStr">
        <is>
          <t>기타 자산 증감</t>
        </is>
      </c>
      <c r="D189" s="20" t="n">
        <v>-281.957</v>
      </c>
      <c r="F189" s="20" t="n">
        <v>146.668</v>
      </c>
      <c r="H189" s="20" t="n">
        <v>-80.419</v>
      </c>
      <c r="J189" s="20" t="n">
        <v>-32.779</v>
      </c>
      <c r="N189" s="20" t="n">
        <v>-232.357</v>
      </c>
      <c r="O189" s="20" t="n">
        <v>55.349</v>
      </c>
      <c r="P189" s="20" t="n">
        <v>40.771</v>
      </c>
      <c r="Q189" s="20" t="n">
        <v>43.286</v>
      </c>
      <c r="R189" s="20" t="n">
        <v>-105.996</v>
      </c>
      <c r="S189" s="20" t="n">
        <v>-90.95099999999999</v>
      </c>
      <c r="T189" s="20" t="n">
        <v>174.254</v>
      </c>
      <c r="U189" s="20" t="n">
        <v>-40.262</v>
      </c>
      <c r="V189" s="20" t="n">
        <v>146.668</v>
      </c>
      <c r="W189" s="20" t="n">
        <v>-32.779</v>
      </c>
      <c r="X189" s="20" t="n">
        <v>-232.357</v>
      </c>
    </row>
    <row r="190">
      <c r="A190" s="18" t="inlineStr">
        <is>
          <t>매입채무 증감</t>
        </is>
      </c>
      <c r="D190" s="20" t="n">
        <v>610.239</v>
      </c>
      <c r="F190" s="20" t="n">
        <v>-444.454</v>
      </c>
      <c r="H190" s="20" t="n">
        <v>241.303</v>
      </c>
      <c r="J190" s="20" t="n">
        <v>245.162</v>
      </c>
      <c r="N190" s="20" t="n">
        <v>141.831</v>
      </c>
      <c r="O190" s="20" t="n">
        <v>-60.115</v>
      </c>
      <c r="P190" s="20" t="n">
        <v>-14.33</v>
      </c>
      <c r="Q190" s="20" t="n">
        <v>-237.071</v>
      </c>
      <c r="R190" s="20" t="n">
        <v>477.194</v>
      </c>
      <c r="S190" s="20" t="n">
        <v>-120.652</v>
      </c>
      <c r="T190" s="20" t="n">
        <v>-579.818</v>
      </c>
      <c r="U190" s="20" t="n">
        <v>-293.586</v>
      </c>
      <c r="V190" s="20" t="n">
        <v>-444.454</v>
      </c>
      <c r="W190" s="20" t="n">
        <v>245.162</v>
      </c>
      <c r="X190" s="20" t="n">
        <v>141.831</v>
      </c>
    </row>
    <row r="191">
      <c r="A191" s="18" t="inlineStr">
        <is>
          <t>보험 해약환급금</t>
        </is>
      </c>
      <c r="R191" s="20" t="n">
        <v>0</v>
      </c>
      <c r="S191" s="20" t="n">
        <v>-44.756</v>
      </c>
      <c r="T191" s="20" t="n">
        <v>0</v>
      </c>
    </row>
    <row r="192">
      <c r="A192" s="18" t="inlineStr">
        <is>
          <t>미수 소비세 증감</t>
        </is>
      </c>
      <c r="D192" s="20" t="n">
        <v>23.771</v>
      </c>
      <c r="F192" s="20" t="n">
        <v>84.51600000000001</v>
      </c>
      <c r="H192" s="20" t="n">
        <v>13.166</v>
      </c>
      <c r="J192" s="20" t="n">
        <v>-30.106</v>
      </c>
      <c r="N192" s="20" t="n">
        <v>4.72</v>
      </c>
      <c r="S192" s="20" t="n">
        <v>5.298</v>
      </c>
      <c r="T192" s="20" t="n">
        <v>-212.746</v>
      </c>
      <c r="U192" s="20" t="n">
        <v>80.28700000000001</v>
      </c>
      <c r="V192" s="20" t="n">
        <v>84.51600000000001</v>
      </c>
      <c r="W192" s="20" t="n">
        <v>-30.106</v>
      </c>
      <c r="X192" s="20" t="n">
        <v>4.72</v>
      </c>
    </row>
    <row r="193">
      <c r="A193" s="18" t="inlineStr">
        <is>
          <t>미지급 소비세 증감</t>
        </is>
      </c>
      <c r="D193" s="20" t="n">
        <v>-198.652</v>
      </c>
      <c r="F193" s="20" t="n">
        <v>138.11</v>
      </c>
      <c r="H193" s="20" t="n">
        <v>-4.868</v>
      </c>
      <c r="J193" s="20" t="n">
        <v>-115.283</v>
      </c>
      <c r="N193" s="20" t="n">
        <v>192.953</v>
      </c>
      <c r="S193" s="20" t="n">
        <v>109.308</v>
      </c>
      <c r="T193" s="20" t="n">
        <v>-279.464</v>
      </c>
      <c r="U193" s="20" t="n">
        <v>90.129</v>
      </c>
      <c r="V193" s="20" t="n">
        <v>138.11</v>
      </c>
      <c r="W193" s="20" t="n">
        <v>-115.283</v>
      </c>
      <c r="X193" s="20" t="n">
        <v>192.953</v>
      </c>
    </row>
    <row r="194">
      <c r="A194" s="18" t="inlineStr">
        <is>
          <t>Settlement Received Ope CF</t>
        </is>
      </c>
      <c r="F194" s="20" t="n">
        <v>0</v>
      </c>
      <c r="T194" s="20" t="n">
        <v>0</v>
      </c>
      <c r="U194" s="20" t="n">
        <v>-20.68</v>
      </c>
      <c r="V194" s="20" t="n">
        <v>0</v>
      </c>
    </row>
    <row r="195">
      <c r="A195" s="18" t="inlineStr">
        <is>
          <t>Loss Gain On Extinguishment Of Tie In Shares Ope CF</t>
        </is>
      </c>
      <c r="F195" s="20" t="n">
        <v>0</v>
      </c>
      <c r="T195" s="20" t="n">
        <v>0</v>
      </c>
      <c r="U195" s="20" t="n">
        <v>-8.477</v>
      </c>
      <c r="V195" s="20" t="n">
        <v>0</v>
      </c>
    </row>
    <row r="196">
      <c r="A196" s="18" t="inlineStr">
        <is>
          <t>관계회사 출자금 매각이익</t>
        </is>
      </c>
      <c r="T196" s="20" t="n">
        <v>0</v>
      </c>
      <c r="U196" s="20" t="n">
        <v>-14.693</v>
      </c>
    </row>
    <row r="197">
      <c r="A197" s="18" t="inlineStr">
        <is>
          <t>관계회사 출자금 매각이익</t>
        </is>
      </c>
      <c r="F197" s="20" t="n">
        <v>0</v>
      </c>
      <c r="U197" s="20" t="n">
        <v>-14.693</v>
      </c>
      <c r="V197" s="20" t="n">
        <v>0</v>
      </c>
    </row>
    <row r="198">
      <c r="A198" s="18" t="inlineStr">
        <is>
          <t>기타 부채 증감</t>
        </is>
      </c>
      <c r="D198" s="20" t="n">
        <v>14.432</v>
      </c>
      <c r="F198" s="20" t="n">
        <v>91.604</v>
      </c>
      <c r="H198" s="20" t="n">
        <v>54.377</v>
      </c>
      <c r="J198" s="20" t="n">
        <v>15.643</v>
      </c>
      <c r="N198" s="20" t="n">
        <v>106.549</v>
      </c>
      <c r="O198" s="20" t="n">
        <v>322.047</v>
      </c>
      <c r="P198" s="20" t="n">
        <v>-48.437</v>
      </c>
      <c r="Q198" s="20" t="n">
        <v>-79.13800000000001</v>
      </c>
      <c r="R198" s="20" t="n">
        <v>50.893</v>
      </c>
      <c r="S198" s="20" t="n">
        <v>234.395</v>
      </c>
      <c r="T198" s="20" t="n">
        <v>77.69199999999999</v>
      </c>
      <c r="U198" s="20" t="n">
        <v>-137.863</v>
      </c>
      <c r="V198" s="20" t="n">
        <v>91.604</v>
      </c>
      <c r="W198" s="20" t="n">
        <v>15.643</v>
      </c>
      <c r="X198" s="20" t="n">
        <v>106.549</v>
      </c>
    </row>
    <row r="199">
      <c r="A199" s="18" t="inlineStr">
        <is>
          <t>기타</t>
        </is>
      </c>
      <c r="D199" s="20" t="n">
        <v>-17.043</v>
      </c>
      <c r="F199" s="20" t="n">
        <v>133.982</v>
      </c>
      <c r="H199" s="20" t="n">
        <v>-13.978</v>
      </c>
      <c r="J199" s="20" t="n">
        <v>57.841</v>
      </c>
      <c r="N199" s="20" t="n">
        <v>79.542</v>
      </c>
      <c r="O199" s="20" t="n">
        <v>58.682</v>
      </c>
      <c r="P199" s="20" t="n">
        <v>23.491</v>
      </c>
      <c r="Q199" s="20" t="n">
        <v>34.74</v>
      </c>
      <c r="R199" s="20" t="n">
        <v>34.068</v>
      </c>
      <c r="S199" s="20" t="n">
        <v>30.103</v>
      </c>
      <c r="T199" s="20" t="n">
        <v>27.227</v>
      </c>
      <c r="U199" s="20" t="n">
        <v>43.318</v>
      </c>
      <c r="V199" s="20" t="n">
        <v>133.982</v>
      </c>
      <c r="W199" s="20" t="n">
        <v>57.841</v>
      </c>
      <c r="X199" s="20" t="n">
        <v>79.542</v>
      </c>
    </row>
    <row r="200">
      <c r="A200" s="18" t="inlineStr">
        <is>
          <t>소계</t>
        </is>
      </c>
      <c r="D200" s="20" t="n">
        <v>-201.817</v>
      </c>
      <c r="F200" s="20" t="n">
        <v>1276.131</v>
      </c>
      <c r="H200" s="20" t="n">
        <v>-312.473</v>
      </c>
      <c r="J200" s="20" t="n">
        <v>1777.842</v>
      </c>
      <c r="N200" s="20" t="n">
        <v>2492.412</v>
      </c>
      <c r="O200" s="20" t="n">
        <v>4234.106</v>
      </c>
      <c r="P200" s="20" t="n">
        <v>2071.259</v>
      </c>
      <c r="Q200" s="20" t="n">
        <v>1737.873</v>
      </c>
      <c r="R200" s="20" t="n">
        <v>2401.033</v>
      </c>
      <c r="S200" s="20" t="n">
        <v>3564.381</v>
      </c>
      <c r="T200" s="20" t="n">
        <v>-307.104</v>
      </c>
      <c r="U200" s="20" t="n">
        <v>442.738</v>
      </c>
      <c r="V200" s="20" t="n">
        <v>1276.131</v>
      </c>
      <c r="W200" s="20" t="n">
        <v>1777.842</v>
      </c>
      <c r="X200" s="20" t="n">
        <v>2492.412</v>
      </c>
    </row>
    <row r="201">
      <c r="A201" s="18" t="inlineStr">
        <is>
          <t>이자·배당금 수취</t>
        </is>
      </c>
      <c r="D201" s="20" t="n">
        <v>105.425</v>
      </c>
      <c r="F201" s="20" t="n">
        <v>127.255</v>
      </c>
      <c r="H201" s="20" t="n">
        <v>124.056</v>
      </c>
      <c r="J201" s="20" t="n">
        <v>120.899</v>
      </c>
      <c r="N201" s="20" t="n">
        <v>173.955</v>
      </c>
      <c r="O201" s="20" t="n">
        <v>54.075</v>
      </c>
      <c r="P201" s="20" t="n">
        <v>56.754</v>
      </c>
      <c r="Q201" s="20" t="n">
        <v>62.114</v>
      </c>
      <c r="R201" s="20" t="n">
        <v>72.407</v>
      </c>
      <c r="S201" s="20" t="n">
        <v>70.89700000000001</v>
      </c>
      <c r="T201" s="20" t="n">
        <v>74.61499999999999</v>
      </c>
      <c r="U201" s="20" t="n">
        <v>100.513</v>
      </c>
      <c r="V201" s="20" t="n">
        <v>127.255</v>
      </c>
      <c r="W201" s="20" t="n">
        <v>120.899</v>
      </c>
      <c r="X201" s="20" t="n">
        <v>173.955</v>
      </c>
    </row>
    <row r="202">
      <c r="A202" s="18" t="inlineStr">
        <is>
          <t>이자 지급</t>
        </is>
      </c>
      <c r="D202" s="20" t="n">
        <v>-23.304</v>
      </c>
      <c r="F202" s="20" t="n">
        <v>-46.347</v>
      </c>
      <c r="H202" s="20" t="n">
        <v>-36.588</v>
      </c>
      <c r="J202" s="20" t="n">
        <v>-62.876</v>
      </c>
      <c r="N202" s="20" t="n">
        <v>-84.215</v>
      </c>
      <c r="O202" s="20" t="n">
        <v>-22.703</v>
      </c>
      <c r="P202" s="20" t="n">
        <v>-8.413</v>
      </c>
      <c r="Q202" s="20" t="n">
        <v>-4.976</v>
      </c>
      <c r="R202" s="20" t="n">
        <v>-7.491</v>
      </c>
      <c r="S202" s="20" t="n">
        <v>-6.83</v>
      </c>
      <c r="T202" s="20" t="n">
        <v>-22.94</v>
      </c>
      <c r="U202" s="20" t="n">
        <v>-42.766</v>
      </c>
      <c r="V202" s="20" t="n">
        <v>-46.347</v>
      </c>
      <c r="W202" s="20" t="n">
        <v>-62.876</v>
      </c>
      <c r="X202" s="20" t="n">
        <v>-84.215</v>
      </c>
    </row>
    <row r="203">
      <c r="A203" s="18" t="inlineStr">
        <is>
          <t>법인세 환급</t>
        </is>
      </c>
      <c r="D203" s="20" t="n">
        <v>0</v>
      </c>
      <c r="F203" s="20" t="n">
        <v>22.427</v>
      </c>
      <c r="H203" s="20" t="n">
        <v>9.311999999999999</v>
      </c>
      <c r="J203" s="20" t="n">
        <v>0</v>
      </c>
      <c r="N203" s="20" t="n">
        <v>16.609</v>
      </c>
      <c r="P203" s="20" t="n">
        <v>0</v>
      </c>
      <c r="Q203" s="20" t="n">
        <v>56.131</v>
      </c>
      <c r="R203" s="20" t="n">
        <v>1.694</v>
      </c>
      <c r="S203" s="20" t="n">
        <v>3.173</v>
      </c>
      <c r="T203" s="20" t="n">
        <v>0</v>
      </c>
      <c r="U203" s="20" t="n">
        <v>0</v>
      </c>
      <c r="V203" s="20" t="n">
        <v>22.427</v>
      </c>
      <c r="W203" s="20" t="n">
        <v>0</v>
      </c>
      <c r="X203" s="20" t="n">
        <v>16.609</v>
      </c>
    </row>
    <row r="204">
      <c r="A204" s="18" t="inlineStr">
        <is>
          <t>화해금 수취액</t>
        </is>
      </c>
      <c r="D204" s="20" t="n">
        <v>0</v>
      </c>
      <c r="F204" s="20" t="n">
        <v>0</v>
      </c>
      <c r="T204" s="20" t="n">
        <v>0</v>
      </c>
      <c r="U204" s="20" t="n">
        <v>12</v>
      </c>
      <c r="V204" s="20" t="n">
        <v>0</v>
      </c>
    </row>
    <row r="205">
      <c r="A205" s="18" t="inlineStr">
        <is>
          <t>법인세 납부</t>
        </is>
      </c>
      <c r="D205" s="20" t="n">
        <v>-231.643</v>
      </c>
      <c r="F205" s="20" t="n">
        <v>-282.404</v>
      </c>
      <c r="H205" s="20" t="n">
        <v>-328.646</v>
      </c>
      <c r="J205" s="20" t="n">
        <v>-366.883</v>
      </c>
      <c r="N205" s="20" t="n">
        <v>-466.871</v>
      </c>
      <c r="O205" s="20" t="n">
        <v>-349.35</v>
      </c>
      <c r="P205" s="20" t="n">
        <v>-600.79</v>
      </c>
      <c r="Q205" s="20" t="n">
        <v>-527.5</v>
      </c>
      <c r="R205" s="20" t="n">
        <v>-488.77</v>
      </c>
      <c r="S205" s="20" t="n">
        <v>-533.771</v>
      </c>
      <c r="T205" s="20" t="n">
        <v>-1040.141</v>
      </c>
      <c r="U205" s="20" t="n">
        <v>-346.217</v>
      </c>
      <c r="V205" s="20" t="n">
        <v>-282.404</v>
      </c>
      <c r="W205" s="20" t="n">
        <v>-366.883</v>
      </c>
      <c r="X205" s="20" t="n">
        <v>-466.871</v>
      </c>
    </row>
    <row r="206">
      <c r="A206" s="18" t="inlineStr">
        <is>
          <t>보조금 수취</t>
        </is>
      </c>
      <c r="R206" s="20" t="n">
        <v>10.814</v>
      </c>
      <c r="S206" s="20" t="n">
        <v>40.252</v>
      </c>
      <c r="T206" s="20" t="n">
        <v>17.266</v>
      </c>
      <c r="U206" s="20" t="n">
        <v>7.75</v>
      </c>
    </row>
    <row r="207">
      <c r="A207" s="18" t="inlineStr">
        <is>
          <t>특별퇴직금 지급액</t>
        </is>
      </c>
      <c r="D207" s="20" t="n">
        <v>0</v>
      </c>
      <c r="F207" s="20" t="n">
        <v>-49.868</v>
      </c>
      <c r="H207" s="20" t="n">
        <v>-13.607</v>
      </c>
      <c r="J207" s="20" t="n">
        <v>0</v>
      </c>
      <c r="N207" s="20" t="n">
        <v>-17.633</v>
      </c>
      <c r="R207" s="20" t="n">
        <v>0</v>
      </c>
      <c r="S207" s="20" t="n">
        <v>-30.095</v>
      </c>
      <c r="T207" s="20" t="n">
        <v>0</v>
      </c>
      <c r="U207" s="20" t="n">
        <v>0</v>
      </c>
      <c r="V207" s="20" t="n">
        <v>-49.868</v>
      </c>
      <c r="W207" s="20" t="n">
        <v>0</v>
      </c>
      <c r="X207" s="20" t="n">
        <v>-17.633</v>
      </c>
    </row>
    <row r="208">
      <c r="A208" s="9" t="inlineStr">
        <is>
          <t>영업활동 현금흐름</t>
        </is>
      </c>
      <c r="D208" s="12" t="n">
        <v>-351.34</v>
      </c>
      <c r="F208" s="12" t="n">
        <v>1047.192</v>
      </c>
      <c r="H208" s="12" t="n">
        <v>-557.947</v>
      </c>
      <c r="J208" s="12" t="n">
        <v>1468.981</v>
      </c>
      <c r="N208" s="12" t="n">
        <v>2114.256</v>
      </c>
      <c r="O208" s="12" t="n">
        <v>3916.128</v>
      </c>
      <c r="P208" s="12" t="n">
        <v>1518.81</v>
      </c>
      <c r="Q208" s="12" t="n">
        <v>1323.642</v>
      </c>
      <c r="R208" s="12" t="n">
        <v>1989.687</v>
      </c>
      <c r="S208" s="12" t="n">
        <v>3108.007</v>
      </c>
      <c r="T208" s="12" t="n">
        <v>-1278.303</v>
      </c>
      <c r="U208" s="12" t="n">
        <v>166.267</v>
      </c>
      <c r="V208" s="12" t="n">
        <v>1047.192</v>
      </c>
      <c r="W208" s="12" t="n">
        <v>1468.981</v>
      </c>
      <c r="X208" s="12" t="n">
        <v>2114.256</v>
      </c>
    </row>
    <row r="209">
      <c r="A209" s="18" t="inlineStr">
        <is>
          <t>Purchase Of Property Plant And Equipment And Intangible Assets Inv CF</t>
        </is>
      </c>
      <c r="D209" s="20" t="n">
        <v>-379.742</v>
      </c>
      <c r="H209" s="20" t="n">
        <v>-323.778</v>
      </c>
    </row>
    <row r="210">
      <c r="A210" s="18" t="inlineStr">
        <is>
          <t>Proceeds From Sales Of Property Plant And Equipment And Intangible Assets Inv CF</t>
        </is>
      </c>
      <c r="D210" s="20" t="n">
        <v>0</v>
      </c>
      <c r="H210" s="20" t="n">
        <v>2.673</v>
      </c>
    </row>
    <row r="211">
      <c r="A211" s="18" t="inlineStr">
        <is>
          <t>투자유가증권 취득</t>
        </is>
      </c>
      <c r="D211" s="20" t="n">
        <v>-0.299</v>
      </c>
      <c r="F211" s="20" t="n">
        <v>-0.247</v>
      </c>
      <c r="H211" s="20" t="n">
        <v>-0.26</v>
      </c>
      <c r="J211" s="20" t="n">
        <v>-0.609</v>
      </c>
      <c r="N211" s="20" t="n">
        <v>-0.573</v>
      </c>
      <c r="T211" s="20" t="n">
        <v>0</v>
      </c>
      <c r="U211" s="20" t="n">
        <v>-149.642</v>
      </c>
      <c r="V211" s="20" t="n">
        <v>-0.247</v>
      </c>
      <c r="W211" s="20" t="n">
        <v>-0.609</v>
      </c>
      <c r="X211" s="20" t="n">
        <v>-0.573</v>
      </c>
    </row>
    <row r="212">
      <c r="A212" s="18" t="inlineStr">
        <is>
          <t>임차보증금·보증금 납입</t>
        </is>
      </c>
      <c r="D212" s="20" t="n">
        <v>-6.626</v>
      </c>
      <c r="H212" s="20" t="n">
        <v>-6.205</v>
      </c>
    </row>
    <row r="213">
      <c r="A213" s="18" t="inlineStr">
        <is>
          <t>임차보증금·보증금 회수</t>
        </is>
      </c>
      <c r="D213" s="20" t="n">
        <v>5.077</v>
      </c>
      <c r="H213" s="20" t="n">
        <v>4.153</v>
      </c>
    </row>
    <row r="214">
      <c r="A214" s="18" t="inlineStr">
        <is>
          <t>투자유가증권 매각</t>
        </is>
      </c>
      <c r="F214" s="20" t="n">
        <v>0</v>
      </c>
      <c r="J214" s="20" t="n">
        <v>146.959</v>
      </c>
      <c r="N214" s="20" t="n">
        <v>256.342</v>
      </c>
      <c r="T214" s="20" t="n">
        <v>0</v>
      </c>
      <c r="U214" s="20" t="n">
        <v>232.502</v>
      </c>
      <c r="V214" s="20" t="n">
        <v>0</v>
      </c>
      <c r="W214" s="20" t="n">
        <v>146.959</v>
      </c>
      <c r="X214" s="20" t="n">
        <v>256.342</v>
      </c>
    </row>
    <row r="215">
      <c r="A215" s="18" t="inlineStr">
        <is>
          <t>유형자산 취득(설비투자)</t>
        </is>
      </c>
      <c r="F215" s="20" t="n">
        <v>-425.662</v>
      </c>
      <c r="J215" s="20" t="n">
        <v>-403.822</v>
      </c>
      <c r="N215" s="20" t="n">
        <v>-585.773</v>
      </c>
      <c r="O215" s="20" t="n">
        <v>-422.656</v>
      </c>
      <c r="P215" s="20" t="n">
        <v>-378.745</v>
      </c>
      <c r="Q215" s="20" t="n">
        <v>-381.732</v>
      </c>
      <c r="R215" s="20" t="n">
        <v>-533.8339999999999</v>
      </c>
      <c r="S215" s="20" t="n">
        <v>-296.95</v>
      </c>
      <c r="T215" s="20" t="n">
        <v>-508.533</v>
      </c>
      <c r="U215" s="20" t="n">
        <v>-385.001</v>
      </c>
      <c r="V215" s="20" t="n">
        <v>-425.662</v>
      </c>
      <c r="W215" s="20" t="n">
        <v>-403.822</v>
      </c>
      <c r="X215" s="20" t="n">
        <v>-585.773</v>
      </c>
    </row>
    <row r="216">
      <c r="A216" s="18" t="inlineStr">
        <is>
          <t>무형자산 취득</t>
        </is>
      </c>
      <c r="F216" s="20" t="n">
        <v>-191.599</v>
      </c>
      <c r="J216" s="20" t="n">
        <v>-486.874</v>
      </c>
      <c r="N216" s="20" t="n">
        <v>-169.79</v>
      </c>
      <c r="O216" s="20" t="n">
        <v>-32.277</v>
      </c>
      <c r="P216" s="20" t="n">
        <v>-78.59999999999999</v>
      </c>
      <c r="Q216" s="20" t="n">
        <v>-70.08499999999999</v>
      </c>
      <c r="R216" s="20" t="n">
        <v>-232.357</v>
      </c>
      <c r="S216" s="20" t="n">
        <v>-133.844</v>
      </c>
      <c r="T216" s="20" t="n">
        <v>-289.954</v>
      </c>
      <c r="U216" s="20" t="n">
        <v>-251.658</v>
      </c>
      <c r="V216" s="20" t="n">
        <v>-191.599</v>
      </c>
      <c r="W216" s="20" t="n">
        <v>-486.874</v>
      </c>
      <c r="X216" s="20" t="n">
        <v>-169.79</v>
      </c>
    </row>
    <row r="217">
      <c r="A217" s="18" t="inlineStr">
        <is>
          <t>유형자산 매각</t>
        </is>
      </c>
      <c r="F217" s="20" t="n">
        <v>154.276</v>
      </c>
      <c r="J217" s="20" t="n">
        <v>0.07000000000000001</v>
      </c>
      <c r="N217" s="20" t="n">
        <v>1.216</v>
      </c>
      <c r="O217" s="20" t="n">
        <v>6.082</v>
      </c>
      <c r="P217" s="20" t="n">
        <v>0.232</v>
      </c>
      <c r="Q217" s="20" t="n">
        <v>1.702</v>
      </c>
      <c r="R217" s="20" t="n">
        <v>205.155</v>
      </c>
      <c r="S217" s="20" t="n">
        <v>0.819</v>
      </c>
      <c r="T217" s="20" t="n">
        <v>11.187</v>
      </c>
      <c r="U217" s="20" t="n">
        <v>6.277</v>
      </c>
      <c r="V217" s="20" t="n">
        <v>154.276</v>
      </c>
      <c r="W217" s="20" t="n">
        <v>0.07000000000000001</v>
      </c>
      <c r="X217" s="20" t="n">
        <v>1.216</v>
      </c>
    </row>
    <row r="218">
      <c r="A218" s="18" t="inlineStr">
        <is>
          <t>대여</t>
        </is>
      </c>
      <c r="F218" s="20" t="n">
        <v>0</v>
      </c>
      <c r="T218" s="20" t="n">
        <v>0</v>
      </c>
      <c r="U218" s="20" t="n">
        <v>-137.45</v>
      </c>
      <c r="V218" s="20" t="n">
        <v>0</v>
      </c>
    </row>
    <row r="219">
      <c r="A219" s="18" t="inlineStr">
        <is>
          <t>대여금 회수</t>
        </is>
      </c>
      <c r="F219" s="20" t="n">
        <v>0</v>
      </c>
      <c r="T219" s="20" t="n">
        <v>0</v>
      </c>
      <c r="U219" s="20" t="n">
        <v>7.45</v>
      </c>
      <c r="V219" s="20" t="n">
        <v>0</v>
      </c>
    </row>
    <row r="220">
      <c r="A220" s="18" t="inlineStr">
        <is>
          <t>보증금 납입</t>
        </is>
      </c>
      <c r="F220" s="20" t="n">
        <v>-15.093</v>
      </c>
      <c r="J220" s="20" t="n">
        <v>-7.853</v>
      </c>
      <c r="N220" s="20" t="n">
        <v>-9.722</v>
      </c>
      <c r="O220" s="20" t="n">
        <v>-4.907</v>
      </c>
      <c r="P220" s="20" t="n">
        <v>-79.29300000000001</v>
      </c>
      <c r="Q220" s="20" t="n">
        <v>-9.315</v>
      </c>
      <c r="R220" s="20" t="n">
        <v>-22.215</v>
      </c>
      <c r="S220" s="20" t="n">
        <v>-2.095</v>
      </c>
      <c r="T220" s="20" t="n">
        <v>-3.689</v>
      </c>
      <c r="U220" s="20" t="n">
        <v>-5.037</v>
      </c>
      <c r="V220" s="20" t="n">
        <v>-15.093</v>
      </c>
      <c r="W220" s="20" t="n">
        <v>-7.853</v>
      </c>
      <c r="X220" s="20" t="n">
        <v>-9.722</v>
      </c>
    </row>
    <row r="221">
      <c r="A221" s="18" t="inlineStr">
        <is>
          <t>보증금 회수</t>
        </is>
      </c>
      <c r="F221" s="20" t="n">
        <v>4.353</v>
      </c>
      <c r="J221" s="20" t="n">
        <v>7.104</v>
      </c>
      <c r="N221" s="20" t="n">
        <v>13.011</v>
      </c>
      <c r="O221" s="20" t="n">
        <v>28.259</v>
      </c>
      <c r="P221" s="20" t="n">
        <v>85.46299999999999</v>
      </c>
      <c r="Q221" s="20" t="n">
        <v>16.991</v>
      </c>
      <c r="R221" s="20" t="n">
        <v>16.374</v>
      </c>
      <c r="S221" s="20" t="n">
        <v>19.582</v>
      </c>
      <c r="T221" s="20" t="n">
        <v>5.985</v>
      </c>
      <c r="U221" s="20" t="n">
        <v>6.341</v>
      </c>
      <c r="V221" s="20" t="n">
        <v>4.353</v>
      </c>
      <c r="W221" s="20" t="n">
        <v>7.104</v>
      </c>
      <c r="X221" s="20" t="n">
        <v>13.011</v>
      </c>
    </row>
    <row r="222">
      <c r="A222" s="18" t="inlineStr">
        <is>
          <t>보험적립금 적립</t>
        </is>
      </c>
      <c r="O222" s="20" t="n">
        <v>-4.4</v>
      </c>
      <c r="P222" s="20" t="n">
        <v>-4.4</v>
      </c>
      <c r="Q222" s="20" t="n">
        <v>-4.4</v>
      </c>
      <c r="R222" s="20" t="n">
        <v>-4.4</v>
      </c>
      <c r="S222" s="20" t="n">
        <v>0</v>
      </c>
    </row>
    <row r="223">
      <c r="A223" s="18" t="inlineStr">
        <is>
          <t>보험적립금 해약</t>
        </is>
      </c>
      <c r="R223" s="20" t="n">
        <v>0</v>
      </c>
      <c r="S223" s="20" t="n">
        <v>94.66800000000001</v>
      </c>
      <c r="T223" s="20" t="n">
        <v>0</v>
      </c>
    </row>
    <row r="224">
      <c r="A224" s="18" t="inlineStr">
        <is>
          <t>정기예금 예입</t>
        </is>
      </c>
      <c r="D224" s="20" t="n">
        <v>-231</v>
      </c>
      <c r="F224" s="20" t="n">
        <v>-519.5</v>
      </c>
      <c r="H224" s="20" t="n">
        <v>-234</v>
      </c>
      <c r="J224" s="20" t="n">
        <v>-468.258</v>
      </c>
      <c r="N224" s="20" t="n">
        <v>-471.449</v>
      </c>
      <c r="O224" s="20" t="n">
        <v>-287.3</v>
      </c>
      <c r="P224" s="20" t="n">
        <v>-351.36</v>
      </c>
      <c r="Q224" s="20" t="n">
        <v>-333.2</v>
      </c>
      <c r="R224" s="20" t="n">
        <v>-382.8</v>
      </c>
      <c r="S224" s="20" t="n">
        <v>-600.486</v>
      </c>
      <c r="T224" s="20" t="n">
        <v>-632.2</v>
      </c>
      <c r="U224" s="20" t="n">
        <v>-642</v>
      </c>
      <c r="V224" s="20" t="n">
        <v>-519.5</v>
      </c>
      <c r="W224" s="20" t="n">
        <v>-468.258</v>
      </c>
      <c r="X224" s="20" t="n">
        <v>-471.449</v>
      </c>
    </row>
    <row r="225">
      <c r="A225" s="18" t="inlineStr">
        <is>
          <t>정기예금 인출</t>
        </is>
      </c>
      <c r="D225" s="20" t="n">
        <v>219.603</v>
      </c>
      <c r="F225" s="20" t="n">
        <v>594.504</v>
      </c>
      <c r="H225" s="20" t="n">
        <v>255.695</v>
      </c>
      <c r="J225" s="20" t="n">
        <v>432.02</v>
      </c>
      <c r="N225" s="20" t="n">
        <v>468.321</v>
      </c>
      <c r="O225" s="20" t="n">
        <v>256.832</v>
      </c>
      <c r="P225" s="20" t="n">
        <v>321.401</v>
      </c>
      <c r="Q225" s="20" t="n">
        <v>278.804</v>
      </c>
      <c r="R225" s="20" t="n">
        <v>439.214</v>
      </c>
      <c r="S225" s="20" t="n">
        <v>460.676</v>
      </c>
      <c r="T225" s="20" t="n">
        <v>613.21</v>
      </c>
      <c r="U225" s="20" t="n">
        <v>642.0069999999999</v>
      </c>
      <c r="V225" s="20" t="n">
        <v>594.504</v>
      </c>
      <c r="W225" s="20" t="n">
        <v>432.02</v>
      </c>
      <c r="X225" s="20" t="n">
        <v>468.321</v>
      </c>
    </row>
    <row r="226">
      <c r="A226" s="18" t="inlineStr">
        <is>
          <t>자회사 주식 취득</t>
        </is>
      </c>
      <c r="F226" s="20" t="n">
        <v>0</v>
      </c>
      <c r="Q226" s="20" t="n">
        <v>0</v>
      </c>
      <c r="R226" s="20" t="n">
        <v>-830</v>
      </c>
      <c r="S226" s="20" t="n">
        <v>0</v>
      </c>
      <c r="T226" s="20" t="n">
        <v>0</v>
      </c>
      <c r="U226" s="20" t="n">
        <v>-550</v>
      </c>
      <c r="V226" s="20" t="n">
        <v>0</v>
      </c>
    </row>
    <row r="227">
      <c r="A227" s="18" t="inlineStr">
        <is>
          <t>연결범위 변경 자회사 주식 취득</t>
        </is>
      </c>
      <c r="S227" s="20" t="n">
        <v>0</v>
      </c>
      <c r="T227" s="20" t="n">
        <v>-2773.84</v>
      </c>
      <c r="U227" s="20" t="n">
        <v>0</v>
      </c>
    </row>
    <row r="228">
      <c r="A228" s="18" t="inlineStr">
        <is>
          <t>기타</t>
        </is>
      </c>
      <c r="D228" s="20" t="n">
        <v>-13.568</v>
      </c>
      <c r="F228" s="20" t="n">
        <v>-45.674</v>
      </c>
      <c r="H228" s="20" t="n">
        <v>-25.573</v>
      </c>
      <c r="J228" s="20" t="n">
        <v>-44.685</v>
      </c>
      <c r="N228" s="20" t="n">
        <v>-51.797</v>
      </c>
      <c r="O228" s="20" t="n">
        <v>-3.34</v>
      </c>
      <c r="P228" s="20" t="n">
        <v>-2.592</v>
      </c>
      <c r="Q228" s="20" t="n">
        <v>-3.342</v>
      </c>
      <c r="R228" s="20" t="n">
        <v>-12.523</v>
      </c>
      <c r="S228" s="20" t="n">
        <v>-34.458</v>
      </c>
      <c r="T228" s="20" t="n">
        <v>-0.954</v>
      </c>
      <c r="U228" s="20" t="n">
        <v>-8.648</v>
      </c>
      <c r="V228" s="20" t="n">
        <v>-45.674</v>
      </c>
      <c r="W228" s="20" t="n">
        <v>-44.685</v>
      </c>
      <c r="X228" s="20" t="n">
        <v>-51.797</v>
      </c>
    </row>
    <row r="229">
      <c r="A229" s="9" t="inlineStr">
        <is>
          <t>투자활동 현금흐름</t>
        </is>
      </c>
      <c r="D229" s="12" t="n">
        <v>-406.556</v>
      </c>
      <c r="F229" s="12" t="n">
        <v>-444.642</v>
      </c>
      <c r="H229" s="12" t="n">
        <v>-327.295</v>
      </c>
      <c r="J229" s="12" t="n">
        <v>-825.95</v>
      </c>
      <c r="N229" s="12" t="n">
        <v>-550.2140000000001</v>
      </c>
      <c r="O229" s="12" t="n">
        <v>-463.708</v>
      </c>
      <c r="P229" s="12" t="n">
        <v>-487.894</v>
      </c>
      <c r="Q229" s="12" t="n">
        <v>-504.578</v>
      </c>
      <c r="R229" s="12" t="n">
        <v>-1357.386</v>
      </c>
      <c r="S229" s="12" t="n">
        <v>-492.089</v>
      </c>
      <c r="T229" s="12" t="n">
        <v>-3578.789</v>
      </c>
      <c r="U229" s="12" t="n">
        <v>-1234.86</v>
      </c>
      <c r="V229" s="12" t="n">
        <v>-444.642</v>
      </c>
      <c r="W229" s="12" t="n">
        <v>-825.95</v>
      </c>
      <c r="X229" s="12" t="n">
        <v>-550.2140000000001</v>
      </c>
    </row>
    <row r="230">
      <c r="A230" s="18" t="inlineStr">
        <is>
          <t>단기차입금 순증감</t>
        </is>
      </c>
      <c r="D230" s="20" t="n">
        <v>1580</v>
      </c>
      <c r="F230" s="20" t="n">
        <v>340</v>
      </c>
      <c r="H230" s="20" t="n">
        <v>1260</v>
      </c>
      <c r="J230" s="20" t="n">
        <v>1010</v>
      </c>
      <c r="N230" s="20" t="n">
        <v>-1040</v>
      </c>
      <c r="O230" s="20" t="n">
        <v>-1180</v>
      </c>
      <c r="P230" s="20" t="n">
        <v>-720</v>
      </c>
      <c r="Q230" s="20" t="n">
        <v>0</v>
      </c>
      <c r="R230" s="20" t="n">
        <v>850</v>
      </c>
      <c r="S230" s="20" t="n">
        <v>-850</v>
      </c>
      <c r="T230" s="20" t="n">
        <v>1000</v>
      </c>
      <c r="U230" s="20" t="n">
        <v>2150</v>
      </c>
      <c r="V230" s="20" t="n">
        <v>340</v>
      </c>
      <c r="W230" s="20" t="n">
        <v>1010</v>
      </c>
      <c r="X230" s="20" t="n">
        <v>-1040</v>
      </c>
    </row>
    <row r="231">
      <c r="A231" s="18" t="inlineStr">
        <is>
          <t>장기차입</t>
        </is>
      </c>
      <c r="S231" s="20" t="n">
        <v>0</v>
      </c>
      <c r="T231" s="20" t="n">
        <v>3000</v>
      </c>
      <c r="U231" s="20" t="n">
        <v>0</v>
      </c>
    </row>
    <row r="232">
      <c r="A232" s="18" t="inlineStr">
        <is>
          <t>장기차입금 상환</t>
        </is>
      </c>
      <c r="D232" s="20" t="n">
        <v>-218.903</v>
      </c>
      <c r="F232" s="20" t="n">
        <v>-594.837</v>
      </c>
      <c r="H232" s="20" t="n">
        <v>-218.903</v>
      </c>
      <c r="J232" s="20" t="n">
        <v>-437.806</v>
      </c>
      <c r="N232" s="20" t="n">
        <v>-437.806</v>
      </c>
      <c r="O232" s="20" t="n">
        <v>-886</v>
      </c>
      <c r="P232" s="20" t="n">
        <v>-286</v>
      </c>
      <c r="Q232" s="20" t="n">
        <v>-16</v>
      </c>
      <c r="R232" s="20" t="n">
        <v>0</v>
      </c>
      <c r="S232" s="20" t="n">
        <v>-47.689</v>
      </c>
      <c r="T232" s="20" t="n">
        <v>-24.708</v>
      </c>
      <c r="U232" s="20" t="n">
        <v>-448.402</v>
      </c>
      <c r="V232" s="20" t="n">
        <v>-594.837</v>
      </c>
      <c r="W232" s="20" t="n">
        <v>-437.806</v>
      </c>
      <c r="X232" s="20" t="n">
        <v>-437.806</v>
      </c>
    </row>
    <row r="233">
      <c r="A233" s="18" t="inlineStr">
        <is>
          <t>자기주식 취득</t>
        </is>
      </c>
      <c r="F233" s="20" t="n">
        <v>-416.136</v>
      </c>
      <c r="J233" s="20" t="n">
        <v>-0.244</v>
      </c>
      <c r="N233" s="20" t="n">
        <v>0</v>
      </c>
      <c r="O233" s="20" t="n">
        <v>-0.151</v>
      </c>
      <c r="P233" s="20" t="n">
        <v>-0.243</v>
      </c>
      <c r="Q233" s="20" t="n">
        <v>0</v>
      </c>
      <c r="R233" s="20" t="n">
        <v>-0.212</v>
      </c>
      <c r="S233" s="20" t="n">
        <v>-0.1</v>
      </c>
      <c r="T233" s="20" t="n">
        <v>-0.226</v>
      </c>
      <c r="U233" s="20" t="n">
        <v>-0.082</v>
      </c>
      <c r="V233" s="20" t="n">
        <v>-416.136</v>
      </c>
      <c r="W233" s="20" t="n">
        <v>-0.244</v>
      </c>
      <c r="X233" s="20" t="n">
        <v>0</v>
      </c>
    </row>
    <row r="234">
      <c r="A234" s="18" t="inlineStr">
        <is>
          <t>배당금 지급</t>
        </is>
      </c>
      <c r="D234" s="20" t="n">
        <v>-197.065</v>
      </c>
      <c r="F234" s="20" t="n">
        <v>-399.794</v>
      </c>
      <c r="H234" s="20" t="n">
        <v>-197.551</v>
      </c>
      <c r="J234" s="20" t="n">
        <v>-393.948</v>
      </c>
      <c r="N234" s="20" t="n">
        <v>-394.887</v>
      </c>
      <c r="O234" s="20" t="n">
        <v>-398.429</v>
      </c>
      <c r="P234" s="20" t="n">
        <v>-568.658</v>
      </c>
      <c r="Q234" s="20" t="n">
        <v>-483.045</v>
      </c>
      <c r="R234" s="20" t="n">
        <v>-397.863</v>
      </c>
      <c r="S234" s="20" t="n">
        <v>-483.789</v>
      </c>
      <c r="T234" s="20" t="n">
        <v>-767.756</v>
      </c>
      <c r="U234" s="20" t="n">
        <v>-626.162</v>
      </c>
      <c r="V234" s="20" t="n">
        <v>-399.794</v>
      </c>
      <c r="W234" s="20" t="n">
        <v>-393.948</v>
      </c>
      <c r="X234" s="20" t="n">
        <v>-394.887</v>
      </c>
    </row>
    <row r="235">
      <c r="A235" s="18" t="inlineStr">
        <is>
          <t>연결범위 변동 없는 자회사 주식 매각 수입</t>
        </is>
      </c>
      <c r="Q235" s="20" t="n">
        <v>0</v>
      </c>
      <c r="R235" s="20" t="n">
        <v>5.95</v>
      </c>
      <c r="S235" s="20" t="n">
        <v>0</v>
      </c>
    </row>
    <row r="236">
      <c r="A236" s="18" t="inlineStr">
        <is>
          <t>연결범위 변경 없는 자회사 주식 취득</t>
        </is>
      </c>
      <c r="F236" s="20" t="n">
        <v>0</v>
      </c>
      <c r="P236" s="20" t="n">
        <v>0</v>
      </c>
      <c r="Q236" s="20" t="n">
        <v>-400</v>
      </c>
      <c r="R236" s="20" t="n">
        <v>0</v>
      </c>
      <c r="T236" s="20" t="n">
        <v>0</v>
      </c>
      <c r="U236" s="20" t="n">
        <v>-9.4</v>
      </c>
      <c r="V236" s="20" t="n">
        <v>0</v>
      </c>
    </row>
    <row r="237">
      <c r="A237" s="18" t="inlineStr">
        <is>
          <t>기타</t>
        </is>
      </c>
      <c r="D237" s="20" t="n">
        <v>-0.554</v>
      </c>
      <c r="F237" s="20" t="n">
        <v>-0.959</v>
      </c>
      <c r="H237" s="20" t="n">
        <v>-1.653</v>
      </c>
      <c r="J237" s="20" t="n">
        <v>-2.265</v>
      </c>
      <c r="N237" s="20" t="n">
        <v>-3.835</v>
      </c>
      <c r="O237" s="20" t="n">
        <v>0.043</v>
      </c>
      <c r="P237" s="20" t="n">
        <v>0.06</v>
      </c>
      <c r="Q237" s="20" t="n">
        <v>-0.966</v>
      </c>
      <c r="R237" s="20" t="n">
        <v>-1.07</v>
      </c>
      <c r="S237" s="20" t="n">
        <v>-0.752</v>
      </c>
      <c r="T237" s="20" t="n">
        <v>-0.668</v>
      </c>
      <c r="U237" s="20" t="n">
        <v>-0.629</v>
      </c>
      <c r="V237" s="20" t="n">
        <v>-0.959</v>
      </c>
      <c r="W237" s="20" t="n">
        <v>-2.265</v>
      </c>
      <c r="X237" s="20" t="n">
        <v>-3.835</v>
      </c>
    </row>
    <row r="238">
      <c r="A238" s="9" t="inlineStr">
        <is>
          <t>재무활동 현금흐름</t>
        </is>
      </c>
      <c r="D238" s="12" t="n">
        <v>1163.477</v>
      </c>
      <c r="F238" s="12" t="n">
        <v>-1071.728</v>
      </c>
      <c r="H238" s="12" t="n">
        <v>841.891</v>
      </c>
      <c r="J238" s="12" t="n">
        <v>175.735</v>
      </c>
      <c r="N238" s="12" t="n">
        <v>-1876.529</v>
      </c>
      <c r="O238" s="12" t="n">
        <v>-2464.537</v>
      </c>
      <c r="P238" s="12" t="n">
        <v>-1574.842</v>
      </c>
      <c r="Q238" s="12" t="n">
        <v>-900.0119999999999</v>
      </c>
      <c r="R238" s="12" t="n">
        <v>456.803</v>
      </c>
      <c r="S238" s="12" t="n">
        <v>-1382.331</v>
      </c>
      <c r="T238" s="12" t="n">
        <v>3206.64</v>
      </c>
      <c r="U238" s="12" t="n">
        <v>1065.323</v>
      </c>
      <c r="V238" s="12" t="n">
        <v>-1071.728</v>
      </c>
      <c r="W238" s="12" t="n">
        <v>175.735</v>
      </c>
      <c r="X238" s="12" t="n">
        <v>-1876.529</v>
      </c>
    </row>
    <row r="239">
      <c r="A239" s="18" t="inlineStr">
        <is>
          <t>현금성자산 환산차이</t>
        </is>
      </c>
      <c r="D239" s="20" t="n">
        <v>-39.099</v>
      </c>
      <c r="F239" s="20" t="n">
        <v>234.89</v>
      </c>
      <c r="H239" s="20" t="n">
        <v>196.786</v>
      </c>
      <c r="J239" s="20" t="n">
        <v>-108.777</v>
      </c>
      <c r="N239" s="20" t="n">
        <v>276.544</v>
      </c>
      <c r="O239" s="20" t="n">
        <v>-13.339</v>
      </c>
      <c r="P239" s="20" t="n">
        <v>2.861</v>
      </c>
      <c r="Q239" s="20" t="n">
        <v>-17.151</v>
      </c>
      <c r="R239" s="20" t="n">
        <v>-46.661</v>
      </c>
      <c r="S239" s="20" t="n">
        <v>74.55</v>
      </c>
      <c r="T239" s="20" t="n">
        <v>254.916</v>
      </c>
      <c r="U239" s="20" t="n">
        <v>135.953</v>
      </c>
      <c r="V239" s="20" t="n">
        <v>234.89</v>
      </c>
      <c r="W239" s="20" t="n">
        <v>-108.777</v>
      </c>
      <c r="X239" s="20" t="n">
        <v>276.544</v>
      </c>
    </row>
    <row r="240">
      <c r="A240" s="18" t="inlineStr">
        <is>
          <t>현금성자산 증감</t>
        </is>
      </c>
      <c r="D240" s="20" t="n">
        <v>366.48</v>
      </c>
      <c r="F240" s="20" t="n">
        <v>-234.286</v>
      </c>
      <c r="H240" s="20" t="n">
        <v>153.436</v>
      </c>
      <c r="J240" s="20" t="n">
        <v>709.989</v>
      </c>
      <c r="N240" s="20" t="n">
        <v>-35.943</v>
      </c>
      <c r="O240" s="20" t="n">
        <v>974.542</v>
      </c>
      <c r="P240" s="20" t="n">
        <v>-541.064</v>
      </c>
      <c r="Q240" s="20" t="n">
        <v>-98.098</v>
      </c>
      <c r="R240" s="20" t="n">
        <v>1042.443</v>
      </c>
      <c r="S240" s="20" t="n">
        <v>1308.137</v>
      </c>
      <c r="T240" s="20" t="n">
        <v>-1395.536</v>
      </c>
      <c r="U240" s="20" t="n">
        <v>132.684</v>
      </c>
      <c r="V240" s="20" t="n">
        <v>-234.286</v>
      </c>
      <c r="W240" s="20" t="n">
        <v>709.989</v>
      </c>
      <c r="X240" s="20" t="n">
        <v>-35.943</v>
      </c>
    </row>
    <row r="241">
      <c r="A241" s="18" t="inlineStr">
        <is>
          <t>신규 연결 현금성자산 증가</t>
        </is>
      </c>
      <c r="R241" s="20" t="n">
        <v>0</v>
      </c>
      <c r="S241" s="20" t="n">
        <v>314.121</v>
      </c>
      <c r="T241" s="20" t="n">
        <v>0</v>
      </c>
    </row>
    <row r="242">
      <c r="A242" s="18" t="inlineStr">
        <is>
          <t>비연결 자회사 합병에 따른 현금성자산 증가</t>
        </is>
      </c>
      <c r="F242" s="20" t="n">
        <v>0</v>
      </c>
      <c r="T242" s="20" t="n">
        <v>0</v>
      </c>
      <c r="U242" s="20" t="n">
        <v>153.684</v>
      </c>
      <c r="V242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K13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30" customHeight="1">
      <c r="A1" s="1" t="inlineStr">
        <is>
          <t>7962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2023</t>
        </is>
      </c>
      <c r="I3" s="5" t="inlineStr">
        <is>
          <t>2024</t>
        </is>
      </c>
      <c r="J3" s="5" t="inlineStr">
        <is>
          <t>2025</t>
        </is>
      </c>
      <c r="K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</row>
    <row r="5">
      <c r="A5" s="9" t="inlineStr">
        <is>
          <t>유동자산</t>
        </is>
      </c>
      <c r="B5" s="10" t="n"/>
      <c r="C5" s="11" t="n">
        <v>24063.443</v>
      </c>
      <c r="D5" s="12" t="n">
        <v>24329.621</v>
      </c>
      <c r="E5" s="12" t="n">
        <v>25483.552</v>
      </c>
      <c r="F5" s="12" t="n">
        <v>26083.852</v>
      </c>
      <c r="G5" s="12" t="n">
        <v>24305.467</v>
      </c>
      <c r="H5" s="11" t="n">
        <v>26357.806</v>
      </c>
      <c r="I5" s="12" t="n">
        <v>26624.746</v>
      </c>
      <c r="J5" s="12" t="n">
        <v>26347.865</v>
      </c>
      <c r="K5" s="12" t="n">
        <v>26083.852</v>
      </c>
    </row>
    <row r="6">
      <c r="A6" s="18" t="inlineStr">
        <is>
          <t>현금및현금성자산</t>
        </is>
      </c>
      <c r="B6" s="10" t="n"/>
      <c r="C6" s="19" t="n">
        <v>6831.528</v>
      </c>
      <c r="D6" s="20" t="n">
        <v>6747.841</v>
      </c>
      <c r="E6" s="20" t="n">
        <v>6984.794</v>
      </c>
      <c r="F6" s="20" t="n">
        <v>7398.912</v>
      </c>
      <c r="G6" s="20" t="n">
        <v>6832.976</v>
      </c>
      <c r="H6" s="19" t="n">
        <v>6888.375</v>
      </c>
      <c r="I6" s="20" t="n">
        <v>7103.652</v>
      </c>
      <c r="J6" s="20" t="n">
        <v>7742.985</v>
      </c>
      <c r="K6" s="20" t="n">
        <v>7398.912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</row>
    <row r="8">
      <c r="A8" s="18" t="inlineStr">
        <is>
          <t>매출채권</t>
        </is>
      </c>
      <c r="B8" s="10" t="n"/>
      <c r="C8" s="19" t="n">
        <v>5159.478</v>
      </c>
      <c r="D8" s="20" t="n">
        <v>4140.375</v>
      </c>
      <c r="E8" s="20" t="n">
        <v>5354.194</v>
      </c>
      <c r="F8" s="20" t="n">
        <v>5232.014</v>
      </c>
      <c r="G8" s="20" t="n">
        <v>5405.64</v>
      </c>
      <c r="H8" s="19" t="n">
        <v>5285.919</v>
      </c>
      <c r="I8" s="20" t="n">
        <v>5620.898</v>
      </c>
      <c r="J8" s="20" t="n">
        <v>5192.359</v>
      </c>
      <c r="K8" s="20" t="n">
        <v>5232.014</v>
      </c>
    </row>
    <row r="9">
      <c r="A9" s="18" t="inlineStr">
        <is>
          <t>재고자산</t>
        </is>
      </c>
      <c r="B9" s="10" t="n"/>
      <c r="C9" s="19" t="n">
        <v>11192.747</v>
      </c>
      <c r="D9" s="20" t="n">
        <v>12468.9</v>
      </c>
      <c r="E9" s="20" t="n">
        <v>12218.751</v>
      </c>
      <c r="F9" s="20" t="n">
        <v>12435.316</v>
      </c>
      <c r="G9" s="20" t="n">
        <v>10981.945</v>
      </c>
      <c r="H9" s="19" t="n">
        <v>12978.227</v>
      </c>
      <c r="I9" s="20" t="n">
        <v>13033.338</v>
      </c>
      <c r="J9" s="20" t="n">
        <v>12386.749</v>
      </c>
      <c r="K9" s="20" t="n">
        <v>12435.316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</row>
    <row r="11">
      <c r="A11" s="9" t="inlineStr">
        <is>
          <t>비유동자산</t>
        </is>
      </c>
      <c r="B11" s="10" t="n"/>
      <c r="C11" s="11" t="n">
        <v>11449.723</v>
      </c>
      <c r="D11" s="12" t="n">
        <v>12045.696</v>
      </c>
      <c r="E11" s="12" t="n">
        <v>12479.963</v>
      </c>
      <c r="F11" s="12" t="n">
        <v>12756.019</v>
      </c>
      <c r="G11" s="12" t="n">
        <v>13046.618</v>
      </c>
      <c r="H11" s="11" t="n">
        <v>11608.368</v>
      </c>
      <c r="I11" s="12" t="n">
        <v>11926.237</v>
      </c>
      <c r="J11" s="12" t="n">
        <v>11963.919</v>
      </c>
      <c r="K11" s="12" t="n">
        <v>12756.019</v>
      </c>
    </row>
    <row r="12">
      <c r="A12" s="18" t="inlineStr">
        <is>
          <t>유형자산</t>
        </is>
      </c>
      <c r="B12" s="10" t="n"/>
      <c r="C12" s="19" t="n">
        <v>4111.615</v>
      </c>
      <c r="D12" s="20" t="n">
        <v>4103.731</v>
      </c>
      <c r="E12" s="20" t="n">
        <v>4170.351</v>
      </c>
      <c r="F12" s="20" t="n">
        <v>4166.872</v>
      </c>
      <c r="G12" s="20" t="n">
        <v>4189.54</v>
      </c>
      <c r="H12" s="19" t="n">
        <v>4444.374</v>
      </c>
      <c r="I12" s="20" t="n">
        <v>4304.689</v>
      </c>
      <c r="J12" s="20" t="n">
        <v>4221.397</v>
      </c>
      <c r="K12" s="20" t="n">
        <v>4166.872</v>
      </c>
    </row>
    <row r="13">
      <c r="A13" s="18" t="inlineStr">
        <is>
          <t>무형자산</t>
        </is>
      </c>
      <c r="B13" s="10" t="n"/>
      <c r="C13" s="19" t="n">
        <v>1824.23</v>
      </c>
      <c r="D13" s="20" t="n">
        <v>1777.928</v>
      </c>
      <c r="E13" s="20" t="n">
        <v>1712.246</v>
      </c>
      <c r="F13" s="20" t="n">
        <v>1719.196</v>
      </c>
      <c r="G13" s="20" t="n">
        <v>1646.702</v>
      </c>
      <c r="H13" s="19" t="n">
        <v>2214.67</v>
      </c>
      <c r="I13" s="20" t="n">
        <v>2106.85</v>
      </c>
      <c r="J13" s="20" t="n">
        <v>2032.081</v>
      </c>
      <c r="K13" s="20" t="n">
        <v>1719.196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</row>
    <row r="16">
      <c r="A16" s="9" t="inlineStr">
        <is>
          <t>자산총계</t>
        </is>
      </c>
      <c r="B16" s="10" t="n"/>
      <c r="C16" s="11" t="n">
        <v>35513.167</v>
      </c>
      <c r="D16" s="12" t="n">
        <v>36375.317</v>
      </c>
      <c r="E16" s="12" t="n">
        <v>37963.515</v>
      </c>
      <c r="F16" s="12" t="n">
        <v>38839.871</v>
      </c>
      <c r="G16" s="12" t="n">
        <v>37352.086</v>
      </c>
      <c r="H16" s="11" t="n">
        <v>37966.175</v>
      </c>
      <c r="I16" s="12" t="n">
        <v>38550.983</v>
      </c>
      <c r="J16" s="12" t="n">
        <v>38311.785</v>
      </c>
      <c r="K16" s="12" t="n">
        <v>38839.871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</row>
    <row r="18">
      <c r="A18" s="9" t="inlineStr">
        <is>
          <t>유동부채</t>
        </is>
      </c>
      <c r="B18" s="10" t="n"/>
      <c r="C18" s="11" t="n">
        <v>8210.456</v>
      </c>
      <c r="D18" s="12" t="n">
        <v>9155.888000000001</v>
      </c>
      <c r="E18" s="12" t="n">
        <v>9664.630999999999</v>
      </c>
      <c r="F18" s="12" t="n">
        <v>10263.576</v>
      </c>
      <c r="G18" s="12" t="n">
        <v>7676.381</v>
      </c>
      <c r="H18" s="11" t="n">
        <v>9736.853999999999</v>
      </c>
      <c r="I18" s="12" t="n">
        <v>10168.248</v>
      </c>
      <c r="J18" s="12" t="n">
        <v>10796.674</v>
      </c>
      <c r="K18" s="12" t="n">
        <v>10263.576</v>
      </c>
    </row>
    <row r="19">
      <c r="A19" s="18" t="inlineStr">
        <is>
          <t>매입채무</t>
        </is>
      </c>
      <c r="B19" s="10" t="n"/>
      <c r="C19" s="19" t="n">
        <v>1140.419</v>
      </c>
      <c r="D19" s="20" t="n">
        <v>1376.193</v>
      </c>
      <c r="E19" s="20" t="n">
        <v>1391.589</v>
      </c>
      <c r="F19" s="20" t="n">
        <v>1296.677</v>
      </c>
      <c r="G19" s="20" t="n">
        <v>1311.242</v>
      </c>
      <c r="H19" s="19" t="n">
        <v>1736.058</v>
      </c>
      <c r="I19" s="20" t="n">
        <v>1401.556</v>
      </c>
      <c r="J19" s="20" t="n">
        <v>1702.479</v>
      </c>
      <c r="K19" s="20" t="n">
        <v>1296.677</v>
      </c>
    </row>
    <row r="20">
      <c r="A20" s="18" t="inlineStr">
        <is>
          <t>단기차입금</t>
        </is>
      </c>
      <c r="B20" s="10" t="n"/>
      <c r="C20" s="19" t="n">
        <v>4540</v>
      </c>
      <c r="D20" s="20" t="n">
        <v>5270</v>
      </c>
      <c r="E20" s="20" t="n">
        <v>5800</v>
      </c>
      <c r="F20" s="20" t="n">
        <v>6230</v>
      </c>
      <c r="G20" s="20" t="n">
        <v>3500</v>
      </c>
      <c r="H20" s="19" t="n">
        <v>5660</v>
      </c>
      <c r="I20" s="20" t="n">
        <v>6100</v>
      </c>
      <c r="J20" s="20" t="n">
        <v>6440</v>
      </c>
      <c r="K20" s="20" t="n">
        <v>6230</v>
      </c>
    </row>
    <row r="21">
      <c r="A21" s="18" t="inlineStr">
        <is>
          <t>유동성장기부채</t>
        </is>
      </c>
      <c r="B21" s="10" t="n"/>
      <c r="C21" s="19" t="n">
        <v>437.806</v>
      </c>
      <c r="D21" s="20" t="n">
        <v>599.2329999999999</v>
      </c>
      <c r="E21" s="20" t="n">
        <v>437.806</v>
      </c>
      <c r="F21" s="20" t="n">
        <v>600.003</v>
      </c>
      <c r="G21" s="20" t="n">
        <v>437.806</v>
      </c>
      <c r="H21" s="19" t="n">
        <v>451.89</v>
      </c>
      <c r="I21" s="20" t="n">
        <v>650.316</v>
      </c>
      <c r="J21" s="20" t="n">
        <v>599.2329999999999</v>
      </c>
      <c r="K21" s="20" t="n">
        <v>600.003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</row>
    <row r="23">
      <c r="A23" s="9" t="inlineStr">
        <is>
          <t>비유동부채</t>
        </is>
      </c>
      <c r="B23" s="10" t="n"/>
      <c r="C23" s="11" t="n">
        <v>3250.422</v>
      </c>
      <c r="D23" s="12" t="n">
        <v>3189.507</v>
      </c>
      <c r="E23" s="12" t="n">
        <v>3425.348</v>
      </c>
      <c r="F23" s="12" t="n">
        <v>3330.546</v>
      </c>
      <c r="G23" s="12" t="n">
        <v>3443.01</v>
      </c>
      <c r="H23" s="11" t="n">
        <v>3965.5</v>
      </c>
      <c r="I23" s="12" t="n">
        <v>3584.173</v>
      </c>
      <c r="J23" s="12" t="n">
        <v>3262.793</v>
      </c>
      <c r="K23" s="12" t="n">
        <v>3330.546</v>
      </c>
    </row>
    <row r="24">
      <c r="A24" s="18" t="inlineStr">
        <is>
          <t>장기차입금</t>
        </is>
      </c>
      <c r="B24" s="10" t="n"/>
      <c r="C24" s="19" t="n">
        <v>1300.482</v>
      </c>
      <c r="D24" s="20" t="n">
        <v>1083.889</v>
      </c>
      <c r="E24" s="20" t="n">
        <v>1081.579</v>
      </c>
      <c r="F24" s="20" t="n">
        <v>864.986</v>
      </c>
      <c r="G24" s="20" t="n">
        <v>862.676</v>
      </c>
      <c r="H24" s="19" t="n">
        <v>2322.347</v>
      </c>
      <c r="I24" s="20" t="n">
        <v>1740.598</v>
      </c>
      <c r="J24" s="20" t="n">
        <v>1302.792</v>
      </c>
      <c r="K24" s="20" t="n">
        <v>864.986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</row>
    <row r="27">
      <c r="A27" s="9" t="inlineStr">
        <is>
          <t>부채총계</t>
        </is>
      </c>
      <c r="B27" s="10" t="n"/>
      <c r="C27" s="11" t="n">
        <v>11460.879</v>
      </c>
      <c r="D27" s="12" t="n">
        <v>12345.396</v>
      </c>
      <c r="E27" s="12" t="n">
        <v>13089.979</v>
      </c>
      <c r="F27" s="12" t="n">
        <v>13594.122</v>
      </c>
      <c r="G27" s="12" t="n">
        <v>11119.391</v>
      </c>
      <c r="H27" s="11" t="n">
        <v>13702.354</v>
      </c>
      <c r="I27" s="12" t="n">
        <v>13752.422</v>
      </c>
      <c r="J27" s="12" t="n">
        <v>14059.468</v>
      </c>
      <c r="K27" s="12" t="n">
        <v>13594.122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</row>
    <row r="31">
      <c r="A31" s="9" t="inlineStr">
        <is>
          <t>지배주주지분</t>
        </is>
      </c>
      <c r="B31" s="10" t="n"/>
      <c r="C31" s="11" t="n">
        <v>23965.2</v>
      </c>
      <c r="D31" s="12" t="n">
        <v>23942.833</v>
      </c>
      <c r="E31" s="12" t="n">
        <v>24786.447</v>
      </c>
      <c r="F31" s="12" t="n">
        <v>25158.661</v>
      </c>
      <c r="G31" s="12" t="n">
        <v>26145.606</v>
      </c>
      <c r="H31" s="11" t="n">
        <v>24176.732</v>
      </c>
      <c r="I31" s="12" t="n">
        <v>24711.472</v>
      </c>
      <c r="J31" s="12" t="n">
        <v>24165.229</v>
      </c>
      <c r="K31" s="12" t="n">
        <v>25158.661</v>
      </c>
    </row>
    <row r="32">
      <c r="A32" s="18" t="inlineStr">
        <is>
          <t>자본금</t>
        </is>
      </c>
      <c r="B32" s="10" t="n"/>
      <c r="C32" s="19" t="n">
        <v>1978.69</v>
      </c>
      <c r="D32" s="20" t="n">
        <v>1978.69</v>
      </c>
      <c r="E32" s="20" t="n">
        <v>1978.69</v>
      </c>
      <c r="F32" s="20" t="n">
        <v>1978.69</v>
      </c>
      <c r="G32" s="20" t="n">
        <v>1978.69</v>
      </c>
      <c r="H32" s="19" t="n">
        <v>1978.69</v>
      </c>
      <c r="I32" s="20" t="n">
        <v>1978.69</v>
      </c>
      <c r="J32" s="20" t="n">
        <v>1978.69</v>
      </c>
      <c r="K32" s="20" t="n">
        <v>1978.69</v>
      </c>
    </row>
    <row r="33">
      <c r="A33" s="18" t="inlineStr">
        <is>
          <t>이익잉여금</t>
        </is>
      </c>
      <c r="B33" s="10" t="n"/>
      <c r="C33" s="19" t="n">
        <v>21593.605</v>
      </c>
      <c r="D33" s="20" t="n">
        <v>21097.779</v>
      </c>
      <c r="E33" s="20" t="n">
        <v>21423.05</v>
      </c>
      <c r="F33" s="20" t="n">
        <v>21547.117</v>
      </c>
      <c r="G33" s="20" t="n">
        <v>22198.821</v>
      </c>
      <c r="H33" s="19" t="n">
        <v>21925.214</v>
      </c>
      <c r="I33" s="20" t="n">
        <v>21806.379</v>
      </c>
      <c r="J33" s="20" t="n">
        <v>21557.382</v>
      </c>
      <c r="K33" s="20" t="n">
        <v>21547.117</v>
      </c>
    </row>
    <row r="34">
      <c r="A34" s="18" t="inlineStr">
        <is>
          <t>비지배지분</t>
        </is>
      </c>
      <c r="B34" s="10" t="n"/>
      <c r="C34" s="19" t="n"/>
      <c r="D34" s="20" t="n"/>
      <c r="E34" s="20" t="n"/>
      <c r="F34" s="20" t="n"/>
      <c r="G34" s="20" t="n"/>
      <c r="H34" s="19" t="n">
        <v>0</v>
      </c>
      <c r="I34" s="20" t="n"/>
      <c r="J34" s="20" t="n"/>
      <c r="K34" s="20" t="n"/>
    </row>
    <row r="35">
      <c r="A35" s="9" t="inlineStr">
        <is>
          <t>자본총계</t>
        </is>
      </c>
      <c r="B35" s="10" t="n"/>
      <c r="C35" s="11" t="n">
        <v>24052.288</v>
      </c>
      <c r="D35" s="12" t="n">
        <v>24029.921</v>
      </c>
      <c r="E35" s="12" t="n">
        <v>24873.535</v>
      </c>
      <c r="F35" s="12" t="n">
        <v>25245.749</v>
      </c>
      <c r="G35" s="12" t="n">
        <v>26232.694</v>
      </c>
      <c r="H35" s="11" t="n">
        <v>24263.82</v>
      </c>
      <c r="I35" s="12" t="n">
        <v>24798.56</v>
      </c>
      <c r="J35" s="12" t="n">
        <v>24252.317</v>
      </c>
      <c r="K35" s="12" t="n">
        <v>25245.749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</row>
    <row r="37">
      <c r="A37" s="9" t="inlineStr">
        <is>
          <t>영업활동현금흐름</t>
        </is>
      </c>
      <c r="B37" s="10" t="n"/>
      <c r="C37" s="11" t="n"/>
      <c r="D37" s="12" t="n">
        <v>840.585</v>
      </c>
      <c r="E37" s="12" t="n"/>
      <c r="F37" s="12" t="n">
        <v>1468.981</v>
      </c>
      <c r="G37" s="12" t="n"/>
      <c r="H37" s="11" t="n">
        <v>-1278.303</v>
      </c>
      <c r="I37" s="12" t="n">
        <v>166.267</v>
      </c>
      <c r="J37" s="12" t="n">
        <v>1047.192</v>
      </c>
      <c r="K37" s="12" t="n">
        <v>1468.981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890.696</v>
      </c>
      <c r="G38" s="20" t="n"/>
      <c r="H38" s="19" t="n">
        <v>798.487</v>
      </c>
      <c r="I38" s="20" t="n">
        <v>636.659</v>
      </c>
      <c r="J38" s="20" t="n">
        <v>617.261</v>
      </c>
      <c r="K38" s="20" t="n">
        <v>890.696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>
        <v>400.28</v>
      </c>
      <c r="E40" s="20" t="n"/>
      <c r="F40" s="20" t="n">
        <v>393.948</v>
      </c>
      <c r="G40" s="20" t="n"/>
      <c r="H40" s="19" t="n">
        <v>767.756</v>
      </c>
      <c r="I40" s="20" t="n">
        <v>626.162</v>
      </c>
      <c r="J40" s="20" t="n">
        <v>399.794</v>
      </c>
      <c r="K40" s="20" t="n">
        <v>393.948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IFERROR((IF(COUNT('연간'!D28:G28)&lt;4,"",SUM('연간'!D28:G28)))/(IF(COUNT('연간'!D50:G50)&lt;4,"",SUM('연간'!D50:G50))),"")</f>
        <v/>
      </c>
      <c r="D48" s="31">
        <f>IFERROR((IF(COUNT('연간'!E28:H28)&lt;4,"",SUM('연간'!E28:H28)))/(IF(COUNT('연간'!E50:H50)&lt;4,"",SUM('연간'!E50:H50))),"")</f>
        <v/>
      </c>
      <c r="E48" s="31">
        <f>IFERROR((IF(COUNT('연간'!F28:I28)&lt;4,"",SUM('연간'!F28:I28)))/(IF(COUNT('연간'!F50:I50)&lt;4,"",SUM('연간'!F50:I50))),"")</f>
        <v/>
      </c>
      <c r="F48" s="31">
        <f>IFERROR((IF(COUNT('연간'!G28:J28)&lt;4,"",SUM('연간'!G28:J28)))/(IF(COUNT('연간'!G50:J50)&lt;4,"",SUM('연간'!G50:J50))),"")</f>
        <v/>
      </c>
      <c r="G48" s="31">
        <f>IFERROR((IF(COUNT('연간'!H28:K28)&lt;4,"",SUM('연간'!H28:K28)))/(IF(COUNT('연간'!H50:K50)&lt;4,"",SUM('연간'!H50:K50))),"")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IFERROR(IF((IF(COUNT('연간'!D56:G56)&lt;4,"",SUM('연간'!D56:G56)))&lt;=0,"적자",C28/(IF(COUNT('연간'!D56:G56)&lt;4,"",SUM('연간'!D56:G56)))),"")</f>
        <v/>
      </c>
      <c r="D49" s="46">
        <f>IFERROR(IF((IF(COUNT('연간'!E56:H56)&lt;4,"",SUM('연간'!E56:H56)))&lt;=0,"적자",D28/(IF(COUNT('연간'!E56:H56)&lt;4,"",SUM('연간'!E56:H56)))),"")</f>
        <v/>
      </c>
      <c r="E49" s="46">
        <f>IFERROR(IF((IF(COUNT('연간'!F56:I56)&lt;4,"",SUM('연간'!F56:I56)))&lt;=0,"적자",E28/(IF(COUNT('연간'!F56:I56)&lt;4,"",SUM('연간'!F56:I56)))),"")</f>
        <v/>
      </c>
      <c r="F49" s="46">
        <f>IFERROR(IF((IF(COUNT('연간'!G56:J56)&lt;4,"",SUM('연간'!G56:J56)))&lt;=0,"적자",F28/(IF(COUNT('연간'!G56:J56)&lt;4,"",SUM('연간'!G56:J56)))),"")</f>
        <v/>
      </c>
      <c r="G49" s="46">
        <f>IFERROR(IF((IF(COUNT('연간'!H56:K56)&lt;4,"",SUM('연간'!H56:K56)))&lt;=0,"적자",G28/(IF(COUNT('연간'!H56:K56)&lt;4,"",SUM('연간'!H56:K56)))),"")</f>
        <v/>
      </c>
      <c r="H49" s="45">
        <f>IFERROR(IF(('연간'!T56)&lt;=0,"적자",H28/('연간'!T56)),"")</f>
        <v/>
      </c>
      <c r="I49" s="46">
        <f>IFERROR(IF(('연간'!U56)&lt;=0,"적자",I28/('연간'!U56)),"")</f>
        <v/>
      </c>
      <c r="J49" s="46">
        <f>IFERROR(IF(('연간'!V56)&lt;=0,"적자",J28/('연간'!V56)),"")</f>
        <v/>
      </c>
      <c r="K49" s="46">
        <f>IFERROR(IF(('연간'!W56)&lt;=0,"적자",K28/('연간'!W56)),"")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IFERROR((IF(COUNT('연간'!D56:G56)&lt;4,"",SUM('연간'!D56:G56)))/C31,"")</f>
        <v/>
      </c>
      <c r="D51" s="36">
        <f>IFERROR((IF(COUNT('연간'!E56:H56)&lt;4,"",SUM('연간'!E56:H56)))/D31,"")</f>
        <v/>
      </c>
      <c r="E51" s="36">
        <f>IFERROR((IF(COUNT('연간'!F56:I56)&lt;4,"",SUM('연간'!F56:I56)))/E31,"")</f>
        <v/>
      </c>
      <c r="F51" s="36">
        <f>IFERROR((IF(COUNT('연간'!G56:J56)&lt;4,"",SUM('연간'!G56:J56)))/F31,"")</f>
        <v/>
      </c>
      <c r="G51" s="36">
        <f>IFERROR((IF(COUNT('연간'!H56:K56)&lt;4,"",SUM('연간'!H56:K56)))/G31,"")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IFERROR((IF(COUNT('연간'!D55:G55)&lt;4,"",SUM('연간'!D55:G55)))/C16,"")</f>
        <v/>
      </c>
      <c r="D52" s="36">
        <f>IFERROR((IF(COUNT('연간'!E55:H55)&lt;4,"",SUM('연간'!E55:H55)))/D16,"")</f>
        <v/>
      </c>
      <c r="E52" s="36">
        <f>IFERROR((IF(COUNT('연간'!F55:I55)&lt;4,"",SUM('연간'!F55:I55)))/E16,"")</f>
        <v/>
      </c>
      <c r="F52" s="36">
        <f>IFERROR((IF(COUNT('연간'!G55:J55)&lt;4,"",SUM('연간'!G55:J55)))/F16,"")</f>
        <v/>
      </c>
      <c r="G52" s="36">
        <f>IFERROR((IF(COUNT('연간'!H55:K55)&lt;4,"",SUM('연간'!H55:K55)))/G16,"")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IFERROR((IF(COUNT('연간'!D28:G28)&lt;4,"",SUM('연간'!D28:G28)))*(1-0.3)/(C35+C29),"")</f>
        <v/>
      </c>
      <c r="D53" s="36">
        <f>IFERROR((IF(COUNT('연간'!E28:H28)&lt;4,"",SUM('연간'!E28:H28)))*(1-0.3)/(D35+D29),"")</f>
        <v/>
      </c>
      <c r="E53" s="36">
        <f>IFERROR((IF(COUNT('연간'!F28:I28)&lt;4,"",SUM('연간'!F28:I28)))*(1-0.3)/(E35+E29),"")</f>
        <v/>
      </c>
      <c r="F53" s="36">
        <f>IFERROR((IF(COUNT('연간'!G28:J28)&lt;4,"",SUM('연간'!G28:J28)))*(1-0.3)/(F35+F29),"")</f>
        <v/>
      </c>
      <c r="G53" s="36">
        <f>IFERROR((IF(COUNT('연간'!H28:K28)&lt;4,"",SUM('연간'!H28:K28)))*(1-0.3)/(G35+G29),"")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IFERROR((IF(COUNT('연간'!D24:G24)&lt;4,"",SUM('연간'!D24:G24)))/(IF(COUNT('연간'!D4:G4)&lt;4,"",SUM('연간'!D4:G4))),"")</f>
        <v/>
      </c>
      <c r="D54" s="36">
        <f>IFERROR((IF(COUNT('연간'!E24:H24)&lt;4,"",SUM('연간'!E24:H24)))/(IF(COUNT('연간'!E4:H4)&lt;4,"",SUM('연간'!E4:H4))),"")</f>
        <v/>
      </c>
      <c r="E54" s="36">
        <f>IFERROR((IF(COUNT('연간'!F24:I24)&lt;4,"",SUM('연간'!F24:I24)))/(IF(COUNT('연간'!F4:I4)&lt;4,"",SUM('연간'!F4:I4))),"")</f>
        <v/>
      </c>
      <c r="F54" s="36">
        <f>IFERROR((IF(COUNT('연간'!G24:J24)&lt;4,"",SUM('연간'!G24:J24)))/(IF(COUNT('연간'!G4:J4)&lt;4,"",SUM('연간'!G4:J4))),"")</f>
        <v/>
      </c>
      <c r="G54" s="36">
        <f>IFERROR((IF(COUNT('연간'!H24:K24)&lt;4,"",SUM('연간'!H24:K24)))/(IF(COUNT('연간'!H4:K4)&lt;4,"",SUM('연간'!H4:K4))),"")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IFERROR((IF(COUNT('연간'!D28:G28)&lt;4,"",SUM('연간'!D28:G28)))/(IF(COUNT('연간'!D4:G4)&lt;4,"",SUM('연간'!D4:G4))),"")</f>
        <v/>
      </c>
      <c r="D55" s="36">
        <f>IFERROR((IF(COUNT('연간'!E28:H28)&lt;4,"",SUM('연간'!E28:H28)))/(IF(COUNT('연간'!E4:H4)&lt;4,"",SUM('연간'!E4:H4))),"")</f>
        <v/>
      </c>
      <c r="E55" s="36">
        <f>IFERROR((IF(COUNT('연간'!F28:I28)&lt;4,"",SUM('연간'!F28:I28)))/(IF(COUNT('연간'!F4:I4)&lt;4,"",SUM('연간'!F4:I4))),"")</f>
        <v/>
      </c>
      <c r="F55" s="36">
        <f>IFERROR((IF(COUNT('연간'!G28:J28)&lt;4,"",SUM('연간'!G28:J28)))/(IF(COUNT('연간'!G4:J4)&lt;4,"",SUM('연간'!G4:J4))),"")</f>
        <v/>
      </c>
      <c r="G55" s="36">
        <f>IFERROR((IF(COUNT('연간'!H28:K28)&lt;4,"",SUM('연간'!H28:K28)))/(IF(COUNT('연간'!H4:K4)&lt;4,"",SUM('연간'!H4:K4))),"")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IFERROR((IF(COUNT('연간'!D55:G55)&lt;4,"",SUM('연간'!D55:G55)))/(IF(COUNT('연간'!D4:G4)&lt;4,"",SUM('연간'!D4:G4))),"")</f>
        <v/>
      </c>
      <c r="D56" s="36">
        <f>IFERROR((IF(COUNT('연간'!E55:H55)&lt;4,"",SUM('연간'!E55:H55)))/(IF(COUNT('연간'!E4:H4)&lt;4,"",SUM('연간'!E4:H4))),"")</f>
        <v/>
      </c>
      <c r="E56" s="36">
        <f>IFERROR((IF(COUNT('연간'!F55:I55)&lt;4,"",SUM('연간'!F55:I55)))/(IF(COUNT('연간'!F4:I4)&lt;4,"",SUM('연간'!F4:I4))),"")</f>
        <v/>
      </c>
      <c r="F56" s="36">
        <f>IFERROR((IF(COUNT('연간'!G55:J55)&lt;4,"",SUM('연간'!G55:J55)))/(IF(COUNT('연간'!G4:J4)&lt;4,"",SUM('연간'!G4:J4))),"")</f>
        <v/>
      </c>
      <c r="G56" s="36">
        <f>IFERROR((IF(COUNT('연간'!H55:K55)&lt;4,"",SUM('연간'!H55:K55)))/(IF(COUNT('연간'!H4:K4)&lt;4,"",SUM('연간'!H4:K4))),"")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IFERROR((IF(COUNT('연간'!D4:G4)&lt;4,"",SUM('연간'!D4:G4)))/C16,"")</f>
        <v/>
      </c>
      <c r="D58" s="31">
        <f>IFERROR((IF(COUNT('연간'!E4:H4)&lt;4,"",SUM('연간'!E4:H4)))/D16,"")</f>
        <v/>
      </c>
      <c r="E58" s="31">
        <f>IFERROR((IF(COUNT('연간'!F4:I4)&lt;4,"",SUM('연간'!F4:I4)))/E16,"")</f>
        <v/>
      </c>
      <c r="F58" s="31">
        <f>IFERROR((IF(COUNT('연간'!G4:J4)&lt;4,"",SUM('연간'!G4:J4)))/F16,"")</f>
        <v/>
      </c>
      <c r="G58" s="31">
        <f>IFERROR((IF(COUNT('연간'!H4:K4)&lt;4,"",SUM('연간'!H4:K4)))/G16,"")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IFERROR(C8/(IF(COUNT('연간'!D4:G4)&lt;4,"",SUM('연간'!D4:G4)))*365,"")</f>
        <v/>
      </c>
      <c r="D59" s="48">
        <f>IFERROR(D8/(IF(COUNT('연간'!E4:H4)&lt;4,"",SUM('연간'!E4:H4)))*365,"")</f>
        <v/>
      </c>
      <c r="E59" s="48">
        <f>IFERROR(E8/(IF(COUNT('연간'!F4:I4)&lt;4,"",SUM('연간'!F4:I4)))*365,"")</f>
        <v/>
      </c>
      <c r="F59" s="48">
        <f>IFERROR(F8/(IF(COUNT('연간'!G4:J4)&lt;4,"",SUM('연간'!G4:J4)))*365,"")</f>
        <v/>
      </c>
      <c r="G59" s="48">
        <f>IFERROR(G8/(IF(COUNT('연간'!H4:K4)&lt;4,"",SUM('연간'!H4:K4)))*365,"")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IFERROR(C9/(IF(COUNT('연간'!D23:G23)&lt;4,"",SUM('연간'!D23:G23)))*365,"")</f>
        <v/>
      </c>
      <c r="D60" s="48">
        <f>IFERROR(D9/(IF(COUNT('연간'!E23:H23)&lt;4,"",SUM('연간'!E23:H23)))*365,"")</f>
        <v/>
      </c>
      <c r="E60" s="48">
        <f>IFERROR(E9/(IF(COUNT('연간'!F23:I23)&lt;4,"",SUM('연간'!F23:I23)))*365,"")</f>
        <v/>
      </c>
      <c r="F60" s="48">
        <f>IFERROR(F9/(IF(COUNT('연간'!G23:J23)&lt;4,"",SUM('연간'!G23:J23)))*365,"")</f>
        <v/>
      </c>
      <c r="G60" s="48">
        <f>IFERROR(G9/(IF(COUNT('연간'!H23:K23)&lt;4,"",SUM('연간'!H23:K23)))*365,"")</f>
        <v/>
      </c>
      <c r="H60" s="47">
        <f>IFERROR(H9/('연간'!T23)*365,"")</f>
        <v/>
      </c>
      <c r="I60" s="48">
        <f>IFERROR(I9/('연간'!U23)*365,"")</f>
        <v/>
      </c>
      <c r="J60" s="48">
        <f>IFERROR(J9/('연간'!V23)*365,"")</f>
        <v/>
      </c>
      <c r="K60" s="48">
        <f>IFERROR(K9/('연간'!W23)*365,"")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IFERROR(C19/(IF(COUNT('연간'!D23:G23)&lt;4,"",SUM('연간'!D23:G23)))*365,"")</f>
        <v/>
      </c>
      <c r="D61" s="48">
        <f>IFERROR(D19/(IF(COUNT('연간'!E23:H23)&lt;4,"",SUM('연간'!E23:H23)))*365,"")</f>
        <v/>
      </c>
      <c r="E61" s="48">
        <f>IFERROR(E19/(IF(COUNT('연간'!F23:I23)&lt;4,"",SUM('연간'!F23:I23)))*365,"")</f>
        <v/>
      </c>
      <c r="F61" s="48">
        <f>IFERROR(F19/(IF(COUNT('연간'!G23:J23)&lt;4,"",SUM('연간'!G23:J23)))*365,"")</f>
        <v/>
      </c>
      <c r="G61" s="48">
        <f>IFERROR(G19/(IF(COUNT('연간'!H23:K23)&lt;4,"",SUM('연간'!H23:K23)))*365,"")</f>
        <v/>
      </c>
      <c r="H61" s="47">
        <f>IFERROR(H19/('연간'!T23)*365,"")</f>
        <v/>
      </c>
      <c r="I61" s="48">
        <f>IFERROR(I19/('연간'!U23)*365,"")</f>
        <v/>
      </c>
      <c r="J61" s="48">
        <f>IFERROR(J19/('연간'!V23)*365,"")</f>
        <v/>
      </c>
      <c r="K61" s="48">
        <f>IFERROR(K19/('연간'!W23)*365,"")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IF(C37="","",IFERROR(C37/(IF(COUNT('연간'!D55:G55)&lt;4,"",SUM('연간'!D55:G55))),""))</f>
        <v/>
      </c>
      <c r="D64" s="31">
        <f>IF(D37="","",IFERROR(D37/(IF(COUNT('연간'!E55:H55)&lt;4,"",SUM('연간'!E55:H55))),""))</f>
        <v/>
      </c>
      <c r="E64" s="31">
        <f>IF(E37="","",IFERROR(E37/(IF(COUNT('연간'!F55:I55)&lt;4,"",SUM('연간'!F55:I55))),""))</f>
        <v/>
      </c>
      <c r="F64" s="31">
        <f>IF(F37="","",IFERROR(F37/(IF(COUNT('연간'!G55:J55)&lt;4,"",SUM('연간'!G55:J55))),""))</f>
        <v/>
      </c>
      <c r="G64" s="31">
        <f>IF(G37="","",IFERROR(G37/(IF(COUNT('연간'!H55:K55)&lt;4,"",SUM('연간'!H55:K55))),""))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IF(C39="","",IFERROR(C39/(IF(COUNT('연간'!D4:G4)&lt;4,"",SUM('연간'!D4:G4))),""))</f>
        <v/>
      </c>
      <c r="D65" s="36">
        <f>IF(D39="","",IFERROR(D39/(IF(COUNT('연간'!E4:H4)&lt;4,"",SUM('연간'!E4:H4))),""))</f>
        <v/>
      </c>
      <c r="E65" s="36">
        <f>IF(E39="","",IFERROR(E39/(IF(COUNT('연간'!F4:I4)&lt;4,"",SUM('연간'!F4:I4))),""))</f>
        <v/>
      </c>
      <c r="F65" s="36">
        <f>IF(F39="","",IFERROR(F39/(IF(COUNT('연간'!G4:J4)&lt;4,"",SUM('연간'!G4:J4))),""))</f>
        <v/>
      </c>
      <c r="G65" s="36">
        <f>IF(G39="","",IFERROR(G39/(IF(COUNT('연간'!H4:K4)&lt;4,"",SUM('연간'!H4:K4))),""))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IF(C38="","",IFERROR(C38/(IF(COUNT('연간'!D4:G4)&lt;4,"",SUM('연간'!D4:G4))),""))</f>
        <v/>
      </c>
      <c r="D66" s="36">
        <f>IF(D38="","",IFERROR(D38/(IF(COUNT('연간'!E4:H4)&lt;4,"",SUM('연간'!E4:H4))),""))</f>
        <v/>
      </c>
      <c r="E66" s="36">
        <f>IF(E38="","",IFERROR(E38/(IF(COUNT('연간'!F4:I4)&lt;4,"",SUM('연간'!F4:I4))),""))</f>
        <v/>
      </c>
      <c r="F66" s="36">
        <f>IF(F38="","",IFERROR(F38/(IF(COUNT('연간'!G4:J4)&lt;4,"",SUM('연간'!G4:J4))),""))</f>
        <v/>
      </c>
      <c r="G66" s="36">
        <f>IF(G38="","",IFERROR(G38/(IF(COUNT('연간'!H4:K4)&lt;4,"",SUM('연간'!H4:K4))),""))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IF(C40="","",IFERROR(C40/(IF(COUNT('연간'!D56:G56)&lt;4,"",SUM('연간'!D56:G56))),""))</f>
        <v/>
      </c>
      <c r="D67" s="36">
        <f>IF(D40="","",IFERROR(D40/(IF(COUNT('연간'!E56:H56)&lt;4,"",SUM('연간'!E56:H56))),""))</f>
        <v/>
      </c>
      <c r="E67" s="36">
        <f>IF(E40="","",IFERROR(E40/(IF(COUNT('연간'!F56:I56)&lt;4,"",SUM('연간'!F56:I56))),""))</f>
        <v/>
      </c>
      <c r="F67" s="36">
        <f>IF(F40="","",IFERROR(F40/(IF(COUNT('연간'!G56:J56)&lt;4,"",SUM('연간'!G56:J56))),""))</f>
        <v/>
      </c>
      <c r="G67" s="36">
        <f>IF(G40="","",IFERROR(G40/(IF(COUNT('연간'!H56:K56)&lt;4,"",SUM('연간'!H56:K56))),""))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2023</t>
        </is>
      </c>
      <c r="I70" s="5" t="inlineStr">
        <is>
          <t>2024</t>
        </is>
      </c>
      <c r="J70" s="5" t="inlineStr">
        <is>
          <t>2025</t>
        </is>
      </c>
      <c r="K70" s="5" t="inlineStr">
        <is>
          <t>2026</t>
        </is>
      </c>
    </row>
    <row r="71">
      <c r="A71" s="18" t="inlineStr">
        <is>
          <t>현금 및 예금</t>
        </is>
      </c>
      <c r="C71" s="20" t="n">
        <v>6831.528</v>
      </c>
      <c r="D71" s="20" t="n">
        <v>6747.841</v>
      </c>
      <c r="E71" s="20" t="n">
        <v>6984.794</v>
      </c>
      <c r="F71" s="20" t="n">
        <v>7398.912</v>
      </c>
      <c r="G71" s="20" t="n">
        <v>6832.976</v>
      </c>
      <c r="H71" s="20" t="n">
        <v>6888.375</v>
      </c>
      <c r="I71" s="20" t="n">
        <v>7103.652</v>
      </c>
      <c r="J71" s="20" t="n">
        <v>7742.985</v>
      </c>
      <c r="K71" s="20" t="n">
        <v>7398.912</v>
      </c>
    </row>
    <row r="72">
      <c r="A72" s="18" t="inlineStr">
        <is>
          <t>받을어음</t>
        </is>
      </c>
      <c r="C72" s="20" t="n">
        <v>226.669</v>
      </c>
      <c r="D72" s="20" t="n">
        <v>208.178</v>
      </c>
      <c r="E72" s="20" t="n">
        <v>191.147</v>
      </c>
      <c r="F72" s="20" t="n">
        <v>216.239</v>
      </c>
      <c r="G72" s="20" t="n">
        <v>195.956</v>
      </c>
      <c r="H72" s="20" t="n">
        <v>305.95</v>
      </c>
      <c r="I72" s="20" t="n">
        <v>196.809</v>
      </c>
      <c r="J72" s="20" t="n">
        <v>210.874</v>
      </c>
      <c r="K72" s="20" t="n">
        <v>216.239</v>
      </c>
    </row>
    <row r="73">
      <c r="A73" s="18" t="inlineStr">
        <is>
          <t>매출채권</t>
        </is>
      </c>
      <c r="C73" s="20" t="n">
        <v>5159.478</v>
      </c>
      <c r="D73" s="20" t="n">
        <v>4140.375</v>
      </c>
      <c r="E73" s="20" t="n">
        <v>5354.194</v>
      </c>
      <c r="F73" s="20" t="n">
        <v>5232.014</v>
      </c>
      <c r="G73" s="20" t="n">
        <v>5405.64</v>
      </c>
      <c r="H73" s="20" t="n">
        <v>5285.919</v>
      </c>
      <c r="I73" s="20" t="n">
        <v>5620.898</v>
      </c>
      <c r="J73" s="20" t="n">
        <v>5192.359</v>
      </c>
      <c r="K73" s="20" t="n">
        <v>5232.014</v>
      </c>
    </row>
    <row r="74">
      <c r="A74" s="18" t="inlineStr">
        <is>
          <t>상품·제품</t>
        </is>
      </c>
      <c r="C74" s="20" t="n">
        <v>9700.866</v>
      </c>
      <c r="D74" s="20" t="n">
        <v>10804.902</v>
      </c>
      <c r="E74" s="20" t="n">
        <v>10654.992</v>
      </c>
      <c r="F74" s="20" t="n">
        <v>10790.147</v>
      </c>
      <c r="G74" s="20" t="n">
        <v>9232.373</v>
      </c>
      <c r="H74" s="20" t="n">
        <v>11024.566</v>
      </c>
      <c r="I74" s="20" t="n">
        <v>11294.477</v>
      </c>
      <c r="J74" s="20" t="n">
        <v>10767.404</v>
      </c>
      <c r="K74" s="20" t="n">
        <v>10790.147</v>
      </c>
    </row>
    <row r="75">
      <c r="A75" s="18" t="inlineStr">
        <is>
          <t>재공품</t>
        </is>
      </c>
      <c r="C75" s="20" t="n">
        <v>301.213</v>
      </c>
      <c r="D75" s="20" t="n">
        <v>340.121</v>
      </c>
      <c r="E75" s="20" t="n">
        <v>343.02</v>
      </c>
      <c r="F75" s="20" t="n">
        <v>339.412</v>
      </c>
      <c r="G75" s="20" t="n">
        <v>349.684</v>
      </c>
      <c r="H75" s="20" t="n">
        <v>422.271</v>
      </c>
      <c r="I75" s="20" t="n">
        <v>355.514</v>
      </c>
      <c r="J75" s="20" t="n">
        <v>339.076</v>
      </c>
      <c r="K75" s="20" t="n">
        <v>339.412</v>
      </c>
    </row>
    <row r="76">
      <c r="A76" s="18" t="inlineStr">
        <is>
          <t>원재료·저장품</t>
        </is>
      </c>
      <c r="C76" s="20" t="n">
        <v>1190.668</v>
      </c>
      <c r="D76" s="20" t="n">
        <v>1323.877</v>
      </c>
      <c r="E76" s="20" t="n">
        <v>1220.739</v>
      </c>
      <c r="F76" s="20" t="n">
        <v>1305.757</v>
      </c>
      <c r="G76" s="20" t="n">
        <v>1399.888</v>
      </c>
      <c r="H76" s="20" t="n">
        <v>1531.39</v>
      </c>
      <c r="I76" s="20" t="n">
        <v>1383.347</v>
      </c>
      <c r="J76" s="20" t="n">
        <v>1280.269</v>
      </c>
      <c r="K76" s="20" t="n">
        <v>1305.757</v>
      </c>
    </row>
    <row r="77">
      <c r="A77" s="18" t="inlineStr">
        <is>
          <t>기타</t>
        </is>
      </c>
      <c r="C77" s="20" t="n">
        <v>653.503</v>
      </c>
      <c r="D77" s="20" t="n">
        <v>765.16</v>
      </c>
      <c r="E77" s="20" t="n">
        <v>735.54</v>
      </c>
      <c r="F77" s="20" t="n">
        <v>802.302</v>
      </c>
      <c r="G77" s="20" t="n">
        <v>890.17</v>
      </c>
      <c r="H77" s="20" t="n">
        <v>900.04</v>
      </c>
      <c r="I77" s="20" t="n">
        <v>670.486</v>
      </c>
      <c r="J77" s="20" t="n">
        <v>815.545</v>
      </c>
      <c r="K77" s="20" t="n">
        <v>802.302</v>
      </c>
    </row>
    <row r="78">
      <c r="A78" s="18" t="inlineStr">
        <is>
          <t>대손충당금</t>
        </is>
      </c>
      <c r="C78" s="20" t="n">
        <v>-0.484</v>
      </c>
      <c r="D78" s="20" t="n">
        <v>-0.835</v>
      </c>
      <c r="E78" s="20" t="n">
        <v>-0.878</v>
      </c>
      <c r="F78" s="20" t="n">
        <v>-0.9340000000000001</v>
      </c>
      <c r="G78" s="20" t="n">
        <v>-1.223</v>
      </c>
      <c r="H78" s="20" t="n">
        <v>-0.708</v>
      </c>
      <c r="I78" s="20" t="n">
        <v>-0.44</v>
      </c>
      <c r="J78" s="20" t="n">
        <v>-0.65</v>
      </c>
      <c r="K78" s="20" t="n">
        <v>-0.9340000000000001</v>
      </c>
    </row>
    <row r="79">
      <c r="A79" s="9" t="inlineStr">
        <is>
          <t>유동자산 합계</t>
        </is>
      </c>
      <c r="C79" s="12" t="n">
        <v>24063.443</v>
      </c>
      <c r="D79" s="12" t="n">
        <v>24329.621</v>
      </c>
      <c r="E79" s="12" t="n">
        <v>25483.552</v>
      </c>
      <c r="F79" s="12" t="n">
        <v>26083.852</v>
      </c>
      <c r="G79" s="12" t="n">
        <v>24305.467</v>
      </c>
      <c r="H79" s="12" t="n">
        <v>26357.806</v>
      </c>
      <c r="I79" s="12" t="n">
        <v>26624.746</v>
      </c>
      <c r="J79" s="12" t="n">
        <v>26347.865</v>
      </c>
      <c r="K79" s="12" t="n">
        <v>26083.852</v>
      </c>
    </row>
    <row r="80">
      <c r="A80" s="18" t="inlineStr">
        <is>
          <t>건물·구축물</t>
        </is>
      </c>
      <c r="C80" s="20" t="n">
        <v>6196.545</v>
      </c>
      <c r="D80" s="20" t="n">
        <v>6211.898</v>
      </c>
      <c r="E80" s="20" t="n">
        <v>6383.8</v>
      </c>
      <c r="F80" s="20" t="n">
        <v>6442.472</v>
      </c>
      <c r="G80" s="20" t="n">
        <v>6453.964</v>
      </c>
      <c r="H80" s="20" t="n">
        <v>6162.218</v>
      </c>
      <c r="I80" s="20" t="n">
        <v>6171.625</v>
      </c>
      <c r="J80" s="20" t="n">
        <v>6204.703</v>
      </c>
      <c r="K80" s="20" t="n">
        <v>6442.472</v>
      </c>
    </row>
    <row r="81">
      <c r="A81" s="18" t="inlineStr">
        <is>
          <t>감가상각누계액</t>
        </is>
      </c>
      <c r="C81" s="20" t="n">
        <v>-4306.709</v>
      </c>
      <c r="D81" s="20" t="n">
        <v>-4350.422</v>
      </c>
      <c r="E81" s="20" t="n">
        <v>-4416.734</v>
      </c>
      <c r="F81" s="20" t="n">
        <v>-4458.457</v>
      </c>
      <c r="G81" s="20" t="n">
        <v>-4504.984</v>
      </c>
      <c r="H81" s="20" t="n">
        <v>-4024.616</v>
      </c>
      <c r="I81" s="20" t="n">
        <v>-4147.967</v>
      </c>
      <c r="J81" s="20" t="n">
        <v>-4289.35</v>
      </c>
      <c r="K81" s="20" t="n">
        <v>-4458.457</v>
      </c>
    </row>
    <row r="82">
      <c r="A82" s="18" t="inlineStr">
        <is>
          <t>건물·구축물(순액)</t>
        </is>
      </c>
      <c r="C82" s="20" t="n">
        <v>1889.836</v>
      </c>
      <c r="D82" s="20" t="n">
        <v>1861.476</v>
      </c>
      <c r="E82" s="20" t="n">
        <v>1967.066</v>
      </c>
      <c r="F82" s="20" t="n">
        <v>1984.014</v>
      </c>
      <c r="G82" s="20" t="n">
        <v>1948.979</v>
      </c>
      <c r="H82" s="20" t="n">
        <v>2137.601</v>
      </c>
      <c r="I82" s="20" t="n">
        <v>2023.658</v>
      </c>
      <c r="J82" s="20" t="n">
        <v>1915.352</v>
      </c>
      <c r="K82" s="20" t="n">
        <v>1984.014</v>
      </c>
    </row>
    <row r="83">
      <c r="A83" s="18" t="inlineStr">
        <is>
          <t>기계장치·운반구</t>
        </is>
      </c>
      <c r="C83" s="20" t="n">
        <v>3517.938</v>
      </c>
      <c r="D83" s="20" t="n">
        <v>3574.549</v>
      </c>
      <c r="E83" s="20" t="n">
        <v>3753.131</v>
      </c>
      <c r="F83" s="20" t="n">
        <v>3809.659</v>
      </c>
      <c r="G83" s="20" t="n">
        <v>3849.137</v>
      </c>
      <c r="H83" s="20" t="n">
        <v>3253.98</v>
      </c>
      <c r="I83" s="20" t="n">
        <v>3410.613</v>
      </c>
      <c r="J83" s="20" t="n">
        <v>3540.732</v>
      </c>
      <c r="K83" s="20" t="n">
        <v>3809.659</v>
      </c>
    </row>
    <row r="84">
      <c r="A84" s="18" t="inlineStr">
        <is>
          <t>감가상각누계액</t>
        </is>
      </c>
      <c r="C84" s="20" t="n">
        <v>-3221.779</v>
      </c>
      <c r="D84" s="20" t="n">
        <v>-3294.394</v>
      </c>
      <c r="E84" s="20" t="n">
        <v>-3475.803</v>
      </c>
      <c r="F84" s="20" t="n">
        <v>-3540.312</v>
      </c>
      <c r="G84" s="20" t="n">
        <v>-3583.344</v>
      </c>
      <c r="H84" s="20" t="n">
        <v>-2945.906</v>
      </c>
      <c r="I84" s="20" t="n">
        <v>-3139.11</v>
      </c>
      <c r="J84" s="20" t="n">
        <v>-3237.671</v>
      </c>
      <c r="K84" s="20" t="n">
        <v>-3540.312</v>
      </c>
    </row>
    <row r="85">
      <c r="A85" s="18" t="inlineStr">
        <is>
          <t>기계장치·운반구(순액)</t>
        </is>
      </c>
      <c r="C85" s="20" t="n">
        <v>296.158</v>
      </c>
      <c r="D85" s="20" t="n">
        <v>280.154</v>
      </c>
      <c r="E85" s="20" t="n">
        <v>277.327</v>
      </c>
      <c r="F85" s="20" t="n">
        <v>269.347</v>
      </c>
      <c r="G85" s="20" t="n">
        <v>265.792</v>
      </c>
      <c r="H85" s="20" t="n">
        <v>308.074</v>
      </c>
      <c r="I85" s="20" t="n">
        <v>271.503</v>
      </c>
      <c r="J85" s="20" t="n">
        <v>303.06</v>
      </c>
      <c r="K85" s="20" t="n">
        <v>269.347</v>
      </c>
    </row>
    <row r="86">
      <c r="A86" s="18" t="inlineStr">
        <is>
          <t>토지</t>
        </is>
      </c>
      <c r="C86" s="20" t="n">
        <v>1570.022</v>
      </c>
      <c r="D86" s="20" t="n">
        <v>1570.022</v>
      </c>
      <c r="E86" s="20" t="n">
        <v>1570.022</v>
      </c>
      <c r="F86" s="20" t="n">
        <v>1570.022</v>
      </c>
      <c r="G86" s="20" t="n">
        <v>1570.022</v>
      </c>
      <c r="H86" s="20" t="n">
        <v>1588.784</v>
      </c>
      <c r="I86" s="20" t="n">
        <v>1570.022</v>
      </c>
      <c r="J86" s="20" t="n">
        <v>1570.022</v>
      </c>
      <c r="K86" s="20" t="n">
        <v>1570.022</v>
      </c>
    </row>
    <row r="87">
      <c r="A87" s="18" t="inlineStr">
        <is>
          <t>건설중인자산</t>
        </is>
      </c>
      <c r="C87" s="20" t="n">
        <v>56.104</v>
      </c>
      <c r="D87" s="20" t="n">
        <v>90.261</v>
      </c>
      <c r="E87" s="20" t="n">
        <v>45.644</v>
      </c>
      <c r="F87" s="20" t="n">
        <v>30.095</v>
      </c>
      <c r="G87" s="20" t="n">
        <v>117.566</v>
      </c>
      <c r="H87" s="20" t="n">
        <v>160.051</v>
      </c>
      <c r="I87" s="20" t="n">
        <v>175.267</v>
      </c>
      <c r="J87" s="20" t="n">
        <v>42.688</v>
      </c>
      <c r="K87" s="20" t="n">
        <v>30.095</v>
      </c>
    </row>
    <row r="88">
      <c r="A88" s="18" t="inlineStr">
        <is>
          <t>기타</t>
        </is>
      </c>
      <c r="C88" s="20" t="n">
        <v>3172.541</v>
      </c>
      <c r="D88" s="20" t="n">
        <v>3187.509</v>
      </c>
      <c r="E88" s="20" t="n">
        <v>3204.698</v>
      </c>
      <c r="F88" s="20" t="n">
        <v>3254.191</v>
      </c>
      <c r="G88" s="20" t="n">
        <v>3247.537</v>
      </c>
      <c r="H88" s="20" t="n">
        <v>3037.857</v>
      </c>
      <c r="I88" s="20" t="n">
        <v>3090.726</v>
      </c>
      <c r="J88" s="20" t="n">
        <v>3266.826</v>
      </c>
      <c r="K88" s="20" t="n">
        <v>3254.191</v>
      </c>
    </row>
    <row r="89">
      <c r="A89" s="18" t="inlineStr">
        <is>
          <t>감가상각누계액</t>
        </is>
      </c>
      <c r="C89" s="20" t="n">
        <v>-2873.047</v>
      </c>
      <c r="D89" s="20" t="n">
        <v>-2885.692</v>
      </c>
      <c r="E89" s="20" t="n">
        <v>-2894.407</v>
      </c>
      <c r="F89" s="20" t="n">
        <v>-2940.799</v>
      </c>
      <c r="G89" s="20" t="n">
        <v>-2960.357</v>
      </c>
      <c r="H89" s="20" t="n">
        <v>-2787.994</v>
      </c>
      <c r="I89" s="20" t="n">
        <v>-2826.488</v>
      </c>
      <c r="J89" s="20" t="n">
        <v>-2876.552</v>
      </c>
      <c r="K89" s="20" t="n">
        <v>-2940.799</v>
      </c>
    </row>
    <row r="90">
      <c r="A90" s="18" t="inlineStr">
        <is>
          <t>기타(순액)</t>
        </is>
      </c>
      <c r="C90" s="20" t="n">
        <v>299.493</v>
      </c>
      <c r="D90" s="20" t="n">
        <v>301.816</v>
      </c>
      <c r="E90" s="20" t="n">
        <v>310.29</v>
      </c>
      <c r="F90" s="20" t="n">
        <v>313.392</v>
      </c>
      <c r="G90" s="20" t="n">
        <v>287.179</v>
      </c>
      <c r="H90" s="20" t="n">
        <v>249.863</v>
      </c>
      <c r="I90" s="20" t="n">
        <v>264.237</v>
      </c>
      <c r="J90" s="20" t="n">
        <v>390.273</v>
      </c>
      <c r="K90" s="20" t="n">
        <v>313.392</v>
      </c>
    </row>
    <row r="91">
      <c r="A91" s="18" t="inlineStr">
        <is>
          <t>유형자산 합계</t>
        </is>
      </c>
      <c r="C91" s="20" t="n">
        <v>4111.615</v>
      </c>
      <c r="D91" s="20" t="n">
        <v>4103.731</v>
      </c>
      <c r="E91" s="20" t="n">
        <v>4170.351</v>
      </c>
      <c r="F91" s="20" t="n">
        <v>4166.872</v>
      </c>
      <c r="G91" s="20" t="n">
        <v>4189.54</v>
      </c>
      <c r="H91" s="20" t="n">
        <v>4444.374</v>
      </c>
      <c r="I91" s="20" t="n">
        <v>4304.689</v>
      </c>
      <c r="J91" s="20" t="n">
        <v>4221.397</v>
      </c>
      <c r="K91" s="20" t="n">
        <v>4166.872</v>
      </c>
    </row>
    <row r="92">
      <c r="A92" s="18" t="inlineStr">
        <is>
          <t>영업권</t>
        </is>
      </c>
      <c r="C92" s="20" t="n">
        <v>739.574</v>
      </c>
      <c r="D92" s="20" t="n">
        <v>698.487</v>
      </c>
      <c r="E92" s="20" t="n">
        <v>657.399</v>
      </c>
      <c r="F92" s="20" t="n">
        <v>616.312</v>
      </c>
      <c r="G92" s="20" t="n">
        <v>575.224</v>
      </c>
      <c r="H92" s="20" t="n">
        <v>1528.517</v>
      </c>
      <c r="I92" s="20" t="n">
        <v>1287.957</v>
      </c>
      <c r="J92" s="20" t="n">
        <v>905.647</v>
      </c>
      <c r="K92" s="20" t="n">
        <v>616.312</v>
      </c>
    </row>
    <row r="93">
      <c r="A93" s="18" t="inlineStr">
        <is>
          <t>기타</t>
        </is>
      </c>
      <c r="C93" s="20" t="n">
        <v>1084.655</v>
      </c>
      <c r="D93" s="20" t="n">
        <v>1079.441</v>
      </c>
      <c r="E93" s="20" t="n">
        <v>1054.846</v>
      </c>
      <c r="F93" s="20" t="n">
        <v>1102.884</v>
      </c>
      <c r="G93" s="20" t="n">
        <v>1071.477</v>
      </c>
      <c r="H93" s="20" t="n">
        <v>686.152</v>
      </c>
      <c r="I93" s="20" t="n">
        <v>818.8920000000001</v>
      </c>
      <c r="J93" s="20" t="n">
        <v>1126.433</v>
      </c>
      <c r="K93" s="20" t="n">
        <v>1102.884</v>
      </c>
    </row>
    <row r="94">
      <c r="A94" s="18" t="inlineStr">
        <is>
          <t>무형자산 합계</t>
        </is>
      </c>
      <c r="C94" s="20" t="n">
        <v>1824.23</v>
      </c>
      <c r="D94" s="20" t="n">
        <v>1777.928</v>
      </c>
      <c r="E94" s="20" t="n">
        <v>1712.246</v>
      </c>
      <c r="F94" s="20" t="n">
        <v>1719.196</v>
      </c>
      <c r="G94" s="20" t="n">
        <v>1646.702</v>
      </c>
      <c r="H94" s="20" t="n">
        <v>2214.67</v>
      </c>
      <c r="I94" s="20" t="n">
        <v>2106.85</v>
      </c>
      <c r="J94" s="20" t="n">
        <v>2032.081</v>
      </c>
      <c r="K94" s="20" t="n">
        <v>1719.196</v>
      </c>
    </row>
    <row r="95">
      <c r="A95" s="18" t="inlineStr">
        <is>
          <t>투자유가증권</t>
        </is>
      </c>
      <c r="C95" s="20" t="n">
        <v>2977.8</v>
      </c>
      <c r="D95" s="20" t="n">
        <v>3600.556</v>
      </c>
      <c r="E95" s="20" t="n">
        <v>3978.663</v>
      </c>
      <c r="F95" s="20" t="n">
        <v>4222.112</v>
      </c>
      <c r="G95" s="20" t="n">
        <v>4103.598</v>
      </c>
      <c r="H95" s="20" t="n">
        <v>2893.347</v>
      </c>
      <c r="I95" s="20" t="n">
        <v>3239.4</v>
      </c>
      <c r="J95" s="20" t="n">
        <v>3185.057</v>
      </c>
      <c r="K95" s="20" t="n">
        <v>4222.112</v>
      </c>
    </row>
    <row r="96">
      <c r="A96" s="18" t="inlineStr">
        <is>
          <t>퇴직급여자산</t>
        </is>
      </c>
      <c r="C96" s="20" t="n">
        <v>1866.257</v>
      </c>
      <c r="D96" s="20" t="n">
        <v>1898.529</v>
      </c>
      <c r="E96" s="20" t="n">
        <v>1930.42</v>
      </c>
      <c r="F96" s="20" t="n">
        <v>1961.696</v>
      </c>
      <c r="G96" s="20" t="n">
        <v>2395.627</v>
      </c>
      <c r="H96" s="20" t="n">
        <v>1388.167</v>
      </c>
      <c r="I96" s="20" t="n">
        <v>1600.218</v>
      </c>
      <c r="J96" s="20" t="n">
        <v>1882.38</v>
      </c>
      <c r="K96" s="20" t="n">
        <v>1961.696</v>
      </c>
    </row>
    <row r="97">
      <c r="A97" s="18" t="inlineStr">
        <is>
          <t>이연법인세자산</t>
        </is>
      </c>
      <c r="C97" s="20" t="n">
        <v>183.265</v>
      </c>
      <c r="D97" s="20" t="n">
        <v>187.225</v>
      </c>
      <c r="E97" s="20" t="n">
        <v>202.465</v>
      </c>
      <c r="F97" s="20" t="n">
        <v>188.795</v>
      </c>
      <c r="G97" s="20" t="n">
        <v>216.289</v>
      </c>
      <c r="H97" s="20" t="n">
        <v>253.674</v>
      </c>
      <c r="I97" s="20" t="n">
        <v>221.475</v>
      </c>
      <c r="J97" s="20" t="n">
        <v>149.039</v>
      </c>
      <c r="K97" s="20" t="n">
        <v>188.795</v>
      </c>
    </row>
    <row r="98">
      <c r="A98" s="18" t="inlineStr">
        <is>
          <t>기타</t>
        </is>
      </c>
      <c r="C98" s="20" t="n">
        <v>487.753</v>
      </c>
      <c r="D98" s="20" t="n">
        <v>479.555</v>
      </c>
      <c r="E98" s="20" t="n">
        <v>487.665</v>
      </c>
      <c r="F98" s="20" t="n">
        <v>499.259</v>
      </c>
      <c r="G98" s="20" t="n">
        <v>496.133</v>
      </c>
      <c r="H98" s="20" t="n">
        <v>416.242</v>
      </c>
      <c r="I98" s="20" t="n">
        <v>454.827</v>
      </c>
      <c r="J98" s="20" t="n">
        <v>495.224</v>
      </c>
      <c r="K98" s="20" t="n">
        <v>499.259</v>
      </c>
    </row>
    <row r="99">
      <c r="A99" s="18" t="inlineStr">
        <is>
          <t>대손충당금</t>
        </is>
      </c>
      <c r="C99" s="20" t="n">
        <v>-1.199</v>
      </c>
      <c r="D99" s="20" t="n">
        <v>-1.831</v>
      </c>
      <c r="E99" s="20" t="n">
        <v>-1.849</v>
      </c>
      <c r="F99" s="20" t="n">
        <v>-1.914</v>
      </c>
      <c r="G99" s="20" t="n">
        <v>-1.272</v>
      </c>
      <c r="H99" s="20" t="n">
        <v>-2.109</v>
      </c>
      <c r="I99" s="20" t="n">
        <v>-1.224</v>
      </c>
      <c r="J99" s="20" t="n">
        <v>-1.26</v>
      </c>
      <c r="K99" s="20" t="n">
        <v>-1.914</v>
      </c>
    </row>
    <row r="100">
      <c r="A100" s="18" t="inlineStr">
        <is>
          <t>투자 및 기타자산 합계</t>
        </is>
      </c>
      <c r="C100" s="20" t="n">
        <v>5513.877</v>
      </c>
      <c r="D100" s="20" t="n">
        <v>6164.035</v>
      </c>
      <c r="E100" s="20" t="n">
        <v>6597.365</v>
      </c>
      <c r="F100" s="20" t="n">
        <v>6869.949</v>
      </c>
      <c r="G100" s="20" t="n">
        <v>7210.375</v>
      </c>
      <c r="H100" s="20" t="n">
        <v>4949.323</v>
      </c>
      <c r="I100" s="20" t="n">
        <v>5514.697</v>
      </c>
      <c r="J100" s="20" t="n">
        <v>5710.441</v>
      </c>
      <c r="K100" s="20" t="n">
        <v>6869.949</v>
      </c>
    </row>
    <row r="101">
      <c r="A101" s="9" t="inlineStr">
        <is>
          <t>비유동자산 합계</t>
        </is>
      </c>
      <c r="C101" s="12" t="n">
        <v>11449.723</v>
      </c>
      <c r="D101" s="12" t="n">
        <v>12045.696</v>
      </c>
      <c r="E101" s="12" t="n">
        <v>12479.963</v>
      </c>
      <c r="F101" s="12" t="n">
        <v>12756.019</v>
      </c>
      <c r="G101" s="12" t="n">
        <v>13046.618</v>
      </c>
      <c r="H101" s="12" t="n">
        <v>11608.368</v>
      </c>
      <c r="I101" s="12" t="n">
        <v>11926.237</v>
      </c>
      <c r="J101" s="12" t="n">
        <v>11963.919</v>
      </c>
      <c r="K101" s="12" t="n">
        <v>12756.019</v>
      </c>
    </row>
    <row r="102">
      <c r="A102" s="9" t="inlineStr">
        <is>
          <t>자산 합계</t>
        </is>
      </c>
      <c r="C102" s="12" t="n">
        <v>35513.167</v>
      </c>
      <c r="D102" s="12" t="n">
        <v>36375.317</v>
      </c>
      <c r="E102" s="12" t="n">
        <v>37963.515</v>
      </c>
      <c r="F102" s="12" t="n">
        <v>38839.871</v>
      </c>
      <c r="G102" s="12" t="n">
        <v>37352.086</v>
      </c>
      <c r="H102" s="12" t="n">
        <v>37966.175</v>
      </c>
      <c r="I102" s="12" t="n">
        <v>38550.983</v>
      </c>
      <c r="J102" s="12" t="n">
        <v>38311.785</v>
      </c>
      <c r="K102" s="12" t="n">
        <v>38839.871</v>
      </c>
    </row>
    <row r="103">
      <c r="A103" s="18" t="inlineStr">
        <is>
          <t>지급어음·매입채무</t>
        </is>
      </c>
      <c r="C103" s="20" t="n">
        <v>1140.419</v>
      </c>
      <c r="D103" s="20" t="n">
        <v>1376.193</v>
      </c>
      <c r="E103" s="20" t="n">
        <v>1391.589</v>
      </c>
      <c r="F103" s="20" t="n">
        <v>1296.677</v>
      </c>
      <c r="G103" s="20" t="n">
        <v>1311.242</v>
      </c>
      <c r="H103" s="20" t="n">
        <v>1736.058</v>
      </c>
      <c r="I103" s="20" t="n">
        <v>1401.556</v>
      </c>
      <c r="J103" s="20" t="n">
        <v>1702.479</v>
      </c>
      <c r="K103" s="20" t="n">
        <v>1296.677</v>
      </c>
    </row>
    <row r="104">
      <c r="A104" s="18" t="inlineStr">
        <is>
          <t>단기차입금</t>
        </is>
      </c>
      <c r="C104" s="20" t="n">
        <v>4540</v>
      </c>
      <c r="D104" s="20" t="n">
        <v>5270</v>
      </c>
      <c r="E104" s="20" t="n">
        <v>5800</v>
      </c>
      <c r="F104" s="20" t="n">
        <v>6230</v>
      </c>
      <c r="G104" s="20" t="n">
        <v>3500</v>
      </c>
      <c r="H104" s="20" t="n">
        <v>5660</v>
      </c>
      <c r="I104" s="20" t="n">
        <v>6100</v>
      </c>
      <c r="J104" s="20" t="n">
        <v>6440</v>
      </c>
      <c r="K104" s="20" t="n">
        <v>6230</v>
      </c>
    </row>
    <row r="105">
      <c r="A105" s="18" t="inlineStr">
        <is>
          <t>1년 내 상환 장기차입금</t>
        </is>
      </c>
      <c r="C105" s="20" t="n">
        <v>437.806</v>
      </c>
      <c r="D105" s="20" t="n">
        <v>599.2329999999999</v>
      </c>
      <c r="E105" s="20" t="n">
        <v>437.806</v>
      </c>
      <c r="F105" s="20" t="n">
        <v>600.003</v>
      </c>
      <c r="G105" s="20" t="n">
        <v>437.806</v>
      </c>
      <c r="H105" s="20" t="n">
        <v>451.89</v>
      </c>
      <c r="I105" s="20" t="n">
        <v>650.316</v>
      </c>
      <c r="J105" s="20" t="n">
        <v>599.2329999999999</v>
      </c>
      <c r="K105" s="20" t="n">
        <v>600.003</v>
      </c>
    </row>
    <row r="106">
      <c r="A106" s="18" t="inlineStr">
        <is>
          <t>미지급법인세</t>
        </is>
      </c>
      <c r="C106" s="20" t="n">
        <v>254.476</v>
      </c>
      <c r="D106" s="20" t="n">
        <v>89.389</v>
      </c>
      <c r="E106" s="20" t="n">
        <v>200.984</v>
      </c>
      <c r="F106" s="20" t="n">
        <v>143.933</v>
      </c>
      <c r="G106" s="20" t="n">
        <v>388.614</v>
      </c>
      <c r="H106" s="20" t="n">
        <v>81.374</v>
      </c>
      <c r="I106" s="20" t="n">
        <v>116.768</v>
      </c>
      <c r="J106" s="20" t="n">
        <v>148.871</v>
      </c>
      <c r="K106" s="20" t="n">
        <v>143.933</v>
      </c>
    </row>
    <row r="107">
      <c r="A107" s="18" t="inlineStr">
        <is>
          <t>미지급금</t>
        </is>
      </c>
      <c r="C107" s="20" t="n">
        <v>759.4640000000001</v>
      </c>
      <c r="D107" s="20" t="n">
        <v>723.082</v>
      </c>
      <c r="E107" s="20" t="n">
        <v>729.617</v>
      </c>
      <c r="F107" s="20" t="n">
        <v>757.274</v>
      </c>
      <c r="G107" s="20" t="n">
        <v>726.973</v>
      </c>
      <c r="H107" s="20" t="n">
        <v>775.63</v>
      </c>
      <c r="I107" s="20" t="n">
        <v>720.395</v>
      </c>
      <c r="J107" s="20" t="n">
        <v>791.967</v>
      </c>
      <c r="K107" s="20" t="n">
        <v>757.274</v>
      </c>
    </row>
    <row r="108">
      <c r="A108" s="18" t="inlineStr">
        <is>
          <t>계약부채</t>
        </is>
      </c>
      <c r="C108" s="20" t="n">
        <v>31.342</v>
      </c>
      <c r="D108" s="20" t="n">
        <v>24.356</v>
      </c>
      <c r="E108" s="20" t="n">
        <v>30.127</v>
      </c>
      <c r="F108" s="20" t="n">
        <v>42.911</v>
      </c>
      <c r="G108" s="20" t="n">
        <v>58.509</v>
      </c>
      <c r="H108" s="20" t="n">
        <v>37.934</v>
      </c>
      <c r="I108" s="20" t="n">
        <v>48.335</v>
      </c>
      <c r="J108" s="20" t="n">
        <v>49.691</v>
      </c>
      <c r="K108" s="20" t="n">
        <v>42.911</v>
      </c>
    </row>
    <row r="109">
      <c r="A109" s="18" t="inlineStr">
        <is>
          <t>임원 상여충당금</t>
        </is>
      </c>
      <c r="C109" s="20" t="n">
        <v>6.222</v>
      </c>
      <c r="D109" s="20" t="n">
        <v>1</v>
      </c>
      <c r="E109" s="20" t="n">
        <v>5.946</v>
      </c>
      <c r="F109" s="20" t="n">
        <v>10.893</v>
      </c>
      <c r="G109" s="20" t="n">
        <v>11.839</v>
      </c>
      <c r="H109" s="20" t="n">
        <v>14.218</v>
      </c>
      <c r="I109" s="20" t="n">
        <v>9.840999999999999</v>
      </c>
      <c r="J109" s="20" t="n">
        <v>6.398</v>
      </c>
      <c r="K109" s="20" t="n">
        <v>10.893</v>
      </c>
    </row>
    <row r="110">
      <c r="A110" s="18" t="inlineStr">
        <is>
          <t>주주우대 충당금</t>
        </is>
      </c>
      <c r="C110" s="20" t="n">
        <v>37.532</v>
      </c>
      <c r="D110" s="20" t="n">
        <v>37.532</v>
      </c>
      <c r="E110" s="20" t="n">
        <v>17.901</v>
      </c>
      <c r="F110" s="20" t="n">
        <v>6.064</v>
      </c>
      <c r="G110" s="20" t="n">
        <v>42.167</v>
      </c>
      <c r="K110" s="20" t="n">
        <v>6.064</v>
      </c>
    </row>
    <row r="111">
      <c r="A111" s="18" t="inlineStr">
        <is>
          <t>자산복구부채</t>
        </is>
      </c>
      <c r="C111" s="20" t="n">
        <v>0</v>
      </c>
      <c r="G111" s="20" t="n">
        <v>15</v>
      </c>
    </row>
    <row r="112">
      <c r="A112" s="18" t="inlineStr">
        <is>
          <t>기타</t>
        </is>
      </c>
      <c r="C112" s="20" t="n">
        <v>1003.193</v>
      </c>
      <c r="D112" s="20" t="n">
        <v>1035.1</v>
      </c>
      <c r="E112" s="20" t="n">
        <v>1050.659</v>
      </c>
      <c r="F112" s="20" t="n">
        <v>1175.819</v>
      </c>
      <c r="G112" s="20" t="n">
        <v>1184.228</v>
      </c>
      <c r="H112" s="20" t="n">
        <v>979.747</v>
      </c>
      <c r="I112" s="20" t="n">
        <v>1121.035</v>
      </c>
      <c r="J112" s="20" t="n">
        <v>1058.033</v>
      </c>
      <c r="K112" s="20" t="n">
        <v>1175.819</v>
      </c>
    </row>
    <row r="113">
      <c r="A113" s="9" t="inlineStr">
        <is>
          <t>유동부채 합계</t>
        </is>
      </c>
      <c r="C113" s="12" t="n">
        <v>8210.456</v>
      </c>
      <c r="D113" s="12" t="n">
        <v>9155.888000000001</v>
      </c>
      <c r="E113" s="12" t="n">
        <v>9664.630999999999</v>
      </c>
      <c r="F113" s="12" t="n">
        <v>10263.576</v>
      </c>
      <c r="G113" s="12" t="n">
        <v>7676.381</v>
      </c>
      <c r="H113" s="12" t="n">
        <v>9736.853999999999</v>
      </c>
      <c r="I113" s="12" t="n">
        <v>10168.248</v>
      </c>
      <c r="J113" s="12" t="n">
        <v>10796.674</v>
      </c>
      <c r="K113" s="12" t="n">
        <v>10263.576</v>
      </c>
    </row>
    <row r="114">
      <c r="A114" s="18" t="inlineStr">
        <is>
          <t>장기차입금</t>
        </is>
      </c>
      <c r="C114" s="20" t="n">
        <v>1300.482</v>
      </c>
      <c r="D114" s="20" t="n">
        <v>1083.889</v>
      </c>
      <c r="E114" s="20" t="n">
        <v>1081.579</v>
      </c>
      <c r="F114" s="20" t="n">
        <v>864.986</v>
      </c>
      <c r="G114" s="20" t="n">
        <v>862.676</v>
      </c>
      <c r="H114" s="20" t="n">
        <v>2322.347</v>
      </c>
      <c r="I114" s="20" t="n">
        <v>1740.598</v>
      </c>
      <c r="J114" s="20" t="n">
        <v>1302.792</v>
      </c>
      <c r="K114" s="20" t="n">
        <v>864.986</v>
      </c>
    </row>
    <row r="115">
      <c r="A115" s="18" t="inlineStr">
        <is>
          <t>이연법인세부채</t>
        </is>
      </c>
      <c r="C115" s="20" t="n">
        <v>948.343</v>
      </c>
      <c r="D115" s="20" t="n">
        <v>1081.124</v>
      </c>
      <c r="E115" s="20" t="n">
        <v>1282.653</v>
      </c>
      <c r="F115" s="20" t="n">
        <v>1381.994</v>
      </c>
      <c r="G115" s="20" t="n">
        <v>1504.45</v>
      </c>
      <c r="H115" s="20" t="n">
        <v>747.229</v>
      </c>
      <c r="I115" s="20" t="n">
        <v>927.311</v>
      </c>
      <c r="J115" s="20" t="n">
        <v>986.615</v>
      </c>
      <c r="K115" s="20" t="n">
        <v>1381.994</v>
      </c>
    </row>
    <row r="116">
      <c r="A116" s="18" t="inlineStr">
        <is>
          <t>퇴직급여부채</t>
        </is>
      </c>
      <c r="C116" s="20" t="n">
        <v>515.723</v>
      </c>
      <c r="D116" s="20" t="n">
        <v>531.528</v>
      </c>
      <c r="E116" s="20" t="n">
        <v>556.409</v>
      </c>
      <c r="F116" s="20" t="n">
        <v>567.4109999999999</v>
      </c>
      <c r="G116" s="20" t="n">
        <v>549.2910000000001</v>
      </c>
      <c r="H116" s="20" t="n">
        <v>508.01</v>
      </c>
      <c r="I116" s="20" t="n">
        <v>487.234</v>
      </c>
      <c r="J116" s="20" t="n">
        <v>500.154</v>
      </c>
      <c r="K116" s="20" t="n">
        <v>567.4109999999999</v>
      </c>
    </row>
    <row r="117">
      <c r="A117" s="18" t="inlineStr">
        <is>
          <t>자산복구부채</t>
        </is>
      </c>
      <c r="C117" s="20" t="n">
        <v>41.353</v>
      </c>
      <c r="D117" s="20" t="n">
        <v>41.983</v>
      </c>
      <c r="E117" s="20" t="n">
        <v>43.724</v>
      </c>
      <c r="F117" s="20" t="n">
        <v>45.024</v>
      </c>
      <c r="G117" s="20" t="n">
        <v>49.315</v>
      </c>
      <c r="H117" s="20" t="n">
        <v>31.259</v>
      </c>
      <c r="I117" s="20" t="n">
        <v>32.007</v>
      </c>
      <c r="J117" s="20" t="n">
        <v>36.749</v>
      </c>
      <c r="K117" s="20" t="n">
        <v>45.024</v>
      </c>
    </row>
    <row r="118">
      <c r="A118" s="18" t="inlineStr">
        <is>
          <t>기타</t>
        </is>
      </c>
      <c r="C118" s="20" t="n">
        <v>444.518</v>
      </c>
      <c r="D118" s="20" t="n">
        <v>450.982</v>
      </c>
      <c r="E118" s="20" t="n">
        <v>460.981</v>
      </c>
      <c r="F118" s="20" t="n">
        <v>471.129</v>
      </c>
      <c r="G118" s="20" t="n">
        <v>477.277</v>
      </c>
      <c r="H118" s="20" t="n">
        <v>356.653</v>
      </c>
      <c r="I118" s="20" t="n">
        <v>397.022</v>
      </c>
      <c r="J118" s="20" t="n">
        <v>436.482</v>
      </c>
      <c r="K118" s="20" t="n">
        <v>471.129</v>
      </c>
    </row>
    <row r="119">
      <c r="A119" s="9" t="inlineStr">
        <is>
          <t>비유동부채 합계</t>
        </is>
      </c>
      <c r="C119" s="12" t="n">
        <v>3250.422</v>
      </c>
      <c r="D119" s="12" t="n">
        <v>3189.507</v>
      </c>
      <c r="E119" s="12" t="n">
        <v>3425.348</v>
      </c>
      <c r="F119" s="12" t="n">
        <v>3330.546</v>
      </c>
      <c r="G119" s="12" t="n">
        <v>3443.01</v>
      </c>
      <c r="H119" s="12" t="n">
        <v>3965.5</v>
      </c>
      <c r="I119" s="12" t="n">
        <v>3584.173</v>
      </c>
      <c r="J119" s="12" t="n">
        <v>3262.793</v>
      </c>
      <c r="K119" s="12" t="n">
        <v>3330.546</v>
      </c>
    </row>
    <row r="120">
      <c r="A120" s="9" t="inlineStr">
        <is>
          <t>부채 합계</t>
        </is>
      </c>
      <c r="C120" s="12" t="n">
        <v>11460.879</v>
      </c>
      <c r="D120" s="12" t="n">
        <v>12345.396</v>
      </c>
      <c r="E120" s="12" t="n">
        <v>13089.979</v>
      </c>
      <c r="F120" s="12" t="n">
        <v>13594.122</v>
      </c>
      <c r="G120" s="12" t="n">
        <v>11119.391</v>
      </c>
      <c r="H120" s="12" t="n">
        <v>13702.354</v>
      </c>
      <c r="I120" s="12" t="n">
        <v>13752.422</v>
      </c>
      <c r="J120" s="12" t="n">
        <v>14059.468</v>
      </c>
      <c r="K120" s="12" t="n">
        <v>13594.122</v>
      </c>
    </row>
    <row r="121">
      <c r="A121" s="18" t="inlineStr">
        <is>
          <t>자본금</t>
        </is>
      </c>
      <c r="C121" s="20" t="n">
        <v>1978.69</v>
      </c>
      <c r="D121" s="20" t="n">
        <v>1978.69</v>
      </c>
      <c r="E121" s="20" t="n">
        <v>1978.69</v>
      </c>
      <c r="F121" s="20" t="n">
        <v>1978.69</v>
      </c>
      <c r="G121" s="20" t="n">
        <v>1978.69</v>
      </c>
      <c r="H121" s="20" t="n">
        <v>1978.69</v>
      </c>
      <c r="I121" s="20" t="n">
        <v>1978.69</v>
      </c>
      <c r="J121" s="20" t="n">
        <v>1978.69</v>
      </c>
      <c r="K121" s="20" t="n">
        <v>1978.69</v>
      </c>
    </row>
    <row r="122">
      <c r="A122" s="18" t="inlineStr">
        <is>
          <t>자본잉여금</t>
        </is>
      </c>
      <c r="C122" s="20" t="n">
        <v>1717.975</v>
      </c>
      <c r="D122" s="20" t="n">
        <v>1717.975</v>
      </c>
      <c r="E122" s="20" t="n">
        <v>1717.704</v>
      </c>
      <c r="F122" s="20" t="n">
        <v>1717.704</v>
      </c>
      <c r="G122" s="20" t="n">
        <v>1717.704</v>
      </c>
      <c r="H122" s="20" t="n">
        <v>1718.67</v>
      </c>
      <c r="I122" s="20" t="n">
        <v>1718.919</v>
      </c>
      <c r="J122" s="20" t="n">
        <v>1717.975</v>
      </c>
      <c r="K122" s="20" t="n">
        <v>1717.704</v>
      </c>
    </row>
    <row r="123">
      <c r="A123" s="18" t="inlineStr">
        <is>
          <t>이익잉여금</t>
        </is>
      </c>
      <c r="C123" s="20" t="n">
        <v>21593.605</v>
      </c>
      <c r="D123" s="20" t="n">
        <v>21097.779</v>
      </c>
      <c r="E123" s="20" t="n">
        <v>21423.05</v>
      </c>
      <c r="F123" s="20" t="n">
        <v>21547.117</v>
      </c>
      <c r="G123" s="20" t="n">
        <v>22198.821</v>
      </c>
      <c r="H123" s="20" t="n">
        <v>21925.214</v>
      </c>
      <c r="I123" s="20" t="n">
        <v>21806.379</v>
      </c>
      <c r="J123" s="20" t="n">
        <v>21557.382</v>
      </c>
      <c r="K123" s="20" t="n">
        <v>21547.117</v>
      </c>
    </row>
    <row r="124">
      <c r="A124" s="18" t="inlineStr">
        <is>
          <t>자기주식</t>
        </is>
      </c>
      <c r="C124" s="20" t="n">
        <v>-2947.298</v>
      </c>
      <c r="D124" s="20" t="n">
        <v>-2947.298</v>
      </c>
      <c r="E124" s="20" t="n">
        <v>-2917.261</v>
      </c>
      <c r="F124" s="20" t="n">
        <v>-2917.261</v>
      </c>
      <c r="G124" s="20" t="n">
        <v>-2917.261</v>
      </c>
      <c r="H124" s="20" t="n">
        <v>-2587.278</v>
      </c>
      <c r="I124" s="20" t="n">
        <v>-2559.762</v>
      </c>
      <c r="J124" s="20" t="n">
        <v>-2947.298</v>
      </c>
      <c r="K124" s="20" t="n">
        <v>-2917.261</v>
      </c>
    </row>
    <row r="125">
      <c r="A125" s="9" t="inlineStr">
        <is>
          <t>주주자본 합계</t>
        </is>
      </c>
      <c r="C125" s="12" t="n">
        <v>22342.973</v>
      </c>
      <c r="D125" s="12" t="n">
        <v>21847.147</v>
      </c>
      <c r="E125" s="12" t="n">
        <v>22202.184</v>
      </c>
      <c r="F125" s="12" t="n">
        <v>22326.251</v>
      </c>
      <c r="G125" s="12" t="n">
        <v>22977.955</v>
      </c>
      <c r="H125" s="12" t="n">
        <v>23035.296</v>
      </c>
      <c r="I125" s="12" t="n">
        <v>22944.227</v>
      </c>
      <c r="J125" s="12" t="n">
        <v>22306.75</v>
      </c>
      <c r="K125" s="12" t="n">
        <v>22326.251</v>
      </c>
    </row>
    <row r="126">
      <c r="A126" s="18" t="inlineStr">
        <is>
          <t>기타유가증권 평가차액</t>
        </is>
      </c>
      <c r="C126" s="20" t="n">
        <v>1085.534</v>
      </c>
      <c r="D126" s="20" t="n">
        <v>1511.881</v>
      </c>
      <c r="E126" s="20" t="n">
        <v>1770.662</v>
      </c>
      <c r="F126" s="20" t="n">
        <v>1937.246</v>
      </c>
      <c r="G126" s="20" t="n">
        <v>1909.244</v>
      </c>
      <c r="H126" s="20" t="n">
        <v>948.011</v>
      </c>
      <c r="I126" s="20" t="n">
        <v>1268.352</v>
      </c>
      <c r="J126" s="20" t="n">
        <v>1212.672</v>
      </c>
      <c r="K126" s="20" t="n">
        <v>1937.246</v>
      </c>
    </row>
    <row r="127">
      <c r="A127" s="18" t="inlineStr">
        <is>
          <t>이연헤지손익</t>
        </is>
      </c>
      <c r="C127" s="20" t="n">
        <v>0.921</v>
      </c>
      <c r="D127" s="20" t="n">
        <v>-1.37</v>
      </c>
      <c r="E127" s="20" t="n">
        <v>1.656</v>
      </c>
      <c r="F127" s="20" t="n">
        <v>3.292</v>
      </c>
      <c r="G127" s="20" t="n">
        <v>2.471</v>
      </c>
      <c r="H127" s="20" t="n">
        <v>-1.065</v>
      </c>
      <c r="I127" s="20" t="n">
        <v>1.324</v>
      </c>
      <c r="J127" s="20" t="n">
        <v>-3.673</v>
      </c>
      <c r="K127" s="20" t="n">
        <v>3.292</v>
      </c>
    </row>
    <row r="128">
      <c r="A128" s="18" t="inlineStr">
        <is>
          <t>해외사업환산조정</t>
        </is>
      </c>
      <c r="C128" s="20" t="n">
        <v>420.742</v>
      </c>
      <c r="D128" s="20" t="n">
        <v>483.678</v>
      </c>
      <c r="E128" s="20" t="n">
        <v>722.732</v>
      </c>
      <c r="F128" s="20" t="n">
        <v>816.265</v>
      </c>
      <c r="G128" s="20" t="n">
        <v>875.4299999999999</v>
      </c>
      <c r="H128" s="20" t="n">
        <v>163.744</v>
      </c>
      <c r="I128" s="20" t="n">
        <v>401.367</v>
      </c>
      <c r="J128" s="20" t="n">
        <v>487.021</v>
      </c>
      <c r="K128" s="20" t="n">
        <v>816.265</v>
      </c>
    </row>
    <row r="129">
      <c r="A129" s="18" t="inlineStr">
        <is>
          <t>퇴직급여 조정누계액</t>
        </is>
      </c>
      <c r="C129" s="20" t="n">
        <v>115.027</v>
      </c>
      <c r="D129" s="20" t="n">
        <v>101.495</v>
      </c>
      <c r="E129" s="20" t="n">
        <v>89.20999999999999</v>
      </c>
      <c r="F129" s="20" t="n">
        <v>75.605</v>
      </c>
      <c r="G129" s="20" t="n">
        <v>380.504</v>
      </c>
      <c r="H129" s="20" t="n">
        <v>30.743</v>
      </c>
      <c r="I129" s="20" t="n">
        <v>96.199</v>
      </c>
      <c r="J129" s="20" t="n">
        <v>162.458</v>
      </c>
      <c r="K129" s="20" t="n">
        <v>75.605</v>
      </c>
    </row>
    <row r="130">
      <c r="A130" s="18" t="inlineStr">
        <is>
          <t>기타포괄손익누계액 합계</t>
        </is>
      </c>
      <c r="C130" s="20" t="n">
        <v>1622.226</v>
      </c>
      <c r="D130" s="20" t="n">
        <v>2095.685</v>
      </c>
      <c r="E130" s="20" t="n">
        <v>2584.262</v>
      </c>
      <c r="F130" s="20" t="n">
        <v>2832.409</v>
      </c>
      <c r="G130" s="20" t="n">
        <v>3167.651</v>
      </c>
      <c r="H130" s="20" t="n">
        <v>1141.435</v>
      </c>
      <c r="I130" s="20" t="n">
        <v>1767.244</v>
      </c>
      <c r="J130" s="20" t="n">
        <v>1858.478</v>
      </c>
      <c r="K130" s="20" t="n">
        <v>2832.409</v>
      </c>
    </row>
    <row r="131">
      <c r="A131" s="18" t="inlineStr">
        <is>
          <t>신주예약권</t>
        </is>
      </c>
      <c r="C131" s="20" t="n">
        <v>87.08799999999999</v>
      </c>
      <c r="D131" s="20" t="n">
        <v>87.08799999999999</v>
      </c>
      <c r="E131" s="20" t="n">
        <v>87.08799999999999</v>
      </c>
      <c r="F131" s="20" t="n">
        <v>87.08799999999999</v>
      </c>
      <c r="G131" s="20" t="n">
        <v>87.08799999999999</v>
      </c>
      <c r="H131" s="20" t="n">
        <v>87.08799999999999</v>
      </c>
      <c r="I131" s="20" t="n">
        <v>87.08799999999999</v>
      </c>
      <c r="J131" s="20" t="n">
        <v>87.08799999999999</v>
      </c>
      <c r="K131" s="20" t="n">
        <v>87.08799999999999</v>
      </c>
    </row>
    <row r="132">
      <c r="A132" s="18" t="inlineStr">
        <is>
          <t>비지배지분</t>
        </is>
      </c>
      <c r="H132" s="20" t="n">
        <v>0</v>
      </c>
    </row>
    <row r="133">
      <c r="A133" s="9" t="inlineStr">
        <is>
          <t>순자산 합계</t>
        </is>
      </c>
      <c r="C133" s="12" t="n">
        <v>24052.288</v>
      </c>
      <c r="D133" s="12" t="n">
        <v>24029.921</v>
      </c>
      <c r="E133" s="12" t="n">
        <v>24873.535</v>
      </c>
      <c r="F133" s="12" t="n">
        <v>25245.749</v>
      </c>
      <c r="G133" s="12" t="n">
        <v>26232.694</v>
      </c>
      <c r="H133" s="12" t="n">
        <v>24263.82</v>
      </c>
      <c r="I133" s="12" t="n">
        <v>24798.56</v>
      </c>
      <c r="J133" s="12" t="n">
        <v>24252.317</v>
      </c>
      <c r="K133" s="12" t="n">
        <v>25245.749</v>
      </c>
    </row>
    <row r="134">
      <c r="A134" s="9" t="inlineStr">
        <is>
          <t>부채·순자산 합계</t>
        </is>
      </c>
      <c r="C134" s="12" t="n">
        <v>35513.167</v>
      </c>
      <c r="D134" s="12" t="n">
        <v>36375.317</v>
      </c>
      <c r="E134" s="12" t="n">
        <v>37963.515</v>
      </c>
      <c r="F134" s="12" t="n">
        <v>38839.871</v>
      </c>
      <c r="G134" s="12" t="n">
        <v>37352.086</v>
      </c>
      <c r="H134" s="12" t="n">
        <v>37966.175</v>
      </c>
      <c r="I134" s="12" t="n">
        <v>38550.983</v>
      </c>
      <c r="J134" s="12" t="n">
        <v>38311.785</v>
      </c>
      <c r="K134" s="12" t="n">
        <v>38839.871</v>
      </c>
    </row>
  </sheetData>
  <conditionalFormatting sqref="C43:K43">
    <cfRule type="expression" priority="1" dxfId="0">
      <formula>AND(ISNUMBER(C43),C43&gt;1.0)</formula>
    </cfRule>
  </conditionalFormatting>
  <conditionalFormatting sqref="C44:K44">
    <cfRule type="expression" priority="2" dxfId="0">
      <formula>AND(ISNUMBER(C44),C44&gt;0.5)</formula>
    </cfRule>
  </conditionalFormatting>
  <conditionalFormatting sqref="C45:K45">
    <cfRule type="expression" priority="3" dxfId="0">
      <formula>AND(ISNUMBER(C45),C45&lt;0.5)</formula>
    </cfRule>
  </conditionalFormatting>
  <conditionalFormatting sqref="C46:K46">
    <cfRule type="expression" priority="4" dxfId="0">
      <formula>AND(ISNUMBER(C46),C46&lt;1.5)</formula>
    </cfRule>
  </conditionalFormatting>
  <conditionalFormatting sqref="C47:K47">
    <cfRule type="expression" priority="5" dxfId="0">
      <formula>AND(ISNUMBER(C47),C47&lt;1.0)</formula>
    </cfRule>
  </conditionalFormatting>
  <conditionalFormatting sqref="C48:K48">
    <cfRule type="expression" priority="6" dxfId="0">
      <formula>AND(ISNUMBER(C48),C48&lt;5)</formula>
    </cfRule>
  </conditionalFormatting>
  <conditionalFormatting sqref="C49:K49">
    <cfRule type="expression" priority="7" dxfId="0">
      <formula>AND(ISNUMBER(C49),C49&gt;4)</formula>
    </cfRule>
  </conditionalFormatting>
  <conditionalFormatting sqref="C51:K51">
    <cfRule type="expression" priority="8" dxfId="0">
      <formula>AND(ISNUMBER(C51),C51&lt;0.15)</formula>
    </cfRule>
  </conditionalFormatting>
  <conditionalFormatting sqref="C52:K52">
    <cfRule type="expression" priority="9" dxfId="0">
      <formula>AND(ISNUMBER(C52),C52&lt;0.05)</formula>
    </cfRule>
  </conditionalFormatting>
  <conditionalFormatting sqref="C53:K53">
    <cfRule type="expression" priority="10" dxfId="0">
      <formula>AND(ISNUMBER(C53),C53&lt;0.1)</formula>
    </cfRule>
  </conditionalFormatting>
  <conditionalFormatting sqref="C54:K54">
    <cfRule type="expression" priority="11" dxfId="0">
      <formula>AND(ISNUMBER(C54),C54&lt;0.4)</formula>
    </cfRule>
  </conditionalFormatting>
  <conditionalFormatting sqref="C55:K55">
    <cfRule type="expression" priority="12" dxfId="0">
      <formula>AND(ISNUMBER(C55),C55&lt;0.15)</formula>
    </cfRule>
  </conditionalFormatting>
  <conditionalFormatting sqref="C56:K56">
    <cfRule type="expression" priority="13" dxfId="0">
      <formula>AND(ISNUMBER(C56),C56&lt;0.1)</formula>
    </cfRule>
  </conditionalFormatting>
  <conditionalFormatting sqref="C64:K64">
    <cfRule type="expression" priority="14" dxfId="0">
      <formula>AND(ISNUMBER(C64),C64&lt;1.0)</formula>
    </cfRule>
  </conditionalFormatting>
  <conditionalFormatting sqref="C65:K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2026-07-30</t>
        </is>
      </c>
      <c r="B4" t="inlineStr">
        <is>
          <t>2026년 6월 결산기 연간 결산단신</t>
        </is>
      </c>
      <c r="C4" t="inlineStr">
        <is>
          <t>https://www2.jpx.co.jp/disc/79620/140120260730503307.pdf</t>
        </is>
      </c>
    </row>
    <row r="5">
      <c r="A5" t="inlineStr">
        <is>
          <t>2026-04-24</t>
        </is>
      </c>
      <c r="B5" t="inlineStr">
        <is>
          <t>2026년 6월 결산기 ３분기 결산단신</t>
        </is>
      </c>
      <c r="C5" t="inlineStr">
        <is>
          <t>https://www2.jpx.co.jp/disc/79620/140120260423509646.pdf</t>
        </is>
      </c>
    </row>
    <row r="6">
      <c r="A6" t="inlineStr">
        <is>
          <t>2026-01-29</t>
        </is>
      </c>
      <c r="B6" t="inlineStr">
        <is>
          <t>2026년 6월 결산기 ２분기 결산단신</t>
        </is>
      </c>
      <c r="C6" t="inlineStr">
        <is>
          <t>https://www2.jpx.co.jp/disc/79620/140120260128540741.pdf</t>
        </is>
      </c>
    </row>
    <row r="7">
      <c r="A7" t="inlineStr">
        <is>
          <t>2025-10-31</t>
        </is>
      </c>
      <c r="B7" t="inlineStr">
        <is>
          <t>2026년 6월 결산기 １분기 결산단신</t>
        </is>
      </c>
      <c r="C7" t="inlineStr">
        <is>
          <t>https://www2.jpx.co.jp/disc/79620/140120251030583477.pdf</t>
        </is>
      </c>
    </row>
    <row r="8">
      <c r="A8" t="inlineStr">
        <is>
          <t>2025-07-31</t>
        </is>
      </c>
      <c r="B8" t="inlineStr">
        <is>
          <t>2025년 6월 결산기 연간 결산단신</t>
        </is>
      </c>
      <c r="C8" t="inlineStr">
        <is>
          <t>https://www2.jpx.co.jp/disc/79620/140120250730524541.pdf</t>
        </is>
      </c>
    </row>
    <row r="9">
      <c r="A9" t="inlineStr">
        <is>
          <t>2025-04-24</t>
        </is>
      </c>
      <c r="B9" t="inlineStr">
        <is>
          <t>2025년 6월 결산기 ３분기 결산단신</t>
        </is>
      </c>
      <c r="C9" t="inlineStr">
        <is>
          <t>https://www2.jpx.co.jp/disc/79620/140120250423521388.pdf</t>
        </is>
      </c>
    </row>
    <row r="10">
      <c r="A10" t="inlineStr">
        <is>
          <t>2025-01-30</t>
        </is>
      </c>
      <c r="B10" t="inlineStr">
        <is>
          <t>2025년 6월 결산기 2분기 결산단신</t>
        </is>
      </c>
      <c r="C10" t="inlineStr">
        <is>
          <t>https://www2.jpx.co.jp/disc/79620/140120250129557510.pdf</t>
        </is>
      </c>
    </row>
    <row r="11">
      <c r="A11" t="inlineStr">
        <is>
          <t>2024-11-01</t>
        </is>
      </c>
      <c r="B11" t="inlineStr">
        <is>
          <t>2025년 6월 결산기 1분기 결산단신</t>
        </is>
      </c>
      <c r="C11" t="inlineStr">
        <is>
          <t>https://www2.jpx.co.jp/disc/79620/140120241031507962.pdf</t>
        </is>
      </c>
    </row>
    <row r="12">
      <c r="A12" t="inlineStr">
        <is>
          <t>2024-08-01</t>
        </is>
      </c>
      <c r="B12" t="inlineStr">
        <is>
          <t>2024년 6월 결산기 연간 결산단신</t>
        </is>
      </c>
      <c r="C12" t="inlineStr">
        <is>
          <t>https://www2.jpx.co.jp/disc/79620/140120240731559327.pdf</t>
        </is>
      </c>
    </row>
    <row r="13">
      <c r="A13" t="inlineStr">
        <is>
          <t>2024-04-26</t>
        </is>
      </c>
      <c r="B13" t="inlineStr">
        <is>
          <t>2024년 6월 결산기 3분기 결산단신</t>
        </is>
      </c>
      <c r="C13" t="inlineStr">
        <is>
          <t>https://www2.jpx.co.jp/disc/79620/140120240425576753.pdf</t>
        </is>
      </c>
    </row>
    <row r="14">
      <c r="A14" t="inlineStr">
        <is>
          <t>2024-02-01</t>
        </is>
      </c>
      <c r="B14" t="inlineStr">
        <is>
          <t>2024년 6월 결산기 2분기 결산단신</t>
        </is>
      </c>
      <c r="C14" t="inlineStr">
        <is>
          <t>https://www2.jpx.co.jp/disc/79620/140120240131523292.pdf</t>
        </is>
      </c>
    </row>
    <row r="15">
      <c r="A15" t="inlineStr">
        <is>
          <t>2023-10-31</t>
        </is>
      </c>
      <c r="B15" t="inlineStr">
        <is>
          <t>2024년 6월 결산기 1분기 결산단신</t>
        </is>
      </c>
      <c r="C15" t="inlineStr">
        <is>
          <t>https://www2.jpx.co.jp/disc/79620/140120231030574729.pdf</t>
        </is>
      </c>
    </row>
    <row r="16">
      <c r="A16" t="inlineStr">
        <is>
          <t>2023-08-01</t>
        </is>
      </c>
      <c r="B16" t="inlineStr">
        <is>
          <t>2023년 6월 결산기 연간 결산단신</t>
        </is>
      </c>
      <c r="C16" t="inlineStr">
        <is>
          <t>https://www2.jpx.co.jp/disc/79620/140120230731530630.pdf</t>
        </is>
      </c>
    </row>
    <row r="17">
      <c r="A17" t="inlineStr">
        <is>
          <t>2023-04-28</t>
        </is>
      </c>
      <c r="B17" t="inlineStr">
        <is>
          <t>2023년 6월 결산기 3분기 결산단신</t>
        </is>
      </c>
      <c r="C17" t="inlineStr">
        <is>
          <t>https://www2.jpx.co.jp/disc/79620/140120230427554884.pdf</t>
        </is>
      </c>
    </row>
    <row r="18">
      <c r="A18" t="inlineStr">
        <is>
          <t>2023-02-01</t>
        </is>
      </c>
      <c r="B18" t="inlineStr">
        <is>
          <t>2023년 6월 결산기 2분기 결산단신</t>
        </is>
      </c>
      <c r="C18" t="inlineStr">
        <is>
          <t>https://www2.jpx.co.jp/disc/79620/140120230131597264.pdf</t>
        </is>
      </c>
    </row>
    <row r="19">
      <c r="A19" t="inlineStr">
        <is>
          <t>2022-11-01</t>
        </is>
      </c>
      <c r="B19" t="inlineStr">
        <is>
          <t>2023년 6월 결산기 1분기 결산단신</t>
        </is>
      </c>
      <c r="C19" t="inlineStr">
        <is>
          <t>https://www2.jpx.co.jp/disc/79620/140120221031553737.pdf</t>
        </is>
      </c>
    </row>
    <row r="20">
      <c r="A20" t="inlineStr">
        <is>
          <t>2022-08-01</t>
        </is>
      </c>
      <c r="B20" t="inlineStr">
        <is>
          <t>2022년 6월 결산기 연간 결산단신</t>
        </is>
      </c>
      <c r="C20" t="inlineStr">
        <is>
          <t>https://www2.jpx.co.jp/disc/79620/140120220729508161.pdf</t>
        </is>
      </c>
    </row>
    <row r="21">
      <c r="A21" t="inlineStr">
        <is>
          <t>2021-07-30</t>
        </is>
      </c>
      <c r="B21" t="inlineStr">
        <is>
          <t>2021년 6월 결산기 연간 결산단신</t>
        </is>
      </c>
      <c r="C21" t="inlineStr">
        <is>
          <t>https://www2.jpx.co.jp/disc/79620/140120210728473208.pdf</t>
        </is>
      </c>
    </row>
    <row r="22">
      <c r="A22" t="inlineStr">
        <is>
          <t>2020-07-31</t>
        </is>
      </c>
      <c r="B22" t="inlineStr">
        <is>
          <t>2020년 6월 결산기 연간 결산단신</t>
        </is>
      </c>
      <c r="C22" t="inlineStr">
        <is>
          <t>https://www2.jpx.co.jp/disc/79620/140120200730470524.pdf</t>
        </is>
      </c>
    </row>
    <row r="23">
      <c r="A23" t="inlineStr">
        <is>
          <t>2019-08-01</t>
        </is>
      </c>
      <c r="B23" t="inlineStr">
        <is>
          <t>2019년 6월 결산기 연간 결산단신</t>
        </is>
      </c>
      <c r="C23" t="inlineStr">
        <is>
          <t>https://www2.jpx.co.jp/disc/79620/140120190801480651.pdf</t>
        </is>
      </c>
    </row>
    <row r="24">
      <c r="A24" t="inlineStr">
        <is>
          <t>2018-08-01</t>
        </is>
      </c>
      <c r="B24" t="inlineStr">
        <is>
          <t>연간 결산단신</t>
        </is>
      </c>
      <c r="C24" t="inlineStr">
        <is>
          <t>https://www2.jpx.co.jp/disc/79620/140120180731489305.pdf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2026-10-25T14:28:40Z</dcterms:created>
  <dcterms:modified xmlns:dcterms="http://purl.org/dc/terms/" xmlns:xsi="http://www.w3.org/2001/XMLSchema-instance" xsi:type="dcterms:W3CDTF">2026-10-25T14:28:41Z</dcterms:modified>
</cp:coreProperties>
</file>