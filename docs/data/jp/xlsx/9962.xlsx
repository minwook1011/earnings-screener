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28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47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9962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92729</v>
      </c>
      <c r="D4" s="12" t="n">
        <v>94826</v>
      </c>
      <c r="E4" s="12" t="n">
        <v>99527</v>
      </c>
      <c r="F4" s="12" t="n">
        <v>98495</v>
      </c>
      <c r="G4" s="12" t="n">
        <v>103563</v>
      </c>
      <c r="H4" s="12" t="n">
        <v>100402</v>
      </c>
      <c r="I4" s="12" t="n">
        <v>99368</v>
      </c>
      <c r="J4" s="12" t="n">
        <v>106446</v>
      </c>
      <c r="K4" s="12" t="n">
        <v>114847</v>
      </c>
      <c r="L4" s="12" t="n">
        <v>120722</v>
      </c>
      <c r="M4" s="12" t="n">
        <v>131440</v>
      </c>
      <c r="N4" s="12" t="n">
        <v>142166</v>
      </c>
      <c r="O4" s="11" t="n">
        <v>259015</v>
      </c>
      <c r="P4" s="12" t="n">
        <v>312969</v>
      </c>
      <c r="Q4" s="12" t="n">
        <v>331936</v>
      </c>
      <c r="R4" s="12" t="n">
        <v>313337</v>
      </c>
      <c r="S4" s="12" t="n">
        <v>310719</v>
      </c>
      <c r="T4" s="12" t="n">
        <v>366160</v>
      </c>
      <c r="U4" s="12" t="n">
        <v>373151</v>
      </c>
      <c r="V4" s="12" t="n">
        <v>367649</v>
      </c>
      <c r="W4" s="12" t="n">
        <v>401987</v>
      </c>
      <c r="X4" s="12" t="n">
        <v>441383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FABusinessesReportableSegmentsMember</t>
        </is>
      </c>
      <c r="B7" s="10" t="n"/>
      <c r="C7" s="19" t="n">
        <v>29828</v>
      </c>
      <c r="D7" s="20" t="n">
        <v>30496</v>
      </c>
      <c r="E7" s="20" t="n">
        <v>33559</v>
      </c>
      <c r="F7" s="20" t="n">
        <v>33295</v>
      </c>
      <c r="G7" s="20" t="n">
        <v>35304</v>
      </c>
      <c r="H7" s="20" t="n">
        <v>33645</v>
      </c>
      <c r="I7" s="20" t="n">
        <v>33569</v>
      </c>
      <c r="J7" s="20" t="n">
        <v>39174</v>
      </c>
      <c r="K7" s="20" t="n">
        <v>43176</v>
      </c>
      <c r="L7" s="20" t="n">
        <v>44579</v>
      </c>
      <c r="M7" s="20" t="n">
        <v>51555</v>
      </c>
      <c r="N7" s="20" t="n">
        <v>57691</v>
      </c>
      <c r="O7" s="19" t="n"/>
      <c r="P7" s="20" t="n"/>
      <c r="Q7" s="20" t="n"/>
      <c r="R7" s="20" t="n"/>
      <c r="S7" s="20" t="n"/>
      <c r="T7" s="20" t="n"/>
      <c r="U7" s="20" t="n"/>
      <c r="V7" s="20" t="n">
        <v>118219</v>
      </c>
      <c r="W7" s="20" t="n">
        <v>135803</v>
      </c>
      <c r="X7" s="20" t="n">
        <v>160498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MoldComponentReportableSegmentsMember</t>
        </is>
      </c>
      <c r="B10" s="10" t="n"/>
      <c r="C10" s="19" t="n"/>
      <c r="D10" s="20" t="n">
        <v>20584</v>
      </c>
      <c r="E10" s="20" t="n">
        <v>21887</v>
      </c>
      <c r="F10" s="20" t="n"/>
      <c r="G10" s="20" t="n"/>
      <c r="H10" s="20" t="n">
        <v>21730</v>
      </c>
      <c r="I10" s="20" t="n">
        <v>21060</v>
      </c>
      <c r="J10" s="20" t="n"/>
      <c r="K10" s="20" t="n"/>
      <c r="L10" s="20" t="n">
        <v>23165</v>
      </c>
      <c r="M10" s="20" t="n">
        <v>24205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79932</v>
      </c>
      <c r="W10" s="20" t="n">
        <v>86451</v>
      </c>
      <c r="X10" s="20" t="n">
        <v>88368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DieComponentsBusinessReportableSegmentsMember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VONABusinessesReportableSegmentsMember</t>
        </is>
      </c>
      <c r="B16" s="10" t="n"/>
      <c r="C16" s="19" t="n">
        <v>42883</v>
      </c>
      <c r="D16" s="20" t="n">
        <v>43746</v>
      </c>
      <c r="E16" s="20" t="n">
        <v>44080</v>
      </c>
      <c r="F16" s="20" t="n">
        <v>44267</v>
      </c>
      <c r="G16" s="20" t="n">
        <v>46358</v>
      </c>
      <c r="H16" s="20" t="n">
        <v>45027</v>
      </c>
      <c r="I16" s="20" t="n">
        <v>44738</v>
      </c>
      <c r="J16" s="20" t="n">
        <v>45760</v>
      </c>
      <c r="K16" s="20" t="n">
        <v>49040</v>
      </c>
      <c r="L16" s="20" t="n">
        <v>52978</v>
      </c>
      <c r="M16" s="20" t="n">
        <v>55679</v>
      </c>
      <c r="N16" s="20" t="n">
        <v>60182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169497</v>
      </c>
      <c r="W16" s="20" t="n">
        <v>179732</v>
      </c>
      <c r="X16" s="20" t="n">
        <v>192516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99527</v>
      </c>
      <c r="F19" s="20" t="n"/>
      <c r="G19" s="20" t="n"/>
      <c r="H19" s="20" t="n"/>
      <c r="I19" s="20" t="n">
        <v>99368</v>
      </c>
      <c r="J19" s="20" t="n"/>
      <c r="K19" s="20" t="n"/>
      <c r="L19" s="20" t="n"/>
      <c r="M19" s="20" t="n">
        <v>131440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50087</v>
      </c>
      <c r="D23" s="20" t="n">
        <v>51213</v>
      </c>
      <c r="E23" s="20" t="n">
        <v>52374</v>
      </c>
      <c r="F23" s="20" t="n">
        <v>52866</v>
      </c>
      <c r="G23" s="20" t="n">
        <v>55519</v>
      </c>
      <c r="H23" s="20" t="n">
        <v>54238</v>
      </c>
      <c r="I23" s="20" t="n">
        <v>53428</v>
      </c>
      <c r="J23" s="20" t="n">
        <v>57384</v>
      </c>
      <c r="K23" s="20" t="n">
        <v>60944</v>
      </c>
      <c r="L23" s="20" t="n">
        <v>63611</v>
      </c>
      <c r="M23" s="20" t="n">
        <v>69340</v>
      </c>
      <c r="N23" s="20" t="n">
        <v>73254</v>
      </c>
      <c r="O23" s="19" t="n">
        <v>151564</v>
      </c>
      <c r="P23" s="20" t="n">
        <v>178917</v>
      </c>
      <c r="Q23" s="20" t="n">
        <v>189846</v>
      </c>
      <c r="R23" s="20" t="n">
        <v>179751</v>
      </c>
      <c r="S23" s="20" t="n">
        <v>175841</v>
      </c>
      <c r="T23" s="20" t="n">
        <v>199296</v>
      </c>
      <c r="U23" s="20" t="n">
        <v>202073</v>
      </c>
      <c r="V23" s="20" t="n">
        <v>200272</v>
      </c>
      <c r="W23" s="20" t="n">
        <v>214997</v>
      </c>
      <c r="X23" s="20" t="n">
        <v>235367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32253</v>
      </c>
      <c r="D29" s="20" t="n">
        <v>34152</v>
      </c>
      <c r="E29" s="20" t="n">
        <v>35324</v>
      </c>
      <c r="F29" s="20" t="n">
        <v>34067</v>
      </c>
      <c r="G29" s="20" t="n">
        <v>35284</v>
      </c>
      <c r="H29" s="20" t="n">
        <v>35834</v>
      </c>
      <c r="I29" s="20" t="n">
        <v>36311</v>
      </c>
      <c r="J29" s="20" t="n">
        <v>39131</v>
      </c>
      <c r="K29" s="20" t="n">
        <v>41198</v>
      </c>
      <c r="L29" s="20" t="n">
        <v>41762</v>
      </c>
      <c r="M29" s="20" t="n">
        <v>44261</v>
      </c>
      <c r="N29" s="20" t="n">
        <v>49618</v>
      </c>
      <c r="O29" s="19" t="n">
        <v>80323</v>
      </c>
      <c r="P29" s="20" t="n">
        <v>99202</v>
      </c>
      <c r="Q29" s="20" t="n">
        <v>110215</v>
      </c>
      <c r="R29" s="20" t="n">
        <v>109944</v>
      </c>
      <c r="S29" s="20" t="n">
        <v>107679</v>
      </c>
      <c r="T29" s="20" t="n">
        <v>114652</v>
      </c>
      <c r="U29" s="20" t="n">
        <v>124463</v>
      </c>
      <c r="V29" s="20" t="n">
        <v>129011</v>
      </c>
      <c r="W29" s="20" t="n">
        <v>140509</v>
      </c>
      <c r="X29" s="20" t="n">
        <v>158402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10388</v>
      </c>
      <c r="D31" s="12" t="n">
        <v>9462</v>
      </c>
      <c r="E31" s="12" t="n">
        <v>11828</v>
      </c>
      <c r="F31" s="12" t="n">
        <v>11562</v>
      </c>
      <c r="G31" s="12" t="n">
        <v>12760</v>
      </c>
      <c r="H31" s="12" t="n">
        <v>10330</v>
      </c>
      <c r="I31" s="12" t="n">
        <v>9627</v>
      </c>
      <c r="J31" s="12" t="n">
        <v>9932</v>
      </c>
      <c r="K31" s="12" t="n">
        <v>12705</v>
      </c>
      <c r="L31" s="12" t="n">
        <v>15349</v>
      </c>
      <c r="M31" s="12" t="n">
        <v>17837</v>
      </c>
      <c r="N31" s="12" t="n">
        <v>19295</v>
      </c>
      <c r="O31" s="11" t="n">
        <v>27127</v>
      </c>
      <c r="P31" s="12" t="n">
        <v>34848</v>
      </c>
      <c r="Q31" s="12" t="n">
        <v>31874</v>
      </c>
      <c r="R31" s="12" t="n">
        <v>23640</v>
      </c>
      <c r="S31" s="12" t="n">
        <v>27199</v>
      </c>
      <c r="T31" s="12" t="n">
        <v>52210</v>
      </c>
      <c r="U31" s="12" t="n">
        <v>46615</v>
      </c>
      <c r="V31" s="12" t="n">
        <v>38365</v>
      </c>
      <c r="W31" s="12" t="n">
        <v>46480</v>
      </c>
      <c r="X31" s="12" t="n">
        <v>47613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0</v>
      </c>
      <c r="E47" s="20" t="n"/>
      <c r="F47" s="20" t="n"/>
      <c r="G47" s="20" t="n">
        <v>3</v>
      </c>
      <c r="H47" s="20" t="n">
        <v>-5</v>
      </c>
      <c r="I47" s="20" t="n">
        <v>0</v>
      </c>
      <c r="J47" s="20" t="n">
        <v>0</v>
      </c>
      <c r="K47" s="20" t="n">
        <v>0</v>
      </c>
      <c r="L47" s="20" t="n">
        <v>0</v>
      </c>
      <c r="M47" s="20" t="n">
        <v>33</v>
      </c>
      <c r="N47" s="20" t="n">
        <v>467</v>
      </c>
      <c r="O47" s="19" t="n">
        <v>0</v>
      </c>
      <c r="P47" s="20" t="n">
        <v>98</v>
      </c>
      <c r="Q47" s="20" t="n">
        <v>0</v>
      </c>
      <c r="R47" s="20" t="n"/>
      <c r="S47" s="20" t="n">
        <v>0</v>
      </c>
      <c r="T47" s="20" t="n">
        <v>57</v>
      </c>
      <c r="U47" s="20" t="n">
        <v>0</v>
      </c>
      <c r="V47" s="20" t="n">
        <v>0</v>
      </c>
      <c r="W47" s="20" t="n">
        <v>1015</v>
      </c>
      <c r="X47" s="20" t="n">
        <v>0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55</v>
      </c>
      <c r="D49" s="20" t="n">
        <v>1898</v>
      </c>
      <c r="E49" s="20" t="n"/>
      <c r="F49" s="20" t="n"/>
      <c r="G49" s="20" t="n">
        <v>-147</v>
      </c>
      <c r="H49" s="20" t="n">
        <v>-5</v>
      </c>
      <c r="I49" s="20" t="n">
        <v>0</v>
      </c>
      <c r="J49" s="20" t="n">
        <v>504</v>
      </c>
      <c r="K49" s="20" t="n">
        <v>0</v>
      </c>
      <c r="L49" s="20" t="n">
        <v>93</v>
      </c>
      <c r="M49" s="20" t="n">
        <v>155</v>
      </c>
      <c r="N49" s="20" t="n">
        <v>0</v>
      </c>
      <c r="O49" s="19" t="n">
        <v>391</v>
      </c>
      <c r="P49" s="20" t="n">
        <v>261</v>
      </c>
      <c r="Q49" s="20" t="n">
        <v>0</v>
      </c>
      <c r="R49" s="20" t="n">
        <v>464</v>
      </c>
      <c r="S49" s="20" t="n">
        <v>3693</v>
      </c>
      <c r="T49" s="20" t="n">
        <v>1426</v>
      </c>
      <c r="U49" s="20" t="n">
        <v>1305</v>
      </c>
      <c r="V49" s="20" t="n">
        <v>2045</v>
      </c>
      <c r="W49" s="20" t="n">
        <v>976</v>
      </c>
      <c r="X49" s="20" t="n">
        <v>597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1078</v>
      </c>
      <c r="D51" s="20" t="n">
        <v>1173</v>
      </c>
      <c r="E51" s="20" t="n">
        <v>1186</v>
      </c>
      <c r="F51" s="20" t="n">
        <v>1265</v>
      </c>
      <c r="G51" s="20" t="n">
        <v>1192</v>
      </c>
      <c r="H51" s="20" t="n">
        <v>1058</v>
      </c>
      <c r="I51" s="20" t="n">
        <v>930</v>
      </c>
      <c r="J51" s="20" t="n">
        <v>494</v>
      </c>
      <c r="K51" s="20" t="n">
        <v>576</v>
      </c>
      <c r="L51" s="20" t="n">
        <v>618</v>
      </c>
      <c r="M51" s="20" t="n">
        <v>565</v>
      </c>
      <c r="N51" s="20" t="n">
        <v>634</v>
      </c>
      <c r="O51" s="19" t="n">
        <v>511</v>
      </c>
      <c r="P51" s="20" t="n">
        <v>677</v>
      </c>
      <c r="Q51" s="20" t="n">
        <v>791</v>
      </c>
      <c r="R51" s="20" t="n">
        <v>670</v>
      </c>
      <c r="S51" s="20" t="n">
        <v>678</v>
      </c>
      <c r="T51" s="20" t="n">
        <v>1043</v>
      </c>
      <c r="U51" s="20" t="n">
        <v>2283</v>
      </c>
      <c r="V51" s="20" t="n">
        <v>4199</v>
      </c>
      <c r="W51" s="20" t="n">
        <v>4701</v>
      </c>
      <c r="X51" s="20" t="n">
        <v>2618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315</v>
      </c>
      <c r="D53" s="20" t="n">
        <v>527</v>
      </c>
      <c r="E53" s="20" t="n">
        <v>98</v>
      </c>
      <c r="F53" s="20" t="n">
        <v>521</v>
      </c>
      <c r="G53" s="20" t="n">
        <v>269</v>
      </c>
      <c r="H53" s="20" t="n">
        <v>391</v>
      </c>
      <c r="I53" s="20" t="n">
        <v>286</v>
      </c>
      <c r="J53" s="20" t="n">
        <v>360</v>
      </c>
      <c r="K53" s="20" t="n">
        <v>204</v>
      </c>
      <c r="L53" s="20" t="n">
        <v>285</v>
      </c>
      <c r="M53" s="20" t="n">
        <v>572</v>
      </c>
      <c r="N53" s="20" t="n">
        <v>701</v>
      </c>
      <c r="O53" s="19" t="n">
        <v>1176</v>
      </c>
      <c r="P53" s="20" t="n">
        <v>847</v>
      </c>
      <c r="Q53" s="20" t="n">
        <v>850</v>
      </c>
      <c r="R53" s="20" t="n">
        <v>1065</v>
      </c>
      <c r="S53" s="20" t="n">
        <v>688</v>
      </c>
      <c r="T53" s="20" t="n">
        <v>753</v>
      </c>
      <c r="U53" s="20" t="n">
        <v>1059</v>
      </c>
      <c r="V53" s="20" t="n">
        <v>1299</v>
      </c>
      <c r="W53" s="20" t="n">
        <v>1279</v>
      </c>
      <c r="X53" s="20" t="n">
        <v>1135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11096</v>
      </c>
      <c r="D55" s="12" t="n">
        <v>8209</v>
      </c>
      <c r="E55" s="12" t="n">
        <v>12916</v>
      </c>
      <c r="F55" s="12" t="n">
        <v>12194</v>
      </c>
      <c r="G55" s="12" t="n">
        <v>13832</v>
      </c>
      <c r="H55" s="12" t="n">
        <v>10998</v>
      </c>
      <c r="I55" s="12" t="n">
        <v>10272</v>
      </c>
      <c r="J55" s="12" t="n">
        <v>9562</v>
      </c>
      <c r="K55" s="12" t="n">
        <v>13076</v>
      </c>
      <c r="L55" s="12" t="n">
        <v>15588</v>
      </c>
      <c r="M55" s="12" t="n">
        <v>17709</v>
      </c>
      <c r="N55" s="12" t="n">
        <v>19695</v>
      </c>
      <c r="O55" s="11" t="n">
        <v>26071</v>
      </c>
      <c r="P55" s="12" t="n">
        <v>34516</v>
      </c>
      <c r="Q55" s="12" t="n">
        <v>31815</v>
      </c>
      <c r="R55" s="12" t="n">
        <v>22781</v>
      </c>
      <c r="S55" s="12" t="n">
        <v>23496</v>
      </c>
      <c r="T55" s="12" t="n">
        <v>51131</v>
      </c>
      <c r="U55" s="12" t="n">
        <v>46533</v>
      </c>
      <c r="V55" s="12" t="n">
        <v>39219</v>
      </c>
      <c r="W55" s="12" t="n">
        <v>49940</v>
      </c>
      <c r="X55" s="12" t="n">
        <v>48498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2788</v>
      </c>
      <c r="D57" s="20" t="n">
        <v>2493</v>
      </c>
      <c r="E57" s="20" t="n">
        <v>3639</v>
      </c>
      <c r="F57" s="20" t="n">
        <v>3229</v>
      </c>
      <c r="G57" s="20" t="n">
        <v>3779</v>
      </c>
      <c r="H57" s="20" t="n">
        <v>2638</v>
      </c>
      <c r="I57" s="20" t="n">
        <v>3015</v>
      </c>
      <c r="J57" s="20" t="n">
        <v>2743</v>
      </c>
      <c r="K57" s="20" t="n">
        <v>3996</v>
      </c>
      <c r="L57" s="20" t="n">
        <v>-1881</v>
      </c>
      <c r="M57" s="20" t="n">
        <v>5967</v>
      </c>
      <c r="N57" s="20" t="n">
        <v>6320</v>
      </c>
      <c r="O57" s="19" t="n">
        <v>7713</v>
      </c>
      <c r="P57" s="20" t="n">
        <v>8837</v>
      </c>
      <c r="Q57" s="20" t="n">
        <v>7717</v>
      </c>
      <c r="R57" s="20" t="n">
        <v>6249</v>
      </c>
      <c r="S57" s="20" t="n">
        <v>6319</v>
      </c>
      <c r="T57" s="20" t="n">
        <v>13509</v>
      </c>
      <c r="U57" s="20" t="n">
        <v>12126</v>
      </c>
      <c r="V57" s="20" t="n">
        <v>10964</v>
      </c>
      <c r="W57" s="20" t="n">
        <v>13285</v>
      </c>
      <c r="X57" s="20" t="n">
        <v>7873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8309</v>
      </c>
      <c r="D59" s="12" t="n">
        <v>5715</v>
      </c>
      <c r="E59" s="12" t="n">
        <v>9276</v>
      </c>
      <c r="F59" s="12" t="n">
        <v>8966</v>
      </c>
      <c r="G59" s="12" t="n">
        <v>10052</v>
      </c>
      <c r="H59" s="12" t="n">
        <v>8360</v>
      </c>
      <c r="I59" s="12" t="n">
        <v>7256</v>
      </c>
      <c r="J59" s="12" t="n">
        <v>6819</v>
      </c>
      <c r="K59" s="12" t="n">
        <v>9081</v>
      </c>
      <c r="L59" s="12" t="n">
        <v>17469</v>
      </c>
      <c r="M59" s="12" t="n">
        <v>11741</v>
      </c>
      <c r="N59" s="12" t="n">
        <v>13375</v>
      </c>
      <c r="O59" s="11" t="n">
        <v>18357</v>
      </c>
      <c r="P59" s="12" t="n">
        <v>25679</v>
      </c>
      <c r="Q59" s="12" t="n">
        <v>24098</v>
      </c>
      <c r="R59" s="12" t="n">
        <v>16531</v>
      </c>
      <c r="S59" s="12" t="n">
        <v>17176</v>
      </c>
      <c r="T59" s="12" t="n">
        <v>37621</v>
      </c>
      <c r="U59" s="12" t="n">
        <v>34406</v>
      </c>
      <c r="V59" s="12" t="n">
        <v>28254</v>
      </c>
      <c r="W59" s="12" t="n">
        <v>36654</v>
      </c>
      <c r="X59" s="12" t="n">
        <v>40625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8270</v>
      </c>
      <c r="D61" s="12" t="n">
        <v>5697</v>
      </c>
      <c r="E61" s="12" t="n">
        <v>9251</v>
      </c>
      <c r="F61" s="12" t="n">
        <v>8949</v>
      </c>
      <c r="G61" s="12" t="n">
        <v>10013</v>
      </c>
      <c r="H61" s="12" t="n">
        <v>8336</v>
      </c>
      <c r="I61" s="12" t="n">
        <v>7219</v>
      </c>
      <c r="J61" s="12" t="n">
        <v>6778</v>
      </c>
      <c r="K61" s="12" t="n">
        <v>9030</v>
      </c>
      <c r="L61" s="12" t="n">
        <v>17430</v>
      </c>
      <c r="M61" s="12" t="n">
        <v>11703</v>
      </c>
      <c r="N61" s="12" t="n">
        <v>13334</v>
      </c>
      <c r="O61" s="11" t="n">
        <v>18387</v>
      </c>
      <c r="P61" s="12" t="n">
        <v>25601</v>
      </c>
      <c r="Q61" s="12" t="n">
        <v>24034</v>
      </c>
      <c r="R61" s="12" t="n">
        <v>16504</v>
      </c>
      <c r="S61" s="12" t="n">
        <v>17138</v>
      </c>
      <c r="T61" s="12" t="n">
        <v>37557</v>
      </c>
      <c r="U61" s="12" t="n">
        <v>34282</v>
      </c>
      <c r="V61" s="12" t="n">
        <v>28152</v>
      </c>
      <c r="W61" s="12" t="n">
        <v>36549</v>
      </c>
      <c r="X61" s="12" t="n">
        <v>40457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92729</v>
      </c>
      <c r="D96" s="12" t="n">
        <v>94826</v>
      </c>
      <c r="E96" s="12" t="n">
        <v>99527</v>
      </c>
      <c r="F96" s="12" t="n">
        <v>98495</v>
      </c>
      <c r="G96" s="12" t="n">
        <v>103563</v>
      </c>
      <c r="H96" s="12" t="n">
        <v>100402</v>
      </c>
      <c r="I96" s="12" t="n">
        <v>99368</v>
      </c>
      <c r="J96" s="12" t="n">
        <v>106446</v>
      </c>
      <c r="K96" s="12" t="n">
        <v>114847</v>
      </c>
      <c r="L96" s="12" t="n">
        <v>120722</v>
      </c>
      <c r="M96" s="12" t="n">
        <v>131440</v>
      </c>
      <c r="N96" s="12" t="n">
        <v>142166</v>
      </c>
      <c r="T96" s="12" t="n">
        <v>92005</v>
      </c>
      <c r="U96" s="12" t="n">
        <v>91156</v>
      </c>
      <c r="V96" s="12" t="n">
        <v>94826</v>
      </c>
      <c r="W96" s="12" t="n">
        <v>100402</v>
      </c>
      <c r="X96" s="12" t="n">
        <v>120722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50087</v>
      </c>
      <c r="D98" s="20" t="n">
        <v>51213</v>
      </c>
      <c r="E98" s="20" t="n">
        <v>52374</v>
      </c>
      <c r="F98" s="20" t="n">
        <v>52866</v>
      </c>
      <c r="G98" s="20" t="n">
        <v>55519</v>
      </c>
      <c r="H98" s="20" t="n">
        <v>54238</v>
      </c>
      <c r="I98" s="20" t="n">
        <v>53428</v>
      </c>
      <c r="J98" s="20" t="n">
        <v>57384</v>
      </c>
      <c r="K98" s="20" t="n">
        <v>60944</v>
      </c>
      <c r="L98" s="20" t="n">
        <v>63611</v>
      </c>
      <c r="M98" s="20" t="n">
        <v>69340</v>
      </c>
      <c r="N98" s="20" t="n">
        <v>73254</v>
      </c>
      <c r="T98" s="20" t="n">
        <v>50516</v>
      </c>
      <c r="U98" s="20" t="n">
        <v>50002</v>
      </c>
      <c r="V98" s="20" t="n">
        <v>51213</v>
      </c>
      <c r="W98" s="20" t="n">
        <v>54238</v>
      </c>
      <c r="X98" s="20" t="n">
        <v>63611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42641</v>
      </c>
      <c r="D100" s="12" t="n">
        <v>43614</v>
      </c>
      <c r="E100" s="12" t="n">
        <v>47152</v>
      </c>
      <c r="F100" s="12" t="n">
        <v>45629</v>
      </c>
      <c r="G100" s="12" t="n">
        <v>48044</v>
      </c>
      <c r="H100" s="12" t="n">
        <v>46165</v>
      </c>
      <c r="I100" s="12" t="n">
        <v>45939</v>
      </c>
      <c r="J100" s="12" t="n">
        <v>49063</v>
      </c>
      <c r="K100" s="12" t="n">
        <v>53902</v>
      </c>
      <c r="L100" s="12" t="n">
        <v>57111</v>
      </c>
      <c r="M100" s="12" t="n">
        <v>62099</v>
      </c>
      <c r="N100" s="12" t="n">
        <v>68913</v>
      </c>
      <c r="T100" s="12" t="n">
        <v>41488</v>
      </c>
      <c r="U100" s="12" t="n">
        <v>41154</v>
      </c>
      <c r="V100" s="12" t="n">
        <v>43614</v>
      </c>
      <c r="W100" s="12" t="n">
        <v>46165</v>
      </c>
      <c r="X100" s="12" t="n">
        <v>57111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32253</v>
      </c>
      <c r="D102" s="20" t="n">
        <v>34152</v>
      </c>
      <c r="E102" s="20" t="n">
        <v>35324</v>
      </c>
      <c r="F102" s="20" t="n">
        <v>34067</v>
      </c>
      <c r="G102" s="20" t="n">
        <v>35284</v>
      </c>
      <c r="H102" s="20" t="n">
        <v>35834</v>
      </c>
      <c r="I102" s="20" t="n">
        <v>36311</v>
      </c>
      <c r="J102" s="20" t="n">
        <v>39131</v>
      </c>
      <c r="K102" s="20" t="n">
        <v>41198</v>
      </c>
      <c r="L102" s="20" t="n">
        <v>41762</v>
      </c>
      <c r="M102" s="20" t="n">
        <v>44261</v>
      </c>
      <c r="N102" s="20" t="n">
        <v>49618</v>
      </c>
      <c r="T102" s="20" t="n">
        <v>31176</v>
      </c>
      <c r="U102" s="20" t="n">
        <v>32845</v>
      </c>
      <c r="V102" s="20" t="n">
        <v>34152</v>
      </c>
      <c r="W102" s="20" t="n">
        <v>35834</v>
      </c>
      <c r="X102" s="20" t="n">
        <v>41762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10388</v>
      </c>
      <c r="D104" s="12" t="n">
        <v>9462</v>
      </c>
      <c r="E104" s="12" t="n">
        <v>11828</v>
      </c>
      <c r="F104" s="12" t="n">
        <v>11562</v>
      </c>
      <c r="G104" s="12" t="n">
        <v>12760</v>
      </c>
      <c r="H104" s="12" t="n">
        <v>10330</v>
      </c>
      <c r="I104" s="12" t="n">
        <v>9627</v>
      </c>
      <c r="J104" s="12" t="n">
        <v>9932</v>
      </c>
      <c r="K104" s="12" t="n">
        <v>12705</v>
      </c>
      <c r="L104" s="12" t="n">
        <v>15349</v>
      </c>
      <c r="M104" s="12" t="n">
        <v>17837</v>
      </c>
      <c r="N104" s="12" t="n">
        <v>19295</v>
      </c>
      <c r="T104" s="12" t="n">
        <v>10312</v>
      </c>
      <c r="U104" s="12" t="n">
        <v>8309</v>
      </c>
      <c r="V104" s="12" t="n">
        <v>9462</v>
      </c>
      <c r="W104" s="12" t="n">
        <v>10330</v>
      </c>
      <c r="X104" s="12" t="n">
        <v>15349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976</v>
      </c>
      <c r="D107" s="20" t="n">
        <v>1016</v>
      </c>
      <c r="E107" s="20" t="n">
        <v>1062</v>
      </c>
      <c r="F107" s="20" t="n">
        <v>1131</v>
      </c>
      <c r="G107" s="20" t="n">
        <v>1003</v>
      </c>
      <c r="H107" s="20" t="n">
        <v>968</v>
      </c>
      <c r="I107" s="20" t="n">
        <v>805</v>
      </c>
      <c r="J107" s="20" t="n">
        <v>319</v>
      </c>
      <c r="K107" s="20" t="n">
        <v>348</v>
      </c>
      <c r="L107" s="20" t="n">
        <v>385</v>
      </c>
      <c r="M107" s="20" t="n">
        <v>387</v>
      </c>
      <c r="N107" s="20" t="n">
        <v>458</v>
      </c>
      <c r="T107" s="20" t="n">
        <v>155</v>
      </c>
      <c r="U107" s="20" t="n">
        <v>517</v>
      </c>
      <c r="V107" s="20" t="n">
        <v>1016</v>
      </c>
      <c r="W107" s="20" t="n">
        <v>968</v>
      </c>
      <c r="X107" s="20" t="n">
        <v>385</v>
      </c>
    </row>
    <row r="108">
      <c r="A108" s="18" t="inlineStr">
        <is>
          <t>보조금 수입</t>
        </is>
      </c>
      <c r="C108" s="20" t="n">
        <v>13</v>
      </c>
      <c r="D108" s="20" t="n">
        <v>25</v>
      </c>
      <c r="E108" s="20" t="n">
        <v>38</v>
      </c>
      <c r="T108" s="20" t="n">
        <v>1</v>
      </c>
      <c r="U108" s="20" t="n">
        <v>75</v>
      </c>
      <c r="V108" s="20" t="n">
        <v>25</v>
      </c>
    </row>
    <row r="109">
      <c r="A109" s="18" t="inlineStr">
        <is>
          <t>잡이익</t>
        </is>
      </c>
      <c r="C109" s="20" t="n">
        <v>102</v>
      </c>
      <c r="D109" s="20" t="n">
        <v>124</v>
      </c>
      <c r="E109" s="20" t="n">
        <v>123</v>
      </c>
      <c r="F109" s="20" t="n">
        <v>134</v>
      </c>
      <c r="G109" s="20" t="n">
        <v>189</v>
      </c>
      <c r="H109" s="20" t="n">
        <v>56</v>
      </c>
      <c r="I109" s="20" t="n">
        <v>124</v>
      </c>
      <c r="J109" s="20" t="n">
        <v>176</v>
      </c>
      <c r="K109" s="20" t="n">
        <v>227</v>
      </c>
      <c r="L109" s="20" t="n">
        <v>197</v>
      </c>
      <c r="M109" s="20" t="n">
        <v>177</v>
      </c>
      <c r="N109" s="20" t="n">
        <v>176</v>
      </c>
      <c r="T109" s="20" t="n">
        <v>187</v>
      </c>
      <c r="U109" s="20" t="n">
        <v>96</v>
      </c>
      <c r="V109" s="20" t="n">
        <v>124</v>
      </c>
      <c r="W109" s="20" t="n">
        <v>56</v>
      </c>
      <c r="X109" s="20" t="n">
        <v>197</v>
      </c>
    </row>
    <row r="110">
      <c r="A110" s="18" t="inlineStr">
        <is>
          <t>영업외수익 합계</t>
        </is>
      </c>
      <c r="C110" s="20" t="n">
        <v>1078</v>
      </c>
      <c r="D110" s="20" t="n">
        <v>1173</v>
      </c>
      <c r="E110" s="20" t="n">
        <v>1186</v>
      </c>
      <c r="F110" s="20" t="n">
        <v>1265</v>
      </c>
      <c r="G110" s="20" t="n">
        <v>1192</v>
      </c>
      <c r="H110" s="20" t="n">
        <v>1058</v>
      </c>
      <c r="I110" s="20" t="n">
        <v>930</v>
      </c>
      <c r="J110" s="20" t="n">
        <v>494</v>
      </c>
      <c r="K110" s="20" t="n">
        <v>576</v>
      </c>
      <c r="L110" s="20" t="n">
        <v>618</v>
      </c>
      <c r="M110" s="20" t="n">
        <v>565</v>
      </c>
      <c r="N110" s="20" t="n">
        <v>634</v>
      </c>
      <c r="T110" s="20" t="n">
        <v>381</v>
      </c>
      <c r="U110" s="20" t="n">
        <v>731</v>
      </c>
      <c r="V110" s="20" t="n">
        <v>1173</v>
      </c>
      <c r="W110" s="20" t="n">
        <v>1058</v>
      </c>
      <c r="X110" s="20" t="n">
        <v>618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18" t="inlineStr">
        <is>
          <t>이자비용</t>
        </is>
      </c>
      <c r="C112" s="20" t="n">
        <v>32</v>
      </c>
      <c r="D112" s="20" t="n">
        <v>41</v>
      </c>
      <c r="E112" s="20" t="n">
        <v>38</v>
      </c>
      <c r="F112" s="20" t="n">
        <v>42</v>
      </c>
      <c r="G112" s="20" t="n">
        <v>38</v>
      </c>
      <c r="H112" s="20" t="n">
        <v>38</v>
      </c>
      <c r="I112" s="20" t="n">
        <v>29</v>
      </c>
      <c r="J112" s="20" t="n">
        <v>33</v>
      </c>
      <c r="K112" s="20" t="n">
        <v>44</v>
      </c>
      <c r="L112" s="20" t="n">
        <v>78</v>
      </c>
      <c r="M112" s="20" t="n">
        <v>84</v>
      </c>
      <c r="N112" s="20" t="n">
        <v>135</v>
      </c>
      <c r="T112" s="20" t="n">
        <v>36</v>
      </c>
      <c r="U112" s="20" t="n">
        <v>38</v>
      </c>
      <c r="V112" s="20" t="n">
        <v>41</v>
      </c>
      <c r="W112" s="20" t="n">
        <v>38</v>
      </c>
      <c r="X112" s="20" t="n">
        <v>78</v>
      </c>
    </row>
    <row r="113">
      <c r="A113" s="18" t="inlineStr">
        <is>
          <t>외환차손</t>
        </is>
      </c>
      <c r="C113" s="20" t="n">
        <v>264</v>
      </c>
      <c r="D113" s="20" t="n">
        <v>112</v>
      </c>
      <c r="E113" s="20" t="n">
        <v>28</v>
      </c>
      <c r="F113" s="20" t="n">
        <v>229</v>
      </c>
      <c r="G113" s="20" t="n">
        <v>132</v>
      </c>
      <c r="H113" s="20" t="n">
        <v>299</v>
      </c>
      <c r="I113" s="20" t="n">
        <v>234</v>
      </c>
      <c r="J113" s="20" t="n">
        <v>283</v>
      </c>
      <c r="K113" s="20" t="n">
        <v>109</v>
      </c>
      <c r="L113" s="20" t="n">
        <v>-58</v>
      </c>
      <c r="M113" s="20" t="n">
        <v>263</v>
      </c>
      <c r="N113" s="20" t="n">
        <v>435</v>
      </c>
      <c r="T113" s="20" t="n">
        <v>104</v>
      </c>
      <c r="U113" s="20" t="n">
        <v>196</v>
      </c>
      <c r="V113" s="20" t="n">
        <v>112</v>
      </c>
      <c r="W113" s="20" t="n">
        <v>299</v>
      </c>
      <c r="X113" s="20" t="n">
        <v>-58</v>
      </c>
    </row>
    <row r="114">
      <c r="A114" s="18" t="inlineStr">
        <is>
          <t>지급수수료</t>
        </is>
      </c>
      <c r="C114" s="20" t="n">
        <v>0</v>
      </c>
      <c r="D114" s="20" t="n">
        <v>0</v>
      </c>
      <c r="E114" s="20" t="n">
        <v>1</v>
      </c>
      <c r="F114" s="20" t="n">
        <v>147</v>
      </c>
      <c r="G114" s="20" t="n">
        <v>16</v>
      </c>
      <c r="H114" s="20" t="n">
        <v>1</v>
      </c>
      <c r="I114" s="20" t="n">
        <v>0</v>
      </c>
      <c r="J114" s="20" t="n">
        <v>1</v>
      </c>
      <c r="K114" s="20" t="n">
        <v>1</v>
      </c>
      <c r="L114" s="20" t="n">
        <v>131</v>
      </c>
      <c r="M114" s="20" t="n">
        <v>3</v>
      </c>
      <c r="N114" s="20" t="n">
        <v>3</v>
      </c>
      <c r="V114" s="20" t="n">
        <v>0</v>
      </c>
      <c r="W114" s="20" t="n">
        <v>1</v>
      </c>
      <c r="X114" s="20" t="n">
        <v>131</v>
      </c>
    </row>
    <row r="115">
      <c r="A115" s="18" t="inlineStr">
        <is>
          <t>잡손실</t>
        </is>
      </c>
      <c r="C115" s="20" t="n">
        <v>19</v>
      </c>
      <c r="D115" s="20" t="n">
        <v>61</v>
      </c>
      <c r="E115" s="20" t="n">
        <v>30</v>
      </c>
      <c r="F115" s="20" t="n">
        <v>102</v>
      </c>
      <c r="G115" s="20" t="n">
        <v>84</v>
      </c>
      <c r="H115" s="20" t="n">
        <v>-113</v>
      </c>
      <c r="I115" s="20" t="n">
        <v>21</v>
      </c>
      <c r="J115" s="20" t="n">
        <v>43</v>
      </c>
      <c r="K115" s="20" t="n">
        <v>49</v>
      </c>
      <c r="L115" s="20" t="n">
        <v>17</v>
      </c>
      <c r="M115" s="20" t="n">
        <v>221</v>
      </c>
      <c r="N115" s="20" t="n">
        <v>128</v>
      </c>
      <c r="T115" s="20" t="n">
        <v>89</v>
      </c>
      <c r="U115" s="20" t="n">
        <v>68</v>
      </c>
      <c r="V115" s="20" t="n">
        <v>61</v>
      </c>
      <c r="W115" s="20" t="n">
        <v>-113</v>
      </c>
      <c r="X115" s="20" t="n">
        <v>17</v>
      </c>
    </row>
    <row r="116">
      <c r="A116" s="18" t="inlineStr">
        <is>
          <t>영업외비용 합계</t>
        </is>
      </c>
      <c r="C116" s="20" t="n">
        <v>315</v>
      </c>
      <c r="D116" s="20" t="n">
        <v>527</v>
      </c>
      <c r="E116" s="20" t="n">
        <v>98</v>
      </c>
      <c r="F116" s="20" t="n">
        <v>521</v>
      </c>
      <c r="G116" s="20" t="n">
        <v>269</v>
      </c>
      <c r="H116" s="20" t="n">
        <v>391</v>
      </c>
      <c r="I116" s="20" t="n">
        <v>286</v>
      </c>
      <c r="J116" s="20" t="n">
        <v>360</v>
      </c>
      <c r="K116" s="20" t="n">
        <v>204</v>
      </c>
      <c r="L116" s="20" t="n">
        <v>285</v>
      </c>
      <c r="M116" s="20" t="n">
        <v>572</v>
      </c>
      <c r="N116" s="20" t="n">
        <v>701</v>
      </c>
      <c r="T116" s="20" t="n">
        <v>227</v>
      </c>
      <c r="U116" s="20" t="n">
        <v>410</v>
      </c>
      <c r="V116" s="20" t="n">
        <v>527</v>
      </c>
      <c r="W116" s="20" t="n">
        <v>391</v>
      </c>
      <c r="X116" s="20" t="n">
        <v>285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IF(OR(G116="",C116=""),"",IF(G116*C116&lt;=0,"",IFERROR(G116/C116-1,"")))</f>
        <v/>
      </c>
      <c r="H117" s="15">
        <f>IF(OR(H116="",D116=""),"",IF(H116*D116&lt;=0,"",IFERROR(H116/D116-1,"")))</f>
        <v/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K117" s="15">
        <f>IF(OR(K116="",G116=""),"",IF(K116*G116&lt;=0,"",IFERROR(K116/G116-1,"")))</f>
        <v/>
      </c>
      <c r="L117" s="15">
        <f>IF(OR(L116="",H116=""),"",IF(L116*H116&lt;=0,"",IFERROR(L116/H116-1,"")))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9" t="inlineStr">
        <is>
          <t>경상이익</t>
        </is>
      </c>
      <c r="C118" s="12" t="n">
        <v>11150</v>
      </c>
      <c r="D118" s="12" t="n">
        <v>10108</v>
      </c>
      <c r="E118" s="12" t="n">
        <v>12916</v>
      </c>
      <c r="F118" s="12" t="n">
        <v>12305</v>
      </c>
      <c r="G118" s="12" t="n">
        <v>13683</v>
      </c>
      <c r="H118" s="12" t="n">
        <v>10997</v>
      </c>
      <c r="I118" s="12" t="n">
        <v>10272</v>
      </c>
      <c r="J118" s="12" t="n">
        <v>10066</v>
      </c>
      <c r="K118" s="12" t="n">
        <v>13076</v>
      </c>
      <c r="L118" s="12" t="n">
        <v>15681</v>
      </c>
      <c r="M118" s="12" t="n">
        <v>17830</v>
      </c>
      <c r="N118" s="12" t="n">
        <v>19228</v>
      </c>
      <c r="T118" s="12" t="n">
        <v>10465</v>
      </c>
      <c r="U118" s="12" t="n">
        <v>8630</v>
      </c>
      <c r="V118" s="12" t="n">
        <v>10108</v>
      </c>
      <c r="W118" s="12" t="n">
        <v>10997</v>
      </c>
      <c r="X118" s="12" t="n">
        <v>15681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Reversal Of Provision For Loss On Business Liquidation EI</t>
        </is>
      </c>
      <c r="C120" s="20" t="n">
        <v>0</v>
      </c>
      <c r="D120" s="20" t="n">
        <v>0</v>
      </c>
      <c r="G120" s="20" t="n">
        <v>3</v>
      </c>
      <c r="H120" s="20" t="n">
        <v>-5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33</v>
      </c>
      <c r="N120" s="20" t="n">
        <v>6</v>
      </c>
      <c r="V120" s="20" t="n">
        <v>0</v>
      </c>
      <c r="W120" s="20" t="n">
        <v>-5</v>
      </c>
      <c r="X120" s="20" t="n">
        <v>0</v>
      </c>
    </row>
    <row r="121">
      <c r="A121" s="18" t="inlineStr">
        <is>
          <t>특별이익 합계</t>
        </is>
      </c>
      <c r="C121" s="20" t="n">
        <v>0</v>
      </c>
      <c r="D121" s="20" t="n">
        <v>0</v>
      </c>
      <c r="G121" s="20" t="n">
        <v>3</v>
      </c>
      <c r="H121" s="20" t="n">
        <v>-5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33</v>
      </c>
      <c r="N121" s="20" t="n">
        <v>467</v>
      </c>
      <c r="V121" s="20" t="n">
        <v>0</v>
      </c>
      <c r="W121" s="20" t="n">
        <v>-5</v>
      </c>
      <c r="X121" s="20" t="n">
        <v>0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손상차손</t>
        </is>
      </c>
      <c r="C123" s="20" t="n">
        <v>55</v>
      </c>
      <c r="D123" s="20" t="n">
        <v>1</v>
      </c>
      <c r="G123" s="20" t="n">
        <v>0</v>
      </c>
      <c r="H123" s="20" t="n">
        <v>0</v>
      </c>
      <c r="I123" s="20" t="n">
        <v>0</v>
      </c>
      <c r="J123" s="20" t="n">
        <v>504</v>
      </c>
      <c r="K123" s="20" t="n">
        <v>0</v>
      </c>
      <c r="L123" s="20" t="n">
        <v>93</v>
      </c>
      <c r="M123" s="20" t="n">
        <v>155</v>
      </c>
      <c r="N123" s="20" t="n">
        <v>0</v>
      </c>
      <c r="T123" s="20" t="n">
        <v>221</v>
      </c>
      <c r="U123" s="20" t="n">
        <v>0</v>
      </c>
      <c r="V123" s="20" t="n">
        <v>1</v>
      </c>
      <c r="W123" s="20" t="n">
        <v>0</v>
      </c>
      <c r="X123" s="20" t="n">
        <v>93</v>
      </c>
    </row>
    <row r="124">
      <c r="A124" s="18" t="inlineStr">
        <is>
          <t>코로나19 관련 손실</t>
        </is>
      </c>
      <c r="C124" s="20" t="n">
        <v>0</v>
      </c>
      <c r="D124" s="20" t="n">
        <v>0</v>
      </c>
      <c r="T124" s="20" t="n">
        <v>80</v>
      </c>
      <c r="U124" s="20" t="n">
        <v>-1</v>
      </c>
      <c r="V124" s="20" t="n">
        <v>0</v>
      </c>
    </row>
    <row r="125">
      <c r="A125" s="18" t="inlineStr">
        <is>
          <t>사업정리 손실</t>
        </is>
      </c>
      <c r="C125" s="20" t="n">
        <v>0</v>
      </c>
      <c r="D125" s="20" t="n">
        <v>1897</v>
      </c>
      <c r="G125" s="20" t="n">
        <v>-147</v>
      </c>
      <c r="H125" s="20" t="n">
        <v>-5</v>
      </c>
      <c r="K125" s="20" t="n">
        <v>0</v>
      </c>
      <c r="L125" s="20" t="n">
        <v>0</v>
      </c>
      <c r="V125" s="20" t="n">
        <v>1897</v>
      </c>
      <c r="W125" s="20" t="n">
        <v>-5</v>
      </c>
      <c r="X125" s="20" t="n">
        <v>0</v>
      </c>
    </row>
    <row r="126">
      <c r="A126" s="18" t="inlineStr">
        <is>
          <t>특별손실 합계</t>
        </is>
      </c>
      <c r="C126" s="20" t="n">
        <v>55</v>
      </c>
      <c r="D126" s="20" t="n">
        <v>1898</v>
      </c>
      <c r="G126" s="20" t="n">
        <v>-147</v>
      </c>
      <c r="H126" s="20" t="n">
        <v>-5</v>
      </c>
      <c r="I126" s="20" t="n">
        <v>0</v>
      </c>
      <c r="J126" s="20" t="n">
        <v>504</v>
      </c>
      <c r="K126" s="20" t="n">
        <v>0</v>
      </c>
      <c r="L126" s="20" t="n">
        <v>93</v>
      </c>
      <c r="M126" s="20" t="n">
        <v>155</v>
      </c>
      <c r="N126" s="20" t="n">
        <v>0</v>
      </c>
      <c r="T126" s="20" t="n">
        <v>302</v>
      </c>
      <c r="U126" s="20" t="n">
        <v>1170</v>
      </c>
      <c r="V126" s="20" t="n">
        <v>1898</v>
      </c>
      <c r="W126" s="20" t="n">
        <v>-5</v>
      </c>
      <c r="X126" s="20" t="n">
        <v>93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법인세차감전 순이익</t>
        </is>
      </c>
      <c r="C128" s="12" t="n">
        <v>11096</v>
      </c>
      <c r="D128" s="12" t="n">
        <v>8209</v>
      </c>
      <c r="E128" s="12" t="n">
        <v>12916</v>
      </c>
      <c r="F128" s="12" t="n">
        <v>12194</v>
      </c>
      <c r="G128" s="12" t="n">
        <v>13832</v>
      </c>
      <c r="H128" s="12" t="n">
        <v>10998</v>
      </c>
      <c r="I128" s="12" t="n">
        <v>10272</v>
      </c>
      <c r="J128" s="12" t="n">
        <v>9562</v>
      </c>
      <c r="K128" s="12" t="n">
        <v>13076</v>
      </c>
      <c r="L128" s="12" t="n">
        <v>15588</v>
      </c>
      <c r="M128" s="12" t="n">
        <v>17709</v>
      </c>
      <c r="N128" s="12" t="n">
        <v>19695</v>
      </c>
      <c r="T128" s="12" t="n">
        <v>10221</v>
      </c>
      <c r="U128" s="12" t="n">
        <v>7460</v>
      </c>
      <c r="V128" s="12" t="n">
        <v>8209</v>
      </c>
      <c r="W128" s="12" t="n">
        <v>10998</v>
      </c>
      <c r="X128" s="12" t="n">
        <v>15588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법인세 등</t>
        </is>
      </c>
      <c r="C130" s="20" t="n">
        <v>2788</v>
      </c>
      <c r="D130" s="20" t="n">
        <v>2493</v>
      </c>
      <c r="E130" s="20" t="n">
        <v>3639</v>
      </c>
      <c r="F130" s="20" t="n">
        <v>3229</v>
      </c>
      <c r="G130" s="20" t="n">
        <v>3779</v>
      </c>
      <c r="H130" s="20" t="n">
        <v>2638</v>
      </c>
      <c r="I130" s="20" t="n">
        <v>3015</v>
      </c>
      <c r="J130" s="20" t="n">
        <v>2743</v>
      </c>
      <c r="K130" s="20" t="n">
        <v>3996</v>
      </c>
      <c r="L130" s="20" t="n">
        <v>-1881</v>
      </c>
      <c r="M130" s="20" t="n">
        <v>5967</v>
      </c>
      <c r="N130" s="20" t="n">
        <v>6320</v>
      </c>
      <c r="T130" s="20" t="n">
        <v>2557</v>
      </c>
      <c r="U130" s="20" t="n">
        <v>1803</v>
      </c>
      <c r="V130" s="20" t="n">
        <v>2493</v>
      </c>
      <c r="W130" s="20" t="n">
        <v>2638</v>
      </c>
      <c r="X130" s="20" t="n">
        <v>-1881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9" t="inlineStr">
        <is>
          <t>순이익</t>
        </is>
      </c>
      <c r="C132" s="12" t="n">
        <v>8309</v>
      </c>
      <c r="D132" s="12" t="n">
        <v>5715</v>
      </c>
      <c r="E132" s="12" t="n">
        <v>9276</v>
      </c>
      <c r="F132" s="12" t="n">
        <v>8966</v>
      </c>
      <c r="G132" s="12" t="n">
        <v>10052</v>
      </c>
      <c r="H132" s="12" t="n">
        <v>8360</v>
      </c>
      <c r="I132" s="12" t="n">
        <v>7256</v>
      </c>
      <c r="J132" s="12" t="n">
        <v>6819</v>
      </c>
      <c r="K132" s="12" t="n">
        <v>9081</v>
      </c>
      <c r="L132" s="12" t="n">
        <v>17469</v>
      </c>
      <c r="M132" s="12" t="n">
        <v>11741</v>
      </c>
      <c r="N132" s="12" t="n">
        <v>13375</v>
      </c>
      <c r="T132" s="12" t="n">
        <v>7663</v>
      </c>
      <c r="U132" s="12" t="n">
        <v>5656</v>
      </c>
      <c r="V132" s="12" t="n">
        <v>5715</v>
      </c>
      <c r="W132" s="12" t="n">
        <v>8360</v>
      </c>
      <c r="X132" s="12" t="n">
        <v>17469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비지배주주 순이익</t>
        </is>
      </c>
      <c r="C134" s="12" t="n">
        <v>38</v>
      </c>
      <c r="D134" s="12" t="n">
        <v>19</v>
      </c>
      <c r="E134" s="12" t="n">
        <v>25</v>
      </c>
      <c r="F134" s="12" t="n">
        <v>16</v>
      </c>
      <c r="G134" s="12" t="n">
        <v>40</v>
      </c>
      <c r="H134" s="12" t="n">
        <v>24</v>
      </c>
      <c r="I134" s="12" t="n">
        <v>36</v>
      </c>
      <c r="J134" s="12" t="n">
        <v>41</v>
      </c>
      <c r="K134" s="12" t="n">
        <v>51</v>
      </c>
      <c r="L134" s="12" t="n">
        <v>39</v>
      </c>
      <c r="M134" s="12" t="n">
        <v>38</v>
      </c>
      <c r="N134" s="12" t="n">
        <v>41</v>
      </c>
      <c r="T134" s="12" t="n">
        <v>10</v>
      </c>
      <c r="U134" s="12" t="n">
        <v>16</v>
      </c>
      <c r="V134" s="12" t="n">
        <v>19</v>
      </c>
      <c r="W134" s="12" t="n">
        <v>24</v>
      </c>
      <c r="X134" s="12" t="n">
        <v>39</v>
      </c>
    </row>
    <row r="135">
      <c r="A135" s="9" t="inlineStr">
        <is>
          <t>지배주주 순이익</t>
        </is>
      </c>
      <c r="C135" s="12" t="n">
        <v>8270</v>
      </c>
      <c r="D135" s="12" t="n">
        <v>5697</v>
      </c>
      <c r="E135" s="12" t="n">
        <v>9251</v>
      </c>
      <c r="F135" s="12" t="n">
        <v>8949</v>
      </c>
      <c r="G135" s="12" t="n">
        <v>10013</v>
      </c>
      <c r="H135" s="12" t="n">
        <v>8336</v>
      </c>
      <c r="I135" s="12" t="n">
        <v>7219</v>
      </c>
      <c r="J135" s="12" t="n">
        <v>6778</v>
      </c>
      <c r="K135" s="12" t="n">
        <v>9030</v>
      </c>
      <c r="L135" s="12" t="n">
        <v>17430</v>
      </c>
      <c r="M135" s="12" t="n">
        <v>11703</v>
      </c>
      <c r="N135" s="12" t="n">
        <v>13334</v>
      </c>
      <c r="T135" s="12" t="n">
        <v>7654</v>
      </c>
      <c r="U135" s="12" t="n">
        <v>5641</v>
      </c>
      <c r="V135" s="12" t="n">
        <v>5697</v>
      </c>
      <c r="W135" s="12" t="n">
        <v>8336</v>
      </c>
      <c r="X135" s="12" t="n">
        <v>17430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8">
      <c r="A138" s="16" t="inlineStr">
        <is>
          <t>포괄손익 · 전 항목</t>
        </is>
      </c>
      <c r="B138" s="42" t="inlineStr">
        <is>
          <t>분기 = 3개월 단독</t>
        </is>
      </c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</row>
    <row r="139">
      <c r="A139" s="5" t="inlineStr">
        <is>
          <t>항목</t>
        </is>
      </c>
      <c r="B139" s="5" t="inlineStr">
        <is>
          <t>참고</t>
        </is>
      </c>
      <c r="C139" s="5" t="inlineStr">
        <is>
          <t>2024.3Q</t>
        </is>
      </c>
      <c r="D139" s="5" t="inlineStr">
        <is>
          <t>2024.4Q</t>
        </is>
      </c>
      <c r="E139" s="5" t="inlineStr">
        <is>
          <t>2025.1Q</t>
        </is>
      </c>
      <c r="F139" s="5" t="inlineStr">
        <is>
          <t>2025.2Q</t>
        </is>
      </c>
      <c r="G139" s="5" t="inlineStr">
        <is>
          <t>2025.3Q</t>
        </is>
      </c>
      <c r="H139" s="5" t="inlineStr">
        <is>
          <t>2025.4Q</t>
        </is>
      </c>
      <c r="I139" s="5" t="inlineStr">
        <is>
          <t>2026.1Q</t>
        </is>
      </c>
      <c r="J139" s="5" t="inlineStr">
        <is>
          <t>2026.2Q</t>
        </is>
      </c>
      <c r="K139" s="5" t="inlineStr">
        <is>
          <t>2026.3Q</t>
        </is>
      </c>
      <c r="L139" s="5" t="inlineStr">
        <is>
          <t>2026.4Q</t>
        </is>
      </c>
      <c r="M139" s="5" t="inlineStr">
        <is>
          <t>2027.1Q</t>
        </is>
      </c>
      <c r="N139" s="5" t="inlineStr">
        <is>
          <t>2027.2Q</t>
        </is>
      </c>
      <c r="O139" s="5" t="inlineStr">
        <is>
          <t>2017</t>
        </is>
      </c>
      <c r="P139" s="5" t="inlineStr">
        <is>
          <t>2018</t>
        </is>
      </c>
      <c r="Q139" s="5" t="inlineStr">
        <is>
          <t>2019</t>
        </is>
      </c>
      <c r="R139" s="5" t="inlineStr">
        <is>
          <t>2020</t>
        </is>
      </c>
      <c r="S139" s="5" t="inlineStr">
        <is>
          <t>2021</t>
        </is>
      </c>
      <c r="T139" s="5" t="inlineStr">
        <is>
          <t>2022</t>
        </is>
      </c>
      <c r="U139" s="5" t="inlineStr">
        <is>
          <t>2023</t>
        </is>
      </c>
      <c r="V139" s="5" t="inlineStr">
        <is>
          <t>2024</t>
        </is>
      </c>
      <c r="W139" s="5" t="inlineStr">
        <is>
          <t>2025</t>
        </is>
      </c>
      <c r="X139" s="5" t="inlineStr">
        <is>
          <t>2026</t>
        </is>
      </c>
      <c r="Y139" s="5" t="inlineStr">
        <is>
          <t>2027(MW)</t>
        </is>
      </c>
      <c r="Z139" s="5" t="inlineStr">
        <is>
          <t>2028(MW)</t>
        </is>
      </c>
      <c r="AA139" s="5" t="inlineStr">
        <is>
          <t>2029(MW)</t>
        </is>
      </c>
      <c r="AB139" s="5" t="inlineStr">
        <is>
          <t>2030(MW)</t>
        </is>
      </c>
      <c r="AC139" s="5" t="inlineStr">
        <is>
          <t>2031(MW)</t>
        </is>
      </c>
    </row>
    <row r="140">
      <c r="A140" s="9" t="inlineStr">
        <is>
          <t>순이익</t>
        </is>
      </c>
      <c r="C140" s="12" t="n">
        <v>8309</v>
      </c>
      <c r="D140" s="12" t="n">
        <v>5715</v>
      </c>
      <c r="E140" s="12" t="n">
        <v>9276</v>
      </c>
      <c r="F140" s="12" t="n">
        <v>8966</v>
      </c>
      <c r="G140" s="12" t="n">
        <v>10052</v>
      </c>
      <c r="H140" s="12" t="n">
        <v>8360</v>
      </c>
      <c r="I140" s="12" t="n">
        <v>7256</v>
      </c>
      <c r="J140" s="12" t="n">
        <v>6819</v>
      </c>
      <c r="K140" s="12" t="n">
        <v>9081</v>
      </c>
      <c r="L140" s="12" t="n">
        <v>17469</v>
      </c>
      <c r="M140" s="12" t="n">
        <v>11741</v>
      </c>
      <c r="N140" s="12" t="n">
        <v>13375</v>
      </c>
      <c r="T140" s="12" t="n">
        <v>7663</v>
      </c>
      <c r="U140" s="12" t="n">
        <v>5656</v>
      </c>
      <c r="V140" s="12" t="n">
        <v>5715</v>
      </c>
      <c r="W140" s="12" t="n">
        <v>8360</v>
      </c>
      <c r="X140" s="12" t="n">
        <v>17469</v>
      </c>
    </row>
    <row r="141">
      <c r="A141" s="18" t="inlineStr">
        <is>
          <t>기타유가증권 평가차액</t>
        </is>
      </c>
      <c r="D141" s="20" t="n">
        <v>0</v>
      </c>
      <c r="E141" s="20" t="n">
        <v>0</v>
      </c>
      <c r="F141" s="20" t="n">
        <v>0</v>
      </c>
      <c r="G141" s="20" t="n">
        <v>-69</v>
      </c>
      <c r="H141" s="20" t="n">
        <v>18</v>
      </c>
      <c r="I141" s="20" t="n">
        <v>-99</v>
      </c>
      <c r="J141" s="20" t="n">
        <v>168</v>
      </c>
      <c r="K141" s="20" t="n">
        <v>119</v>
      </c>
      <c r="L141" s="20" t="n">
        <v>-19</v>
      </c>
      <c r="M141" s="20" t="n">
        <v>103</v>
      </c>
      <c r="N141" s="20" t="n">
        <v>-27</v>
      </c>
      <c r="V141" s="20" t="n">
        <v>0</v>
      </c>
      <c r="W141" s="20" t="n">
        <v>18</v>
      </c>
      <c r="X141" s="20" t="n">
        <v>-19</v>
      </c>
    </row>
    <row r="142">
      <c r="A142" s="18" t="inlineStr">
        <is>
          <t>이연헤지손익</t>
        </is>
      </c>
      <c r="C142" s="20" t="n">
        <v>-34</v>
      </c>
      <c r="D142" s="20" t="n">
        <v>-17</v>
      </c>
      <c r="E142" s="20" t="n">
        <v>0</v>
      </c>
      <c r="F142" s="20" t="n">
        <v>0</v>
      </c>
      <c r="G142" s="20" t="n">
        <v>0</v>
      </c>
      <c r="T142" s="20" t="n">
        <v>1</v>
      </c>
      <c r="U142" s="20" t="n">
        <v>0</v>
      </c>
      <c r="V142" s="20" t="n">
        <v>-17</v>
      </c>
    </row>
    <row r="143">
      <c r="A143" s="18" t="inlineStr">
        <is>
          <t>해외사업환산조정</t>
        </is>
      </c>
      <c r="C143" s="20" t="n">
        <v>-7774</v>
      </c>
      <c r="D143" s="20" t="n">
        <v>11434</v>
      </c>
      <c r="E143" s="20" t="n">
        <v>13509</v>
      </c>
      <c r="F143" s="20" t="n">
        <v>-21770</v>
      </c>
      <c r="G143" s="20" t="n">
        <v>17354</v>
      </c>
      <c r="H143" s="20" t="n">
        <v>-12676</v>
      </c>
      <c r="I143" s="20" t="n">
        <v>-3056</v>
      </c>
      <c r="J143" s="20" t="n">
        <v>6849</v>
      </c>
      <c r="K143" s="20" t="n">
        <v>15156</v>
      </c>
      <c r="L143" s="20" t="n">
        <v>5813</v>
      </c>
      <c r="M143" s="20" t="n">
        <v>6020</v>
      </c>
      <c r="N143" s="20" t="n">
        <v>-7512</v>
      </c>
      <c r="T143" s="20" t="n">
        <v>9756</v>
      </c>
      <c r="U143" s="20" t="n">
        <v>971</v>
      </c>
      <c r="V143" s="20" t="n">
        <v>11434</v>
      </c>
      <c r="W143" s="20" t="n">
        <v>-12676</v>
      </c>
      <c r="X143" s="20" t="n">
        <v>5813</v>
      </c>
    </row>
    <row r="144">
      <c r="A144" s="18" t="inlineStr">
        <is>
          <t>퇴직급여 조정액</t>
        </is>
      </c>
      <c r="C144" s="20" t="n">
        <v>1</v>
      </c>
      <c r="D144" s="20" t="n">
        <v>23</v>
      </c>
      <c r="E144" s="20" t="n">
        <v>24</v>
      </c>
      <c r="F144" s="20" t="n">
        <v>-25</v>
      </c>
      <c r="G144" s="20" t="n">
        <v>1</v>
      </c>
      <c r="H144" s="20" t="n">
        <v>113</v>
      </c>
      <c r="I144" s="20" t="n">
        <v>-2</v>
      </c>
      <c r="J144" s="20" t="n">
        <v>-1</v>
      </c>
      <c r="K144" s="20" t="n">
        <v>-9</v>
      </c>
      <c r="L144" s="20" t="n">
        <v>127</v>
      </c>
      <c r="M144" s="20" t="n">
        <v>-6</v>
      </c>
      <c r="N144" s="20" t="n">
        <v>-9</v>
      </c>
      <c r="T144" s="20" t="n">
        <v>138</v>
      </c>
      <c r="U144" s="20" t="n">
        <v>68</v>
      </c>
      <c r="V144" s="20" t="n">
        <v>23</v>
      </c>
      <c r="W144" s="20" t="n">
        <v>113</v>
      </c>
      <c r="X144" s="20" t="n">
        <v>127</v>
      </c>
    </row>
    <row r="145">
      <c r="A145" s="18" t="inlineStr">
        <is>
          <t>지분법 적용회사 지분 해당액</t>
        </is>
      </c>
      <c r="C145" s="20" t="n">
        <v>1</v>
      </c>
      <c r="D145" s="20" t="n">
        <v>-1</v>
      </c>
      <c r="E145" s="20" t="n">
        <v>4</v>
      </c>
      <c r="F145" s="20" t="n">
        <v>3</v>
      </c>
      <c r="G145" s="20" t="n">
        <v>-6</v>
      </c>
      <c r="H145" s="20" t="n">
        <v>5</v>
      </c>
      <c r="I145" s="20" t="n">
        <v>-4</v>
      </c>
      <c r="J145" s="20" t="n">
        <v>-1</v>
      </c>
      <c r="K145" s="20" t="n">
        <v>2</v>
      </c>
      <c r="L145" s="20" t="n">
        <v>5</v>
      </c>
      <c r="M145" s="20" t="n">
        <v>4</v>
      </c>
      <c r="N145" s="20" t="n">
        <v>2</v>
      </c>
      <c r="T145" s="20" t="n">
        <v>3</v>
      </c>
      <c r="U145" s="20" t="n">
        <v>-5</v>
      </c>
      <c r="V145" s="20" t="n">
        <v>-1</v>
      </c>
      <c r="W145" s="20" t="n">
        <v>5</v>
      </c>
      <c r="X145" s="20" t="n">
        <v>5</v>
      </c>
    </row>
    <row r="146">
      <c r="A146" s="18" t="inlineStr">
        <is>
          <t>기타포괄손익 합계</t>
        </is>
      </c>
      <c r="C146" s="20" t="n">
        <v>-7807</v>
      </c>
      <c r="D146" s="20" t="n">
        <v>11439</v>
      </c>
      <c r="E146" s="20" t="n">
        <v>13539</v>
      </c>
      <c r="F146" s="20" t="n">
        <v>-21794</v>
      </c>
      <c r="G146" s="20" t="n">
        <v>17280</v>
      </c>
      <c r="H146" s="20" t="n">
        <v>-12539</v>
      </c>
      <c r="I146" s="20" t="n">
        <v>-3163</v>
      </c>
      <c r="J146" s="20" t="n">
        <v>7017</v>
      </c>
      <c r="K146" s="20" t="n">
        <v>15268</v>
      </c>
      <c r="L146" s="20" t="n">
        <v>5928</v>
      </c>
      <c r="M146" s="20" t="n">
        <v>6121</v>
      </c>
      <c r="N146" s="20" t="n">
        <v>-7546</v>
      </c>
      <c r="T146" s="20" t="n">
        <v>9898</v>
      </c>
      <c r="U146" s="20" t="n">
        <v>1033</v>
      </c>
      <c r="V146" s="20" t="n">
        <v>11439</v>
      </c>
      <c r="W146" s="20" t="n">
        <v>-12539</v>
      </c>
      <c r="X146" s="20" t="n">
        <v>5928</v>
      </c>
    </row>
    <row r="147">
      <c r="A147" s="9" t="inlineStr">
        <is>
          <t>포괄이익</t>
        </is>
      </c>
      <c r="C147" s="12" t="n">
        <v>501</v>
      </c>
      <c r="D147" s="12" t="n">
        <v>17155</v>
      </c>
      <c r="E147" s="12" t="n">
        <v>22815</v>
      </c>
      <c r="F147" s="12" t="n">
        <v>-12829</v>
      </c>
      <c r="G147" s="12" t="n">
        <v>27334</v>
      </c>
      <c r="H147" s="12" t="n">
        <v>-4180</v>
      </c>
      <c r="I147" s="12" t="n">
        <v>4092</v>
      </c>
      <c r="J147" s="12" t="n">
        <v>13837</v>
      </c>
      <c r="K147" s="12" t="n">
        <v>24349</v>
      </c>
      <c r="L147" s="12" t="n">
        <v>23397</v>
      </c>
      <c r="M147" s="12" t="n">
        <v>17863</v>
      </c>
      <c r="N147" s="12" t="n">
        <v>5828</v>
      </c>
      <c r="T147" s="12" t="n">
        <v>17561</v>
      </c>
      <c r="U147" s="12" t="n">
        <v>6689</v>
      </c>
      <c r="V147" s="12" t="n">
        <v>17155</v>
      </c>
      <c r="W147" s="12" t="n">
        <v>-4180</v>
      </c>
      <c r="X147" s="12" t="n">
        <v>23397</v>
      </c>
    </row>
    <row r="148">
      <c r="A148" s="9" t="inlineStr">
        <is>
          <t>지배주주 포괄이익</t>
        </is>
      </c>
      <c r="C148" s="12" t="n">
        <v>466</v>
      </c>
      <c r="D148" s="12" t="n">
        <v>17162</v>
      </c>
      <c r="E148" s="12" t="n">
        <v>22806</v>
      </c>
      <c r="F148" s="12" t="n">
        <v>-12912</v>
      </c>
      <c r="G148" s="12" t="n">
        <v>27386</v>
      </c>
      <c r="H148" s="12" t="n">
        <v>-4287</v>
      </c>
      <c r="I148" s="12" t="n">
        <v>4012</v>
      </c>
      <c r="J148" s="12" t="n">
        <v>13837</v>
      </c>
      <c r="K148" s="12" t="n">
        <v>24292</v>
      </c>
      <c r="L148" s="12" t="n">
        <v>23390</v>
      </c>
      <c r="M148" s="12" t="n">
        <v>17803</v>
      </c>
      <c r="N148" s="12" t="n">
        <v>5786</v>
      </c>
      <c r="T148" s="12" t="n">
        <v>17548</v>
      </c>
      <c r="U148" s="12" t="n">
        <v>6674</v>
      </c>
      <c r="V148" s="12" t="n">
        <v>17162</v>
      </c>
      <c r="W148" s="12" t="n">
        <v>-4287</v>
      </c>
      <c r="X148" s="12" t="n">
        <v>23390</v>
      </c>
    </row>
    <row r="149">
      <c r="A149" s="9" t="inlineStr">
        <is>
          <t>비지배주주 포괄이익</t>
        </is>
      </c>
      <c r="C149" s="12" t="n">
        <v>35</v>
      </c>
      <c r="D149" s="12" t="n">
        <v>-8</v>
      </c>
      <c r="E149" s="12" t="n">
        <v>8</v>
      </c>
      <c r="F149" s="12" t="n">
        <v>84</v>
      </c>
      <c r="G149" s="12" t="n">
        <v>-53</v>
      </c>
      <c r="H149" s="12" t="n">
        <v>108</v>
      </c>
      <c r="I149" s="12" t="n">
        <v>79</v>
      </c>
      <c r="J149" s="12" t="n">
        <v>0</v>
      </c>
      <c r="K149" s="12" t="n">
        <v>57</v>
      </c>
      <c r="L149" s="12" t="n">
        <v>7</v>
      </c>
      <c r="M149" s="12" t="n">
        <v>59</v>
      </c>
      <c r="N149" s="12" t="n">
        <v>42</v>
      </c>
      <c r="T149" s="12" t="n">
        <v>13</v>
      </c>
      <c r="U149" s="12" t="n">
        <v>15</v>
      </c>
      <c r="V149" s="12" t="n">
        <v>-8</v>
      </c>
      <c r="W149" s="12" t="n">
        <v>108</v>
      </c>
      <c r="X149" s="12" t="n">
        <v>7</v>
      </c>
    </row>
    <row r="151">
      <c r="A151" s="16" t="inlineStr">
        <is>
          <t>부문 · 전 항목</t>
        </is>
      </c>
      <c r="B151" s="42" t="inlineStr">
        <is>
          <t>부문 · 항목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2024.3Q</t>
        </is>
      </c>
      <c r="D152" s="5" t="inlineStr">
        <is>
          <t>2024.4Q</t>
        </is>
      </c>
      <c r="E152" s="5" t="inlineStr">
        <is>
          <t>2025.1Q</t>
        </is>
      </c>
      <c r="F152" s="5" t="inlineStr">
        <is>
          <t>2025.2Q</t>
        </is>
      </c>
      <c r="G152" s="5" t="inlineStr">
        <is>
          <t>2025.3Q</t>
        </is>
      </c>
      <c r="H152" s="5" t="inlineStr">
        <is>
          <t>2025.4Q</t>
        </is>
      </c>
      <c r="I152" s="5" t="inlineStr">
        <is>
          <t>2026.1Q</t>
        </is>
      </c>
      <c r="J152" s="5" t="inlineStr">
        <is>
          <t>2026.2Q</t>
        </is>
      </c>
      <c r="K152" s="5" t="inlineStr">
        <is>
          <t>2026.3Q</t>
        </is>
      </c>
      <c r="L152" s="5" t="inlineStr">
        <is>
          <t>2026.4Q</t>
        </is>
      </c>
      <c r="M152" s="5" t="inlineStr">
        <is>
          <t>2027.1Q</t>
        </is>
      </c>
      <c r="N152" s="5" t="inlineStr">
        <is>
          <t>2027.2Q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18" t="inlineStr">
        <is>
          <t>FABusinessesReportableSegmentsMember · 외부 고객 매출</t>
        </is>
      </c>
      <c r="C153" s="20" t="n">
        <v>29828</v>
      </c>
      <c r="D153" s="20" t="n">
        <v>30496</v>
      </c>
      <c r="E153" s="20" t="n">
        <v>33559</v>
      </c>
      <c r="F153" s="20" t="n">
        <v>33295</v>
      </c>
      <c r="G153" s="20" t="n">
        <v>35304</v>
      </c>
      <c r="H153" s="20" t="n">
        <v>33645</v>
      </c>
      <c r="I153" s="20" t="n">
        <v>33569</v>
      </c>
      <c r="J153" s="20" t="n">
        <v>39174</v>
      </c>
      <c r="K153" s="20" t="n">
        <v>43176</v>
      </c>
      <c r="L153" s="20" t="n">
        <v>44579</v>
      </c>
      <c r="M153" s="20" t="n">
        <v>51555</v>
      </c>
      <c r="N153" s="20" t="n">
        <v>57691</v>
      </c>
      <c r="V153" s="20" t="n">
        <v>30496</v>
      </c>
      <c r="W153" s="20" t="n">
        <v>33645</v>
      </c>
      <c r="X153" s="20" t="n">
        <v>44579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MoldComponentReportableSegmentsMember · 외부 고객 매출</t>
        </is>
      </c>
      <c r="D155" s="20" t="n">
        <v>20584</v>
      </c>
      <c r="E155" s="20" t="n">
        <v>21887</v>
      </c>
      <c r="H155" s="20" t="n">
        <v>21730</v>
      </c>
      <c r="I155" s="20" t="n">
        <v>21060</v>
      </c>
      <c r="L155" s="20" t="n">
        <v>23165</v>
      </c>
      <c r="M155" s="20" t="n">
        <v>24205</v>
      </c>
      <c r="V155" s="20" t="n">
        <v>20584</v>
      </c>
      <c r="W155" s="20" t="n">
        <v>21730</v>
      </c>
      <c r="X155" s="20" t="n">
        <v>23165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VONABusinessesReportableSegmentsMember · 외부 고객 매출</t>
        </is>
      </c>
      <c r="C157" s="20" t="n">
        <v>42883</v>
      </c>
      <c r="D157" s="20" t="n">
        <v>43746</v>
      </c>
      <c r="E157" s="20" t="n">
        <v>44080</v>
      </c>
      <c r="F157" s="20" t="n">
        <v>44267</v>
      </c>
      <c r="G157" s="20" t="n">
        <v>46358</v>
      </c>
      <c r="H157" s="20" t="n">
        <v>45027</v>
      </c>
      <c r="I157" s="20" t="n">
        <v>44738</v>
      </c>
      <c r="J157" s="20" t="n">
        <v>45760</v>
      </c>
      <c r="K157" s="20" t="n">
        <v>49040</v>
      </c>
      <c r="L157" s="20" t="n">
        <v>52978</v>
      </c>
      <c r="M157" s="20" t="n">
        <v>55679</v>
      </c>
      <c r="N157" s="20" t="n">
        <v>60182</v>
      </c>
      <c r="V157" s="20" t="n">
        <v>43746</v>
      </c>
      <c r="W157" s="20" t="n">
        <v>45027</v>
      </c>
      <c r="X157" s="20" t="n">
        <v>52978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합계 · 외부 고객 매출</t>
        </is>
      </c>
      <c r="C159" s="20" t="n">
        <v>92729</v>
      </c>
      <c r="D159" s="20" t="n">
        <v>94826</v>
      </c>
      <c r="E159" s="20" t="n">
        <v>99527</v>
      </c>
      <c r="F159" s="20" t="n">
        <v>98495</v>
      </c>
      <c r="G159" s="20" t="n">
        <v>103563</v>
      </c>
      <c r="H159" s="20" t="n">
        <v>100402</v>
      </c>
      <c r="I159" s="20" t="n">
        <v>99368</v>
      </c>
      <c r="J159" s="20" t="n">
        <v>106446</v>
      </c>
      <c r="K159" s="20" t="n">
        <v>114847</v>
      </c>
      <c r="L159" s="20" t="n">
        <v>120722</v>
      </c>
      <c r="M159" s="20" t="n">
        <v>131440</v>
      </c>
      <c r="N159" s="20" t="n">
        <v>142166</v>
      </c>
      <c r="V159" s="20" t="n">
        <v>94826</v>
      </c>
      <c r="W159" s="20" t="n">
        <v>100402</v>
      </c>
      <c r="X159" s="20" t="n">
        <v>120722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조정액 · 외부 고객 매출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EntityTotalMember · 외부 고객 매출</t>
        </is>
      </c>
      <c r="E162" s="20" t="n">
        <v>99527</v>
      </c>
      <c r="I162" s="20" t="n">
        <v>99368</v>
      </c>
      <c r="M162" s="20" t="n">
        <v>131440</v>
      </c>
    </row>
    <row r="163">
      <c r="A163" s="9" t="inlineStr">
        <is>
          <t>외부 고객 매출</t>
        </is>
      </c>
      <c r="C163" s="12" t="n">
        <v>92729</v>
      </c>
      <c r="D163" s="12" t="n">
        <v>94826</v>
      </c>
      <c r="E163" s="12" t="n">
        <v>99527</v>
      </c>
      <c r="F163" s="12" t="n">
        <v>98495</v>
      </c>
      <c r="G163" s="12" t="n">
        <v>103563</v>
      </c>
      <c r="H163" s="12" t="n">
        <v>100402</v>
      </c>
      <c r="V163" s="12" t="n">
        <v>94826</v>
      </c>
      <c r="W163" s="12" t="n">
        <v>100402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</row>
    <row r="165">
      <c r="A165" s="18" t="inlineStr">
        <is>
          <t>FABusinessesReportableSegmentsMember · Transactions With Other Segments</t>
        </is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0" t="n">
        <v>0</v>
      </c>
      <c r="L165" s="20" t="n">
        <v>0</v>
      </c>
      <c r="M165" s="20" t="n">
        <v>0</v>
      </c>
      <c r="N165" s="20" t="n">
        <v>0</v>
      </c>
      <c r="V165" s="20" t="n">
        <v>0</v>
      </c>
      <c r="W165" s="20" t="n">
        <v>0</v>
      </c>
      <c r="X165" s="20" t="n">
        <v>0</v>
      </c>
    </row>
    <row r="166">
      <c r="A166" s="18" t="inlineStr">
        <is>
          <t>MoldComponentReportableSegmentsMember · Transactions With Other Segments</t>
        </is>
      </c>
      <c r="D166" s="20" t="n">
        <v>0</v>
      </c>
      <c r="E166" s="20" t="n">
        <v>0</v>
      </c>
      <c r="H166" s="20" t="n">
        <v>0</v>
      </c>
      <c r="I166" s="20" t="n">
        <v>0</v>
      </c>
      <c r="L166" s="20" t="n">
        <v>0</v>
      </c>
      <c r="M166" s="20" t="n">
        <v>0</v>
      </c>
      <c r="V166" s="20" t="n">
        <v>0</v>
      </c>
      <c r="W166" s="20" t="n">
        <v>0</v>
      </c>
      <c r="X166" s="20" t="n">
        <v>0</v>
      </c>
    </row>
    <row r="167">
      <c r="A167" s="18" t="inlineStr">
        <is>
          <t>VONABusinessesReportableSegmentsMember · Transactions With Other Segments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18" t="inlineStr">
        <is>
          <t>합계 · Transactions With Other Segments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V168" s="20" t="n">
        <v>0</v>
      </c>
      <c r="W168" s="20" t="n">
        <v>0</v>
      </c>
      <c r="X168" s="20" t="n">
        <v>0</v>
      </c>
    </row>
    <row r="169">
      <c r="A169" s="18" t="inlineStr">
        <is>
          <t>조정액 · Transactions With Other Segments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V169" s="20" t="n">
        <v>0</v>
      </c>
      <c r="W169" s="20" t="n">
        <v>0</v>
      </c>
      <c r="X169" s="20" t="n">
        <v>0</v>
      </c>
    </row>
    <row r="170">
      <c r="A170" s="18" t="inlineStr">
        <is>
          <t>EntityTotalMember · Transactions With Other Segments</t>
        </is>
      </c>
      <c r="E170" s="20" t="n">
        <v>0</v>
      </c>
      <c r="I170" s="20" t="n">
        <v>0</v>
      </c>
      <c r="M170" s="20" t="n">
        <v>0</v>
      </c>
    </row>
    <row r="171">
      <c r="A171" s="18" t="inlineStr">
        <is>
          <t>Transactions With Other Segments</t>
        </is>
      </c>
      <c r="C171" s="20" t="n">
        <v>0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V171" s="20" t="n">
        <v>0</v>
      </c>
      <c r="W171" s="20" t="n">
        <v>0</v>
      </c>
    </row>
    <row r="172">
      <c r="A172" s="18" t="inlineStr">
        <is>
          <t>FABusinessesReportableSegmentsMember · 계</t>
        </is>
      </c>
      <c r="C172" s="20" t="n">
        <v>29828</v>
      </c>
      <c r="D172" s="20" t="n">
        <v>30496</v>
      </c>
      <c r="E172" s="20" t="n">
        <v>33559</v>
      </c>
      <c r="F172" s="20" t="n">
        <v>33295</v>
      </c>
      <c r="G172" s="20" t="n">
        <v>35304</v>
      </c>
      <c r="H172" s="20" t="n">
        <v>33645</v>
      </c>
      <c r="I172" s="20" t="n">
        <v>33569</v>
      </c>
      <c r="J172" s="20" t="n">
        <v>39174</v>
      </c>
      <c r="K172" s="20" t="n">
        <v>43176</v>
      </c>
      <c r="L172" s="20" t="n">
        <v>44579</v>
      </c>
      <c r="M172" s="20" t="n">
        <v>51555</v>
      </c>
      <c r="N172" s="20" t="n">
        <v>57691</v>
      </c>
      <c r="V172" s="20" t="n">
        <v>30496</v>
      </c>
      <c r="W172" s="20" t="n">
        <v>33645</v>
      </c>
      <c r="X172" s="20" t="n">
        <v>44579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MoldComponentReportableSegmentsMember · 계</t>
        </is>
      </c>
      <c r="D174" s="20" t="n">
        <v>20584</v>
      </c>
      <c r="E174" s="20" t="n">
        <v>21887</v>
      </c>
      <c r="H174" s="20" t="n">
        <v>21730</v>
      </c>
      <c r="I174" s="20" t="n">
        <v>21060</v>
      </c>
      <c r="L174" s="20" t="n">
        <v>23165</v>
      </c>
      <c r="M174" s="20" t="n">
        <v>24205</v>
      </c>
      <c r="V174" s="20" t="n">
        <v>20584</v>
      </c>
      <c r="W174" s="20" t="n">
        <v>21730</v>
      </c>
      <c r="X174" s="20" t="n">
        <v>23165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VONABusinessesReportableSegmentsMember · 계</t>
        </is>
      </c>
      <c r="C176" s="20" t="n">
        <v>42883</v>
      </c>
      <c r="D176" s="20" t="n">
        <v>43746</v>
      </c>
      <c r="E176" s="20" t="n">
        <v>44080</v>
      </c>
      <c r="F176" s="20" t="n">
        <v>44267</v>
      </c>
      <c r="G176" s="20" t="n">
        <v>46358</v>
      </c>
      <c r="H176" s="20" t="n">
        <v>45027</v>
      </c>
      <c r="I176" s="20" t="n">
        <v>44738</v>
      </c>
      <c r="J176" s="20" t="n">
        <v>45760</v>
      </c>
      <c r="K176" s="20" t="n">
        <v>49040</v>
      </c>
      <c r="L176" s="20" t="n">
        <v>52978</v>
      </c>
      <c r="M176" s="20" t="n">
        <v>55679</v>
      </c>
      <c r="N176" s="20" t="n">
        <v>60182</v>
      </c>
      <c r="V176" s="20" t="n">
        <v>43746</v>
      </c>
      <c r="W176" s="20" t="n">
        <v>45027</v>
      </c>
      <c r="X176" s="20" t="n">
        <v>52978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합계 · 계</t>
        </is>
      </c>
      <c r="C178" s="20" t="n">
        <v>92729</v>
      </c>
      <c r="D178" s="20" t="n">
        <v>94826</v>
      </c>
      <c r="E178" s="20" t="n">
        <v>99527</v>
      </c>
      <c r="F178" s="20" t="n">
        <v>98495</v>
      </c>
      <c r="G178" s="20" t="n">
        <v>103563</v>
      </c>
      <c r="H178" s="20" t="n">
        <v>100402</v>
      </c>
      <c r="I178" s="20" t="n">
        <v>99368</v>
      </c>
      <c r="J178" s="20" t="n">
        <v>106446</v>
      </c>
      <c r="K178" s="20" t="n">
        <v>114847</v>
      </c>
      <c r="L178" s="20" t="n">
        <v>120722</v>
      </c>
      <c r="M178" s="20" t="n">
        <v>131440</v>
      </c>
      <c r="N178" s="20" t="n">
        <v>142166</v>
      </c>
      <c r="V178" s="20" t="n">
        <v>94826</v>
      </c>
      <c r="W178" s="20" t="n">
        <v>100402</v>
      </c>
      <c r="X178" s="20" t="n">
        <v>120722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조정액 · 계</t>
        </is>
      </c>
      <c r="C180" s="20" t="n">
        <v>0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0</v>
      </c>
      <c r="K180" s="20" t="n">
        <v>0</v>
      </c>
      <c r="L180" s="20" t="n">
        <v>0</v>
      </c>
      <c r="M180" s="20" t="n">
        <v>0</v>
      </c>
      <c r="N180" s="20" t="n">
        <v>0</v>
      </c>
      <c r="V180" s="20" t="n">
        <v>0</v>
      </c>
      <c r="W180" s="20" t="n">
        <v>0</v>
      </c>
      <c r="X180" s="20" t="n">
        <v>0</v>
      </c>
    </row>
    <row r="181">
      <c r="A181" s="18" t="inlineStr">
        <is>
          <t>EntityTotalMember · 계</t>
        </is>
      </c>
      <c r="E181" s="20" t="n">
        <v>99527</v>
      </c>
      <c r="I181" s="20" t="n">
        <v>99368</v>
      </c>
      <c r="M181" s="20" t="n">
        <v>131440</v>
      </c>
    </row>
    <row r="182">
      <c r="A182" s="9" t="inlineStr">
        <is>
          <t>계</t>
        </is>
      </c>
      <c r="C182" s="12" t="n">
        <v>92729</v>
      </c>
      <c r="D182" s="12" t="n">
        <v>94826</v>
      </c>
      <c r="E182" s="12" t="n">
        <v>99527</v>
      </c>
      <c r="F182" s="12" t="n">
        <v>98495</v>
      </c>
      <c r="G182" s="12" t="n">
        <v>103563</v>
      </c>
      <c r="H182" s="12" t="n">
        <v>100402</v>
      </c>
      <c r="V182" s="12" t="n">
        <v>94826</v>
      </c>
      <c r="W182" s="12" t="n">
        <v>100402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</row>
    <row r="184">
      <c r="A184" s="18" t="inlineStr">
        <is>
          <t>FABusinessesReportableSegmentsMember · Operating Income</t>
        </is>
      </c>
      <c r="C184" s="20" t="n">
        <v>4064</v>
      </c>
      <c r="D184" s="20" t="n">
        <v>3716</v>
      </c>
      <c r="E184" s="20" t="n">
        <v>6210</v>
      </c>
      <c r="F184" s="20" t="n">
        <v>5355</v>
      </c>
      <c r="G184" s="20" t="n">
        <v>5952</v>
      </c>
      <c r="H184" s="20" t="n">
        <v>4993</v>
      </c>
      <c r="I184" s="20" t="n">
        <v>3922</v>
      </c>
      <c r="J184" s="20" t="n">
        <v>4153</v>
      </c>
      <c r="K184" s="20" t="n">
        <v>5970</v>
      </c>
      <c r="L184" s="20" t="n">
        <v>6238</v>
      </c>
      <c r="M184" s="20" t="n">
        <v>8130</v>
      </c>
      <c r="N184" s="20" t="n">
        <v>10884</v>
      </c>
      <c r="V184" s="20" t="n">
        <v>3716</v>
      </c>
      <c r="W184" s="20" t="n">
        <v>4993</v>
      </c>
      <c r="X184" s="20" t="n">
        <v>6238</v>
      </c>
    </row>
    <row r="185">
      <c r="A185" s="43" t="inlineStr">
        <is>
          <t>OPM</t>
        </is>
      </c>
      <c r="B185" s="3" t="inlineStr">
        <is>
          <t>영업이익 ÷ 매출</t>
        </is>
      </c>
      <c r="C185" s="15">
        <f>IF(OR(C184="",C172=""),"",IF(C172&lt;=0,"",IFERROR(C184/C172,"")))</f>
        <v/>
      </c>
      <c r="D185" s="15">
        <f>IF(OR(D184="",D172=""),"",IF(D172&lt;=0,"",IFERROR(D184/D172,"")))</f>
        <v/>
      </c>
      <c r="E185" s="15">
        <f>IF(OR(E184="",E172=""),"",IF(E172&lt;=0,"",IFERROR(E184/E172,"")))</f>
        <v/>
      </c>
      <c r="F185" s="15">
        <f>IF(OR(F184="",F172=""),"",IF(F172&lt;=0,"",IFERROR(F184/F172,"")))</f>
        <v/>
      </c>
      <c r="G185" s="15">
        <f>IF(OR(G184="",G172=""),"",IF(G172&lt;=0,"",IFERROR(G184/G172,"")))</f>
        <v/>
      </c>
      <c r="H185" s="15">
        <f>IF(OR(H184="",H172=""),"",IF(H172&lt;=0,"",IFERROR(H184/H172,"")))</f>
        <v/>
      </c>
      <c r="I185" s="15">
        <f>IF(OR(I184="",I172=""),"",IF(I172&lt;=0,"",IFERROR(I184/I172,"")))</f>
        <v/>
      </c>
      <c r="J185" s="15">
        <f>IF(OR(J184="",J172=""),"",IF(J172&lt;=0,"",IFERROR(J184/J172,"")))</f>
        <v/>
      </c>
      <c r="K185" s="15">
        <f>IF(OR(K184="",K172=""),"",IF(K172&lt;=0,"",IFERROR(K184/K172,"")))</f>
        <v/>
      </c>
      <c r="L185" s="15">
        <f>IF(OR(L184="",L172=""),"",IF(L172&lt;=0,"",IFERROR(L184/L172,"")))</f>
        <v/>
      </c>
      <c r="M185" s="15">
        <f>IF(OR(M184="",M172=""),"",IF(M172&lt;=0,"",IFERROR(M184/M172,"")))</f>
        <v/>
      </c>
      <c r="N185" s="15">
        <f>IF(OR(N184="",N172=""),"",IF(N172&lt;=0,"",IFERROR(N184/N172,"")))</f>
        <v/>
      </c>
      <c r="V185" s="15">
        <f>IF(OR(V184="",V172=""),"",IF(V172&lt;=0,"",IFERROR(V184/V172,"")))</f>
        <v/>
      </c>
      <c r="W185" s="15">
        <f>IF(OR(W184="",W172=""),"",IF(W172&lt;=0,"",IFERROR(W184/W172,"")))</f>
        <v/>
      </c>
      <c r="X185" s="15">
        <f>IF(OR(X184="",X172=""),"",IF(X172&lt;=0,"",IFERROR(X184/X172,"")))</f>
        <v/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IF(OR(G184="",C184=""),"",IF(C184&lt;=0,"",IFERROR(G184/C184-1,"")))</f>
        <v/>
      </c>
      <c r="H186" s="15">
        <f>IF(OR(H184="",D184=""),"",IF(D184&lt;=0,"",IFERROR(H184/D184-1,"")))</f>
        <v/>
      </c>
      <c r="I186" s="15">
        <f>IF(OR(I184="",E184=""),"",IF(E184&lt;=0,"",IFERROR(I184/E184-1,"")))</f>
        <v/>
      </c>
      <c r="J186" s="15">
        <f>IF(OR(J184="",F184=""),"",IF(F184&lt;=0,"",IFERROR(J184/F184-1,"")))</f>
        <v/>
      </c>
      <c r="K186" s="15">
        <f>IF(OR(K184="",G184=""),"",IF(G184&lt;=0,"",IFERROR(K184/G184-1,"")))</f>
        <v/>
      </c>
      <c r="L186" s="15">
        <f>IF(OR(L184="",H184=""),"",IF(H184&lt;=0,"",IFERROR(L184/H184-1,"")))</f>
        <v/>
      </c>
      <c r="M186" s="15">
        <f>IF(OR(M184="",I184=""),"",IF(I184&lt;=0,"",IFERROR(M184/I184-1,"")))</f>
        <v/>
      </c>
      <c r="N186" s="15">
        <f>IF(OR(N184="",J184=""),"",IF(J184&lt;=0,"",IFERROR(N184/J184-1,"")))</f>
        <v/>
      </c>
      <c r="V186" s="15">
        <f>IF(OR(V184="",U184=""),"",IF(U184&lt;=0,"",IFERROR(V184/U184-1,"")))</f>
        <v/>
      </c>
      <c r="W186" s="15">
        <f>IF(OR(W184="",V184=""),"",IF(V184&lt;=0,"",IFERROR(W184/V184-1,"")))</f>
        <v/>
      </c>
      <c r="X186" s="15">
        <f>IF(OR(X184="",W184=""),"",IF(W184&lt;=0,"",IFERROR(X184/W184-1,"")))</f>
        <v/>
      </c>
    </row>
    <row r="187">
      <c r="A187" s="18" t="inlineStr">
        <is>
          <t>MoldComponentReportableSegmentsMember · 부문 이익</t>
        </is>
      </c>
      <c r="D187" s="20" t="n">
        <v>2347</v>
      </c>
      <c r="E187" s="20" t="n">
        <v>2441</v>
      </c>
      <c r="H187" s="20" t="n">
        <v>2489</v>
      </c>
      <c r="I187" s="20" t="n">
        <v>2116</v>
      </c>
      <c r="L187" s="20" t="n">
        <v>2409</v>
      </c>
      <c r="M187" s="20" t="n">
        <v>2931</v>
      </c>
      <c r="V187" s="20" t="n">
        <v>2347</v>
      </c>
      <c r="W187" s="20" t="n">
        <v>2489</v>
      </c>
      <c r="X187" s="20" t="n">
        <v>2409</v>
      </c>
    </row>
    <row r="188">
      <c r="A188" s="43" t="inlineStr">
        <is>
          <t>OPM</t>
        </is>
      </c>
      <c r="B188" s="3" t="inlineStr">
        <is>
          <t>영업이익 ÷ 매출</t>
        </is>
      </c>
      <c r="D188" s="15">
        <f>IF(OR(D187="",D174=""),"",IF(D174&lt;=0,"",IFERROR(D187/D174,"")))</f>
        <v/>
      </c>
      <c r="E188" s="15">
        <f>IF(OR(E187="",E174=""),"",IF(E174&lt;=0,"",IFERROR(E187/E174,"")))</f>
        <v/>
      </c>
      <c r="H188" s="15">
        <f>IF(OR(H187="",H174=""),"",IF(H174&lt;=0,"",IFERROR(H187/H174,"")))</f>
        <v/>
      </c>
      <c r="I188" s="15">
        <f>IF(OR(I187="",I174=""),"",IF(I174&lt;=0,"",IFERROR(I187/I174,"")))</f>
        <v/>
      </c>
      <c r="L188" s="15">
        <f>IF(OR(L187="",L174=""),"",IF(L174&lt;=0,"",IFERROR(L187/L174,"")))</f>
        <v/>
      </c>
      <c r="M188" s="15">
        <f>IF(OR(M187="",M174=""),"",IF(M174&lt;=0,"",IFERROR(M187/M174,"")))</f>
        <v/>
      </c>
      <c r="V188" s="15">
        <f>IF(OR(V187="",V174=""),"",IF(V174&lt;=0,"",IFERROR(V187/V174,"")))</f>
        <v/>
      </c>
      <c r="W188" s="15">
        <f>IF(OR(W187="",W174=""),"",IF(W174&lt;=0,"",IFERROR(W187/W174,"")))</f>
        <v/>
      </c>
      <c r="X188" s="15">
        <f>IF(OR(X187="",X174=""),"",IF(X174&lt;=0,"",IFERROR(X187/X174,"")))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H189" s="15">
        <f>IF(OR(H187="",D187=""),"",IF(D187&lt;=0,"",IFERROR(H187/D187-1,"")))</f>
        <v/>
      </c>
      <c r="I189" s="15">
        <f>IF(OR(I187="",E187=""),"",IF(E187&lt;=0,"",IFERROR(I187/E187-1,"")))</f>
        <v/>
      </c>
      <c r="L189" s="15">
        <f>IF(OR(L187="",H187=""),"",IF(H187&lt;=0,"",IFERROR(L187/H187-1,"")))</f>
        <v/>
      </c>
      <c r="M189" s="15">
        <f>IF(OR(M187="",I187=""),"",IF(I187&lt;=0,"",IFERROR(M187/I187-1,"")))</f>
        <v/>
      </c>
      <c r="V189" s="15">
        <f>IF(OR(V187="",U187=""),"",IF(U187&lt;=0,"",IFERROR(V187/U187-1,"")))</f>
        <v/>
      </c>
      <c r="W189" s="15">
        <f>IF(OR(W187="",V187=""),"",IF(V187&lt;=0,"",IFERROR(W187/V187-1,"")))</f>
        <v/>
      </c>
      <c r="X189" s="15">
        <f>IF(OR(X187="",W187=""),"",IF(W187&lt;=0,"",IFERROR(X187/W187-1,"")))</f>
        <v/>
      </c>
    </row>
    <row r="190">
      <c r="A190" s="18" t="inlineStr">
        <is>
          <t>VONABusinessesReportableSegmentsMember · Operating Income</t>
        </is>
      </c>
      <c r="C190" s="20" t="n">
        <v>3833</v>
      </c>
      <c r="D190" s="20" t="n">
        <v>3399</v>
      </c>
      <c r="E190" s="20" t="n">
        <v>3176</v>
      </c>
      <c r="F190" s="20" t="n">
        <v>4075</v>
      </c>
      <c r="G190" s="20" t="n">
        <v>4365</v>
      </c>
      <c r="H190" s="20" t="n">
        <v>2850</v>
      </c>
      <c r="I190" s="20" t="n">
        <v>3588</v>
      </c>
      <c r="J190" s="20" t="n">
        <v>3719</v>
      </c>
      <c r="K190" s="20" t="n">
        <v>4626</v>
      </c>
      <c r="L190" s="20" t="n">
        <v>6702</v>
      </c>
      <c r="M190" s="20" t="n">
        <v>6776</v>
      </c>
      <c r="N190" s="20" t="n">
        <v>5732</v>
      </c>
      <c r="V190" s="20" t="n">
        <v>3399</v>
      </c>
      <c r="W190" s="20" t="n">
        <v>2850</v>
      </c>
      <c r="X190" s="20" t="n">
        <v>6702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IF(OR(C190="",C176=""),"",IF(C176&lt;=0,"",IFERROR(C190/C176,"")))</f>
        <v/>
      </c>
      <c r="D191" s="15">
        <f>IF(OR(D190="",D176=""),"",IF(D176&lt;=0,"",IFERROR(D190/D176,"")))</f>
        <v/>
      </c>
      <c r="E191" s="15">
        <f>IF(OR(E190="",E176=""),"",IF(E176&lt;=0,"",IFERROR(E190/E176,"")))</f>
        <v/>
      </c>
      <c r="F191" s="15">
        <f>IF(OR(F190="",F176=""),"",IF(F176&lt;=0,"",IFERROR(F190/F176,"")))</f>
        <v/>
      </c>
      <c r="G191" s="15">
        <f>IF(OR(G190="",G176=""),"",IF(G176&lt;=0,"",IFERROR(G190/G176,"")))</f>
        <v/>
      </c>
      <c r="H191" s="15">
        <f>IF(OR(H190="",H176=""),"",IF(H176&lt;=0,"",IFERROR(H190/H176,"")))</f>
        <v/>
      </c>
      <c r="I191" s="15">
        <f>IF(OR(I190="",I176=""),"",IF(I176&lt;=0,"",IFERROR(I190/I176,"")))</f>
        <v/>
      </c>
      <c r="J191" s="15">
        <f>IF(OR(J190="",J176=""),"",IF(J176&lt;=0,"",IFERROR(J190/J176,"")))</f>
        <v/>
      </c>
      <c r="K191" s="15">
        <f>IF(OR(K190="",K176=""),"",IF(K176&lt;=0,"",IFERROR(K190/K176,"")))</f>
        <v/>
      </c>
      <c r="L191" s="15">
        <f>IF(OR(L190="",L176=""),"",IF(L176&lt;=0,"",IFERROR(L190/L176,"")))</f>
        <v/>
      </c>
      <c r="M191" s="15">
        <f>IF(OR(M190="",M176=""),"",IF(M176&lt;=0,"",IFERROR(M190/M176,"")))</f>
        <v/>
      </c>
      <c r="N191" s="15">
        <f>IF(OR(N190="",N176=""),"",IF(N176&lt;=0,"",IFERROR(N190/N176,"")))</f>
        <v/>
      </c>
      <c r="V191" s="15">
        <f>IF(OR(V190="",V176=""),"",IF(V176&lt;=0,"",IFERROR(V190/V176,"")))</f>
        <v/>
      </c>
      <c r="W191" s="15">
        <f>IF(OR(W190="",W176=""),"",IF(W176&lt;=0,"",IFERROR(W190/W176,"")))</f>
        <v/>
      </c>
      <c r="X191" s="15">
        <f>IF(OR(X190="",X176=""),"",IF(X176&lt;=0,"",IFERROR(X190/X176,"")))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합계 · Operating Income</t>
        </is>
      </c>
      <c r="C193" s="20" t="n">
        <v>10388</v>
      </c>
      <c r="D193" s="20" t="n">
        <v>9462</v>
      </c>
      <c r="E193" s="20" t="n">
        <v>11828</v>
      </c>
      <c r="F193" s="20" t="n">
        <v>11562</v>
      </c>
      <c r="G193" s="20" t="n">
        <v>12760</v>
      </c>
      <c r="H193" s="20" t="n">
        <v>10330</v>
      </c>
      <c r="I193" s="20" t="n">
        <v>9627</v>
      </c>
      <c r="J193" s="20" t="n">
        <v>9932</v>
      </c>
      <c r="K193" s="20" t="n">
        <v>12705</v>
      </c>
      <c r="L193" s="20" t="n">
        <v>15349</v>
      </c>
      <c r="M193" s="20" t="n">
        <v>17837</v>
      </c>
      <c r="N193" s="20" t="n">
        <v>19295</v>
      </c>
      <c r="V193" s="20" t="n">
        <v>9462</v>
      </c>
      <c r="W193" s="20" t="n">
        <v>10330</v>
      </c>
      <c r="X193" s="20" t="n">
        <v>15349</v>
      </c>
    </row>
    <row r="194">
      <c r="A194" s="43" t="inlineStr">
        <is>
          <t>OPM</t>
        </is>
      </c>
      <c r="B194" s="3" t="inlineStr">
        <is>
          <t>영업이익 ÷ 매출</t>
        </is>
      </c>
      <c r="C194" s="15">
        <f>IF(OR(C193="",C178=""),"",IF(C178&lt;=0,"",IFERROR(C193/C178,"")))</f>
        <v/>
      </c>
      <c r="D194" s="15">
        <f>IF(OR(D193="",D178=""),"",IF(D178&lt;=0,"",IFERROR(D193/D178,"")))</f>
        <v/>
      </c>
      <c r="E194" s="15">
        <f>IF(OR(E193="",E178=""),"",IF(E178&lt;=0,"",IFERROR(E193/E178,"")))</f>
        <v/>
      </c>
      <c r="F194" s="15">
        <f>IF(OR(F193="",F178=""),"",IF(F178&lt;=0,"",IFERROR(F193/F178,"")))</f>
        <v/>
      </c>
      <c r="G194" s="15">
        <f>IF(OR(G193="",G178=""),"",IF(G178&lt;=0,"",IFERROR(G193/G178,"")))</f>
        <v/>
      </c>
      <c r="H194" s="15">
        <f>IF(OR(H193="",H178=""),"",IF(H178&lt;=0,"",IFERROR(H193/H178,"")))</f>
        <v/>
      </c>
      <c r="I194" s="15">
        <f>IF(OR(I193="",I178=""),"",IF(I178&lt;=0,"",IFERROR(I193/I178,"")))</f>
        <v/>
      </c>
      <c r="J194" s="15">
        <f>IF(OR(J193="",J178=""),"",IF(J178&lt;=0,"",IFERROR(J193/J178,"")))</f>
        <v/>
      </c>
      <c r="K194" s="15">
        <f>IF(OR(K193="",K178=""),"",IF(K178&lt;=0,"",IFERROR(K193/K178,"")))</f>
        <v/>
      </c>
      <c r="L194" s="15">
        <f>IF(OR(L193="",L178=""),"",IF(L178&lt;=0,"",IFERROR(L193/L178,"")))</f>
        <v/>
      </c>
      <c r="M194" s="15">
        <f>IF(OR(M193="",M178=""),"",IF(M178&lt;=0,"",IFERROR(M193/M178,"")))</f>
        <v/>
      </c>
      <c r="N194" s="15">
        <f>IF(OR(N193="",N178=""),"",IF(N178&lt;=0,"",IFERROR(N193/N178,"")))</f>
        <v/>
      </c>
      <c r="V194" s="15">
        <f>IF(OR(V193="",V178=""),"",IF(V178&lt;=0,"",IFERROR(V193/V178,"")))</f>
        <v/>
      </c>
      <c r="W194" s="15">
        <f>IF(OR(W193="",W178=""),"",IF(W178&lt;=0,"",IFERROR(W193/W178,"")))</f>
        <v/>
      </c>
      <c r="X194" s="15">
        <f>IF(OR(X193="",X178=""),"",IF(X178&lt;=0,"",IFERROR(X193/X178,"")))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IF(OR(G193="",C193=""),"",IF(C193&lt;=0,"",IFERROR(G193/C193-1,"")))</f>
        <v/>
      </c>
      <c r="H195" s="15">
        <f>IF(OR(H193="",D193=""),"",IF(D193&lt;=0,"",IFERROR(H193/D193-1,"")))</f>
        <v/>
      </c>
      <c r="I195" s="15">
        <f>IF(OR(I193="",E193=""),"",IF(E193&lt;=0,"",IFERROR(I193/E193-1,"")))</f>
        <v/>
      </c>
      <c r="J195" s="15">
        <f>IF(OR(J193="",F193=""),"",IF(F193&lt;=0,"",IFERROR(J193/F193-1,"")))</f>
        <v/>
      </c>
      <c r="K195" s="15">
        <f>IF(OR(K193="",G193=""),"",IF(G193&lt;=0,"",IFERROR(K193/G193-1,"")))</f>
        <v/>
      </c>
      <c r="L195" s="15">
        <f>IF(OR(L193="",H193=""),"",IF(H193&lt;=0,"",IFERROR(L193/H193-1,"")))</f>
        <v/>
      </c>
      <c r="M195" s="15">
        <f>IF(OR(M193="",I193=""),"",IF(I193&lt;=0,"",IFERROR(M193/I193-1,"")))</f>
        <v/>
      </c>
      <c r="N195" s="15">
        <f>IF(OR(N193="",J193=""),"",IF(J193&lt;=0,"",IFERROR(N193/J193-1,"")))</f>
        <v/>
      </c>
      <c r="V195" s="15">
        <f>IF(OR(V193="",U193=""),"",IF(U193&lt;=0,"",IFERROR(V193/U193-1,"")))</f>
        <v/>
      </c>
      <c r="W195" s="15">
        <f>IF(OR(W193="",V193=""),"",IF(V193&lt;=0,"",IFERROR(W193/V193-1,"")))</f>
        <v/>
      </c>
      <c r="X195" s="15">
        <f>IF(OR(X193="",W193=""),"",IF(W193&lt;=0,"",IFERROR(X193/W193-1,"")))</f>
        <v/>
      </c>
    </row>
    <row r="196">
      <c r="A196" s="18" t="inlineStr">
        <is>
          <t>조정액 · Operating Income</t>
        </is>
      </c>
      <c r="C196" s="20" t="n">
        <v>0</v>
      </c>
      <c r="D196" s="20" t="n">
        <v>0</v>
      </c>
      <c r="E196" s="20" t="n">
        <v>0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0</v>
      </c>
      <c r="K196" s="20" t="n">
        <v>0</v>
      </c>
      <c r="L196" s="20" t="n">
        <v>0</v>
      </c>
      <c r="M196" s="20" t="n">
        <v>0</v>
      </c>
      <c r="N196" s="20" t="n">
        <v>0</v>
      </c>
      <c r="V196" s="20" t="n">
        <v>0</v>
      </c>
      <c r="W196" s="20" t="n">
        <v>0</v>
      </c>
      <c r="X196" s="20" t="n">
        <v>0</v>
      </c>
    </row>
    <row r="197">
      <c r="A197" s="18" t="inlineStr">
        <is>
          <t>EntityTotalMember · 부문 이익</t>
        </is>
      </c>
      <c r="E197" s="20" t="n">
        <v>11828</v>
      </c>
      <c r="I197" s="20" t="n">
        <v>9627</v>
      </c>
      <c r="M197" s="20" t="n">
        <v>17837</v>
      </c>
    </row>
    <row r="198">
      <c r="A198" s="9" t="inlineStr">
        <is>
          <t>Operating Income</t>
        </is>
      </c>
      <c r="C198" s="12" t="n">
        <v>10388</v>
      </c>
      <c r="D198" s="12" t="n">
        <v>9462</v>
      </c>
      <c r="E198" s="12" t="n">
        <v>11828</v>
      </c>
      <c r="F198" s="12" t="n">
        <v>11562</v>
      </c>
      <c r="G198" s="12" t="n">
        <v>12760</v>
      </c>
      <c r="H198" s="12" t="n">
        <v>10330</v>
      </c>
      <c r="V198" s="12" t="n">
        <v>9462</v>
      </c>
      <c r="W198" s="12" t="n">
        <v>10330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IF(OR(C198="",C163=""),"",IF(C163&lt;=0,"",IFERROR(C198/C163,"")))</f>
        <v/>
      </c>
      <c r="D199" s="15">
        <f>IF(OR(D198="",D163=""),"",IF(D163&lt;=0,"",IFERROR(D198/D163,"")))</f>
        <v/>
      </c>
      <c r="E199" s="15">
        <f>IF(OR(E198="",E163=""),"",IF(E163&lt;=0,"",IFERROR(E198/E163,"")))</f>
        <v/>
      </c>
      <c r="F199" s="15">
        <f>IF(OR(F198="",F163=""),"",IF(F163&lt;=0,"",IFERROR(F198/F163,"")))</f>
        <v/>
      </c>
      <c r="G199" s="15">
        <f>IF(OR(G198="",G163=""),"",IF(G163&lt;=0,"",IFERROR(G198/G163,"")))</f>
        <v/>
      </c>
      <c r="H199" s="15">
        <f>IF(OR(H198="",H163=""),"",IF(H163&lt;=0,"",IFERROR(H198/H163,"")))</f>
        <v/>
      </c>
      <c r="V199" s="15">
        <f>IF(OR(V198="",V163=""),"",IF(V163&lt;=0,"",IFERROR(V198/V163,"")))</f>
        <v/>
      </c>
      <c r="W199" s="15">
        <f>IF(OR(W198="",W163=""),"",IF(W163&lt;=0,"",IFERROR(W198/W163,"")))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</row>
    <row r="201">
      <c r="A201" s="18" t="inlineStr">
        <is>
          <t>FABusinessesReportableSegmentsMember · Segment Income Before Amortization Of Goodwill</t>
        </is>
      </c>
      <c r="M201" s="20" t="n">
        <v>9132</v>
      </c>
      <c r="N201" s="20" t="n">
        <v>11881</v>
      </c>
    </row>
    <row r="202">
      <c r="A202" s="18" t="inlineStr">
        <is>
          <t>MoldComponentReportableSegmentsMember · Segment Income Before Amortization Of Goodwill</t>
        </is>
      </c>
      <c r="M202" s="20" t="n">
        <v>2931</v>
      </c>
    </row>
    <row r="203">
      <c r="A203" s="18" t="inlineStr">
        <is>
          <t>VONABusinessesReportableSegmentsMember · Segment Income Before Amortization Of Goodwill</t>
        </is>
      </c>
      <c r="M203" s="20" t="n">
        <v>6776</v>
      </c>
      <c r="N203" s="20" t="n">
        <v>5732</v>
      </c>
    </row>
    <row r="204">
      <c r="A204" s="18" t="inlineStr">
        <is>
          <t>합계 · Segment Income Before Amortization Of Goodwill</t>
        </is>
      </c>
      <c r="M204" s="20" t="n">
        <v>18840</v>
      </c>
      <c r="N204" s="20" t="n">
        <v>20291</v>
      </c>
    </row>
    <row r="205">
      <c r="A205" s="18" t="inlineStr">
        <is>
          <t>조정액 · Segment Income Before Amortization Of Goodwill</t>
        </is>
      </c>
      <c r="M205" s="20" t="n">
        <v>0</v>
      </c>
      <c r="N205" s="20" t="n">
        <v>0</v>
      </c>
    </row>
    <row r="206">
      <c r="A206" s="18" t="inlineStr">
        <is>
          <t>EntityTotalMember · Segment Income Before Amortization Of Goodwill</t>
        </is>
      </c>
      <c r="M206" s="20" t="n">
        <v>18840</v>
      </c>
    </row>
    <row r="208">
      <c r="A208" s="16" t="inlineStr">
        <is>
          <t>현금흐름표 · 전 항목</t>
        </is>
      </c>
      <c r="B208" s="42" t="inlineStr">
        <is>
          <t>분기 = 결산기 첫날부터 누계(공시 그대로)</t>
        </is>
      </c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</row>
    <row r="209">
      <c r="A209" s="5" t="inlineStr">
        <is>
          <t>항목</t>
        </is>
      </c>
      <c r="B209" s="5" t="inlineStr">
        <is>
          <t>참고</t>
        </is>
      </c>
      <c r="C209" s="5" t="inlineStr">
        <is>
          <t>2024.3Q</t>
        </is>
      </c>
      <c r="D209" s="5" t="inlineStr">
        <is>
          <t>2024.4Q</t>
        </is>
      </c>
      <c r="E209" s="5" t="inlineStr">
        <is>
          <t>2025.1Q</t>
        </is>
      </c>
      <c r="F209" s="5" t="inlineStr">
        <is>
          <t>2025.2Q</t>
        </is>
      </c>
      <c r="G209" s="5" t="inlineStr">
        <is>
          <t>2025.3Q</t>
        </is>
      </c>
      <c r="H209" s="5" t="inlineStr">
        <is>
          <t>2025.4Q</t>
        </is>
      </c>
      <c r="I209" s="5" t="inlineStr">
        <is>
          <t>2026.1Q</t>
        </is>
      </c>
      <c r="J209" s="5" t="inlineStr">
        <is>
          <t>2026.2Q</t>
        </is>
      </c>
      <c r="K209" s="5" t="inlineStr">
        <is>
          <t>2026.3Q</t>
        </is>
      </c>
      <c r="L209" s="5" t="inlineStr">
        <is>
          <t>2026.4Q</t>
        </is>
      </c>
      <c r="M209" s="5" t="inlineStr">
        <is>
          <t>2027.1Q</t>
        </is>
      </c>
      <c r="N209" s="5" t="inlineStr">
        <is>
          <t>2027.2Q</t>
        </is>
      </c>
      <c r="O209" s="5" t="inlineStr">
        <is>
          <t>2017</t>
        </is>
      </c>
      <c r="P209" s="5" t="inlineStr">
        <is>
          <t>2018</t>
        </is>
      </c>
      <c r="Q209" s="5" t="inlineStr">
        <is>
          <t>2019</t>
        </is>
      </c>
      <c r="R209" s="5" t="inlineStr">
        <is>
          <t>2020</t>
        </is>
      </c>
      <c r="S209" s="5" t="inlineStr">
        <is>
          <t>2021</t>
        </is>
      </c>
      <c r="T209" s="5" t="inlineStr">
        <is>
          <t>2022</t>
        </is>
      </c>
      <c r="U209" s="5" t="inlineStr">
        <is>
          <t>2023</t>
        </is>
      </c>
      <c r="V209" s="5" t="inlineStr">
        <is>
          <t>2024</t>
        </is>
      </c>
      <c r="W209" s="5" t="inlineStr">
        <is>
          <t>2025</t>
        </is>
      </c>
      <c r="X209" s="5" t="inlineStr">
        <is>
          <t>2026</t>
        </is>
      </c>
      <c r="Y209" s="5" t="inlineStr">
        <is>
          <t>2027(MW)</t>
        </is>
      </c>
      <c r="Z209" s="5" t="inlineStr">
        <is>
          <t>2028(MW)</t>
        </is>
      </c>
      <c r="AA209" s="5" t="inlineStr">
        <is>
          <t>2029(MW)</t>
        </is>
      </c>
      <c r="AB209" s="5" t="inlineStr">
        <is>
          <t>2030(MW)</t>
        </is>
      </c>
      <c r="AC209" s="5" t="inlineStr">
        <is>
          <t>2031(MW)</t>
        </is>
      </c>
    </row>
    <row r="210">
      <c r="A210" s="9" t="inlineStr">
        <is>
          <t>법인세차감전 순이익</t>
        </is>
      </c>
      <c r="C210" s="12" t="n">
        <v>31010</v>
      </c>
      <c r="D210" s="12" t="n">
        <v>39219</v>
      </c>
      <c r="E210" s="12" t="n">
        <v>12916</v>
      </c>
      <c r="F210" s="12" t="n">
        <v>25110</v>
      </c>
      <c r="G210" s="12" t="n">
        <v>38942</v>
      </c>
      <c r="H210" s="12" t="n">
        <v>49940</v>
      </c>
      <c r="I210" s="12" t="n">
        <v>10272</v>
      </c>
      <c r="J210" s="12" t="n">
        <v>19834</v>
      </c>
      <c r="K210" s="12" t="n">
        <v>32910</v>
      </c>
      <c r="L210" s="12" t="n">
        <v>48498</v>
      </c>
      <c r="M210" s="12" t="n">
        <v>17709</v>
      </c>
      <c r="N210" s="12" t="n">
        <v>37404</v>
      </c>
      <c r="O210" s="12" t="n">
        <v>26071</v>
      </c>
      <c r="P210" s="12" t="n">
        <v>34516</v>
      </c>
      <c r="Q210" s="12" t="n">
        <v>31815</v>
      </c>
      <c r="R210" s="12" t="n">
        <v>22781</v>
      </c>
      <c r="S210" s="12" t="n">
        <v>23496</v>
      </c>
      <c r="T210" s="12" t="n">
        <v>51131</v>
      </c>
      <c r="U210" s="12" t="n">
        <v>46533</v>
      </c>
      <c r="V210" s="12" t="n">
        <v>39219</v>
      </c>
      <c r="W210" s="12" t="n">
        <v>49940</v>
      </c>
      <c r="X210" s="12" t="n">
        <v>48498</v>
      </c>
    </row>
    <row r="211">
      <c r="A211" s="18" t="inlineStr">
        <is>
          <t>감가상각비</t>
        </is>
      </c>
      <c r="C211" s="20" t="n">
        <v>13139</v>
      </c>
      <c r="D211" s="20" t="n">
        <v>17564</v>
      </c>
      <c r="E211" s="20" t="n">
        <v>4486</v>
      </c>
      <c r="F211" s="20" t="n">
        <v>8876</v>
      </c>
      <c r="G211" s="20" t="n">
        <v>13351</v>
      </c>
      <c r="H211" s="20" t="n">
        <v>17718</v>
      </c>
      <c r="I211" s="20" t="n">
        <v>4164</v>
      </c>
      <c r="J211" s="20" t="n">
        <v>8581</v>
      </c>
      <c r="K211" s="20" t="n">
        <v>12764</v>
      </c>
      <c r="L211" s="20" t="n">
        <v>17939</v>
      </c>
      <c r="M211" s="20" t="n">
        <v>4799</v>
      </c>
      <c r="N211" s="20" t="n">
        <v>9724</v>
      </c>
      <c r="O211" s="20" t="n">
        <v>5901</v>
      </c>
      <c r="P211" s="20" t="n">
        <v>7187</v>
      </c>
      <c r="Q211" s="20" t="n">
        <v>8840</v>
      </c>
      <c r="R211" s="20" t="n">
        <v>13070</v>
      </c>
      <c r="S211" s="20" t="n">
        <v>14963</v>
      </c>
      <c r="T211" s="20" t="n">
        <v>15341</v>
      </c>
      <c r="U211" s="20" t="n">
        <v>16587</v>
      </c>
      <c r="V211" s="20" t="n">
        <v>17564</v>
      </c>
      <c r="W211" s="20" t="n">
        <v>17718</v>
      </c>
      <c r="X211" s="20" t="n">
        <v>17939</v>
      </c>
    </row>
    <row r="212">
      <c r="A212" s="18" t="inlineStr">
        <is>
          <t>영업권 상각</t>
        </is>
      </c>
      <c r="F212" s="20" t="n">
        <v>0</v>
      </c>
      <c r="G212" s="20" t="n">
        <v>0</v>
      </c>
      <c r="H212" s="20" t="n">
        <v>0</v>
      </c>
      <c r="I212" s="20" t="n">
        <v>0</v>
      </c>
      <c r="J212" s="20" t="n">
        <v>711</v>
      </c>
      <c r="K212" s="20" t="n">
        <v>1766</v>
      </c>
      <c r="L212" s="20" t="n">
        <v>2209</v>
      </c>
      <c r="M212" s="20" t="n">
        <v>774</v>
      </c>
      <c r="N212" s="20" t="n">
        <v>1543</v>
      </c>
      <c r="O212" s="20" t="n">
        <v>1707</v>
      </c>
      <c r="P212" s="20" t="n">
        <v>1000</v>
      </c>
      <c r="Q212" s="20" t="n">
        <v>0</v>
      </c>
      <c r="W212" s="20" t="n">
        <v>0</v>
      </c>
      <c r="X212" s="20" t="n">
        <v>2209</v>
      </c>
    </row>
    <row r="213">
      <c r="A213" s="18" t="inlineStr">
        <is>
          <t>손상차손</t>
        </is>
      </c>
      <c r="C213" s="20" t="n">
        <v>147</v>
      </c>
      <c r="D213" s="20" t="n">
        <v>148</v>
      </c>
      <c r="F213" s="20" t="n">
        <v>300</v>
      </c>
      <c r="G213" s="20" t="n">
        <v>300</v>
      </c>
      <c r="H213" s="20" t="n">
        <v>300</v>
      </c>
      <c r="I213" s="20" t="n">
        <v>0</v>
      </c>
      <c r="J213" s="20" t="n">
        <v>504</v>
      </c>
      <c r="K213" s="20" t="n">
        <v>504</v>
      </c>
      <c r="L213" s="20" t="n">
        <v>597</v>
      </c>
      <c r="M213" s="20" t="n">
        <v>155</v>
      </c>
      <c r="N213" s="20" t="n">
        <v>155</v>
      </c>
      <c r="O213" s="20" t="n">
        <v>0</v>
      </c>
      <c r="P213" s="20" t="n">
        <v>261</v>
      </c>
      <c r="Q213" s="20" t="n">
        <v>0</v>
      </c>
      <c r="R213" s="20" t="n">
        <v>464</v>
      </c>
      <c r="S213" s="20" t="n">
        <v>3300</v>
      </c>
      <c r="T213" s="20" t="n">
        <v>642</v>
      </c>
      <c r="U213" s="20" t="n">
        <v>44</v>
      </c>
      <c r="V213" s="20" t="n">
        <v>148</v>
      </c>
      <c r="W213" s="20" t="n">
        <v>300</v>
      </c>
      <c r="X213" s="20" t="n">
        <v>597</v>
      </c>
    </row>
    <row r="214">
      <c r="A214" s="18" t="inlineStr">
        <is>
          <t>퇴직급여부채 증감</t>
        </is>
      </c>
      <c r="C214" s="20" t="n">
        <v>397</v>
      </c>
      <c r="D214" s="20" t="n">
        <v>399</v>
      </c>
      <c r="E214" s="20" t="n">
        <v>89</v>
      </c>
      <c r="F214" s="20" t="n">
        <v>196</v>
      </c>
      <c r="G214" s="20" t="n">
        <v>274</v>
      </c>
      <c r="H214" s="20" t="n">
        <v>70</v>
      </c>
      <c r="I214" s="20" t="n">
        <v>168</v>
      </c>
      <c r="J214" s="20" t="n">
        <v>315</v>
      </c>
      <c r="K214" s="20" t="n">
        <v>425</v>
      </c>
      <c r="L214" s="20" t="n">
        <v>110</v>
      </c>
      <c r="M214" s="20" t="n">
        <v>153</v>
      </c>
      <c r="N214" s="20" t="n">
        <v>294</v>
      </c>
      <c r="O214" s="20" t="n">
        <v>538</v>
      </c>
      <c r="P214" s="20" t="n">
        <v>337</v>
      </c>
      <c r="Q214" s="20" t="n">
        <v>556</v>
      </c>
      <c r="R214" s="20" t="n">
        <v>577</v>
      </c>
      <c r="S214" s="20" t="n">
        <v>693</v>
      </c>
      <c r="T214" s="20" t="n">
        <v>249</v>
      </c>
      <c r="U214" s="20" t="n">
        <v>230</v>
      </c>
      <c r="V214" s="20" t="n">
        <v>399</v>
      </c>
      <c r="W214" s="20" t="n">
        <v>70</v>
      </c>
      <c r="X214" s="20" t="n">
        <v>110</v>
      </c>
    </row>
    <row r="215">
      <c r="A215" s="18" t="inlineStr">
        <is>
          <t>상여충당금 증감</t>
        </is>
      </c>
      <c r="C215" s="20" t="n">
        <v>-1137</v>
      </c>
      <c r="D215" s="20" t="n">
        <v>-280</v>
      </c>
      <c r="E215" s="20" t="n">
        <v>-411</v>
      </c>
      <c r="F215" s="20" t="n">
        <v>1694</v>
      </c>
      <c r="G215" s="20" t="n">
        <v>1077</v>
      </c>
      <c r="H215" s="20" t="n">
        <v>2837</v>
      </c>
      <c r="I215" s="20" t="n">
        <v>-2877</v>
      </c>
      <c r="J215" s="20" t="n">
        <v>-1065</v>
      </c>
      <c r="K215" s="20" t="n">
        <v>-1543</v>
      </c>
      <c r="L215" s="20" t="n">
        <v>223</v>
      </c>
      <c r="M215" s="20" t="n">
        <v>-2193</v>
      </c>
      <c r="N215" s="20" t="n">
        <v>4069</v>
      </c>
      <c r="O215" s="20" t="n">
        <v>-170</v>
      </c>
      <c r="P215" s="20" t="n">
        <v>1248</v>
      </c>
      <c r="Q215" s="20" t="n">
        <v>-982</v>
      </c>
      <c r="R215" s="20" t="n">
        <v>-14</v>
      </c>
      <c r="S215" s="20" t="n">
        <v>1002</v>
      </c>
      <c r="T215" s="20" t="n">
        <v>1080</v>
      </c>
      <c r="U215" s="20" t="n">
        <v>-1754</v>
      </c>
      <c r="V215" s="20" t="n">
        <v>-280</v>
      </c>
      <c r="W215" s="20" t="n">
        <v>2837</v>
      </c>
      <c r="X215" s="20" t="n">
        <v>223</v>
      </c>
    </row>
    <row r="216">
      <c r="A216" s="18" t="inlineStr">
        <is>
          <t>임원 상여충당금 증감</t>
        </is>
      </c>
      <c r="C216" s="20" t="n">
        <v>-23</v>
      </c>
      <c r="D216" s="20" t="n">
        <v>-17</v>
      </c>
      <c r="E216" s="20" t="n">
        <v>-20</v>
      </c>
      <c r="F216" s="20" t="n">
        <v>-5</v>
      </c>
      <c r="G216" s="20" t="n">
        <v>8</v>
      </c>
      <c r="H216" s="20" t="n">
        <v>195</v>
      </c>
      <c r="I216" s="20" t="n">
        <v>-157</v>
      </c>
      <c r="J216" s="20" t="n">
        <v>-123</v>
      </c>
      <c r="K216" s="20" t="n">
        <v>-53</v>
      </c>
      <c r="L216" s="20" t="n">
        <v>-3</v>
      </c>
      <c r="M216" s="20" t="n">
        <v>-19</v>
      </c>
      <c r="N216" s="20" t="n">
        <v>210</v>
      </c>
      <c r="O216" s="20" t="n">
        <v>-67</v>
      </c>
      <c r="P216" s="20" t="n">
        <v>19</v>
      </c>
      <c r="Q216" s="20" t="n">
        <v>-225</v>
      </c>
      <c r="R216" s="20" t="n">
        <v>-5</v>
      </c>
      <c r="S216" s="20" t="n">
        <v>10</v>
      </c>
      <c r="T216" s="20" t="n">
        <v>208</v>
      </c>
      <c r="U216" s="20" t="n">
        <v>-198</v>
      </c>
      <c r="V216" s="20" t="n">
        <v>-17</v>
      </c>
      <c r="W216" s="20" t="n">
        <v>195</v>
      </c>
      <c r="X216" s="20" t="n">
        <v>-3</v>
      </c>
    </row>
    <row r="217">
      <c r="A217" s="18" t="inlineStr">
        <is>
          <t>대손충당금 증감</t>
        </is>
      </c>
      <c r="C217" s="20" t="n">
        <v>-189</v>
      </c>
      <c r="D217" s="20" t="n">
        <v>-184</v>
      </c>
      <c r="E217" s="20" t="n">
        <v>9</v>
      </c>
      <c r="F217" s="20" t="n">
        <v>42</v>
      </c>
      <c r="G217" s="20" t="n">
        <v>19</v>
      </c>
      <c r="H217" s="20" t="n">
        <v>109</v>
      </c>
      <c r="I217" s="20" t="n">
        <v>140</v>
      </c>
      <c r="J217" s="20" t="n">
        <v>225</v>
      </c>
      <c r="K217" s="20" t="n">
        <v>395</v>
      </c>
      <c r="L217" s="20" t="n">
        <v>537</v>
      </c>
      <c r="M217" s="20" t="n">
        <v>-136</v>
      </c>
      <c r="N217" s="20" t="n">
        <v>-52</v>
      </c>
      <c r="O217" s="20" t="n">
        <v>100</v>
      </c>
      <c r="P217" s="20" t="n">
        <v>8</v>
      </c>
      <c r="Q217" s="20" t="n">
        <v>-111</v>
      </c>
      <c r="R217" s="20" t="n">
        <v>73</v>
      </c>
      <c r="S217" s="20" t="n">
        <v>147</v>
      </c>
      <c r="T217" s="20" t="n">
        <v>-10</v>
      </c>
      <c r="U217" s="20" t="n">
        <v>179</v>
      </c>
      <c r="V217" s="20" t="n">
        <v>-184</v>
      </c>
      <c r="W217" s="20" t="n">
        <v>109</v>
      </c>
      <c r="X217" s="20" t="n">
        <v>537</v>
      </c>
    </row>
    <row r="218">
      <c r="A218" s="18" t="inlineStr">
        <is>
          <t>이자·배당금 수익</t>
        </is>
      </c>
      <c r="C218" s="20" t="n">
        <v>-2396</v>
      </c>
      <c r="D218" s="20" t="n">
        <v>-3412</v>
      </c>
      <c r="E218" s="20" t="n">
        <v>-1062</v>
      </c>
      <c r="F218" s="20" t="n">
        <v>-2193</v>
      </c>
      <c r="G218" s="20" t="n">
        <v>-3196</v>
      </c>
      <c r="H218" s="20" t="n">
        <v>-4165</v>
      </c>
      <c r="I218" s="20" t="n">
        <v>-829</v>
      </c>
      <c r="J218" s="20" t="n">
        <v>-1153</v>
      </c>
      <c r="K218" s="20" t="n">
        <v>-1529</v>
      </c>
      <c r="L218" s="20" t="n">
        <v>-1914</v>
      </c>
      <c r="M218" s="20" t="n">
        <v>-418</v>
      </c>
      <c r="N218" s="20" t="n">
        <v>-876</v>
      </c>
      <c r="O218" s="20" t="n">
        <v>-192</v>
      </c>
      <c r="P218" s="20" t="n">
        <v>-201</v>
      </c>
      <c r="Q218" s="20" t="n">
        <v>-282</v>
      </c>
      <c r="R218" s="20" t="n">
        <v>-282</v>
      </c>
      <c r="S218" s="20" t="n">
        <v>-312</v>
      </c>
      <c r="T218" s="20" t="n">
        <v>-539</v>
      </c>
      <c r="U218" s="20" t="n">
        <v>-1364</v>
      </c>
      <c r="V218" s="20" t="n">
        <v>-3412</v>
      </c>
      <c r="W218" s="20" t="n">
        <v>-4165</v>
      </c>
      <c r="X218" s="20" t="n">
        <v>-1914</v>
      </c>
    </row>
    <row r="219">
      <c r="A219" s="18" t="inlineStr">
        <is>
          <t>이자비용</t>
        </is>
      </c>
      <c r="C219" s="20" t="n">
        <v>106</v>
      </c>
      <c r="D219" s="20" t="n">
        <v>147</v>
      </c>
      <c r="E219" s="20" t="n">
        <v>38</v>
      </c>
      <c r="F219" s="20" t="n">
        <v>80</v>
      </c>
      <c r="G219" s="20" t="n">
        <v>118</v>
      </c>
      <c r="H219" s="20" t="n">
        <v>156</v>
      </c>
      <c r="I219" s="20" t="n">
        <v>29</v>
      </c>
      <c r="J219" s="20" t="n">
        <v>62</v>
      </c>
      <c r="K219" s="20" t="n">
        <v>106</v>
      </c>
      <c r="L219" s="20" t="n">
        <v>184</v>
      </c>
      <c r="M219" s="20" t="n">
        <v>84</v>
      </c>
      <c r="N219" s="20" t="n">
        <v>219</v>
      </c>
      <c r="O219" s="20" t="n">
        <v>4</v>
      </c>
      <c r="P219" s="20" t="n">
        <v>1</v>
      </c>
      <c r="Q219" s="20" t="n">
        <v>1</v>
      </c>
      <c r="R219" s="20" t="n">
        <v>78</v>
      </c>
      <c r="S219" s="20" t="n">
        <v>67</v>
      </c>
      <c r="T219" s="20" t="n">
        <v>99</v>
      </c>
      <c r="U219" s="20" t="n">
        <v>160</v>
      </c>
      <c r="V219" s="20" t="n">
        <v>147</v>
      </c>
      <c r="W219" s="20" t="n">
        <v>156</v>
      </c>
      <c r="X219" s="20" t="n">
        <v>184</v>
      </c>
    </row>
    <row r="220">
      <c r="A220" s="18" t="inlineStr">
        <is>
          <t>주식보상비용</t>
        </is>
      </c>
      <c r="C220" s="20" t="n">
        <v>564</v>
      </c>
      <c r="D220" s="20" t="n">
        <v>777</v>
      </c>
      <c r="E220" s="20" t="n">
        <v>219</v>
      </c>
      <c r="F220" s="20" t="n">
        <v>418</v>
      </c>
      <c r="G220" s="20" t="n">
        <v>604</v>
      </c>
      <c r="H220" s="20" t="n">
        <v>740</v>
      </c>
      <c r="I220" s="20" t="n">
        <v>209</v>
      </c>
      <c r="J220" s="20" t="n">
        <v>390</v>
      </c>
      <c r="K220" s="20" t="n">
        <v>583</v>
      </c>
      <c r="L220" s="20" t="n">
        <v>781</v>
      </c>
      <c r="M220" s="20" t="n">
        <v>228</v>
      </c>
      <c r="N220" s="20" t="n">
        <v>426</v>
      </c>
      <c r="O220" s="20" t="n">
        <v>395</v>
      </c>
      <c r="P220" s="20" t="n">
        <v>525</v>
      </c>
      <c r="Q220" s="20" t="n">
        <v>626</v>
      </c>
      <c r="R220" s="20" t="n">
        <v>626</v>
      </c>
      <c r="S220" s="20" t="n">
        <v>606</v>
      </c>
      <c r="T220" s="20" t="n">
        <v>589</v>
      </c>
      <c r="U220" s="20" t="n">
        <v>595</v>
      </c>
      <c r="V220" s="20" t="n">
        <v>777</v>
      </c>
      <c r="W220" s="20" t="n">
        <v>740</v>
      </c>
      <c r="X220" s="20" t="n">
        <v>781</v>
      </c>
    </row>
    <row r="221">
      <c r="A221" s="18" t="inlineStr">
        <is>
          <t>외환차손익</t>
        </is>
      </c>
      <c r="C221" s="20" t="n">
        <v>-59</v>
      </c>
      <c r="D221" s="20" t="n">
        <v>45</v>
      </c>
      <c r="E221" s="20" t="n">
        <v>28</v>
      </c>
      <c r="F221" s="20" t="n">
        <v>-24</v>
      </c>
      <c r="G221" s="20" t="n">
        <v>117</v>
      </c>
      <c r="H221" s="20" t="n">
        <v>38</v>
      </c>
      <c r="I221" s="20" t="n">
        <v>-262</v>
      </c>
      <c r="J221" s="20" t="n">
        <v>-82</v>
      </c>
      <c r="K221" s="20" t="n">
        <v>-85</v>
      </c>
      <c r="L221" s="20" t="n">
        <v>-295</v>
      </c>
      <c r="M221" s="20" t="n">
        <v>-55</v>
      </c>
      <c r="N221" s="20" t="n">
        <v>140</v>
      </c>
      <c r="O221" s="20" t="n">
        <v>633</v>
      </c>
      <c r="P221" s="20" t="n">
        <v>-861</v>
      </c>
      <c r="Q221" s="20" t="n">
        <v>-14</v>
      </c>
      <c r="R221" s="20" t="n">
        <v>-75</v>
      </c>
      <c r="S221" s="20" t="n">
        <v>67</v>
      </c>
      <c r="T221" s="20" t="n">
        <v>47</v>
      </c>
      <c r="U221" s="20" t="n">
        <v>-114</v>
      </c>
      <c r="V221" s="20" t="n">
        <v>45</v>
      </c>
      <c r="W221" s="20" t="n">
        <v>38</v>
      </c>
      <c r="X221" s="20" t="n">
        <v>-295</v>
      </c>
    </row>
    <row r="222">
      <c r="A222" s="18" t="inlineStr">
        <is>
          <t>지분법손익</t>
        </is>
      </c>
      <c r="C222" s="20" t="n">
        <v>-25</v>
      </c>
      <c r="D222" s="20" t="n">
        <v>-33</v>
      </c>
      <c r="E222" s="20" t="n">
        <v>-9</v>
      </c>
      <c r="F222" s="20" t="n">
        <v>-20</v>
      </c>
      <c r="G222" s="20" t="n">
        <v>-26</v>
      </c>
      <c r="H222" s="20" t="n">
        <v>-33</v>
      </c>
      <c r="I222" s="20" t="n">
        <v>-11</v>
      </c>
      <c r="J222" s="20" t="n">
        <v>-23</v>
      </c>
      <c r="K222" s="20" t="n">
        <v>-27</v>
      </c>
      <c r="L222" s="20" t="n">
        <v>-36</v>
      </c>
      <c r="M222" s="20" t="n">
        <v>-10</v>
      </c>
      <c r="N222" s="20" t="n">
        <v>-30</v>
      </c>
      <c r="O222" s="20" t="n">
        <v>-52</v>
      </c>
      <c r="P222" s="20" t="n">
        <v>-54</v>
      </c>
      <c r="Q222" s="20" t="n">
        <v>-60</v>
      </c>
      <c r="R222" s="20" t="n">
        <v>-50</v>
      </c>
      <c r="S222" s="20" t="n">
        <v>-29</v>
      </c>
      <c r="T222" s="20" t="n">
        <v>-37</v>
      </c>
      <c r="U222" s="20" t="n">
        <v>-43</v>
      </c>
      <c r="V222" s="20" t="n">
        <v>-33</v>
      </c>
      <c r="W222" s="20" t="n">
        <v>-33</v>
      </c>
      <c r="X222" s="20" t="n">
        <v>-36</v>
      </c>
    </row>
    <row r="223">
      <c r="A223" s="18" t="inlineStr">
        <is>
          <t>보험환급금</t>
        </is>
      </c>
      <c r="P223" s="20" t="n">
        <v>0</v>
      </c>
      <c r="Q223" s="20" t="n">
        <v>-143</v>
      </c>
      <c r="R223" s="20" t="n">
        <v>0</v>
      </c>
    </row>
    <row r="224">
      <c r="A224" s="18" t="inlineStr">
        <is>
          <t>코로나19 관련 손실</t>
        </is>
      </c>
      <c r="C224" s="20" t="n">
        <v>0</v>
      </c>
      <c r="D224" s="20" t="n">
        <v>0</v>
      </c>
      <c r="S224" s="20" t="n">
        <v>0</v>
      </c>
      <c r="T224" s="20" t="n">
        <v>783</v>
      </c>
      <c r="U224" s="20" t="n">
        <v>90</v>
      </c>
      <c r="V224" s="20" t="n">
        <v>0</v>
      </c>
    </row>
    <row r="225">
      <c r="A225" s="18" t="inlineStr">
        <is>
          <t>사무소 이전비용</t>
        </is>
      </c>
      <c r="D225" s="20" t="n">
        <v>0</v>
      </c>
      <c r="T225" s="20" t="n">
        <v>0</v>
      </c>
      <c r="U225" s="20" t="n">
        <v>1170</v>
      </c>
      <c r="V225" s="20" t="n">
        <v>0</v>
      </c>
    </row>
    <row r="226">
      <c r="A226" s="18" t="inlineStr">
        <is>
          <t>Reversal Of Provision For Loss On Business Liquidation Ope CF</t>
        </is>
      </c>
      <c r="C226" s="20" t="n">
        <v>0</v>
      </c>
      <c r="D226" s="20" t="n">
        <v>0</v>
      </c>
      <c r="F226" s="20" t="n">
        <v>-1017</v>
      </c>
      <c r="G226" s="20" t="n">
        <v>-1020</v>
      </c>
      <c r="H226" s="20" t="n">
        <v>-1015</v>
      </c>
      <c r="J226" s="20" t="n">
        <v>0</v>
      </c>
      <c r="K226" s="20" t="n">
        <v>0</v>
      </c>
      <c r="L226" s="20" t="n">
        <v>0</v>
      </c>
      <c r="V226" s="20" t="n">
        <v>0</v>
      </c>
      <c r="W226" s="20" t="n">
        <v>-1015</v>
      </c>
      <c r="X226" s="20" t="n">
        <v>0</v>
      </c>
    </row>
    <row r="227">
      <c r="A227" s="18" t="inlineStr">
        <is>
          <t>사업정리 손실</t>
        </is>
      </c>
      <c r="C227" s="20" t="n">
        <v>0</v>
      </c>
      <c r="D227" s="20" t="n">
        <v>1897</v>
      </c>
      <c r="F227" s="20" t="n">
        <v>827</v>
      </c>
      <c r="G227" s="20" t="n">
        <v>680</v>
      </c>
      <c r="H227" s="20" t="n">
        <v>675</v>
      </c>
      <c r="J227" s="20" t="n">
        <v>0</v>
      </c>
      <c r="K227" s="20" t="n">
        <v>0</v>
      </c>
      <c r="L227" s="20" t="n">
        <v>0</v>
      </c>
      <c r="U227" s="20" t="n">
        <v>0</v>
      </c>
      <c r="V227" s="20" t="n">
        <v>1897</v>
      </c>
      <c r="W227" s="20" t="n">
        <v>675</v>
      </c>
      <c r="X227" s="20" t="n">
        <v>0</v>
      </c>
    </row>
    <row r="228">
      <c r="A228" s="18" t="inlineStr">
        <is>
          <t>고정자산 제각손실</t>
        </is>
      </c>
      <c r="D228" s="20" t="n">
        <v>312</v>
      </c>
      <c r="H228" s="20" t="n">
        <v>166</v>
      </c>
      <c r="L228" s="20" t="n">
        <v>118</v>
      </c>
      <c r="U228" s="20" t="n">
        <v>107</v>
      </c>
      <c r="V228" s="20" t="n">
        <v>312</v>
      </c>
      <c r="W228" s="20" t="n">
        <v>166</v>
      </c>
      <c r="X228" s="20" t="n">
        <v>118</v>
      </c>
    </row>
    <row r="229">
      <c r="A229" s="18" t="inlineStr">
        <is>
          <t>관계회사 청산손익</t>
        </is>
      </c>
      <c r="J229" s="20" t="n">
        <v>0</v>
      </c>
      <c r="N229" s="20" t="n">
        <v>-461</v>
      </c>
      <c r="O229" s="20" t="n">
        <v>0</v>
      </c>
      <c r="P229" s="20" t="n">
        <v>-98</v>
      </c>
      <c r="Q229" s="20" t="n">
        <v>0</v>
      </c>
    </row>
    <row r="230">
      <c r="A230" s="18" t="inlineStr">
        <is>
          <t>Restructuring Losses Ope CF</t>
        </is>
      </c>
      <c r="O230" s="20" t="n">
        <v>391</v>
      </c>
      <c r="P230" s="20" t="n">
        <v>0</v>
      </c>
    </row>
    <row r="231">
      <c r="A231" s="18" t="inlineStr">
        <is>
          <t>매출채권 증감</t>
        </is>
      </c>
      <c r="C231" s="20" t="n">
        <v>6251</v>
      </c>
      <c r="D231" s="20" t="n">
        <v>4288</v>
      </c>
      <c r="E231" s="20" t="n">
        <v>-1347</v>
      </c>
      <c r="F231" s="20" t="n">
        <v>34</v>
      </c>
      <c r="G231" s="20" t="n">
        <v>-3116</v>
      </c>
      <c r="H231" s="20" t="n">
        <v>-3438</v>
      </c>
      <c r="I231" s="20" t="n">
        <v>-2037</v>
      </c>
      <c r="J231" s="20" t="n">
        <v>-2734</v>
      </c>
      <c r="K231" s="20" t="n">
        <v>-5257</v>
      </c>
      <c r="L231" s="20" t="n">
        <v>-11598</v>
      </c>
      <c r="M231" s="20" t="n">
        <v>-2825</v>
      </c>
      <c r="N231" s="20" t="n">
        <v>-10845</v>
      </c>
      <c r="O231" s="20" t="n">
        <v>-8785</v>
      </c>
      <c r="P231" s="20" t="n">
        <v>-7638</v>
      </c>
      <c r="Q231" s="20" t="n">
        <v>-1529</v>
      </c>
      <c r="R231" s="20" t="n">
        <v>2486</v>
      </c>
      <c r="S231" s="20" t="n">
        <v>-5767</v>
      </c>
      <c r="T231" s="20" t="n">
        <v>-511</v>
      </c>
      <c r="U231" s="20" t="n">
        <v>1306</v>
      </c>
      <c r="V231" s="20" t="n">
        <v>4288</v>
      </c>
      <c r="W231" s="20" t="n">
        <v>-3438</v>
      </c>
      <c r="X231" s="20" t="n">
        <v>-11598</v>
      </c>
    </row>
    <row r="232">
      <c r="A232" s="18" t="inlineStr">
        <is>
          <t>재고자산 증감</t>
        </is>
      </c>
      <c r="C232" s="20" t="n">
        <v>2205</v>
      </c>
      <c r="D232" s="20" t="n">
        <v>3637</v>
      </c>
      <c r="E232" s="20" t="n">
        <v>2635</v>
      </c>
      <c r="F232" s="20" t="n">
        <v>3922</v>
      </c>
      <c r="G232" s="20" t="n">
        <v>5096</v>
      </c>
      <c r="H232" s="20" t="n">
        <v>7477</v>
      </c>
      <c r="I232" s="20" t="n">
        <v>-331</v>
      </c>
      <c r="J232" s="20" t="n">
        <v>202</v>
      </c>
      <c r="K232" s="20" t="n">
        <v>733</v>
      </c>
      <c r="L232" s="20" t="n">
        <v>-335</v>
      </c>
      <c r="M232" s="20" t="n">
        <v>-685</v>
      </c>
      <c r="N232" s="20" t="n">
        <v>-3844</v>
      </c>
      <c r="O232" s="20" t="n">
        <v>-4453</v>
      </c>
      <c r="P232" s="20" t="n">
        <v>-8153</v>
      </c>
      <c r="Q232" s="20" t="n">
        <v>-10345</v>
      </c>
      <c r="R232" s="20" t="n">
        <v>-5151</v>
      </c>
      <c r="S232" s="20" t="n">
        <v>1860</v>
      </c>
      <c r="T232" s="20" t="n">
        <v>-2857</v>
      </c>
      <c r="U232" s="20" t="n">
        <v>-13693</v>
      </c>
      <c r="V232" s="20" t="n">
        <v>3637</v>
      </c>
      <c r="W232" s="20" t="n">
        <v>7477</v>
      </c>
      <c r="X232" s="20" t="n">
        <v>-335</v>
      </c>
    </row>
    <row r="233">
      <c r="A233" s="18" t="inlineStr">
        <is>
          <t>미수 소비세 증감</t>
        </is>
      </c>
      <c r="C233" s="20" t="n">
        <v>934</v>
      </c>
      <c r="D233" s="20" t="n">
        <v>1168</v>
      </c>
      <c r="E233" s="20" t="n">
        <v>-430</v>
      </c>
      <c r="F233" s="20" t="n">
        <v>-497</v>
      </c>
      <c r="G233" s="20" t="n">
        <v>-399</v>
      </c>
      <c r="H233" s="20" t="n">
        <v>-225</v>
      </c>
      <c r="I233" s="20" t="n">
        <v>-696</v>
      </c>
      <c r="J233" s="20" t="n">
        <v>-362</v>
      </c>
      <c r="K233" s="20" t="n">
        <v>-344</v>
      </c>
      <c r="L233" s="20" t="n">
        <v>-319</v>
      </c>
      <c r="M233" s="20" t="n">
        <v>-267</v>
      </c>
      <c r="N233" s="20" t="n">
        <v>-196</v>
      </c>
      <c r="O233" s="20" t="n">
        <v>307</v>
      </c>
      <c r="P233" s="20" t="n">
        <v>96</v>
      </c>
      <c r="Q233" s="20" t="n">
        <v>133</v>
      </c>
      <c r="R233" s="20" t="n">
        <v>39</v>
      </c>
      <c r="S233" s="20" t="n">
        <v>835</v>
      </c>
      <c r="T233" s="20" t="n">
        <v>-870</v>
      </c>
      <c r="U233" s="20" t="n">
        <v>-772</v>
      </c>
      <c r="V233" s="20" t="n">
        <v>1168</v>
      </c>
      <c r="W233" s="20" t="n">
        <v>-225</v>
      </c>
      <c r="X233" s="20" t="n">
        <v>-319</v>
      </c>
    </row>
    <row r="234">
      <c r="A234" s="18" t="inlineStr">
        <is>
          <t>매입채무 증감</t>
        </is>
      </c>
      <c r="C234" s="20" t="n">
        <v>-3549</v>
      </c>
      <c r="D234" s="20" t="n">
        <v>-1866</v>
      </c>
      <c r="E234" s="20" t="n">
        <v>-1778</v>
      </c>
      <c r="F234" s="20" t="n">
        <v>-1493</v>
      </c>
      <c r="G234" s="20" t="n">
        <v>-1188</v>
      </c>
      <c r="H234" s="20" t="n">
        <v>189</v>
      </c>
      <c r="I234" s="20" t="n">
        <v>-3241</v>
      </c>
      <c r="J234" s="20" t="n">
        <v>43</v>
      </c>
      <c r="K234" s="20" t="n">
        <v>1155</v>
      </c>
      <c r="L234" s="20" t="n">
        <v>5889</v>
      </c>
      <c r="M234" s="20" t="n">
        <v>1027</v>
      </c>
      <c r="N234" s="20" t="n">
        <v>3432</v>
      </c>
      <c r="O234" s="20" t="n">
        <v>2851</v>
      </c>
      <c r="P234" s="20" t="n">
        <v>2333</v>
      </c>
      <c r="Q234" s="20" t="n">
        <v>-1699</v>
      </c>
      <c r="R234" s="20" t="n">
        <v>-341</v>
      </c>
      <c r="S234" s="20" t="n">
        <v>1900</v>
      </c>
      <c r="T234" s="20" t="n">
        <v>1029</v>
      </c>
      <c r="U234" s="20" t="n">
        <v>619</v>
      </c>
      <c r="V234" s="20" t="n">
        <v>-1866</v>
      </c>
      <c r="W234" s="20" t="n">
        <v>189</v>
      </c>
      <c r="X234" s="20" t="n">
        <v>5889</v>
      </c>
    </row>
    <row r="235">
      <c r="A235" s="18" t="inlineStr">
        <is>
          <t>미지급금 증감</t>
        </is>
      </c>
      <c r="C235" s="20" t="n">
        <v>-1355</v>
      </c>
      <c r="D235" s="20" t="n">
        <v>395</v>
      </c>
      <c r="E235" s="20" t="n">
        <v>-739</v>
      </c>
      <c r="F235" s="20" t="n">
        <v>-2023</v>
      </c>
      <c r="G235" s="20" t="n">
        <v>-1075</v>
      </c>
      <c r="H235" s="20" t="n">
        <v>-687</v>
      </c>
      <c r="I235" s="20" t="n">
        <v>2362</v>
      </c>
      <c r="J235" s="20" t="n">
        <v>-2204</v>
      </c>
      <c r="K235" s="20" t="n">
        <v>-1426</v>
      </c>
      <c r="L235" s="20" t="n">
        <v>-1475</v>
      </c>
      <c r="M235" s="20" t="n">
        <v>768</v>
      </c>
      <c r="N235" s="20" t="n">
        <v>-23</v>
      </c>
      <c r="O235" s="20" t="n">
        <v>2092</v>
      </c>
      <c r="P235" s="20" t="n">
        <v>2790</v>
      </c>
      <c r="Q235" s="20" t="n">
        <v>-3633</v>
      </c>
      <c r="R235" s="20" t="n">
        <v>-115</v>
      </c>
      <c r="S235" s="20" t="n">
        <v>-97</v>
      </c>
      <c r="T235" s="20" t="n">
        <v>1153</v>
      </c>
      <c r="U235" s="20" t="n">
        <v>-1302</v>
      </c>
      <c r="V235" s="20" t="n">
        <v>395</v>
      </c>
      <c r="W235" s="20" t="n">
        <v>-687</v>
      </c>
      <c r="X235" s="20" t="n">
        <v>-1475</v>
      </c>
    </row>
    <row r="236">
      <c r="A236" s="18" t="inlineStr">
        <is>
          <t>기타 자산 증감</t>
        </is>
      </c>
      <c r="C236" s="20" t="n">
        <v>455</v>
      </c>
      <c r="D236" s="20" t="n">
        <v>-202</v>
      </c>
      <c r="E236" s="20" t="n">
        <v>-1294</v>
      </c>
      <c r="F236" s="20" t="n">
        <v>-425</v>
      </c>
      <c r="G236" s="20" t="n">
        <v>-1029</v>
      </c>
      <c r="H236" s="20" t="n">
        <v>-1623</v>
      </c>
      <c r="I236" s="20" t="n">
        <v>-900</v>
      </c>
      <c r="J236" s="20" t="n">
        <v>-2133</v>
      </c>
      <c r="K236" s="20" t="n">
        <v>86</v>
      </c>
      <c r="L236" s="20" t="n">
        <v>1134</v>
      </c>
      <c r="M236" s="20" t="n">
        <v>-4964</v>
      </c>
      <c r="N236" s="20" t="n">
        <v>-3325</v>
      </c>
      <c r="O236" s="20" t="n">
        <v>-151</v>
      </c>
      <c r="P236" s="20" t="n">
        <v>-1453</v>
      </c>
      <c r="Q236" s="20" t="n">
        <v>-1314</v>
      </c>
      <c r="R236" s="20" t="n">
        <v>-406</v>
      </c>
      <c r="S236" s="20" t="n">
        <v>-64</v>
      </c>
      <c r="T236" s="20" t="n">
        <v>-368</v>
      </c>
      <c r="U236" s="20" t="n">
        <v>-566</v>
      </c>
      <c r="V236" s="20" t="n">
        <v>-202</v>
      </c>
      <c r="W236" s="20" t="n">
        <v>-1623</v>
      </c>
      <c r="X236" s="20" t="n">
        <v>1134</v>
      </c>
    </row>
    <row r="237">
      <c r="A237" s="18" t="inlineStr">
        <is>
          <t>기타 부채 증감</t>
        </is>
      </c>
      <c r="C237" s="20" t="n">
        <v>194</v>
      </c>
      <c r="D237" s="20" t="n">
        <v>-422</v>
      </c>
      <c r="E237" s="20" t="n">
        <v>-279</v>
      </c>
      <c r="F237" s="20" t="n">
        <v>911</v>
      </c>
      <c r="G237" s="20" t="n">
        <v>1440</v>
      </c>
      <c r="H237" s="20" t="n">
        <v>1314</v>
      </c>
      <c r="I237" s="20" t="n">
        <v>1144</v>
      </c>
      <c r="J237" s="20" t="n">
        <v>308</v>
      </c>
      <c r="K237" s="20" t="n">
        <v>518</v>
      </c>
      <c r="L237" s="20" t="n">
        <v>433</v>
      </c>
      <c r="M237" s="20" t="n">
        <v>275</v>
      </c>
      <c r="N237" s="20" t="n">
        <v>888</v>
      </c>
      <c r="O237" s="20" t="n">
        <v>898</v>
      </c>
      <c r="P237" s="20" t="n">
        <v>772</v>
      </c>
      <c r="Q237" s="20" t="n">
        <v>81</v>
      </c>
      <c r="R237" s="20" t="n">
        <v>1244</v>
      </c>
      <c r="S237" s="20" t="n">
        <v>640</v>
      </c>
      <c r="T237" s="20" t="n">
        <v>-987</v>
      </c>
      <c r="U237" s="20" t="n">
        <v>343</v>
      </c>
      <c r="V237" s="20" t="n">
        <v>-422</v>
      </c>
      <c r="W237" s="20" t="n">
        <v>1314</v>
      </c>
      <c r="X237" s="20" t="n">
        <v>433</v>
      </c>
    </row>
    <row r="238">
      <c r="A238" s="18" t="inlineStr">
        <is>
          <t>소계</t>
        </is>
      </c>
      <c r="C238" s="20" t="n">
        <v>46671</v>
      </c>
      <c r="D238" s="20" t="n">
        <v>63583</v>
      </c>
      <c r="E238" s="20" t="n">
        <v>13049</v>
      </c>
      <c r="F238" s="20" t="n">
        <v>34715</v>
      </c>
      <c r="G238" s="20" t="n">
        <v>50980</v>
      </c>
      <c r="H238" s="20" t="n">
        <v>70743</v>
      </c>
      <c r="I238" s="20" t="n">
        <v>7145</v>
      </c>
      <c r="J238" s="20" t="n">
        <v>21295</v>
      </c>
      <c r="K238" s="20" t="n">
        <v>41681</v>
      </c>
      <c r="L238" s="20" t="n">
        <v>62679</v>
      </c>
      <c r="M238" s="20" t="n">
        <v>14398</v>
      </c>
      <c r="N238" s="20" t="n">
        <v>38853</v>
      </c>
      <c r="O238" s="20" t="n">
        <v>28020</v>
      </c>
      <c r="P238" s="20" t="n">
        <v>32637</v>
      </c>
      <c r="Q238" s="20" t="n">
        <v>21714</v>
      </c>
      <c r="R238" s="20" t="n">
        <v>35000</v>
      </c>
      <c r="S238" s="20" t="n">
        <v>43323</v>
      </c>
      <c r="T238" s="20" t="n">
        <v>66172</v>
      </c>
      <c r="U238" s="20" t="n">
        <v>48160</v>
      </c>
      <c r="V238" s="20" t="n">
        <v>63583</v>
      </c>
      <c r="W238" s="20" t="n">
        <v>70743</v>
      </c>
      <c r="X238" s="20" t="n">
        <v>62679</v>
      </c>
    </row>
    <row r="239">
      <c r="A239" s="18" t="inlineStr">
        <is>
          <t>이자·배당금 수취</t>
        </is>
      </c>
      <c r="C239" s="20" t="n">
        <v>1894</v>
      </c>
      <c r="D239" s="20" t="n">
        <v>3298</v>
      </c>
      <c r="E239" s="20" t="n">
        <v>691</v>
      </c>
      <c r="F239" s="20" t="n">
        <v>2073</v>
      </c>
      <c r="G239" s="20" t="n">
        <v>2385</v>
      </c>
      <c r="H239" s="20" t="n">
        <v>3915</v>
      </c>
      <c r="I239" s="20" t="n">
        <v>733</v>
      </c>
      <c r="J239" s="20" t="n">
        <v>1659</v>
      </c>
      <c r="K239" s="20" t="n">
        <v>1965</v>
      </c>
      <c r="L239" s="20" t="n">
        <v>2429</v>
      </c>
      <c r="M239" s="20" t="n">
        <v>279</v>
      </c>
      <c r="N239" s="20" t="n">
        <v>839</v>
      </c>
      <c r="O239" s="20" t="n">
        <v>233</v>
      </c>
      <c r="P239" s="20" t="n">
        <v>258</v>
      </c>
      <c r="Q239" s="20" t="n">
        <v>383</v>
      </c>
      <c r="R239" s="20" t="n">
        <v>270</v>
      </c>
      <c r="S239" s="20" t="n">
        <v>315</v>
      </c>
      <c r="T239" s="20" t="n">
        <v>396</v>
      </c>
      <c r="U239" s="20" t="n">
        <v>1226</v>
      </c>
      <c r="V239" s="20" t="n">
        <v>3298</v>
      </c>
      <c r="W239" s="20" t="n">
        <v>3915</v>
      </c>
      <c r="X239" s="20" t="n">
        <v>2429</v>
      </c>
    </row>
    <row r="240">
      <c r="A240" s="18" t="inlineStr">
        <is>
          <t>이자 지급</t>
        </is>
      </c>
      <c r="C240" s="20" t="n">
        <v>-106</v>
      </c>
      <c r="D240" s="20" t="n">
        <v>-147</v>
      </c>
      <c r="E240" s="20" t="n">
        <v>-38</v>
      </c>
      <c r="F240" s="20" t="n">
        <v>-80</v>
      </c>
      <c r="G240" s="20" t="n">
        <v>-118</v>
      </c>
      <c r="H240" s="20" t="n">
        <v>-156</v>
      </c>
      <c r="I240" s="20" t="n">
        <v>-29</v>
      </c>
      <c r="J240" s="20" t="n">
        <v>-62</v>
      </c>
      <c r="K240" s="20" t="n">
        <v>-106</v>
      </c>
      <c r="L240" s="20" t="n">
        <v>-184</v>
      </c>
      <c r="M240" s="20" t="n">
        <v>-84</v>
      </c>
      <c r="N240" s="20" t="n">
        <v>-219</v>
      </c>
      <c r="O240" s="20" t="n">
        <v>-3</v>
      </c>
      <c r="P240" s="20" t="n">
        <v>-1</v>
      </c>
      <c r="Q240" s="20" t="n">
        <v>-1</v>
      </c>
      <c r="R240" s="20" t="n">
        <v>-78</v>
      </c>
      <c r="S240" s="20" t="n">
        <v>-67</v>
      </c>
      <c r="T240" s="20" t="n">
        <v>-88</v>
      </c>
      <c r="U240" s="20" t="n">
        <v>-116</v>
      </c>
      <c r="V240" s="20" t="n">
        <v>-147</v>
      </c>
      <c r="W240" s="20" t="n">
        <v>-156</v>
      </c>
      <c r="X240" s="20" t="n">
        <v>-184</v>
      </c>
    </row>
    <row r="241">
      <c r="A241" s="18" t="inlineStr">
        <is>
          <t>보험금 수취</t>
        </is>
      </c>
      <c r="P241" s="20" t="n">
        <v>0</v>
      </c>
      <c r="Q241" s="20" t="n">
        <v>143</v>
      </c>
      <c r="R241" s="20" t="n">
        <v>0</v>
      </c>
    </row>
    <row r="242">
      <c r="A242" s="18" t="inlineStr">
        <is>
          <t>코로나19 손실 지급</t>
        </is>
      </c>
      <c r="C242" s="20" t="n">
        <v>0</v>
      </c>
      <c r="D242" s="20" t="n">
        <v>0</v>
      </c>
      <c r="S242" s="20" t="n">
        <v>0</v>
      </c>
      <c r="T242" s="20" t="n">
        <v>-773</v>
      </c>
      <c r="U242" s="20" t="n">
        <v>-85</v>
      </c>
      <c r="V242" s="20" t="n">
        <v>0</v>
      </c>
    </row>
    <row r="243">
      <c r="A243" s="18" t="inlineStr">
        <is>
          <t>법인세 환급</t>
        </is>
      </c>
      <c r="O243" s="20" t="n">
        <v>713</v>
      </c>
      <c r="P243" s="20" t="n">
        <v>96</v>
      </c>
      <c r="Q243" s="20" t="n">
        <v>191</v>
      </c>
      <c r="R243" s="20" t="n">
        <v>50</v>
      </c>
      <c r="S243" s="20" t="n">
        <v>359</v>
      </c>
      <c r="T243" s="20" t="n">
        <v>338</v>
      </c>
    </row>
    <row r="244">
      <c r="A244" s="18" t="inlineStr">
        <is>
          <t>사무실 이전비용 지급액</t>
        </is>
      </c>
      <c r="C244" s="20" t="n">
        <v>-601</v>
      </c>
      <c r="D244" s="20" t="n">
        <v>-601</v>
      </c>
      <c r="E244" s="20" t="n">
        <v>0</v>
      </c>
      <c r="F244" s="20" t="n">
        <v>0</v>
      </c>
      <c r="G244" s="20" t="n">
        <v>0</v>
      </c>
      <c r="H244" s="20" t="n">
        <v>0</v>
      </c>
      <c r="T244" s="20" t="n">
        <v>0</v>
      </c>
      <c r="U244" s="20" t="n">
        <v>-151</v>
      </c>
      <c r="V244" s="20" t="n">
        <v>-601</v>
      </c>
      <c r="W244" s="20" t="n">
        <v>0</v>
      </c>
    </row>
    <row r="245">
      <c r="A245" s="18" t="inlineStr">
        <is>
          <t>법인세 납부</t>
        </is>
      </c>
      <c r="C245" s="20" t="n">
        <v>-9699</v>
      </c>
      <c r="D245" s="20" t="n">
        <v>-11564</v>
      </c>
      <c r="E245" s="20" t="n">
        <v>-4614</v>
      </c>
      <c r="F245" s="20" t="n">
        <v>-5346</v>
      </c>
      <c r="G245" s="20" t="n">
        <v>-10331</v>
      </c>
      <c r="H245" s="20" t="n">
        <v>-14041</v>
      </c>
      <c r="I245" s="20" t="n">
        <v>-2989</v>
      </c>
      <c r="J245" s="20" t="n">
        <v>-5364</v>
      </c>
      <c r="K245" s="20" t="n">
        <v>-9951</v>
      </c>
      <c r="L245" s="20" t="n">
        <v>-12733</v>
      </c>
      <c r="M245" s="20" t="n">
        <v>-3290</v>
      </c>
      <c r="N245" s="20" t="n">
        <v>-7125</v>
      </c>
      <c r="O245" s="20" t="n">
        <v>-9454</v>
      </c>
      <c r="P245" s="20" t="n">
        <v>-8667</v>
      </c>
      <c r="Q245" s="20" t="n">
        <v>-9383</v>
      </c>
      <c r="R245" s="20" t="n">
        <v>-7024</v>
      </c>
      <c r="S245" s="20" t="n">
        <v>-7438</v>
      </c>
      <c r="T245" s="20" t="n">
        <v>-10316</v>
      </c>
      <c r="U245" s="20" t="n">
        <v>-17586</v>
      </c>
      <c r="V245" s="20" t="n">
        <v>-11564</v>
      </c>
      <c r="W245" s="20" t="n">
        <v>-14041</v>
      </c>
      <c r="X245" s="20" t="n">
        <v>-12733</v>
      </c>
    </row>
    <row r="246">
      <c r="A246" s="9" t="inlineStr">
        <is>
          <t>영업활동 현금흐름</t>
        </is>
      </c>
      <c r="C246" s="12" t="n">
        <v>38158</v>
      </c>
      <c r="D246" s="12" t="n">
        <v>54567</v>
      </c>
      <c r="E246" s="12" t="n">
        <v>9088</v>
      </c>
      <c r="F246" s="12" t="n">
        <v>31362</v>
      </c>
      <c r="G246" s="12" t="n">
        <v>42917</v>
      </c>
      <c r="H246" s="12" t="n">
        <v>60461</v>
      </c>
      <c r="I246" s="12" t="n">
        <v>4859</v>
      </c>
      <c r="J246" s="12" t="n">
        <v>17528</v>
      </c>
      <c r="K246" s="12" t="n">
        <v>33588</v>
      </c>
      <c r="L246" s="12" t="n">
        <v>52190</v>
      </c>
      <c r="M246" s="12" t="n">
        <v>11302</v>
      </c>
      <c r="N246" s="12" t="n">
        <v>32347</v>
      </c>
      <c r="O246" s="12" t="n">
        <v>19508</v>
      </c>
      <c r="P246" s="12" t="n">
        <v>24324</v>
      </c>
      <c r="Q246" s="12" t="n">
        <v>13048</v>
      </c>
      <c r="R246" s="12" t="n">
        <v>28218</v>
      </c>
      <c r="S246" s="12" t="n">
        <v>36492</v>
      </c>
      <c r="T246" s="12" t="n">
        <v>55391</v>
      </c>
      <c r="U246" s="12" t="n">
        <v>31447</v>
      </c>
      <c r="V246" s="12" t="n">
        <v>54567</v>
      </c>
      <c r="W246" s="12" t="n">
        <v>60461</v>
      </c>
      <c r="X246" s="12" t="n">
        <v>52190</v>
      </c>
    </row>
    <row r="247">
      <c r="A247" s="18" t="inlineStr">
        <is>
          <t>고정자산 취득</t>
        </is>
      </c>
      <c r="C247" s="20" t="n">
        <v>-12604</v>
      </c>
      <c r="D247" s="20" t="n">
        <v>-17976</v>
      </c>
      <c r="E247" s="20" t="n">
        <v>-3948</v>
      </c>
      <c r="F247" s="20" t="n">
        <v>-7631</v>
      </c>
      <c r="G247" s="20" t="n">
        <v>-11566</v>
      </c>
      <c r="H247" s="20" t="n">
        <v>-15434</v>
      </c>
      <c r="I247" s="20" t="n">
        <v>-2658</v>
      </c>
      <c r="J247" s="20" t="n">
        <v>-6443</v>
      </c>
      <c r="K247" s="20" t="n">
        <v>-10915</v>
      </c>
      <c r="L247" s="20" t="n">
        <v>-14288</v>
      </c>
      <c r="M247" s="20" t="n">
        <v>-3866</v>
      </c>
      <c r="N247" s="20" t="n">
        <v>-7630</v>
      </c>
      <c r="O247" s="20" t="n">
        <v>-7219</v>
      </c>
      <c r="P247" s="20" t="n">
        <v>-15421</v>
      </c>
      <c r="Q247" s="20" t="n">
        <v>-21414</v>
      </c>
      <c r="R247" s="20" t="n">
        <v>-18018</v>
      </c>
      <c r="S247" s="20" t="n">
        <v>-14016</v>
      </c>
      <c r="T247" s="20" t="n">
        <v>-16508</v>
      </c>
      <c r="U247" s="20" t="n">
        <v>-13625</v>
      </c>
      <c r="V247" s="20" t="n">
        <v>-17976</v>
      </c>
      <c r="W247" s="20" t="n">
        <v>-15434</v>
      </c>
      <c r="X247" s="20" t="n">
        <v>-14288</v>
      </c>
    </row>
    <row r="248">
      <c r="A248" s="18" t="inlineStr">
        <is>
          <t>고정자산 매각</t>
        </is>
      </c>
      <c r="C248" s="20" t="n">
        <v>4</v>
      </c>
      <c r="D248" s="20" t="n">
        <v>8</v>
      </c>
      <c r="O248" s="20" t="n">
        <v>4</v>
      </c>
      <c r="P248" s="20" t="n">
        <v>40</v>
      </c>
      <c r="Q248" s="20" t="n">
        <v>46</v>
      </c>
      <c r="R248" s="20" t="n">
        <v>51</v>
      </c>
      <c r="S248" s="20" t="n">
        <v>132</v>
      </c>
      <c r="T248" s="20" t="n">
        <v>220</v>
      </c>
      <c r="U248" s="20" t="n">
        <v>106</v>
      </c>
      <c r="V248" s="20" t="n">
        <v>8</v>
      </c>
    </row>
    <row r="249">
      <c r="A249" s="18" t="inlineStr">
        <is>
          <t>정기예금 예입</t>
        </is>
      </c>
      <c r="C249" s="20" t="n">
        <v>-12736</v>
      </c>
      <c r="D249" s="20" t="n">
        <v>-18392</v>
      </c>
      <c r="E249" s="20" t="n">
        <v>-25417</v>
      </c>
      <c r="F249" s="20" t="n">
        <v>-26338</v>
      </c>
      <c r="G249" s="20" t="n">
        <v>-34476</v>
      </c>
      <c r="H249" s="20" t="n">
        <v>-37780</v>
      </c>
      <c r="I249" s="20" t="n">
        <v>-3480</v>
      </c>
      <c r="J249" s="20" t="n">
        <v>-5501</v>
      </c>
      <c r="K249" s="20" t="n">
        <v>-9771</v>
      </c>
      <c r="L249" s="20" t="n">
        <v>-12324</v>
      </c>
      <c r="M249" s="20" t="n">
        <v>-2060</v>
      </c>
      <c r="N249" s="20" t="n">
        <v>-3273</v>
      </c>
      <c r="O249" s="20" t="n">
        <v>-31743</v>
      </c>
      <c r="P249" s="20" t="n">
        <v>-25168</v>
      </c>
      <c r="Q249" s="20" t="n">
        <v>-27940</v>
      </c>
      <c r="R249" s="20" t="n">
        <v>-8291</v>
      </c>
      <c r="S249" s="20" t="n">
        <v>-2147</v>
      </c>
      <c r="T249" s="20" t="n">
        <v>-13463</v>
      </c>
      <c r="U249" s="20" t="n">
        <v>-19646</v>
      </c>
      <c r="V249" s="20" t="n">
        <v>-18392</v>
      </c>
      <c r="W249" s="20" t="n">
        <v>-37780</v>
      </c>
      <c r="X249" s="20" t="n">
        <v>-12324</v>
      </c>
    </row>
    <row r="250">
      <c r="A250" s="18" t="inlineStr">
        <is>
          <t>정기예금 인출</t>
        </is>
      </c>
      <c r="C250" s="20" t="n">
        <v>14763</v>
      </c>
      <c r="D250" s="20" t="n">
        <v>16909</v>
      </c>
      <c r="E250" s="20" t="n">
        <v>12147</v>
      </c>
      <c r="F250" s="20" t="n">
        <v>13172</v>
      </c>
      <c r="G250" s="20" t="n">
        <v>21019</v>
      </c>
      <c r="H250" s="20" t="n">
        <v>21679</v>
      </c>
      <c r="I250" s="20" t="n">
        <v>24655</v>
      </c>
      <c r="J250" s="20" t="n">
        <v>26257</v>
      </c>
      <c r="K250" s="20" t="n">
        <v>33052</v>
      </c>
      <c r="L250" s="20" t="n">
        <v>36070</v>
      </c>
      <c r="M250" s="20" t="n">
        <v>6315</v>
      </c>
      <c r="N250" s="20" t="n">
        <v>7439</v>
      </c>
      <c r="O250" s="20" t="n">
        <v>30285</v>
      </c>
      <c r="P250" s="20" t="n">
        <v>26604</v>
      </c>
      <c r="Q250" s="20" t="n">
        <v>32920</v>
      </c>
      <c r="R250" s="20" t="n">
        <v>9987</v>
      </c>
      <c r="S250" s="20" t="n">
        <v>8740</v>
      </c>
      <c r="T250" s="20" t="n">
        <v>7102</v>
      </c>
      <c r="U250" s="20" t="n">
        <v>14229</v>
      </c>
      <c r="V250" s="20" t="n">
        <v>16909</v>
      </c>
      <c r="W250" s="20" t="n">
        <v>21679</v>
      </c>
      <c r="X250" s="20" t="n">
        <v>36070</v>
      </c>
    </row>
    <row r="251">
      <c r="A251" s="18" t="inlineStr">
        <is>
          <t>투자유가증권 취득</t>
        </is>
      </c>
      <c r="C251" s="20" t="n">
        <v>0</v>
      </c>
      <c r="D251" s="20" t="n">
        <v>0</v>
      </c>
      <c r="G251" s="20" t="n">
        <v>-1269</v>
      </c>
      <c r="H251" s="20" t="n">
        <v>-1269</v>
      </c>
      <c r="K251" s="20" t="n">
        <v>0</v>
      </c>
      <c r="L251" s="20" t="n">
        <v>-4104</v>
      </c>
      <c r="V251" s="20" t="n">
        <v>0</v>
      </c>
      <c r="W251" s="20" t="n">
        <v>-1269</v>
      </c>
      <c r="X251" s="20" t="n">
        <v>-4104</v>
      </c>
    </row>
    <row r="252">
      <c r="A252" s="18" t="inlineStr">
        <is>
          <t>임차보증금·보증금 납입</t>
        </is>
      </c>
      <c r="C252" s="20" t="n">
        <v>-181</v>
      </c>
      <c r="D252" s="20" t="n">
        <v>-292</v>
      </c>
      <c r="E252" s="20" t="n">
        <v>-32</v>
      </c>
      <c r="F252" s="20" t="n">
        <v>-64</v>
      </c>
      <c r="G252" s="20" t="n">
        <v>-164</v>
      </c>
      <c r="H252" s="20" t="n">
        <v>-221</v>
      </c>
      <c r="I252" s="20" t="n">
        <v>-356</v>
      </c>
      <c r="J252" s="20" t="n">
        <v>-406</v>
      </c>
      <c r="K252" s="20" t="n">
        <v>-470</v>
      </c>
      <c r="L252" s="20" t="n">
        <v>-487</v>
      </c>
      <c r="M252" s="20" t="n">
        <v>-21</v>
      </c>
      <c r="N252" s="20" t="n">
        <v>-194</v>
      </c>
      <c r="O252" s="20" t="n">
        <v>-608</v>
      </c>
      <c r="P252" s="20" t="n">
        <v>-959</v>
      </c>
      <c r="Q252" s="20" t="n">
        <v>-1051</v>
      </c>
      <c r="R252" s="20" t="n">
        <v>-692</v>
      </c>
      <c r="S252" s="20" t="n">
        <v>-385</v>
      </c>
      <c r="T252" s="20" t="n">
        <v>-1284</v>
      </c>
      <c r="U252" s="20" t="n">
        <v>-904</v>
      </c>
      <c r="V252" s="20" t="n">
        <v>-292</v>
      </c>
      <c r="W252" s="20" t="n">
        <v>-221</v>
      </c>
      <c r="X252" s="20" t="n">
        <v>-487</v>
      </c>
    </row>
    <row r="253">
      <c r="A253" s="18" t="inlineStr">
        <is>
          <t>임차보증금·보증금 회수</t>
        </is>
      </c>
      <c r="C253" s="20" t="n">
        <v>449</v>
      </c>
      <c r="D253" s="20" t="n">
        <v>759</v>
      </c>
      <c r="E253" s="20" t="n">
        <v>97</v>
      </c>
      <c r="F253" s="20" t="n">
        <v>237</v>
      </c>
      <c r="G253" s="20" t="n">
        <v>383</v>
      </c>
      <c r="H253" s="20" t="n">
        <v>536</v>
      </c>
      <c r="I253" s="20" t="n">
        <v>92</v>
      </c>
      <c r="J253" s="20" t="n">
        <v>148</v>
      </c>
      <c r="K253" s="20" t="n">
        <v>190</v>
      </c>
      <c r="L253" s="20" t="n">
        <v>252</v>
      </c>
      <c r="M253" s="20" t="n">
        <v>40</v>
      </c>
      <c r="N253" s="20" t="n">
        <v>253</v>
      </c>
      <c r="O253" s="20" t="n">
        <v>316</v>
      </c>
      <c r="P253" s="20" t="n">
        <v>399</v>
      </c>
      <c r="Q253" s="20" t="n">
        <v>415</v>
      </c>
      <c r="R253" s="20" t="n">
        <v>123</v>
      </c>
      <c r="S253" s="20" t="n">
        <v>574</v>
      </c>
      <c r="T253" s="20" t="n">
        <v>1144</v>
      </c>
      <c r="U253" s="20" t="n">
        <v>785</v>
      </c>
      <c r="V253" s="20" t="n">
        <v>759</v>
      </c>
      <c r="W253" s="20" t="n">
        <v>536</v>
      </c>
      <c r="X253" s="20" t="n">
        <v>252</v>
      </c>
    </row>
    <row r="254">
      <c r="A254" s="18" t="inlineStr">
        <is>
          <t>연결범위 변경 자회사 주식 취득</t>
        </is>
      </c>
      <c r="E254" s="20" t="n">
        <v>0</v>
      </c>
      <c r="F254" s="20" t="n">
        <v>0</v>
      </c>
      <c r="G254" s="20" t="n">
        <v>0</v>
      </c>
      <c r="H254" s="20" t="n">
        <v>0</v>
      </c>
      <c r="I254" s="20" t="n">
        <v>-48483</v>
      </c>
      <c r="J254" s="20" t="n">
        <v>-48483</v>
      </c>
      <c r="K254" s="20" t="n">
        <v>-48483</v>
      </c>
      <c r="L254" s="20" t="n">
        <v>-48483</v>
      </c>
      <c r="M254" s="20" t="n">
        <v>-480</v>
      </c>
      <c r="N254" s="20" t="n">
        <v>-480</v>
      </c>
      <c r="W254" s="20" t="n">
        <v>0</v>
      </c>
      <c r="X254" s="20" t="n">
        <v>-48483</v>
      </c>
    </row>
    <row r="255">
      <c r="A255" s="18" t="inlineStr">
        <is>
          <t>기타</t>
        </is>
      </c>
      <c r="C255" s="20" t="n">
        <v>38</v>
      </c>
      <c r="D255" s="20" t="n">
        <v>-2</v>
      </c>
      <c r="E255" s="20" t="n">
        <v>-6</v>
      </c>
      <c r="F255" s="20" t="n">
        <v>-15</v>
      </c>
      <c r="G255" s="20" t="n">
        <v>-19</v>
      </c>
      <c r="H255" s="20" t="n">
        <v>37</v>
      </c>
      <c r="I255" s="20" t="n">
        <v>202</v>
      </c>
      <c r="J255" s="20" t="n">
        <v>89</v>
      </c>
      <c r="K255" s="20" t="n">
        <v>115</v>
      </c>
      <c r="L255" s="20" t="n">
        <v>162</v>
      </c>
      <c r="M255" s="20" t="n">
        <v>-16</v>
      </c>
      <c r="N255" s="20" t="n">
        <v>-54</v>
      </c>
      <c r="O255" s="20" t="n">
        <v>2907</v>
      </c>
      <c r="P255" s="20" t="n">
        <v>-382</v>
      </c>
      <c r="Q255" s="20" t="n">
        <v>69</v>
      </c>
      <c r="R255" s="20" t="n">
        <v>180</v>
      </c>
      <c r="S255" s="20" t="n">
        <v>33</v>
      </c>
      <c r="T255" s="20" t="n">
        <v>26</v>
      </c>
      <c r="U255" s="20" t="n">
        <v>21</v>
      </c>
      <c r="V255" s="20" t="n">
        <v>-2</v>
      </c>
      <c r="W255" s="20" t="n">
        <v>37</v>
      </c>
      <c r="X255" s="20" t="n">
        <v>162</v>
      </c>
    </row>
    <row r="256">
      <c r="A256" s="9" t="inlineStr">
        <is>
          <t>투자활동 현금흐름</t>
        </is>
      </c>
      <c r="C256" s="12" t="n">
        <v>-10272</v>
      </c>
      <c r="D256" s="12" t="n">
        <v>-18995</v>
      </c>
      <c r="E256" s="12" t="n">
        <v>-17160</v>
      </c>
      <c r="F256" s="12" t="n">
        <v>-20639</v>
      </c>
      <c r="G256" s="12" t="n">
        <v>-26092</v>
      </c>
      <c r="H256" s="12" t="n">
        <v>-32452</v>
      </c>
      <c r="I256" s="12" t="n">
        <v>-30029</v>
      </c>
      <c r="J256" s="12" t="n">
        <v>-34340</v>
      </c>
      <c r="K256" s="12" t="n">
        <v>-36281</v>
      </c>
      <c r="L256" s="12" t="n">
        <v>-43203</v>
      </c>
      <c r="M256" s="12" t="n">
        <v>-90</v>
      </c>
      <c r="N256" s="12" t="n">
        <v>-3940</v>
      </c>
      <c r="O256" s="12" t="n">
        <v>-6056</v>
      </c>
      <c r="P256" s="12" t="n">
        <v>-14887</v>
      </c>
      <c r="Q256" s="12" t="n">
        <v>-16955</v>
      </c>
      <c r="R256" s="12" t="n">
        <v>-16659</v>
      </c>
      <c r="S256" s="12" t="n">
        <v>-7069</v>
      </c>
      <c r="T256" s="12" t="n">
        <v>-22761</v>
      </c>
      <c r="U256" s="12" t="n">
        <v>-19033</v>
      </c>
      <c r="V256" s="12" t="n">
        <v>-18995</v>
      </c>
      <c r="W256" s="12" t="n">
        <v>-32452</v>
      </c>
      <c r="X256" s="12" t="n">
        <v>-43203</v>
      </c>
    </row>
    <row r="257">
      <c r="A257" s="18" t="inlineStr">
        <is>
          <t>주식 발행</t>
        </is>
      </c>
      <c r="C257" s="20" t="n">
        <v>0</v>
      </c>
      <c r="D257" s="20" t="n">
        <v>0</v>
      </c>
      <c r="E257" s="20" t="n">
        <v>0</v>
      </c>
      <c r="O257" s="20" t="n">
        <v>291</v>
      </c>
      <c r="P257" s="20" t="n">
        <v>54</v>
      </c>
      <c r="Q257" s="20" t="n">
        <v>50</v>
      </c>
      <c r="R257" s="20" t="n">
        <v>416</v>
      </c>
      <c r="S257" s="20" t="n">
        <v>30</v>
      </c>
      <c r="T257" s="20" t="n">
        <v>17</v>
      </c>
      <c r="U257" s="20" t="n">
        <v>0</v>
      </c>
      <c r="V257" s="20" t="n">
        <v>0</v>
      </c>
    </row>
    <row r="258">
      <c r="A258" s="18" t="inlineStr">
        <is>
          <t>자기주식 취득</t>
        </is>
      </c>
      <c r="C258" s="20" t="n">
        <v>-10095</v>
      </c>
      <c r="D258" s="20" t="n">
        <v>-10095</v>
      </c>
      <c r="E258" s="20" t="n">
        <v>-6891</v>
      </c>
      <c r="F258" s="20" t="n">
        <v>-17522</v>
      </c>
      <c r="G258" s="20" t="n">
        <v>-20164</v>
      </c>
      <c r="H258" s="20" t="n">
        <v>-20164</v>
      </c>
      <c r="I258" s="20" t="n">
        <v>0</v>
      </c>
      <c r="J258" s="20" t="n">
        <v>-6896</v>
      </c>
      <c r="K258" s="20" t="n">
        <v>-17069</v>
      </c>
      <c r="L258" s="20" t="n">
        <v>-25132</v>
      </c>
      <c r="M258" s="20" t="n">
        <v>-4157</v>
      </c>
      <c r="N258" s="20" t="n">
        <v>-15909</v>
      </c>
      <c r="U258" s="20" t="n">
        <v>-0</v>
      </c>
      <c r="V258" s="20" t="n">
        <v>-10095</v>
      </c>
      <c r="W258" s="20" t="n">
        <v>-20164</v>
      </c>
      <c r="X258" s="20" t="n">
        <v>-25132</v>
      </c>
    </row>
    <row r="259">
      <c r="A259" s="18" t="inlineStr">
        <is>
          <t>비지배주주 납입</t>
        </is>
      </c>
      <c r="C259" s="20" t="n">
        <v>0</v>
      </c>
      <c r="D259" s="20" t="n">
        <v>0</v>
      </c>
      <c r="T259" s="20" t="n">
        <v>0</v>
      </c>
      <c r="U259" s="20" t="n">
        <v>34</v>
      </c>
      <c r="V259" s="20" t="n">
        <v>0</v>
      </c>
    </row>
    <row r="260">
      <c r="A260" s="18" t="inlineStr">
        <is>
          <t>차입금 상환 지출</t>
        </is>
      </c>
      <c r="E260" s="20" t="n">
        <v>0</v>
      </c>
      <c r="F260" s="20" t="n">
        <v>0</v>
      </c>
      <c r="G260" s="20" t="n">
        <v>0</v>
      </c>
      <c r="H260" s="20" t="n">
        <v>0</v>
      </c>
      <c r="I260" s="20" t="n">
        <v>-3289</v>
      </c>
      <c r="J260" s="20" t="n">
        <v>-3322</v>
      </c>
      <c r="K260" s="20" t="n">
        <v>-3356</v>
      </c>
      <c r="L260" s="20" t="n">
        <v>-3392</v>
      </c>
      <c r="M260" s="20" t="n">
        <v>0</v>
      </c>
      <c r="N260" s="20" t="n">
        <v>0</v>
      </c>
      <c r="W260" s="20" t="n">
        <v>0</v>
      </c>
      <c r="X260" s="20" t="n">
        <v>-3392</v>
      </c>
    </row>
    <row r="261">
      <c r="A261" s="18" t="inlineStr">
        <is>
          <t>배당금 지급</t>
        </is>
      </c>
      <c r="C261" s="20" t="n">
        <v>-7058</v>
      </c>
      <c r="D261" s="20" t="n">
        <v>-7058</v>
      </c>
      <c r="E261" s="20" t="n">
        <v>-4190</v>
      </c>
      <c r="F261" s="20" t="n">
        <v>-4190</v>
      </c>
      <c r="G261" s="20" t="n">
        <v>-9653</v>
      </c>
      <c r="H261" s="20" t="n">
        <v>-9653</v>
      </c>
      <c r="I261" s="20" t="n">
        <v>-6422</v>
      </c>
      <c r="J261" s="20" t="n">
        <v>-6422</v>
      </c>
      <c r="K261" s="20" t="n">
        <v>-11322</v>
      </c>
      <c r="L261" s="20" t="n">
        <v>-11322</v>
      </c>
      <c r="M261" s="20" t="n">
        <v>-9262</v>
      </c>
      <c r="N261" s="20" t="n">
        <v>-9262</v>
      </c>
      <c r="O261" s="20" t="n">
        <v>-4299</v>
      </c>
      <c r="P261" s="20" t="n">
        <v>-5768</v>
      </c>
      <c r="Q261" s="20" t="n">
        <v>-6032</v>
      </c>
      <c r="R261" s="20" t="n">
        <v>-5247</v>
      </c>
      <c r="S261" s="20" t="n">
        <v>-3676</v>
      </c>
      <c r="T261" s="20" t="n">
        <v>-7817</v>
      </c>
      <c r="U261" s="20" t="n">
        <v>-9244</v>
      </c>
      <c r="V261" s="20" t="n">
        <v>-7058</v>
      </c>
      <c r="W261" s="20" t="n">
        <v>-9653</v>
      </c>
      <c r="X261" s="20" t="n">
        <v>-11322</v>
      </c>
    </row>
    <row r="262">
      <c r="A262" s="18" t="inlineStr">
        <is>
          <t>리스부채 상환</t>
        </is>
      </c>
      <c r="C262" s="20" t="n">
        <v>-1423</v>
      </c>
      <c r="D262" s="20" t="n">
        <v>-1804</v>
      </c>
      <c r="E262" s="20" t="n">
        <v>-554</v>
      </c>
      <c r="F262" s="20" t="n">
        <v>-1072</v>
      </c>
      <c r="G262" s="20" t="n">
        <v>-1518</v>
      </c>
      <c r="H262" s="20" t="n">
        <v>-1889</v>
      </c>
      <c r="I262" s="20" t="n">
        <v>-498</v>
      </c>
      <c r="J262" s="20" t="n">
        <v>-999</v>
      </c>
      <c r="K262" s="20" t="n">
        <v>-1443</v>
      </c>
      <c r="L262" s="20" t="n">
        <v>-1908</v>
      </c>
      <c r="M262" s="20" t="n">
        <v>-628</v>
      </c>
      <c r="N262" s="20" t="n">
        <v>-1227</v>
      </c>
      <c r="Q262" s="20" t="n">
        <v>0</v>
      </c>
      <c r="R262" s="20" t="n">
        <v>-1597</v>
      </c>
      <c r="S262" s="20" t="n">
        <v>-1881</v>
      </c>
      <c r="T262" s="20" t="n">
        <v>-1808</v>
      </c>
      <c r="U262" s="20" t="n">
        <v>-1958</v>
      </c>
      <c r="V262" s="20" t="n">
        <v>-1804</v>
      </c>
      <c r="W262" s="20" t="n">
        <v>-1889</v>
      </c>
      <c r="X262" s="20" t="n">
        <v>-1908</v>
      </c>
    </row>
    <row r="263">
      <c r="A263" s="18" t="inlineStr">
        <is>
          <t>기타</t>
        </is>
      </c>
      <c r="C263" s="20" t="n">
        <v>-10</v>
      </c>
      <c r="D263" s="20" t="n">
        <v>-10</v>
      </c>
      <c r="E263" s="20" t="n">
        <v>-23</v>
      </c>
      <c r="F263" s="20" t="n">
        <v>-23</v>
      </c>
      <c r="G263" s="20" t="n">
        <v>-9</v>
      </c>
      <c r="H263" s="20" t="n">
        <v>-50</v>
      </c>
      <c r="I263" s="20" t="n">
        <v>-62</v>
      </c>
      <c r="J263" s="20" t="n">
        <v>-44</v>
      </c>
      <c r="K263" s="20" t="n">
        <v>-45</v>
      </c>
      <c r="L263" s="20" t="n">
        <v>-45</v>
      </c>
      <c r="M263" s="20" t="n">
        <v>-19</v>
      </c>
      <c r="N263" s="20" t="n">
        <v>-19</v>
      </c>
      <c r="O263" s="20" t="n">
        <v>-0</v>
      </c>
      <c r="P263" s="20" t="n">
        <v>-10</v>
      </c>
      <c r="Q263" s="20" t="n">
        <v>-10</v>
      </c>
      <c r="R263" s="20" t="n">
        <v>0</v>
      </c>
      <c r="S263" s="20" t="n">
        <v>-3</v>
      </c>
      <c r="T263" s="20" t="n">
        <v>-0</v>
      </c>
      <c r="U263" s="20" t="n">
        <v>0</v>
      </c>
      <c r="V263" s="20" t="n">
        <v>-10</v>
      </c>
      <c r="W263" s="20" t="n">
        <v>-50</v>
      </c>
      <c r="X263" s="20" t="n">
        <v>-45</v>
      </c>
    </row>
    <row r="264">
      <c r="A264" s="9" t="inlineStr">
        <is>
          <t>재무활동 현금흐름</t>
        </is>
      </c>
      <c r="C264" s="12" t="n">
        <v>-18588</v>
      </c>
      <c r="D264" s="12" t="n">
        <v>-18968</v>
      </c>
      <c r="E264" s="12" t="n">
        <v>-11659</v>
      </c>
      <c r="F264" s="12" t="n">
        <v>-22808</v>
      </c>
      <c r="G264" s="12" t="n">
        <v>-31345</v>
      </c>
      <c r="H264" s="12" t="n">
        <v>-31759</v>
      </c>
      <c r="I264" s="12" t="n">
        <v>-10272</v>
      </c>
      <c r="J264" s="12" t="n">
        <v>-17684</v>
      </c>
      <c r="K264" s="12" t="n">
        <v>-33237</v>
      </c>
      <c r="L264" s="12" t="n">
        <v>-41801</v>
      </c>
      <c r="M264" s="12" t="n">
        <v>-14068</v>
      </c>
      <c r="N264" s="12" t="n">
        <v>-26418</v>
      </c>
      <c r="O264" s="12" t="n">
        <v>-4008</v>
      </c>
      <c r="P264" s="12" t="n">
        <v>-5725</v>
      </c>
      <c r="Q264" s="12" t="n">
        <v>-5991</v>
      </c>
      <c r="R264" s="12" t="n">
        <v>-6428</v>
      </c>
      <c r="S264" s="12" t="n">
        <v>-5530</v>
      </c>
      <c r="T264" s="12" t="n">
        <v>-9609</v>
      </c>
      <c r="U264" s="12" t="n">
        <v>-11169</v>
      </c>
      <c r="V264" s="12" t="n">
        <v>-18968</v>
      </c>
      <c r="W264" s="12" t="n">
        <v>-31759</v>
      </c>
      <c r="X264" s="12" t="n">
        <v>-41801</v>
      </c>
    </row>
    <row r="265">
      <c r="A265" s="18" t="inlineStr">
        <is>
          <t>현금성자산 환산차이</t>
        </is>
      </c>
      <c r="C265" s="20" t="n">
        <v>4504</v>
      </c>
      <c r="D265" s="20" t="n">
        <v>10132</v>
      </c>
      <c r="E265" s="20" t="n">
        <v>6752</v>
      </c>
      <c r="F265" s="20" t="n">
        <v>-3995</v>
      </c>
      <c r="G265" s="20" t="n">
        <v>4656</v>
      </c>
      <c r="H265" s="20" t="n">
        <v>-1367</v>
      </c>
      <c r="I265" s="20" t="n">
        <v>-779</v>
      </c>
      <c r="J265" s="20" t="n">
        <v>1442</v>
      </c>
      <c r="K265" s="20" t="n">
        <v>7186</v>
      </c>
      <c r="L265" s="20" t="n">
        <v>8757</v>
      </c>
      <c r="M265" s="20" t="n">
        <v>2543</v>
      </c>
      <c r="N265" s="20" t="n">
        <v>-26</v>
      </c>
      <c r="O265" s="20" t="n">
        <v>-25</v>
      </c>
      <c r="P265" s="20" t="n">
        <v>161</v>
      </c>
      <c r="Q265" s="20" t="n">
        <v>-60</v>
      </c>
      <c r="R265" s="20" t="n">
        <v>-2443</v>
      </c>
      <c r="S265" s="20" t="n">
        <v>3631</v>
      </c>
      <c r="T265" s="20" t="n">
        <v>6459</v>
      </c>
      <c r="U265" s="20" t="n">
        <v>3952</v>
      </c>
      <c r="V265" s="20" t="n">
        <v>10132</v>
      </c>
      <c r="W265" s="20" t="n">
        <v>-1367</v>
      </c>
      <c r="X265" s="20" t="n">
        <v>8757</v>
      </c>
    </row>
    <row r="266">
      <c r="A266" s="18" t="inlineStr">
        <is>
          <t>현금성자산 증감</t>
        </is>
      </c>
      <c r="C266" s="20" t="n">
        <v>13802</v>
      </c>
      <c r="D266" s="20" t="n">
        <v>26736</v>
      </c>
      <c r="E266" s="20" t="n">
        <v>-12979</v>
      </c>
      <c r="F266" s="20" t="n">
        <v>-16081</v>
      </c>
      <c r="G266" s="20" t="n">
        <v>-9864</v>
      </c>
      <c r="H266" s="20" t="n">
        <v>-5117</v>
      </c>
      <c r="I266" s="20" t="n">
        <v>-36222</v>
      </c>
      <c r="J266" s="20" t="n">
        <v>-33053</v>
      </c>
      <c r="K266" s="20" t="n">
        <v>-28743</v>
      </c>
      <c r="L266" s="20" t="n">
        <v>-24056</v>
      </c>
      <c r="M266" s="20" t="n">
        <v>-312</v>
      </c>
      <c r="N266" s="20" t="n">
        <v>1962</v>
      </c>
      <c r="O266" s="20" t="n">
        <v>9417</v>
      </c>
      <c r="P266" s="20" t="n">
        <v>3872</v>
      </c>
      <c r="Q266" s="20" t="n">
        <v>-9959</v>
      </c>
      <c r="R266" s="20" t="n">
        <v>2686</v>
      </c>
      <c r="S266" s="20" t="n">
        <v>27524</v>
      </c>
      <c r="T266" s="20" t="n">
        <v>29479</v>
      </c>
      <c r="U266" s="20" t="n">
        <v>5197</v>
      </c>
      <c r="V266" s="20" t="n">
        <v>26736</v>
      </c>
      <c r="W266" s="20" t="n">
        <v>-5117</v>
      </c>
      <c r="X266" s="20" t="n">
        <v>-24056</v>
      </c>
    </row>
    <row r="267">
      <c r="A267" s="18" t="inlineStr">
        <is>
          <t>Increase Decrease In Cash And Cash Equivalents Resulting From Fiscal Year Change Of Subsidiaries CF</t>
        </is>
      </c>
      <c r="O267" s="20" t="n">
        <v>-781</v>
      </c>
      <c r="P267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9962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272539</v>
      </c>
      <c r="D5" s="12" t="n">
        <v>281293</v>
      </c>
      <c r="E5" s="12" t="n">
        <v>295654</v>
      </c>
      <c r="F5" s="12" t="n">
        <v>305899</v>
      </c>
      <c r="G5" s="12" t="n">
        <v>314729</v>
      </c>
      <c r="H5" s="11" t="n">
        <v>253123</v>
      </c>
      <c r="I5" s="12" t="n">
        <v>282623</v>
      </c>
      <c r="J5" s="12" t="n">
        <v>313381</v>
      </c>
      <c r="K5" s="12" t="n">
        <v>317805</v>
      </c>
      <c r="L5" s="12" t="n">
        <v>295654</v>
      </c>
    </row>
    <row r="6">
      <c r="A6" s="18" t="inlineStr">
        <is>
          <t>현금및현금성자산</t>
        </is>
      </c>
      <c r="B6" s="10" t="n"/>
      <c r="C6" s="19" t="n">
        <v>105372</v>
      </c>
      <c r="D6" s="20" t="n">
        <v>108121</v>
      </c>
      <c r="E6" s="20" t="n">
        <v>112941</v>
      </c>
      <c r="F6" s="20" t="n">
        <v>108512</v>
      </c>
      <c r="G6" s="20" t="n">
        <v>110707</v>
      </c>
      <c r="H6" s="19" t="n">
        <v>108895</v>
      </c>
      <c r="I6" s="20" t="n">
        <v>119558</v>
      </c>
      <c r="J6" s="20" t="n">
        <v>148848</v>
      </c>
      <c r="K6" s="20" t="n">
        <v>159296</v>
      </c>
      <c r="L6" s="20" t="n">
        <v>112941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84305</v>
      </c>
      <c r="D8" s="20" t="n">
        <v>90785</v>
      </c>
      <c r="E8" s="20" t="n">
        <v>98520</v>
      </c>
      <c r="F8" s="20" t="n">
        <v>105707</v>
      </c>
      <c r="G8" s="20" t="n">
        <v>111587</v>
      </c>
      <c r="H8" s="19" t="n">
        <v>76819</v>
      </c>
      <c r="I8" s="20" t="n">
        <v>76359</v>
      </c>
      <c r="J8" s="20" t="n">
        <v>75869</v>
      </c>
      <c r="K8" s="20" t="n">
        <v>78390</v>
      </c>
      <c r="L8" s="20" t="n">
        <v>98520</v>
      </c>
    </row>
    <row r="9">
      <c r="A9" s="18" t="inlineStr">
        <is>
          <t>재고자산</t>
        </is>
      </c>
      <c r="B9" s="10" t="n"/>
      <c r="C9" s="19" t="n">
        <v>69876</v>
      </c>
      <c r="D9" s="20" t="n">
        <v>71580</v>
      </c>
      <c r="E9" s="20" t="n">
        <v>73437</v>
      </c>
      <c r="F9" s="20" t="n">
        <v>75167</v>
      </c>
      <c r="G9" s="20" t="n">
        <v>77368</v>
      </c>
      <c r="H9" s="19" t="n">
        <v>61740</v>
      </c>
      <c r="I9" s="20" t="n">
        <v>77389</v>
      </c>
      <c r="J9" s="20" t="n">
        <v>78377</v>
      </c>
      <c r="K9" s="20" t="n">
        <v>69652</v>
      </c>
      <c r="L9" s="20" t="n">
        <v>73437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153216</v>
      </c>
      <c r="D11" s="12" t="n">
        <v>156806</v>
      </c>
      <c r="E11" s="12" t="n">
        <v>169314</v>
      </c>
      <c r="F11" s="12" t="n">
        <v>168011</v>
      </c>
      <c r="G11" s="12" t="n">
        <v>163357</v>
      </c>
      <c r="H11" s="11" t="n">
        <v>94266</v>
      </c>
      <c r="I11" s="12" t="n">
        <v>95835</v>
      </c>
      <c r="J11" s="12" t="n">
        <v>100136</v>
      </c>
      <c r="K11" s="12" t="n">
        <v>101769</v>
      </c>
      <c r="L11" s="12" t="n">
        <v>169314</v>
      </c>
    </row>
    <row r="12">
      <c r="A12" s="18" t="inlineStr">
        <is>
          <t>유형자산</t>
        </is>
      </c>
      <c r="B12" s="10" t="n"/>
      <c r="C12" s="19" t="n">
        <v>52887</v>
      </c>
      <c r="D12" s="20" t="n">
        <v>55006</v>
      </c>
      <c r="E12" s="20" t="n">
        <v>56638</v>
      </c>
      <c r="F12" s="20" t="n">
        <v>56808</v>
      </c>
      <c r="G12" s="20" t="n">
        <v>55097</v>
      </c>
      <c r="H12" s="19" t="n">
        <v>46520</v>
      </c>
      <c r="I12" s="20" t="n">
        <v>48405</v>
      </c>
      <c r="J12" s="20" t="n">
        <v>51042</v>
      </c>
      <c r="K12" s="20" t="n">
        <v>52522</v>
      </c>
      <c r="L12" s="20" t="n">
        <v>56638</v>
      </c>
    </row>
    <row r="13">
      <c r="A13" s="18" t="inlineStr">
        <is>
          <t>무형자산</t>
        </is>
      </c>
      <c r="B13" s="10" t="n"/>
      <c r="C13" s="19" t="n">
        <v>84054</v>
      </c>
      <c r="D13" s="20" t="n">
        <v>86159</v>
      </c>
      <c r="E13" s="20" t="n">
        <v>90370</v>
      </c>
      <c r="F13" s="20" t="n">
        <v>90064</v>
      </c>
      <c r="G13" s="20" t="n">
        <v>86744</v>
      </c>
      <c r="H13" s="19" t="n">
        <v>35719</v>
      </c>
      <c r="I13" s="20" t="n">
        <v>35021</v>
      </c>
      <c r="J13" s="20" t="n">
        <v>36109</v>
      </c>
      <c r="K13" s="20" t="n">
        <v>33283</v>
      </c>
      <c r="L13" s="20" t="n">
        <v>90370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425756</v>
      </c>
      <c r="D16" s="12" t="n">
        <v>438099</v>
      </c>
      <c r="E16" s="12" t="n">
        <v>464969</v>
      </c>
      <c r="F16" s="12" t="n">
        <v>473910</v>
      </c>
      <c r="G16" s="12" t="n">
        <v>478086</v>
      </c>
      <c r="H16" s="11" t="n">
        <v>347390</v>
      </c>
      <c r="I16" s="12" t="n">
        <v>378458</v>
      </c>
      <c r="J16" s="12" t="n">
        <v>413517</v>
      </c>
      <c r="K16" s="12" t="n">
        <v>419574</v>
      </c>
      <c r="L16" s="12" t="n">
        <v>464969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52661</v>
      </c>
      <c r="D18" s="12" t="n">
        <v>55690</v>
      </c>
      <c r="E18" s="12" t="n">
        <v>65180</v>
      </c>
      <c r="F18" s="12" t="n">
        <v>69360</v>
      </c>
      <c r="G18" s="12" t="n">
        <v>79369</v>
      </c>
      <c r="H18" s="11" t="n">
        <v>52410</v>
      </c>
      <c r="I18" s="12" t="n">
        <v>48942</v>
      </c>
      <c r="J18" s="12" t="n">
        <v>49929</v>
      </c>
      <c r="K18" s="12" t="n">
        <v>51876</v>
      </c>
      <c r="L18" s="12" t="n">
        <v>65180</v>
      </c>
    </row>
    <row r="19">
      <c r="A19" s="18" t="inlineStr">
        <is>
          <t>매입채무</t>
        </is>
      </c>
      <c r="B19" s="10" t="n"/>
      <c r="C19" s="19" t="n">
        <v>22803</v>
      </c>
      <c r="D19" s="20" t="n">
        <v>24875</v>
      </c>
      <c r="E19" s="20" t="n">
        <v>29852</v>
      </c>
      <c r="F19" s="20" t="n">
        <v>31267</v>
      </c>
      <c r="G19" s="20" t="n">
        <v>33489</v>
      </c>
      <c r="H19" s="19" t="n">
        <v>21617</v>
      </c>
      <c r="I19" s="20" t="n">
        <v>22434</v>
      </c>
      <c r="J19" s="20" t="n">
        <v>20984</v>
      </c>
      <c r="K19" s="20" t="n">
        <v>21189</v>
      </c>
      <c r="L19" s="20" t="n">
        <v>29852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15968</v>
      </c>
      <c r="D23" s="12" t="n">
        <v>15899</v>
      </c>
      <c r="E23" s="12" t="n">
        <v>17279</v>
      </c>
      <c r="F23" s="12" t="n">
        <v>17592</v>
      </c>
      <c r="G23" s="12" t="n">
        <v>17414</v>
      </c>
      <c r="H23" s="11" t="n">
        <v>15019</v>
      </c>
      <c r="I23" s="12" t="n">
        <v>15291</v>
      </c>
      <c r="J23" s="12" t="n">
        <v>15908</v>
      </c>
      <c r="K23" s="12" t="n">
        <v>15634</v>
      </c>
      <c r="L23" s="12" t="n">
        <v>17279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68629</v>
      </c>
      <c r="D27" s="12" t="n">
        <v>71589</v>
      </c>
      <c r="E27" s="12" t="n">
        <v>82460</v>
      </c>
      <c r="F27" s="12" t="n">
        <v>86952</v>
      </c>
      <c r="G27" s="12" t="n">
        <v>96783</v>
      </c>
      <c r="H27" s="11" t="n">
        <v>67430</v>
      </c>
      <c r="I27" s="12" t="n">
        <v>64234</v>
      </c>
      <c r="J27" s="12" t="n">
        <v>65837</v>
      </c>
      <c r="K27" s="12" t="n">
        <v>67510</v>
      </c>
      <c r="L27" s="12" t="n">
        <v>82460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354458</v>
      </c>
      <c r="D31" s="12" t="n">
        <v>363705</v>
      </c>
      <c r="E31" s="12" t="n">
        <v>379833</v>
      </c>
      <c r="F31" s="12" t="n">
        <v>384323</v>
      </c>
      <c r="G31" s="12" t="n">
        <v>378852</v>
      </c>
      <c r="H31" s="11" t="n">
        <v>277225</v>
      </c>
      <c r="I31" s="12" t="n">
        <v>311287</v>
      </c>
      <c r="J31" s="12" t="n">
        <v>344516</v>
      </c>
      <c r="K31" s="12" t="n">
        <v>349285</v>
      </c>
      <c r="L31" s="12" t="n">
        <v>379833</v>
      </c>
    </row>
    <row r="32">
      <c r="A32" s="18" t="inlineStr">
        <is>
          <t>자본금</t>
        </is>
      </c>
      <c r="B32" s="10" t="n"/>
      <c r="C32" s="19" t="n">
        <v>14598</v>
      </c>
      <c r="D32" s="20" t="n">
        <v>14612</v>
      </c>
      <c r="E32" s="20" t="n">
        <v>14727</v>
      </c>
      <c r="F32" s="20" t="n">
        <v>14780</v>
      </c>
      <c r="G32" s="20" t="n">
        <v>14868</v>
      </c>
      <c r="H32" s="19" t="n">
        <v>13664</v>
      </c>
      <c r="I32" s="20" t="n">
        <v>13936</v>
      </c>
      <c r="J32" s="20" t="n">
        <v>14146</v>
      </c>
      <c r="K32" s="20" t="n">
        <v>14483</v>
      </c>
      <c r="L32" s="20" t="n">
        <v>14727</v>
      </c>
    </row>
    <row r="33">
      <c r="A33" s="18" t="inlineStr">
        <is>
          <t>이익잉여금</t>
        </is>
      </c>
      <c r="B33" s="10" t="n"/>
      <c r="C33" s="19" t="n">
        <v>301121</v>
      </c>
      <c r="D33" s="20" t="n">
        <v>305251</v>
      </c>
      <c r="E33" s="20" t="n">
        <v>322681</v>
      </c>
      <c r="F33" s="20" t="n">
        <v>325123</v>
      </c>
      <c r="G33" s="20" t="n">
        <v>338457</v>
      </c>
      <c r="H33" s="19" t="n">
        <v>220519</v>
      </c>
      <c r="I33" s="20" t="n">
        <v>245557</v>
      </c>
      <c r="J33" s="20" t="n">
        <v>266651</v>
      </c>
      <c r="K33" s="20" t="n">
        <v>293546</v>
      </c>
      <c r="L33" s="20" t="n">
        <v>322681</v>
      </c>
    </row>
    <row r="34">
      <c r="A34" s="18" t="inlineStr">
        <is>
          <t>비지배지분</t>
        </is>
      </c>
      <c r="B34" s="10" t="n"/>
      <c r="C34" s="19" t="n">
        <v>1166</v>
      </c>
      <c r="D34" s="20" t="n">
        <v>1302</v>
      </c>
      <c r="E34" s="20" t="n">
        <v>1383</v>
      </c>
      <c r="F34" s="20" t="n">
        <v>1447</v>
      </c>
      <c r="G34" s="20" t="n">
        <v>1440</v>
      </c>
      <c r="H34" s="19" t="n">
        <v>797</v>
      </c>
      <c r="I34" s="20" t="n">
        <v>948</v>
      </c>
      <c r="J34" s="20" t="n">
        <v>1076</v>
      </c>
      <c r="K34" s="20" t="n">
        <v>1116</v>
      </c>
      <c r="L34" s="20" t="n">
        <v>1383</v>
      </c>
    </row>
    <row r="35">
      <c r="A35" s="9" t="inlineStr">
        <is>
          <t>자본총계</t>
        </is>
      </c>
      <c r="B35" s="10" t="n"/>
      <c r="C35" s="11" t="n">
        <v>357127</v>
      </c>
      <c r="D35" s="12" t="n">
        <v>366510</v>
      </c>
      <c r="E35" s="12" t="n">
        <v>382509</v>
      </c>
      <c r="F35" s="12" t="n">
        <v>386957</v>
      </c>
      <c r="G35" s="12" t="n">
        <v>381303</v>
      </c>
      <c r="H35" s="11" t="n">
        <v>279959</v>
      </c>
      <c r="I35" s="12" t="n">
        <v>314224</v>
      </c>
      <c r="J35" s="12" t="n">
        <v>347679</v>
      </c>
      <c r="K35" s="12" t="n">
        <v>352064</v>
      </c>
      <c r="L35" s="12" t="n">
        <v>382509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46627</v>
      </c>
      <c r="D37" s="12" t="n">
        <v>51132</v>
      </c>
      <c r="E37" s="12" t="n">
        <v>52190</v>
      </c>
      <c r="F37" s="12" t="n">
        <v>58633</v>
      </c>
      <c r="G37" s="12" t="n">
        <v>67009</v>
      </c>
      <c r="H37" s="11" t="n">
        <v>55391</v>
      </c>
      <c r="I37" s="12" t="n">
        <v>31447</v>
      </c>
      <c r="J37" s="12" t="n">
        <v>54567</v>
      </c>
      <c r="K37" s="12" t="n">
        <v>60461</v>
      </c>
      <c r="L37" s="12" t="n">
        <v>52190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11885</v>
      </c>
      <c r="D40" s="20" t="n">
        <v>11322</v>
      </c>
      <c r="E40" s="20" t="n">
        <v>11322</v>
      </c>
      <c r="F40" s="20" t="n">
        <v>14162</v>
      </c>
      <c r="G40" s="20" t="n">
        <v>14162</v>
      </c>
      <c r="H40" s="19" t="n">
        <v>7817</v>
      </c>
      <c r="I40" s="20" t="n">
        <v>9244</v>
      </c>
      <c r="J40" s="20" t="n">
        <v>7058</v>
      </c>
      <c r="K40" s="20" t="n">
        <v>9653</v>
      </c>
      <c r="L40" s="20" t="n">
        <v>11322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105372</v>
      </c>
      <c r="D71" s="20" t="n">
        <v>108121</v>
      </c>
      <c r="E71" s="20" t="n">
        <v>112941</v>
      </c>
      <c r="F71" s="20" t="n">
        <v>108512</v>
      </c>
      <c r="G71" s="20" t="n">
        <v>110707</v>
      </c>
      <c r="H71" s="20" t="n">
        <v>108895</v>
      </c>
      <c r="I71" s="20" t="n">
        <v>119558</v>
      </c>
      <c r="J71" s="20" t="n">
        <v>148848</v>
      </c>
      <c r="K71" s="20" t="n">
        <v>159296</v>
      </c>
      <c r="L71" s="20" t="n">
        <v>112941</v>
      </c>
    </row>
    <row r="72">
      <c r="A72" s="18" t="inlineStr">
        <is>
          <t>받을어음·매출채권</t>
        </is>
      </c>
      <c r="C72" s="20" t="n">
        <v>84305</v>
      </c>
      <c r="D72" s="20" t="n">
        <v>90785</v>
      </c>
      <c r="E72" s="20" t="n">
        <v>98520</v>
      </c>
      <c r="F72" s="20" t="n">
        <v>105707</v>
      </c>
      <c r="G72" s="20" t="n">
        <v>111587</v>
      </c>
      <c r="H72" s="20" t="n">
        <v>76819</v>
      </c>
      <c r="I72" s="20" t="n">
        <v>76359</v>
      </c>
      <c r="J72" s="20" t="n">
        <v>75869</v>
      </c>
      <c r="K72" s="20" t="n">
        <v>78390</v>
      </c>
      <c r="L72" s="20" t="n">
        <v>98520</v>
      </c>
    </row>
    <row r="73">
      <c r="A73" s="18" t="inlineStr">
        <is>
          <t>상품·제품</t>
        </is>
      </c>
      <c r="C73" s="20" t="n">
        <v>58440</v>
      </c>
      <c r="D73" s="20" t="n">
        <v>59180</v>
      </c>
      <c r="E73" s="20" t="n">
        <v>60171</v>
      </c>
      <c r="F73" s="20" t="n">
        <v>60042</v>
      </c>
      <c r="G73" s="20" t="n">
        <v>61076</v>
      </c>
      <c r="H73" s="20" t="n">
        <v>50593</v>
      </c>
      <c r="I73" s="20" t="n">
        <v>62750</v>
      </c>
      <c r="J73" s="20" t="n">
        <v>64269</v>
      </c>
      <c r="K73" s="20" t="n">
        <v>57186</v>
      </c>
      <c r="L73" s="20" t="n">
        <v>60171</v>
      </c>
    </row>
    <row r="74">
      <c r="A74" s="18" t="inlineStr">
        <is>
          <t>재공품</t>
        </is>
      </c>
      <c r="C74" s="20" t="n">
        <v>3027</v>
      </c>
      <c r="D74" s="20" t="n">
        <v>3079</v>
      </c>
      <c r="E74" s="20" t="n">
        <v>3094</v>
      </c>
      <c r="F74" s="20" t="n">
        <v>3396</v>
      </c>
      <c r="G74" s="20" t="n">
        <v>3442</v>
      </c>
      <c r="H74" s="20" t="n">
        <v>2823</v>
      </c>
      <c r="I74" s="20" t="n">
        <v>4457</v>
      </c>
      <c r="J74" s="20" t="n">
        <v>4162</v>
      </c>
      <c r="K74" s="20" t="n">
        <v>3661</v>
      </c>
      <c r="L74" s="20" t="n">
        <v>3094</v>
      </c>
    </row>
    <row r="75">
      <c r="A75" s="18" t="inlineStr">
        <is>
          <t>원재료·저장품</t>
        </is>
      </c>
      <c r="C75" s="20" t="n">
        <v>8409</v>
      </c>
      <c r="D75" s="20" t="n">
        <v>9321</v>
      </c>
      <c r="E75" s="20" t="n">
        <v>10172</v>
      </c>
      <c r="F75" s="20" t="n">
        <v>11729</v>
      </c>
      <c r="G75" s="20" t="n">
        <v>12850</v>
      </c>
      <c r="H75" s="20" t="n">
        <v>8324</v>
      </c>
      <c r="I75" s="20" t="n">
        <v>10182</v>
      </c>
      <c r="J75" s="20" t="n">
        <v>9946</v>
      </c>
      <c r="K75" s="20" t="n">
        <v>8805</v>
      </c>
      <c r="L75" s="20" t="n">
        <v>10172</v>
      </c>
    </row>
    <row r="76">
      <c r="A76" s="18" t="inlineStr">
        <is>
          <t>미수 환급법인세</t>
        </is>
      </c>
      <c r="E76" s="20" t="n">
        <v>2164</v>
      </c>
      <c r="H76" s="20" t="n">
        <v>452</v>
      </c>
      <c r="I76" s="20" t="n">
        <v>2473</v>
      </c>
      <c r="J76" s="20" t="n">
        <v>3549</v>
      </c>
      <c r="K76" s="20" t="n">
        <v>1850</v>
      </c>
      <c r="L76" s="20" t="n">
        <v>2164</v>
      </c>
    </row>
    <row r="77">
      <c r="A77" s="18" t="inlineStr">
        <is>
          <t>기타</t>
        </is>
      </c>
      <c r="C77" s="20" t="n">
        <v>13670</v>
      </c>
      <c r="D77" s="20" t="n">
        <v>11682</v>
      </c>
      <c r="E77" s="20" t="n">
        <v>11915</v>
      </c>
      <c r="F77" s="20" t="n">
        <v>17118</v>
      </c>
      <c r="G77" s="20" t="n">
        <v>15704</v>
      </c>
      <c r="H77" s="20" t="n">
        <v>5498</v>
      </c>
      <c r="I77" s="20" t="n">
        <v>7276</v>
      </c>
      <c r="J77" s="20" t="n">
        <v>7037</v>
      </c>
      <c r="K77" s="20" t="n">
        <v>9012</v>
      </c>
      <c r="L77" s="20" t="n">
        <v>11915</v>
      </c>
    </row>
    <row r="78">
      <c r="A78" s="18" t="inlineStr">
        <is>
          <t>대손충당금</t>
        </is>
      </c>
      <c r="C78" s="20" t="n">
        <v>-684</v>
      </c>
      <c r="D78" s="20" t="n">
        <v>-876</v>
      </c>
      <c r="E78" s="20" t="n">
        <v>-1161</v>
      </c>
      <c r="F78" s="20" t="n">
        <v>-608</v>
      </c>
      <c r="G78" s="20" t="n">
        <v>-638</v>
      </c>
      <c r="H78" s="20" t="n">
        <v>-282</v>
      </c>
      <c r="I78" s="20" t="n">
        <v>-436</v>
      </c>
      <c r="J78" s="20" t="n">
        <v>-302</v>
      </c>
      <c r="K78" s="20" t="n">
        <v>-397</v>
      </c>
      <c r="L78" s="20" t="n">
        <v>-1161</v>
      </c>
    </row>
    <row r="79">
      <c r="A79" s="9" t="inlineStr">
        <is>
          <t>유동자산 합계</t>
        </is>
      </c>
      <c r="C79" s="12" t="n">
        <v>272539</v>
      </c>
      <c r="D79" s="12" t="n">
        <v>281293</v>
      </c>
      <c r="E79" s="12" t="n">
        <v>295654</v>
      </c>
      <c r="F79" s="12" t="n">
        <v>305899</v>
      </c>
      <c r="G79" s="12" t="n">
        <v>314729</v>
      </c>
      <c r="H79" s="12" t="n">
        <v>253123</v>
      </c>
      <c r="I79" s="12" t="n">
        <v>282623</v>
      </c>
      <c r="J79" s="12" t="n">
        <v>313381</v>
      </c>
      <c r="K79" s="12" t="n">
        <v>317805</v>
      </c>
      <c r="L79" s="12" t="n">
        <v>295654</v>
      </c>
    </row>
    <row r="80">
      <c r="A80" s="18" t="inlineStr">
        <is>
          <t>건물·구축물</t>
        </is>
      </c>
      <c r="E80" s="20" t="n">
        <v>41262</v>
      </c>
      <c r="H80" s="20" t="n">
        <v>26550</v>
      </c>
      <c r="I80" s="20" t="n">
        <v>29186</v>
      </c>
      <c r="J80" s="20" t="n">
        <v>29057</v>
      </c>
      <c r="K80" s="20" t="n">
        <v>37287</v>
      </c>
      <c r="L80" s="20" t="n">
        <v>41262</v>
      </c>
    </row>
    <row r="81">
      <c r="A81" s="18" t="inlineStr">
        <is>
          <t>감가상각누계액</t>
        </is>
      </c>
      <c r="E81" s="20" t="n">
        <v>-18256</v>
      </c>
      <c r="H81" s="20" t="n">
        <v>-12734</v>
      </c>
      <c r="I81" s="20" t="n">
        <v>-14582</v>
      </c>
      <c r="J81" s="20" t="n">
        <v>-14804</v>
      </c>
      <c r="K81" s="20" t="n">
        <v>-15751</v>
      </c>
      <c r="L81" s="20" t="n">
        <v>-18256</v>
      </c>
    </row>
    <row r="82">
      <c r="A82" s="18" t="inlineStr">
        <is>
          <t>건물·구축물(순액)</t>
        </is>
      </c>
      <c r="C82" s="20" t="n">
        <v>21955</v>
      </c>
      <c r="D82" s="20" t="n">
        <v>22845</v>
      </c>
      <c r="E82" s="20" t="n">
        <v>23005</v>
      </c>
      <c r="F82" s="20" t="n">
        <v>23366</v>
      </c>
      <c r="G82" s="20" t="n">
        <v>22846</v>
      </c>
      <c r="H82" s="20" t="n">
        <v>13815</v>
      </c>
      <c r="I82" s="20" t="n">
        <v>14604</v>
      </c>
      <c r="J82" s="20" t="n">
        <v>14252</v>
      </c>
      <c r="K82" s="20" t="n">
        <v>21536</v>
      </c>
      <c r="L82" s="20" t="n">
        <v>23005</v>
      </c>
    </row>
    <row r="83">
      <c r="A83" s="18" t="inlineStr">
        <is>
          <t>기계장치·운반구</t>
        </is>
      </c>
      <c r="E83" s="20" t="n">
        <v>57070</v>
      </c>
      <c r="H83" s="20" t="n">
        <v>40493</v>
      </c>
      <c r="I83" s="20" t="n">
        <v>43506</v>
      </c>
      <c r="J83" s="20" t="n">
        <v>49626</v>
      </c>
      <c r="K83" s="20" t="n">
        <v>51468</v>
      </c>
      <c r="L83" s="20" t="n">
        <v>57070</v>
      </c>
    </row>
    <row r="84">
      <c r="A84" s="18" t="inlineStr">
        <is>
          <t>감가상각누계액</t>
        </is>
      </c>
      <c r="E84" s="20" t="n">
        <v>-40937</v>
      </c>
      <c r="H84" s="20" t="n">
        <v>-24221</v>
      </c>
      <c r="I84" s="20" t="n">
        <v>-27839</v>
      </c>
      <c r="J84" s="20" t="n">
        <v>-33541</v>
      </c>
      <c r="K84" s="20" t="n">
        <v>-35841</v>
      </c>
      <c r="L84" s="20" t="n">
        <v>-40937</v>
      </c>
    </row>
    <row r="85">
      <c r="A85" s="18" t="inlineStr">
        <is>
          <t>기계장치·운반구(순액)</t>
        </is>
      </c>
      <c r="C85" s="20" t="n">
        <v>15089</v>
      </c>
      <c r="D85" s="20" t="n">
        <v>15294</v>
      </c>
      <c r="E85" s="20" t="n">
        <v>16133</v>
      </c>
      <c r="F85" s="20" t="n">
        <v>15721</v>
      </c>
      <c r="G85" s="20" t="n">
        <v>15852</v>
      </c>
      <c r="H85" s="20" t="n">
        <v>16272</v>
      </c>
      <c r="I85" s="20" t="n">
        <v>15666</v>
      </c>
      <c r="J85" s="20" t="n">
        <v>16084</v>
      </c>
      <c r="K85" s="20" t="n">
        <v>15626</v>
      </c>
      <c r="L85" s="20" t="n">
        <v>16133</v>
      </c>
    </row>
    <row r="86">
      <c r="A86" s="18" t="inlineStr">
        <is>
          <t>토지</t>
        </is>
      </c>
      <c r="C86" s="20" t="n">
        <v>4301</v>
      </c>
      <c r="D86" s="20" t="n">
        <v>4322</v>
      </c>
      <c r="E86" s="20" t="n">
        <v>4323</v>
      </c>
      <c r="F86" s="20" t="n">
        <v>4327</v>
      </c>
      <c r="G86" s="20" t="n">
        <v>4314</v>
      </c>
      <c r="H86" s="20" t="n">
        <v>3876</v>
      </c>
      <c r="I86" s="20" t="n">
        <v>3898</v>
      </c>
      <c r="J86" s="20" t="n">
        <v>3880</v>
      </c>
      <c r="K86" s="20" t="n">
        <v>4259</v>
      </c>
      <c r="L86" s="20" t="n">
        <v>4323</v>
      </c>
    </row>
    <row r="87">
      <c r="A87" s="18" t="inlineStr">
        <is>
          <t>사용권자산</t>
        </is>
      </c>
      <c r="H87" s="20" t="n">
        <v>9410</v>
      </c>
      <c r="I87" s="20" t="n">
        <v>9256</v>
      </c>
      <c r="J87" s="20" t="n">
        <v>9438</v>
      </c>
      <c r="K87" s="20" t="n">
        <v>9909</v>
      </c>
    </row>
    <row r="88">
      <c r="A88" s="18" t="inlineStr">
        <is>
          <t>감가상각누계액</t>
        </is>
      </c>
      <c r="H88" s="20" t="n">
        <v>-2686</v>
      </c>
      <c r="I88" s="20" t="n">
        <v>-2831</v>
      </c>
      <c r="J88" s="20" t="n">
        <v>-4072</v>
      </c>
      <c r="K88" s="20" t="n">
        <v>-3642</v>
      </c>
    </row>
    <row r="89">
      <c r="A89" s="18" t="inlineStr">
        <is>
          <t>사용권자산(순액)</t>
        </is>
      </c>
      <c r="H89" s="20" t="n">
        <v>6724</v>
      </c>
      <c r="I89" s="20" t="n">
        <v>6424</v>
      </c>
      <c r="J89" s="20" t="n">
        <v>5366</v>
      </c>
      <c r="K89" s="20" t="n">
        <v>6267</v>
      </c>
    </row>
    <row r="90">
      <c r="A90" s="18" t="inlineStr">
        <is>
          <t>사용권자산</t>
        </is>
      </c>
      <c r="E90" s="20" t="n">
        <v>11693</v>
      </c>
      <c r="K90" s="20" t="n">
        <v>9909</v>
      </c>
      <c r="L90" s="20" t="n">
        <v>11693</v>
      </c>
    </row>
    <row r="91">
      <c r="A91" s="18" t="inlineStr">
        <is>
          <t>감가상각누계액</t>
        </is>
      </c>
      <c r="E91" s="20" t="n">
        <v>-4303</v>
      </c>
      <c r="K91" s="20" t="n">
        <v>-3642</v>
      </c>
      <c r="L91" s="20" t="n">
        <v>-4303</v>
      </c>
    </row>
    <row r="92">
      <c r="A92" s="18" t="inlineStr">
        <is>
          <t>사용권자산(순액)</t>
        </is>
      </c>
      <c r="E92" s="20" t="n">
        <v>7390</v>
      </c>
      <c r="K92" s="20" t="n">
        <v>6267</v>
      </c>
      <c r="L92" s="20" t="n">
        <v>7390</v>
      </c>
    </row>
    <row r="93">
      <c r="A93" s="18" t="inlineStr">
        <is>
          <t>건설중인자산</t>
        </is>
      </c>
      <c r="E93" s="20" t="n">
        <v>2037</v>
      </c>
      <c r="H93" s="20" t="n">
        <v>3210</v>
      </c>
      <c r="I93" s="20" t="n">
        <v>5039</v>
      </c>
      <c r="J93" s="20" t="n">
        <v>8512</v>
      </c>
      <c r="K93" s="20" t="n">
        <v>1767</v>
      </c>
      <c r="L93" s="20" t="n">
        <v>2037</v>
      </c>
    </row>
    <row r="94">
      <c r="A94" s="18" t="inlineStr">
        <is>
          <t>기타</t>
        </is>
      </c>
      <c r="E94" s="20" t="n">
        <v>13094</v>
      </c>
      <c r="H94" s="20" t="n">
        <v>8700</v>
      </c>
      <c r="I94" s="20" t="n">
        <v>9434</v>
      </c>
      <c r="J94" s="20" t="n">
        <v>10392</v>
      </c>
      <c r="K94" s="20" t="n">
        <v>11042</v>
      </c>
      <c r="L94" s="20" t="n">
        <v>13094</v>
      </c>
    </row>
    <row r="95">
      <c r="A95" s="18" t="inlineStr">
        <is>
          <t>감가상각누계액</t>
        </is>
      </c>
      <c r="E95" s="20" t="n">
        <v>-9346</v>
      </c>
      <c r="H95" s="20" t="n">
        <v>-6079</v>
      </c>
      <c r="I95" s="20" t="n">
        <v>-6662</v>
      </c>
      <c r="J95" s="20" t="n">
        <v>-7446</v>
      </c>
      <c r="K95" s="20" t="n">
        <v>-7977</v>
      </c>
      <c r="L95" s="20" t="n">
        <v>-9346</v>
      </c>
    </row>
    <row r="96">
      <c r="A96" s="18" t="inlineStr">
        <is>
          <t>기타(순액)</t>
        </is>
      </c>
      <c r="C96" s="20" t="n">
        <v>11540</v>
      </c>
      <c r="D96" s="20" t="n">
        <v>12544</v>
      </c>
      <c r="E96" s="20" t="n">
        <v>13175</v>
      </c>
      <c r="F96" s="20" t="n">
        <v>13392</v>
      </c>
      <c r="G96" s="20" t="n">
        <v>12084</v>
      </c>
      <c r="H96" s="20" t="n">
        <v>2620</v>
      </c>
      <c r="I96" s="20" t="n">
        <v>2771</v>
      </c>
      <c r="J96" s="20" t="n">
        <v>2946</v>
      </c>
      <c r="K96" s="20" t="n">
        <v>3064</v>
      </c>
      <c r="L96" s="20" t="n">
        <v>13175</v>
      </c>
    </row>
    <row r="97">
      <c r="A97" s="18" t="inlineStr">
        <is>
          <t>유형자산 합계</t>
        </is>
      </c>
      <c r="C97" s="20" t="n">
        <v>52887</v>
      </c>
      <c r="D97" s="20" t="n">
        <v>55006</v>
      </c>
      <c r="E97" s="20" t="n">
        <v>56638</v>
      </c>
      <c r="F97" s="20" t="n">
        <v>56808</v>
      </c>
      <c r="G97" s="20" t="n">
        <v>55097</v>
      </c>
      <c r="H97" s="20" t="n">
        <v>46520</v>
      </c>
      <c r="I97" s="20" t="n">
        <v>48405</v>
      </c>
      <c r="J97" s="20" t="n">
        <v>51042</v>
      </c>
      <c r="K97" s="20" t="n">
        <v>52522</v>
      </c>
      <c r="L97" s="20" t="n">
        <v>56638</v>
      </c>
    </row>
    <row r="98">
      <c r="A98" s="18" t="inlineStr">
        <is>
          <t>소프트웨어</t>
        </is>
      </c>
      <c r="C98" s="20" t="n">
        <v>27468</v>
      </c>
      <c r="D98" s="20" t="n">
        <v>27760</v>
      </c>
      <c r="E98" s="20" t="n">
        <v>28143</v>
      </c>
      <c r="F98" s="20" t="n">
        <v>28070</v>
      </c>
      <c r="G98" s="20" t="n">
        <v>27766</v>
      </c>
      <c r="H98" s="20" t="n">
        <v>28527</v>
      </c>
      <c r="I98" s="20" t="n">
        <v>28125</v>
      </c>
      <c r="J98" s="20" t="n">
        <v>29709</v>
      </c>
      <c r="K98" s="20" t="n">
        <v>27677</v>
      </c>
      <c r="L98" s="20" t="n">
        <v>28143</v>
      </c>
    </row>
    <row r="99">
      <c r="A99" s="18" t="inlineStr">
        <is>
          <t>영업권</t>
        </is>
      </c>
      <c r="C99" s="20" t="n">
        <v>51369</v>
      </c>
      <c r="D99" s="20" t="n">
        <v>53087</v>
      </c>
      <c r="E99" s="20" t="n">
        <v>43962</v>
      </c>
      <c r="F99" s="20" t="n">
        <v>43869</v>
      </c>
      <c r="G99" s="20" t="n">
        <v>41748</v>
      </c>
      <c r="K99" s="20" t="n">
        <v>0</v>
      </c>
      <c r="L99" s="20" t="n">
        <v>43962</v>
      </c>
    </row>
    <row r="100">
      <c r="A100" s="18" t="inlineStr">
        <is>
          <t>기타</t>
        </is>
      </c>
      <c r="C100" s="20" t="n">
        <v>5215</v>
      </c>
      <c r="D100" s="20" t="n">
        <v>5311</v>
      </c>
      <c r="E100" s="20" t="n">
        <v>18264</v>
      </c>
      <c r="F100" s="20" t="n">
        <v>18125</v>
      </c>
      <c r="G100" s="20" t="n">
        <v>17228</v>
      </c>
      <c r="H100" s="20" t="n">
        <v>7192</v>
      </c>
      <c r="I100" s="20" t="n">
        <v>6896</v>
      </c>
      <c r="J100" s="20" t="n">
        <v>6399</v>
      </c>
      <c r="K100" s="20" t="n">
        <v>5605</v>
      </c>
      <c r="L100" s="20" t="n">
        <v>18264</v>
      </c>
    </row>
    <row r="101">
      <c r="A101" s="18" t="inlineStr">
        <is>
          <t>무형자산 합계</t>
        </is>
      </c>
      <c r="C101" s="20" t="n">
        <v>84054</v>
      </c>
      <c r="D101" s="20" t="n">
        <v>86159</v>
      </c>
      <c r="E101" s="20" t="n">
        <v>90370</v>
      </c>
      <c r="F101" s="20" t="n">
        <v>90064</v>
      </c>
      <c r="G101" s="20" t="n">
        <v>86744</v>
      </c>
      <c r="H101" s="20" t="n">
        <v>35719</v>
      </c>
      <c r="I101" s="20" t="n">
        <v>35021</v>
      </c>
      <c r="J101" s="20" t="n">
        <v>36109</v>
      </c>
      <c r="K101" s="20" t="n">
        <v>33283</v>
      </c>
      <c r="L101" s="20" t="n">
        <v>90370</v>
      </c>
    </row>
    <row r="102">
      <c r="A102" s="18" t="inlineStr">
        <is>
          <t>투자유가증권</t>
        </is>
      </c>
      <c r="C102" s="20" t="n">
        <v>1302</v>
      </c>
      <c r="D102" s="20" t="n">
        <v>1476</v>
      </c>
      <c r="E102" s="20" t="n">
        <v>5552</v>
      </c>
      <c r="F102" s="20" t="n">
        <v>5704</v>
      </c>
      <c r="G102" s="20" t="n">
        <v>5706</v>
      </c>
      <c r="H102" s="20" t="n">
        <v>6</v>
      </c>
      <c r="I102" s="20" t="n">
        <v>6</v>
      </c>
      <c r="J102" s="20" t="n">
        <v>6</v>
      </c>
      <c r="K102" s="20" t="n">
        <v>1224</v>
      </c>
      <c r="L102" s="20" t="n">
        <v>5552</v>
      </c>
    </row>
    <row r="103">
      <c r="A103" s="18" t="inlineStr">
        <is>
          <t>이연법인세자산</t>
        </is>
      </c>
      <c r="E103" s="20" t="n">
        <v>10800</v>
      </c>
      <c r="H103" s="20" t="n">
        <v>6550</v>
      </c>
      <c r="I103" s="20" t="n">
        <v>6891</v>
      </c>
      <c r="J103" s="20" t="n">
        <v>7679</v>
      </c>
      <c r="K103" s="20" t="n">
        <v>9052</v>
      </c>
      <c r="L103" s="20" t="n">
        <v>10800</v>
      </c>
    </row>
    <row r="104">
      <c r="A104" s="18" t="inlineStr">
        <is>
          <t>기타</t>
        </is>
      </c>
      <c r="C104" s="20" t="n">
        <v>15398</v>
      </c>
      <c r="D104" s="20" t="n">
        <v>14620</v>
      </c>
      <c r="E104" s="20" t="n">
        <v>17093</v>
      </c>
      <c r="F104" s="20" t="n">
        <v>16217</v>
      </c>
      <c r="G104" s="20" t="n">
        <v>16632</v>
      </c>
      <c r="H104" s="20" t="n">
        <v>5824</v>
      </c>
      <c r="I104" s="20" t="n">
        <v>5907</v>
      </c>
      <c r="J104" s="20" t="n">
        <v>5693</v>
      </c>
      <c r="K104" s="20" t="n">
        <v>6073</v>
      </c>
      <c r="L104" s="20" t="n">
        <v>17093</v>
      </c>
    </row>
    <row r="105">
      <c r="A105" s="18" t="inlineStr">
        <is>
          <t>대손충당금</t>
        </is>
      </c>
      <c r="C105" s="20" t="n">
        <v>-426</v>
      </c>
      <c r="D105" s="20" t="n">
        <v>-456</v>
      </c>
      <c r="E105" s="20" t="n">
        <v>-339</v>
      </c>
      <c r="F105" s="20" t="n">
        <v>-782</v>
      </c>
      <c r="G105" s="20" t="n">
        <v>-822</v>
      </c>
      <c r="H105" s="20" t="n">
        <v>-355</v>
      </c>
      <c r="I105" s="20" t="n">
        <v>-397</v>
      </c>
      <c r="J105" s="20" t="n">
        <v>-395</v>
      </c>
      <c r="K105" s="20" t="n">
        <v>-387</v>
      </c>
      <c r="L105" s="20" t="n">
        <v>-339</v>
      </c>
    </row>
    <row r="106">
      <c r="A106" s="18" t="inlineStr">
        <is>
          <t>투자 및 기타자산 합계</t>
        </is>
      </c>
      <c r="C106" s="20" t="n">
        <v>16274</v>
      </c>
      <c r="D106" s="20" t="n">
        <v>15640</v>
      </c>
      <c r="E106" s="20" t="n">
        <v>22306</v>
      </c>
      <c r="F106" s="20" t="n">
        <v>21138</v>
      </c>
      <c r="G106" s="20" t="n">
        <v>21515</v>
      </c>
      <c r="H106" s="20" t="n">
        <v>12026</v>
      </c>
      <c r="I106" s="20" t="n">
        <v>12408</v>
      </c>
      <c r="J106" s="20" t="n">
        <v>12984</v>
      </c>
      <c r="K106" s="20" t="n">
        <v>15963</v>
      </c>
      <c r="L106" s="20" t="n">
        <v>22306</v>
      </c>
    </row>
    <row r="107">
      <c r="A107" s="9" t="inlineStr">
        <is>
          <t>비유동자산 합계</t>
        </is>
      </c>
      <c r="C107" s="12" t="n">
        <v>153216</v>
      </c>
      <c r="D107" s="12" t="n">
        <v>156806</v>
      </c>
      <c r="E107" s="12" t="n">
        <v>169314</v>
      </c>
      <c r="F107" s="12" t="n">
        <v>168011</v>
      </c>
      <c r="G107" s="12" t="n">
        <v>163357</v>
      </c>
      <c r="H107" s="12" t="n">
        <v>94266</v>
      </c>
      <c r="I107" s="12" t="n">
        <v>95835</v>
      </c>
      <c r="J107" s="12" t="n">
        <v>100136</v>
      </c>
      <c r="K107" s="12" t="n">
        <v>101769</v>
      </c>
      <c r="L107" s="12" t="n">
        <v>169314</v>
      </c>
    </row>
    <row r="108">
      <c r="A108" s="9" t="inlineStr">
        <is>
          <t>자산 합계</t>
        </is>
      </c>
      <c r="C108" s="12" t="n">
        <v>425756</v>
      </c>
      <c r="D108" s="12" t="n">
        <v>438099</v>
      </c>
      <c r="E108" s="12" t="n">
        <v>464969</v>
      </c>
      <c r="F108" s="12" t="n">
        <v>473910</v>
      </c>
      <c r="G108" s="12" t="n">
        <v>478086</v>
      </c>
      <c r="H108" s="12" t="n">
        <v>347390</v>
      </c>
      <c r="I108" s="12" t="n">
        <v>378458</v>
      </c>
      <c r="J108" s="12" t="n">
        <v>413517</v>
      </c>
      <c r="K108" s="12" t="n">
        <v>419574</v>
      </c>
      <c r="L108" s="12" t="n">
        <v>464969</v>
      </c>
    </row>
    <row r="109">
      <c r="A109" s="18" t="inlineStr">
        <is>
          <t>지급어음·매입채무</t>
        </is>
      </c>
      <c r="C109" s="20" t="n">
        <v>22803</v>
      </c>
      <c r="D109" s="20" t="n">
        <v>24875</v>
      </c>
      <c r="E109" s="20" t="n">
        <v>29852</v>
      </c>
      <c r="F109" s="20" t="n">
        <v>31267</v>
      </c>
      <c r="G109" s="20" t="n">
        <v>33489</v>
      </c>
      <c r="H109" s="20" t="n">
        <v>21617</v>
      </c>
      <c r="I109" s="20" t="n">
        <v>22434</v>
      </c>
      <c r="J109" s="20" t="n">
        <v>20984</v>
      </c>
      <c r="K109" s="20" t="n">
        <v>21189</v>
      </c>
      <c r="L109" s="20" t="n">
        <v>29852</v>
      </c>
    </row>
    <row r="110">
      <c r="A110" s="18" t="inlineStr">
        <is>
          <t>리스부채</t>
        </is>
      </c>
      <c r="E110" s="20" t="n">
        <v>2466</v>
      </c>
      <c r="H110" s="20" t="n">
        <v>1775</v>
      </c>
      <c r="I110" s="20" t="n">
        <v>2163</v>
      </c>
      <c r="J110" s="20" t="n">
        <v>1784</v>
      </c>
      <c r="K110" s="20" t="n">
        <v>1932</v>
      </c>
      <c r="L110" s="20" t="n">
        <v>2466</v>
      </c>
    </row>
    <row r="111">
      <c r="A111" s="18" t="inlineStr">
        <is>
          <t>미지급금</t>
        </is>
      </c>
      <c r="C111" s="20" t="n">
        <v>7343</v>
      </c>
      <c r="D111" s="20" t="n">
        <v>7642</v>
      </c>
      <c r="E111" s="20" t="n">
        <v>8653</v>
      </c>
      <c r="F111" s="20" t="n">
        <v>8597</v>
      </c>
      <c r="G111" s="20" t="n">
        <v>7770</v>
      </c>
      <c r="H111" s="20" t="n">
        <v>9208</v>
      </c>
      <c r="I111" s="20" t="n">
        <v>8909</v>
      </c>
      <c r="J111" s="20" t="n">
        <v>9583</v>
      </c>
      <c r="K111" s="20" t="n">
        <v>8667</v>
      </c>
      <c r="L111" s="20" t="n">
        <v>8653</v>
      </c>
    </row>
    <row r="112">
      <c r="A112" s="18" t="inlineStr">
        <is>
          <t>미지급법인세</t>
        </is>
      </c>
      <c r="C112" s="20" t="n">
        <v>4493</v>
      </c>
      <c r="D112" s="20" t="n">
        <v>3197</v>
      </c>
      <c r="E112" s="20" t="n">
        <v>4867</v>
      </c>
      <c r="F112" s="20" t="n">
        <v>5574</v>
      </c>
      <c r="G112" s="20" t="n">
        <v>8829</v>
      </c>
      <c r="H112" s="20" t="n">
        <v>7154</v>
      </c>
      <c r="I112" s="20" t="n">
        <v>4276</v>
      </c>
      <c r="J112" s="20" t="n">
        <v>5791</v>
      </c>
      <c r="K112" s="20" t="n">
        <v>4476</v>
      </c>
      <c r="L112" s="20" t="n">
        <v>4867</v>
      </c>
    </row>
    <row r="113">
      <c r="A113" s="18" t="inlineStr">
        <is>
          <t>상여충당금</t>
        </is>
      </c>
      <c r="C113" s="20" t="n">
        <v>4864</v>
      </c>
      <c r="D113" s="20" t="n">
        <v>4515</v>
      </c>
      <c r="E113" s="20" t="n">
        <v>6333</v>
      </c>
      <c r="F113" s="20" t="n">
        <v>4186</v>
      </c>
      <c r="G113" s="20" t="n">
        <v>10390</v>
      </c>
      <c r="H113" s="20" t="n">
        <v>4819</v>
      </c>
      <c r="I113" s="20" t="n">
        <v>3184</v>
      </c>
      <c r="J113" s="20" t="n">
        <v>3118</v>
      </c>
      <c r="K113" s="20" t="n">
        <v>5882</v>
      </c>
      <c r="L113" s="20" t="n">
        <v>6333</v>
      </c>
    </row>
    <row r="114">
      <c r="A114" s="18" t="inlineStr">
        <is>
          <t>임원 상여충당금</t>
        </is>
      </c>
      <c r="C114" s="20" t="n">
        <v>106</v>
      </c>
      <c r="D114" s="20" t="n">
        <v>176</v>
      </c>
      <c r="E114" s="20" t="n">
        <v>226</v>
      </c>
      <c r="F114" s="20" t="n">
        <v>207</v>
      </c>
      <c r="G114" s="20" t="n">
        <v>436</v>
      </c>
      <c r="H114" s="20" t="n">
        <v>250</v>
      </c>
      <c r="I114" s="20" t="n">
        <v>51</v>
      </c>
      <c r="J114" s="20" t="n">
        <v>34</v>
      </c>
      <c r="K114" s="20" t="n">
        <v>230</v>
      </c>
      <c r="L114" s="20" t="n">
        <v>226</v>
      </c>
    </row>
    <row r="115">
      <c r="A115" s="18" t="inlineStr">
        <is>
          <t>Provision For Office Transfer Expenses CL</t>
        </is>
      </c>
      <c r="H115" s="20" t="n">
        <v>0</v>
      </c>
      <c r="I115" s="20" t="n">
        <v>608</v>
      </c>
      <c r="J115" s="20" t="n">
        <v>0</v>
      </c>
    </row>
    <row r="116">
      <c r="A116" s="18" t="inlineStr">
        <is>
          <t>기타</t>
        </is>
      </c>
      <c r="C116" s="20" t="n">
        <v>13050</v>
      </c>
      <c r="D116" s="20" t="n">
        <v>15283</v>
      </c>
      <c r="E116" s="20" t="n">
        <v>15246</v>
      </c>
      <c r="F116" s="20" t="n">
        <v>19527</v>
      </c>
      <c r="G116" s="20" t="n">
        <v>18453</v>
      </c>
      <c r="H116" s="20" t="n">
        <v>7585</v>
      </c>
      <c r="I116" s="20" t="n">
        <v>7312</v>
      </c>
      <c r="J116" s="20" t="n">
        <v>8633</v>
      </c>
      <c r="K116" s="20" t="n">
        <v>9497</v>
      </c>
      <c r="L116" s="20" t="n">
        <v>15246</v>
      </c>
    </row>
    <row r="117">
      <c r="A117" s="9" t="inlineStr">
        <is>
          <t>유동부채 합계</t>
        </is>
      </c>
      <c r="C117" s="12" t="n">
        <v>52661</v>
      </c>
      <c r="D117" s="12" t="n">
        <v>55690</v>
      </c>
      <c r="E117" s="12" t="n">
        <v>65180</v>
      </c>
      <c r="F117" s="12" t="n">
        <v>69360</v>
      </c>
      <c r="G117" s="12" t="n">
        <v>79369</v>
      </c>
      <c r="H117" s="12" t="n">
        <v>52410</v>
      </c>
      <c r="I117" s="12" t="n">
        <v>48942</v>
      </c>
      <c r="J117" s="12" t="n">
        <v>49929</v>
      </c>
      <c r="K117" s="12" t="n">
        <v>51876</v>
      </c>
      <c r="L117" s="12" t="n">
        <v>65180</v>
      </c>
    </row>
    <row r="118">
      <c r="A118" s="18" t="inlineStr">
        <is>
          <t>리스부채</t>
        </is>
      </c>
      <c r="E118" s="20" t="n">
        <v>6300</v>
      </c>
      <c r="H118" s="20" t="n">
        <v>5409</v>
      </c>
      <c r="I118" s="20" t="n">
        <v>5521</v>
      </c>
      <c r="J118" s="20" t="n">
        <v>5034</v>
      </c>
      <c r="K118" s="20" t="n">
        <v>5604</v>
      </c>
      <c r="L118" s="20" t="n">
        <v>6300</v>
      </c>
    </row>
    <row r="119">
      <c r="A119" s="18" t="inlineStr">
        <is>
          <t>이연법인세부채</t>
        </is>
      </c>
      <c r="E119" s="20" t="n">
        <v>1708</v>
      </c>
      <c r="H119" s="20" t="n">
        <v>939</v>
      </c>
      <c r="I119" s="20" t="n">
        <v>798</v>
      </c>
      <c r="J119" s="20" t="n">
        <v>648</v>
      </c>
      <c r="K119" s="20" t="n">
        <v>1043</v>
      </c>
      <c r="L119" s="20" t="n">
        <v>1708</v>
      </c>
    </row>
    <row r="120">
      <c r="A120" s="18" t="inlineStr">
        <is>
          <t>퇴직급여부채</t>
        </is>
      </c>
      <c r="C120" s="20" t="n">
        <v>7703</v>
      </c>
      <c r="D120" s="20" t="n">
        <v>7869</v>
      </c>
      <c r="E120" s="20" t="n">
        <v>7362</v>
      </c>
      <c r="F120" s="20" t="n">
        <v>7529</v>
      </c>
      <c r="G120" s="20" t="n">
        <v>7660</v>
      </c>
      <c r="H120" s="20" t="n">
        <v>6872</v>
      </c>
      <c r="I120" s="20" t="n">
        <v>7025</v>
      </c>
      <c r="J120" s="20" t="n">
        <v>7436</v>
      </c>
      <c r="K120" s="20" t="n">
        <v>7337</v>
      </c>
      <c r="L120" s="20" t="n">
        <v>7362</v>
      </c>
    </row>
    <row r="121">
      <c r="A121" s="18" t="inlineStr">
        <is>
          <t>Provision For Loss On Business Liquidation NCL</t>
        </is>
      </c>
      <c r="C121" s="20" t="n">
        <v>61</v>
      </c>
      <c r="D121" s="20" t="n">
        <v>66</v>
      </c>
      <c r="E121" s="20" t="n">
        <v>68</v>
      </c>
      <c r="F121" s="20" t="n">
        <v>0</v>
      </c>
      <c r="G121" s="20" t="n">
        <v>0</v>
      </c>
      <c r="I121" s="20" t="n">
        <v>0</v>
      </c>
      <c r="J121" s="20" t="n">
        <v>1138</v>
      </c>
      <c r="K121" s="20" t="n">
        <v>61</v>
      </c>
      <c r="L121" s="20" t="n">
        <v>68</v>
      </c>
    </row>
    <row r="122">
      <c r="A122" s="18" t="inlineStr">
        <is>
          <t>기타</t>
        </is>
      </c>
      <c r="C122" s="20" t="n">
        <v>8202</v>
      </c>
      <c r="D122" s="20" t="n">
        <v>7963</v>
      </c>
      <c r="E122" s="20" t="n">
        <v>9848</v>
      </c>
      <c r="F122" s="20" t="n">
        <v>10063</v>
      </c>
      <c r="G122" s="20" t="n">
        <v>9753</v>
      </c>
      <c r="H122" s="20" t="n">
        <v>1798</v>
      </c>
      <c r="I122" s="20" t="n">
        <v>1946</v>
      </c>
      <c r="J122" s="20" t="n">
        <v>1649</v>
      </c>
      <c r="K122" s="20" t="n">
        <v>1586</v>
      </c>
      <c r="L122" s="20" t="n">
        <v>9848</v>
      </c>
    </row>
    <row r="123">
      <c r="A123" s="9" t="inlineStr">
        <is>
          <t>비유동부채 합계</t>
        </is>
      </c>
      <c r="C123" s="12" t="n">
        <v>15968</v>
      </c>
      <c r="D123" s="12" t="n">
        <v>15899</v>
      </c>
      <c r="E123" s="12" t="n">
        <v>17279</v>
      </c>
      <c r="F123" s="12" t="n">
        <v>17592</v>
      </c>
      <c r="G123" s="12" t="n">
        <v>17414</v>
      </c>
      <c r="H123" s="12" t="n">
        <v>15019</v>
      </c>
      <c r="I123" s="12" t="n">
        <v>15291</v>
      </c>
      <c r="J123" s="12" t="n">
        <v>15908</v>
      </c>
      <c r="K123" s="12" t="n">
        <v>15634</v>
      </c>
      <c r="L123" s="12" t="n">
        <v>17279</v>
      </c>
    </row>
    <row r="124">
      <c r="A124" s="9" t="inlineStr">
        <is>
          <t>부채 합계</t>
        </is>
      </c>
      <c r="C124" s="12" t="n">
        <v>68629</v>
      </c>
      <c r="D124" s="12" t="n">
        <v>71589</v>
      </c>
      <c r="E124" s="12" t="n">
        <v>82460</v>
      </c>
      <c r="F124" s="12" t="n">
        <v>86952</v>
      </c>
      <c r="G124" s="12" t="n">
        <v>96783</v>
      </c>
      <c r="H124" s="12" t="n">
        <v>67430</v>
      </c>
      <c r="I124" s="12" t="n">
        <v>64234</v>
      </c>
      <c r="J124" s="12" t="n">
        <v>65837</v>
      </c>
      <c r="K124" s="12" t="n">
        <v>67510</v>
      </c>
      <c r="L124" s="12" t="n">
        <v>82460</v>
      </c>
    </row>
    <row r="125">
      <c r="A125" s="18" t="inlineStr">
        <is>
          <t>자본금</t>
        </is>
      </c>
      <c r="C125" s="20" t="n">
        <v>14598</v>
      </c>
      <c r="D125" s="20" t="n">
        <v>14612</v>
      </c>
      <c r="E125" s="20" t="n">
        <v>14727</v>
      </c>
      <c r="F125" s="20" t="n">
        <v>14780</v>
      </c>
      <c r="G125" s="20" t="n">
        <v>14868</v>
      </c>
      <c r="H125" s="20" t="n">
        <v>13664</v>
      </c>
      <c r="I125" s="20" t="n">
        <v>13936</v>
      </c>
      <c r="J125" s="20" t="n">
        <v>14146</v>
      </c>
      <c r="K125" s="20" t="n">
        <v>14483</v>
      </c>
      <c r="L125" s="20" t="n">
        <v>14727</v>
      </c>
    </row>
    <row r="126">
      <c r="A126" s="18" t="inlineStr">
        <is>
          <t>자본잉여금</t>
        </is>
      </c>
      <c r="C126" s="20" t="n">
        <v>24520</v>
      </c>
      <c r="D126" s="20" t="n">
        <v>24533</v>
      </c>
      <c r="E126" s="20" t="n">
        <v>24721</v>
      </c>
      <c r="F126" s="20" t="n">
        <v>24774</v>
      </c>
      <c r="G126" s="20" t="n">
        <v>24956</v>
      </c>
      <c r="H126" s="20" t="n">
        <v>24020</v>
      </c>
      <c r="I126" s="20" t="n">
        <v>24292</v>
      </c>
      <c r="J126" s="20" t="n">
        <v>24303</v>
      </c>
      <c r="K126" s="20" t="n">
        <v>24585</v>
      </c>
      <c r="L126" s="20" t="n">
        <v>24721</v>
      </c>
    </row>
    <row r="127">
      <c r="A127" s="18" t="inlineStr">
        <is>
          <t>이익잉여금</t>
        </is>
      </c>
      <c r="C127" s="20" t="n">
        <v>301121</v>
      </c>
      <c r="D127" s="20" t="n">
        <v>305251</v>
      </c>
      <c r="E127" s="20" t="n">
        <v>322681</v>
      </c>
      <c r="F127" s="20" t="n">
        <v>325123</v>
      </c>
      <c r="G127" s="20" t="n">
        <v>338457</v>
      </c>
      <c r="H127" s="20" t="n">
        <v>220519</v>
      </c>
      <c r="I127" s="20" t="n">
        <v>245557</v>
      </c>
      <c r="J127" s="20" t="n">
        <v>266651</v>
      </c>
      <c r="K127" s="20" t="n">
        <v>293546</v>
      </c>
      <c r="L127" s="20" t="n">
        <v>322681</v>
      </c>
    </row>
    <row r="128">
      <c r="A128" s="18" t="inlineStr">
        <is>
          <t>자기주식</t>
        </is>
      </c>
      <c r="C128" s="20" t="n">
        <v>-34655</v>
      </c>
      <c r="D128" s="20" t="n">
        <v>-44827</v>
      </c>
      <c r="E128" s="20" t="n">
        <v>-52392</v>
      </c>
      <c r="F128" s="20" t="n">
        <v>-56549</v>
      </c>
      <c r="G128" s="20" t="n">
        <v>-68081</v>
      </c>
      <c r="H128" s="20" t="n">
        <v>-79</v>
      </c>
      <c r="I128" s="20" t="n">
        <v>-80</v>
      </c>
      <c r="J128" s="20" t="n">
        <v>-9159</v>
      </c>
      <c r="K128" s="20" t="n">
        <v>-28352</v>
      </c>
      <c r="L128" s="20" t="n">
        <v>-52392</v>
      </c>
    </row>
    <row r="129">
      <c r="A129" s="9" t="inlineStr">
        <is>
          <t>주주자본 합계</t>
        </is>
      </c>
      <c r="C129" s="12" t="n">
        <v>305585</v>
      </c>
      <c r="D129" s="12" t="n">
        <v>299570</v>
      </c>
      <c r="E129" s="12" t="n">
        <v>309738</v>
      </c>
      <c r="F129" s="12" t="n">
        <v>308127</v>
      </c>
      <c r="G129" s="12" t="n">
        <v>310200</v>
      </c>
      <c r="H129" s="12" t="n">
        <v>258125</v>
      </c>
      <c r="I129" s="12" t="n">
        <v>283706</v>
      </c>
      <c r="J129" s="12" t="n">
        <v>295942</v>
      </c>
      <c r="K129" s="12" t="n">
        <v>304263</v>
      </c>
      <c r="L129" s="12" t="n">
        <v>309738</v>
      </c>
    </row>
    <row r="130">
      <c r="A130" s="18" t="inlineStr">
        <is>
          <t>이연헤지손익</t>
        </is>
      </c>
      <c r="H130" s="20" t="n">
        <v>36</v>
      </c>
      <c r="I130" s="20" t="n">
        <v>0</v>
      </c>
    </row>
    <row r="131">
      <c r="A131" s="18" t="inlineStr">
        <is>
          <t>기타유가증권 평가차액</t>
        </is>
      </c>
      <c r="C131" s="20" t="n">
        <v>18</v>
      </c>
      <c r="D131" s="20" t="n">
        <v>137</v>
      </c>
      <c r="E131" s="20" t="n">
        <v>118</v>
      </c>
      <c r="F131" s="20" t="n">
        <v>222</v>
      </c>
      <c r="G131" s="20" t="n">
        <v>194</v>
      </c>
      <c r="J131" s="20" t="n">
        <v>0</v>
      </c>
      <c r="K131" s="20" t="n">
        <v>-51</v>
      </c>
      <c r="L131" s="20" t="n">
        <v>118</v>
      </c>
    </row>
    <row r="132">
      <c r="A132" s="18" t="inlineStr">
        <is>
          <t>해외사업환산조정</t>
        </is>
      </c>
      <c r="C132" s="20" t="n">
        <v>48644</v>
      </c>
      <c r="D132" s="20" t="n">
        <v>63796</v>
      </c>
      <c r="E132" s="20" t="n">
        <v>69647</v>
      </c>
      <c r="F132" s="20" t="n">
        <v>75651</v>
      </c>
      <c r="G132" s="20" t="n">
        <v>68143</v>
      </c>
      <c r="H132" s="20" t="n">
        <v>19063</v>
      </c>
      <c r="I132" s="20" t="n">
        <v>27508</v>
      </c>
      <c r="J132" s="20" t="n">
        <v>48476</v>
      </c>
      <c r="K132" s="20" t="n">
        <v>44858</v>
      </c>
      <c r="L132" s="20" t="n">
        <v>69647</v>
      </c>
    </row>
    <row r="133">
      <c r="A133" s="18" t="inlineStr">
        <is>
          <t>퇴직급여 조정누계액</t>
        </is>
      </c>
      <c r="C133" s="20" t="n">
        <v>209</v>
      </c>
      <c r="D133" s="20" t="n">
        <v>200</v>
      </c>
      <c r="E133" s="20" t="n">
        <v>328</v>
      </c>
      <c r="F133" s="20" t="n">
        <v>321</v>
      </c>
      <c r="G133" s="20" t="n">
        <v>312</v>
      </c>
      <c r="H133" s="20" t="n">
        <v>-0</v>
      </c>
      <c r="I133" s="20" t="n">
        <v>71</v>
      </c>
      <c r="J133" s="20" t="n">
        <v>96</v>
      </c>
      <c r="K133" s="20" t="n">
        <v>212</v>
      </c>
      <c r="L133" s="20" t="n">
        <v>328</v>
      </c>
    </row>
    <row r="134">
      <c r="A134" s="18" t="inlineStr">
        <is>
          <t>기타포괄손익누계액 합계</t>
        </is>
      </c>
      <c r="C134" s="20" t="n">
        <v>48872</v>
      </c>
      <c r="D134" s="20" t="n">
        <v>64134</v>
      </c>
      <c r="E134" s="20" t="n">
        <v>70094</v>
      </c>
      <c r="F134" s="20" t="n">
        <v>76194</v>
      </c>
      <c r="G134" s="20" t="n">
        <v>68650</v>
      </c>
      <c r="H134" s="20" t="n">
        <v>19100</v>
      </c>
      <c r="I134" s="20" t="n">
        <v>27580</v>
      </c>
      <c r="J134" s="20" t="n">
        <v>48573</v>
      </c>
      <c r="K134" s="20" t="n">
        <v>45020</v>
      </c>
      <c r="L134" s="20" t="n">
        <v>70094</v>
      </c>
    </row>
    <row r="135">
      <c r="A135" s="18" t="inlineStr">
        <is>
          <t>신주예약권</t>
        </is>
      </c>
      <c r="C135" s="20" t="n">
        <v>1503</v>
      </c>
      <c r="D135" s="20" t="n">
        <v>1503</v>
      </c>
      <c r="E135" s="20" t="n">
        <v>1293</v>
      </c>
      <c r="F135" s="20" t="n">
        <v>1187</v>
      </c>
      <c r="G135" s="20" t="n">
        <v>1011</v>
      </c>
      <c r="H135" s="20" t="n">
        <v>1937</v>
      </c>
      <c r="I135" s="20" t="n">
        <v>1989</v>
      </c>
      <c r="J135" s="20" t="n">
        <v>2087</v>
      </c>
      <c r="K135" s="20" t="n">
        <v>1663</v>
      </c>
      <c r="L135" s="20" t="n">
        <v>1293</v>
      </c>
    </row>
    <row r="136">
      <c r="A136" s="18" t="inlineStr">
        <is>
          <t>비지배지분</t>
        </is>
      </c>
      <c r="C136" s="20" t="n">
        <v>1166</v>
      </c>
      <c r="D136" s="20" t="n">
        <v>1302</v>
      </c>
      <c r="E136" s="20" t="n">
        <v>1383</v>
      </c>
      <c r="F136" s="20" t="n">
        <v>1447</v>
      </c>
      <c r="G136" s="20" t="n">
        <v>1440</v>
      </c>
      <c r="H136" s="20" t="n">
        <v>797</v>
      </c>
      <c r="I136" s="20" t="n">
        <v>948</v>
      </c>
      <c r="J136" s="20" t="n">
        <v>1076</v>
      </c>
      <c r="K136" s="20" t="n">
        <v>1116</v>
      </c>
      <c r="L136" s="20" t="n">
        <v>1383</v>
      </c>
    </row>
    <row r="137">
      <c r="A137" s="9" t="inlineStr">
        <is>
          <t>순자산 합계</t>
        </is>
      </c>
      <c r="C137" s="12" t="n">
        <v>357127</v>
      </c>
      <c r="D137" s="12" t="n">
        <v>366510</v>
      </c>
      <c r="E137" s="12" t="n">
        <v>382509</v>
      </c>
      <c r="F137" s="12" t="n">
        <v>386957</v>
      </c>
      <c r="G137" s="12" t="n">
        <v>381303</v>
      </c>
      <c r="H137" s="12" t="n">
        <v>279959</v>
      </c>
      <c r="I137" s="12" t="n">
        <v>314224</v>
      </c>
      <c r="J137" s="12" t="n">
        <v>347679</v>
      </c>
      <c r="K137" s="12" t="n">
        <v>352064</v>
      </c>
      <c r="L137" s="12" t="n">
        <v>382509</v>
      </c>
    </row>
    <row r="138">
      <c r="A138" s="9" t="inlineStr">
        <is>
          <t>부채·순자산 합계</t>
        </is>
      </c>
      <c r="C138" s="12" t="n">
        <v>425756</v>
      </c>
      <c r="D138" s="12" t="n">
        <v>438099</v>
      </c>
      <c r="E138" s="12" t="n">
        <v>464969</v>
      </c>
      <c r="F138" s="12" t="n">
        <v>473910</v>
      </c>
      <c r="G138" s="12" t="n">
        <v>478086</v>
      </c>
      <c r="H138" s="12" t="n">
        <v>347390</v>
      </c>
      <c r="I138" s="12" t="n">
        <v>378458</v>
      </c>
      <c r="J138" s="12" t="n">
        <v>413517</v>
      </c>
      <c r="K138" s="12" t="n">
        <v>419574</v>
      </c>
      <c r="L138" s="12" t="n">
        <v>464969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9962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1H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2736.1</v>
      </c>
      <c r="C6" s="56" t="inlineStr">
        <is>
          <t>2단계 보고서 자료(회사 설명회 자료·공시)</t>
        </is>
      </c>
    </row>
    <row r="7">
      <c r="A7" s="54" t="inlineStr">
        <is>
          <t>매출 YoY</t>
        </is>
      </c>
      <c r="B7" s="55" t="n">
        <v>32.9</v>
      </c>
    </row>
    <row r="8">
      <c r="A8" s="54" t="inlineStr">
        <is>
          <t>영업이익</t>
        </is>
      </c>
      <c r="B8" s="55" t="n">
        <v>371.3</v>
      </c>
    </row>
    <row r="9">
      <c r="A9" s="54" t="inlineStr">
        <is>
          <t>영업이익 YoY</t>
        </is>
      </c>
      <c r="B9" s="55" t="n">
        <v>89.8</v>
      </c>
    </row>
    <row r="10">
      <c r="A10" s="54" t="inlineStr">
        <is>
          <t>ord</t>
        </is>
      </c>
      <c r="B10" s="55" t="n">
        <v>370.6</v>
      </c>
    </row>
    <row r="11">
      <c r="A11" s="54" t="inlineStr">
        <is>
          <t>순이익</t>
        </is>
      </c>
      <c r="B11" s="55" t="n">
        <v>250.4</v>
      </c>
    </row>
    <row r="12">
      <c r="A12" s="54" t="inlineStr">
        <is>
          <t>순이익 YoY</t>
        </is>
      </c>
      <c r="B12" s="55" t="n">
        <v>78.90000000000001</v>
      </c>
    </row>
    <row r="13">
      <c r="A13" s="54" t="inlineStr">
        <is>
          <t>EPS</t>
        </is>
      </c>
      <c r="B13" s="55" t="n">
        <v>95.05</v>
      </c>
    </row>
    <row r="15">
      <c r="A15" s="52" t="inlineStr">
        <is>
          <t>this results · 2Q standalone</t>
        </is>
      </c>
      <c r="B15" s="52" t="n"/>
      <c r="C15" s="52" t="n"/>
    </row>
    <row r="16">
      <c r="A16" s="53" t="inlineStr">
        <is>
          <t>항목</t>
        </is>
      </c>
      <c r="B16" s="53" t="inlineStr">
        <is>
          <t>값</t>
        </is>
      </c>
      <c r="C16" s="53" t="inlineStr">
        <is>
          <t>출처</t>
        </is>
      </c>
    </row>
    <row r="17">
      <c r="A17" s="54" t="inlineStr">
        <is>
          <t>매출</t>
        </is>
      </c>
      <c r="B17" s="55" t="n">
        <v>1421.7</v>
      </c>
      <c r="C17" s="56" t="inlineStr">
        <is>
          <t>2단계 보고서 자료(회사 설명회 자료·공시)</t>
        </is>
      </c>
    </row>
    <row r="18">
      <c r="A18" s="54" t="inlineStr">
        <is>
          <t>gp</t>
        </is>
      </c>
      <c r="B18" s="55" t="n">
        <v>689.1</v>
      </c>
    </row>
    <row r="19">
      <c r="A19" s="54" t="inlineStr">
        <is>
          <t>sga</t>
        </is>
      </c>
      <c r="B19" s="55" t="n">
        <v>496.2</v>
      </c>
    </row>
    <row r="20">
      <c r="A20" s="54" t="inlineStr">
        <is>
          <t>영업이익</t>
        </is>
      </c>
      <c r="B20" s="55" t="n">
        <v>192.9</v>
      </c>
    </row>
    <row r="21">
      <c r="A21" s="54" t="inlineStr">
        <is>
          <t>순이익</t>
        </is>
      </c>
      <c r="B21" s="55" t="n">
        <v>133.3</v>
      </c>
    </row>
    <row r="22">
      <c r="A22" s="54" t="inlineStr">
        <is>
          <t>EPS</t>
        </is>
      </c>
      <c r="B22" s="55" t="n">
        <v>50.82</v>
      </c>
    </row>
    <row r="24">
      <c r="A24" s="52" t="inlineStr">
        <is>
          <t>this results · dividend</t>
        </is>
      </c>
      <c r="B24" s="52" t="n"/>
      <c r="C24" s="52" t="n"/>
    </row>
    <row r="25">
      <c r="A25" s="53" t="inlineStr">
        <is>
          <t>항목</t>
        </is>
      </c>
      <c r="B25" s="53" t="inlineStr">
        <is>
          <t>값</t>
        </is>
      </c>
      <c r="C25" s="53" t="inlineStr">
        <is>
          <t>출처</t>
        </is>
      </c>
    </row>
    <row r="26">
      <c r="A26" s="54" t="inlineStr">
        <is>
          <t>interim</t>
        </is>
      </c>
      <c r="B26" s="55" t="n">
        <v>33.61</v>
      </c>
      <c r="C26" s="56" t="inlineStr">
        <is>
          <t>2단계 보고서 자료(회사 설명회 자료·공시)</t>
        </is>
      </c>
    </row>
    <row r="27">
      <c r="A27" s="54" t="inlineStr">
        <is>
          <t>interim 직전 fc</t>
        </is>
      </c>
      <c r="B27" s="55" t="n">
        <v>30.92</v>
      </c>
    </row>
    <row r="28">
      <c r="A28" s="54" t="inlineStr">
        <is>
          <t>interim ly</t>
        </is>
      </c>
      <c r="B28" s="55" t="n">
        <v>18.02</v>
      </c>
    </row>
    <row r="29">
      <c r="A29" s="54" t="inlineStr">
        <is>
          <t>FY fc</t>
        </is>
      </c>
      <c r="B29" s="55" t="n">
        <v>70.34</v>
      </c>
    </row>
    <row r="30">
      <c r="A30" s="54" t="inlineStr">
        <is>
          <t>FY 직전 fc</t>
        </is>
      </c>
      <c r="B30" s="55" t="n">
        <v>59.45</v>
      </c>
    </row>
    <row r="31">
      <c r="A31" s="54" t="inlineStr">
        <is>
          <t>FY ly</t>
        </is>
      </c>
      <c r="B31" s="55" t="n">
        <v>52.98</v>
      </c>
    </row>
    <row r="33">
      <c r="A33" s="52" t="inlineStr">
        <is>
          <t>this results · nonop 1H</t>
        </is>
      </c>
      <c r="B33" s="52" t="n"/>
      <c r="C33" s="52" t="n"/>
    </row>
    <row r="34">
      <c r="A34" s="53" t="inlineStr">
        <is>
          <t>항목</t>
        </is>
      </c>
      <c r="B34" s="53" t="inlineStr">
        <is>
          <t>값</t>
        </is>
      </c>
      <c r="C34" s="53" t="inlineStr">
        <is>
          <t>출처</t>
        </is>
      </c>
    </row>
    <row r="35">
      <c r="A35" s="54" t="inlineStr">
        <is>
          <t>이자수익</t>
        </is>
      </c>
      <c r="B35" s="55" t="n">
        <v>8.449999999999999</v>
      </c>
      <c r="C35" s="56" t="inlineStr">
        <is>
          <t>2단계 보고서 자료(회사 설명회 자료·공시)</t>
        </is>
      </c>
    </row>
    <row r="36">
      <c r="A36" s="54" t="inlineStr">
        <is>
          <t>잡수입</t>
        </is>
      </c>
      <c r="B36" s="55" t="n">
        <v>3.53</v>
      </c>
    </row>
    <row r="37">
      <c r="A37" s="54" t="inlineStr">
        <is>
          <t>영업외수익</t>
        </is>
      </c>
      <c r="B37" s="55" t="n">
        <v>11.99</v>
      </c>
    </row>
    <row r="38">
      <c r="A38" s="54" t="inlineStr">
        <is>
          <t>이자비용</t>
        </is>
      </c>
      <c r="B38" s="55" t="n">
        <v>2.19</v>
      </c>
    </row>
    <row r="39">
      <c r="A39" s="54" t="inlineStr">
        <is>
          <t>환차손</t>
        </is>
      </c>
      <c r="B39" s="55" t="n">
        <v>6.98</v>
      </c>
    </row>
    <row r="40">
      <c r="A40" s="54" t="inlineStr">
        <is>
          <t>잡손실</t>
        </is>
      </c>
      <c r="B40" s="55" t="n">
        <v>3.49</v>
      </c>
    </row>
    <row r="41">
      <c r="A41" s="54" t="inlineStr">
        <is>
          <t>영업외비용</t>
        </is>
      </c>
      <c r="B41" s="55" t="n">
        <v>12.73</v>
      </c>
    </row>
    <row r="42">
      <c r="A42" s="54" t="inlineStr">
        <is>
          <t>경상</t>
        </is>
      </c>
      <c r="B42" s="55" t="n">
        <v>370.6</v>
      </c>
    </row>
    <row r="43">
      <c r="A43" s="54" t="inlineStr">
        <is>
          <t>특별이익</t>
        </is>
      </c>
      <c r="B43" s="55" t="n">
        <v>5</v>
      </c>
    </row>
    <row r="44">
      <c r="A44" s="54" t="inlineStr">
        <is>
          <t>관계회사청산익</t>
        </is>
      </c>
      <c r="B44" s="55" t="n">
        <v>4.61</v>
      </c>
    </row>
    <row r="45">
      <c r="A45" s="54" t="inlineStr">
        <is>
          <t>특별손실</t>
        </is>
      </c>
      <c r="B45" s="55" t="n">
        <v>1.55</v>
      </c>
    </row>
    <row r="46">
      <c r="A46" s="54" t="inlineStr">
        <is>
          <t>감손</t>
        </is>
      </c>
      <c r="B46" s="55" t="n">
        <v>1.55</v>
      </c>
    </row>
    <row r="47">
      <c r="A47" s="54" t="inlineStr">
        <is>
          <t>세전</t>
        </is>
      </c>
      <c r="B47" s="55" t="n">
        <v>374</v>
      </c>
    </row>
    <row r="48">
      <c r="A48" s="54" t="inlineStr">
        <is>
          <t>법인세</t>
        </is>
      </c>
      <c r="B48" s="55" t="n">
        <v>122.9</v>
      </c>
    </row>
    <row r="50">
      <c r="A50" s="52" t="inlineStr">
        <is>
          <t>this results · nonop 1H 직전</t>
        </is>
      </c>
      <c r="B50" s="52" t="n"/>
      <c r="C50" s="52" t="n"/>
    </row>
    <row r="51">
      <c r="A51" s="53" t="inlineStr">
        <is>
          <t>항목</t>
        </is>
      </c>
      <c r="B51" s="53" t="inlineStr">
        <is>
          <t>값</t>
        </is>
      </c>
      <c r="C51" s="53" t="inlineStr">
        <is>
          <t>출처</t>
        </is>
      </c>
    </row>
    <row r="52">
      <c r="A52" s="54" t="inlineStr">
        <is>
          <t>이자수익</t>
        </is>
      </c>
      <c r="B52" s="55" t="n">
        <v>11.24</v>
      </c>
      <c r="C52" s="56" t="inlineStr">
        <is>
          <t>2단계 보고서 자료(회사 설명회 자료·공시)</t>
        </is>
      </c>
    </row>
    <row r="53">
      <c r="A53" s="54" t="inlineStr">
        <is>
          <t>잡수입</t>
        </is>
      </c>
      <c r="B53" s="55" t="n">
        <v>3</v>
      </c>
    </row>
    <row r="54">
      <c r="A54" s="54" t="inlineStr">
        <is>
          <t>영업외수익</t>
        </is>
      </c>
      <c r="B54" s="55" t="n">
        <v>14.24</v>
      </c>
    </row>
    <row r="55">
      <c r="A55" s="54" t="inlineStr">
        <is>
          <t>이자비용</t>
        </is>
      </c>
      <c r="B55" s="55" t="n">
        <v>0.62</v>
      </c>
    </row>
    <row r="56">
      <c r="A56" s="54" t="inlineStr">
        <is>
          <t>환차손</t>
        </is>
      </c>
      <c r="B56" s="55" t="n">
        <v>5.17</v>
      </c>
    </row>
    <row r="57">
      <c r="A57" s="54" t="inlineStr">
        <is>
          <t>영업외비용</t>
        </is>
      </c>
      <c r="B57" s="55" t="n">
        <v>6.46</v>
      </c>
    </row>
    <row r="58">
      <c r="A58" s="54" t="inlineStr">
        <is>
          <t>경상</t>
        </is>
      </c>
      <c r="B58" s="55" t="n">
        <v>203.4</v>
      </c>
    </row>
    <row r="59">
      <c r="A59" s="54" t="inlineStr">
        <is>
          <t>특별손실</t>
        </is>
      </c>
      <c r="B59" s="55" t="n">
        <v>5.04</v>
      </c>
    </row>
    <row r="60">
      <c r="A60" s="54" t="inlineStr">
        <is>
          <t>세전</t>
        </is>
      </c>
      <c r="B60" s="55" t="n">
        <v>198.3</v>
      </c>
    </row>
    <row r="61">
      <c r="A61" s="54" t="inlineStr">
        <is>
          <t>법인세</t>
        </is>
      </c>
      <c r="B61" s="55" t="n">
        <v>57.6</v>
      </c>
    </row>
    <row r="63">
      <c r="A63" s="52" t="inlineStr">
        <is>
          <t>this results · cf 1H</t>
        </is>
      </c>
      <c r="B63" s="52" t="n"/>
      <c r="C63" s="52" t="n"/>
    </row>
    <row r="64">
      <c r="A64" s="53" t="inlineStr">
        <is>
          <t>항목</t>
        </is>
      </c>
      <c r="B64" s="53" t="inlineStr">
        <is>
          <t>값</t>
        </is>
      </c>
      <c r="C64" s="53" t="inlineStr">
        <is>
          <t>출처</t>
        </is>
      </c>
    </row>
    <row r="65">
      <c r="A65" s="54" t="inlineStr">
        <is>
          <t>ocf</t>
        </is>
      </c>
      <c r="B65" s="55" t="n">
        <v>323.5</v>
      </c>
      <c r="C65" s="56" t="inlineStr">
        <is>
          <t>2단계 보고서 자료(회사 설명회 자료·공시)</t>
        </is>
      </c>
    </row>
    <row r="66">
      <c r="A66" s="54" t="inlineStr">
        <is>
          <t>설비투자</t>
        </is>
      </c>
      <c r="B66" s="55" t="n">
        <v>-76.3</v>
      </c>
    </row>
    <row r="67">
      <c r="A67" s="54" t="inlineStr">
        <is>
          <t>buyback</t>
        </is>
      </c>
      <c r="B67" s="55" t="n">
        <v>-159.1</v>
      </c>
    </row>
    <row r="68">
      <c r="A68" s="54" t="inlineStr">
        <is>
          <t>div</t>
        </is>
      </c>
      <c r="B68" s="55" t="n">
        <v>-92.59999999999999</v>
      </c>
    </row>
    <row r="70">
      <c r="A70" s="52" t="inlineStr">
        <is>
          <t>this results · bs 0930</t>
        </is>
      </c>
      <c r="B70" s="52" t="n"/>
      <c r="C70" s="52" t="n"/>
    </row>
    <row r="71">
      <c r="A71" s="53" t="inlineStr">
        <is>
          <t>항목</t>
        </is>
      </c>
      <c r="B71" s="53" t="inlineStr">
        <is>
          <t>값</t>
        </is>
      </c>
      <c r="C71" s="53" t="inlineStr">
        <is>
          <t>출처</t>
        </is>
      </c>
    </row>
    <row r="72">
      <c r="A72" s="54" t="inlineStr">
        <is>
          <t>cash</t>
        </is>
      </c>
      <c r="B72" s="55" t="n">
        <v>1107.1</v>
      </c>
      <c r="C72" s="56" t="inlineStr">
        <is>
          <t>2단계 보고서 자료(회사 설명회 자료·공시)</t>
        </is>
      </c>
    </row>
    <row r="73">
      <c r="A73" s="54" t="inlineStr">
        <is>
          <t>합계 assets</t>
        </is>
      </c>
      <c r="B73" s="55" t="n">
        <v>4780.9</v>
      </c>
    </row>
    <row r="74">
      <c r="A74" s="54" t="inlineStr">
        <is>
          <t>equity ratio</t>
        </is>
      </c>
      <c r="B74" s="55" t="n">
        <v>79.2</v>
      </c>
    </row>
    <row r="75">
      <c r="A75" s="54" t="inlineStr">
        <is>
          <t>goodwill</t>
        </is>
      </c>
      <c r="B75" s="55" t="n">
        <v>417.5</v>
      </c>
    </row>
    <row r="77">
      <c r="A77" s="52" t="inlineStr">
        <is>
          <t>this results · 컨센서스 2Q 매출</t>
        </is>
      </c>
      <c r="B77" s="52" t="n"/>
      <c r="C77" s="52" t="n"/>
    </row>
    <row r="78">
      <c r="A78" s="53" t="inlineStr">
        <is>
          <t>항목</t>
        </is>
      </c>
      <c r="B78" s="53" t="inlineStr">
        <is>
          <t>값</t>
        </is>
      </c>
      <c r="C78" s="53" t="inlineStr">
        <is>
          <t>출처</t>
        </is>
      </c>
    </row>
    <row r="79">
      <c r="A79" s="54" t="inlineStr">
        <is>
          <t>avg</t>
        </is>
      </c>
      <c r="B79" s="55" t="n">
        <v>1341.8</v>
      </c>
      <c r="C79" s="56" t="inlineStr">
        <is>
          <t>2단계 보고서 자료(회사 설명회 자료·공시)</t>
        </is>
      </c>
    </row>
    <row r="80">
      <c r="A80" s="54" t="inlineStr">
        <is>
          <t>애널리스트 수</t>
        </is>
      </c>
      <c r="B80" s="57" t="n">
        <v>2</v>
      </c>
    </row>
    <row r="82">
      <c r="A82" s="52" t="inlineStr">
        <is>
          <t>컨센서스</t>
        </is>
      </c>
      <c r="B82" s="52" t="n"/>
      <c r="C82" s="52" t="n"/>
    </row>
    <row r="83">
      <c r="A83" s="53" t="inlineStr">
        <is>
          <t>항목</t>
        </is>
      </c>
      <c r="B83" s="53" t="inlineStr">
        <is>
          <t>값</t>
        </is>
      </c>
      <c r="C83" s="53" t="inlineStr">
        <is>
          <t>출처</t>
        </is>
      </c>
    </row>
    <row r="84">
      <c r="A84" s="54" t="inlineStr">
        <is>
          <t>가격</t>
        </is>
      </c>
      <c r="B84" s="57" t="n">
        <v>3714</v>
      </c>
      <c r="C84" s="56" t="inlineStr">
        <is>
          <t>2단계 보고서 자료(회사 설명회 자료·공시)</t>
        </is>
      </c>
    </row>
    <row r="85">
      <c r="A85" s="54" t="inlineStr">
        <is>
          <t>rating 평균</t>
        </is>
      </c>
      <c r="B85" s="55" t="n">
        <v>1.8</v>
      </c>
    </row>
    <row r="87">
      <c r="A87" s="52" t="inlineStr">
        <is>
          <t>consensus · FY3/27</t>
        </is>
      </c>
      <c r="B87" s="52" t="n"/>
      <c r="C87" s="52" t="n"/>
    </row>
    <row r="88">
      <c r="A88" s="53" t="inlineStr">
        <is>
          <t>항목</t>
        </is>
      </c>
      <c r="B88" s="53" t="inlineStr">
        <is>
          <t>값</t>
        </is>
      </c>
      <c r="C88" s="53" t="inlineStr">
        <is>
          <t>출처</t>
        </is>
      </c>
    </row>
    <row r="89">
      <c r="A89" s="54" t="inlineStr">
        <is>
          <t>매출</t>
        </is>
      </c>
      <c r="B89" s="55" t="n">
        <v>5420.5</v>
      </c>
      <c r="C89" s="56" t="inlineStr">
        <is>
          <t>2단계 보고서 자료(회사 설명회 자료·공시)</t>
        </is>
      </c>
    </row>
    <row r="90">
      <c r="A90" s="54" t="inlineStr">
        <is>
          <t>EPS</t>
        </is>
      </c>
      <c r="B90" s="55" t="n">
        <v>200.85</v>
      </c>
    </row>
    <row r="91">
      <c r="A91" s="54" t="inlineStr">
        <is>
          <t>애널리스트 수</t>
        </is>
      </c>
      <c r="B91" s="57" t="n">
        <v>4</v>
      </c>
    </row>
    <row r="93">
      <c r="A93" s="52" t="inlineStr">
        <is>
          <t>consensus · FY3/28</t>
        </is>
      </c>
      <c r="B93" s="52" t="n"/>
      <c r="C93" s="52" t="n"/>
    </row>
    <row r="94">
      <c r="A94" s="53" t="inlineStr">
        <is>
          <t>항목</t>
        </is>
      </c>
      <c r="B94" s="53" t="inlineStr">
        <is>
          <t>값</t>
        </is>
      </c>
      <c r="C94" s="53" t="inlineStr">
        <is>
          <t>출처</t>
        </is>
      </c>
    </row>
    <row r="95">
      <c r="A95" s="54" t="inlineStr">
        <is>
          <t>매출</t>
        </is>
      </c>
      <c r="B95" s="55" t="n">
        <v>5780.4</v>
      </c>
      <c r="C95" s="56" t="inlineStr">
        <is>
          <t>2단계 보고서 자료(회사 설명회 자료·공시)</t>
        </is>
      </c>
    </row>
    <row r="96">
      <c r="A96" s="54" t="inlineStr">
        <is>
          <t>EPS</t>
        </is>
      </c>
      <c r="B96" s="55" t="n">
        <v>216.35</v>
      </c>
    </row>
    <row r="97">
      <c r="A97" s="54" t="inlineStr">
        <is>
          <t>애널리스트 수</t>
        </is>
      </c>
      <c r="B97" s="57" t="n">
        <v>5</v>
      </c>
    </row>
    <row r="99">
      <c r="A99" s="52" t="inlineStr">
        <is>
          <t>컨센서스 · 목표주가</t>
        </is>
      </c>
      <c r="B99" s="52" t="n"/>
      <c r="C99" s="52" t="n"/>
    </row>
    <row r="100">
      <c r="A100" s="53" t="inlineStr">
        <is>
          <t>항목</t>
        </is>
      </c>
      <c r="B100" s="53" t="inlineStr">
        <is>
          <t>값</t>
        </is>
      </c>
      <c r="C100" s="53" t="inlineStr">
        <is>
          <t>출처</t>
        </is>
      </c>
    </row>
    <row r="101">
      <c r="A101" s="54" t="inlineStr">
        <is>
          <t>평균</t>
        </is>
      </c>
      <c r="B101" s="57" t="n">
        <v>5130</v>
      </c>
      <c r="C101" s="56" t="inlineStr">
        <is>
          <t>2단계 보고서 자료(회사 설명회 자료·공시)</t>
        </is>
      </c>
    </row>
    <row r="102">
      <c r="A102" s="54" t="inlineStr">
        <is>
          <t>중앙값</t>
        </is>
      </c>
      <c r="B102" s="57" t="n">
        <v>4700</v>
      </c>
    </row>
    <row r="103">
      <c r="A103" s="54" t="inlineStr">
        <is>
          <t>최고</t>
        </is>
      </c>
      <c r="B103" s="57" t="n">
        <v>6800</v>
      </c>
    </row>
    <row r="104">
      <c r="A104" s="54" t="inlineStr">
        <is>
          <t>최저</t>
        </is>
      </c>
      <c r="B104" s="57" t="n">
        <v>4250</v>
      </c>
    </row>
    <row r="105">
      <c r="A105" s="54" t="inlineStr">
        <is>
          <t>애널리스트 수</t>
        </is>
      </c>
      <c r="B105" s="57" t="n">
        <v>5</v>
      </c>
    </row>
    <row r="107">
      <c r="A107" s="52" t="inlineStr">
        <is>
          <t>밸류에이션 now</t>
        </is>
      </c>
      <c r="B107" s="52" t="n"/>
      <c r="C107" s="52" t="n"/>
    </row>
    <row r="108">
      <c r="A108" s="53" t="inlineStr">
        <is>
          <t>항목</t>
        </is>
      </c>
      <c r="B108" s="53" t="inlineStr">
        <is>
          <t>값</t>
        </is>
      </c>
      <c r="C108" s="53" t="inlineStr">
        <is>
          <t>출처</t>
        </is>
      </c>
    </row>
    <row r="109">
      <c r="A109" s="54" t="inlineStr">
        <is>
          <t>mcap_억엔</t>
        </is>
      </c>
      <c r="B109" s="55" t="n">
        <v>9708</v>
      </c>
      <c r="C109" s="56" t="inlineStr">
        <is>
          <t>2단계 보고서 자료(회사 설명회 자료·공시)</t>
        </is>
      </c>
    </row>
    <row r="110">
      <c r="A110" s="54" t="inlineStr">
        <is>
          <t>PER 가이던스</t>
        </is>
      </c>
      <c r="B110" s="55" t="n">
        <v>18.6</v>
      </c>
    </row>
    <row r="111">
      <c r="A111" s="54" t="inlineStr">
        <is>
          <t>div yield %</t>
        </is>
      </c>
      <c r="B111" s="55" t="n">
        <v>1.89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https://www2.jpx.co.jp/disc/99620/140120261029560005.pdf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https://www2.jpx.co.jp/disc/99620/140120260730504270.pdf</t>
        </is>
      </c>
    </row>
    <row r="6">
      <c r="A6" t="inlineStr">
        <is>
          <t>2026-04-30</t>
        </is>
      </c>
      <c r="B6" t="inlineStr">
        <is>
          <t>2026년 3월 결산기 연간 결산단신</t>
        </is>
      </c>
      <c r="C6" t="inlineStr">
        <is>
          <t>https://www2.jpx.co.jp/disc/99620/140120260430514823.pdf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https://www2.jpx.co.jp/disc/99620/140120260129541423.pdf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https://www2.jpx.co.jp/disc/99620/140120251030582536.pdf</t>
        </is>
      </c>
    </row>
    <row r="9">
      <c r="A9" t="inlineStr">
        <is>
          <t>2025-07-25</t>
        </is>
      </c>
      <c r="B9" t="inlineStr">
        <is>
          <t>2026년 3월 결산기 1분기 결산단신</t>
        </is>
      </c>
      <c r="C9" t="inlineStr">
        <is>
          <t>https://www2.jpx.co.jp/disc/99620/140120250724520043.pdf</t>
        </is>
      </c>
    </row>
    <row r="10">
      <c r="A10" t="inlineStr">
        <is>
          <t>2025-04-25</t>
        </is>
      </c>
      <c r="B10" t="inlineStr">
        <is>
          <t>2025년 3월 결산기 연간 결산단신</t>
        </is>
      </c>
      <c r="C10" t="inlineStr">
        <is>
          <t>https://www2.jpx.co.jp/disc/99620/140120250424523292.pdf</t>
        </is>
      </c>
    </row>
    <row r="11">
      <c r="A11" t="inlineStr">
        <is>
          <t>2025-01-31</t>
        </is>
      </c>
      <c r="B11" t="inlineStr">
        <is>
          <t>2025년 3월 결산기 3분기 결산단신</t>
        </is>
      </c>
      <c r="C11" t="inlineStr">
        <is>
          <t>https://www2.jpx.co.jp/disc/99620/140120250127555807.pdf</t>
        </is>
      </c>
    </row>
    <row r="12">
      <c r="A12" t="inlineStr">
        <is>
          <t>2024-10-25</t>
        </is>
      </c>
      <c r="B12" t="inlineStr">
        <is>
          <t>2025년 3월 결산기 2분기 결산단신</t>
        </is>
      </c>
      <c r="C12" t="inlineStr">
        <is>
          <t>https://www2.jpx.co.jp/disc/99620/140120241024502183.pdf</t>
        </is>
      </c>
    </row>
    <row r="13">
      <c r="A13" t="inlineStr">
        <is>
          <t>2024-07-26</t>
        </is>
      </c>
      <c r="B13" t="inlineStr">
        <is>
          <t>2025년 3월 결산기 1분기 결산단신</t>
        </is>
      </c>
      <c r="C13" t="inlineStr">
        <is>
          <t>https://www2.jpx.co.jp/disc/99620/140120240725554927.pdf</t>
        </is>
      </c>
    </row>
    <row r="14">
      <c r="A14" t="inlineStr">
        <is>
          <t>2024-04-26</t>
        </is>
      </c>
      <c r="B14" t="inlineStr">
        <is>
          <t>2024년 3월 결산기 연간 결산단신</t>
        </is>
      </c>
      <c r="C14" t="inlineStr">
        <is>
          <t>https://www2.jpx.co.jp/disc/99620/140120240426578162.pdf</t>
        </is>
      </c>
    </row>
    <row r="15">
      <c r="A15" t="inlineStr">
        <is>
          <t>2024-01-26</t>
        </is>
      </c>
      <c r="B15" t="inlineStr">
        <is>
          <t>2024년 3월 결산기 3분기 결산단신</t>
        </is>
      </c>
      <c r="C15" t="inlineStr">
        <is>
          <t>https://www2.jpx.co.jp/disc/99620/140120240125519560.pdf</t>
        </is>
      </c>
    </row>
    <row r="16">
      <c r="A16" t="inlineStr">
        <is>
          <t>2023-10-26</t>
        </is>
      </c>
      <c r="B16" t="inlineStr">
        <is>
          <t>2024년 3월 결산기 2분기 결산단신</t>
        </is>
      </c>
      <c r="C16" t="inlineStr">
        <is>
          <t>https://www2.jpx.co.jp/disc/99620/140120231025571692.pdf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https://www2.jpx.co.jp/disc/99620/140120230727528573.pdf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https://www2.jpx.co.jp/disc/99620/140120230427554258.pdf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https://www2.jpx.co.jp/disc/99620/140120230127594514.pdf</t>
        </is>
      </c>
    </row>
    <row r="20">
      <c r="A20" t="inlineStr">
        <is>
          <t>2022-05-06</t>
        </is>
      </c>
      <c r="B20" t="inlineStr">
        <is>
          <t>2022년 3월 결산기 연간 결산단신</t>
        </is>
      </c>
      <c r="C20" t="inlineStr">
        <is>
          <t>https://www2.jpx.co.jp/disc/99620/140120220426528133.pdf</t>
        </is>
      </c>
    </row>
    <row r="21">
      <c r="A21" t="inlineStr">
        <is>
          <t>2021-05-06</t>
        </is>
      </c>
      <c r="B21" t="inlineStr">
        <is>
          <t>2021년 3월 결산기 연간 결산단신</t>
        </is>
      </c>
      <c r="C21" t="inlineStr">
        <is>
          <t>https://www2.jpx.co.jp/disc/99620/140120210505405412.pdf</t>
        </is>
      </c>
    </row>
    <row r="22">
      <c r="A22" t="inlineStr">
        <is>
          <t>2020-05-07</t>
        </is>
      </c>
      <c r="B22" t="inlineStr">
        <is>
          <t>2020년 3월 결산기 연간 결산단신</t>
        </is>
      </c>
      <c r="C22" t="inlineStr">
        <is>
          <t>https://www2.jpx.co.jp/disc/99620/140120200506404772.pdf</t>
        </is>
      </c>
    </row>
    <row r="23">
      <c r="A23" t="inlineStr">
        <is>
          <t>2019-05-09</t>
        </is>
      </c>
      <c r="B23" t="inlineStr">
        <is>
          <t>연간 결산단신</t>
        </is>
      </c>
      <c r="C23" t="inlineStr">
        <is>
          <t>https://www2.jpx.co.jp/disc/99620/140120190509418463.pdf</t>
        </is>
      </c>
    </row>
    <row r="24">
      <c r="A24" t="inlineStr">
        <is>
          <t>2018-05-10</t>
        </is>
      </c>
      <c r="B24" t="inlineStr">
        <is>
          <t>연간 결산단신</t>
        </is>
      </c>
      <c r="C24" t="inlineStr">
        <is>
          <t>https://www2.jpx.co.jp/disc/99620/140120180510432731.pdf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9962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36건(2018-01-30~2026-10-30).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4Q16</t>
        </is>
      </c>
      <c r="C4" s="62" t="inlineStr">
        <is>
          <t>1Q17</t>
        </is>
      </c>
      <c r="D4" s="62" t="inlineStr">
        <is>
          <t>2Q17</t>
        </is>
      </c>
      <c r="E4" s="62" t="inlineStr">
        <is>
          <t>3Q17</t>
        </is>
      </c>
      <c r="F4" s="62" t="inlineStr">
        <is>
          <t>4Q17</t>
        </is>
      </c>
      <c r="G4" s="62" t="inlineStr">
        <is>
          <t>1Q18</t>
        </is>
      </c>
      <c r="H4" s="62" t="inlineStr">
        <is>
          <t>2Q18</t>
        </is>
      </c>
      <c r="I4" s="62" t="inlineStr">
        <is>
          <t>3Q18</t>
        </is>
      </c>
      <c r="J4" s="62" t="inlineStr">
        <is>
          <t>4Q18</t>
        </is>
      </c>
      <c r="K4" s="62" t="inlineStr">
        <is>
          <t>1Q19</t>
        </is>
      </c>
      <c r="L4" s="62" t="inlineStr">
        <is>
          <t>2Q19</t>
        </is>
      </c>
      <c r="M4" s="62" t="inlineStr">
        <is>
          <t>3Q19</t>
        </is>
      </c>
      <c r="N4" s="62" t="inlineStr">
        <is>
          <t>4Q19</t>
        </is>
      </c>
      <c r="O4" s="62" t="inlineStr">
        <is>
          <t>1Q20</t>
        </is>
      </c>
      <c r="P4" s="62" t="inlineStr">
        <is>
          <t>2Q20</t>
        </is>
      </c>
      <c r="Q4" s="62" t="inlineStr">
        <is>
          <t>3Q20</t>
        </is>
      </c>
      <c r="R4" s="62" t="inlineStr">
        <is>
          <t>4Q20</t>
        </is>
      </c>
      <c r="S4" s="62" t="inlineStr">
        <is>
          <t>1Q21</t>
        </is>
      </c>
      <c r="T4" s="62" t="inlineStr">
        <is>
          <t>2Q21</t>
        </is>
      </c>
      <c r="U4" s="62" t="inlineStr">
        <is>
          <t>3Q21</t>
        </is>
      </c>
      <c r="V4" s="62" t="inlineStr">
        <is>
          <t>4Q21</t>
        </is>
      </c>
      <c r="W4" s="62" t="inlineStr">
        <is>
          <t>1Q22</t>
        </is>
      </c>
      <c r="X4" s="62" t="inlineStr">
        <is>
          <t>2Q22</t>
        </is>
      </c>
      <c r="Y4" s="62" t="inlineStr">
        <is>
          <t>3Q22</t>
        </is>
      </c>
      <c r="Z4" s="62" t="inlineStr">
        <is>
          <t>4Q22</t>
        </is>
      </c>
      <c r="AA4" s="62" t="inlineStr">
        <is>
          <t>1Q23</t>
        </is>
      </c>
      <c r="AB4" s="62" t="inlineStr">
        <is>
          <t>2Q23</t>
        </is>
      </c>
      <c r="AC4" s="62" t="inlineStr">
        <is>
          <t>3Q23</t>
        </is>
      </c>
      <c r="AD4" s="62" t="inlineStr">
        <is>
          <t>4Q23</t>
        </is>
      </c>
      <c r="AE4" s="62" t="inlineStr">
        <is>
          <t>1Q24</t>
        </is>
      </c>
      <c r="AF4" s="62" t="inlineStr">
        <is>
          <t>2Q24</t>
        </is>
      </c>
      <c r="AG4" s="62" t="inlineStr">
        <is>
          <t>3Q24</t>
        </is>
      </c>
      <c r="AH4" s="62" t="inlineStr">
        <is>
          <t>4Q24</t>
        </is>
      </c>
      <c r="AI4" s="62" t="inlineStr">
        <is>
          <t>1Q25</t>
        </is>
      </c>
      <c r="AJ4" s="62" t="inlineStr">
        <is>
          <t>2Q25</t>
        </is>
      </c>
      <c r="AK4" s="62" t="inlineStr">
        <is>
          <t>3Q25</t>
        </is>
      </c>
      <c r="AL4" s="62" t="inlineStr">
        <is>
          <t>4Q25</t>
        </is>
      </c>
      <c r="AM4" s="62" t="inlineStr">
        <is>
          <t>1Q26</t>
        </is>
      </c>
      <c r="AN4" s="62" t="inlineStr">
        <is>
          <t>2Q26</t>
        </is>
      </c>
      <c r="AO4" s="62" t="inlineStr">
        <is>
          <t>3Q26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/>
      <c r="C5" s="64" t="n">
        <v>717.9</v>
      </c>
      <c r="D5" s="64" t="n">
        <v>757.7</v>
      </c>
      <c r="E5" s="64" t="n">
        <v>766.9</v>
      </c>
      <c r="F5" s="64" t="n">
        <v>785.9</v>
      </c>
      <c r="G5" s="64" t="n">
        <v>819.1</v>
      </c>
      <c r="H5" s="64" t="n">
        <v>854.3</v>
      </c>
      <c r="I5" s="64" t="n">
        <v>812.4</v>
      </c>
      <c r="J5" s="64" t="n">
        <v>830.5</v>
      </c>
      <c r="K5" s="64" t="n">
        <v>822.2</v>
      </c>
      <c r="L5" s="64" t="n">
        <v>790.4</v>
      </c>
      <c r="M5" s="64" t="n">
        <v>780.9</v>
      </c>
      <c r="N5" s="64" t="n">
        <v>786.5</v>
      </c>
      <c r="O5" s="64" t="n">
        <v>775.5</v>
      </c>
      <c r="P5" s="64" t="n">
        <v>704.8</v>
      </c>
      <c r="Q5" s="64" t="n">
        <v>728.2</v>
      </c>
      <c r="R5" s="64" t="n">
        <v>797.1</v>
      </c>
      <c r="S5" s="64" t="n">
        <v>877</v>
      </c>
      <c r="T5" s="64" t="n">
        <v>909.2</v>
      </c>
      <c r="U5" s="64" t="n">
        <v>913.1</v>
      </c>
      <c r="V5" s="64" t="n">
        <v>919.2</v>
      </c>
      <c r="W5" s="64" t="n">
        <v>920</v>
      </c>
      <c r="X5" s="64" t="n">
        <v>931</v>
      </c>
      <c r="Y5" s="64" t="n">
        <v>950.6</v>
      </c>
      <c r="Z5" s="64" t="n">
        <v>938.4</v>
      </c>
      <c r="AA5" s="64" t="n">
        <v>911.6</v>
      </c>
      <c r="AB5" s="64" t="n">
        <v>898.7</v>
      </c>
      <c r="AC5" s="64" t="n">
        <v>902.3</v>
      </c>
      <c r="AD5" s="64" t="n">
        <v>927.3</v>
      </c>
      <c r="AE5" s="64" t="n">
        <v>948.3</v>
      </c>
      <c r="AF5" s="64" t="n">
        <v>995.3</v>
      </c>
      <c r="AG5" s="64" t="n">
        <v>985</v>
      </c>
      <c r="AH5" s="64" t="n">
        <v>1035.6</v>
      </c>
      <c r="AI5" s="64" t="n">
        <v>1004</v>
      </c>
      <c r="AJ5" s="64" t="n">
        <v>993.7</v>
      </c>
      <c r="AK5" s="64" t="n">
        <v>1064.5</v>
      </c>
      <c r="AL5" s="64" t="n">
        <v>1148.5</v>
      </c>
      <c r="AM5" s="64" t="n">
        <v>1207.2</v>
      </c>
      <c r="AN5" s="64" t="n">
        <v>1314.4</v>
      </c>
      <c r="AO5" s="64" t="n">
        <v>1421.7</v>
      </c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/>
      <c r="G6" s="65" t="n">
        <v>14.1</v>
      </c>
      <c r="H6" s="65" t="n">
        <v>12.7</v>
      </c>
      <c r="I6" s="65" t="n">
        <v>5.9</v>
      </c>
      <c r="J6" s="65" t="n">
        <v>5.7</v>
      </c>
      <c r="K6" s="65" t="n">
        <v>0.4</v>
      </c>
      <c r="L6" s="65" t="n">
        <v>-7.5</v>
      </c>
      <c r="M6" s="65" t="n">
        <v>-3.9</v>
      </c>
      <c r="N6" s="65" t="n">
        <v>-5.3</v>
      </c>
      <c r="O6" s="65" t="n">
        <v>-5.7</v>
      </c>
      <c r="P6" s="65" t="n">
        <v>-10.8</v>
      </c>
      <c r="Q6" s="65" t="n">
        <v>-6.7</v>
      </c>
      <c r="R6" s="65" t="n">
        <v>1.3</v>
      </c>
      <c r="S6" s="65" t="n">
        <v>13.1</v>
      </c>
      <c r="T6" s="65" t="n">
        <v>29</v>
      </c>
      <c r="U6" s="65" t="n">
        <v>25.4</v>
      </c>
      <c r="V6" s="65" t="n">
        <v>15.3</v>
      </c>
      <c r="W6" s="65" t="n">
        <v>4.9</v>
      </c>
      <c r="X6" s="65" t="n">
        <v>2.4</v>
      </c>
      <c r="Y6" s="65" t="n">
        <v>4.1</v>
      </c>
      <c r="Z6" s="65" t="n">
        <v>2.1</v>
      </c>
      <c r="AA6" s="65" t="n">
        <v>-0.9</v>
      </c>
      <c r="AB6" s="65" t="n">
        <v>-3.5</v>
      </c>
      <c r="AC6" s="65" t="n">
        <v>-5.1</v>
      </c>
      <c r="AD6" s="65" t="n">
        <v>-1.2</v>
      </c>
      <c r="AE6" s="65" t="n">
        <v>4</v>
      </c>
      <c r="AF6" s="65" t="n">
        <v>10.7</v>
      </c>
      <c r="AG6" s="65" t="n">
        <v>9.199999999999999</v>
      </c>
      <c r="AH6" s="65" t="n">
        <v>11.7</v>
      </c>
      <c r="AI6" s="65" t="n">
        <v>5.9</v>
      </c>
      <c r="AJ6" s="65" t="n">
        <v>-0.2</v>
      </c>
      <c r="AK6" s="65" t="n">
        <v>8.1</v>
      </c>
      <c r="AL6" s="65" t="n">
        <v>10.9</v>
      </c>
      <c r="AM6" s="65" t="n">
        <v>20.2</v>
      </c>
      <c r="AN6" s="65" t="n">
        <v>32.3</v>
      </c>
      <c r="AO6" s="65" t="n">
        <v>33.6</v>
      </c>
    </row>
    <row r="7">
      <c r="A7" s="63" t="inlineStr">
        <is>
          <t>영업이익</t>
        </is>
      </c>
      <c r="B7" s="64" t="n"/>
      <c r="C7" s="64" t="n">
        <v>64</v>
      </c>
      <c r="D7" s="64" t="n">
        <v>100.2</v>
      </c>
      <c r="E7" s="64" t="n">
        <v>88.8</v>
      </c>
      <c r="F7" s="64" t="n">
        <v>82.7</v>
      </c>
      <c r="G7" s="64" t="n">
        <v>76.8</v>
      </c>
      <c r="H7" s="64" t="n">
        <v>90.3</v>
      </c>
      <c r="I7" s="64" t="n">
        <v>68.59999999999999</v>
      </c>
      <c r="J7" s="64" t="n">
        <v>68</v>
      </c>
      <c r="K7" s="64" t="n">
        <v>91.8</v>
      </c>
      <c r="L7" s="64" t="n">
        <v>58.5</v>
      </c>
      <c r="M7" s="64" t="n">
        <v>58.9</v>
      </c>
      <c r="N7" s="64" t="n">
        <v>63.7</v>
      </c>
      <c r="O7" s="64" t="n">
        <v>55.3</v>
      </c>
      <c r="P7" s="64" t="n">
        <v>41.6</v>
      </c>
      <c r="Q7" s="64" t="n">
        <v>49.7</v>
      </c>
      <c r="R7" s="64" t="n">
        <v>84.09999999999999</v>
      </c>
      <c r="S7" s="64" t="n">
        <v>96.7</v>
      </c>
      <c r="T7" s="64" t="n">
        <v>143.7</v>
      </c>
      <c r="U7" s="64" t="n">
        <v>141.3</v>
      </c>
      <c r="V7" s="64" t="n">
        <v>134</v>
      </c>
      <c r="W7" s="64" t="n">
        <v>103.1</v>
      </c>
      <c r="X7" s="64" t="n">
        <v>141.3</v>
      </c>
      <c r="Y7" s="64" t="n">
        <v>127.6</v>
      </c>
      <c r="Z7" s="64" t="n">
        <v>114.1</v>
      </c>
      <c r="AA7" s="64" t="n">
        <v>83.09999999999999</v>
      </c>
      <c r="AB7" s="64" t="n">
        <v>90</v>
      </c>
      <c r="AC7" s="64" t="n">
        <v>95.2</v>
      </c>
      <c r="AD7" s="64" t="n">
        <v>103.9</v>
      </c>
      <c r="AE7" s="64" t="n">
        <v>94.59999999999999</v>
      </c>
      <c r="AF7" s="64" t="n">
        <v>118.3</v>
      </c>
      <c r="AG7" s="64" t="n">
        <v>115.6</v>
      </c>
      <c r="AH7" s="64" t="n">
        <v>127.6</v>
      </c>
      <c r="AI7" s="64" t="n">
        <v>103.3</v>
      </c>
      <c r="AJ7" s="64" t="n">
        <v>96.3</v>
      </c>
      <c r="AK7" s="64" t="n">
        <v>99.3</v>
      </c>
      <c r="AL7" s="64" t="n">
        <v>127</v>
      </c>
      <c r="AM7" s="64" t="n">
        <v>153.5</v>
      </c>
      <c r="AN7" s="64" t="n">
        <v>178.4</v>
      </c>
      <c r="AO7" s="64" t="n">
        <v>192.9</v>
      </c>
    </row>
    <row r="8">
      <c r="A8" s="63" t="inlineStr">
        <is>
          <t>영업이익률</t>
        </is>
      </c>
      <c r="B8" s="65" t="n"/>
      <c r="C8" s="65" t="n">
        <v>8.9</v>
      </c>
      <c r="D8" s="65" t="n">
        <v>13.2</v>
      </c>
      <c r="E8" s="65" t="n">
        <v>11.6</v>
      </c>
      <c r="F8" s="65" t="n">
        <v>10.5</v>
      </c>
      <c r="G8" s="65" t="n">
        <v>9.4</v>
      </c>
      <c r="H8" s="65" t="n">
        <v>10.6</v>
      </c>
      <c r="I8" s="65" t="n">
        <v>8.4</v>
      </c>
      <c r="J8" s="65" t="n">
        <v>8.199999999999999</v>
      </c>
      <c r="K8" s="65" t="n">
        <v>11.2</v>
      </c>
      <c r="L8" s="65" t="n">
        <v>7.4</v>
      </c>
      <c r="M8" s="65" t="n">
        <v>7.5</v>
      </c>
      <c r="N8" s="65" t="n">
        <v>8.1</v>
      </c>
      <c r="O8" s="65" t="n">
        <v>7.1</v>
      </c>
      <c r="P8" s="65" t="n">
        <v>5.9</v>
      </c>
      <c r="Q8" s="65" t="n">
        <v>6.8</v>
      </c>
      <c r="R8" s="65" t="n">
        <v>10.6</v>
      </c>
      <c r="S8" s="65" t="n">
        <v>11</v>
      </c>
      <c r="T8" s="65" t="n">
        <v>15.8</v>
      </c>
      <c r="U8" s="65" t="n">
        <v>15.5</v>
      </c>
      <c r="V8" s="65" t="n">
        <v>14.6</v>
      </c>
      <c r="W8" s="65" t="n">
        <v>11.2</v>
      </c>
      <c r="X8" s="65" t="n">
        <v>15.2</v>
      </c>
      <c r="Y8" s="65" t="n">
        <v>13.4</v>
      </c>
      <c r="Z8" s="65" t="n">
        <v>12.2</v>
      </c>
      <c r="AA8" s="65" t="n">
        <v>9.1</v>
      </c>
      <c r="AB8" s="65" t="n">
        <v>10</v>
      </c>
      <c r="AC8" s="65" t="n">
        <v>10.6</v>
      </c>
      <c r="AD8" s="65" t="n">
        <v>11.2</v>
      </c>
      <c r="AE8" s="65" t="n">
        <v>10</v>
      </c>
      <c r="AF8" s="65" t="n">
        <v>11.9</v>
      </c>
      <c r="AG8" s="65" t="n">
        <v>11.7</v>
      </c>
      <c r="AH8" s="65" t="n">
        <v>12.3</v>
      </c>
      <c r="AI8" s="65" t="n">
        <v>10.3</v>
      </c>
      <c r="AJ8" s="65" t="n">
        <v>9.699999999999999</v>
      </c>
      <c r="AK8" s="65" t="n">
        <v>9.300000000000001</v>
      </c>
      <c r="AL8" s="65" t="n">
        <v>11.1</v>
      </c>
      <c r="AM8" s="65" t="n">
        <v>12.7</v>
      </c>
      <c r="AN8" s="65" t="n">
        <v>13.6</v>
      </c>
      <c r="AO8" s="65" t="n">
        <v>13.6</v>
      </c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/>
      <c r="G9" s="65" t="n">
        <v>20</v>
      </c>
      <c r="H9" s="65" t="n">
        <v>-9.9</v>
      </c>
      <c r="I9" s="65" t="n">
        <v>-22.7</v>
      </c>
      <c r="J9" s="65" t="n">
        <v>-17.8</v>
      </c>
      <c r="K9" s="65" t="n">
        <v>19.5</v>
      </c>
      <c r="L9" s="65" t="n">
        <v>-35.2</v>
      </c>
      <c r="M9" s="65" t="n">
        <v>-14.1</v>
      </c>
      <c r="N9" s="65" t="n">
        <v>-6.3</v>
      </c>
      <c r="O9" s="65" t="n">
        <v>-39.8</v>
      </c>
      <c r="P9" s="65" t="n">
        <v>-28.9</v>
      </c>
      <c r="Q9" s="65" t="n">
        <v>-15.6</v>
      </c>
      <c r="R9" s="65" t="n">
        <v>32</v>
      </c>
      <c r="S9" s="65" t="n">
        <v>74.90000000000001</v>
      </c>
      <c r="T9" s="65" t="n">
        <v>245.4</v>
      </c>
      <c r="U9" s="65" t="n">
        <v>184.3</v>
      </c>
      <c r="V9" s="65" t="n">
        <v>59.3</v>
      </c>
      <c r="W9" s="65" t="n">
        <v>6.6</v>
      </c>
      <c r="X9" s="65" t="n">
        <v>-1.7</v>
      </c>
      <c r="Y9" s="65" t="n">
        <v>-9.699999999999999</v>
      </c>
      <c r="Z9" s="65" t="n">
        <v>-14.9</v>
      </c>
      <c r="AA9" s="65" t="n">
        <v>-19.4</v>
      </c>
      <c r="AB9" s="65" t="n">
        <v>-36.3</v>
      </c>
      <c r="AC9" s="65" t="n">
        <v>-25.4</v>
      </c>
      <c r="AD9" s="65" t="n">
        <v>-8.9</v>
      </c>
      <c r="AE9" s="65" t="n">
        <v>13.8</v>
      </c>
      <c r="AF9" s="65" t="n">
        <v>31.4</v>
      </c>
      <c r="AG9" s="65" t="n">
        <v>21.4</v>
      </c>
      <c r="AH9" s="65" t="n">
        <v>22.8</v>
      </c>
      <c r="AI9" s="65" t="n">
        <v>9.199999999999999</v>
      </c>
      <c r="AJ9" s="65" t="n">
        <v>-18.6</v>
      </c>
      <c r="AK9" s="65" t="n">
        <v>-14.1</v>
      </c>
      <c r="AL9" s="65" t="n">
        <v>-0.5</v>
      </c>
      <c r="AM9" s="65" t="n">
        <v>48.6</v>
      </c>
      <c r="AN9" s="65" t="n">
        <v>85.3</v>
      </c>
      <c r="AO9" s="65" t="n">
        <v>94.3</v>
      </c>
    </row>
    <row r="10">
      <c r="A10" s="63" t="inlineStr">
        <is>
          <t>유동자산</t>
        </is>
      </c>
      <c r="B10" s="64" t="n"/>
      <c r="C10" s="64" t="n">
        <v>318.7</v>
      </c>
      <c r="D10" s="64" t="n"/>
      <c r="E10" s="64" t="n"/>
      <c r="F10" s="64" t="n">
        <v>1783</v>
      </c>
      <c r="G10" s="64" t="n">
        <v>1799</v>
      </c>
      <c r="H10" s="64" t="n">
        <v>1705.5</v>
      </c>
      <c r="I10" s="64" t="n">
        <v>1721</v>
      </c>
      <c r="J10" s="64" t="n">
        <v>1698.4</v>
      </c>
      <c r="K10" s="64" t="n">
        <v>1756.2</v>
      </c>
      <c r="L10" s="64" t="n">
        <v>1665.9</v>
      </c>
      <c r="M10" s="64" t="n">
        <v>1693</v>
      </c>
      <c r="N10" s="64" t="n">
        <v>1724.1</v>
      </c>
      <c r="O10" s="64" t="n">
        <v>1764</v>
      </c>
      <c r="P10" s="64" t="n">
        <v>1717.5</v>
      </c>
      <c r="Q10" s="64" t="n">
        <v>1766.2</v>
      </c>
      <c r="R10" s="64" t="n">
        <v>1832.5</v>
      </c>
      <c r="S10" s="64" t="n">
        <v>2039.8</v>
      </c>
      <c r="T10" s="64" t="n">
        <v>2126.9</v>
      </c>
      <c r="U10" s="64" t="n">
        <v>2237.2</v>
      </c>
      <c r="V10" s="64" t="n">
        <v>2330.9</v>
      </c>
      <c r="W10" s="64" t="n">
        <v>2531.2</v>
      </c>
      <c r="X10" s="64" t="n">
        <v>2683.5</v>
      </c>
      <c r="Y10" s="64" t="n">
        <v>2805</v>
      </c>
      <c r="Z10" s="64" t="n">
        <v>2741.2</v>
      </c>
      <c r="AA10" s="64" t="n">
        <v>2826.2</v>
      </c>
      <c r="AB10" s="64" t="n">
        <v>2867.6</v>
      </c>
      <c r="AC10" s="64" t="n">
        <v>2951.1</v>
      </c>
      <c r="AD10" s="64" t="n">
        <v>2916.2</v>
      </c>
      <c r="AE10" s="64" t="n">
        <v>3133.8</v>
      </c>
      <c r="AF10" s="64" t="n">
        <v>3206.6</v>
      </c>
      <c r="AG10" s="64" t="n">
        <v>3016.2</v>
      </c>
      <c r="AH10" s="64" t="n">
        <v>3182.2</v>
      </c>
      <c r="AI10" s="64" t="n">
        <v>3178.1</v>
      </c>
      <c r="AJ10" s="64" t="n">
        <v>2680.3</v>
      </c>
      <c r="AK10" s="64" t="n">
        <v>2725.4</v>
      </c>
      <c r="AL10" s="64" t="n">
        <v>2812.9</v>
      </c>
      <c r="AM10" s="64" t="n">
        <v>2956.5</v>
      </c>
      <c r="AN10" s="64" t="n">
        <v>3059</v>
      </c>
      <c r="AO10" s="64" t="n">
        <v>3147.3</v>
      </c>
    </row>
    <row r="11">
      <c r="A11" s="63" t="inlineStr">
        <is>
          <t>유동부채</t>
        </is>
      </c>
      <c r="B11" s="64" t="n"/>
      <c r="C11" s="64" t="n">
        <v>195.7</v>
      </c>
      <c r="D11" s="64" t="n"/>
      <c r="E11" s="64" t="n"/>
      <c r="F11" s="64" t="n">
        <v>405.7</v>
      </c>
      <c r="G11" s="64" t="n">
        <v>496.8</v>
      </c>
      <c r="H11" s="64" t="n">
        <v>387.4</v>
      </c>
      <c r="I11" s="64" t="n">
        <v>362.5</v>
      </c>
      <c r="J11" s="64" t="n">
        <v>374.1</v>
      </c>
      <c r="K11" s="64" t="n">
        <v>395.2</v>
      </c>
      <c r="L11" s="64" t="n">
        <v>338.4</v>
      </c>
      <c r="M11" s="64" t="n">
        <v>356.9</v>
      </c>
      <c r="N11" s="64" t="n">
        <v>361</v>
      </c>
      <c r="O11" s="64" t="n">
        <v>405.9</v>
      </c>
      <c r="P11" s="64" t="n">
        <v>340.2</v>
      </c>
      <c r="Q11" s="64" t="n">
        <v>350.6</v>
      </c>
      <c r="R11" s="64" t="n">
        <v>347.1</v>
      </c>
      <c r="S11" s="64" t="n">
        <v>425.9</v>
      </c>
      <c r="T11" s="64" t="n">
        <v>421.8</v>
      </c>
      <c r="U11" s="64" t="n">
        <v>439.6</v>
      </c>
      <c r="V11" s="64" t="n">
        <v>471.8</v>
      </c>
      <c r="W11" s="64" t="n">
        <v>524.1</v>
      </c>
      <c r="X11" s="64" t="n">
        <v>478.4</v>
      </c>
      <c r="Y11" s="64" t="n">
        <v>465.9</v>
      </c>
      <c r="Z11" s="64" t="n">
        <v>442</v>
      </c>
      <c r="AA11" s="64" t="n">
        <v>489.4</v>
      </c>
      <c r="AB11" s="64" t="n">
        <v>463.6</v>
      </c>
      <c r="AC11" s="64" t="n">
        <v>445.8</v>
      </c>
      <c r="AD11" s="64" t="n">
        <v>427.3</v>
      </c>
      <c r="AE11" s="64" t="n">
        <v>499.3</v>
      </c>
      <c r="AF11" s="64" t="n">
        <v>466.2</v>
      </c>
      <c r="AG11" s="64" t="n">
        <v>476.5</v>
      </c>
      <c r="AH11" s="64" t="n">
        <v>495.2</v>
      </c>
      <c r="AI11" s="64" t="n">
        <v>518.8</v>
      </c>
      <c r="AJ11" s="64" t="n">
        <v>532.9</v>
      </c>
      <c r="AK11" s="64" t="n">
        <v>526.6</v>
      </c>
      <c r="AL11" s="64" t="n">
        <v>556.9</v>
      </c>
      <c r="AM11" s="64" t="n">
        <v>651.8</v>
      </c>
      <c r="AN11" s="64" t="n">
        <v>693.6</v>
      </c>
      <c r="AO11" s="64" t="n">
        <v>793.7</v>
      </c>
    </row>
    <row r="12">
      <c r="A12" s="63" t="inlineStr">
        <is>
          <t>부채총계</t>
        </is>
      </c>
      <c r="B12" s="64" t="n"/>
      <c r="C12" s="64" t="n">
        <v>319.9</v>
      </c>
      <c r="D12" s="64" t="n"/>
      <c r="E12" s="64" t="n"/>
      <c r="F12" s="64" t="n">
        <v>488</v>
      </c>
      <c r="G12" s="64" t="n">
        <v>567.7</v>
      </c>
      <c r="H12" s="64" t="n">
        <v>460.1</v>
      </c>
      <c r="I12" s="64" t="n">
        <v>436.8</v>
      </c>
      <c r="J12" s="64" t="n">
        <v>449.8</v>
      </c>
      <c r="K12" s="64" t="n">
        <v>469.7</v>
      </c>
      <c r="L12" s="64" t="n">
        <v>459.1</v>
      </c>
      <c r="M12" s="64" t="n">
        <v>476.5</v>
      </c>
      <c r="N12" s="64" t="n">
        <v>480.2</v>
      </c>
      <c r="O12" s="64" t="n">
        <v>530.5</v>
      </c>
      <c r="P12" s="64" t="n">
        <v>463.2</v>
      </c>
      <c r="Q12" s="64" t="n">
        <v>474.2</v>
      </c>
      <c r="R12" s="64" t="n">
        <v>469.6</v>
      </c>
      <c r="S12" s="64" t="n">
        <v>553.5</v>
      </c>
      <c r="T12" s="64" t="n">
        <v>557.5</v>
      </c>
      <c r="U12" s="64" t="n">
        <v>573.6</v>
      </c>
      <c r="V12" s="64" t="n">
        <v>625.6</v>
      </c>
      <c r="W12" s="64" t="n">
        <v>674.3</v>
      </c>
      <c r="X12" s="64" t="n">
        <v>639.7</v>
      </c>
      <c r="Y12" s="64" t="n">
        <v>627.7</v>
      </c>
      <c r="Z12" s="64" t="n">
        <v>595.9</v>
      </c>
      <c r="AA12" s="64" t="n">
        <v>642.3</v>
      </c>
      <c r="AB12" s="64" t="n">
        <v>619.4</v>
      </c>
      <c r="AC12" s="64" t="n">
        <v>599</v>
      </c>
      <c r="AD12" s="64" t="n">
        <v>576.4</v>
      </c>
      <c r="AE12" s="64" t="n">
        <v>658.4</v>
      </c>
      <c r="AF12" s="64" t="n">
        <v>636.9</v>
      </c>
      <c r="AG12" s="64" t="n">
        <v>634.2</v>
      </c>
      <c r="AH12" s="64" t="n">
        <v>656.1</v>
      </c>
      <c r="AI12" s="64" t="n">
        <v>675.1</v>
      </c>
      <c r="AJ12" s="64" t="n">
        <v>693.5</v>
      </c>
      <c r="AK12" s="64" t="n">
        <v>686.3</v>
      </c>
      <c r="AL12" s="64" t="n">
        <v>715.9</v>
      </c>
      <c r="AM12" s="64" t="n">
        <v>824.6</v>
      </c>
      <c r="AN12" s="64" t="n">
        <v>869.5</v>
      </c>
      <c r="AO12" s="64" t="n">
        <v>967.8</v>
      </c>
    </row>
    <row r="13">
      <c r="A13" s="63" t="inlineStr">
        <is>
          <t>자기자본</t>
        </is>
      </c>
      <c r="B13" s="65" t="n"/>
      <c r="C13" s="65" t="n">
        <v>539.6</v>
      </c>
      <c r="D13" s="65" t="n"/>
      <c r="E13" s="65" t="n"/>
      <c r="F13" s="65" t="n">
        <v>1847.8</v>
      </c>
      <c r="G13" s="65" t="n">
        <v>1867.2</v>
      </c>
      <c r="H13" s="65" t="n">
        <v>1902</v>
      </c>
      <c r="I13" s="65" t="n">
        <v>1973.8</v>
      </c>
      <c r="J13" s="65" t="n">
        <v>1967.3</v>
      </c>
      <c r="K13" s="65" t="n">
        <v>2054.2</v>
      </c>
      <c r="L13" s="65" t="n">
        <v>2030.9</v>
      </c>
      <c r="M13" s="65" t="n">
        <v>2055.8</v>
      </c>
      <c r="N13" s="65" t="n">
        <v>2114.2</v>
      </c>
      <c r="O13" s="65" t="n">
        <v>2116.3</v>
      </c>
      <c r="P13" s="65" t="n">
        <v>2128.7</v>
      </c>
      <c r="Q13" s="65" t="n">
        <v>2166.8</v>
      </c>
      <c r="R13" s="65" t="n">
        <v>2215.2</v>
      </c>
      <c r="S13" s="65" t="n">
        <v>2335.7</v>
      </c>
      <c r="T13" s="65" t="n">
        <v>2424.8</v>
      </c>
      <c r="U13" s="65" t="n">
        <v>2535</v>
      </c>
      <c r="V13" s="65" t="n">
        <v>2622</v>
      </c>
      <c r="W13" s="65" t="n">
        <v>2799.6</v>
      </c>
      <c r="X13" s="65" t="n">
        <v>3003.4</v>
      </c>
      <c r="Y13" s="65" t="n">
        <v>3145.7</v>
      </c>
      <c r="Z13" s="65" t="n">
        <v>3074.1</v>
      </c>
      <c r="AA13" s="65" t="n">
        <v>3142.2</v>
      </c>
      <c r="AB13" s="65" t="n">
        <v>3206</v>
      </c>
      <c r="AC13" s="65" t="n">
        <v>3329.1</v>
      </c>
      <c r="AD13" s="65" t="n">
        <v>3299.3</v>
      </c>
      <c r="AE13" s="65" t="n">
        <v>3476.8</v>
      </c>
      <c r="AF13" s="65" t="n">
        <v>3595.8</v>
      </c>
      <c r="AG13" s="65" t="n">
        <v>3365.5</v>
      </c>
      <c r="AH13" s="65" t="n">
        <v>3559.8</v>
      </c>
      <c r="AI13" s="65" t="n">
        <v>3520.6</v>
      </c>
      <c r="AJ13" s="65" t="n">
        <v>3497</v>
      </c>
      <c r="AK13" s="65" t="n">
        <v>3571.3</v>
      </c>
      <c r="AL13" s="65" t="n">
        <v>3665.1</v>
      </c>
      <c r="AM13" s="65" t="n">
        <v>3825.1</v>
      </c>
      <c r="AN13" s="65" t="n">
        <v>3869.6</v>
      </c>
      <c r="AO13" s="65" t="n">
        <v>3813</v>
      </c>
    </row>
    <row r="14">
      <c r="A14" s="63" t="inlineStr">
        <is>
          <t>유동비율</t>
        </is>
      </c>
      <c r="B14" s="65" t="n"/>
      <c r="C14" s="65" t="n">
        <v>162.9</v>
      </c>
      <c r="D14" s="65" t="n"/>
      <c r="E14" s="65" t="n"/>
      <c r="F14" s="65" t="n">
        <v>439.5</v>
      </c>
      <c r="G14" s="65" t="n">
        <v>362.1</v>
      </c>
      <c r="H14" s="65" t="n">
        <v>440.2</v>
      </c>
      <c r="I14" s="65" t="n">
        <v>474.8</v>
      </c>
      <c r="J14" s="65" t="n">
        <v>454</v>
      </c>
      <c r="K14" s="65" t="n">
        <v>444.4</v>
      </c>
      <c r="L14" s="65" t="n">
        <v>492.3</v>
      </c>
      <c r="M14" s="65" t="n">
        <v>474.4</v>
      </c>
      <c r="N14" s="65" t="n">
        <v>477.6</v>
      </c>
      <c r="O14" s="65" t="n">
        <v>434.6</v>
      </c>
      <c r="P14" s="65" t="n">
        <v>504.9</v>
      </c>
      <c r="Q14" s="65" t="n">
        <v>503.8</v>
      </c>
      <c r="R14" s="65" t="n">
        <v>527.9</v>
      </c>
      <c r="S14" s="65" t="n">
        <v>478.9</v>
      </c>
      <c r="T14" s="65" t="n">
        <v>504.2</v>
      </c>
      <c r="U14" s="65" t="n">
        <v>508.9</v>
      </c>
      <c r="V14" s="65" t="n">
        <v>494</v>
      </c>
      <c r="W14" s="65" t="n">
        <v>483</v>
      </c>
      <c r="X14" s="65" t="n">
        <v>560.9</v>
      </c>
      <c r="Y14" s="65" t="n">
        <v>602.1</v>
      </c>
      <c r="Z14" s="65" t="n">
        <v>620.2</v>
      </c>
      <c r="AA14" s="65" t="n">
        <v>577.5</v>
      </c>
      <c r="AB14" s="65" t="n">
        <v>618.6</v>
      </c>
      <c r="AC14" s="65" t="n">
        <v>662</v>
      </c>
      <c r="AD14" s="65" t="n">
        <v>682.5</v>
      </c>
      <c r="AE14" s="65" t="n">
        <v>627.6</v>
      </c>
      <c r="AF14" s="65" t="n">
        <v>687.8</v>
      </c>
      <c r="AG14" s="65" t="n">
        <v>633</v>
      </c>
      <c r="AH14" s="65" t="n">
        <v>642.6</v>
      </c>
      <c r="AI14" s="65" t="n">
        <v>612.6</v>
      </c>
      <c r="AJ14" s="65" t="n">
        <v>503</v>
      </c>
      <c r="AK14" s="65" t="n">
        <v>517.5</v>
      </c>
      <c r="AL14" s="65" t="n">
        <v>505.1</v>
      </c>
      <c r="AM14" s="65" t="n">
        <v>453.6</v>
      </c>
      <c r="AN14" s="65" t="n">
        <v>441</v>
      </c>
      <c r="AO14" s="65" t="n">
        <v>396.5</v>
      </c>
    </row>
    <row r="15">
      <c r="A15" s="63" t="inlineStr">
        <is>
          <t>부채비율</t>
        </is>
      </c>
      <c r="B15" s="65" t="n"/>
      <c r="C15" s="65" t="n">
        <v>59.3</v>
      </c>
      <c r="D15" s="65" t="n"/>
      <c r="E15" s="65" t="n"/>
      <c r="F15" s="65" t="n">
        <v>26.4</v>
      </c>
      <c r="G15" s="65" t="n">
        <v>30.4</v>
      </c>
      <c r="H15" s="65" t="n">
        <v>24.2</v>
      </c>
      <c r="I15" s="65" t="n">
        <v>22.1</v>
      </c>
      <c r="J15" s="65" t="n">
        <v>22.9</v>
      </c>
      <c r="K15" s="65" t="n">
        <v>22.9</v>
      </c>
      <c r="L15" s="65" t="n">
        <v>22.6</v>
      </c>
      <c r="M15" s="65" t="n">
        <v>23.2</v>
      </c>
      <c r="N15" s="65" t="n">
        <v>22.7</v>
      </c>
      <c r="O15" s="65" t="n">
        <v>25.1</v>
      </c>
      <c r="P15" s="65" t="n">
        <v>21.8</v>
      </c>
      <c r="Q15" s="65" t="n">
        <v>21.9</v>
      </c>
      <c r="R15" s="65" t="n">
        <v>21.2</v>
      </c>
      <c r="S15" s="65" t="n">
        <v>23.7</v>
      </c>
      <c r="T15" s="65" t="n">
        <v>23</v>
      </c>
      <c r="U15" s="65" t="n">
        <v>22.6</v>
      </c>
      <c r="V15" s="65" t="n">
        <v>23.9</v>
      </c>
      <c r="W15" s="65" t="n">
        <v>24.1</v>
      </c>
      <c r="X15" s="65" t="n">
        <v>21.3</v>
      </c>
      <c r="Y15" s="65" t="n">
        <v>20</v>
      </c>
      <c r="Z15" s="65" t="n">
        <v>19.4</v>
      </c>
      <c r="AA15" s="65" t="n">
        <v>20.4</v>
      </c>
      <c r="AB15" s="65" t="n">
        <v>19.3</v>
      </c>
      <c r="AC15" s="65" t="n">
        <v>18</v>
      </c>
      <c r="AD15" s="65" t="n">
        <v>17.5</v>
      </c>
      <c r="AE15" s="65" t="n">
        <v>18.9</v>
      </c>
      <c r="AF15" s="65" t="n">
        <v>17.7</v>
      </c>
      <c r="AG15" s="65" t="n">
        <v>18.8</v>
      </c>
      <c r="AH15" s="65" t="n">
        <v>18.4</v>
      </c>
      <c r="AI15" s="65" t="n">
        <v>19.2</v>
      </c>
      <c r="AJ15" s="65" t="n">
        <v>19.8</v>
      </c>
      <c r="AK15" s="65" t="n">
        <v>19.2</v>
      </c>
      <c r="AL15" s="65" t="n">
        <v>19.5</v>
      </c>
      <c r="AM15" s="65" t="n">
        <v>21.6</v>
      </c>
      <c r="AN15" s="65" t="n">
        <v>22.5</v>
      </c>
      <c r="AO15" s="65" t="n">
        <v>25.4</v>
      </c>
    </row>
    <row r="16">
      <c r="A16" s="63" t="inlineStr">
        <is>
          <t>순차입금/자기자본</t>
        </is>
      </c>
      <c r="B16" s="65" t="n"/>
      <c r="C16" s="65" t="n">
        <v>-47.4</v>
      </c>
      <c r="D16" s="65" t="n"/>
      <c r="E16" s="65" t="n"/>
      <c r="F16" s="65" t="n">
        <v>-35.8</v>
      </c>
      <c r="G16" s="65" t="n">
        <v>-35.1</v>
      </c>
      <c r="H16" s="65" t="n">
        <v>-27.9</v>
      </c>
      <c r="I16" s="65" t="n">
        <v>-27.4</v>
      </c>
      <c r="J16" s="65" t="n">
        <v>-25.5</v>
      </c>
      <c r="K16" s="65" t="n">
        <v>-24.7</v>
      </c>
      <c r="L16" s="65" t="n">
        <v>-21.7</v>
      </c>
      <c r="M16" s="65" t="n">
        <v>-23.9</v>
      </c>
      <c r="N16" s="65" t="n">
        <v>-23.2</v>
      </c>
      <c r="O16" s="65" t="n">
        <v>-22</v>
      </c>
      <c r="P16" s="65" t="n">
        <v>-22.7</v>
      </c>
      <c r="Q16" s="65" t="n">
        <v>-25.1</v>
      </c>
      <c r="R16" s="65" t="n">
        <v>-26.9</v>
      </c>
      <c r="S16" s="65" t="n">
        <v>-29.3</v>
      </c>
      <c r="T16" s="65" t="n">
        <v>-31.1</v>
      </c>
      <c r="U16" s="65" t="n">
        <v>-35.6</v>
      </c>
      <c r="V16" s="65" t="n">
        <v>-36.6</v>
      </c>
      <c r="W16" s="65" t="n">
        <v>-36.3</v>
      </c>
      <c r="X16" s="65" t="n">
        <v>-37.1</v>
      </c>
      <c r="Y16" s="65" t="n">
        <v>-39</v>
      </c>
      <c r="Z16" s="65" t="n">
        <v>-37.1</v>
      </c>
      <c r="AA16" s="65" t="n">
        <v>-35.6</v>
      </c>
      <c r="AB16" s="65" t="n">
        <v>-36.8</v>
      </c>
      <c r="AC16" s="65" t="n">
        <v>-39.1</v>
      </c>
      <c r="AD16" s="65" t="n">
        <v>-39.9</v>
      </c>
      <c r="AE16" s="65" t="n">
        <v>-40.9</v>
      </c>
      <c r="AF16" s="65" t="n">
        <v>-41.8</v>
      </c>
      <c r="AG16" s="65" t="n">
        <v>-43.1</v>
      </c>
      <c r="AH16" s="65" t="n">
        <v>-43.1</v>
      </c>
      <c r="AI16" s="65" t="n">
        <v>-43.1</v>
      </c>
      <c r="AJ16" s="65" t="n">
        <v>-29</v>
      </c>
      <c r="AK16" s="65" t="n">
        <v>-29.5</v>
      </c>
      <c r="AL16" s="65" t="n">
        <v>-29.5</v>
      </c>
      <c r="AM16" s="65" t="n">
        <v>-27.2</v>
      </c>
      <c r="AN16" s="65" t="n">
        <v>-28</v>
      </c>
      <c r="AO16" s="65" t="n">
        <v>-29</v>
      </c>
    </row>
    <row r="17">
      <c r="A17" s="63" t="inlineStr">
        <is>
          <t>재고자산</t>
        </is>
      </c>
      <c r="B17" s="64" t="n"/>
      <c r="C17" s="64" t="n">
        <v>333.1</v>
      </c>
      <c r="D17" s="64" t="n"/>
      <c r="E17" s="64" t="n"/>
      <c r="F17" s="64" t="n">
        <v>394.5</v>
      </c>
      <c r="G17" s="64" t="n">
        <v>412.8</v>
      </c>
      <c r="H17" s="64" t="n">
        <v>431</v>
      </c>
      <c r="I17" s="64" t="n">
        <v>459.7</v>
      </c>
      <c r="J17" s="64" t="n">
        <v>484.3</v>
      </c>
      <c r="K17" s="64" t="n">
        <v>517.2</v>
      </c>
      <c r="L17" s="64" t="n">
        <v>523.5</v>
      </c>
      <c r="M17" s="64" t="n">
        <v>539</v>
      </c>
      <c r="N17" s="64" t="n">
        <v>556.8</v>
      </c>
      <c r="O17" s="64" t="n">
        <v>551.8</v>
      </c>
      <c r="P17" s="64" t="n">
        <v>572.3</v>
      </c>
      <c r="Q17" s="64" t="n">
        <v>575.3</v>
      </c>
      <c r="R17" s="64" t="n">
        <v>551.7</v>
      </c>
      <c r="S17" s="64" t="n">
        <v>553.4</v>
      </c>
      <c r="T17" s="64" t="n">
        <v>575</v>
      </c>
      <c r="U17" s="64" t="n">
        <v>570.5</v>
      </c>
      <c r="V17" s="64" t="n">
        <v>589.5</v>
      </c>
      <c r="W17" s="64" t="n">
        <v>617.3</v>
      </c>
      <c r="X17" s="64" t="n">
        <v>671</v>
      </c>
      <c r="Y17" s="64" t="n">
        <v>725.7</v>
      </c>
      <c r="Z17" s="64" t="n">
        <v>741.7</v>
      </c>
      <c r="AA17" s="64" t="n">
        <v>773.9</v>
      </c>
      <c r="AB17" s="64" t="n">
        <v>803.9</v>
      </c>
      <c r="AC17" s="64" t="n">
        <v>805.4</v>
      </c>
      <c r="AD17" s="64" t="n">
        <v>774.9</v>
      </c>
      <c r="AE17" s="64" t="n">
        <v>783.8</v>
      </c>
      <c r="AF17" s="64" t="n">
        <v>784.7</v>
      </c>
      <c r="AG17" s="64" t="n">
        <v>723.5</v>
      </c>
      <c r="AH17" s="64" t="n">
        <v>743.1</v>
      </c>
      <c r="AI17" s="64" t="n">
        <v>696.5</v>
      </c>
      <c r="AJ17" s="64" t="n">
        <v>694.5</v>
      </c>
      <c r="AK17" s="64" t="n">
        <v>698.8</v>
      </c>
      <c r="AL17" s="64" t="n">
        <v>715.8</v>
      </c>
      <c r="AM17" s="64" t="n">
        <v>734.3</v>
      </c>
      <c r="AN17" s="64" t="n">
        <v>751.7</v>
      </c>
      <c r="AO17" s="64" t="n">
        <v>773.7</v>
      </c>
    </row>
    <row r="18">
      <c r="A18" s="63" t="inlineStr">
        <is>
          <t>재고자산 회전일수</t>
        </is>
      </c>
      <c r="B18" s="64" t="n"/>
      <c r="C18" s="64" t="n">
        <v>73</v>
      </c>
      <c r="D18" s="64" t="n"/>
      <c r="E18" s="64" t="n"/>
      <c r="F18" s="64" t="n">
        <v>80</v>
      </c>
      <c r="G18" s="64" t="n">
        <v>80</v>
      </c>
      <c r="H18" s="64" t="n">
        <v>80</v>
      </c>
      <c r="I18" s="64" t="n">
        <v>89</v>
      </c>
      <c r="J18" s="64" t="n">
        <v>91</v>
      </c>
      <c r="K18" s="64" t="n">
        <v>103</v>
      </c>
      <c r="L18" s="64" t="n">
        <v>105</v>
      </c>
      <c r="M18" s="64" t="n">
        <v>109</v>
      </c>
      <c r="N18" s="64" t="n">
        <v>113</v>
      </c>
      <c r="O18" s="64" t="n">
        <v>113</v>
      </c>
      <c r="P18" s="64" t="n">
        <v>128</v>
      </c>
      <c r="Q18" s="64" t="n">
        <v>125</v>
      </c>
      <c r="R18" s="64" t="n">
        <v>112</v>
      </c>
      <c r="S18" s="64" t="n">
        <v>104</v>
      </c>
      <c r="T18" s="64" t="n">
        <v>106</v>
      </c>
      <c r="U18" s="64" t="n">
        <v>104</v>
      </c>
      <c r="V18" s="64" t="n">
        <v>108</v>
      </c>
      <c r="W18" s="64" t="n">
        <v>111</v>
      </c>
      <c r="X18" s="64" t="n">
        <v>122</v>
      </c>
      <c r="Y18" s="64" t="n">
        <v>129</v>
      </c>
      <c r="Z18" s="64" t="n">
        <v>133</v>
      </c>
      <c r="AA18" s="64" t="n">
        <v>141</v>
      </c>
      <c r="AB18" s="64" t="n">
        <v>147</v>
      </c>
      <c r="AC18" s="64" t="n">
        <v>149</v>
      </c>
      <c r="AD18" s="64" t="n">
        <v>141</v>
      </c>
      <c r="AE18" s="64" t="n">
        <v>139</v>
      </c>
      <c r="AF18" s="64" t="n">
        <v>136</v>
      </c>
      <c r="AG18" s="64" t="n">
        <v>125</v>
      </c>
      <c r="AH18" s="64" t="n">
        <v>122</v>
      </c>
      <c r="AI18" s="64" t="n">
        <v>117</v>
      </c>
      <c r="AJ18" s="64" t="n">
        <v>118</v>
      </c>
      <c r="AK18" s="64" t="n">
        <v>111</v>
      </c>
      <c r="AL18" s="64" t="n">
        <v>107</v>
      </c>
      <c r="AM18" s="64" t="n">
        <v>105</v>
      </c>
      <c r="AN18" s="64" t="n">
        <v>99</v>
      </c>
      <c r="AO18" s="64" t="n">
        <v>96</v>
      </c>
    </row>
    <row r="19">
      <c r="A19" s="63" t="inlineStr">
        <is>
          <t>매출채권 회전일수</t>
        </is>
      </c>
      <c r="B19" s="64" t="n"/>
      <c r="C19" s="64" t="n">
        <v>73</v>
      </c>
      <c r="D19" s="64" t="n"/>
      <c r="E19" s="64" t="n"/>
      <c r="F19" s="64" t="n">
        <v>75</v>
      </c>
      <c r="G19" s="64" t="n">
        <v>75</v>
      </c>
      <c r="H19" s="64" t="n">
        <v>74</v>
      </c>
      <c r="I19" s="64" t="n">
        <v>75</v>
      </c>
      <c r="J19" s="64" t="n">
        <v>71</v>
      </c>
      <c r="K19" s="64" t="n">
        <v>74</v>
      </c>
      <c r="L19" s="64" t="n">
        <v>74</v>
      </c>
      <c r="M19" s="64" t="n">
        <v>70</v>
      </c>
      <c r="N19" s="64" t="n">
        <v>72</v>
      </c>
      <c r="O19" s="64" t="n">
        <v>74</v>
      </c>
      <c r="P19" s="64" t="n">
        <v>77</v>
      </c>
      <c r="Q19" s="64" t="n">
        <v>73</v>
      </c>
      <c r="R19" s="64" t="n">
        <v>72</v>
      </c>
      <c r="S19" s="64" t="n">
        <v>74</v>
      </c>
      <c r="T19" s="64" t="n">
        <v>74</v>
      </c>
      <c r="U19" s="64" t="n">
        <v>71</v>
      </c>
      <c r="V19" s="64" t="n">
        <v>72</v>
      </c>
      <c r="W19" s="64" t="n">
        <v>76</v>
      </c>
      <c r="X19" s="64" t="n">
        <v>80</v>
      </c>
      <c r="Y19" s="64" t="n">
        <v>74</v>
      </c>
      <c r="Z19" s="64" t="n">
        <v>75</v>
      </c>
      <c r="AA19" s="64" t="n">
        <v>76</v>
      </c>
      <c r="AB19" s="64" t="n">
        <v>76</v>
      </c>
      <c r="AC19" s="64" t="n">
        <v>74</v>
      </c>
      <c r="AD19" s="64" t="n">
        <v>70</v>
      </c>
      <c r="AE19" s="64" t="n">
        <v>73</v>
      </c>
      <c r="AF19" s="64" t="n">
        <v>73</v>
      </c>
      <c r="AG19" s="64" t="n">
        <v>69</v>
      </c>
      <c r="AH19" s="64" t="n">
        <v>70</v>
      </c>
      <c r="AI19" s="64" t="n">
        <v>71</v>
      </c>
      <c r="AJ19" s="64" t="n">
        <v>75</v>
      </c>
      <c r="AK19" s="64" t="n">
        <v>72</v>
      </c>
      <c r="AL19" s="64" t="n">
        <v>72</v>
      </c>
      <c r="AM19" s="64" t="n">
        <v>74</v>
      </c>
      <c r="AN19" s="64" t="n">
        <v>73</v>
      </c>
      <c r="AO19" s="64" t="n">
        <v>71</v>
      </c>
    </row>
    <row r="20">
      <c r="A20" s="63" t="inlineStr">
        <is>
          <t>매입채무 회전일수</t>
        </is>
      </c>
      <c r="B20" s="64" t="n"/>
      <c r="C20" s="64" t="n">
        <v>37</v>
      </c>
      <c r="D20" s="64" t="n"/>
      <c r="E20" s="64" t="n"/>
      <c r="F20" s="64" t="n">
        <v>34</v>
      </c>
      <c r="G20" s="64" t="n">
        <v>38</v>
      </c>
      <c r="H20" s="64" t="n">
        <v>35</v>
      </c>
      <c r="I20" s="64" t="n">
        <v>35</v>
      </c>
      <c r="J20" s="64" t="n">
        <v>33</v>
      </c>
      <c r="K20" s="64" t="n">
        <v>36</v>
      </c>
      <c r="L20" s="64" t="n">
        <v>33</v>
      </c>
      <c r="M20" s="64" t="n">
        <v>33</v>
      </c>
      <c r="N20" s="64" t="n">
        <v>32</v>
      </c>
      <c r="O20" s="64" t="n">
        <v>36</v>
      </c>
      <c r="P20" s="64" t="n">
        <v>35</v>
      </c>
      <c r="Q20" s="64" t="n">
        <v>35</v>
      </c>
      <c r="R20" s="64" t="n">
        <v>33</v>
      </c>
      <c r="S20" s="64" t="n">
        <v>37</v>
      </c>
      <c r="T20" s="64" t="n">
        <v>37</v>
      </c>
      <c r="U20" s="64" t="n">
        <v>35</v>
      </c>
      <c r="V20" s="64" t="n">
        <v>35</v>
      </c>
      <c r="W20" s="64" t="n">
        <v>39</v>
      </c>
      <c r="X20" s="64" t="n">
        <v>42</v>
      </c>
      <c r="Y20" s="64" t="n">
        <v>38</v>
      </c>
      <c r="Z20" s="64" t="n">
        <v>36</v>
      </c>
      <c r="AA20" s="64" t="n">
        <v>41</v>
      </c>
      <c r="AB20" s="64" t="n">
        <v>37</v>
      </c>
      <c r="AC20" s="64" t="n">
        <v>36</v>
      </c>
      <c r="AD20" s="64" t="n">
        <v>34</v>
      </c>
      <c r="AE20" s="64" t="n">
        <v>37</v>
      </c>
      <c r="AF20" s="64" t="n">
        <v>35</v>
      </c>
      <c r="AG20" s="64" t="n">
        <v>34</v>
      </c>
      <c r="AH20" s="64" t="n">
        <v>33</v>
      </c>
      <c r="AI20" s="64" t="n">
        <v>36</v>
      </c>
      <c r="AJ20" s="64" t="n">
        <v>38</v>
      </c>
      <c r="AK20" s="64" t="n">
        <v>36</v>
      </c>
      <c r="AL20" s="64" t="n">
        <v>37</v>
      </c>
      <c r="AM20" s="64" t="n">
        <v>43</v>
      </c>
      <c r="AN20" s="64" t="n">
        <v>41</v>
      </c>
      <c r="AO20" s="64" t="n">
        <v>42</v>
      </c>
    </row>
    <row r="21">
      <c r="A21" s="63" t="inlineStr">
        <is>
          <t>현금전환주기(CCC)</t>
        </is>
      </c>
      <c r="B21" s="64" t="n"/>
      <c r="C21" s="64" t="n">
        <v>109</v>
      </c>
      <c r="D21" s="64" t="n"/>
      <c r="E21" s="64" t="n"/>
      <c r="F21" s="64" t="n">
        <v>121</v>
      </c>
      <c r="G21" s="64" t="n">
        <v>117</v>
      </c>
      <c r="H21" s="64" t="n">
        <v>119</v>
      </c>
      <c r="I21" s="64" t="n">
        <v>129</v>
      </c>
      <c r="J21" s="64" t="n">
        <v>129</v>
      </c>
      <c r="K21" s="64" t="n">
        <v>141</v>
      </c>
      <c r="L21" s="64" t="n">
        <v>146</v>
      </c>
      <c r="M21" s="64" t="n">
        <v>146</v>
      </c>
      <c r="N21" s="64" t="n">
        <v>153</v>
      </c>
      <c r="O21" s="64" t="n">
        <v>151</v>
      </c>
      <c r="P21" s="64" t="n">
        <v>170</v>
      </c>
      <c r="Q21" s="64" t="n">
        <v>163</v>
      </c>
      <c r="R21" s="64" t="n">
        <v>151</v>
      </c>
      <c r="S21" s="64" t="n">
        <v>141</v>
      </c>
      <c r="T21" s="64" t="n">
        <v>143</v>
      </c>
      <c r="U21" s="64" t="n">
        <v>140</v>
      </c>
      <c r="V21" s="64" t="n">
        <v>145</v>
      </c>
      <c r="W21" s="64" t="n">
        <v>148</v>
      </c>
      <c r="X21" s="64" t="n">
        <v>160</v>
      </c>
      <c r="Y21" s="64" t="n">
        <v>165</v>
      </c>
      <c r="Z21" s="64" t="n">
        <v>172</v>
      </c>
      <c r="AA21" s="64" t="n">
        <v>176</v>
      </c>
      <c r="AB21" s="64" t="n">
        <v>186</v>
      </c>
      <c r="AC21" s="64" t="n">
        <v>187</v>
      </c>
      <c r="AD21" s="64" t="n">
        <v>177</v>
      </c>
      <c r="AE21" s="64" t="n">
        <v>175</v>
      </c>
      <c r="AF21" s="64" t="n">
        <v>174</v>
      </c>
      <c r="AG21" s="64" t="n">
        <v>160</v>
      </c>
      <c r="AH21" s="64" t="n">
        <v>159</v>
      </c>
      <c r="AI21" s="64" t="n">
        <v>152</v>
      </c>
      <c r="AJ21" s="64" t="n">
        <v>155</v>
      </c>
      <c r="AK21" s="64" t="n">
        <v>147</v>
      </c>
      <c r="AL21" s="64" t="n">
        <v>142</v>
      </c>
      <c r="AM21" s="64" t="n">
        <v>136</v>
      </c>
      <c r="AN21" s="64" t="n">
        <v>131</v>
      </c>
      <c r="AO21" s="64" t="n">
        <v>125</v>
      </c>
    </row>
    <row r="22">
      <c r="A22" s="63" t="inlineStr">
        <is>
          <t>총 차입금</t>
        </is>
      </c>
      <c r="B22" s="64" t="n"/>
      <c r="C22" s="64" t="n">
        <v>0</v>
      </c>
      <c r="D22" s="64" t="n"/>
      <c r="E22" s="64" t="n"/>
      <c r="F22" s="64" t="n">
        <v>0</v>
      </c>
      <c r="G22" s="64" t="n">
        <v>0</v>
      </c>
      <c r="H22" s="64" t="n">
        <v>0</v>
      </c>
      <c r="I22" s="64" t="n">
        <v>0</v>
      </c>
      <c r="J22" s="64" t="n">
        <v>0</v>
      </c>
      <c r="K22" s="64" t="n">
        <v>0</v>
      </c>
      <c r="L22" s="64" t="n">
        <v>0</v>
      </c>
      <c r="M22" s="64" t="n">
        <v>0</v>
      </c>
      <c r="N22" s="64" t="n">
        <v>0</v>
      </c>
      <c r="O22" s="64" t="n">
        <v>51.9</v>
      </c>
      <c r="P22" s="64" t="n">
        <v>0</v>
      </c>
      <c r="Q22" s="64" t="n">
        <v>0</v>
      </c>
      <c r="R22" s="64" t="n">
        <v>0</v>
      </c>
      <c r="S22" s="64" t="n">
        <v>40.8</v>
      </c>
      <c r="T22" s="64" t="n">
        <v>0</v>
      </c>
      <c r="U22" s="64" t="n">
        <v>0</v>
      </c>
      <c r="V22" s="64" t="n">
        <v>0</v>
      </c>
      <c r="W22" s="64" t="n">
        <v>71.90000000000001</v>
      </c>
      <c r="X22" s="64" t="n">
        <v>0</v>
      </c>
      <c r="Y22" s="64" t="n">
        <v>0</v>
      </c>
      <c r="Z22" s="64" t="n">
        <v>0</v>
      </c>
      <c r="AA22" s="64" t="n">
        <v>76.80000000000001</v>
      </c>
      <c r="AB22" s="64" t="n">
        <v>0</v>
      </c>
      <c r="AC22" s="64" t="n">
        <v>0</v>
      </c>
      <c r="AD22" s="64" t="n">
        <v>0</v>
      </c>
      <c r="AE22" s="64" t="n">
        <v>68.09999999999999</v>
      </c>
      <c r="AF22" s="64" t="n">
        <v>0</v>
      </c>
      <c r="AG22" s="64" t="n">
        <v>0</v>
      </c>
      <c r="AH22" s="64" t="n">
        <v>0</v>
      </c>
      <c r="AI22" s="64" t="n">
        <v>75.3</v>
      </c>
      <c r="AJ22" s="64" t="n">
        <v>0</v>
      </c>
      <c r="AK22" s="64" t="n">
        <v>0</v>
      </c>
      <c r="AL22" s="64" t="n">
        <v>0</v>
      </c>
      <c r="AM22" s="64" t="n">
        <v>87.7</v>
      </c>
      <c r="AN22" s="64" t="n">
        <v>0</v>
      </c>
      <c r="AO22" s="64" t="n">
        <v>0</v>
      </c>
    </row>
    <row r="23">
      <c r="A23" s="63" t="inlineStr">
        <is>
          <t>현금</t>
        </is>
      </c>
      <c r="B23" s="64" t="n"/>
      <c r="C23" s="64" t="n">
        <v>255.7</v>
      </c>
      <c r="D23" s="64" t="n"/>
      <c r="E23" s="64" t="n"/>
      <c r="F23" s="64" t="n">
        <v>661.7</v>
      </c>
      <c r="G23" s="64" t="n">
        <v>655</v>
      </c>
      <c r="H23" s="64" t="n">
        <v>530.5</v>
      </c>
      <c r="I23" s="64" t="n">
        <v>541.4</v>
      </c>
      <c r="J23" s="64" t="n">
        <v>501</v>
      </c>
      <c r="K23" s="64" t="n">
        <v>506.8</v>
      </c>
      <c r="L23" s="64" t="n">
        <v>439.8</v>
      </c>
      <c r="M23" s="64" t="n">
        <v>492.1</v>
      </c>
      <c r="N23" s="64" t="n">
        <v>490.9</v>
      </c>
      <c r="O23" s="64" t="n">
        <v>516.5</v>
      </c>
      <c r="P23" s="64" t="n">
        <v>483.2</v>
      </c>
      <c r="Q23" s="64" t="n">
        <v>544.3</v>
      </c>
      <c r="R23" s="64" t="n">
        <v>595.4</v>
      </c>
      <c r="S23" s="64" t="n">
        <v>724.3</v>
      </c>
      <c r="T23" s="64" t="n">
        <v>753.6</v>
      </c>
      <c r="U23" s="64" t="n">
        <v>902.2</v>
      </c>
      <c r="V23" s="64" t="n">
        <v>958.7</v>
      </c>
      <c r="W23" s="64" t="n">
        <v>1089</v>
      </c>
      <c r="X23" s="64" t="n">
        <v>1113.4</v>
      </c>
      <c r="Y23" s="64" t="n">
        <v>1226.7</v>
      </c>
      <c r="Z23" s="64" t="n">
        <v>1140.2</v>
      </c>
      <c r="AA23" s="64" t="n">
        <v>1195.6</v>
      </c>
      <c r="AB23" s="64" t="n">
        <v>1181.2</v>
      </c>
      <c r="AC23" s="64" t="n">
        <v>1301.8</v>
      </c>
      <c r="AD23" s="64" t="n">
        <v>1317.4</v>
      </c>
      <c r="AE23" s="64" t="n">
        <v>1488.5</v>
      </c>
      <c r="AF23" s="64" t="n">
        <v>1503.1</v>
      </c>
      <c r="AG23" s="64" t="n">
        <v>1451.9</v>
      </c>
      <c r="AH23" s="64" t="n">
        <v>1533.6</v>
      </c>
      <c r="AI23" s="64" t="n">
        <v>1593</v>
      </c>
      <c r="AJ23" s="64" t="n">
        <v>1013.8</v>
      </c>
      <c r="AK23" s="64" t="n">
        <v>1053.7</v>
      </c>
      <c r="AL23" s="64" t="n">
        <v>1081.2</v>
      </c>
      <c r="AM23" s="64" t="n">
        <v>1129.4</v>
      </c>
      <c r="AN23" s="64" t="n">
        <v>1085.1</v>
      </c>
      <c r="AO23" s="64" t="n">
        <v>1107.1</v>
      </c>
    </row>
    <row r="24">
      <c r="A24" s="63" t="inlineStr">
        <is>
          <t>부문별 매출 · FABusinessesReportableSegmentsMember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290.9</v>
      </c>
      <c r="AC24" s="64" t="n">
        <v>288</v>
      </c>
      <c r="AD24" s="64" t="n">
        <v>298.3</v>
      </c>
      <c r="AE24" s="64" t="n">
        <v>305</v>
      </c>
      <c r="AF24" s="64" t="n">
        <v>335.6</v>
      </c>
      <c r="AG24" s="64" t="n">
        <v>332.9</v>
      </c>
      <c r="AH24" s="64" t="n">
        <v>353</v>
      </c>
      <c r="AI24" s="64" t="n">
        <v>336.4</v>
      </c>
      <c r="AJ24" s="64" t="n">
        <v>335.7</v>
      </c>
      <c r="AK24" s="64" t="n">
        <v>391.7</v>
      </c>
      <c r="AL24" s="64" t="n">
        <v>431.8</v>
      </c>
      <c r="AM24" s="64" t="n">
        <v>445.8</v>
      </c>
      <c r="AN24" s="64" t="n">
        <v>515.5</v>
      </c>
      <c r="AO24" s="64" t="n">
        <v>576.9</v>
      </c>
      <c r="AP24" s="60" t="inlineStr">
        <is>
          <t>결산단신 부문 정보(외부 고객 매출)</t>
        </is>
      </c>
    </row>
    <row r="25">
      <c r="A25" s="63" t="inlineStr">
        <is>
          <t>부문별 매출 · MoldComponentReportableSegmentsMember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195.7</v>
      </c>
      <c r="AC25" s="64" t="n"/>
      <c r="AD25" s="64" t="n"/>
      <c r="AE25" s="64" t="n">
        <v>205.8</v>
      </c>
      <c r="AF25" s="64" t="n">
        <v>218.9</v>
      </c>
      <c r="AG25" s="64" t="n"/>
      <c r="AH25" s="64" t="n"/>
      <c r="AI25" s="64" t="n">
        <v>217.3</v>
      </c>
      <c r="AJ25" s="64" t="n">
        <v>210.6</v>
      </c>
      <c r="AK25" s="64" t="n"/>
      <c r="AL25" s="64" t="n"/>
      <c r="AM25" s="64" t="n">
        <v>231.7</v>
      </c>
      <c r="AN25" s="64" t="n">
        <v>242.1</v>
      </c>
      <c r="AO25" s="64" t="n"/>
      <c r="AP25" s="60" t="inlineStr">
        <is>
          <t>결산단신 부문 정보(외부 고객 매출)</t>
        </is>
      </c>
    </row>
    <row r="26">
      <c r="A26" s="63" t="inlineStr">
        <is>
          <t>부문별 매출 · VONABusinessesReportableSegmentsMember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>
        <v>412</v>
      </c>
      <c r="AC26" s="64" t="n">
        <v>416.6</v>
      </c>
      <c r="AD26" s="64" t="n">
        <v>428.8</v>
      </c>
      <c r="AE26" s="64" t="n">
        <v>437.5</v>
      </c>
      <c r="AF26" s="64" t="n">
        <v>440.8</v>
      </c>
      <c r="AG26" s="64" t="n">
        <v>442.7</v>
      </c>
      <c r="AH26" s="64" t="n">
        <v>463.6</v>
      </c>
      <c r="AI26" s="64" t="n">
        <v>450.3</v>
      </c>
      <c r="AJ26" s="64" t="n">
        <v>447.4</v>
      </c>
      <c r="AK26" s="64" t="n">
        <v>457.6</v>
      </c>
      <c r="AL26" s="64" t="n">
        <v>490.4</v>
      </c>
      <c r="AM26" s="64" t="n">
        <v>529.8</v>
      </c>
      <c r="AN26" s="64" t="n">
        <v>556.8</v>
      </c>
      <c r="AO26" s="64" t="n">
        <v>601.8</v>
      </c>
      <c r="AP26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2026-10-30T06:45:20Z</dcterms:created>
  <dcterms:modified xmlns:dcterms="http://purl.org/dc/terms/" xmlns:xsi="http://www.w3.org/2001/XMLSchema-instance" xsi:type="dcterms:W3CDTF">2026-10-30T06:45:22Z</dcterms:modified>
</cp:coreProperties>
</file>