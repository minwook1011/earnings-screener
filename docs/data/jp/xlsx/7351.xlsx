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31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굿패치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8월 결산 · 일본 기준 · 2026.4Q = 2026년 8월 결산기 4분기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2024.1Q</t>
        </is>
      </c>
      <c r="D3" s="5" t="inlineStr">
        <is>
          <t>2024.2Q</t>
        </is>
      </c>
      <c r="E3" s="5" t="inlineStr">
        <is>
          <t>2024.3Q</t>
        </is>
      </c>
      <c r="F3" s="5" t="inlineStr">
        <is>
          <t>2024.4Q</t>
        </is>
      </c>
      <c r="G3" s="5" t="inlineStr">
        <is>
          <t>2025.1Q</t>
        </is>
      </c>
      <c r="H3" s="5" t="inlineStr">
        <is>
          <t>2025.2Q</t>
        </is>
      </c>
      <c r="I3" s="5" t="inlineStr">
        <is>
          <t>2025.3Q</t>
        </is>
      </c>
      <c r="J3" s="5" t="inlineStr">
        <is>
          <t>2025.4Q</t>
        </is>
      </c>
      <c r="K3" s="5" t="inlineStr">
        <is>
          <t>2026.1Q</t>
        </is>
      </c>
      <c r="L3" s="5" t="inlineStr">
        <is>
          <t>2026.2Q</t>
        </is>
      </c>
      <c r="M3" s="5" t="inlineStr">
        <is>
          <t>2026.3Q</t>
        </is>
      </c>
      <c r="N3" s="5" t="inlineStr">
        <is>
          <t>2026.4Q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1024.444</v>
      </c>
      <c r="D4" s="12" t="n">
        <v>1040.638</v>
      </c>
      <c r="E4" s="12" t="n">
        <v>935.114</v>
      </c>
      <c r="F4" s="12" t="n">
        <v>942.771</v>
      </c>
      <c r="G4" s="12" t="n">
        <v>1214.187</v>
      </c>
      <c r="H4" s="12" t="n">
        <v>1254.768</v>
      </c>
      <c r="I4" s="12" t="n">
        <v>1366.097</v>
      </c>
      <c r="J4" s="12" t="n">
        <v>1250.501</v>
      </c>
      <c r="K4" s="12" t="n">
        <v>1206.36</v>
      </c>
      <c r="L4" s="12" t="n">
        <v>1372.24</v>
      </c>
      <c r="M4" s="12" t="n">
        <v>1269.175</v>
      </c>
      <c r="N4" s="12" t="n">
        <v>1349.484</v>
      </c>
      <c r="O4" s="11" t="n"/>
      <c r="P4" s="12" t="n"/>
      <c r="Q4" s="12" t="n">
        <v>1683.269</v>
      </c>
      <c r="R4" s="12" t="n">
        <v>2143.511</v>
      </c>
      <c r="S4" s="12" t="n">
        <v>2741.275</v>
      </c>
      <c r="T4" s="12" t="n">
        <v>3724.512</v>
      </c>
      <c r="U4" s="12" t="n">
        <v>3928.524</v>
      </c>
      <c r="V4" s="12" t="n">
        <v>3942.967</v>
      </c>
      <c r="W4" s="12" t="n">
        <v>5085.553</v>
      </c>
      <c r="X4" s="12" t="n">
        <v>5197.259</v>
      </c>
      <c r="Y4" s="11">
        <f>IF(COUNT(Y7,Y10,Y13)=0,"",SUM(Y7,Y10,Y13))</f>
        <v/>
      </c>
      <c r="Z4" s="12">
        <f>IF(COUNT(Z7,Z10,Z13)=0,"",SUM(Z7,Z10,Z13))</f>
        <v/>
      </c>
      <c r="AA4" s="12">
        <f>IF(COUNT(AA7,AA10,AA13)=0,"",SUM(AA7,AA10,AA13))</f>
        <v/>
      </c>
      <c r="AB4" s="12">
        <f>IF(COUNT(AB7,AB10,AB13)=0,"",SUM(AB7,AB10,AB13))</f>
        <v/>
      </c>
      <c r="AC4" s="12">
        <f>IF(COUNT(AC7,AC10,AC13)=0,"",SUM(AC7,AC10,AC13))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DesignPartnerBusinessReportableSegmentMember</t>
        </is>
      </c>
      <c r="B7" s="10" t="n"/>
      <c r="C7" s="19" t="n">
        <v>950.8680000000001</v>
      </c>
      <c r="D7" s="20" t="n">
        <v>960.968</v>
      </c>
      <c r="E7" s="20" t="n">
        <v>842.2670000000001</v>
      </c>
      <c r="F7" s="20" t="n">
        <v>841.463</v>
      </c>
      <c r="G7" s="20" t="n">
        <v>1114.732</v>
      </c>
      <c r="H7" s="20" t="n">
        <v>1171.805</v>
      </c>
      <c r="I7" s="20" t="n">
        <v>1255.631</v>
      </c>
      <c r="J7" s="20" t="n">
        <v>1153.978</v>
      </c>
      <c r="K7" s="20" t="n">
        <v>1129.272</v>
      </c>
      <c r="L7" s="20" t="n">
        <v>1246.137</v>
      </c>
      <c r="M7" s="20" t="n">
        <v>1177.857</v>
      </c>
      <c r="N7" s="20" t="n">
        <v>1239.277</v>
      </c>
      <c r="O7" s="19" t="n"/>
      <c r="P7" s="20" t="n"/>
      <c r="Q7" s="20" t="n"/>
      <c r="R7" s="20" t="n"/>
      <c r="S7" s="20" t="n"/>
      <c r="T7" s="20" t="n"/>
      <c r="U7" s="20" t="n">
        <v>3605.659</v>
      </c>
      <c r="V7" s="20" t="n">
        <v>3595.566</v>
      </c>
      <c r="W7" s="20" t="n">
        <v>4696.146</v>
      </c>
      <c r="X7" s="20" t="n">
        <v>4792.543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DesignPlatformBusinessReportableSegmentMember</t>
        </is>
      </c>
      <c r="B10" s="10" t="n"/>
      <c r="C10" s="19" t="n">
        <v>73.57599999999999</v>
      </c>
      <c r="D10" s="20" t="n">
        <v>79.67</v>
      </c>
      <c r="E10" s="20" t="n">
        <v>92.846</v>
      </c>
      <c r="F10" s="20" t="n">
        <v>101.309</v>
      </c>
      <c r="G10" s="20" t="n">
        <v>99.455</v>
      </c>
      <c r="H10" s="20" t="n">
        <v>82.96299999999999</v>
      </c>
      <c r="I10" s="20" t="n">
        <v>110.466</v>
      </c>
      <c r="J10" s="20" t="n">
        <v>96.52200000000001</v>
      </c>
      <c r="K10" s="20" t="n">
        <v>77.08799999999999</v>
      </c>
      <c r="L10" s="20" t="n">
        <v>126.102</v>
      </c>
      <c r="M10" s="20" t="n">
        <v>91.318</v>
      </c>
      <c r="N10" s="20" t="n">
        <v>110.208</v>
      </c>
      <c r="O10" s="19" t="n"/>
      <c r="P10" s="20" t="n"/>
      <c r="Q10" s="20" t="n"/>
      <c r="R10" s="20" t="n"/>
      <c r="S10" s="20" t="n"/>
      <c r="T10" s="20" t="n"/>
      <c r="U10" s="20" t="n">
        <v>322.864</v>
      </c>
      <c r="V10" s="20" t="n">
        <v>347.401</v>
      </c>
      <c r="W10" s="20" t="n">
        <v>389.406</v>
      </c>
      <c r="X10" s="20" t="n">
        <v>404.716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EntityTotalMember</t>
        </is>
      </c>
      <c r="B13" s="10" t="n"/>
      <c r="C13" s="19" t="n"/>
      <c r="D13" s="20" t="n"/>
      <c r="E13" s="20" t="n"/>
      <c r="F13" s="20" t="n"/>
      <c r="G13" s="20" t="n">
        <v>1214.187</v>
      </c>
      <c r="H13" s="20" t="n"/>
      <c r="I13" s="20" t="n"/>
      <c r="J13" s="20" t="n"/>
      <c r="K13" s="20" t="n">
        <v>1206.36</v>
      </c>
      <c r="L13" s="20" t="n"/>
      <c r="M13" s="20" t="n"/>
      <c r="N13" s="20" t="n"/>
      <c r="O13" s="19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6" t="inlineStr">
        <is>
          <t>매출원가</t>
        </is>
      </c>
      <c r="B16" s="16" t="n"/>
      <c r="C16" s="17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7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7" t="n"/>
      <c r="Z16" s="16" t="n"/>
      <c r="AA16" s="16" t="n"/>
      <c r="AB16" s="16" t="n"/>
      <c r="AC16" s="16" t="n"/>
    </row>
    <row r="17">
      <c r="A17" s="18" t="inlineStr">
        <is>
          <t>전체 매출원가</t>
        </is>
      </c>
      <c r="B17" s="10" t="n"/>
      <c r="C17" s="19" t="n">
        <v>523.345</v>
      </c>
      <c r="D17" s="20" t="n">
        <v>437.132</v>
      </c>
      <c r="E17" s="20" t="n">
        <v>406.829</v>
      </c>
      <c r="F17" s="20" t="n">
        <v>392.54</v>
      </c>
      <c r="G17" s="20" t="n">
        <v>531.566</v>
      </c>
      <c r="H17" s="20" t="n">
        <v>499.428</v>
      </c>
      <c r="I17" s="20" t="n">
        <v>590.881</v>
      </c>
      <c r="J17" s="20" t="n">
        <v>521.153</v>
      </c>
      <c r="K17" s="20" t="n">
        <v>534.051</v>
      </c>
      <c r="L17" s="20" t="n">
        <v>581.005</v>
      </c>
      <c r="M17" s="20" t="n">
        <v>572.182</v>
      </c>
      <c r="N17" s="20" t="n">
        <v>584.301</v>
      </c>
      <c r="O17" s="19" t="n"/>
      <c r="P17" s="20" t="n"/>
      <c r="Q17" s="20" t="n">
        <v>619.928</v>
      </c>
      <c r="R17" s="20" t="n">
        <v>788.736</v>
      </c>
      <c r="S17" s="20" t="n">
        <v>1011.72</v>
      </c>
      <c r="T17" s="20" t="n">
        <v>1448.417</v>
      </c>
      <c r="U17" s="20" t="n">
        <v>1656.414</v>
      </c>
      <c r="V17" s="20" t="n">
        <v>1759.846</v>
      </c>
      <c r="W17" s="20" t="n">
        <v>2143.028</v>
      </c>
      <c r="X17" s="20" t="n">
        <v>2271.539</v>
      </c>
      <c r="Y17" s="19" t="n"/>
      <c r="Z17" s="20" t="n"/>
      <c r="AA17" s="20" t="n"/>
      <c r="AB17" s="20" t="n"/>
      <c r="AC17" s="20" t="n"/>
    </row>
    <row r="18">
      <c r="A18" s="18" t="inlineStr">
        <is>
          <t>매출총이익</t>
        </is>
      </c>
      <c r="B18" s="10" t="n"/>
      <c r="C18" s="19">
        <f>IF(OR(C4="",C17=""),"",IFERROR(C4-C17,""))</f>
        <v/>
      </c>
      <c r="D18" s="20">
        <f>IF(OR(D4="",D17=""),"",IFERROR(D4-D17,""))</f>
        <v/>
      </c>
      <c r="E18" s="20">
        <f>IF(OR(E4="",E17=""),"",IFERROR(E4-E17,""))</f>
        <v/>
      </c>
      <c r="F18" s="20">
        <f>IF(OR(F4="",F17=""),"",IFERROR(F4-F17,""))</f>
        <v/>
      </c>
      <c r="G18" s="20">
        <f>IF(OR(G4="",G17=""),"",IFERROR(G4-G17,""))</f>
        <v/>
      </c>
      <c r="H18" s="20">
        <f>IF(OR(H4="",H17=""),"",IFERROR(H4-H17,""))</f>
        <v/>
      </c>
      <c r="I18" s="20">
        <f>IF(OR(I4="",I17=""),"",IFERROR(I4-I17,""))</f>
        <v/>
      </c>
      <c r="J18" s="20">
        <f>IF(OR(J4="",J17=""),"",IFERROR(J4-J17,""))</f>
        <v/>
      </c>
      <c r="K18" s="20">
        <f>IF(OR(K4="",K17=""),"",IFERROR(K4-K17,""))</f>
        <v/>
      </c>
      <c r="L18" s="20">
        <f>IF(OR(L4="",L17=""),"",IFERROR(L4-L17,""))</f>
        <v/>
      </c>
      <c r="M18" s="20">
        <f>IF(OR(M4="",M17=""),"",IFERROR(M4-M17,""))</f>
        <v/>
      </c>
      <c r="N18" s="20">
        <f>IF(OR(N4="",N17=""),"",IFERROR(N4-N17,""))</f>
        <v/>
      </c>
      <c r="O18" s="19">
        <f>IF(OR(O4="",O17=""),"",IFERROR(O4-O17,""))</f>
        <v/>
      </c>
      <c r="P18" s="20">
        <f>IF(OR(P4="",P17=""),"",IFERROR(P4-P17,""))</f>
        <v/>
      </c>
      <c r="Q18" s="20">
        <f>IF(OR(Q4="",Q17=""),"",IFERROR(Q4-Q17,""))</f>
        <v/>
      </c>
      <c r="R18" s="20">
        <f>IF(OR(R4="",R17=""),"",IFERROR(R4-R17,""))</f>
        <v/>
      </c>
      <c r="S18" s="20">
        <f>IF(OR(S4="",S17=""),"",IFERROR(S4-S17,""))</f>
        <v/>
      </c>
      <c r="T18" s="20">
        <f>IF(OR(T4="",T17=""),"",IFERROR(T4-T17,""))</f>
        <v/>
      </c>
      <c r="U18" s="20">
        <f>IF(OR(U4="",U17=""),"",IFERROR(U4-U17,""))</f>
        <v/>
      </c>
      <c r="V18" s="20">
        <f>IF(OR(V4="",V17=""),"",IFERROR(V4-V17,""))</f>
        <v/>
      </c>
      <c r="W18" s="20">
        <f>IF(OR(W4="",W17=""),"",IFERROR(W4-W17,""))</f>
        <v/>
      </c>
      <c r="X18" s="20">
        <f>IF(OR(X4="",X17=""),"",IFERROR(X4-X17,""))</f>
        <v/>
      </c>
      <c r="Y18" s="19" t="n"/>
      <c r="Z18" s="20" t="n"/>
      <c r="AA18" s="20" t="n"/>
      <c r="AB18" s="20" t="n"/>
      <c r="AC18" s="20" t="n"/>
    </row>
    <row r="19">
      <c r="A19" s="13" t="inlineStr">
        <is>
          <t>GPM</t>
        </is>
      </c>
      <c r="B19" s="10" t="n"/>
      <c r="C19" s="14">
        <f>IF(OR(C18="",C4=""),"",IFERROR(C18/C4,""))</f>
        <v/>
      </c>
      <c r="D19" s="15">
        <f>IF(OR(D18="",D4=""),"",IFERROR(D18/D4,""))</f>
        <v/>
      </c>
      <c r="E19" s="15">
        <f>IF(OR(E18="",E4=""),"",IFERROR(E18/E4,""))</f>
        <v/>
      </c>
      <c r="F19" s="15">
        <f>IF(OR(F18="",F4=""),"",IFERROR(F18/F4,""))</f>
        <v/>
      </c>
      <c r="G19" s="15">
        <f>IF(OR(G18="",G4=""),"",IFERROR(G18/G4,""))</f>
        <v/>
      </c>
      <c r="H19" s="15">
        <f>IF(OR(H18="",H4=""),"",IFERROR(H18/H4,""))</f>
        <v/>
      </c>
      <c r="I19" s="15">
        <f>IF(OR(I18="",I4=""),"",IFERROR(I18/I4,""))</f>
        <v/>
      </c>
      <c r="J19" s="15">
        <f>IF(OR(J18="",J4=""),"",IFERROR(J18/J4,""))</f>
        <v/>
      </c>
      <c r="K19" s="15">
        <f>IF(OR(K18="",K4=""),"",IFERROR(K18/K4,""))</f>
        <v/>
      </c>
      <c r="L19" s="15">
        <f>IF(OR(L18="",L4=""),"",IFERROR(L18/L4,""))</f>
        <v/>
      </c>
      <c r="M19" s="15">
        <f>IF(OR(M18="",M4=""),"",IFERROR(M18/M4,""))</f>
        <v/>
      </c>
      <c r="N19" s="15">
        <f>IF(OR(N18="",N4=""),"",IFERROR(N18/N4,""))</f>
        <v/>
      </c>
      <c r="O19" s="14">
        <f>IF(OR(O18="",O4=""),"",IFERROR(O18/O4,""))</f>
        <v/>
      </c>
      <c r="P19" s="15">
        <f>IF(OR(P18="",P4=""),"",IFERROR(P18/P4,""))</f>
        <v/>
      </c>
      <c r="Q19" s="15">
        <f>IF(OR(Q18="",Q4=""),"",IFERROR(Q18/Q4,""))</f>
        <v/>
      </c>
      <c r="R19" s="15">
        <f>IF(OR(R18="",R4=""),"",IFERROR(R18/R4,""))</f>
        <v/>
      </c>
      <c r="S19" s="15">
        <f>IF(OR(S18="",S4=""),"",IFERROR(S18/S4,""))</f>
        <v/>
      </c>
      <c r="T19" s="15">
        <f>IF(OR(T18="",T4=""),"",IFERROR(T18/T4,""))</f>
        <v/>
      </c>
      <c r="U19" s="15">
        <f>IF(OR(U18="",U4=""),"",IFERROR(U18/U4,""))</f>
        <v/>
      </c>
      <c r="V19" s="15">
        <f>IF(OR(V18="",V4=""),"",IFERROR(V18/V4,""))</f>
        <v/>
      </c>
      <c r="W19" s="15">
        <f>IF(OR(W18="",W4=""),"",IFERROR(W18/W4,""))</f>
        <v/>
      </c>
      <c r="X19" s="15">
        <f>IF(OR(X18="",X4=""),"",IFERROR(X18/X4,""))</f>
        <v/>
      </c>
      <c r="Y19" s="14">
        <f>IF(OR(Y18="",Y4=""),"",IFERROR(Y18/Y4,""))</f>
        <v/>
      </c>
      <c r="Z19" s="15">
        <f>IF(OR(Z18="",Z4=""),"",IFERROR(Z18/Z4,""))</f>
        <v/>
      </c>
      <c r="AA19" s="15">
        <f>IF(OR(AA18="",AA4=""),"",IFERROR(AA18/AA4,""))</f>
        <v/>
      </c>
      <c r="AB19" s="15">
        <f>IF(OR(AB18="",AB4=""),"",IFERROR(AB18/AB4,""))</f>
        <v/>
      </c>
      <c r="AC19" s="15">
        <f>IF(OR(AC18="",AC4=""),"",IFERROR(AC18/AC4,""))</f>
        <v/>
      </c>
    </row>
    <row r="20">
      <c r="A20" s="23" t="inlineStr">
        <is>
          <t>판매관리비</t>
        </is>
      </c>
      <c r="B20" s="23" t="n"/>
      <c r="C20" s="24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23" t="n"/>
      <c r="N20" s="23" t="n"/>
      <c r="O20" s="24" t="n"/>
      <c r="P20" s="23" t="n"/>
      <c r="Q20" s="23" t="n"/>
      <c r="R20" s="23" t="n"/>
      <c r="S20" s="23" t="n"/>
      <c r="T20" s="23" t="n"/>
      <c r="U20" s="23" t="n"/>
      <c r="V20" s="23" t="n"/>
      <c r="W20" s="23" t="n"/>
      <c r="X20" s="23" t="n"/>
      <c r="Y20" s="24" t="n"/>
      <c r="Z20" s="23" t="n"/>
      <c r="AA20" s="23" t="n"/>
      <c r="AB20" s="23" t="n"/>
      <c r="AC20" s="23" t="n"/>
    </row>
    <row r="21">
      <c r="A21" s="18" t="inlineStr">
        <is>
          <t>전체 판관비</t>
        </is>
      </c>
      <c r="B21" s="10" t="n"/>
      <c r="C21" s="19" t="n">
        <v>529.407</v>
      </c>
      <c r="D21" s="20" t="n">
        <v>499.322</v>
      </c>
      <c r="E21" s="20" t="n">
        <v>568.774</v>
      </c>
      <c r="F21" s="20" t="n">
        <v>551.092</v>
      </c>
      <c r="G21" s="20" t="n">
        <v>553.96</v>
      </c>
      <c r="H21" s="20" t="n">
        <v>554.095</v>
      </c>
      <c r="I21" s="20" t="n">
        <v>595.6799999999999</v>
      </c>
      <c r="J21" s="20" t="n">
        <v>681.3049999999999</v>
      </c>
      <c r="K21" s="20" t="n">
        <v>595.032</v>
      </c>
      <c r="L21" s="20" t="n">
        <v>605.862</v>
      </c>
      <c r="M21" s="20" t="n">
        <v>629.7619999999999</v>
      </c>
      <c r="N21" s="20" t="n">
        <v>648.047</v>
      </c>
      <c r="O21" s="19" t="n"/>
      <c r="P21" s="20" t="n"/>
      <c r="Q21" s="20" t="n">
        <v>987.9349999999999</v>
      </c>
      <c r="R21" s="20" t="n">
        <v>1138.171</v>
      </c>
      <c r="S21" s="20" t="n">
        <v>1323.344</v>
      </c>
      <c r="T21" s="20" t="n">
        <v>1881.94</v>
      </c>
      <c r="U21" s="20" t="n">
        <v>1973.479</v>
      </c>
      <c r="V21" s="20" t="n">
        <v>2148.595</v>
      </c>
      <c r="W21" s="20" t="n">
        <v>2385.04</v>
      </c>
      <c r="X21" s="20" t="n">
        <v>2478.703</v>
      </c>
      <c r="Y21" s="19" t="n"/>
      <c r="Z21" s="20" t="n"/>
      <c r="AA21" s="20" t="n"/>
      <c r="AB21" s="20" t="n"/>
      <c r="AC21" s="20" t="n"/>
    </row>
    <row r="22">
      <c r="A22" s="9" t="inlineStr">
        <is>
          <t>영업이익</t>
        </is>
      </c>
      <c r="B22" s="10" t="inlineStr">
        <is>
          <t>MW = 매출 × OPM</t>
        </is>
      </c>
      <c r="C22" s="11" t="n">
        <v>-28.307</v>
      </c>
      <c r="D22" s="12" t="n">
        <v>104.181</v>
      </c>
      <c r="E22" s="12" t="n">
        <v>-40.488</v>
      </c>
      <c r="F22" s="12" t="n">
        <v>-0.86</v>
      </c>
      <c r="G22" s="12" t="n">
        <v>128.66</v>
      </c>
      <c r="H22" s="12" t="n">
        <v>201.246</v>
      </c>
      <c r="I22" s="12" t="n">
        <v>179.536</v>
      </c>
      <c r="J22" s="12" t="n">
        <v>48.041</v>
      </c>
      <c r="K22" s="12" t="n">
        <v>77.276</v>
      </c>
      <c r="L22" s="12" t="n">
        <v>185.373</v>
      </c>
      <c r="M22" s="12" t="n">
        <v>67.232</v>
      </c>
      <c r="N22" s="12" t="n">
        <v>117.136</v>
      </c>
      <c r="O22" s="11" t="n"/>
      <c r="P22" s="12" t="n"/>
      <c r="Q22" s="12" t="n">
        <v>75.405</v>
      </c>
      <c r="R22" s="12" t="n">
        <v>216.604</v>
      </c>
      <c r="S22" s="12" t="n">
        <v>406.211</v>
      </c>
      <c r="T22" s="12" t="n">
        <v>394.154</v>
      </c>
      <c r="U22" s="12" t="n">
        <v>298.63</v>
      </c>
      <c r="V22" s="12" t="n">
        <v>34.526</v>
      </c>
      <c r="W22" s="12" t="n">
        <v>557.4829999999999</v>
      </c>
      <c r="X22" s="12" t="n">
        <v>447.017</v>
      </c>
      <c r="Y22" s="11">
        <f>IF(OR(Y4="",Y23=""),"",IFERROR(Y4*Y23,""))</f>
        <v/>
      </c>
      <c r="Z22" s="12">
        <f>IF(OR(Z4="",Z23=""),"",IFERROR(Z4*Z23,""))</f>
        <v/>
      </c>
      <c r="AA22" s="12">
        <f>IF(OR(AA4="",AA23=""),"",IFERROR(AA4*AA23,""))</f>
        <v/>
      </c>
      <c r="AB22" s="12">
        <f>IF(OR(AB4="",AB23=""),"",IFERROR(AB4*AB23,""))</f>
        <v/>
      </c>
      <c r="AC22" s="12">
        <f>IF(OR(AC4="",AC23=""),"",IFERROR(AC4*AC23,""))</f>
        <v/>
      </c>
    </row>
    <row r="23">
      <c r="A23" s="13" t="inlineStr">
        <is>
          <t>OPM</t>
        </is>
      </c>
      <c r="B23" s="10" t="inlineStr">
        <is>
          <t>MW 입력</t>
        </is>
      </c>
      <c r="C23" s="14">
        <f>IF(OR(C22="",C4=""),"",IFERROR(C22/C4,""))</f>
        <v/>
      </c>
      <c r="D23" s="15">
        <f>IF(OR(D22="",D4=""),"",IFERROR(D22/D4,""))</f>
        <v/>
      </c>
      <c r="E23" s="15">
        <f>IF(OR(E22="",E4=""),"",IFERROR(E22/E4,""))</f>
        <v/>
      </c>
      <c r="F23" s="15">
        <f>IF(OR(F22="",F4=""),"",IFERROR(F22/F4,""))</f>
        <v/>
      </c>
      <c r="G23" s="15">
        <f>IF(OR(G22="",G4=""),"",IFERROR(G22/G4,""))</f>
        <v/>
      </c>
      <c r="H23" s="15">
        <f>IF(OR(H22="",H4=""),"",IFERROR(H22/H4,""))</f>
        <v/>
      </c>
      <c r="I23" s="15">
        <f>IF(OR(I22="",I4=""),"",IFERROR(I22/I4,""))</f>
        <v/>
      </c>
      <c r="J23" s="15">
        <f>IF(OR(J22="",J4=""),"",IFERROR(J22/J4,""))</f>
        <v/>
      </c>
      <c r="K23" s="15">
        <f>IF(OR(K22="",K4=""),"",IFERROR(K22/K4,""))</f>
        <v/>
      </c>
      <c r="L23" s="15">
        <f>IF(OR(L22="",L4=""),"",IFERROR(L22/L4,""))</f>
        <v/>
      </c>
      <c r="M23" s="15">
        <f>IF(OR(M22="",M4=""),"",IFERROR(M22/M4,""))</f>
        <v/>
      </c>
      <c r="N23" s="15">
        <f>IF(OR(N22="",N4=""),"",IFERROR(N22/N4,""))</f>
        <v/>
      </c>
      <c r="O23" s="14">
        <f>IF(OR(O22="",O4=""),"",IFERROR(O22/O4,""))</f>
        <v/>
      </c>
      <c r="P23" s="15">
        <f>IF(OR(P22="",P4=""),"",IFERROR(P22/P4,""))</f>
        <v/>
      </c>
      <c r="Q23" s="15">
        <f>IF(OR(Q22="",Q4=""),"",IFERROR(Q22/Q4,""))</f>
        <v/>
      </c>
      <c r="R23" s="15">
        <f>IF(OR(R22="",R4=""),"",IFERROR(R22/R4,""))</f>
        <v/>
      </c>
      <c r="S23" s="15">
        <f>IF(OR(S22="",S4=""),"",IFERROR(S22/S4,""))</f>
        <v/>
      </c>
      <c r="T23" s="15">
        <f>IF(OR(T22="",T4=""),"",IFERROR(T22/T4,""))</f>
        <v/>
      </c>
      <c r="U23" s="15">
        <f>IF(OR(U22="",U4=""),"",IFERROR(U22/U4,""))</f>
        <v/>
      </c>
      <c r="V23" s="15">
        <f>IF(OR(V22="",V4=""),"",IFERROR(V22/V4,""))</f>
        <v/>
      </c>
      <c r="W23" s="15">
        <f>IF(OR(W22="",W4=""),"",IFERROR(W22/W4,""))</f>
        <v/>
      </c>
      <c r="X23" s="15">
        <f>IF(OR(X22="",X4=""),"",IFERROR(X22/X4,""))</f>
        <v/>
      </c>
      <c r="Y23" s="25" t="n"/>
      <c r="Z23" s="26" t="n"/>
      <c r="AA23" s="26" t="n"/>
      <c r="AB23" s="26" t="n"/>
      <c r="AC23" s="26" t="n"/>
    </row>
    <row r="24">
      <c r="A24" s="13" t="inlineStr">
        <is>
          <t>증가율</t>
        </is>
      </c>
      <c r="B24" s="10" t="n"/>
      <c r="C24" s="14" t="n"/>
      <c r="D24" s="15" t="n"/>
      <c r="E24" s="15" t="n"/>
      <c r="F24" s="15" t="n"/>
      <c r="G24" s="15">
        <f>IF(OR(G22="",C22=""),"",IFERROR(G22/C22-1,""))</f>
        <v/>
      </c>
      <c r="H24" s="15">
        <f>IF(OR(H22="",D22=""),"",IFERROR(H22/D22-1,""))</f>
        <v/>
      </c>
      <c r="I24" s="15">
        <f>IF(OR(I22="",E22=""),"",IFERROR(I22/E22-1,""))</f>
        <v/>
      </c>
      <c r="J24" s="15">
        <f>IF(OR(J22="",F22=""),"",IFERROR(J22/F22-1,""))</f>
        <v/>
      </c>
      <c r="K24" s="15">
        <f>IF(OR(K22="",G22=""),"",IFERROR(K22/G22-1,""))</f>
        <v/>
      </c>
      <c r="L24" s="15">
        <f>IF(OR(L22="",H22=""),"",IFERROR(L22/H22-1,""))</f>
        <v/>
      </c>
      <c r="M24" s="15">
        <f>IF(OR(M22="",I22=""),"",IFERROR(M22/I22-1,""))</f>
        <v/>
      </c>
      <c r="N24" s="15">
        <f>IF(OR(N22="",J22=""),"",IFERROR(N22/J22-1,""))</f>
        <v/>
      </c>
      <c r="O24" s="14" t="n"/>
      <c r="P24" s="15">
        <f>IF(OR(P22="",O22=""),"",IFERROR(P22/O22-1,""))</f>
        <v/>
      </c>
      <c r="Q24" s="15">
        <f>IF(OR(Q22="",P22=""),"",IFERROR(Q22/P22-1,""))</f>
        <v/>
      </c>
      <c r="R24" s="15">
        <f>IF(OR(R22="",Q22=""),"",IFERROR(R22/Q22-1,""))</f>
        <v/>
      </c>
      <c r="S24" s="15">
        <f>IF(OR(S22="",R22=""),"",IFERROR(S22/R22-1,""))</f>
        <v/>
      </c>
      <c r="T24" s="15">
        <f>IF(OR(T22="",S22=""),"",IFERROR(T22/S22-1,""))</f>
        <v/>
      </c>
      <c r="U24" s="15">
        <f>IF(OR(U22="",T22=""),"",IFERROR(U22/T22-1,""))</f>
        <v/>
      </c>
      <c r="V24" s="15">
        <f>IF(OR(V22="",U22=""),"",IFERROR(V22/U22-1,""))</f>
        <v/>
      </c>
      <c r="W24" s="15">
        <f>IF(OR(W22="",V22=""),"",IFERROR(W22/V22-1,""))</f>
        <v/>
      </c>
      <c r="X24" s="15">
        <f>IF(OR(X22="",W22=""),"",IFERROR(X22/W22-1,""))</f>
        <v/>
      </c>
      <c r="Y24" s="14">
        <f>IF(OR(Y22="",X22=""),"",IFERROR(Y22/X22-1,""))</f>
        <v/>
      </c>
      <c r="Z24" s="15">
        <f>IF(OR(Z22="",Y22=""),"",IFERROR(Z22/Y22-1,""))</f>
        <v/>
      </c>
      <c r="AA24" s="15">
        <f>IF(OR(AA22="",Z22=""),"",IFERROR(AA22/Z22-1,""))</f>
        <v/>
      </c>
      <c r="AB24" s="15">
        <f>IF(OR(AB22="",AA22=""),"",IFERROR(AB22/AA22-1,""))</f>
        <v/>
      </c>
      <c r="AC24" s="15">
        <f>IF(OR(AC22="",AB22=""),"",IFERROR(AC22/AB22-1,""))</f>
        <v/>
      </c>
    </row>
    <row r="25">
      <c r="A25" s="16" t="inlineStr">
        <is>
          <t>비용의 성격별 분류</t>
        </is>
      </c>
      <c r="B25" s="16" t="inlineStr">
        <is>
          <t>참고 데이터</t>
        </is>
      </c>
      <c r="C25" s="17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7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7" t="n"/>
      <c r="Z25" s="16" t="n"/>
      <c r="AA25" s="16" t="n"/>
      <c r="AB25" s="16" t="n"/>
      <c r="AC25" s="16" t="n"/>
    </row>
    <row r="26">
      <c r="A26" s="9" t="inlineStr">
        <is>
          <t>총 판관비</t>
        </is>
      </c>
      <c r="B26" s="10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  <c r="M26" s="12" t="n"/>
      <c r="N26" s="12" t="n"/>
      <c r="O26" s="11">
        <f>IF(O21="","",O21)</f>
        <v/>
      </c>
      <c r="P26" s="12">
        <f>IF(P21="","",P21)</f>
        <v/>
      </c>
      <c r="Q26" s="12">
        <f>IF(Q21="","",Q21)</f>
        <v/>
      </c>
      <c r="R26" s="12">
        <f>IF(R21="","",R21)</f>
        <v/>
      </c>
      <c r="S26" s="12">
        <f>IF(S21="","",S21)</f>
        <v/>
      </c>
      <c r="T26" s="12">
        <f>IF(T21="","",T21)</f>
        <v/>
      </c>
      <c r="U26" s="12">
        <f>IF(U21="","",U21)</f>
        <v/>
      </c>
      <c r="V26" s="12">
        <f>IF(V21="","",V21)</f>
        <v/>
      </c>
      <c r="W26" s="12">
        <f>IF(W21="","",W21)</f>
        <v/>
      </c>
      <c r="X26" s="12">
        <f>IF(X21="","",X21)</f>
        <v/>
      </c>
      <c r="Y26" s="11" t="n"/>
      <c r="Z26" s="12" t="n"/>
      <c r="AA26" s="12" t="n"/>
      <c r="AB26" s="12" t="n"/>
      <c r="AC26" s="12" t="n"/>
    </row>
    <row r="27">
      <c r="A27" s="18" t="inlineStr">
        <is>
          <t>급여</t>
        </is>
      </c>
      <c r="B27" s="10" t="inlineStr">
        <is>
          <t>고정비</t>
        </is>
      </c>
      <c r="C27" s="19" t="n"/>
      <c r="D27" s="20" t="n"/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19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19" t="n"/>
      <c r="Z27" s="20" t="n"/>
      <c r="AA27" s="20" t="n"/>
      <c r="AB27" s="20" t="n"/>
      <c r="AC27" s="20" t="n"/>
    </row>
    <row r="28">
      <c r="A28" s="13" t="inlineStr">
        <is>
          <t>% of Sales</t>
        </is>
      </c>
      <c r="B28" s="10" t="n"/>
      <c r="C28" s="14" t="n"/>
      <c r="D28" s="15" t="n"/>
      <c r="E28" s="15" t="n"/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4">
        <f>IF(OR(O27="",O4=""),"",IFERROR(O27/O4,""))</f>
        <v/>
      </c>
      <c r="P28" s="15">
        <f>IF(OR(P27="",P4=""),"",IFERROR(P27/P4,""))</f>
        <v/>
      </c>
      <c r="Q28" s="15">
        <f>IF(OR(Q27="",Q4=""),"",IFERROR(Q27/Q4,""))</f>
        <v/>
      </c>
      <c r="R28" s="15">
        <f>IF(OR(R27="",R4=""),"",IFERROR(R27/R4,""))</f>
        <v/>
      </c>
      <c r="S28" s="15">
        <f>IF(OR(S27="",S4=""),"",IFERROR(S27/S4,""))</f>
        <v/>
      </c>
      <c r="T28" s="15">
        <f>IF(OR(T27="",T4=""),"",IFERROR(T27/T4,""))</f>
        <v/>
      </c>
      <c r="U28" s="15">
        <f>IF(OR(U27="",U4=""),"",IFERROR(U27/U4,""))</f>
        <v/>
      </c>
      <c r="V28" s="15">
        <f>IF(OR(V27="",V4=""),"",IFERROR(V27/V4,""))</f>
        <v/>
      </c>
      <c r="W28" s="15">
        <f>IF(OR(W27="",W4=""),"",IFERROR(W27/W4,""))</f>
        <v/>
      </c>
      <c r="X28" s="15">
        <f>IF(OR(X27="",X4=""),"",IFERROR(X27/X4,""))</f>
        <v/>
      </c>
      <c r="Y28" s="14" t="n"/>
      <c r="Z28" s="15" t="n"/>
      <c r="AA28" s="15" t="n"/>
      <c r="AB28" s="15" t="n"/>
      <c r="AC28" s="15" t="n"/>
    </row>
    <row r="29">
      <c r="A29" s="18" t="inlineStr">
        <is>
          <t>감가상각비</t>
        </is>
      </c>
      <c r="B29" s="10" t="inlineStr">
        <is>
          <t>고정비</t>
        </is>
      </c>
      <c r="C29" s="19" t="n"/>
      <c r="D29" s="20" t="n"/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19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19" t="n"/>
      <c r="Z29" s="20" t="n"/>
      <c r="AA29" s="20" t="n"/>
      <c r="AB29" s="20" t="n"/>
      <c r="AC29" s="20" t="n"/>
    </row>
    <row r="30">
      <c r="A30" s="13" t="inlineStr">
        <is>
          <t>% of Sales</t>
        </is>
      </c>
      <c r="B30" s="10" t="n"/>
      <c r="C30" s="14" t="n"/>
      <c r="D30" s="15" t="n"/>
      <c r="E30" s="15" t="n"/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  <c r="O30" s="14">
        <f>IF(OR(O29="",O4=""),"",IFERROR(O29/O4,""))</f>
        <v/>
      </c>
      <c r="P30" s="15">
        <f>IF(OR(P29="",P4=""),"",IFERROR(P29/P4,""))</f>
        <v/>
      </c>
      <c r="Q30" s="15">
        <f>IF(OR(Q29="",Q4=""),"",IFERROR(Q29/Q4,""))</f>
        <v/>
      </c>
      <c r="R30" s="15">
        <f>IF(OR(R29="",R4=""),"",IFERROR(R29/R4,""))</f>
        <v/>
      </c>
      <c r="S30" s="15">
        <f>IF(OR(S29="",S4=""),"",IFERROR(S29/S4,""))</f>
        <v/>
      </c>
      <c r="T30" s="15">
        <f>IF(OR(T29="",T4=""),"",IFERROR(T29/T4,""))</f>
        <v/>
      </c>
      <c r="U30" s="15">
        <f>IF(OR(U29="",U4=""),"",IFERROR(U29/U4,""))</f>
        <v/>
      </c>
      <c r="V30" s="15">
        <f>IF(OR(V29="",V4=""),"",IFERROR(V29/V4,""))</f>
        <v/>
      </c>
      <c r="W30" s="15">
        <f>IF(OR(W29="",W4=""),"",IFERROR(W29/W4,""))</f>
        <v/>
      </c>
      <c r="X30" s="15">
        <f>IF(OR(X29="",X4=""),"",IFERROR(X29/X4,""))</f>
        <v/>
      </c>
      <c r="Y30" s="14" t="n"/>
      <c r="Z30" s="15" t="n"/>
      <c r="AA30" s="15" t="n"/>
      <c r="AB30" s="15" t="n"/>
      <c r="AC30" s="15" t="n"/>
    </row>
    <row r="31">
      <c r="A31" s="18" t="inlineStr">
        <is>
          <t>지급수수료</t>
        </is>
      </c>
      <c r="B31" s="10" t="inlineStr">
        <is>
          <t>고정비</t>
        </is>
      </c>
      <c r="C31" s="19" t="n"/>
      <c r="D31" s="20" t="n"/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19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19" t="n"/>
      <c r="Z31" s="20" t="n"/>
      <c r="AA31" s="20" t="n"/>
      <c r="AB31" s="20" t="n"/>
      <c r="AC31" s="20" t="n"/>
    </row>
    <row r="32">
      <c r="A32" s="13" t="inlineStr">
        <is>
          <t>% of Sales</t>
        </is>
      </c>
      <c r="B32" s="10" t="n"/>
      <c r="C32" s="14" t="n"/>
      <c r="D32" s="15" t="n"/>
      <c r="E32" s="15" t="n"/>
      <c r="F32" s="15" t="n"/>
      <c r="G32" s="15" t="n"/>
      <c r="H32" s="15" t="n"/>
      <c r="I32" s="15" t="n"/>
      <c r="J32" s="15" t="n"/>
      <c r="K32" s="15" t="n"/>
      <c r="L32" s="15" t="n"/>
      <c r="M32" s="15" t="n"/>
      <c r="N32" s="15" t="n"/>
      <c r="O32" s="14">
        <f>IF(OR(O31="",O4=""),"",IFERROR(O31/O4,""))</f>
        <v/>
      </c>
      <c r="P32" s="15">
        <f>IF(OR(P31="",P4=""),"",IFERROR(P31/P4,""))</f>
        <v/>
      </c>
      <c r="Q32" s="15">
        <f>IF(OR(Q31="",Q4=""),"",IFERROR(Q31/Q4,""))</f>
        <v/>
      </c>
      <c r="R32" s="15">
        <f>IF(OR(R31="",R4=""),"",IFERROR(R31/R4,""))</f>
        <v/>
      </c>
      <c r="S32" s="15">
        <f>IF(OR(S31="",S4=""),"",IFERROR(S31/S4,""))</f>
        <v/>
      </c>
      <c r="T32" s="15">
        <f>IF(OR(T31="",T4=""),"",IFERROR(T31/T4,""))</f>
        <v/>
      </c>
      <c r="U32" s="15">
        <f>IF(OR(U31="",U4=""),"",IFERROR(U31/U4,""))</f>
        <v/>
      </c>
      <c r="V32" s="15">
        <f>IF(OR(V31="",V4=""),"",IFERROR(V31/V4,""))</f>
        <v/>
      </c>
      <c r="W32" s="15">
        <f>IF(OR(W31="",W4=""),"",IFERROR(W31/W4,""))</f>
        <v/>
      </c>
      <c r="X32" s="15">
        <f>IF(OR(X31="",X4=""),"",IFERROR(X31/X4,""))</f>
        <v/>
      </c>
      <c r="Y32" s="14" t="n"/>
      <c r="Z32" s="15" t="n"/>
      <c r="AA32" s="15" t="n"/>
      <c r="AB32" s="15" t="n"/>
      <c r="AC32" s="15" t="n"/>
    </row>
    <row r="33">
      <c r="A33" s="18" t="inlineStr">
        <is>
          <t>연구개발비</t>
        </is>
      </c>
      <c r="B33" s="10" t="inlineStr">
        <is>
          <t>변동비</t>
        </is>
      </c>
      <c r="C33" s="19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19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19" t="n"/>
      <c r="Z33" s="20" t="n"/>
      <c r="AA33" s="20" t="n"/>
      <c r="AB33" s="20" t="n"/>
      <c r="AC33" s="20" t="n"/>
    </row>
    <row r="34">
      <c r="A34" s="13" t="inlineStr">
        <is>
          <t>% of Sales</t>
        </is>
      </c>
      <c r="B34" s="10" t="n"/>
      <c r="C34" s="14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4">
        <f>IF(OR(O33="",O4=""),"",IFERROR(O33/O4,""))</f>
        <v/>
      </c>
      <c r="P34" s="15">
        <f>IF(OR(P33="",P4=""),"",IFERROR(P33/P4,""))</f>
        <v/>
      </c>
      <c r="Q34" s="15">
        <f>IF(OR(Q33="",Q4=""),"",IFERROR(Q33/Q4,""))</f>
        <v/>
      </c>
      <c r="R34" s="15">
        <f>IF(OR(R33="",R4=""),"",IFERROR(R33/R4,""))</f>
        <v/>
      </c>
      <c r="S34" s="15">
        <f>IF(OR(S33="",S4=""),"",IFERROR(S33/S4,""))</f>
        <v/>
      </c>
      <c r="T34" s="15">
        <f>IF(OR(T33="",T4=""),"",IFERROR(T33/T4,""))</f>
        <v/>
      </c>
      <c r="U34" s="15">
        <f>IF(OR(U33="",U4=""),"",IFERROR(U33/U4,""))</f>
        <v/>
      </c>
      <c r="V34" s="15">
        <f>IF(OR(V33="",V4=""),"",IFERROR(V33/V4,""))</f>
        <v/>
      </c>
      <c r="W34" s="15">
        <f>IF(OR(W33="",W4=""),"",IFERROR(W33/W4,""))</f>
        <v/>
      </c>
      <c r="X34" s="15">
        <f>IF(OR(X33="",X4=""),"",IFERROR(X33/X4,""))</f>
        <v/>
      </c>
      <c r="Y34" s="14" t="n"/>
      <c r="Z34" s="15" t="n"/>
      <c r="AA34" s="15" t="n"/>
      <c r="AB34" s="15" t="n"/>
      <c r="AC34" s="15" t="n"/>
    </row>
    <row r="35">
      <c r="A35" s="18" t="inlineStr">
        <is>
          <t>기타비용</t>
        </is>
      </c>
      <c r="B35" s="10" t="inlineStr">
        <is>
          <t>변동비</t>
        </is>
      </c>
      <c r="C35" s="19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19">
        <f>IF(OR(O26="",O27="",O29="",O31="",O33=""),"",IFERROR(O26-O27-O29-O31-O33,""))</f>
        <v/>
      </c>
      <c r="P35" s="20">
        <f>IF(OR(P26="",P27="",P29="",P31="",P33=""),"",IFERROR(P26-P27-P29-P31-P33,""))</f>
        <v/>
      </c>
      <c r="Q35" s="20">
        <f>IF(OR(Q26="",Q27="",Q29="",Q31="",Q33=""),"",IFERROR(Q26-Q27-Q29-Q31-Q33,""))</f>
        <v/>
      </c>
      <c r="R35" s="20">
        <f>IF(OR(R26="",R27="",R29="",R31="",R33=""),"",IFERROR(R26-R27-R29-R31-R33,""))</f>
        <v/>
      </c>
      <c r="S35" s="20">
        <f>IF(OR(S26="",S27="",S29="",S31="",S33=""),"",IFERROR(S26-S27-S29-S31-S33,""))</f>
        <v/>
      </c>
      <c r="T35" s="20">
        <f>IF(OR(T26="",T27="",T29="",T31="",T33=""),"",IFERROR(T26-T27-T29-T31-T33,""))</f>
        <v/>
      </c>
      <c r="U35" s="20">
        <f>IF(OR(U26="",U27="",U29="",U31="",U33=""),"",IFERROR(U26-U27-U29-U31-U33,""))</f>
        <v/>
      </c>
      <c r="V35" s="20">
        <f>IF(OR(V26="",V27="",V29="",V31="",V33=""),"",IFERROR(V26-V27-V29-V31-V33,""))</f>
        <v/>
      </c>
      <c r="W35" s="20">
        <f>IF(OR(W26="",W27="",W29="",W31="",W33=""),"",IFERROR(W26-W27-W29-W31-W33,""))</f>
        <v/>
      </c>
      <c r="X35" s="20">
        <f>IF(OR(X26="",X27="",X29="",X31="",X33=""),"",IFERROR(X26-X27-X29-X31-X33,""))</f>
        <v/>
      </c>
      <c r="Y35" s="19" t="n"/>
      <c r="Z35" s="20" t="n"/>
      <c r="AA35" s="20" t="n"/>
      <c r="AB35" s="20" t="n"/>
      <c r="AC35" s="20" t="n"/>
    </row>
    <row r="36">
      <c r="A36" s="13" t="inlineStr">
        <is>
          <t>% of Sales</t>
        </is>
      </c>
      <c r="B36" s="10" t="n"/>
      <c r="C36" s="14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4">
        <f>IF(OR(O35="",O4=""),"",IFERROR(O35/O4,""))</f>
        <v/>
      </c>
      <c r="P36" s="15">
        <f>IF(OR(P35="",P4=""),"",IFERROR(P35/P4,""))</f>
        <v/>
      </c>
      <c r="Q36" s="15">
        <f>IF(OR(Q35="",Q4=""),"",IFERROR(Q35/Q4,""))</f>
        <v/>
      </c>
      <c r="R36" s="15">
        <f>IF(OR(R35="",R4=""),"",IFERROR(R35/R4,""))</f>
        <v/>
      </c>
      <c r="S36" s="15">
        <f>IF(OR(S35="",S4=""),"",IFERROR(S35/S4,""))</f>
        <v/>
      </c>
      <c r="T36" s="15">
        <f>IF(OR(T35="",T4=""),"",IFERROR(T35/T4,""))</f>
        <v/>
      </c>
      <c r="U36" s="15">
        <f>IF(OR(U35="",U4=""),"",IFERROR(U35/U4,""))</f>
        <v/>
      </c>
      <c r="V36" s="15">
        <f>IF(OR(V35="",V4=""),"",IFERROR(V35/V4,""))</f>
        <v/>
      </c>
      <c r="W36" s="15">
        <f>IF(OR(W35="",W4=""),"",IFERROR(W35/W4,""))</f>
        <v/>
      </c>
      <c r="X36" s="15">
        <f>IF(OR(X35="",X4=""),"",IFERROR(X35/X4,""))</f>
        <v/>
      </c>
      <c r="Y36" s="14" t="n"/>
      <c r="Z36" s="15" t="n"/>
      <c r="AA36" s="15" t="n"/>
      <c r="AB36" s="15" t="n"/>
      <c r="AC36" s="15" t="n"/>
    </row>
    <row r="37">
      <c r="A37" s="16" t="inlineStr">
        <is>
          <t>당기순이익 추정</t>
        </is>
      </c>
      <c r="B37" s="16" t="n"/>
      <c r="C37" s="17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7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7" t="n"/>
      <c r="Z37" s="16" t="n"/>
      <c r="AA37" s="16" t="n"/>
      <c r="AB37" s="16" t="n"/>
      <c r="AC37" s="16" t="n"/>
    </row>
    <row r="38">
      <c r="A38" s="18" t="inlineStr">
        <is>
          <t>특별이익</t>
        </is>
      </c>
      <c r="B38" s="10" t="n"/>
      <c r="C38" s="19" t="n">
        <v>0</v>
      </c>
      <c r="D38" s="20" t="n">
        <v>0.273</v>
      </c>
      <c r="E38" s="20" t="n">
        <v>0.593</v>
      </c>
      <c r="F38" s="20" t="n">
        <v>-0.137</v>
      </c>
      <c r="G38" s="20" t="n">
        <v>2.553</v>
      </c>
      <c r="H38" s="20" t="n">
        <v>1.473</v>
      </c>
      <c r="I38" s="20" t="n">
        <v>3.782</v>
      </c>
      <c r="J38" s="20" t="n">
        <v>0.327</v>
      </c>
      <c r="K38" s="20" t="n">
        <v>5.275</v>
      </c>
      <c r="L38" s="20" t="n">
        <v>0.502</v>
      </c>
      <c r="M38" s="20" t="n">
        <v>0</v>
      </c>
      <c r="N38" s="20" t="n">
        <v>11.314</v>
      </c>
      <c r="O38" s="19" t="n"/>
      <c r="P38" s="20" t="n"/>
      <c r="Q38" s="20" t="n"/>
      <c r="R38" s="20" t="n"/>
      <c r="S38" s="20" t="n"/>
      <c r="T38" s="20" t="n">
        <v>0</v>
      </c>
      <c r="U38" s="20" t="n">
        <v>46.481</v>
      </c>
      <c r="V38" s="20" t="n">
        <v>0.729</v>
      </c>
      <c r="W38" s="20" t="n">
        <v>8.135</v>
      </c>
      <c r="X38" s="20" t="n">
        <v>17.091</v>
      </c>
      <c r="Y38" s="19">
        <f>IF(OR(Y4="",Y39=""),"",IFERROR(Y4*Y39,""))</f>
        <v/>
      </c>
      <c r="Z38" s="20">
        <f>IF(OR(Z4="",Z39=""),"",IFERROR(Z4*Z39,""))</f>
        <v/>
      </c>
      <c r="AA38" s="20">
        <f>IF(OR(AA4="",AA39=""),"",IFERROR(AA4*AA39,""))</f>
        <v/>
      </c>
      <c r="AB38" s="20">
        <f>IF(OR(AB4="",AB39=""),"",IFERROR(AB4*AB39,""))</f>
        <v/>
      </c>
      <c r="AC38" s="20">
        <f>IF(OR(AC4="",AC39=""),"",IFERROR(AC4*AC39,""))</f>
        <v/>
      </c>
    </row>
    <row r="39">
      <c r="A39" s="13" t="inlineStr">
        <is>
          <t>% of Sales</t>
        </is>
      </c>
      <c r="B39" s="10" t="inlineStr">
        <is>
          <t>MW = 최근 3년 평균</t>
        </is>
      </c>
      <c r="C39" s="14">
        <f>IF(OR(C38="",C4=""),"",IFERROR(C38/C4,""))</f>
        <v/>
      </c>
      <c r="D39" s="15">
        <f>IF(OR(D38="",D4=""),"",IFERROR(D38/D4,""))</f>
        <v/>
      </c>
      <c r="E39" s="15">
        <f>IF(OR(E38="",E4=""),"",IFERROR(E38/E4,""))</f>
        <v/>
      </c>
      <c r="F39" s="15">
        <f>IF(OR(F38="",F4=""),"",IFERROR(F38/F4,""))</f>
        <v/>
      </c>
      <c r="G39" s="15">
        <f>IF(OR(G38="",G4=""),"",IFERROR(G38/G4,""))</f>
        <v/>
      </c>
      <c r="H39" s="15">
        <f>IF(OR(H38="",H4=""),"",IFERROR(H38/H4,""))</f>
        <v/>
      </c>
      <c r="I39" s="15">
        <f>IF(OR(I38="",I4=""),"",IFERROR(I38/I4,""))</f>
        <v/>
      </c>
      <c r="J39" s="15">
        <f>IF(OR(J38="",J4=""),"",IFERROR(J38/J4,""))</f>
        <v/>
      </c>
      <c r="K39" s="15">
        <f>IF(OR(K38="",K4=""),"",IFERROR(K38/K4,""))</f>
        <v/>
      </c>
      <c r="L39" s="15">
        <f>IF(OR(L38="",L4=""),"",IFERROR(L38/L4,""))</f>
        <v/>
      </c>
      <c r="M39" s="15">
        <f>IF(OR(M38="",M4=""),"",IFERROR(M38/M4,""))</f>
        <v/>
      </c>
      <c r="N39" s="15">
        <f>IF(OR(N38="",N4=""),"",IFERROR(N38/N4,""))</f>
        <v/>
      </c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25">
        <f>IFERROR(AVERAGE(V39,W39,X39),"")</f>
        <v/>
      </c>
      <c r="Z39" s="26">
        <f>Y39</f>
        <v/>
      </c>
      <c r="AA39" s="26">
        <f>Z39</f>
        <v/>
      </c>
      <c r="AB39" s="26">
        <f>AA39</f>
        <v/>
      </c>
      <c r="AC39" s="26">
        <f>AB39</f>
        <v/>
      </c>
    </row>
    <row r="40">
      <c r="A40" s="18" t="inlineStr">
        <is>
          <t>특별손실</t>
        </is>
      </c>
      <c r="B40" s="10" t="n"/>
      <c r="C40" s="19" t="n"/>
      <c r="D40" s="20" t="n"/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19" t="n"/>
      <c r="P40" s="20" t="n"/>
      <c r="Q40" s="20" t="n">
        <v>0</v>
      </c>
      <c r="R40" s="20" t="n">
        <v>10.23</v>
      </c>
      <c r="S40" s="20" t="n">
        <v>0</v>
      </c>
      <c r="T40" s="20" t="n">
        <v>246.245</v>
      </c>
      <c r="U40" s="20" t="n">
        <v>0</v>
      </c>
      <c r="V40" s="20" t="n"/>
      <c r="W40" s="20" t="n">
        <v>0</v>
      </c>
      <c r="X40" s="20" t="n">
        <v>57.749</v>
      </c>
      <c r="Y40" s="19">
        <f>IF(OR(Y4="",Y41=""),"",IFERROR(Y4*Y41,""))</f>
        <v/>
      </c>
      <c r="Z40" s="20">
        <f>IF(OR(Z4="",Z41=""),"",IFERROR(Z4*Z41,""))</f>
        <v/>
      </c>
      <c r="AA40" s="20">
        <f>IF(OR(AA4="",AA41=""),"",IFERROR(AA4*AA41,""))</f>
        <v/>
      </c>
      <c r="AB40" s="20">
        <f>IF(OR(AB4="",AB41=""),"",IFERROR(AB4*AB41,""))</f>
        <v/>
      </c>
      <c r="AC40" s="20">
        <f>IF(OR(AC4="",AC41=""),"",IFERROR(AC4*AC41,""))</f>
        <v/>
      </c>
    </row>
    <row r="41">
      <c r="A41" s="13" t="inlineStr">
        <is>
          <t>% of Sales</t>
        </is>
      </c>
      <c r="B41" s="10" t="n"/>
      <c r="C41" s="14">
        <f>IF(OR(C40="",C4=""),"",IFERROR(C40/C4,""))</f>
        <v/>
      </c>
      <c r="D41" s="15">
        <f>IF(OR(D40="",D4=""),"",IFERROR(D40/D4,""))</f>
        <v/>
      </c>
      <c r="E41" s="15">
        <f>IF(OR(E40="",E4=""),"",IFERROR(E40/E4,""))</f>
        <v/>
      </c>
      <c r="F41" s="15">
        <f>IF(OR(F40="",F4=""),"",IFERROR(F40/F4,""))</f>
        <v/>
      </c>
      <c r="G41" s="15">
        <f>IF(OR(G40="",G4=""),"",IFERROR(G40/G4,""))</f>
        <v/>
      </c>
      <c r="H41" s="15">
        <f>IF(OR(H40="",H4=""),"",IFERROR(H40/H4,""))</f>
        <v/>
      </c>
      <c r="I41" s="15">
        <f>IF(OR(I40="",I4=""),"",IFERROR(I40/I4,""))</f>
        <v/>
      </c>
      <c r="J41" s="15">
        <f>IF(OR(J40="",J4=""),"",IFERROR(J40/J4,""))</f>
        <v/>
      </c>
      <c r="K41" s="15">
        <f>IF(OR(K40="",K4=""),"",IFERROR(K40/K4,""))</f>
        <v/>
      </c>
      <c r="L41" s="15">
        <f>IF(OR(L40="",L4=""),"",IFERROR(L40/L4,""))</f>
        <v/>
      </c>
      <c r="M41" s="15">
        <f>IF(OR(M40="",M4=""),"",IFERROR(M40/M4,""))</f>
        <v/>
      </c>
      <c r="N41" s="15">
        <f>IF(OR(N40="",N4=""),"",IFERROR(N40/N4,""))</f>
        <v/>
      </c>
      <c r="O41" s="14">
        <f>IF(OR(O40="",O4=""),"",IFERROR(O40/O4,""))</f>
        <v/>
      </c>
      <c r="P41" s="15">
        <f>IF(OR(P40="",P4=""),"",IFERROR(P40/P4,""))</f>
        <v/>
      </c>
      <c r="Q41" s="15">
        <f>IF(OR(Q40="",Q4=""),"",IFERROR(Q40/Q4,""))</f>
        <v/>
      </c>
      <c r="R41" s="15">
        <f>IF(OR(R40="",R4=""),"",IFERROR(R40/R4,""))</f>
        <v/>
      </c>
      <c r="S41" s="15">
        <f>IF(OR(S40="",S4=""),"",IFERROR(S40/S4,""))</f>
        <v/>
      </c>
      <c r="T41" s="15">
        <f>IF(OR(T40="",T4=""),"",IFERROR(T40/T4,""))</f>
        <v/>
      </c>
      <c r="U41" s="15">
        <f>IF(OR(U40="",U4=""),"",IFERROR(U40/U4,""))</f>
        <v/>
      </c>
      <c r="V41" s="15">
        <f>IF(OR(V40="",V4=""),"",IFERROR(V40/V4,""))</f>
        <v/>
      </c>
      <c r="W41" s="15">
        <f>IF(OR(W40="",W4=""),"",IFERROR(W40/W4,""))</f>
        <v/>
      </c>
      <c r="X41" s="15">
        <f>IF(OR(X40="",X4=""),"",IFERROR(X40/X4,""))</f>
        <v/>
      </c>
      <c r="Y41" s="25">
        <f>IFERROR(AVERAGE(V41,W41,X41),"")</f>
        <v/>
      </c>
      <c r="Z41" s="26">
        <f>Y41</f>
        <v/>
      </c>
      <c r="AA41" s="26">
        <f>Z41</f>
        <v/>
      </c>
      <c r="AB41" s="26">
        <f>AA41</f>
        <v/>
      </c>
      <c r="AC41" s="26">
        <f>AB41</f>
        <v/>
      </c>
    </row>
    <row r="42">
      <c r="A42" s="18" t="inlineStr">
        <is>
          <t>영업외수익</t>
        </is>
      </c>
      <c r="B42" s="10" t="n"/>
      <c r="C42" s="19" t="n">
        <v>3.314</v>
      </c>
      <c r="D42" s="20" t="n">
        <v>7.167</v>
      </c>
      <c r="E42" s="20" t="n">
        <v>4.798</v>
      </c>
      <c r="F42" s="20" t="n">
        <v>3.439</v>
      </c>
      <c r="G42" s="20" t="n">
        <v>7.616</v>
      </c>
      <c r="H42" s="20" t="n">
        <v>9.531000000000001</v>
      </c>
      <c r="I42" s="20" t="n">
        <v>15.278</v>
      </c>
      <c r="J42" s="20" t="n">
        <v>31.133</v>
      </c>
      <c r="K42" s="20" t="n">
        <v>40.426</v>
      </c>
      <c r="L42" s="20" t="n">
        <v>44.163</v>
      </c>
      <c r="M42" s="20" t="n">
        <v>35.096</v>
      </c>
      <c r="N42" s="20" t="n">
        <v>41.63</v>
      </c>
      <c r="O42" s="19" t="n"/>
      <c r="P42" s="20" t="n"/>
      <c r="Q42" s="20" t="n">
        <v>17.071</v>
      </c>
      <c r="R42" s="20" t="n">
        <v>13.217</v>
      </c>
      <c r="S42" s="20" t="n">
        <v>9.502000000000001</v>
      </c>
      <c r="T42" s="20" t="n">
        <v>12.21</v>
      </c>
      <c r="U42" s="20" t="n">
        <v>11.954</v>
      </c>
      <c r="V42" s="20" t="n">
        <v>18.718</v>
      </c>
      <c r="W42" s="20" t="n">
        <v>63.558</v>
      </c>
      <c r="X42" s="20" t="n">
        <v>161.315</v>
      </c>
      <c r="Y42" s="19">
        <f>IF(OR(Y4="",Y43=""),"",IFERROR(Y4*Y43,""))</f>
        <v/>
      </c>
      <c r="Z42" s="20">
        <f>IF(OR(Z4="",Z43=""),"",IFERROR(Z4*Z43,""))</f>
        <v/>
      </c>
      <c r="AA42" s="20">
        <f>IF(OR(AA4="",AA43=""),"",IFERROR(AA4*AA43,""))</f>
        <v/>
      </c>
      <c r="AB42" s="20">
        <f>IF(OR(AB4="",AB43=""),"",IFERROR(AB4*AB43,""))</f>
        <v/>
      </c>
      <c r="AC42" s="20">
        <f>IF(OR(AC4="",AC43=""),"",IFERROR(AC4*AC43,""))</f>
        <v/>
      </c>
    </row>
    <row r="43">
      <c r="A43" s="13" t="inlineStr">
        <is>
          <t>% of Sales</t>
        </is>
      </c>
      <c r="B43" s="10" t="n"/>
      <c r="C43" s="14">
        <f>IF(OR(C42="",C4=""),"",IFERROR(C42/C4,""))</f>
        <v/>
      </c>
      <c r="D43" s="15">
        <f>IF(OR(D42="",D4=""),"",IFERROR(D42/D4,""))</f>
        <v/>
      </c>
      <c r="E43" s="15">
        <f>IF(OR(E42="",E4=""),"",IFERROR(E42/E4,""))</f>
        <v/>
      </c>
      <c r="F43" s="15">
        <f>IF(OR(F42="",F4=""),"",IFERROR(F42/F4,""))</f>
        <v/>
      </c>
      <c r="G43" s="15">
        <f>IF(OR(G42="",G4=""),"",IFERROR(G42/G4,""))</f>
        <v/>
      </c>
      <c r="H43" s="15">
        <f>IF(OR(H42="",H4=""),"",IFERROR(H42/H4,""))</f>
        <v/>
      </c>
      <c r="I43" s="15">
        <f>IF(OR(I42="",I4=""),"",IFERROR(I42/I4,""))</f>
        <v/>
      </c>
      <c r="J43" s="15">
        <f>IF(OR(J42="",J4=""),"",IFERROR(J42/J4,""))</f>
        <v/>
      </c>
      <c r="K43" s="15">
        <f>IF(OR(K42="",K4=""),"",IFERROR(K42/K4,""))</f>
        <v/>
      </c>
      <c r="L43" s="15">
        <f>IF(OR(L42="",L4=""),"",IFERROR(L42/L4,""))</f>
        <v/>
      </c>
      <c r="M43" s="15">
        <f>IF(OR(M42="",M4=""),"",IFERROR(M42/M4,""))</f>
        <v/>
      </c>
      <c r="N43" s="15">
        <f>IF(OR(N42="",N4=""),"",IFERROR(N42/N4,""))</f>
        <v/>
      </c>
      <c r="O43" s="14">
        <f>IF(OR(O42="",O4=""),"",IFERROR(O42/O4,""))</f>
        <v/>
      </c>
      <c r="P43" s="15">
        <f>IF(OR(P42="",P4=""),"",IFERROR(P42/P4,""))</f>
        <v/>
      </c>
      <c r="Q43" s="15">
        <f>IF(OR(Q42="",Q4=""),"",IFERROR(Q42/Q4,""))</f>
        <v/>
      </c>
      <c r="R43" s="15">
        <f>IF(OR(R42="",R4=""),"",IFERROR(R42/R4,""))</f>
        <v/>
      </c>
      <c r="S43" s="15">
        <f>IF(OR(S42="",S4=""),"",IFERROR(S42/S4,""))</f>
        <v/>
      </c>
      <c r="T43" s="15">
        <f>IF(OR(T42="",T4=""),"",IFERROR(T42/T4,""))</f>
        <v/>
      </c>
      <c r="U43" s="15">
        <f>IF(OR(U42="",U4=""),"",IFERROR(U42/U4,""))</f>
        <v/>
      </c>
      <c r="V43" s="15">
        <f>IF(OR(V42="",V4=""),"",IFERROR(V42/V4,""))</f>
        <v/>
      </c>
      <c r="W43" s="15">
        <f>IF(OR(W42="",W4=""),"",IFERROR(W42/W4,""))</f>
        <v/>
      </c>
      <c r="X43" s="15">
        <f>IF(OR(X42="",X4=""),"",IFERROR(X42/X4,""))</f>
        <v/>
      </c>
      <c r="Y43" s="25">
        <f>IFERROR(AVERAGE(V43,W43,X43),"")</f>
        <v/>
      </c>
      <c r="Z43" s="26">
        <f>Y43</f>
        <v/>
      </c>
      <c r="AA43" s="26">
        <f>Z43</f>
        <v/>
      </c>
      <c r="AB43" s="26">
        <f>AA43</f>
        <v/>
      </c>
      <c r="AC43" s="26">
        <f>AB43</f>
        <v/>
      </c>
    </row>
    <row r="44">
      <c r="A44" s="18" t="inlineStr">
        <is>
          <t>영업외비용</t>
        </is>
      </c>
      <c r="B44" s="10" t="n"/>
      <c r="C44" s="19" t="n">
        <v>4.829</v>
      </c>
      <c r="D44" s="20" t="n">
        <v>3.09</v>
      </c>
      <c r="E44" s="20" t="n">
        <v>0.8169999999999999</v>
      </c>
      <c r="F44" s="20" t="n">
        <v>-2.192</v>
      </c>
      <c r="G44" s="20" t="n">
        <v>4.654</v>
      </c>
      <c r="H44" s="20" t="n">
        <v>2.044</v>
      </c>
      <c r="I44" s="20" t="n">
        <v>0.82</v>
      </c>
      <c r="J44" s="20" t="n">
        <v>0.503</v>
      </c>
      <c r="K44" s="20" t="n">
        <v>10.506</v>
      </c>
      <c r="L44" s="20" t="n">
        <v>0.098</v>
      </c>
      <c r="M44" s="20" t="n">
        <v>1.063</v>
      </c>
      <c r="N44" s="20" t="n">
        <v>1.864</v>
      </c>
      <c r="O44" s="19" t="n"/>
      <c r="P44" s="20" t="n"/>
      <c r="Q44" s="20" t="n">
        <v>8.798</v>
      </c>
      <c r="R44" s="20" t="n">
        <v>17.871</v>
      </c>
      <c r="S44" s="20" t="n">
        <v>21.806</v>
      </c>
      <c r="T44" s="20" t="n">
        <v>10.94</v>
      </c>
      <c r="U44" s="20" t="n">
        <v>11.568</v>
      </c>
      <c r="V44" s="20" t="n">
        <v>6.544</v>
      </c>
      <c r="W44" s="20" t="n">
        <v>8.021000000000001</v>
      </c>
      <c r="X44" s="20" t="n">
        <v>13.531</v>
      </c>
      <c r="Y44" s="19">
        <f>IF(OR(Y4="",Y45=""),"",IFERROR(Y4*Y45,""))</f>
        <v/>
      </c>
      <c r="Z44" s="20">
        <f>IF(OR(Z4="",Z45=""),"",IFERROR(Z4*Z45,""))</f>
        <v/>
      </c>
      <c r="AA44" s="20">
        <f>IF(OR(AA4="",AA45=""),"",IFERROR(AA4*AA45,""))</f>
        <v/>
      </c>
      <c r="AB44" s="20">
        <f>IF(OR(AB4="",AB45=""),"",IFERROR(AB4*AB45,""))</f>
        <v/>
      </c>
      <c r="AC44" s="20">
        <f>IF(OR(AC4="",AC45=""),"",IFERROR(AC4*AC45,""))</f>
        <v/>
      </c>
    </row>
    <row r="45">
      <c r="A45" s="13" t="inlineStr">
        <is>
          <t>% of Sales</t>
        </is>
      </c>
      <c r="B45" s="10" t="n"/>
      <c r="C45" s="14">
        <f>IF(OR(C44="",C4=""),"",IFERROR(C44/C4,""))</f>
        <v/>
      </c>
      <c r="D45" s="15">
        <f>IF(OR(D44="",D4=""),"",IFERROR(D44/D4,""))</f>
        <v/>
      </c>
      <c r="E45" s="15">
        <f>IF(OR(E44="",E4=""),"",IFERROR(E44/E4,""))</f>
        <v/>
      </c>
      <c r="F45" s="15">
        <f>IF(OR(F44="",F4=""),"",IFERROR(F44/F4,""))</f>
        <v/>
      </c>
      <c r="G45" s="15">
        <f>IF(OR(G44="",G4=""),"",IFERROR(G44/G4,""))</f>
        <v/>
      </c>
      <c r="H45" s="15">
        <f>IF(OR(H44="",H4=""),"",IFERROR(H44/H4,""))</f>
        <v/>
      </c>
      <c r="I45" s="15">
        <f>IF(OR(I44="",I4=""),"",IFERROR(I44/I4,""))</f>
        <v/>
      </c>
      <c r="J45" s="15">
        <f>IF(OR(J44="",J4=""),"",IFERROR(J44/J4,""))</f>
        <v/>
      </c>
      <c r="K45" s="15">
        <f>IF(OR(K44="",K4=""),"",IFERROR(K44/K4,""))</f>
        <v/>
      </c>
      <c r="L45" s="15">
        <f>IF(OR(L44="",L4=""),"",IFERROR(L44/L4,""))</f>
        <v/>
      </c>
      <c r="M45" s="15">
        <f>IF(OR(M44="",M4=""),"",IFERROR(M44/M4,""))</f>
        <v/>
      </c>
      <c r="N45" s="15">
        <f>IF(OR(N44="",N4=""),"",IFERROR(N44/N4,""))</f>
        <v/>
      </c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25">
        <f>IFERROR(AVERAGE(V45,W45,X45),"")</f>
        <v/>
      </c>
      <c r="Z45" s="26">
        <f>Y45</f>
        <v/>
      </c>
      <c r="AA45" s="26">
        <f>Z45</f>
        <v/>
      </c>
      <c r="AB45" s="26">
        <f>AA45</f>
        <v/>
      </c>
      <c r="AC45" s="26">
        <f>AB45</f>
        <v/>
      </c>
    </row>
    <row r="46">
      <c r="A46" s="9" t="inlineStr">
        <is>
          <t>법인세비용차감전순이익(손실)</t>
        </is>
      </c>
      <c r="B46" s="10" t="n"/>
      <c r="C46" s="11" t="n">
        <v>-29.822</v>
      </c>
      <c r="D46" s="12" t="n">
        <v>108.532</v>
      </c>
      <c r="E46" s="12" t="n">
        <v>-35.914</v>
      </c>
      <c r="F46" s="12" t="n">
        <v>4.633</v>
      </c>
      <c r="G46" s="12" t="n">
        <v>134.175</v>
      </c>
      <c r="H46" s="12" t="n">
        <v>210.206</v>
      </c>
      <c r="I46" s="12" t="n">
        <v>197.776</v>
      </c>
      <c r="J46" s="12" t="n">
        <v>78.999</v>
      </c>
      <c r="K46" s="12" t="n">
        <v>112.472</v>
      </c>
      <c r="L46" s="12" t="n">
        <v>229.939</v>
      </c>
      <c r="M46" s="12" t="n">
        <v>101.265</v>
      </c>
      <c r="N46" s="12" t="n">
        <v>110.466</v>
      </c>
      <c r="O46" s="11" t="n"/>
      <c r="P46" s="12" t="n"/>
      <c r="Q46" s="12" t="n">
        <v>83.678</v>
      </c>
      <c r="R46" s="12" t="n">
        <v>201.72</v>
      </c>
      <c r="S46" s="12" t="n">
        <v>393.907</v>
      </c>
      <c r="T46" s="12" t="n">
        <v>149.178</v>
      </c>
      <c r="U46" s="12" t="n">
        <v>345.498</v>
      </c>
      <c r="V46" s="12" t="n">
        <v>47.429</v>
      </c>
      <c r="W46" s="12" t="n">
        <v>621.1559999999999</v>
      </c>
      <c r="X46" s="12" t="n">
        <v>554.1420000000001</v>
      </c>
      <c r="Y46" s="11">
        <f>IF(OR(Y22=""),"",IFERROR(Y22+N(Y38)-N(Y40)+N(Y42)-N(Y44),""))</f>
        <v/>
      </c>
      <c r="Z46" s="12">
        <f>IF(OR(Z22=""),"",IFERROR(Z22+N(Z38)-N(Z40)+N(Z42)-N(Z44),""))</f>
        <v/>
      </c>
      <c r="AA46" s="12">
        <f>IF(OR(AA22=""),"",IFERROR(AA22+N(AA38)-N(AA40)+N(AA42)-N(AA44),""))</f>
        <v/>
      </c>
      <c r="AB46" s="12">
        <f>IF(OR(AB22=""),"",IFERROR(AB22+N(AB38)-N(AB40)+N(AB42)-N(AB44),""))</f>
        <v/>
      </c>
      <c r="AC46" s="12">
        <f>IF(OR(AC22=""),"",IFERROR(AC22+N(AC38)-N(AC40)+N(AC42)-N(AC44),""))</f>
        <v/>
      </c>
    </row>
    <row r="47">
      <c r="A47" s="18" t="inlineStr">
        <is>
          <t>법인세비용(수익)</t>
        </is>
      </c>
      <c r="B47" s="10" t="n"/>
      <c r="C47" s="19" t="n">
        <v>0.284</v>
      </c>
      <c r="D47" s="20" t="n">
        <v>35.674</v>
      </c>
      <c r="E47" s="20" t="n">
        <v>-4.284</v>
      </c>
      <c r="F47" s="20" t="n">
        <v>4.222</v>
      </c>
      <c r="G47" s="20" t="n">
        <v>45.142</v>
      </c>
      <c r="H47" s="20" t="n">
        <v>70.90600000000001</v>
      </c>
      <c r="I47" s="20" t="n">
        <v>67.66200000000001</v>
      </c>
      <c r="J47" s="20" t="n">
        <v>36.95</v>
      </c>
      <c r="K47" s="20" t="n">
        <v>51.512</v>
      </c>
      <c r="L47" s="20" t="n">
        <v>74.714</v>
      </c>
      <c r="M47" s="20" t="n">
        <v>33.147</v>
      </c>
      <c r="N47" s="20" t="n">
        <v>41.137</v>
      </c>
      <c r="O47" s="19" t="n"/>
      <c r="P47" s="20" t="n"/>
      <c r="Q47" s="20" t="n">
        <v>26.288</v>
      </c>
      <c r="R47" s="20" t="n">
        <v>-14.013</v>
      </c>
      <c r="S47" s="20" t="n">
        <v>66.254</v>
      </c>
      <c r="T47" s="20" t="n">
        <v>76.639</v>
      </c>
      <c r="U47" s="20" t="n">
        <v>129.459</v>
      </c>
      <c r="V47" s="20" t="n">
        <v>35.896</v>
      </c>
      <c r="W47" s="20" t="n">
        <v>220.66</v>
      </c>
      <c r="X47" s="20" t="n">
        <v>200.51</v>
      </c>
      <c r="Y47" s="19">
        <f>IF(OR(Y46="",Y48=""),"",IFERROR(MAX(Y46,0)*Y48,""))</f>
        <v/>
      </c>
      <c r="Z47" s="20">
        <f>IF(OR(Z46="",Z48=""),"",IFERROR(MAX(Z46,0)*Z48,""))</f>
        <v/>
      </c>
      <c r="AA47" s="20">
        <f>IF(OR(AA46="",AA48=""),"",IFERROR(MAX(AA46,0)*AA48,""))</f>
        <v/>
      </c>
      <c r="AB47" s="20">
        <f>IF(OR(AB46="",AB48=""),"",IFERROR(MAX(AB46,0)*AB48,""))</f>
        <v/>
      </c>
      <c r="AC47" s="20">
        <f>IF(OR(AC46="",AC48=""),"",IFERROR(MAX(AC46,0)*AC48,""))</f>
        <v/>
      </c>
    </row>
    <row r="48">
      <c r="A48" s="13" t="inlineStr">
        <is>
          <t>법인세율</t>
        </is>
      </c>
      <c r="B48" s="10" t="inlineStr">
        <is>
          <t>MW 기본 30%</t>
        </is>
      </c>
      <c r="C48" s="14">
        <f>IF(OR(C47="",C46=""),"",IFERROR(C47/C46,""))</f>
        <v/>
      </c>
      <c r="D48" s="15">
        <f>IF(OR(D47="",D46=""),"",IFERROR(D47/D46,""))</f>
        <v/>
      </c>
      <c r="E48" s="15">
        <f>IF(OR(E47="",E46=""),"",IFERROR(E47/E46,""))</f>
        <v/>
      </c>
      <c r="F48" s="15">
        <f>IF(OR(F47="",F46=""),"",IFERROR(F47/F46,""))</f>
        <v/>
      </c>
      <c r="G48" s="15">
        <f>IF(OR(G47="",G46=""),"",IFERROR(G47/G46,""))</f>
        <v/>
      </c>
      <c r="H48" s="15">
        <f>IF(OR(H47="",H46=""),"",IFERROR(H47/H46,""))</f>
        <v/>
      </c>
      <c r="I48" s="15">
        <f>IF(OR(I47="",I46=""),"",IFERROR(I47/I46,""))</f>
        <v/>
      </c>
      <c r="J48" s="15">
        <f>IF(OR(J47="",J46=""),"",IFERROR(J47/J46,""))</f>
        <v/>
      </c>
      <c r="K48" s="15">
        <f>IF(OR(K47="",K46=""),"",IFERROR(K47/K46,""))</f>
        <v/>
      </c>
      <c r="L48" s="15">
        <f>IF(OR(L47="",L46=""),"",IFERROR(L47/L46,""))</f>
        <v/>
      </c>
      <c r="M48" s="15">
        <f>IF(OR(M47="",M46=""),"",IFERROR(M47/M46,""))</f>
        <v/>
      </c>
      <c r="N48" s="15">
        <f>IF(OR(N47="",N46=""),"",IFERROR(N47/N46,""))</f>
        <v/>
      </c>
      <c r="O48" s="14">
        <f>IF(OR(O47="",O46=""),"",IFERROR(O47/O46,""))</f>
        <v/>
      </c>
      <c r="P48" s="15">
        <f>IF(OR(P47="",P46=""),"",IFERROR(P47/P46,""))</f>
        <v/>
      </c>
      <c r="Q48" s="15">
        <f>IF(OR(Q47="",Q46=""),"",IFERROR(Q47/Q46,""))</f>
        <v/>
      </c>
      <c r="R48" s="15">
        <f>IF(OR(R47="",R46=""),"",IFERROR(R47/R46,""))</f>
        <v/>
      </c>
      <c r="S48" s="15">
        <f>IF(OR(S47="",S46=""),"",IFERROR(S47/S46,""))</f>
        <v/>
      </c>
      <c r="T48" s="15">
        <f>IF(OR(T47="",T46=""),"",IFERROR(T47/T46,""))</f>
        <v/>
      </c>
      <c r="U48" s="15">
        <f>IF(OR(U47="",U46=""),"",IFERROR(U47/U46,""))</f>
        <v/>
      </c>
      <c r="V48" s="15">
        <f>IF(OR(V47="",V46=""),"",IFERROR(V47/V46,""))</f>
        <v/>
      </c>
      <c r="W48" s="15">
        <f>IF(OR(W47="",W46=""),"",IFERROR(W47/W46,""))</f>
        <v/>
      </c>
      <c r="X48" s="15">
        <f>IF(OR(X47="",X46=""),"",IFERROR(X47/X46,""))</f>
        <v/>
      </c>
      <c r="Y48" s="25" t="n">
        <v>0.3</v>
      </c>
      <c r="Z48" s="26" t="n">
        <v>0.3</v>
      </c>
      <c r="AA48" s="26" t="n">
        <v>0.3</v>
      </c>
      <c r="AB48" s="26" t="n">
        <v>0.3</v>
      </c>
      <c r="AC48" s="26" t="n">
        <v>0.3</v>
      </c>
    </row>
    <row r="49">
      <c r="A49" s="9" t="inlineStr">
        <is>
          <t>당기순이익(손실)</t>
        </is>
      </c>
      <c r="B49" s="10" t="n"/>
      <c r="C49" s="11" t="n">
        <v>-30.107</v>
      </c>
      <c r="D49" s="12" t="n">
        <v>72.85899999999999</v>
      </c>
      <c r="E49" s="12" t="n">
        <v>-31.63</v>
      </c>
      <c r="F49" s="12" t="n">
        <v>0.41</v>
      </c>
      <c r="G49" s="12" t="n">
        <v>89.033</v>
      </c>
      <c r="H49" s="12" t="n">
        <v>139.299</v>
      </c>
      <c r="I49" s="12" t="n">
        <v>130.115</v>
      </c>
      <c r="J49" s="12" t="n">
        <v>42.049</v>
      </c>
      <c r="K49" s="12" t="n">
        <v>60.96</v>
      </c>
      <c r="L49" s="12" t="n">
        <v>155.224</v>
      </c>
      <c r="M49" s="12" t="n">
        <v>68.11799999999999</v>
      </c>
      <c r="N49" s="12" t="n">
        <v>69.33</v>
      </c>
      <c r="O49" s="11" t="n"/>
      <c r="P49" s="12" t="n"/>
      <c r="Q49" s="12" t="n">
        <v>57.389</v>
      </c>
      <c r="R49" s="12" t="n">
        <v>215.734</v>
      </c>
      <c r="S49" s="12" t="n">
        <v>327.653</v>
      </c>
      <c r="T49" s="12" t="n">
        <v>72.538</v>
      </c>
      <c r="U49" s="12" t="n">
        <v>216.039</v>
      </c>
      <c r="V49" s="12" t="n">
        <v>11.532</v>
      </c>
      <c r="W49" s="12" t="n">
        <v>400.496</v>
      </c>
      <c r="X49" s="12" t="n">
        <v>353.632</v>
      </c>
      <c r="Y49" s="11">
        <f>IF(OR(Y46=""),"",IFERROR(Y46-Y47,""))</f>
        <v/>
      </c>
      <c r="Z49" s="12">
        <f>IF(OR(Z46=""),"",IFERROR(Z46-Z47,""))</f>
        <v/>
      </c>
      <c r="AA49" s="12">
        <f>IF(OR(AA46=""),"",IFERROR(AA46-AA47,""))</f>
        <v/>
      </c>
      <c r="AB49" s="12">
        <f>IF(OR(AB46=""),"",IFERROR(AB46-AB47,""))</f>
        <v/>
      </c>
      <c r="AC49" s="12">
        <f>IF(OR(AC46=""),"",IFERROR(AC46-AC47,""))</f>
        <v/>
      </c>
    </row>
    <row r="50">
      <c r="A50" s="9" t="inlineStr">
        <is>
          <t>지배주주 순이익</t>
        </is>
      </c>
      <c r="B50" s="10" t="n"/>
      <c r="C50" s="11" t="n">
        <v>-30.107</v>
      </c>
      <c r="D50" s="12" t="n">
        <v>72.85899999999999</v>
      </c>
      <c r="E50" s="12" t="n">
        <v>-31.63</v>
      </c>
      <c r="F50" s="12" t="n">
        <v>0.41</v>
      </c>
      <c r="G50" s="12" t="n">
        <v>89.033</v>
      </c>
      <c r="H50" s="12" t="n">
        <v>142.84</v>
      </c>
      <c r="I50" s="12" t="n">
        <v>132.435</v>
      </c>
      <c r="J50" s="12" t="n">
        <v>42.743</v>
      </c>
      <c r="K50" s="12" t="n">
        <v>60.96</v>
      </c>
      <c r="L50" s="12" t="n">
        <v>155.274</v>
      </c>
      <c r="M50" s="12" t="n">
        <v>68.11799999999999</v>
      </c>
      <c r="N50" s="12" t="n">
        <v>69.33</v>
      </c>
      <c r="O50" s="11" t="n"/>
      <c r="P50" s="12" t="n"/>
      <c r="Q50" s="12" t="n">
        <v>57.389</v>
      </c>
      <c r="R50" s="12" t="n">
        <v>215.734</v>
      </c>
      <c r="S50" s="12" t="n">
        <v>327.653</v>
      </c>
      <c r="T50" s="12" t="n">
        <v>72.538</v>
      </c>
      <c r="U50" s="12" t="n">
        <v>216.039</v>
      </c>
      <c r="V50" s="12" t="n">
        <v>11.532</v>
      </c>
      <c r="W50" s="12" t="n">
        <v>407.051</v>
      </c>
      <c r="X50" s="12" t="n">
        <v>353.682</v>
      </c>
      <c r="Y50" s="11">
        <f>IF(OR(Y49="",Y51=""),"",IFERROR(Y49*Y51,""))</f>
        <v/>
      </c>
      <c r="Z50" s="12">
        <f>IF(OR(Z49="",Z51=""),"",IFERROR(Z49*Z51,""))</f>
        <v/>
      </c>
      <c r="AA50" s="12">
        <f>IF(OR(AA49="",AA51=""),"",IFERROR(AA49*AA51,""))</f>
        <v/>
      </c>
      <c r="AB50" s="12">
        <f>IF(OR(AB49="",AB51=""),"",IFERROR(AB49*AB51,""))</f>
        <v/>
      </c>
      <c r="AC50" s="12">
        <f>IF(OR(AC49="",AC51=""),"",IFERROR(AC49*AC51,""))</f>
        <v/>
      </c>
    </row>
    <row r="51">
      <c r="A51" s="13" t="inlineStr">
        <is>
          <t>지배주주 순이익률</t>
        </is>
      </c>
      <c r="B51" s="10" t="inlineStr">
        <is>
          <t>MW 기본 100%</t>
        </is>
      </c>
      <c r="C51" s="14">
        <f>IF(OR(C50="",C49=""),"",IFERROR(C50/C49,""))</f>
        <v/>
      </c>
      <c r="D51" s="15">
        <f>IF(OR(D50="",D49=""),"",IFERROR(D50/D49,""))</f>
        <v/>
      </c>
      <c r="E51" s="15">
        <f>IF(OR(E50="",E49=""),"",IFERROR(E50/E49,""))</f>
        <v/>
      </c>
      <c r="F51" s="15">
        <f>IF(OR(F50="",F49=""),"",IFERROR(F50/F49,""))</f>
        <v/>
      </c>
      <c r="G51" s="15">
        <f>IF(OR(G50="",G49=""),"",IFERROR(G50/G49,""))</f>
        <v/>
      </c>
      <c r="H51" s="15">
        <f>IF(OR(H50="",H49=""),"",IFERROR(H50/H49,""))</f>
        <v/>
      </c>
      <c r="I51" s="15">
        <f>IF(OR(I50="",I49=""),"",IFERROR(I50/I49,""))</f>
        <v/>
      </c>
      <c r="J51" s="15">
        <f>IF(OR(J50="",J49=""),"",IFERROR(J50/J49,""))</f>
        <v/>
      </c>
      <c r="K51" s="15">
        <f>IF(OR(K50="",K49=""),"",IFERROR(K50/K49,""))</f>
        <v/>
      </c>
      <c r="L51" s="15">
        <f>IF(OR(L50="",L49=""),"",IFERROR(L50/L49,""))</f>
        <v/>
      </c>
      <c r="M51" s="15">
        <f>IF(OR(M50="",M49=""),"",IFERROR(M50/M49,""))</f>
        <v/>
      </c>
      <c r="N51" s="15">
        <f>IF(OR(N50="",N49=""),"",IFERROR(N50/N49,""))</f>
        <v/>
      </c>
      <c r="O51" s="14">
        <f>IF(OR(O50="",O49=""),"",IFERROR(O50/O49,""))</f>
        <v/>
      </c>
      <c r="P51" s="15">
        <f>IF(OR(P50="",P49=""),"",IFERROR(P50/P49,""))</f>
        <v/>
      </c>
      <c r="Q51" s="15">
        <f>IF(OR(Q50="",Q49=""),"",IFERROR(Q50/Q49,""))</f>
        <v/>
      </c>
      <c r="R51" s="15">
        <f>IF(OR(R50="",R49=""),"",IFERROR(R50/R49,""))</f>
        <v/>
      </c>
      <c r="S51" s="15">
        <f>IF(OR(S50="",S49=""),"",IFERROR(S50/S49,""))</f>
        <v/>
      </c>
      <c r="T51" s="15">
        <f>IF(OR(T50="",T49=""),"",IFERROR(T50/T49,""))</f>
        <v/>
      </c>
      <c r="U51" s="15">
        <f>IF(OR(U50="",U49=""),"",IFERROR(U50/U49,""))</f>
        <v/>
      </c>
      <c r="V51" s="15">
        <f>IF(OR(V50="",V49=""),"",IFERROR(V50/V49,""))</f>
        <v/>
      </c>
      <c r="W51" s="15">
        <f>IF(OR(W50="",W49=""),"",IFERROR(W50/W49,""))</f>
        <v/>
      </c>
      <c r="X51" s="15">
        <f>IF(OR(X50="",X49=""),"",IFERROR(X50/X49,""))</f>
        <v/>
      </c>
      <c r="Y51" s="25" t="n">
        <v>1</v>
      </c>
      <c r="Z51" s="26" t="n">
        <v>1</v>
      </c>
      <c r="AA51" s="26" t="n">
        <v>1</v>
      </c>
      <c r="AB51" s="26" t="n">
        <v>1</v>
      </c>
      <c r="AC51" s="26" t="n">
        <v>1</v>
      </c>
    </row>
    <row r="52">
      <c r="A52" s="16" t="inlineStr">
        <is>
          <t>목표주가 산출</t>
        </is>
      </c>
      <c r="B52" s="16" t="n"/>
      <c r="C52" s="17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7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7" t="n"/>
      <c r="Z52" s="16" t="n"/>
      <c r="AA52" s="16" t="n"/>
      <c r="AB52" s="16" t="n"/>
      <c r="AC52" s="16" t="n"/>
    </row>
    <row r="53">
      <c r="A53" s="18" t="inlineStr">
        <is>
          <t>현재 주가 (2026.10.23)</t>
        </is>
      </c>
      <c r="B53" s="27" t="n">
        <v>459</v>
      </c>
      <c r="C53" s="28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8" t="n"/>
      <c r="P53" s="29" t="n"/>
      <c r="Q53" s="29" t="n"/>
      <c r="R53" s="29" t="n"/>
      <c r="S53" s="29" t="n"/>
      <c r="T53" s="29" t="n"/>
      <c r="U53" s="29" t="n"/>
      <c r="V53" s="29" t="n"/>
      <c r="W53" s="29" t="n"/>
      <c r="X53" s="29" t="n"/>
      <c r="Y53" s="28" t="n"/>
      <c r="Z53" s="29" t="n"/>
      <c r="AA53" s="29" t="n"/>
      <c r="AB53" s="29" t="n"/>
      <c r="AC53" s="29" t="n"/>
    </row>
    <row r="54">
      <c r="A54" s="18" t="inlineStr">
        <is>
          <t>발행주식수 (보통주)</t>
        </is>
      </c>
      <c r="B54" s="27" t="n">
        <v>9250820</v>
      </c>
      <c r="C54" s="28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8" t="n"/>
      <c r="P54" s="29" t="n"/>
      <c r="Q54" s="29" t="n"/>
      <c r="R54" s="29" t="n"/>
      <c r="S54" s="29" t="n"/>
      <c r="T54" s="29" t="n"/>
      <c r="U54" s="29" t="n"/>
      <c r="V54" s="29" t="n"/>
      <c r="W54" s="29" t="n"/>
      <c r="X54" s="29" t="n"/>
      <c r="Y54" s="28" t="n"/>
      <c r="Z54" s="29" t="n"/>
      <c r="AA54" s="29" t="n"/>
      <c r="AB54" s="29" t="n"/>
      <c r="AC54" s="29" t="n"/>
    </row>
    <row r="55">
      <c r="A55" s="18" t="inlineStr">
        <is>
          <t>시가총액 (백만엔)</t>
        </is>
      </c>
      <c r="B55" s="12">
        <f>IF(OR(B53="",B54=""),"",B53*B54/1000000.0)</f>
        <v/>
      </c>
      <c r="C55" s="19" t="n"/>
      <c r="D55" s="20" t="n"/>
      <c r="E55" s="20" t="n"/>
      <c r="F55" s="20" t="n"/>
      <c r="G55" s="20" t="n"/>
      <c r="H55" s="20" t="n"/>
      <c r="I55" s="20" t="n"/>
      <c r="J55" s="20" t="n"/>
      <c r="K55" s="20" t="n"/>
      <c r="L55" s="20" t="n"/>
      <c r="M55" s="20" t="n"/>
      <c r="N55" s="20" t="n"/>
      <c r="O55" s="19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19" t="n"/>
      <c r="Z55" s="20" t="n"/>
      <c r="AA55" s="20" t="n"/>
      <c r="AB55" s="20" t="n"/>
      <c r="AC55" s="20" t="n"/>
    </row>
    <row r="56">
      <c r="A56" s="13" t="inlineStr">
        <is>
          <t>OPM</t>
        </is>
      </c>
      <c r="B56" s="10" t="n"/>
      <c r="C56" s="14" t="n"/>
      <c r="D56" s="15" t="n"/>
      <c r="E56" s="15" t="n"/>
      <c r="F56" s="15" t="n"/>
      <c r="G56" s="15" t="n"/>
      <c r="H56" s="15" t="n"/>
      <c r="I56" s="15" t="n"/>
      <c r="J56" s="15" t="n"/>
      <c r="K56" s="15" t="n"/>
      <c r="L56" s="15" t="n"/>
      <c r="M56" s="15" t="n"/>
      <c r="N56" s="15" t="n"/>
      <c r="O56" s="14">
        <f>IF(O23="","",O23)</f>
        <v/>
      </c>
      <c r="P56" s="15">
        <f>IF(P23="","",P23)</f>
        <v/>
      </c>
      <c r="Q56" s="15">
        <f>IF(Q23="","",Q23)</f>
        <v/>
      </c>
      <c r="R56" s="15">
        <f>IF(R23="","",R23)</f>
        <v/>
      </c>
      <c r="S56" s="15">
        <f>IF(S23="","",S23)</f>
        <v/>
      </c>
      <c r="T56" s="15">
        <f>IF(T23="","",T23)</f>
        <v/>
      </c>
      <c r="U56" s="15">
        <f>IF(U23="","",U23)</f>
        <v/>
      </c>
      <c r="V56" s="15">
        <f>IF(V23="","",V23)</f>
        <v/>
      </c>
      <c r="W56" s="15">
        <f>IF(W23="","",W23)</f>
        <v/>
      </c>
      <c r="X56" s="15">
        <f>IF(X23="","",X23)</f>
        <v/>
      </c>
      <c r="Y56" s="14">
        <f>IF(Y23="","",Y23)</f>
        <v/>
      </c>
      <c r="Z56" s="15">
        <f>IF(Z23="","",Z23)</f>
        <v/>
      </c>
      <c r="AA56" s="15">
        <f>IF(AA23="","",AA23)</f>
        <v/>
      </c>
      <c r="AB56" s="15">
        <f>IF(AB23="","",AB23)</f>
        <v/>
      </c>
      <c r="AC56" s="15">
        <f>IF(AC23="","",AC23)</f>
        <v/>
      </c>
    </row>
    <row r="57">
      <c r="A57" s="13" t="inlineStr">
        <is>
          <t>지배주주 순이익 증가율</t>
        </is>
      </c>
      <c r="B57" s="10" t="n"/>
      <c r="C57" s="14" t="n"/>
      <c r="D57" s="15" t="n"/>
      <c r="E57" s="15" t="n"/>
      <c r="F57" s="15" t="n"/>
      <c r="G57" s="15" t="n"/>
      <c r="H57" s="15" t="n"/>
      <c r="I57" s="15" t="n"/>
      <c r="J57" s="15" t="n"/>
      <c r="K57" s="15" t="n"/>
      <c r="L57" s="15" t="n"/>
      <c r="M57" s="15" t="n"/>
      <c r="N57" s="15" t="n"/>
      <c r="O57" s="14" t="n"/>
      <c r="P57" s="15">
        <f>IF(OR(P50="",O50=""),"",IFERROR(P50/O50-1,""))</f>
        <v/>
      </c>
      <c r="Q57" s="15">
        <f>IF(OR(Q50="",P50=""),"",IFERROR(Q50/P50-1,""))</f>
        <v/>
      </c>
      <c r="R57" s="15">
        <f>IF(OR(R50="",Q50=""),"",IFERROR(R50/Q50-1,""))</f>
        <v/>
      </c>
      <c r="S57" s="15">
        <f>IF(OR(S50="",R50=""),"",IFERROR(S50/R50-1,""))</f>
        <v/>
      </c>
      <c r="T57" s="15">
        <f>IF(OR(T50="",S50=""),"",IFERROR(T50/S50-1,""))</f>
        <v/>
      </c>
      <c r="U57" s="15">
        <f>IF(OR(U50="",T50=""),"",IFERROR(U50/T50-1,""))</f>
        <v/>
      </c>
      <c r="V57" s="15">
        <f>IF(OR(V50="",U50=""),"",IFERROR(V50/U50-1,""))</f>
        <v/>
      </c>
      <c r="W57" s="15">
        <f>IF(OR(W50="",V50=""),"",IFERROR(W50/V50-1,""))</f>
        <v/>
      </c>
      <c r="X57" s="15">
        <f>IF(OR(X50="",W50=""),"",IFERROR(X50/W50-1,""))</f>
        <v/>
      </c>
      <c r="Y57" s="14">
        <f>IF(OR(Y50="",X50=""),"",IFERROR(Y50/X50-1,""))</f>
        <v/>
      </c>
      <c r="Z57" s="15">
        <f>IF(OR(Z50="",Y50=""),"",IFERROR(Z50/Y50-1,""))</f>
        <v/>
      </c>
      <c r="AA57" s="15">
        <f>IF(OR(AA50="",Z50=""),"",IFERROR(AA50/Z50-1,""))</f>
        <v/>
      </c>
      <c r="AB57" s="15">
        <f>IF(OR(AB50="",AA50=""),"",IFERROR(AB50/AA50-1,""))</f>
        <v/>
      </c>
      <c r="AC57" s="15">
        <f>IF(OR(AC50="",AB50=""),"",IFERROR(AC50/AB50-1,""))</f>
        <v/>
      </c>
    </row>
    <row r="58">
      <c r="A58" s="18" t="inlineStr">
        <is>
          <t>P/E (현재 주가)</t>
        </is>
      </c>
      <c r="B58" s="10" t="inlineStr">
        <is>
          <t>시총 ÷ 지배순이익</t>
        </is>
      </c>
      <c r="C58" s="30" t="n"/>
      <c r="D58" s="31" t="n"/>
      <c r="E58" s="31" t="n"/>
      <c r="F58" s="31" t="n"/>
      <c r="G58" s="31" t="n"/>
      <c r="H58" s="31" t="n"/>
      <c r="I58" s="31" t="n"/>
      <c r="J58" s="31" t="n"/>
      <c r="K58" s="31" t="n"/>
      <c r="L58" s="31" t="n"/>
      <c r="M58" s="31" t="n"/>
      <c r="N58" s="31" t="n"/>
      <c r="O58" s="30" t="n"/>
      <c r="P58" s="31" t="n"/>
      <c r="Q58" s="31" t="n"/>
      <c r="R58" s="31" t="n"/>
      <c r="S58" s="31" t="n"/>
      <c r="T58" s="31" t="n"/>
      <c r="U58" s="31" t="n"/>
      <c r="V58" s="31" t="n"/>
      <c r="W58" s="31" t="n"/>
      <c r="X58" s="31">
        <f>IF(OR($B$55="",X50=""),"",IFERROR($B$55/X50,""))</f>
        <v/>
      </c>
      <c r="Y58" s="30">
        <f>IF(OR($B$55="",Y50=""),"",IFERROR($B$55/Y50,""))</f>
        <v/>
      </c>
      <c r="Z58" s="31">
        <f>IF(OR($B$55="",Z50=""),"",IFERROR($B$55/Z50,""))</f>
        <v/>
      </c>
      <c r="AA58" s="31">
        <f>IF(OR($B$55="",AA50=""),"",IFERROR($B$55/AA50,""))</f>
        <v/>
      </c>
      <c r="AB58" s="31">
        <f>IF(OR($B$55="",AB50=""),"",IFERROR($B$55/AB50,""))</f>
        <v/>
      </c>
      <c r="AC58" s="31">
        <f>IF(OR($B$55="",AC50=""),"",IFERROR($B$55/AC50,""))</f>
        <v/>
      </c>
    </row>
    <row r="59">
      <c r="A59" s="18" t="inlineStr">
        <is>
          <t>Target P/E</t>
        </is>
      </c>
      <c r="B59" s="10" t="inlineStr">
        <is>
          <t>직접 입력</t>
        </is>
      </c>
      <c r="C59" s="30" t="n"/>
      <c r="D59" s="31" t="n"/>
      <c r="E59" s="31" t="n"/>
      <c r="F59" s="31" t="n"/>
      <c r="G59" s="31" t="n"/>
      <c r="H59" s="31" t="n"/>
      <c r="I59" s="31" t="n"/>
      <c r="J59" s="31" t="n"/>
      <c r="K59" s="31" t="n"/>
      <c r="L59" s="31" t="n"/>
      <c r="M59" s="31" t="n"/>
      <c r="N59" s="31" t="n"/>
      <c r="O59" s="30" t="n"/>
      <c r="P59" s="31" t="n"/>
      <c r="Q59" s="31" t="n"/>
      <c r="R59" s="31" t="n"/>
      <c r="S59" s="31" t="n"/>
      <c r="T59" s="31" t="n"/>
      <c r="U59" s="31" t="n"/>
      <c r="V59" s="31" t="n"/>
      <c r="W59" s="31" t="n"/>
      <c r="X59" s="31" t="n"/>
      <c r="Y59" s="32" t="n"/>
      <c r="Z59" s="33" t="n"/>
      <c r="AA59" s="33" t="n"/>
      <c r="AB59" s="33" t="n"/>
      <c r="AC59" s="33" t="n"/>
    </row>
    <row r="60">
      <c r="A60" s="18" t="inlineStr">
        <is>
          <t>EPS</t>
        </is>
      </c>
      <c r="B60" s="10" t="inlineStr">
        <is>
          <t>지배순이익 ÷ 주식수</t>
        </is>
      </c>
      <c r="C60" s="28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8">
        <f>IF(OR(O50="",$B$54=""),"",IFERROR(O50*1000000.0/$B$54,""))</f>
        <v/>
      </c>
      <c r="P60" s="29">
        <f>IF(OR(P50="",$B$54=""),"",IFERROR(P50*1000000.0/$B$54,""))</f>
        <v/>
      </c>
      <c r="Q60" s="29">
        <f>IF(OR(Q50="",$B$54=""),"",IFERROR(Q50*1000000.0/$B$54,""))</f>
        <v/>
      </c>
      <c r="R60" s="29">
        <f>IF(OR(R50="",$B$54=""),"",IFERROR(R50*1000000.0/$B$54,""))</f>
        <v/>
      </c>
      <c r="S60" s="29">
        <f>IF(OR(S50="",$B$54=""),"",IFERROR(S50*1000000.0/$B$54,""))</f>
        <v/>
      </c>
      <c r="T60" s="29">
        <f>IF(OR(T50="",$B$54=""),"",IFERROR(T50*1000000.0/$B$54,""))</f>
        <v/>
      </c>
      <c r="U60" s="29">
        <f>IF(OR(U50="",$B$54=""),"",IFERROR(U50*1000000.0/$B$54,""))</f>
        <v/>
      </c>
      <c r="V60" s="29">
        <f>IF(OR(V50="",$B$54=""),"",IFERROR(V50*1000000.0/$B$54,""))</f>
        <v/>
      </c>
      <c r="W60" s="29">
        <f>IF(OR(W50="",$B$54=""),"",IFERROR(W50*1000000.0/$B$54,""))</f>
        <v/>
      </c>
      <c r="X60" s="29">
        <f>IF(OR(X50="",$B$54=""),"",IFERROR(X50*1000000.0/$B$54,""))</f>
        <v/>
      </c>
      <c r="Y60" s="28">
        <f>IF(OR(Y50="",$B$54=""),"",IFERROR(Y50*1000000.0/$B$54,""))</f>
        <v/>
      </c>
      <c r="Z60" s="29">
        <f>IF(OR(Z50="",$B$54=""),"",IFERROR(Z50*1000000.0/$B$54,""))</f>
        <v/>
      </c>
      <c r="AA60" s="29">
        <f>IF(OR(AA50="",$B$54=""),"",IFERROR(AA50*1000000.0/$B$54,""))</f>
        <v/>
      </c>
      <c r="AB60" s="29">
        <f>IF(OR(AB50="",$B$54=""),"",IFERROR(AB50*1000000.0/$B$54,""))</f>
        <v/>
      </c>
      <c r="AC60" s="29">
        <f>IF(OR(AC50="",$B$54=""),"",IFERROR(AC50*1000000.0/$B$54,""))</f>
        <v/>
      </c>
    </row>
    <row r="61">
      <c r="A61" s="9" t="inlineStr">
        <is>
          <t>목표주가</t>
        </is>
      </c>
      <c r="B61" s="10" t="n"/>
      <c r="C61" s="34" t="n"/>
      <c r="D61" s="27" t="n"/>
      <c r="E61" s="27" t="n"/>
      <c r="F61" s="27" t="n"/>
      <c r="G61" s="27" t="n"/>
      <c r="H61" s="27" t="n"/>
      <c r="I61" s="27" t="n"/>
      <c r="J61" s="27" t="n"/>
      <c r="K61" s="27" t="n"/>
      <c r="L61" s="27" t="n"/>
      <c r="M61" s="27" t="n"/>
      <c r="N61" s="27" t="n"/>
      <c r="O61" s="34" t="n"/>
      <c r="P61" s="27" t="n"/>
      <c r="Q61" s="27" t="n"/>
      <c r="R61" s="27" t="n"/>
      <c r="S61" s="27" t="n"/>
      <c r="T61" s="27" t="n"/>
      <c r="U61" s="27" t="n"/>
      <c r="V61" s="27" t="n"/>
      <c r="W61" s="27" t="n"/>
      <c r="X61" s="27" t="n"/>
      <c r="Y61" s="34">
        <f>IF(OR(Y60="",Y59=""),"",IFERROR(Y60*Y59,""))</f>
        <v/>
      </c>
      <c r="Z61" s="27">
        <f>IF(OR(Z60="",Z59=""),"",IFERROR(Z60*Z59,""))</f>
        <v/>
      </c>
      <c r="AA61" s="27">
        <f>IF(OR(AA60="",AA59=""),"",IFERROR(AA60*AA59,""))</f>
        <v/>
      </c>
      <c r="AB61" s="27">
        <f>IF(OR(AB60="",AB59=""),"",IFERROR(AB60*AB59,""))</f>
        <v/>
      </c>
      <c r="AC61" s="27">
        <f>IF(OR(AC60="",AC59=""),"",IFERROR(AC60*AC59,""))</f>
        <v/>
      </c>
    </row>
    <row r="62">
      <c r="A62" s="18" t="inlineStr">
        <is>
          <t>상승여력</t>
        </is>
      </c>
      <c r="B62" s="10" t="n"/>
      <c r="C62" s="35" t="n"/>
      <c r="D62" s="36" t="n"/>
      <c r="E62" s="36" t="n"/>
      <c r="F62" s="36" t="n"/>
      <c r="G62" s="36" t="n"/>
      <c r="H62" s="36" t="n"/>
      <c r="I62" s="36" t="n"/>
      <c r="J62" s="36" t="n"/>
      <c r="K62" s="36" t="n"/>
      <c r="L62" s="36" t="n"/>
      <c r="M62" s="36" t="n"/>
      <c r="N62" s="36" t="n"/>
      <c r="O62" s="35" t="n"/>
      <c r="P62" s="36" t="n"/>
      <c r="Q62" s="36" t="n"/>
      <c r="R62" s="36" t="n"/>
      <c r="S62" s="36" t="n"/>
      <c r="T62" s="36" t="n"/>
      <c r="U62" s="36" t="n"/>
      <c r="V62" s="36" t="n"/>
      <c r="W62" s="36" t="n"/>
      <c r="X62" s="36" t="n"/>
      <c r="Y62" s="37">
        <f>IF(OR(Y61="",$B$53=""),"",IFERROR(Y61/$B$53-1,""))</f>
        <v/>
      </c>
      <c r="Z62" s="38">
        <f>IF(OR(Z61="",$B$53=""),"",IFERROR(Z61/$B$53-1,""))</f>
        <v/>
      </c>
      <c r="AA62" s="38">
        <f>IF(OR(AA61="",$B$53=""),"",IFERROR(AA61/$B$53-1,""))</f>
        <v/>
      </c>
      <c r="AB62" s="38">
        <f>IF(OR(AB61="",$B$53=""),"",IFERROR(AB61/$B$53-1,""))</f>
        <v/>
      </c>
      <c r="AC62" s="38">
        <f>IF(OR(AC61="",$B$53=""),"",IFERROR(AC61/$B$53-1,""))</f>
        <v/>
      </c>
    </row>
    <row r="63">
      <c r="A63" s="16" t="inlineStr">
        <is>
          <t>자산가치 산출</t>
        </is>
      </c>
      <c r="B63" s="16" t="inlineStr">
        <is>
          <t>최신 분기 BS</t>
        </is>
      </c>
      <c r="C63" s="17" t="n"/>
      <c r="D63" s="16" t="n"/>
      <c r="E63" s="16" t="n"/>
      <c r="F63" s="16" t="n"/>
      <c r="G63" s="16" t="n"/>
      <c r="H63" s="16" t="n"/>
      <c r="I63" s="16" t="n"/>
      <c r="J63" s="16" t="n"/>
      <c r="K63" s="16" t="n"/>
      <c r="L63" s="16" t="n"/>
      <c r="M63" s="16" t="n"/>
      <c r="N63" s="16" t="n"/>
      <c r="O63" s="17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7" t="n"/>
      <c r="Z63" s="16" t="n"/>
      <c r="AA63" s="16" t="n"/>
      <c r="AB63" s="16" t="n"/>
      <c r="AC63" s="16" t="n"/>
    </row>
    <row r="64">
      <c r="A64" s="18" t="inlineStr">
        <is>
          <t>현금및현금성자산</t>
        </is>
      </c>
      <c r="B64" s="10" t="n"/>
      <c r="C64" s="19" t="n"/>
      <c r="D64" s="20" t="n"/>
      <c r="E64" s="20" t="n"/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19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>
        <f>'재무상태표'!G6</f>
        <v/>
      </c>
      <c r="Y64" s="19">
        <f>'재무상태표'!G6</f>
        <v/>
      </c>
      <c r="Z64" s="20">
        <f>'재무상태표'!G6</f>
        <v/>
      </c>
      <c r="AA64" s="20">
        <f>'재무상태표'!G6</f>
        <v/>
      </c>
      <c r="AB64" s="20">
        <f>'재무상태표'!G6</f>
        <v/>
      </c>
      <c r="AC64" s="20">
        <f>'재무상태표'!G6</f>
        <v/>
      </c>
    </row>
    <row r="65">
      <c r="A65" s="18" t="inlineStr">
        <is>
          <t>단기금융상품</t>
        </is>
      </c>
      <c r="B65" s="10" t="n"/>
      <c r="C65" s="19" t="n"/>
      <c r="D65" s="20" t="n"/>
      <c r="E65" s="20" t="n"/>
      <c r="F65" s="20" t="n"/>
      <c r="G65" s="20" t="n"/>
      <c r="H65" s="20" t="n"/>
      <c r="I65" s="20" t="n"/>
      <c r="J65" s="20" t="n"/>
      <c r="K65" s="20" t="n"/>
      <c r="L65" s="20" t="n"/>
      <c r="M65" s="20" t="n"/>
      <c r="N65" s="20" t="n"/>
      <c r="O65" s="19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>
        <f>'재무상태표'!G7</f>
        <v/>
      </c>
      <c r="Y65" s="19">
        <f>'재무상태표'!G7</f>
        <v/>
      </c>
      <c r="Z65" s="20">
        <f>'재무상태표'!G7</f>
        <v/>
      </c>
      <c r="AA65" s="20">
        <f>'재무상태표'!G7</f>
        <v/>
      </c>
      <c r="AB65" s="20">
        <f>'재무상태표'!G7</f>
        <v/>
      </c>
      <c r="AC65" s="20">
        <f>'재무상태표'!G7</f>
        <v/>
      </c>
    </row>
    <row r="66">
      <c r="A66" s="18" t="inlineStr">
        <is>
          <t>투자부동산</t>
        </is>
      </c>
      <c r="B66" s="10" t="n"/>
      <c r="C66" s="19" t="n"/>
      <c r="D66" s="20" t="n"/>
      <c r="E66" s="20" t="n"/>
      <c r="F66" s="20" t="n"/>
      <c r="G66" s="20" t="n"/>
      <c r="H66" s="20" t="n"/>
      <c r="I66" s="20" t="n"/>
      <c r="J66" s="20" t="n"/>
      <c r="K66" s="20" t="n"/>
      <c r="L66" s="20" t="n"/>
      <c r="M66" s="20" t="n"/>
      <c r="N66" s="20" t="n"/>
      <c r="O66" s="19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>
        <f>'재무상태표'!G14</f>
        <v/>
      </c>
      <c r="Y66" s="19">
        <f>'재무상태표'!G14</f>
        <v/>
      </c>
      <c r="Z66" s="20">
        <f>'재무상태표'!G14</f>
        <v/>
      </c>
      <c r="AA66" s="20">
        <f>'재무상태표'!G14</f>
        <v/>
      </c>
      <c r="AB66" s="20">
        <f>'재무상태표'!G14</f>
        <v/>
      </c>
      <c r="AC66" s="20">
        <f>'재무상태표'!G14</f>
        <v/>
      </c>
    </row>
    <row r="67">
      <c r="A67" s="18" t="inlineStr">
        <is>
          <t>지배자본</t>
        </is>
      </c>
      <c r="B67" s="10" t="n"/>
      <c r="C67" s="19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19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>
        <f>'재무상태표'!G31</f>
        <v/>
      </c>
      <c r="Y67" s="19">
        <f>'재무상태표'!G31</f>
        <v/>
      </c>
      <c r="Z67" s="20">
        <f>'재무상태표'!G31</f>
        <v/>
      </c>
      <c r="AA67" s="20">
        <f>'재무상태표'!G31</f>
        <v/>
      </c>
      <c r="AB67" s="20">
        <f>'재무상태표'!G31</f>
        <v/>
      </c>
      <c r="AC67" s="20">
        <f>'재무상태표'!G31</f>
        <v/>
      </c>
    </row>
    <row r="68">
      <c r="A68" s="18" t="inlineStr">
        <is>
          <t>부채</t>
        </is>
      </c>
      <c r="B68" s="10" t="n"/>
      <c r="C68" s="19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19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>
        <f>'재무상태표'!G27</f>
        <v/>
      </c>
      <c r="Y68" s="19">
        <f>'재무상태표'!G27</f>
        <v/>
      </c>
      <c r="Z68" s="20">
        <f>'재무상태표'!G27</f>
        <v/>
      </c>
      <c r="AA68" s="20">
        <f>'재무상태표'!G27</f>
        <v/>
      </c>
      <c r="AB68" s="20">
        <f>'재무상태표'!G27</f>
        <v/>
      </c>
      <c r="AC68" s="20">
        <f>'재무상태표'!G27</f>
        <v/>
      </c>
    </row>
    <row r="69">
      <c r="A69" s="13" t="inlineStr">
        <is>
          <t>부채비율</t>
        </is>
      </c>
      <c r="B69" s="10" t="n"/>
      <c r="C69" s="14" t="n"/>
      <c r="D69" s="15" t="n"/>
      <c r="E69" s="15" t="n"/>
      <c r="F69" s="15" t="n"/>
      <c r="G69" s="15" t="n"/>
      <c r="H69" s="15" t="n"/>
      <c r="I69" s="15" t="n"/>
      <c r="J69" s="15" t="n"/>
      <c r="K69" s="15" t="n"/>
      <c r="L69" s="15" t="n"/>
      <c r="M69" s="15" t="n"/>
      <c r="N69" s="15" t="n"/>
      <c r="O69" s="14" t="n"/>
      <c r="P69" s="15" t="n"/>
      <c r="Q69" s="15" t="n"/>
      <c r="R69" s="15" t="n"/>
      <c r="S69" s="15" t="n"/>
      <c r="T69" s="15" t="n"/>
      <c r="U69" s="15" t="n"/>
      <c r="V69" s="15" t="n"/>
      <c r="W69" s="15" t="n"/>
      <c r="X69" s="15">
        <f>IF(OR(X68="",X67=""),"",IFERROR(X68/X67,""))</f>
        <v/>
      </c>
      <c r="Y69" s="14">
        <f>IF(OR(Y68="",Y67=""),"",IFERROR(Y68/Y67,""))</f>
        <v/>
      </c>
      <c r="Z69" s="15">
        <f>IF(OR(Z68="",Z67=""),"",IFERROR(Z68/Z67,""))</f>
        <v/>
      </c>
      <c r="AA69" s="15">
        <f>IF(OR(AA68="",AA67=""),"",IFERROR(AA68/AA67,""))</f>
        <v/>
      </c>
      <c r="AB69" s="15">
        <f>IF(OR(AB68="",AB67=""),"",IFERROR(AB68/AB67,""))</f>
        <v/>
      </c>
      <c r="AC69" s="15">
        <f>IF(OR(AC68="",AC67=""),"",IFERROR(AC68/AC67,""))</f>
        <v/>
      </c>
    </row>
    <row r="70">
      <c r="A70" s="9" t="inlineStr">
        <is>
          <t>자산가치</t>
        </is>
      </c>
      <c r="B70" s="10" t="inlineStr">
        <is>
          <t>현금+단기금융+투자부동산</t>
        </is>
      </c>
      <c r="C70" s="11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1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>
        <f>SUM(X64,X65,X66)</f>
        <v/>
      </c>
      <c r="Y70" s="11">
        <f>SUM(Y64,Y65,Y66)</f>
        <v/>
      </c>
      <c r="Z70" s="12">
        <f>SUM(Z64,Z65,Z66)</f>
        <v/>
      </c>
      <c r="AA70" s="12">
        <f>SUM(AA64,AA65,AA66)</f>
        <v/>
      </c>
      <c r="AB70" s="12">
        <f>SUM(AB64,AB65,AB66)</f>
        <v/>
      </c>
      <c r="AC70" s="12">
        <f>SUM(AC64,AC65,AC66)</f>
        <v/>
      </c>
    </row>
    <row r="71">
      <c r="A71" s="16" t="inlineStr">
        <is>
          <t>기업가치 산출</t>
        </is>
      </c>
      <c r="B71" s="16" t="n"/>
      <c r="C71" s="17" t="n"/>
      <c r="D71" s="16" t="n"/>
      <c r="E71" s="16" t="n"/>
      <c r="F71" s="16" t="n"/>
      <c r="G71" s="16" t="n"/>
      <c r="H71" s="16" t="n"/>
      <c r="I71" s="16" t="n"/>
      <c r="J71" s="16" t="n"/>
      <c r="K71" s="16" t="n"/>
      <c r="L71" s="16" t="n"/>
      <c r="M71" s="16" t="n"/>
      <c r="N71" s="16" t="n"/>
      <c r="O71" s="17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7" t="n"/>
      <c r="Z71" s="16" t="n"/>
      <c r="AA71" s="16" t="n"/>
      <c r="AB71" s="16" t="n"/>
      <c r="AC71" s="16" t="n"/>
    </row>
    <row r="72">
      <c r="A72" s="18" t="inlineStr">
        <is>
          <t>목표 시가총액 (P/E)</t>
        </is>
      </c>
      <c r="B72" s="10" t="inlineStr">
        <is>
          <t>지배순이익 × Target P/E</t>
        </is>
      </c>
      <c r="C72" s="19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19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19">
        <f>IF(OR(Y50="",Y59=""),"",IFERROR(Y50*Y59,""))</f>
        <v/>
      </c>
      <c r="Z72" s="20">
        <f>IF(OR(Z50="",Z59=""),"",IFERROR(Z50*Z59,""))</f>
        <v/>
      </c>
      <c r="AA72" s="20">
        <f>IF(OR(AA50="",AA59=""),"",IFERROR(AA50*AA59,""))</f>
        <v/>
      </c>
      <c r="AB72" s="20">
        <f>IF(OR(AB50="",AB59=""),"",IFERROR(AB50*AB59,""))</f>
        <v/>
      </c>
      <c r="AC72" s="20">
        <f>IF(OR(AC50="",AC59=""),"",IFERROR(AC50*AC59,""))</f>
        <v/>
      </c>
    </row>
    <row r="73">
      <c r="A73" s="9" t="inlineStr">
        <is>
          <t>기업가치</t>
        </is>
      </c>
      <c r="B73" s="10" t="inlineStr">
        <is>
          <t>목표시총 + 자산가치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1">
        <f>IF(OR(Y72=""),"",IFERROR(Y72+Y70,""))</f>
        <v/>
      </c>
      <c r="Z73" s="12">
        <f>IF(OR(Z72=""),"",IFERROR(Z72+Z70,""))</f>
        <v/>
      </c>
      <c r="AA73" s="12">
        <f>IF(OR(AA72=""),"",IFERROR(AA72+AA70,""))</f>
        <v/>
      </c>
      <c r="AB73" s="12">
        <f>IF(OR(AB72=""),"",IFERROR(AB72+AB70,""))</f>
        <v/>
      </c>
      <c r="AC73" s="12">
        <f>IF(OR(AC72=""),"",IFERROR(AC72+AC70,""))</f>
        <v/>
      </c>
    </row>
    <row r="74">
      <c r="A74" s="18" t="inlineStr">
        <is>
          <t>현재 시가총액</t>
        </is>
      </c>
      <c r="B74" s="10" t="n"/>
      <c r="C74" s="19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19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19">
        <f>$B$55</f>
        <v/>
      </c>
      <c r="Z74" s="20">
        <f>$B$55</f>
        <v/>
      </c>
      <c r="AA74" s="20">
        <f>$B$55</f>
        <v/>
      </c>
      <c r="AB74" s="20">
        <f>$B$55</f>
        <v/>
      </c>
      <c r="AC74" s="20">
        <f>$B$55</f>
        <v/>
      </c>
    </row>
    <row r="75">
      <c r="A75" s="18" t="inlineStr">
        <is>
          <t>상승여력</t>
        </is>
      </c>
      <c r="B75" s="10" t="n"/>
      <c r="C75" s="35" t="n"/>
      <c r="D75" s="36" t="n"/>
      <c r="E75" s="36" t="n"/>
      <c r="F75" s="36" t="n"/>
      <c r="G75" s="36" t="n"/>
      <c r="H75" s="36" t="n"/>
      <c r="I75" s="36" t="n"/>
      <c r="J75" s="36" t="n"/>
      <c r="K75" s="36" t="n"/>
      <c r="L75" s="36" t="n"/>
      <c r="M75" s="36" t="n"/>
      <c r="N75" s="36" t="n"/>
      <c r="O75" s="35" t="n"/>
      <c r="P75" s="36" t="n"/>
      <c r="Q75" s="36" t="n"/>
      <c r="R75" s="36" t="n"/>
      <c r="S75" s="36" t="n"/>
      <c r="T75" s="36" t="n"/>
      <c r="U75" s="36" t="n"/>
      <c r="V75" s="36" t="n"/>
      <c r="W75" s="36" t="n"/>
      <c r="X75" s="36" t="n"/>
      <c r="Y75" s="37">
        <f>IF(OR(Y73="",Y74=""),"",IFERROR(Y73/Y74-1,""))</f>
        <v/>
      </c>
      <c r="Z75" s="38">
        <f>IF(OR(Z73="",Z74=""),"",IFERROR(Z73/Z74-1,""))</f>
        <v/>
      </c>
      <c r="AA75" s="38">
        <f>IF(OR(AA73="",AA74=""),"",IFERROR(AA73/AA74-1,""))</f>
        <v/>
      </c>
      <c r="AB75" s="38">
        <f>IF(OR(AB73="",AB74=""),"",IFERROR(AB73/AB74-1,""))</f>
        <v/>
      </c>
      <c r="AC75" s="38">
        <f>IF(OR(AC73="",AC74=""),"",IFERROR(AC73/AC74-1,""))</f>
        <v/>
      </c>
    </row>
    <row r="76">
      <c r="C76" s="39" t="n"/>
      <c r="O76" s="39" t="n"/>
      <c r="Y76" s="39" t="n"/>
    </row>
    <row r="77">
      <c r="A77" s="40" t="inlineStr">
        <is>
          <t>출처</t>
        </is>
      </c>
      <c r="C77" s="39" t="n"/>
      <c r="O77" s="39" t="n"/>
      <c r="Y77" s="39" t="n"/>
    </row>
    <row r="78">
      <c r="A78" s="41" t="inlineStr">
        <is>
          <t>결산단신 XBRL(TDnet·JPX 보관소) — 쓴 문서는 '출처' 시트</t>
        </is>
      </c>
      <c r="C78" s="39" t="n"/>
      <c r="O78" s="39" t="n"/>
      <c r="Y78" s="39" t="n"/>
    </row>
    <row r="79">
      <c r="A79" s="41" t="inlineStr">
        <is>
          <t>분기 = 누계에서 앞 분기를 뺀 3개월 값</t>
        </is>
      </c>
      <c r="C79" s="39" t="n"/>
      <c r="O79" s="39" t="n"/>
      <c r="Y79" s="39" t="n"/>
    </row>
    <row r="80">
      <c r="A80" s="41" t="inlineStr">
        <is>
          <t>주가: 야후 파이낸스 일봉 2026.10.23</t>
        </is>
      </c>
      <c r="C80" s="39" t="n"/>
      <c r="O80" s="39" t="n"/>
      <c r="Y80" s="39" t="n"/>
    </row>
    <row r="82">
      <c r="A82" s="16" t="inlineStr">
        <is>
          <t>손익계산서 · 전 항목</t>
        </is>
      </c>
      <c r="B82" s="42" t="inlineStr">
        <is>
          <t>분기 = 3개월 단독</t>
        </is>
      </c>
      <c r="C82" s="16" t="n"/>
      <c r="D82" s="16" t="n"/>
      <c r="E82" s="16" t="n"/>
      <c r="F82" s="16" t="n"/>
      <c r="G82" s="16" t="n"/>
      <c r="H82" s="16" t="n"/>
      <c r="I82" s="16" t="n"/>
      <c r="J82" s="16" t="n"/>
      <c r="K82" s="16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  <c r="AA82" s="16" t="n"/>
      <c r="AB82" s="16" t="n"/>
      <c r="AC82" s="16" t="n"/>
    </row>
    <row r="83">
      <c r="A83" s="5" t="inlineStr">
        <is>
          <t>항목</t>
        </is>
      </c>
      <c r="B83" s="5" t="inlineStr">
        <is>
          <t>참고</t>
        </is>
      </c>
      <c r="C83" s="5" t="inlineStr">
        <is>
          <t>2024.1Q</t>
        </is>
      </c>
      <c r="D83" s="5" t="inlineStr">
        <is>
          <t>2024.2Q</t>
        </is>
      </c>
      <c r="E83" s="5" t="inlineStr">
        <is>
          <t>2024.3Q</t>
        </is>
      </c>
      <c r="F83" s="5" t="inlineStr">
        <is>
          <t>2024.4Q</t>
        </is>
      </c>
      <c r="G83" s="5" t="inlineStr">
        <is>
          <t>2025.1Q</t>
        </is>
      </c>
      <c r="H83" s="5" t="inlineStr">
        <is>
          <t>2025.2Q</t>
        </is>
      </c>
      <c r="I83" s="5" t="inlineStr">
        <is>
          <t>2025.3Q</t>
        </is>
      </c>
      <c r="J83" s="5" t="inlineStr">
        <is>
          <t>2025.4Q</t>
        </is>
      </c>
      <c r="K83" s="5" t="inlineStr">
        <is>
          <t>2026.1Q</t>
        </is>
      </c>
      <c r="L83" s="5" t="inlineStr">
        <is>
          <t>2026.2Q</t>
        </is>
      </c>
      <c r="M83" s="5" t="inlineStr">
        <is>
          <t>2026.3Q</t>
        </is>
      </c>
      <c r="N83" s="5" t="inlineStr">
        <is>
          <t>2026.4Q</t>
        </is>
      </c>
      <c r="O83" s="5" t="inlineStr">
        <is>
          <t>2017</t>
        </is>
      </c>
      <c r="P83" s="5" t="inlineStr">
        <is>
          <t>2018</t>
        </is>
      </c>
      <c r="Q83" s="5" t="inlineStr">
        <is>
          <t>2019</t>
        </is>
      </c>
      <c r="R83" s="5" t="inlineStr">
        <is>
          <t>2020</t>
        </is>
      </c>
      <c r="S83" s="5" t="inlineStr">
        <is>
          <t>2021</t>
        </is>
      </c>
      <c r="T83" s="5" t="inlineStr">
        <is>
          <t>2022</t>
        </is>
      </c>
      <c r="U83" s="5" t="inlineStr">
        <is>
          <t>2023</t>
        </is>
      </c>
      <c r="V83" s="5" t="inlineStr">
        <is>
          <t>2024</t>
        </is>
      </c>
      <c r="W83" s="5" t="inlineStr">
        <is>
          <t>2025</t>
        </is>
      </c>
      <c r="X83" s="5" t="inlineStr">
        <is>
          <t>2026</t>
        </is>
      </c>
      <c r="Y83" s="5" t="inlineStr">
        <is>
          <t>2027(MW)</t>
        </is>
      </c>
      <c r="Z83" s="5" t="inlineStr">
        <is>
          <t>2028(MW)</t>
        </is>
      </c>
      <c r="AA83" s="5" t="inlineStr">
        <is>
          <t>2029(MW)</t>
        </is>
      </c>
      <c r="AB83" s="5" t="inlineStr">
        <is>
          <t>2030(MW)</t>
        </is>
      </c>
      <c r="AC83" s="5" t="inlineStr">
        <is>
          <t>2031(MW)</t>
        </is>
      </c>
    </row>
    <row r="84">
      <c r="A84" s="9" t="inlineStr">
        <is>
          <t>매출액</t>
        </is>
      </c>
      <c r="C84" s="12" t="n">
        <v>1024.444</v>
      </c>
      <c r="D84" s="12" t="n">
        <v>1040.638</v>
      </c>
      <c r="E84" s="12" t="n">
        <v>935.114</v>
      </c>
      <c r="F84" s="12" t="n">
        <v>942.771</v>
      </c>
      <c r="G84" s="12" t="n">
        <v>1214.187</v>
      </c>
      <c r="H84" s="12" t="n">
        <v>1254.768</v>
      </c>
      <c r="I84" s="12" t="n">
        <v>1366.097</v>
      </c>
      <c r="J84" s="12" t="n">
        <v>1250.501</v>
      </c>
      <c r="K84" s="12" t="n">
        <v>1206.36</v>
      </c>
      <c r="L84" s="12" t="n">
        <v>1372.24</v>
      </c>
      <c r="M84" s="12" t="n">
        <v>1269.175</v>
      </c>
      <c r="N84" s="12" t="n">
        <v>1349.484</v>
      </c>
      <c r="T84" s="12" t="n">
        <v>916.265</v>
      </c>
      <c r="U84" s="12" t="n">
        <v>1058.587</v>
      </c>
      <c r="V84" s="12" t="n">
        <v>942.771</v>
      </c>
      <c r="W84" s="12" t="n">
        <v>1250.501</v>
      </c>
      <c r="X84" s="12" t="n">
        <v>1349.484</v>
      </c>
    </row>
    <row r="85">
      <c r="A85" s="18" t="inlineStr">
        <is>
          <t>매출원가</t>
        </is>
      </c>
      <c r="C85" s="20" t="n">
        <v>523.345</v>
      </c>
      <c r="D85" s="20" t="n">
        <v>437.132</v>
      </c>
      <c r="E85" s="20" t="n">
        <v>406.829</v>
      </c>
      <c r="F85" s="20" t="n">
        <v>392.54</v>
      </c>
      <c r="G85" s="20" t="n">
        <v>531.566</v>
      </c>
      <c r="H85" s="20" t="n">
        <v>499.428</v>
      </c>
      <c r="I85" s="20" t="n">
        <v>590.881</v>
      </c>
      <c r="J85" s="20" t="n">
        <v>521.153</v>
      </c>
      <c r="K85" s="20" t="n">
        <v>534.051</v>
      </c>
      <c r="L85" s="20" t="n">
        <v>581.005</v>
      </c>
      <c r="M85" s="20" t="n">
        <v>572.182</v>
      </c>
      <c r="N85" s="20" t="n">
        <v>584.301</v>
      </c>
      <c r="T85" s="20" t="n">
        <v>404.553</v>
      </c>
      <c r="U85" s="20" t="n">
        <v>454.851</v>
      </c>
      <c r="V85" s="20" t="n">
        <v>392.54</v>
      </c>
      <c r="W85" s="20" t="n">
        <v>521.153</v>
      </c>
      <c r="X85" s="20" t="n">
        <v>584.301</v>
      </c>
    </row>
    <row r="86">
      <c r="A86" s="9" t="inlineStr">
        <is>
          <t>매출총이익</t>
        </is>
      </c>
      <c r="C86" s="12" t="n">
        <v>501.099</v>
      </c>
      <c r="D86" s="12" t="n">
        <v>603.505</v>
      </c>
      <c r="E86" s="12" t="n">
        <v>528.285</v>
      </c>
      <c r="F86" s="12" t="n">
        <v>550.232</v>
      </c>
      <c r="G86" s="12" t="n">
        <v>682.62</v>
      </c>
      <c r="H86" s="12" t="n">
        <v>755.341</v>
      </c>
      <c r="I86" s="12" t="n">
        <v>775.216</v>
      </c>
      <c r="J86" s="12" t="n">
        <v>729.347</v>
      </c>
      <c r="K86" s="12" t="n">
        <v>672.309</v>
      </c>
      <c r="L86" s="12" t="n">
        <v>791.234</v>
      </c>
      <c r="M86" s="12" t="n">
        <v>696.994</v>
      </c>
      <c r="N86" s="12" t="n">
        <v>765.183</v>
      </c>
      <c r="T86" s="12" t="n">
        <v>511.712</v>
      </c>
      <c r="U86" s="12" t="n">
        <v>603.736</v>
      </c>
      <c r="V86" s="12" t="n">
        <v>550.232</v>
      </c>
      <c r="W86" s="12" t="n">
        <v>729.347</v>
      </c>
      <c r="X86" s="12" t="n">
        <v>765.183</v>
      </c>
    </row>
    <row r="87">
      <c r="A87" s="18" t="inlineStr">
        <is>
          <t>판매비와 관리비</t>
        </is>
      </c>
      <c r="C87" s="20" t="n">
        <v>529.407</v>
      </c>
      <c r="D87" s="20" t="n">
        <v>499.322</v>
      </c>
      <c r="E87" s="20" t="n">
        <v>568.774</v>
      </c>
      <c r="F87" s="20" t="n">
        <v>551.092</v>
      </c>
      <c r="G87" s="20" t="n">
        <v>553.96</v>
      </c>
      <c r="H87" s="20" t="n">
        <v>554.095</v>
      </c>
      <c r="I87" s="20" t="n">
        <v>595.6799999999999</v>
      </c>
      <c r="J87" s="20" t="n">
        <v>681.3049999999999</v>
      </c>
      <c r="K87" s="20" t="n">
        <v>595.032</v>
      </c>
      <c r="L87" s="20" t="n">
        <v>605.862</v>
      </c>
      <c r="M87" s="20" t="n">
        <v>629.7619999999999</v>
      </c>
      <c r="N87" s="20" t="n">
        <v>648.047</v>
      </c>
      <c r="T87" s="20" t="n">
        <v>499.98</v>
      </c>
      <c r="U87" s="20" t="n">
        <v>569.309</v>
      </c>
      <c r="V87" s="20" t="n">
        <v>551.092</v>
      </c>
      <c r="W87" s="20" t="n">
        <v>681.3049999999999</v>
      </c>
      <c r="X87" s="20" t="n">
        <v>648.047</v>
      </c>
    </row>
    <row r="88">
      <c r="A88" s="9" t="inlineStr">
        <is>
          <t>영업이익</t>
        </is>
      </c>
      <c r="C88" s="12" t="n">
        <v>-28.307</v>
      </c>
      <c r="D88" s="12" t="n">
        <v>104.181</v>
      </c>
      <c r="E88" s="12" t="n">
        <v>-40.488</v>
      </c>
      <c r="F88" s="12" t="n">
        <v>-0.86</v>
      </c>
      <c r="G88" s="12" t="n">
        <v>128.66</v>
      </c>
      <c r="H88" s="12" t="n">
        <v>201.246</v>
      </c>
      <c r="I88" s="12" t="n">
        <v>179.536</v>
      </c>
      <c r="J88" s="12" t="n">
        <v>48.041</v>
      </c>
      <c r="K88" s="12" t="n">
        <v>77.276</v>
      </c>
      <c r="L88" s="12" t="n">
        <v>185.373</v>
      </c>
      <c r="M88" s="12" t="n">
        <v>67.232</v>
      </c>
      <c r="N88" s="12" t="n">
        <v>117.136</v>
      </c>
      <c r="T88" s="12" t="n">
        <v>11.731</v>
      </c>
      <c r="U88" s="12" t="n">
        <v>34.428</v>
      </c>
      <c r="V88" s="12" t="n">
        <v>-0.86</v>
      </c>
      <c r="W88" s="12" t="n">
        <v>48.041</v>
      </c>
      <c r="X88" s="12" t="n">
        <v>117.136</v>
      </c>
    </row>
    <row r="89">
      <c r="A89" s="18" t="inlineStr">
        <is>
          <t>이자수익</t>
        </is>
      </c>
      <c r="C89" s="20" t="n">
        <v>0.07000000000000001</v>
      </c>
      <c r="D89" s="20" t="n">
        <v>0.08500000000000001</v>
      </c>
      <c r="E89" s="20" t="n">
        <v>0.07000000000000001</v>
      </c>
      <c r="F89" s="20" t="n">
        <v>0.321</v>
      </c>
      <c r="G89" s="20" t="n">
        <v>0.076</v>
      </c>
      <c r="H89" s="20" t="n">
        <v>1.491</v>
      </c>
      <c r="I89" s="20" t="n">
        <v>0.098</v>
      </c>
      <c r="J89" s="20" t="n">
        <v>2.602</v>
      </c>
      <c r="K89" s="20" t="n">
        <v>0.103</v>
      </c>
      <c r="L89" s="20" t="n">
        <v>2.451</v>
      </c>
      <c r="M89" s="20" t="n">
        <v>0.113</v>
      </c>
      <c r="N89" s="20" t="n">
        <v>5.416</v>
      </c>
      <c r="T89" s="20" t="n">
        <v>0.014</v>
      </c>
      <c r="U89" s="20" t="n">
        <v>0.06</v>
      </c>
      <c r="V89" s="20" t="n">
        <v>0.321</v>
      </c>
      <c r="W89" s="20" t="n">
        <v>2.602</v>
      </c>
      <c r="X89" s="20" t="n">
        <v>5.416</v>
      </c>
    </row>
    <row r="90">
      <c r="A90" s="18" t="inlineStr">
        <is>
          <t>배당금수익</t>
        </is>
      </c>
      <c r="F90" s="20" t="n">
        <v>0</v>
      </c>
      <c r="G90" s="20" t="n">
        <v>0</v>
      </c>
      <c r="H90" s="20" t="n">
        <v>0</v>
      </c>
      <c r="I90" s="20" t="n">
        <v>10.033</v>
      </c>
      <c r="J90" s="20" t="n">
        <v>23.729</v>
      </c>
      <c r="K90" s="20" t="n">
        <v>33.167</v>
      </c>
      <c r="L90" s="20" t="n">
        <v>31.663</v>
      </c>
      <c r="M90" s="20" t="n">
        <v>29.991</v>
      </c>
      <c r="N90" s="20" t="n">
        <v>29.956</v>
      </c>
      <c r="V90" s="20" t="n">
        <v>0</v>
      </c>
      <c r="W90" s="20" t="n">
        <v>23.729</v>
      </c>
      <c r="X90" s="20" t="n">
        <v>29.956</v>
      </c>
    </row>
    <row r="91">
      <c r="A91" s="18" t="inlineStr">
        <is>
          <t>지분법이익</t>
        </is>
      </c>
      <c r="C91" s="20" t="n">
        <v>2.698</v>
      </c>
      <c r="D91" s="20" t="n">
        <v>5.574</v>
      </c>
      <c r="E91" s="20" t="n">
        <v>4.397</v>
      </c>
      <c r="F91" s="20" t="n">
        <v>2.491</v>
      </c>
      <c r="G91" s="20" t="n">
        <v>6.406</v>
      </c>
      <c r="H91" s="20" t="n">
        <v>6.35</v>
      </c>
      <c r="I91" s="20" t="n">
        <v>4.896</v>
      </c>
      <c r="J91" s="20" t="n">
        <v>4.089</v>
      </c>
      <c r="K91" s="20" t="n">
        <v>5.965</v>
      </c>
      <c r="L91" s="20" t="n">
        <v>8.215</v>
      </c>
      <c r="M91" s="20" t="n">
        <v>3.854</v>
      </c>
      <c r="N91" s="20" t="n">
        <v>5.097</v>
      </c>
      <c r="T91" s="20" t="n">
        <v>0</v>
      </c>
      <c r="U91" s="20" t="n">
        <v>2.309</v>
      </c>
      <c r="V91" s="20" t="n">
        <v>2.491</v>
      </c>
      <c r="W91" s="20" t="n">
        <v>4.089</v>
      </c>
      <c r="X91" s="20" t="n">
        <v>5.097</v>
      </c>
    </row>
    <row r="92">
      <c r="A92" s="18" t="inlineStr">
        <is>
          <t>외환차익</t>
        </is>
      </c>
      <c r="C92" s="20" t="n">
        <v>0.154</v>
      </c>
      <c r="D92" s="20" t="n">
        <v>0.032</v>
      </c>
      <c r="E92" s="20" t="n">
        <v>0.055</v>
      </c>
      <c r="F92" s="20" t="n">
        <v>-0.108</v>
      </c>
      <c r="G92" s="20" t="n">
        <v>0.053</v>
      </c>
      <c r="H92" s="20" t="n">
        <v>-0.008999999999999999</v>
      </c>
      <c r="I92" s="20" t="n">
        <v>0.13</v>
      </c>
      <c r="J92" s="20" t="n">
        <v>0.195</v>
      </c>
      <c r="K92" s="20" t="n">
        <v>0.281</v>
      </c>
      <c r="L92" s="20" t="n">
        <v>0.046</v>
      </c>
      <c r="M92" s="20" t="n">
        <v>0.059</v>
      </c>
      <c r="N92" s="20" t="n">
        <v>0.001</v>
      </c>
      <c r="T92" s="20" t="n">
        <v>0.126</v>
      </c>
      <c r="U92" s="20" t="n">
        <v>0</v>
      </c>
      <c r="V92" s="20" t="n">
        <v>-0.108</v>
      </c>
      <c r="W92" s="20" t="n">
        <v>0.195</v>
      </c>
      <c r="X92" s="20" t="n">
        <v>0.001</v>
      </c>
    </row>
    <row r="93">
      <c r="A93" s="18" t="inlineStr">
        <is>
          <t>임대료 수익</t>
        </is>
      </c>
      <c r="T93" s="20" t="n">
        <v>2.724</v>
      </c>
      <c r="U93" s="20" t="n">
        <v>0</v>
      </c>
    </row>
    <row r="94">
      <c r="A94" s="18" t="inlineStr">
        <is>
          <t>기타</t>
        </is>
      </c>
      <c r="C94" s="20" t="n">
        <v>0.392</v>
      </c>
      <c r="D94" s="20" t="n">
        <v>1.475</v>
      </c>
      <c r="E94" s="20" t="n">
        <v>0.275</v>
      </c>
      <c r="F94" s="20" t="n">
        <v>0.735</v>
      </c>
      <c r="G94" s="20" t="n">
        <v>1.079</v>
      </c>
      <c r="H94" s="20" t="n">
        <v>1.701</v>
      </c>
      <c r="I94" s="20" t="n">
        <v>0.118</v>
      </c>
      <c r="J94" s="20" t="n">
        <v>0.518</v>
      </c>
      <c r="K94" s="20" t="n">
        <v>0.908</v>
      </c>
      <c r="L94" s="20" t="n">
        <v>1.788</v>
      </c>
      <c r="M94" s="20" t="n">
        <v>1.078</v>
      </c>
      <c r="N94" s="20" t="n">
        <v>1.16</v>
      </c>
      <c r="T94" s="20" t="n">
        <v>0.26</v>
      </c>
      <c r="U94" s="20" t="n">
        <v>0.23</v>
      </c>
      <c r="V94" s="20" t="n">
        <v>0.735</v>
      </c>
      <c r="W94" s="20" t="n">
        <v>0.518</v>
      </c>
      <c r="X94" s="20" t="n">
        <v>1.16</v>
      </c>
    </row>
    <row r="95">
      <c r="A95" s="18" t="inlineStr">
        <is>
          <t>영업외수익 합계</t>
        </is>
      </c>
      <c r="C95" s="20" t="n">
        <v>3.314</v>
      </c>
      <c r="D95" s="20" t="n">
        <v>7.167</v>
      </c>
      <c r="E95" s="20" t="n">
        <v>4.798</v>
      </c>
      <c r="F95" s="20" t="n">
        <v>3.439</v>
      </c>
      <c r="G95" s="20" t="n">
        <v>7.616</v>
      </c>
      <c r="H95" s="20" t="n">
        <v>9.531000000000001</v>
      </c>
      <c r="I95" s="20" t="n">
        <v>15.278</v>
      </c>
      <c r="J95" s="20" t="n">
        <v>31.133</v>
      </c>
      <c r="K95" s="20" t="n">
        <v>40.426</v>
      </c>
      <c r="L95" s="20" t="n">
        <v>44.163</v>
      </c>
      <c r="M95" s="20" t="n">
        <v>35.096</v>
      </c>
      <c r="N95" s="20" t="n">
        <v>41.63</v>
      </c>
      <c r="T95" s="20" t="n">
        <v>3.123</v>
      </c>
      <c r="U95" s="20" t="n">
        <v>2.599</v>
      </c>
      <c r="V95" s="20" t="n">
        <v>3.439</v>
      </c>
      <c r="W95" s="20" t="n">
        <v>31.133</v>
      </c>
      <c r="X95" s="20" t="n">
        <v>41.63</v>
      </c>
    </row>
    <row r="96">
      <c r="A96" s="18" t="inlineStr">
        <is>
          <t>이자비용</t>
        </is>
      </c>
      <c r="C96" s="20" t="n">
        <v>0.235</v>
      </c>
      <c r="D96" s="20" t="n">
        <v>0.195</v>
      </c>
      <c r="E96" s="20" t="n">
        <v>0.551</v>
      </c>
      <c r="F96" s="20" t="n">
        <v>0.5590000000000001</v>
      </c>
      <c r="G96" s="20" t="n">
        <v>0.573</v>
      </c>
      <c r="H96" s="20" t="n">
        <v>0.636</v>
      </c>
      <c r="I96" s="20" t="n">
        <v>0.64</v>
      </c>
      <c r="J96" s="20" t="n">
        <v>0.543</v>
      </c>
      <c r="K96" s="20" t="n">
        <v>0.538</v>
      </c>
      <c r="L96" s="20" t="n">
        <v>0.536</v>
      </c>
      <c r="M96" s="20" t="n">
        <v>0.503</v>
      </c>
      <c r="N96" s="20" t="n">
        <v>0.298</v>
      </c>
      <c r="T96" s="20" t="n">
        <v>0.996</v>
      </c>
      <c r="U96" s="20" t="n">
        <v>0.273</v>
      </c>
      <c r="V96" s="20" t="n">
        <v>0.5590000000000001</v>
      </c>
      <c r="W96" s="20" t="n">
        <v>0.543</v>
      </c>
      <c r="X96" s="20" t="n">
        <v>0.298</v>
      </c>
    </row>
    <row r="97">
      <c r="A97" s="18" t="inlineStr">
        <is>
          <t>외환차손</t>
        </is>
      </c>
      <c r="C97" s="20" t="n">
        <v>0</v>
      </c>
      <c r="D97" s="20" t="n">
        <v>0</v>
      </c>
      <c r="E97" s="20" t="n">
        <v>0</v>
      </c>
      <c r="F97" s="20" t="n">
        <v>0</v>
      </c>
      <c r="T97" s="20" t="n">
        <v>0</v>
      </c>
      <c r="U97" s="20" t="n">
        <v>-0.128</v>
      </c>
      <c r="V97" s="20" t="n">
        <v>0</v>
      </c>
    </row>
    <row r="98">
      <c r="A98" s="18" t="inlineStr">
        <is>
          <t>주식교부비</t>
        </is>
      </c>
      <c r="C98" s="20" t="n">
        <v>0.063</v>
      </c>
      <c r="D98" s="20" t="n">
        <v>0.03</v>
      </c>
      <c r="E98" s="20" t="n">
        <v>0.01</v>
      </c>
      <c r="F98" s="20" t="n">
        <v>0.065</v>
      </c>
      <c r="G98" s="20" t="n">
        <v>0</v>
      </c>
      <c r="H98" s="20" t="n">
        <v>0</v>
      </c>
      <c r="I98" s="20" t="n">
        <v>0.03</v>
      </c>
      <c r="J98" s="20" t="n">
        <v>0.008</v>
      </c>
      <c r="K98" s="20" t="n">
        <v>0.035</v>
      </c>
      <c r="L98" s="20" t="n">
        <v>-0.004</v>
      </c>
      <c r="M98" s="20" t="n">
        <v>0</v>
      </c>
      <c r="N98" s="20" t="n">
        <v>0</v>
      </c>
      <c r="T98" s="20" t="n">
        <v>0.048</v>
      </c>
      <c r="U98" s="20" t="n">
        <v>0.043</v>
      </c>
      <c r="V98" s="20" t="n">
        <v>0.065</v>
      </c>
      <c r="W98" s="20" t="n">
        <v>0.008</v>
      </c>
      <c r="X98" s="20" t="n">
        <v>0</v>
      </c>
    </row>
    <row r="99">
      <c r="A99" s="18" t="inlineStr">
        <is>
          <t>신주예약권 발행비</t>
        </is>
      </c>
      <c r="E99" s="20" t="n">
        <v>0</v>
      </c>
      <c r="F99" s="20" t="n">
        <v>0</v>
      </c>
      <c r="I99" s="20" t="n">
        <v>0</v>
      </c>
      <c r="J99" s="20" t="n">
        <v>0</v>
      </c>
      <c r="M99" s="20" t="n">
        <v>0</v>
      </c>
      <c r="N99" s="20" t="n">
        <v>0</v>
      </c>
      <c r="U99" s="20" t="n">
        <v>0</v>
      </c>
      <c r="V99" s="20" t="n">
        <v>0</v>
      </c>
      <c r="W99" s="20" t="n">
        <v>0</v>
      </c>
      <c r="X99" s="20" t="n">
        <v>0</v>
      </c>
    </row>
    <row r="100">
      <c r="A100" s="18" t="inlineStr">
        <is>
          <t>지분법손실</t>
        </is>
      </c>
      <c r="T100" s="20" t="n">
        <v>-1.324</v>
      </c>
      <c r="U100" s="20" t="n">
        <v>0</v>
      </c>
    </row>
    <row r="101">
      <c r="A101" s="18" t="inlineStr">
        <is>
          <t>투자조합 운용손실</t>
        </is>
      </c>
      <c r="C101" s="20" t="n">
        <v>4.511</v>
      </c>
      <c r="D101" s="20" t="n">
        <v>1.649</v>
      </c>
      <c r="E101" s="20" t="n">
        <v>0</v>
      </c>
      <c r="F101" s="20" t="n">
        <v>-3.344</v>
      </c>
      <c r="G101" s="20" t="n">
        <v>3.204</v>
      </c>
      <c r="H101" s="20" t="n">
        <v>0.246</v>
      </c>
      <c r="I101" s="20" t="n">
        <v>0</v>
      </c>
      <c r="J101" s="20" t="n">
        <v>-1.936</v>
      </c>
      <c r="K101" s="20" t="n">
        <v>9.932</v>
      </c>
      <c r="L101" s="20" t="n">
        <v>-0.986</v>
      </c>
      <c r="M101" s="20" t="n">
        <v>0</v>
      </c>
      <c r="N101" s="20" t="n">
        <v>0.361</v>
      </c>
      <c r="U101" s="20" t="n">
        <v>0</v>
      </c>
      <c r="V101" s="20" t="n">
        <v>-3.344</v>
      </c>
      <c r="W101" s="20" t="n">
        <v>-1.936</v>
      </c>
      <c r="X101" s="20" t="n">
        <v>0.361</v>
      </c>
    </row>
    <row r="102">
      <c r="A102" s="18" t="inlineStr">
        <is>
          <t>지급수수료</t>
        </is>
      </c>
      <c r="C102" s="20" t="n">
        <v>0</v>
      </c>
      <c r="D102" s="20" t="n">
        <v>0.662</v>
      </c>
      <c r="E102" s="20" t="n">
        <v>-0.662</v>
      </c>
      <c r="F102" s="20" t="n">
        <v>0.917</v>
      </c>
      <c r="G102" s="20" t="n">
        <v>0.876</v>
      </c>
      <c r="H102" s="20" t="n">
        <v>0.441</v>
      </c>
      <c r="I102" s="20" t="n">
        <v>0</v>
      </c>
      <c r="J102" s="20" t="n">
        <v>0</v>
      </c>
      <c r="K102" s="20" t="n">
        <v>0</v>
      </c>
      <c r="L102" s="20" t="n">
        <v>0</v>
      </c>
      <c r="M102" s="20" t="n">
        <v>0</v>
      </c>
      <c r="N102" s="20" t="n">
        <v>0.162</v>
      </c>
      <c r="V102" s="20" t="n">
        <v>0.917</v>
      </c>
      <c r="W102" s="20" t="n">
        <v>0</v>
      </c>
      <c r="X102" s="20" t="n">
        <v>0.162</v>
      </c>
    </row>
    <row r="103">
      <c r="A103" s="18" t="inlineStr">
        <is>
          <t>기타</t>
        </is>
      </c>
      <c r="C103" s="20" t="n">
        <v>0.019</v>
      </c>
      <c r="D103" s="20" t="n">
        <v>0</v>
      </c>
      <c r="E103" s="20" t="n">
        <v>0.918</v>
      </c>
      <c r="F103" s="20" t="n">
        <v>-0.388</v>
      </c>
      <c r="G103" s="20" t="n">
        <v>0</v>
      </c>
      <c r="H103" s="20" t="n">
        <v>0.169</v>
      </c>
      <c r="I103" s="20" t="n">
        <v>0.15</v>
      </c>
      <c r="J103" s="20" t="n">
        <v>0.223</v>
      </c>
      <c r="K103" s="20" t="n">
        <v>0</v>
      </c>
      <c r="L103" s="20" t="n">
        <v>0</v>
      </c>
      <c r="M103" s="20" t="n">
        <v>0.5600000000000001</v>
      </c>
      <c r="N103" s="20" t="n">
        <v>1.041</v>
      </c>
      <c r="T103" s="20" t="n">
        <v>0.591</v>
      </c>
      <c r="U103" s="20" t="n">
        <v>0.358</v>
      </c>
      <c r="V103" s="20" t="n">
        <v>-0.388</v>
      </c>
      <c r="W103" s="20" t="n">
        <v>0.223</v>
      </c>
      <c r="X103" s="20" t="n">
        <v>1.041</v>
      </c>
    </row>
    <row r="104">
      <c r="A104" s="18" t="inlineStr">
        <is>
          <t>영업외비용 합계</t>
        </is>
      </c>
      <c r="C104" s="20" t="n">
        <v>4.829</v>
      </c>
      <c r="D104" s="20" t="n">
        <v>3.09</v>
      </c>
      <c r="E104" s="20" t="n">
        <v>0.8169999999999999</v>
      </c>
      <c r="F104" s="20" t="n">
        <v>-2.192</v>
      </c>
      <c r="G104" s="20" t="n">
        <v>4.654</v>
      </c>
      <c r="H104" s="20" t="n">
        <v>2.044</v>
      </c>
      <c r="I104" s="20" t="n">
        <v>0.82</v>
      </c>
      <c r="J104" s="20" t="n">
        <v>0.503</v>
      </c>
      <c r="K104" s="20" t="n">
        <v>10.506</v>
      </c>
      <c r="L104" s="20" t="n">
        <v>0.098</v>
      </c>
      <c r="M104" s="20" t="n">
        <v>1.063</v>
      </c>
      <c r="N104" s="20" t="n">
        <v>1.864</v>
      </c>
      <c r="T104" s="20" t="n">
        <v>0.919</v>
      </c>
      <c r="U104" s="20" t="n">
        <v>0.546</v>
      </c>
      <c r="V104" s="20" t="n">
        <v>-2.192</v>
      </c>
      <c r="W104" s="20" t="n">
        <v>0.503</v>
      </c>
      <c r="X104" s="20" t="n">
        <v>1.864</v>
      </c>
    </row>
    <row r="105">
      <c r="A105" s="9" t="inlineStr">
        <is>
          <t>경상이익</t>
        </is>
      </c>
      <c r="C105" s="12" t="n">
        <v>-29.822</v>
      </c>
      <c r="D105" s="12" t="n">
        <v>108.259</v>
      </c>
      <c r="E105" s="12" t="n">
        <v>-36.507</v>
      </c>
      <c r="F105" s="12" t="n">
        <v>4.769</v>
      </c>
      <c r="G105" s="12" t="n">
        <v>131.622</v>
      </c>
      <c r="H105" s="12" t="n">
        <v>208.733</v>
      </c>
      <c r="I105" s="12" t="n">
        <v>193.994</v>
      </c>
      <c r="J105" s="12" t="n">
        <v>78.672</v>
      </c>
      <c r="K105" s="12" t="n">
        <v>107.196</v>
      </c>
      <c r="L105" s="12" t="n">
        <v>229.437</v>
      </c>
      <c r="M105" s="12" t="n">
        <v>101.266</v>
      </c>
      <c r="N105" s="12" t="n">
        <v>156.902</v>
      </c>
      <c r="T105" s="12" t="n">
        <v>13.935</v>
      </c>
      <c r="U105" s="12" t="n">
        <v>36.482</v>
      </c>
      <c r="V105" s="12" t="n">
        <v>4.769</v>
      </c>
      <c r="W105" s="12" t="n">
        <v>78.672</v>
      </c>
      <c r="X105" s="12" t="n">
        <v>156.902</v>
      </c>
    </row>
    <row r="106">
      <c r="A106" s="18" t="inlineStr">
        <is>
          <t>투자유가증권 매각이익</t>
        </is>
      </c>
      <c r="G106" s="20" t="n">
        <v>0</v>
      </c>
      <c r="H106" s="20" t="n">
        <v>0</v>
      </c>
      <c r="I106" s="20" t="n">
        <v>0</v>
      </c>
      <c r="J106" s="20" t="n">
        <v>0</v>
      </c>
      <c r="K106" s="20" t="n">
        <v>5.002</v>
      </c>
      <c r="L106" s="20" t="n">
        <v>0</v>
      </c>
      <c r="M106" s="20" t="n">
        <v>0</v>
      </c>
      <c r="N106" s="20" t="n">
        <v>0</v>
      </c>
      <c r="W106" s="20" t="n">
        <v>0</v>
      </c>
      <c r="X106" s="20" t="n">
        <v>0</v>
      </c>
    </row>
    <row r="107">
      <c r="A107" s="18" t="inlineStr">
        <is>
          <t>관계회사 청산이익</t>
        </is>
      </c>
      <c r="E107" s="20" t="n">
        <v>0</v>
      </c>
      <c r="F107" s="20" t="n">
        <v>0</v>
      </c>
      <c r="I107" s="20" t="n">
        <v>0</v>
      </c>
      <c r="J107" s="20" t="n">
        <v>0</v>
      </c>
      <c r="M107" s="20" t="n">
        <v>0</v>
      </c>
      <c r="N107" s="20" t="n">
        <v>0</v>
      </c>
      <c r="V107" s="20" t="n">
        <v>0</v>
      </c>
      <c r="W107" s="20" t="n">
        <v>0</v>
      </c>
      <c r="X107" s="20" t="n">
        <v>0</v>
      </c>
    </row>
    <row r="108">
      <c r="A108" s="18" t="inlineStr">
        <is>
          <t>신주예약권 환입이익</t>
        </is>
      </c>
      <c r="C108" s="20" t="n">
        <v>0</v>
      </c>
      <c r="D108" s="20" t="n">
        <v>0.273</v>
      </c>
      <c r="E108" s="20" t="n">
        <v>0.593</v>
      </c>
      <c r="F108" s="20" t="n">
        <v>-0.137</v>
      </c>
      <c r="G108" s="20" t="n">
        <v>2.553</v>
      </c>
      <c r="H108" s="20" t="n">
        <v>0.501</v>
      </c>
      <c r="I108" s="20" t="n">
        <v>3.783</v>
      </c>
      <c r="J108" s="20" t="n">
        <v>0.327</v>
      </c>
      <c r="K108" s="20" t="n">
        <v>0.273</v>
      </c>
      <c r="L108" s="20" t="n">
        <v>0.502</v>
      </c>
      <c r="M108" s="20" t="n">
        <v>0</v>
      </c>
      <c r="N108" s="20" t="n">
        <v>0</v>
      </c>
      <c r="U108" s="20" t="n">
        <v>0</v>
      </c>
      <c r="V108" s="20" t="n">
        <v>-0.137</v>
      </c>
      <c r="W108" s="20" t="n">
        <v>0.327</v>
      </c>
      <c r="X108" s="20" t="n">
        <v>0</v>
      </c>
    </row>
    <row r="109">
      <c r="A109" s="18" t="inlineStr">
        <is>
          <t>사업정리 이익</t>
        </is>
      </c>
      <c r="C109" s="20" t="n">
        <v>0</v>
      </c>
      <c r="D109" s="20" t="n">
        <v>0</v>
      </c>
      <c r="E109" s="20" t="n">
        <v>0</v>
      </c>
      <c r="F109" s="20" t="n">
        <v>0</v>
      </c>
      <c r="T109" s="20" t="n">
        <v>0</v>
      </c>
      <c r="U109" s="20" t="n">
        <v>11.513</v>
      </c>
      <c r="V109" s="20" t="n">
        <v>0</v>
      </c>
    </row>
    <row r="110">
      <c r="A110" s="18" t="inlineStr">
        <is>
          <t>특별이익 합계</t>
        </is>
      </c>
      <c r="C110" s="20" t="n">
        <v>0</v>
      </c>
      <c r="D110" s="20" t="n">
        <v>0.273</v>
      </c>
      <c r="E110" s="20" t="n">
        <v>0.593</v>
      </c>
      <c r="F110" s="20" t="n">
        <v>-0.137</v>
      </c>
      <c r="G110" s="20" t="n">
        <v>2.553</v>
      </c>
      <c r="H110" s="20" t="n">
        <v>1.473</v>
      </c>
      <c r="I110" s="20" t="n">
        <v>3.782</v>
      </c>
      <c r="J110" s="20" t="n">
        <v>0.327</v>
      </c>
      <c r="K110" s="20" t="n">
        <v>5.275</v>
      </c>
      <c r="L110" s="20" t="n">
        <v>0.502</v>
      </c>
      <c r="M110" s="20" t="n">
        <v>0</v>
      </c>
      <c r="N110" s="20" t="n">
        <v>11.314</v>
      </c>
      <c r="T110" s="20" t="n">
        <v>0</v>
      </c>
      <c r="U110" s="20" t="n">
        <v>11.513</v>
      </c>
      <c r="V110" s="20" t="n">
        <v>-0.137</v>
      </c>
      <c r="W110" s="20" t="n">
        <v>0.327</v>
      </c>
      <c r="X110" s="20" t="n">
        <v>11.314</v>
      </c>
    </row>
    <row r="111">
      <c r="A111" s="9" t="inlineStr">
        <is>
          <t>법인세차감전 순이익</t>
        </is>
      </c>
      <c r="C111" s="12" t="n">
        <v>-29.822</v>
      </c>
      <c r="D111" s="12" t="n">
        <v>108.532</v>
      </c>
      <c r="E111" s="12" t="n">
        <v>-35.914</v>
      </c>
      <c r="F111" s="12" t="n">
        <v>4.633</v>
      </c>
      <c r="G111" s="12" t="n">
        <v>134.175</v>
      </c>
      <c r="H111" s="12" t="n">
        <v>210.206</v>
      </c>
      <c r="I111" s="12" t="n">
        <v>197.776</v>
      </c>
      <c r="J111" s="12" t="n">
        <v>78.999</v>
      </c>
      <c r="K111" s="12" t="n">
        <v>112.472</v>
      </c>
      <c r="L111" s="12" t="n">
        <v>229.939</v>
      </c>
      <c r="M111" s="12" t="n">
        <v>101.265</v>
      </c>
      <c r="N111" s="12" t="n">
        <v>110.466</v>
      </c>
      <c r="T111" s="12" t="n">
        <v>-232.311</v>
      </c>
      <c r="U111" s="12" t="n">
        <v>47.995</v>
      </c>
      <c r="V111" s="12" t="n">
        <v>4.633</v>
      </c>
      <c r="W111" s="12" t="n">
        <v>78.999</v>
      </c>
      <c r="X111" s="12" t="n">
        <v>110.466</v>
      </c>
    </row>
    <row r="112">
      <c r="A112" s="18" t="inlineStr">
        <is>
          <t>법인세·주민세·사업세</t>
        </is>
      </c>
      <c r="C112" s="20" t="n">
        <v>0.5600000000000001</v>
      </c>
      <c r="D112" s="20" t="n">
        <v>22.826</v>
      </c>
      <c r="E112" s="20" t="n">
        <v>-12.97</v>
      </c>
      <c r="F112" s="20" t="n">
        <v>6.608</v>
      </c>
      <c r="G112" s="20" t="n">
        <v>47.781</v>
      </c>
      <c r="H112" s="20" t="n">
        <v>22.546</v>
      </c>
      <c r="I112" s="20" t="n">
        <v>75.024</v>
      </c>
      <c r="J112" s="20" t="n">
        <v>65.25</v>
      </c>
      <c r="K112" s="20" t="n">
        <v>9.032</v>
      </c>
      <c r="L112" s="20" t="n">
        <v>86.19199999999999</v>
      </c>
      <c r="M112" s="20" t="n">
        <v>36.941</v>
      </c>
      <c r="N112" s="20" t="n">
        <v>37.189</v>
      </c>
      <c r="T112" s="20" t="n">
        <v>-20.738</v>
      </c>
      <c r="U112" s="20" t="n">
        <v>27.766</v>
      </c>
      <c r="V112" s="20" t="n">
        <v>6.608</v>
      </c>
      <c r="W112" s="20" t="n">
        <v>65.25</v>
      </c>
      <c r="X112" s="20" t="n">
        <v>37.189</v>
      </c>
    </row>
    <row r="113">
      <c r="A113" s="18" t="inlineStr">
        <is>
          <t>법인세 조정액</t>
        </is>
      </c>
      <c r="C113" s="20" t="n">
        <v>-0.275</v>
      </c>
      <c r="D113" s="20" t="n">
        <v>12.846</v>
      </c>
      <c r="E113" s="20" t="n">
        <v>8.686999999999999</v>
      </c>
      <c r="F113" s="20" t="n">
        <v>-2.386</v>
      </c>
      <c r="G113" s="20" t="n">
        <v>-2.639</v>
      </c>
      <c r="H113" s="20" t="n">
        <v>48.36</v>
      </c>
      <c r="I113" s="20" t="n">
        <v>-7.363</v>
      </c>
      <c r="J113" s="20" t="n">
        <v>-28.3</v>
      </c>
      <c r="K113" s="20" t="n">
        <v>42.48</v>
      </c>
      <c r="L113" s="20" t="n">
        <v>-11.478</v>
      </c>
      <c r="M113" s="20" t="n">
        <v>-3.795</v>
      </c>
      <c r="N113" s="20" t="n">
        <v>3.948</v>
      </c>
      <c r="T113" s="20" t="n">
        <v>-57.11</v>
      </c>
      <c r="U113" s="20" t="n">
        <v>-9.039</v>
      </c>
      <c r="V113" s="20" t="n">
        <v>-2.386</v>
      </c>
      <c r="W113" s="20" t="n">
        <v>-28.3</v>
      </c>
      <c r="X113" s="20" t="n">
        <v>3.948</v>
      </c>
    </row>
    <row r="114">
      <c r="A114" s="18" t="inlineStr">
        <is>
          <t>법인세 등 합계</t>
        </is>
      </c>
      <c r="C114" s="20" t="n">
        <v>0.284</v>
      </c>
      <c r="D114" s="20" t="n">
        <v>35.674</v>
      </c>
      <c r="E114" s="20" t="n">
        <v>-4.284</v>
      </c>
      <c r="F114" s="20" t="n">
        <v>4.222</v>
      </c>
      <c r="G114" s="20" t="n">
        <v>45.142</v>
      </c>
      <c r="H114" s="20" t="n">
        <v>70.90600000000001</v>
      </c>
      <c r="I114" s="20" t="n">
        <v>67.66200000000001</v>
      </c>
      <c r="J114" s="20" t="n">
        <v>36.95</v>
      </c>
      <c r="K114" s="20" t="n">
        <v>51.512</v>
      </c>
      <c r="L114" s="20" t="n">
        <v>74.714</v>
      </c>
      <c r="M114" s="20" t="n">
        <v>33.147</v>
      </c>
      <c r="N114" s="20" t="n">
        <v>41.137</v>
      </c>
      <c r="T114" s="20" t="n">
        <v>-77.849</v>
      </c>
      <c r="U114" s="20" t="n">
        <v>18.727</v>
      </c>
      <c r="V114" s="20" t="n">
        <v>4.222</v>
      </c>
      <c r="W114" s="20" t="n">
        <v>36.95</v>
      </c>
      <c r="X114" s="20" t="n">
        <v>41.137</v>
      </c>
    </row>
    <row r="115">
      <c r="A115" s="9" t="inlineStr">
        <is>
          <t>순이익</t>
        </is>
      </c>
      <c r="C115" s="12" t="n">
        <v>-30.107</v>
      </c>
      <c r="D115" s="12" t="n">
        <v>72.85899999999999</v>
      </c>
      <c r="E115" s="12" t="n">
        <v>-31.63</v>
      </c>
      <c r="F115" s="12" t="n">
        <v>0.41</v>
      </c>
      <c r="G115" s="12" t="n">
        <v>89.033</v>
      </c>
      <c r="H115" s="12" t="n">
        <v>139.299</v>
      </c>
      <c r="I115" s="12" t="n">
        <v>130.115</v>
      </c>
      <c r="J115" s="12" t="n">
        <v>42.049</v>
      </c>
      <c r="K115" s="12" t="n">
        <v>60.96</v>
      </c>
      <c r="L115" s="12" t="n">
        <v>155.224</v>
      </c>
      <c r="M115" s="12" t="n">
        <v>68.11799999999999</v>
      </c>
      <c r="N115" s="12" t="n">
        <v>69.33</v>
      </c>
      <c r="T115" s="12" t="n">
        <v>-154.462</v>
      </c>
      <c r="U115" s="12" t="n">
        <v>29.269</v>
      </c>
      <c r="V115" s="12" t="n">
        <v>0.41</v>
      </c>
      <c r="W115" s="12" t="n">
        <v>42.049</v>
      </c>
      <c r="X115" s="12" t="n">
        <v>69.33</v>
      </c>
    </row>
    <row r="116">
      <c r="A116" s="9" t="inlineStr">
        <is>
          <t>비지배주주 당기순손실</t>
        </is>
      </c>
      <c r="E116" s="12" t="n">
        <v>0</v>
      </c>
      <c r="F116" s="12" t="n">
        <v>0</v>
      </c>
      <c r="I116" s="12" t="n">
        <v>-2.321</v>
      </c>
      <c r="J116" s="12" t="n">
        <v>-0.694</v>
      </c>
      <c r="M116" s="12" t="n">
        <v>0</v>
      </c>
      <c r="N116" s="12" t="n">
        <v>0</v>
      </c>
      <c r="V116" s="12" t="n">
        <v>0</v>
      </c>
      <c r="W116" s="12" t="n">
        <v>-0.694</v>
      </c>
      <c r="X116" s="12" t="n">
        <v>0</v>
      </c>
    </row>
    <row r="117">
      <c r="A117" s="9" t="inlineStr">
        <is>
          <t>지배주주 순이익</t>
        </is>
      </c>
      <c r="C117" s="12" t="n">
        <v>-30.107</v>
      </c>
      <c r="D117" s="12" t="n">
        <v>72.85899999999999</v>
      </c>
      <c r="E117" s="12" t="n">
        <v>-31.63</v>
      </c>
      <c r="F117" s="12" t="n">
        <v>0.41</v>
      </c>
      <c r="G117" s="12" t="n">
        <v>89.033</v>
      </c>
      <c r="H117" s="12" t="n">
        <v>142.84</v>
      </c>
      <c r="I117" s="12" t="n">
        <v>132.435</v>
      </c>
      <c r="J117" s="12" t="n">
        <v>42.743</v>
      </c>
      <c r="K117" s="12" t="n">
        <v>60.96</v>
      </c>
      <c r="L117" s="12" t="n">
        <v>155.274</v>
      </c>
      <c r="M117" s="12" t="n">
        <v>68.11799999999999</v>
      </c>
      <c r="N117" s="12" t="n">
        <v>69.33</v>
      </c>
      <c r="T117" s="12" t="n">
        <v>-154.462</v>
      </c>
      <c r="U117" s="12" t="n">
        <v>29.269</v>
      </c>
      <c r="V117" s="12" t="n">
        <v>0.41</v>
      </c>
      <c r="W117" s="12" t="n">
        <v>42.743</v>
      </c>
      <c r="X117" s="12" t="n">
        <v>69.33</v>
      </c>
    </row>
    <row r="119">
      <c r="A119" s="16" t="inlineStr">
        <is>
          <t>포괄손익 · 전 항목</t>
        </is>
      </c>
      <c r="B119" s="42" t="inlineStr">
        <is>
          <t>분기 = 3개월 단독</t>
        </is>
      </c>
      <c r="C119" s="16" t="n"/>
      <c r="D119" s="16" t="n"/>
      <c r="E119" s="16" t="n"/>
      <c r="F119" s="16" t="n"/>
      <c r="G119" s="16" t="n"/>
      <c r="H119" s="16" t="n"/>
      <c r="I119" s="16" t="n"/>
      <c r="J119" s="16" t="n"/>
      <c r="K119" s="16" t="n"/>
      <c r="L119" s="16" t="n"/>
      <c r="M119" s="16" t="n"/>
      <c r="N119" s="16" t="n"/>
      <c r="O119" s="16" t="n"/>
      <c r="P119" s="16" t="n"/>
      <c r="Q119" s="16" t="n"/>
      <c r="R119" s="16" t="n"/>
      <c r="S119" s="16" t="n"/>
      <c r="T119" s="16" t="n"/>
      <c r="U119" s="16" t="n"/>
      <c r="V119" s="16" t="n"/>
      <c r="W119" s="16" t="n"/>
      <c r="X119" s="16" t="n"/>
      <c r="Y119" s="16" t="n"/>
      <c r="Z119" s="16" t="n"/>
      <c r="AA119" s="16" t="n"/>
      <c r="AB119" s="16" t="n"/>
      <c r="AC119" s="16" t="n"/>
    </row>
    <row r="120">
      <c r="A120" s="5" t="inlineStr">
        <is>
          <t>항목</t>
        </is>
      </c>
      <c r="B120" s="5" t="inlineStr">
        <is>
          <t>참고</t>
        </is>
      </c>
      <c r="C120" s="5" t="inlineStr">
        <is>
          <t>2024.1Q</t>
        </is>
      </c>
      <c r="D120" s="5" t="inlineStr">
        <is>
          <t>2024.2Q</t>
        </is>
      </c>
      <c r="E120" s="5" t="inlineStr">
        <is>
          <t>2024.3Q</t>
        </is>
      </c>
      <c r="F120" s="5" t="inlineStr">
        <is>
          <t>2024.4Q</t>
        </is>
      </c>
      <c r="G120" s="5" t="inlineStr">
        <is>
          <t>2025.1Q</t>
        </is>
      </c>
      <c r="H120" s="5" t="inlineStr">
        <is>
          <t>2025.2Q</t>
        </is>
      </c>
      <c r="I120" s="5" t="inlineStr">
        <is>
          <t>2025.3Q</t>
        </is>
      </c>
      <c r="J120" s="5" t="inlineStr">
        <is>
          <t>2025.4Q</t>
        </is>
      </c>
      <c r="K120" s="5" t="inlineStr">
        <is>
          <t>2026.1Q</t>
        </is>
      </c>
      <c r="L120" s="5" t="inlineStr">
        <is>
          <t>2026.2Q</t>
        </is>
      </c>
      <c r="M120" s="5" t="inlineStr">
        <is>
          <t>2026.3Q</t>
        </is>
      </c>
      <c r="N120" s="5" t="inlineStr">
        <is>
          <t>2026.4Q</t>
        </is>
      </c>
      <c r="O120" s="5" t="inlineStr">
        <is>
          <t>2017</t>
        </is>
      </c>
      <c r="P120" s="5" t="inlineStr">
        <is>
          <t>2018</t>
        </is>
      </c>
      <c r="Q120" s="5" t="inlineStr">
        <is>
          <t>2019</t>
        </is>
      </c>
      <c r="R120" s="5" t="inlineStr">
        <is>
          <t>2020</t>
        </is>
      </c>
      <c r="S120" s="5" t="inlineStr">
        <is>
          <t>2021</t>
        </is>
      </c>
      <c r="T120" s="5" t="inlineStr">
        <is>
          <t>2022</t>
        </is>
      </c>
      <c r="U120" s="5" t="inlineStr">
        <is>
          <t>2023</t>
        </is>
      </c>
      <c r="V120" s="5" t="inlineStr">
        <is>
          <t>2024</t>
        </is>
      </c>
      <c r="W120" s="5" t="inlineStr">
        <is>
          <t>2025</t>
        </is>
      </c>
      <c r="X120" s="5" t="inlineStr">
        <is>
          <t>2026</t>
        </is>
      </c>
      <c r="Y120" s="5" t="inlineStr">
        <is>
          <t>2027(MW)</t>
        </is>
      </c>
      <c r="Z120" s="5" t="inlineStr">
        <is>
          <t>2028(MW)</t>
        </is>
      </c>
      <c r="AA120" s="5" t="inlineStr">
        <is>
          <t>2029(MW)</t>
        </is>
      </c>
      <c r="AB120" s="5" t="inlineStr">
        <is>
          <t>2030(MW)</t>
        </is>
      </c>
      <c r="AC120" s="5" t="inlineStr">
        <is>
          <t>2031(MW)</t>
        </is>
      </c>
    </row>
    <row r="121">
      <c r="A121" s="9" t="inlineStr">
        <is>
          <t>순이익</t>
        </is>
      </c>
      <c r="C121" s="12" t="n">
        <v>-30.107</v>
      </c>
      <c r="D121" s="12" t="n">
        <v>72.85899999999999</v>
      </c>
      <c r="E121" s="12" t="n">
        <v>-31.63</v>
      </c>
      <c r="F121" s="12" t="n">
        <v>0.41</v>
      </c>
      <c r="G121" s="12" t="n">
        <v>89.033</v>
      </c>
      <c r="H121" s="12" t="n">
        <v>139.299</v>
      </c>
      <c r="I121" s="12" t="n">
        <v>130.115</v>
      </c>
      <c r="J121" s="12" t="n">
        <v>42.049</v>
      </c>
      <c r="K121" s="12" t="n">
        <v>60.96</v>
      </c>
      <c r="L121" s="12" t="n">
        <v>155.224</v>
      </c>
      <c r="M121" s="12" t="n">
        <v>68.11799999999999</v>
      </c>
      <c r="N121" s="12" t="n">
        <v>69.33</v>
      </c>
      <c r="T121" s="12" t="n">
        <v>-154.462</v>
      </c>
      <c r="U121" s="12" t="n">
        <v>29.269</v>
      </c>
      <c r="V121" s="12" t="n">
        <v>0.41</v>
      </c>
      <c r="W121" s="12" t="n">
        <v>42.049</v>
      </c>
      <c r="X121" s="12" t="n">
        <v>69.33</v>
      </c>
    </row>
    <row r="122">
      <c r="A122" s="18" t="inlineStr">
        <is>
          <t>기타유가증권 평가차액</t>
        </is>
      </c>
      <c r="E122" s="20" t="n">
        <v>0</v>
      </c>
      <c r="F122" s="20" t="n">
        <v>-2.375</v>
      </c>
      <c r="G122" s="20" t="n">
        <v>0</v>
      </c>
      <c r="H122" s="20" t="n">
        <v>0.08699999999999999</v>
      </c>
      <c r="I122" s="20" t="n">
        <v>6.104</v>
      </c>
      <c r="J122" s="20" t="n">
        <v>9.061999999999999</v>
      </c>
      <c r="K122" s="20" t="n">
        <v>30.159</v>
      </c>
      <c r="L122" s="20" t="n">
        <v>15.998</v>
      </c>
      <c r="M122" s="20" t="n">
        <v>10.989</v>
      </c>
      <c r="N122" s="20" t="n">
        <v>-11.586</v>
      </c>
      <c r="U122" s="20" t="n">
        <v>0</v>
      </c>
      <c r="V122" s="20" t="n">
        <v>-2.375</v>
      </c>
      <c r="W122" s="20" t="n">
        <v>9.061999999999999</v>
      </c>
      <c r="X122" s="20" t="n">
        <v>-11.586</v>
      </c>
    </row>
    <row r="123">
      <c r="A123" s="18" t="inlineStr">
        <is>
          <t>해외사업환산조정</t>
        </is>
      </c>
      <c r="C123" s="20" t="n">
        <v>-0.024</v>
      </c>
      <c r="D123" s="20" t="n">
        <v>0.001</v>
      </c>
      <c r="E123" s="20" t="n">
        <v>-0.09</v>
      </c>
      <c r="F123" s="20" t="n">
        <v>0.142</v>
      </c>
      <c r="G123" s="20" t="n">
        <v>-0.006</v>
      </c>
      <c r="H123" s="20" t="n">
        <v>2.929</v>
      </c>
      <c r="I123" s="20" t="n">
        <v>0.048</v>
      </c>
      <c r="J123" s="20" t="n">
        <v>-0.03</v>
      </c>
      <c r="K123" s="20" t="n">
        <v>-0.05</v>
      </c>
      <c r="L123" s="20" t="n">
        <v>0.05</v>
      </c>
      <c r="M123" s="20" t="n">
        <v>0</v>
      </c>
      <c r="N123" s="20" t="n">
        <v>-0.014</v>
      </c>
      <c r="T123" s="20" t="n">
        <v>-3.255</v>
      </c>
      <c r="U123" s="20" t="n">
        <v>0.25</v>
      </c>
      <c r="V123" s="20" t="n">
        <v>0.142</v>
      </c>
      <c r="W123" s="20" t="n">
        <v>-0.03</v>
      </c>
      <c r="X123" s="20" t="n">
        <v>-0.014</v>
      </c>
    </row>
    <row r="124">
      <c r="A124" s="18" t="inlineStr">
        <is>
          <t>기타포괄손익 합계</t>
        </is>
      </c>
      <c r="C124" s="20" t="n">
        <v>-0.024</v>
      </c>
      <c r="D124" s="20" t="n">
        <v>2.315</v>
      </c>
      <c r="E124" s="20" t="n">
        <v>-0.09</v>
      </c>
      <c r="F124" s="20" t="n">
        <v>-2.231</v>
      </c>
      <c r="G124" s="20" t="n">
        <v>-0.006</v>
      </c>
      <c r="H124" s="20" t="n">
        <v>3.017</v>
      </c>
      <c r="I124" s="20" t="n">
        <v>6.152</v>
      </c>
      <c r="J124" s="20" t="n">
        <v>9.031000000000001</v>
      </c>
      <c r="K124" s="20" t="n">
        <v>30.108</v>
      </c>
      <c r="L124" s="20" t="n">
        <v>16.05</v>
      </c>
      <c r="M124" s="20" t="n">
        <v>10.989</v>
      </c>
      <c r="N124" s="20" t="n">
        <v>-11.602</v>
      </c>
      <c r="T124" s="20" t="n">
        <v>-3.255</v>
      </c>
      <c r="U124" s="20" t="n">
        <v>0.25</v>
      </c>
      <c r="V124" s="20" t="n">
        <v>-2.231</v>
      </c>
      <c r="W124" s="20" t="n">
        <v>9.031000000000001</v>
      </c>
      <c r="X124" s="20" t="n">
        <v>-11.602</v>
      </c>
    </row>
    <row r="125">
      <c r="A125" s="9" t="inlineStr">
        <is>
          <t>포괄이익</t>
        </is>
      </c>
      <c r="C125" s="12" t="n">
        <v>-30.131</v>
      </c>
      <c r="D125" s="12" t="n">
        <v>75.175</v>
      </c>
      <c r="E125" s="12" t="n">
        <v>-31.72</v>
      </c>
      <c r="F125" s="12" t="n">
        <v>-1.822</v>
      </c>
      <c r="G125" s="12" t="n">
        <v>89.026</v>
      </c>
      <c r="H125" s="12" t="n">
        <v>142.317</v>
      </c>
      <c r="I125" s="12" t="n">
        <v>136.267</v>
      </c>
      <c r="J125" s="12" t="n">
        <v>51.081</v>
      </c>
      <c r="K125" s="12" t="n">
        <v>91.069</v>
      </c>
      <c r="L125" s="12" t="n">
        <v>171.274</v>
      </c>
      <c r="M125" s="12" t="n">
        <v>79.107</v>
      </c>
      <c r="N125" s="12" t="n">
        <v>57.728</v>
      </c>
      <c r="T125" s="12" t="n">
        <v>-157.717</v>
      </c>
      <c r="U125" s="12" t="n">
        <v>29.518</v>
      </c>
      <c r="V125" s="12" t="n">
        <v>-1.822</v>
      </c>
      <c r="W125" s="12" t="n">
        <v>51.081</v>
      </c>
      <c r="X125" s="12" t="n">
        <v>57.728</v>
      </c>
    </row>
    <row r="126">
      <c r="A126" s="9" t="inlineStr">
        <is>
          <t>지배주주 포괄이익</t>
        </is>
      </c>
      <c r="C126" s="12" t="n">
        <v>-30.131</v>
      </c>
      <c r="D126" s="12" t="n">
        <v>75.175</v>
      </c>
      <c r="E126" s="12" t="n">
        <v>-31.72</v>
      </c>
      <c r="F126" s="12" t="n">
        <v>-1.822</v>
      </c>
      <c r="G126" s="12" t="n">
        <v>89.026</v>
      </c>
      <c r="H126" s="12" t="n">
        <v>145.858</v>
      </c>
      <c r="I126" s="12" t="n">
        <v>138.588</v>
      </c>
      <c r="J126" s="12" t="n">
        <v>51.774</v>
      </c>
      <c r="K126" s="12" t="n">
        <v>91.069</v>
      </c>
      <c r="L126" s="12" t="n">
        <v>171.324</v>
      </c>
      <c r="M126" s="12" t="n">
        <v>79.107</v>
      </c>
      <c r="N126" s="12" t="n">
        <v>57.728</v>
      </c>
      <c r="T126" s="12" t="n">
        <v>-157.717</v>
      </c>
      <c r="U126" s="12" t="n">
        <v>29.518</v>
      </c>
      <c r="V126" s="12" t="n">
        <v>-1.822</v>
      </c>
      <c r="W126" s="12" t="n">
        <v>51.774</v>
      </c>
      <c r="X126" s="12" t="n">
        <v>57.728</v>
      </c>
    </row>
    <row r="127">
      <c r="A127" s="9" t="inlineStr">
        <is>
          <t>비지배주주 포괄이익</t>
        </is>
      </c>
      <c r="C127" s="12" t="n">
        <v>0</v>
      </c>
      <c r="D127" s="12" t="n">
        <v>0</v>
      </c>
      <c r="E127" s="12" t="n">
        <v>0</v>
      </c>
      <c r="F127" s="12" t="n">
        <v>0</v>
      </c>
      <c r="G127" s="12" t="n">
        <v>0</v>
      </c>
      <c r="H127" s="12" t="n">
        <v>-3.54</v>
      </c>
      <c r="I127" s="12" t="n">
        <v>-2.321</v>
      </c>
      <c r="J127" s="12" t="n">
        <v>-0.694</v>
      </c>
      <c r="K127" s="12" t="n">
        <v>0</v>
      </c>
      <c r="L127" s="12" t="n">
        <v>-0.05</v>
      </c>
      <c r="M127" s="12" t="n">
        <v>0</v>
      </c>
      <c r="N127" s="12" t="n">
        <v>0</v>
      </c>
      <c r="T127" s="12" t="n">
        <v>0</v>
      </c>
      <c r="U127" s="12" t="n">
        <v>0</v>
      </c>
      <c r="V127" s="12" t="n">
        <v>0</v>
      </c>
      <c r="W127" s="12" t="n">
        <v>-0.694</v>
      </c>
      <c r="X127" s="12" t="n">
        <v>0</v>
      </c>
    </row>
    <row r="129">
      <c r="A129" s="16" t="inlineStr">
        <is>
          <t>부문 · 전 항목</t>
        </is>
      </c>
      <c r="B129" s="42" t="inlineStr">
        <is>
          <t>부문 · 항목</t>
        </is>
      </c>
      <c r="C129" s="16" t="n"/>
      <c r="D129" s="16" t="n"/>
      <c r="E129" s="16" t="n"/>
      <c r="F129" s="16" t="n"/>
      <c r="G129" s="16" t="n"/>
      <c r="H129" s="16" t="n"/>
      <c r="I129" s="16" t="n"/>
      <c r="J129" s="16" t="n"/>
      <c r="K129" s="16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  <c r="AA129" s="16" t="n"/>
      <c r="AB129" s="16" t="n"/>
      <c r="AC129" s="16" t="n"/>
    </row>
    <row r="130">
      <c r="A130" s="5" t="inlineStr">
        <is>
          <t>항목</t>
        </is>
      </c>
      <c r="B130" s="5" t="inlineStr">
        <is>
          <t>참고</t>
        </is>
      </c>
      <c r="C130" s="5" t="inlineStr">
        <is>
          <t>2024.1Q</t>
        </is>
      </c>
      <c r="D130" s="5" t="inlineStr">
        <is>
          <t>2024.2Q</t>
        </is>
      </c>
      <c r="E130" s="5" t="inlineStr">
        <is>
          <t>2024.3Q</t>
        </is>
      </c>
      <c r="F130" s="5" t="inlineStr">
        <is>
          <t>2024.4Q</t>
        </is>
      </c>
      <c r="G130" s="5" t="inlineStr">
        <is>
          <t>2025.1Q</t>
        </is>
      </c>
      <c r="H130" s="5" t="inlineStr">
        <is>
          <t>2025.2Q</t>
        </is>
      </c>
      <c r="I130" s="5" t="inlineStr">
        <is>
          <t>2025.3Q</t>
        </is>
      </c>
      <c r="J130" s="5" t="inlineStr">
        <is>
          <t>2025.4Q</t>
        </is>
      </c>
      <c r="K130" s="5" t="inlineStr">
        <is>
          <t>2026.1Q</t>
        </is>
      </c>
      <c r="L130" s="5" t="inlineStr">
        <is>
          <t>2026.2Q</t>
        </is>
      </c>
      <c r="M130" s="5" t="inlineStr">
        <is>
          <t>2026.3Q</t>
        </is>
      </c>
      <c r="N130" s="5" t="inlineStr">
        <is>
          <t>2026.4Q</t>
        </is>
      </c>
      <c r="O130" s="5" t="inlineStr">
        <is>
          <t>2017</t>
        </is>
      </c>
      <c r="P130" s="5" t="inlineStr">
        <is>
          <t>2018</t>
        </is>
      </c>
      <c r="Q130" s="5" t="inlineStr">
        <is>
          <t>2019</t>
        </is>
      </c>
      <c r="R130" s="5" t="inlineStr">
        <is>
          <t>2020</t>
        </is>
      </c>
      <c r="S130" s="5" t="inlineStr">
        <is>
          <t>2021</t>
        </is>
      </c>
      <c r="T130" s="5" t="inlineStr">
        <is>
          <t>2022</t>
        </is>
      </c>
      <c r="U130" s="5" t="inlineStr">
        <is>
          <t>2023</t>
        </is>
      </c>
      <c r="V130" s="5" t="inlineStr">
        <is>
          <t>2024</t>
        </is>
      </c>
      <c r="W130" s="5" t="inlineStr">
        <is>
          <t>2025</t>
        </is>
      </c>
      <c r="X130" s="5" t="inlineStr">
        <is>
          <t>2026</t>
        </is>
      </c>
      <c r="Y130" s="5" t="inlineStr">
        <is>
          <t>2027(MW)</t>
        </is>
      </c>
      <c r="Z130" s="5" t="inlineStr">
        <is>
          <t>2028(MW)</t>
        </is>
      </c>
      <c r="AA130" s="5" t="inlineStr">
        <is>
          <t>2029(MW)</t>
        </is>
      </c>
      <c r="AB130" s="5" t="inlineStr">
        <is>
          <t>2030(MW)</t>
        </is>
      </c>
      <c r="AC130" s="5" t="inlineStr">
        <is>
          <t>2031(MW)</t>
        </is>
      </c>
    </row>
    <row r="131">
      <c r="A131" s="18" t="inlineStr">
        <is>
          <t>DesignPartnerBusinessReportableSegmentMember · 외부 고객 매출</t>
        </is>
      </c>
      <c r="C131" s="20" t="n">
        <v>950.8680000000001</v>
      </c>
      <c r="D131" s="20" t="n">
        <v>960.968</v>
      </c>
      <c r="E131" s="20" t="n">
        <v>842.2670000000001</v>
      </c>
      <c r="F131" s="20" t="n">
        <v>841.463</v>
      </c>
      <c r="G131" s="20" t="n">
        <v>1114.732</v>
      </c>
      <c r="H131" s="20" t="n">
        <v>1171.805</v>
      </c>
      <c r="I131" s="20" t="n">
        <v>1255.631</v>
      </c>
      <c r="J131" s="20" t="n">
        <v>1153.978</v>
      </c>
      <c r="K131" s="20" t="n">
        <v>1129.272</v>
      </c>
      <c r="L131" s="20" t="n">
        <v>1246.137</v>
      </c>
      <c r="M131" s="20" t="n">
        <v>1177.857</v>
      </c>
      <c r="N131" s="20" t="n">
        <v>1239.277</v>
      </c>
      <c r="V131" s="20" t="n">
        <v>841.463</v>
      </c>
      <c r="W131" s="20" t="n">
        <v>1153.978</v>
      </c>
      <c r="X131" s="20" t="n">
        <v>1239.277</v>
      </c>
    </row>
    <row r="132">
      <c r="A132" s="18" t="inlineStr">
        <is>
          <t>DesignPlatformBusinessReportableSegmentMember · 외부 고객 매출</t>
        </is>
      </c>
      <c r="C132" s="20" t="n">
        <v>73.57599999999999</v>
      </c>
      <c r="D132" s="20" t="n">
        <v>79.67</v>
      </c>
      <c r="E132" s="20" t="n">
        <v>92.846</v>
      </c>
      <c r="F132" s="20" t="n">
        <v>101.309</v>
      </c>
      <c r="G132" s="20" t="n">
        <v>99.455</v>
      </c>
      <c r="H132" s="20" t="n">
        <v>82.96299999999999</v>
      </c>
      <c r="I132" s="20" t="n">
        <v>110.466</v>
      </c>
      <c r="J132" s="20" t="n">
        <v>96.52200000000001</v>
      </c>
      <c r="K132" s="20" t="n">
        <v>77.08799999999999</v>
      </c>
      <c r="L132" s="20" t="n">
        <v>126.102</v>
      </c>
      <c r="M132" s="20" t="n">
        <v>91.318</v>
      </c>
      <c r="N132" s="20" t="n">
        <v>110.208</v>
      </c>
      <c r="V132" s="20" t="n">
        <v>101.309</v>
      </c>
      <c r="W132" s="20" t="n">
        <v>96.52200000000001</v>
      </c>
      <c r="X132" s="20" t="n">
        <v>110.208</v>
      </c>
    </row>
    <row r="133">
      <c r="A133" s="18" t="inlineStr">
        <is>
          <t>보고부문 합계 · 외부 고객 매출</t>
        </is>
      </c>
      <c r="C133" s="20" t="n">
        <v>1024.444</v>
      </c>
      <c r="D133" s="20" t="n">
        <v>1040.638</v>
      </c>
      <c r="E133" s="20" t="n">
        <v>935.114</v>
      </c>
      <c r="F133" s="20" t="n">
        <v>942.771</v>
      </c>
      <c r="G133" s="20" t="n">
        <v>1214.187</v>
      </c>
      <c r="H133" s="20" t="n">
        <v>1254.768</v>
      </c>
      <c r="I133" s="20" t="n">
        <v>1366.097</v>
      </c>
      <c r="J133" s="20" t="n">
        <v>1250.501</v>
      </c>
      <c r="K133" s="20" t="n">
        <v>1206.36</v>
      </c>
      <c r="L133" s="20" t="n">
        <v>1372.24</v>
      </c>
      <c r="M133" s="20" t="n">
        <v>1269.175</v>
      </c>
      <c r="N133" s="20" t="n">
        <v>1349.484</v>
      </c>
      <c r="V133" s="20" t="n">
        <v>942.771</v>
      </c>
      <c r="W133" s="20" t="n">
        <v>1250.501</v>
      </c>
      <c r="X133" s="20" t="n">
        <v>1349.484</v>
      </c>
    </row>
    <row r="134">
      <c r="A134" s="18" t="inlineStr">
        <is>
          <t>조정액 · 외부 고객 매출</t>
        </is>
      </c>
      <c r="C134" s="20" t="n">
        <v>0</v>
      </c>
      <c r="D134" s="20" t="n">
        <v>0</v>
      </c>
      <c r="E134" s="20" t="n">
        <v>0</v>
      </c>
      <c r="F134" s="20" t="n">
        <v>0</v>
      </c>
      <c r="G134" s="20" t="n">
        <v>0</v>
      </c>
      <c r="H134" s="20" t="n">
        <v>0</v>
      </c>
      <c r="I134" s="20" t="n">
        <v>0</v>
      </c>
      <c r="J134" s="20" t="n">
        <v>0</v>
      </c>
      <c r="K134" s="20" t="n">
        <v>0</v>
      </c>
      <c r="L134" s="20" t="n">
        <v>0</v>
      </c>
      <c r="M134" s="20" t="n">
        <v>0</v>
      </c>
      <c r="N134" s="20" t="n">
        <v>0</v>
      </c>
      <c r="V134" s="20" t="n">
        <v>0</v>
      </c>
      <c r="W134" s="20" t="n">
        <v>0</v>
      </c>
      <c r="X134" s="20" t="n">
        <v>0</v>
      </c>
    </row>
    <row r="135">
      <c r="A135" s="18" t="inlineStr">
        <is>
          <t>EntityTotalMember · 외부 고객 매출</t>
        </is>
      </c>
      <c r="G135" s="20" t="n">
        <v>1214.187</v>
      </c>
      <c r="K135" s="20" t="n">
        <v>1206.36</v>
      </c>
    </row>
    <row r="136">
      <c r="A136" s="9" t="inlineStr">
        <is>
          <t>외부 고객 매출</t>
        </is>
      </c>
      <c r="C136" s="12" t="n">
        <v>1024.444</v>
      </c>
      <c r="D136" s="12" t="n">
        <v>1040.638</v>
      </c>
      <c r="E136" s="12" t="n">
        <v>935.114</v>
      </c>
      <c r="F136" s="12" t="n">
        <v>942.771</v>
      </c>
      <c r="G136" s="12" t="n">
        <v>1214.187</v>
      </c>
      <c r="H136" s="12" t="n">
        <v>1254.768</v>
      </c>
      <c r="I136" s="12" t="n">
        <v>1366.097</v>
      </c>
      <c r="J136" s="12" t="n">
        <v>1250.501</v>
      </c>
      <c r="V136" s="12" t="n">
        <v>942.771</v>
      </c>
      <c r="W136" s="12" t="n">
        <v>1250.501</v>
      </c>
    </row>
    <row r="137">
      <c r="A137" s="18" t="inlineStr">
        <is>
          <t>DesignPartnerBusinessReportableSegmentMember · 부문 간 내부매출·대체</t>
        </is>
      </c>
      <c r="C137" s="20" t="n">
        <v>0</v>
      </c>
      <c r="D137" s="20" t="n">
        <v>0</v>
      </c>
      <c r="E137" s="20" t="n">
        <v>0</v>
      </c>
      <c r="F137" s="20" t="n">
        <v>0</v>
      </c>
      <c r="G137" s="20" t="n">
        <v>0</v>
      </c>
      <c r="H137" s="20" t="n">
        <v>0</v>
      </c>
      <c r="I137" s="20" t="n">
        <v>0</v>
      </c>
      <c r="J137" s="20" t="n">
        <v>0</v>
      </c>
      <c r="K137" s="20" t="n">
        <v>0</v>
      </c>
      <c r="L137" s="20" t="n">
        <v>0.15</v>
      </c>
      <c r="M137" s="20" t="n">
        <v>0</v>
      </c>
      <c r="N137" s="20" t="n">
        <v>2.76</v>
      </c>
      <c r="V137" s="20" t="n">
        <v>0</v>
      </c>
      <c r="W137" s="20" t="n">
        <v>0</v>
      </c>
      <c r="X137" s="20" t="n">
        <v>2.76</v>
      </c>
    </row>
    <row r="138">
      <c r="A138" s="18" t="inlineStr">
        <is>
          <t>DesignPlatformBusinessReportableSegmentMember · 부문 간 내부매출·대체</t>
        </is>
      </c>
      <c r="C138" s="20" t="n">
        <v>0</v>
      </c>
      <c r="D138" s="20" t="n">
        <v>0</v>
      </c>
      <c r="E138" s="20" t="n">
        <v>0</v>
      </c>
      <c r="F138" s="20" t="n">
        <v>0</v>
      </c>
      <c r="G138" s="20" t="n">
        <v>0</v>
      </c>
      <c r="H138" s="20" t="n">
        <v>0</v>
      </c>
      <c r="I138" s="20" t="n">
        <v>0</v>
      </c>
      <c r="J138" s="20" t="n">
        <v>0</v>
      </c>
      <c r="K138" s="20" t="n">
        <v>0</v>
      </c>
      <c r="L138" s="20" t="n">
        <v>0</v>
      </c>
      <c r="M138" s="20" t="n">
        <v>0</v>
      </c>
      <c r="N138" s="20" t="n">
        <v>3.681</v>
      </c>
      <c r="V138" s="20" t="n">
        <v>0</v>
      </c>
      <c r="W138" s="20" t="n">
        <v>0</v>
      </c>
      <c r="X138" s="20" t="n">
        <v>3.681</v>
      </c>
    </row>
    <row r="139">
      <c r="A139" s="18" t="inlineStr">
        <is>
          <t>보고부문 합계 · 부문 간 내부매출·대체</t>
        </is>
      </c>
      <c r="C139" s="20" t="n">
        <v>0</v>
      </c>
      <c r="D139" s="20" t="n">
        <v>0</v>
      </c>
      <c r="E139" s="20" t="n">
        <v>0</v>
      </c>
      <c r="F139" s="20" t="n">
        <v>0</v>
      </c>
      <c r="G139" s="20" t="n">
        <v>0</v>
      </c>
      <c r="H139" s="20" t="n">
        <v>0</v>
      </c>
      <c r="I139" s="20" t="n">
        <v>0</v>
      </c>
      <c r="J139" s="20" t="n">
        <v>0</v>
      </c>
      <c r="K139" s="20" t="n">
        <v>0</v>
      </c>
      <c r="L139" s="20" t="n">
        <v>0.15</v>
      </c>
      <c r="M139" s="20" t="n">
        <v>0</v>
      </c>
      <c r="N139" s="20" t="n">
        <v>6.441</v>
      </c>
      <c r="V139" s="20" t="n">
        <v>0</v>
      </c>
      <c r="W139" s="20" t="n">
        <v>0</v>
      </c>
      <c r="X139" s="20" t="n">
        <v>6.441</v>
      </c>
    </row>
    <row r="140">
      <c r="A140" s="18" t="inlineStr">
        <is>
          <t>조정액 · 부문 간 내부매출·대체</t>
        </is>
      </c>
      <c r="C140" s="20" t="n">
        <v>0</v>
      </c>
      <c r="D140" s="20" t="n">
        <v>0</v>
      </c>
      <c r="E140" s="20" t="n">
        <v>0</v>
      </c>
      <c r="F140" s="20" t="n">
        <v>0</v>
      </c>
      <c r="G140" s="20" t="n">
        <v>0</v>
      </c>
      <c r="H140" s="20" t="n">
        <v>0</v>
      </c>
      <c r="I140" s="20" t="n">
        <v>0</v>
      </c>
      <c r="J140" s="20" t="n">
        <v>0</v>
      </c>
      <c r="K140" s="20" t="n">
        <v>0</v>
      </c>
      <c r="L140" s="20" t="n">
        <v>-0.15</v>
      </c>
      <c r="M140" s="20" t="n">
        <v>0</v>
      </c>
      <c r="N140" s="20" t="n">
        <v>-6.441</v>
      </c>
      <c r="V140" s="20" t="n">
        <v>0</v>
      </c>
      <c r="W140" s="20" t="n">
        <v>0</v>
      </c>
      <c r="X140" s="20" t="n">
        <v>-6.441</v>
      </c>
    </row>
    <row r="141">
      <c r="A141" s="18" t="inlineStr">
        <is>
          <t>EntityTotalMember · 부문 간 내부매출·대체</t>
        </is>
      </c>
      <c r="G141" s="20" t="n">
        <v>0</v>
      </c>
      <c r="K141" s="20" t="n">
        <v>0</v>
      </c>
    </row>
    <row r="142">
      <c r="A142" s="18" t="inlineStr">
        <is>
          <t>부문 간 내부매출·대체</t>
        </is>
      </c>
      <c r="C142" s="20" t="n">
        <v>0</v>
      </c>
      <c r="D142" s="20" t="n">
        <v>0</v>
      </c>
      <c r="E142" s="20" t="n">
        <v>0</v>
      </c>
      <c r="F142" s="20" t="n">
        <v>0</v>
      </c>
      <c r="G142" s="20" t="n">
        <v>0</v>
      </c>
      <c r="H142" s="20" t="n">
        <v>0</v>
      </c>
      <c r="I142" s="20" t="n">
        <v>0</v>
      </c>
      <c r="J142" s="20" t="n">
        <v>0</v>
      </c>
      <c r="V142" s="20" t="n">
        <v>0</v>
      </c>
      <c r="W142" s="20" t="n">
        <v>0</v>
      </c>
    </row>
    <row r="143">
      <c r="A143" s="18" t="inlineStr">
        <is>
          <t>DesignPartnerBusinessReportableSegmentMember · 계</t>
        </is>
      </c>
      <c r="C143" s="20" t="n">
        <v>950.8680000000001</v>
      </c>
      <c r="D143" s="20" t="n">
        <v>960.968</v>
      </c>
      <c r="E143" s="20" t="n">
        <v>842.2670000000001</v>
      </c>
      <c r="F143" s="20" t="n">
        <v>841.463</v>
      </c>
      <c r="G143" s="20" t="n">
        <v>1114.732</v>
      </c>
      <c r="H143" s="20" t="n">
        <v>1171.805</v>
      </c>
      <c r="I143" s="20" t="n">
        <v>1255.631</v>
      </c>
      <c r="J143" s="20" t="n">
        <v>1153.978</v>
      </c>
      <c r="K143" s="20" t="n">
        <v>1129.272</v>
      </c>
      <c r="L143" s="20" t="n">
        <v>1246.287</v>
      </c>
      <c r="M143" s="20" t="n">
        <v>1177.857</v>
      </c>
      <c r="N143" s="20" t="n">
        <v>1242.037</v>
      </c>
      <c r="V143" s="20" t="n">
        <v>841.463</v>
      </c>
      <c r="W143" s="20" t="n">
        <v>1153.978</v>
      </c>
      <c r="X143" s="20" t="n">
        <v>1242.037</v>
      </c>
    </row>
    <row r="144">
      <c r="A144" s="18" t="inlineStr">
        <is>
          <t>DesignPlatformBusinessReportableSegmentMember · 계</t>
        </is>
      </c>
      <c r="C144" s="20" t="n">
        <v>73.57599999999999</v>
      </c>
      <c r="D144" s="20" t="n">
        <v>79.67</v>
      </c>
      <c r="E144" s="20" t="n">
        <v>92.846</v>
      </c>
      <c r="F144" s="20" t="n">
        <v>101.309</v>
      </c>
      <c r="G144" s="20" t="n">
        <v>99.455</v>
      </c>
      <c r="H144" s="20" t="n">
        <v>82.96299999999999</v>
      </c>
      <c r="I144" s="20" t="n">
        <v>110.466</v>
      </c>
      <c r="J144" s="20" t="n">
        <v>96.52200000000001</v>
      </c>
      <c r="K144" s="20" t="n">
        <v>77.08799999999999</v>
      </c>
      <c r="L144" s="20" t="n">
        <v>126.102</v>
      </c>
      <c r="M144" s="20" t="n">
        <v>91.318</v>
      </c>
      <c r="N144" s="20" t="n">
        <v>113.889</v>
      </c>
      <c r="V144" s="20" t="n">
        <v>101.309</v>
      </c>
      <c r="W144" s="20" t="n">
        <v>96.52200000000001</v>
      </c>
      <c r="X144" s="20" t="n">
        <v>113.889</v>
      </c>
    </row>
    <row r="145">
      <c r="A145" s="18" t="inlineStr">
        <is>
          <t>보고부문 합계 · 계</t>
        </is>
      </c>
      <c r="C145" s="20" t="n">
        <v>1024.444</v>
      </c>
      <c r="D145" s="20" t="n">
        <v>1040.638</v>
      </c>
      <c r="E145" s="20" t="n">
        <v>935.114</v>
      </c>
      <c r="F145" s="20" t="n">
        <v>942.771</v>
      </c>
      <c r="G145" s="20" t="n">
        <v>1214.187</v>
      </c>
      <c r="H145" s="20" t="n">
        <v>1254.768</v>
      </c>
      <c r="I145" s="20" t="n">
        <v>1366.097</v>
      </c>
      <c r="J145" s="20" t="n">
        <v>1250.501</v>
      </c>
      <c r="K145" s="20" t="n">
        <v>1206.36</v>
      </c>
      <c r="L145" s="20" t="n">
        <v>1372.39</v>
      </c>
      <c r="M145" s="20" t="n">
        <v>1269.175</v>
      </c>
      <c r="N145" s="20" t="n">
        <v>1355.925</v>
      </c>
      <c r="V145" s="20" t="n">
        <v>942.771</v>
      </c>
      <c r="W145" s="20" t="n">
        <v>1250.501</v>
      </c>
      <c r="X145" s="20" t="n">
        <v>1355.925</v>
      </c>
    </row>
    <row r="146">
      <c r="A146" s="18" t="inlineStr">
        <is>
          <t>조정액 · 계</t>
        </is>
      </c>
      <c r="C146" s="20" t="n">
        <v>0</v>
      </c>
      <c r="D146" s="20" t="n">
        <v>0</v>
      </c>
      <c r="E146" s="20" t="n">
        <v>0</v>
      </c>
      <c r="F146" s="20" t="n">
        <v>0</v>
      </c>
      <c r="G146" s="20" t="n">
        <v>0</v>
      </c>
      <c r="H146" s="20" t="n">
        <v>0</v>
      </c>
      <c r="I146" s="20" t="n">
        <v>0</v>
      </c>
      <c r="J146" s="20" t="n">
        <v>0</v>
      </c>
      <c r="K146" s="20" t="n">
        <v>0</v>
      </c>
      <c r="L146" s="20" t="n">
        <v>-0.15</v>
      </c>
      <c r="M146" s="20" t="n">
        <v>0</v>
      </c>
      <c r="N146" s="20" t="n">
        <v>-6.441</v>
      </c>
      <c r="V146" s="20" t="n">
        <v>0</v>
      </c>
      <c r="W146" s="20" t="n">
        <v>0</v>
      </c>
      <c r="X146" s="20" t="n">
        <v>-6.441</v>
      </c>
    </row>
    <row r="147">
      <c r="A147" s="18" t="inlineStr">
        <is>
          <t>EntityTotalMember · 계</t>
        </is>
      </c>
      <c r="G147" s="20" t="n">
        <v>1214.187</v>
      </c>
      <c r="K147" s="20" t="n">
        <v>1206.36</v>
      </c>
    </row>
    <row r="148">
      <c r="A148" s="9" t="inlineStr">
        <is>
          <t>계</t>
        </is>
      </c>
      <c r="C148" s="12" t="n">
        <v>1024.444</v>
      </c>
      <c r="D148" s="12" t="n">
        <v>1040.638</v>
      </c>
      <c r="E148" s="12" t="n">
        <v>935.114</v>
      </c>
      <c r="F148" s="12" t="n">
        <v>942.771</v>
      </c>
      <c r="G148" s="12" t="n">
        <v>1214.187</v>
      </c>
      <c r="H148" s="12" t="n">
        <v>1254.768</v>
      </c>
      <c r="I148" s="12" t="n">
        <v>1366.097</v>
      </c>
      <c r="J148" s="12" t="n">
        <v>1250.501</v>
      </c>
      <c r="V148" s="12" t="n">
        <v>942.771</v>
      </c>
      <c r="W148" s="12" t="n">
        <v>1250.501</v>
      </c>
    </row>
    <row r="149">
      <c r="A149" s="18" t="inlineStr">
        <is>
          <t>DesignPartnerBusinessReportableSegmentMember · 부문 이익(손실)</t>
        </is>
      </c>
      <c r="C149" s="20" t="n">
        <v>5.833</v>
      </c>
      <c r="D149" s="20" t="n">
        <v>135.316</v>
      </c>
      <c r="E149" s="20" t="n">
        <v>-17.366</v>
      </c>
      <c r="F149" s="20" t="n">
        <v>4.588</v>
      </c>
      <c r="G149" s="20" t="n">
        <v>132.169</v>
      </c>
      <c r="H149" s="20" t="n">
        <v>222.077</v>
      </c>
      <c r="I149" s="20" t="n">
        <v>184.249</v>
      </c>
      <c r="J149" s="20" t="n">
        <v>73.056</v>
      </c>
      <c r="K149" s="20" t="n">
        <v>105.577</v>
      </c>
      <c r="L149" s="20" t="n">
        <v>179.09</v>
      </c>
      <c r="M149" s="20" t="n">
        <v>94.994</v>
      </c>
      <c r="N149" s="20" t="n">
        <v>133.061</v>
      </c>
      <c r="V149" s="20" t="n">
        <v>4.588</v>
      </c>
      <c r="W149" s="20" t="n">
        <v>73.056</v>
      </c>
      <c r="X149" s="20" t="n">
        <v>133.061</v>
      </c>
    </row>
    <row r="150">
      <c r="A150" s="18" t="inlineStr">
        <is>
          <t>DesignPlatformBusinessReportableSegmentMember · 부문 이익(손실)</t>
        </is>
      </c>
      <c r="C150" s="20" t="n">
        <v>-34.141</v>
      </c>
      <c r="D150" s="20" t="n">
        <v>-31.133</v>
      </c>
      <c r="E150" s="20" t="n">
        <v>-23.122</v>
      </c>
      <c r="F150" s="20" t="n">
        <v>-5.449</v>
      </c>
      <c r="G150" s="20" t="n">
        <v>-3.509</v>
      </c>
      <c r="H150" s="20" t="n">
        <v>-20.83</v>
      </c>
      <c r="I150" s="20" t="n">
        <v>-4.714</v>
      </c>
      <c r="J150" s="20" t="n">
        <v>-25.014</v>
      </c>
      <c r="K150" s="20" t="n">
        <v>-28.301</v>
      </c>
      <c r="L150" s="20" t="n">
        <v>6.433</v>
      </c>
      <c r="M150" s="20" t="n">
        <v>-27.762</v>
      </c>
      <c r="N150" s="20" t="n">
        <v>-9.484</v>
      </c>
      <c r="V150" s="20" t="n">
        <v>-5.449</v>
      </c>
      <c r="W150" s="20" t="n">
        <v>-25.014</v>
      </c>
      <c r="X150" s="20" t="n">
        <v>-9.484</v>
      </c>
    </row>
    <row r="151">
      <c r="A151" s="18" t="inlineStr">
        <is>
          <t>보고부문 합계 · 부문 이익(손실)</t>
        </is>
      </c>
      <c r="C151" s="20" t="n">
        <v>-28.307</v>
      </c>
      <c r="D151" s="20" t="n">
        <v>104.181</v>
      </c>
      <c r="E151" s="20" t="n">
        <v>-40.488</v>
      </c>
      <c r="F151" s="20" t="n">
        <v>-0.86</v>
      </c>
      <c r="G151" s="20" t="n">
        <v>128.66</v>
      </c>
      <c r="H151" s="20" t="n">
        <v>201.246</v>
      </c>
      <c r="I151" s="20" t="n">
        <v>179.536</v>
      </c>
      <c r="J151" s="20" t="n">
        <v>48.041</v>
      </c>
      <c r="K151" s="20" t="n">
        <v>77.276</v>
      </c>
      <c r="L151" s="20" t="n">
        <v>185.523</v>
      </c>
      <c r="M151" s="20" t="n">
        <v>67.232</v>
      </c>
      <c r="N151" s="20" t="n">
        <v>123.577</v>
      </c>
      <c r="V151" s="20" t="n">
        <v>-0.86</v>
      </c>
      <c r="W151" s="20" t="n">
        <v>48.041</v>
      </c>
      <c r="X151" s="20" t="n">
        <v>123.577</v>
      </c>
    </row>
    <row r="152">
      <c r="A152" s="18" t="inlineStr">
        <is>
          <t>조정액 · 부문 이익(손실)</t>
        </is>
      </c>
      <c r="C152" s="20" t="n">
        <v>0</v>
      </c>
      <c r="D152" s="20" t="n">
        <v>0</v>
      </c>
      <c r="E152" s="20" t="n">
        <v>0</v>
      </c>
      <c r="F152" s="20" t="n">
        <v>0</v>
      </c>
      <c r="G152" s="20" t="n">
        <v>0</v>
      </c>
      <c r="H152" s="20" t="n">
        <v>0</v>
      </c>
      <c r="I152" s="20" t="n">
        <v>0</v>
      </c>
      <c r="J152" s="20" t="n">
        <v>0</v>
      </c>
      <c r="K152" s="20" t="n">
        <v>0</v>
      </c>
      <c r="L152" s="20" t="n">
        <v>-0.15</v>
      </c>
      <c r="M152" s="20" t="n">
        <v>0</v>
      </c>
      <c r="N152" s="20" t="n">
        <v>-6.441</v>
      </c>
      <c r="V152" s="20" t="n">
        <v>0</v>
      </c>
      <c r="W152" s="20" t="n">
        <v>0</v>
      </c>
      <c r="X152" s="20" t="n">
        <v>-6.441</v>
      </c>
    </row>
    <row r="153">
      <c r="A153" s="18" t="inlineStr">
        <is>
          <t>EntityTotalMember · 부문 이익(손실)</t>
        </is>
      </c>
      <c r="G153" s="20" t="n">
        <v>128.66</v>
      </c>
      <c r="K153" s="20" t="n">
        <v>77.276</v>
      </c>
    </row>
    <row r="154">
      <c r="A154" s="9" t="inlineStr">
        <is>
          <t>부문 이익(손실)</t>
        </is>
      </c>
      <c r="C154" s="12" t="n">
        <v>-28.307</v>
      </c>
      <c r="D154" s="12" t="n">
        <v>104.181</v>
      </c>
      <c r="E154" s="12" t="n">
        <v>-40.488</v>
      </c>
      <c r="F154" s="12" t="n">
        <v>-0.86</v>
      </c>
      <c r="G154" s="12" t="n">
        <v>128.66</v>
      </c>
      <c r="H154" s="12" t="n">
        <v>201.246</v>
      </c>
      <c r="I154" s="12" t="n">
        <v>179.536</v>
      </c>
      <c r="J154" s="12" t="n">
        <v>48.041</v>
      </c>
      <c r="V154" s="12" t="n">
        <v>-0.86</v>
      </c>
      <c r="W154" s="12" t="n">
        <v>48.041</v>
      </c>
    </row>
    <row r="156">
      <c r="A156" s="16" t="inlineStr">
        <is>
          <t>현금흐름표 · 전 항목</t>
        </is>
      </c>
      <c r="B156" s="42" t="inlineStr">
        <is>
          <t>분기 = 결산기 첫날부터 누계(공시 그대로)</t>
        </is>
      </c>
      <c r="C156" s="16" t="n"/>
      <c r="D156" s="16" t="n"/>
      <c r="E156" s="16" t="n"/>
      <c r="F156" s="16" t="n"/>
      <c r="G156" s="16" t="n"/>
      <c r="H156" s="16" t="n"/>
      <c r="I156" s="16" t="n"/>
      <c r="J156" s="16" t="n"/>
      <c r="K156" s="16" t="n"/>
      <c r="L156" s="16" t="n"/>
      <c r="M156" s="16" t="n"/>
      <c r="N156" s="16" t="n"/>
      <c r="O156" s="16" t="n"/>
      <c r="P156" s="16" t="n"/>
      <c r="Q156" s="16" t="n"/>
      <c r="R156" s="16" t="n"/>
      <c r="S156" s="16" t="n"/>
      <c r="T156" s="16" t="n"/>
      <c r="U156" s="16" t="n"/>
      <c r="V156" s="16" t="n"/>
      <c r="W156" s="16" t="n"/>
      <c r="X156" s="16" t="n"/>
      <c r="Y156" s="16" t="n"/>
      <c r="Z156" s="16" t="n"/>
      <c r="AA156" s="16" t="n"/>
      <c r="AB156" s="16" t="n"/>
      <c r="AC156" s="16" t="n"/>
    </row>
    <row r="157">
      <c r="A157" s="5" t="inlineStr">
        <is>
          <t>항목</t>
        </is>
      </c>
      <c r="B157" s="5" t="inlineStr">
        <is>
          <t>참고</t>
        </is>
      </c>
      <c r="C157" s="5" t="inlineStr">
        <is>
          <t>2024.1Q</t>
        </is>
      </c>
      <c r="D157" s="5" t="inlineStr">
        <is>
          <t>2024.2Q</t>
        </is>
      </c>
      <c r="E157" s="5" t="inlineStr">
        <is>
          <t>2024.3Q</t>
        </is>
      </c>
      <c r="F157" s="5" t="inlineStr">
        <is>
          <t>2024.4Q</t>
        </is>
      </c>
      <c r="G157" s="5" t="inlineStr">
        <is>
          <t>2025.1Q</t>
        </is>
      </c>
      <c r="H157" s="5" t="inlineStr">
        <is>
          <t>2025.2Q</t>
        </is>
      </c>
      <c r="I157" s="5" t="inlineStr">
        <is>
          <t>2025.3Q</t>
        </is>
      </c>
      <c r="J157" s="5" t="inlineStr">
        <is>
          <t>2025.4Q</t>
        </is>
      </c>
      <c r="K157" s="5" t="inlineStr">
        <is>
          <t>2026.1Q</t>
        </is>
      </c>
      <c r="L157" s="5" t="inlineStr">
        <is>
          <t>2026.2Q</t>
        </is>
      </c>
      <c r="M157" s="5" t="inlineStr">
        <is>
          <t>2026.3Q</t>
        </is>
      </c>
      <c r="N157" s="5" t="inlineStr">
        <is>
          <t>2026.4Q</t>
        </is>
      </c>
      <c r="O157" s="5" t="inlineStr">
        <is>
          <t>2017</t>
        </is>
      </c>
      <c r="P157" s="5" t="inlineStr">
        <is>
          <t>2018</t>
        </is>
      </c>
      <c r="Q157" s="5" t="inlineStr">
        <is>
          <t>2019</t>
        </is>
      </c>
      <c r="R157" s="5" t="inlineStr">
        <is>
          <t>2020</t>
        </is>
      </c>
      <c r="S157" s="5" t="inlineStr">
        <is>
          <t>2021</t>
        </is>
      </c>
      <c r="T157" s="5" t="inlineStr">
        <is>
          <t>2022</t>
        </is>
      </c>
      <c r="U157" s="5" t="inlineStr">
        <is>
          <t>2023</t>
        </is>
      </c>
      <c r="V157" s="5" t="inlineStr">
        <is>
          <t>2024</t>
        </is>
      </c>
      <c r="W157" s="5" t="inlineStr">
        <is>
          <t>2025</t>
        </is>
      </c>
      <c r="X157" s="5" t="inlineStr">
        <is>
          <t>2026</t>
        </is>
      </c>
      <c r="Y157" s="5" t="inlineStr">
        <is>
          <t>2027(MW)</t>
        </is>
      </c>
      <c r="Z157" s="5" t="inlineStr">
        <is>
          <t>2028(MW)</t>
        </is>
      </c>
      <c r="AA157" s="5" t="inlineStr">
        <is>
          <t>2029(MW)</t>
        </is>
      </c>
      <c r="AB157" s="5" t="inlineStr">
        <is>
          <t>2030(MW)</t>
        </is>
      </c>
      <c r="AC157" s="5" t="inlineStr">
        <is>
          <t>2031(MW)</t>
        </is>
      </c>
    </row>
    <row r="158">
      <c r="A158" s="9" t="inlineStr">
        <is>
          <t>법인세차감전 순이익</t>
        </is>
      </c>
      <c r="D158" s="12" t="n">
        <v>78.70999999999999</v>
      </c>
      <c r="F158" s="12" t="n">
        <v>47.429</v>
      </c>
      <c r="H158" s="12" t="n">
        <v>344.381</v>
      </c>
      <c r="J158" s="12" t="n">
        <v>621.1559999999999</v>
      </c>
      <c r="L158" s="12" t="n">
        <v>342.411</v>
      </c>
      <c r="N158" s="12" t="n">
        <v>554.1420000000001</v>
      </c>
      <c r="Q158" s="12" t="n">
        <v>83.678</v>
      </c>
      <c r="R158" s="12" t="n">
        <v>201.72</v>
      </c>
      <c r="S158" s="12" t="n">
        <v>393.907</v>
      </c>
      <c r="T158" s="12" t="n">
        <v>149.178</v>
      </c>
      <c r="U158" s="12" t="n">
        <v>345.498</v>
      </c>
      <c r="V158" s="12" t="n">
        <v>47.429</v>
      </c>
      <c r="W158" s="12" t="n">
        <v>621.1559999999999</v>
      </c>
      <c r="X158" s="12" t="n">
        <v>554.1420000000001</v>
      </c>
    </row>
    <row r="159">
      <c r="A159" s="18" t="inlineStr">
        <is>
          <t>감가상각비</t>
        </is>
      </c>
      <c r="D159" s="20" t="n">
        <v>9.755000000000001</v>
      </c>
      <c r="F159" s="20" t="n">
        <v>20.365</v>
      </c>
      <c r="H159" s="20" t="n">
        <v>9.396000000000001</v>
      </c>
      <c r="J159" s="20" t="n">
        <v>19.386</v>
      </c>
      <c r="L159" s="20" t="n">
        <v>11.608</v>
      </c>
      <c r="N159" s="20" t="n">
        <v>25.455</v>
      </c>
      <c r="Q159" s="20" t="n">
        <v>34.525</v>
      </c>
      <c r="R159" s="20" t="n">
        <v>48.049</v>
      </c>
      <c r="S159" s="20" t="n">
        <v>52.956</v>
      </c>
      <c r="T159" s="20" t="n">
        <v>49.664</v>
      </c>
      <c r="U159" s="20" t="n">
        <v>22.913</v>
      </c>
      <c r="V159" s="20" t="n">
        <v>20.365</v>
      </c>
      <c r="W159" s="20" t="n">
        <v>19.386</v>
      </c>
      <c r="X159" s="20" t="n">
        <v>25.455</v>
      </c>
    </row>
    <row r="160">
      <c r="A160" s="18" t="inlineStr">
        <is>
          <t>영업권 상각</t>
        </is>
      </c>
      <c r="D160" s="20" t="n">
        <v>31.733</v>
      </c>
      <c r="F160" s="20" t="n">
        <v>63.467</v>
      </c>
      <c r="H160" s="20" t="n">
        <v>32.375</v>
      </c>
      <c r="J160" s="20" t="n">
        <v>65.39100000000001</v>
      </c>
      <c r="L160" s="20" t="n">
        <v>35.483</v>
      </c>
      <c r="N160" s="20" t="n">
        <v>71.717</v>
      </c>
      <c r="S160" s="20" t="n">
        <v>0</v>
      </c>
      <c r="T160" s="20" t="n">
        <v>31.733</v>
      </c>
      <c r="U160" s="20" t="n">
        <v>63.467</v>
      </c>
      <c r="V160" s="20" t="n">
        <v>63.467</v>
      </c>
      <c r="W160" s="20" t="n">
        <v>65.39100000000001</v>
      </c>
      <c r="X160" s="20" t="n">
        <v>71.717</v>
      </c>
    </row>
    <row r="161">
      <c r="A161" s="18" t="inlineStr">
        <is>
          <t>이자·배당금 수익</t>
        </is>
      </c>
      <c r="H161" s="20" t="n">
        <v>-1.567</v>
      </c>
      <c r="J161" s="20" t="n">
        <v>-38.03</v>
      </c>
      <c r="L161" s="20" t="n">
        <v>-67.38500000000001</v>
      </c>
      <c r="N161" s="20" t="n">
        <v>-132.861</v>
      </c>
      <c r="W161" s="20" t="n">
        <v>-38.03</v>
      </c>
      <c r="X161" s="20" t="n">
        <v>-132.861</v>
      </c>
    </row>
    <row r="162">
      <c r="A162" s="18" t="inlineStr">
        <is>
          <t>지분법손익</t>
        </is>
      </c>
      <c r="D162" s="20" t="n">
        <v>-8.272</v>
      </c>
      <c r="F162" s="20" t="n">
        <v>-15.16</v>
      </c>
      <c r="H162" s="20" t="n">
        <v>-12.756</v>
      </c>
      <c r="J162" s="20" t="n">
        <v>-21.741</v>
      </c>
      <c r="L162" s="20" t="n">
        <v>-14.18</v>
      </c>
      <c r="N162" s="20" t="n">
        <v>-23.131</v>
      </c>
      <c r="S162" s="20" t="n">
        <v>0</v>
      </c>
      <c r="T162" s="20" t="n">
        <v>0.5649999999999999</v>
      </c>
      <c r="U162" s="20" t="n">
        <v>-7.775</v>
      </c>
      <c r="V162" s="20" t="n">
        <v>-15.16</v>
      </c>
      <c r="W162" s="20" t="n">
        <v>-21.741</v>
      </c>
      <c r="X162" s="20" t="n">
        <v>-23.131</v>
      </c>
    </row>
    <row r="163">
      <c r="A163" s="18" t="inlineStr">
        <is>
          <t>사업정리 이익</t>
        </is>
      </c>
      <c r="D163" s="20" t="n">
        <v>0</v>
      </c>
    </row>
    <row r="164">
      <c r="A164" s="18" t="inlineStr">
        <is>
          <t>매출채권·계약자산 증감</t>
        </is>
      </c>
      <c r="D164" s="20" t="n">
        <v>49.915</v>
      </c>
      <c r="T164" s="20" t="n">
        <v>6.057</v>
      </c>
      <c r="U164" s="20" t="n">
        <v>-141.203</v>
      </c>
    </row>
    <row r="165">
      <c r="A165" s="18" t="inlineStr">
        <is>
          <t>사업정리 손익</t>
        </is>
      </c>
      <c r="F165" s="20" t="n">
        <v>0</v>
      </c>
      <c r="T165" s="20" t="n">
        <v>80.65000000000001</v>
      </c>
      <c r="U165" s="20" t="n">
        <v>-46.481</v>
      </c>
      <c r="V165" s="20" t="n">
        <v>0</v>
      </c>
    </row>
    <row r="166">
      <c r="A166" s="18" t="inlineStr">
        <is>
          <t>수주손실 충당금 증감</t>
        </is>
      </c>
      <c r="R166" s="20" t="n">
        <v>0</v>
      </c>
      <c r="S166" s="20" t="n">
        <v>6.333</v>
      </c>
      <c r="T166" s="20" t="n">
        <v>-6.333</v>
      </c>
      <c r="U166" s="20" t="n">
        <v>0</v>
      </c>
    </row>
    <row r="167">
      <c r="A167" s="18" t="inlineStr">
        <is>
          <t>이자비용</t>
        </is>
      </c>
      <c r="D167" s="20" t="n">
        <v>0.43</v>
      </c>
      <c r="F167" s="20" t="n">
        <v>1.54</v>
      </c>
      <c r="H167" s="20" t="n">
        <v>1.209</v>
      </c>
      <c r="J167" s="20" t="n">
        <v>2.392</v>
      </c>
      <c r="L167" s="20" t="n">
        <v>1.074</v>
      </c>
      <c r="N167" s="20" t="n">
        <v>1.875</v>
      </c>
      <c r="Q167" s="20" t="n">
        <v>5.643</v>
      </c>
      <c r="R167" s="20" t="n">
        <v>9.835000000000001</v>
      </c>
      <c r="S167" s="20" t="n">
        <v>5.424</v>
      </c>
      <c r="T167" s="20" t="n">
        <v>4.356</v>
      </c>
      <c r="U167" s="20" t="n">
        <v>1.331</v>
      </c>
      <c r="V167" s="20" t="n">
        <v>1.54</v>
      </c>
      <c r="W167" s="20" t="n">
        <v>2.392</v>
      </c>
      <c r="X167" s="20" t="n">
        <v>1.875</v>
      </c>
    </row>
    <row r="168">
      <c r="A168" s="18" t="inlineStr">
        <is>
          <t>주식교부비</t>
        </is>
      </c>
      <c r="D168" s="20" t="n">
        <v>0.093</v>
      </c>
      <c r="F168" s="20" t="n">
        <v>0.168</v>
      </c>
      <c r="H168" s="20" t="n">
        <v>0</v>
      </c>
      <c r="J168" s="20" t="n">
        <v>0.038</v>
      </c>
      <c r="L168" s="20" t="n">
        <v>0.031</v>
      </c>
      <c r="N168" s="20" t="n">
        <v>0.031</v>
      </c>
      <c r="Q168" s="20" t="n">
        <v>0</v>
      </c>
      <c r="R168" s="20" t="n">
        <v>4.092</v>
      </c>
      <c r="S168" s="20" t="n">
        <v>7.429</v>
      </c>
      <c r="T168" s="20" t="n">
        <v>3.087</v>
      </c>
      <c r="U168" s="20" t="n">
        <v>8.242000000000001</v>
      </c>
      <c r="V168" s="20" t="n">
        <v>0.168</v>
      </c>
      <c r="W168" s="20" t="n">
        <v>0.038</v>
      </c>
      <c r="X168" s="20" t="n">
        <v>0.031</v>
      </c>
    </row>
    <row r="169">
      <c r="A169" s="18" t="inlineStr">
        <is>
          <t>상장비용</t>
        </is>
      </c>
      <c r="Q169" s="20" t="n">
        <v>0</v>
      </c>
      <c r="R169" s="20" t="n">
        <v>3.326</v>
      </c>
      <c r="S169" s="20" t="n">
        <v>0</v>
      </c>
    </row>
    <row r="170">
      <c r="A170" s="18" t="inlineStr">
        <is>
          <t>신주예약권 발행비</t>
        </is>
      </c>
      <c r="F170" s="20" t="n">
        <v>0.552</v>
      </c>
      <c r="J170" s="20" t="n">
        <v>0</v>
      </c>
      <c r="N170" s="20" t="n">
        <v>0.552</v>
      </c>
      <c r="R170" s="20" t="n">
        <v>0</v>
      </c>
      <c r="S170" s="20" t="n">
        <v>7.031</v>
      </c>
      <c r="T170" s="20" t="n">
        <v>0.608</v>
      </c>
      <c r="U170" s="20" t="n">
        <v>0</v>
      </c>
      <c r="V170" s="20" t="n">
        <v>0.552</v>
      </c>
      <c r="W170" s="20" t="n">
        <v>0</v>
      </c>
      <c r="X170" s="20" t="n">
        <v>0.552</v>
      </c>
    </row>
    <row r="171">
      <c r="A171" s="18" t="inlineStr">
        <is>
          <t>매출채권 증감</t>
        </is>
      </c>
      <c r="Q171" s="20" t="n">
        <v>-47.017</v>
      </c>
      <c r="R171" s="20" t="n">
        <v>-54.497</v>
      </c>
      <c r="S171" s="20" t="n">
        <v>-48.48</v>
      </c>
      <c r="T171" s="20" t="n">
        <v>6.057</v>
      </c>
    </row>
    <row r="172">
      <c r="A172" s="18" t="inlineStr">
        <is>
          <t>자산복구부채 환입이익</t>
        </is>
      </c>
      <c r="J172" s="20" t="n">
        <v>0</v>
      </c>
      <c r="N172" s="20" t="n">
        <v>-2.59</v>
      </c>
      <c r="W172" s="20" t="n">
        <v>0</v>
      </c>
      <c r="X172" s="20" t="n">
        <v>-2.59</v>
      </c>
    </row>
    <row r="173">
      <c r="A173" s="18" t="inlineStr">
        <is>
          <t>투자유가증권 평가손익</t>
        </is>
      </c>
      <c r="J173" s="20" t="n">
        <v>0</v>
      </c>
      <c r="N173" s="20" t="n">
        <v>47.999</v>
      </c>
      <c r="S173" s="20" t="n">
        <v>0</v>
      </c>
      <c r="T173" s="20" t="n">
        <v>118.382</v>
      </c>
      <c r="U173" s="20" t="n">
        <v>0</v>
      </c>
      <c r="W173" s="20" t="n">
        <v>0</v>
      </c>
      <c r="X173" s="20" t="n">
        <v>47.999</v>
      </c>
    </row>
    <row r="174">
      <c r="A174" s="18" t="inlineStr">
        <is>
          <t>투자유가증권 매각손익</t>
        </is>
      </c>
      <c r="H174" s="20" t="n">
        <v>0</v>
      </c>
      <c r="J174" s="20" t="n">
        <v>0</v>
      </c>
      <c r="L174" s="20" t="n">
        <v>-5.002</v>
      </c>
      <c r="N174" s="20" t="n">
        <v>-5.002</v>
      </c>
      <c r="W174" s="20" t="n">
        <v>0</v>
      </c>
      <c r="X174" s="20" t="n">
        <v>-5.002</v>
      </c>
    </row>
    <row r="175">
      <c r="A175" s="18" t="inlineStr">
        <is>
          <t>관계회사 주식 매각이익</t>
        </is>
      </c>
      <c r="J175" s="20" t="n">
        <v>0</v>
      </c>
      <c r="N175" s="20" t="n">
        <v>-8.723000000000001</v>
      </c>
      <c r="W175" s="20" t="n">
        <v>0</v>
      </c>
      <c r="X175" s="20" t="n">
        <v>-8.723000000000001</v>
      </c>
    </row>
    <row r="176">
      <c r="A176" s="18" t="inlineStr">
        <is>
          <t>관계회사 청산이익</t>
        </is>
      </c>
      <c r="D176" s="20" t="n">
        <v>0</v>
      </c>
      <c r="F176" s="20" t="n">
        <v>0</v>
      </c>
      <c r="H176" s="20" t="n">
        <v>-0.971</v>
      </c>
      <c r="J176" s="20" t="n">
        <v>-0.971</v>
      </c>
      <c r="L176" s="20" t="n">
        <v>0</v>
      </c>
      <c r="N176" s="20" t="n">
        <v>0</v>
      </c>
      <c r="V176" s="20" t="n">
        <v>0</v>
      </c>
      <c r="W176" s="20" t="n">
        <v>-0.971</v>
      </c>
      <c r="X176" s="20" t="n">
        <v>0</v>
      </c>
    </row>
    <row r="177">
      <c r="A177" s="18" t="inlineStr">
        <is>
          <t>손상차손</t>
        </is>
      </c>
      <c r="J177" s="20" t="n">
        <v>0</v>
      </c>
      <c r="N177" s="20" t="n">
        <v>9.75</v>
      </c>
      <c r="S177" s="20" t="n">
        <v>0</v>
      </c>
      <c r="T177" s="20" t="n">
        <v>47.213</v>
      </c>
      <c r="U177" s="20" t="n">
        <v>0</v>
      </c>
      <c r="W177" s="20" t="n">
        <v>0</v>
      </c>
      <c r="X177" s="20" t="n">
        <v>9.75</v>
      </c>
    </row>
    <row r="178">
      <c r="A178" s="18" t="inlineStr">
        <is>
          <t>상여충당금 증감</t>
        </is>
      </c>
      <c r="D178" s="20" t="n">
        <v>11.728</v>
      </c>
      <c r="F178" s="20" t="n">
        <v>1.885</v>
      </c>
      <c r="H178" s="20" t="n">
        <v>25.992</v>
      </c>
      <c r="J178" s="20" t="n">
        <v>98.461</v>
      </c>
      <c r="L178" s="20" t="n">
        <v>-91.751</v>
      </c>
      <c r="N178" s="20" t="n">
        <v>-91.834</v>
      </c>
      <c r="S178" s="20" t="n">
        <v>0</v>
      </c>
      <c r="T178" s="20" t="n">
        <v>0.215</v>
      </c>
      <c r="U178" s="20" t="n">
        <v>-0.215</v>
      </c>
      <c r="V178" s="20" t="n">
        <v>1.885</v>
      </c>
      <c r="W178" s="20" t="n">
        <v>98.461</v>
      </c>
      <c r="X178" s="20" t="n">
        <v>-91.834</v>
      </c>
    </row>
    <row r="179">
      <c r="A179" s="18" t="inlineStr">
        <is>
          <t>관계회사 정리손실 충당금 증감</t>
        </is>
      </c>
      <c r="S179" s="20" t="n">
        <v>0</v>
      </c>
      <c r="T179" s="20" t="n">
        <v>72.44499999999999</v>
      </c>
    </row>
    <row r="180">
      <c r="A180" s="18" t="inlineStr">
        <is>
          <t>외환차손익</t>
        </is>
      </c>
      <c r="Q180" s="20" t="n">
        <v>3.413</v>
      </c>
      <c r="R180" s="20" t="n">
        <v>-3.045</v>
      </c>
      <c r="S180" s="20" t="n">
        <v>-1.436</v>
      </c>
      <c r="T180" s="20" t="n">
        <v>0.104</v>
      </c>
      <c r="U180" s="20" t="n">
        <v>0</v>
      </c>
    </row>
    <row r="181">
      <c r="A181" s="18" t="inlineStr">
        <is>
          <t>이자수익</t>
        </is>
      </c>
      <c r="D181" s="20" t="n">
        <v>-0.155</v>
      </c>
      <c r="F181" s="20" t="n">
        <v>-0.546</v>
      </c>
      <c r="H181" s="20" t="n">
        <v>-1.567</v>
      </c>
      <c r="J181" s="20" t="n">
        <v>-4.267</v>
      </c>
      <c r="Q181" s="20" t="n">
        <v>-0.014</v>
      </c>
      <c r="R181" s="20" t="n">
        <v>-0.007</v>
      </c>
      <c r="S181" s="20" t="n">
        <v>-0.017</v>
      </c>
      <c r="T181" s="20" t="n">
        <v>-0.026</v>
      </c>
      <c r="U181" s="20" t="n">
        <v>-0.073</v>
      </c>
      <c r="V181" s="20" t="n">
        <v>-0.546</v>
      </c>
      <c r="W181" s="20" t="n">
        <v>-4.267</v>
      </c>
    </row>
    <row r="182">
      <c r="A182" s="18" t="inlineStr">
        <is>
          <t>보조금 수입</t>
        </is>
      </c>
      <c r="Q182" s="20" t="n">
        <v>-14.559</v>
      </c>
      <c r="R182" s="20" t="n">
        <v>-9.656000000000001</v>
      </c>
      <c r="S182" s="20" t="n">
        <v>-2.071</v>
      </c>
      <c r="T182" s="20" t="n">
        <v>0</v>
      </c>
    </row>
    <row r="183">
      <c r="A183" s="18" t="inlineStr">
        <is>
          <t>임대료 수익</t>
        </is>
      </c>
      <c r="Q183" s="20" t="n">
        <v>-1.454</v>
      </c>
      <c r="R183" s="20" t="n">
        <v>0</v>
      </c>
      <c r="S183" s="20" t="n">
        <v>-4.004</v>
      </c>
      <c r="T183" s="20" t="n">
        <v>-10.457</v>
      </c>
      <c r="U183" s="20" t="n">
        <v>0</v>
      </c>
    </row>
    <row r="184">
      <c r="A184" s="18" t="inlineStr">
        <is>
          <t>매출채권·계약자산 증감</t>
        </is>
      </c>
      <c r="D184" s="20" t="n">
        <v>49.915</v>
      </c>
      <c r="F184" s="20" t="n">
        <v>27.972</v>
      </c>
      <c r="H184" s="20" t="n">
        <v>-109.662</v>
      </c>
      <c r="J184" s="20" t="n">
        <v>-156.553</v>
      </c>
      <c r="L184" s="20" t="n">
        <v>-15.529</v>
      </c>
      <c r="N184" s="20" t="n">
        <v>32.416</v>
      </c>
      <c r="U184" s="20" t="n">
        <v>-107.608</v>
      </c>
      <c r="V184" s="20" t="n">
        <v>27.972</v>
      </c>
      <c r="W184" s="20" t="n">
        <v>-156.553</v>
      </c>
      <c r="X184" s="20" t="n">
        <v>32.416</v>
      </c>
    </row>
    <row r="185">
      <c r="A185" s="18" t="inlineStr">
        <is>
          <t>재고자산 증감</t>
        </is>
      </c>
      <c r="D185" s="20" t="n">
        <v>2.118</v>
      </c>
      <c r="F185" s="20" t="n">
        <v>8.545999999999999</v>
      </c>
      <c r="H185" s="20" t="n">
        <v>-18.826</v>
      </c>
      <c r="J185" s="20" t="n">
        <v>-6.681</v>
      </c>
      <c r="L185" s="20" t="n">
        <v>0.611</v>
      </c>
      <c r="N185" s="20" t="n">
        <v>-4.96</v>
      </c>
      <c r="Q185" s="20" t="n">
        <v>22.562</v>
      </c>
      <c r="R185" s="20" t="n">
        <v>5.38</v>
      </c>
      <c r="S185" s="20" t="n">
        <v>-22.718</v>
      </c>
      <c r="T185" s="20" t="n">
        <v>21.722</v>
      </c>
      <c r="U185" s="20" t="n">
        <v>-9.677</v>
      </c>
      <c r="V185" s="20" t="n">
        <v>8.545999999999999</v>
      </c>
      <c r="W185" s="20" t="n">
        <v>-6.681</v>
      </c>
      <c r="X185" s="20" t="n">
        <v>-4.96</v>
      </c>
    </row>
    <row r="186">
      <c r="A186" s="18" t="inlineStr">
        <is>
          <t>선급비용 증감</t>
        </is>
      </c>
      <c r="D186" s="20" t="n">
        <v>-24.99</v>
      </c>
      <c r="F186" s="20" t="n">
        <v>-30.456</v>
      </c>
      <c r="H186" s="20" t="n">
        <v>-16.803</v>
      </c>
      <c r="J186" s="20" t="n">
        <v>24.299</v>
      </c>
      <c r="L186" s="20" t="n">
        <v>-38.024</v>
      </c>
      <c r="N186" s="20" t="n">
        <v>-33.61</v>
      </c>
      <c r="Q186" s="20" t="n">
        <v>-5.846</v>
      </c>
      <c r="R186" s="20" t="n">
        <v>-6.306</v>
      </c>
      <c r="S186" s="20" t="n">
        <v>-5.943</v>
      </c>
      <c r="T186" s="20" t="n">
        <v>4.705</v>
      </c>
      <c r="U186" s="20" t="n">
        <v>-4.105</v>
      </c>
      <c r="V186" s="20" t="n">
        <v>-30.456</v>
      </c>
      <c r="W186" s="20" t="n">
        <v>24.299</v>
      </c>
      <c r="X186" s="20" t="n">
        <v>-33.61</v>
      </c>
    </row>
    <row r="187">
      <c r="A187" s="18" t="inlineStr">
        <is>
          <t>매입채무 증감</t>
        </is>
      </c>
      <c r="D187" s="20" t="n">
        <v>-23.018</v>
      </c>
      <c r="F187" s="20" t="n">
        <v>-8.222</v>
      </c>
      <c r="H187" s="20" t="n">
        <v>43.626</v>
      </c>
      <c r="J187" s="20" t="n">
        <v>36.416</v>
      </c>
      <c r="L187" s="20" t="n">
        <v>13.148</v>
      </c>
      <c r="N187" s="20" t="n">
        <v>9.268000000000001</v>
      </c>
      <c r="Q187" s="20" t="n">
        <v>9.167999999999999</v>
      </c>
      <c r="R187" s="20" t="n">
        <v>1.033</v>
      </c>
      <c r="S187" s="20" t="n">
        <v>7.332</v>
      </c>
      <c r="T187" s="20" t="n">
        <v>-1.611</v>
      </c>
      <c r="U187" s="20" t="n">
        <v>23.576</v>
      </c>
      <c r="V187" s="20" t="n">
        <v>-8.222</v>
      </c>
      <c r="W187" s="20" t="n">
        <v>36.416</v>
      </c>
      <c r="X187" s="20" t="n">
        <v>9.268000000000001</v>
      </c>
    </row>
    <row r="188">
      <c r="A188" s="18" t="inlineStr">
        <is>
          <t>미지급금 증감</t>
        </is>
      </c>
      <c r="D188" s="20" t="n">
        <v>-53.952</v>
      </c>
      <c r="F188" s="20" t="n">
        <v>-47.493</v>
      </c>
      <c r="H188" s="20" t="n">
        <v>-9.432</v>
      </c>
      <c r="J188" s="20" t="n">
        <v>56.857</v>
      </c>
      <c r="L188" s="20" t="n">
        <v>-30.812</v>
      </c>
      <c r="N188" s="20" t="n">
        <v>-8.581</v>
      </c>
      <c r="Q188" s="20" t="n">
        <v>51.306</v>
      </c>
      <c r="R188" s="20" t="n">
        <v>-51.263</v>
      </c>
      <c r="S188" s="20" t="n">
        <v>32.332</v>
      </c>
      <c r="T188" s="20" t="n">
        <v>-11.47</v>
      </c>
      <c r="U188" s="20" t="n">
        <v>-7.006</v>
      </c>
      <c r="V188" s="20" t="n">
        <v>-47.493</v>
      </c>
      <c r="W188" s="20" t="n">
        <v>56.857</v>
      </c>
      <c r="X188" s="20" t="n">
        <v>-8.581</v>
      </c>
    </row>
    <row r="189">
      <c r="A189" s="18" t="inlineStr">
        <is>
          <t>예수금 증감</t>
        </is>
      </c>
      <c r="F189" s="20" t="n">
        <v>22.377</v>
      </c>
      <c r="J189" s="20" t="n">
        <v>-0.45</v>
      </c>
      <c r="N189" s="20" t="n">
        <v>-18.305</v>
      </c>
      <c r="V189" s="20" t="n">
        <v>22.377</v>
      </c>
      <c r="W189" s="20" t="n">
        <v>-0.45</v>
      </c>
      <c r="X189" s="20" t="n">
        <v>-18.305</v>
      </c>
    </row>
    <row r="190">
      <c r="A190" s="18" t="inlineStr">
        <is>
          <t>미지급비용 증감</t>
        </is>
      </c>
      <c r="D190" s="20" t="n">
        <v>-29.589</v>
      </c>
      <c r="F190" s="20" t="n">
        <v>-22.07</v>
      </c>
      <c r="H190" s="20" t="n">
        <v>-8.57</v>
      </c>
      <c r="J190" s="20" t="n">
        <v>-0.448</v>
      </c>
      <c r="L190" s="20" t="n">
        <v>-5.977</v>
      </c>
      <c r="N190" s="20" t="n">
        <v>2.797</v>
      </c>
      <c r="Q190" s="20" t="n">
        <v>16.474</v>
      </c>
      <c r="R190" s="20" t="n">
        <v>8.685</v>
      </c>
      <c r="S190" s="20" t="n">
        <v>7.888</v>
      </c>
      <c r="T190" s="20" t="n">
        <v>-0.636</v>
      </c>
      <c r="U190" s="20" t="n">
        <v>0.315</v>
      </c>
      <c r="V190" s="20" t="n">
        <v>-22.07</v>
      </c>
      <c r="W190" s="20" t="n">
        <v>-0.448</v>
      </c>
      <c r="X190" s="20" t="n">
        <v>2.797</v>
      </c>
    </row>
    <row r="191">
      <c r="A191" s="18" t="inlineStr">
        <is>
          <t>선수금 증감</t>
        </is>
      </c>
      <c r="Q191" s="20" t="n">
        <v>-21.999</v>
      </c>
      <c r="R191" s="20" t="n">
        <v>1.803</v>
      </c>
      <c r="S191" s="20" t="n">
        <v>35.684</v>
      </c>
      <c r="T191" s="20" t="n">
        <v>-33.594</v>
      </c>
    </row>
    <row r="192">
      <c r="A192" s="18" t="inlineStr">
        <is>
          <t>선수수익 증감</t>
        </is>
      </c>
      <c r="Q192" s="20" t="n">
        <v>-14.629</v>
      </c>
      <c r="R192" s="20" t="n">
        <v>-9.933999999999999</v>
      </c>
      <c r="S192" s="20" t="n">
        <v>4.885</v>
      </c>
      <c r="T192" s="20" t="n">
        <v>5.037</v>
      </c>
    </row>
    <row r="193">
      <c r="A193" s="18" t="inlineStr">
        <is>
          <t>계약부채 증감</t>
        </is>
      </c>
      <c r="D193" s="20" t="n">
        <v>-15.561</v>
      </c>
      <c r="T193" s="20" t="n">
        <v>-28.556</v>
      </c>
      <c r="U193" s="20" t="n">
        <v>10.414</v>
      </c>
    </row>
    <row r="194">
      <c r="A194" s="18" t="inlineStr">
        <is>
          <t>계약부채 증감</t>
        </is>
      </c>
      <c r="D194" s="20" t="n">
        <v>-15.561</v>
      </c>
      <c r="F194" s="20" t="n">
        <v>15.065</v>
      </c>
      <c r="H194" s="20" t="n">
        <v>-21.051</v>
      </c>
      <c r="J194" s="20" t="n">
        <v>-14.454</v>
      </c>
      <c r="L194" s="20" t="n">
        <v>5.935</v>
      </c>
      <c r="N194" s="20" t="n">
        <v>-9.471</v>
      </c>
      <c r="U194" s="20" t="n">
        <v>18.377</v>
      </c>
      <c r="V194" s="20" t="n">
        <v>15.065</v>
      </c>
      <c r="W194" s="20" t="n">
        <v>-14.454</v>
      </c>
      <c r="X194" s="20" t="n">
        <v>-9.471</v>
      </c>
    </row>
    <row r="195">
      <c r="A195" s="18" t="inlineStr">
        <is>
          <t>미지급 소비세 증감</t>
        </is>
      </c>
      <c r="D195" s="20" t="n">
        <v>-7.097</v>
      </c>
      <c r="F195" s="20" t="n">
        <v>-18.572</v>
      </c>
      <c r="H195" s="20" t="n">
        <v>46.106</v>
      </c>
      <c r="J195" s="20" t="n">
        <v>78.273</v>
      </c>
      <c r="L195" s="20" t="n">
        <v>-52.503</v>
      </c>
      <c r="N195" s="20" t="n">
        <v>-55.489</v>
      </c>
      <c r="Q195" s="20" t="n">
        <v>-17.187</v>
      </c>
      <c r="R195" s="20" t="n">
        <v>46.547</v>
      </c>
      <c r="S195" s="20" t="n">
        <v>-9.09</v>
      </c>
      <c r="T195" s="20" t="n">
        <v>20.62</v>
      </c>
      <c r="U195" s="20" t="n">
        <v>-45.124</v>
      </c>
      <c r="V195" s="20" t="n">
        <v>-18.572</v>
      </c>
      <c r="W195" s="20" t="n">
        <v>78.273</v>
      </c>
      <c r="X195" s="20" t="n">
        <v>-55.489</v>
      </c>
    </row>
    <row r="196">
      <c r="A196" s="18" t="inlineStr">
        <is>
          <t>기타</t>
        </is>
      </c>
      <c r="D196" s="20" t="n">
        <v>-0.044</v>
      </c>
      <c r="F196" s="20" t="n">
        <v>4.71</v>
      </c>
      <c r="H196" s="20" t="n">
        <v>-21.797</v>
      </c>
      <c r="J196" s="20" t="n">
        <v>12.545</v>
      </c>
      <c r="L196" s="20" t="n">
        <v>-7.923</v>
      </c>
      <c r="N196" s="20" t="n">
        <v>12.502</v>
      </c>
      <c r="Q196" s="20" t="n">
        <v>12.996</v>
      </c>
      <c r="R196" s="20" t="n">
        <v>-11.883</v>
      </c>
      <c r="S196" s="20" t="n">
        <v>67.214</v>
      </c>
      <c r="T196" s="20" t="n">
        <v>-3.539</v>
      </c>
      <c r="U196" s="20" t="n">
        <v>0.668</v>
      </c>
      <c r="V196" s="20" t="n">
        <v>4.71</v>
      </c>
      <c r="W196" s="20" t="n">
        <v>12.545</v>
      </c>
      <c r="X196" s="20" t="n">
        <v>12.502</v>
      </c>
    </row>
    <row r="197">
      <c r="A197" s="18" t="inlineStr">
        <is>
          <t>소계</t>
        </is>
      </c>
      <c r="D197" s="20" t="n">
        <v>21.804</v>
      </c>
      <c r="F197" s="20" t="n">
        <v>71.56</v>
      </c>
      <c r="H197" s="20" t="n">
        <v>281.648</v>
      </c>
      <c r="J197" s="20" t="n">
        <v>775.885</v>
      </c>
      <c r="L197" s="20" t="n">
        <v>81.214</v>
      </c>
      <c r="N197" s="20" t="n">
        <v>373.947</v>
      </c>
      <c r="Q197" s="20" t="n">
        <v>117.06</v>
      </c>
      <c r="R197" s="20" t="n">
        <v>183.88</v>
      </c>
      <c r="S197" s="20" t="n">
        <v>534.658</v>
      </c>
      <c r="T197" s="20" t="n">
        <v>476.233</v>
      </c>
      <c r="U197" s="20" t="n">
        <v>256.323</v>
      </c>
      <c r="V197" s="20" t="n">
        <v>71.56</v>
      </c>
      <c r="W197" s="20" t="n">
        <v>775.885</v>
      </c>
      <c r="X197" s="20" t="n">
        <v>373.947</v>
      </c>
    </row>
    <row r="198">
      <c r="A198" s="18" t="inlineStr">
        <is>
          <t>이자·배당금 수취</t>
        </is>
      </c>
      <c r="D198" s="20" t="n">
        <v>0.015</v>
      </c>
      <c r="F198" s="20" t="n">
        <v>0.266</v>
      </c>
      <c r="H198" s="20" t="n">
        <v>1.427</v>
      </c>
      <c r="J198" s="20" t="n">
        <v>37.82</v>
      </c>
      <c r="L198" s="20" t="n">
        <v>67.46299999999999</v>
      </c>
      <c r="N198" s="20" t="n">
        <v>130.154</v>
      </c>
      <c r="Q198" s="20" t="n">
        <v>0.014</v>
      </c>
      <c r="R198" s="20" t="n">
        <v>0.007</v>
      </c>
      <c r="S198" s="20" t="n">
        <v>0.017</v>
      </c>
      <c r="T198" s="20" t="n">
        <v>0.026</v>
      </c>
      <c r="U198" s="20" t="n">
        <v>0.027</v>
      </c>
      <c r="V198" s="20" t="n">
        <v>0.266</v>
      </c>
      <c r="W198" s="20" t="n">
        <v>37.82</v>
      </c>
      <c r="X198" s="20" t="n">
        <v>130.154</v>
      </c>
    </row>
    <row r="199">
      <c r="A199" s="18" t="inlineStr">
        <is>
          <t>이자 지급</t>
        </is>
      </c>
      <c r="D199" s="20" t="n">
        <v>-0.488</v>
      </c>
      <c r="F199" s="20" t="n">
        <v>-1.659</v>
      </c>
      <c r="H199" s="20" t="n">
        <v>-1.191</v>
      </c>
      <c r="J199" s="20" t="n">
        <v>-2.346</v>
      </c>
      <c r="L199" s="20" t="n">
        <v>-1.052</v>
      </c>
      <c r="N199" s="20" t="n">
        <v>-1.828</v>
      </c>
      <c r="Q199" s="20" t="n">
        <v>-5.643</v>
      </c>
      <c r="R199" s="20" t="n">
        <v>-9.835000000000001</v>
      </c>
      <c r="S199" s="20" t="n">
        <v>-5.448</v>
      </c>
      <c r="T199" s="20" t="n">
        <v>-4.346</v>
      </c>
      <c r="U199" s="20" t="n">
        <v>-1.322</v>
      </c>
      <c r="V199" s="20" t="n">
        <v>-1.659</v>
      </c>
      <c r="W199" s="20" t="n">
        <v>-2.346</v>
      </c>
      <c r="X199" s="20" t="n">
        <v>-1.828</v>
      </c>
    </row>
    <row r="200">
      <c r="A200" s="18" t="inlineStr">
        <is>
          <t>보조금 수취</t>
        </is>
      </c>
      <c r="Q200" s="20" t="n">
        <v>14.559</v>
      </c>
      <c r="R200" s="20" t="n">
        <v>9.656000000000001</v>
      </c>
      <c r="S200" s="20" t="n">
        <v>1.373</v>
      </c>
      <c r="T200" s="20" t="n">
        <v>0</v>
      </c>
    </row>
    <row r="201">
      <c r="A201" s="18" t="inlineStr">
        <is>
          <t>임대료 수취</t>
        </is>
      </c>
      <c r="Q201" s="20" t="n">
        <v>1.454</v>
      </c>
      <c r="R201" s="20" t="n">
        <v>0</v>
      </c>
      <c r="S201" s="20" t="n">
        <v>4.004</v>
      </c>
      <c r="T201" s="20" t="n">
        <v>10.457</v>
      </c>
      <c r="U201" s="20" t="n">
        <v>0</v>
      </c>
    </row>
    <row r="202">
      <c r="A202" s="18" t="inlineStr">
        <is>
          <t>법인세 납부</t>
        </is>
      </c>
      <c r="D202" s="20" t="n">
        <v>-73.795</v>
      </c>
      <c r="F202" s="20" t="n">
        <v>-139.941</v>
      </c>
      <c r="H202" s="20" t="n">
        <v>-2.681</v>
      </c>
      <c r="J202" s="20" t="n">
        <v>-17.008</v>
      </c>
      <c r="L202" s="20" t="n">
        <v>-207.708</v>
      </c>
      <c r="N202" s="20" t="n">
        <v>-319.397</v>
      </c>
      <c r="Q202" s="20" t="n">
        <v>-0.5639999999999999</v>
      </c>
      <c r="R202" s="20" t="n">
        <v>-37.811</v>
      </c>
      <c r="S202" s="20" t="n">
        <v>-51.289</v>
      </c>
      <c r="T202" s="20" t="n">
        <v>-71.723</v>
      </c>
      <c r="U202" s="20" t="n">
        <v>-176.361</v>
      </c>
      <c r="V202" s="20" t="n">
        <v>-139.941</v>
      </c>
      <c r="W202" s="20" t="n">
        <v>-17.008</v>
      </c>
      <c r="X202" s="20" t="n">
        <v>-319.397</v>
      </c>
    </row>
    <row r="203">
      <c r="A203" s="18" t="inlineStr">
        <is>
          <t>법인세 환급</t>
        </is>
      </c>
      <c r="D203" s="20" t="n">
        <v>12.652</v>
      </c>
      <c r="F203" s="20" t="n">
        <v>12.652</v>
      </c>
      <c r="H203" s="20" t="n">
        <v>50.037</v>
      </c>
      <c r="J203" s="20" t="n">
        <v>50.037</v>
      </c>
      <c r="L203" s="20" t="n">
        <v>0.006</v>
      </c>
      <c r="N203" s="20" t="n">
        <v>0.006</v>
      </c>
      <c r="U203" s="20" t="n">
        <v>0</v>
      </c>
      <c r="V203" s="20" t="n">
        <v>12.652</v>
      </c>
      <c r="W203" s="20" t="n">
        <v>50.037</v>
      </c>
      <c r="X203" s="20" t="n">
        <v>0.006</v>
      </c>
    </row>
    <row r="204">
      <c r="A204" s="9" t="inlineStr">
        <is>
          <t>영업활동 현금흐름</t>
        </is>
      </c>
      <c r="D204" s="12" t="n">
        <v>-39.812</v>
      </c>
      <c r="F204" s="12" t="n">
        <v>-57.122</v>
      </c>
      <c r="H204" s="12" t="n">
        <v>329.241</v>
      </c>
      <c r="J204" s="12" t="n">
        <v>844.388</v>
      </c>
      <c r="L204" s="12" t="n">
        <v>-60.077</v>
      </c>
      <c r="N204" s="12" t="n">
        <v>182.882</v>
      </c>
      <c r="Q204" s="12" t="n">
        <v>126.88</v>
      </c>
      <c r="R204" s="12" t="n">
        <v>145.898</v>
      </c>
      <c r="S204" s="12" t="n">
        <v>483.316</v>
      </c>
      <c r="T204" s="12" t="n">
        <v>410.646</v>
      </c>
      <c r="U204" s="12" t="n">
        <v>78.666</v>
      </c>
      <c r="V204" s="12" t="n">
        <v>-57.122</v>
      </c>
      <c r="W204" s="12" t="n">
        <v>844.388</v>
      </c>
      <c r="X204" s="12" t="n">
        <v>182.882</v>
      </c>
    </row>
    <row r="205">
      <c r="A205" s="18" t="inlineStr">
        <is>
          <t>정기예금 예입</t>
        </is>
      </c>
      <c r="J205" s="20" t="n">
        <v>0</v>
      </c>
      <c r="N205" s="20" t="n">
        <v>-1200</v>
      </c>
      <c r="W205" s="20" t="n">
        <v>0</v>
      </c>
      <c r="X205" s="20" t="n">
        <v>-1200</v>
      </c>
    </row>
    <row r="206">
      <c r="A206" s="18" t="inlineStr">
        <is>
          <t>유형자산 취득(설비투자)</t>
        </is>
      </c>
      <c r="D206" s="20" t="n">
        <v>-10.229</v>
      </c>
      <c r="F206" s="20" t="n">
        <v>-13.067</v>
      </c>
      <c r="H206" s="20" t="n">
        <v>-1.675</v>
      </c>
      <c r="J206" s="20" t="n">
        <v>-2.324</v>
      </c>
      <c r="L206" s="20" t="n">
        <v>-1.543</v>
      </c>
      <c r="N206" s="20" t="n">
        <v>-41.971</v>
      </c>
      <c r="Q206" s="20" t="n">
        <v>-23.654</v>
      </c>
      <c r="R206" s="20" t="n">
        <v>-23.532</v>
      </c>
      <c r="S206" s="20" t="n">
        <v>-21.619</v>
      </c>
      <c r="T206" s="20" t="n">
        <v>-15.073</v>
      </c>
      <c r="U206" s="20" t="n">
        <v>-2.113</v>
      </c>
      <c r="V206" s="20" t="n">
        <v>-13.067</v>
      </c>
      <c r="W206" s="20" t="n">
        <v>-2.324</v>
      </c>
      <c r="X206" s="20" t="n">
        <v>-41.971</v>
      </c>
    </row>
    <row r="207">
      <c r="A207" s="18" t="inlineStr">
        <is>
          <t>투자유가증권 취득</t>
        </is>
      </c>
      <c r="D207" s="20" t="n">
        <v>-20</v>
      </c>
      <c r="F207" s="20" t="n">
        <v>-50</v>
      </c>
      <c r="H207" s="20" t="n">
        <v>-48</v>
      </c>
      <c r="J207" s="20" t="n">
        <v>-1077.134</v>
      </c>
      <c r="L207" s="20" t="n">
        <v>-15.111</v>
      </c>
      <c r="N207" s="20" t="n">
        <v>-15.111</v>
      </c>
      <c r="Q207" s="20" t="n">
        <v>0</v>
      </c>
      <c r="R207" s="20" t="n">
        <v>-52.4</v>
      </c>
      <c r="S207" s="20" t="n">
        <v>-43.982</v>
      </c>
      <c r="T207" s="20" t="n">
        <v>-78</v>
      </c>
      <c r="U207" s="20" t="n">
        <v>-84</v>
      </c>
      <c r="V207" s="20" t="n">
        <v>-50</v>
      </c>
      <c r="W207" s="20" t="n">
        <v>-1077.134</v>
      </c>
      <c r="X207" s="20" t="n">
        <v>-15.111</v>
      </c>
    </row>
    <row r="208">
      <c r="A208" s="18" t="inlineStr">
        <is>
          <t>투자유가증권 매각</t>
        </is>
      </c>
      <c r="H208" s="20" t="n">
        <v>0</v>
      </c>
      <c r="J208" s="20" t="n">
        <v>0</v>
      </c>
      <c r="L208" s="20" t="n">
        <v>5.002</v>
      </c>
      <c r="N208" s="20" t="n">
        <v>5.002</v>
      </c>
      <c r="W208" s="20" t="n">
        <v>0</v>
      </c>
      <c r="X208" s="20" t="n">
        <v>5.002</v>
      </c>
    </row>
    <row r="209">
      <c r="A209" s="18" t="inlineStr">
        <is>
          <t>관계회사 주식 매각</t>
        </is>
      </c>
      <c r="J209" s="20" t="n">
        <v>0</v>
      </c>
      <c r="N209" s="20" t="n">
        <v>8.723000000000001</v>
      </c>
      <c r="W209" s="20" t="n">
        <v>0</v>
      </c>
      <c r="X209" s="20" t="n">
        <v>8.723000000000001</v>
      </c>
    </row>
    <row r="210">
      <c r="A210" s="18" t="inlineStr">
        <is>
          <t>투자조합 분배 수입</t>
        </is>
      </c>
      <c r="D210" s="20" t="n">
        <v>1.294</v>
      </c>
      <c r="F210" s="20" t="n">
        <v>5.007</v>
      </c>
      <c r="H210" s="20" t="n">
        <v>0</v>
      </c>
      <c r="J210" s="20" t="n">
        <v>4.608</v>
      </c>
      <c r="L210" s="20" t="n">
        <v>5.208</v>
      </c>
      <c r="N210" s="20" t="n">
        <v>14.36</v>
      </c>
      <c r="U210" s="20" t="n">
        <v>0</v>
      </c>
      <c r="V210" s="20" t="n">
        <v>5.007</v>
      </c>
      <c r="W210" s="20" t="n">
        <v>4.608</v>
      </c>
      <c r="X210" s="20" t="n">
        <v>14.36</v>
      </c>
    </row>
    <row r="211">
      <c r="A211" s="18" t="inlineStr">
        <is>
          <t>임차보증금·보증금 납입</t>
        </is>
      </c>
      <c r="D211" s="20" t="n">
        <v>-0.297</v>
      </c>
      <c r="F211" s="20" t="n">
        <v>-0.427</v>
      </c>
      <c r="H211" s="20" t="n">
        <v>-0.119</v>
      </c>
      <c r="J211" s="20" t="n">
        <v>-1.397</v>
      </c>
      <c r="L211" s="20" t="n">
        <v>-15.695</v>
      </c>
      <c r="N211" s="20" t="n">
        <v>-16.367</v>
      </c>
      <c r="Q211" s="20" t="n">
        <v>-0.334</v>
      </c>
      <c r="R211" s="20" t="n">
        <v>-2.509</v>
      </c>
      <c r="S211" s="20" t="n">
        <v>0</v>
      </c>
      <c r="T211" s="20" t="n">
        <v>-0.1</v>
      </c>
      <c r="U211" s="20" t="n">
        <v>0</v>
      </c>
      <c r="V211" s="20" t="n">
        <v>-0.427</v>
      </c>
      <c r="W211" s="20" t="n">
        <v>-1.397</v>
      </c>
      <c r="X211" s="20" t="n">
        <v>-16.367</v>
      </c>
    </row>
    <row r="212">
      <c r="A212" s="18" t="inlineStr">
        <is>
          <t>임차보증금·보증금 회수</t>
        </is>
      </c>
      <c r="D212" s="20" t="n">
        <v>0</v>
      </c>
      <c r="F212" s="20" t="n">
        <v>0</v>
      </c>
      <c r="Q212" s="20" t="n">
        <v>3.113</v>
      </c>
      <c r="R212" s="20" t="n">
        <v>0.505</v>
      </c>
      <c r="S212" s="20" t="n">
        <v>0</v>
      </c>
      <c r="T212" s="20" t="n">
        <v>1.862</v>
      </c>
      <c r="U212" s="20" t="n">
        <v>2.546</v>
      </c>
      <c r="V212" s="20" t="n">
        <v>0</v>
      </c>
    </row>
    <row r="213">
      <c r="A213" s="18" t="inlineStr">
        <is>
          <t>종업원 대여</t>
        </is>
      </c>
      <c r="F213" s="20" t="n">
        <v>0</v>
      </c>
      <c r="U213" s="20" t="n">
        <v>-14</v>
      </c>
      <c r="V213" s="20" t="n">
        <v>0</v>
      </c>
    </row>
    <row r="214">
      <c r="A214" s="18" t="inlineStr">
        <is>
          <t>연결범위 변경 자회사 주식 취득</t>
        </is>
      </c>
      <c r="H214" s="20" t="n">
        <v>0</v>
      </c>
      <c r="J214" s="20" t="n">
        <v>0</v>
      </c>
      <c r="L214" s="20" t="n">
        <v>-18</v>
      </c>
      <c r="N214" s="20" t="n">
        <v>-18</v>
      </c>
      <c r="S214" s="20" t="n">
        <v>0</v>
      </c>
      <c r="T214" s="20" t="n">
        <v>-582.259</v>
      </c>
      <c r="U214" s="20" t="n">
        <v>0</v>
      </c>
      <c r="W214" s="20" t="n">
        <v>0</v>
      </c>
      <c r="X214" s="20" t="n">
        <v>-18</v>
      </c>
    </row>
    <row r="215">
      <c r="A215" s="18" t="inlineStr">
        <is>
          <t>기타</t>
        </is>
      </c>
      <c r="F215" s="20" t="n">
        <v>0</v>
      </c>
      <c r="H215" s="20" t="n">
        <v>0</v>
      </c>
      <c r="J215" s="20" t="n">
        <v>0.333</v>
      </c>
      <c r="L215" s="20" t="n">
        <v>1</v>
      </c>
      <c r="N215" s="20" t="n">
        <v>2.045</v>
      </c>
      <c r="Q215" s="20" t="n">
        <v>0.063</v>
      </c>
      <c r="R215" s="20" t="n">
        <v>0.317</v>
      </c>
      <c r="S215" s="20" t="n">
        <v>0.751</v>
      </c>
      <c r="T215" s="20" t="n">
        <v>-0.114</v>
      </c>
      <c r="U215" s="20" t="n">
        <v>0.366</v>
      </c>
      <c r="V215" s="20" t="n">
        <v>0</v>
      </c>
      <c r="W215" s="20" t="n">
        <v>0.333</v>
      </c>
      <c r="X215" s="20" t="n">
        <v>2.045</v>
      </c>
    </row>
    <row r="216">
      <c r="A216" s="9" t="inlineStr">
        <is>
          <t>투자활동 현금흐름</t>
        </is>
      </c>
      <c r="D216" s="12" t="n">
        <v>-29.231</v>
      </c>
      <c r="F216" s="12" t="n">
        <v>-58.487</v>
      </c>
      <c r="H216" s="12" t="n">
        <v>-49.794</v>
      </c>
      <c r="J216" s="12" t="n">
        <v>-1075.915</v>
      </c>
      <c r="L216" s="12" t="n">
        <v>-39.139</v>
      </c>
      <c r="N216" s="12" t="n">
        <v>-1261.319</v>
      </c>
      <c r="Q216" s="12" t="n">
        <v>-20.812</v>
      </c>
      <c r="R216" s="12" t="n">
        <v>-77.61799999999999</v>
      </c>
      <c r="S216" s="12" t="n">
        <v>-64.84999999999999</v>
      </c>
      <c r="T216" s="12" t="n">
        <v>-673.6849999999999</v>
      </c>
      <c r="U216" s="12" t="n">
        <v>-97.2</v>
      </c>
      <c r="V216" s="12" t="n">
        <v>-58.487</v>
      </c>
      <c r="W216" s="12" t="n">
        <v>-1075.915</v>
      </c>
      <c r="X216" s="12" t="n">
        <v>-1261.319</v>
      </c>
    </row>
    <row r="217">
      <c r="A217" s="18" t="inlineStr">
        <is>
          <t>장기차입</t>
        </is>
      </c>
      <c r="D217" s="20" t="n">
        <v>50</v>
      </c>
      <c r="F217" s="20" t="n">
        <v>350</v>
      </c>
      <c r="H217" s="20" t="n">
        <v>0</v>
      </c>
      <c r="J217" s="20" t="n">
        <v>0</v>
      </c>
      <c r="Q217" s="20" t="n">
        <v>22.499</v>
      </c>
      <c r="R217" s="20" t="n">
        <v>210.864</v>
      </c>
      <c r="S217" s="20" t="n">
        <v>300</v>
      </c>
      <c r="T217" s="20" t="n">
        <v>50</v>
      </c>
      <c r="U217" s="20" t="n">
        <v>0</v>
      </c>
      <c r="V217" s="20" t="n">
        <v>350</v>
      </c>
      <c r="W217" s="20" t="n">
        <v>0</v>
      </c>
    </row>
    <row r="218">
      <c r="A218" s="18" t="inlineStr">
        <is>
          <t>장기차입금 상환</t>
        </is>
      </c>
      <c r="D218" s="20" t="n">
        <v>-62.948</v>
      </c>
      <c r="F218" s="20" t="n">
        <v>-141.47</v>
      </c>
      <c r="H218" s="20" t="n">
        <v>-85.56100000000001</v>
      </c>
      <c r="J218" s="20" t="n">
        <v>-162.412</v>
      </c>
      <c r="L218" s="20" t="n">
        <v>-74.57899999999999</v>
      </c>
      <c r="N218" s="20" t="n">
        <v>-130.423</v>
      </c>
      <c r="Q218" s="20" t="n">
        <v>-86.88800000000001</v>
      </c>
      <c r="R218" s="20" t="n">
        <v>-85.021</v>
      </c>
      <c r="S218" s="20" t="n">
        <v>-131.343</v>
      </c>
      <c r="T218" s="20" t="n">
        <v>-183.801</v>
      </c>
      <c r="U218" s="20" t="n">
        <v>-125.816</v>
      </c>
      <c r="V218" s="20" t="n">
        <v>-141.47</v>
      </c>
      <c r="W218" s="20" t="n">
        <v>-162.412</v>
      </c>
      <c r="X218" s="20" t="n">
        <v>-130.423</v>
      </c>
    </row>
    <row r="219">
      <c r="A219" s="18" t="inlineStr">
        <is>
          <t>신주예약권 발행</t>
        </is>
      </c>
      <c r="R219" s="20" t="n">
        <v>0</v>
      </c>
      <c r="S219" s="20" t="n">
        <v>1.176</v>
      </c>
      <c r="T219" s="20" t="n">
        <v>0</v>
      </c>
    </row>
    <row r="220">
      <c r="A220" s="18" t="inlineStr">
        <is>
          <t>신주예약권 행사에 따른 주식 발행</t>
        </is>
      </c>
      <c r="D220" s="20" t="n">
        <v>2.451</v>
      </c>
      <c r="F220" s="20" t="n">
        <v>9.279</v>
      </c>
      <c r="H220" s="20" t="n">
        <v>0.231</v>
      </c>
      <c r="J220" s="20" t="n">
        <v>4.56</v>
      </c>
      <c r="L220" s="20" t="n">
        <v>0.017</v>
      </c>
      <c r="N220" s="20" t="n">
        <v>0.46</v>
      </c>
      <c r="R220" s="20" t="n">
        <v>0</v>
      </c>
      <c r="S220" s="20" t="n">
        <v>1268.924</v>
      </c>
      <c r="T220" s="20" t="n">
        <v>545.539</v>
      </c>
      <c r="U220" s="20" t="n">
        <v>12.839</v>
      </c>
      <c r="V220" s="20" t="n">
        <v>9.279</v>
      </c>
      <c r="W220" s="20" t="n">
        <v>4.56</v>
      </c>
      <c r="X220" s="20" t="n">
        <v>0.46</v>
      </c>
    </row>
    <row r="221">
      <c r="A221" s="18" t="inlineStr">
        <is>
          <t>주식 발행</t>
        </is>
      </c>
      <c r="F221" s="20" t="n">
        <v>0</v>
      </c>
      <c r="Q221" s="20" t="n">
        <v>0</v>
      </c>
      <c r="R221" s="20" t="n">
        <v>254.779</v>
      </c>
      <c r="S221" s="20" t="n">
        <v>0</v>
      </c>
      <c r="T221" s="20" t="n">
        <v>0</v>
      </c>
      <c r="U221" s="20" t="n">
        <v>491.879</v>
      </c>
      <c r="V221" s="20" t="n">
        <v>0</v>
      </c>
    </row>
    <row r="222">
      <c r="A222" s="18" t="inlineStr">
        <is>
          <t>상장비용 지출</t>
        </is>
      </c>
      <c r="Q222" s="20" t="n">
        <v>0</v>
      </c>
      <c r="R222" s="20" t="n">
        <v>-3.326</v>
      </c>
      <c r="S222" s="20" t="n">
        <v>0</v>
      </c>
    </row>
    <row r="223">
      <c r="A223" s="18" t="inlineStr">
        <is>
          <t>자기주식 취득</t>
        </is>
      </c>
      <c r="D223" s="20" t="n">
        <v>-73.898</v>
      </c>
      <c r="F223" s="20" t="n">
        <v>-100.907</v>
      </c>
      <c r="H223" s="20" t="n">
        <v>-151.331</v>
      </c>
      <c r="J223" s="20" t="n">
        <v>-151.385</v>
      </c>
      <c r="L223" s="20" t="n">
        <v>-0.011</v>
      </c>
      <c r="N223" s="20" t="n">
        <v>-18.245</v>
      </c>
      <c r="U223" s="20" t="n">
        <v>0</v>
      </c>
      <c r="V223" s="20" t="n">
        <v>-100.907</v>
      </c>
      <c r="W223" s="20" t="n">
        <v>-151.385</v>
      </c>
      <c r="X223" s="20" t="n">
        <v>-18.245</v>
      </c>
    </row>
    <row r="224">
      <c r="A224" s="18" t="inlineStr">
        <is>
          <t>배당금 지급</t>
        </is>
      </c>
      <c r="H224" s="20" t="n">
        <v>0</v>
      </c>
      <c r="J224" s="20" t="n">
        <v>0</v>
      </c>
      <c r="L224" s="20" t="n">
        <v>-81.68899999999999</v>
      </c>
      <c r="N224" s="20" t="n">
        <v>-86.934</v>
      </c>
      <c r="W224" s="20" t="n">
        <v>0</v>
      </c>
      <c r="X224" s="20" t="n">
        <v>-86.934</v>
      </c>
    </row>
    <row r="225">
      <c r="A225" s="18" t="inlineStr">
        <is>
          <t>비지배주주 납입</t>
        </is>
      </c>
      <c r="D225" s="20" t="n">
        <v>0</v>
      </c>
      <c r="F225" s="20" t="n">
        <v>0</v>
      </c>
      <c r="H225" s="20" t="n">
        <v>24.5</v>
      </c>
      <c r="J225" s="20" t="n">
        <v>24.5</v>
      </c>
      <c r="L225" s="20" t="n">
        <v>0</v>
      </c>
      <c r="N225" s="20" t="n">
        <v>0</v>
      </c>
      <c r="V225" s="20" t="n">
        <v>0</v>
      </c>
      <c r="W225" s="20" t="n">
        <v>24.5</v>
      </c>
      <c r="X225" s="20" t="n">
        <v>0</v>
      </c>
    </row>
    <row r="226">
      <c r="A226" s="18" t="inlineStr">
        <is>
          <t>리스부채 상환</t>
        </is>
      </c>
      <c r="D226" s="20" t="n">
        <v>0</v>
      </c>
      <c r="F226" s="20" t="n">
        <v>0</v>
      </c>
      <c r="H226" s="20" t="n">
        <v>-0.431</v>
      </c>
      <c r="J226" s="20" t="n">
        <v>-1.091</v>
      </c>
      <c r="L226" s="20" t="n">
        <v>-0.675</v>
      </c>
      <c r="N226" s="20" t="n">
        <v>-1.367</v>
      </c>
      <c r="Q226" s="20" t="n">
        <v>0</v>
      </c>
      <c r="R226" s="20" t="n">
        <v>-17.869</v>
      </c>
      <c r="S226" s="20" t="n">
        <v>-20.591</v>
      </c>
      <c r="T226" s="20" t="n">
        <v>-22.133</v>
      </c>
      <c r="U226" s="20" t="n">
        <v>-4.989</v>
      </c>
      <c r="V226" s="20" t="n">
        <v>0</v>
      </c>
      <c r="W226" s="20" t="n">
        <v>-1.091</v>
      </c>
      <c r="X226" s="20" t="n">
        <v>-1.367</v>
      </c>
    </row>
    <row r="227">
      <c r="A227" s="18" t="inlineStr">
        <is>
          <t>기타</t>
        </is>
      </c>
      <c r="R227" s="20" t="n">
        <v>0</v>
      </c>
      <c r="S227" s="20" t="n">
        <v>-0.055</v>
      </c>
      <c r="T227" s="20" t="n">
        <v>-0.055</v>
      </c>
      <c r="U227" s="20" t="n">
        <v>0</v>
      </c>
    </row>
    <row r="228">
      <c r="A228" s="18" t="inlineStr">
        <is>
          <t>연결범위 변경 없는 자회사 주식 취득</t>
        </is>
      </c>
      <c r="F228" s="20" t="n">
        <v>0</v>
      </c>
      <c r="J228" s="20" t="n">
        <v>-24.5</v>
      </c>
      <c r="N228" s="20" t="n">
        <v>0</v>
      </c>
      <c r="V228" s="20" t="n">
        <v>0</v>
      </c>
      <c r="W228" s="20" t="n">
        <v>-24.5</v>
      </c>
      <c r="X228" s="20" t="n">
        <v>0</v>
      </c>
    </row>
    <row r="229">
      <c r="A229" s="9" t="inlineStr">
        <is>
          <t>재무활동 현금흐름</t>
        </is>
      </c>
      <c r="D229" s="12" t="n">
        <v>-84.395</v>
      </c>
      <c r="F229" s="12" t="n">
        <v>116.901</v>
      </c>
      <c r="H229" s="12" t="n">
        <v>-212.592</v>
      </c>
      <c r="J229" s="12" t="n">
        <v>-310.328</v>
      </c>
      <c r="L229" s="12" t="n">
        <v>-156.938</v>
      </c>
      <c r="N229" s="12" t="n">
        <v>-236.509</v>
      </c>
      <c r="Q229" s="12" t="n">
        <v>-64.38800000000001</v>
      </c>
      <c r="R229" s="12" t="n">
        <v>359.426</v>
      </c>
      <c r="S229" s="12" t="n">
        <v>1418.11</v>
      </c>
      <c r="T229" s="12" t="n">
        <v>389.549</v>
      </c>
      <c r="U229" s="12" t="n">
        <v>373.913</v>
      </c>
      <c r="V229" s="12" t="n">
        <v>116.901</v>
      </c>
      <c r="W229" s="12" t="n">
        <v>-310.328</v>
      </c>
      <c r="X229" s="12" t="n">
        <v>-236.509</v>
      </c>
    </row>
    <row r="230">
      <c r="A230" s="18" t="inlineStr">
        <is>
          <t>현금성자산 환산차이</t>
        </is>
      </c>
      <c r="D230" s="20" t="n">
        <v>0.149</v>
      </c>
      <c r="F230" s="20" t="n">
        <v>0.066</v>
      </c>
      <c r="H230" s="20" t="n">
        <v>-0.14</v>
      </c>
      <c r="J230" s="20" t="n">
        <v>-0.156</v>
      </c>
      <c r="L230" s="20" t="n">
        <v>0.081</v>
      </c>
      <c r="N230" s="20" t="n">
        <v>0.12</v>
      </c>
      <c r="Q230" s="20" t="n">
        <v>-6.336</v>
      </c>
      <c r="R230" s="20" t="n">
        <v>3.298</v>
      </c>
      <c r="S230" s="20" t="n">
        <v>3.583</v>
      </c>
      <c r="T230" s="20" t="n">
        <v>3.876</v>
      </c>
      <c r="U230" s="20" t="n">
        <v>7.945</v>
      </c>
      <c r="V230" s="20" t="n">
        <v>0.066</v>
      </c>
      <c r="W230" s="20" t="n">
        <v>-0.156</v>
      </c>
      <c r="X230" s="20" t="n">
        <v>0.12</v>
      </c>
    </row>
    <row r="231">
      <c r="A231" s="18" t="inlineStr">
        <is>
          <t>현금성자산 증감</t>
        </is>
      </c>
      <c r="D231" s="20" t="n">
        <v>-153.29</v>
      </c>
      <c r="F231" s="20" t="n">
        <v>1.358</v>
      </c>
      <c r="H231" s="20" t="n">
        <v>66.714</v>
      </c>
      <c r="J231" s="20" t="n">
        <v>-542.011</v>
      </c>
      <c r="L231" s="20" t="n">
        <v>-256.074</v>
      </c>
      <c r="N231" s="20" t="n">
        <v>-1314.826</v>
      </c>
      <c r="Q231" s="20" t="n">
        <v>35.343</v>
      </c>
      <c r="R231" s="20" t="n">
        <v>431.004</v>
      </c>
      <c r="S231" s="20" t="n">
        <v>1840.16</v>
      </c>
      <c r="T231" s="20" t="n">
        <v>130.387</v>
      </c>
      <c r="U231" s="20" t="n">
        <v>363.325</v>
      </c>
      <c r="V231" s="20" t="n">
        <v>1.358</v>
      </c>
      <c r="W231" s="20" t="n">
        <v>-542.011</v>
      </c>
      <c r="X231" s="20" t="n">
        <v>-1314.826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38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굿패치 재무상태표</t>
        </is>
      </c>
    </row>
    <row r="2">
      <c r="A2" s="43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2025.4Q</t>
        </is>
      </c>
      <c r="D3" s="5" t="inlineStr">
        <is>
          <t>2026.1Q</t>
        </is>
      </c>
      <c r="E3" s="5" t="inlineStr">
        <is>
          <t>2026.2Q</t>
        </is>
      </c>
      <c r="F3" s="5" t="inlineStr">
        <is>
          <t>2026.3Q</t>
        </is>
      </c>
      <c r="G3" s="5" t="inlineStr">
        <is>
          <t>2026.4Q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3395.698</v>
      </c>
      <c r="D5" s="12" t="n">
        <v>3045.491</v>
      </c>
      <c r="E5" s="12" t="n">
        <v>3204.211</v>
      </c>
      <c r="F5" s="12" t="n">
        <v>3213.591</v>
      </c>
      <c r="G5" s="12" t="n">
        <v>3308.132</v>
      </c>
      <c r="H5" s="11" t="n">
        <v>3312.071</v>
      </c>
      <c r="I5" s="12" t="n">
        <v>3799.84</v>
      </c>
      <c r="J5" s="12" t="n">
        <v>3839.295</v>
      </c>
      <c r="K5" s="12" t="n">
        <v>3395.698</v>
      </c>
      <c r="L5" s="12" t="n">
        <v>3308.132</v>
      </c>
    </row>
    <row r="6">
      <c r="A6" s="18" t="inlineStr">
        <is>
          <t>현금및현금성자산</t>
        </is>
      </c>
      <c r="B6" s="10" t="n"/>
      <c r="C6" s="19" t="n">
        <v>2733.133</v>
      </c>
      <c r="D6" s="20" t="n">
        <v>2324.083</v>
      </c>
      <c r="E6" s="20" t="n">
        <v>2477.059</v>
      </c>
      <c r="F6" s="20" t="n">
        <v>2591.98</v>
      </c>
      <c r="G6" s="20" t="n">
        <v>2534.557</v>
      </c>
      <c r="H6" s="19" t="n">
        <v>2910.461</v>
      </c>
      <c r="I6" s="20" t="n">
        <v>3273.786</v>
      </c>
      <c r="J6" s="20" t="n">
        <v>3275.145</v>
      </c>
      <c r="K6" s="20" t="n">
        <v>2733.133</v>
      </c>
      <c r="L6" s="20" t="n">
        <v>2534.557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/>
      <c r="D8" s="20" t="n"/>
      <c r="E8" s="20" t="n"/>
      <c r="F8" s="20" t="n"/>
      <c r="G8" s="20" t="n"/>
      <c r="H8" s="19" t="n">
        <v>0</v>
      </c>
      <c r="I8" s="20" t="n">
        <v>455.68</v>
      </c>
      <c r="J8" s="20" t="n"/>
      <c r="K8" s="20" t="n"/>
      <c r="L8" s="20" t="n"/>
    </row>
    <row r="9">
      <c r="A9" s="18" t="inlineStr">
        <is>
          <t>재고자산</t>
        </is>
      </c>
      <c r="B9" s="10" t="n"/>
      <c r="C9" s="19" t="n">
        <v>9.565</v>
      </c>
      <c r="D9" s="20" t="n">
        <v>10.178</v>
      </c>
      <c r="E9" s="20" t="n">
        <v>8.954000000000001</v>
      </c>
      <c r="F9" s="20" t="n">
        <v>16.552</v>
      </c>
      <c r="G9" s="20" t="n">
        <v>14.525</v>
      </c>
      <c r="H9" s="19" t="n">
        <v>1.752</v>
      </c>
      <c r="I9" s="20" t="n">
        <v>11.43</v>
      </c>
      <c r="J9" s="20" t="n">
        <v>2.884</v>
      </c>
      <c r="K9" s="20" t="n">
        <v>9.565</v>
      </c>
      <c r="L9" s="20" t="n">
        <v>14.525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1849.729</v>
      </c>
      <c r="D11" s="12" t="n">
        <v>1845.682</v>
      </c>
      <c r="E11" s="12" t="n">
        <v>1869.584</v>
      </c>
      <c r="F11" s="12" t="n">
        <v>1863.058</v>
      </c>
      <c r="G11" s="12" t="n">
        <v>1801.229</v>
      </c>
      <c r="H11" s="11" t="n">
        <v>857.87</v>
      </c>
      <c r="I11" s="12" t="n">
        <v>871.7089999999999</v>
      </c>
      <c r="J11" s="12" t="n">
        <v>836.708</v>
      </c>
      <c r="K11" s="12" t="n">
        <v>1849.729</v>
      </c>
      <c r="L11" s="12" t="n">
        <v>1801.229</v>
      </c>
    </row>
    <row r="12">
      <c r="A12" s="18" t="inlineStr">
        <is>
          <t>유형자산</t>
        </is>
      </c>
      <c r="B12" s="10" t="n"/>
      <c r="C12" s="19" t="n">
        <v>48.86</v>
      </c>
      <c r="D12" s="20" t="n">
        <v>47.433</v>
      </c>
      <c r="E12" s="20" t="n">
        <v>43.704</v>
      </c>
      <c r="F12" s="20" t="n">
        <v>38.928</v>
      </c>
      <c r="G12" s="20" t="n">
        <v>80.452</v>
      </c>
      <c r="H12" s="19" t="n">
        <v>59.819</v>
      </c>
      <c r="I12" s="20" t="n">
        <v>46.76</v>
      </c>
      <c r="J12" s="20" t="n">
        <v>47.877</v>
      </c>
      <c r="K12" s="20" t="n">
        <v>48.86</v>
      </c>
      <c r="L12" s="20" t="n">
        <v>80.452</v>
      </c>
    </row>
    <row r="13">
      <c r="A13" s="18" t="inlineStr">
        <is>
          <t>무형자산</t>
        </is>
      </c>
      <c r="B13" s="10" t="n"/>
      <c r="C13" s="19" t="n">
        <v>395.54</v>
      </c>
      <c r="D13" s="20" t="n">
        <v>394.011</v>
      </c>
      <c r="E13" s="20" t="n">
        <v>373.823</v>
      </c>
      <c r="F13" s="20" t="n">
        <v>353.589</v>
      </c>
      <c r="G13" s="20" t="n">
        <v>323.605</v>
      </c>
      <c r="H13" s="19" t="n">
        <v>611.441</v>
      </c>
      <c r="I13" s="20" t="n">
        <v>539.458</v>
      </c>
      <c r="J13" s="20" t="n">
        <v>467.475</v>
      </c>
      <c r="K13" s="20" t="n">
        <v>395.54</v>
      </c>
      <c r="L13" s="20" t="n">
        <v>323.605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5245.428</v>
      </c>
      <c r="D16" s="12" t="n">
        <v>4891.173</v>
      </c>
      <c r="E16" s="12" t="n">
        <v>5073.796</v>
      </c>
      <c r="F16" s="12" t="n">
        <v>5076.65</v>
      </c>
      <c r="G16" s="12" t="n">
        <v>5109.362</v>
      </c>
      <c r="H16" s="11" t="n">
        <v>4169.942</v>
      </c>
      <c r="I16" s="12" t="n">
        <v>4671.549</v>
      </c>
      <c r="J16" s="12" t="n">
        <v>4676.003</v>
      </c>
      <c r="K16" s="12" t="n">
        <v>5245.428</v>
      </c>
      <c r="L16" s="12" t="n">
        <v>5109.362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956.456</v>
      </c>
      <c r="D18" s="12" t="n">
        <v>617.297</v>
      </c>
      <c r="E18" s="12" t="n">
        <v>656.544</v>
      </c>
      <c r="F18" s="12" t="n">
        <v>598.7619999999999</v>
      </c>
      <c r="G18" s="12" t="n">
        <v>594.658</v>
      </c>
      <c r="H18" s="11" t="n">
        <v>709.271</v>
      </c>
      <c r="I18" s="12" t="n">
        <v>608.499</v>
      </c>
      <c r="J18" s="12" t="n">
        <v>533.332</v>
      </c>
      <c r="K18" s="12" t="n">
        <v>956.456</v>
      </c>
      <c r="L18" s="12" t="n">
        <v>594.658</v>
      </c>
    </row>
    <row r="19">
      <c r="A19" s="18" t="inlineStr">
        <is>
          <t>매입채무</t>
        </is>
      </c>
      <c r="B19" s="10" t="n"/>
      <c r="C19" s="19" t="n">
        <v>99.60899999999999</v>
      </c>
      <c r="D19" s="20" t="n">
        <v>109.717</v>
      </c>
      <c r="E19" s="20" t="n">
        <v>112.757</v>
      </c>
      <c r="F19" s="20" t="n">
        <v>93.807</v>
      </c>
      <c r="G19" s="20" t="n">
        <v>108.878</v>
      </c>
      <c r="H19" s="19" t="n">
        <v>47.377</v>
      </c>
      <c r="I19" s="20" t="n">
        <v>71.414</v>
      </c>
      <c r="J19" s="20" t="n">
        <v>63.192</v>
      </c>
      <c r="K19" s="20" t="n">
        <v>99.60899999999999</v>
      </c>
      <c r="L19" s="20" t="n">
        <v>108.878</v>
      </c>
    </row>
    <row r="20">
      <c r="A20" s="18" t="inlineStr">
        <is>
          <t>단기차입금</t>
        </is>
      </c>
      <c r="B20" s="10" t="n"/>
      <c r="C20" s="19" t="n"/>
      <c r="D20" s="20" t="n"/>
      <c r="E20" s="20" t="n"/>
      <c r="F20" s="20" t="n"/>
      <c r="G20" s="20" t="n"/>
      <c r="H20" s="19" t="n"/>
      <c r="I20" s="20" t="n"/>
      <c r="J20" s="20" t="n"/>
      <c r="K20" s="20" t="n"/>
      <c r="L20" s="20" t="n"/>
    </row>
    <row r="21">
      <c r="A21" s="18" t="inlineStr">
        <is>
          <t>유동성장기부채</t>
        </is>
      </c>
      <c r="B21" s="10" t="n"/>
      <c r="C21" s="19" t="n">
        <v>130.423</v>
      </c>
      <c r="D21" s="20" t="n">
        <v>117.301</v>
      </c>
      <c r="E21" s="20" t="n">
        <v>107.572</v>
      </c>
      <c r="F21" s="20" t="n">
        <v>100.297</v>
      </c>
      <c r="G21" s="20" t="n">
        <v>78.398</v>
      </c>
      <c r="H21" s="19" t="n">
        <v>125.816</v>
      </c>
      <c r="I21" s="20" t="n">
        <v>106.488</v>
      </c>
      <c r="J21" s="20" t="n">
        <v>162.412</v>
      </c>
      <c r="K21" s="20" t="n">
        <v>130.423</v>
      </c>
      <c r="L21" s="20" t="n">
        <v>78.398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143.793</v>
      </c>
      <c r="D23" s="12" t="n">
        <v>122.913</v>
      </c>
      <c r="E23" s="12" t="n">
        <v>93.265</v>
      </c>
      <c r="F23" s="12" t="n">
        <v>72.178</v>
      </c>
      <c r="G23" s="12" t="n">
        <v>66.27800000000001</v>
      </c>
      <c r="H23" s="11" t="n">
        <v>251.32</v>
      </c>
      <c r="I23" s="12" t="n">
        <v>119.423</v>
      </c>
      <c r="J23" s="12" t="n">
        <v>270.29</v>
      </c>
      <c r="K23" s="12" t="n">
        <v>143.793</v>
      </c>
      <c r="L23" s="12" t="n">
        <v>66.27800000000001</v>
      </c>
    </row>
    <row r="24">
      <c r="A24" s="18" t="inlineStr">
        <is>
          <t>장기차입금</t>
        </is>
      </c>
      <c r="B24" s="10" t="n"/>
      <c r="C24" s="19" t="n">
        <v>108.426</v>
      </c>
      <c r="D24" s="20" t="n">
        <v>82.602</v>
      </c>
      <c r="E24" s="20" t="n">
        <v>56.698</v>
      </c>
      <c r="F24" s="20" t="n">
        <v>35.026</v>
      </c>
      <c r="G24" s="20" t="n">
        <v>30.028</v>
      </c>
      <c r="H24" s="19" t="n">
        <v>192.731</v>
      </c>
      <c r="I24" s="20" t="n">
        <v>86.24299999999999</v>
      </c>
      <c r="J24" s="20" t="n">
        <v>238.849</v>
      </c>
      <c r="K24" s="20" t="n">
        <v>108.426</v>
      </c>
      <c r="L24" s="20" t="n">
        <v>30.028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1100.25</v>
      </c>
      <c r="D27" s="12" t="n">
        <v>740.21</v>
      </c>
      <c r="E27" s="12" t="n">
        <v>749.809</v>
      </c>
      <c r="F27" s="12" t="n">
        <v>670.941</v>
      </c>
      <c r="G27" s="12" t="n">
        <v>660.936</v>
      </c>
      <c r="H27" s="11" t="n">
        <v>960.592</v>
      </c>
      <c r="I27" s="12" t="n">
        <v>727.923</v>
      </c>
      <c r="J27" s="12" t="n">
        <v>803.622</v>
      </c>
      <c r="K27" s="12" t="n">
        <v>1100.25</v>
      </c>
      <c r="L27" s="12" t="n">
        <v>660.936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4121.824</v>
      </c>
      <c r="D31" s="12" t="n">
        <v>4125.556</v>
      </c>
      <c r="E31" s="12" t="n">
        <v>4296.916</v>
      </c>
      <c r="F31" s="12" t="n">
        <v>4376.023</v>
      </c>
      <c r="G31" s="12" t="n">
        <v>4416.124</v>
      </c>
      <c r="H31" s="11" t="n">
        <v>3201.181</v>
      </c>
      <c r="I31" s="12" t="n">
        <v>3929.491</v>
      </c>
      <c r="J31" s="12" t="n">
        <v>3850.45</v>
      </c>
      <c r="K31" s="12" t="n">
        <v>4121.824</v>
      </c>
      <c r="L31" s="12" t="n">
        <v>4416.124</v>
      </c>
    </row>
    <row r="32">
      <c r="A32" s="18" t="inlineStr">
        <is>
          <t>자본금</t>
        </is>
      </c>
      <c r="B32" s="10" t="n"/>
      <c r="C32" s="19" t="n">
        <v>1774.543</v>
      </c>
      <c r="D32" s="20" t="n">
        <v>1774.543</v>
      </c>
      <c r="E32" s="20" t="n">
        <v>1774.568</v>
      </c>
      <c r="F32" s="20" t="n">
        <v>1774.568</v>
      </c>
      <c r="G32" s="20" t="n">
        <v>1774.79</v>
      </c>
      <c r="H32" s="19" t="n">
        <v>1511.039</v>
      </c>
      <c r="I32" s="20" t="n">
        <v>1767.52</v>
      </c>
      <c r="J32" s="20" t="n">
        <v>1772.244</v>
      </c>
      <c r="K32" s="20" t="n">
        <v>1774.543</v>
      </c>
      <c r="L32" s="20" t="n">
        <v>1774.79</v>
      </c>
    </row>
    <row r="33">
      <c r="A33" s="18" t="inlineStr">
        <is>
          <t>이익잉여금</t>
        </is>
      </c>
      <c r="B33" s="10" t="n"/>
      <c r="C33" s="19" t="n">
        <v>821.244</v>
      </c>
      <c r="D33" s="20" t="n">
        <v>794.876</v>
      </c>
      <c r="E33" s="20" t="n">
        <v>950.141</v>
      </c>
      <c r="F33" s="20" t="n">
        <v>1018.259</v>
      </c>
      <c r="G33" s="20" t="n">
        <v>1087.589</v>
      </c>
      <c r="H33" s="19" t="n">
        <v>186.62</v>
      </c>
      <c r="I33" s="20" t="n">
        <v>402.659</v>
      </c>
      <c r="J33" s="20" t="n">
        <v>414.192</v>
      </c>
      <c r="K33" s="20" t="n">
        <v>821.244</v>
      </c>
      <c r="L33" s="20" t="n">
        <v>1087.589</v>
      </c>
    </row>
    <row r="34">
      <c r="A34" s="18" t="inlineStr">
        <is>
          <t>비지배지분</t>
        </is>
      </c>
      <c r="B34" s="10" t="n"/>
      <c r="C34" s="19" t="n"/>
      <c r="D34" s="20" t="n"/>
      <c r="E34" s="20" t="n"/>
      <c r="F34" s="20" t="n"/>
      <c r="G34" s="20" t="n"/>
      <c r="H34" s="19" t="n"/>
      <c r="I34" s="20" t="n"/>
      <c r="J34" s="20" t="n">
        <v>0</v>
      </c>
      <c r="K34" s="20" t="n"/>
      <c r="L34" s="20" t="n"/>
    </row>
    <row r="35">
      <c r="A35" s="9" t="inlineStr">
        <is>
          <t>자본총계</t>
        </is>
      </c>
      <c r="B35" s="10" t="n"/>
      <c r="C35" s="11" t="n">
        <v>4145.177</v>
      </c>
      <c r="D35" s="12" t="n">
        <v>4150.963</v>
      </c>
      <c r="E35" s="12" t="n">
        <v>4323.986</v>
      </c>
      <c r="F35" s="12" t="n">
        <v>4405.709</v>
      </c>
      <c r="G35" s="12" t="n">
        <v>4448.425</v>
      </c>
      <c r="H35" s="11" t="n">
        <v>3209.349</v>
      </c>
      <c r="I35" s="12" t="n">
        <v>3943.626</v>
      </c>
      <c r="J35" s="12" t="n">
        <v>3872.38</v>
      </c>
      <c r="K35" s="12" t="n">
        <v>4145.177</v>
      </c>
      <c r="L35" s="12" t="n">
        <v>4448.425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844.388</v>
      </c>
      <c r="D37" s="12" t="n"/>
      <c r="E37" s="12" t="n">
        <v>455.07</v>
      </c>
      <c r="F37" s="12" t="n"/>
      <c r="G37" s="12" t="n">
        <v>182.882</v>
      </c>
      <c r="H37" s="11" t="n">
        <v>410.646</v>
      </c>
      <c r="I37" s="12" t="n">
        <v>78.666</v>
      </c>
      <c r="J37" s="12" t="n">
        <v>-57.122</v>
      </c>
      <c r="K37" s="12" t="n">
        <v>844.388</v>
      </c>
      <c r="L37" s="12" t="n">
        <v>182.882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>
        <v>2.324</v>
      </c>
      <c r="D38" s="20" t="n"/>
      <c r="E38" s="20" t="n">
        <v>2.192</v>
      </c>
      <c r="F38" s="20" t="n"/>
      <c r="G38" s="20" t="n">
        <v>41.971</v>
      </c>
      <c r="H38" s="19" t="n">
        <v>15.073</v>
      </c>
      <c r="I38" s="20" t="n">
        <v>2.113</v>
      </c>
      <c r="J38" s="20" t="n">
        <v>13.067</v>
      </c>
      <c r="K38" s="20" t="n">
        <v>2.324</v>
      </c>
      <c r="L38" s="20" t="n">
        <v>41.971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>
        <v>0</v>
      </c>
      <c r="D40" s="20" t="n"/>
      <c r="E40" s="20" t="n">
        <v>81.68899999999999</v>
      </c>
      <c r="F40" s="20" t="n"/>
      <c r="G40" s="20" t="n">
        <v>86.934</v>
      </c>
      <c r="H40" s="19" t="n"/>
      <c r="I40" s="20" t="n"/>
      <c r="J40" s="20" t="n"/>
      <c r="K40" s="20" t="n">
        <v>0</v>
      </c>
      <c r="L40" s="20" t="n">
        <v>86.934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4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4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4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4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4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4" t="inlineStr">
        <is>
          <t>이자보상배율</t>
        </is>
      </c>
      <c r="B48" s="10" t="inlineStr">
        <is>
          <t>5x↑ (금융원가 기준)</t>
        </is>
      </c>
      <c r="C48" s="30">
        <f>IFERROR((IF(COUNT('연간'!G22:J22)&lt;4,"",SUM('연간'!G22:J22)))/(IF(COUNT('연간'!G44:J44)&lt;4,"",SUM('연간'!G44:J44))),"")</f>
        <v/>
      </c>
      <c r="D48" s="31">
        <f>IFERROR((IF(COUNT('연간'!H22:K22)&lt;4,"",SUM('연간'!H22:K22)))/(IF(COUNT('연간'!H44:K44)&lt;4,"",SUM('연간'!H44:K44))),"")</f>
        <v/>
      </c>
      <c r="E48" s="31">
        <f>IFERROR((IF(COUNT('연간'!I22:L22)&lt;4,"",SUM('연간'!I22:L22)))/(IF(COUNT('연간'!I44:L44)&lt;4,"",SUM('연간'!I44:L44))),"")</f>
        <v/>
      </c>
      <c r="F48" s="31">
        <f>IFERROR((IF(COUNT('연간'!J22:M22)&lt;4,"",SUM('연간'!J22:M22)))/(IF(COUNT('연간'!J44:M44)&lt;4,"",SUM('연간'!J44:M44))),"")</f>
        <v/>
      </c>
      <c r="G48" s="31">
        <f>IFERROR((IF(COUNT('연간'!K22:N22)&lt;4,"",SUM('연간'!K22:N22)))/(IF(COUNT('연간'!K44:N44)&lt;4,"",SUM('연간'!K44:N44))),"")</f>
        <v/>
      </c>
      <c r="H48" s="30">
        <f>IFERROR(('연간'!T22)/('연간'!T44),"")</f>
        <v/>
      </c>
      <c r="I48" s="31">
        <f>IFERROR(('연간'!U22)/('연간'!U44),"")</f>
        <v/>
      </c>
      <c r="J48" s="31">
        <f>IFERROR(('연간'!V22)/('연간'!V44),"")</f>
        <v/>
      </c>
      <c r="K48" s="31">
        <f>IFERROR(('연간'!W22)/('연간'!W44),"")</f>
        <v/>
      </c>
      <c r="L48" s="31">
        <f>IFERROR(('연간'!X22)/('연간'!X44),"")</f>
        <v/>
      </c>
    </row>
    <row r="49">
      <c r="A49" s="44" t="inlineStr">
        <is>
          <t>차입금 상환연수</t>
        </is>
      </c>
      <c r="B49" s="10" t="inlineStr">
        <is>
          <t>4년↓ (버핏)</t>
        </is>
      </c>
      <c r="C49" s="45">
        <f>IFERROR(IF((IF(COUNT('연간'!G50:J50)&lt;4,"",SUM('연간'!G50:J50)))&lt;=0,"적자",C28/(IF(COUNT('연간'!G50:J50)&lt;4,"",SUM('연간'!G50:J50)))),"")</f>
        <v/>
      </c>
      <c r="D49" s="46">
        <f>IFERROR(IF((IF(COUNT('연간'!H50:K50)&lt;4,"",SUM('연간'!H50:K50)))&lt;=0,"적자",D28/(IF(COUNT('연간'!H50:K50)&lt;4,"",SUM('연간'!H50:K50)))),"")</f>
        <v/>
      </c>
      <c r="E49" s="46">
        <f>IFERROR(IF((IF(COUNT('연간'!I50:L50)&lt;4,"",SUM('연간'!I50:L50)))&lt;=0,"적자",E28/(IF(COUNT('연간'!I50:L50)&lt;4,"",SUM('연간'!I50:L50)))),"")</f>
        <v/>
      </c>
      <c r="F49" s="46">
        <f>IFERROR(IF((IF(COUNT('연간'!J50:M50)&lt;4,"",SUM('연간'!J50:M50)))&lt;=0,"적자",F28/(IF(COUNT('연간'!J50:M50)&lt;4,"",SUM('연간'!J50:M50)))),"")</f>
        <v/>
      </c>
      <c r="G49" s="46">
        <f>IFERROR(IF((IF(COUNT('연간'!K50:N50)&lt;4,"",SUM('연간'!K50:N50)))&lt;=0,"적자",G28/(IF(COUNT('연간'!K50:N50)&lt;4,"",SUM('연간'!K50:N50)))),"")</f>
        <v/>
      </c>
      <c r="H49" s="45">
        <f>IFERROR(IF(('연간'!T50)&lt;=0,"적자",H28/('연간'!T50)),"")</f>
        <v/>
      </c>
      <c r="I49" s="46">
        <f>IFERROR(IF(('연간'!U50)&lt;=0,"적자",I28/('연간'!U50)),"")</f>
        <v/>
      </c>
      <c r="J49" s="46">
        <f>IFERROR(IF(('연간'!V50)&lt;=0,"적자",J28/('연간'!V50)),"")</f>
        <v/>
      </c>
      <c r="K49" s="46">
        <f>IFERROR(IF(('연간'!W50)&lt;=0,"적자",K28/('연간'!W50)),"")</f>
        <v/>
      </c>
      <c r="L49" s="46">
        <f>IFERROR(IF(('연간'!X50)&lt;=0,"적자",L28/('연간'!X50)),"")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4" t="inlineStr">
        <is>
          <t>ROE</t>
        </is>
      </c>
      <c r="B51" s="10" t="inlineStr">
        <is>
          <t>15%↑ (버핏)</t>
        </is>
      </c>
      <c r="C51" s="35">
        <f>IFERROR((IF(COUNT('연간'!G50:J50)&lt;4,"",SUM('연간'!G50:J50)))/C31,"")</f>
        <v/>
      </c>
      <c r="D51" s="36">
        <f>IFERROR((IF(COUNT('연간'!H50:K50)&lt;4,"",SUM('연간'!H50:K50)))/D31,"")</f>
        <v/>
      </c>
      <c r="E51" s="36">
        <f>IFERROR((IF(COUNT('연간'!I50:L50)&lt;4,"",SUM('연간'!I50:L50)))/E31,"")</f>
        <v/>
      </c>
      <c r="F51" s="36">
        <f>IFERROR((IF(COUNT('연간'!J50:M50)&lt;4,"",SUM('연간'!J50:M50)))/F31,"")</f>
        <v/>
      </c>
      <c r="G51" s="36">
        <f>IFERROR((IF(COUNT('연간'!K50:N50)&lt;4,"",SUM('연간'!K50:N50)))/G31,"")</f>
        <v/>
      </c>
      <c r="H51" s="35">
        <f>IFERROR(('연간'!T50)/H31,"")</f>
        <v/>
      </c>
      <c r="I51" s="36">
        <f>IFERROR(('연간'!U50)/I31,"")</f>
        <v/>
      </c>
      <c r="J51" s="36">
        <f>IFERROR(('연간'!V50)/J31,"")</f>
        <v/>
      </c>
      <c r="K51" s="36">
        <f>IFERROR(('연간'!W50)/K31,"")</f>
        <v/>
      </c>
      <c r="L51" s="36">
        <f>IFERROR(('연간'!X50)/L31,"")</f>
        <v/>
      </c>
    </row>
    <row r="52">
      <c r="A52" s="44" t="inlineStr">
        <is>
          <t>ROA</t>
        </is>
      </c>
      <c r="B52" s="10" t="inlineStr">
        <is>
          <t>5%↑</t>
        </is>
      </c>
      <c r="C52" s="35">
        <f>IFERROR((IF(COUNT('연간'!G49:J49)&lt;4,"",SUM('연간'!G49:J49)))/C16,"")</f>
        <v/>
      </c>
      <c r="D52" s="36">
        <f>IFERROR((IF(COUNT('연간'!H49:K49)&lt;4,"",SUM('연간'!H49:K49)))/D16,"")</f>
        <v/>
      </c>
      <c r="E52" s="36">
        <f>IFERROR((IF(COUNT('연간'!I49:L49)&lt;4,"",SUM('연간'!I49:L49)))/E16,"")</f>
        <v/>
      </c>
      <c r="F52" s="36">
        <f>IFERROR((IF(COUNT('연간'!J49:M49)&lt;4,"",SUM('연간'!J49:M49)))/F16,"")</f>
        <v/>
      </c>
      <c r="G52" s="36">
        <f>IFERROR((IF(COUNT('연간'!K49:N49)&lt;4,"",SUM('연간'!K49:N49)))/G16,"")</f>
        <v/>
      </c>
      <c r="H52" s="35">
        <f>IFERROR(('연간'!T49)/H16,"")</f>
        <v/>
      </c>
      <c r="I52" s="36">
        <f>IFERROR(('연간'!U49)/I16,"")</f>
        <v/>
      </c>
      <c r="J52" s="36">
        <f>IFERROR(('연간'!V49)/J16,"")</f>
        <v/>
      </c>
      <c r="K52" s="36">
        <f>IFERROR(('연간'!W49)/K16,"")</f>
        <v/>
      </c>
      <c r="L52" s="36">
        <f>IFERROR(('연간'!X49)/L16,"")</f>
        <v/>
      </c>
    </row>
    <row r="53">
      <c r="A53" s="44" t="inlineStr">
        <is>
          <t>ROIC</t>
        </is>
      </c>
      <c r="B53" s="10" t="inlineStr">
        <is>
          <t>10%↑ (세후영업이익 기준)</t>
        </is>
      </c>
      <c r="C53" s="35">
        <f>IFERROR((IF(COUNT('연간'!G22:J22)&lt;4,"",SUM('연간'!G22:J22)))*(1-0.3)/(C35+C29),"")</f>
        <v/>
      </c>
      <c r="D53" s="36">
        <f>IFERROR((IF(COUNT('연간'!H22:K22)&lt;4,"",SUM('연간'!H22:K22)))*(1-0.3)/(D35+D29),"")</f>
        <v/>
      </c>
      <c r="E53" s="36">
        <f>IFERROR((IF(COUNT('연간'!I22:L22)&lt;4,"",SUM('연간'!I22:L22)))*(1-0.3)/(E35+E29),"")</f>
        <v/>
      </c>
      <c r="F53" s="36">
        <f>IFERROR((IF(COUNT('연간'!J22:M22)&lt;4,"",SUM('연간'!J22:M22)))*(1-0.3)/(F35+F29),"")</f>
        <v/>
      </c>
      <c r="G53" s="36">
        <f>IFERROR((IF(COUNT('연간'!K22:N22)&lt;4,"",SUM('연간'!K22:N22)))*(1-0.3)/(G35+G29),"")</f>
        <v/>
      </c>
      <c r="H53" s="35">
        <f>IFERROR(('연간'!T22)*(1-0.3)/(H35+H29),"")</f>
        <v/>
      </c>
      <c r="I53" s="36">
        <f>IFERROR(('연간'!U22)*(1-0.3)/(I35+I29),"")</f>
        <v/>
      </c>
      <c r="J53" s="36">
        <f>IFERROR(('연간'!V22)*(1-0.3)/(J35+J29),"")</f>
        <v/>
      </c>
      <c r="K53" s="36">
        <f>IFERROR(('연간'!W22)*(1-0.3)/(K35+K29),"")</f>
        <v/>
      </c>
      <c r="L53" s="36">
        <f>IFERROR(('연간'!X22)*(1-0.3)/(L35+L29),"")</f>
        <v/>
      </c>
    </row>
    <row r="54">
      <c r="A54" s="44" t="inlineStr">
        <is>
          <t>매출총이익률 (GPM)</t>
        </is>
      </c>
      <c r="B54" s="10" t="inlineStr">
        <is>
          <t>40%↑ (해자 신호)</t>
        </is>
      </c>
      <c r="C54" s="35">
        <f>IFERROR((IF(COUNT('연간'!G18:J18)&lt;4,"",SUM('연간'!G18:J18)))/(IF(COUNT('연간'!G4:J4)&lt;4,"",SUM('연간'!G4:J4))),"")</f>
        <v/>
      </c>
      <c r="D54" s="36">
        <f>IFERROR((IF(COUNT('연간'!H18:K18)&lt;4,"",SUM('연간'!H18:K18)))/(IF(COUNT('연간'!H4:K4)&lt;4,"",SUM('연간'!H4:K4))),"")</f>
        <v/>
      </c>
      <c r="E54" s="36">
        <f>IFERROR((IF(COUNT('연간'!I18:L18)&lt;4,"",SUM('연간'!I18:L18)))/(IF(COUNT('연간'!I4:L4)&lt;4,"",SUM('연간'!I4:L4))),"")</f>
        <v/>
      </c>
      <c r="F54" s="36">
        <f>IFERROR((IF(COUNT('연간'!J18:M18)&lt;4,"",SUM('연간'!J18:M18)))/(IF(COUNT('연간'!J4:M4)&lt;4,"",SUM('연간'!J4:M4))),"")</f>
        <v/>
      </c>
      <c r="G54" s="36">
        <f>IFERROR((IF(COUNT('연간'!K18:N18)&lt;4,"",SUM('연간'!K18:N18)))/(IF(COUNT('연간'!K4:N4)&lt;4,"",SUM('연간'!K4:N4))),"")</f>
        <v/>
      </c>
      <c r="H54" s="35">
        <f>IFERROR(('연간'!T18)/('연간'!T4),"")</f>
        <v/>
      </c>
      <c r="I54" s="36">
        <f>IFERROR(('연간'!U18)/('연간'!U4),"")</f>
        <v/>
      </c>
      <c r="J54" s="36">
        <f>IFERROR(('연간'!V18)/('연간'!V4),"")</f>
        <v/>
      </c>
      <c r="K54" s="36">
        <f>IFERROR(('연간'!W18)/('연간'!W4),"")</f>
        <v/>
      </c>
      <c r="L54" s="36">
        <f>IFERROR(('연간'!X18)/('연간'!X4),"")</f>
        <v/>
      </c>
    </row>
    <row r="55">
      <c r="A55" s="44" t="inlineStr">
        <is>
          <t>영업이익률 (OPM)</t>
        </is>
      </c>
      <c r="B55" s="10" t="inlineStr">
        <is>
          <t>15%↑</t>
        </is>
      </c>
      <c r="C55" s="35">
        <f>IFERROR((IF(COUNT('연간'!G22:J22)&lt;4,"",SUM('연간'!G22:J22)))/(IF(COUNT('연간'!G4:J4)&lt;4,"",SUM('연간'!G4:J4))),"")</f>
        <v/>
      </c>
      <c r="D55" s="36">
        <f>IFERROR((IF(COUNT('연간'!H22:K22)&lt;4,"",SUM('연간'!H22:K22)))/(IF(COUNT('연간'!H4:K4)&lt;4,"",SUM('연간'!H4:K4))),"")</f>
        <v/>
      </c>
      <c r="E55" s="36">
        <f>IFERROR((IF(COUNT('연간'!I22:L22)&lt;4,"",SUM('연간'!I22:L22)))/(IF(COUNT('연간'!I4:L4)&lt;4,"",SUM('연간'!I4:L4))),"")</f>
        <v/>
      </c>
      <c r="F55" s="36">
        <f>IFERROR((IF(COUNT('연간'!J22:M22)&lt;4,"",SUM('연간'!J22:M22)))/(IF(COUNT('연간'!J4:M4)&lt;4,"",SUM('연간'!J4:M4))),"")</f>
        <v/>
      </c>
      <c r="G55" s="36">
        <f>IFERROR((IF(COUNT('연간'!K22:N22)&lt;4,"",SUM('연간'!K22:N22)))/(IF(COUNT('연간'!K4:N4)&lt;4,"",SUM('연간'!K4:N4))),"")</f>
        <v/>
      </c>
      <c r="H55" s="35">
        <f>IFERROR(('연간'!T22)/('연간'!T4),"")</f>
        <v/>
      </c>
      <c r="I55" s="36">
        <f>IFERROR(('연간'!U22)/('연간'!U4),"")</f>
        <v/>
      </c>
      <c r="J55" s="36">
        <f>IFERROR(('연간'!V22)/('연간'!V4),"")</f>
        <v/>
      </c>
      <c r="K55" s="36">
        <f>IFERROR(('연간'!W22)/('연간'!W4),"")</f>
        <v/>
      </c>
      <c r="L55" s="36">
        <f>IFERROR(('연간'!X22)/('연간'!X4),"")</f>
        <v/>
      </c>
    </row>
    <row r="56">
      <c r="A56" s="44" t="inlineStr">
        <is>
          <t>순이익률</t>
        </is>
      </c>
      <c r="B56" s="10" t="inlineStr">
        <is>
          <t>10%↑</t>
        </is>
      </c>
      <c r="C56" s="35">
        <f>IFERROR((IF(COUNT('연간'!G49:J49)&lt;4,"",SUM('연간'!G49:J49)))/(IF(COUNT('연간'!G4:J4)&lt;4,"",SUM('연간'!G4:J4))),"")</f>
        <v/>
      </c>
      <c r="D56" s="36">
        <f>IFERROR((IF(COUNT('연간'!H49:K49)&lt;4,"",SUM('연간'!H49:K49)))/(IF(COUNT('연간'!H4:K4)&lt;4,"",SUM('연간'!H4:K4))),"")</f>
        <v/>
      </c>
      <c r="E56" s="36">
        <f>IFERROR((IF(COUNT('연간'!I49:L49)&lt;4,"",SUM('연간'!I49:L49)))/(IF(COUNT('연간'!I4:L4)&lt;4,"",SUM('연간'!I4:L4))),"")</f>
        <v/>
      </c>
      <c r="F56" s="36">
        <f>IFERROR((IF(COUNT('연간'!J49:M49)&lt;4,"",SUM('연간'!J49:M49)))/(IF(COUNT('연간'!J4:M4)&lt;4,"",SUM('연간'!J4:M4))),"")</f>
        <v/>
      </c>
      <c r="G56" s="36">
        <f>IFERROR((IF(COUNT('연간'!K49:N49)&lt;4,"",SUM('연간'!K49:N49)))/(IF(COUNT('연간'!K4:N4)&lt;4,"",SUM('연간'!K4:N4))),"")</f>
        <v/>
      </c>
      <c r="H56" s="35">
        <f>IFERROR(('연간'!T49)/('연간'!T4),"")</f>
        <v/>
      </c>
      <c r="I56" s="36">
        <f>IFERROR(('연간'!U49)/('연간'!U4),"")</f>
        <v/>
      </c>
      <c r="J56" s="36">
        <f>IFERROR(('연간'!V49)/('연간'!V4),"")</f>
        <v/>
      </c>
      <c r="K56" s="36">
        <f>IFERROR(('연간'!W49)/('연간'!W4),"")</f>
        <v/>
      </c>
      <c r="L56" s="36">
        <f>IFERROR(('연간'!X49)/('연간'!X4),"")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4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4" t="inlineStr">
        <is>
          <t>매출채권회전일수</t>
        </is>
      </c>
      <c r="B59" s="10" t="inlineStr">
        <is>
          <t>짧을수록↑</t>
        </is>
      </c>
      <c r="C59" s="47">
        <f>IFERROR(C8/(IF(COUNT('연간'!G4:J4)&lt;4,"",SUM('연간'!G4:J4)))*365,"")</f>
        <v/>
      </c>
      <c r="D59" s="48">
        <f>IFERROR(D8/(IF(COUNT('연간'!H4:K4)&lt;4,"",SUM('연간'!H4:K4)))*365,"")</f>
        <v/>
      </c>
      <c r="E59" s="48">
        <f>IFERROR(E8/(IF(COUNT('연간'!I4:L4)&lt;4,"",SUM('연간'!I4:L4)))*365,"")</f>
        <v/>
      </c>
      <c r="F59" s="48">
        <f>IFERROR(F8/(IF(COUNT('연간'!J4:M4)&lt;4,"",SUM('연간'!J4:M4)))*365,"")</f>
        <v/>
      </c>
      <c r="G59" s="48">
        <f>IFERROR(G8/(IF(COUNT('연간'!K4:N4)&lt;4,"",SUM('연간'!K4:N4)))*365,"")</f>
        <v/>
      </c>
      <c r="H59" s="47">
        <f>IFERROR(H8/('연간'!T4)*365,"")</f>
        <v/>
      </c>
      <c r="I59" s="48">
        <f>IFERROR(I8/('연간'!U4)*365,"")</f>
        <v/>
      </c>
      <c r="J59" s="48">
        <f>IFERROR(J8/('연간'!V4)*365,"")</f>
        <v/>
      </c>
      <c r="K59" s="48">
        <f>IFERROR(K8/('연간'!W4)*365,"")</f>
        <v/>
      </c>
      <c r="L59" s="48">
        <f>IFERROR(L8/('연간'!X4)*365,"")</f>
        <v/>
      </c>
    </row>
    <row r="60">
      <c r="A60" s="44" t="inlineStr">
        <is>
          <t>재고자산회전일수</t>
        </is>
      </c>
      <c r="B60" s="10" t="inlineStr">
        <is>
          <t>짧을수록↑</t>
        </is>
      </c>
      <c r="C60" s="47">
        <f>IFERROR(C9/(IF(COUNT('연간'!G17:J17)&lt;4,"",SUM('연간'!G17:J17)))*365,"")</f>
        <v/>
      </c>
      <c r="D60" s="48">
        <f>IFERROR(D9/(IF(COUNT('연간'!H17:K17)&lt;4,"",SUM('연간'!H17:K17)))*365,"")</f>
        <v/>
      </c>
      <c r="E60" s="48">
        <f>IFERROR(E9/(IF(COUNT('연간'!I17:L17)&lt;4,"",SUM('연간'!I17:L17)))*365,"")</f>
        <v/>
      </c>
      <c r="F60" s="48">
        <f>IFERROR(F9/(IF(COUNT('연간'!J17:M17)&lt;4,"",SUM('연간'!J17:M17)))*365,"")</f>
        <v/>
      </c>
      <c r="G60" s="48">
        <f>IFERROR(G9/(IF(COUNT('연간'!K17:N17)&lt;4,"",SUM('연간'!K17:N17)))*365,"")</f>
        <v/>
      </c>
      <c r="H60" s="47">
        <f>IFERROR(H9/('연간'!T17)*365,"")</f>
        <v/>
      </c>
      <c r="I60" s="48">
        <f>IFERROR(I9/('연간'!U17)*365,"")</f>
        <v/>
      </c>
      <c r="J60" s="48">
        <f>IFERROR(J9/('연간'!V17)*365,"")</f>
        <v/>
      </c>
      <c r="K60" s="48">
        <f>IFERROR(K9/('연간'!W17)*365,"")</f>
        <v/>
      </c>
      <c r="L60" s="48">
        <f>IFERROR(L9/('연간'!X17)*365,"")</f>
        <v/>
      </c>
    </row>
    <row r="61">
      <c r="A61" s="44" t="inlineStr">
        <is>
          <t>매입채무회전일수</t>
        </is>
      </c>
      <c r="B61" s="10" t="inlineStr">
        <is>
          <t>길수록 유리</t>
        </is>
      </c>
      <c r="C61" s="47">
        <f>IFERROR(C19/(IF(COUNT('연간'!G17:J17)&lt;4,"",SUM('연간'!G17:J17)))*365,"")</f>
        <v/>
      </c>
      <c r="D61" s="48">
        <f>IFERROR(D19/(IF(COUNT('연간'!H17:K17)&lt;4,"",SUM('연간'!H17:K17)))*365,"")</f>
        <v/>
      </c>
      <c r="E61" s="48">
        <f>IFERROR(E19/(IF(COUNT('연간'!I17:L17)&lt;4,"",SUM('연간'!I17:L17)))*365,"")</f>
        <v/>
      </c>
      <c r="F61" s="48">
        <f>IFERROR(F19/(IF(COUNT('연간'!J17:M17)&lt;4,"",SUM('연간'!J17:M17)))*365,"")</f>
        <v/>
      </c>
      <c r="G61" s="48">
        <f>IFERROR(G19/(IF(COUNT('연간'!K17:N17)&lt;4,"",SUM('연간'!K17:N17)))*365,"")</f>
        <v/>
      </c>
      <c r="H61" s="47">
        <f>IFERROR(H19/('연간'!T17)*365,"")</f>
        <v/>
      </c>
      <c r="I61" s="48">
        <f>IFERROR(I19/('연간'!U17)*365,"")</f>
        <v/>
      </c>
      <c r="J61" s="48">
        <f>IFERROR(J19/('연간'!V17)*365,"")</f>
        <v/>
      </c>
      <c r="K61" s="48">
        <f>IFERROR(K19/('연간'!W17)*365,"")</f>
        <v/>
      </c>
      <c r="L61" s="48">
        <f>IFERROR(L19/('연간'!X17)*365,"")</f>
        <v/>
      </c>
    </row>
    <row r="62">
      <c r="A62" s="44" t="inlineStr">
        <is>
          <t>현금전환주기 (CCC)</t>
        </is>
      </c>
      <c r="B62" s="10" t="inlineStr">
        <is>
          <t>짧을수록↑</t>
        </is>
      </c>
      <c r="C62" s="47">
        <f>IF(OR(C59="",C60="",C61=""),"",IFERROR(C59+C60-C61,""))</f>
        <v/>
      </c>
      <c r="D62" s="48">
        <f>IF(OR(D59="",D60="",D61=""),"",IFERROR(D59+D60-D61,""))</f>
        <v/>
      </c>
      <c r="E62" s="48">
        <f>IF(OR(E59="",E60="",E61=""),"",IFERROR(E59+E60-E61,""))</f>
        <v/>
      </c>
      <c r="F62" s="48">
        <f>IF(OR(F59="",F60="",F61=""),"",IFERROR(F59+F60-F61,""))</f>
        <v/>
      </c>
      <c r="G62" s="48">
        <f>IF(OR(G59="",G60="",G61=""),"",IFERROR(G59+G60-G61,""))</f>
        <v/>
      </c>
      <c r="H62" s="47">
        <f>IF(OR(H59="",H60="",H61=""),"",IFERROR(H59+H60-H61,""))</f>
        <v/>
      </c>
      <c r="I62" s="48">
        <f>IF(OR(I59="",I60="",I61=""),"",IFERROR(I59+I60-I61,""))</f>
        <v/>
      </c>
      <c r="J62" s="48">
        <f>IF(OR(J59="",J60="",J61=""),"",IFERROR(J59+J60-J61,""))</f>
        <v/>
      </c>
      <c r="K62" s="48">
        <f>IF(OR(K59="",K60="",K61=""),"",IFERROR(K59+K60-K61,""))</f>
        <v/>
      </c>
      <c r="L62" s="48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4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IF(C37="","",IFERROR(C37/(IF(COUNT('연간'!G49:J49)&lt;4,"",SUM('연간'!G49:J49))),""))</f>
        <v/>
      </c>
      <c r="D64" s="31">
        <f>IF(D37="","",IFERROR(D37/(IF(COUNT('연간'!H49:K49)&lt;4,"",SUM('연간'!H49:K49))),""))</f>
        <v/>
      </c>
      <c r="E64" s="31">
        <f>IF(E37="","",IFERROR(E37/(IF(COUNT('연간'!I49:L49)&lt;4,"",SUM('연간'!I49:L49))),""))</f>
        <v/>
      </c>
      <c r="F64" s="31">
        <f>IF(F37="","",IFERROR(F37/(IF(COUNT('연간'!J49:M49)&lt;4,"",SUM('연간'!J49:M49))),""))</f>
        <v/>
      </c>
      <c r="G64" s="31">
        <f>IF(G37="","",IFERROR(G37/(IF(COUNT('연간'!K49:N49)&lt;4,"",SUM('연간'!K49:N49))),""))</f>
        <v/>
      </c>
      <c r="H64" s="30">
        <f>IF(H37="","",IFERROR(H37/('연간'!T49),""))</f>
        <v/>
      </c>
      <c r="I64" s="31">
        <f>IF(I37="","",IFERROR(I37/('연간'!U49),""))</f>
        <v/>
      </c>
      <c r="J64" s="31">
        <f>IF(J37="","",IFERROR(J37/('연간'!V49),""))</f>
        <v/>
      </c>
      <c r="K64" s="31">
        <f>IF(K37="","",IFERROR(K37/('연간'!W49),""))</f>
        <v/>
      </c>
      <c r="L64" s="31">
        <f>IF(L37="","",IFERROR(L37/('연간'!X49),""))</f>
        <v/>
      </c>
    </row>
    <row r="65">
      <c r="A65" s="44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4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4" t="inlineStr">
        <is>
          <t>배당성향</t>
        </is>
      </c>
      <c r="B67" s="10" t="inlineStr">
        <is>
          <t>참고</t>
        </is>
      </c>
      <c r="C67" s="35">
        <f>IF(C40="","",IFERROR(C40/(IF(COUNT('연간'!G50:J50)&lt;4,"",SUM('연간'!G50:J50))),""))</f>
        <v/>
      </c>
      <c r="D67" s="36">
        <f>IF(D40="","",IFERROR(D40/(IF(COUNT('연간'!H50:K50)&lt;4,"",SUM('연간'!H50:K50))),""))</f>
        <v/>
      </c>
      <c r="E67" s="36">
        <f>IF(E40="","",IFERROR(E40/(IF(COUNT('연간'!I50:L50)&lt;4,"",SUM('연간'!I50:L50))),""))</f>
        <v/>
      </c>
      <c r="F67" s="36">
        <f>IF(F40="","",IFERROR(F40/(IF(COUNT('연간'!J50:M50)&lt;4,"",SUM('연간'!J50:M50))),""))</f>
        <v/>
      </c>
      <c r="G67" s="36">
        <f>IF(G40="","",IFERROR(G40/(IF(COUNT('연간'!K50:N50)&lt;4,"",SUM('연간'!K50:N50))),""))</f>
        <v/>
      </c>
      <c r="H67" s="35">
        <f>IF(H40="","",IFERROR(H40/('연간'!T50),""))</f>
        <v/>
      </c>
      <c r="I67" s="36">
        <f>IF(I40="","",IFERROR(I40/('연간'!U50),""))</f>
        <v/>
      </c>
      <c r="J67" s="36">
        <f>IF(J40="","",IFERROR(J40/('연간'!V50),""))</f>
        <v/>
      </c>
      <c r="K67" s="36">
        <f>IF(K40="","",IFERROR(K40/('연간'!W50),""))</f>
        <v/>
      </c>
      <c r="L67" s="36">
        <f>IF(L40="","",IFERROR(L40/('연간'!X50),""))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2025.4Q</t>
        </is>
      </c>
      <c r="D70" s="5" t="inlineStr">
        <is>
          <t>2026.1Q</t>
        </is>
      </c>
      <c r="E70" s="5" t="inlineStr">
        <is>
          <t>2026.2Q</t>
        </is>
      </c>
      <c r="F70" s="5" t="inlineStr">
        <is>
          <t>2026.3Q</t>
        </is>
      </c>
      <c r="G70" s="5" t="inlineStr">
        <is>
          <t>2026.4Q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2733.133</v>
      </c>
      <c r="D71" s="20" t="n">
        <v>2324.083</v>
      </c>
      <c r="E71" s="20" t="n">
        <v>2477.059</v>
      </c>
      <c r="F71" s="20" t="n">
        <v>2591.98</v>
      </c>
      <c r="G71" s="20" t="n">
        <v>2534.557</v>
      </c>
      <c r="H71" s="20" t="n">
        <v>2910.461</v>
      </c>
      <c r="I71" s="20" t="n">
        <v>3273.786</v>
      </c>
      <c r="J71" s="20" t="n">
        <v>3275.145</v>
      </c>
      <c r="K71" s="20" t="n">
        <v>2733.133</v>
      </c>
      <c r="L71" s="20" t="n">
        <v>2534.557</v>
      </c>
    </row>
    <row r="72">
      <c r="A72" s="18" t="inlineStr">
        <is>
          <t>매출채권</t>
        </is>
      </c>
      <c r="H72" s="20" t="n">
        <v>0</v>
      </c>
    </row>
    <row r="73">
      <c r="A73" s="18" t="inlineStr">
        <is>
          <t>받을어음·매출채권·계약자산</t>
        </is>
      </c>
      <c r="I73" s="20" t="n">
        <v>455.68</v>
      </c>
    </row>
    <row r="74">
      <c r="A74" s="18" t="inlineStr">
        <is>
          <t>매출채권·계약자산</t>
        </is>
      </c>
      <c r="C74" s="20" t="n">
        <v>584.2619999999999</v>
      </c>
      <c r="D74" s="20" t="n">
        <v>592.246</v>
      </c>
      <c r="E74" s="20" t="n">
        <v>599.7910000000001</v>
      </c>
      <c r="F74" s="20" t="n">
        <v>441.424</v>
      </c>
      <c r="G74" s="20" t="n">
        <v>552.175</v>
      </c>
      <c r="H74" s="20" t="n">
        <v>348.971</v>
      </c>
      <c r="I74" s="20" t="n">
        <v>455.68</v>
      </c>
      <c r="J74" s="20" t="n">
        <v>427.708</v>
      </c>
      <c r="K74" s="20" t="n">
        <v>584.2619999999999</v>
      </c>
      <c r="L74" s="20" t="n">
        <v>552.175</v>
      </c>
    </row>
    <row r="75">
      <c r="A75" s="18" t="inlineStr">
        <is>
          <t>재공품</t>
        </is>
      </c>
      <c r="C75" s="20" t="n">
        <v>9.565</v>
      </c>
      <c r="D75" s="20" t="n">
        <v>10.178</v>
      </c>
      <c r="E75" s="20" t="n">
        <v>8.954000000000001</v>
      </c>
      <c r="F75" s="20" t="n">
        <v>16.552</v>
      </c>
      <c r="G75" s="20" t="n">
        <v>14.525</v>
      </c>
      <c r="H75" s="20" t="n">
        <v>1.752</v>
      </c>
      <c r="I75" s="20" t="n">
        <v>11.43</v>
      </c>
      <c r="J75" s="20" t="n">
        <v>2.884</v>
      </c>
      <c r="K75" s="20" t="n">
        <v>9.565</v>
      </c>
      <c r="L75" s="20" t="n">
        <v>14.525</v>
      </c>
    </row>
    <row r="76">
      <c r="A76" s="18" t="inlineStr">
        <is>
          <t>선급비용</t>
        </is>
      </c>
      <c r="C76" s="20" t="n">
        <v>55.483</v>
      </c>
      <c r="D76" s="20" t="n">
        <v>107.811</v>
      </c>
      <c r="E76" s="20" t="n">
        <v>93.485</v>
      </c>
      <c r="F76" s="20" t="n">
        <v>117.416</v>
      </c>
      <c r="G76" s="20" t="n">
        <v>89.04600000000001</v>
      </c>
      <c r="H76" s="20" t="n">
        <v>45.073</v>
      </c>
      <c r="I76" s="20" t="n">
        <v>49.252</v>
      </c>
      <c r="J76" s="20" t="n">
        <v>79.83</v>
      </c>
      <c r="K76" s="20" t="n">
        <v>55.483</v>
      </c>
      <c r="L76" s="20" t="n">
        <v>89.04600000000001</v>
      </c>
    </row>
    <row r="77">
      <c r="A77" s="18" t="inlineStr">
        <is>
          <t>미수 환급법인세</t>
        </is>
      </c>
      <c r="C77" s="20" t="n">
        <v>0.006</v>
      </c>
      <c r="D77" s="20" t="n">
        <v>0.006</v>
      </c>
      <c r="E77" s="20" t="n">
        <v>0</v>
      </c>
      <c r="F77" s="20" t="n">
        <v>24.157</v>
      </c>
      <c r="G77" s="20" t="n">
        <v>10.157</v>
      </c>
      <c r="I77" s="20" t="n">
        <v>0</v>
      </c>
      <c r="J77" s="20" t="n">
        <v>48.772</v>
      </c>
      <c r="K77" s="20" t="n">
        <v>0.006</v>
      </c>
      <c r="L77" s="20" t="n">
        <v>10.157</v>
      </c>
    </row>
    <row r="78">
      <c r="A78" s="18" t="inlineStr">
        <is>
          <t>예치금</t>
        </is>
      </c>
      <c r="C78" s="20" t="n">
        <v>0</v>
      </c>
      <c r="G78" s="20" t="n">
        <v>83.75</v>
      </c>
      <c r="J78" s="20" t="n">
        <v>0</v>
      </c>
      <c r="K78" s="20" t="n">
        <v>0</v>
      </c>
      <c r="L78" s="20" t="n">
        <v>83.75</v>
      </c>
    </row>
    <row r="79">
      <c r="A79" s="18" t="inlineStr">
        <is>
          <t>기타</t>
        </is>
      </c>
      <c r="C79" s="20" t="n">
        <v>13.247</v>
      </c>
      <c r="D79" s="20" t="n">
        <v>11.164</v>
      </c>
      <c r="E79" s="20" t="n">
        <v>24.92</v>
      </c>
      <c r="F79" s="20" t="n">
        <v>22.192</v>
      </c>
      <c r="G79" s="20" t="n">
        <v>24.25</v>
      </c>
      <c r="H79" s="20" t="n">
        <v>5.812</v>
      </c>
      <c r="I79" s="20" t="n">
        <v>9.689</v>
      </c>
      <c r="J79" s="20" t="n">
        <v>4.953</v>
      </c>
      <c r="K79" s="20" t="n">
        <v>13.247</v>
      </c>
      <c r="L79" s="20" t="n">
        <v>24.25</v>
      </c>
    </row>
    <row r="80">
      <c r="A80" s="18" t="inlineStr">
        <is>
          <t>대손충당금</t>
        </is>
      </c>
      <c r="C80" s="20" t="n">
        <v>0</v>
      </c>
      <c r="F80" s="20" t="n">
        <v>-0.132</v>
      </c>
      <c r="G80" s="20" t="n">
        <v>-0.33</v>
      </c>
      <c r="K80" s="20" t="n">
        <v>0</v>
      </c>
      <c r="L80" s="20" t="n">
        <v>-0.33</v>
      </c>
    </row>
    <row r="81">
      <c r="A81" s="9" t="inlineStr">
        <is>
          <t>유동자산 합계</t>
        </is>
      </c>
      <c r="C81" s="12" t="n">
        <v>3395.698</v>
      </c>
      <c r="D81" s="12" t="n">
        <v>3045.491</v>
      </c>
      <c r="E81" s="12" t="n">
        <v>3204.211</v>
      </c>
      <c r="F81" s="12" t="n">
        <v>3213.591</v>
      </c>
      <c r="G81" s="12" t="n">
        <v>3308.132</v>
      </c>
      <c r="H81" s="12" t="n">
        <v>3312.071</v>
      </c>
      <c r="I81" s="12" t="n">
        <v>3799.84</v>
      </c>
      <c r="J81" s="12" t="n">
        <v>3839.295</v>
      </c>
      <c r="K81" s="12" t="n">
        <v>3395.698</v>
      </c>
      <c r="L81" s="12" t="n">
        <v>3308.132</v>
      </c>
    </row>
    <row r="82">
      <c r="A82" s="18" t="inlineStr">
        <is>
          <t>건물</t>
        </is>
      </c>
      <c r="C82" s="20" t="n">
        <v>75.179</v>
      </c>
      <c r="D82" s="20" t="n">
        <v>75.179</v>
      </c>
      <c r="E82" s="20" t="n">
        <v>75.179</v>
      </c>
      <c r="F82" s="20" t="n">
        <v>75.179</v>
      </c>
      <c r="G82" s="20" t="n">
        <v>105.278</v>
      </c>
      <c r="H82" s="20" t="n">
        <v>68.76900000000001</v>
      </c>
      <c r="I82" s="20" t="n">
        <v>68.76900000000001</v>
      </c>
      <c r="J82" s="20" t="n">
        <v>75.179</v>
      </c>
      <c r="K82" s="20" t="n">
        <v>75.179</v>
      </c>
      <c r="L82" s="20" t="n">
        <v>105.278</v>
      </c>
    </row>
    <row r="83">
      <c r="A83" s="18" t="inlineStr">
        <is>
          <t>감가상각누계액</t>
        </is>
      </c>
      <c r="C83" s="20" t="n">
        <v>-42.101</v>
      </c>
      <c r="D83" s="20" t="n">
        <v>-43.371</v>
      </c>
      <c r="E83" s="20" t="n">
        <v>-46.945</v>
      </c>
      <c r="F83" s="20" t="n">
        <v>-50.315</v>
      </c>
      <c r="G83" s="20" t="n">
        <v>-44.652</v>
      </c>
      <c r="H83" s="20" t="n">
        <v>-27.242</v>
      </c>
      <c r="I83" s="20" t="n">
        <v>-31.972</v>
      </c>
      <c r="J83" s="20" t="n">
        <v>-37.019</v>
      </c>
      <c r="K83" s="20" t="n">
        <v>-42.101</v>
      </c>
      <c r="L83" s="20" t="n">
        <v>-44.652</v>
      </c>
    </row>
    <row r="84">
      <c r="A84" s="18" t="inlineStr">
        <is>
          <t>건물(순액)</t>
        </is>
      </c>
      <c r="C84" s="20" t="n">
        <v>33.078</v>
      </c>
      <c r="D84" s="20" t="n">
        <v>31.807</v>
      </c>
      <c r="E84" s="20" t="n">
        <v>28.233</v>
      </c>
      <c r="F84" s="20" t="n">
        <v>24.863</v>
      </c>
      <c r="G84" s="20" t="n">
        <v>60.626</v>
      </c>
      <c r="H84" s="20" t="n">
        <v>41.526</v>
      </c>
      <c r="I84" s="20" t="n">
        <v>36.796</v>
      </c>
      <c r="J84" s="20" t="n">
        <v>38.16</v>
      </c>
      <c r="K84" s="20" t="n">
        <v>33.078</v>
      </c>
      <c r="L84" s="20" t="n">
        <v>60.626</v>
      </c>
    </row>
    <row r="85">
      <c r="A85" s="18" t="inlineStr">
        <is>
          <t>공구·기구·비품</t>
        </is>
      </c>
      <c r="C85" s="20" t="n">
        <v>59.906</v>
      </c>
      <c r="D85" s="20" t="n">
        <v>60.837</v>
      </c>
      <c r="E85" s="20" t="n">
        <v>62.001</v>
      </c>
      <c r="F85" s="20" t="n">
        <v>61.565</v>
      </c>
      <c r="G85" s="20" t="n">
        <v>69.681</v>
      </c>
      <c r="H85" s="20" t="n">
        <v>89.729</v>
      </c>
      <c r="I85" s="20" t="n">
        <v>77.377</v>
      </c>
      <c r="J85" s="20" t="n">
        <v>81.55200000000001</v>
      </c>
      <c r="K85" s="20" t="n">
        <v>59.906</v>
      </c>
      <c r="L85" s="20" t="n">
        <v>69.681</v>
      </c>
    </row>
    <row r="86">
      <c r="A86" s="18" t="inlineStr">
        <is>
          <t>감가상각누계액</t>
        </is>
      </c>
      <c r="C86" s="20" t="n">
        <v>-52.652</v>
      </c>
      <c r="D86" s="20" t="n">
        <v>-53.393</v>
      </c>
      <c r="E86" s="20" t="n">
        <v>-54.367</v>
      </c>
      <c r="F86" s="20" t="n">
        <v>-54.991</v>
      </c>
      <c r="G86" s="20" t="n">
        <v>-57</v>
      </c>
      <c r="H86" s="20" t="n">
        <v>-71.437</v>
      </c>
      <c r="I86" s="20" t="n">
        <v>-67.414</v>
      </c>
      <c r="J86" s="20" t="n">
        <v>-71.834</v>
      </c>
      <c r="K86" s="20" t="n">
        <v>-52.652</v>
      </c>
      <c r="L86" s="20" t="n">
        <v>-57</v>
      </c>
    </row>
    <row r="87">
      <c r="A87" s="18" t="inlineStr">
        <is>
          <t>공구·기구·비품(순액)</t>
        </is>
      </c>
      <c r="C87" s="20" t="n">
        <v>7.254</v>
      </c>
      <c r="D87" s="20" t="n">
        <v>7.444</v>
      </c>
      <c r="E87" s="20" t="n">
        <v>7.634</v>
      </c>
      <c r="F87" s="20" t="n">
        <v>6.574</v>
      </c>
      <c r="G87" s="20" t="n">
        <v>12.681</v>
      </c>
      <c r="H87" s="20" t="n">
        <v>18.292</v>
      </c>
      <c r="I87" s="20" t="n">
        <v>9.962999999999999</v>
      </c>
      <c r="J87" s="20" t="n">
        <v>9.717000000000001</v>
      </c>
      <c r="K87" s="20" t="n">
        <v>7.254</v>
      </c>
      <c r="L87" s="20" t="n">
        <v>12.681</v>
      </c>
    </row>
    <row r="88">
      <c r="A88" s="18" t="inlineStr">
        <is>
          <t>사용권자산(순액)</t>
        </is>
      </c>
      <c r="H88" s="20" t="n">
        <v>0</v>
      </c>
    </row>
    <row r="89">
      <c r="A89" s="18" t="inlineStr">
        <is>
          <t>리스자산</t>
        </is>
      </c>
      <c r="C89" s="20" t="n">
        <v>9.68</v>
      </c>
      <c r="D89" s="20" t="n">
        <v>9.68</v>
      </c>
      <c r="E89" s="20" t="n">
        <v>9.68</v>
      </c>
      <c r="F89" s="20" t="n">
        <v>9.68</v>
      </c>
      <c r="G89" s="20" t="n">
        <v>9.68</v>
      </c>
      <c r="J89" s="20" t="n">
        <v>0</v>
      </c>
      <c r="K89" s="20" t="n">
        <v>9.68</v>
      </c>
      <c r="L89" s="20" t="n">
        <v>9.68</v>
      </c>
    </row>
    <row r="90">
      <c r="A90" s="18" t="inlineStr">
        <is>
          <t>감가상각누계액</t>
        </is>
      </c>
      <c r="C90" s="20" t="n">
        <v>-1.152</v>
      </c>
      <c r="D90" s="20" t="n">
        <v>-1.498</v>
      </c>
      <c r="E90" s="20" t="n">
        <v>-1.843</v>
      </c>
      <c r="F90" s="20" t="n">
        <v>-2.189</v>
      </c>
      <c r="G90" s="20" t="n">
        <v>-2.535</v>
      </c>
      <c r="J90" s="20" t="n">
        <v>0</v>
      </c>
      <c r="K90" s="20" t="n">
        <v>-1.152</v>
      </c>
      <c r="L90" s="20" t="n">
        <v>-2.535</v>
      </c>
    </row>
    <row r="91">
      <c r="A91" s="18" t="inlineStr">
        <is>
          <t>리스자산(순액)</t>
        </is>
      </c>
      <c r="C91" s="20" t="n">
        <v>8.526999999999999</v>
      </c>
      <c r="D91" s="20" t="n">
        <v>8.180999999999999</v>
      </c>
      <c r="E91" s="20" t="n">
        <v>7.836</v>
      </c>
      <c r="F91" s="20" t="n">
        <v>7.49</v>
      </c>
      <c r="G91" s="20" t="n">
        <v>7.144</v>
      </c>
      <c r="J91" s="20" t="n">
        <v>0</v>
      </c>
      <c r="K91" s="20" t="n">
        <v>8.526999999999999</v>
      </c>
      <c r="L91" s="20" t="n">
        <v>7.144</v>
      </c>
    </row>
    <row r="92">
      <c r="A92" s="18" t="inlineStr">
        <is>
          <t>유형자산 합계</t>
        </is>
      </c>
      <c r="C92" s="20" t="n">
        <v>48.86</v>
      </c>
      <c r="D92" s="20" t="n">
        <v>47.433</v>
      </c>
      <c r="E92" s="20" t="n">
        <v>43.704</v>
      </c>
      <c r="F92" s="20" t="n">
        <v>38.928</v>
      </c>
      <c r="G92" s="20" t="n">
        <v>80.452</v>
      </c>
      <c r="H92" s="20" t="n">
        <v>59.819</v>
      </c>
      <c r="I92" s="20" t="n">
        <v>46.76</v>
      </c>
      <c r="J92" s="20" t="n">
        <v>47.877</v>
      </c>
      <c r="K92" s="20" t="n">
        <v>48.86</v>
      </c>
      <c r="L92" s="20" t="n">
        <v>80.452</v>
      </c>
    </row>
    <row r="93">
      <c r="A93" s="18" t="inlineStr">
        <is>
          <t>상표권</t>
        </is>
      </c>
      <c r="C93" s="20" t="n">
        <v>1.247</v>
      </c>
      <c r="D93" s="20" t="n">
        <v>1.186</v>
      </c>
      <c r="E93" s="20" t="n">
        <v>1.125</v>
      </c>
      <c r="F93" s="20" t="n">
        <v>1.063</v>
      </c>
      <c r="G93" s="20" t="n">
        <v>1.002</v>
      </c>
      <c r="H93" s="20" t="n">
        <v>1.984</v>
      </c>
      <c r="I93" s="20" t="n">
        <v>1.738</v>
      </c>
      <c r="J93" s="20" t="n">
        <v>1.493</v>
      </c>
      <c r="K93" s="20" t="n">
        <v>1.247</v>
      </c>
      <c r="L93" s="20" t="n">
        <v>1.002</v>
      </c>
    </row>
    <row r="94">
      <c r="A94" s="18" t="inlineStr">
        <is>
          <t>영업권</t>
        </is>
      </c>
      <c r="C94" s="20" t="n">
        <v>349.07</v>
      </c>
      <c r="D94" s="20" t="n">
        <v>349.657</v>
      </c>
      <c r="E94" s="20" t="n">
        <v>331.586</v>
      </c>
      <c r="F94" s="20" t="n">
        <v>313.47</v>
      </c>
      <c r="G94" s="20" t="n">
        <v>285.603</v>
      </c>
      <c r="H94" s="20" t="n">
        <v>539.472</v>
      </c>
      <c r="I94" s="20" t="n">
        <v>476.005</v>
      </c>
      <c r="J94" s="20" t="n">
        <v>412.538</v>
      </c>
      <c r="K94" s="20" t="n">
        <v>349.07</v>
      </c>
      <c r="L94" s="20" t="n">
        <v>285.603</v>
      </c>
    </row>
    <row r="95">
      <c r="A95" s="18" t="inlineStr">
        <is>
          <t>고객관계자산</t>
        </is>
      </c>
      <c r="C95" s="20" t="n">
        <v>45.222</v>
      </c>
      <c r="D95" s="20" t="n">
        <v>43.166</v>
      </c>
      <c r="E95" s="20" t="n">
        <v>41.111</v>
      </c>
      <c r="F95" s="20" t="n">
        <v>39.055</v>
      </c>
      <c r="G95" s="20" t="n">
        <v>37</v>
      </c>
      <c r="H95" s="20" t="n">
        <v>69.88800000000001</v>
      </c>
      <c r="I95" s="20" t="n">
        <v>61.666</v>
      </c>
      <c r="J95" s="20" t="n">
        <v>53.444</v>
      </c>
      <c r="K95" s="20" t="n">
        <v>45.222</v>
      </c>
      <c r="L95" s="20" t="n">
        <v>37</v>
      </c>
    </row>
    <row r="96">
      <c r="A96" s="18" t="inlineStr">
        <is>
          <t>기타</t>
        </is>
      </c>
      <c r="H96" s="20" t="n">
        <v>0.096</v>
      </c>
      <c r="I96" s="20" t="n">
        <v>0.048</v>
      </c>
      <c r="J96" s="20" t="n">
        <v>0</v>
      </c>
    </row>
    <row r="97">
      <c r="A97" s="18" t="inlineStr">
        <is>
          <t>무형자산 합계</t>
        </is>
      </c>
      <c r="C97" s="20" t="n">
        <v>395.54</v>
      </c>
      <c r="D97" s="20" t="n">
        <v>394.011</v>
      </c>
      <c r="E97" s="20" t="n">
        <v>373.823</v>
      </c>
      <c r="F97" s="20" t="n">
        <v>353.589</v>
      </c>
      <c r="G97" s="20" t="n">
        <v>323.605</v>
      </c>
      <c r="H97" s="20" t="n">
        <v>611.441</v>
      </c>
      <c r="I97" s="20" t="n">
        <v>539.458</v>
      </c>
      <c r="J97" s="20" t="n">
        <v>467.475</v>
      </c>
      <c r="K97" s="20" t="n">
        <v>395.54</v>
      </c>
      <c r="L97" s="20" t="n">
        <v>323.605</v>
      </c>
    </row>
    <row r="98">
      <c r="A98" s="18" t="inlineStr">
        <is>
          <t>투자유가증권</t>
        </is>
      </c>
      <c r="C98" s="20" t="n">
        <v>1310.16</v>
      </c>
      <c r="D98" s="20" t="n">
        <v>1359.82</v>
      </c>
      <c r="E98" s="20" t="n">
        <v>1392.601</v>
      </c>
      <c r="F98" s="20" t="n">
        <v>1412.503</v>
      </c>
      <c r="G98" s="20" t="n">
        <v>1343.129</v>
      </c>
      <c r="H98" s="20" t="n">
        <v>54.441</v>
      </c>
      <c r="I98" s="20" t="n">
        <v>145.561</v>
      </c>
      <c r="J98" s="20" t="n">
        <v>202.017</v>
      </c>
      <c r="K98" s="20" t="n">
        <v>1310.16</v>
      </c>
      <c r="L98" s="20" t="n">
        <v>1343.129</v>
      </c>
    </row>
    <row r="99">
      <c r="A99" s="18" t="inlineStr">
        <is>
          <t>임차보증금·보증금</t>
        </is>
      </c>
      <c r="C99" s="20" t="n">
        <v>23.325</v>
      </c>
      <c r="D99" s="20" t="n">
        <v>23.737</v>
      </c>
      <c r="E99" s="20" t="n">
        <v>35.258</v>
      </c>
      <c r="F99" s="20" t="n">
        <v>35.034</v>
      </c>
      <c r="G99" s="20" t="n">
        <v>33.984</v>
      </c>
      <c r="H99" s="20" t="n">
        <v>28.929</v>
      </c>
      <c r="I99" s="20" t="n">
        <v>23.299</v>
      </c>
      <c r="J99" s="20" t="n">
        <v>22.827</v>
      </c>
      <c r="K99" s="20" t="n">
        <v>23.325</v>
      </c>
      <c r="L99" s="20" t="n">
        <v>33.984</v>
      </c>
    </row>
    <row r="100">
      <c r="A100" s="18" t="inlineStr">
        <is>
          <t>이연법인세자산</t>
        </is>
      </c>
      <c r="C100" s="20" t="n">
        <v>51.563</v>
      </c>
      <c r="D100" s="20" t="n">
        <v>0.493</v>
      </c>
      <c r="E100" s="20" t="n">
        <v>0.928</v>
      </c>
      <c r="F100" s="20" t="n">
        <v>0.605</v>
      </c>
      <c r="G100" s="20" t="n">
        <v>0</v>
      </c>
      <c r="H100" s="20" t="n">
        <v>93.73099999999999</v>
      </c>
      <c r="I100" s="20" t="n">
        <v>94.629</v>
      </c>
      <c r="J100" s="20" t="n">
        <v>74.017</v>
      </c>
      <c r="K100" s="20" t="n">
        <v>51.563</v>
      </c>
      <c r="L100" s="20" t="n">
        <v>0</v>
      </c>
    </row>
    <row r="101">
      <c r="A101" s="18" t="inlineStr">
        <is>
          <t>기타</t>
        </is>
      </c>
      <c r="C101" s="20" t="n">
        <v>20.279</v>
      </c>
      <c r="D101" s="20" t="n">
        <v>20.187</v>
      </c>
      <c r="E101" s="20" t="n">
        <v>23.269</v>
      </c>
      <c r="F101" s="20" t="n">
        <v>22.398</v>
      </c>
      <c r="G101" s="20" t="n">
        <v>20.057</v>
      </c>
      <c r="H101" s="20" t="n">
        <v>9.505000000000001</v>
      </c>
      <c r="I101" s="20" t="n">
        <v>22</v>
      </c>
      <c r="J101" s="20" t="n">
        <v>22.492</v>
      </c>
      <c r="K101" s="20" t="n">
        <v>20.279</v>
      </c>
      <c r="L101" s="20" t="n">
        <v>20.057</v>
      </c>
    </row>
    <row r="102">
      <c r="A102" s="18" t="inlineStr">
        <is>
          <t>투자 및 기타자산 합계</t>
        </is>
      </c>
      <c r="C102" s="20" t="n">
        <v>1405.328</v>
      </c>
      <c r="D102" s="20" t="n">
        <v>1404.238</v>
      </c>
      <c r="E102" s="20" t="n">
        <v>1452.057</v>
      </c>
      <c r="F102" s="20" t="n">
        <v>1470.541</v>
      </c>
      <c r="G102" s="20" t="n">
        <v>1397.171</v>
      </c>
      <c r="H102" s="20" t="n">
        <v>186.608</v>
      </c>
      <c r="I102" s="20" t="n">
        <v>285.49</v>
      </c>
      <c r="J102" s="20" t="n">
        <v>321.355</v>
      </c>
      <c r="K102" s="20" t="n">
        <v>1405.328</v>
      </c>
      <c r="L102" s="20" t="n">
        <v>1397.171</v>
      </c>
    </row>
    <row r="103">
      <c r="A103" s="9" t="inlineStr">
        <is>
          <t>비유동자산 합계</t>
        </is>
      </c>
      <c r="C103" s="12" t="n">
        <v>1849.729</v>
      </c>
      <c r="D103" s="12" t="n">
        <v>1845.682</v>
      </c>
      <c r="E103" s="12" t="n">
        <v>1869.584</v>
      </c>
      <c r="F103" s="12" t="n">
        <v>1863.058</v>
      </c>
      <c r="G103" s="12" t="n">
        <v>1801.229</v>
      </c>
      <c r="H103" s="12" t="n">
        <v>857.87</v>
      </c>
      <c r="I103" s="12" t="n">
        <v>871.7089999999999</v>
      </c>
      <c r="J103" s="12" t="n">
        <v>836.708</v>
      </c>
      <c r="K103" s="12" t="n">
        <v>1849.729</v>
      </c>
      <c r="L103" s="12" t="n">
        <v>1801.229</v>
      </c>
    </row>
    <row r="104">
      <c r="A104" s="9" t="inlineStr">
        <is>
          <t>자산 합계</t>
        </is>
      </c>
      <c r="C104" s="12" t="n">
        <v>5245.428</v>
      </c>
      <c r="D104" s="12" t="n">
        <v>4891.173</v>
      </c>
      <c r="E104" s="12" t="n">
        <v>5073.796</v>
      </c>
      <c r="F104" s="12" t="n">
        <v>5076.65</v>
      </c>
      <c r="G104" s="12" t="n">
        <v>5109.362</v>
      </c>
      <c r="H104" s="12" t="n">
        <v>4169.942</v>
      </c>
      <c r="I104" s="12" t="n">
        <v>4671.549</v>
      </c>
      <c r="J104" s="12" t="n">
        <v>4676.003</v>
      </c>
      <c r="K104" s="12" t="n">
        <v>5245.428</v>
      </c>
      <c r="L104" s="12" t="n">
        <v>5109.362</v>
      </c>
    </row>
    <row r="105">
      <c r="A105" s="18" t="inlineStr">
        <is>
          <t>매입채무</t>
        </is>
      </c>
      <c r="C105" s="20" t="n">
        <v>99.60899999999999</v>
      </c>
      <c r="D105" s="20" t="n">
        <v>109.717</v>
      </c>
      <c r="E105" s="20" t="n">
        <v>112.757</v>
      </c>
      <c r="F105" s="20" t="n">
        <v>93.807</v>
      </c>
      <c r="G105" s="20" t="n">
        <v>108.878</v>
      </c>
      <c r="H105" s="20" t="n">
        <v>47.377</v>
      </c>
      <c r="I105" s="20" t="n">
        <v>71.414</v>
      </c>
      <c r="J105" s="20" t="n">
        <v>63.192</v>
      </c>
      <c r="K105" s="20" t="n">
        <v>99.60899999999999</v>
      </c>
      <c r="L105" s="20" t="n">
        <v>108.878</v>
      </c>
    </row>
    <row r="106">
      <c r="A106" s="18" t="inlineStr">
        <is>
          <t>1년 내 상환 장기차입금</t>
        </is>
      </c>
      <c r="C106" s="20" t="n">
        <v>130.423</v>
      </c>
      <c r="D106" s="20" t="n">
        <v>117.301</v>
      </c>
      <c r="E106" s="20" t="n">
        <v>107.572</v>
      </c>
      <c r="F106" s="20" t="n">
        <v>100.297</v>
      </c>
      <c r="G106" s="20" t="n">
        <v>78.398</v>
      </c>
      <c r="H106" s="20" t="n">
        <v>125.816</v>
      </c>
      <c r="I106" s="20" t="n">
        <v>106.488</v>
      </c>
      <c r="J106" s="20" t="n">
        <v>162.412</v>
      </c>
      <c r="K106" s="20" t="n">
        <v>130.423</v>
      </c>
      <c r="L106" s="20" t="n">
        <v>78.398</v>
      </c>
    </row>
    <row r="107">
      <c r="A107" s="18" t="inlineStr">
        <is>
          <t>미지급금</t>
        </is>
      </c>
      <c r="C107" s="20" t="n">
        <v>142.063</v>
      </c>
      <c r="D107" s="20" t="n">
        <v>107.309</v>
      </c>
      <c r="E107" s="20" t="n">
        <v>111.258</v>
      </c>
      <c r="F107" s="20" t="n">
        <v>128.112</v>
      </c>
      <c r="G107" s="20" t="n">
        <v>136.384</v>
      </c>
      <c r="H107" s="20" t="n">
        <v>148.026</v>
      </c>
      <c r="I107" s="20" t="n">
        <v>132.915</v>
      </c>
      <c r="J107" s="20" t="n">
        <v>85.434</v>
      </c>
      <c r="K107" s="20" t="n">
        <v>142.063</v>
      </c>
      <c r="L107" s="20" t="n">
        <v>136.384</v>
      </c>
    </row>
    <row r="108">
      <c r="A108" s="18" t="inlineStr">
        <is>
          <t>미지급비용</t>
        </is>
      </c>
      <c r="C108" s="20" t="n">
        <v>39.493</v>
      </c>
      <c r="D108" s="20" t="n">
        <v>31.499</v>
      </c>
      <c r="E108" s="20" t="n">
        <v>33.516</v>
      </c>
      <c r="F108" s="20" t="n">
        <v>35.182</v>
      </c>
      <c r="G108" s="20" t="n">
        <v>42.29</v>
      </c>
      <c r="H108" s="20" t="n">
        <v>61.114</v>
      </c>
      <c r="I108" s="20" t="n">
        <v>62.814</v>
      </c>
      <c r="J108" s="20" t="n">
        <v>40.766</v>
      </c>
      <c r="K108" s="20" t="n">
        <v>39.493</v>
      </c>
      <c r="L108" s="20" t="n">
        <v>42.29</v>
      </c>
    </row>
    <row r="109">
      <c r="A109" s="18" t="inlineStr">
        <is>
          <t>미지급법인세</t>
        </is>
      </c>
      <c r="C109" s="20" t="n">
        <v>219.888</v>
      </c>
      <c r="D109" s="20" t="n">
        <v>12.991</v>
      </c>
      <c r="E109" s="20" t="n">
        <v>106.513</v>
      </c>
      <c r="F109" s="20" t="n">
        <v>50.679</v>
      </c>
      <c r="G109" s="20" t="n">
        <v>78.358</v>
      </c>
      <c r="H109" s="20" t="n">
        <v>123.911</v>
      </c>
      <c r="I109" s="20" t="n">
        <v>88.952</v>
      </c>
      <c r="J109" s="20" t="n">
        <v>15.388</v>
      </c>
      <c r="K109" s="20" t="n">
        <v>219.888</v>
      </c>
      <c r="L109" s="20" t="n">
        <v>78.358</v>
      </c>
    </row>
    <row r="110">
      <c r="A110" s="18" t="inlineStr">
        <is>
          <t>미지급 소비세</t>
        </is>
      </c>
      <c r="C110" s="20" t="n">
        <v>112.933</v>
      </c>
      <c r="D110" s="20" t="n">
        <v>77.062</v>
      </c>
      <c r="E110" s="20" t="n">
        <v>60.43</v>
      </c>
      <c r="F110" s="20" t="n">
        <v>56.073</v>
      </c>
      <c r="G110" s="20" t="n">
        <v>57.444</v>
      </c>
      <c r="H110" s="20" t="n">
        <v>98.175</v>
      </c>
      <c r="I110" s="20" t="n">
        <v>53.233</v>
      </c>
      <c r="J110" s="20" t="n">
        <v>34.684</v>
      </c>
      <c r="K110" s="20" t="n">
        <v>112.933</v>
      </c>
      <c r="L110" s="20" t="n">
        <v>57.444</v>
      </c>
    </row>
    <row r="111">
      <c r="A111" s="18" t="inlineStr">
        <is>
          <t>선수금</t>
        </is>
      </c>
      <c r="H111" s="20" t="n">
        <v>0</v>
      </c>
    </row>
    <row r="112">
      <c r="A112" s="18" t="inlineStr">
        <is>
          <t>선수수익</t>
        </is>
      </c>
      <c r="H112" s="20" t="n">
        <v>0</v>
      </c>
    </row>
    <row r="113">
      <c r="A113" s="18" t="inlineStr">
        <is>
          <t>계약부채</t>
        </is>
      </c>
      <c r="C113" s="20" t="n">
        <v>61.599</v>
      </c>
      <c r="D113" s="20" t="n">
        <v>61.164</v>
      </c>
      <c r="E113" s="20" t="n">
        <v>67.53400000000001</v>
      </c>
      <c r="F113" s="20" t="n">
        <v>77.093</v>
      </c>
      <c r="G113" s="20" t="n">
        <v>52.128</v>
      </c>
      <c r="H113" s="20" t="n">
        <v>42.489</v>
      </c>
      <c r="I113" s="20" t="n">
        <v>60.988</v>
      </c>
      <c r="J113" s="20" t="n">
        <v>76.054</v>
      </c>
      <c r="K113" s="20" t="n">
        <v>61.599</v>
      </c>
      <c r="L113" s="20" t="n">
        <v>52.128</v>
      </c>
    </row>
    <row r="114">
      <c r="A114" s="18" t="inlineStr">
        <is>
          <t>리스부채</t>
        </is>
      </c>
      <c r="C114" s="20" t="n">
        <v>1.367</v>
      </c>
      <c r="D114" s="20" t="n">
        <v>1.383</v>
      </c>
      <c r="E114" s="20" t="n">
        <v>1.4</v>
      </c>
      <c r="F114" s="20" t="n">
        <v>1.416</v>
      </c>
      <c r="G114" s="20" t="n">
        <v>1.433</v>
      </c>
      <c r="H114" s="20" t="n">
        <v>20.224</v>
      </c>
      <c r="I114" s="20" t="n">
        <v>0</v>
      </c>
      <c r="J114" s="20" t="n">
        <v>0</v>
      </c>
      <c r="K114" s="20" t="n">
        <v>1.367</v>
      </c>
      <c r="L114" s="20" t="n">
        <v>1.433</v>
      </c>
    </row>
    <row r="115">
      <c r="A115" s="18" t="inlineStr">
        <is>
          <t>예수금</t>
        </is>
      </c>
      <c r="C115" s="20" t="n">
        <v>48.73</v>
      </c>
      <c r="D115" s="20" t="n">
        <v>77.251</v>
      </c>
      <c r="E115" s="20" t="n">
        <v>41.129</v>
      </c>
      <c r="F115" s="20" t="n">
        <v>51.003</v>
      </c>
      <c r="G115" s="20" t="n">
        <v>30.425</v>
      </c>
      <c r="I115" s="20" t="n">
        <v>27.142</v>
      </c>
      <c r="J115" s="20" t="n">
        <v>49.524</v>
      </c>
      <c r="K115" s="20" t="n">
        <v>48.73</v>
      </c>
      <c r="L115" s="20" t="n">
        <v>30.425</v>
      </c>
    </row>
    <row r="116">
      <c r="A116" s="18" t="inlineStr">
        <is>
          <t>상여충당금</t>
        </is>
      </c>
      <c r="C116" s="20" t="n">
        <v>100.347</v>
      </c>
      <c r="D116" s="20" t="n">
        <v>6.298</v>
      </c>
      <c r="E116" s="20" t="n">
        <v>8.596</v>
      </c>
      <c r="F116" s="20" t="n">
        <v>4.536</v>
      </c>
      <c r="G116" s="20" t="n">
        <v>8.512</v>
      </c>
      <c r="H116" s="20" t="n">
        <v>0.215</v>
      </c>
      <c r="I116" s="20" t="n">
        <v>0</v>
      </c>
      <c r="J116" s="20" t="n">
        <v>1.885</v>
      </c>
      <c r="K116" s="20" t="n">
        <v>100.347</v>
      </c>
      <c r="L116" s="20" t="n">
        <v>8.512</v>
      </c>
    </row>
    <row r="117">
      <c r="A117" s="18" t="inlineStr">
        <is>
          <t>수주손실 충당금</t>
        </is>
      </c>
      <c r="H117" s="20" t="n">
        <v>0</v>
      </c>
    </row>
    <row r="118">
      <c r="A118" s="18" t="inlineStr">
        <is>
          <t>관계회사 정리손실 충당금</t>
        </is>
      </c>
      <c r="H118" s="20" t="n">
        <v>75.125</v>
      </c>
    </row>
    <row r="119">
      <c r="A119" s="18" t="inlineStr">
        <is>
          <t>기타</t>
        </is>
      </c>
      <c r="C119" s="20" t="n">
        <v>0</v>
      </c>
      <c r="D119" s="20" t="n">
        <v>15.317</v>
      </c>
      <c r="E119" s="20" t="n">
        <v>5.835</v>
      </c>
      <c r="F119" s="20" t="n">
        <v>0.5590000000000001</v>
      </c>
      <c r="G119" s="20" t="n">
        <v>0.404</v>
      </c>
      <c r="H119" s="20" t="n">
        <v>41.921</v>
      </c>
      <c r="I119" s="20" t="n">
        <v>4.55</v>
      </c>
      <c r="J119" s="20" t="n">
        <v>3.989</v>
      </c>
      <c r="K119" s="20" t="n">
        <v>0</v>
      </c>
      <c r="L119" s="20" t="n">
        <v>0.404</v>
      </c>
    </row>
    <row r="120">
      <c r="A120" s="9" t="inlineStr">
        <is>
          <t>유동부채 합계</t>
        </is>
      </c>
      <c r="C120" s="12" t="n">
        <v>956.456</v>
      </c>
      <c r="D120" s="12" t="n">
        <v>617.297</v>
      </c>
      <c r="E120" s="12" t="n">
        <v>656.544</v>
      </c>
      <c r="F120" s="12" t="n">
        <v>598.7619999999999</v>
      </c>
      <c r="G120" s="12" t="n">
        <v>594.658</v>
      </c>
      <c r="H120" s="12" t="n">
        <v>709.271</v>
      </c>
      <c r="I120" s="12" t="n">
        <v>608.499</v>
      </c>
      <c r="J120" s="12" t="n">
        <v>533.332</v>
      </c>
      <c r="K120" s="12" t="n">
        <v>956.456</v>
      </c>
      <c r="L120" s="12" t="n">
        <v>594.658</v>
      </c>
    </row>
    <row r="121">
      <c r="A121" s="18" t="inlineStr">
        <is>
          <t>장기차입금</t>
        </is>
      </c>
      <c r="C121" s="20" t="n">
        <v>108.426</v>
      </c>
      <c r="D121" s="20" t="n">
        <v>82.602</v>
      </c>
      <c r="E121" s="20" t="n">
        <v>56.698</v>
      </c>
      <c r="F121" s="20" t="n">
        <v>35.026</v>
      </c>
      <c r="G121" s="20" t="n">
        <v>30.028</v>
      </c>
      <c r="H121" s="20" t="n">
        <v>192.731</v>
      </c>
      <c r="I121" s="20" t="n">
        <v>86.24299999999999</v>
      </c>
      <c r="J121" s="20" t="n">
        <v>238.849</v>
      </c>
      <c r="K121" s="20" t="n">
        <v>108.426</v>
      </c>
      <c r="L121" s="20" t="n">
        <v>30.028</v>
      </c>
    </row>
    <row r="122">
      <c r="A122" s="18" t="inlineStr">
        <is>
          <t>리스부채</t>
        </is>
      </c>
      <c r="C122" s="20" t="n">
        <v>8.188000000000001</v>
      </c>
      <c r="D122" s="20" t="n">
        <v>7.836</v>
      </c>
      <c r="E122" s="20" t="n">
        <v>7.48</v>
      </c>
      <c r="F122" s="20" t="n">
        <v>7.119</v>
      </c>
      <c r="G122" s="20" t="n">
        <v>6.755</v>
      </c>
      <c r="H122" s="20" t="n">
        <v>22.686</v>
      </c>
      <c r="I122" s="20" t="n">
        <v>0</v>
      </c>
      <c r="J122" s="20" t="n">
        <v>0</v>
      </c>
      <c r="K122" s="20" t="n">
        <v>8.188000000000001</v>
      </c>
      <c r="L122" s="20" t="n">
        <v>6.755</v>
      </c>
    </row>
    <row r="123">
      <c r="A123" s="18" t="inlineStr">
        <is>
          <t>자산복구부채</t>
        </is>
      </c>
      <c r="C123" s="20" t="n">
        <v>11.608</v>
      </c>
      <c r="D123" s="20" t="n">
        <v>11.612</v>
      </c>
      <c r="E123" s="20" t="n">
        <v>11.616</v>
      </c>
      <c r="F123" s="20" t="n">
        <v>11.62</v>
      </c>
      <c r="G123" s="20" t="n">
        <v>13.075</v>
      </c>
      <c r="H123" s="20" t="n">
        <v>11.56</v>
      </c>
      <c r="I123" s="20" t="n">
        <v>11.576</v>
      </c>
      <c r="J123" s="20" t="n">
        <v>11.592</v>
      </c>
      <c r="K123" s="20" t="n">
        <v>11.608</v>
      </c>
      <c r="L123" s="20" t="n">
        <v>13.075</v>
      </c>
    </row>
    <row r="124">
      <c r="A124" s="18" t="inlineStr">
        <is>
          <t>이연법인세부채</t>
        </is>
      </c>
      <c r="C124" s="20" t="n">
        <v>15.57</v>
      </c>
      <c r="D124" s="20" t="n">
        <v>20.861</v>
      </c>
      <c r="E124" s="20" t="n">
        <v>17.47</v>
      </c>
      <c r="F124" s="20" t="n">
        <v>18.411</v>
      </c>
      <c r="G124" s="20" t="n">
        <v>16.42</v>
      </c>
      <c r="H124" s="20" t="n">
        <v>24.342</v>
      </c>
      <c r="I124" s="20" t="n">
        <v>21.604</v>
      </c>
      <c r="J124" s="20" t="n">
        <v>19.848</v>
      </c>
      <c r="K124" s="20" t="n">
        <v>15.57</v>
      </c>
      <c r="L124" s="20" t="n">
        <v>16.42</v>
      </c>
    </row>
    <row r="125">
      <c r="A125" s="9" t="inlineStr">
        <is>
          <t>비유동부채 합계</t>
        </is>
      </c>
      <c r="C125" s="12" t="n">
        <v>143.793</v>
      </c>
      <c r="D125" s="12" t="n">
        <v>122.913</v>
      </c>
      <c r="E125" s="12" t="n">
        <v>93.265</v>
      </c>
      <c r="F125" s="12" t="n">
        <v>72.178</v>
      </c>
      <c r="G125" s="12" t="n">
        <v>66.27800000000001</v>
      </c>
      <c r="H125" s="12" t="n">
        <v>251.32</v>
      </c>
      <c r="I125" s="12" t="n">
        <v>119.423</v>
      </c>
      <c r="J125" s="12" t="n">
        <v>270.29</v>
      </c>
      <c r="K125" s="12" t="n">
        <v>143.793</v>
      </c>
      <c r="L125" s="12" t="n">
        <v>66.27800000000001</v>
      </c>
    </row>
    <row r="126">
      <c r="A126" s="9" t="inlineStr">
        <is>
          <t>부채 합계</t>
        </is>
      </c>
      <c r="C126" s="12" t="n">
        <v>1100.25</v>
      </c>
      <c r="D126" s="12" t="n">
        <v>740.21</v>
      </c>
      <c r="E126" s="12" t="n">
        <v>749.809</v>
      </c>
      <c r="F126" s="12" t="n">
        <v>670.941</v>
      </c>
      <c r="G126" s="12" t="n">
        <v>660.936</v>
      </c>
      <c r="H126" s="12" t="n">
        <v>960.592</v>
      </c>
      <c r="I126" s="12" t="n">
        <v>727.923</v>
      </c>
      <c r="J126" s="12" t="n">
        <v>803.622</v>
      </c>
      <c r="K126" s="12" t="n">
        <v>1100.25</v>
      </c>
      <c r="L126" s="12" t="n">
        <v>660.936</v>
      </c>
    </row>
    <row r="127">
      <c r="A127" s="18" t="inlineStr">
        <is>
          <t>자본금</t>
        </is>
      </c>
      <c r="C127" s="20" t="n">
        <v>1774.543</v>
      </c>
      <c r="D127" s="20" t="n">
        <v>1774.543</v>
      </c>
      <c r="E127" s="20" t="n">
        <v>1774.568</v>
      </c>
      <c r="F127" s="20" t="n">
        <v>1774.568</v>
      </c>
      <c r="G127" s="20" t="n">
        <v>1774.79</v>
      </c>
      <c r="H127" s="20" t="n">
        <v>1511.039</v>
      </c>
      <c r="I127" s="20" t="n">
        <v>1767.52</v>
      </c>
      <c r="J127" s="20" t="n">
        <v>1772.244</v>
      </c>
      <c r="K127" s="20" t="n">
        <v>1774.543</v>
      </c>
      <c r="L127" s="20" t="n">
        <v>1774.79</v>
      </c>
    </row>
    <row r="128">
      <c r="A128" s="18" t="inlineStr">
        <is>
          <t>자본잉여금</t>
        </is>
      </c>
      <c r="C128" s="20" t="n">
        <v>1761.139</v>
      </c>
      <c r="D128" s="20" t="n">
        <v>1761.139</v>
      </c>
      <c r="E128" s="20" t="n">
        <v>1761.164</v>
      </c>
      <c r="F128" s="20" t="n">
        <v>1761.164</v>
      </c>
      <c r="G128" s="20" t="n">
        <v>1761.386</v>
      </c>
      <c r="H128" s="20" t="n">
        <v>1506.039</v>
      </c>
      <c r="I128" s="20" t="n">
        <v>1762.52</v>
      </c>
      <c r="J128" s="20" t="n">
        <v>1767.244</v>
      </c>
      <c r="K128" s="20" t="n">
        <v>1761.139</v>
      </c>
      <c r="L128" s="20" t="n">
        <v>1761.386</v>
      </c>
    </row>
    <row r="129">
      <c r="A129" s="18" t="inlineStr">
        <is>
          <t>이익잉여금</t>
        </is>
      </c>
      <c r="C129" s="20" t="n">
        <v>821.244</v>
      </c>
      <c r="D129" s="20" t="n">
        <v>794.876</v>
      </c>
      <c r="E129" s="20" t="n">
        <v>950.141</v>
      </c>
      <c r="F129" s="20" t="n">
        <v>1018.259</v>
      </c>
      <c r="G129" s="20" t="n">
        <v>1087.589</v>
      </c>
      <c r="H129" s="20" t="n">
        <v>186.62</v>
      </c>
      <c r="I129" s="20" t="n">
        <v>402.659</v>
      </c>
      <c r="J129" s="20" t="n">
        <v>414.192</v>
      </c>
      <c r="K129" s="20" t="n">
        <v>821.244</v>
      </c>
      <c r="L129" s="20" t="n">
        <v>1087.589</v>
      </c>
    </row>
    <row r="130">
      <c r="A130" s="18" t="inlineStr">
        <is>
          <t>자기주식</t>
        </is>
      </c>
      <c r="C130" s="20" t="n">
        <v>-250.168</v>
      </c>
      <c r="D130" s="20" t="n">
        <v>-250.177</v>
      </c>
      <c r="E130" s="20" t="n">
        <v>-250.18</v>
      </c>
      <c r="F130" s="20" t="n">
        <v>-250.18</v>
      </c>
      <c r="G130" s="20" t="n">
        <v>-268.251</v>
      </c>
      <c r="H130" s="20" t="n">
        <v>-0.11</v>
      </c>
      <c r="I130" s="20" t="n">
        <v>-0.11</v>
      </c>
      <c r="J130" s="20" t="n">
        <v>-100.1</v>
      </c>
      <c r="K130" s="20" t="n">
        <v>-250.168</v>
      </c>
      <c r="L130" s="20" t="n">
        <v>-268.251</v>
      </c>
    </row>
    <row r="131">
      <c r="A131" s="9" t="inlineStr">
        <is>
          <t>주주자본 합계</t>
        </is>
      </c>
      <c r="C131" s="12" t="n">
        <v>4106.759</v>
      </c>
      <c r="D131" s="12" t="n">
        <v>4080.382</v>
      </c>
      <c r="E131" s="12" t="n">
        <v>4235.692</v>
      </c>
      <c r="F131" s="12" t="n">
        <v>4303.811</v>
      </c>
      <c r="G131" s="12" t="n">
        <v>4355.514</v>
      </c>
      <c r="H131" s="12" t="n">
        <v>3203.588</v>
      </c>
      <c r="I131" s="12" t="n">
        <v>3932.589</v>
      </c>
      <c r="J131" s="12" t="n">
        <v>3853.58</v>
      </c>
      <c r="K131" s="12" t="n">
        <v>4106.759</v>
      </c>
      <c r="L131" s="12" t="n">
        <v>4355.514</v>
      </c>
    </row>
    <row r="132">
      <c r="A132" s="18" t="inlineStr">
        <is>
          <t>기타유가증권 평가차액</t>
        </is>
      </c>
      <c r="C132" s="20" t="n">
        <v>15.192</v>
      </c>
      <c r="D132" s="20" t="n">
        <v>45.351</v>
      </c>
      <c r="E132" s="20" t="n">
        <v>61.35</v>
      </c>
      <c r="F132" s="20" t="n">
        <v>72.339</v>
      </c>
      <c r="G132" s="20" t="n">
        <v>60.752</v>
      </c>
      <c r="I132" s="20" t="n">
        <v>0</v>
      </c>
      <c r="J132" s="20" t="n">
        <v>-0.06</v>
      </c>
      <c r="K132" s="20" t="n">
        <v>15.192</v>
      </c>
      <c r="L132" s="20" t="n">
        <v>60.752</v>
      </c>
    </row>
    <row r="133">
      <c r="A133" s="18" t="inlineStr">
        <is>
          <t>해외사업환산조정</t>
        </is>
      </c>
      <c r="C133" s="20" t="n">
        <v>-0.128</v>
      </c>
      <c r="D133" s="20" t="n">
        <v>-0.178</v>
      </c>
      <c r="E133" s="20" t="n">
        <v>-0.127</v>
      </c>
      <c r="F133" s="20" t="n">
        <v>-0.127</v>
      </c>
      <c r="G133" s="20" t="n">
        <v>-0.143</v>
      </c>
      <c r="H133" s="20" t="n">
        <v>-2.407</v>
      </c>
      <c r="I133" s="20" t="n">
        <v>-3.099</v>
      </c>
      <c r="J133" s="20" t="n">
        <v>-3.069</v>
      </c>
      <c r="K133" s="20" t="n">
        <v>-0.128</v>
      </c>
      <c r="L133" s="20" t="n">
        <v>-0.143</v>
      </c>
    </row>
    <row r="134">
      <c r="A134" s="18" t="inlineStr">
        <is>
          <t>기타포괄손익누계액 합계</t>
        </is>
      </c>
      <c r="C134" s="20" t="n">
        <v>15.064</v>
      </c>
      <c r="D134" s="20" t="n">
        <v>45.173</v>
      </c>
      <c r="E134" s="20" t="n">
        <v>61.223</v>
      </c>
      <c r="F134" s="20" t="n">
        <v>72.212</v>
      </c>
      <c r="G134" s="20" t="n">
        <v>60.609</v>
      </c>
      <c r="H134" s="20" t="n">
        <v>-2.407</v>
      </c>
      <c r="I134" s="20" t="n">
        <v>-3.099</v>
      </c>
      <c r="J134" s="20" t="n">
        <v>-3.13</v>
      </c>
      <c r="K134" s="20" t="n">
        <v>15.064</v>
      </c>
      <c r="L134" s="20" t="n">
        <v>60.609</v>
      </c>
    </row>
    <row r="135">
      <c r="A135" s="18" t="inlineStr">
        <is>
          <t>신주예약권</t>
        </is>
      </c>
      <c r="C135" s="20" t="n">
        <v>23.353</v>
      </c>
      <c r="D135" s="20" t="n">
        <v>25.407</v>
      </c>
      <c r="E135" s="20" t="n">
        <v>27.07</v>
      </c>
      <c r="F135" s="20" t="n">
        <v>29.686</v>
      </c>
      <c r="G135" s="20" t="n">
        <v>32.301</v>
      </c>
      <c r="H135" s="20" t="n">
        <v>8.167999999999999</v>
      </c>
      <c r="I135" s="20" t="n">
        <v>14.135</v>
      </c>
      <c r="J135" s="20" t="n">
        <v>21.93</v>
      </c>
      <c r="K135" s="20" t="n">
        <v>23.353</v>
      </c>
      <c r="L135" s="20" t="n">
        <v>32.301</v>
      </c>
    </row>
    <row r="136">
      <c r="A136" s="18" t="inlineStr">
        <is>
          <t>비지배지분</t>
        </is>
      </c>
      <c r="J136" s="20" t="n">
        <v>0</v>
      </c>
    </row>
    <row r="137">
      <c r="A137" s="9" t="inlineStr">
        <is>
          <t>순자산 합계</t>
        </is>
      </c>
      <c r="C137" s="12" t="n">
        <v>4145.177</v>
      </c>
      <c r="D137" s="12" t="n">
        <v>4150.963</v>
      </c>
      <c r="E137" s="12" t="n">
        <v>4323.986</v>
      </c>
      <c r="F137" s="12" t="n">
        <v>4405.709</v>
      </c>
      <c r="G137" s="12" t="n">
        <v>4448.425</v>
      </c>
      <c r="H137" s="12" t="n">
        <v>3209.349</v>
      </c>
      <c r="I137" s="12" t="n">
        <v>3943.626</v>
      </c>
      <c r="J137" s="12" t="n">
        <v>3872.38</v>
      </c>
      <c r="K137" s="12" t="n">
        <v>4145.177</v>
      </c>
      <c r="L137" s="12" t="n">
        <v>4448.425</v>
      </c>
    </row>
    <row r="138">
      <c r="A138" s="9" t="inlineStr">
        <is>
          <t>부채·순자산 합계</t>
        </is>
      </c>
      <c r="C138" s="12" t="n">
        <v>5245.428</v>
      </c>
      <c r="D138" s="12" t="n">
        <v>4891.173</v>
      </c>
      <c r="E138" s="12" t="n">
        <v>5073.796</v>
      </c>
      <c r="F138" s="12" t="n">
        <v>5076.65</v>
      </c>
      <c r="G138" s="12" t="n">
        <v>5109.362</v>
      </c>
      <c r="H138" s="12" t="n">
        <v>4169.942</v>
      </c>
      <c r="I138" s="12" t="n">
        <v>4671.549</v>
      </c>
      <c r="J138" s="12" t="n">
        <v>4676.003</v>
      </c>
      <c r="K138" s="12" t="n">
        <v>5245.428</v>
      </c>
      <c r="L138" s="12" t="n">
        <v>5109.362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49" t="inlineStr">
        <is>
          <t>출처 · 쓴 결산단신</t>
        </is>
      </c>
    </row>
    <row r="3">
      <c r="A3" s="50" t="inlineStr">
        <is>
          <t>공시일</t>
        </is>
      </c>
      <c r="B3" s="50" t="inlineStr">
        <is>
          <t>문서</t>
        </is>
      </c>
      <c r="C3" s="50" t="inlineStr">
        <is>
          <t>PDF</t>
        </is>
      </c>
    </row>
    <row r="4">
      <c r="A4" t="inlineStr">
        <is>
          <t>2026-10-15</t>
        </is>
      </c>
      <c r="B4" t="inlineStr">
        <is>
          <t>2026년 8월 결산기 연간 결산단신</t>
        </is>
      </c>
      <c r="C4" t="inlineStr">
        <is>
          <t>https://www2.jpx.co.jp/disc/73510/140120261015551193.pdf</t>
        </is>
      </c>
    </row>
    <row r="5">
      <c r="A5" t="inlineStr">
        <is>
          <t>2026-07-15</t>
        </is>
      </c>
      <c r="B5" t="inlineStr">
        <is>
          <t>2026년 8월 결산기 ３분기 결산단신</t>
        </is>
      </c>
      <c r="C5" t="inlineStr">
        <is>
          <t>https://www2.jpx.co.jp/disc/73510/140120260715594111.pdf</t>
        </is>
      </c>
    </row>
    <row r="6">
      <c r="A6" t="inlineStr">
        <is>
          <t>2026-04-14</t>
        </is>
      </c>
      <c r="B6" t="inlineStr">
        <is>
          <t>2026년 8월 결산기 ２분기 결산단신</t>
        </is>
      </c>
      <c r="C6" t="inlineStr">
        <is>
          <t>https://www2.jpx.co.jp/disc/73510/140120260414503873.pdf</t>
        </is>
      </c>
    </row>
    <row r="7">
      <c r="A7" t="inlineStr">
        <is>
          <t>2026-01-14</t>
        </is>
      </c>
      <c r="B7" t="inlineStr">
        <is>
          <t>2026년 8월 결산기 １분기 결산단신</t>
        </is>
      </c>
      <c r="C7" t="inlineStr">
        <is>
          <t>https://www2.jpx.co.jp/disc/73510/140120260114533673.pdf</t>
        </is>
      </c>
    </row>
    <row r="8">
      <c r="A8" t="inlineStr">
        <is>
          <t>2025-10-15</t>
        </is>
      </c>
      <c r="B8" t="inlineStr">
        <is>
          <t>2025년 8월 결산기 연간 결산단신</t>
        </is>
      </c>
      <c r="C8" t="inlineStr">
        <is>
          <t>https://www2.jpx.co.jp/disc/73510/140120251015573463.pdf</t>
        </is>
      </c>
    </row>
    <row r="9">
      <c r="A9" t="inlineStr">
        <is>
          <t>2025-07-15</t>
        </is>
      </c>
      <c r="B9" t="inlineStr">
        <is>
          <t>2025년 8월 결산기 ３분기 결산단신</t>
        </is>
      </c>
      <c r="C9" t="inlineStr">
        <is>
          <t>https://www2.jpx.co.jp/disc/73510/140120250714514138.pdf</t>
        </is>
      </c>
    </row>
    <row r="10">
      <c r="A10" t="inlineStr">
        <is>
          <t>2025-04-14</t>
        </is>
      </c>
      <c r="B10" t="inlineStr">
        <is>
          <t>2025년 8월 결산기 ２분기 결산단신</t>
        </is>
      </c>
      <c r="C10" t="inlineStr">
        <is>
          <t>https://www2.jpx.co.jp/disc/73510/140120250413514423.pdf</t>
        </is>
      </c>
    </row>
    <row r="11">
      <c r="A11" t="inlineStr">
        <is>
          <t>2025-01-14</t>
        </is>
      </c>
      <c r="B11" t="inlineStr">
        <is>
          <t>2025년 8월 결산기 １분기 결산단신</t>
        </is>
      </c>
      <c r="C11" t="inlineStr">
        <is>
          <t>https://www2.jpx.co.jp/disc/73510/140120250114550346.pdf</t>
        </is>
      </c>
    </row>
    <row r="12">
      <c r="A12" t="inlineStr">
        <is>
          <t>2024-10-15</t>
        </is>
      </c>
      <c r="B12" t="inlineStr">
        <is>
          <t>2024년 8월 결산기 연간 결산단신</t>
        </is>
      </c>
      <c r="C12" t="inlineStr">
        <is>
          <t>https://www2.jpx.co.jp/disc/73510/140120241015597630.pdf</t>
        </is>
      </c>
    </row>
    <row r="13">
      <c r="A13" t="inlineStr">
        <is>
          <t>2024-07-12</t>
        </is>
      </c>
      <c r="B13" t="inlineStr">
        <is>
          <t>2024년 8월 결산기 ３분기 결산단신</t>
        </is>
      </c>
      <c r="C13" t="inlineStr">
        <is>
          <t>https://www2.jpx.co.jp/disc/73510/140120240712548244.pdf</t>
        </is>
      </c>
    </row>
    <row r="14">
      <c r="A14" t="inlineStr">
        <is>
          <t>2024-04-12</t>
        </is>
      </c>
      <c r="B14" t="inlineStr">
        <is>
          <t>2024년 8월 결산기 ２분기 결산단신</t>
        </is>
      </c>
      <c r="C14" t="inlineStr">
        <is>
          <t>https://www2.jpx.co.jp/disc/73510/140120240412569724.pdf</t>
        </is>
      </c>
    </row>
    <row r="15">
      <c r="A15" t="inlineStr">
        <is>
          <t>2024-01-12</t>
        </is>
      </c>
      <c r="B15" t="inlineStr">
        <is>
          <t>2024년 8월 결산기 １분기 결산단신</t>
        </is>
      </c>
      <c r="C15" t="inlineStr">
        <is>
          <t>https://www2.jpx.co.jp/disc/73510/140120240112514534.pdf</t>
        </is>
      </c>
    </row>
    <row r="16">
      <c r="A16" t="inlineStr">
        <is>
          <t>2023-10-13</t>
        </is>
      </c>
      <c r="B16" t="inlineStr">
        <is>
          <t>2023년 8월 결산기 연간 결산단신</t>
        </is>
      </c>
      <c r="C16" t="inlineStr">
        <is>
          <t>https://www2.jpx.co.jp/disc/73510/140120231013566368.pdf</t>
        </is>
      </c>
    </row>
    <row r="17">
      <c r="A17" t="inlineStr">
        <is>
          <t>2023-07-14</t>
        </is>
      </c>
      <c r="B17" t="inlineStr">
        <is>
          <t>2023년 8월 결산기 ３분기 결산단신</t>
        </is>
      </c>
      <c r="C17" t="inlineStr">
        <is>
          <t>https://www2.jpx.co.jp/disc/73510/140120230713522040.pdf</t>
        </is>
      </c>
    </row>
    <row r="18">
      <c r="A18" t="inlineStr">
        <is>
          <t>2023-04-14</t>
        </is>
      </c>
      <c r="B18" t="inlineStr">
        <is>
          <t>2023년 8월 결산기 ２분기 결산단신</t>
        </is>
      </c>
      <c r="C18" t="inlineStr">
        <is>
          <t>https://www2.jpx.co.jp/disc/73510/140120230413547084.pdf</t>
        </is>
      </c>
    </row>
    <row r="19">
      <c r="A19" t="inlineStr">
        <is>
          <t>2023-01-13</t>
        </is>
      </c>
      <c r="B19" t="inlineStr">
        <is>
          <t>2023년 8월 결산기 １분기 결산단신</t>
        </is>
      </c>
      <c r="C19" t="inlineStr">
        <is>
          <t>https://www2.jpx.co.jp/disc/73510/140120230112588535.pdf</t>
        </is>
      </c>
    </row>
    <row r="20">
      <c r="A20" t="inlineStr">
        <is>
          <t>2022-10-14</t>
        </is>
      </c>
      <c r="B20" t="inlineStr">
        <is>
          <t>2022년 8월 결산기 연간 결산단신</t>
        </is>
      </c>
      <c r="C20" t="inlineStr">
        <is>
          <t>https://www2.jpx.co.jp/disc/73510/140120221014544633.pdf</t>
        </is>
      </c>
    </row>
    <row r="21">
      <c r="A21" t="inlineStr">
        <is>
          <t>2021-10-15</t>
        </is>
      </c>
      <c r="B21" t="inlineStr">
        <is>
          <t>2021년 8월 결산기 연간 결산단신</t>
        </is>
      </c>
      <c r="C21" t="inlineStr">
        <is>
          <t>https://www2.jpx.co.jp/disc/73510/140120211015411443.pdf</t>
        </is>
      </c>
    </row>
    <row r="22">
      <c r="A22" t="inlineStr">
        <is>
          <t>2020-10-15</t>
        </is>
      </c>
      <c r="B22" t="inlineStr">
        <is>
          <t>2020년 8월 결산기 연간 결산단신</t>
        </is>
      </c>
      <c r="C22" t="inlineStr">
        <is>
          <t>https://www2.jpx.co.jp/disc/73510/140120201015404128.pdf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2026-10-25T07:48:11Z</dcterms:created>
  <dcterms:modified xmlns:dcterms="http://purl.org/dc/terms/" xmlns:xsi="http://www.w3.org/2001/XMLSchema-instance" xsi:type="dcterms:W3CDTF">2026-10-25T07:48:11Z</dcterms:modified>
</cp:coreProperties>
</file>