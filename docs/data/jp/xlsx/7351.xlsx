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부문" sheetId="5" state="visible" r:id="rId5"/>
    <sheet xmlns:r="http://schemas.openxmlformats.org/officeDocument/2006/relationships" name="출처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8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</fonts>
  <fills count="3">
    <fill>
      <patternFill/>
    </fill>
    <fill>
      <patternFill patternType="gray125"/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굿패치 손익계산서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매출액</t>
        </is>
      </c>
      <c r="C4" s="6" t="n">
        <v>9.7858</v>
      </c>
      <c r="D4" s="6" t="n">
        <v>8.7859</v>
      </c>
      <c r="E4" s="6" t="n">
        <v>9.5108</v>
      </c>
      <c r="F4" s="6" t="n">
        <v>9.162599999999999</v>
      </c>
      <c r="G4" s="6" t="n">
        <v>8.4855</v>
      </c>
      <c r="H4" s="6" t="n">
        <v>9.6952</v>
      </c>
      <c r="I4" s="6" t="n">
        <v>10.5187</v>
      </c>
      <c r="J4" s="6" t="n">
        <v>10.5859</v>
      </c>
      <c r="K4" s="6" t="n">
        <v>10.2444</v>
      </c>
      <c r="L4" s="6" t="n">
        <v>10.4064</v>
      </c>
      <c r="M4" s="6" t="n">
        <v>9.351100000000001</v>
      </c>
      <c r="N4" s="6" t="n">
        <v>9.4277</v>
      </c>
      <c r="O4" s="6" t="n">
        <v>12.1419</v>
      </c>
      <c r="P4" s="6" t="n">
        <v>12.5477</v>
      </c>
      <c r="Q4" s="6" t="n">
        <v>13.661</v>
      </c>
      <c r="R4" s="6" t="n">
        <v>12.505</v>
      </c>
      <c r="S4" s="6" t="n">
        <v>12.0636</v>
      </c>
      <c r="T4" s="6" t="n">
        <v>13.7224</v>
      </c>
      <c r="U4" s="6" t="n">
        <v>12.6918</v>
      </c>
      <c r="V4" s="6" t="n">
        <v>13.4948</v>
      </c>
      <c r="W4" s="6" t="n">
        <v>16.8327</v>
      </c>
      <c r="X4" s="6" t="n">
        <v>21.4351</v>
      </c>
      <c r="Y4" s="6" t="n">
        <v>27.4127</v>
      </c>
      <c r="Z4" s="6" t="n">
        <v>37.2451</v>
      </c>
      <c r="AA4" s="6" t="n">
        <v>39.2852</v>
      </c>
      <c r="AB4" s="6" t="n">
        <v>39.4297</v>
      </c>
      <c r="AC4" s="6" t="n">
        <v>50.8555</v>
      </c>
      <c r="AD4" s="6" t="n">
        <v>51.9726</v>
      </c>
      <c r="AE4" s="7" t="inlineStr">
        <is>
          <t>결산단신 XBRL(거래소 공시, TDnet·JPX 보관소). 쓴 문서: 2026-10-15, 2026-07-15, 2026-04-14, 2026-01-14 외 22건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  <c r="AC5" s="9">
        <f>IF(OR(AC4="",AB4=""),"",IFERROR(AC4/AB4-1,""))</f>
        <v/>
      </c>
      <c r="AD5" s="9">
        <f>IF(OR(AD4="",AC4=""),"",IFERROR(AD4/AC4-1,""))</f>
        <v/>
      </c>
    </row>
    <row r="6">
      <c r="A6" s="5" t="inlineStr">
        <is>
          <t>매출원가</t>
        </is>
      </c>
      <c r="C6" s="6" t="n">
        <v>3.6051</v>
      </c>
      <c r="D6" s="6" t="n">
        <v>2.9434</v>
      </c>
      <c r="E6" s="6" t="n">
        <v>3.8901</v>
      </c>
      <c r="F6" s="6" t="n">
        <v>4.0455</v>
      </c>
      <c r="G6" s="6" t="n">
        <v>3.7055</v>
      </c>
      <c r="H6" s="6" t="n">
        <v>3.7923</v>
      </c>
      <c r="I6" s="6" t="n">
        <v>4.5178</v>
      </c>
      <c r="J6" s="6" t="n">
        <v>4.5485</v>
      </c>
      <c r="K6" s="6" t="n">
        <v>5.2335</v>
      </c>
      <c r="L6" s="6" t="n">
        <v>4.3713</v>
      </c>
      <c r="M6" s="6" t="n">
        <v>4.0683</v>
      </c>
      <c r="N6" s="6" t="n">
        <v>3.9254</v>
      </c>
      <c r="O6" s="6" t="n">
        <v>5.3157</v>
      </c>
      <c r="P6" s="6" t="n">
        <v>4.9943</v>
      </c>
      <c r="Q6" s="6" t="n">
        <v>5.9088</v>
      </c>
      <c r="R6" s="6" t="n">
        <v>5.2115</v>
      </c>
      <c r="S6" s="6" t="n">
        <v>5.3405</v>
      </c>
      <c r="T6" s="6" t="n">
        <v>5.8101</v>
      </c>
      <c r="U6" s="6" t="n">
        <v>5.7218</v>
      </c>
      <c r="V6" s="6" t="n">
        <v>5.843</v>
      </c>
      <c r="W6" s="6" t="n">
        <v>6.1993</v>
      </c>
      <c r="X6" s="6" t="n">
        <v>7.8874</v>
      </c>
      <c r="Y6" s="6" t="n">
        <v>10.1172</v>
      </c>
      <c r="Z6" s="6" t="n">
        <v>14.4842</v>
      </c>
      <c r="AA6" s="6" t="n">
        <v>16.5641</v>
      </c>
      <c r="AB6" s="6" t="n">
        <v>17.5985</v>
      </c>
      <c r="AC6" s="6" t="n">
        <v>21.4303</v>
      </c>
      <c r="AD6" s="6" t="n">
        <v>22.7154</v>
      </c>
    </row>
    <row r="7">
      <c r="A7" s="5" t="inlineStr">
        <is>
          <t>매출총이익</t>
        </is>
      </c>
      <c r="C7" s="6" t="n">
        <v>6.1807</v>
      </c>
      <c r="D7" s="6" t="n">
        <v>5.8424</v>
      </c>
      <c r="E7" s="6" t="n">
        <v>5.6207</v>
      </c>
      <c r="F7" s="6" t="n">
        <v>5.1171</v>
      </c>
      <c r="G7" s="6" t="n">
        <v>4.78</v>
      </c>
      <c r="H7" s="6" t="n">
        <v>5.9028</v>
      </c>
      <c r="I7" s="6" t="n">
        <v>6.0009</v>
      </c>
      <c r="J7" s="6" t="n">
        <v>6.0374</v>
      </c>
      <c r="K7" s="6" t="n">
        <v>5.011</v>
      </c>
      <c r="L7" s="6" t="n">
        <v>6.0351</v>
      </c>
      <c r="M7" s="6" t="n">
        <v>5.2828</v>
      </c>
      <c r="N7" s="6" t="n">
        <v>5.5023</v>
      </c>
      <c r="O7" s="6" t="n">
        <v>6.8262</v>
      </c>
      <c r="P7" s="6" t="n">
        <v>7.5534</v>
      </c>
      <c r="Q7" s="6" t="n">
        <v>7.7522</v>
      </c>
      <c r="R7" s="6" t="n">
        <v>7.2935</v>
      </c>
      <c r="S7" s="6" t="n">
        <v>6.7231</v>
      </c>
      <c r="T7" s="6" t="n">
        <v>7.9123</v>
      </c>
      <c r="U7" s="6" t="n">
        <v>6.9699</v>
      </c>
      <c r="V7" s="6" t="n">
        <v>7.6518</v>
      </c>
      <c r="W7" s="6" t="n">
        <v>10.6334</v>
      </c>
      <c r="X7" s="6" t="n">
        <v>13.5478</v>
      </c>
      <c r="Y7" s="6" t="n">
        <v>17.2955</v>
      </c>
      <c r="Z7" s="6" t="n">
        <v>22.761</v>
      </c>
      <c r="AA7" s="6" t="n">
        <v>22.7211</v>
      </c>
      <c r="AB7" s="6" t="n">
        <v>21.8312</v>
      </c>
      <c r="AC7" s="6" t="n">
        <v>29.4252</v>
      </c>
      <c r="AD7" s="6" t="n">
        <v>29.2572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  <c r="X8" s="9">
        <f>IF(OR(X7="",X4=""),"",IFERROR(X7/X4,""))</f>
        <v/>
      </c>
      <c r="Y8" s="9">
        <f>IF(OR(Y7="",Y4=""),"",IFERROR(Y7/Y4,""))</f>
        <v/>
      </c>
      <c r="Z8" s="9">
        <f>IF(OR(Z7="",Z4=""),"",IFERROR(Z7/Z4,""))</f>
        <v/>
      </c>
      <c r="AA8" s="9">
        <f>IF(OR(AA7="",AA4=""),"",IFERROR(AA7/AA4,""))</f>
        <v/>
      </c>
      <c r="AB8" s="9">
        <f>IF(OR(AB7="",AB4=""),"",IFERROR(AB7/AB4,""))</f>
        <v/>
      </c>
      <c r="AC8" s="9">
        <f>IF(OR(AC7="",AC4=""),"",IFERROR(AC7/AC4,""))</f>
        <v/>
      </c>
      <c r="AD8" s="9">
        <f>IF(OR(AD7="",AD4=""),"",IFERROR(AD7/AD4,""))</f>
        <v/>
      </c>
    </row>
    <row r="9">
      <c r="A9" s="10" t="inlineStr">
        <is>
          <t>판매비와 관리비</t>
        </is>
      </c>
      <c r="C9" s="11" t="n">
        <v>3.9413</v>
      </c>
      <c r="D9" s="11" t="n">
        <v>4.6578</v>
      </c>
      <c r="E9" s="11" t="n">
        <v>5.2206</v>
      </c>
      <c r="F9" s="11" t="n">
        <v>4.9998</v>
      </c>
      <c r="G9" s="11" t="n">
        <v>5.1213</v>
      </c>
      <c r="H9" s="11" t="n">
        <v>4.3747</v>
      </c>
      <c r="I9" s="11" t="n">
        <v>4.5458</v>
      </c>
      <c r="J9" s="11" t="n">
        <v>5.6931</v>
      </c>
      <c r="K9" s="11" t="n">
        <v>5.2941</v>
      </c>
      <c r="L9" s="11" t="n">
        <v>4.9932</v>
      </c>
      <c r="M9" s="11" t="n">
        <v>5.6877</v>
      </c>
      <c r="N9" s="11" t="n">
        <v>5.5109</v>
      </c>
      <c r="O9" s="11" t="n">
        <v>5.5396</v>
      </c>
      <c r="P9" s="11" t="n">
        <v>5.5409</v>
      </c>
      <c r="Q9" s="11" t="n">
        <v>5.9568</v>
      </c>
      <c r="R9" s="11" t="n">
        <v>6.813</v>
      </c>
      <c r="S9" s="11" t="n">
        <v>5.9503</v>
      </c>
      <c r="T9" s="11" t="n">
        <v>6.0586</v>
      </c>
      <c r="U9" s="11" t="n">
        <v>6.2976</v>
      </c>
      <c r="V9" s="11" t="n">
        <v>6.4805</v>
      </c>
      <c r="W9" s="11" t="n">
        <v>9.8794</v>
      </c>
      <c r="X9" s="11" t="n">
        <v>11.3817</v>
      </c>
      <c r="Y9" s="11" t="n">
        <v>13.2334</v>
      </c>
      <c r="Z9" s="11" t="n">
        <v>18.8194</v>
      </c>
      <c r="AA9" s="11" t="n">
        <v>19.7348</v>
      </c>
      <c r="AB9" s="11" t="n">
        <v>21.4859</v>
      </c>
      <c r="AC9" s="11" t="n">
        <v>23.8504</v>
      </c>
      <c r="AD9" s="11" t="n">
        <v>24.787</v>
      </c>
    </row>
    <row r="10">
      <c r="A10" s="5" t="inlineStr">
        <is>
          <t>영업이익</t>
        </is>
      </c>
      <c r="C10" s="6" t="n">
        <v>2.2394</v>
      </c>
      <c r="D10" s="6" t="n">
        <v>1.1846</v>
      </c>
      <c r="E10" s="6" t="n">
        <v>0.4001</v>
      </c>
      <c r="F10" s="6" t="n">
        <v>0.1173</v>
      </c>
      <c r="G10" s="6" t="n">
        <v>-0.3412</v>
      </c>
      <c r="H10" s="6" t="n">
        <v>1.5282</v>
      </c>
      <c r="I10" s="6" t="n">
        <v>1.4551</v>
      </c>
      <c r="J10" s="6" t="n">
        <v>0.3443</v>
      </c>
      <c r="K10" s="6" t="n">
        <v>-0.2831</v>
      </c>
      <c r="L10" s="6" t="n">
        <v>1.0418</v>
      </c>
      <c r="M10" s="6" t="n">
        <v>-0.4049</v>
      </c>
      <c r="N10" s="6" t="n">
        <v>-0.0086</v>
      </c>
      <c r="O10" s="6" t="n">
        <v>1.2866</v>
      </c>
      <c r="P10" s="6" t="n">
        <v>2.0125</v>
      </c>
      <c r="Q10" s="6" t="n">
        <v>1.7954</v>
      </c>
      <c r="R10" s="6" t="n">
        <v>0.4804</v>
      </c>
      <c r="S10" s="6" t="n">
        <v>0.7728</v>
      </c>
      <c r="T10" s="6" t="n">
        <v>1.8537</v>
      </c>
      <c r="U10" s="6" t="n">
        <v>0.6723</v>
      </c>
      <c r="V10" s="6" t="n">
        <v>1.1714</v>
      </c>
      <c r="W10" s="6" t="n">
        <v>0.754</v>
      </c>
      <c r="X10" s="6" t="n">
        <v>2.166</v>
      </c>
      <c r="Y10" s="6" t="n">
        <v>4.0621</v>
      </c>
      <c r="Z10" s="6" t="n">
        <v>3.9415</v>
      </c>
      <c r="AA10" s="6" t="n">
        <v>2.9863</v>
      </c>
      <c r="AB10" s="6" t="n">
        <v>0.3453</v>
      </c>
      <c r="AC10" s="6" t="n">
        <v>5.5748</v>
      </c>
      <c r="AD10" s="6" t="n">
        <v>4.4702</v>
      </c>
    </row>
    <row r="11">
      <c r="A11" s="8" t="inlineStr">
        <is>
          <t>영업이익률</t>
        </is>
      </c>
      <c r="C11" s="9">
        <f>IF(OR(C10="",C4=""),"",IFERROR(C10/C4,""))</f>
        <v/>
      </c>
      <c r="D11" s="9">
        <f>IF(OR(D10="",D4=""),"",IFERROR(D10/D4,""))</f>
        <v/>
      </c>
      <c r="E11" s="9">
        <f>IF(OR(E10="",E4=""),"",IFERROR(E10/E4,""))</f>
        <v/>
      </c>
      <c r="F11" s="9">
        <f>IF(OR(F10="",F4=""),"",IFERROR(F10/F4,""))</f>
        <v/>
      </c>
      <c r="G11" s="9">
        <f>IF(OR(G10="",G4=""),"",IFERROR(G10/G4,""))</f>
        <v/>
      </c>
      <c r="H11" s="9">
        <f>IF(OR(H10="",H4=""),"",IFERROR(H10/H4,""))</f>
        <v/>
      </c>
      <c r="I11" s="9">
        <f>IF(OR(I10="",I4=""),"",IFERROR(I10/I4,""))</f>
        <v/>
      </c>
      <c r="J11" s="9">
        <f>IF(OR(J10="",J4=""),"",IFERROR(J10/J4,""))</f>
        <v/>
      </c>
      <c r="K11" s="9">
        <f>IF(OR(K10="",K4=""),"",IFERROR(K10/K4,""))</f>
        <v/>
      </c>
      <c r="L11" s="9">
        <f>IF(OR(L10="",L4=""),"",IFERROR(L10/L4,""))</f>
        <v/>
      </c>
      <c r="M11" s="9">
        <f>IF(OR(M10="",M4=""),"",IFERROR(M10/M4,""))</f>
        <v/>
      </c>
      <c r="N11" s="9">
        <f>IF(OR(N10="",N4=""),"",IFERROR(N10/N4,""))</f>
        <v/>
      </c>
      <c r="O11" s="9">
        <f>IF(OR(O10="",O4=""),"",IFERROR(O10/O4,""))</f>
        <v/>
      </c>
      <c r="P11" s="9">
        <f>IF(OR(P10="",P4=""),"",IFERROR(P10/P4,""))</f>
        <v/>
      </c>
      <c r="Q11" s="9">
        <f>IF(OR(Q10="",Q4=""),"",IFERROR(Q10/Q4,""))</f>
        <v/>
      </c>
      <c r="R11" s="9">
        <f>IF(OR(R10="",R4=""),"",IFERROR(R10/R4,""))</f>
        <v/>
      </c>
      <c r="S11" s="9">
        <f>IF(OR(S10="",S4=""),"",IFERROR(S10/S4,""))</f>
        <v/>
      </c>
      <c r="T11" s="9">
        <f>IF(OR(T10="",T4=""),"",IFERROR(T10/T4,""))</f>
        <v/>
      </c>
      <c r="U11" s="9">
        <f>IF(OR(U10="",U4=""),"",IFERROR(U10/U4,""))</f>
        <v/>
      </c>
      <c r="V11" s="9">
        <f>IF(OR(V10="",V4=""),"",IFERROR(V10/V4,""))</f>
        <v/>
      </c>
      <c r="W11" s="9">
        <f>IF(OR(W10="",W4=""),"",IFERROR(W10/W4,""))</f>
        <v/>
      </c>
      <c r="X11" s="9">
        <f>IF(OR(X10="",X4=""),"",IFERROR(X10/X4,""))</f>
        <v/>
      </c>
      <c r="Y11" s="9">
        <f>IF(OR(Y10="",Y4=""),"",IFERROR(Y10/Y4,""))</f>
        <v/>
      </c>
      <c r="Z11" s="9">
        <f>IF(OR(Z10="",Z4=""),"",IFERROR(Z10/Z4,""))</f>
        <v/>
      </c>
      <c r="AA11" s="9">
        <f>IF(OR(AA10="",AA4=""),"",IFERROR(AA10/AA4,""))</f>
        <v/>
      </c>
      <c r="AB11" s="9">
        <f>IF(OR(AB10="",AB4=""),"",IFERROR(AB10/AB4,""))</f>
        <v/>
      </c>
      <c r="AC11" s="9">
        <f>IF(OR(AC10="",AC4=""),"",IFERROR(AC10/AC4,""))</f>
        <v/>
      </c>
      <c r="AD11" s="9">
        <f>IF(OR(AD10="",AD4=""),"",IFERROR(AD10/AD4,""))</f>
        <v/>
      </c>
    </row>
    <row r="12">
      <c r="A12" s="8" t="inlineStr">
        <is>
          <t>YoY</t>
        </is>
      </c>
      <c r="G12" s="9">
        <f>IF(OR(G10="",C10=""),"",IFERROR(G10/C10-1,""))</f>
        <v/>
      </c>
      <c r="H12" s="9">
        <f>IF(OR(H10="",D10=""),"",IFERROR(H10/D10-1,""))</f>
        <v/>
      </c>
      <c r="I12" s="9">
        <f>IF(OR(I10="",E10=""),"",IFERROR(I10/E10-1,""))</f>
        <v/>
      </c>
      <c r="J12" s="9">
        <f>IF(OR(J10="",F10=""),"",IFERROR(J10/F10-1,""))</f>
        <v/>
      </c>
      <c r="K12" s="9">
        <f>IF(OR(K10="",G10=""),"",IFERROR(K10/G10-1,""))</f>
        <v/>
      </c>
      <c r="L12" s="9">
        <f>IF(OR(L10="",H10=""),"",IFERROR(L10/H10-1,""))</f>
        <v/>
      </c>
      <c r="M12" s="9">
        <f>IF(OR(M10="",I10=""),"",IFERROR(M10/I10-1,""))</f>
        <v/>
      </c>
      <c r="N12" s="9">
        <f>IF(OR(N10="",J10=""),"",IFERROR(N10/J10-1,""))</f>
        <v/>
      </c>
      <c r="O12" s="9">
        <f>IF(OR(O10="",K10=""),"",IFERROR(O10/K10-1,""))</f>
        <v/>
      </c>
      <c r="P12" s="9">
        <f>IF(OR(P10="",L10=""),"",IFERROR(P10/L10-1,""))</f>
        <v/>
      </c>
      <c r="Q12" s="9">
        <f>IF(OR(Q10="",M10=""),"",IFERROR(Q10/M10-1,""))</f>
        <v/>
      </c>
      <c r="R12" s="9">
        <f>IF(OR(R10="",N10=""),"",IFERROR(R10/N10-1,""))</f>
        <v/>
      </c>
      <c r="S12" s="9">
        <f>IF(OR(S10="",O10=""),"",IFERROR(S10/O10-1,""))</f>
        <v/>
      </c>
      <c r="T12" s="9">
        <f>IF(OR(T10="",P10=""),"",IFERROR(T10/P10-1,""))</f>
        <v/>
      </c>
      <c r="U12" s="9">
        <f>IF(OR(U10="",Q10=""),"",IFERROR(U10/Q10-1,""))</f>
        <v/>
      </c>
      <c r="V12" s="9">
        <f>IF(OR(V10="",R10=""),"",IFERROR(V10/R10-1,""))</f>
        <v/>
      </c>
      <c r="X12" s="9">
        <f>IF(OR(X10="",W10=""),"",IFERROR(X10/W10-1,""))</f>
        <v/>
      </c>
      <c r="Y12" s="9">
        <f>IF(OR(Y10="",X10=""),"",IFERROR(Y10/X10-1,""))</f>
        <v/>
      </c>
      <c r="Z12" s="9">
        <f>IF(OR(Z10="",Y10=""),"",IFERROR(Z10/Y10-1,""))</f>
        <v/>
      </c>
      <c r="AA12" s="9">
        <f>IF(OR(AA10="",Z10=""),"",IFERROR(AA10/Z10-1,""))</f>
        <v/>
      </c>
      <c r="AB12" s="9">
        <f>IF(OR(AB10="",AA10=""),"",IFERROR(AB10/AA10-1,""))</f>
        <v/>
      </c>
      <c r="AC12" s="9">
        <f>IF(OR(AC10="",AB10=""),"",IFERROR(AC10/AB10-1,""))</f>
        <v/>
      </c>
      <c r="AD12" s="9">
        <f>IF(OR(AD10="",AC10=""),"",IFERROR(AD10/AC10-1,""))</f>
        <v/>
      </c>
    </row>
    <row r="13">
      <c r="A13" s="10" t="inlineStr">
        <is>
          <t>이자수익</t>
        </is>
      </c>
      <c r="C13" s="11" t="n">
        <v>0</v>
      </c>
      <c r="D13" s="11" t="n">
        <v>0.0001</v>
      </c>
      <c r="E13" s="11" t="n">
        <v>0</v>
      </c>
      <c r="F13" s="11" t="n">
        <v>0.0001</v>
      </c>
      <c r="G13" s="11" t="n">
        <v>0</v>
      </c>
      <c r="H13" s="11" t="n">
        <v>0.0001</v>
      </c>
      <c r="I13" s="11" t="n">
        <v>0</v>
      </c>
      <c r="J13" s="11" t="n">
        <v>0.0005999999999999999</v>
      </c>
      <c r="K13" s="11" t="n">
        <v>0.0007</v>
      </c>
      <c r="L13" s="11" t="n">
        <v>0.0008</v>
      </c>
      <c r="M13" s="11" t="n">
        <v>0.0007</v>
      </c>
      <c r="N13" s="11" t="n">
        <v>0.0032</v>
      </c>
      <c r="O13" s="11" t="n">
        <v>0.0008</v>
      </c>
      <c r="P13" s="11" t="n">
        <v>0.0149</v>
      </c>
      <c r="Q13" s="11" t="n">
        <v>0.001</v>
      </c>
      <c r="R13" s="11" t="n">
        <v>0.026</v>
      </c>
      <c r="S13" s="11" t="n">
        <v>0.001</v>
      </c>
      <c r="T13" s="11" t="n">
        <v>0.0245</v>
      </c>
      <c r="U13" s="11" t="n">
        <v>0.0011</v>
      </c>
      <c r="V13" s="11" t="n">
        <v>0.0542</v>
      </c>
      <c r="W13" s="11" t="n">
        <v>0.0001</v>
      </c>
      <c r="X13" s="11" t="n">
        <v>0.0001</v>
      </c>
      <c r="Y13" s="11" t="n">
        <v>0.0002</v>
      </c>
      <c r="Z13" s="11" t="n">
        <v>0.0003</v>
      </c>
      <c r="AA13" s="11" t="n">
        <v>0.0007</v>
      </c>
      <c r="AB13" s="11" t="n">
        <v>0.0055</v>
      </c>
      <c r="AC13" s="11" t="n">
        <v>0.0427</v>
      </c>
      <c r="AD13" s="11" t="n">
        <v>0.0808</v>
      </c>
    </row>
    <row r="14">
      <c r="A14" s="10" t="inlineStr">
        <is>
          <t>배당금수익</t>
        </is>
      </c>
      <c r="N14" s="11" t="n">
        <v>0</v>
      </c>
      <c r="O14" s="11" t="n">
        <v>0</v>
      </c>
      <c r="P14" s="11" t="n">
        <v>0</v>
      </c>
      <c r="Q14" s="11" t="n">
        <v>0.1003</v>
      </c>
      <c r="R14" s="11" t="n">
        <v>0.2373</v>
      </c>
      <c r="S14" s="11" t="n">
        <v>0.3317</v>
      </c>
      <c r="T14" s="11" t="n">
        <v>0.3166</v>
      </c>
      <c r="U14" s="11" t="n">
        <v>0.2999</v>
      </c>
      <c r="V14" s="11" t="n">
        <v>0.2996</v>
      </c>
      <c r="AB14" s="11" t="n">
        <v>0</v>
      </c>
      <c r="AC14" s="11" t="n">
        <v>0.3376</v>
      </c>
      <c r="AD14" s="11" t="n">
        <v>1.2478</v>
      </c>
    </row>
    <row r="15">
      <c r="A15" s="10" t="inlineStr">
        <is>
          <t>지분법이익</t>
        </is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0.0146</v>
      </c>
      <c r="H15" s="11" t="n">
        <v>0.0227</v>
      </c>
      <c r="I15" s="11" t="n">
        <v>0.0174</v>
      </c>
      <c r="J15" s="11" t="n">
        <v>0.0231</v>
      </c>
      <c r="K15" s="11" t="n">
        <v>0.027</v>
      </c>
      <c r="L15" s="11" t="n">
        <v>0.0557</v>
      </c>
      <c r="M15" s="11" t="n">
        <v>0.044</v>
      </c>
      <c r="N15" s="11" t="n">
        <v>0.0249</v>
      </c>
      <c r="O15" s="11" t="n">
        <v>0.0641</v>
      </c>
      <c r="P15" s="11" t="n">
        <v>0.0635</v>
      </c>
      <c r="Q15" s="11" t="n">
        <v>0.049</v>
      </c>
      <c r="R15" s="11" t="n">
        <v>0.0409</v>
      </c>
      <c r="S15" s="11" t="n">
        <v>0.0597</v>
      </c>
      <c r="T15" s="11" t="n">
        <v>0.0822</v>
      </c>
      <c r="U15" s="11" t="n">
        <v>0.0385</v>
      </c>
      <c r="V15" s="11" t="n">
        <v>0.051</v>
      </c>
      <c r="Z15" s="11" t="n">
        <v>0</v>
      </c>
      <c r="AA15" s="11" t="n">
        <v>0.07770000000000001</v>
      </c>
      <c r="AB15" s="11" t="n">
        <v>0.1516</v>
      </c>
      <c r="AC15" s="11" t="n">
        <v>0.2174</v>
      </c>
      <c r="AD15" s="11" t="n">
        <v>0.2313</v>
      </c>
    </row>
    <row r="16">
      <c r="A16" s="10" t="inlineStr">
        <is>
          <t>외환차익</t>
        </is>
      </c>
      <c r="E16" s="11" t="n">
        <v>0.0007</v>
      </c>
      <c r="F16" s="11" t="n">
        <v>0.0013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0.0015</v>
      </c>
      <c r="L16" s="11" t="n">
        <v>0.0003</v>
      </c>
      <c r="M16" s="11" t="n">
        <v>0.0005999999999999999</v>
      </c>
      <c r="N16" s="11" t="n">
        <v>-0.0011</v>
      </c>
      <c r="O16" s="11" t="n">
        <v>0.0005</v>
      </c>
      <c r="P16" s="11" t="n">
        <v>-0.0001</v>
      </c>
      <c r="Q16" s="11" t="n">
        <v>0.0013</v>
      </c>
      <c r="R16" s="11" t="n">
        <v>0.0019</v>
      </c>
      <c r="S16" s="11" t="n">
        <v>0.0028</v>
      </c>
      <c r="T16" s="11" t="n">
        <v>0.0005</v>
      </c>
      <c r="U16" s="11" t="n">
        <v>0.0005999999999999999</v>
      </c>
      <c r="V16" s="11" t="n">
        <v>0</v>
      </c>
      <c r="W16" s="11" t="n">
        <v>0</v>
      </c>
      <c r="X16" s="11" t="n">
        <v>0.0305</v>
      </c>
      <c r="Y16" s="11" t="n">
        <v>0.0146</v>
      </c>
      <c r="Z16" s="11" t="n">
        <v>0.002</v>
      </c>
      <c r="AA16" s="11" t="n">
        <v>0</v>
      </c>
      <c r="AB16" s="11" t="n">
        <v>0.0013</v>
      </c>
      <c r="AC16" s="11" t="n">
        <v>0.0037</v>
      </c>
      <c r="AD16" s="11" t="n">
        <v>0.0039</v>
      </c>
    </row>
    <row r="17">
      <c r="A17" s="10" t="inlineStr">
        <is>
          <t>보조금 수입</t>
        </is>
      </c>
      <c r="W17" s="11" t="n">
        <v>0.1456</v>
      </c>
      <c r="X17" s="11" t="n">
        <v>0.09660000000000001</v>
      </c>
      <c r="Y17" s="11" t="n">
        <v>0.0207</v>
      </c>
      <c r="Z17" s="11" t="n">
        <v>0</v>
      </c>
    </row>
    <row r="18">
      <c r="A18" s="10" t="inlineStr">
        <is>
          <t>임대료 수익</t>
        </is>
      </c>
      <c r="C18" s="11" t="n">
        <v>0.0254</v>
      </c>
      <c r="D18" s="11" t="n">
        <v>0.0253</v>
      </c>
      <c r="E18" s="11" t="n">
        <v>0.0267</v>
      </c>
      <c r="F18" s="11" t="n">
        <v>0.0272</v>
      </c>
      <c r="G18" s="11" t="n">
        <v>0</v>
      </c>
      <c r="H18" s="11" t="n">
        <v>0</v>
      </c>
      <c r="I18" s="11" t="n">
        <v>0</v>
      </c>
      <c r="J18" s="11" t="n">
        <v>0</v>
      </c>
      <c r="W18" s="11" t="n">
        <v>0.0145</v>
      </c>
      <c r="X18" s="11" t="n">
        <v>0</v>
      </c>
      <c r="Y18" s="11" t="n">
        <v>0.04</v>
      </c>
      <c r="Z18" s="11" t="n">
        <v>0.1046</v>
      </c>
      <c r="AA18" s="11" t="n">
        <v>0</v>
      </c>
    </row>
    <row r="19">
      <c r="A19" s="10" t="inlineStr">
        <is>
          <t>기타</t>
        </is>
      </c>
      <c r="C19" s="11" t="n">
        <v>0.0043</v>
      </c>
      <c r="D19" s="11" t="n">
        <v>0.003</v>
      </c>
      <c r="E19" s="11" t="n">
        <v>0.0054</v>
      </c>
      <c r="F19" s="11" t="n">
        <v>0.0026</v>
      </c>
      <c r="G19" s="11" t="n">
        <v>0.0137</v>
      </c>
      <c r="H19" s="11" t="n">
        <v>0.0208</v>
      </c>
      <c r="I19" s="11" t="n">
        <v>0.0042</v>
      </c>
      <c r="J19" s="11" t="n">
        <v>0.0023</v>
      </c>
      <c r="K19" s="11" t="n">
        <v>0.0039</v>
      </c>
      <c r="L19" s="11" t="n">
        <v>0.0147</v>
      </c>
      <c r="M19" s="11" t="n">
        <v>0.0027</v>
      </c>
      <c r="N19" s="11" t="n">
        <v>0.0073</v>
      </c>
      <c r="O19" s="11" t="n">
        <v>0.0108</v>
      </c>
      <c r="P19" s="11" t="n">
        <v>0.017</v>
      </c>
      <c r="Q19" s="11" t="n">
        <v>0.0012</v>
      </c>
      <c r="R19" s="11" t="n">
        <v>0.0052</v>
      </c>
      <c r="S19" s="11" t="n">
        <v>0.0091</v>
      </c>
      <c r="T19" s="11" t="n">
        <v>0.0179</v>
      </c>
      <c r="U19" s="11" t="n">
        <v>0.0108</v>
      </c>
      <c r="V19" s="11" t="n">
        <v>0.0116</v>
      </c>
      <c r="W19" s="11" t="n">
        <v>0.0104</v>
      </c>
      <c r="X19" s="11" t="n">
        <v>0.005</v>
      </c>
      <c r="Y19" s="11" t="n">
        <v>0.0195</v>
      </c>
      <c r="Z19" s="11" t="n">
        <v>0.0153</v>
      </c>
      <c r="AA19" s="11" t="n">
        <v>0.0411</v>
      </c>
      <c r="AB19" s="11" t="n">
        <v>0.0288</v>
      </c>
      <c r="AC19" s="11" t="n">
        <v>0.0342</v>
      </c>
      <c r="AD19" s="11" t="n">
        <v>0.0493</v>
      </c>
    </row>
    <row r="20">
      <c r="A20" s="5" t="inlineStr">
        <is>
          <t>영업외수익 합계</t>
        </is>
      </c>
      <c r="C20" s="6" t="n">
        <v>0.0297</v>
      </c>
      <c r="D20" s="6" t="n">
        <v>0.0284</v>
      </c>
      <c r="E20" s="6" t="n">
        <v>0.0328</v>
      </c>
      <c r="F20" s="6" t="n">
        <v>0.0312</v>
      </c>
      <c r="G20" s="6" t="n">
        <v>0.0283</v>
      </c>
      <c r="H20" s="6" t="n">
        <v>0.0436</v>
      </c>
      <c r="I20" s="6" t="n">
        <v>0.0216</v>
      </c>
      <c r="J20" s="6" t="n">
        <v>0.026</v>
      </c>
      <c r="K20" s="6" t="n">
        <v>0.0331</v>
      </c>
      <c r="L20" s="6" t="n">
        <v>0.0717</v>
      </c>
      <c r="M20" s="6" t="n">
        <v>0.048</v>
      </c>
      <c r="N20" s="6" t="n">
        <v>0.0344</v>
      </c>
      <c r="O20" s="6" t="n">
        <v>0.0762</v>
      </c>
      <c r="P20" s="6" t="n">
        <v>0.0953</v>
      </c>
      <c r="Q20" s="6" t="n">
        <v>0.1528</v>
      </c>
      <c r="R20" s="6" t="n">
        <v>0.3113</v>
      </c>
      <c r="S20" s="6" t="n">
        <v>0.4043</v>
      </c>
      <c r="T20" s="6" t="n">
        <v>0.4416</v>
      </c>
      <c r="U20" s="6" t="n">
        <v>0.351</v>
      </c>
      <c r="V20" s="6" t="n">
        <v>0.4163</v>
      </c>
      <c r="W20" s="6" t="n">
        <v>0.1707</v>
      </c>
      <c r="X20" s="6" t="n">
        <v>0.1322</v>
      </c>
      <c r="Y20" s="6" t="n">
        <v>0.095</v>
      </c>
      <c r="Z20" s="6" t="n">
        <v>0.1221</v>
      </c>
      <c r="AA20" s="6" t="n">
        <v>0.1195</v>
      </c>
      <c r="AB20" s="6" t="n">
        <v>0.1872</v>
      </c>
      <c r="AC20" s="6" t="n">
        <v>0.6356000000000001</v>
      </c>
      <c r="AD20" s="6" t="n">
        <v>1.6132</v>
      </c>
    </row>
    <row r="21">
      <c r="A21" s="10" t="inlineStr">
        <is>
          <t>이자비용</t>
        </is>
      </c>
      <c r="C21" s="11" t="n">
        <v>0.012</v>
      </c>
      <c r="D21" s="11" t="n">
        <v>0.0108</v>
      </c>
      <c r="E21" s="11" t="n">
        <v>0.0108</v>
      </c>
      <c r="F21" s="11" t="n">
        <v>0.01</v>
      </c>
      <c r="G21" s="11" t="n">
        <v>0.004</v>
      </c>
      <c r="H21" s="11" t="n">
        <v>0.0034</v>
      </c>
      <c r="I21" s="11" t="n">
        <v>0.0031</v>
      </c>
      <c r="J21" s="11" t="n">
        <v>0.0027</v>
      </c>
      <c r="K21" s="11" t="n">
        <v>0.0024</v>
      </c>
      <c r="L21" s="11" t="n">
        <v>0.0019</v>
      </c>
      <c r="M21" s="11" t="n">
        <v>0.0055</v>
      </c>
      <c r="N21" s="11" t="n">
        <v>0.0056</v>
      </c>
      <c r="O21" s="11" t="n">
        <v>0.0057</v>
      </c>
      <c r="P21" s="11" t="n">
        <v>0.0064</v>
      </c>
      <c r="Q21" s="11" t="n">
        <v>0.0064</v>
      </c>
      <c r="R21" s="11" t="n">
        <v>0.0054</v>
      </c>
      <c r="S21" s="11" t="n">
        <v>0.0054</v>
      </c>
      <c r="T21" s="11" t="n">
        <v>0.0054</v>
      </c>
      <c r="U21" s="11" t="n">
        <v>0.005</v>
      </c>
      <c r="V21" s="11" t="n">
        <v>0.003</v>
      </c>
      <c r="W21" s="11" t="n">
        <v>0.0564</v>
      </c>
      <c r="X21" s="11" t="n">
        <v>0.0984</v>
      </c>
      <c r="Y21" s="11" t="n">
        <v>0.0542</v>
      </c>
      <c r="Z21" s="11" t="n">
        <v>0.0436</v>
      </c>
      <c r="AA21" s="11" t="n">
        <v>0.0133</v>
      </c>
      <c r="AB21" s="11" t="n">
        <v>0.0154</v>
      </c>
      <c r="AC21" s="11" t="n">
        <v>0.0239</v>
      </c>
      <c r="AD21" s="11" t="n">
        <v>0.0187</v>
      </c>
    </row>
    <row r="22">
      <c r="A22" s="10" t="inlineStr">
        <is>
          <t>상장비용</t>
        </is>
      </c>
      <c r="W22" s="11" t="n">
        <v>0</v>
      </c>
      <c r="X22" s="11" t="n">
        <v>0.0333</v>
      </c>
      <c r="Y22" s="11" t="n">
        <v>0</v>
      </c>
    </row>
    <row r="23">
      <c r="A23" s="10" t="inlineStr">
        <is>
          <t>외환차손</t>
        </is>
      </c>
      <c r="C23" s="11" t="n">
        <v>0.0002</v>
      </c>
      <c r="D23" s="11" t="n">
        <v>0.0001</v>
      </c>
      <c r="E23" s="11" t="n">
        <v>-0.0002</v>
      </c>
      <c r="F23" s="11" t="n">
        <v>0</v>
      </c>
      <c r="G23" s="11" t="n">
        <v>0.0013</v>
      </c>
      <c r="H23" s="11" t="n">
        <v>0.0008</v>
      </c>
      <c r="I23" s="11" t="n">
        <v>-0.0005999999999999999</v>
      </c>
      <c r="J23" s="11" t="n">
        <v>-0.0013</v>
      </c>
      <c r="K23" s="11" t="n">
        <v>0</v>
      </c>
      <c r="L23" s="11" t="n">
        <v>0</v>
      </c>
      <c r="M23" s="11" t="n">
        <v>0</v>
      </c>
      <c r="N23" s="11" t="n">
        <v>0</v>
      </c>
      <c r="W23" s="11" t="n">
        <v>0.0316</v>
      </c>
      <c r="X23" s="11" t="n">
        <v>0</v>
      </c>
      <c r="Z23" s="11" t="n">
        <v>0</v>
      </c>
      <c r="AA23" s="11" t="n">
        <v>0.0002</v>
      </c>
      <c r="AB23" s="11" t="n">
        <v>0</v>
      </c>
    </row>
    <row r="24">
      <c r="A24" s="10" t="inlineStr">
        <is>
          <t>주식교부비</t>
        </is>
      </c>
      <c r="C24" s="11" t="n">
        <v>0.0005</v>
      </c>
      <c r="D24" s="11" t="n">
        <v>0.0292</v>
      </c>
      <c r="E24" s="11" t="n">
        <v>0.0007</v>
      </c>
      <c r="F24" s="11" t="n">
        <v>0.0005</v>
      </c>
      <c r="G24" s="11" t="n">
        <v>0.0008</v>
      </c>
      <c r="H24" s="11" t="n">
        <v>0.0004</v>
      </c>
      <c r="I24" s="11" t="n">
        <v>0.0808</v>
      </c>
      <c r="J24" s="11" t="n">
        <v>0.0004</v>
      </c>
      <c r="K24" s="11" t="n">
        <v>0.0005999999999999999</v>
      </c>
      <c r="L24" s="11" t="n">
        <v>0.0003</v>
      </c>
      <c r="M24" s="11" t="n">
        <v>0.0001</v>
      </c>
      <c r="N24" s="11" t="n">
        <v>0.0005999999999999999</v>
      </c>
      <c r="O24" s="11" t="n">
        <v>0</v>
      </c>
      <c r="P24" s="11" t="n">
        <v>0</v>
      </c>
      <c r="Q24" s="11" t="n">
        <v>0.0003</v>
      </c>
      <c r="R24" s="11" t="n">
        <v>0.0001</v>
      </c>
      <c r="S24" s="11" t="n">
        <v>0.0003</v>
      </c>
      <c r="T24" s="11" t="n">
        <v>-0</v>
      </c>
      <c r="U24" s="11" t="n">
        <v>0</v>
      </c>
      <c r="V24" s="11" t="n">
        <v>0</v>
      </c>
      <c r="W24" s="11" t="n">
        <v>0</v>
      </c>
      <c r="X24" s="11" t="n">
        <v>0.0409</v>
      </c>
      <c r="Y24" s="11" t="n">
        <v>0.0743</v>
      </c>
      <c r="Z24" s="11" t="n">
        <v>0.0309</v>
      </c>
      <c r="AA24" s="11" t="n">
        <v>0.0824</v>
      </c>
      <c r="AB24" s="11" t="n">
        <v>0.0017</v>
      </c>
      <c r="AC24" s="11" t="n">
        <v>0.0004</v>
      </c>
      <c r="AD24" s="11" t="n">
        <v>0.0003</v>
      </c>
    </row>
    <row r="25">
      <c r="A25" s="10" t="inlineStr">
        <is>
          <t>신주예약권 발행비</t>
        </is>
      </c>
      <c r="E25" s="11" t="n">
        <v>0</v>
      </c>
      <c r="F25" s="11" t="n">
        <v>0.0061</v>
      </c>
      <c r="I25" s="11" t="n">
        <v>0</v>
      </c>
      <c r="J25" s="11" t="n">
        <v>0</v>
      </c>
      <c r="M25" s="11" t="n">
        <v>0</v>
      </c>
      <c r="N25" s="11" t="n">
        <v>0</v>
      </c>
      <c r="Q25" s="11" t="n">
        <v>0</v>
      </c>
      <c r="R25" s="11" t="n">
        <v>0</v>
      </c>
      <c r="U25" s="11" t="n">
        <v>0</v>
      </c>
      <c r="V25" s="11" t="n">
        <v>0</v>
      </c>
      <c r="X25" s="11" t="n">
        <v>0</v>
      </c>
      <c r="Y25" s="11" t="n">
        <v>0.0703</v>
      </c>
      <c r="Z25" s="11" t="n">
        <v>0.0061</v>
      </c>
      <c r="AA25" s="11" t="n">
        <v>0</v>
      </c>
      <c r="AB25" s="11" t="n">
        <v>0.0055</v>
      </c>
      <c r="AC25" s="11" t="n">
        <v>0.0055</v>
      </c>
      <c r="AD25" s="11" t="n">
        <v>0.0055</v>
      </c>
    </row>
    <row r="26">
      <c r="A26" s="10" t="inlineStr">
        <is>
          <t>지분법손실</t>
        </is>
      </c>
      <c r="F26" s="11" t="n">
        <v>-0.0132</v>
      </c>
      <c r="J26" s="11" t="n">
        <v>0</v>
      </c>
      <c r="Y26" s="11" t="n">
        <v>0</v>
      </c>
      <c r="Z26" s="11" t="n">
        <v>0.0056</v>
      </c>
      <c r="AA26" s="11" t="n">
        <v>0</v>
      </c>
    </row>
    <row r="27">
      <c r="A27" s="10" t="inlineStr">
        <is>
          <t>위약금</t>
        </is>
      </c>
      <c r="AB27" s="11" t="n">
        <v>0</v>
      </c>
      <c r="AC27" s="11" t="n">
        <v>0.0166</v>
      </c>
      <c r="AD27" s="11" t="n">
        <v>0</v>
      </c>
    </row>
    <row r="28">
      <c r="A28" s="10" t="inlineStr">
        <is>
          <t>투자조합 운용손실</t>
        </is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0.0451</v>
      </c>
      <c r="L28" s="11" t="n">
        <v>0.0165</v>
      </c>
      <c r="M28" s="11" t="n">
        <v>0</v>
      </c>
      <c r="N28" s="11" t="n">
        <v>-0.0334</v>
      </c>
      <c r="O28" s="11" t="n">
        <v>0.032</v>
      </c>
      <c r="P28" s="11" t="n">
        <v>0.0025</v>
      </c>
      <c r="Q28" s="11" t="n">
        <v>0</v>
      </c>
      <c r="R28" s="11" t="n">
        <v>-0.0194</v>
      </c>
      <c r="S28" s="11" t="n">
        <v>0.0993</v>
      </c>
      <c r="T28" s="11" t="n">
        <v>-0.009900000000000001</v>
      </c>
      <c r="U28" s="11" t="n">
        <v>0</v>
      </c>
      <c r="V28" s="11" t="n">
        <v>0.0036</v>
      </c>
      <c r="AA28" s="11" t="n">
        <v>0</v>
      </c>
      <c r="AB28" s="11" t="n">
        <v>0.0282</v>
      </c>
      <c r="AC28" s="11" t="n">
        <v>0.0151</v>
      </c>
      <c r="AD28" s="11" t="n">
        <v>0.0931</v>
      </c>
    </row>
    <row r="29">
      <c r="A29" s="10" t="inlineStr">
        <is>
          <t>지급수수료</t>
        </is>
      </c>
      <c r="K29" s="11" t="n">
        <v>0</v>
      </c>
      <c r="L29" s="11" t="n">
        <v>0.0066</v>
      </c>
      <c r="M29" s="11" t="n">
        <v>-0.0066</v>
      </c>
      <c r="N29" s="11" t="n">
        <v>0.0092</v>
      </c>
      <c r="O29" s="11" t="n">
        <v>0.008800000000000001</v>
      </c>
      <c r="P29" s="11" t="n">
        <v>0.0044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  <c r="V29" s="11" t="n">
        <v>0.0016</v>
      </c>
      <c r="AA29" s="11" t="n">
        <v>0</v>
      </c>
      <c r="AB29" s="11" t="n">
        <v>0.0092</v>
      </c>
      <c r="AC29" s="11" t="n">
        <v>0.0132</v>
      </c>
      <c r="AD29" s="11" t="n">
        <v>0.0016</v>
      </c>
    </row>
    <row r="30">
      <c r="A30" s="10" t="inlineStr">
        <is>
          <t>기타</t>
        </is>
      </c>
      <c r="C30" s="11" t="n">
        <v>0.0013</v>
      </c>
      <c r="D30" s="11" t="n">
        <v>0.0135</v>
      </c>
      <c r="E30" s="11" t="n">
        <v>0.0025</v>
      </c>
      <c r="F30" s="11" t="n">
        <v>0.0059</v>
      </c>
      <c r="G30" s="11" t="n">
        <v>0.0026</v>
      </c>
      <c r="H30" s="11" t="n">
        <v>0.0104</v>
      </c>
      <c r="I30" s="11" t="n">
        <v>0.0032</v>
      </c>
      <c r="J30" s="11" t="n">
        <v>0.0036</v>
      </c>
      <c r="K30" s="11" t="n">
        <v>0.0002</v>
      </c>
      <c r="L30" s="11" t="n">
        <v>0</v>
      </c>
      <c r="M30" s="11" t="n">
        <v>0.0092</v>
      </c>
      <c r="N30" s="11" t="n">
        <v>-0.0039</v>
      </c>
      <c r="O30" s="11" t="n">
        <v>0</v>
      </c>
      <c r="P30" s="11" t="n">
        <v>0.0017</v>
      </c>
      <c r="Q30" s="11" t="n">
        <v>0.0015</v>
      </c>
      <c r="R30" s="11" t="n">
        <v>0.0022</v>
      </c>
      <c r="S30" s="11" t="n">
        <v>0</v>
      </c>
      <c r="T30" s="11" t="n">
        <v>0</v>
      </c>
      <c r="U30" s="11" t="n">
        <v>0.0056</v>
      </c>
      <c r="V30" s="11" t="n">
        <v>0.0104</v>
      </c>
      <c r="W30" s="11" t="n">
        <v>0</v>
      </c>
      <c r="X30" s="11" t="n">
        <v>0.0062</v>
      </c>
      <c r="Y30" s="11" t="n">
        <v>0.0192</v>
      </c>
      <c r="Z30" s="11" t="n">
        <v>0.0232</v>
      </c>
      <c r="AA30" s="11" t="n">
        <v>0.0197</v>
      </c>
      <c r="AB30" s="11" t="n">
        <v>0.0055</v>
      </c>
      <c r="AC30" s="11" t="n">
        <v>0.0054</v>
      </c>
      <c r="AD30" s="11" t="n">
        <v>0.016</v>
      </c>
    </row>
    <row r="31">
      <c r="A31" s="10" t="inlineStr">
        <is>
          <t>영업외비용 합계</t>
        </is>
      </c>
      <c r="C31" s="11" t="n">
        <v>0.014</v>
      </c>
      <c r="D31" s="11" t="n">
        <v>0.0536</v>
      </c>
      <c r="E31" s="11" t="n">
        <v>0.0326</v>
      </c>
      <c r="F31" s="11" t="n">
        <v>0.0092</v>
      </c>
      <c r="G31" s="11" t="n">
        <v>0.0086</v>
      </c>
      <c r="H31" s="11" t="n">
        <v>0.015</v>
      </c>
      <c r="I31" s="11" t="n">
        <v>0.0866</v>
      </c>
      <c r="J31" s="11" t="n">
        <v>0.0055</v>
      </c>
      <c r="K31" s="11" t="n">
        <v>0.0483</v>
      </c>
      <c r="L31" s="11" t="n">
        <v>0.0309</v>
      </c>
      <c r="M31" s="11" t="n">
        <v>0.008200000000000001</v>
      </c>
      <c r="N31" s="11" t="n">
        <v>-0.0219</v>
      </c>
      <c r="O31" s="11" t="n">
        <v>0.0465</v>
      </c>
      <c r="P31" s="11" t="n">
        <v>0.0204</v>
      </c>
      <c r="Q31" s="11" t="n">
        <v>0.008200000000000001</v>
      </c>
      <c r="R31" s="11" t="n">
        <v>0.005</v>
      </c>
      <c r="S31" s="11" t="n">
        <v>0.1051</v>
      </c>
      <c r="T31" s="11" t="n">
        <v>0.001</v>
      </c>
      <c r="U31" s="11" t="n">
        <v>0.0106</v>
      </c>
      <c r="V31" s="11" t="n">
        <v>0.0186</v>
      </c>
      <c r="W31" s="11" t="n">
        <v>0.08799999999999999</v>
      </c>
      <c r="X31" s="11" t="n">
        <v>0.1787</v>
      </c>
      <c r="Y31" s="11" t="n">
        <v>0.2181</v>
      </c>
      <c r="Z31" s="11" t="n">
        <v>0.1094</v>
      </c>
      <c r="AA31" s="11" t="n">
        <v>0.1157</v>
      </c>
      <c r="AB31" s="11" t="n">
        <v>0.0654</v>
      </c>
      <c r="AC31" s="11" t="n">
        <v>0.08019999999999999</v>
      </c>
      <c r="AD31" s="11" t="n">
        <v>0.1353</v>
      </c>
    </row>
    <row r="32">
      <c r="A32" s="5" t="inlineStr">
        <is>
          <t>경상이익</t>
        </is>
      </c>
      <c r="C32" s="6" t="n">
        <v>2.2552</v>
      </c>
      <c r="D32" s="6" t="n">
        <v>1.1594</v>
      </c>
      <c r="E32" s="6" t="n">
        <v>0.4003</v>
      </c>
      <c r="F32" s="6" t="n">
        <v>0.1394</v>
      </c>
      <c r="G32" s="6" t="n">
        <v>-0.3216</v>
      </c>
      <c r="H32" s="6" t="n">
        <v>1.5568</v>
      </c>
      <c r="I32" s="6" t="n">
        <v>1.3901</v>
      </c>
      <c r="J32" s="6" t="n">
        <v>0.3648</v>
      </c>
      <c r="K32" s="6" t="n">
        <v>-0.2982</v>
      </c>
      <c r="L32" s="6" t="n">
        <v>1.0826</v>
      </c>
      <c r="M32" s="6" t="n">
        <v>-0.3651</v>
      </c>
      <c r="N32" s="6" t="n">
        <v>0.0477</v>
      </c>
      <c r="O32" s="6" t="n">
        <v>1.3162</v>
      </c>
      <c r="P32" s="6" t="n">
        <v>2.0873</v>
      </c>
      <c r="Q32" s="6" t="n">
        <v>1.9399</v>
      </c>
      <c r="R32" s="6" t="n">
        <v>0.7867</v>
      </c>
      <c r="S32" s="6" t="n">
        <v>1.072</v>
      </c>
      <c r="T32" s="6" t="n">
        <v>2.2944</v>
      </c>
      <c r="U32" s="6" t="n">
        <v>1.0127</v>
      </c>
      <c r="V32" s="6" t="n">
        <v>1.569</v>
      </c>
      <c r="W32" s="6" t="n">
        <v>0.8368</v>
      </c>
      <c r="X32" s="6" t="n">
        <v>2.1195</v>
      </c>
      <c r="Y32" s="6" t="n">
        <v>3.9391</v>
      </c>
      <c r="Z32" s="6" t="n">
        <v>3.9542</v>
      </c>
      <c r="AA32" s="6" t="n">
        <v>2.9902</v>
      </c>
      <c r="AB32" s="6" t="n">
        <v>0.467</v>
      </c>
      <c r="AC32" s="6" t="n">
        <v>6.1302</v>
      </c>
      <c r="AD32" s="6" t="n">
        <v>5.948</v>
      </c>
    </row>
    <row r="33">
      <c r="A33" s="8" t="inlineStr">
        <is>
          <t>경상이익률</t>
        </is>
      </c>
      <c r="C33" s="9">
        <f>IF(OR(C32="",C4=""),"",IFERROR(C32/C4,""))</f>
        <v/>
      </c>
      <c r="D33" s="9">
        <f>IF(OR(D32="",D4=""),"",IFERROR(D32/D4,""))</f>
        <v/>
      </c>
      <c r="E33" s="9">
        <f>IF(OR(E32="",E4=""),"",IFERROR(E32/E4,""))</f>
        <v/>
      </c>
      <c r="F33" s="9">
        <f>IF(OR(F32="",F4=""),"",IFERROR(F32/F4,""))</f>
        <v/>
      </c>
      <c r="G33" s="9">
        <f>IF(OR(G32="",G4=""),"",IFERROR(G32/G4,""))</f>
        <v/>
      </c>
      <c r="H33" s="9">
        <f>IF(OR(H32="",H4=""),"",IFERROR(H32/H4,""))</f>
        <v/>
      </c>
      <c r="I33" s="9">
        <f>IF(OR(I32="",I4=""),"",IFERROR(I32/I4,""))</f>
        <v/>
      </c>
      <c r="J33" s="9">
        <f>IF(OR(J32="",J4=""),"",IFERROR(J32/J4,""))</f>
        <v/>
      </c>
      <c r="K33" s="9">
        <f>IF(OR(K32="",K4=""),"",IFERROR(K32/K4,""))</f>
        <v/>
      </c>
      <c r="L33" s="9">
        <f>IF(OR(L32="",L4=""),"",IFERROR(L32/L4,""))</f>
        <v/>
      </c>
      <c r="M33" s="9">
        <f>IF(OR(M32="",M4=""),"",IFERROR(M32/M4,""))</f>
        <v/>
      </c>
      <c r="N33" s="9">
        <f>IF(OR(N32="",N4=""),"",IFERROR(N32/N4,""))</f>
        <v/>
      </c>
      <c r="O33" s="9">
        <f>IF(OR(O32="",O4=""),"",IFERROR(O32/O4,""))</f>
        <v/>
      </c>
      <c r="P33" s="9">
        <f>IF(OR(P32="",P4=""),"",IFERROR(P32/P4,""))</f>
        <v/>
      </c>
      <c r="Q33" s="9">
        <f>IF(OR(Q32="",Q4=""),"",IFERROR(Q32/Q4,""))</f>
        <v/>
      </c>
      <c r="R33" s="9">
        <f>IF(OR(R32="",R4=""),"",IFERROR(R32/R4,""))</f>
        <v/>
      </c>
      <c r="S33" s="9">
        <f>IF(OR(S32="",S4=""),"",IFERROR(S32/S4,""))</f>
        <v/>
      </c>
      <c r="T33" s="9">
        <f>IF(OR(T32="",T4=""),"",IFERROR(T32/T4,""))</f>
        <v/>
      </c>
      <c r="U33" s="9">
        <f>IF(OR(U32="",U4=""),"",IFERROR(U32/U4,""))</f>
        <v/>
      </c>
      <c r="V33" s="9">
        <f>IF(OR(V32="",V4=""),"",IFERROR(V32/V4,""))</f>
        <v/>
      </c>
      <c r="W33" s="9">
        <f>IF(OR(W32="",W4=""),"",IFERROR(W32/W4,""))</f>
        <v/>
      </c>
      <c r="X33" s="9">
        <f>IF(OR(X32="",X4=""),"",IFERROR(X32/X4,""))</f>
        <v/>
      </c>
      <c r="Y33" s="9">
        <f>IF(OR(Y32="",Y4=""),"",IFERROR(Y32/Y4,""))</f>
        <v/>
      </c>
      <c r="Z33" s="9">
        <f>IF(OR(Z32="",Z4=""),"",IFERROR(Z32/Z4,""))</f>
        <v/>
      </c>
      <c r="AA33" s="9">
        <f>IF(OR(AA32="",AA4=""),"",IFERROR(AA32/AA4,""))</f>
        <v/>
      </c>
      <c r="AB33" s="9">
        <f>IF(OR(AB32="",AB4=""),"",IFERROR(AB32/AB4,""))</f>
        <v/>
      </c>
      <c r="AC33" s="9">
        <f>IF(OR(AC32="",AC4=""),"",IFERROR(AC32/AC4,""))</f>
        <v/>
      </c>
      <c r="AD33" s="9">
        <f>IF(OR(AD32="",AD4=""),"",IFERROR(AD32/AD4,""))</f>
        <v/>
      </c>
    </row>
    <row r="34">
      <c r="A34" s="10" t="inlineStr">
        <is>
          <t>사업소 폐쇄손실</t>
        </is>
      </c>
      <c r="W34" s="11" t="n">
        <v>0</v>
      </c>
      <c r="X34" s="11" t="n">
        <v>0.1023</v>
      </c>
      <c r="Y34" s="11" t="n">
        <v>0</v>
      </c>
    </row>
    <row r="35">
      <c r="A35" s="10" t="inlineStr">
        <is>
          <t>투자유가증권 매각이익</t>
        </is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0.05</v>
      </c>
      <c r="T35" s="11" t="n">
        <v>0</v>
      </c>
      <c r="U35" s="11" t="n">
        <v>0</v>
      </c>
      <c r="V35" s="11" t="n">
        <v>0</v>
      </c>
      <c r="AC35" s="11" t="n">
        <v>0</v>
      </c>
      <c r="AD35" s="11" t="n">
        <v>0.05</v>
      </c>
    </row>
    <row r="36">
      <c r="A36" s="10" t="inlineStr">
        <is>
          <t>관계회사 주식 매각이익</t>
        </is>
      </c>
      <c r="AC36" s="11" t="n">
        <v>0</v>
      </c>
      <c r="AD36" s="11" t="n">
        <v>0.0872</v>
      </c>
    </row>
    <row r="37">
      <c r="A37" s="10" t="inlineStr">
        <is>
          <t>자산복구부채 환입이익</t>
        </is>
      </c>
      <c r="AC37" s="11" t="n">
        <v>0</v>
      </c>
      <c r="AD37" s="11" t="n">
        <v>0.0259</v>
      </c>
    </row>
    <row r="38">
      <c r="A38" s="10" t="inlineStr">
        <is>
          <t>관계회사 청산이익</t>
        </is>
      </c>
      <c r="M38" s="11" t="n">
        <v>0</v>
      </c>
      <c r="N38" s="11" t="n">
        <v>0</v>
      </c>
      <c r="Q38" s="11" t="n">
        <v>0</v>
      </c>
      <c r="R38" s="11" t="n">
        <v>0</v>
      </c>
      <c r="U38" s="11" t="n">
        <v>0</v>
      </c>
      <c r="V38" s="11" t="n">
        <v>0</v>
      </c>
      <c r="AB38" s="11" t="n">
        <v>0</v>
      </c>
      <c r="AC38" s="11" t="n">
        <v>0.0097</v>
      </c>
      <c r="AD38" s="11" t="n">
        <v>0</v>
      </c>
    </row>
    <row r="39">
      <c r="A39" s="10" t="inlineStr">
        <is>
          <t>신주예약권 환입이익</t>
        </is>
      </c>
      <c r="I39" s="11" t="n">
        <v>0</v>
      </c>
      <c r="J39" s="11" t="n">
        <v>0</v>
      </c>
      <c r="K39" s="11" t="n">
        <v>0</v>
      </c>
      <c r="L39" s="11" t="n">
        <v>0.0027</v>
      </c>
      <c r="M39" s="11" t="n">
        <v>0.0059</v>
      </c>
      <c r="N39" s="11" t="n">
        <v>-0.0014</v>
      </c>
      <c r="O39" s="11" t="n">
        <v>0.0255</v>
      </c>
      <c r="P39" s="11" t="n">
        <v>0.005</v>
      </c>
      <c r="Q39" s="11" t="n">
        <v>0.0378</v>
      </c>
      <c r="R39" s="11" t="n">
        <v>0.0033</v>
      </c>
      <c r="S39" s="11" t="n">
        <v>0.0027</v>
      </c>
      <c r="T39" s="11" t="n">
        <v>0.005</v>
      </c>
      <c r="U39" s="11" t="n">
        <v>0</v>
      </c>
      <c r="V39" s="11" t="n">
        <v>0</v>
      </c>
      <c r="AA39" s="11" t="n">
        <v>0</v>
      </c>
      <c r="AB39" s="11" t="n">
        <v>0.0073</v>
      </c>
      <c r="AC39" s="11" t="n">
        <v>0.0716</v>
      </c>
      <c r="AD39" s="11" t="n">
        <v>0.0077</v>
      </c>
    </row>
    <row r="40">
      <c r="A40" s="10" t="inlineStr">
        <is>
          <t>사업정리 이익</t>
        </is>
      </c>
      <c r="C40" s="11" t="n">
        <v>0</v>
      </c>
      <c r="D40" s="11" t="n">
        <v>0</v>
      </c>
      <c r="E40" s="11" t="n">
        <v>0</v>
      </c>
      <c r="G40" s="11" t="n">
        <v>0.3583</v>
      </c>
      <c r="H40" s="11" t="n">
        <v>0.0014</v>
      </c>
      <c r="I40" s="11" t="n">
        <v>-0.01</v>
      </c>
      <c r="K40" s="11" t="n">
        <v>0</v>
      </c>
      <c r="L40" s="11" t="n">
        <v>0</v>
      </c>
      <c r="M40" s="11" t="n">
        <v>0</v>
      </c>
    </row>
    <row r="41">
      <c r="A41" s="10" t="inlineStr">
        <is>
          <t>사업정리 이익</t>
        </is>
      </c>
      <c r="Z41" s="11" t="n">
        <v>0</v>
      </c>
      <c r="AA41" s="11" t="n">
        <v>0.4648</v>
      </c>
      <c r="AB41" s="11" t="n">
        <v>0</v>
      </c>
    </row>
    <row r="42">
      <c r="A42" s="10" t="inlineStr">
        <is>
          <t>특별이익 합계</t>
        </is>
      </c>
      <c r="C42" s="11" t="n">
        <v>0</v>
      </c>
      <c r="D42" s="11" t="n">
        <v>0</v>
      </c>
      <c r="E42" s="11" t="n">
        <v>0</v>
      </c>
      <c r="F42" s="11" t="n">
        <v>0</v>
      </c>
      <c r="G42" s="11" t="n">
        <v>0.3583</v>
      </c>
      <c r="H42" s="11" t="n">
        <v>0.0014</v>
      </c>
      <c r="I42" s="11" t="n">
        <v>-0.01</v>
      </c>
      <c r="J42" s="11" t="n">
        <v>0.1151</v>
      </c>
      <c r="K42" s="11" t="n">
        <v>0</v>
      </c>
      <c r="L42" s="11" t="n">
        <v>0.0027</v>
      </c>
      <c r="M42" s="11" t="n">
        <v>0.0059</v>
      </c>
      <c r="N42" s="11" t="n">
        <v>-0.0014</v>
      </c>
      <c r="O42" s="11" t="n">
        <v>0.0255</v>
      </c>
      <c r="P42" s="11" t="n">
        <v>0.0147</v>
      </c>
      <c r="Q42" s="11" t="n">
        <v>0.0378</v>
      </c>
      <c r="R42" s="11" t="n">
        <v>0.0033</v>
      </c>
      <c r="S42" s="11" t="n">
        <v>0.0527</v>
      </c>
      <c r="T42" s="11" t="n">
        <v>0.005</v>
      </c>
      <c r="U42" s="11" t="n">
        <v>0</v>
      </c>
      <c r="V42" s="11" t="n">
        <v>0.1131</v>
      </c>
      <c r="Z42" s="11" t="n">
        <v>0</v>
      </c>
      <c r="AA42" s="11" t="n">
        <v>0.4648</v>
      </c>
      <c r="AB42" s="11" t="n">
        <v>0.0073</v>
      </c>
      <c r="AC42" s="11" t="n">
        <v>0.0814</v>
      </c>
      <c r="AD42" s="11" t="n">
        <v>0.1709</v>
      </c>
    </row>
    <row r="43">
      <c r="A43" s="10" t="inlineStr">
        <is>
          <t>투자유가증권 평가손실</t>
        </is>
      </c>
      <c r="Y43" s="11" t="n">
        <v>0</v>
      </c>
      <c r="Z43" s="11" t="n">
        <v>1.1838</v>
      </c>
      <c r="AA43" s="11" t="n">
        <v>0</v>
      </c>
      <c r="AC43" s="11" t="n">
        <v>0</v>
      </c>
      <c r="AD43" s="11" t="n">
        <v>0.48</v>
      </c>
    </row>
    <row r="44">
      <c r="A44" s="10" t="inlineStr">
        <is>
          <t>손상차손</t>
        </is>
      </c>
      <c r="Y44" s="11" t="n">
        <v>0</v>
      </c>
      <c r="Z44" s="11" t="n">
        <v>0.4721</v>
      </c>
      <c r="AA44" s="11" t="n">
        <v>0</v>
      </c>
      <c r="AC44" s="11" t="n">
        <v>0</v>
      </c>
      <c r="AD44" s="11" t="n">
        <v>0.0975</v>
      </c>
    </row>
    <row r="45">
      <c r="A45" s="10" t="inlineStr">
        <is>
          <t>관계회사 정리손실 충당금 전입</t>
        </is>
      </c>
      <c r="Y45" s="11" t="n">
        <v>0</v>
      </c>
      <c r="Z45" s="11" t="n">
        <v>0.7245</v>
      </c>
    </row>
    <row r="46">
      <c r="A46" s="10" t="inlineStr">
        <is>
          <t>사업정리 손실</t>
        </is>
      </c>
      <c r="Y46" s="11" t="n">
        <v>0</v>
      </c>
      <c r="Z46" s="11" t="n">
        <v>0.8065</v>
      </c>
      <c r="AA46" s="11" t="n">
        <v>0</v>
      </c>
    </row>
    <row r="47">
      <c r="A47" s="10" t="inlineStr">
        <is>
          <t>특별손실 합계</t>
        </is>
      </c>
      <c r="W47" s="11" t="n">
        <v>0</v>
      </c>
      <c r="X47" s="11" t="n">
        <v>0.1023</v>
      </c>
      <c r="Y47" s="11" t="n">
        <v>0</v>
      </c>
      <c r="Z47" s="11" t="n">
        <v>2.4625</v>
      </c>
      <c r="AA47" s="11" t="n">
        <v>0</v>
      </c>
      <c r="AC47" s="11" t="n">
        <v>0</v>
      </c>
      <c r="AD47" s="11" t="n">
        <v>0.5775</v>
      </c>
    </row>
    <row r="48">
      <c r="A48" s="10" t="inlineStr">
        <is>
          <t>법인세차감전 순이익</t>
        </is>
      </c>
      <c r="C48" s="11" t="n">
        <v>2.2552</v>
      </c>
      <c r="D48" s="11" t="n">
        <v>1.1594</v>
      </c>
      <c r="E48" s="11" t="n">
        <v>0.4003</v>
      </c>
      <c r="F48" s="11" t="n">
        <v>-2.3231</v>
      </c>
      <c r="G48" s="11" t="n">
        <v>0.0367</v>
      </c>
      <c r="H48" s="11" t="n">
        <v>1.5582</v>
      </c>
      <c r="I48" s="11" t="n">
        <v>1.3802</v>
      </c>
      <c r="J48" s="11" t="n">
        <v>0.4799</v>
      </c>
      <c r="K48" s="11" t="n">
        <v>-0.2982</v>
      </c>
      <c r="L48" s="11" t="n">
        <v>1.0853</v>
      </c>
      <c r="M48" s="11" t="n">
        <v>-0.3591</v>
      </c>
      <c r="N48" s="11" t="n">
        <v>0.0463</v>
      </c>
      <c r="O48" s="11" t="n">
        <v>1.3417</v>
      </c>
      <c r="P48" s="11" t="n">
        <v>2.1021</v>
      </c>
      <c r="Q48" s="11" t="n">
        <v>1.9778</v>
      </c>
      <c r="R48" s="11" t="n">
        <v>0.79</v>
      </c>
      <c r="S48" s="11" t="n">
        <v>1.1247</v>
      </c>
      <c r="T48" s="11" t="n">
        <v>2.2994</v>
      </c>
      <c r="U48" s="11" t="n">
        <v>1.0127</v>
      </c>
      <c r="V48" s="11" t="n">
        <v>1.1047</v>
      </c>
      <c r="W48" s="11" t="n">
        <v>0.8368</v>
      </c>
      <c r="X48" s="11" t="n">
        <v>2.0172</v>
      </c>
      <c r="Y48" s="11" t="n">
        <v>3.9391</v>
      </c>
      <c r="Z48" s="11" t="n">
        <v>1.4918</v>
      </c>
      <c r="AA48" s="11" t="n">
        <v>3.455</v>
      </c>
      <c r="AB48" s="11" t="n">
        <v>0.4743</v>
      </c>
      <c r="AC48" s="11" t="n">
        <v>6.2116</v>
      </c>
      <c r="AD48" s="11" t="n">
        <v>5.5414</v>
      </c>
    </row>
    <row r="49">
      <c r="A49" s="10" t="inlineStr">
        <is>
          <t>법인세·주민세·사업세</t>
        </is>
      </c>
      <c r="C49" s="11" t="n">
        <v>0.4428</v>
      </c>
      <c r="D49" s="11" t="n">
        <v>0.6999</v>
      </c>
      <c r="E49" s="11" t="n">
        <v>0.3367</v>
      </c>
      <c r="F49" s="11" t="n">
        <v>-0.2074</v>
      </c>
      <c r="G49" s="11" t="n">
        <v>0.07099999999999999</v>
      </c>
      <c r="H49" s="11" t="n">
        <v>0.4896</v>
      </c>
      <c r="I49" s="11" t="n">
        <v>0.4898</v>
      </c>
      <c r="J49" s="11" t="n">
        <v>0.2777</v>
      </c>
      <c r="K49" s="11" t="n">
        <v>0.0056</v>
      </c>
      <c r="L49" s="11" t="n">
        <v>0.2283</v>
      </c>
      <c r="M49" s="11" t="n">
        <v>-0.1297</v>
      </c>
      <c r="N49" s="11" t="n">
        <v>0.06610000000000001</v>
      </c>
      <c r="O49" s="11" t="n">
        <v>0.4778</v>
      </c>
      <c r="P49" s="11" t="n">
        <v>0.2255</v>
      </c>
      <c r="Q49" s="11" t="n">
        <v>0.7502</v>
      </c>
      <c r="R49" s="11" t="n">
        <v>0.6525</v>
      </c>
      <c r="S49" s="11" t="n">
        <v>0.09030000000000001</v>
      </c>
      <c r="T49" s="11" t="n">
        <v>0.8619</v>
      </c>
      <c r="U49" s="11" t="n">
        <v>0.3694</v>
      </c>
      <c r="V49" s="11" t="n">
        <v>0.3719</v>
      </c>
      <c r="W49" s="11" t="n">
        <v>0.2629</v>
      </c>
      <c r="X49" s="11" t="n">
        <v>0.4249</v>
      </c>
      <c r="Y49" s="11" t="n">
        <v>0.5815</v>
      </c>
      <c r="Z49" s="11" t="n">
        <v>1.272</v>
      </c>
      <c r="AA49" s="11" t="n">
        <v>1.328</v>
      </c>
      <c r="AB49" s="11" t="n">
        <v>0.1702</v>
      </c>
      <c r="AC49" s="11" t="n">
        <v>2.106</v>
      </c>
      <c r="AD49" s="11" t="n">
        <v>1.6935</v>
      </c>
    </row>
    <row r="50">
      <c r="A50" s="10" t="inlineStr">
        <is>
          <t>법인세 조정액</t>
        </is>
      </c>
      <c r="C50" s="11" t="n">
        <v>0.2011</v>
      </c>
      <c r="D50" s="11" t="n">
        <v>-0.1106</v>
      </c>
      <c r="E50" s="11" t="n">
        <v>-0.025</v>
      </c>
      <c r="F50" s="11" t="n">
        <v>-0.5711000000000001</v>
      </c>
      <c r="G50" s="11" t="n">
        <v>0.1001</v>
      </c>
      <c r="H50" s="11" t="n">
        <v>-0.0457</v>
      </c>
      <c r="I50" s="11" t="n">
        <v>0.0025</v>
      </c>
      <c r="J50" s="11" t="n">
        <v>-0.09039999999999999</v>
      </c>
      <c r="K50" s="11" t="n">
        <v>-0.0027</v>
      </c>
      <c r="L50" s="11" t="n">
        <v>0.1285</v>
      </c>
      <c r="M50" s="11" t="n">
        <v>0.08690000000000001</v>
      </c>
      <c r="N50" s="11" t="n">
        <v>-0.0239</v>
      </c>
      <c r="O50" s="11" t="n">
        <v>-0.0264</v>
      </c>
      <c r="P50" s="11" t="n">
        <v>0.4836</v>
      </c>
      <c r="Q50" s="11" t="n">
        <v>-0.0736</v>
      </c>
      <c r="R50" s="11" t="n">
        <v>-0.283</v>
      </c>
      <c r="S50" s="11" t="n">
        <v>0.4248</v>
      </c>
      <c r="T50" s="11" t="n">
        <v>-0.1148</v>
      </c>
      <c r="U50" s="11" t="n">
        <v>-0.0379</v>
      </c>
      <c r="V50" s="11" t="n">
        <v>0.0395</v>
      </c>
      <c r="W50" s="11" t="n">
        <v>0</v>
      </c>
      <c r="X50" s="11" t="n">
        <v>-0.5651</v>
      </c>
      <c r="Y50" s="11" t="n">
        <v>0.081</v>
      </c>
      <c r="Z50" s="11" t="n">
        <v>-0.5056</v>
      </c>
      <c r="AA50" s="11" t="n">
        <v>-0.0335</v>
      </c>
      <c r="AB50" s="11" t="n">
        <v>0.1887</v>
      </c>
      <c r="AC50" s="11" t="n">
        <v>0.1006</v>
      </c>
      <c r="AD50" s="11" t="n">
        <v>0.3115</v>
      </c>
    </row>
    <row r="51">
      <c r="A51" s="10" t="inlineStr">
        <is>
          <t>법인세 등 합계</t>
        </is>
      </c>
      <c r="C51" s="11" t="n">
        <v>0.6439</v>
      </c>
      <c r="D51" s="11" t="n">
        <v>0.5893</v>
      </c>
      <c r="E51" s="11" t="n">
        <v>0.3117</v>
      </c>
      <c r="F51" s="11" t="n">
        <v>-0.7785</v>
      </c>
      <c r="G51" s="11" t="n">
        <v>0.1711</v>
      </c>
      <c r="H51" s="11" t="n">
        <v>0.4439</v>
      </c>
      <c r="I51" s="11" t="n">
        <v>0.4923</v>
      </c>
      <c r="J51" s="11" t="n">
        <v>0.1873</v>
      </c>
      <c r="K51" s="11" t="n">
        <v>0.0028</v>
      </c>
      <c r="L51" s="11" t="n">
        <v>0.3567</v>
      </c>
      <c r="M51" s="11" t="n">
        <v>-0.0428</v>
      </c>
      <c r="N51" s="11" t="n">
        <v>0.0422</v>
      </c>
      <c r="O51" s="11" t="n">
        <v>0.4514</v>
      </c>
      <c r="P51" s="11" t="n">
        <v>0.7091</v>
      </c>
      <c r="Q51" s="11" t="n">
        <v>0.6766</v>
      </c>
      <c r="R51" s="11" t="n">
        <v>0.3695</v>
      </c>
      <c r="S51" s="11" t="n">
        <v>0.5151</v>
      </c>
      <c r="T51" s="11" t="n">
        <v>0.7471</v>
      </c>
      <c r="U51" s="11" t="n">
        <v>0.3315</v>
      </c>
      <c r="V51" s="11" t="n">
        <v>0.4114</v>
      </c>
      <c r="W51" s="11" t="n">
        <v>0.2629</v>
      </c>
      <c r="X51" s="11" t="n">
        <v>-0.1401</v>
      </c>
      <c r="Y51" s="11" t="n">
        <v>0.6625</v>
      </c>
      <c r="Z51" s="11" t="n">
        <v>0.7664</v>
      </c>
      <c r="AA51" s="11" t="n">
        <v>1.2946</v>
      </c>
      <c r="AB51" s="11" t="n">
        <v>0.359</v>
      </c>
      <c r="AC51" s="11" t="n">
        <v>2.2066</v>
      </c>
      <c r="AD51" s="11" t="n">
        <v>2.0051</v>
      </c>
    </row>
    <row r="52">
      <c r="A52" s="5" t="inlineStr">
        <is>
          <t>순이익</t>
        </is>
      </c>
      <c r="C52" s="6" t="n">
        <v>1.6113</v>
      </c>
      <c r="D52" s="6" t="n">
        <v>0.5701000000000001</v>
      </c>
      <c r="E52" s="6" t="n">
        <v>0.0886</v>
      </c>
      <c r="F52" s="6" t="n">
        <v>-1.5446</v>
      </c>
      <c r="G52" s="6" t="n">
        <v>-0.1344</v>
      </c>
      <c r="H52" s="6" t="n">
        <v>1.1142</v>
      </c>
      <c r="I52" s="6" t="n">
        <v>0.8879</v>
      </c>
      <c r="J52" s="6" t="n">
        <v>0.2927</v>
      </c>
      <c r="K52" s="6" t="n">
        <v>-0.3011</v>
      </c>
      <c r="L52" s="6" t="n">
        <v>0.7286</v>
      </c>
      <c r="M52" s="6" t="n">
        <v>-0.3163</v>
      </c>
      <c r="N52" s="6" t="n">
        <v>0.0041</v>
      </c>
      <c r="O52" s="6" t="n">
        <v>0.8903</v>
      </c>
      <c r="P52" s="6" t="n">
        <v>1.393</v>
      </c>
      <c r="Q52" s="6" t="n">
        <v>1.3012</v>
      </c>
      <c r="R52" s="6" t="n">
        <v>0.4205</v>
      </c>
      <c r="S52" s="6" t="n">
        <v>0.6096</v>
      </c>
      <c r="T52" s="6" t="n">
        <v>1.5522</v>
      </c>
      <c r="U52" s="6" t="n">
        <v>0.6812</v>
      </c>
      <c r="V52" s="6" t="n">
        <v>0.6933</v>
      </c>
      <c r="W52" s="6" t="n">
        <v>0.5739</v>
      </c>
      <c r="X52" s="6" t="n">
        <v>2.1573</v>
      </c>
      <c r="Y52" s="6" t="n">
        <v>3.2765</v>
      </c>
      <c r="Z52" s="6" t="n">
        <v>0.7254</v>
      </c>
      <c r="AA52" s="6" t="n">
        <v>2.1604</v>
      </c>
      <c r="AB52" s="6" t="n">
        <v>0.1153</v>
      </c>
      <c r="AC52" s="6" t="n">
        <v>4.005</v>
      </c>
      <c r="AD52" s="6" t="n">
        <v>3.5363</v>
      </c>
    </row>
    <row r="53">
      <c r="A53" s="5" t="inlineStr">
        <is>
          <t>비지배주주 당기순손실</t>
        </is>
      </c>
      <c r="M53" s="6" t="n">
        <v>0</v>
      </c>
      <c r="N53" s="6" t="n">
        <v>0</v>
      </c>
      <c r="Q53" s="6" t="n">
        <v>-0.0232</v>
      </c>
      <c r="R53" s="6" t="n">
        <v>-0.0069</v>
      </c>
      <c r="U53" s="6" t="n">
        <v>0</v>
      </c>
      <c r="V53" s="6" t="n">
        <v>0</v>
      </c>
      <c r="AB53" s="6" t="n">
        <v>0</v>
      </c>
      <c r="AC53" s="6" t="n">
        <v>-0.0655</v>
      </c>
      <c r="AD53" s="6" t="n">
        <v>-0.0005</v>
      </c>
    </row>
    <row r="54">
      <c r="A54" s="5" t="inlineStr">
        <is>
          <t>지배주주 순이익</t>
        </is>
      </c>
      <c r="C54" s="6" t="n">
        <v>1.6113</v>
      </c>
      <c r="D54" s="6" t="n">
        <v>0.5701000000000001</v>
      </c>
      <c r="E54" s="6" t="n">
        <v>0.0886</v>
      </c>
      <c r="F54" s="6" t="n">
        <v>-1.5446</v>
      </c>
      <c r="G54" s="6" t="n">
        <v>-0.1344</v>
      </c>
      <c r="H54" s="6" t="n">
        <v>1.1142</v>
      </c>
      <c r="I54" s="6" t="n">
        <v>0.8879</v>
      </c>
      <c r="J54" s="6" t="n">
        <v>0.2927</v>
      </c>
      <c r="K54" s="6" t="n">
        <v>-0.3011</v>
      </c>
      <c r="L54" s="6" t="n">
        <v>0.7286</v>
      </c>
      <c r="M54" s="6" t="n">
        <v>-0.3163</v>
      </c>
      <c r="N54" s="6" t="n">
        <v>0.0041</v>
      </c>
      <c r="O54" s="6" t="n">
        <v>0.8903</v>
      </c>
      <c r="P54" s="6" t="n">
        <v>1.4284</v>
      </c>
      <c r="Q54" s="6" t="n">
        <v>1.3243</v>
      </c>
      <c r="R54" s="6" t="n">
        <v>0.4274</v>
      </c>
      <c r="S54" s="6" t="n">
        <v>0.6096</v>
      </c>
      <c r="T54" s="6" t="n">
        <v>1.5527</v>
      </c>
      <c r="U54" s="6" t="n">
        <v>0.6812</v>
      </c>
      <c r="V54" s="6" t="n">
        <v>0.6933</v>
      </c>
      <c r="W54" s="6" t="n">
        <v>0.5739</v>
      </c>
      <c r="X54" s="6" t="n">
        <v>2.1573</v>
      </c>
      <c r="Y54" s="6" t="n">
        <v>3.2765</v>
      </c>
      <c r="Z54" s="6" t="n">
        <v>0.7254</v>
      </c>
      <c r="AA54" s="6" t="n">
        <v>2.1604</v>
      </c>
      <c r="AB54" s="6" t="n">
        <v>0.1153</v>
      </c>
      <c r="AC54" s="6" t="n">
        <v>4.0705</v>
      </c>
      <c r="AD54" s="6" t="n">
        <v>3.5368</v>
      </c>
    </row>
    <row r="55">
      <c r="A55" s="8" t="inlineStr">
        <is>
          <t>순이익률</t>
        </is>
      </c>
      <c r="C55" s="9">
        <f>IF(OR(C54="",C4=""),"",IFERROR(C54/C4,""))</f>
        <v/>
      </c>
      <c r="D55" s="9">
        <f>IF(OR(D54="",D4=""),"",IFERROR(D54/D4,""))</f>
        <v/>
      </c>
      <c r="E55" s="9">
        <f>IF(OR(E54="",E4=""),"",IFERROR(E54/E4,""))</f>
        <v/>
      </c>
      <c r="F55" s="9">
        <f>IF(OR(F54="",F4=""),"",IFERROR(F54/F4,""))</f>
        <v/>
      </c>
      <c r="G55" s="9">
        <f>IF(OR(G54="",G4=""),"",IFERROR(G54/G4,""))</f>
        <v/>
      </c>
      <c r="H55" s="9">
        <f>IF(OR(H54="",H4=""),"",IFERROR(H54/H4,""))</f>
        <v/>
      </c>
      <c r="I55" s="9">
        <f>IF(OR(I54="",I4=""),"",IFERROR(I54/I4,""))</f>
        <v/>
      </c>
      <c r="J55" s="9">
        <f>IF(OR(J54="",J4=""),"",IFERROR(J54/J4,""))</f>
        <v/>
      </c>
      <c r="K55" s="9">
        <f>IF(OR(K54="",K4=""),"",IFERROR(K54/K4,""))</f>
        <v/>
      </c>
      <c r="L55" s="9">
        <f>IF(OR(L54="",L4=""),"",IFERROR(L54/L4,""))</f>
        <v/>
      </c>
      <c r="M55" s="9">
        <f>IF(OR(M54="",M4=""),"",IFERROR(M54/M4,""))</f>
        <v/>
      </c>
      <c r="N55" s="9">
        <f>IF(OR(N54="",N4=""),"",IFERROR(N54/N4,""))</f>
        <v/>
      </c>
      <c r="O55" s="9">
        <f>IF(OR(O54="",O4=""),"",IFERROR(O54/O4,""))</f>
        <v/>
      </c>
      <c r="P55" s="9">
        <f>IF(OR(P54="",P4=""),"",IFERROR(P54/P4,""))</f>
        <v/>
      </c>
      <c r="Q55" s="9">
        <f>IF(OR(Q54="",Q4=""),"",IFERROR(Q54/Q4,""))</f>
        <v/>
      </c>
      <c r="R55" s="9">
        <f>IF(OR(R54="",R4=""),"",IFERROR(R54/R4,""))</f>
        <v/>
      </c>
      <c r="S55" s="9">
        <f>IF(OR(S54="",S4=""),"",IFERROR(S54/S4,""))</f>
        <v/>
      </c>
      <c r="T55" s="9">
        <f>IF(OR(T54="",T4=""),"",IFERROR(T54/T4,""))</f>
        <v/>
      </c>
      <c r="U55" s="9">
        <f>IF(OR(U54="",U4=""),"",IFERROR(U54/U4,""))</f>
        <v/>
      </c>
      <c r="V55" s="9">
        <f>IF(OR(V54="",V4=""),"",IFERROR(V54/V4,""))</f>
        <v/>
      </c>
      <c r="W55" s="9">
        <f>IF(OR(W54="",W4=""),"",IFERROR(W54/W4,""))</f>
        <v/>
      </c>
      <c r="X55" s="9">
        <f>IF(OR(X54="",X4=""),"",IFERROR(X54/X4,""))</f>
        <v/>
      </c>
      <c r="Y55" s="9">
        <f>IF(OR(Y54="",Y4=""),"",IFERROR(Y54/Y4,""))</f>
        <v/>
      </c>
      <c r="Z55" s="9">
        <f>IF(OR(Z54="",Z4=""),"",IFERROR(Z54/Z4,""))</f>
        <v/>
      </c>
      <c r="AA55" s="9">
        <f>IF(OR(AA54="",AA4=""),"",IFERROR(AA54/AA4,""))</f>
        <v/>
      </c>
      <c r="AB55" s="9">
        <f>IF(OR(AB54="",AB4=""),"",IFERROR(AB54/AB4,""))</f>
        <v/>
      </c>
      <c r="AC55" s="9">
        <f>IF(OR(AC54="",AC4=""),"",IFERROR(AC54/AC4,""))</f>
        <v/>
      </c>
      <c r="AD55" s="9">
        <f>IF(OR(AD54="",AD4=""),"",IFERROR(AD54/AD4,""))</f>
        <v/>
      </c>
    </row>
    <row r="56">
      <c r="A56" s="8" t="inlineStr">
        <is>
          <t>YoY</t>
        </is>
      </c>
      <c r="G56" s="9">
        <f>IF(OR(G54="",C54=""),"",IFERROR(G54/C54-1,""))</f>
        <v/>
      </c>
      <c r="H56" s="9">
        <f>IF(OR(H54="",D54=""),"",IFERROR(H54/D54-1,""))</f>
        <v/>
      </c>
      <c r="I56" s="9">
        <f>IF(OR(I54="",E54=""),"",IFERROR(I54/E54-1,""))</f>
        <v/>
      </c>
      <c r="J56" s="9">
        <f>IF(OR(J54="",F54=""),"",IFERROR(J54/F54-1,""))</f>
        <v/>
      </c>
      <c r="K56" s="9">
        <f>IF(OR(K54="",G54=""),"",IFERROR(K54/G54-1,""))</f>
        <v/>
      </c>
      <c r="L56" s="9">
        <f>IF(OR(L54="",H54=""),"",IFERROR(L54/H54-1,""))</f>
        <v/>
      </c>
      <c r="M56" s="9">
        <f>IF(OR(M54="",I54=""),"",IFERROR(M54/I54-1,""))</f>
        <v/>
      </c>
      <c r="N56" s="9">
        <f>IF(OR(N54="",J54=""),"",IFERROR(N54/J54-1,""))</f>
        <v/>
      </c>
      <c r="O56" s="9">
        <f>IF(OR(O54="",K54=""),"",IFERROR(O54/K54-1,""))</f>
        <v/>
      </c>
      <c r="P56" s="9">
        <f>IF(OR(P54="",L54=""),"",IFERROR(P54/L54-1,""))</f>
        <v/>
      </c>
      <c r="Q56" s="9">
        <f>IF(OR(Q54="",M54=""),"",IFERROR(Q54/M54-1,""))</f>
        <v/>
      </c>
      <c r="R56" s="9">
        <f>IF(OR(R54="",N54=""),"",IFERROR(R54/N54-1,""))</f>
        <v/>
      </c>
      <c r="S56" s="9">
        <f>IF(OR(S54="",O54=""),"",IFERROR(S54/O54-1,""))</f>
        <v/>
      </c>
      <c r="T56" s="9">
        <f>IF(OR(T54="",P54=""),"",IFERROR(T54/P54-1,""))</f>
        <v/>
      </c>
      <c r="U56" s="9">
        <f>IF(OR(U54="",Q54=""),"",IFERROR(U54/Q54-1,""))</f>
        <v/>
      </c>
      <c r="V56" s="9">
        <f>IF(OR(V54="",R54=""),"",IFERROR(V54/R54-1,""))</f>
        <v/>
      </c>
      <c r="X56" s="9">
        <f>IF(OR(X54="",W54=""),"",IFERROR(X54/W54-1,""))</f>
        <v/>
      </c>
      <c r="Y56" s="9">
        <f>IF(OR(Y54="",X54=""),"",IFERROR(Y54/X54-1,""))</f>
        <v/>
      </c>
      <c r="Z56" s="9">
        <f>IF(OR(Z54="",Y54=""),"",IFERROR(Z54/Y54-1,""))</f>
        <v/>
      </c>
      <c r="AA56" s="9">
        <f>IF(OR(AA54="",Z54=""),"",IFERROR(AA54/Z54-1,""))</f>
        <v/>
      </c>
      <c r="AB56" s="9">
        <f>IF(OR(AB54="",AA54=""),"",IFERROR(AB54/AA54-1,""))</f>
        <v/>
      </c>
      <c r="AC56" s="9">
        <f>IF(OR(AC54="",AB54=""),"",IFERROR(AC54/AB54-1,""))</f>
        <v/>
      </c>
      <c r="AD56" s="9">
        <f>IF(OR(AD54="",AC54=""),"",IFERROR(AD54/AC54-1,""))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굿패치 포괄손익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순이익</t>
        </is>
      </c>
      <c r="C4" s="6" t="n">
        <v>1.6113</v>
      </c>
      <c r="D4" s="6" t="n">
        <v>0.5701000000000001</v>
      </c>
      <c r="E4" s="6" t="n">
        <v>0.0886</v>
      </c>
      <c r="F4" s="6" t="n">
        <v>-1.5446</v>
      </c>
      <c r="G4" s="6" t="n">
        <v>-0.1344</v>
      </c>
      <c r="H4" s="6" t="n">
        <v>1.1142</v>
      </c>
      <c r="I4" s="6" t="n">
        <v>0.8879</v>
      </c>
      <c r="J4" s="6" t="n">
        <v>0.2927</v>
      </c>
      <c r="K4" s="6" t="n">
        <v>-0.3011</v>
      </c>
      <c r="L4" s="6" t="n">
        <v>0.7286</v>
      </c>
      <c r="M4" s="6" t="n">
        <v>-0.3163</v>
      </c>
      <c r="N4" s="6" t="n">
        <v>0.0041</v>
      </c>
      <c r="O4" s="6" t="n">
        <v>0.8903</v>
      </c>
      <c r="P4" s="6" t="n">
        <v>1.393</v>
      </c>
      <c r="Q4" s="6" t="n">
        <v>1.3012</v>
      </c>
      <c r="R4" s="6" t="n">
        <v>0.4205</v>
      </c>
      <c r="S4" s="6" t="n">
        <v>0.6096</v>
      </c>
      <c r="T4" s="6" t="n">
        <v>1.5522</v>
      </c>
      <c r="U4" s="6" t="n">
        <v>0.6812</v>
      </c>
      <c r="V4" s="6" t="n">
        <v>0.6933</v>
      </c>
      <c r="W4" s="6" t="n">
        <v>0.5739</v>
      </c>
      <c r="X4" s="6" t="n">
        <v>2.1573</v>
      </c>
      <c r="Y4" s="6" t="n">
        <v>3.2765</v>
      </c>
      <c r="Z4" s="6" t="n">
        <v>0.7254</v>
      </c>
      <c r="AA4" s="6" t="n">
        <v>2.1604</v>
      </c>
      <c r="AB4" s="6" t="n">
        <v>0.1153</v>
      </c>
      <c r="AC4" s="6" t="n">
        <v>4.005</v>
      </c>
      <c r="AD4" s="6" t="n">
        <v>3.5363</v>
      </c>
      <c r="AE4" s="7" t="inlineStr">
        <is>
          <t>결산단신 XBRL(거래소 공시, TDnet·JPX 보관소). 쓴 문서: 2026-10-15, 2026-07-15, 2026-04-14, 2026-01-14 외 22건 — '출처' 시트에 전부</t>
        </is>
      </c>
    </row>
    <row r="5">
      <c r="A5" s="10" t="inlineStr">
        <is>
          <t>기타유가증권 평가차액</t>
        </is>
      </c>
      <c r="I5" s="11" t="n">
        <v>0</v>
      </c>
      <c r="J5" s="11" t="n">
        <v>0</v>
      </c>
      <c r="M5" s="11" t="n">
        <v>0</v>
      </c>
      <c r="N5" s="11" t="n">
        <v>-0.0238</v>
      </c>
      <c r="O5" s="11" t="n">
        <v>0</v>
      </c>
      <c r="P5" s="11" t="n">
        <v>0.0009</v>
      </c>
      <c r="Q5" s="11" t="n">
        <v>0.061</v>
      </c>
      <c r="R5" s="11" t="n">
        <v>0.0906</v>
      </c>
      <c r="S5" s="11" t="n">
        <v>0.3016</v>
      </c>
      <c r="T5" s="11" t="n">
        <v>0.16</v>
      </c>
      <c r="U5" s="11" t="n">
        <v>0.1099</v>
      </c>
      <c r="V5" s="11" t="n">
        <v>-0.1159</v>
      </c>
      <c r="AA5" s="11" t="n">
        <v>0</v>
      </c>
      <c r="AB5" s="11" t="n">
        <v>-0.0005999999999999999</v>
      </c>
      <c r="AC5" s="11" t="n">
        <v>0.1525</v>
      </c>
      <c r="AD5" s="11" t="n">
        <v>0.4556</v>
      </c>
    </row>
    <row r="6">
      <c r="A6" s="10" t="inlineStr">
        <is>
          <t>해외사업환산조정</t>
        </is>
      </c>
      <c r="C6" s="11" t="n">
        <v>-0.0104</v>
      </c>
      <c r="D6" s="11" t="n">
        <v>0.008200000000000001</v>
      </c>
      <c r="E6" s="11" t="n">
        <v>0.043</v>
      </c>
      <c r="F6" s="11" t="n">
        <v>-0.0326</v>
      </c>
      <c r="G6" s="11" t="n">
        <v>-0.0053</v>
      </c>
      <c r="H6" s="11" t="n">
        <v>0.0002</v>
      </c>
      <c r="I6" s="11" t="n">
        <v>-0.0043</v>
      </c>
      <c r="J6" s="11" t="n">
        <v>0.0025</v>
      </c>
      <c r="K6" s="11" t="n">
        <v>-0.0002</v>
      </c>
      <c r="L6" s="11" t="n">
        <v>0</v>
      </c>
      <c r="M6" s="11" t="n">
        <v>-0.0009</v>
      </c>
      <c r="N6" s="11" t="n">
        <v>0.0014</v>
      </c>
      <c r="O6" s="11" t="n">
        <v>-0.0001</v>
      </c>
      <c r="P6" s="11" t="n">
        <v>0.0293</v>
      </c>
      <c r="Q6" s="11" t="n">
        <v>0.0005</v>
      </c>
      <c r="R6" s="11" t="n">
        <v>-0.0003</v>
      </c>
      <c r="S6" s="11" t="n">
        <v>-0.0005</v>
      </c>
      <c r="T6" s="11" t="n">
        <v>0.0005</v>
      </c>
      <c r="U6" s="11" t="n">
        <v>0</v>
      </c>
      <c r="V6" s="11" t="n">
        <v>-0.0001</v>
      </c>
      <c r="W6" s="11" t="n">
        <v>-0.0502</v>
      </c>
      <c r="X6" s="11" t="n">
        <v>0.0049</v>
      </c>
      <c r="Y6" s="11" t="n">
        <v>0.021</v>
      </c>
      <c r="Z6" s="11" t="n">
        <v>0.008200000000000001</v>
      </c>
      <c r="AA6" s="11" t="n">
        <v>-0.0069</v>
      </c>
      <c r="AB6" s="11" t="n">
        <v>0.0003</v>
      </c>
      <c r="AC6" s="11" t="n">
        <v>0.0294</v>
      </c>
      <c r="AD6" s="11" t="n">
        <v>-0.0001</v>
      </c>
    </row>
    <row r="7">
      <c r="A7" s="10" t="inlineStr">
        <is>
          <t>기타포괄손익 합계</t>
        </is>
      </c>
      <c r="C7" s="11" t="n">
        <v>-0.0104</v>
      </c>
      <c r="D7" s="11" t="n">
        <v>0.008200000000000001</v>
      </c>
      <c r="E7" s="11" t="n">
        <v>0.043</v>
      </c>
      <c r="F7" s="11" t="n">
        <v>-0.0326</v>
      </c>
      <c r="G7" s="11" t="n">
        <v>-0.0053</v>
      </c>
      <c r="H7" s="11" t="n">
        <v>0.0002</v>
      </c>
      <c r="I7" s="11" t="n">
        <v>-0.0043</v>
      </c>
      <c r="J7" s="11" t="n">
        <v>0.0025</v>
      </c>
      <c r="K7" s="11" t="n">
        <v>-0.0002</v>
      </c>
      <c r="L7" s="11" t="n">
        <v>0.0232</v>
      </c>
      <c r="M7" s="11" t="n">
        <v>-0.0009</v>
      </c>
      <c r="N7" s="11" t="n">
        <v>-0.0223</v>
      </c>
      <c r="O7" s="11" t="n">
        <v>-0.0001</v>
      </c>
      <c r="P7" s="11" t="n">
        <v>0.0302</v>
      </c>
      <c r="Q7" s="11" t="n">
        <v>0.0615</v>
      </c>
      <c r="R7" s="11" t="n">
        <v>0.09030000000000001</v>
      </c>
      <c r="S7" s="11" t="n">
        <v>0.3011</v>
      </c>
      <c r="T7" s="11" t="n">
        <v>0.1605</v>
      </c>
      <c r="U7" s="11" t="n">
        <v>0.1099</v>
      </c>
      <c r="V7" s="11" t="n">
        <v>-0.116</v>
      </c>
      <c r="W7" s="11" t="n">
        <v>-0.0502</v>
      </c>
      <c r="X7" s="11" t="n">
        <v>0.0049</v>
      </c>
      <c r="Y7" s="11" t="n">
        <v>0.021</v>
      </c>
      <c r="Z7" s="11" t="n">
        <v>0.008200000000000001</v>
      </c>
      <c r="AA7" s="11" t="n">
        <v>-0.0069</v>
      </c>
      <c r="AB7" s="11" t="n">
        <v>-0.0003</v>
      </c>
      <c r="AC7" s="11" t="n">
        <v>0.1819</v>
      </c>
      <c r="AD7" s="11" t="n">
        <v>0.4555</v>
      </c>
    </row>
    <row r="8">
      <c r="A8" s="10" t="inlineStr">
        <is>
          <t>포괄이익</t>
        </is>
      </c>
      <c r="C8" s="11" t="n">
        <v>1.6009</v>
      </c>
      <c r="D8" s="11" t="n">
        <v>0.5784</v>
      </c>
      <c r="E8" s="11" t="n">
        <v>0.1316</v>
      </c>
      <c r="F8" s="11" t="n">
        <v>-1.5772</v>
      </c>
      <c r="G8" s="11" t="n">
        <v>-0.1398</v>
      </c>
      <c r="H8" s="11" t="n">
        <v>1.1145</v>
      </c>
      <c r="I8" s="11" t="n">
        <v>0.8836000000000001</v>
      </c>
      <c r="J8" s="11" t="n">
        <v>0.2952</v>
      </c>
      <c r="K8" s="11" t="n">
        <v>-0.3013</v>
      </c>
      <c r="L8" s="11" t="n">
        <v>0.7518</v>
      </c>
      <c r="M8" s="11" t="n">
        <v>-0.3172</v>
      </c>
      <c r="N8" s="11" t="n">
        <v>-0.0182</v>
      </c>
      <c r="O8" s="11" t="n">
        <v>0.8903</v>
      </c>
      <c r="P8" s="11" t="n">
        <v>1.4232</v>
      </c>
      <c r="Q8" s="11" t="n">
        <v>1.3627</v>
      </c>
      <c r="R8" s="11" t="n">
        <v>0.5108</v>
      </c>
      <c r="S8" s="11" t="n">
        <v>0.9107</v>
      </c>
      <c r="T8" s="11" t="n">
        <v>1.7127</v>
      </c>
      <c r="U8" s="11" t="n">
        <v>0.7911</v>
      </c>
      <c r="V8" s="11" t="n">
        <v>0.5773</v>
      </c>
      <c r="W8" s="11" t="n">
        <v>0.5237000000000001</v>
      </c>
      <c r="X8" s="11" t="n">
        <v>2.1623</v>
      </c>
      <c r="Y8" s="11" t="n">
        <v>3.2975</v>
      </c>
      <c r="Z8" s="11" t="n">
        <v>0.7336</v>
      </c>
      <c r="AA8" s="11" t="n">
        <v>2.1535</v>
      </c>
      <c r="AB8" s="11" t="n">
        <v>0.115</v>
      </c>
      <c r="AC8" s="11" t="n">
        <v>4.1869</v>
      </c>
      <c r="AD8" s="11" t="n">
        <v>3.9918</v>
      </c>
    </row>
    <row r="9">
      <c r="A9" s="10" t="inlineStr">
        <is>
          <t>지배주주 포괄이익</t>
        </is>
      </c>
      <c r="C9" s="11" t="n">
        <v>1.6009</v>
      </c>
      <c r="D9" s="11" t="n">
        <v>0.5784</v>
      </c>
      <c r="E9" s="11" t="n">
        <v>0.1316</v>
      </c>
      <c r="F9" s="11" t="n">
        <v>-1.5772</v>
      </c>
      <c r="G9" s="11" t="n">
        <v>-0.1398</v>
      </c>
      <c r="H9" s="11" t="n">
        <v>1.1145</v>
      </c>
      <c r="I9" s="11" t="n">
        <v>0.8836000000000001</v>
      </c>
      <c r="J9" s="11" t="n">
        <v>0.2952</v>
      </c>
      <c r="K9" s="11" t="n">
        <v>-0.3013</v>
      </c>
      <c r="L9" s="11" t="n">
        <v>0.7518</v>
      </c>
      <c r="M9" s="11" t="n">
        <v>-0.3172</v>
      </c>
      <c r="N9" s="11" t="n">
        <v>-0.0182</v>
      </c>
      <c r="O9" s="11" t="n">
        <v>0.8903</v>
      </c>
      <c r="P9" s="11" t="n">
        <v>1.4586</v>
      </c>
      <c r="Q9" s="11" t="n">
        <v>1.3859</v>
      </c>
      <c r="R9" s="11" t="n">
        <v>0.5177</v>
      </c>
      <c r="S9" s="11" t="n">
        <v>0.9107</v>
      </c>
      <c r="T9" s="11" t="n">
        <v>1.7132</v>
      </c>
      <c r="U9" s="11" t="n">
        <v>0.7911</v>
      </c>
      <c r="V9" s="11" t="n">
        <v>0.5773</v>
      </c>
      <c r="W9" s="11" t="n">
        <v>0.5237000000000001</v>
      </c>
      <c r="X9" s="11" t="n">
        <v>2.1623</v>
      </c>
      <c r="Y9" s="11" t="n">
        <v>3.2975</v>
      </c>
      <c r="Z9" s="11" t="n">
        <v>0.7336</v>
      </c>
      <c r="AA9" s="11" t="n">
        <v>2.1535</v>
      </c>
      <c r="AB9" s="11" t="n">
        <v>0.115</v>
      </c>
      <c r="AC9" s="11" t="n">
        <v>4.2525</v>
      </c>
      <c r="AD9" s="11" t="n">
        <v>3.9923</v>
      </c>
    </row>
    <row r="10">
      <c r="A10" s="10" t="inlineStr">
        <is>
          <t>비지배주주 포괄이익</t>
        </is>
      </c>
      <c r="C10" s="11" t="n">
        <v>0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-0.0354</v>
      </c>
      <c r="Q10" s="11" t="n">
        <v>-0.0232</v>
      </c>
      <c r="R10" s="11" t="n">
        <v>-0.0069</v>
      </c>
      <c r="S10" s="11" t="n">
        <v>0</v>
      </c>
      <c r="T10" s="11" t="n">
        <v>-0.0005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0</v>
      </c>
      <c r="Z10" s="11" t="n">
        <v>0</v>
      </c>
      <c r="AA10" s="11" t="n">
        <v>0</v>
      </c>
      <c r="AB10" s="11" t="n">
        <v>0</v>
      </c>
      <c r="AC10" s="11" t="n">
        <v>-0.0655</v>
      </c>
      <c r="AD10" s="11" t="n">
        <v>-0.0005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굿패치 재무상태표</t>
        </is>
      </c>
    </row>
    <row r="2">
      <c r="A2" s="2" t="inlineStr">
        <is>
          <t>결산기 기준(27.2Q = 2027년 결산기 2분기) · 8월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현금 및 예금</t>
        </is>
      </c>
      <c r="C4" s="11" t="n">
        <v>27.4965</v>
      </c>
      <c r="D4" s="11" t="n">
        <v>27.8443</v>
      </c>
      <c r="E4" s="11" t="n">
        <v>28.5315</v>
      </c>
      <c r="F4" s="11" t="n">
        <v>29.1046</v>
      </c>
      <c r="G4" s="11" t="n">
        <v>26.2981</v>
      </c>
      <c r="H4" s="11" t="n">
        <v>26.5497</v>
      </c>
      <c r="I4" s="11" t="n">
        <v>31.4355</v>
      </c>
      <c r="J4" s="11" t="n">
        <v>32.7379</v>
      </c>
      <c r="K4" s="11" t="n">
        <v>30.4672</v>
      </c>
      <c r="L4" s="11" t="n">
        <v>30.9246</v>
      </c>
      <c r="M4" s="11" t="n">
        <v>33.4319</v>
      </c>
      <c r="N4" s="11" t="n">
        <v>32.7514</v>
      </c>
      <c r="O4" s="11" t="n">
        <v>31.7542</v>
      </c>
      <c r="P4" s="11" t="n">
        <v>33.4186</v>
      </c>
      <c r="Q4" s="11" t="n">
        <v>26.3086</v>
      </c>
      <c r="R4" s="11" t="n">
        <v>27.3313</v>
      </c>
      <c r="S4" s="11" t="n">
        <v>23.2408</v>
      </c>
      <c r="T4" s="11" t="n">
        <v>24.7706</v>
      </c>
      <c r="U4" s="11" t="n">
        <v>25.9198</v>
      </c>
      <c r="V4" s="11" t="n">
        <v>25.3456</v>
      </c>
      <c r="W4" s="11" t="n">
        <v>5.0891</v>
      </c>
      <c r="X4" s="11" t="n">
        <v>9.399100000000001</v>
      </c>
      <c r="Y4" s="11" t="n">
        <v>27.8007</v>
      </c>
      <c r="Z4" s="11" t="n">
        <v>29.1046</v>
      </c>
      <c r="AA4" s="11" t="n">
        <v>32.7379</v>
      </c>
      <c r="AB4" s="11" t="n">
        <v>32.7514</v>
      </c>
      <c r="AC4" s="11" t="n">
        <v>27.3313</v>
      </c>
      <c r="AD4" s="11" t="n">
        <v>25.3456</v>
      </c>
      <c r="AE4" s="7" t="inlineStr">
        <is>
          <t>결산단신 XBRL(거래소 공시, TDnet·JPX 보관소). 쓴 문서: 2026-10-15, 2026-07-15, 2026-04-14, 2026-01-14 외 22건 — '출처' 시트에 전부</t>
        </is>
      </c>
    </row>
    <row r="5">
      <c r="A5" s="10" t="inlineStr">
        <is>
          <t>매출채권</t>
        </is>
      </c>
      <c r="C5" s="11" t="n">
        <v>0</v>
      </c>
      <c r="D5" s="11" t="n">
        <v>0</v>
      </c>
      <c r="E5" s="11" t="n">
        <v>0</v>
      </c>
      <c r="F5" s="11" t="n">
        <v>0</v>
      </c>
      <c r="W5" s="11" t="n">
        <v>1.7853</v>
      </c>
      <c r="X5" s="11" t="n">
        <v>2.3525</v>
      </c>
      <c r="Y5" s="11" t="n">
        <v>2.8521</v>
      </c>
      <c r="Z5" s="11" t="n">
        <v>0</v>
      </c>
    </row>
    <row r="6">
      <c r="A6" s="10" t="inlineStr">
        <is>
          <t>받을어음·매출채권·계약자산</t>
        </is>
      </c>
      <c r="J6" s="11" t="n">
        <v>4.5568</v>
      </c>
      <c r="M6" s="11" t="n">
        <v>3.2237</v>
      </c>
      <c r="AA6" s="11" t="n">
        <v>4.5568</v>
      </c>
    </row>
    <row r="7">
      <c r="A7" s="10" t="inlineStr">
        <is>
          <t>매출채권·계약자산</t>
        </is>
      </c>
      <c r="N7" s="11" t="n">
        <v>4.2771</v>
      </c>
      <c r="P7" s="11" t="n">
        <v>5.3737</v>
      </c>
      <c r="R7" s="11" t="n">
        <v>5.8426</v>
      </c>
      <c r="T7" s="11" t="n">
        <v>5.9979</v>
      </c>
      <c r="AB7" s="11" t="n">
        <v>4.2771</v>
      </c>
      <c r="AC7" s="11" t="n">
        <v>5.8426</v>
      </c>
    </row>
    <row r="8">
      <c r="A8" s="10" t="inlineStr">
        <is>
          <t>매출채권·계약자산</t>
        </is>
      </c>
      <c r="C8" s="11" t="n">
        <v>3.9056</v>
      </c>
      <c r="D8" s="11" t="n">
        <v>4.3036</v>
      </c>
      <c r="E8" s="11" t="n">
        <v>3.6674</v>
      </c>
      <c r="F8" s="11" t="n">
        <v>3.4897</v>
      </c>
      <c r="G8" s="11" t="n">
        <v>3.8061</v>
      </c>
      <c r="H8" s="11" t="n">
        <v>4.2281</v>
      </c>
      <c r="I8" s="11" t="n">
        <v>4.7588</v>
      </c>
      <c r="J8" s="11" t="n">
        <v>4.5568</v>
      </c>
      <c r="K8" s="11" t="n">
        <v>4.1728</v>
      </c>
      <c r="L8" s="11" t="n">
        <v>4.0576</v>
      </c>
      <c r="N8" s="11" t="n">
        <v>4.2771</v>
      </c>
      <c r="O8" s="11" t="n">
        <v>4.9179</v>
      </c>
      <c r="Q8" s="11" t="n">
        <v>5.4271</v>
      </c>
      <c r="R8" s="11" t="n">
        <v>5.8426</v>
      </c>
      <c r="S8" s="11" t="n">
        <v>5.9225</v>
      </c>
      <c r="U8" s="11" t="n">
        <v>4.4142</v>
      </c>
      <c r="Y8" s="11" t="n">
        <v>0</v>
      </c>
      <c r="Z8" s="11" t="n">
        <v>3.4897</v>
      </c>
      <c r="AA8" s="11" t="n">
        <v>4.5568</v>
      </c>
      <c r="AB8" s="11" t="n">
        <v>4.2771</v>
      </c>
      <c r="AC8" s="11" t="n">
        <v>5.8426</v>
      </c>
    </row>
    <row r="9">
      <c r="A9" s="10" t="inlineStr">
        <is>
          <t>매출채권·계약자산</t>
        </is>
      </c>
      <c r="F9" s="11" t="n">
        <v>3.4897</v>
      </c>
      <c r="J9" s="11" t="n">
        <v>4.5568</v>
      </c>
      <c r="N9" s="11" t="n">
        <v>4.2771</v>
      </c>
      <c r="R9" s="11" t="n">
        <v>5.8426</v>
      </c>
      <c r="V9" s="11" t="n">
        <v>5.5217</v>
      </c>
      <c r="Y9" s="11" t="n">
        <v>0</v>
      </c>
      <c r="Z9" s="11" t="n">
        <v>3.4897</v>
      </c>
      <c r="AA9" s="11" t="n">
        <v>4.5568</v>
      </c>
      <c r="AB9" s="11" t="n">
        <v>4.2771</v>
      </c>
      <c r="AC9" s="11" t="n">
        <v>5.8426</v>
      </c>
      <c r="AD9" s="11" t="n">
        <v>5.5217</v>
      </c>
    </row>
    <row r="10">
      <c r="A10" s="10" t="inlineStr">
        <is>
          <t>재공품</t>
        </is>
      </c>
      <c r="C10" s="11" t="n">
        <v>0.0014</v>
      </c>
      <c r="D10" s="11" t="n">
        <v>0.0319</v>
      </c>
      <c r="E10" s="11" t="n">
        <v>0.0005999999999999999</v>
      </c>
      <c r="F10" s="11" t="n">
        <v>0.0175</v>
      </c>
      <c r="G10" s="11" t="n">
        <v>0.0181</v>
      </c>
      <c r="H10" s="11" t="n">
        <v>0.0335</v>
      </c>
      <c r="I10" s="11" t="n">
        <v>0.008200000000000001</v>
      </c>
      <c r="J10" s="11" t="n">
        <v>0.1143</v>
      </c>
      <c r="K10" s="11" t="n">
        <v>0.0667</v>
      </c>
      <c r="L10" s="11" t="n">
        <v>0.0931</v>
      </c>
      <c r="M10" s="11" t="n">
        <v>0.0432</v>
      </c>
      <c r="N10" s="11" t="n">
        <v>0.0288</v>
      </c>
      <c r="O10" s="11" t="n">
        <v>0.06809999999999999</v>
      </c>
      <c r="P10" s="11" t="n">
        <v>0.2171</v>
      </c>
      <c r="Q10" s="11" t="n">
        <v>0.1934</v>
      </c>
      <c r="R10" s="11" t="n">
        <v>0.0956</v>
      </c>
      <c r="S10" s="11" t="n">
        <v>0.1018</v>
      </c>
      <c r="T10" s="11" t="n">
        <v>0.0895</v>
      </c>
      <c r="U10" s="11" t="n">
        <v>0.1655</v>
      </c>
      <c r="V10" s="11" t="n">
        <v>0.1452</v>
      </c>
      <c r="W10" s="11" t="n">
        <v>0.0543</v>
      </c>
      <c r="X10" s="11" t="n">
        <v>0.0053</v>
      </c>
      <c r="Y10" s="11" t="n">
        <v>0.2336</v>
      </c>
      <c r="Z10" s="11" t="n">
        <v>0.0175</v>
      </c>
      <c r="AA10" s="11" t="n">
        <v>0.1143</v>
      </c>
      <c r="AB10" s="11" t="n">
        <v>0.0288</v>
      </c>
      <c r="AC10" s="11" t="n">
        <v>0.0956</v>
      </c>
      <c r="AD10" s="11" t="n">
        <v>0.1452</v>
      </c>
    </row>
    <row r="11">
      <c r="A11" s="10" t="inlineStr">
        <is>
          <t>선급비용</t>
        </is>
      </c>
      <c r="C11" s="11" t="n">
        <v>0.4574</v>
      </c>
      <c r="D11" s="11" t="n">
        <v>0.5775</v>
      </c>
      <c r="E11" s="11" t="n">
        <v>0.6118</v>
      </c>
      <c r="F11" s="11" t="n">
        <v>0.4507</v>
      </c>
      <c r="G11" s="11" t="n">
        <v>0.5488</v>
      </c>
      <c r="H11" s="11" t="n">
        <v>0.5696</v>
      </c>
      <c r="I11" s="11" t="n">
        <v>0.5385</v>
      </c>
      <c r="J11" s="11" t="n">
        <v>0.4925</v>
      </c>
      <c r="K11" s="11" t="n">
        <v>0.8468</v>
      </c>
      <c r="L11" s="11" t="n">
        <v>0.743</v>
      </c>
      <c r="M11" s="11" t="n">
        <v>0.7202</v>
      </c>
      <c r="N11" s="11" t="n">
        <v>0.7983</v>
      </c>
      <c r="O11" s="11" t="n">
        <v>0.8409</v>
      </c>
      <c r="P11" s="11" t="n">
        <v>0.9661</v>
      </c>
      <c r="Q11" s="11" t="n">
        <v>0.7379</v>
      </c>
      <c r="R11" s="11" t="n">
        <v>0.5548</v>
      </c>
      <c r="S11" s="11" t="n">
        <v>1.0781</v>
      </c>
      <c r="T11" s="11" t="n">
        <v>0.9348</v>
      </c>
      <c r="U11" s="11" t="n">
        <v>1.1742</v>
      </c>
      <c r="V11" s="11" t="n">
        <v>0.8905</v>
      </c>
      <c r="W11" s="11" t="n">
        <v>0.2662</v>
      </c>
      <c r="X11" s="11" t="n">
        <v>0.3308</v>
      </c>
      <c r="Y11" s="11" t="n">
        <v>0.4299</v>
      </c>
      <c r="Z11" s="11" t="n">
        <v>0.4507</v>
      </c>
      <c r="AA11" s="11" t="n">
        <v>0.4925</v>
      </c>
      <c r="AB11" s="11" t="n">
        <v>0.7983</v>
      </c>
      <c r="AC11" s="11" t="n">
        <v>0.5548</v>
      </c>
      <c r="AD11" s="11" t="n">
        <v>0.8905</v>
      </c>
    </row>
    <row r="12">
      <c r="A12" s="10" t="inlineStr">
        <is>
          <t>미수 환급법인세</t>
        </is>
      </c>
      <c r="J12" s="11" t="n">
        <v>0</v>
      </c>
      <c r="M12" s="11" t="n">
        <v>0.4804</v>
      </c>
      <c r="N12" s="11" t="n">
        <v>0.4877</v>
      </c>
      <c r="O12" s="11" t="n">
        <v>0.4988</v>
      </c>
      <c r="P12" s="11" t="n">
        <v>0</v>
      </c>
      <c r="Q12" s="11" t="n">
        <v>0</v>
      </c>
      <c r="R12" s="11" t="n">
        <v>0.0001</v>
      </c>
      <c r="S12" s="11" t="n">
        <v>0.0001</v>
      </c>
      <c r="T12" s="11" t="n">
        <v>0</v>
      </c>
      <c r="U12" s="11" t="n">
        <v>0.2416</v>
      </c>
      <c r="V12" s="11" t="n">
        <v>0.1016</v>
      </c>
      <c r="AA12" s="11" t="n">
        <v>0</v>
      </c>
      <c r="AB12" s="11" t="n">
        <v>0.4877</v>
      </c>
      <c r="AC12" s="11" t="n">
        <v>0.0001</v>
      </c>
      <c r="AD12" s="11" t="n">
        <v>0.1016</v>
      </c>
    </row>
    <row r="13">
      <c r="A13" s="10" t="inlineStr">
        <is>
          <t>예치금</t>
        </is>
      </c>
      <c r="N13" s="11" t="n">
        <v>0</v>
      </c>
      <c r="O13" s="11" t="n">
        <v>0.5094</v>
      </c>
      <c r="R13" s="11" t="n">
        <v>0</v>
      </c>
      <c r="V13" s="11" t="n">
        <v>0.8375</v>
      </c>
      <c r="AB13" s="11" t="n">
        <v>0</v>
      </c>
      <c r="AC13" s="11" t="n">
        <v>0</v>
      </c>
      <c r="AD13" s="11" t="n">
        <v>0.8375</v>
      </c>
    </row>
    <row r="14">
      <c r="A14" s="10" t="inlineStr">
        <is>
          <t>기타</t>
        </is>
      </c>
      <c r="C14" s="11" t="n">
        <v>0.1386</v>
      </c>
      <c r="D14" s="11" t="n">
        <v>0.0523</v>
      </c>
      <c r="E14" s="11" t="n">
        <v>0.06660000000000001</v>
      </c>
      <c r="F14" s="11" t="n">
        <v>0.0581</v>
      </c>
      <c r="G14" s="11" t="n">
        <v>0.0617</v>
      </c>
      <c r="H14" s="11" t="n">
        <v>0.1132</v>
      </c>
      <c r="I14" s="11" t="n">
        <v>0.0706</v>
      </c>
      <c r="J14" s="11" t="n">
        <v>0.0969</v>
      </c>
      <c r="K14" s="11" t="n">
        <v>0.2703</v>
      </c>
      <c r="L14" s="11" t="n">
        <v>0.3496</v>
      </c>
      <c r="M14" s="11" t="n">
        <v>0.064</v>
      </c>
      <c r="N14" s="11" t="n">
        <v>0.0495</v>
      </c>
      <c r="O14" s="11" t="n">
        <v>0.0746</v>
      </c>
      <c r="P14" s="11" t="n">
        <v>0.095</v>
      </c>
      <c r="Q14" s="11" t="n">
        <v>0.1163</v>
      </c>
      <c r="R14" s="11" t="n">
        <v>0.1325</v>
      </c>
      <c r="S14" s="11" t="n">
        <v>0.1116</v>
      </c>
      <c r="T14" s="11" t="n">
        <v>0.2492</v>
      </c>
      <c r="U14" s="11" t="n">
        <v>0.2219</v>
      </c>
      <c r="V14" s="11" t="n">
        <v>0.2425</v>
      </c>
      <c r="W14" s="11" t="n">
        <v>0.0216</v>
      </c>
      <c r="X14" s="11" t="n">
        <v>0.0984</v>
      </c>
      <c r="Y14" s="11" t="n">
        <v>0.0487</v>
      </c>
      <c r="Z14" s="11" t="n">
        <v>0.0581</v>
      </c>
      <c r="AA14" s="11" t="n">
        <v>0.0969</v>
      </c>
      <c r="AB14" s="11" t="n">
        <v>0.0495</v>
      </c>
      <c r="AC14" s="11" t="n">
        <v>0.1325</v>
      </c>
      <c r="AD14" s="11" t="n">
        <v>0.2425</v>
      </c>
    </row>
    <row r="15">
      <c r="A15" s="10" t="inlineStr">
        <is>
          <t>대손충당금</t>
        </is>
      </c>
      <c r="R15" s="11" t="n">
        <v>0</v>
      </c>
      <c r="U15" s="11" t="n">
        <v>-0.0013</v>
      </c>
      <c r="V15" s="11" t="n">
        <v>-0.0033</v>
      </c>
      <c r="AC15" s="11" t="n">
        <v>0</v>
      </c>
      <c r="AD15" s="11" t="n">
        <v>-0.0033</v>
      </c>
    </row>
    <row r="16">
      <c r="A16" s="10" t="inlineStr">
        <is>
          <t>유동자산 합계</t>
        </is>
      </c>
      <c r="C16" s="11" t="n">
        <v>31.9996</v>
      </c>
      <c r="D16" s="11" t="n">
        <v>32.8096</v>
      </c>
      <c r="E16" s="11" t="n">
        <v>32.878</v>
      </c>
      <c r="F16" s="11" t="n">
        <v>33.1207</v>
      </c>
      <c r="G16" s="11" t="n">
        <v>30.733</v>
      </c>
      <c r="H16" s="11" t="n">
        <v>31.494</v>
      </c>
      <c r="I16" s="11" t="n">
        <v>36.8116</v>
      </c>
      <c r="J16" s="11" t="n">
        <v>37.9984</v>
      </c>
      <c r="K16" s="11" t="n">
        <v>35.8239</v>
      </c>
      <c r="L16" s="11" t="n">
        <v>36.168</v>
      </c>
      <c r="M16" s="11" t="n">
        <v>37.9635</v>
      </c>
      <c r="N16" s="11" t="n">
        <v>38.3929</v>
      </c>
      <c r="O16" s="11" t="n">
        <v>38.6638</v>
      </c>
      <c r="P16" s="11" t="n">
        <v>40.0706</v>
      </c>
      <c r="Q16" s="11" t="n">
        <v>32.7833</v>
      </c>
      <c r="R16" s="11" t="n">
        <v>33.957</v>
      </c>
      <c r="S16" s="11" t="n">
        <v>30.4549</v>
      </c>
      <c r="T16" s="11" t="n">
        <v>32.0421</v>
      </c>
      <c r="U16" s="11" t="n">
        <v>32.1359</v>
      </c>
      <c r="V16" s="11" t="n">
        <v>33.0813</v>
      </c>
      <c r="W16" s="11" t="n">
        <v>7.2166</v>
      </c>
      <c r="X16" s="11" t="n">
        <v>12.1862</v>
      </c>
      <c r="Y16" s="11" t="n">
        <v>31.3651</v>
      </c>
      <c r="Z16" s="11" t="n">
        <v>33.1207</v>
      </c>
      <c r="AA16" s="11" t="n">
        <v>37.9984</v>
      </c>
      <c r="AB16" s="11" t="n">
        <v>38.3929</v>
      </c>
      <c r="AC16" s="11" t="n">
        <v>33.957</v>
      </c>
      <c r="AD16" s="11" t="n">
        <v>33.0813</v>
      </c>
    </row>
    <row r="17">
      <c r="A17" s="10" t="inlineStr">
        <is>
          <t>건물</t>
        </is>
      </c>
      <c r="C17" s="11" t="n">
        <v>0.4413</v>
      </c>
      <c r="D17" s="11" t="n">
        <v>0.7026</v>
      </c>
      <c r="E17" s="11" t="n">
        <v>0.7627</v>
      </c>
      <c r="F17" s="11" t="n">
        <v>0.6877</v>
      </c>
      <c r="G17" s="11" t="n">
        <v>0.6877</v>
      </c>
      <c r="H17" s="11" t="n">
        <v>0.6877</v>
      </c>
      <c r="I17" s="11" t="n">
        <v>0.6877</v>
      </c>
      <c r="J17" s="11" t="n">
        <v>0.6877</v>
      </c>
      <c r="K17" s="11" t="n">
        <v>0.7518</v>
      </c>
      <c r="L17" s="11" t="n">
        <v>0.7518</v>
      </c>
      <c r="M17" s="11" t="n">
        <v>0.7518</v>
      </c>
      <c r="N17" s="11" t="n">
        <v>0.7518</v>
      </c>
      <c r="O17" s="11" t="n">
        <v>0.7518</v>
      </c>
      <c r="P17" s="11" t="n">
        <v>0.7518</v>
      </c>
      <c r="Q17" s="11" t="n">
        <v>0.7518</v>
      </c>
      <c r="R17" s="11" t="n">
        <v>0.7518</v>
      </c>
      <c r="S17" s="11" t="n">
        <v>0.7518</v>
      </c>
      <c r="T17" s="11" t="n">
        <v>0.7518</v>
      </c>
      <c r="U17" s="11" t="n">
        <v>0.7518</v>
      </c>
      <c r="V17" s="11" t="n">
        <v>1.0528</v>
      </c>
      <c r="W17" s="11" t="n">
        <v>0.4932</v>
      </c>
      <c r="X17" s="11" t="n">
        <v>0.5196</v>
      </c>
      <c r="Y17" s="11" t="n">
        <v>0.4936</v>
      </c>
      <c r="Z17" s="11" t="n">
        <v>0.6877</v>
      </c>
      <c r="AA17" s="11" t="n">
        <v>0.6877</v>
      </c>
      <c r="AB17" s="11" t="n">
        <v>0.7518</v>
      </c>
      <c r="AC17" s="11" t="n">
        <v>0.7518</v>
      </c>
      <c r="AD17" s="11" t="n">
        <v>1.0528</v>
      </c>
    </row>
    <row r="18">
      <c r="A18" s="10" t="inlineStr">
        <is>
          <t>감가상각누계액</t>
        </is>
      </c>
      <c r="C18" s="11" t="n">
        <v>-0.2193</v>
      </c>
      <c r="D18" s="11" t="n">
        <v>-0.2884</v>
      </c>
      <c r="E18" s="11" t="n">
        <v>-0.3053</v>
      </c>
      <c r="F18" s="11" t="n">
        <v>-0.2724</v>
      </c>
      <c r="G18" s="11" t="n">
        <v>-0.2843</v>
      </c>
      <c r="H18" s="11" t="n">
        <v>-0.2961</v>
      </c>
      <c r="I18" s="11" t="n">
        <v>-0.3079</v>
      </c>
      <c r="J18" s="11" t="n">
        <v>-0.3197</v>
      </c>
      <c r="K18" s="11" t="n">
        <v>-0.3321</v>
      </c>
      <c r="L18" s="11" t="n">
        <v>-0.3448</v>
      </c>
      <c r="M18" s="11" t="n">
        <v>-0.3575</v>
      </c>
      <c r="N18" s="11" t="n">
        <v>-0.3702</v>
      </c>
      <c r="O18" s="11" t="n">
        <v>-0.3829</v>
      </c>
      <c r="P18" s="11" t="n">
        <v>-0.3956</v>
      </c>
      <c r="Q18" s="11" t="n">
        <v>-0.4083</v>
      </c>
      <c r="R18" s="11" t="n">
        <v>-0.421</v>
      </c>
      <c r="S18" s="11" t="n">
        <v>-0.4337</v>
      </c>
      <c r="T18" s="11" t="n">
        <v>-0.4694</v>
      </c>
      <c r="U18" s="11" t="n">
        <v>-0.5031</v>
      </c>
      <c r="V18" s="11" t="n">
        <v>-0.4465</v>
      </c>
      <c r="W18" s="11" t="n">
        <v>-0.1625</v>
      </c>
      <c r="X18" s="11" t="n">
        <v>-0.2037</v>
      </c>
      <c r="Y18" s="11" t="n">
        <v>-0.2586</v>
      </c>
      <c r="Z18" s="11" t="n">
        <v>-0.2724</v>
      </c>
      <c r="AA18" s="11" t="n">
        <v>-0.3197</v>
      </c>
      <c r="AB18" s="11" t="n">
        <v>-0.3702</v>
      </c>
      <c r="AC18" s="11" t="n">
        <v>-0.421</v>
      </c>
      <c r="AD18" s="11" t="n">
        <v>-0.4465</v>
      </c>
    </row>
    <row r="19">
      <c r="A19" s="10" t="inlineStr">
        <is>
          <t>건물(순액)</t>
        </is>
      </c>
      <c r="C19" s="11" t="n">
        <v>0.222</v>
      </c>
      <c r="D19" s="11" t="n">
        <v>0.4141</v>
      </c>
      <c r="E19" s="11" t="n">
        <v>0.4574</v>
      </c>
      <c r="F19" s="11" t="n">
        <v>0.4153</v>
      </c>
      <c r="G19" s="11" t="n">
        <v>0.4034</v>
      </c>
      <c r="H19" s="11" t="n">
        <v>0.3916</v>
      </c>
      <c r="I19" s="11" t="n">
        <v>0.3798</v>
      </c>
      <c r="J19" s="11" t="n">
        <v>0.368</v>
      </c>
      <c r="K19" s="11" t="n">
        <v>0.4197</v>
      </c>
      <c r="L19" s="11" t="n">
        <v>0.407</v>
      </c>
      <c r="M19" s="11" t="n">
        <v>0.3943</v>
      </c>
      <c r="N19" s="11" t="n">
        <v>0.3816</v>
      </c>
      <c r="O19" s="11" t="n">
        <v>0.3689</v>
      </c>
      <c r="P19" s="11" t="n">
        <v>0.3562</v>
      </c>
      <c r="Q19" s="11" t="n">
        <v>0.3435</v>
      </c>
      <c r="R19" s="11" t="n">
        <v>0.3308</v>
      </c>
      <c r="S19" s="11" t="n">
        <v>0.3181</v>
      </c>
      <c r="T19" s="11" t="n">
        <v>0.2823</v>
      </c>
      <c r="U19" s="11" t="n">
        <v>0.2486</v>
      </c>
      <c r="V19" s="11" t="n">
        <v>0.6063</v>
      </c>
      <c r="W19" s="11" t="n">
        <v>0.3307</v>
      </c>
      <c r="X19" s="11" t="n">
        <v>0.3159</v>
      </c>
      <c r="Y19" s="11" t="n">
        <v>0.2349</v>
      </c>
      <c r="Z19" s="11" t="n">
        <v>0.4153</v>
      </c>
      <c r="AA19" s="11" t="n">
        <v>0.368</v>
      </c>
      <c r="AB19" s="11" t="n">
        <v>0.3816</v>
      </c>
      <c r="AC19" s="11" t="n">
        <v>0.3308</v>
      </c>
      <c r="AD19" s="11" t="n">
        <v>0.6063</v>
      </c>
    </row>
    <row r="20">
      <c r="A20" s="10" t="inlineStr">
        <is>
          <t>공구·기구·비품</t>
        </is>
      </c>
      <c r="C20" s="11" t="n">
        <v>1.214</v>
      </c>
      <c r="D20" s="11" t="n">
        <v>1.3094</v>
      </c>
      <c r="E20" s="11" t="n">
        <v>1.2361</v>
      </c>
      <c r="F20" s="11" t="n">
        <v>0.8973</v>
      </c>
      <c r="G20" s="11" t="n">
        <v>0.9016999999999999</v>
      </c>
      <c r="H20" s="11" t="n">
        <v>0.7693</v>
      </c>
      <c r="I20" s="11" t="n">
        <v>0.7693</v>
      </c>
      <c r="J20" s="11" t="n">
        <v>0.7738</v>
      </c>
      <c r="K20" s="11" t="n">
        <v>0.7862</v>
      </c>
      <c r="L20" s="11" t="n">
        <v>0.8191000000000001</v>
      </c>
      <c r="M20" s="11" t="n">
        <v>0.8372000000000001</v>
      </c>
      <c r="N20" s="11" t="n">
        <v>0.8155</v>
      </c>
      <c r="O20" s="11" t="n">
        <v>0.8155</v>
      </c>
      <c r="P20" s="11" t="n">
        <v>0.7429</v>
      </c>
      <c r="Q20" s="11" t="n">
        <v>0.6099</v>
      </c>
      <c r="R20" s="11" t="n">
        <v>0.5991</v>
      </c>
      <c r="S20" s="11" t="n">
        <v>0.6084000000000001</v>
      </c>
      <c r="T20" s="11" t="n">
        <v>0.62</v>
      </c>
      <c r="U20" s="11" t="n">
        <v>0.6157</v>
      </c>
      <c r="V20" s="11" t="n">
        <v>0.6968</v>
      </c>
      <c r="W20" s="11" t="n">
        <v>0.9736</v>
      </c>
      <c r="X20" s="11" t="n">
        <v>1.1991</v>
      </c>
      <c r="Y20" s="11" t="n">
        <v>1.1894</v>
      </c>
      <c r="Z20" s="11" t="n">
        <v>0.8973</v>
      </c>
      <c r="AA20" s="11" t="n">
        <v>0.7738</v>
      </c>
      <c r="AB20" s="11" t="n">
        <v>0.8155</v>
      </c>
      <c r="AC20" s="11" t="n">
        <v>0.5991</v>
      </c>
      <c r="AD20" s="11" t="n">
        <v>0.6968</v>
      </c>
    </row>
    <row r="21">
      <c r="A21" s="10" t="inlineStr">
        <is>
          <t>감가상각누계액</t>
        </is>
      </c>
      <c r="C21" s="11" t="n">
        <v>-0.9</v>
      </c>
      <c r="D21" s="11" t="n">
        <v>-0.9944</v>
      </c>
      <c r="E21" s="11" t="n">
        <v>-0.9306</v>
      </c>
      <c r="F21" s="11" t="n">
        <v>-0.7144</v>
      </c>
      <c r="G21" s="11" t="n">
        <v>-0.738</v>
      </c>
      <c r="H21" s="11" t="n">
        <v>-0.6263</v>
      </c>
      <c r="I21" s="11" t="n">
        <v>-0.6504</v>
      </c>
      <c r="J21" s="11" t="n">
        <v>-0.6741</v>
      </c>
      <c r="K21" s="11" t="n">
        <v>-0.6879</v>
      </c>
      <c r="L21" s="11" t="n">
        <v>-0.7040999999999999</v>
      </c>
      <c r="M21" s="11" t="n">
        <v>-0.7222</v>
      </c>
      <c r="N21" s="11" t="n">
        <v>-0.7183</v>
      </c>
      <c r="O21" s="11" t="n">
        <v>-0.7285</v>
      </c>
      <c r="P21" s="11" t="n">
        <v>-0.6508</v>
      </c>
      <c r="Q21" s="11" t="n">
        <v>-0.527</v>
      </c>
      <c r="R21" s="11" t="n">
        <v>-0.5265</v>
      </c>
      <c r="S21" s="11" t="n">
        <v>-0.5339</v>
      </c>
      <c r="T21" s="11" t="n">
        <v>-0.5437</v>
      </c>
      <c r="U21" s="11" t="n">
        <v>-0.5499000000000001</v>
      </c>
      <c r="V21" s="11" t="n">
        <v>-0.57</v>
      </c>
      <c r="W21" s="11" t="n">
        <v>-0.6453</v>
      </c>
      <c r="X21" s="11" t="n">
        <v>-0.8522</v>
      </c>
      <c r="Y21" s="11" t="n">
        <v>-0.8625</v>
      </c>
      <c r="Z21" s="11" t="n">
        <v>-0.7144</v>
      </c>
      <c r="AA21" s="11" t="n">
        <v>-0.6741</v>
      </c>
      <c r="AB21" s="11" t="n">
        <v>-0.7183</v>
      </c>
      <c r="AC21" s="11" t="n">
        <v>-0.5265</v>
      </c>
      <c r="AD21" s="11" t="n">
        <v>-0.57</v>
      </c>
    </row>
    <row r="22">
      <c r="A22" s="10" t="inlineStr">
        <is>
          <t>공구·기구·비품(순액)</t>
        </is>
      </c>
      <c r="C22" s="11" t="n">
        <v>0.314</v>
      </c>
      <c r="D22" s="11" t="n">
        <v>0.315</v>
      </c>
      <c r="E22" s="11" t="n">
        <v>0.3055</v>
      </c>
      <c r="F22" s="11" t="n">
        <v>0.1829</v>
      </c>
      <c r="G22" s="11" t="n">
        <v>0.1636</v>
      </c>
      <c r="H22" s="11" t="n">
        <v>0.1429</v>
      </c>
      <c r="I22" s="11" t="n">
        <v>0.1189</v>
      </c>
      <c r="J22" s="11" t="n">
        <v>0.09959999999999999</v>
      </c>
      <c r="K22" s="11" t="n">
        <v>0.0982</v>
      </c>
      <c r="L22" s="11" t="n">
        <v>0.115</v>
      </c>
      <c r="M22" s="11" t="n">
        <v>0.115</v>
      </c>
      <c r="N22" s="11" t="n">
        <v>0.09719999999999999</v>
      </c>
      <c r="O22" s="11" t="n">
        <v>0.08699999999999999</v>
      </c>
      <c r="P22" s="11" t="n">
        <v>0.0921</v>
      </c>
      <c r="Q22" s="11" t="n">
        <v>0.0829</v>
      </c>
      <c r="R22" s="11" t="n">
        <v>0.0725</v>
      </c>
      <c r="S22" s="11" t="n">
        <v>0.07439999999999999</v>
      </c>
      <c r="T22" s="11" t="n">
        <v>0.07630000000000001</v>
      </c>
      <c r="U22" s="11" t="n">
        <v>0.06569999999999999</v>
      </c>
      <c r="V22" s="11" t="n">
        <v>0.1268</v>
      </c>
      <c r="W22" s="11" t="n">
        <v>0.3283</v>
      </c>
      <c r="X22" s="11" t="n">
        <v>0.3469</v>
      </c>
      <c r="Y22" s="11" t="n">
        <v>0.3269</v>
      </c>
      <c r="Z22" s="11" t="n">
        <v>0.1829</v>
      </c>
      <c r="AA22" s="11" t="n">
        <v>0.09959999999999999</v>
      </c>
      <c r="AB22" s="11" t="n">
        <v>0.09719999999999999</v>
      </c>
      <c r="AC22" s="11" t="n">
        <v>0.0725</v>
      </c>
      <c r="AD22" s="11" t="n">
        <v>0.1268</v>
      </c>
    </row>
    <row r="23">
      <c r="A23" s="10" t="inlineStr">
        <is>
          <t>사용권자산(순액)</t>
        </is>
      </c>
      <c r="W23" s="11" t="n">
        <v>0</v>
      </c>
    </row>
    <row r="24">
      <c r="A24" s="10" t="inlineStr">
        <is>
          <t>사용권자산(순액)</t>
        </is>
      </c>
      <c r="C24" s="11" t="n">
        <v>0.5603</v>
      </c>
      <c r="D24" s="11" t="n">
        <v>0.5088</v>
      </c>
      <c r="E24" s="11" t="n">
        <v>0.4609</v>
      </c>
      <c r="X24" s="11" t="n">
        <v>0.824</v>
      </c>
      <c r="Y24" s="11" t="n">
        <v>0.623</v>
      </c>
    </row>
    <row r="25">
      <c r="A25" s="10" t="inlineStr">
        <is>
          <t>사용권자산(순액)</t>
        </is>
      </c>
      <c r="F25" s="11" t="n">
        <v>0</v>
      </c>
      <c r="W25" s="11" t="n">
        <v>0</v>
      </c>
      <c r="X25" s="11" t="n">
        <v>0.824</v>
      </c>
      <c r="Y25" s="11" t="n">
        <v>0.623</v>
      </c>
      <c r="Z25" s="11" t="n">
        <v>0</v>
      </c>
    </row>
    <row r="26">
      <c r="A26" s="10" t="inlineStr">
        <is>
          <t>리스자산</t>
        </is>
      </c>
      <c r="N26" s="11" t="n">
        <v>0</v>
      </c>
      <c r="O26" s="11" t="n">
        <v>0.0968</v>
      </c>
      <c r="P26" s="11" t="n">
        <v>0.0968</v>
      </c>
      <c r="Q26" s="11" t="n">
        <v>0.0968</v>
      </c>
      <c r="R26" s="11" t="n">
        <v>0.0968</v>
      </c>
      <c r="S26" s="11" t="n">
        <v>0.0968</v>
      </c>
      <c r="T26" s="11" t="n">
        <v>0.0968</v>
      </c>
      <c r="U26" s="11" t="n">
        <v>0.0968</v>
      </c>
      <c r="V26" s="11" t="n">
        <v>0.0968</v>
      </c>
      <c r="AB26" s="11" t="n">
        <v>0</v>
      </c>
      <c r="AC26" s="11" t="n">
        <v>0.0968</v>
      </c>
      <c r="AD26" s="11" t="n">
        <v>0.0968</v>
      </c>
    </row>
    <row r="27">
      <c r="A27" s="10" t="inlineStr">
        <is>
          <t>감가상각누계액</t>
        </is>
      </c>
      <c r="N27" s="11" t="n">
        <v>0</v>
      </c>
      <c r="O27" s="11" t="n">
        <v>-0.0011</v>
      </c>
      <c r="P27" s="11" t="n">
        <v>-0.0046</v>
      </c>
      <c r="Q27" s="11" t="n">
        <v>-0.0081</v>
      </c>
      <c r="R27" s="11" t="n">
        <v>-0.0115</v>
      </c>
      <c r="S27" s="11" t="n">
        <v>-0.015</v>
      </c>
      <c r="T27" s="11" t="n">
        <v>-0.0184</v>
      </c>
      <c r="U27" s="11" t="n">
        <v>-0.0219</v>
      </c>
      <c r="V27" s="11" t="n">
        <v>-0.0254</v>
      </c>
      <c r="AB27" s="11" t="n">
        <v>0</v>
      </c>
      <c r="AC27" s="11" t="n">
        <v>-0.0115</v>
      </c>
      <c r="AD27" s="11" t="n">
        <v>-0.0254</v>
      </c>
    </row>
    <row r="28">
      <c r="A28" s="10" t="inlineStr">
        <is>
          <t>리스자산(순액)</t>
        </is>
      </c>
      <c r="N28" s="11" t="n">
        <v>0</v>
      </c>
      <c r="O28" s="11" t="n">
        <v>0.0956</v>
      </c>
      <c r="P28" s="11" t="n">
        <v>0.0922</v>
      </c>
      <c r="Q28" s="11" t="n">
        <v>0.0887</v>
      </c>
      <c r="R28" s="11" t="n">
        <v>0.0853</v>
      </c>
      <c r="S28" s="11" t="n">
        <v>0.0818</v>
      </c>
      <c r="T28" s="11" t="n">
        <v>0.0784</v>
      </c>
      <c r="U28" s="11" t="n">
        <v>0.07489999999999999</v>
      </c>
      <c r="V28" s="11" t="n">
        <v>0.07140000000000001</v>
      </c>
      <c r="AB28" s="11" t="n">
        <v>0</v>
      </c>
      <c r="AC28" s="11" t="n">
        <v>0.0853</v>
      </c>
      <c r="AD28" s="11" t="n">
        <v>0.07140000000000001</v>
      </c>
    </row>
    <row r="29">
      <c r="A29" s="10" t="inlineStr">
        <is>
          <t>유형자산 합계</t>
        </is>
      </c>
      <c r="C29" s="11" t="n">
        <v>1.0963</v>
      </c>
      <c r="D29" s="11" t="n">
        <v>1.238</v>
      </c>
      <c r="E29" s="11" t="n">
        <v>1.2238</v>
      </c>
      <c r="F29" s="11" t="n">
        <v>0.5982</v>
      </c>
      <c r="G29" s="11" t="n">
        <v>0.5671</v>
      </c>
      <c r="H29" s="11" t="n">
        <v>0.5346</v>
      </c>
      <c r="I29" s="11" t="n">
        <v>0.4987</v>
      </c>
      <c r="J29" s="11" t="n">
        <v>0.4676</v>
      </c>
      <c r="K29" s="11" t="n">
        <v>0.518</v>
      </c>
      <c r="L29" s="11" t="n">
        <v>0.522</v>
      </c>
      <c r="M29" s="11" t="n">
        <v>0.5093</v>
      </c>
      <c r="N29" s="11" t="n">
        <v>0.4788</v>
      </c>
      <c r="O29" s="11" t="n">
        <v>0.5516</v>
      </c>
      <c r="P29" s="11" t="n">
        <v>0.5404</v>
      </c>
      <c r="Q29" s="11" t="n">
        <v>0.5151</v>
      </c>
      <c r="R29" s="11" t="n">
        <v>0.4886</v>
      </c>
      <c r="S29" s="11" t="n">
        <v>0.4743</v>
      </c>
      <c r="T29" s="11" t="n">
        <v>0.437</v>
      </c>
      <c r="U29" s="11" t="n">
        <v>0.3893</v>
      </c>
      <c r="V29" s="11" t="n">
        <v>0.8045</v>
      </c>
      <c r="W29" s="11" t="n">
        <v>0.6591</v>
      </c>
      <c r="X29" s="11" t="n">
        <v>1.4869</v>
      </c>
      <c r="Y29" s="11" t="n">
        <v>1.1849</v>
      </c>
      <c r="Z29" s="11" t="n">
        <v>0.5982</v>
      </c>
      <c r="AA29" s="11" t="n">
        <v>0.4676</v>
      </c>
      <c r="AB29" s="11" t="n">
        <v>0.4788</v>
      </c>
      <c r="AC29" s="11" t="n">
        <v>0.4886</v>
      </c>
      <c r="AD29" s="11" t="n">
        <v>0.8045</v>
      </c>
    </row>
    <row r="30">
      <c r="A30" s="10" t="inlineStr">
        <is>
          <t>상표권</t>
        </is>
      </c>
      <c r="C30" s="11" t="n">
        <v>0.0217</v>
      </c>
      <c r="D30" s="11" t="n">
        <v>0.0211</v>
      </c>
      <c r="E30" s="11" t="n">
        <v>0.0204</v>
      </c>
      <c r="F30" s="11" t="n">
        <v>0.0198</v>
      </c>
      <c r="G30" s="11" t="n">
        <v>0.0192</v>
      </c>
      <c r="H30" s="11" t="n">
        <v>0.0186</v>
      </c>
      <c r="I30" s="11" t="n">
        <v>0.018</v>
      </c>
      <c r="J30" s="11" t="n">
        <v>0.0174</v>
      </c>
      <c r="K30" s="11" t="n">
        <v>0.0168</v>
      </c>
      <c r="L30" s="11" t="n">
        <v>0.0162</v>
      </c>
      <c r="M30" s="11" t="n">
        <v>0.0155</v>
      </c>
      <c r="N30" s="11" t="n">
        <v>0.0149</v>
      </c>
      <c r="O30" s="11" t="n">
        <v>0.0143</v>
      </c>
      <c r="P30" s="11" t="n">
        <v>0.0137</v>
      </c>
      <c r="Q30" s="11" t="n">
        <v>0.0131</v>
      </c>
      <c r="R30" s="11" t="n">
        <v>0.0125</v>
      </c>
      <c r="S30" s="11" t="n">
        <v>0.0119</v>
      </c>
      <c r="T30" s="11" t="n">
        <v>0.0112</v>
      </c>
      <c r="U30" s="11" t="n">
        <v>0.0106</v>
      </c>
      <c r="V30" s="11" t="n">
        <v>0.01</v>
      </c>
      <c r="X30" s="11" t="n">
        <v>0</v>
      </c>
      <c r="Y30" s="11" t="n">
        <v>0.0223</v>
      </c>
      <c r="Z30" s="11" t="n">
        <v>0.0198</v>
      </c>
      <c r="AA30" s="11" t="n">
        <v>0.0174</v>
      </c>
      <c r="AB30" s="11" t="n">
        <v>0.0149</v>
      </c>
      <c r="AC30" s="11" t="n">
        <v>0.0125</v>
      </c>
      <c r="AD30" s="11" t="n">
        <v>0.01</v>
      </c>
    </row>
    <row r="31">
      <c r="A31" s="10" t="inlineStr">
        <is>
          <t>소프트웨어</t>
        </is>
      </c>
      <c r="C31" s="11" t="n">
        <v>0</v>
      </c>
      <c r="D31" s="11" t="n">
        <v>0</v>
      </c>
      <c r="E31" s="11" t="n">
        <v>0</v>
      </c>
      <c r="W31" s="11" t="n">
        <v>0.0009</v>
      </c>
      <c r="X31" s="11" t="n">
        <v>0.0005</v>
      </c>
      <c r="Y31" s="11" t="n">
        <v>0</v>
      </c>
    </row>
    <row r="32">
      <c r="A32" s="10" t="inlineStr">
        <is>
          <t>영업권</t>
        </is>
      </c>
      <c r="D32" s="11" t="n">
        <v>6.1973</v>
      </c>
      <c r="E32" s="11" t="n">
        <v>6.0423</v>
      </c>
      <c r="F32" s="11" t="n">
        <v>5.3947</v>
      </c>
      <c r="G32" s="11" t="n">
        <v>5.2361</v>
      </c>
      <c r="H32" s="11" t="n">
        <v>5.0774</v>
      </c>
      <c r="I32" s="11" t="n">
        <v>4.9187</v>
      </c>
      <c r="J32" s="11" t="n">
        <v>4.76</v>
      </c>
      <c r="K32" s="11" t="n">
        <v>4.6014</v>
      </c>
      <c r="L32" s="11" t="n">
        <v>4.4427</v>
      </c>
      <c r="M32" s="11" t="n">
        <v>4.284</v>
      </c>
      <c r="N32" s="11" t="n">
        <v>4.1254</v>
      </c>
      <c r="O32" s="11" t="n">
        <v>3.9859</v>
      </c>
      <c r="P32" s="11" t="n">
        <v>3.8209</v>
      </c>
      <c r="Q32" s="11" t="n">
        <v>3.6558</v>
      </c>
      <c r="R32" s="11" t="n">
        <v>3.4907</v>
      </c>
      <c r="S32" s="11" t="n">
        <v>3.4966</v>
      </c>
      <c r="T32" s="11" t="n">
        <v>3.3159</v>
      </c>
      <c r="U32" s="11" t="n">
        <v>3.1347</v>
      </c>
      <c r="V32" s="11" t="n">
        <v>2.856</v>
      </c>
      <c r="Y32" s="11" t="n">
        <v>0</v>
      </c>
      <c r="Z32" s="11" t="n">
        <v>5.3947</v>
      </c>
      <c r="AA32" s="11" t="n">
        <v>4.76</v>
      </c>
      <c r="AB32" s="11" t="n">
        <v>4.1254</v>
      </c>
      <c r="AC32" s="11" t="n">
        <v>3.4907</v>
      </c>
      <c r="AD32" s="11" t="n">
        <v>2.856</v>
      </c>
    </row>
    <row r="33">
      <c r="A33" s="10" t="inlineStr">
        <is>
          <t>고객관계자산</t>
        </is>
      </c>
      <c r="N33" s="11" t="n">
        <v>0.5344</v>
      </c>
      <c r="P33" s="11" t="n">
        <v>0.4933</v>
      </c>
      <c r="R33" s="11" t="n">
        <v>0.4522</v>
      </c>
      <c r="T33" s="11" t="n">
        <v>0.4111</v>
      </c>
      <c r="AB33" s="11" t="n">
        <v>0.5344</v>
      </c>
      <c r="AC33" s="11" t="n">
        <v>0.4522</v>
      </c>
    </row>
    <row r="34">
      <c r="A34" s="10" t="inlineStr">
        <is>
          <t>고객관계자산</t>
        </is>
      </c>
      <c r="F34" s="11" t="n">
        <v>0.6989</v>
      </c>
      <c r="G34" s="11" t="n">
        <v>0.6783</v>
      </c>
      <c r="H34" s="11" t="n">
        <v>0.6578000000000001</v>
      </c>
      <c r="I34" s="11" t="n">
        <v>0.6372</v>
      </c>
      <c r="J34" s="11" t="n">
        <v>0.6167</v>
      </c>
      <c r="K34" s="11" t="n">
        <v>0.5961</v>
      </c>
      <c r="L34" s="11" t="n">
        <v>0.5756</v>
      </c>
      <c r="M34" s="11" t="n">
        <v>0.555</v>
      </c>
      <c r="N34" s="11" t="n">
        <v>0.5344</v>
      </c>
      <c r="O34" s="11" t="n">
        <v>0.5139</v>
      </c>
      <c r="Q34" s="11" t="n">
        <v>0.4728</v>
      </c>
      <c r="R34" s="11" t="n">
        <v>0.4522</v>
      </c>
      <c r="S34" s="11" t="n">
        <v>0.4317</v>
      </c>
      <c r="U34" s="11" t="n">
        <v>0.3906</v>
      </c>
      <c r="Z34" s="11" t="n">
        <v>0.6989</v>
      </c>
      <c r="AA34" s="11" t="n">
        <v>0.6167</v>
      </c>
      <c r="AB34" s="11" t="n">
        <v>0.5344</v>
      </c>
      <c r="AC34" s="11" t="n">
        <v>0.4522</v>
      </c>
    </row>
    <row r="35">
      <c r="A35" s="10" t="inlineStr">
        <is>
          <t>고객관계자산</t>
        </is>
      </c>
      <c r="F35" s="11" t="n">
        <v>0.6989</v>
      </c>
      <c r="J35" s="11" t="n">
        <v>0.6167</v>
      </c>
      <c r="N35" s="11" t="n">
        <v>0.5344</v>
      </c>
      <c r="R35" s="11" t="n">
        <v>0.4522</v>
      </c>
      <c r="V35" s="11" t="n">
        <v>0.37</v>
      </c>
      <c r="Y35" s="11" t="n">
        <v>0</v>
      </c>
      <c r="Z35" s="11" t="n">
        <v>0.6989</v>
      </c>
      <c r="AA35" s="11" t="n">
        <v>0.6167</v>
      </c>
      <c r="AB35" s="11" t="n">
        <v>0.5344</v>
      </c>
      <c r="AC35" s="11" t="n">
        <v>0.4522</v>
      </c>
      <c r="AD35" s="11" t="n">
        <v>0.37</v>
      </c>
    </row>
    <row r="36">
      <c r="A36" s="10" t="inlineStr">
        <is>
          <t>기타</t>
        </is>
      </c>
      <c r="F36" s="11" t="n">
        <v>0.001</v>
      </c>
      <c r="G36" s="11" t="n">
        <v>0.0008</v>
      </c>
      <c r="H36" s="11" t="n">
        <v>0.0007</v>
      </c>
      <c r="I36" s="11" t="n">
        <v>0.0005999999999999999</v>
      </c>
      <c r="J36" s="11" t="n">
        <v>0.0005</v>
      </c>
      <c r="K36" s="11" t="n">
        <v>0.0004</v>
      </c>
      <c r="L36" s="11" t="n">
        <v>0.0002</v>
      </c>
      <c r="M36" s="11" t="n">
        <v>0.0001</v>
      </c>
      <c r="N36" s="11" t="n">
        <v>0</v>
      </c>
      <c r="Y36" s="11" t="n">
        <v>0</v>
      </c>
      <c r="Z36" s="11" t="n">
        <v>0.001</v>
      </c>
      <c r="AA36" s="11" t="n">
        <v>0.0005</v>
      </c>
      <c r="AB36" s="11" t="n">
        <v>0</v>
      </c>
    </row>
    <row r="37">
      <c r="A37" s="10" t="inlineStr">
        <is>
          <t>무형자산 합계</t>
        </is>
      </c>
      <c r="C37" s="11" t="n">
        <v>0.0217</v>
      </c>
      <c r="D37" s="11" t="n">
        <v>6.2184</v>
      </c>
      <c r="E37" s="11" t="n">
        <v>6.0628</v>
      </c>
      <c r="F37" s="11" t="n">
        <v>6.1144</v>
      </c>
      <c r="G37" s="11" t="n">
        <v>5.9345</v>
      </c>
      <c r="H37" s="11" t="n">
        <v>5.7545</v>
      </c>
      <c r="I37" s="11" t="n">
        <v>5.5745</v>
      </c>
      <c r="J37" s="11" t="n">
        <v>5.3946</v>
      </c>
      <c r="K37" s="11" t="n">
        <v>5.2146</v>
      </c>
      <c r="L37" s="11" t="n">
        <v>5.0347</v>
      </c>
      <c r="M37" s="11" t="n">
        <v>4.8547</v>
      </c>
      <c r="N37" s="11" t="n">
        <v>4.6748</v>
      </c>
      <c r="O37" s="11" t="n">
        <v>4.5141</v>
      </c>
      <c r="P37" s="11" t="n">
        <v>4.3279</v>
      </c>
      <c r="Q37" s="11" t="n">
        <v>4.1417</v>
      </c>
      <c r="R37" s="11" t="n">
        <v>3.9554</v>
      </c>
      <c r="S37" s="11" t="n">
        <v>3.9401</v>
      </c>
      <c r="T37" s="11" t="n">
        <v>3.7382</v>
      </c>
      <c r="U37" s="11" t="n">
        <v>3.5359</v>
      </c>
      <c r="V37" s="11" t="n">
        <v>3.2361</v>
      </c>
      <c r="W37" s="11" t="n">
        <v>0.0009</v>
      </c>
      <c r="X37" s="11" t="n">
        <v>0.0005</v>
      </c>
      <c r="Y37" s="11" t="n">
        <v>0.0223</v>
      </c>
      <c r="Z37" s="11" t="n">
        <v>6.1144</v>
      </c>
      <c r="AA37" s="11" t="n">
        <v>5.3946</v>
      </c>
      <c r="AB37" s="11" t="n">
        <v>4.6748</v>
      </c>
      <c r="AC37" s="11" t="n">
        <v>3.9554</v>
      </c>
      <c r="AD37" s="11" t="n">
        <v>3.2361</v>
      </c>
    </row>
    <row r="38">
      <c r="A38" s="10" t="inlineStr">
        <is>
          <t>투자유가증권</t>
        </is>
      </c>
      <c r="C38" s="11" t="n">
        <v>1.2993</v>
      </c>
      <c r="D38" s="11" t="n">
        <v>1.2966</v>
      </c>
      <c r="E38" s="11" t="n">
        <v>1.7177</v>
      </c>
      <c r="F38" s="11" t="n">
        <v>0.5444</v>
      </c>
      <c r="G38" s="11" t="n">
        <v>0.5590000000000001</v>
      </c>
      <c r="H38" s="11" t="n">
        <v>0.6173</v>
      </c>
      <c r="I38" s="11" t="n">
        <v>1.2347</v>
      </c>
      <c r="J38" s="11" t="n">
        <v>1.4556</v>
      </c>
      <c r="K38" s="11" t="n">
        <v>1.633</v>
      </c>
      <c r="L38" s="11" t="n">
        <v>1.7024</v>
      </c>
      <c r="M38" s="11" t="n">
        <v>1.9963</v>
      </c>
      <c r="N38" s="11" t="n">
        <v>2.0202</v>
      </c>
      <c r="O38" s="11" t="n">
        <v>2.5298</v>
      </c>
      <c r="P38" s="11" t="n">
        <v>2.5919</v>
      </c>
      <c r="Q38" s="11" t="n">
        <v>13.0202</v>
      </c>
      <c r="R38" s="11" t="n">
        <v>13.1016</v>
      </c>
      <c r="S38" s="11" t="n">
        <v>13.5982</v>
      </c>
      <c r="T38" s="11" t="n">
        <v>13.926</v>
      </c>
      <c r="U38" s="11" t="n">
        <v>14.125</v>
      </c>
      <c r="V38" s="11" t="n">
        <v>13.4313</v>
      </c>
      <c r="W38" s="11" t="n">
        <v>0</v>
      </c>
      <c r="X38" s="11" t="n">
        <v>0.524</v>
      </c>
      <c r="Y38" s="11" t="n">
        <v>0.9593</v>
      </c>
      <c r="Z38" s="11" t="n">
        <v>0.5444</v>
      </c>
      <c r="AA38" s="11" t="n">
        <v>1.4556</v>
      </c>
      <c r="AB38" s="11" t="n">
        <v>2.0202</v>
      </c>
      <c r="AC38" s="11" t="n">
        <v>13.1016</v>
      </c>
      <c r="AD38" s="11" t="n">
        <v>13.4313</v>
      </c>
    </row>
    <row r="39">
      <c r="A39" s="10" t="inlineStr">
        <is>
          <t>임차보증금·보증금</t>
        </is>
      </c>
      <c r="C39" s="11" t="n">
        <v>0.2715</v>
      </c>
      <c r="D39" s="11" t="n">
        <v>0.2907</v>
      </c>
      <c r="E39" s="11" t="n">
        <v>0.2911</v>
      </c>
      <c r="F39" s="11" t="n">
        <v>0.2893</v>
      </c>
      <c r="G39" s="11" t="n">
        <v>0.2563</v>
      </c>
      <c r="H39" s="11" t="n">
        <v>0.2397</v>
      </c>
      <c r="I39" s="11" t="n">
        <v>0.2352</v>
      </c>
      <c r="J39" s="11" t="n">
        <v>0.233</v>
      </c>
      <c r="K39" s="11" t="n">
        <v>0.2337</v>
      </c>
      <c r="L39" s="11" t="n">
        <v>0.2315</v>
      </c>
      <c r="M39" s="11" t="n">
        <v>0.2292</v>
      </c>
      <c r="N39" s="11" t="n">
        <v>0.2283</v>
      </c>
      <c r="O39" s="11" t="n">
        <v>0.2272</v>
      </c>
      <c r="P39" s="11" t="n">
        <v>0.225</v>
      </c>
      <c r="Q39" s="11" t="n">
        <v>0.2242</v>
      </c>
      <c r="R39" s="11" t="n">
        <v>0.2333</v>
      </c>
      <c r="S39" s="11" t="n">
        <v>0.2374</v>
      </c>
      <c r="T39" s="11" t="n">
        <v>0.3526</v>
      </c>
      <c r="U39" s="11" t="n">
        <v>0.3503</v>
      </c>
      <c r="V39" s="11" t="n">
        <v>0.3398</v>
      </c>
      <c r="W39" s="11" t="n">
        <v>0.3399</v>
      </c>
      <c r="X39" s="11" t="n">
        <v>0.3493</v>
      </c>
      <c r="Y39" s="11" t="n">
        <v>0.3015</v>
      </c>
      <c r="Z39" s="11" t="n">
        <v>0.2893</v>
      </c>
      <c r="AA39" s="11" t="n">
        <v>0.233</v>
      </c>
      <c r="AB39" s="11" t="n">
        <v>0.2283</v>
      </c>
      <c r="AC39" s="11" t="n">
        <v>0.2333</v>
      </c>
      <c r="AD39" s="11" t="n">
        <v>0.3398</v>
      </c>
    </row>
    <row r="40">
      <c r="A40" s="10" t="inlineStr">
        <is>
          <t>이연법인세자산</t>
        </is>
      </c>
      <c r="C40" s="11" t="n">
        <v>0.2477</v>
      </c>
      <c r="D40" s="11" t="n">
        <v>0.3583</v>
      </c>
      <c r="E40" s="11" t="n">
        <v>0.3777</v>
      </c>
      <c r="F40" s="11" t="n">
        <v>0.9373</v>
      </c>
      <c r="G40" s="11" t="n">
        <v>0.8538</v>
      </c>
      <c r="H40" s="11" t="n">
        <v>0.8944</v>
      </c>
      <c r="I40" s="11" t="n">
        <v>0.8842</v>
      </c>
      <c r="J40" s="11" t="n">
        <v>0.9463</v>
      </c>
      <c r="K40" s="11" t="n">
        <v>0.9587</v>
      </c>
      <c r="L40" s="11" t="n">
        <v>0.8111</v>
      </c>
      <c r="M40" s="11" t="n">
        <v>0.7174</v>
      </c>
      <c r="N40" s="11" t="n">
        <v>0.7402</v>
      </c>
      <c r="O40" s="11" t="n">
        <v>0.7606000000000001</v>
      </c>
      <c r="P40" s="11" t="n">
        <v>0.2517</v>
      </c>
      <c r="Q40" s="11" t="n">
        <v>0.2821</v>
      </c>
      <c r="R40" s="11" t="n">
        <v>0.5155999999999999</v>
      </c>
      <c r="S40" s="11" t="n">
        <v>0.0049</v>
      </c>
      <c r="T40" s="11" t="n">
        <v>0.009299999999999999</v>
      </c>
      <c r="U40" s="11" t="n">
        <v>0.006</v>
      </c>
      <c r="V40" s="11" t="n">
        <v>0</v>
      </c>
      <c r="W40" s="11" t="n">
        <v>0</v>
      </c>
      <c r="X40" s="11" t="n">
        <v>0.5651</v>
      </c>
      <c r="Y40" s="11" t="n">
        <v>0.484</v>
      </c>
      <c r="Z40" s="11" t="n">
        <v>0.9373</v>
      </c>
      <c r="AA40" s="11" t="n">
        <v>0.9463</v>
      </c>
      <c r="AB40" s="11" t="n">
        <v>0.7402</v>
      </c>
      <c r="AC40" s="11" t="n">
        <v>0.5155999999999999</v>
      </c>
      <c r="AD40" s="11" t="n">
        <v>0</v>
      </c>
    </row>
    <row r="41">
      <c r="A41" s="10" t="inlineStr">
        <is>
          <t>기타</t>
        </is>
      </c>
      <c r="C41" s="11" t="n">
        <v>0.0677</v>
      </c>
      <c r="D41" s="11" t="n">
        <v>0.1293</v>
      </c>
      <c r="E41" s="11" t="n">
        <v>0.1121</v>
      </c>
      <c r="F41" s="11" t="n">
        <v>0.095</v>
      </c>
      <c r="G41" s="11" t="n">
        <v>0.08</v>
      </c>
      <c r="H41" s="11" t="n">
        <v>0.08</v>
      </c>
      <c r="I41" s="11" t="n">
        <v>0.08</v>
      </c>
      <c r="J41" s="11" t="n">
        <v>0.22</v>
      </c>
      <c r="K41" s="11" t="n">
        <v>0.2296</v>
      </c>
      <c r="L41" s="11" t="n">
        <v>0.228</v>
      </c>
      <c r="M41" s="11" t="n">
        <v>0.2265</v>
      </c>
      <c r="N41" s="11" t="n">
        <v>0.2249</v>
      </c>
      <c r="O41" s="11" t="n">
        <v>0.2259</v>
      </c>
      <c r="P41" s="11" t="n">
        <v>0.2253</v>
      </c>
      <c r="Q41" s="11" t="n">
        <v>0.2269</v>
      </c>
      <c r="R41" s="11" t="n">
        <v>0.2028</v>
      </c>
      <c r="S41" s="11" t="n">
        <v>0.2019</v>
      </c>
      <c r="T41" s="11" t="n">
        <v>0.2327</v>
      </c>
      <c r="U41" s="11" t="n">
        <v>0.224</v>
      </c>
      <c r="V41" s="11" t="n">
        <v>0.2006</v>
      </c>
      <c r="W41" s="11" t="n">
        <v>0</v>
      </c>
      <c r="X41" s="11" t="n">
        <v>0.0009</v>
      </c>
      <c r="Y41" s="11" t="n">
        <v>0.07920000000000001</v>
      </c>
      <c r="Z41" s="11" t="n">
        <v>0.095</v>
      </c>
      <c r="AA41" s="11" t="n">
        <v>0.22</v>
      </c>
      <c r="AB41" s="11" t="n">
        <v>0.2249</v>
      </c>
      <c r="AC41" s="11" t="n">
        <v>0.2028</v>
      </c>
      <c r="AD41" s="11" t="n">
        <v>0.2006</v>
      </c>
    </row>
    <row r="42">
      <c r="A42" s="10" t="inlineStr">
        <is>
          <t>투자 및 기타자산 합계</t>
        </is>
      </c>
      <c r="C42" s="11" t="n">
        <v>1.8862</v>
      </c>
      <c r="D42" s="11" t="n">
        <v>2.0749</v>
      </c>
      <c r="E42" s="11" t="n">
        <v>2.4986</v>
      </c>
      <c r="F42" s="11" t="n">
        <v>1.8661</v>
      </c>
      <c r="G42" s="11" t="n">
        <v>1.7491</v>
      </c>
      <c r="H42" s="11" t="n">
        <v>1.8315</v>
      </c>
      <c r="I42" s="11" t="n">
        <v>2.4342</v>
      </c>
      <c r="J42" s="11" t="n">
        <v>2.8549</v>
      </c>
      <c r="K42" s="11" t="n">
        <v>3.055</v>
      </c>
      <c r="L42" s="11" t="n">
        <v>2.9731</v>
      </c>
      <c r="M42" s="11" t="n">
        <v>3.1695</v>
      </c>
      <c r="N42" s="11" t="n">
        <v>3.2136</v>
      </c>
      <c r="O42" s="11" t="n">
        <v>3.7435</v>
      </c>
      <c r="P42" s="11" t="n">
        <v>3.2939</v>
      </c>
      <c r="Q42" s="11" t="n">
        <v>13.7534</v>
      </c>
      <c r="R42" s="11" t="n">
        <v>14.0533</v>
      </c>
      <c r="S42" s="11" t="n">
        <v>14.0424</v>
      </c>
      <c r="T42" s="11" t="n">
        <v>14.5206</v>
      </c>
      <c r="U42" s="11" t="n">
        <v>14.7054</v>
      </c>
      <c r="V42" s="11" t="n">
        <v>13.9717</v>
      </c>
      <c r="W42" s="11" t="n">
        <v>0.3399</v>
      </c>
      <c r="X42" s="11" t="n">
        <v>1.4392</v>
      </c>
      <c r="Y42" s="11" t="n">
        <v>1.8241</v>
      </c>
      <c r="Z42" s="11" t="n">
        <v>1.8661</v>
      </c>
      <c r="AA42" s="11" t="n">
        <v>2.8549</v>
      </c>
      <c r="AB42" s="11" t="n">
        <v>3.2136</v>
      </c>
      <c r="AC42" s="11" t="n">
        <v>14.0533</v>
      </c>
      <c r="AD42" s="11" t="n">
        <v>13.9717</v>
      </c>
    </row>
    <row r="43">
      <c r="A43" s="10" t="inlineStr">
        <is>
          <t>비유동자산 합계</t>
        </is>
      </c>
      <c r="C43" s="11" t="n">
        <v>3.0042</v>
      </c>
      <c r="D43" s="11" t="n">
        <v>9.5312</v>
      </c>
      <c r="E43" s="11" t="n">
        <v>9.7852</v>
      </c>
      <c r="F43" s="11" t="n">
        <v>8.5787</v>
      </c>
      <c r="G43" s="11" t="n">
        <v>8.2507</v>
      </c>
      <c r="H43" s="11" t="n">
        <v>8.1205</v>
      </c>
      <c r="I43" s="11" t="n">
        <v>8.507400000000001</v>
      </c>
      <c r="J43" s="11" t="n">
        <v>8.7171</v>
      </c>
      <c r="K43" s="11" t="n">
        <v>8.787599999999999</v>
      </c>
      <c r="L43" s="11" t="n">
        <v>8.5298</v>
      </c>
      <c r="M43" s="11" t="n">
        <v>8.5335</v>
      </c>
      <c r="N43" s="11" t="n">
        <v>8.367100000000001</v>
      </c>
      <c r="O43" s="11" t="n">
        <v>8.809200000000001</v>
      </c>
      <c r="P43" s="11" t="n">
        <v>8.1623</v>
      </c>
      <c r="Q43" s="11" t="n">
        <v>18.4101</v>
      </c>
      <c r="R43" s="11" t="n">
        <v>18.4973</v>
      </c>
      <c r="S43" s="11" t="n">
        <v>18.4568</v>
      </c>
      <c r="T43" s="11" t="n">
        <v>18.6958</v>
      </c>
      <c r="U43" s="11" t="n">
        <v>18.6306</v>
      </c>
      <c r="V43" s="11" t="n">
        <v>18.0123</v>
      </c>
      <c r="W43" s="11" t="n">
        <v>0.9998</v>
      </c>
      <c r="X43" s="11" t="n">
        <v>2.9266</v>
      </c>
      <c r="Y43" s="11" t="n">
        <v>3.0313</v>
      </c>
      <c r="Z43" s="11" t="n">
        <v>8.5787</v>
      </c>
      <c r="AA43" s="11" t="n">
        <v>8.7171</v>
      </c>
      <c r="AB43" s="11" t="n">
        <v>8.367100000000001</v>
      </c>
      <c r="AC43" s="11" t="n">
        <v>18.4973</v>
      </c>
      <c r="AD43" s="11" t="n">
        <v>18.0123</v>
      </c>
    </row>
    <row r="44">
      <c r="A44" s="10" t="inlineStr">
        <is>
          <t>자산 합계</t>
        </is>
      </c>
      <c r="C44" s="11" t="n">
        <v>35.0038</v>
      </c>
      <c r="D44" s="11" t="n">
        <v>42.3408</v>
      </c>
      <c r="E44" s="11" t="n">
        <v>42.6632</v>
      </c>
      <c r="F44" s="11" t="n">
        <v>41.6994</v>
      </c>
      <c r="G44" s="11" t="n">
        <v>38.9836</v>
      </c>
      <c r="H44" s="11" t="n">
        <v>39.6145</v>
      </c>
      <c r="I44" s="11" t="n">
        <v>45.319</v>
      </c>
      <c r="J44" s="11" t="n">
        <v>46.7155</v>
      </c>
      <c r="K44" s="11" t="n">
        <v>44.6114</v>
      </c>
      <c r="L44" s="11" t="n">
        <v>44.6978</v>
      </c>
      <c r="M44" s="11" t="n">
        <v>46.497</v>
      </c>
      <c r="N44" s="11" t="n">
        <v>46.76</v>
      </c>
      <c r="O44" s="11" t="n">
        <v>47.473</v>
      </c>
      <c r="P44" s="11" t="n">
        <v>48.2328</v>
      </c>
      <c r="Q44" s="11" t="n">
        <v>51.1934</v>
      </c>
      <c r="R44" s="11" t="n">
        <v>52.4543</v>
      </c>
      <c r="S44" s="11" t="n">
        <v>48.9117</v>
      </c>
      <c r="T44" s="11" t="n">
        <v>50.738</v>
      </c>
      <c r="U44" s="11" t="n">
        <v>50.7665</v>
      </c>
      <c r="V44" s="11" t="n">
        <v>51.0936</v>
      </c>
      <c r="W44" s="11" t="n">
        <v>8.2164</v>
      </c>
      <c r="X44" s="11" t="n">
        <v>15.1128</v>
      </c>
      <c r="Y44" s="11" t="n">
        <v>34.3963</v>
      </c>
      <c r="Z44" s="11" t="n">
        <v>41.6994</v>
      </c>
      <c r="AA44" s="11" t="n">
        <v>46.7155</v>
      </c>
      <c r="AB44" s="11" t="n">
        <v>46.76</v>
      </c>
      <c r="AC44" s="11" t="n">
        <v>52.4543</v>
      </c>
      <c r="AD44" s="11" t="n">
        <v>51.0936</v>
      </c>
    </row>
    <row r="45">
      <c r="A45" s="10" t="inlineStr">
        <is>
          <t>매입채무</t>
        </is>
      </c>
      <c r="C45" s="11" t="n">
        <v>0.3931</v>
      </c>
      <c r="D45" s="11" t="n">
        <v>0.4963</v>
      </c>
      <c r="E45" s="11" t="n">
        <v>0.4274</v>
      </c>
      <c r="F45" s="11" t="n">
        <v>0.4738</v>
      </c>
      <c r="G45" s="11" t="n">
        <v>0.4183</v>
      </c>
      <c r="H45" s="11" t="n">
        <v>0.3772</v>
      </c>
      <c r="I45" s="11" t="n">
        <v>0.5568</v>
      </c>
      <c r="J45" s="11" t="n">
        <v>0.7141</v>
      </c>
      <c r="K45" s="11" t="n">
        <v>0.708</v>
      </c>
      <c r="L45" s="11" t="n">
        <v>0.484</v>
      </c>
      <c r="M45" s="11" t="n">
        <v>0.433</v>
      </c>
      <c r="N45" s="11" t="n">
        <v>0.6319</v>
      </c>
      <c r="O45" s="11" t="n">
        <v>0.773</v>
      </c>
      <c r="P45" s="11" t="n">
        <v>1.0682</v>
      </c>
      <c r="Q45" s="11" t="n">
        <v>1.1483</v>
      </c>
      <c r="R45" s="11" t="n">
        <v>0.9961</v>
      </c>
      <c r="S45" s="11" t="n">
        <v>1.0972</v>
      </c>
      <c r="T45" s="11" t="n">
        <v>1.1276</v>
      </c>
      <c r="U45" s="11" t="n">
        <v>0.9381</v>
      </c>
      <c r="V45" s="11" t="n">
        <v>1.0888</v>
      </c>
      <c r="W45" s="11" t="n">
        <v>0.1507</v>
      </c>
      <c r="X45" s="11" t="n">
        <v>0.1648</v>
      </c>
      <c r="Y45" s="11" t="n">
        <v>0.2407</v>
      </c>
      <c r="Z45" s="11" t="n">
        <v>0.4738</v>
      </c>
      <c r="AA45" s="11" t="n">
        <v>0.7141</v>
      </c>
      <c r="AB45" s="11" t="n">
        <v>0.6319</v>
      </c>
      <c r="AC45" s="11" t="n">
        <v>0.9961</v>
      </c>
      <c r="AD45" s="11" t="n">
        <v>1.0888</v>
      </c>
    </row>
    <row r="46">
      <c r="A46" s="10" t="inlineStr">
        <is>
          <t>1년 내 상환 장기차입금</t>
        </is>
      </c>
      <c r="C46" s="11" t="n">
        <v>1.1332</v>
      </c>
      <c r="D46" s="11" t="n">
        <v>1.2516</v>
      </c>
      <c r="E46" s="11" t="n">
        <v>1.2582</v>
      </c>
      <c r="F46" s="11" t="n">
        <v>1.2582</v>
      </c>
      <c r="G46" s="11" t="n">
        <v>1.2582</v>
      </c>
      <c r="H46" s="11" t="n">
        <v>1.2586</v>
      </c>
      <c r="I46" s="11" t="n">
        <v>1.1753</v>
      </c>
      <c r="J46" s="11" t="n">
        <v>1.0649</v>
      </c>
      <c r="K46" s="11" t="n">
        <v>0.9478</v>
      </c>
      <c r="L46" s="11" t="n">
        <v>0.9409</v>
      </c>
      <c r="M46" s="11" t="n">
        <v>1.6971</v>
      </c>
      <c r="N46" s="11" t="n">
        <v>1.6241</v>
      </c>
      <c r="O46" s="11" t="n">
        <v>1.5578</v>
      </c>
      <c r="P46" s="11" t="n">
        <v>1.5143</v>
      </c>
      <c r="Q46" s="11" t="n">
        <v>1.4247</v>
      </c>
      <c r="R46" s="11" t="n">
        <v>1.3042</v>
      </c>
      <c r="S46" s="11" t="n">
        <v>1.173</v>
      </c>
      <c r="T46" s="11" t="n">
        <v>1.0757</v>
      </c>
      <c r="U46" s="11" t="n">
        <v>1.003</v>
      </c>
      <c r="V46" s="11" t="n">
        <v>0.784</v>
      </c>
      <c r="W46" s="11" t="n">
        <v>0.5001</v>
      </c>
      <c r="X46" s="11" t="n">
        <v>0.9056999999999999</v>
      </c>
      <c r="Y46" s="11" t="n">
        <v>1.1332</v>
      </c>
      <c r="Z46" s="11" t="n">
        <v>1.2582</v>
      </c>
      <c r="AA46" s="11" t="n">
        <v>1.0649</v>
      </c>
      <c r="AB46" s="11" t="n">
        <v>1.6241</v>
      </c>
      <c r="AC46" s="11" t="n">
        <v>1.3042</v>
      </c>
      <c r="AD46" s="11" t="n">
        <v>0.784</v>
      </c>
    </row>
    <row r="47">
      <c r="A47" s="10" t="inlineStr">
        <is>
          <t>미지급금</t>
        </is>
      </c>
      <c r="C47" s="11" t="n">
        <v>0.5101</v>
      </c>
      <c r="D47" s="11" t="n">
        <v>0.5919</v>
      </c>
      <c r="E47" s="11" t="n">
        <v>1.0389</v>
      </c>
      <c r="F47" s="11" t="n">
        <v>1.4803</v>
      </c>
      <c r="G47" s="11" t="n">
        <v>1.3093</v>
      </c>
      <c r="H47" s="11" t="n">
        <v>0.8849</v>
      </c>
      <c r="I47" s="11" t="n">
        <v>0.7696</v>
      </c>
      <c r="J47" s="11" t="n">
        <v>1.3292</v>
      </c>
      <c r="K47" s="11" t="n">
        <v>0.8139999999999999</v>
      </c>
      <c r="L47" s="11" t="n">
        <v>0.7969000000000001</v>
      </c>
      <c r="M47" s="11" t="n">
        <v>0.853</v>
      </c>
      <c r="N47" s="11" t="n">
        <v>0.8542999999999999</v>
      </c>
      <c r="O47" s="11" t="n">
        <v>0.8391</v>
      </c>
      <c r="P47" s="11" t="n">
        <v>0.7578</v>
      </c>
      <c r="Q47" s="11" t="n">
        <v>1.0804</v>
      </c>
      <c r="R47" s="11" t="n">
        <v>1.4206</v>
      </c>
      <c r="S47" s="11" t="n">
        <v>1.0731</v>
      </c>
      <c r="T47" s="11" t="n">
        <v>1.1126</v>
      </c>
      <c r="U47" s="11" t="n">
        <v>1.2811</v>
      </c>
      <c r="V47" s="11" t="n">
        <v>1.3638</v>
      </c>
      <c r="W47" s="11" t="n">
        <v>0.9452</v>
      </c>
      <c r="X47" s="11" t="n">
        <v>0.4495</v>
      </c>
      <c r="Y47" s="11" t="n">
        <v>0.7601</v>
      </c>
      <c r="Z47" s="11" t="n">
        <v>1.4803</v>
      </c>
      <c r="AA47" s="11" t="n">
        <v>1.3292</v>
      </c>
      <c r="AB47" s="11" t="n">
        <v>0.8542999999999999</v>
      </c>
      <c r="AC47" s="11" t="n">
        <v>1.4206</v>
      </c>
      <c r="AD47" s="11" t="n">
        <v>1.3638</v>
      </c>
    </row>
    <row r="48">
      <c r="A48" s="10" t="inlineStr">
        <is>
          <t>미지급비용</t>
        </is>
      </c>
      <c r="C48" s="11" t="n">
        <v>0.4492</v>
      </c>
      <c r="D48" s="11" t="n">
        <v>0.3937</v>
      </c>
      <c r="E48" s="11" t="n">
        <v>0.4692</v>
      </c>
      <c r="F48" s="11" t="n">
        <v>0.6111</v>
      </c>
      <c r="G48" s="11" t="n">
        <v>0.455</v>
      </c>
      <c r="H48" s="11" t="n">
        <v>0.3699</v>
      </c>
      <c r="I48" s="11" t="n">
        <v>0.4085</v>
      </c>
      <c r="J48" s="11" t="n">
        <v>0.6281</v>
      </c>
      <c r="K48" s="11" t="n">
        <v>0.3964</v>
      </c>
      <c r="L48" s="11" t="n">
        <v>0.3326</v>
      </c>
      <c r="M48" s="11" t="n">
        <v>0.3847</v>
      </c>
      <c r="N48" s="11" t="n">
        <v>0.4077</v>
      </c>
      <c r="O48" s="11" t="n">
        <v>0.33</v>
      </c>
      <c r="P48" s="11" t="n">
        <v>0.3137</v>
      </c>
      <c r="Q48" s="11" t="n">
        <v>0.3864</v>
      </c>
      <c r="R48" s="11" t="n">
        <v>0.3949</v>
      </c>
      <c r="S48" s="11" t="n">
        <v>0.315</v>
      </c>
      <c r="T48" s="11" t="n">
        <v>0.3352</v>
      </c>
      <c r="U48" s="11" t="n">
        <v>0.3518</v>
      </c>
      <c r="V48" s="11" t="n">
        <v>0.4229</v>
      </c>
      <c r="W48" s="11" t="n">
        <v>0.2899</v>
      </c>
      <c r="X48" s="11" t="n">
        <v>0.3842</v>
      </c>
      <c r="Y48" s="11" t="n">
        <v>0.468</v>
      </c>
      <c r="Z48" s="11" t="n">
        <v>0.6111</v>
      </c>
      <c r="AA48" s="11" t="n">
        <v>0.6281</v>
      </c>
      <c r="AB48" s="11" t="n">
        <v>0.4077</v>
      </c>
      <c r="AC48" s="11" t="n">
        <v>0.3949</v>
      </c>
      <c r="AD48" s="11" t="n">
        <v>0.4229</v>
      </c>
    </row>
    <row r="49">
      <c r="A49" s="10" t="inlineStr">
        <is>
          <t>미지급법인세</t>
        </is>
      </c>
      <c r="C49" s="11" t="n">
        <v>0.537</v>
      </c>
      <c r="D49" s="11" t="n">
        <v>1.4642</v>
      </c>
      <c r="E49" s="11" t="n">
        <v>1.4008</v>
      </c>
      <c r="F49" s="11" t="n">
        <v>1.2391</v>
      </c>
      <c r="G49" s="11" t="n">
        <v>0.1499</v>
      </c>
      <c r="H49" s="11" t="n">
        <v>0.7392</v>
      </c>
      <c r="I49" s="11" t="n">
        <v>0.4953</v>
      </c>
      <c r="J49" s="11" t="n">
        <v>0.8895</v>
      </c>
      <c r="K49" s="11" t="n">
        <v>0.0926</v>
      </c>
      <c r="L49" s="11" t="n">
        <v>0.4266</v>
      </c>
      <c r="M49" s="11" t="n">
        <v>0</v>
      </c>
      <c r="N49" s="11" t="n">
        <v>0.1539</v>
      </c>
      <c r="O49" s="11" t="n">
        <v>0.5856</v>
      </c>
      <c r="P49" s="11" t="n">
        <v>0.9048</v>
      </c>
      <c r="Q49" s="11" t="n">
        <v>1.5009</v>
      </c>
      <c r="R49" s="11" t="n">
        <v>2.1989</v>
      </c>
      <c r="S49" s="11" t="n">
        <v>0.1299</v>
      </c>
      <c r="T49" s="11" t="n">
        <v>1.0651</v>
      </c>
      <c r="U49" s="11" t="n">
        <v>0.5068</v>
      </c>
      <c r="V49" s="11" t="n">
        <v>0.7836</v>
      </c>
      <c r="W49" s="11" t="n">
        <v>0.372</v>
      </c>
      <c r="X49" s="11" t="n">
        <v>0.4159</v>
      </c>
      <c r="Y49" s="11" t="n">
        <v>0.5918</v>
      </c>
      <c r="Z49" s="11" t="n">
        <v>1.2391</v>
      </c>
      <c r="AA49" s="11" t="n">
        <v>0.8895</v>
      </c>
      <c r="AB49" s="11" t="n">
        <v>0.1539</v>
      </c>
      <c r="AC49" s="11" t="n">
        <v>2.1989</v>
      </c>
      <c r="AD49" s="11" t="n">
        <v>0.7836</v>
      </c>
    </row>
    <row r="50">
      <c r="A50" s="10" t="inlineStr">
        <is>
          <t>미지급 소비세</t>
        </is>
      </c>
      <c r="C50" s="11" t="n">
        <v>0.7341</v>
      </c>
      <c r="D50" s="11" t="n">
        <v>0.7867</v>
      </c>
      <c r="E50" s="11" t="n">
        <v>0.8863</v>
      </c>
      <c r="F50" s="11" t="n">
        <v>0.9818</v>
      </c>
      <c r="G50" s="11" t="n">
        <v>0.5844</v>
      </c>
      <c r="H50" s="11" t="n">
        <v>0.4488</v>
      </c>
      <c r="I50" s="11" t="n">
        <v>0.5094</v>
      </c>
      <c r="J50" s="11" t="n">
        <v>0.5323</v>
      </c>
      <c r="K50" s="11" t="n">
        <v>0.6244</v>
      </c>
      <c r="L50" s="11" t="n">
        <v>0.4613</v>
      </c>
      <c r="M50" s="11" t="n">
        <v>0.3865</v>
      </c>
      <c r="N50" s="11" t="n">
        <v>0.3468</v>
      </c>
      <c r="O50" s="11" t="n">
        <v>0.7818000000000001</v>
      </c>
      <c r="P50" s="11" t="n">
        <v>0.8077</v>
      </c>
      <c r="Q50" s="11" t="n">
        <v>1.0098</v>
      </c>
      <c r="R50" s="11" t="n">
        <v>1.1293</v>
      </c>
      <c r="S50" s="11" t="n">
        <v>0.7706</v>
      </c>
      <c r="T50" s="11" t="n">
        <v>0.6042999999999999</v>
      </c>
      <c r="U50" s="11" t="n">
        <v>0.5607</v>
      </c>
      <c r="V50" s="11" t="n">
        <v>0.5744</v>
      </c>
      <c r="W50" s="11" t="n">
        <v>0.3261</v>
      </c>
      <c r="X50" s="11" t="n">
        <v>0.7933</v>
      </c>
      <c r="Y50" s="11" t="n">
        <v>0.7030999999999999</v>
      </c>
      <c r="Z50" s="11" t="n">
        <v>0.9818</v>
      </c>
      <c r="AA50" s="11" t="n">
        <v>0.5323</v>
      </c>
      <c r="AB50" s="11" t="n">
        <v>0.3468</v>
      </c>
      <c r="AC50" s="11" t="n">
        <v>1.1293</v>
      </c>
      <c r="AD50" s="11" t="n">
        <v>0.5744</v>
      </c>
    </row>
    <row r="51">
      <c r="A51" s="10" t="inlineStr">
        <is>
          <t>선수금</t>
        </is>
      </c>
      <c r="C51" s="11" t="n">
        <v>0</v>
      </c>
      <c r="D51" s="11" t="n">
        <v>0</v>
      </c>
      <c r="E51" s="11" t="n">
        <v>0</v>
      </c>
      <c r="F51" s="11" t="n">
        <v>0</v>
      </c>
      <c r="W51" s="11" t="n">
        <v>0.0515</v>
      </c>
      <c r="X51" s="11" t="n">
        <v>0.0699</v>
      </c>
      <c r="Y51" s="11" t="n">
        <v>0.427</v>
      </c>
      <c r="Z51" s="11" t="n">
        <v>0</v>
      </c>
    </row>
    <row r="52">
      <c r="A52" s="5" t="inlineStr">
        <is>
          <t>선수수익</t>
        </is>
      </c>
      <c r="C52" s="6" t="n">
        <v>0</v>
      </c>
      <c r="D52" s="6" t="n">
        <v>0</v>
      </c>
      <c r="E52" s="6" t="n">
        <v>0</v>
      </c>
      <c r="F52" s="6" t="n">
        <v>0</v>
      </c>
      <c r="W52" s="6" t="n">
        <v>0.4065</v>
      </c>
      <c r="X52" s="6" t="n">
        <v>0.3072</v>
      </c>
      <c r="Y52" s="6" t="n">
        <v>0.356</v>
      </c>
      <c r="Z52" s="6" t="n">
        <v>0</v>
      </c>
    </row>
    <row r="53">
      <c r="A53" s="10" t="inlineStr">
        <is>
          <t>계약부채</t>
        </is>
      </c>
      <c r="C53" s="11" t="n">
        <v>0.4128</v>
      </c>
      <c r="D53" s="11" t="n">
        <v>0.3885</v>
      </c>
      <c r="E53" s="11" t="n">
        <v>0.4104</v>
      </c>
      <c r="F53" s="11" t="n">
        <v>0.4249</v>
      </c>
      <c r="G53" s="11" t="n">
        <v>0.4202</v>
      </c>
      <c r="H53" s="11" t="n">
        <v>0.4672</v>
      </c>
      <c r="I53" s="11" t="n">
        <v>0.5071</v>
      </c>
      <c r="J53" s="11" t="n">
        <v>0.6099</v>
      </c>
      <c r="K53" s="11" t="n">
        <v>0.4863</v>
      </c>
      <c r="L53" s="11" t="n">
        <v>0.4543</v>
      </c>
      <c r="M53" s="11" t="n">
        <v>0.6153999999999999</v>
      </c>
      <c r="N53" s="11" t="n">
        <v>0.7605</v>
      </c>
      <c r="O53" s="11" t="n">
        <v>0.7326</v>
      </c>
      <c r="P53" s="11" t="n">
        <v>0.55</v>
      </c>
      <c r="Q53" s="11" t="n">
        <v>0.743</v>
      </c>
      <c r="R53" s="11" t="n">
        <v>0.616</v>
      </c>
      <c r="S53" s="11" t="n">
        <v>0.6116</v>
      </c>
      <c r="T53" s="11" t="n">
        <v>0.6753</v>
      </c>
      <c r="U53" s="11" t="n">
        <v>0.7709</v>
      </c>
      <c r="V53" s="11" t="n">
        <v>0.5213</v>
      </c>
      <c r="Y53" s="11" t="n">
        <v>0</v>
      </c>
      <c r="Z53" s="11" t="n">
        <v>0.4249</v>
      </c>
      <c r="AA53" s="11" t="n">
        <v>0.6099</v>
      </c>
      <c r="AB53" s="11" t="n">
        <v>0.7605</v>
      </c>
      <c r="AC53" s="11" t="n">
        <v>0.616</v>
      </c>
      <c r="AD53" s="11" t="n">
        <v>0.5213</v>
      </c>
    </row>
    <row r="54">
      <c r="A54" s="10" t="inlineStr">
        <is>
          <t>리스부채</t>
        </is>
      </c>
      <c r="C54" s="11" t="n">
        <v>0.224</v>
      </c>
      <c r="D54" s="11" t="n">
        <v>0.2307</v>
      </c>
      <c r="E54" s="11" t="n">
        <v>0.2413</v>
      </c>
      <c r="F54" s="11" t="n">
        <v>0.2022</v>
      </c>
      <c r="G54" s="11" t="n">
        <v>0</v>
      </c>
      <c r="H54" s="11" t="n">
        <v>0</v>
      </c>
      <c r="I54" s="11" t="n">
        <v>0</v>
      </c>
      <c r="J54" s="11" t="n">
        <v>0</v>
      </c>
      <c r="N54" s="11" t="n">
        <v>0</v>
      </c>
      <c r="O54" s="11" t="n">
        <v>0.0132</v>
      </c>
      <c r="P54" s="11" t="n">
        <v>0.0134</v>
      </c>
      <c r="Q54" s="11" t="n">
        <v>0.0135</v>
      </c>
      <c r="R54" s="11" t="n">
        <v>0.0137</v>
      </c>
      <c r="S54" s="11" t="n">
        <v>0.0138</v>
      </c>
      <c r="T54" s="11" t="n">
        <v>0.014</v>
      </c>
      <c r="U54" s="11" t="n">
        <v>0.0142</v>
      </c>
      <c r="V54" s="11" t="n">
        <v>0.0143</v>
      </c>
      <c r="W54" s="11" t="n">
        <v>0</v>
      </c>
      <c r="X54" s="11" t="n">
        <v>0.2013</v>
      </c>
      <c r="Y54" s="11" t="n">
        <v>0.2228</v>
      </c>
      <c r="Z54" s="11" t="n">
        <v>0.2022</v>
      </c>
      <c r="AA54" s="11" t="n">
        <v>0</v>
      </c>
      <c r="AB54" s="11" t="n">
        <v>0</v>
      </c>
      <c r="AC54" s="11" t="n">
        <v>0.0137</v>
      </c>
      <c r="AD54" s="11" t="n">
        <v>0.0143</v>
      </c>
    </row>
    <row r="55">
      <c r="A55" s="10" t="inlineStr">
        <is>
          <t>예수금</t>
        </is>
      </c>
      <c r="J55" s="11" t="n">
        <v>0.2714</v>
      </c>
      <c r="N55" s="11" t="n">
        <v>0.4952</v>
      </c>
      <c r="O55" s="11" t="n">
        <v>0.4602</v>
      </c>
      <c r="P55" s="11" t="n">
        <v>0.2249</v>
      </c>
      <c r="Q55" s="11" t="n">
        <v>0.4599</v>
      </c>
      <c r="R55" s="11" t="n">
        <v>0.4873</v>
      </c>
      <c r="S55" s="11" t="n">
        <v>0.7725</v>
      </c>
      <c r="T55" s="11" t="n">
        <v>0.4113</v>
      </c>
      <c r="U55" s="11" t="n">
        <v>0.51</v>
      </c>
      <c r="V55" s="11" t="n">
        <v>0.3043</v>
      </c>
      <c r="AA55" s="11" t="n">
        <v>0.2714</v>
      </c>
      <c r="AB55" s="11" t="n">
        <v>0.4952</v>
      </c>
      <c r="AC55" s="11" t="n">
        <v>0.4873</v>
      </c>
      <c r="AD55" s="11" t="n">
        <v>0.3043</v>
      </c>
    </row>
    <row r="56">
      <c r="A56" s="10" t="inlineStr">
        <is>
          <t>상여충당금</t>
        </is>
      </c>
      <c r="C56" s="11" t="n">
        <v>0.0407</v>
      </c>
      <c r="D56" s="11" t="n">
        <v>0.0264</v>
      </c>
      <c r="E56" s="11" t="n">
        <v>0.0406</v>
      </c>
      <c r="F56" s="11" t="n">
        <v>0.0022</v>
      </c>
      <c r="G56" s="11" t="n">
        <v>0</v>
      </c>
      <c r="H56" s="11" t="n">
        <v>0</v>
      </c>
      <c r="I56" s="11" t="n">
        <v>0.096</v>
      </c>
      <c r="J56" s="11" t="n">
        <v>0</v>
      </c>
      <c r="K56" s="11" t="n">
        <v>0.08599999999999999</v>
      </c>
      <c r="L56" s="11" t="n">
        <v>0.1173</v>
      </c>
      <c r="M56" s="11" t="n">
        <v>0.0267</v>
      </c>
      <c r="N56" s="11" t="n">
        <v>0.0188</v>
      </c>
      <c r="O56" s="11" t="n">
        <v>0.1319</v>
      </c>
      <c r="P56" s="11" t="n">
        <v>0.2788</v>
      </c>
      <c r="Q56" s="11" t="n">
        <v>0.535</v>
      </c>
      <c r="R56" s="11" t="n">
        <v>1.0035</v>
      </c>
      <c r="S56" s="11" t="n">
        <v>0.063</v>
      </c>
      <c r="T56" s="11" t="n">
        <v>0.08599999999999999</v>
      </c>
      <c r="U56" s="11" t="n">
        <v>0.0454</v>
      </c>
      <c r="V56" s="11" t="n">
        <v>0.0851</v>
      </c>
      <c r="W56" s="11" t="n">
        <v>0</v>
      </c>
      <c r="X56" s="11" t="n">
        <v>0</v>
      </c>
      <c r="Y56" s="11" t="n">
        <v>0</v>
      </c>
      <c r="Z56" s="11" t="n">
        <v>0.0022</v>
      </c>
      <c r="AA56" s="11" t="n">
        <v>0</v>
      </c>
      <c r="AB56" s="11" t="n">
        <v>0.0188</v>
      </c>
      <c r="AC56" s="11" t="n">
        <v>1.0035</v>
      </c>
      <c r="AD56" s="11" t="n">
        <v>0.0851</v>
      </c>
    </row>
    <row r="57">
      <c r="A57" s="10" t="inlineStr">
        <is>
          <t>수주손실 충당금</t>
        </is>
      </c>
      <c r="C57" s="11" t="n">
        <v>0.0381</v>
      </c>
      <c r="D57" s="11" t="n">
        <v>0</v>
      </c>
      <c r="E57" s="11" t="n">
        <v>0</v>
      </c>
      <c r="F57" s="11" t="n">
        <v>0</v>
      </c>
      <c r="X57" s="11" t="n">
        <v>0</v>
      </c>
      <c r="Y57" s="11" t="n">
        <v>0.0633</v>
      </c>
      <c r="Z57" s="11" t="n">
        <v>0</v>
      </c>
    </row>
    <row r="58">
      <c r="A58" s="10" t="inlineStr">
        <is>
          <t>관계회사 정리손실 충당금</t>
        </is>
      </c>
      <c r="F58" s="11" t="n">
        <v>0.7512</v>
      </c>
      <c r="Y58" s="11" t="n">
        <v>0</v>
      </c>
      <c r="Z58" s="11" t="n">
        <v>0.7512</v>
      </c>
    </row>
    <row r="59">
      <c r="A59" s="10" t="inlineStr">
        <is>
          <t>기타</t>
        </is>
      </c>
      <c r="C59" s="11" t="n">
        <v>0.2792</v>
      </c>
      <c r="D59" s="11" t="n">
        <v>0.214</v>
      </c>
      <c r="E59" s="11" t="n">
        <v>0.2791</v>
      </c>
      <c r="F59" s="11" t="n">
        <v>0.4192</v>
      </c>
      <c r="G59" s="11" t="n">
        <v>0.3797</v>
      </c>
      <c r="H59" s="11" t="n">
        <v>0.2333</v>
      </c>
      <c r="I59" s="11" t="n">
        <v>0.294</v>
      </c>
      <c r="J59" s="11" t="n">
        <v>0.0455</v>
      </c>
      <c r="K59" s="11" t="n">
        <v>0.2806</v>
      </c>
      <c r="L59" s="11" t="n">
        <v>0.2591</v>
      </c>
      <c r="M59" s="11" t="n">
        <v>0.2887</v>
      </c>
      <c r="N59" s="11" t="n">
        <v>0.0399</v>
      </c>
      <c r="O59" s="11" t="n">
        <v>0.0398</v>
      </c>
      <c r="P59" s="11" t="n">
        <v>0</v>
      </c>
      <c r="Q59" s="11" t="n">
        <v>0.0461</v>
      </c>
      <c r="R59" s="11" t="n">
        <v>0</v>
      </c>
      <c r="S59" s="11" t="n">
        <v>0.1532</v>
      </c>
      <c r="T59" s="11" t="n">
        <v>0.0583</v>
      </c>
      <c r="U59" s="11" t="n">
        <v>0.0056</v>
      </c>
      <c r="V59" s="11" t="n">
        <v>0.004</v>
      </c>
      <c r="W59" s="11" t="n">
        <v>0.1617</v>
      </c>
      <c r="X59" s="11" t="n">
        <v>0.1251</v>
      </c>
      <c r="Y59" s="11" t="n">
        <v>0.5456</v>
      </c>
      <c r="Z59" s="11" t="n">
        <v>0.4192</v>
      </c>
      <c r="AA59" s="11" t="n">
        <v>0.0455</v>
      </c>
      <c r="AB59" s="11" t="n">
        <v>0.0399</v>
      </c>
      <c r="AC59" s="11" t="n">
        <v>0</v>
      </c>
      <c r="AD59" s="11" t="n">
        <v>0.004</v>
      </c>
    </row>
    <row r="60">
      <c r="A60" s="10" t="inlineStr">
        <is>
          <t>유동부채 합계</t>
        </is>
      </c>
      <c r="C60" s="11" t="n">
        <v>4.7517</v>
      </c>
      <c r="D60" s="11" t="n">
        <v>5.844</v>
      </c>
      <c r="E60" s="11" t="n">
        <v>6.4523</v>
      </c>
      <c r="F60" s="11" t="n">
        <v>7.0927</v>
      </c>
      <c r="G60" s="11" t="n">
        <v>4.9749</v>
      </c>
      <c r="H60" s="11" t="n">
        <v>4.7792</v>
      </c>
      <c r="I60" s="11" t="n">
        <v>4.812</v>
      </c>
      <c r="J60" s="11" t="n">
        <v>6.085</v>
      </c>
      <c r="K60" s="11" t="n">
        <v>4.4363</v>
      </c>
      <c r="L60" s="11" t="n">
        <v>4.2731</v>
      </c>
      <c r="M60" s="11" t="n">
        <v>4.685</v>
      </c>
      <c r="N60" s="11" t="n">
        <v>5.3333</v>
      </c>
      <c r="O60" s="11" t="n">
        <v>6.2451</v>
      </c>
      <c r="P60" s="11" t="n">
        <v>6.4335</v>
      </c>
      <c r="Q60" s="11" t="n">
        <v>8.348100000000001</v>
      </c>
      <c r="R60" s="11" t="n">
        <v>9.5646</v>
      </c>
      <c r="S60" s="11" t="n">
        <v>6.173</v>
      </c>
      <c r="T60" s="11" t="n">
        <v>6.5654</v>
      </c>
      <c r="U60" s="11" t="n">
        <v>5.9876</v>
      </c>
      <c r="V60" s="11" t="n">
        <v>5.9466</v>
      </c>
      <c r="W60" s="11" t="n">
        <v>3.2038</v>
      </c>
      <c r="X60" s="11" t="n">
        <v>3.817</v>
      </c>
      <c r="Y60" s="11" t="n">
        <v>5.5116</v>
      </c>
      <c r="Z60" s="11" t="n">
        <v>7.0927</v>
      </c>
      <c r="AA60" s="11" t="n">
        <v>6.085</v>
      </c>
      <c r="AB60" s="11" t="n">
        <v>5.3333</v>
      </c>
      <c r="AC60" s="11" t="n">
        <v>9.5646</v>
      </c>
      <c r="AD60" s="11" t="n">
        <v>5.9466</v>
      </c>
    </row>
    <row r="61">
      <c r="A61" s="10" t="inlineStr">
        <is>
          <t>장기차입금</t>
        </is>
      </c>
      <c r="C61" s="11" t="n">
        <v>2.4334</v>
      </c>
      <c r="D61" s="11" t="n">
        <v>2.7053</v>
      </c>
      <c r="E61" s="11" t="n">
        <v>2.2418</v>
      </c>
      <c r="F61" s="11" t="n">
        <v>1.9273</v>
      </c>
      <c r="G61" s="11" t="n">
        <v>1.6128</v>
      </c>
      <c r="H61" s="11" t="n">
        <v>1.2978</v>
      </c>
      <c r="I61" s="11" t="n">
        <v>1.0666</v>
      </c>
      <c r="J61" s="11" t="n">
        <v>0.8624000000000001</v>
      </c>
      <c r="K61" s="11" t="n">
        <v>0.6649</v>
      </c>
      <c r="L61" s="11" t="n">
        <v>0.8569</v>
      </c>
      <c r="M61" s="11" t="n">
        <v>2.778</v>
      </c>
      <c r="N61" s="11" t="n">
        <v>2.3885</v>
      </c>
      <c r="O61" s="11" t="n">
        <v>1.999</v>
      </c>
      <c r="P61" s="11" t="n">
        <v>1.6427</v>
      </c>
      <c r="Q61" s="11" t="n">
        <v>1.3532</v>
      </c>
      <c r="R61" s="11" t="n">
        <v>1.0843</v>
      </c>
      <c r="S61" s="11" t="n">
        <v>0.826</v>
      </c>
      <c r="T61" s="11" t="n">
        <v>0.5669999999999999</v>
      </c>
      <c r="U61" s="11" t="n">
        <v>0.3503</v>
      </c>
      <c r="V61" s="11" t="n">
        <v>0.3003</v>
      </c>
      <c r="W61" s="11" t="n">
        <v>0.3786</v>
      </c>
      <c r="X61" s="11" t="n">
        <v>1.2498</v>
      </c>
      <c r="Y61" s="11" t="n">
        <v>2.7167</v>
      </c>
      <c r="Z61" s="11" t="n">
        <v>1.9273</v>
      </c>
      <c r="AA61" s="11" t="n">
        <v>0.8624000000000001</v>
      </c>
      <c r="AB61" s="11" t="n">
        <v>2.3885</v>
      </c>
      <c r="AC61" s="11" t="n">
        <v>1.0843</v>
      </c>
      <c r="AD61" s="11" t="n">
        <v>0.3003</v>
      </c>
    </row>
    <row r="62">
      <c r="A62" s="10" t="inlineStr">
        <is>
          <t>리스부채</t>
        </is>
      </c>
      <c r="C62" s="11" t="n">
        <v>0.3927</v>
      </c>
      <c r="D62" s="11" t="n">
        <v>0.3353</v>
      </c>
      <c r="E62" s="11" t="n">
        <v>0.2776</v>
      </c>
      <c r="F62" s="11" t="n">
        <v>0.2269</v>
      </c>
      <c r="G62" s="11" t="n">
        <v>0</v>
      </c>
      <c r="H62" s="11" t="n">
        <v>0</v>
      </c>
      <c r="I62" s="11" t="n">
        <v>0</v>
      </c>
      <c r="J62" s="11" t="n">
        <v>0</v>
      </c>
      <c r="N62" s="11" t="n">
        <v>0</v>
      </c>
      <c r="O62" s="11" t="n">
        <v>0.0922</v>
      </c>
      <c r="P62" s="11" t="n">
        <v>0.0888</v>
      </c>
      <c r="Q62" s="11" t="n">
        <v>0.0854</v>
      </c>
      <c r="R62" s="11" t="n">
        <v>0.0819</v>
      </c>
      <c r="S62" s="11" t="n">
        <v>0.0784</v>
      </c>
      <c r="T62" s="11" t="n">
        <v>0.07480000000000001</v>
      </c>
      <c r="U62" s="11" t="n">
        <v>0.0712</v>
      </c>
      <c r="V62" s="11" t="n">
        <v>0.0675</v>
      </c>
      <c r="W62" s="11" t="n">
        <v>0</v>
      </c>
      <c r="X62" s="11" t="n">
        <v>0.6561</v>
      </c>
      <c r="Y62" s="11" t="n">
        <v>0.4554</v>
      </c>
      <c r="Z62" s="11" t="n">
        <v>0.2269</v>
      </c>
      <c r="AA62" s="11" t="n">
        <v>0</v>
      </c>
      <c r="AB62" s="11" t="n">
        <v>0</v>
      </c>
      <c r="AC62" s="11" t="n">
        <v>0.0819</v>
      </c>
      <c r="AD62" s="11" t="n">
        <v>0.0675</v>
      </c>
    </row>
    <row r="63">
      <c r="A63" s="10" t="inlineStr">
        <is>
          <t>기타</t>
        </is>
      </c>
      <c r="W63" s="11" t="n">
        <v>0</v>
      </c>
      <c r="X63" s="11" t="n">
        <v>0.0049</v>
      </c>
      <c r="Y63" s="11" t="n">
        <v>0</v>
      </c>
    </row>
    <row r="64">
      <c r="A64" s="10" t="inlineStr">
        <is>
          <t>자산복구부채</t>
        </is>
      </c>
      <c r="D64" s="11" t="n">
        <v>0.1155</v>
      </c>
      <c r="E64" s="11" t="n">
        <v>0.1156</v>
      </c>
      <c r="F64" s="11" t="n">
        <v>0.1156</v>
      </c>
      <c r="G64" s="11" t="n">
        <v>0.1156</v>
      </c>
      <c r="H64" s="11" t="n">
        <v>0.1157</v>
      </c>
      <c r="I64" s="11" t="n">
        <v>0.1157</v>
      </c>
      <c r="J64" s="11" t="n">
        <v>0.1158</v>
      </c>
      <c r="K64" s="11" t="n">
        <v>0.1158</v>
      </c>
      <c r="L64" s="11" t="n">
        <v>0.1158</v>
      </c>
      <c r="M64" s="11" t="n">
        <v>0.1159</v>
      </c>
      <c r="N64" s="11" t="n">
        <v>0.1159</v>
      </c>
      <c r="O64" s="11" t="n">
        <v>0.116</v>
      </c>
      <c r="P64" s="11" t="n">
        <v>0.116</v>
      </c>
      <c r="Q64" s="11" t="n">
        <v>0.116</v>
      </c>
      <c r="R64" s="11" t="n">
        <v>0.1161</v>
      </c>
      <c r="S64" s="11" t="n">
        <v>0.1161</v>
      </c>
      <c r="T64" s="11" t="n">
        <v>0.1162</v>
      </c>
      <c r="U64" s="11" t="n">
        <v>0.1162</v>
      </c>
      <c r="V64" s="11" t="n">
        <v>0.1308</v>
      </c>
      <c r="Y64" s="11" t="n">
        <v>0</v>
      </c>
      <c r="Z64" s="11" t="n">
        <v>0.1156</v>
      </c>
      <c r="AA64" s="11" t="n">
        <v>0.1158</v>
      </c>
      <c r="AB64" s="11" t="n">
        <v>0.1159</v>
      </c>
      <c r="AC64" s="11" t="n">
        <v>0.1161</v>
      </c>
      <c r="AD64" s="11" t="n">
        <v>0.1308</v>
      </c>
    </row>
    <row r="65">
      <c r="A65" s="10" t="inlineStr">
        <is>
          <t>이연법인세부채</t>
        </is>
      </c>
      <c r="D65" s="11" t="n">
        <v>0.0168</v>
      </c>
      <c r="E65" s="11" t="n">
        <v>0.0182</v>
      </c>
      <c r="F65" s="11" t="n">
        <v>0.2434</v>
      </c>
      <c r="G65" s="11" t="n">
        <v>0.2601</v>
      </c>
      <c r="H65" s="11" t="n">
        <v>0.255</v>
      </c>
      <c r="I65" s="11" t="n">
        <v>0.2472</v>
      </c>
      <c r="J65" s="11" t="n">
        <v>0.216</v>
      </c>
      <c r="K65" s="11" t="n">
        <v>0.2257</v>
      </c>
      <c r="L65" s="11" t="n">
        <v>0.2168</v>
      </c>
      <c r="M65" s="11" t="n">
        <v>0.21</v>
      </c>
      <c r="N65" s="11" t="n">
        <v>0.1985</v>
      </c>
      <c r="O65" s="11" t="n">
        <v>0.1925</v>
      </c>
      <c r="P65" s="11" t="n">
        <v>0.1815</v>
      </c>
      <c r="Q65" s="11" t="n">
        <v>0.1651</v>
      </c>
      <c r="R65" s="11" t="n">
        <v>0.1557</v>
      </c>
      <c r="S65" s="11" t="n">
        <v>0.2086</v>
      </c>
      <c r="T65" s="11" t="n">
        <v>0.1747</v>
      </c>
      <c r="U65" s="11" t="n">
        <v>0.1841</v>
      </c>
      <c r="V65" s="11" t="n">
        <v>0.1642</v>
      </c>
      <c r="Y65" s="11" t="n">
        <v>0</v>
      </c>
      <c r="Z65" s="11" t="n">
        <v>0.2434</v>
      </c>
      <c r="AA65" s="11" t="n">
        <v>0.216</v>
      </c>
      <c r="AB65" s="11" t="n">
        <v>0.1985</v>
      </c>
      <c r="AC65" s="11" t="n">
        <v>0.1557</v>
      </c>
      <c r="AD65" s="11" t="n">
        <v>0.1642</v>
      </c>
    </row>
    <row r="66">
      <c r="A66" s="10" t="inlineStr">
        <is>
          <t>비유동부채 합계</t>
        </is>
      </c>
      <c r="C66" s="11" t="n">
        <v>2.826</v>
      </c>
      <c r="D66" s="11" t="n">
        <v>3.173</v>
      </c>
      <c r="E66" s="11" t="n">
        <v>2.6533</v>
      </c>
      <c r="F66" s="11" t="n">
        <v>2.5132</v>
      </c>
      <c r="G66" s="11" t="n">
        <v>1.9885</v>
      </c>
      <c r="H66" s="11" t="n">
        <v>1.6685</v>
      </c>
      <c r="I66" s="11" t="n">
        <v>1.4296</v>
      </c>
      <c r="J66" s="11" t="n">
        <v>1.1942</v>
      </c>
      <c r="K66" s="11" t="n">
        <v>1.0064</v>
      </c>
      <c r="L66" s="11" t="n">
        <v>1.1896</v>
      </c>
      <c r="M66" s="11" t="n">
        <v>3.1038</v>
      </c>
      <c r="N66" s="11" t="n">
        <v>2.7029</v>
      </c>
      <c r="O66" s="11" t="n">
        <v>2.3997</v>
      </c>
      <c r="P66" s="11" t="n">
        <v>2.029</v>
      </c>
      <c r="Q66" s="11" t="n">
        <v>1.7199</v>
      </c>
      <c r="R66" s="11" t="n">
        <v>1.4379</v>
      </c>
      <c r="S66" s="11" t="n">
        <v>1.2291</v>
      </c>
      <c r="T66" s="11" t="n">
        <v>0.9326</v>
      </c>
      <c r="U66" s="11" t="n">
        <v>0.7218</v>
      </c>
      <c r="V66" s="11" t="n">
        <v>0.6627999999999999</v>
      </c>
      <c r="W66" s="11" t="n">
        <v>0.3786</v>
      </c>
      <c r="X66" s="11" t="n">
        <v>1.9108</v>
      </c>
      <c r="Y66" s="11" t="n">
        <v>3.1721</v>
      </c>
      <c r="Z66" s="11" t="n">
        <v>2.5132</v>
      </c>
      <c r="AA66" s="11" t="n">
        <v>1.1942</v>
      </c>
      <c r="AB66" s="11" t="n">
        <v>2.7029</v>
      </c>
      <c r="AC66" s="11" t="n">
        <v>1.4379</v>
      </c>
      <c r="AD66" s="11" t="n">
        <v>0.6627999999999999</v>
      </c>
    </row>
    <row r="67">
      <c r="A67" s="10" t="inlineStr">
        <is>
          <t>부채 합계</t>
        </is>
      </c>
      <c r="C67" s="11" t="n">
        <v>7.5778</v>
      </c>
      <c r="D67" s="11" t="n">
        <v>9.016999999999999</v>
      </c>
      <c r="E67" s="11" t="n">
        <v>9.105600000000001</v>
      </c>
      <c r="F67" s="11" t="n">
        <v>9.6059</v>
      </c>
      <c r="G67" s="11" t="n">
        <v>6.9634</v>
      </c>
      <c r="H67" s="11" t="n">
        <v>6.4477</v>
      </c>
      <c r="I67" s="11" t="n">
        <v>6.2415</v>
      </c>
      <c r="J67" s="11" t="n">
        <v>7.2792</v>
      </c>
      <c r="K67" s="11" t="n">
        <v>5.4427</v>
      </c>
      <c r="L67" s="11" t="n">
        <v>5.4627</v>
      </c>
      <c r="M67" s="11" t="n">
        <v>7.7889</v>
      </c>
      <c r="N67" s="11" t="n">
        <v>8.036199999999999</v>
      </c>
      <c r="O67" s="11" t="n">
        <v>8.6448</v>
      </c>
      <c r="P67" s="11" t="n">
        <v>8.4625</v>
      </c>
      <c r="Q67" s="11" t="n">
        <v>10.0679</v>
      </c>
      <c r="R67" s="11" t="n">
        <v>11.0025</v>
      </c>
      <c r="S67" s="11" t="n">
        <v>7.4021</v>
      </c>
      <c r="T67" s="11" t="n">
        <v>7.4981</v>
      </c>
      <c r="U67" s="11" t="n">
        <v>6.7094</v>
      </c>
      <c r="V67" s="11" t="n">
        <v>6.6094</v>
      </c>
      <c r="W67" s="11" t="n">
        <v>3.5825</v>
      </c>
      <c r="X67" s="11" t="n">
        <v>5.7279</v>
      </c>
      <c r="Y67" s="11" t="n">
        <v>8.6837</v>
      </c>
      <c r="Z67" s="11" t="n">
        <v>9.6059</v>
      </c>
      <c r="AA67" s="11" t="n">
        <v>7.2792</v>
      </c>
      <c r="AB67" s="11" t="n">
        <v>8.036199999999999</v>
      </c>
      <c r="AC67" s="11" t="n">
        <v>11.0025</v>
      </c>
      <c r="AD67" s="11" t="n">
        <v>6.6094</v>
      </c>
    </row>
    <row r="68">
      <c r="A68" s="10" t="inlineStr">
        <is>
          <t>자본금</t>
        </is>
      </c>
      <c r="C68" s="11" t="n">
        <v>12.3713</v>
      </c>
      <c r="D68" s="11" t="n">
        <v>15.0323</v>
      </c>
      <c r="E68" s="11" t="n">
        <v>15.0592</v>
      </c>
      <c r="F68" s="11" t="n">
        <v>15.1104</v>
      </c>
      <c r="G68" s="11" t="n">
        <v>15.1284</v>
      </c>
      <c r="H68" s="11" t="n">
        <v>15.1391</v>
      </c>
      <c r="I68" s="11" t="n">
        <v>17.6435</v>
      </c>
      <c r="J68" s="11" t="n">
        <v>17.6752</v>
      </c>
      <c r="K68" s="11" t="n">
        <v>17.6845</v>
      </c>
      <c r="L68" s="11" t="n">
        <v>17.6879</v>
      </c>
      <c r="M68" s="11" t="n">
        <v>17.7115</v>
      </c>
      <c r="N68" s="11" t="n">
        <v>17.7224</v>
      </c>
      <c r="O68" s="11" t="n">
        <v>17.7224</v>
      </c>
      <c r="P68" s="11" t="n">
        <v>17.7236</v>
      </c>
      <c r="Q68" s="11" t="n">
        <v>17.7251</v>
      </c>
      <c r="R68" s="11" t="n">
        <v>17.7454</v>
      </c>
      <c r="S68" s="11" t="n">
        <v>17.7454</v>
      </c>
      <c r="T68" s="11" t="n">
        <v>17.7457</v>
      </c>
      <c r="U68" s="11" t="n">
        <v>17.7457</v>
      </c>
      <c r="V68" s="11" t="n">
        <v>17.7479</v>
      </c>
      <c r="W68" s="11" t="n">
        <v>4.5575</v>
      </c>
      <c r="X68" s="11" t="n">
        <v>5.8519</v>
      </c>
      <c r="Y68" s="11" t="n">
        <v>12.355</v>
      </c>
      <c r="Z68" s="11" t="n">
        <v>15.1104</v>
      </c>
      <c r="AA68" s="11" t="n">
        <v>17.6752</v>
      </c>
      <c r="AB68" s="11" t="n">
        <v>17.7224</v>
      </c>
      <c r="AC68" s="11" t="n">
        <v>17.7454</v>
      </c>
      <c r="AD68" s="11" t="n">
        <v>17.7479</v>
      </c>
    </row>
    <row r="69">
      <c r="A69" s="10" t="inlineStr">
        <is>
          <t>자본잉여금</t>
        </is>
      </c>
      <c r="C69" s="11" t="n">
        <v>12.3213</v>
      </c>
      <c r="D69" s="11" t="n">
        <v>14.9823</v>
      </c>
      <c r="E69" s="11" t="n">
        <v>15.0092</v>
      </c>
      <c r="F69" s="11" t="n">
        <v>15.0604</v>
      </c>
      <c r="G69" s="11" t="n">
        <v>15.0784</v>
      </c>
      <c r="H69" s="11" t="n">
        <v>15.0891</v>
      </c>
      <c r="I69" s="11" t="n">
        <v>17.5935</v>
      </c>
      <c r="J69" s="11" t="n">
        <v>17.6252</v>
      </c>
      <c r="K69" s="11" t="n">
        <v>17.6345</v>
      </c>
      <c r="L69" s="11" t="n">
        <v>17.6379</v>
      </c>
      <c r="M69" s="11" t="n">
        <v>17.6615</v>
      </c>
      <c r="N69" s="11" t="n">
        <v>17.6724</v>
      </c>
      <c r="O69" s="11" t="n">
        <v>17.6724</v>
      </c>
      <c r="P69" s="11" t="n">
        <v>17.6736</v>
      </c>
      <c r="Q69" s="11" t="n">
        <v>17.6751</v>
      </c>
      <c r="R69" s="11" t="n">
        <v>17.6114</v>
      </c>
      <c r="S69" s="11" t="n">
        <v>17.6114</v>
      </c>
      <c r="T69" s="11" t="n">
        <v>17.6116</v>
      </c>
      <c r="U69" s="11" t="n">
        <v>17.6116</v>
      </c>
      <c r="V69" s="11" t="n">
        <v>17.6139</v>
      </c>
      <c r="W69" s="11" t="n">
        <v>4.5075</v>
      </c>
      <c r="X69" s="11" t="n">
        <v>5.8019</v>
      </c>
      <c r="Y69" s="11" t="n">
        <v>12.3049</v>
      </c>
      <c r="Z69" s="11" t="n">
        <v>15.0604</v>
      </c>
      <c r="AA69" s="11" t="n">
        <v>17.6252</v>
      </c>
      <c r="AB69" s="11" t="n">
        <v>17.6724</v>
      </c>
      <c r="AC69" s="11" t="n">
        <v>17.6114</v>
      </c>
      <c r="AD69" s="11" t="n">
        <v>17.6139</v>
      </c>
    </row>
    <row r="70">
      <c r="A70" s="10" t="inlineStr">
        <is>
          <t>이익잉여금</t>
        </is>
      </c>
      <c r="C70" s="11" t="n">
        <v>2.7521</v>
      </c>
      <c r="D70" s="11" t="n">
        <v>3.3222</v>
      </c>
      <c r="E70" s="11" t="n">
        <v>3.428</v>
      </c>
      <c r="F70" s="11" t="n">
        <v>1.8662</v>
      </c>
      <c r="G70" s="11" t="n">
        <v>1.7317</v>
      </c>
      <c r="H70" s="11" t="n">
        <v>2.846</v>
      </c>
      <c r="I70" s="11" t="n">
        <v>3.7339</v>
      </c>
      <c r="J70" s="11" t="n">
        <v>4.0266</v>
      </c>
      <c r="K70" s="11" t="n">
        <v>3.7255</v>
      </c>
      <c r="L70" s="11" t="n">
        <v>4.4541</v>
      </c>
      <c r="M70" s="11" t="n">
        <v>4.1378</v>
      </c>
      <c r="N70" s="11" t="n">
        <v>4.1419</v>
      </c>
      <c r="O70" s="11" t="n">
        <v>5.0323</v>
      </c>
      <c r="P70" s="11" t="n">
        <v>6.4607</v>
      </c>
      <c r="Q70" s="11" t="n">
        <v>7.785</v>
      </c>
      <c r="R70" s="11" t="n">
        <v>8.212400000000001</v>
      </c>
      <c r="S70" s="11" t="n">
        <v>7.9488</v>
      </c>
      <c r="T70" s="11" t="n">
        <v>9.5014</v>
      </c>
      <c r="U70" s="11" t="n">
        <v>10.1826</v>
      </c>
      <c r="V70" s="11" t="n">
        <v>10.8759</v>
      </c>
      <c r="W70" s="11" t="n">
        <v>-4.3729</v>
      </c>
      <c r="X70" s="11" t="n">
        <v>-2.2156</v>
      </c>
      <c r="Y70" s="11" t="n">
        <v>1.061</v>
      </c>
      <c r="Z70" s="11" t="n">
        <v>1.8662</v>
      </c>
      <c r="AA70" s="11" t="n">
        <v>4.0266</v>
      </c>
      <c r="AB70" s="11" t="n">
        <v>4.1419</v>
      </c>
      <c r="AC70" s="11" t="n">
        <v>8.212400000000001</v>
      </c>
      <c r="AD70" s="11" t="n">
        <v>10.8759</v>
      </c>
    </row>
    <row r="71">
      <c r="A71" s="10" t="inlineStr">
        <is>
          <t>자기주식</t>
        </is>
      </c>
      <c r="C71" s="11" t="n">
        <v>-0.0005999999999999999</v>
      </c>
      <c r="D71" s="11" t="n">
        <v>-0.0005999999999999999</v>
      </c>
      <c r="E71" s="11" t="n">
        <v>-0.0005999999999999999</v>
      </c>
      <c r="F71" s="11" t="n">
        <v>-0.0011</v>
      </c>
      <c r="G71" s="11" t="n">
        <v>-0.0011</v>
      </c>
      <c r="H71" s="11" t="n">
        <v>-0.0011</v>
      </c>
      <c r="I71" s="11" t="n">
        <v>-0.0011</v>
      </c>
      <c r="J71" s="11" t="n">
        <v>-0.0011</v>
      </c>
      <c r="K71" s="11" t="n">
        <v>-0.0011</v>
      </c>
      <c r="L71" s="11" t="n">
        <v>-0.7335</v>
      </c>
      <c r="M71" s="11" t="n">
        <v>-1.001</v>
      </c>
      <c r="N71" s="11" t="n">
        <v>-1.001</v>
      </c>
      <c r="O71" s="11" t="n">
        <v>-2.002</v>
      </c>
      <c r="P71" s="11" t="n">
        <v>-2.5011</v>
      </c>
      <c r="Q71" s="11" t="n">
        <v>-2.5011</v>
      </c>
      <c r="R71" s="11" t="n">
        <v>-2.5017</v>
      </c>
      <c r="S71" s="11" t="n">
        <v>-2.5018</v>
      </c>
      <c r="T71" s="11" t="n">
        <v>-2.5018</v>
      </c>
      <c r="U71" s="11" t="n">
        <v>-2.5018</v>
      </c>
      <c r="V71" s="11" t="n">
        <v>-2.6825</v>
      </c>
      <c r="X71" s="11" t="n">
        <v>0</v>
      </c>
      <c r="Y71" s="11" t="n">
        <v>-0.0005999999999999999</v>
      </c>
      <c r="Z71" s="11" t="n">
        <v>-0.0011</v>
      </c>
      <c r="AA71" s="11" t="n">
        <v>-0.0011</v>
      </c>
      <c r="AB71" s="11" t="n">
        <v>-1.001</v>
      </c>
      <c r="AC71" s="11" t="n">
        <v>-2.5017</v>
      </c>
      <c r="AD71" s="11" t="n">
        <v>-2.6825</v>
      </c>
    </row>
    <row r="72">
      <c r="A72" s="10" t="inlineStr">
        <is>
          <t>주주자본 합계</t>
        </is>
      </c>
      <c r="C72" s="11" t="n">
        <v>27.4441</v>
      </c>
      <c r="D72" s="11" t="n">
        <v>33.3363</v>
      </c>
      <c r="E72" s="11" t="n">
        <v>33.496</v>
      </c>
      <c r="F72" s="11" t="n">
        <v>32.0359</v>
      </c>
      <c r="G72" s="11" t="n">
        <v>31.9374</v>
      </c>
      <c r="H72" s="11" t="n">
        <v>33.0731</v>
      </c>
      <c r="I72" s="11" t="n">
        <v>38.9697</v>
      </c>
      <c r="J72" s="11" t="n">
        <v>39.3259</v>
      </c>
      <c r="K72" s="11" t="n">
        <v>39.0434</v>
      </c>
      <c r="L72" s="11" t="n">
        <v>39.0465</v>
      </c>
      <c r="M72" s="11" t="n">
        <v>38.5098</v>
      </c>
      <c r="N72" s="11" t="n">
        <v>38.5358</v>
      </c>
      <c r="O72" s="11" t="n">
        <v>38.4252</v>
      </c>
      <c r="P72" s="11" t="n">
        <v>39.3567</v>
      </c>
      <c r="Q72" s="11" t="n">
        <v>40.684</v>
      </c>
      <c r="R72" s="11" t="n">
        <v>41.0676</v>
      </c>
      <c r="S72" s="11" t="n">
        <v>40.8038</v>
      </c>
      <c r="T72" s="11" t="n">
        <v>42.3569</v>
      </c>
      <c r="U72" s="11" t="n">
        <v>43.0381</v>
      </c>
      <c r="V72" s="11" t="n">
        <v>43.5551</v>
      </c>
      <c r="W72" s="11" t="n">
        <v>4.6922</v>
      </c>
      <c r="X72" s="11" t="n">
        <v>9.4382</v>
      </c>
      <c r="Y72" s="11" t="n">
        <v>25.7203</v>
      </c>
      <c r="Z72" s="11" t="n">
        <v>32.0359</v>
      </c>
      <c r="AA72" s="11" t="n">
        <v>39.3259</v>
      </c>
      <c r="AB72" s="11" t="n">
        <v>38.5358</v>
      </c>
      <c r="AC72" s="11" t="n">
        <v>41.0676</v>
      </c>
      <c r="AD72" s="11" t="n">
        <v>43.5551</v>
      </c>
    </row>
    <row r="73">
      <c r="A73" s="10" t="inlineStr">
        <is>
          <t>기타유가증권 평가차액</t>
        </is>
      </c>
      <c r="J73" s="11" t="n">
        <v>0</v>
      </c>
      <c r="L73" s="11" t="n">
        <v>0.0232</v>
      </c>
      <c r="M73" s="11" t="n">
        <v>0.0232</v>
      </c>
      <c r="N73" s="11" t="n">
        <v>-0.0005999999999999999</v>
      </c>
      <c r="O73" s="11" t="n">
        <v>-0.0005999999999999999</v>
      </c>
      <c r="P73" s="11" t="n">
        <v>0.0003</v>
      </c>
      <c r="Q73" s="11" t="n">
        <v>0.0613</v>
      </c>
      <c r="R73" s="11" t="n">
        <v>0.1519</v>
      </c>
      <c r="S73" s="11" t="n">
        <v>0.4535</v>
      </c>
      <c r="T73" s="11" t="n">
        <v>0.6135</v>
      </c>
      <c r="U73" s="11" t="n">
        <v>0.7234</v>
      </c>
      <c r="V73" s="11" t="n">
        <v>0.6075</v>
      </c>
      <c r="AA73" s="11" t="n">
        <v>0</v>
      </c>
      <c r="AB73" s="11" t="n">
        <v>-0.0005999999999999999</v>
      </c>
      <c r="AC73" s="11" t="n">
        <v>0.1519</v>
      </c>
      <c r="AD73" s="11" t="n">
        <v>0.6075</v>
      </c>
    </row>
    <row r="74">
      <c r="A74" s="10" t="inlineStr">
        <is>
          <t>해외사업환산조정</t>
        </is>
      </c>
      <c r="C74" s="11" t="n">
        <v>-0.0427</v>
      </c>
      <c r="D74" s="11" t="n">
        <v>-0.0345</v>
      </c>
      <c r="E74" s="11" t="n">
        <v>0.008500000000000001</v>
      </c>
      <c r="F74" s="11" t="n">
        <v>-0.0241</v>
      </c>
      <c r="G74" s="11" t="n">
        <v>-0.0294</v>
      </c>
      <c r="H74" s="11" t="n">
        <v>-0.0292</v>
      </c>
      <c r="I74" s="11" t="n">
        <v>-0.0335</v>
      </c>
      <c r="J74" s="11" t="n">
        <v>-0.031</v>
      </c>
      <c r="K74" s="11" t="n">
        <v>-0.0312</v>
      </c>
      <c r="L74" s="11" t="n">
        <v>-0.0312</v>
      </c>
      <c r="M74" s="11" t="n">
        <v>-0.0321</v>
      </c>
      <c r="N74" s="11" t="n">
        <v>-0.0307</v>
      </c>
      <c r="O74" s="11" t="n">
        <v>-0.0307</v>
      </c>
      <c r="P74" s="11" t="n">
        <v>-0.0014</v>
      </c>
      <c r="Q74" s="11" t="n">
        <v>-0.001</v>
      </c>
      <c r="R74" s="11" t="n">
        <v>-0.0013</v>
      </c>
      <c r="S74" s="11" t="n">
        <v>-0.0018</v>
      </c>
      <c r="T74" s="11" t="n">
        <v>-0.0013</v>
      </c>
      <c r="U74" s="11" t="n">
        <v>-0.0013</v>
      </c>
      <c r="V74" s="11" t="n">
        <v>-0.0014</v>
      </c>
      <c r="W74" s="11" t="n">
        <v>-0.0582</v>
      </c>
      <c r="X74" s="11" t="n">
        <v>-0.0533</v>
      </c>
      <c r="Y74" s="11" t="n">
        <v>-0.0323</v>
      </c>
      <c r="Z74" s="11" t="n">
        <v>-0.0241</v>
      </c>
      <c r="AA74" s="11" t="n">
        <v>-0.031</v>
      </c>
      <c r="AB74" s="11" t="n">
        <v>-0.0307</v>
      </c>
      <c r="AC74" s="11" t="n">
        <v>-0.0013</v>
      </c>
      <c r="AD74" s="11" t="n">
        <v>-0.0014</v>
      </c>
    </row>
    <row r="75">
      <c r="A75" s="10" t="inlineStr">
        <is>
          <t>기타포괄손익누계액 합계</t>
        </is>
      </c>
      <c r="C75" s="11" t="n">
        <v>-0.0427</v>
      </c>
      <c r="D75" s="11" t="n">
        <v>-0.0345</v>
      </c>
      <c r="E75" s="11" t="n">
        <v>0.008500000000000001</v>
      </c>
      <c r="F75" s="11" t="n">
        <v>-0.0241</v>
      </c>
      <c r="G75" s="11" t="n">
        <v>-0.0294</v>
      </c>
      <c r="H75" s="11" t="n">
        <v>-0.0292</v>
      </c>
      <c r="I75" s="11" t="n">
        <v>-0.0335</v>
      </c>
      <c r="J75" s="11" t="n">
        <v>-0.031</v>
      </c>
      <c r="K75" s="11" t="n">
        <v>-0.0312</v>
      </c>
      <c r="L75" s="11" t="n">
        <v>-0.0081</v>
      </c>
      <c r="M75" s="11" t="n">
        <v>-0.008999999999999999</v>
      </c>
      <c r="N75" s="11" t="n">
        <v>-0.0313</v>
      </c>
      <c r="O75" s="11" t="n">
        <v>-0.0314</v>
      </c>
      <c r="P75" s="11" t="n">
        <v>-0.0012</v>
      </c>
      <c r="Q75" s="11" t="n">
        <v>0.0603</v>
      </c>
      <c r="R75" s="11" t="n">
        <v>0.1506</v>
      </c>
      <c r="S75" s="11" t="n">
        <v>0.4517</v>
      </c>
      <c r="T75" s="11" t="n">
        <v>0.6122</v>
      </c>
      <c r="U75" s="11" t="n">
        <v>0.7221</v>
      </c>
      <c r="V75" s="11" t="n">
        <v>0.6061</v>
      </c>
      <c r="W75" s="11" t="n">
        <v>-0.0582</v>
      </c>
      <c r="X75" s="11" t="n">
        <v>-0.0533</v>
      </c>
      <c r="Y75" s="11" t="n">
        <v>-0.0323</v>
      </c>
      <c r="Z75" s="11" t="n">
        <v>-0.0241</v>
      </c>
      <c r="AA75" s="11" t="n">
        <v>-0.031</v>
      </c>
      <c r="AB75" s="11" t="n">
        <v>-0.0313</v>
      </c>
      <c r="AC75" s="11" t="n">
        <v>0.1506</v>
      </c>
      <c r="AD75" s="11" t="n">
        <v>0.6061</v>
      </c>
    </row>
    <row r="76">
      <c r="A76" s="10" t="inlineStr">
        <is>
          <t>신주예약권</t>
        </is>
      </c>
      <c r="C76" s="11" t="n">
        <v>0.0246</v>
      </c>
      <c r="D76" s="11" t="n">
        <v>0.022</v>
      </c>
      <c r="E76" s="11" t="n">
        <v>0.0532</v>
      </c>
      <c r="F76" s="11" t="n">
        <v>0.08169999999999999</v>
      </c>
      <c r="G76" s="11" t="n">
        <v>0.1123</v>
      </c>
      <c r="H76" s="11" t="n">
        <v>0.1229</v>
      </c>
      <c r="I76" s="11" t="n">
        <v>0.1412</v>
      </c>
      <c r="J76" s="11" t="n">
        <v>0.1414</v>
      </c>
      <c r="K76" s="11" t="n">
        <v>0.1566</v>
      </c>
      <c r="L76" s="11" t="n">
        <v>0.1967</v>
      </c>
      <c r="M76" s="11" t="n">
        <v>0.2073</v>
      </c>
      <c r="N76" s="11" t="n">
        <v>0.2193</v>
      </c>
      <c r="O76" s="11" t="n">
        <v>0.2079</v>
      </c>
      <c r="P76" s="11" t="n">
        <v>0.2237</v>
      </c>
      <c r="Q76" s="11" t="n">
        <v>0.2133</v>
      </c>
      <c r="R76" s="11" t="n">
        <v>0.2335</v>
      </c>
      <c r="S76" s="11" t="n">
        <v>0.2541</v>
      </c>
      <c r="T76" s="11" t="n">
        <v>0.2707</v>
      </c>
      <c r="U76" s="11" t="n">
        <v>0.2969</v>
      </c>
      <c r="V76" s="11" t="n">
        <v>0.323</v>
      </c>
      <c r="X76" s="11" t="n">
        <v>0</v>
      </c>
      <c r="Y76" s="11" t="n">
        <v>0.0246</v>
      </c>
      <c r="Z76" s="11" t="n">
        <v>0.08169999999999999</v>
      </c>
      <c r="AA76" s="11" t="n">
        <v>0.1414</v>
      </c>
      <c r="AB76" s="11" t="n">
        <v>0.2193</v>
      </c>
      <c r="AC76" s="11" t="n">
        <v>0.2335</v>
      </c>
      <c r="AD76" s="11" t="n">
        <v>0.323</v>
      </c>
    </row>
    <row r="77">
      <c r="A77" s="10" t="inlineStr">
        <is>
          <t>비지배지분</t>
        </is>
      </c>
      <c r="N77" s="11" t="n">
        <v>0</v>
      </c>
      <c r="O77" s="11" t="n">
        <v>0.2265</v>
      </c>
      <c r="P77" s="11" t="n">
        <v>0.1911</v>
      </c>
      <c r="Q77" s="11" t="n">
        <v>0.1679</v>
      </c>
      <c r="AB77" s="11" t="n">
        <v>0</v>
      </c>
    </row>
    <row r="78">
      <c r="A78" s="10" t="inlineStr">
        <is>
          <t>순자산 합계</t>
        </is>
      </c>
      <c r="C78" s="11" t="n">
        <v>27.426</v>
      </c>
      <c r="D78" s="11" t="n">
        <v>33.3238</v>
      </c>
      <c r="E78" s="11" t="n">
        <v>33.5576</v>
      </c>
      <c r="F78" s="11" t="n">
        <v>32.0935</v>
      </c>
      <c r="G78" s="11" t="n">
        <v>32.0203</v>
      </c>
      <c r="H78" s="11" t="n">
        <v>33.1668</v>
      </c>
      <c r="I78" s="11" t="n">
        <v>39.0774</v>
      </c>
      <c r="J78" s="11" t="n">
        <v>39.4363</v>
      </c>
      <c r="K78" s="11" t="n">
        <v>39.1687</v>
      </c>
      <c r="L78" s="11" t="n">
        <v>39.2351</v>
      </c>
      <c r="M78" s="11" t="n">
        <v>38.7082</v>
      </c>
      <c r="N78" s="11" t="n">
        <v>38.7238</v>
      </c>
      <c r="O78" s="11" t="n">
        <v>38.8282</v>
      </c>
      <c r="P78" s="11" t="n">
        <v>39.7703</v>
      </c>
      <c r="Q78" s="11" t="n">
        <v>41.1255</v>
      </c>
      <c r="R78" s="11" t="n">
        <v>41.4518</v>
      </c>
      <c r="S78" s="11" t="n">
        <v>41.5096</v>
      </c>
      <c r="T78" s="11" t="n">
        <v>43.2399</v>
      </c>
      <c r="U78" s="11" t="n">
        <v>44.0571</v>
      </c>
      <c r="V78" s="11" t="n">
        <v>44.4843</v>
      </c>
      <c r="W78" s="11" t="n">
        <v>4.634</v>
      </c>
      <c r="X78" s="11" t="n">
        <v>9.3849</v>
      </c>
      <c r="Y78" s="11" t="n">
        <v>25.7126</v>
      </c>
      <c r="Z78" s="11" t="n">
        <v>32.0935</v>
      </c>
      <c r="AA78" s="11" t="n">
        <v>39.4363</v>
      </c>
      <c r="AB78" s="11" t="n">
        <v>38.7238</v>
      </c>
      <c r="AC78" s="11" t="n">
        <v>41.4518</v>
      </c>
      <c r="AD78" s="11" t="n">
        <v>44.4843</v>
      </c>
    </row>
    <row r="79">
      <c r="A79" s="10" t="inlineStr">
        <is>
          <t>부채·순자산 합계</t>
        </is>
      </c>
      <c r="C79" s="11" t="n">
        <v>35.0038</v>
      </c>
      <c r="D79" s="11" t="n">
        <v>42.3408</v>
      </c>
      <c r="E79" s="11" t="n">
        <v>42.6632</v>
      </c>
      <c r="F79" s="11" t="n">
        <v>41.6994</v>
      </c>
      <c r="G79" s="11" t="n">
        <v>38.9836</v>
      </c>
      <c r="H79" s="11" t="n">
        <v>39.6145</v>
      </c>
      <c r="I79" s="11" t="n">
        <v>45.319</v>
      </c>
      <c r="J79" s="11" t="n">
        <v>46.7155</v>
      </c>
      <c r="K79" s="11" t="n">
        <v>44.6114</v>
      </c>
      <c r="L79" s="11" t="n">
        <v>44.6978</v>
      </c>
      <c r="M79" s="11" t="n">
        <v>46.497</v>
      </c>
      <c r="N79" s="11" t="n">
        <v>46.76</v>
      </c>
      <c r="O79" s="11" t="n">
        <v>47.473</v>
      </c>
      <c r="P79" s="11" t="n">
        <v>48.2328</v>
      </c>
      <c r="Q79" s="11" t="n">
        <v>51.1934</v>
      </c>
      <c r="R79" s="11" t="n">
        <v>52.4543</v>
      </c>
      <c r="S79" s="11" t="n">
        <v>48.9117</v>
      </c>
      <c r="T79" s="11" t="n">
        <v>50.738</v>
      </c>
      <c r="U79" s="11" t="n">
        <v>50.7665</v>
      </c>
      <c r="V79" s="11" t="n">
        <v>51.0936</v>
      </c>
      <c r="W79" s="11" t="n">
        <v>8.2164</v>
      </c>
      <c r="X79" s="11" t="n">
        <v>15.1128</v>
      </c>
      <c r="Y79" s="11" t="n">
        <v>34.3963</v>
      </c>
      <c r="Z79" s="11" t="n">
        <v>41.6994</v>
      </c>
      <c r="AA79" s="11" t="n">
        <v>46.7155</v>
      </c>
      <c r="AB79" s="11" t="n">
        <v>46.76</v>
      </c>
      <c r="AC79" s="11" t="n">
        <v>52.4543</v>
      </c>
      <c r="AD79" s="11" t="n">
        <v>51.0936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굿패치 현금흐름표</t>
        </is>
      </c>
    </row>
    <row r="2">
      <c r="A2" s="2" t="inlineStr">
        <is>
          <t>결산기 기준(27.2Q = 2027년 결산기 2분기) · 8월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법인세차감전 순이익</t>
        </is>
      </c>
      <c r="D4" s="11" t="n">
        <v>3.4146</v>
      </c>
      <c r="F4" s="11" t="n">
        <v>1.4918</v>
      </c>
      <c r="H4" s="11" t="n">
        <v>1.5949</v>
      </c>
      <c r="J4" s="11" t="n">
        <v>3.455</v>
      </c>
      <c r="L4" s="11" t="n">
        <v>0.7871</v>
      </c>
      <c r="N4" s="11" t="n">
        <v>0.4743</v>
      </c>
      <c r="P4" s="11" t="n">
        <v>3.4438</v>
      </c>
      <c r="R4" s="11" t="n">
        <v>6.2116</v>
      </c>
      <c r="T4" s="11" t="n">
        <v>3.4241</v>
      </c>
      <c r="V4" s="11" t="n">
        <v>5.5414</v>
      </c>
      <c r="W4" s="11" t="n">
        <v>0.8368</v>
      </c>
      <c r="X4" s="11" t="n">
        <v>2.0172</v>
      </c>
      <c r="Y4" s="11" t="n">
        <v>3.9391</v>
      </c>
      <c r="Z4" s="11" t="n">
        <v>1.4918</v>
      </c>
      <c r="AA4" s="11" t="n">
        <v>3.455</v>
      </c>
      <c r="AB4" s="11" t="n">
        <v>0.4743</v>
      </c>
      <c r="AC4" s="11" t="n">
        <v>6.2116</v>
      </c>
      <c r="AD4" s="11" t="n">
        <v>5.5414</v>
      </c>
      <c r="AE4" s="7" t="inlineStr">
        <is>
          <t>결산단신 XBRL(거래소 공시, TDnet·JPX 보관소). 쓴 문서: 2026-10-15, 2026-07-15, 2026-04-14, 2026-01-14 외 22건 — '출처' 시트에 전부</t>
        </is>
      </c>
    </row>
    <row r="5">
      <c r="A5" s="10" t="inlineStr">
        <is>
          <t>감가상각비</t>
        </is>
      </c>
      <c r="D5" s="11" t="n">
        <v>0.219</v>
      </c>
      <c r="F5" s="11" t="n">
        <v>0.4966</v>
      </c>
      <c r="H5" s="11" t="n">
        <v>0.1141</v>
      </c>
      <c r="J5" s="11" t="n">
        <v>0.2291</v>
      </c>
      <c r="L5" s="11" t="n">
        <v>0.0975</v>
      </c>
      <c r="N5" s="11" t="n">
        <v>0.2036</v>
      </c>
      <c r="P5" s="11" t="n">
        <v>0.094</v>
      </c>
      <c r="R5" s="11" t="n">
        <v>0.1939</v>
      </c>
      <c r="T5" s="11" t="n">
        <v>0.1161</v>
      </c>
      <c r="V5" s="11" t="n">
        <v>0.2545</v>
      </c>
      <c r="W5" s="11" t="n">
        <v>0.3453</v>
      </c>
      <c r="X5" s="11" t="n">
        <v>0.4805</v>
      </c>
      <c r="Y5" s="11" t="n">
        <v>0.5296</v>
      </c>
      <c r="Z5" s="11" t="n">
        <v>0.4966</v>
      </c>
      <c r="AA5" s="11" t="n">
        <v>0.2291</v>
      </c>
      <c r="AB5" s="11" t="n">
        <v>0.2036</v>
      </c>
      <c r="AC5" s="11" t="n">
        <v>0.1939</v>
      </c>
      <c r="AD5" s="11" t="n">
        <v>0.2545</v>
      </c>
    </row>
    <row r="6">
      <c r="A6" s="10" t="inlineStr">
        <is>
          <t>영업권 상각</t>
        </is>
      </c>
      <c r="D6" s="11" t="n">
        <v>0</v>
      </c>
      <c r="F6" s="11" t="n">
        <v>0.3173</v>
      </c>
      <c r="H6" s="11" t="n">
        <v>0.3173</v>
      </c>
      <c r="J6" s="11" t="n">
        <v>0.6347</v>
      </c>
      <c r="L6" s="11" t="n">
        <v>0.3173</v>
      </c>
      <c r="N6" s="11" t="n">
        <v>0.6347</v>
      </c>
      <c r="P6" s="11" t="n">
        <v>0.3237</v>
      </c>
      <c r="R6" s="11" t="n">
        <v>0.6539</v>
      </c>
      <c r="T6" s="11" t="n">
        <v>0.3548</v>
      </c>
      <c r="V6" s="11" t="n">
        <v>0.7171999999999999</v>
      </c>
      <c r="Y6" s="11" t="n">
        <v>0</v>
      </c>
      <c r="Z6" s="11" t="n">
        <v>0.3173</v>
      </c>
      <c r="AA6" s="11" t="n">
        <v>0.6347</v>
      </c>
      <c r="AB6" s="11" t="n">
        <v>0.6347</v>
      </c>
      <c r="AC6" s="11" t="n">
        <v>0.6539</v>
      </c>
      <c r="AD6" s="11" t="n">
        <v>0.7171999999999999</v>
      </c>
    </row>
    <row r="7">
      <c r="A7" s="10" t="inlineStr">
        <is>
          <t>이자·배당금 수익</t>
        </is>
      </c>
      <c r="P7" s="11" t="n">
        <v>-0.0157</v>
      </c>
      <c r="R7" s="11" t="n">
        <v>-0.3803</v>
      </c>
      <c r="T7" s="11" t="n">
        <v>-0.6738</v>
      </c>
      <c r="V7" s="11" t="n">
        <v>-1.3286</v>
      </c>
      <c r="AC7" s="11" t="n">
        <v>-0.3803</v>
      </c>
      <c r="AD7" s="11" t="n">
        <v>-1.3286</v>
      </c>
    </row>
    <row r="8">
      <c r="A8" s="10" t="inlineStr">
        <is>
          <t>지분법손익</t>
        </is>
      </c>
      <c r="D8" s="11" t="n">
        <v>0</v>
      </c>
      <c r="F8" s="11" t="n">
        <v>0.0056</v>
      </c>
      <c r="H8" s="11" t="n">
        <v>-0.0372</v>
      </c>
      <c r="J8" s="11" t="n">
        <v>-0.07770000000000001</v>
      </c>
      <c r="L8" s="11" t="n">
        <v>-0.0827</v>
      </c>
      <c r="N8" s="11" t="n">
        <v>-0.1516</v>
      </c>
      <c r="P8" s="11" t="n">
        <v>-0.1276</v>
      </c>
      <c r="R8" s="11" t="n">
        <v>-0.2174</v>
      </c>
      <c r="T8" s="11" t="n">
        <v>-0.1418</v>
      </c>
      <c r="V8" s="11" t="n">
        <v>-0.2313</v>
      </c>
      <c r="Y8" s="11" t="n">
        <v>0</v>
      </c>
      <c r="Z8" s="11" t="n">
        <v>0.0056</v>
      </c>
      <c r="AA8" s="11" t="n">
        <v>-0.07770000000000001</v>
      </c>
      <c r="AB8" s="11" t="n">
        <v>-0.1516</v>
      </c>
      <c r="AC8" s="11" t="n">
        <v>-0.2174</v>
      </c>
      <c r="AD8" s="11" t="n">
        <v>-0.2313</v>
      </c>
    </row>
    <row r="9">
      <c r="A9" s="10" t="inlineStr">
        <is>
          <t>사업정리 이익</t>
        </is>
      </c>
      <c r="D9" s="11" t="n">
        <v>0</v>
      </c>
      <c r="H9" s="11" t="n">
        <v>-0.3597</v>
      </c>
      <c r="L9" s="11" t="n">
        <v>0</v>
      </c>
    </row>
    <row r="10">
      <c r="A10" s="10" t="inlineStr">
        <is>
          <t>매출채권·계약자산 증감</t>
        </is>
      </c>
      <c r="D10" s="11" t="n">
        <v>-0.7856</v>
      </c>
      <c r="H10" s="11" t="n">
        <v>-0.7321</v>
      </c>
      <c r="L10" s="11" t="n">
        <v>0.4991</v>
      </c>
    </row>
    <row r="11">
      <c r="A11" s="10" t="inlineStr">
        <is>
          <t>사업정리 손익</t>
        </is>
      </c>
      <c r="F11" s="11" t="n">
        <v>0.8065</v>
      </c>
      <c r="J11" s="11" t="n">
        <v>-0.4648</v>
      </c>
      <c r="N11" s="11" t="n">
        <v>0</v>
      </c>
      <c r="Z11" s="11" t="n">
        <v>0.8065</v>
      </c>
      <c r="AA11" s="11" t="n">
        <v>-0.4648</v>
      </c>
      <c r="AB11" s="11" t="n">
        <v>0</v>
      </c>
    </row>
    <row r="12">
      <c r="A12" s="10" t="inlineStr">
        <is>
          <t>수주손실 충당금 증감</t>
        </is>
      </c>
      <c r="D12" s="11" t="n">
        <v>-0.0633</v>
      </c>
      <c r="F12" s="11" t="n">
        <v>-0.0633</v>
      </c>
      <c r="H12" s="11" t="n">
        <v>0</v>
      </c>
      <c r="J12" s="11" t="n">
        <v>0</v>
      </c>
      <c r="X12" s="11" t="n">
        <v>0</v>
      </c>
      <c r="Y12" s="11" t="n">
        <v>0.0633</v>
      </c>
      <c r="Z12" s="11" t="n">
        <v>-0.0633</v>
      </c>
      <c r="AA12" s="11" t="n">
        <v>0</v>
      </c>
    </row>
    <row r="13">
      <c r="A13" s="10" t="inlineStr">
        <is>
          <t>이자비용</t>
        </is>
      </c>
      <c r="D13" s="11" t="n">
        <v>0.0228</v>
      </c>
      <c r="F13" s="11" t="n">
        <v>0.0436</v>
      </c>
      <c r="H13" s="11" t="n">
        <v>0.0074</v>
      </c>
      <c r="J13" s="11" t="n">
        <v>0.0133</v>
      </c>
      <c r="L13" s="11" t="n">
        <v>0.0043</v>
      </c>
      <c r="N13" s="11" t="n">
        <v>0.0154</v>
      </c>
      <c r="P13" s="11" t="n">
        <v>0.0121</v>
      </c>
      <c r="R13" s="11" t="n">
        <v>0.0239</v>
      </c>
      <c r="T13" s="11" t="n">
        <v>0.0107</v>
      </c>
      <c r="V13" s="11" t="n">
        <v>0.0187</v>
      </c>
      <c r="W13" s="11" t="n">
        <v>0.0564</v>
      </c>
      <c r="X13" s="11" t="n">
        <v>0.0984</v>
      </c>
      <c r="Y13" s="11" t="n">
        <v>0.0542</v>
      </c>
      <c r="Z13" s="11" t="n">
        <v>0.0436</v>
      </c>
      <c r="AA13" s="11" t="n">
        <v>0.0133</v>
      </c>
      <c r="AB13" s="11" t="n">
        <v>0.0154</v>
      </c>
      <c r="AC13" s="11" t="n">
        <v>0.0239</v>
      </c>
      <c r="AD13" s="11" t="n">
        <v>0.0187</v>
      </c>
    </row>
    <row r="14">
      <c r="A14" s="10" t="inlineStr">
        <is>
          <t>주식교부비</t>
        </is>
      </c>
      <c r="D14" s="11" t="n">
        <v>0.0297</v>
      </c>
      <c r="F14" s="11" t="n">
        <v>0.0309</v>
      </c>
      <c r="H14" s="11" t="n">
        <v>0.0012</v>
      </c>
      <c r="J14" s="11" t="n">
        <v>0.0824</v>
      </c>
      <c r="L14" s="11" t="n">
        <v>0.0009</v>
      </c>
      <c r="N14" s="11" t="n">
        <v>0.0017</v>
      </c>
      <c r="P14" s="11" t="n">
        <v>0</v>
      </c>
      <c r="R14" s="11" t="n">
        <v>0.0004</v>
      </c>
      <c r="T14" s="11" t="n">
        <v>0.0003</v>
      </c>
      <c r="V14" s="11" t="n">
        <v>0.0003</v>
      </c>
      <c r="W14" s="11" t="n">
        <v>0</v>
      </c>
      <c r="X14" s="11" t="n">
        <v>0.0409</v>
      </c>
      <c r="Y14" s="11" t="n">
        <v>0.0743</v>
      </c>
      <c r="Z14" s="11" t="n">
        <v>0.0309</v>
      </c>
      <c r="AA14" s="11" t="n">
        <v>0.0824</v>
      </c>
      <c r="AB14" s="11" t="n">
        <v>0.0017</v>
      </c>
      <c r="AC14" s="11" t="n">
        <v>0.0004</v>
      </c>
      <c r="AD14" s="11" t="n">
        <v>0.0003</v>
      </c>
    </row>
    <row r="15">
      <c r="A15" s="10" t="inlineStr">
        <is>
          <t>상장비용</t>
        </is>
      </c>
      <c r="W15" s="11" t="n">
        <v>0</v>
      </c>
      <c r="X15" s="11" t="n">
        <v>0.0333</v>
      </c>
      <c r="Y15" s="11" t="n">
        <v>0</v>
      </c>
    </row>
    <row r="16">
      <c r="A16" s="10" t="inlineStr">
        <is>
          <t>신주예약권 발행비</t>
        </is>
      </c>
      <c r="D16" s="11" t="n">
        <v>0</v>
      </c>
    </row>
    <row r="17">
      <c r="A17" s="10" t="inlineStr">
        <is>
          <t>신주예약권 발행비</t>
        </is>
      </c>
      <c r="F17" s="11" t="n">
        <v>0.0061</v>
      </c>
      <c r="J17" s="11" t="n">
        <v>0</v>
      </c>
      <c r="N17" s="11" t="n">
        <v>0.0055</v>
      </c>
      <c r="R17" s="11" t="n">
        <v>0</v>
      </c>
      <c r="V17" s="11" t="n">
        <v>0.0055</v>
      </c>
      <c r="X17" s="11" t="n">
        <v>0</v>
      </c>
      <c r="Y17" s="11" t="n">
        <v>0.0703</v>
      </c>
      <c r="Z17" s="11" t="n">
        <v>0.0061</v>
      </c>
      <c r="AA17" s="11" t="n">
        <v>0</v>
      </c>
      <c r="AB17" s="11" t="n">
        <v>0.0055</v>
      </c>
      <c r="AC17" s="11" t="n">
        <v>0</v>
      </c>
      <c r="AD17" s="11" t="n">
        <v>0.0055</v>
      </c>
    </row>
    <row r="18">
      <c r="A18" s="10" t="inlineStr">
        <is>
          <t>매출채권 증감</t>
        </is>
      </c>
      <c r="D18" s="11" t="n">
        <v>-0.7856</v>
      </c>
      <c r="F18" s="11" t="n">
        <v>0.0606</v>
      </c>
      <c r="W18" s="11" t="n">
        <v>-0.4702</v>
      </c>
      <c r="X18" s="11" t="n">
        <v>-0.545</v>
      </c>
      <c r="Y18" s="11" t="n">
        <v>-0.4848</v>
      </c>
      <c r="Z18" s="11" t="n">
        <v>0.0606</v>
      </c>
    </row>
    <row r="19">
      <c r="A19" s="10" t="inlineStr">
        <is>
          <t>매출채권·계약자산 증감</t>
        </is>
      </c>
      <c r="F19" s="11" t="n">
        <v>0.0606</v>
      </c>
      <c r="J19" s="11" t="n">
        <v>-1.412</v>
      </c>
      <c r="Z19" s="11" t="n">
        <v>0.0606</v>
      </c>
      <c r="AA19" s="11" t="n">
        <v>-1.412</v>
      </c>
    </row>
    <row r="20">
      <c r="A20" s="10" t="inlineStr">
        <is>
          <t>자산복구부채 환입이익</t>
        </is>
      </c>
      <c r="R20" s="11" t="n">
        <v>0</v>
      </c>
      <c r="V20" s="11" t="n">
        <v>-0.0259</v>
      </c>
      <c r="AC20" s="11" t="n">
        <v>0</v>
      </c>
      <c r="AD20" s="11" t="n">
        <v>-0.0259</v>
      </c>
    </row>
    <row r="21">
      <c r="A21" s="10" t="inlineStr">
        <is>
          <t>투자유가증권 평가손익</t>
        </is>
      </c>
      <c r="F21" s="11" t="n">
        <v>1.1838</v>
      </c>
      <c r="J21" s="11" t="n">
        <v>0</v>
      </c>
      <c r="R21" s="11" t="n">
        <v>0</v>
      </c>
      <c r="V21" s="11" t="n">
        <v>0.48</v>
      </c>
      <c r="Y21" s="11" t="n">
        <v>0</v>
      </c>
      <c r="Z21" s="11" t="n">
        <v>1.1838</v>
      </c>
      <c r="AA21" s="11" t="n">
        <v>0</v>
      </c>
      <c r="AC21" s="11" t="n">
        <v>0</v>
      </c>
      <c r="AD21" s="11" t="n">
        <v>0.48</v>
      </c>
    </row>
    <row r="22">
      <c r="A22" s="10" t="inlineStr">
        <is>
          <t>투자유가증권 매각손익</t>
        </is>
      </c>
      <c r="P22" s="11" t="n">
        <v>0</v>
      </c>
      <c r="R22" s="11" t="n">
        <v>0</v>
      </c>
      <c r="T22" s="11" t="n">
        <v>-0.05</v>
      </c>
      <c r="V22" s="11" t="n">
        <v>-0.05</v>
      </c>
      <c r="AC22" s="11" t="n">
        <v>0</v>
      </c>
      <c r="AD22" s="11" t="n">
        <v>-0.05</v>
      </c>
    </row>
    <row r="23">
      <c r="A23" s="10" t="inlineStr">
        <is>
          <t>관계회사 청산이익</t>
        </is>
      </c>
      <c r="L23" s="11" t="n">
        <v>0</v>
      </c>
      <c r="P23" s="11" t="n">
        <v>-0.0097</v>
      </c>
      <c r="T23" s="11" t="n">
        <v>0</v>
      </c>
    </row>
    <row r="24">
      <c r="A24" s="10" t="inlineStr">
        <is>
          <t>관계회사 주식 매각이익</t>
        </is>
      </c>
      <c r="R24" s="11" t="n">
        <v>0</v>
      </c>
      <c r="V24" s="11" t="n">
        <v>-0.0872</v>
      </c>
      <c r="AC24" s="11" t="n">
        <v>0</v>
      </c>
      <c r="AD24" s="11" t="n">
        <v>-0.0872</v>
      </c>
    </row>
    <row r="25">
      <c r="A25" s="10" t="inlineStr">
        <is>
          <t>관계회사 청산이익</t>
        </is>
      </c>
      <c r="N25" s="11" t="n">
        <v>0</v>
      </c>
      <c r="R25" s="11" t="n">
        <v>-0.0097</v>
      </c>
      <c r="V25" s="11" t="n">
        <v>0</v>
      </c>
      <c r="AB25" s="11" t="n">
        <v>0</v>
      </c>
      <c r="AC25" s="11" t="n">
        <v>-0.0097</v>
      </c>
      <c r="AD25" s="11" t="n">
        <v>0</v>
      </c>
    </row>
    <row r="26">
      <c r="A26" s="10" t="inlineStr">
        <is>
          <t>손상차손</t>
        </is>
      </c>
      <c r="F26" s="11" t="n">
        <v>0.4721</v>
      </c>
      <c r="J26" s="11" t="n">
        <v>0</v>
      </c>
      <c r="R26" s="11" t="n">
        <v>0</v>
      </c>
      <c r="V26" s="11" t="n">
        <v>0.0975</v>
      </c>
      <c r="Y26" s="11" t="n">
        <v>0</v>
      </c>
      <c r="Z26" s="11" t="n">
        <v>0.4721</v>
      </c>
      <c r="AA26" s="11" t="n">
        <v>0</v>
      </c>
      <c r="AC26" s="11" t="n">
        <v>0</v>
      </c>
      <c r="AD26" s="11" t="n">
        <v>0.0975</v>
      </c>
    </row>
    <row r="27">
      <c r="A27" s="10" t="inlineStr">
        <is>
          <t>상여충당금 증감</t>
        </is>
      </c>
      <c r="D27" s="11" t="n">
        <v>0.0265</v>
      </c>
      <c r="F27" s="11" t="n">
        <v>0.0022</v>
      </c>
      <c r="H27" s="11" t="n">
        <v>-0.0022</v>
      </c>
      <c r="J27" s="11" t="n">
        <v>-0.0022</v>
      </c>
      <c r="L27" s="11" t="n">
        <v>0.1173</v>
      </c>
      <c r="N27" s="11" t="n">
        <v>0.0188</v>
      </c>
      <c r="P27" s="11" t="n">
        <v>0.2599</v>
      </c>
      <c r="R27" s="11" t="n">
        <v>0.9846</v>
      </c>
      <c r="T27" s="11" t="n">
        <v>-0.9175</v>
      </c>
      <c r="V27" s="11" t="n">
        <v>-0.9183</v>
      </c>
      <c r="Y27" s="11" t="n">
        <v>0</v>
      </c>
      <c r="Z27" s="11" t="n">
        <v>0.0022</v>
      </c>
      <c r="AA27" s="11" t="n">
        <v>-0.0022</v>
      </c>
      <c r="AB27" s="11" t="n">
        <v>0.0188</v>
      </c>
      <c r="AC27" s="11" t="n">
        <v>0.9846</v>
      </c>
      <c r="AD27" s="11" t="n">
        <v>-0.9183</v>
      </c>
    </row>
    <row r="28">
      <c r="A28" s="10" t="inlineStr">
        <is>
          <t>관계회사 정리손실 충당금 증감</t>
        </is>
      </c>
      <c r="F28" s="11" t="n">
        <v>0.7245</v>
      </c>
      <c r="Y28" s="11" t="n">
        <v>0</v>
      </c>
      <c r="Z28" s="11" t="n">
        <v>0.7245</v>
      </c>
    </row>
    <row r="29">
      <c r="A29" s="10" t="inlineStr">
        <is>
          <t>외환차손익</t>
        </is>
      </c>
      <c r="D29" s="11" t="n">
        <v>0.001</v>
      </c>
      <c r="F29" s="11" t="n">
        <v>0.001</v>
      </c>
      <c r="H29" s="11" t="n">
        <v>0</v>
      </c>
      <c r="J29" s="11" t="n">
        <v>0</v>
      </c>
      <c r="W29" s="11" t="n">
        <v>0.0341</v>
      </c>
      <c r="X29" s="11" t="n">
        <v>-0.0305</v>
      </c>
      <c r="Y29" s="11" t="n">
        <v>-0.0144</v>
      </c>
      <c r="Z29" s="11" t="n">
        <v>0.001</v>
      </c>
      <c r="AA29" s="11" t="n">
        <v>0</v>
      </c>
    </row>
    <row r="30">
      <c r="A30" s="10" t="inlineStr">
        <is>
          <t>이자수익</t>
        </is>
      </c>
      <c r="D30" s="11" t="n">
        <v>-0.0001</v>
      </c>
      <c r="F30" s="11" t="n">
        <v>-0.0003</v>
      </c>
      <c r="H30" s="11" t="n">
        <v>-0.0001</v>
      </c>
      <c r="J30" s="11" t="n">
        <v>-0.0007</v>
      </c>
      <c r="L30" s="11" t="n">
        <v>-0.0015</v>
      </c>
      <c r="N30" s="11" t="n">
        <v>-0.0055</v>
      </c>
      <c r="P30" s="11" t="n">
        <v>-0.0157</v>
      </c>
      <c r="R30" s="11" t="n">
        <v>-0.0427</v>
      </c>
      <c r="W30" s="11" t="n">
        <v>-0.0001</v>
      </c>
      <c r="X30" s="11" t="n">
        <v>-0.0001</v>
      </c>
      <c r="Y30" s="11" t="n">
        <v>-0.0002</v>
      </c>
      <c r="Z30" s="11" t="n">
        <v>-0.0003</v>
      </c>
      <c r="AA30" s="11" t="n">
        <v>-0.0007</v>
      </c>
      <c r="AB30" s="11" t="n">
        <v>-0.0055</v>
      </c>
      <c r="AC30" s="11" t="n">
        <v>-0.0427</v>
      </c>
    </row>
    <row r="31">
      <c r="A31" s="10" t="inlineStr">
        <is>
          <t>보조금 수입</t>
        </is>
      </c>
      <c r="F31" s="11" t="n">
        <v>0</v>
      </c>
      <c r="W31" s="11" t="n">
        <v>-0.1456</v>
      </c>
      <c r="X31" s="11" t="n">
        <v>-0.09660000000000001</v>
      </c>
      <c r="Y31" s="11" t="n">
        <v>-0.0207</v>
      </c>
      <c r="Z31" s="11" t="n">
        <v>0</v>
      </c>
    </row>
    <row r="32">
      <c r="A32" s="10" t="inlineStr">
        <is>
          <t>임대료 수익</t>
        </is>
      </c>
      <c r="D32" s="11" t="n">
        <v>-0.0507</v>
      </c>
      <c r="H32" s="11" t="n">
        <v>0</v>
      </c>
    </row>
    <row r="33">
      <c r="A33" s="10" t="inlineStr">
        <is>
          <t>임대료 수익</t>
        </is>
      </c>
      <c r="F33" s="11" t="n">
        <v>-0.1046</v>
      </c>
      <c r="J33" s="11" t="n">
        <v>0</v>
      </c>
      <c r="W33" s="11" t="n">
        <v>-0.0145</v>
      </c>
      <c r="X33" s="11" t="n">
        <v>0</v>
      </c>
      <c r="Y33" s="11" t="n">
        <v>-0.04</v>
      </c>
      <c r="Z33" s="11" t="n">
        <v>-0.1046</v>
      </c>
      <c r="AA33" s="11" t="n">
        <v>0</v>
      </c>
    </row>
    <row r="34">
      <c r="A34" s="10" t="inlineStr">
        <is>
          <t>매출채권·계약자산 증감</t>
        </is>
      </c>
      <c r="J34" s="11" t="n">
        <v>-1.0761</v>
      </c>
      <c r="L34" s="11" t="n">
        <v>0.4991</v>
      </c>
      <c r="N34" s="11" t="n">
        <v>0.2797</v>
      </c>
      <c r="P34" s="11" t="n">
        <v>-1.0966</v>
      </c>
      <c r="R34" s="11" t="n">
        <v>-1.5655</v>
      </c>
      <c r="T34" s="11" t="n">
        <v>-0.1553</v>
      </c>
      <c r="V34" s="11" t="n">
        <v>0.3242</v>
      </c>
      <c r="AA34" s="11" t="n">
        <v>-1.0761</v>
      </c>
      <c r="AB34" s="11" t="n">
        <v>0.2797</v>
      </c>
      <c r="AC34" s="11" t="n">
        <v>-1.5655</v>
      </c>
      <c r="AD34" s="11" t="n">
        <v>0.3242</v>
      </c>
    </row>
    <row r="35">
      <c r="A35" s="10" t="inlineStr">
        <is>
          <t>재고자산 증감</t>
        </is>
      </c>
      <c r="D35" s="11" t="n">
        <v>0.2028</v>
      </c>
      <c r="F35" s="11" t="n">
        <v>0.2172</v>
      </c>
      <c r="H35" s="11" t="n">
        <v>-0.0159</v>
      </c>
      <c r="J35" s="11" t="n">
        <v>-0.0968</v>
      </c>
      <c r="L35" s="11" t="n">
        <v>0.0212</v>
      </c>
      <c r="N35" s="11" t="n">
        <v>0.08550000000000001</v>
      </c>
      <c r="P35" s="11" t="n">
        <v>-0.1883</v>
      </c>
      <c r="R35" s="11" t="n">
        <v>-0.0668</v>
      </c>
      <c r="T35" s="11" t="n">
        <v>0.0061</v>
      </c>
      <c r="V35" s="11" t="n">
        <v>-0.0496</v>
      </c>
      <c r="W35" s="11" t="n">
        <v>0.2256</v>
      </c>
      <c r="X35" s="11" t="n">
        <v>0.0538</v>
      </c>
      <c r="Y35" s="11" t="n">
        <v>-0.2272</v>
      </c>
      <c r="Z35" s="11" t="n">
        <v>0.2172</v>
      </c>
      <c r="AA35" s="11" t="n">
        <v>-0.0968</v>
      </c>
      <c r="AB35" s="11" t="n">
        <v>0.08550000000000001</v>
      </c>
      <c r="AC35" s="11" t="n">
        <v>-0.0668</v>
      </c>
      <c r="AD35" s="11" t="n">
        <v>-0.0496</v>
      </c>
    </row>
    <row r="36">
      <c r="A36" s="10" t="inlineStr">
        <is>
          <t>선급비용 증감</t>
        </is>
      </c>
      <c r="D36" s="11" t="n">
        <v>-0.0805</v>
      </c>
      <c r="F36" s="11" t="n">
        <v>0.0471</v>
      </c>
      <c r="H36" s="11" t="n">
        <v>-0.1185</v>
      </c>
      <c r="J36" s="11" t="n">
        <v>-0.0411</v>
      </c>
      <c r="L36" s="11" t="n">
        <v>-0.2499</v>
      </c>
      <c r="N36" s="11" t="n">
        <v>-0.3046</v>
      </c>
      <c r="P36" s="11" t="n">
        <v>-0.168</v>
      </c>
      <c r="R36" s="11" t="n">
        <v>0.243</v>
      </c>
      <c r="T36" s="11" t="n">
        <v>-0.3802</v>
      </c>
      <c r="V36" s="11" t="n">
        <v>-0.3361</v>
      </c>
      <c r="W36" s="11" t="n">
        <v>-0.0585</v>
      </c>
      <c r="X36" s="11" t="n">
        <v>-0.0631</v>
      </c>
      <c r="Y36" s="11" t="n">
        <v>-0.0594</v>
      </c>
      <c r="Z36" s="11" t="n">
        <v>0.0471</v>
      </c>
      <c r="AA36" s="11" t="n">
        <v>-0.0411</v>
      </c>
      <c r="AB36" s="11" t="n">
        <v>-0.3046</v>
      </c>
      <c r="AC36" s="11" t="n">
        <v>0.243</v>
      </c>
      <c r="AD36" s="11" t="n">
        <v>-0.3361</v>
      </c>
    </row>
    <row r="37">
      <c r="A37" s="10" t="inlineStr">
        <is>
          <t>매입채무 증감</t>
        </is>
      </c>
      <c r="D37" s="11" t="n">
        <v>0.0125</v>
      </c>
      <c r="F37" s="11" t="n">
        <v>-0.0161</v>
      </c>
      <c r="H37" s="11" t="n">
        <v>-0.0989</v>
      </c>
      <c r="J37" s="11" t="n">
        <v>0.2358</v>
      </c>
      <c r="L37" s="11" t="n">
        <v>-0.2302</v>
      </c>
      <c r="N37" s="11" t="n">
        <v>-0.0822</v>
      </c>
      <c r="P37" s="11" t="n">
        <v>0.4363</v>
      </c>
      <c r="R37" s="11" t="n">
        <v>0.3642</v>
      </c>
      <c r="T37" s="11" t="n">
        <v>0.1315</v>
      </c>
      <c r="V37" s="11" t="n">
        <v>0.0927</v>
      </c>
      <c r="W37" s="11" t="n">
        <v>0.0917</v>
      </c>
      <c r="X37" s="11" t="n">
        <v>0.0103</v>
      </c>
      <c r="Y37" s="11" t="n">
        <v>0.0733</v>
      </c>
      <c r="Z37" s="11" t="n">
        <v>-0.0161</v>
      </c>
      <c r="AA37" s="11" t="n">
        <v>0.2358</v>
      </c>
      <c r="AB37" s="11" t="n">
        <v>-0.0822</v>
      </c>
      <c r="AC37" s="11" t="n">
        <v>0.3642</v>
      </c>
      <c r="AD37" s="11" t="n">
        <v>0.0927</v>
      </c>
    </row>
    <row r="38">
      <c r="A38" s="10" t="inlineStr">
        <is>
          <t>미지급금 증감</t>
        </is>
      </c>
      <c r="D38" s="11" t="n">
        <v>-0.2472</v>
      </c>
      <c r="F38" s="11" t="n">
        <v>-0.1147</v>
      </c>
      <c r="H38" s="11" t="n">
        <v>-0.619</v>
      </c>
      <c r="J38" s="11" t="n">
        <v>-0.0701</v>
      </c>
      <c r="L38" s="11" t="n">
        <v>-0.5395</v>
      </c>
      <c r="N38" s="11" t="n">
        <v>-0.4749</v>
      </c>
      <c r="P38" s="11" t="n">
        <v>-0.09429999999999999</v>
      </c>
      <c r="R38" s="11" t="n">
        <v>0.5686</v>
      </c>
      <c r="T38" s="11" t="n">
        <v>-0.3081</v>
      </c>
      <c r="V38" s="11" t="n">
        <v>-0.0858</v>
      </c>
      <c r="W38" s="11" t="n">
        <v>0.5131</v>
      </c>
      <c r="X38" s="11" t="n">
        <v>-0.5125999999999999</v>
      </c>
      <c r="Y38" s="11" t="n">
        <v>0.3233</v>
      </c>
      <c r="Z38" s="11" t="n">
        <v>-0.1147</v>
      </c>
      <c r="AA38" s="11" t="n">
        <v>-0.0701</v>
      </c>
      <c r="AB38" s="11" t="n">
        <v>-0.4749</v>
      </c>
      <c r="AC38" s="11" t="n">
        <v>0.5686</v>
      </c>
      <c r="AD38" s="11" t="n">
        <v>-0.0858</v>
      </c>
    </row>
    <row r="39">
      <c r="A39" s="10" t="inlineStr">
        <is>
          <t>예수금 증감</t>
        </is>
      </c>
      <c r="N39" s="11" t="n">
        <v>0.2238</v>
      </c>
      <c r="R39" s="11" t="n">
        <v>-0.0045</v>
      </c>
      <c r="V39" s="11" t="n">
        <v>-0.183</v>
      </c>
      <c r="AB39" s="11" t="n">
        <v>0.2238</v>
      </c>
      <c r="AC39" s="11" t="n">
        <v>-0.0045</v>
      </c>
      <c r="AD39" s="11" t="n">
        <v>-0.183</v>
      </c>
    </row>
    <row r="40">
      <c r="A40" s="10" t="inlineStr">
        <is>
          <t>미지급비용 증감</t>
        </is>
      </c>
      <c r="D40" s="11" t="n">
        <v>-0.1297</v>
      </c>
      <c r="F40" s="11" t="n">
        <v>-0.0064</v>
      </c>
      <c r="H40" s="11" t="n">
        <v>-0.2475</v>
      </c>
      <c r="J40" s="11" t="n">
        <v>0.0032</v>
      </c>
      <c r="L40" s="11" t="n">
        <v>-0.2959</v>
      </c>
      <c r="N40" s="11" t="n">
        <v>-0.2207</v>
      </c>
      <c r="P40" s="11" t="n">
        <v>-0.0857</v>
      </c>
      <c r="R40" s="11" t="n">
        <v>-0.0045</v>
      </c>
      <c r="T40" s="11" t="n">
        <v>-0.0598</v>
      </c>
      <c r="V40" s="11" t="n">
        <v>0.028</v>
      </c>
      <c r="W40" s="11" t="n">
        <v>0.1647</v>
      </c>
      <c r="X40" s="11" t="n">
        <v>0.0868</v>
      </c>
      <c r="Y40" s="11" t="n">
        <v>0.0789</v>
      </c>
      <c r="Z40" s="11" t="n">
        <v>-0.0064</v>
      </c>
      <c r="AA40" s="11" t="n">
        <v>0.0032</v>
      </c>
      <c r="AB40" s="11" t="n">
        <v>-0.2207</v>
      </c>
      <c r="AC40" s="11" t="n">
        <v>-0.0045</v>
      </c>
      <c r="AD40" s="11" t="n">
        <v>0.028</v>
      </c>
    </row>
    <row r="41">
      <c r="A41" s="10" t="inlineStr">
        <is>
          <t>선수금 증감</t>
        </is>
      </c>
      <c r="D41" s="11" t="n">
        <v>-0.2665</v>
      </c>
      <c r="F41" s="11" t="n">
        <v>-0.3359</v>
      </c>
      <c r="W41" s="11" t="n">
        <v>-0.22</v>
      </c>
      <c r="X41" s="11" t="n">
        <v>0.018</v>
      </c>
      <c r="Y41" s="11" t="n">
        <v>0.3568</v>
      </c>
      <c r="Z41" s="11" t="n">
        <v>-0.3359</v>
      </c>
    </row>
    <row r="42">
      <c r="A42" s="5" t="inlineStr">
        <is>
          <t>선수수익 증감</t>
        </is>
      </c>
      <c r="D42" s="6" t="n">
        <v>-0.0546</v>
      </c>
      <c r="F42" s="6" t="n">
        <v>0.0504</v>
      </c>
      <c r="W42" s="6" t="n">
        <v>-0.1463</v>
      </c>
      <c r="X42" s="6" t="n">
        <v>-0.0993</v>
      </c>
      <c r="Y42" s="6" t="n">
        <v>0.0488</v>
      </c>
      <c r="Z42" s="6" t="n">
        <v>0.0504</v>
      </c>
    </row>
    <row r="43">
      <c r="A43" s="10" t="inlineStr">
        <is>
          <t>계약부채 증감</t>
        </is>
      </c>
      <c r="F43" s="11" t="n">
        <v>-0.2856</v>
      </c>
      <c r="J43" s="11" t="n">
        <v>0.1041</v>
      </c>
      <c r="Z43" s="11" t="n">
        <v>-0.2856</v>
      </c>
      <c r="AA43" s="11" t="n">
        <v>0.1041</v>
      </c>
    </row>
    <row r="44">
      <c r="A44" s="10" t="inlineStr">
        <is>
          <t>계약부채 증감</t>
        </is>
      </c>
      <c r="D44" s="11" t="n">
        <v>-0.3211</v>
      </c>
      <c r="H44" s="11" t="n">
        <v>0.0417</v>
      </c>
      <c r="L44" s="11" t="n">
        <v>-0.1556</v>
      </c>
    </row>
    <row r="45">
      <c r="A45" s="10" t="inlineStr">
        <is>
          <t>계약부채 증감</t>
        </is>
      </c>
      <c r="J45" s="11" t="n">
        <v>0.1838</v>
      </c>
      <c r="L45" s="11" t="n">
        <v>-0.1556</v>
      </c>
      <c r="N45" s="11" t="n">
        <v>0.1507</v>
      </c>
      <c r="P45" s="11" t="n">
        <v>-0.2105</v>
      </c>
      <c r="R45" s="11" t="n">
        <v>-0.1445</v>
      </c>
      <c r="T45" s="11" t="n">
        <v>0.0593</v>
      </c>
      <c r="V45" s="11" t="n">
        <v>-0.09470000000000001</v>
      </c>
      <c r="AA45" s="11" t="n">
        <v>0.1838</v>
      </c>
      <c r="AB45" s="11" t="n">
        <v>0.1507</v>
      </c>
      <c r="AC45" s="11" t="n">
        <v>-0.1445</v>
      </c>
      <c r="AD45" s="11" t="n">
        <v>-0.09470000000000001</v>
      </c>
    </row>
    <row r="46">
      <c r="A46" s="10" t="inlineStr">
        <is>
          <t>미지급 소비세 증감</t>
        </is>
      </c>
      <c r="D46" s="11" t="n">
        <v>0.0134</v>
      </c>
      <c r="F46" s="11" t="n">
        <v>0.2062</v>
      </c>
      <c r="H46" s="11" t="n">
        <v>-0.534</v>
      </c>
      <c r="J46" s="11" t="n">
        <v>-0.4512</v>
      </c>
      <c r="L46" s="11" t="n">
        <v>-0.07099999999999999</v>
      </c>
      <c r="N46" s="11" t="n">
        <v>-0.1857</v>
      </c>
      <c r="P46" s="11" t="n">
        <v>0.4611</v>
      </c>
      <c r="R46" s="11" t="n">
        <v>0.7827</v>
      </c>
      <c r="T46" s="11" t="n">
        <v>-0.525</v>
      </c>
      <c r="V46" s="11" t="n">
        <v>-0.5548999999999999</v>
      </c>
      <c r="W46" s="11" t="n">
        <v>-0.1719</v>
      </c>
      <c r="X46" s="11" t="n">
        <v>0.4655</v>
      </c>
      <c r="Y46" s="11" t="n">
        <v>-0.09089999999999999</v>
      </c>
      <c r="Z46" s="11" t="n">
        <v>0.2062</v>
      </c>
      <c r="AA46" s="11" t="n">
        <v>-0.4512</v>
      </c>
      <c r="AB46" s="11" t="n">
        <v>-0.1857</v>
      </c>
      <c r="AC46" s="11" t="n">
        <v>0.7827</v>
      </c>
      <c r="AD46" s="11" t="n">
        <v>-0.5548999999999999</v>
      </c>
    </row>
    <row r="47">
      <c r="A47" s="10" t="inlineStr">
        <is>
          <t>기타</t>
        </is>
      </c>
      <c r="D47" s="11" t="n">
        <v>-0.2771</v>
      </c>
      <c r="F47" s="11" t="n">
        <v>-0.0354</v>
      </c>
      <c r="H47" s="11" t="n">
        <v>-0.1937</v>
      </c>
      <c r="J47" s="11" t="n">
        <v>0.0067</v>
      </c>
      <c r="L47" s="11" t="n">
        <v>-0.0004</v>
      </c>
      <c r="N47" s="11" t="n">
        <v>0.0471</v>
      </c>
      <c r="P47" s="11" t="n">
        <v>-0.218</v>
      </c>
      <c r="R47" s="11" t="n">
        <v>0.1255</v>
      </c>
      <c r="T47" s="11" t="n">
        <v>-0.07920000000000001</v>
      </c>
      <c r="V47" s="11" t="n">
        <v>0.125</v>
      </c>
      <c r="W47" s="11" t="n">
        <v>0.13</v>
      </c>
      <c r="X47" s="11" t="n">
        <v>-0.1188</v>
      </c>
      <c r="Y47" s="11" t="n">
        <v>0.6721</v>
      </c>
      <c r="Z47" s="11" t="n">
        <v>-0.0354</v>
      </c>
      <c r="AA47" s="11" t="n">
        <v>0.0067</v>
      </c>
      <c r="AB47" s="11" t="n">
        <v>0.0471</v>
      </c>
      <c r="AC47" s="11" t="n">
        <v>0.1255</v>
      </c>
      <c r="AD47" s="11" t="n">
        <v>0.125</v>
      </c>
    </row>
    <row r="48">
      <c r="A48" s="10" t="inlineStr">
        <is>
          <t>소계</t>
        </is>
      </c>
      <c r="D48" s="11" t="n">
        <v>1.9869</v>
      </c>
      <c r="F48" s="11" t="n">
        <v>4.7623</v>
      </c>
      <c r="H48" s="11" t="n">
        <v>-0.8821</v>
      </c>
      <c r="J48" s="11" t="n">
        <v>2.5632</v>
      </c>
      <c r="L48" s="11" t="n">
        <v>0.218</v>
      </c>
      <c r="N48" s="11" t="n">
        <v>0.7156</v>
      </c>
      <c r="P48" s="11" t="n">
        <v>2.8165</v>
      </c>
      <c r="R48" s="11" t="n">
        <v>7.7588</v>
      </c>
      <c r="T48" s="11" t="n">
        <v>0.8121</v>
      </c>
      <c r="V48" s="11" t="n">
        <v>3.7395</v>
      </c>
      <c r="W48" s="11" t="n">
        <v>1.1706</v>
      </c>
      <c r="X48" s="11" t="n">
        <v>1.8388</v>
      </c>
      <c r="Y48" s="11" t="n">
        <v>5.3466</v>
      </c>
      <c r="Z48" s="11" t="n">
        <v>4.7623</v>
      </c>
      <c r="AA48" s="11" t="n">
        <v>2.5632</v>
      </c>
      <c r="AB48" s="11" t="n">
        <v>0.7156</v>
      </c>
      <c r="AC48" s="11" t="n">
        <v>7.7588</v>
      </c>
      <c r="AD48" s="11" t="n">
        <v>3.7395</v>
      </c>
    </row>
    <row r="49">
      <c r="A49" s="10" t="inlineStr">
        <is>
          <t>이자·배당금 수취</t>
        </is>
      </c>
      <c r="D49" s="11" t="n">
        <v>0.0001</v>
      </c>
      <c r="F49" s="11" t="n">
        <v>0.0003</v>
      </c>
      <c r="H49" s="11" t="n">
        <v>0.0001</v>
      </c>
      <c r="J49" s="11" t="n">
        <v>0.0003</v>
      </c>
      <c r="L49" s="11" t="n">
        <v>0.0001</v>
      </c>
      <c r="N49" s="11" t="n">
        <v>0.0027</v>
      </c>
      <c r="P49" s="11" t="n">
        <v>0.0143</v>
      </c>
      <c r="R49" s="11" t="n">
        <v>0.3782</v>
      </c>
      <c r="T49" s="11" t="n">
        <v>0.6746</v>
      </c>
      <c r="V49" s="11" t="n">
        <v>1.3015</v>
      </c>
      <c r="W49" s="11" t="n">
        <v>0.0001</v>
      </c>
      <c r="X49" s="11" t="n">
        <v>0.0001</v>
      </c>
      <c r="Y49" s="11" t="n">
        <v>0.0002</v>
      </c>
      <c r="Z49" s="11" t="n">
        <v>0.0003</v>
      </c>
      <c r="AA49" s="11" t="n">
        <v>0.0003</v>
      </c>
      <c r="AB49" s="11" t="n">
        <v>0.0027</v>
      </c>
      <c r="AC49" s="11" t="n">
        <v>0.3782</v>
      </c>
      <c r="AD49" s="11" t="n">
        <v>1.3015</v>
      </c>
    </row>
    <row r="50">
      <c r="A50" s="10" t="inlineStr">
        <is>
          <t>이자 지급</t>
        </is>
      </c>
      <c r="D50" s="11" t="n">
        <v>-0.0227</v>
      </c>
      <c r="F50" s="11" t="n">
        <v>-0.0435</v>
      </c>
      <c r="H50" s="11" t="n">
        <v>-0.0074</v>
      </c>
      <c r="J50" s="11" t="n">
        <v>-0.0132</v>
      </c>
      <c r="L50" s="11" t="n">
        <v>-0.0049</v>
      </c>
      <c r="N50" s="11" t="n">
        <v>-0.0166</v>
      </c>
      <c r="P50" s="11" t="n">
        <v>-0.0119</v>
      </c>
      <c r="R50" s="11" t="n">
        <v>-0.0235</v>
      </c>
      <c r="T50" s="11" t="n">
        <v>-0.0105</v>
      </c>
      <c r="V50" s="11" t="n">
        <v>-0.0183</v>
      </c>
      <c r="W50" s="11" t="n">
        <v>-0.0564</v>
      </c>
      <c r="X50" s="11" t="n">
        <v>-0.0984</v>
      </c>
      <c r="Y50" s="11" t="n">
        <v>-0.0545</v>
      </c>
      <c r="Z50" s="11" t="n">
        <v>-0.0435</v>
      </c>
      <c r="AA50" s="11" t="n">
        <v>-0.0132</v>
      </c>
      <c r="AB50" s="11" t="n">
        <v>-0.0166</v>
      </c>
      <c r="AC50" s="11" t="n">
        <v>-0.0235</v>
      </c>
      <c r="AD50" s="11" t="n">
        <v>-0.0183</v>
      </c>
    </row>
    <row r="51">
      <c r="A51" s="10" t="inlineStr">
        <is>
          <t>보조금 수취</t>
        </is>
      </c>
      <c r="F51" s="11" t="n">
        <v>0</v>
      </c>
      <c r="W51" s="11" t="n">
        <v>0.1456</v>
      </c>
      <c r="X51" s="11" t="n">
        <v>0.09660000000000001</v>
      </c>
      <c r="Y51" s="11" t="n">
        <v>0.0137</v>
      </c>
      <c r="Z51" s="11" t="n">
        <v>0</v>
      </c>
    </row>
    <row r="52">
      <c r="A52" s="10" t="inlineStr">
        <is>
          <t>임대료 수취</t>
        </is>
      </c>
      <c r="D52" s="11" t="n">
        <v>0.0507</v>
      </c>
      <c r="H52" s="11" t="n">
        <v>0</v>
      </c>
    </row>
    <row r="53">
      <c r="A53" s="10" t="inlineStr">
        <is>
          <t>임대료 수취</t>
        </is>
      </c>
      <c r="F53" s="11" t="n">
        <v>0.1046</v>
      </c>
      <c r="J53" s="11" t="n">
        <v>0</v>
      </c>
      <c r="W53" s="11" t="n">
        <v>0.0145</v>
      </c>
      <c r="X53" s="11" t="n">
        <v>0</v>
      </c>
      <c r="Y53" s="11" t="n">
        <v>0.04</v>
      </c>
      <c r="Z53" s="11" t="n">
        <v>0.1046</v>
      </c>
      <c r="AA53" s="11" t="n">
        <v>0</v>
      </c>
    </row>
    <row r="54">
      <c r="A54" s="10" t="inlineStr">
        <is>
          <t>법인세 납부</t>
        </is>
      </c>
      <c r="D54" s="11" t="n">
        <v>-0.3782</v>
      </c>
      <c r="F54" s="11" t="n">
        <v>-0.7171999999999999</v>
      </c>
      <c r="H54" s="11" t="n">
        <v>-1.0529</v>
      </c>
      <c r="J54" s="11" t="n">
        <v>-1.7636</v>
      </c>
      <c r="L54" s="11" t="n">
        <v>-0.7379</v>
      </c>
      <c r="N54" s="11" t="n">
        <v>-1.3994</v>
      </c>
      <c r="P54" s="11" t="n">
        <v>-0.0268</v>
      </c>
      <c r="R54" s="11" t="n">
        <v>-0.1701</v>
      </c>
      <c r="T54" s="11" t="n">
        <v>-2.0771</v>
      </c>
      <c r="V54" s="11" t="n">
        <v>-3.194</v>
      </c>
      <c r="W54" s="11" t="n">
        <v>-0.0056</v>
      </c>
      <c r="X54" s="11" t="n">
        <v>-0.3781</v>
      </c>
      <c r="Y54" s="11" t="n">
        <v>-0.5129</v>
      </c>
      <c r="Z54" s="11" t="n">
        <v>-0.7171999999999999</v>
      </c>
      <c r="AA54" s="11" t="n">
        <v>-1.7636</v>
      </c>
      <c r="AB54" s="11" t="n">
        <v>-1.3994</v>
      </c>
      <c r="AC54" s="11" t="n">
        <v>-0.1701</v>
      </c>
      <c r="AD54" s="11" t="n">
        <v>-3.194</v>
      </c>
    </row>
    <row r="55">
      <c r="A55" s="10" t="inlineStr">
        <is>
          <t>법인세 환급</t>
        </is>
      </c>
      <c r="H55" s="11" t="n">
        <v>0</v>
      </c>
      <c r="J55" s="11" t="n">
        <v>0</v>
      </c>
      <c r="L55" s="11" t="n">
        <v>0.1265</v>
      </c>
      <c r="N55" s="11" t="n">
        <v>0.1265</v>
      </c>
      <c r="P55" s="11" t="n">
        <v>0.5004</v>
      </c>
      <c r="R55" s="11" t="n">
        <v>0.5004</v>
      </c>
      <c r="T55" s="11" t="n">
        <v>0.0001</v>
      </c>
      <c r="V55" s="11" t="n">
        <v>0.0001</v>
      </c>
      <c r="AA55" s="11" t="n">
        <v>0</v>
      </c>
      <c r="AB55" s="11" t="n">
        <v>0.1265</v>
      </c>
      <c r="AC55" s="11" t="n">
        <v>0.5004</v>
      </c>
      <c r="AD55" s="11" t="n">
        <v>0.0001</v>
      </c>
    </row>
    <row r="56">
      <c r="A56" s="10" t="inlineStr">
        <is>
          <t>영업활동 현금흐름</t>
        </is>
      </c>
      <c r="D56" s="11" t="n">
        <v>1.6367</v>
      </c>
      <c r="F56" s="11" t="n">
        <v>4.1065</v>
      </c>
      <c r="H56" s="11" t="n">
        <v>-1.9423</v>
      </c>
      <c r="J56" s="11" t="n">
        <v>0.7867</v>
      </c>
      <c r="L56" s="11" t="n">
        <v>-0.3981</v>
      </c>
      <c r="N56" s="11" t="n">
        <v>-0.5712</v>
      </c>
      <c r="P56" s="11" t="n">
        <v>3.2924</v>
      </c>
      <c r="R56" s="11" t="n">
        <v>8.443899999999999</v>
      </c>
      <c r="T56" s="11" t="n">
        <v>-0.6008</v>
      </c>
      <c r="V56" s="11" t="n">
        <v>1.8288</v>
      </c>
      <c r="W56" s="11" t="n">
        <v>1.2688</v>
      </c>
      <c r="X56" s="11" t="n">
        <v>1.459</v>
      </c>
      <c r="Y56" s="11" t="n">
        <v>4.8332</v>
      </c>
      <c r="Z56" s="11" t="n">
        <v>4.1065</v>
      </c>
      <c r="AA56" s="11" t="n">
        <v>0.7867</v>
      </c>
      <c r="AB56" s="11" t="n">
        <v>-0.5712</v>
      </c>
      <c r="AC56" s="11" t="n">
        <v>8.443899999999999</v>
      </c>
      <c r="AD56" s="11" t="n">
        <v>1.8288</v>
      </c>
    </row>
    <row r="57">
      <c r="A57" s="10" t="inlineStr">
        <is>
          <t>정기예금 예입</t>
        </is>
      </c>
      <c r="R57" s="11" t="n">
        <v>0</v>
      </c>
      <c r="V57" s="11" t="n">
        <v>-12</v>
      </c>
      <c r="AC57" s="11" t="n">
        <v>0</v>
      </c>
      <c r="AD57" s="11" t="n">
        <v>-12</v>
      </c>
    </row>
    <row r="58">
      <c r="A58" s="10" t="inlineStr">
        <is>
          <t>유형자산 취득(설비투자)</t>
        </is>
      </c>
      <c r="D58" s="11" t="n">
        <v>-0.0692</v>
      </c>
      <c r="F58" s="11" t="n">
        <v>-0.1507</v>
      </c>
      <c r="H58" s="11" t="n">
        <v>-0.011</v>
      </c>
      <c r="J58" s="11" t="n">
        <v>-0.0211</v>
      </c>
      <c r="L58" s="11" t="n">
        <v>-0.1023</v>
      </c>
      <c r="N58" s="11" t="n">
        <v>-0.1307</v>
      </c>
      <c r="P58" s="11" t="n">
        <v>-0.0168</v>
      </c>
      <c r="R58" s="11" t="n">
        <v>-0.0232</v>
      </c>
      <c r="T58" s="11" t="n">
        <v>-0.0154</v>
      </c>
      <c r="V58" s="11" t="n">
        <v>-0.4197</v>
      </c>
      <c r="W58" s="11" t="n">
        <v>-0.2365</v>
      </c>
      <c r="X58" s="11" t="n">
        <v>-0.2353</v>
      </c>
      <c r="Y58" s="11" t="n">
        <v>-0.2162</v>
      </c>
      <c r="Z58" s="11" t="n">
        <v>-0.1507</v>
      </c>
      <c r="AA58" s="11" t="n">
        <v>-0.0211</v>
      </c>
      <c r="AB58" s="11" t="n">
        <v>-0.1307</v>
      </c>
      <c r="AC58" s="11" t="n">
        <v>-0.0232</v>
      </c>
      <c r="AD58" s="11" t="n">
        <v>-0.4197</v>
      </c>
    </row>
    <row r="59">
      <c r="A59" s="10" t="inlineStr">
        <is>
          <t>투자유가증권 취득</t>
        </is>
      </c>
      <c r="D59" s="11" t="n">
        <v>-0.34</v>
      </c>
      <c r="F59" s="11" t="n">
        <v>-0.78</v>
      </c>
      <c r="H59" s="11" t="n">
        <v>-0.04</v>
      </c>
      <c r="J59" s="11" t="n">
        <v>-0.84</v>
      </c>
      <c r="L59" s="11" t="n">
        <v>-0.2</v>
      </c>
      <c r="N59" s="11" t="n">
        <v>-0.5</v>
      </c>
      <c r="P59" s="11" t="n">
        <v>-0.48</v>
      </c>
      <c r="R59" s="11" t="n">
        <v>-10.7713</v>
      </c>
      <c r="T59" s="11" t="n">
        <v>-0.1511</v>
      </c>
      <c r="V59" s="11" t="n">
        <v>-0.1511</v>
      </c>
      <c r="W59" s="11" t="n">
        <v>0</v>
      </c>
      <c r="X59" s="11" t="n">
        <v>-0.524</v>
      </c>
      <c r="Y59" s="11" t="n">
        <v>-0.4398</v>
      </c>
      <c r="Z59" s="11" t="n">
        <v>-0.78</v>
      </c>
      <c r="AA59" s="11" t="n">
        <v>-0.84</v>
      </c>
      <c r="AB59" s="11" t="n">
        <v>-0.5</v>
      </c>
      <c r="AC59" s="11" t="n">
        <v>-10.7713</v>
      </c>
      <c r="AD59" s="11" t="n">
        <v>-0.1511</v>
      </c>
    </row>
    <row r="60">
      <c r="A60" s="10" t="inlineStr">
        <is>
          <t>투자유가증권 매각</t>
        </is>
      </c>
      <c r="P60" s="11" t="n">
        <v>0</v>
      </c>
      <c r="R60" s="11" t="n">
        <v>0</v>
      </c>
      <c r="T60" s="11" t="n">
        <v>0.05</v>
      </c>
      <c r="V60" s="11" t="n">
        <v>0.05</v>
      </c>
      <c r="AC60" s="11" t="n">
        <v>0</v>
      </c>
      <c r="AD60" s="11" t="n">
        <v>0.05</v>
      </c>
    </row>
    <row r="61">
      <c r="A61" s="10" t="inlineStr">
        <is>
          <t>관계회사 주식 매각</t>
        </is>
      </c>
      <c r="R61" s="11" t="n">
        <v>0</v>
      </c>
      <c r="V61" s="11" t="n">
        <v>0.0872</v>
      </c>
      <c r="AC61" s="11" t="n">
        <v>0</v>
      </c>
      <c r="AD61" s="11" t="n">
        <v>0.0872</v>
      </c>
    </row>
    <row r="62">
      <c r="A62" s="10" t="inlineStr">
        <is>
          <t>투자조합 분배 수입</t>
        </is>
      </c>
      <c r="H62" s="11" t="n">
        <v>0</v>
      </c>
      <c r="J62" s="11" t="n">
        <v>0</v>
      </c>
      <c r="L62" s="11" t="n">
        <v>0.0129</v>
      </c>
      <c r="N62" s="11" t="n">
        <v>0.0501</v>
      </c>
      <c r="P62" s="11" t="n">
        <v>0</v>
      </c>
      <c r="R62" s="11" t="n">
        <v>0.0461</v>
      </c>
      <c r="T62" s="11" t="n">
        <v>0.0521</v>
      </c>
      <c r="V62" s="11" t="n">
        <v>0.1436</v>
      </c>
      <c r="AA62" s="11" t="n">
        <v>0</v>
      </c>
      <c r="AB62" s="11" t="n">
        <v>0.0501</v>
      </c>
      <c r="AC62" s="11" t="n">
        <v>0.0461</v>
      </c>
      <c r="AD62" s="11" t="n">
        <v>0.1436</v>
      </c>
    </row>
    <row r="63">
      <c r="A63" s="10" t="inlineStr">
        <is>
          <t>임차보증금·보증금 납입</t>
        </is>
      </c>
      <c r="D63" s="11" t="n">
        <v>-0.001</v>
      </c>
      <c r="F63" s="11" t="n">
        <v>-0.001</v>
      </c>
      <c r="H63" s="11" t="n">
        <v>0</v>
      </c>
      <c r="J63" s="11" t="n">
        <v>0</v>
      </c>
      <c r="L63" s="11" t="n">
        <v>-0.003</v>
      </c>
      <c r="N63" s="11" t="n">
        <v>-0.0043</v>
      </c>
      <c r="P63" s="11" t="n">
        <v>-0.0012</v>
      </c>
      <c r="R63" s="11" t="n">
        <v>-0.014</v>
      </c>
      <c r="T63" s="11" t="n">
        <v>-0.157</v>
      </c>
      <c r="V63" s="11" t="n">
        <v>-0.1637</v>
      </c>
      <c r="W63" s="11" t="n">
        <v>-0.0033</v>
      </c>
      <c r="X63" s="11" t="n">
        <v>-0.0251</v>
      </c>
      <c r="Y63" s="11" t="n">
        <v>0</v>
      </c>
      <c r="Z63" s="11" t="n">
        <v>-0.001</v>
      </c>
      <c r="AA63" s="11" t="n">
        <v>0</v>
      </c>
      <c r="AB63" s="11" t="n">
        <v>-0.0043</v>
      </c>
      <c r="AC63" s="11" t="n">
        <v>-0.014</v>
      </c>
      <c r="AD63" s="11" t="n">
        <v>-0.1637</v>
      </c>
    </row>
    <row r="64">
      <c r="A64" s="10" t="inlineStr">
        <is>
          <t>임차보증금·보증금 회수</t>
        </is>
      </c>
      <c r="D64" s="11" t="n">
        <v>0.0186</v>
      </c>
      <c r="F64" s="11" t="n">
        <v>0.0186</v>
      </c>
      <c r="H64" s="11" t="n">
        <v>0.0229</v>
      </c>
      <c r="J64" s="11" t="n">
        <v>0.0255</v>
      </c>
      <c r="L64" s="11" t="n">
        <v>0</v>
      </c>
      <c r="N64" s="11" t="n">
        <v>0</v>
      </c>
      <c r="W64" s="11" t="n">
        <v>0.0311</v>
      </c>
      <c r="X64" s="11" t="n">
        <v>0.005</v>
      </c>
      <c r="Y64" s="11" t="n">
        <v>0</v>
      </c>
      <c r="Z64" s="11" t="n">
        <v>0.0186</v>
      </c>
      <c r="AA64" s="11" t="n">
        <v>0.0255</v>
      </c>
      <c r="AB64" s="11" t="n">
        <v>0</v>
      </c>
    </row>
    <row r="65">
      <c r="A65" s="10" t="inlineStr">
        <is>
          <t>종업원 대여</t>
        </is>
      </c>
      <c r="J65" s="11" t="n">
        <v>-0.14</v>
      </c>
      <c r="N65" s="11" t="n">
        <v>0</v>
      </c>
      <c r="AA65" s="11" t="n">
        <v>-0.14</v>
      </c>
      <c r="AB65" s="11" t="n">
        <v>0</v>
      </c>
    </row>
    <row r="66">
      <c r="A66" s="10" t="inlineStr">
        <is>
          <t>연결범위 변경 자회사 주식 취득</t>
        </is>
      </c>
      <c r="D66" s="11" t="n">
        <v>-5.8226</v>
      </c>
      <c r="F66" s="11" t="n">
        <v>-5.8226</v>
      </c>
      <c r="H66" s="11" t="n">
        <v>0</v>
      </c>
      <c r="J66" s="11" t="n">
        <v>0</v>
      </c>
      <c r="P66" s="11" t="n">
        <v>0</v>
      </c>
      <c r="R66" s="11" t="n">
        <v>0</v>
      </c>
      <c r="T66" s="11" t="n">
        <v>-0.18</v>
      </c>
      <c r="V66" s="11" t="n">
        <v>-0.18</v>
      </c>
      <c r="Y66" s="11" t="n">
        <v>0</v>
      </c>
      <c r="Z66" s="11" t="n">
        <v>-5.8226</v>
      </c>
      <c r="AA66" s="11" t="n">
        <v>0</v>
      </c>
      <c r="AC66" s="11" t="n">
        <v>0</v>
      </c>
      <c r="AD66" s="11" t="n">
        <v>-0.18</v>
      </c>
    </row>
    <row r="67">
      <c r="A67" s="10" t="inlineStr">
        <is>
          <t>임차보증금 회수</t>
        </is>
      </c>
      <c r="D67" s="11" t="n">
        <v>0.0186</v>
      </c>
    </row>
    <row r="68">
      <c r="A68" s="10" t="inlineStr">
        <is>
          <t>기타</t>
        </is>
      </c>
      <c r="D68" s="11" t="n">
        <v>0.0003</v>
      </c>
      <c r="F68" s="11" t="n">
        <v>-0.0011</v>
      </c>
      <c r="H68" s="11" t="n">
        <v>0</v>
      </c>
      <c r="J68" s="11" t="n">
        <v>0.0037</v>
      </c>
      <c r="N68" s="11" t="n">
        <v>0</v>
      </c>
      <c r="P68" s="11" t="n">
        <v>0</v>
      </c>
      <c r="R68" s="11" t="n">
        <v>0.0033</v>
      </c>
      <c r="T68" s="11" t="n">
        <v>0.01</v>
      </c>
      <c r="V68" s="11" t="n">
        <v>0.0204</v>
      </c>
      <c r="W68" s="11" t="n">
        <v>0.0005999999999999999</v>
      </c>
      <c r="X68" s="11" t="n">
        <v>0.0032</v>
      </c>
      <c r="Y68" s="11" t="n">
        <v>0.0075</v>
      </c>
      <c r="Z68" s="11" t="n">
        <v>-0.0011</v>
      </c>
      <c r="AA68" s="11" t="n">
        <v>0.0037</v>
      </c>
      <c r="AB68" s="11" t="n">
        <v>0</v>
      </c>
      <c r="AC68" s="11" t="n">
        <v>0.0033</v>
      </c>
      <c r="AD68" s="11" t="n">
        <v>0.0204</v>
      </c>
    </row>
    <row r="69">
      <c r="A69" s="10" t="inlineStr">
        <is>
          <t>투자활동 현금흐름</t>
        </is>
      </c>
      <c r="D69" s="11" t="n">
        <v>-6.2139</v>
      </c>
      <c r="F69" s="11" t="n">
        <v>-6.7368</v>
      </c>
      <c r="H69" s="11" t="n">
        <v>-0.0281</v>
      </c>
      <c r="J69" s="11" t="n">
        <v>-0.972</v>
      </c>
      <c r="L69" s="11" t="n">
        <v>-0.2923</v>
      </c>
      <c r="N69" s="11" t="n">
        <v>-0.5849</v>
      </c>
      <c r="P69" s="11" t="n">
        <v>-0.4979</v>
      </c>
      <c r="R69" s="11" t="n">
        <v>-10.7591</v>
      </c>
      <c r="T69" s="11" t="n">
        <v>-0.3914</v>
      </c>
      <c r="V69" s="11" t="n">
        <v>-12.6132</v>
      </c>
      <c r="W69" s="11" t="n">
        <v>-0.2081</v>
      </c>
      <c r="X69" s="11" t="n">
        <v>-0.7762</v>
      </c>
      <c r="Y69" s="11" t="n">
        <v>-0.6485</v>
      </c>
      <c r="Z69" s="11" t="n">
        <v>-6.7368</v>
      </c>
      <c r="AA69" s="11" t="n">
        <v>-0.972</v>
      </c>
      <c r="AB69" s="11" t="n">
        <v>-0.5849</v>
      </c>
      <c r="AC69" s="11" t="n">
        <v>-10.7591</v>
      </c>
      <c r="AD69" s="11" t="n">
        <v>-12.6132</v>
      </c>
    </row>
    <row r="70">
      <c r="A70" s="10" t="inlineStr">
        <is>
          <t>장기차입</t>
        </is>
      </c>
      <c r="D70" s="11" t="n">
        <v>0</v>
      </c>
      <c r="F70" s="11" t="n">
        <v>0.5</v>
      </c>
      <c r="H70" s="11" t="n">
        <v>0</v>
      </c>
      <c r="J70" s="11" t="n">
        <v>0</v>
      </c>
      <c r="L70" s="11" t="n">
        <v>0.5</v>
      </c>
      <c r="N70" s="11" t="n">
        <v>3.5</v>
      </c>
      <c r="P70" s="11" t="n">
        <v>0</v>
      </c>
      <c r="R70" s="11" t="n">
        <v>0</v>
      </c>
      <c r="W70" s="11" t="n">
        <v>0.225</v>
      </c>
      <c r="X70" s="11" t="n">
        <v>2.1086</v>
      </c>
      <c r="Y70" s="11" t="n">
        <v>3</v>
      </c>
      <c r="Z70" s="11" t="n">
        <v>0.5</v>
      </c>
      <c r="AA70" s="11" t="n">
        <v>0</v>
      </c>
      <c r="AB70" s="11" t="n">
        <v>3.5</v>
      </c>
      <c r="AC70" s="11" t="n">
        <v>0</v>
      </c>
    </row>
    <row r="71">
      <c r="A71" s="10" t="inlineStr">
        <is>
          <t>장기차입금 상환</t>
        </is>
      </c>
      <c r="D71" s="11" t="n">
        <v>-0.5666</v>
      </c>
      <c r="F71" s="11" t="n">
        <v>-1.838</v>
      </c>
      <c r="H71" s="11" t="n">
        <v>-0.6291</v>
      </c>
      <c r="J71" s="11" t="n">
        <v>-1.2582</v>
      </c>
      <c r="L71" s="11" t="n">
        <v>-0.6294999999999999</v>
      </c>
      <c r="N71" s="11" t="n">
        <v>-1.4147</v>
      </c>
      <c r="P71" s="11" t="n">
        <v>-0.8556</v>
      </c>
      <c r="R71" s="11" t="n">
        <v>-1.6241</v>
      </c>
      <c r="T71" s="11" t="n">
        <v>-0.7458</v>
      </c>
      <c r="V71" s="11" t="n">
        <v>-1.3042</v>
      </c>
      <c r="W71" s="11" t="n">
        <v>-0.8689</v>
      </c>
      <c r="X71" s="11" t="n">
        <v>-0.8502</v>
      </c>
      <c r="Y71" s="11" t="n">
        <v>-1.3134</v>
      </c>
      <c r="Z71" s="11" t="n">
        <v>-1.838</v>
      </c>
      <c r="AA71" s="11" t="n">
        <v>-1.2582</v>
      </c>
      <c r="AB71" s="11" t="n">
        <v>-1.4147</v>
      </c>
      <c r="AC71" s="11" t="n">
        <v>-1.6241</v>
      </c>
      <c r="AD71" s="11" t="n">
        <v>-1.3042</v>
      </c>
    </row>
    <row r="72">
      <c r="A72" s="10" t="inlineStr">
        <is>
          <t>신주예약권 발행</t>
        </is>
      </c>
      <c r="D72" s="11" t="n">
        <v>0</v>
      </c>
      <c r="F72" s="11" t="n">
        <v>0</v>
      </c>
      <c r="X72" s="11" t="n">
        <v>0</v>
      </c>
      <c r="Y72" s="11" t="n">
        <v>0.0118</v>
      </c>
      <c r="Z72" s="11" t="n">
        <v>0</v>
      </c>
    </row>
    <row r="73">
      <c r="A73" s="10" t="inlineStr">
        <is>
          <t>신주예약권 행사에 따른 주식 발행</t>
        </is>
      </c>
      <c r="D73" s="11" t="n">
        <v>5.3004</v>
      </c>
      <c r="F73" s="11" t="n">
        <v>5.4554</v>
      </c>
      <c r="H73" s="11" t="n">
        <v>0.0563</v>
      </c>
      <c r="J73" s="11" t="n">
        <v>0.1284</v>
      </c>
      <c r="L73" s="11" t="n">
        <v>0.0245</v>
      </c>
      <c r="N73" s="11" t="n">
        <v>0.09279999999999999</v>
      </c>
      <c r="P73" s="11" t="n">
        <v>0.0023</v>
      </c>
      <c r="R73" s="11" t="n">
        <v>0.0456</v>
      </c>
      <c r="T73" s="11" t="n">
        <v>0.0002</v>
      </c>
      <c r="V73" s="11" t="n">
        <v>0.0046</v>
      </c>
      <c r="X73" s="11" t="n">
        <v>0</v>
      </c>
      <c r="Y73" s="11" t="n">
        <v>12.6892</v>
      </c>
      <c r="Z73" s="11" t="n">
        <v>5.4554</v>
      </c>
      <c r="AA73" s="11" t="n">
        <v>0.1284</v>
      </c>
      <c r="AB73" s="11" t="n">
        <v>0.09279999999999999</v>
      </c>
      <c r="AC73" s="11" t="n">
        <v>0.0456</v>
      </c>
      <c r="AD73" s="11" t="n">
        <v>0.0046</v>
      </c>
    </row>
    <row r="74">
      <c r="A74" s="10" t="inlineStr">
        <is>
          <t>주식 발행</t>
        </is>
      </c>
      <c r="F74" s="11" t="n">
        <v>0</v>
      </c>
      <c r="J74" s="11" t="n">
        <v>4.9188</v>
      </c>
      <c r="N74" s="11" t="n">
        <v>0</v>
      </c>
      <c r="W74" s="11" t="n">
        <v>0</v>
      </c>
      <c r="X74" s="11" t="n">
        <v>2.5478</v>
      </c>
      <c r="Y74" s="11" t="n">
        <v>0</v>
      </c>
      <c r="Z74" s="11" t="n">
        <v>0</v>
      </c>
      <c r="AA74" s="11" t="n">
        <v>4.9188</v>
      </c>
      <c r="AB74" s="11" t="n">
        <v>0</v>
      </c>
    </row>
    <row r="75">
      <c r="A75" s="10" t="inlineStr">
        <is>
          <t>상장비용 지출</t>
        </is>
      </c>
      <c r="W75" s="11" t="n">
        <v>0</v>
      </c>
      <c r="X75" s="11" t="n">
        <v>-0.0333</v>
      </c>
      <c r="Y75" s="11" t="n">
        <v>0</v>
      </c>
    </row>
    <row r="76">
      <c r="A76" s="10" t="inlineStr">
        <is>
          <t>자기주식 취득</t>
        </is>
      </c>
      <c r="H76" s="11" t="n">
        <v>0</v>
      </c>
      <c r="J76" s="11" t="n">
        <v>0</v>
      </c>
      <c r="L76" s="11" t="n">
        <v>-0.739</v>
      </c>
      <c r="N76" s="11" t="n">
        <v>-1.0091</v>
      </c>
      <c r="P76" s="11" t="n">
        <v>-1.5133</v>
      </c>
      <c r="R76" s="11" t="n">
        <v>-1.5138</v>
      </c>
      <c r="T76" s="11" t="n">
        <v>-0.0001</v>
      </c>
      <c r="V76" s="11" t="n">
        <v>-0.1825</v>
      </c>
      <c r="AA76" s="11" t="n">
        <v>0</v>
      </c>
      <c r="AB76" s="11" t="n">
        <v>-1.0091</v>
      </c>
      <c r="AC76" s="11" t="n">
        <v>-1.5138</v>
      </c>
      <c r="AD76" s="11" t="n">
        <v>-0.1825</v>
      </c>
    </row>
    <row r="77">
      <c r="A77" s="10" t="inlineStr">
        <is>
          <t>배당금 지급</t>
        </is>
      </c>
      <c r="P77" s="11" t="n">
        <v>0</v>
      </c>
      <c r="R77" s="11" t="n">
        <v>0</v>
      </c>
      <c r="T77" s="11" t="n">
        <v>-0.8169</v>
      </c>
      <c r="V77" s="11" t="n">
        <v>-0.8693</v>
      </c>
      <c r="AC77" s="11" t="n">
        <v>0</v>
      </c>
      <c r="AD77" s="11" t="n">
        <v>-0.8693</v>
      </c>
    </row>
    <row r="78">
      <c r="A78" s="10" t="inlineStr">
        <is>
          <t>비지배주주 납입</t>
        </is>
      </c>
      <c r="L78" s="11" t="n">
        <v>0</v>
      </c>
      <c r="N78" s="11" t="n">
        <v>0</v>
      </c>
      <c r="P78" s="11" t="n">
        <v>0.245</v>
      </c>
      <c r="R78" s="11" t="n">
        <v>0.245</v>
      </c>
      <c r="T78" s="11" t="n">
        <v>0</v>
      </c>
      <c r="V78" s="11" t="n">
        <v>0</v>
      </c>
      <c r="AB78" s="11" t="n">
        <v>0</v>
      </c>
      <c r="AC78" s="11" t="n">
        <v>0.245</v>
      </c>
      <c r="AD78" s="11" t="n">
        <v>0</v>
      </c>
    </row>
    <row r="79">
      <c r="A79" s="10" t="inlineStr">
        <is>
          <t>리스부채 상환</t>
        </is>
      </c>
      <c r="D79" s="11" t="n">
        <v>-0.1108</v>
      </c>
      <c r="F79" s="11" t="n">
        <v>-0.2213</v>
      </c>
      <c r="H79" s="11" t="n">
        <v>-0.0483</v>
      </c>
      <c r="J79" s="11" t="n">
        <v>-0.0499</v>
      </c>
      <c r="L79" s="11" t="n">
        <v>0</v>
      </c>
      <c r="N79" s="11" t="n">
        <v>0</v>
      </c>
      <c r="P79" s="11" t="n">
        <v>-0.0043</v>
      </c>
      <c r="R79" s="11" t="n">
        <v>-0.0109</v>
      </c>
      <c r="T79" s="11" t="n">
        <v>-0.0067</v>
      </c>
      <c r="V79" s="11" t="n">
        <v>-0.0137</v>
      </c>
      <c r="W79" s="11" t="n">
        <v>0</v>
      </c>
      <c r="X79" s="11" t="n">
        <v>-0.1787</v>
      </c>
      <c r="Y79" s="11" t="n">
        <v>-0.2059</v>
      </c>
      <c r="Z79" s="11" t="n">
        <v>-0.2213</v>
      </c>
      <c r="AA79" s="11" t="n">
        <v>-0.0499</v>
      </c>
      <c r="AB79" s="11" t="n">
        <v>0</v>
      </c>
      <c r="AC79" s="11" t="n">
        <v>-0.0109</v>
      </c>
      <c r="AD79" s="11" t="n">
        <v>-0.0137</v>
      </c>
    </row>
    <row r="80">
      <c r="A80" s="10" t="inlineStr">
        <is>
          <t>기타</t>
        </is>
      </c>
      <c r="F80" s="11" t="n">
        <v>-0.0005999999999999999</v>
      </c>
      <c r="J80" s="11" t="n">
        <v>0</v>
      </c>
      <c r="X80" s="11" t="n">
        <v>0</v>
      </c>
      <c r="Y80" s="11" t="n">
        <v>-0.0005999999999999999</v>
      </c>
      <c r="Z80" s="11" t="n">
        <v>-0.0005999999999999999</v>
      </c>
      <c r="AA80" s="11" t="n">
        <v>0</v>
      </c>
    </row>
    <row r="81">
      <c r="A81" s="10" t="inlineStr">
        <is>
          <t>연결범위 변경 없는 자회사 주식 취득</t>
        </is>
      </c>
      <c r="N81" s="11" t="n">
        <v>0</v>
      </c>
      <c r="R81" s="11" t="n">
        <v>-0.245</v>
      </c>
      <c r="V81" s="11" t="n">
        <v>0</v>
      </c>
      <c r="AB81" s="11" t="n">
        <v>0</v>
      </c>
      <c r="AC81" s="11" t="n">
        <v>-0.245</v>
      </c>
      <c r="AD81" s="11" t="n">
        <v>0</v>
      </c>
    </row>
    <row r="82">
      <c r="A82" s="10" t="inlineStr">
        <is>
          <t>재무활동 현금흐름</t>
        </is>
      </c>
      <c r="D82" s="11" t="n">
        <v>4.623</v>
      </c>
      <c r="F82" s="11" t="n">
        <v>3.8955</v>
      </c>
      <c r="H82" s="11" t="n">
        <v>-0.6212</v>
      </c>
      <c r="J82" s="11" t="n">
        <v>3.7391</v>
      </c>
      <c r="L82" s="11" t="n">
        <v>-0.8439</v>
      </c>
      <c r="N82" s="11" t="n">
        <v>1.169</v>
      </c>
      <c r="P82" s="11" t="n">
        <v>-2.1259</v>
      </c>
      <c r="R82" s="11" t="n">
        <v>-3.1033</v>
      </c>
      <c r="T82" s="11" t="n">
        <v>-1.5694</v>
      </c>
      <c r="V82" s="11" t="n">
        <v>-2.3651</v>
      </c>
      <c r="W82" s="11" t="n">
        <v>-0.6439</v>
      </c>
      <c r="X82" s="11" t="n">
        <v>3.5943</v>
      </c>
      <c r="Y82" s="11" t="n">
        <v>14.1811</v>
      </c>
      <c r="Z82" s="11" t="n">
        <v>3.8955</v>
      </c>
      <c r="AA82" s="11" t="n">
        <v>3.7391</v>
      </c>
      <c r="AB82" s="11" t="n">
        <v>1.169</v>
      </c>
      <c r="AC82" s="11" t="n">
        <v>-3.1033</v>
      </c>
      <c r="AD82" s="11" t="n">
        <v>-2.3651</v>
      </c>
    </row>
    <row r="83">
      <c r="A83" s="10" t="inlineStr">
        <is>
          <t>현금성자산 환산차이</t>
        </is>
      </c>
      <c r="D83" s="11" t="n">
        <v>-0.0022</v>
      </c>
      <c r="F83" s="11" t="n">
        <v>0.0388</v>
      </c>
      <c r="H83" s="11" t="n">
        <v>0.0366</v>
      </c>
      <c r="J83" s="11" t="n">
        <v>0.0795</v>
      </c>
      <c r="L83" s="11" t="n">
        <v>0.0015</v>
      </c>
      <c r="N83" s="11" t="n">
        <v>0.0007</v>
      </c>
      <c r="P83" s="11" t="n">
        <v>-0.0014</v>
      </c>
      <c r="R83" s="11" t="n">
        <v>-0.0016</v>
      </c>
      <c r="T83" s="11" t="n">
        <v>0.0008</v>
      </c>
      <c r="V83" s="11" t="n">
        <v>0.0012</v>
      </c>
      <c r="W83" s="11" t="n">
        <v>-0.0634</v>
      </c>
      <c r="X83" s="11" t="n">
        <v>0.033</v>
      </c>
      <c r="Y83" s="11" t="n">
        <v>0.0358</v>
      </c>
      <c r="Z83" s="11" t="n">
        <v>0.0388</v>
      </c>
      <c r="AA83" s="11" t="n">
        <v>0.0795</v>
      </c>
      <c r="AB83" s="11" t="n">
        <v>0.0007</v>
      </c>
      <c r="AC83" s="11" t="n">
        <v>-0.0016</v>
      </c>
      <c r="AD83" s="11" t="n">
        <v>0.0012</v>
      </c>
    </row>
    <row r="84">
      <c r="A84" s="10" t="inlineStr">
        <is>
          <t>현금성자산 증감</t>
        </is>
      </c>
      <c r="D84" s="11" t="n">
        <v>0.0436</v>
      </c>
      <c r="F84" s="11" t="n">
        <v>1.3039</v>
      </c>
      <c r="H84" s="11" t="n">
        <v>-2.5549</v>
      </c>
      <c r="J84" s="11" t="n">
        <v>3.6332</v>
      </c>
      <c r="L84" s="11" t="n">
        <v>-1.5329</v>
      </c>
      <c r="N84" s="11" t="n">
        <v>0.0136</v>
      </c>
      <c r="P84" s="11" t="n">
        <v>0.6671</v>
      </c>
      <c r="R84" s="11" t="n">
        <v>-5.4201</v>
      </c>
      <c r="T84" s="11" t="n">
        <v>-2.5607</v>
      </c>
      <c r="V84" s="11" t="n">
        <v>-13.1483</v>
      </c>
      <c r="W84" s="11" t="n">
        <v>0.3534</v>
      </c>
      <c r="X84" s="11" t="n">
        <v>4.31</v>
      </c>
      <c r="Y84" s="11" t="n">
        <v>18.4016</v>
      </c>
      <c r="Z84" s="11" t="n">
        <v>1.3039</v>
      </c>
      <c r="AA84" s="11" t="n">
        <v>3.6332</v>
      </c>
      <c r="AB84" s="11" t="n">
        <v>0.0136</v>
      </c>
      <c r="AC84" s="11" t="n">
        <v>-5.4201</v>
      </c>
      <c r="AD84" s="11" t="n">
        <v>-13.1483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7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굿패치 부문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DesignPartnerBusinessReportableSegmentMember · 외부 고객 매출</t>
        </is>
      </c>
      <c r="AA4" s="11" t="n">
        <v>36.0566</v>
      </c>
      <c r="AB4" s="11" t="n">
        <v>35.9557</v>
      </c>
      <c r="AC4" s="11" t="n">
        <v>46.9615</v>
      </c>
      <c r="AD4" s="11" t="n">
        <v>47.9254</v>
      </c>
      <c r="AE4" s="7" t="inlineStr">
        <is>
          <t>결산단신 XBRL(거래소 공시, TDnet·JPX 보관소). 쓴 문서: 2026-10-15, 2026-07-15, 2026-04-14, 2026-01-14 외 22건 — '출처' 시트에 전부</t>
        </is>
      </c>
    </row>
    <row r="5">
      <c r="A5" s="10" t="inlineStr">
        <is>
          <t>DesignPlatformBusinessReportableSegmentMember · 외부 고객 매출</t>
        </is>
      </c>
      <c r="AA5" s="11" t="n">
        <v>3.2286</v>
      </c>
      <c r="AB5" s="11" t="n">
        <v>3.474</v>
      </c>
      <c r="AC5" s="11" t="n">
        <v>3.8941</v>
      </c>
      <c r="AD5" s="11" t="n">
        <v>4.0472</v>
      </c>
    </row>
    <row r="6">
      <c r="A6" s="10" t="inlineStr">
        <is>
          <t>ReportableSegmentsMember · 외부 고객 매출</t>
        </is>
      </c>
      <c r="K6" s="11" t="n">
        <v>10.2444</v>
      </c>
      <c r="L6" s="11" t="n">
        <v>10.4064</v>
      </c>
      <c r="M6" s="11" t="n">
        <v>9.351100000000001</v>
      </c>
      <c r="N6" s="11" t="n">
        <v>9.4277</v>
      </c>
      <c r="O6" s="11" t="n">
        <v>12.1419</v>
      </c>
      <c r="P6" s="11" t="n">
        <v>12.5477</v>
      </c>
      <c r="Q6" s="11" t="n">
        <v>13.661</v>
      </c>
      <c r="R6" s="11" t="n">
        <v>12.505</v>
      </c>
      <c r="S6" s="11" t="n">
        <v>12.0636</v>
      </c>
      <c r="T6" s="11" t="n">
        <v>13.7224</v>
      </c>
      <c r="U6" s="11" t="n">
        <v>12.6918</v>
      </c>
      <c r="V6" s="11" t="n">
        <v>13.4948</v>
      </c>
      <c r="AA6" s="11" t="n">
        <v>39.2852</v>
      </c>
      <c r="AB6" s="11" t="n">
        <v>39.4297</v>
      </c>
      <c r="AC6" s="11" t="n">
        <v>50.8555</v>
      </c>
      <c r="AD6" s="11" t="n">
        <v>51.9726</v>
      </c>
    </row>
    <row r="7">
      <c r="A7" s="10" t="inlineStr">
        <is>
          <t>ReconcilingItemsMember · 외부 고객 매출</t>
        </is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  <c r="V7" s="11" t="n">
        <v>0</v>
      </c>
      <c r="AA7" s="11" t="n">
        <v>0</v>
      </c>
      <c r="AB7" s="11" t="n">
        <v>0</v>
      </c>
      <c r="AC7" s="11" t="n">
        <v>0</v>
      </c>
      <c r="AD7" s="11" t="n">
        <v>0</v>
      </c>
    </row>
    <row r="8">
      <c r="A8" s="10" t="inlineStr">
        <is>
          <t>EntityTotalMember · 외부 고객 매출</t>
        </is>
      </c>
      <c r="O8" s="11" t="n">
        <v>12.1419</v>
      </c>
      <c r="S8" s="11" t="n">
        <v>12.0636</v>
      </c>
    </row>
    <row r="9">
      <c r="A9" s="10" t="inlineStr">
        <is>
          <t>DesignPartnerBusinessReportableSegmentMember · 부문 간 내부매출·대체</t>
        </is>
      </c>
      <c r="K9" s="11" t="n">
        <v>0</v>
      </c>
      <c r="O9" s="11" t="n">
        <v>0</v>
      </c>
      <c r="S9" s="11" t="n">
        <v>0</v>
      </c>
    </row>
    <row r="10">
      <c r="A10" s="10" t="inlineStr">
        <is>
          <t>DesignPlatformBusinessReportableSegmentMember · 부문 간 내부매출·대체</t>
        </is>
      </c>
      <c r="K10" s="11" t="n">
        <v>0</v>
      </c>
      <c r="O10" s="11" t="n">
        <v>0</v>
      </c>
      <c r="S10" s="11" t="n">
        <v>0</v>
      </c>
    </row>
    <row r="11">
      <c r="A11" s="5" t="inlineStr">
        <is>
          <t>외부 고객 매출</t>
        </is>
      </c>
      <c r="K11" s="6" t="n">
        <v>10.2444</v>
      </c>
      <c r="L11" s="6" t="n">
        <v>10.4064</v>
      </c>
      <c r="M11" s="6" t="n">
        <v>9.351100000000001</v>
      </c>
      <c r="N11" s="6" t="n">
        <v>9.4277</v>
      </c>
      <c r="O11" s="6" t="n">
        <v>12.1419</v>
      </c>
      <c r="P11" s="6" t="n">
        <v>12.5477</v>
      </c>
      <c r="Q11" s="6" t="n">
        <v>13.661</v>
      </c>
      <c r="R11" s="6" t="n">
        <v>12.505</v>
      </c>
      <c r="AA11" s="6" t="n">
        <v>39.2852</v>
      </c>
      <c r="AB11" s="6" t="n">
        <v>39.4297</v>
      </c>
      <c r="AC11" s="6" t="n">
        <v>50.8555</v>
      </c>
      <c r="AD11" s="6" t="n">
        <v>51.9726</v>
      </c>
    </row>
    <row r="12">
      <c r="A12" s="10" t="inlineStr">
        <is>
          <t>DesignPartnerBusinessReportableSegmentMember · 부문 간 내부매출·대체</t>
        </is>
      </c>
      <c r="AA12" s="11" t="n">
        <v>0</v>
      </c>
      <c r="AB12" s="11" t="n">
        <v>0</v>
      </c>
      <c r="AC12" s="11" t="n">
        <v>0</v>
      </c>
      <c r="AD12" s="11" t="n">
        <v>0.0291</v>
      </c>
    </row>
    <row r="13">
      <c r="A13" s="10" t="inlineStr">
        <is>
          <t>DesignPlatformBusinessReportableSegmentMember · 부문 간 내부매출·대체</t>
        </is>
      </c>
      <c r="AA13" s="11" t="n">
        <v>0.0037</v>
      </c>
      <c r="AB13" s="11" t="n">
        <v>0</v>
      </c>
      <c r="AC13" s="11" t="n">
        <v>0</v>
      </c>
      <c r="AD13" s="11" t="n">
        <v>0.0368</v>
      </c>
    </row>
    <row r="14">
      <c r="A14" s="10" t="inlineStr">
        <is>
          <t>ReportableSegmentsMember · 부문 간 내부매출·대체</t>
        </is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0.0015</v>
      </c>
      <c r="U14" s="11" t="n">
        <v>0</v>
      </c>
      <c r="V14" s="11" t="n">
        <v>0.0644</v>
      </c>
      <c r="AA14" s="11" t="n">
        <v>0.0037</v>
      </c>
      <c r="AB14" s="11" t="n">
        <v>0</v>
      </c>
      <c r="AC14" s="11" t="n">
        <v>0</v>
      </c>
      <c r="AD14" s="11" t="n">
        <v>0.0659</v>
      </c>
    </row>
    <row r="15">
      <c r="A15" s="10" t="inlineStr">
        <is>
          <t>ReconcilingItemsMember · 부문 간 내부매출·대체</t>
        </is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-0.0015</v>
      </c>
      <c r="U15" s="11" t="n">
        <v>0</v>
      </c>
      <c r="V15" s="11" t="n">
        <v>-0.0644</v>
      </c>
      <c r="AA15" s="11" t="n">
        <v>-0.0037</v>
      </c>
      <c r="AB15" s="11" t="n">
        <v>0</v>
      </c>
      <c r="AC15" s="11" t="n">
        <v>0</v>
      </c>
      <c r="AD15" s="11" t="n">
        <v>-0.0659</v>
      </c>
    </row>
    <row r="16">
      <c r="A16" s="10" t="inlineStr">
        <is>
          <t>EntityTotalMember · 부문 간 내부매출·대체</t>
        </is>
      </c>
      <c r="O16" s="11" t="n">
        <v>0</v>
      </c>
      <c r="S16" s="11" t="n">
        <v>0</v>
      </c>
    </row>
    <row r="17">
      <c r="A17" s="10" t="inlineStr">
        <is>
          <t>DesignPartnerBusinessReportableSegmentMember · 계</t>
        </is>
      </c>
      <c r="K17" s="11" t="n">
        <v>9.508699999999999</v>
      </c>
      <c r="O17" s="11" t="n">
        <v>11.1473</v>
      </c>
      <c r="S17" s="11" t="n">
        <v>11.2927</v>
      </c>
    </row>
    <row r="18">
      <c r="A18" s="10" t="inlineStr">
        <is>
          <t>DesignPlatformBusinessReportableSegmentMember · 계</t>
        </is>
      </c>
      <c r="K18" s="11" t="n">
        <v>0.7358</v>
      </c>
      <c r="O18" s="11" t="n">
        <v>0.9946</v>
      </c>
      <c r="S18" s="11" t="n">
        <v>0.7709</v>
      </c>
    </row>
    <row r="19">
      <c r="A19" s="10" t="inlineStr">
        <is>
          <t>부문 간 내부매출·대체</t>
        </is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AA19" s="11" t="n">
        <v>0</v>
      </c>
      <c r="AB19" s="11" t="n">
        <v>0</v>
      </c>
      <c r="AC19" s="11" t="n">
        <v>0</v>
      </c>
      <c r="AD19" s="11" t="n">
        <v>0</v>
      </c>
    </row>
    <row r="20">
      <c r="A20" s="10" t="inlineStr">
        <is>
          <t>DesignPartnerBusinessReportableSegmentMember · 계</t>
        </is>
      </c>
      <c r="AA20" s="11" t="n">
        <v>36.0566</v>
      </c>
      <c r="AB20" s="11" t="n">
        <v>35.9557</v>
      </c>
      <c r="AC20" s="11" t="n">
        <v>46.9615</v>
      </c>
      <c r="AD20" s="11" t="n">
        <v>47.9545</v>
      </c>
    </row>
    <row r="21">
      <c r="A21" s="10" t="inlineStr">
        <is>
          <t>DesignPlatformBusinessReportableSegmentMember · 계</t>
        </is>
      </c>
      <c r="AA21" s="11" t="n">
        <v>3.2323</v>
      </c>
      <c r="AB21" s="11" t="n">
        <v>3.474</v>
      </c>
      <c r="AC21" s="11" t="n">
        <v>3.8941</v>
      </c>
      <c r="AD21" s="11" t="n">
        <v>4.084</v>
      </c>
    </row>
    <row r="22">
      <c r="A22" s="10" t="inlineStr">
        <is>
          <t>ReportableSegmentsMember · 계</t>
        </is>
      </c>
      <c r="K22" s="11" t="n">
        <v>10.2444</v>
      </c>
      <c r="L22" s="11" t="n">
        <v>10.4064</v>
      </c>
      <c r="M22" s="11" t="n">
        <v>9.351100000000001</v>
      </c>
      <c r="N22" s="11" t="n">
        <v>9.4277</v>
      </c>
      <c r="O22" s="11" t="n">
        <v>12.1419</v>
      </c>
      <c r="P22" s="11" t="n">
        <v>12.5477</v>
      </c>
      <c r="Q22" s="11" t="n">
        <v>13.661</v>
      </c>
      <c r="R22" s="11" t="n">
        <v>12.505</v>
      </c>
      <c r="S22" s="11" t="n">
        <v>12.0636</v>
      </c>
      <c r="T22" s="11" t="n">
        <v>13.7239</v>
      </c>
      <c r="U22" s="11" t="n">
        <v>12.6918</v>
      </c>
      <c r="V22" s="11" t="n">
        <v>13.5593</v>
      </c>
      <c r="AA22" s="11" t="n">
        <v>39.2889</v>
      </c>
      <c r="AB22" s="11" t="n">
        <v>39.4297</v>
      </c>
      <c r="AC22" s="11" t="n">
        <v>50.8555</v>
      </c>
      <c r="AD22" s="11" t="n">
        <v>52.0385</v>
      </c>
    </row>
    <row r="23">
      <c r="A23" s="10" t="inlineStr">
        <is>
          <t>ReconcilingItemsMember · 계</t>
        </is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-0.0015</v>
      </c>
      <c r="U23" s="11" t="n">
        <v>0</v>
      </c>
      <c r="V23" s="11" t="n">
        <v>-0.0644</v>
      </c>
      <c r="AA23" s="11" t="n">
        <v>-0.0037</v>
      </c>
      <c r="AB23" s="11" t="n">
        <v>0</v>
      </c>
      <c r="AC23" s="11" t="n">
        <v>0</v>
      </c>
      <c r="AD23" s="11" t="n">
        <v>-0.0659</v>
      </c>
    </row>
    <row r="24">
      <c r="A24" s="10" t="inlineStr">
        <is>
          <t>EntityTotalMember · 계</t>
        </is>
      </c>
      <c r="O24" s="11" t="n">
        <v>12.1419</v>
      </c>
      <c r="S24" s="11" t="n">
        <v>12.0636</v>
      </c>
    </row>
    <row r="25">
      <c r="A25" s="10" t="inlineStr">
        <is>
          <t>DesignPartnerBusinessReportableSegmentMember · 부문 이익(손실)</t>
        </is>
      </c>
      <c r="K25" s="11" t="n">
        <v>0.0583</v>
      </c>
      <c r="O25" s="11" t="n">
        <v>1.3217</v>
      </c>
      <c r="S25" s="11" t="n">
        <v>1.0558</v>
      </c>
    </row>
    <row r="26">
      <c r="A26" s="10" t="inlineStr">
        <is>
          <t>DesignPlatformBusinessReportableSegmentMember · 부문 이익(손실)</t>
        </is>
      </c>
      <c r="K26" s="11" t="n">
        <v>-0.3414</v>
      </c>
      <c r="O26" s="11" t="n">
        <v>-0.0351</v>
      </c>
      <c r="S26" s="11" t="n">
        <v>-0.283</v>
      </c>
    </row>
    <row r="27">
      <c r="A27" s="5" t="inlineStr">
        <is>
          <t>계</t>
        </is>
      </c>
      <c r="K27" s="6" t="n">
        <v>10.2444</v>
      </c>
      <c r="L27" s="6" t="n">
        <v>10.4064</v>
      </c>
      <c r="M27" s="6" t="n">
        <v>9.351100000000001</v>
      </c>
      <c r="N27" s="6" t="n">
        <v>9.4277</v>
      </c>
      <c r="O27" s="6" t="n">
        <v>12.1419</v>
      </c>
      <c r="P27" s="6" t="n">
        <v>12.5477</v>
      </c>
      <c r="Q27" s="6" t="n">
        <v>13.661</v>
      </c>
      <c r="R27" s="6" t="n">
        <v>12.505</v>
      </c>
      <c r="AA27" s="6" t="n">
        <v>39.2852</v>
      </c>
      <c r="AB27" s="6" t="n">
        <v>39.4297</v>
      </c>
      <c r="AC27" s="6" t="n">
        <v>50.8555</v>
      </c>
      <c r="AD27" s="6" t="n">
        <v>51.9726</v>
      </c>
    </row>
    <row r="28">
      <c r="A28" s="10" t="inlineStr">
        <is>
          <t>DesignPartnerBusinessReportableSegmentMember · 부문 이익(손실)</t>
        </is>
      </c>
      <c r="AA28" s="11" t="n">
        <v>3.9528</v>
      </c>
      <c r="AB28" s="11" t="n">
        <v>1.2837</v>
      </c>
      <c r="AC28" s="11" t="n">
        <v>6.1155</v>
      </c>
      <c r="AD28" s="11" t="n">
        <v>5.1272</v>
      </c>
    </row>
    <row r="29">
      <c r="A29" s="10" t="inlineStr">
        <is>
          <t>DesignPlatformBusinessReportableSegmentMember · 부문 이익(손실)</t>
        </is>
      </c>
      <c r="AA29" s="11" t="n">
        <v>-0.9628</v>
      </c>
      <c r="AB29" s="11" t="n">
        <v>-0.9385</v>
      </c>
      <c r="AC29" s="11" t="n">
        <v>-0.5407</v>
      </c>
      <c r="AD29" s="11" t="n">
        <v>-0.5911</v>
      </c>
    </row>
    <row r="30">
      <c r="A30" s="10" t="inlineStr">
        <is>
          <t>ReportableSegmentsMember · 부문 이익(손실)</t>
        </is>
      </c>
      <c r="K30" s="11" t="n">
        <v>-0.2831</v>
      </c>
      <c r="L30" s="11" t="n">
        <v>1.0418</v>
      </c>
      <c r="M30" s="11" t="n">
        <v>-0.4049</v>
      </c>
      <c r="N30" s="11" t="n">
        <v>-0.0086</v>
      </c>
      <c r="O30" s="11" t="n">
        <v>1.2866</v>
      </c>
      <c r="P30" s="11" t="n">
        <v>2.0125</v>
      </c>
      <c r="Q30" s="11" t="n">
        <v>1.7954</v>
      </c>
      <c r="R30" s="11" t="n">
        <v>0.4804</v>
      </c>
      <c r="S30" s="11" t="n">
        <v>0.7728</v>
      </c>
      <c r="T30" s="11" t="n">
        <v>1.8552</v>
      </c>
      <c r="U30" s="11" t="n">
        <v>0.6723</v>
      </c>
      <c r="V30" s="11" t="n">
        <v>1.2358</v>
      </c>
      <c r="AA30" s="11" t="n">
        <v>2.99</v>
      </c>
      <c r="AB30" s="11" t="n">
        <v>0.3453</v>
      </c>
      <c r="AC30" s="11" t="n">
        <v>5.5748</v>
      </c>
      <c r="AD30" s="11" t="n">
        <v>4.5361</v>
      </c>
    </row>
    <row r="31">
      <c r="A31" s="10" t="inlineStr">
        <is>
          <t>ReconcilingItemsMember · 부문 이익(손실)</t>
        </is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0</v>
      </c>
      <c r="Q31" s="11" t="n">
        <v>0</v>
      </c>
      <c r="R31" s="11" t="n">
        <v>0</v>
      </c>
      <c r="S31" s="11" t="n">
        <v>0</v>
      </c>
      <c r="T31" s="11" t="n">
        <v>-0.0015</v>
      </c>
      <c r="U31" s="11" t="n">
        <v>0</v>
      </c>
      <c r="V31" s="11" t="n">
        <v>-0.0644</v>
      </c>
      <c r="AA31" s="11" t="n">
        <v>-0.0037</v>
      </c>
      <c r="AB31" s="11" t="n">
        <v>0</v>
      </c>
      <c r="AC31" s="11" t="n">
        <v>0</v>
      </c>
      <c r="AD31" s="11" t="n">
        <v>-0.0659</v>
      </c>
    </row>
    <row r="32">
      <c r="A32" s="10" t="inlineStr">
        <is>
          <t>EntityTotalMember · 부문 이익(손실)</t>
        </is>
      </c>
      <c r="O32" s="11" t="n">
        <v>1.2866</v>
      </c>
      <c r="S32" s="11" t="n">
        <v>0.7728</v>
      </c>
    </row>
    <row r="33">
      <c r="A33" s="5" t="inlineStr">
        <is>
          <t>부문 이익(손실)</t>
        </is>
      </c>
      <c r="K33" s="6" t="n">
        <v>-0.2831</v>
      </c>
      <c r="L33" s="6" t="n">
        <v>1.0418</v>
      </c>
      <c r="M33" s="6" t="n">
        <v>-0.4049</v>
      </c>
      <c r="N33" s="6" t="n">
        <v>-0.0086</v>
      </c>
      <c r="O33" s="6" t="n">
        <v>1.2866</v>
      </c>
      <c r="P33" s="6" t="n">
        <v>2.0125</v>
      </c>
      <c r="Q33" s="6" t="n">
        <v>1.7954</v>
      </c>
      <c r="R33" s="6" t="n">
        <v>0.4804</v>
      </c>
      <c r="AA33" s="6" t="n">
        <v>2.9863</v>
      </c>
      <c r="AB33" s="6" t="n">
        <v>0.3453</v>
      </c>
      <c r="AC33" s="6" t="n">
        <v>5.5748</v>
      </c>
      <c r="AD33" s="6" t="n">
        <v>4.4702</v>
      </c>
    </row>
    <row r="34">
      <c r="A34" s="10" t="inlineStr">
        <is>
          <t>DesignPartnerBusinessReportableSegmentMember · 감가상각비</t>
        </is>
      </c>
      <c r="AA34" s="11" t="n">
        <v>0.2106</v>
      </c>
      <c r="AB34" s="11" t="n">
        <v>0.1887</v>
      </c>
      <c r="AC34" s="11" t="n">
        <v>0.1807</v>
      </c>
      <c r="AD34" s="11" t="n">
        <v>0.2425</v>
      </c>
    </row>
    <row r="35">
      <c r="A35" s="10" t="inlineStr">
        <is>
          <t>DesignPlatformBusinessReportableSegmentMember · 감가상각비</t>
        </is>
      </c>
      <c r="AA35" s="11" t="n">
        <v>0.0185</v>
      </c>
      <c r="AB35" s="11" t="n">
        <v>0.0149</v>
      </c>
      <c r="AC35" s="11" t="n">
        <v>0.0132</v>
      </c>
      <c r="AD35" s="11" t="n">
        <v>0.0121</v>
      </c>
    </row>
    <row r="36">
      <c r="A36" s="10" t="inlineStr">
        <is>
          <t>ReportableSegmentsMember · 감가상각비</t>
        </is>
      </c>
      <c r="AA36" s="11" t="n">
        <v>0.2291</v>
      </c>
      <c r="AB36" s="11" t="n">
        <v>0.2036</v>
      </c>
      <c r="AC36" s="11" t="n">
        <v>0.1939</v>
      </c>
      <c r="AD36" s="11" t="n">
        <v>0.2545</v>
      </c>
    </row>
    <row r="37">
      <c r="A37" s="10" t="inlineStr">
        <is>
          <t>ReconcilingItemsMember · 감가상각비</t>
        </is>
      </c>
      <c r="AA37" s="11" t="n">
        <v>0</v>
      </c>
      <c r="AB37" s="11" t="n">
        <v>0</v>
      </c>
      <c r="AC37" s="11" t="n">
        <v>0</v>
      </c>
      <c r="AD37" s="11" t="n">
        <v>0</v>
      </c>
    </row>
    <row r="38">
      <c r="A38" s="10" t="inlineStr">
        <is>
          <t>감가상각비</t>
        </is>
      </c>
      <c r="AA38" s="11" t="n">
        <v>0.2291</v>
      </c>
      <c r="AB38" s="11" t="n">
        <v>0.2036</v>
      </c>
      <c r="AC38" s="11" t="n">
        <v>0.1939</v>
      </c>
      <c r="AD38" s="11" t="n">
        <v>0.2545</v>
      </c>
    </row>
    <row r="39">
      <c r="A39" s="10" t="inlineStr">
        <is>
          <t>DesignPartnerBusinessReportableSegmentMember · 영업권 상각</t>
        </is>
      </c>
      <c r="AA39" s="11" t="n">
        <v>0.6347</v>
      </c>
      <c r="AB39" s="11" t="n">
        <v>0.6347</v>
      </c>
      <c r="AC39" s="11" t="n">
        <v>0.6347</v>
      </c>
      <c r="AD39" s="11" t="n">
        <v>0.6347</v>
      </c>
    </row>
    <row r="40">
      <c r="A40" s="10" t="inlineStr">
        <is>
          <t>DesignPlatformBusinessReportableSegmentMember · 영업권 상각</t>
        </is>
      </c>
      <c r="AA40" s="11" t="n">
        <v>0</v>
      </c>
      <c r="AB40" s="11" t="n">
        <v>0</v>
      </c>
      <c r="AC40" s="11" t="n">
        <v>0.0192</v>
      </c>
      <c r="AD40" s="11" t="n">
        <v>0.0825</v>
      </c>
    </row>
    <row r="41">
      <c r="A41" s="10" t="inlineStr">
        <is>
          <t>ReportableSegmentsMember · 영업권 상각</t>
        </is>
      </c>
      <c r="AA41" s="11" t="n">
        <v>0.6347</v>
      </c>
      <c r="AB41" s="11" t="n">
        <v>0.6347</v>
      </c>
      <c r="AC41" s="11" t="n">
        <v>0.6539</v>
      </c>
      <c r="AD41" s="11" t="n">
        <v>0.7171999999999999</v>
      </c>
    </row>
    <row r="42">
      <c r="A42" s="10" t="inlineStr">
        <is>
          <t>ReconcilingItemsMember · 영업권 상각</t>
        </is>
      </c>
      <c r="AA42" s="11" t="n">
        <v>0</v>
      </c>
      <c r="AB42" s="11" t="n">
        <v>0</v>
      </c>
      <c r="AC42" s="11" t="n">
        <v>0</v>
      </c>
      <c r="AD42" s="11" t="n">
        <v>0</v>
      </c>
    </row>
    <row r="43">
      <c r="A43" s="10" t="inlineStr">
        <is>
          <t>영업권 상각</t>
        </is>
      </c>
      <c r="AA43" s="11" t="n">
        <v>0.6347</v>
      </c>
      <c r="AB43" s="11" t="n">
        <v>0.6347</v>
      </c>
      <c r="AC43" s="11" t="n">
        <v>0.6539</v>
      </c>
      <c r="AD43" s="11" t="n">
        <v>0.7171999999999999</v>
      </c>
    </row>
    <row r="44">
      <c r="A44" s="10" t="inlineStr">
        <is>
          <t>DesignPartnerBusinessReportableSegmentMember · 지분법이익</t>
        </is>
      </c>
      <c r="AA44" s="11" t="n">
        <v>0.07770000000000001</v>
      </c>
      <c r="AB44" s="11" t="n">
        <v>0.1516</v>
      </c>
      <c r="AC44" s="11" t="n">
        <v>0.2174</v>
      </c>
      <c r="AD44" s="11" t="n">
        <v>0.2313</v>
      </c>
    </row>
    <row r="45">
      <c r="A45" s="10" t="inlineStr">
        <is>
          <t>DesignPlatformBusinessReportableSegmentMember · 지분법이익</t>
        </is>
      </c>
      <c r="AA45" s="11" t="n">
        <v>0</v>
      </c>
      <c r="AB45" s="11" t="n">
        <v>0</v>
      </c>
      <c r="AC45" s="11" t="n">
        <v>0</v>
      </c>
      <c r="AD45" s="11" t="n">
        <v>0</v>
      </c>
    </row>
    <row r="46">
      <c r="A46" s="10" t="inlineStr">
        <is>
          <t>ReportableSegmentsMember · 지분법이익</t>
        </is>
      </c>
      <c r="AA46" s="11" t="n">
        <v>0.07770000000000001</v>
      </c>
      <c r="AB46" s="11" t="n">
        <v>0.1516</v>
      </c>
      <c r="AC46" s="11" t="n">
        <v>0.2174</v>
      </c>
      <c r="AD46" s="11" t="n">
        <v>0.2313</v>
      </c>
    </row>
    <row r="47">
      <c r="A47" s="10" t="inlineStr">
        <is>
          <t>ReconcilingItemsMember · 지분법이익</t>
        </is>
      </c>
      <c r="AA47" s="11" t="n">
        <v>0</v>
      </c>
      <c r="AB47" s="11" t="n">
        <v>0</v>
      </c>
      <c r="AC47" s="11" t="n">
        <v>0</v>
      </c>
      <c r="AD47" s="11" t="n">
        <v>0</v>
      </c>
    </row>
    <row r="48">
      <c r="A48" s="10" t="inlineStr">
        <is>
          <t>지분법이익</t>
        </is>
      </c>
      <c r="AA48" s="11" t="n">
        <v>0.07770000000000001</v>
      </c>
      <c r="AB48" s="11" t="n">
        <v>0.1516</v>
      </c>
      <c r="AC48" s="11" t="n">
        <v>0.2174</v>
      </c>
      <c r="AD48" s="11" t="n">
        <v>0.2313</v>
      </c>
    </row>
    <row r="49">
      <c r="A49" s="10" t="inlineStr">
        <is>
          <t>DesignPartnerBusinessReportableSegmentMember · 사업정리 이익</t>
        </is>
      </c>
      <c r="AA49" s="11" t="n">
        <v>0.4648</v>
      </c>
    </row>
    <row r="50">
      <c r="A50" s="10" t="inlineStr">
        <is>
          <t>DesignPlatformBusinessReportableSegmentMember · 사업정리 이익</t>
        </is>
      </c>
      <c r="AA50" s="11" t="n">
        <v>0</v>
      </c>
    </row>
    <row r="51">
      <c r="A51" s="10" t="inlineStr">
        <is>
          <t>ReportableSegmentsMember · 사업정리 이익</t>
        </is>
      </c>
      <c r="AA51" s="11" t="n">
        <v>0.4648</v>
      </c>
    </row>
    <row r="52">
      <c r="A52" s="10" t="inlineStr">
        <is>
          <t>ReconcilingItemsMember · 사업정리 이익</t>
        </is>
      </c>
      <c r="AA52" s="11" t="n">
        <v>0</v>
      </c>
    </row>
    <row r="53">
      <c r="A53" s="10" t="inlineStr">
        <is>
          <t>사업정리 이익</t>
        </is>
      </c>
      <c r="AA53" s="11" t="n">
        <v>0.4648</v>
      </c>
    </row>
    <row r="54">
      <c r="A54" s="10" t="inlineStr">
        <is>
          <t>DesignPartnerBusinessReportableSegmentMember · 특별이익</t>
        </is>
      </c>
      <c r="AD54" s="11" t="n">
        <v>0.1632</v>
      </c>
    </row>
    <row r="55">
      <c r="A55" s="10" t="inlineStr">
        <is>
          <t>DesignPlatformBusinessReportableSegmentMember · 특별이익</t>
        </is>
      </c>
      <c r="AD55" s="11" t="n">
        <v>0</v>
      </c>
    </row>
    <row r="56">
      <c r="A56" s="10" t="inlineStr">
        <is>
          <t>ReportableSegmentsMember · 특별이익</t>
        </is>
      </c>
      <c r="AD56" s="11" t="n">
        <v>0.1632</v>
      </c>
    </row>
    <row r="57">
      <c r="A57" s="10" t="inlineStr">
        <is>
          <t>ReconcilingItemsMember · 특별이익</t>
        </is>
      </c>
      <c r="AD57" s="11" t="n">
        <v>0</v>
      </c>
    </row>
    <row r="58">
      <c r="A58" s="10" t="inlineStr">
        <is>
          <t>특별이익</t>
        </is>
      </c>
      <c r="AD58" s="11" t="n">
        <v>0.1632</v>
      </c>
    </row>
    <row r="59">
      <c r="A59" s="10" t="inlineStr">
        <is>
          <t>DesignPartnerBusinessReportableSegmentMember · 특별손실</t>
        </is>
      </c>
      <c r="AD59" s="11" t="n">
        <v>0.48</v>
      </c>
    </row>
    <row r="60">
      <c r="A60" s="10" t="inlineStr">
        <is>
          <t>DesignPlatformBusinessReportableSegmentMember · 특별손실</t>
        </is>
      </c>
      <c r="AD60" s="11" t="n">
        <v>0.0975</v>
      </c>
    </row>
    <row r="61">
      <c r="A61" s="10" t="inlineStr">
        <is>
          <t>ReportableSegmentsMember · 특별손실</t>
        </is>
      </c>
      <c r="AD61" s="11" t="n">
        <v>0.5775</v>
      </c>
    </row>
    <row r="62">
      <c r="A62" s="10" t="inlineStr">
        <is>
          <t>ReconcilingItemsMember · 특별손실</t>
        </is>
      </c>
      <c r="AD62" s="11" t="n">
        <v>0</v>
      </c>
    </row>
    <row r="63">
      <c r="A63" s="10" t="inlineStr">
        <is>
          <t>특별손실</t>
        </is>
      </c>
      <c r="AD63" s="11" t="n">
        <v>0.5775</v>
      </c>
    </row>
    <row r="64">
      <c r="A64" s="10" t="inlineStr">
        <is>
          <t>DesignPartnerBusinessReportableSegmentMember · (손상차손)</t>
        </is>
      </c>
      <c r="AD64" s="11" t="n">
        <v>0</v>
      </c>
    </row>
    <row r="65">
      <c r="A65" s="10" t="inlineStr">
        <is>
          <t>DesignPlatformBusinessReportableSegmentMember · (손상차손)</t>
        </is>
      </c>
      <c r="AD65" s="11" t="n">
        <v>0.0975</v>
      </c>
    </row>
    <row r="66">
      <c r="A66" s="10" t="inlineStr">
        <is>
          <t>ReportableSegmentsMember · (손상차손)</t>
        </is>
      </c>
      <c r="AD66" s="11" t="n">
        <v>0.0975</v>
      </c>
    </row>
    <row r="67">
      <c r="A67" s="10" t="inlineStr">
        <is>
          <t>ReconcilingItemsMember · (손상차손)</t>
        </is>
      </c>
      <c r="AD67" s="11" t="n">
        <v>0</v>
      </c>
    </row>
    <row r="68">
      <c r="A68" s="10" t="inlineStr">
        <is>
          <t>(손상차손)</t>
        </is>
      </c>
      <c r="AD68" s="11" t="n">
        <v>0.0975</v>
      </c>
    </row>
    <row r="69">
      <c r="A69" s="10" t="inlineStr">
        <is>
          <t>DesignPartnerBusinessReportableSegmentMember · 유형·무형자산 증가액</t>
        </is>
      </c>
      <c r="AA69" s="11" t="n">
        <v>0.0011</v>
      </c>
      <c r="AB69" s="11" t="n">
        <v>0.06660000000000001</v>
      </c>
      <c r="AD69" s="11" t="n">
        <v>0.4201</v>
      </c>
    </row>
    <row r="70">
      <c r="A70" s="10" t="inlineStr">
        <is>
          <t>DesignPlatformBusinessReportableSegmentMember · 유형·무형자산 증가액</t>
        </is>
      </c>
      <c r="AA70" s="11" t="n">
        <v>0</v>
      </c>
      <c r="AB70" s="11" t="n">
        <v>0</v>
      </c>
      <c r="AD70" s="11" t="n">
        <v>0</v>
      </c>
    </row>
    <row r="71">
      <c r="A71" s="10" t="inlineStr">
        <is>
          <t>ReportableSegmentsMember · 유형·무형자산 증가액</t>
        </is>
      </c>
      <c r="AA71" s="11" t="n">
        <v>0.0011</v>
      </c>
      <c r="AB71" s="11" t="n">
        <v>0.06660000000000001</v>
      </c>
      <c r="AD71" s="11" t="n">
        <v>0.4201</v>
      </c>
    </row>
    <row r="72">
      <c r="A72" s="10" t="inlineStr">
        <is>
          <t>ReconcilingItemsMember · 유형·무형자산 증가액</t>
        </is>
      </c>
      <c r="AA72" s="11" t="n">
        <v>0</v>
      </c>
      <c r="AB72" s="11" t="n">
        <v>0</v>
      </c>
      <c r="AD72" s="11" t="n">
        <v>0</v>
      </c>
    </row>
    <row r="73">
      <c r="A73" s="10" t="inlineStr">
        <is>
          <t>유형·무형자산 증가액</t>
        </is>
      </c>
      <c r="AA73" s="11" t="n">
        <v>0.0011</v>
      </c>
      <c r="AB73" s="11" t="n">
        <v>0.06660000000000001</v>
      </c>
      <c r="AD73" s="11" t="n">
        <v>0.4201</v>
      </c>
    </row>
    <row r="74">
      <c r="A74" s="10" t="inlineStr">
        <is>
          <t>DesignPartnerBusinessReportableSegmentMember · 외부 고객 매출</t>
        </is>
      </c>
      <c r="K74" s="11" t="n">
        <v>9.508699999999999</v>
      </c>
      <c r="O74" s="11" t="n">
        <v>11.1473</v>
      </c>
      <c r="S74" s="11" t="n">
        <v>11.2927</v>
      </c>
    </row>
    <row r="75">
      <c r="A75" s="10" t="inlineStr">
        <is>
          <t>DesignPlatformBusinessReportableSegmentMember · 외부 고객 매출</t>
        </is>
      </c>
      <c r="K75" s="11" t="n">
        <v>0.7358</v>
      </c>
      <c r="O75" s="11" t="n">
        <v>0.9946</v>
      </c>
      <c r="S75" s="11" t="n">
        <v>0.7709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2" t="inlineStr">
        <is>
          <t>공시일</t>
        </is>
      </c>
      <c r="B3" s="12" t="inlineStr">
        <is>
          <t>문서</t>
        </is>
      </c>
      <c r="C3" s="12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https://www2.jpx.co.jp/disc/73510/140120261015551193.pdf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https://www2.jpx.co.jp/disc/73510/140120260715594111.pdf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https://www2.jpx.co.jp/disc/73510/140120260414503873.pdf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https://www2.jpx.co.jp/disc/73510/140120260114533673.pdf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https://www2.jpx.co.jp/disc/73510/140120251015573463.pdf</t>
        </is>
      </c>
    </row>
    <row r="9">
      <c r="A9" t="inlineStr">
        <is>
          <t>2025-07-15</t>
        </is>
      </c>
      <c r="B9" t="inlineStr">
        <is>
          <t>2025년 8월 결산기 ３분기 결산단신</t>
        </is>
      </c>
      <c r="C9" t="inlineStr">
        <is>
          <t>https://www2.jpx.co.jp/disc/73510/140120250714514138.pdf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https://www2.jpx.co.jp/disc/73510/140120250413514423.pdf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https://www2.jpx.co.jp/disc/73510/140120250114550346.pdf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https://www2.jpx.co.jp/disc/73510/140120241015597630.pdf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https://www2.jpx.co.jp/disc/73510/140120240712548244.pdf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https://www2.jpx.co.jp/disc/73510/140120240412569724.pdf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https://www2.jpx.co.jp/disc/73510/140120240112514534.pdf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https://www2.jpx.co.jp/disc/73510/140120231013566368.pdf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https://www2.jpx.co.jp/disc/73510/140120230713522040.pdf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https://www2.jpx.co.jp/disc/73510/140120230413547084.pdf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https://www2.jpx.co.jp/disc/73510/140120230112588535.pdf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https://www2.jpx.co.jp/disc/73510/140120221014544633.pdf</t>
        </is>
      </c>
    </row>
    <row r="21">
      <c r="A21" t="inlineStr">
        <is>
          <t>2022-07-15</t>
        </is>
      </c>
      <c r="B21" t="inlineStr">
        <is>
          <t>2022년 8월 결산기 ３분기 결산단신</t>
        </is>
      </c>
      <c r="C21" t="inlineStr">
        <is>
          <t>https://www2.jpx.co.jp/disc/73510/140120220714500258.pdf</t>
        </is>
      </c>
    </row>
    <row r="22">
      <c r="A22" t="inlineStr">
        <is>
          <t>2022-04-14</t>
        </is>
      </c>
      <c r="B22" t="inlineStr">
        <is>
          <t>2022년 8월 결산기 ２분기 결산단신</t>
        </is>
      </c>
      <c r="C22" t="inlineStr">
        <is>
          <t>https://www2.jpx.co.jp/disc/73510/140120220413521454.pdf</t>
        </is>
      </c>
    </row>
    <row r="23">
      <c r="A23" t="inlineStr">
        <is>
          <t>2022-01-14</t>
        </is>
      </c>
      <c r="B23" t="inlineStr">
        <is>
          <t>2022년 8월 결산기 １분기 결산단신</t>
        </is>
      </c>
      <c r="C23" t="inlineStr">
        <is>
          <t>https://www2.jpx.co.jp/disc/73510/140120220113567627.pdf</t>
        </is>
      </c>
    </row>
    <row r="24">
      <c r="A24" t="inlineStr">
        <is>
          <t>2021-10-15</t>
        </is>
      </c>
      <c r="B24" t="inlineStr">
        <is>
          <t>2021년 8월 결산기 연간 결산단신</t>
        </is>
      </c>
      <c r="C24" t="inlineStr">
        <is>
          <t>https://www2.jpx.co.jp/disc/73510/140120211015411443.pdf</t>
        </is>
      </c>
    </row>
    <row r="25">
      <c r="A25" t="inlineStr">
        <is>
          <t>2021-07-15</t>
        </is>
      </c>
      <c r="B25" t="inlineStr">
        <is>
          <t>2021년 8월 결산기 ３분기 결산단신</t>
        </is>
      </c>
      <c r="C25" t="inlineStr">
        <is>
          <t>https://www2.jpx.co.jp/disc/73510/140120210715467233.pdf</t>
        </is>
      </c>
    </row>
    <row r="26">
      <c r="A26" t="inlineStr">
        <is>
          <t>2021-04-14</t>
        </is>
      </c>
      <c r="B26" t="inlineStr">
        <is>
          <t>2021년 8월 결산기 ２분기 결산단신</t>
        </is>
      </c>
      <c r="C26" t="inlineStr">
        <is>
          <t>https://www2.jpx.co.jp/disc/73510/140120210413493611.pdf</t>
        </is>
      </c>
    </row>
    <row r="27">
      <c r="A27" t="inlineStr">
        <is>
          <t>2021-01-14</t>
        </is>
      </c>
      <c r="B27" t="inlineStr">
        <is>
          <t>2021년 8월 결산기 １분기 결산단신</t>
        </is>
      </c>
      <c r="C27" t="inlineStr">
        <is>
          <t>https://www2.jpx.co.jp/disc/73510/140120210114444277.pdf</t>
        </is>
      </c>
    </row>
    <row r="28">
      <c r="A28" t="inlineStr">
        <is>
          <t>2020-10-15</t>
        </is>
      </c>
      <c r="B28" t="inlineStr">
        <is>
          <t>2020년 8월 결산기 연간 결산단신</t>
        </is>
      </c>
      <c r="C28" t="inlineStr">
        <is>
          <t>https://www2.jpx.co.jp/disc/73510/140120201015404128.pdf</t>
        </is>
      </c>
    </row>
    <row r="29">
      <c r="A29" t="inlineStr">
        <is>
          <t>2020-07-15</t>
        </is>
      </c>
      <c r="B29" t="inlineStr">
        <is>
          <t>2020년 8월 결산기 ３분기 결산단신</t>
        </is>
      </c>
      <c r="C29" t="inlineStr">
        <is>
          <t>https://www2.jpx.co.jp/disc/73510/140120200715462936.pdf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2026-10-25T06:59:25Z</dcterms:created>
  <dcterms:modified xmlns:dcterms="http://purl.org/dc/terms/" xmlns:xsi="http://www.w3.org/2001/XMLSchema-instance" xsi:type="dcterms:W3CDTF">2026-10-25T06:59:25Z</dcterms:modified>
</cp:coreProperties>
</file>