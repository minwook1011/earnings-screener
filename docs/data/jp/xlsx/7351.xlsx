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굿패치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1024.444</v>
      </c>
      <c r="D4" s="12" t="n">
        <v>1040.638</v>
      </c>
      <c r="E4" s="12" t="n">
        <v>935.114</v>
      </c>
      <c r="F4" s="12" t="n">
        <v>942.771</v>
      </c>
      <c r="G4" s="12" t="n">
        <v>1214.187</v>
      </c>
      <c r="H4" s="12" t="n">
        <v>1254.768</v>
      </c>
      <c r="I4" s="12" t="n">
        <v>1366.097</v>
      </c>
      <c r="J4" s="12" t="n">
        <v>1250.501</v>
      </c>
      <c r="K4" s="12" t="n">
        <v>1206.36</v>
      </c>
      <c r="L4" s="12" t="n">
        <v>1372.24</v>
      </c>
      <c r="M4" s="12" t="n">
        <v>1269.175</v>
      </c>
      <c r="N4" s="12" t="n">
        <v>1349.484</v>
      </c>
      <c r="O4" s="11" t="n"/>
      <c r="P4" s="12" t="n"/>
      <c r="Q4" s="12" t="n">
        <v>1683.269</v>
      </c>
      <c r="R4" s="12" t="n">
        <v>2143.511</v>
      </c>
      <c r="S4" s="12" t="n">
        <v>2741.275</v>
      </c>
      <c r="T4" s="12" t="n">
        <v>3724.512</v>
      </c>
      <c r="U4" s="12" t="n">
        <v>3928.524</v>
      </c>
      <c r="V4" s="12" t="n">
        <v>3942.967</v>
      </c>
      <c r="W4" s="12" t="n">
        <v>5085.553</v>
      </c>
      <c r="X4" s="12" t="n">
        <v>5197.259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DesignPartnerBusinessReportableSegmentMember</t>
        </is>
      </c>
      <c r="B7" s="10" t="n"/>
      <c r="C7" s="19" t="n">
        <v>950.8680000000001</v>
      </c>
      <c r="D7" s="20" t="n">
        <v>960.968</v>
      </c>
      <c r="E7" s="20" t="n">
        <v>842.2670000000001</v>
      </c>
      <c r="F7" s="20" t="n">
        <v>841.463</v>
      </c>
      <c r="G7" s="20" t="n">
        <v>1114.732</v>
      </c>
      <c r="H7" s="20" t="n">
        <v>1171.805</v>
      </c>
      <c r="I7" s="20" t="n">
        <v>1255.631</v>
      </c>
      <c r="J7" s="20" t="n">
        <v>1153.978</v>
      </c>
      <c r="K7" s="20" t="n">
        <v>1129.272</v>
      </c>
      <c r="L7" s="20" t="n">
        <v>1246.137</v>
      </c>
      <c r="M7" s="20" t="n">
        <v>1177.857</v>
      </c>
      <c r="N7" s="20" t="n">
        <v>1239.277</v>
      </c>
      <c r="O7" s="19" t="n"/>
      <c r="P7" s="20" t="n"/>
      <c r="Q7" s="20" t="n"/>
      <c r="R7" s="20" t="n"/>
      <c r="S7" s="20" t="n"/>
      <c r="T7" s="20" t="n"/>
      <c r="U7" s="20" t="n">
        <v>3605.659</v>
      </c>
      <c r="V7" s="20" t="n">
        <v>3595.566</v>
      </c>
      <c r="W7" s="20" t="n">
        <v>4696.146</v>
      </c>
      <c r="X7" s="20" t="n">
        <v>4792.543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DesignPlatformBusinessReportableSegmentMember</t>
        </is>
      </c>
      <c r="B10" s="10" t="n"/>
      <c r="C10" s="19" t="n">
        <v>73.57599999999999</v>
      </c>
      <c r="D10" s="20" t="n">
        <v>79.67</v>
      </c>
      <c r="E10" s="20" t="n">
        <v>92.846</v>
      </c>
      <c r="F10" s="20" t="n">
        <v>101.309</v>
      </c>
      <c r="G10" s="20" t="n">
        <v>99.455</v>
      </c>
      <c r="H10" s="20" t="n">
        <v>82.96299999999999</v>
      </c>
      <c r="I10" s="20" t="n">
        <v>110.466</v>
      </c>
      <c r="J10" s="20" t="n">
        <v>96.52200000000001</v>
      </c>
      <c r="K10" s="20" t="n">
        <v>77.08799999999999</v>
      </c>
      <c r="L10" s="20" t="n">
        <v>126.102</v>
      </c>
      <c r="M10" s="20" t="n">
        <v>91.318</v>
      </c>
      <c r="N10" s="20" t="n">
        <v>110.208</v>
      </c>
      <c r="O10" s="19" t="n"/>
      <c r="P10" s="20" t="n"/>
      <c r="Q10" s="20" t="n"/>
      <c r="R10" s="20" t="n"/>
      <c r="S10" s="20" t="n"/>
      <c r="T10" s="20" t="n"/>
      <c r="U10" s="20" t="n">
        <v>322.864</v>
      </c>
      <c r="V10" s="20" t="n">
        <v>347.401</v>
      </c>
      <c r="W10" s="20" t="n">
        <v>389.406</v>
      </c>
      <c r="X10" s="20" t="n">
        <v>404.716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EntityTotalMember</t>
        </is>
      </c>
      <c r="B13" s="10" t="n"/>
      <c r="C13" s="19" t="n"/>
      <c r="D13" s="20" t="n"/>
      <c r="E13" s="20" t="n"/>
      <c r="F13" s="20" t="n"/>
      <c r="G13" s="20" t="n">
        <v>1214.187</v>
      </c>
      <c r="H13" s="20" t="n"/>
      <c r="I13" s="20" t="n"/>
      <c r="J13" s="20" t="n"/>
      <c r="K13" s="20" t="n">
        <v>1206.36</v>
      </c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>
        <v>523.345</v>
      </c>
      <c r="D17" s="20" t="n">
        <v>437.132</v>
      </c>
      <c r="E17" s="20" t="n">
        <v>406.829</v>
      </c>
      <c r="F17" s="20" t="n">
        <v>392.54</v>
      </c>
      <c r="G17" s="20" t="n">
        <v>531.566</v>
      </c>
      <c r="H17" s="20" t="n">
        <v>499.428</v>
      </c>
      <c r="I17" s="20" t="n">
        <v>590.881</v>
      </c>
      <c r="J17" s="20" t="n">
        <v>521.153</v>
      </c>
      <c r="K17" s="20" t="n">
        <v>534.051</v>
      </c>
      <c r="L17" s="20" t="n">
        <v>581.005</v>
      </c>
      <c r="M17" s="20" t="n">
        <v>572.182</v>
      </c>
      <c r="N17" s="20" t="n">
        <v>584.301</v>
      </c>
      <c r="O17" s="19" t="n"/>
      <c r="P17" s="20" t="n"/>
      <c r="Q17" s="20" t="n">
        <v>619.928</v>
      </c>
      <c r="R17" s="20" t="n">
        <v>788.736</v>
      </c>
      <c r="S17" s="20" t="n">
        <v>1011.72</v>
      </c>
      <c r="T17" s="20" t="n">
        <v>1448.417</v>
      </c>
      <c r="U17" s="20" t="n">
        <v>1656.414</v>
      </c>
      <c r="V17" s="20" t="n">
        <v>1759.846</v>
      </c>
      <c r="W17" s="20" t="n">
        <v>2143.028</v>
      </c>
      <c r="X17" s="20" t="n">
        <v>2271.539</v>
      </c>
      <c r="Y17" s="19" t="n"/>
      <c r="Z17" s="20" t="n"/>
      <c r="AA17" s="20" t="n"/>
      <c r="AB17" s="20" t="n"/>
      <c r="AC17" s="20" t="n"/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IF(OR(G17="",C17=""),"",IF(C17&lt;=0,"",IFERROR(G17/C17-1,"")))</f>
        <v/>
      </c>
      <c r="H18" s="15">
        <f>IF(OR(H17="",D17=""),"",IF(D17&lt;=0,"",IFERROR(H17/D17-1,"")))</f>
        <v/>
      </c>
      <c r="I18" s="15">
        <f>IF(OR(I17="",E17=""),"",IF(E17&lt;=0,"",IFERROR(I17/E17-1,"")))</f>
        <v/>
      </c>
      <c r="J18" s="15">
        <f>IF(OR(J17="",F17=""),"",IF(F17&lt;=0,"",IFERROR(J17/F17-1,"")))</f>
        <v/>
      </c>
      <c r="K18" s="15">
        <f>IF(OR(K17="",G17=""),"",IF(G17&lt;=0,"",IFERROR(K17/G17-1,"")))</f>
        <v/>
      </c>
      <c r="L18" s="15">
        <f>IF(OR(L17="",H17=""),"",IF(H17&lt;=0,"",IFERROR(L17/H17-1,"")))</f>
        <v/>
      </c>
      <c r="M18" s="15">
        <f>IF(OR(M17="",I17=""),"",IF(I17&lt;=0,"",IFERROR(M17/I17-1,"")))</f>
        <v/>
      </c>
      <c r="N18" s="15">
        <f>IF(OR(N17="",J17=""),"",IF(J17&lt;=0,"",IFERROR(N17/J17-1,"")))</f>
        <v/>
      </c>
      <c r="O18" s="14" t="n"/>
      <c r="P18" s="15">
        <f>IF(OR(P17="",O17=""),"",IF(O17&lt;=0,"",IFERROR(P17/O17-1,"")))</f>
        <v/>
      </c>
      <c r="Q18" s="15">
        <f>IF(OR(Q17="",P17=""),"",IF(P17&lt;=0,"",IFERROR(Q17/P17-1,"")))</f>
        <v/>
      </c>
      <c r="R18" s="15">
        <f>IF(OR(R17="",Q17=""),"",IF(Q17&lt;=0,"",IFERROR(R17/Q17-1,"")))</f>
        <v/>
      </c>
      <c r="S18" s="15">
        <f>IF(OR(S17="",R17=""),"",IF(R17&lt;=0,"",IFERROR(S17/R17-1,"")))</f>
        <v/>
      </c>
      <c r="T18" s="15">
        <f>IF(OR(T17="",S17=""),"",IF(S17&lt;=0,"",IFERROR(T17/S17-1,"")))</f>
        <v/>
      </c>
      <c r="U18" s="15">
        <f>IF(OR(U17="",T17=""),"",IF(T17&lt;=0,"",IFERROR(U17/T17-1,"")))</f>
        <v/>
      </c>
      <c r="V18" s="15">
        <f>IF(OR(V17="",U17=""),"",IF(U17&lt;=0,"",IFERROR(V17/U17-1,"")))</f>
        <v/>
      </c>
      <c r="W18" s="15">
        <f>IF(OR(W17="",V17=""),"",IF(V17&lt;=0,"",IFERROR(W17/V17-1,"")))</f>
        <v/>
      </c>
      <c r="X18" s="15">
        <f>IF(OR(X17="",W17=""),"",IF(W17&lt;=0,"",IFERROR(X17/W17-1,"")))</f>
        <v/>
      </c>
      <c r="Y18" s="14">
        <f>IF(OR(Y17="",X17=""),"",IF(X17&lt;=0,"",IFERROR(Y17/X17-1,"")))</f>
        <v/>
      </c>
      <c r="Z18" s="15">
        <f>IF(OR(Z17="",Y17=""),"",IF(Y17&lt;=0,"",IFERROR(Z17/Y17-1,"")))</f>
        <v/>
      </c>
      <c r="AA18" s="15">
        <f>IF(OR(AA17="",Z17=""),"",IF(Z17&lt;=0,"",IFERROR(AA17/Z17-1,"")))</f>
        <v/>
      </c>
      <c r="AB18" s="15">
        <f>IF(OR(AB17="",AA17=""),"",IF(AA17&lt;=0,"",IFERROR(AB17/AA17-1,"")))</f>
        <v/>
      </c>
      <c r="AC18" s="15">
        <f>IF(OR(AC17="",AB17=""),"",IF(AB17&lt;=0,"",IFERROR(AC17/AB17-1,"")))</f>
        <v/>
      </c>
    </row>
    <row r="19">
      <c r="A19" s="18" t="inlineStr">
        <is>
          <t>매출총이익</t>
        </is>
      </c>
      <c r="B19" s="10" t="n"/>
      <c r="C19" s="19">
        <f>IF(OR(C4="",C17=""),"",IFERROR(C4-C17,""))</f>
        <v/>
      </c>
      <c r="D19" s="20">
        <f>IF(OR(D4="",D17=""),"",IFERROR(D4-D17,""))</f>
        <v/>
      </c>
      <c r="E19" s="20">
        <f>IF(OR(E4="",E17=""),"",IFERROR(E4-E17,""))</f>
        <v/>
      </c>
      <c r="F19" s="20">
        <f>IF(OR(F4="",F17=""),"",IFERROR(F4-F17,""))</f>
        <v/>
      </c>
      <c r="G19" s="20">
        <f>IF(OR(G4="",G17=""),"",IFERROR(G4-G17,""))</f>
        <v/>
      </c>
      <c r="H19" s="20">
        <f>IF(OR(H4="",H17=""),"",IFERROR(H4-H17,""))</f>
        <v/>
      </c>
      <c r="I19" s="20">
        <f>IF(OR(I4="",I17=""),"",IFERROR(I4-I17,""))</f>
        <v/>
      </c>
      <c r="J19" s="20">
        <f>IF(OR(J4="",J17=""),"",IFERROR(J4-J17,""))</f>
        <v/>
      </c>
      <c r="K19" s="20">
        <f>IF(OR(K4="",K17=""),"",IFERROR(K4-K17,""))</f>
        <v/>
      </c>
      <c r="L19" s="20">
        <f>IF(OR(L4="",L17=""),"",IFERROR(L4-L17,""))</f>
        <v/>
      </c>
      <c r="M19" s="20">
        <f>IF(OR(M4="",M17=""),"",IFERROR(M4-M17,""))</f>
        <v/>
      </c>
      <c r="N19" s="20">
        <f>IF(OR(N4="",N17=""),"",IFERROR(N4-N17,""))</f>
        <v/>
      </c>
      <c r="O19" s="19">
        <f>IF(OR(O4="",O17=""),"",IFERROR(O4-O17,""))</f>
        <v/>
      </c>
      <c r="P19" s="20">
        <f>IF(OR(P4="",P17=""),"",IFERROR(P4-P17,""))</f>
        <v/>
      </c>
      <c r="Q19" s="20">
        <f>IF(OR(Q4="",Q17=""),"",IFERROR(Q4-Q17,""))</f>
        <v/>
      </c>
      <c r="R19" s="20">
        <f>IF(OR(R4="",R17=""),"",IFERROR(R4-R17,""))</f>
        <v/>
      </c>
      <c r="S19" s="20">
        <f>IF(OR(S4="",S17=""),"",IFERROR(S4-S17,""))</f>
        <v/>
      </c>
      <c r="T19" s="20">
        <f>IF(OR(T4="",T17=""),"",IFERROR(T4-T17,""))</f>
        <v/>
      </c>
      <c r="U19" s="20">
        <f>IF(OR(U4="",U17=""),"",IFERROR(U4-U17,""))</f>
        <v/>
      </c>
      <c r="V19" s="20">
        <f>IF(OR(V4="",V17=""),"",IFERROR(V4-V17,""))</f>
        <v/>
      </c>
      <c r="W19" s="20">
        <f>IF(OR(W4="",W17=""),"",IFERROR(W4-W17,""))</f>
        <v/>
      </c>
      <c r="X19" s="20">
        <f>IF(OR(X4="",X17=""),"",IFERROR(X4-X17,""))</f>
        <v/>
      </c>
      <c r="Y19" s="19" t="n"/>
      <c r="Z19" s="20" t="n"/>
      <c r="AA19" s="20" t="n"/>
      <c r="AB19" s="20" t="n"/>
      <c r="AC19" s="20" t="n"/>
    </row>
    <row r="20">
      <c r="A20" s="13" t="inlineStr">
        <is>
          <t>GPM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IF(OR(G19="",C19=""),"",IF(C19&lt;=0,"",IFERROR(G19/C19-1,"")))</f>
        <v/>
      </c>
      <c r="H21" s="15">
        <f>IF(OR(H19="",D19=""),"",IF(D19&lt;=0,"",IFERROR(H19/D19-1,"")))</f>
        <v/>
      </c>
      <c r="I21" s="15">
        <f>IF(OR(I19="",E19=""),"",IF(E19&lt;=0,"",IFERROR(I19/E19-1,"")))</f>
        <v/>
      </c>
      <c r="J21" s="15">
        <f>IF(OR(J19="",F19=""),"",IF(F19&lt;=0,"",IFERROR(J19/F19-1,"")))</f>
        <v/>
      </c>
      <c r="K21" s="15">
        <f>IF(OR(K19="",G19=""),"",IF(G19&lt;=0,"",IFERROR(K19/G19-1,"")))</f>
        <v/>
      </c>
      <c r="L21" s="15">
        <f>IF(OR(L19="",H19=""),"",IF(H19&lt;=0,"",IFERROR(L19/H19-1,"")))</f>
        <v/>
      </c>
      <c r="M21" s="15">
        <f>IF(OR(M19="",I19=""),"",IF(I19&lt;=0,"",IFERROR(M19/I19-1,"")))</f>
        <v/>
      </c>
      <c r="N21" s="15">
        <f>IF(OR(N19="",J19=""),"",IF(J19&lt;=0,"",IFERROR(N19/J19-1,"")))</f>
        <v/>
      </c>
      <c r="O21" s="14" t="n"/>
      <c r="P21" s="15">
        <f>IF(OR(P19="",O19=""),"",IF(O19&lt;=0,"",IFERROR(P19/O19-1,"")))</f>
        <v/>
      </c>
      <c r="Q21" s="15">
        <f>IF(OR(Q19="",P19=""),"",IF(P19&lt;=0,"",IFERROR(Q19/P19-1,"")))</f>
        <v/>
      </c>
      <c r="R21" s="15">
        <f>IF(OR(R19="",Q19=""),"",IF(Q19&lt;=0,"",IFERROR(R19/Q19-1,"")))</f>
        <v/>
      </c>
      <c r="S21" s="15">
        <f>IF(OR(S19="",R19=""),"",IF(R19&lt;=0,"",IFERROR(S19/R19-1,"")))</f>
        <v/>
      </c>
      <c r="T21" s="15">
        <f>IF(OR(T19="",S19=""),"",IF(S19&lt;=0,"",IFERROR(T19/S19-1,"")))</f>
        <v/>
      </c>
      <c r="U21" s="15">
        <f>IF(OR(U19="",T19=""),"",IF(T19&lt;=0,"",IFERROR(U19/T19-1,"")))</f>
        <v/>
      </c>
      <c r="V21" s="15">
        <f>IF(OR(V19="",U19=""),"",IF(U19&lt;=0,"",IFERROR(V19/U19-1,"")))</f>
        <v/>
      </c>
      <c r="W21" s="15">
        <f>IF(OR(W19="",V19=""),"",IF(V19&lt;=0,"",IFERROR(W19/V19-1,"")))</f>
        <v/>
      </c>
      <c r="X21" s="15">
        <f>IF(OR(X19="",W19=""),"",IF(W19&lt;=0,"",IFERROR(X19/W19-1,"")))</f>
        <v/>
      </c>
      <c r="Y21" s="14">
        <f>IF(OR(Y19="",X19=""),"",IF(X19&lt;=0,"",IFERROR(Y19/X19-1,"")))</f>
        <v/>
      </c>
      <c r="Z21" s="15">
        <f>IF(OR(Z19="",Y19=""),"",IF(Y19&lt;=0,"",IFERROR(Z19/Y19-1,"")))</f>
        <v/>
      </c>
      <c r="AA21" s="15">
        <f>IF(OR(AA19="",Z19=""),"",IF(Z19&lt;=0,"",IFERROR(AA19/Z19-1,"")))</f>
        <v/>
      </c>
      <c r="AB21" s="15">
        <f>IF(OR(AB19="",AA19=""),"",IF(AA19&lt;=0,"",IFERROR(AB19/AA19-1,"")))</f>
        <v/>
      </c>
      <c r="AC21" s="15">
        <f>IF(OR(AC19="",AB19=""),"",IF(AB19&lt;=0,"",IFERROR(AC19/AB19-1,"")))</f>
        <v/>
      </c>
    </row>
    <row r="22">
      <c r="A22" s="23" t="inlineStr">
        <is>
          <t>판매관리비</t>
        </is>
      </c>
      <c r="B22" s="23" t="n"/>
      <c r="C22" s="24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4" t="n"/>
      <c r="Z22" s="23" t="n"/>
      <c r="AA22" s="23" t="n"/>
      <c r="AB22" s="23" t="n"/>
      <c r="AC22" s="23" t="n"/>
    </row>
    <row r="23">
      <c r="A23" s="18" t="inlineStr">
        <is>
          <t>전체 판관비</t>
        </is>
      </c>
      <c r="B23" s="10" t="n"/>
      <c r="C23" s="19" t="n">
        <v>529.407</v>
      </c>
      <c r="D23" s="20" t="n">
        <v>499.322</v>
      </c>
      <c r="E23" s="20" t="n">
        <v>568.774</v>
      </c>
      <c r="F23" s="20" t="n">
        <v>551.092</v>
      </c>
      <c r="G23" s="20" t="n">
        <v>553.96</v>
      </c>
      <c r="H23" s="20" t="n">
        <v>554.095</v>
      </c>
      <c r="I23" s="20" t="n">
        <v>595.6799999999999</v>
      </c>
      <c r="J23" s="20" t="n">
        <v>681.3049999999999</v>
      </c>
      <c r="K23" s="20" t="n">
        <v>595.032</v>
      </c>
      <c r="L23" s="20" t="n">
        <v>605.862</v>
      </c>
      <c r="M23" s="20" t="n">
        <v>629.7619999999999</v>
      </c>
      <c r="N23" s="20" t="n">
        <v>648.047</v>
      </c>
      <c r="O23" s="19" t="n"/>
      <c r="P23" s="20" t="n"/>
      <c r="Q23" s="20" t="n">
        <v>987.9349999999999</v>
      </c>
      <c r="R23" s="20" t="n">
        <v>1138.171</v>
      </c>
      <c r="S23" s="20" t="n">
        <v>1323.344</v>
      </c>
      <c r="T23" s="20" t="n">
        <v>1881.94</v>
      </c>
      <c r="U23" s="20" t="n">
        <v>1973.479</v>
      </c>
      <c r="V23" s="20" t="n">
        <v>2148.595</v>
      </c>
      <c r="W23" s="20" t="n">
        <v>2385.04</v>
      </c>
      <c r="X23" s="20" t="n">
        <v>2478.703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-28.307</v>
      </c>
      <c r="D25" s="12" t="n">
        <v>104.181</v>
      </c>
      <c r="E25" s="12" t="n">
        <v>-40.488</v>
      </c>
      <c r="F25" s="12" t="n">
        <v>-0.86</v>
      </c>
      <c r="G25" s="12" t="n">
        <v>128.66</v>
      </c>
      <c r="H25" s="12" t="n">
        <v>201.246</v>
      </c>
      <c r="I25" s="12" t="n">
        <v>179.536</v>
      </c>
      <c r="J25" s="12" t="n">
        <v>48.041</v>
      </c>
      <c r="K25" s="12" t="n">
        <v>77.276</v>
      </c>
      <c r="L25" s="12" t="n">
        <v>185.373</v>
      </c>
      <c r="M25" s="12" t="n">
        <v>67.232</v>
      </c>
      <c r="N25" s="12" t="n">
        <v>117.136</v>
      </c>
      <c r="O25" s="11" t="n"/>
      <c r="P25" s="12" t="n"/>
      <c r="Q25" s="12" t="n">
        <v>75.405</v>
      </c>
      <c r="R25" s="12" t="n">
        <v>216.604</v>
      </c>
      <c r="S25" s="12" t="n">
        <v>406.211</v>
      </c>
      <c r="T25" s="12" t="n">
        <v>394.154</v>
      </c>
      <c r="U25" s="12" t="n">
        <v>298.63</v>
      </c>
      <c r="V25" s="12" t="n">
        <v>34.526</v>
      </c>
      <c r="W25" s="12" t="n">
        <v>557.4829999999999</v>
      </c>
      <c r="X25" s="12" t="n">
        <v>447.017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IF(O23="","",O23)</f>
        <v/>
      </c>
      <c r="P29" s="12">
        <f>IF(P23="","",P23)</f>
        <v/>
      </c>
      <c r="Q29" s="12">
        <f>IF(Q23="","",Q23)</f>
        <v/>
      </c>
      <c r="R29" s="12">
        <f>IF(R23="","",R23)</f>
        <v/>
      </c>
      <c r="S29" s="12">
        <f>IF(S23="","",S23)</f>
        <v/>
      </c>
      <c r="T29" s="12">
        <f>IF(T23="","",T23)</f>
        <v/>
      </c>
      <c r="U29" s="12">
        <f>IF(U23="","",U23)</f>
        <v/>
      </c>
      <c r="V29" s="12">
        <f>IF(V23="","",V23)</f>
        <v/>
      </c>
      <c r="W29" s="12">
        <f>IF(W23="","",W23)</f>
        <v/>
      </c>
      <c r="X29" s="12">
        <f>IF(X23="","",X23)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0</v>
      </c>
      <c r="D41" s="20" t="n">
        <v>0.273</v>
      </c>
      <c r="E41" s="20" t="n">
        <v>0.593</v>
      </c>
      <c r="F41" s="20" t="n">
        <v>-0.137</v>
      </c>
      <c r="G41" s="20" t="n">
        <v>2.553</v>
      </c>
      <c r="H41" s="20" t="n">
        <v>1.473</v>
      </c>
      <c r="I41" s="20" t="n">
        <v>3.782</v>
      </c>
      <c r="J41" s="20" t="n">
        <v>0.327</v>
      </c>
      <c r="K41" s="20" t="n">
        <v>5.275</v>
      </c>
      <c r="L41" s="20" t="n">
        <v>0.502</v>
      </c>
      <c r="M41" s="20" t="n">
        <v>0</v>
      </c>
      <c r="N41" s="20" t="n">
        <v>11.314</v>
      </c>
      <c r="O41" s="19" t="n"/>
      <c r="P41" s="20" t="n"/>
      <c r="Q41" s="20" t="n"/>
      <c r="R41" s="20" t="n"/>
      <c r="S41" s="20" t="n"/>
      <c r="T41" s="20" t="n">
        <v>0</v>
      </c>
      <c r="U41" s="20" t="n">
        <v>46.481</v>
      </c>
      <c r="V41" s="20" t="n">
        <v>0.729</v>
      </c>
      <c r="W41" s="20" t="n">
        <v>8.135</v>
      </c>
      <c r="X41" s="20" t="n">
        <v>17.091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>
        <v>0</v>
      </c>
      <c r="R43" s="20" t="n">
        <v>10.23</v>
      </c>
      <c r="S43" s="20" t="n">
        <v>0</v>
      </c>
      <c r="T43" s="20" t="n">
        <v>246.245</v>
      </c>
      <c r="U43" s="20" t="n">
        <v>0</v>
      </c>
      <c r="V43" s="20" t="n"/>
      <c r="W43" s="20" t="n">
        <v>0</v>
      </c>
      <c r="X43" s="20" t="n">
        <v>57.749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3.314</v>
      </c>
      <c r="D45" s="20" t="n">
        <v>7.167</v>
      </c>
      <c r="E45" s="20" t="n">
        <v>4.798</v>
      </c>
      <c r="F45" s="20" t="n">
        <v>3.439</v>
      </c>
      <c r="G45" s="20" t="n">
        <v>7.616</v>
      </c>
      <c r="H45" s="20" t="n">
        <v>9.531000000000001</v>
      </c>
      <c r="I45" s="20" t="n">
        <v>15.278</v>
      </c>
      <c r="J45" s="20" t="n">
        <v>31.133</v>
      </c>
      <c r="K45" s="20" t="n">
        <v>40.426</v>
      </c>
      <c r="L45" s="20" t="n">
        <v>44.163</v>
      </c>
      <c r="M45" s="20" t="n">
        <v>35.096</v>
      </c>
      <c r="N45" s="20" t="n">
        <v>41.63</v>
      </c>
      <c r="O45" s="19" t="n"/>
      <c r="P45" s="20" t="n"/>
      <c r="Q45" s="20" t="n">
        <v>17.071</v>
      </c>
      <c r="R45" s="20" t="n">
        <v>13.217</v>
      </c>
      <c r="S45" s="20" t="n">
        <v>9.502000000000001</v>
      </c>
      <c r="T45" s="20" t="n">
        <v>12.21</v>
      </c>
      <c r="U45" s="20" t="n">
        <v>11.954</v>
      </c>
      <c r="V45" s="20" t="n">
        <v>18.718</v>
      </c>
      <c r="W45" s="20" t="n">
        <v>63.558</v>
      </c>
      <c r="X45" s="20" t="n">
        <v>161.315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4.829</v>
      </c>
      <c r="D47" s="20" t="n">
        <v>3.09</v>
      </c>
      <c r="E47" s="20" t="n">
        <v>0.8169999999999999</v>
      </c>
      <c r="F47" s="20" t="n">
        <v>-2.192</v>
      </c>
      <c r="G47" s="20" t="n">
        <v>4.654</v>
      </c>
      <c r="H47" s="20" t="n">
        <v>2.044</v>
      </c>
      <c r="I47" s="20" t="n">
        <v>0.82</v>
      </c>
      <c r="J47" s="20" t="n">
        <v>0.503</v>
      </c>
      <c r="K47" s="20" t="n">
        <v>10.506</v>
      </c>
      <c r="L47" s="20" t="n">
        <v>0.098</v>
      </c>
      <c r="M47" s="20" t="n">
        <v>1.063</v>
      </c>
      <c r="N47" s="20" t="n">
        <v>1.864</v>
      </c>
      <c r="O47" s="19" t="n"/>
      <c r="P47" s="20" t="n"/>
      <c r="Q47" s="20" t="n">
        <v>8.798</v>
      </c>
      <c r="R47" s="20" t="n">
        <v>17.871</v>
      </c>
      <c r="S47" s="20" t="n">
        <v>21.806</v>
      </c>
      <c r="T47" s="20" t="n">
        <v>10.94</v>
      </c>
      <c r="U47" s="20" t="n">
        <v>11.568</v>
      </c>
      <c r="V47" s="20" t="n">
        <v>6.544</v>
      </c>
      <c r="W47" s="20" t="n">
        <v>8.021000000000001</v>
      </c>
      <c r="X47" s="20" t="n">
        <v>13.531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-29.822</v>
      </c>
      <c r="D49" s="12" t="n">
        <v>108.532</v>
      </c>
      <c r="E49" s="12" t="n">
        <v>-35.914</v>
      </c>
      <c r="F49" s="12" t="n">
        <v>4.633</v>
      </c>
      <c r="G49" s="12" t="n">
        <v>134.175</v>
      </c>
      <c r="H49" s="12" t="n">
        <v>210.206</v>
      </c>
      <c r="I49" s="12" t="n">
        <v>197.776</v>
      </c>
      <c r="J49" s="12" t="n">
        <v>78.999</v>
      </c>
      <c r="K49" s="12" t="n">
        <v>112.472</v>
      </c>
      <c r="L49" s="12" t="n">
        <v>229.939</v>
      </c>
      <c r="M49" s="12" t="n">
        <v>101.265</v>
      </c>
      <c r="N49" s="12" t="n">
        <v>110.466</v>
      </c>
      <c r="O49" s="11" t="n"/>
      <c r="P49" s="12" t="n"/>
      <c r="Q49" s="12" t="n">
        <v>83.678</v>
      </c>
      <c r="R49" s="12" t="n">
        <v>201.72</v>
      </c>
      <c r="S49" s="12" t="n">
        <v>393.907</v>
      </c>
      <c r="T49" s="12" t="n">
        <v>149.178</v>
      </c>
      <c r="U49" s="12" t="n">
        <v>345.498</v>
      </c>
      <c r="V49" s="12" t="n">
        <v>47.429</v>
      </c>
      <c r="W49" s="12" t="n">
        <v>621.1559999999999</v>
      </c>
      <c r="X49" s="12" t="n">
        <v>554.1420000000001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3" t="inlineStr">
        <is>
          <t>YoY</t>
        </is>
      </c>
      <c r="B50" s="10" t="n"/>
      <c r="C50" s="14" t="n"/>
      <c r="D50" s="15" t="n"/>
      <c r="E50" s="15" t="n"/>
      <c r="F50" s="15" t="n"/>
      <c r="G50" s="15">
        <f>IF(OR(G49="",C49=""),"",IF(C49&lt;=0,"",IFERROR(G49/C49-1,"")))</f>
        <v/>
      </c>
      <c r="H50" s="15">
        <f>IF(OR(H49="",D49=""),"",IF(D49&lt;=0,"",IFERROR(H49/D49-1,"")))</f>
        <v/>
      </c>
      <c r="I50" s="15">
        <f>IF(OR(I49="",E49=""),"",IF(E49&lt;=0,"",IFERROR(I49/E49-1,"")))</f>
        <v/>
      </c>
      <c r="J50" s="15">
        <f>IF(OR(J49="",F49=""),"",IF(F49&lt;=0,"",IFERROR(J49/F49-1,"")))</f>
        <v/>
      </c>
      <c r="K50" s="15">
        <f>IF(OR(K49="",G49=""),"",IF(G49&lt;=0,"",IFERROR(K49/G49-1,"")))</f>
        <v/>
      </c>
      <c r="L50" s="15">
        <f>IF(OR(L49="",H49=""),"",IF(H49&lt;=0,"",IFERROR(L49/H49-1,"")))</f>
        <v/>
      </c>
      <c r="M50" s="15">
        <f>IF(OR(M49="",I49=""),"",IF(I49&lt;=0,"",IFERROR(M49/I49-1,"")))</f>
        <v/>
      </c>
      <c r="N50" s="15">
        <f>IF(OR(N49="",J49=""),"",IF(J49&lt;=0,"",IFERROR(N49/J49-1,"")))</f>
        <v/>
      </c>
      <c r="O50" s="14" t="n"/>
      <c r="P50" s="15">
        <f>IF(OR(P49="",O49=""),"",IF(O49&lt;=0,"",IFERROR(P49/O49-1,"")))</f>
        <v/>
      </c>
      <c r="Q50" s="15">
        <f>IF(OR(Q49="",P49=""),"",IF(P49&lt;=0,"",IFERROR(Q49/P49-1,"")))</f>
        <v/>
      </c>
      <c r="R50" s="15">
        <f>IF(OR(R49="",Q49=""),"",IF(Q49&lt;=0,"",IFERROR(R49/Q49-1,"")))</f>
        <v/>
      </c>
      <c r="S50" s="15">
        <f>IF(OR(S49="",R49=""),"",IF(R49&lt;=0,"",IFERROR(S49/R49-1,"")))</f>
        <v/>
      </c>
      <c r="T50" s="15">
        <f>IF(OR(T49="",S49=""),"",IF(S49&lt;=0,"",IFERROR(T49/S49-1,"")))</f>
        <v/>
      </c>
      <c r="U50" s="15">
        <f>IF(OR(U49="",T49=""),"",IF(T49&lt;=0,"",IFERROR(U49/T49-1,"")))</f>
        <v/>
      </c>
      <c r="V50" s="15">
        <f>IF(OR(V49="",U49=""),"",IF(U49&lt;=0,"",IFERROR(V49/U49-1,"")))</f>
        <v/>
      </c>
      <c r="W50" s="15">
        <f>IF(OR(W49="",V49=""),"",IF(V49&lt;=0,"",IFERROR(W49/V49-1,"")))</f>
        <v/>
      </c>
      <c r="X50" s="15">
        <f>IF(OR(X49="",W49=""),"",IF(W49&lt;=0,"",IFERROR(X49/W49-1,"")))</f>
        <v/>
      </c>
      <c r="Y50" s="14">
        <f>IF(OR(Y49="",X49=""),"",IF(X49&lt;=0,"",IFERROR(Y49/X49-1,"")))</f>
        <v/>
      </c>
      <c r="Z50" s="15">
        <f>IF(OR(Z49="",Y49=""),"",IF(Y49&lt;=0,"",IFERROR(Z49/Y49-1,"")))</f>
        <v/>
      </c>
      <c r="AA50" s="15">
        <f>IF(OR(AA49="",Z49=""),"",IF(Z49&lt;=0,"",IFERROR(AA49/Z49-1,"")))</f>
        <v/>
      </c>
      <c r="AB50" s="15">
        <f>IF(OR(AB49="",AA49=""),"",IF(AA49&lt;=0,"",IFERROR(AB49/AA49-1,"")))</f>
        <v/>
      </c>
      <c r="AC50" s="15">
        <f>IF(OR(AC49="",AB49=""),"",IF(AB49&lt;=0,"",IFERROR(AC49/AB49-1,"")))</f>
        <v/>
      </c>
    </row>
    <row r="51">
      <c r="A51" s="18" t="inlineStr">
        <is>
          <t>법인세비용(수익)</t>
        </is>
      </c>
      <c r="B51" s="10" t="n"/>
      <c r="C51" s="19" t="n">
        <v>0.284</v>
      </c>
      <c r="D51" s="20" t="n">
        <v>35.674</v>
      </c>
      <c r="E51" s="20" t="n">
        <v>-4.284</v>
      </c>
      <c r="F51" s="20" t="n">
        <v>4.222</v>
      </c>
      <c r="G51" s="20" t="n">
        <v>45.142</v>
      </c>
      <c r="H51" s="20" t="n">
        <v>70.90600000000001</v>
      </c>
      <c r="I51" s="20" t="n">
        <v>67.66200000000001</v>
      </c>
      <c r="J51" s="20" t="n">
        <v>36.95</v>
      </c>
      <c r="K51" s="20" t="n">
        <v>51.512</v>
      </c>
      <c r="L51" s="20" t="n">
        <v>74.714</v>
      </c>
      <c r="M51" s="20" t="n">
        <v>33.147</v>
      </c>
      <c r="N51" s="20" t="n">
        <v>41.137</v>
      </c>
      <c r="O51" s="19" t="n"/>
      <c r="P51" s="20" t="n"/>
      <c r="Q51" s="20" t="n">
        <v>26.288</v>
      </c>
      <c r="R51" s="20" t="n">
        <v>-14.013</v>
      </c>
      <c r="S51" s="20" t="n">
        <v>66.254</v>
      </c>
      <c r="T51" s="20" t="n">
        <v>76.639</v>
      </c>
      <c r="U51" s="20" t="n">
        <v>129.459</v>
      </c>
      <c r="V51" s="20" t="n">
        <v>35.896</v>
      </c>
      <c r="W51" s="20" t="n">
        <v>220.66</v>
      </c>
      <c r="X51" s="20" t="n">
        <v>200.51</v>
      </c>
      <c r="Y51" s="19">
        <f>IF(OR(Y49="",Y52=""),"",IFERROR(MAX(Y49,0)*Y52,""))</f>
        <v/>
      </c>
      <c r="Z51" s="20">
        <f>IF(OR(Z49="",Z52=""),"",IFERROR(MAX(Z49,0)*Z52,""))</f>
        <v/>
      </c>
      <c r="AA51" s="20">
        <f>IF(OR(AA49="",AA52=""),"",IFERROR(MAX(AA49,0)*AA52,""))</f>
        <v/>
      </c>
      <c r="AB51" s="20">
        <f>IF(OR(AB49="",AB52=""),"",IFERROR(MAX(AB49,0)*AB52,""))</f>
        <v/>
      </c>
      <c r="AC51" s="20">
        <f>IF(OR(AC49="",AC52=""),"",IFERROR(MAX(AC49,0)*AC52,""))</f>
        <v/>
      </c>
    </row>
    <row r="52">
      <c r="A52" s="13" t="inlineStr">
        <is>
          <t>법인세율</t>
        </is>
      </c>
      <c r="B52" s="10" t="inlineStr">
        <is>
          <t>MW 기본 30%</t>
        </is>
      </c>
      <c r="C52" s="14">
        <f>IF(OR(C51="",C49=""),"",IFERROR(C51/C49,""))</f>
        <v/>
      </c>
      <c r="D52" s="15">
        <f>IF(OR(D51="",D49=""),"",IFERROR(D51/D49,""))</f>
        <v/>
      </c>
      <c r="E52" s="15">
        <f>IF(OR(E51="",E49=""),"",IFERROR(E51/E49,""))</f>
        <v/>
      </c>
      <c r="F52" s="15">
        <f>IF(OR(F51="",F49=""),"",IFERROR(F51/F49,""))</f>
        <v/>
      </c>
      <c r="G52" s="15">
        <f>IF(OR(G51="",G49=""),"",IFERROR(G51/G49,""))</f>
        <v/>
      </c>
      <c r="H52" s="15">
        <f>IF(OR(H51="",H49=""),"",IFERROR(H51/H49,""))</f>
        <v/>
      </c>
      <c r="I52" s="15">
        <f>IF(OR(I51="",I49=""),"",IFERROR(I51/I49,""))</f>
        <v/>
      </c>
      <c r="J52" s="15">
        <f>IF(OR(J51="",J49=""),"",IFERROR(J51/J49,""))</f>
        <v/>
      </c>
      <c r="K52" s="15">
        <f>IF(OR(K51="",K49=""),"",IFERROR(K51/K49,""))</f>
        <v/>
      </c>
      <c r="L52" s="15">
        <f>IF(OR(L51="",L49=""),"",IFERROR(L51/L49,""))</f>
        <v/>
      </c>
      <c r="M52" s="15">
        <f>IF(OR(M51="",M49=""),"",IFERROR(M51/M49,""))</f>
        <v/>
      </c>
      <c r="N52" s="15">
        <f>IF(OR(N51="",N49=""),"",IFERROR(N51/N49,""))</f>
        <v/>
      </c>
      <c r="O52" s="14">
        <f>IF(OR(O51="",O49=""),"",IFERROR(O51/O49,""))</f>
        <v/>
      </c>
      <c r="P52" s="15">
        <f>IF(OR(P51="",P49=""),"",IFERROR(P51/P49,""))</f>
        <v/>
      </c>
      <c r="Q52" s="15">
        <f>IF(OR(Q51="",Q49=""),"",IFERROR(Q51/Q49,""))</f>
        <v/>
      </c>
      <c r="R52" s="15">
        <f>IF(OR(R51="",R49=""),"",IFERROR(R51/R49,""))</f>
        <v/>
      </c>
      <c r="S52" s="15">
        <f>IF(OR(S51="",S49=""),"",IFERROR(S51/S49,""))</f>
        <v/>
      </c>
      <c r="T52" s="15">
        <f>IF(OR(T51="",T49=""),"",IFERROR(T51/T49,""))</f>
        <v/>
      </c>
      <c r="U52" s="15">
        <f>IF(OR(U51="",U49=""),"",IFERROR(U51/U49,""))</f>
        <v/>
      </c>
      <c r="V52" s="15">
        <f>IF(OR(V51="",V49=""),"",IFERROR(V51/V49,""))</f>
        <v/>
      </c>
      <c r="W52" s="15">
        <f>IF(OR(W51="",W49=""),"",IFERROR(W51/W49,""))</f>
        <v/>
      </c>
      <c r="X52" s="15">
        <f>IF(OR(X51="",X49=""),"",IFERROR(X51/X49,""))</f>
        <v/>
      </c>
      <c r="Y52" s="25" t="n">
        <v>0.3</v>
      </c>
      <c r="Z52" s="26" t="n">
        <v>0.3</v>
      </c>
      <c r="AA52" s="26" t="n">
        <v>0.3</v>
      </c>
      <c r="AB52" s="26" t="n">
        <v>0.3</v>
      </c>
      <c r="AC52" s="26" t="n">
        <v>0.3</v>
      </c>
    </row>
    <row r="53">
      <c r="A53" s="9" t="inlineStr">
        <is>
          <t>당기순이익(손실)</t>
        </is>
      </c>
      <c r="B53" s="10" t="n"/>
      <c r="C53" s="11" t="n">
        <v>-30.107</v>
      </c>
      <c r="D53" s="12" t="n">
        <v>72.85899999999999</v>
      </c>
      <c r="E53" s="12" t="n">
        <v>-31.63</v>
      </c>
      <c r="F53" s="12" t="n">
        <v>0.41</v>
      </c>
      <c r="G53" s="12" t="n">
        <v>89.033</v>
      </c>
      <c r="H53" s="12" t="n">
        <v>139.299</v>
      </c>
      <c r="I53" s="12" t="n">
        <v>130.115</v>
      </c>
      <c r="J53" s="12" t="n">
        <v>42.049</v>
      </c>
      <c r="K53" s="12" t="n">
        <v>60.96</v>
      </c>
      <c r="L53" s="12" t="n">
        <v>155.224</v>
      </c>
      <c r="M53" s="12" t="n">
        <v>68.11799999999999</v>
      </c>
      <c r="N53" s="12" t="n">
        <v>69.33</v>
      </c>
      <c r="O53" s="11" t="n"/>
      <c r="P53" s="12" t="n"/>
      <c r="Q53" s="12" t="n">
        <v>57.389</v>
      </c>
      <c r="R53" s="12" t="n">
        <v>215.734</v>
      </c>
      <c r="S53" s="12" t="n">
        <v>327.653</v>
      </c>
      <c r="T53" s="12" t="n">
        <v>72.538</v>
      </c>
      <c r="U53" s="12" t="n">
        <v>216.039</v>
      </c>
      <c r="V53" s="12" t="n">
        <v>11.532</v>
      </c>
      <c r="W53" s="12" t="n">
        <v>400.496</v>
      </c>
      <c r="X53" s="12" t="n">
        <v>353.632</v>
      </c>
      <c r="Y53" s="11">
        <f>IF(OR(Y49=""),"",IFERROR(Y49-Y51,""))</f>
        <v/>
      </c>
      <c r="Z53" s="12">
        <f>IF(OR(Z49=""),"",IFERROR(Z49-Z51,""))</f>
        <v/>
      </c>
      <c r="AA53" s="12">
        <f>IF(OR(AA49=""),"",IFERROR(AA49-AA51,""))</f>
        <v/>
      </c>
      <c r="AB53" s="12">
        <f>IF(OR(AB49=""),"",IFERROR(AB49-AB51,""))</f>
        <v/>
      </c>
      <c r="AC53" s="12">
        <f>IF(OR(AC49=""),"",IFERROR(AC49-AC51,""))</f>
        <v/>
      </c>
    </row>
    <row r="54">
      <c r="A54" s="13" t="inlineStr">
        <is>
          <t>YoY</t>
        </is>
      </c>
      <c r="B54" s="10" t="n"/>
      <c r="C54" s="14" t="n"/>
      <c r="D54" s="15" t="n"/>
      <c r="E54" s="15" t="n"/>
      <c r="F54" s="15" t="n"/>
      <c r="G54" s="15">
        <f>IF(OR(G53="",C53=""),"",IF(C53&lt;=0,"",IFERROR(G53/C53-1,"")))</f>
        <v/>
      </c>
      <c r="H54" s="15">
        <f>IF(OR(H53="",D53=""),"",IF(D53&lt;=0,"",IFERROR(H53/D53-1,"")))</f>
        <v/>
      </c>
      <c r="I54" s="15">
        <f>IF(OR(I53="",E53=""),"",IF(E53&lt;=0,"",IFERROR(I53/E53-1,"")))</f>
        <v/>
      </c>
      <c r="J54" s="15">
        <f>IF(OR(J53="",F53=""),"",IF(F53&lt;=0,"",IFERROR(J53/F53-1,"")))</f>
        <v/>
      </c>
      <c r="K54" s="15">
        <f>IF(OR(K53="",G53=""),"",IF(G53&lt;=0,"",IFERROR(K53/G53-1,"")))</f>
        <v/>
      </c>
      <c r="L54" s="15">
        <f>IF(OR(L53="",H53=""),"",IF(H53&lt;=0,"",IFERROR(L53/H53-1,"")))</f>
        <v/>
      </c>
      <c r="M54" s="15">
        <f>IF(OR(M53="",I53=""),"",IF(I53&lt;=0,"",IFERROR(M53/I53-1,"")))</f>
        <v/>
      </c>
      <c r="N54" s="15">
        <f>IF(OR(N53="",J53=""),"",IF(J53&lt;=0,"",IFERROR(N53/J53-1,"")))</f>
        <v/>
      </c>
      <c r="O54" s="14" t="n"/>
      <c r="P54" s="15">
        <f>IF(OR(P53="",O53=""),"",IF(O53&lt;=0,"",IFERROR(P53/O53-1,"")))</f>
        <v/>
      </c>
      <c r="Q54" s="15">
        <f>IF(OR(Q53="",P53=""),"",IF(P53&lt;=0,"",IFERROR(Q53/P53-1,"")))</f>
        <v/>
      </c>
      <c r="R54" s="15">
        <f>IF(OR(R53="",Q53=""),"",IF(Q53&lt;=0,"",IFERROR(R53/Q53-1,"")))</f>
        <v/>
      </c>
      <c r="S54" s="15">
        <f>IF(OR(S53="",R53=""),"",IF(R53&lt;=0,"",IFERROR(S53/R53-1,"")))</f>
        <v/>
      </c>
      <c r="T54" s="15">
        <f>IF(OR(T53="",S53=""),"",IF(S53&lt;=0,"",IFERROR(T53/S53-1,"")))</f>
        <v/>
      </c>
      <c r="U54" s="15">
        <f>IF(OR(U53="",T53=""),"",IF(T53&lt;=0,"",IFERROR(U53/T53-1,"")))</f>
        <v/>
      </c>
      <c r="V54" s="15">
        <f>IF(OR(V53="",U53=""),"",IF(U53&lt;=0,"",IFERROR(V53/U53-1,"")))</f>
        <v/>
      </c>
      <c r="W54" s="15">
        <f>IF(OR(W53="",V53=""),"",IF(V53&lt;=0,"",IFERROR(W53/V53-1,"")))</f>
        <v/>
      </c>
      <c r="X54" s="15">
        <f>IF(OR(X53="",W53=""),"",IF(W53&lt;=0,"",IFERROR(X53/W53-1,"")))</f>
        <v/>
      </c>
      <c r="Y54" s="14">
        <f>IF(OR(Y53="",X53=""),"",IF(X53&lt;=0,"",IFERROR(Y53/X53-1,"")))</f>
        <v/>
      </c>
      <c r="Z54" s="15">
        <f>IF(OR(Z53="",Y53=""),"",IF(Y53&lt;=0,"",IFERROR(Z53/Y53-1,"")))</f>
        <v/>
      </c>
      <c r="AA54" s="15">
        <f>IF(OR(AA53="",Z53=""),"",IF(Z53&lt;=0,"",IFERROR(AA53/Z53-1,"")))</f>
        <v/>
      </c>
      <c r="AB54" s="15">
        <f>IF(OR(AB53="",AA53=""),"",IF(AA53&lt;=0,"",IFERROR(AB53/AA53-1,"")))</f>
        <v/>
      </c>
      <c r="AC54" s="15">
        <f>IF(OR(AC53="",AB53=""),"",IF(AB53&lt;=0,"",IFERROR(AC53/AB53-1,"")))</f>
        <v/>
      </c>
    </row>
    <row r="55">
      <c r="A55" s="9" t="inlineStr">
        <is>
          <t>지배주주 순이익</t>
        </is>
      </c>
      <c r="B55" s="10" t="n"/>
      <c r="C55" s="11" t="n">
        <v>-30.107</v>
      </c>
      <c r="D55" s="12" t="n">
        <v>72.85899999999999</v>
      </c>
      <c r="E55" s="12" t="n">
        <v>-31.63</v>
      </c>
      <c r="F55" s="12" t="n">
        <v>0.41</v>
      </c>
      <c r="G55" s="12" t="n">
        <v>89.033</v>
      </c>
      <c r="H55" s="12" t="n">
        <v>142.84</v>
      </c>
      <c r="I55" s="12" t="n">
        <v>132.435</v>
      </c>
      <c r="J55" s="12" t="n">
        <v>42.743</v>
      </c>
      <c r="K55" s="12" t="n">
        <v>60.96</v>
      </c>
      <c r="L55" s="12" t="n">
        <v>155.274</v>
      </c>
      <c r="M55" s="12" t="n">
        <v>68.11799999999999</v>
      </c>
      <c r="N55" s="12" t="n">
        <v>69.33</v>
      </c>
      <c r="O55" s="11" t="n"/>
      <c r="P55" s="12" t="n"/>
      <c r="Q55" s="12" t="n">
        <v>57.389</v>
      </c>
      <c r="R55" s="12" t="n">
        <v>215.734</v>
      </c>
      <c r="S55" s="12" t="n">
        <v>327.653</v>
      </c>
      <c r="T55" s="12" t="n">
        <v>72.538</v>
      </c>
      <c r="U55" s="12" t="n">
        <v>216.039</v>
      </c>
      <c r="V55" s="12" t="n">
        <v>11.532</v>
      </c>
      <c r="W55" s="12" t="n">
        <v>407.051</v>
      </c>
      <c r="X55" s="12" t="n">
        <v>353.682</v>
      </c>
      <c r="Y55" s="11">
        <f>IF(OR(Y53="",Y56=""),"",IFERROR(Y53*Y56,""))</f>
        <v/>
      </c>
      <c r="Z55" s="12">
        <f>IF(OR(Z53="",Z56=""),"",IFERROR(Z53*Z56,""))</f>
        <v/>
      </c>
      <c r="AA55" s="12">
        <f>IF(OR(AA53="",AA56=""),"",IFERROR(AA53*AA56,""))</f>
        <v/>
      </c>
      <c r="AB55" s="12">
        <f>IF(OR(AB53="",AB56=""),"",IFERROR(AB53*AB56,""))</f>
        <v/>
      </c>
      <c r="AC55" s="12">
        <f>IF(OR(AC53="",AC56=""),"",IFERROR(AC53*AC56,""))</f>
        <v/>
      </c>
    </row>
    <row r="56">
      <c r="A56" s="13" t="inlineStr">
        <is>
          <t>지배주주 순이익률</t>
        </is>
      </c>
      <c r="B56" s="10" t="inlineStr">
        <is>
          <t>MW 기본 100%</t>
        </is>
      </c>
      <c r="C56" s="14">
        <f>IF(OR(C55="",C53=""),"",IFERROR(C55/C53,""))</f>
        <v/>
      </c>
      <c r="D56" s="15">
        <f>IF(OR(D55="",D53=""),"",IFERROR(D55/D53,""))</f>
        <v/>
      </c>
      <c r="E56" s="15">
        <f>IF(OR(E55="",E53=""),"",IFERROR(E55/E53,""))</f>
        <v/>
      </c>
      <c r="F56" s="15">
        <f>IF(OR(F55="",F53=""),"",IFERROR(F55/F53,""))</f>
        <v/>
      </c>
      <c r="G56" s="15">
        <f>IF(OR(G55="",G53=""),"",IFERROR(G55/G53,""))</f>
        <v/>
      </c>
      <c r="H56" s="15">
        <f>IF(OR(H55="",H53=""),"",IFERROR(H55/H53,""))</f>
        <v/>
      </c>
      <c r="I56" s="15">
        <f>IF(OR(I55="",I53=""),"",IFERROR(I55/I53,""))</f>
        <v/>
      </c>
      <c r="J56" s="15">
        <f>IF(OR(J55="",J53=""),"",IFERROR(J55/J53,""))</f>
        <v/>
      </c>
      <c r="K56" s="15">
        <f>IF(OR(K55="",K53=""),"",IFERROR(K55/K53,""))</f>
        <v/>
      </c>
      <c r="L56" s="15">
        <f>IF(OR(L55="",L53=""),"",IFERROR(L55/L53,""))</f>
        <v/>
      </c>
      <c r="M56" s="15">
        <f>IF(OR(M55="",M53=""),"",IFERROR(M55/M53,""))</f>
        <v/>
      </c>
      <c r="N56" s="15">
        <f>IF(OR(N55="",N53=""),"",IFERROR(N55/N53,""))</f>
        <v/>
      </c>
      <c r="O56" s="14">
        <f>IF(OR(O55="",O53=""),"",IFERROR(O55/O53,""))</f>
        <v/>
      </c>
      <c r="P56" s="15">
        <f>IF(OR(P55="",P53=""),"",IFERROR(P55/P53,""))</f>
        <v/>
      </c>
      <c r="Q56" s="15">
        <f>IF(OR(Q55="",Q53=""),"",IFERROR(Q55/Q53,""))</f>
        <v/>
      </c>
      <c r="R56" s="15">
        <f>IF(OR(R55="",R53=""),"",IFERROR(R55/R53,""))</f>
        <v/>
      </c>
      <c r="S56" s="15">
        <f>IF(OR(S55="",S53=""),"",IFERROR(S55/S53,""))</f>
        <v/>
      </c>
      <c r="T56" s="15">
        <f>IF(OR(T55="",T53=""),"",IFERROR(T55/T53,""))</f>
        <v/>
      </c>
      <c r="U56" s="15">
        <f>IF(OR(U55="",U53=""),"",IFERROR(U55/U53,""))</f>
        <v/>
      </c>
      <c r="V56" s="15">
        <f>IF(OR(V55="",V53=""),"",IFERROR(V55/V53,""))</f>
        <v/>
      </c>
      <c r="W56" s="15">
        <f>IF(OR(W55="",W53=""),"",IFERROR(W55/W53,""))</f>
        <v/>
      </c>
      <c r="X56" s="15">
        <f>IF(OR(X55="",X53=""),"",IFERROR(X55/X53,""))</f>
        <v/>
      </c>
      <c r="Y56" s="25" t="n">
        <v>1</v>
      </c>
      <c r="Z56" s="26" t="n">
        <v>1</v>
      </c>
      <c r="AA56" s="26" t="n">
        <v>1</v>
      </c>
      <c r="AB56" s="26" t="n">
        <v>1</v>
      </c>
      <c r="AC56" s="26" t="n">
        <v>1</v>
      </c>
    </row>
    <row r="57">
      <c r="A57" s="13" t="inlineStr">
        <is>
          <t>지배주주 순이익 YoY</t>
        </is>
      </c>
      <c r="B57" s="10" t="n"/>
      <c r="C57" s="14" t="n"/>
      <c r="D57" s="15" t="n"/>
      <c r="E57" s="15" t="n"/>
      <c r="F57" s="15" t="n"/>
      <c r="G57" s="15">
        <f>IF(OR(G55="",C55=""),"",IF(C55&lt;=0,"",IFERROR(G55/C55-1,"")))</f>
        <v/>
      </c>
      <c r="H57" s="15">
        <f>IF(OR(H55="",D55=""),"",IF(D55&lt;=0,"",IFERROR(H55/D55-1,"")))</f>
        <v/>
      </c>
      <c r="I57" s="15">
        <f>IF(OR(I55="",E55=""),"",IF(E55&lt;=0,"",IFERROR(I55/E55-1,"")))</f>
        <v/>
      </c>
      <c r="J57" s="15">
        <f>IF(OR(J55="",F55=""),"",IF(F55&lt;=0,"",IFERROR(J55/F55-1,"")))</f>
        <v/>
      </c>
      <c r="K57" s="15">
        <f>IF(OR(K55="",G55=""),"",IF(G55&lt;=0,"",IFERROR(K55/G55-1,"")))</f>
        <v/>
      </c>
      <c r="L57" s="15">
        <f>IF(OR(L55="",H55=""),"",IF(H55&lt;=0,"",IFERROR(L55/H55-1,"")))</f>
        <v/>
      </c>
      <c r="M57" s="15">
        <f>IF(OR(M55="",I55=""),"",IF(I55&lt;=0,"",IFERROR(M55/I55-1,"")))</f>
        <v/>
      </c>
      <c r="N57" s="15">
        <f>IF(OR(N55="",J55=""),"",IF(J55&lt;=0,"",IFERROR(N55/J55-1,"")))</f>
        <v/>
      </c>
      <c r="O57" s="14" t="n"/>
      <c r="P57" s="15">
        <f>IF(OR(P55="",O55=""),"",IF(O55&lt;=0,"",IFERROR(P55/O55-1,"")))</f>
        <v/>
      </c>
      <c r="Q57" s="15">
        <f>IF(OR(Q55="",P55=""),"",IF(P55&lt;=0,"",IFERROR(Q55/P55-1,"")))</f>
        <v/>
      </c>
      <c r="R57" s="15">
        <f>IF(OR(R55="",Q55=""),"",IF(Q55&lt;=0,"",IFERROR(R55/Q55-1,"")))</f>
        <v/>
      </c>
      <c r="S57" s="15">
        <f>IF(OR(S55="",R55=""),"",IF(R55&lt;=0,"",IFERROR(S55/R55-1,"")))</f>
        <v/>
      </c>
      <c r="T57" s="15">
        <f>IF(OR(T55="",S55=""),"",IF(S55&lt;=0,"",IFERROR(T55/S55-1,"")))</f>
        <v/>
      </c>
      <c r="U57" s="15">
        <f>IF(OR(U55="",T55=""),"",IF(T55&lt;=0,"",IFERROR(U55/T55-1,"")))</f>
        <v/>
      </c>
      <c r="V57" s="15">
        <f>IF(OR(V55="",U55=""),"",IF(U55&lt;=0,"",IFERROR(V55/U55-1,"")))</f>
        <v/>
      </c>
      <c r="W57" s="15">
        <f>IF(OR(W55="",V55=""),"",IF(V55&lt;=0,"",IFERROR(W55/V55-1,"")))</f>
        <v/>
      </c>
      <c r="X57" s="15">
        <f>IF(OR(X55="",W55=""),"",IF(W55&lt;=0,"",IFERROR(X55/W55-1,"")))</f>
        <v/>
      </c>
      <c r="Y57" s="14">
        <f>IF(OR(Y55="",X55=""),"",IF(X55&lt;=0,"",IFERROR(Y55/X55-1,"")))</f>
        <v/>
      </c>
      <c r="Z57" s="15">
        <f>IF(OR(Z55="",Y55=""),"",IF(Y55&lt;=0,"",IFERROR(Z55/Y55-1,"")))</f>
        <v/>
      </c>
      <c r="AA57" s="15">
        <f>IF(OR(AA55="",Z55=""),"",IF(Z55&lt;=0,"",IFERROR(AA55/Z55-1,"")))</f>
        <v/>
      </c>
      <c r="AB57" s="15">
        <f>IF(OR(AB55="",AA55=""),"",IF(AA55&lt;=0,"",IFERROR(AB55/AA55-1,"")))</f>
        <v/>
      </c>
      <c r="AC57" s="15">
        <f>IF(OR(AC55="",AB55=""),"",IF(AB55&lt;=0,"",IFERROR(AC55/AB55-1,"")))</f>
        <v/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(2026.10.28)</t>
        </is>
      </c>
      <c r="B59" s="27" t="n">
        <v>452</v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>
        <v>9250820</v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IF(O26="","",O26)</f>
        <v/>
      </c>
      <c r="P62" s="15">
        <f>IF(P26="","",P26)</f>
        <v/>
      </c>
      <c r="Q62" s="15">
        <f>IF(Q26="","",Q26)</f>
        <v/>
      </c>
      <c r="R62" s="15">
        <f>IF(R26="","",R26)</f>
        <v/>
      </c>
      <c r="S62" s="15">
        <f>IF(S26="","",S26)</f>
        <v/>
      </c>
      <c r="T62" s="15">
        <f>IF(T26="","",T26)</f>
        <v/>
      </c>
      <c r="U62" s="15">
        <f>IF(U26="","",U26)</f>
        <v/>
      </c>
      <c r="V62" s="15">
        <f>IF(V26="","",V26)</f>
        <v/>
      </c>
      <c r="W62" s="15">
        <f>IF(W26="","",W26)</f>
        <v/>
      </c>
      <c r="X62" s="15">
        <f>IF(X26="","",X26)</f>
        <v/>
      </c>
      <c r="Y62" s="14">
        <f>IF(Y26="","",Y26)</f>
        <v/>
      </c>
      <c r="Z62" s="15">
        <f>IF(Z26="","",Z26)</f>
        <v/>
      </c>
      <c r="AA62" s="15">
        <f>IF(AA26="","",AA26)</f>
        <v/>
      </c>
      <c r="AB62" s="15">
        <f>IF(AB26="","",AB26)</f>
        <v/>
      </c>
      <c r="AC62" s="15">
        <f>IF(AC26="","",AC26)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IF(OR(P55="",O55=""),"",IFERROR(P55/O55-1,""))</f>
        <v/>
      </c>
      <c r="Q63" s="15">
        <f>IF(OR(Q55="",P55=""),"",IFERROR(Q55/P55-1,""))</f>
        <v/>
      </c>
      <c r="R63" s="15">
        <f>IF(OR(R55="",Q55=""),"",IFERROR(R55/Q55-1,""))</f>
        <v/>
      </c>
      <c r="S63" s="15">
        <f>IF(OR(S55="",R55=""),"",IFERROR(S55/R55-1,""))</f>
        <v/>
      </c>
      <c r="T63" s="15">
        <f>IF(OR(T55="",S55=""),"",IFERROR(T55/S55-1,""))</f>
        <v/>
      </c>
      <c r="U63" s="15">
        <f>IF(OR(U55="",T55=""),"",IFERROR(U55/T55-1,""))</f>
        <v/>
      </c>
      <c r="V63" s="15">
        <f>IF(OR(V55="",U55=""),"",IFERROR(V55/U55-1,""))</f>
        <v/>
      </c>
      <c r="W63" s="15">
        <f>IF(OR(W55="",V55=""),"",IFERROR(W55/V55-1,""))</f>
        <v/>
      </c>
      <c r="X63" s="15">
        <f>IF(OR(X55="",W55=""),"",IFERROR(X55/W55-1,""))</f>
        <v/>
      </c>
      <c r="Y63" s="14">
        <f>IF(OR(Y55="",X55=""),"",IFERROR(Y55/X55-1,""))</f>
        <v/>
      </c>
      <c r="Z63" s="15">
        <f>IF(OR(Z55="",Y55=""),"",IFERROR(Z55/Y55-1,""))</f>
        <v/>
      </c>
      <c r="AA63" s="15">
        <f>IF(OR(AA55="",Z55=""),"",IFERROR(AA55/Z55-1,""))</f>
        <v/>
      </c>
      <c r="AB63" s="15">
        <f>IF(OR(AB55="",AA55=""),"",IFERROR(AB55/AA55-1,""))</f>
        <v/>
      </c>
      <c r="AC63" s="15">
        <f>IF(OR(AC55="",AB55=""),"",IFERROR(AC55/AB55-1,""))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IF(OR($B$61="",X55=""),"",IFERROR($B$61/X55,""))</f>
        <v/>
      </c>
      <c r="Y64" s="30">
        <f>IF(OR($B$61="",Y55=""),"",IFERROR($B$61/Y55,""))</f>
        <v/>
      </c>
      <c r="Z64" s="31">
        <f>IF(OR($B$61="",Z55=""),"",IFERROR($B$61/Z55,""))</f>
        <v/>
      </c>
      <c r="AA64" s="31">
        <f>IF(OR($B$61="",AA55=""),"",IFERROR($B$61/AA55,""))</f>
        <v/>
      </c>
      <c r="AB64" s="31">
        <f>IF(OR($B$61="",AB55=""),"",IFERROR($B$61/AB55,""))</f>
        <v/>
      </c>
      <c r="AC64" s="31">
        <f>IF(OR($B$61="",AC55=""),"",IFERROR($B$61/AC55,""))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IF(OR(O55="",$B$60=""),"",IFERROR(O55*1000000.0/$B$60,""))</f>
        <v/>
      </c>
      <c r="P66" s="29">
        <f>IF(OR(P55="",$B$60=""),"",IFERROR(P55*1000000.0/$B$60,""))</f>
        <v/>
      </c>
      <c r="Q66" s="29">
        <f>IF(OR(Q55="",$B$60=""),"",IFERROR(Q55*1000000.0/$B$60,""))</f>
        <v/>
      </c>
      <c r="R66" s="29">
        <f>IF(OR(R55="",$B$60=""),"",IFERROR(R55*1000000.0/$B$60,""))</f>
        <v/>
      </c>
      <c r="S66" s="29">
        <f>IF(OR(S55="",$B$60=""),"",IFERROR(S55*1000000.0/$B$60,""))</f>
        <v/>
      </c>
      <c r="T66" s="29">
        <f>IF(OR(T55="",$B$60=""),"",IFERROR(T55*1000000.0/$B$60,""))</f>
        <v/>
      </c>
      <c r="U66" s="29">
        <f>IF(OR(U55="",$B$60=""),"",IFERROR(U55*1000000.0/$B$60,""))</f>
        <v/>
      </c>
      <c r="V66" s="29">
        <f>IF(OR(V55="",$B$60=""),"",IFERROR(V55*1000000.0/$B$60,""))</f>
        <v/>
      </c>
      <c r="W66" s="29">
        <f>IF(OR(W55="",$B$60=""),"",IFERROR(W55*1000000.0/$B$60,""))</f>
        <v/>
      </c>
      <c r="X66" s="29">
        <f>IF(OR(X55="",$B$60=""),"",IFERROR(X55*1000000.0/$B$60,""))</f>
        <v/>
      </c>
      <c r="Y66" s="28">
        <f>IF(OR(Y55="",$B$60=""),"",IFERROR(Y55*1000000.0/$B$60,""))</f>
        <v/>
      </c>
      <c r="Z66" s="29">
        <f>IF(OR(Z55="",$B$60=""),"",IFERROR(Z55*1000000.0/$B$60,""))</f>
        <v/>
      </c>
      <c r="AA66" s="29">
        <f>IF(OR(AA55="",$B$60=""),"",IFERROR(AA55*1000000.0/$B$60,""))</f>
        <v/>
      </c>
      <c r="AB66" s="29">
        <f>IF(OR(AB55="",$B$60=""),"",IFERROR(AB55*1000000.0/$B$60,""))</f>
        <v/>
      </c>
      <c r="AC66" s="29">
        <f>IF(OR(AC55="",$B$60=""),"",IFERROR(AC55*1000000.0/$B$60,""))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IF(OR(Y55="",Y65=""),"",IFERROR(Y55*Y65,""))</f>
        <v/>
      </c>
      <c r="Z78" s="20">
        <f>IF(OR(Z55="",Z65=""),"",IFERROR(Z55*Z65,""))</f>
        <v/>
      </c>
      <c r="AA78" s="20">
        <f>IF(OR(AA55="",AA65=""),"",IFERROR(AA55*AA65,""))</f>
        <v/>
      </c>
      <c r="AB78" s="20">
        <f>IF(OR(AB55="",AB65=""),"",IFERROR(AB55*AB65,""))</f>
        <v/>
      </c>
      <c r="AC78" s="20">
        <f>IF(OR(AC55="",AC65=""),"",IFERROR(AC55*AC65,""))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 2026.10.28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2024.1Q</t>
        </is>
      </c>
      <c r="D89" s="5" t="inlineStr">
        <is>
          <t>2024.2Q</t>
        </is>
      </c>
      <c r="E89" s="5" t="inlineStr">
        <is>
          <t>2024.3Q</t>
        </is>
      </c>
      <c r="F89" s="5" t="inlineStr">
        <is>
          <t>2024.4Q</t>
        </is>
      </c>
      <c r="G89" s="5" t="inlineStr">
        <is>
          <t>2025.1Q</t>
        </is>
      </c>
      <c r="H89" s="5" t="inlineStr">
        <is>
          <t>2025.2Q</t>
        </is>
      </c>
      <c r="I89" s="5" t="inlineStr">
        <is>
          <t>2025.3Q</t>
        </is>
      </c>
      <c r="J89" s="5" t="inlineStr">
        <is>
          <t>2025.4Q</t>
        </is>
      </c>
      <c r="K89" s="5" t="inlineStr">
        <is>
          <t>2026.1Q</t>
        </is>
      </c>
      <c r="L89" s="5" t="inlineStr">
        <is>
          <t>2026.2Q</t>
        </is>
      </c>
      <c r="M89" s="5" t="inlineStr">
        <is>
          <t>2026.3Q</t>
        </is>
      </c>
      <c r="N89" s="5" t="inlineStr">
        <is>
          <t>2026.4Q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1024.444</v>
      </c>
      <c r="D90" s="12" t="n">
        <v>1040.638</v>
      </c>
      <c r="E90" s="12" t="n">
        <v>935.114</v>
      </c>
      <c r="F90" s="12" t="n">
        <v>942.771</v>
      </c>
      <c r="G90" s="12" t="n">
        <v>1214.187</v>
      </c>
      <c r="H90" s="12" t="n">
        <v>1254.768</v>
      </c>
      <c r="I90" s="12" t="n">
        <v>1366.097</v>
      </c>
      <c r="J90" s="12" t="n">
        <v>1250.501</v>
      </c>
      <c r="K90" s="12" t="n">
        <v>1206.36</v>
      </c>
      <c r="L90" s="12" t="n">
        <v>1372.24</v>
      </c>
      <c r="M90" s="12" t="n">
        <v>1269.175</v>
      </c>
      <c r="N90" s="12" t="n">
        <v>1349.484</v>
      </c>
      <c r="T90" s="12" t="n">
        <v>916.265</v>
      </c>
      <c r="U90" s="12" t="n">
        <v>1058.587</v>
      </c>
      <c r="V90" s="12" t="n">
        <v>942.771</v>
      </c>
      <c r="W90" s="12" t="n">
        <v>1250.501</v>
      </c>
      <c r="X90" s="12" t="n">
        <v>1349.484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매출원가</t>
        </is>
      </c>
      <c r="C92" s="20" t="n">
        <v>523.345</v>
      </c>
      <c r="D92" s="20" t="n">
        <v>437.132</v>
      </c>
      <c r="E92" s="20" t="n">
        <v>406.829</v>
      </c>
      <c r="F92" s="20" t="n">
        <v>392.54</v>
      </c>
      <c r="G92" s="20" t="n">
        <v>531.566</v>
      </c>
      <c r="H92" s="20" t="n">
        <v>499.428</v>
      </c>
      <c r="I92" s="20" t="n">
        <v>590.881</v>
      </c>
      <c r="J92" s="20" t="n">
        <v>521.153</v>
      </c>
      <c r="K92" s="20" t="n">
        <v>534.051</v>
      </c>
      <c r="L92" s="20" t="n">
        <v>581.005</v>
      </c>
      <c r="M92" s="20" t="n">
        <v>572.182</v>
      </c>
      <c r="N92" s="20" t="n">
        <v>584.301</v>
      </c>
      <c r="T92" s="20" t="n">
        <v>404.553</v>
      </c>
      <c r="U92" s="20" t="n">
        <v>454.851</v>
      </c>
      <c r="V92" s="20" t="n">
        <v>392.54</v>
      </c>
      <c r="W92" s="20" t="n">
        <v>521.153</v>
      </c>
      <c r="X92" s="20" t="n">
        <v>584.301</v>
      </c>
    </row>
    <row r="93">
      <c r="A93" s="43" t="inlineStr">
        <is>
          <t>YoY</t>
        </is>
      </c>
      <c r="B93" s="3" t="inlineStr">
        <is>
          <t>전년 같은 분기·전년 대비</t>
        </is>
      </c>
      <c r="G93" s="15">
        <f>IF(OR(G92="",C92=""),"",IF(G92*C92&lt;=0,"",IFERROR(G92/C92-1,"")))</f>
        <v/>
      </c>
      <c r="H93" s="15">
        <f>IF(OR(H92="",D92=""),"",IF(H92*D92&lt;=0,"",IFERROR(H92/D92-1,"")))</f>
        <v/>
      </c>
      <c r="I93" s="15">
        <f>IF(OR(I92="",E92=""),"",IF(I92*E92&lt;=0,"",IFERROR(I92/E92-1,"")))</f>
        <v/>
      </c>
      <c r="J93" s="15">
        <f>IF(OR(J92="",F92=""),"",IF(J92*F92&lt;=0,"",IFERROR(J92/F92-1,"")))</f>
        <v/>
      </c>
      <c r="K93" s="15">
        <f>IF(OR(K92="",G92=""),"",IF(K92*G92&lt;=0,"",IFERROR(K92/G92-1,"")))</f>
        <v/>
      </c>
      <c r="L93" s="15">
        <f>IF(OR(L92="",H92=""),"",IF(L92*H92&lt;=0,"",IFERROR(L92/H92-1,"")))</f>
        <v/>
      </c>
      <c r="M93" s="15">
        <f>IF(OR(M92="",I92=""),"",IF(M92*I92&lt;=0,"",IFERROR(M92/I92-1,"")))</f>
        <v/>
      </c>
      <c r="N93" s="15">
        <f>IF(OR(N92="",J92=""),"",IF(N92*J92&lt;=0,"",IFERROR(N92/J92-1,"")))</f>
        <v/>
      </c>
      <c r="T93" s="15">
        <f>IF(OR(T92="",S92=""),"",IF(T92*S92&lt;=0,"",IFERROR(T92/S92-1,"")))</f>
        <v/>
      </c>
      <c r="U93" s="15">
        <f>IF(OR(U92="",T92=""),"",IF(U92*T92&lt;=0,"",IFERROR(U92/T92-1,"")))</f>
        <v/>
      </c>
      <c r="V93" s="15">
        <f>IF(OR(V92="",U92=""),"",IF(V92*U92&lt;=0,"",IFERROR(V92/U92-1,"")))</f>
        <v/>
      </c>
      <c r="W93" s="15">
        <f>IF(OR(W92="",V92=""),"",IF(W92*V92&lt;=0,"",IFERROR(W92/V92-1,"")))</f>
        <v/>
      </c>
      <c r="X93" s="15">
        <f>IF(OR(X92="",W92=""),"",IF(X92*W92&lt;=0,"",IFERROR(X92/W92-1,"")))</f>
        <v/>
      </c>
    </row>
    <row r="94">
      <c r="A94" s="9" t="inlineStr">
        <is>
          <t>매출총이익</t>
        </is>
      </c>
      <c r="C94" s="12" t="n">
        <v>501.099</v>
      </c>
      <c r="D94" s="12" t="n">
        <v>603.505</v>
      </c>
      <c r="E94" s="12" t="n">
        <v>528.285</v>
      </c>
      <c r="F94" s="12" t="n">
        <v>550.232</v>
      </c>
      <c r="G94" s="12" t="n">
        <v>682.62</v>
      </c>
      <c r="H94" s="12" t="n">
        <v>755.341</v>
      </c>
      <c r="I94" s="12" t="n">
        <v>775.216</v>
      </c>
      <c r="J94" s="12" t="n">
        <v>729.347</v>
      </c>
      <c r="K94" s="12" t="n">
        <v>672.309</v>
      </c>
      <c r="L94" s="12" t="n">
        <v>791.234</v>
      </c>
      <c r="M94" s="12" t="n">
        <v>696.994</v>
      </c>
      <c r="N94" s="12" t="n">
        <v>765.183</v>
      </c>
      <c r="T94" s="12" t="n">
        <v>511.712</v>
      </c>
      <c r="U94" s="12" t="n">
        <v>603.736</v>
      </c>
      <c r="V94" s="12" t="n">
        <v>550.232</v>
      </c>
      <c r="W94" s="12" t="n">
        <v>729.347</v>
      </c>
      <c r="X94" s="12" t="n">
        <v>765.183</v>
      </c>
    </row>
    <row r="95">
      <c r="A95" s="43" t="inlineStr">
        <is>
          <t>YoY</t>
        </is>
      </c>
      <c r="B95" s="3" t="inlineStr">
        <is>
          <t>전년 같은 분기·전년 대비</t>
        </is>
      </c>
      <c r="G95" s="15">
        <f>IF(OR(G94="",C94=""),"",IF(C94&lt;=0,"",IFERROR(G94/C94-1,"")))</f>
        <v/>
      </c>
      <c r="H95" s="15">
        <f>IF(OR(H94="",D94=""),"",IF(D94&lt;=0,"",IFERROR(H94/D94-1,"")))</f>
        <v/>
      </c>
      <c r="I95" s="15">
        <f>IF(OR(I94="",E94=""),"",IF(E94&lt;=0,"",IFERROR(I94/E94-1,"")))</f>
        <v/>
      </c>
      <c r="J95" s="15">
        <f>IF(OR(J94="",F94=""),"",IF(F94&lt;=0,"",IFERROR(J94/F94-1,"")))</f>
        <v/>
      </c>
      <c r="K95" s="15">
        <f>IF(OR(K94="",G94=""),"",IF(G94&lt;=0,"",IFERROR(K94/G94-1,"")))</f>
        <v/>
      </c>
      <c r="L95" s="15">
        <f>IF(OR(L94="",H94=""),"",IF(H94&lt;=0,"",IFERROR(L94/H94-1,"")))</f>
        <v/>
      </c>
      <c r="M95" s="15">
        <f>IF(OR(M94="",I94=""),"",IF(I94&lt;=0,"",IFERROR(M94/I94-1,"")))</f>
        <v/>
      </c>
      <c r="N95" s="15">
        <f>IF(OR(N94="",J94=""),"",IF(J94&lt;=0,"",IFERROR(N94/J94-1,"")))</f>
        <v/>
      </c>
      <c r="T95" s="15">
        <f>IF(OR(T94="",S94=""),"",IF(S94&lt;=0,"",IFERROR(T94/S94-1,"")))</f>
        <v/>
      </c>
      <c r="U95" s="15">
        <f>IF(OR(U94="",T94=""),"",IF(T94&lt;=0,"",IFERROR(U94/T94-1,"")))</f>
        <v/>
      </c>
      <c r="V95" s="15">
        <f>IF(OR(V94="",U94=""),"",IF(U94&lt;=0,"",IFERROR(V94/U94-1,"")))</f>
        <v/>
      </c>
      <c r="W95" s="15">
        <f>IF(OR(W94="",V94=""),"",IF(V94&lt;=0,"",IFERROR(W94/V94-1,"")))</f>
        <v/>
      </c>
      <c r="X95" s="15">
        <f>IF(OR(X94="",W94=""),"",IF(W94&lt;=0,"",IFERROR(X94/W94-1,"")))</f>
        <v/>
      </c>
    </row>
    <row r="96">
      <c r="A96" s="18" t="inlineStr">
        <is>
          <t>판매비와 관리비</t>
        </is>
      </c>
      <c r="C96" s="20" t="n">
        <v>529.407</v>
      </c>
      <c r="D96" s="20" t="n">
        <v>499.322</v>
      </c>
      <c r="E96" s="20" t="n">
        <v>568.774</v>
      </c>
      <c r="F96" s="20" t="n">
        <v>551.092</v>
      </c>
      <c r="G96" s="20" t="n">
        <v>553.96</v>
      </c>
      <c r="H96" s="20" t="n">
        <v>554.095</v>
      </c>
      <c r="I96" s="20" t="n">
        <v>595.6799999999999</v>
      </c>
      <c r="J96" s="20" t="n">
        <v>681.3049999999999</v>
      </c>
      <c r="K96" s="20" t="n">
        <v>595.032</v>
      </c>
      <c r="L96" s="20" t="n">
        <v>605.862</v>
      </c>
      <c r="M96" s="20" t="n">
        <v>629.7619999999999</v>
      </c>
      <c r="N96" s="20" t="n">
        <v>648.047</v>
      </c>
      <c r="T96" s="20" t="n">
        <v>499.98</v>
      </c>
      <c r="U96" s="20" t="n">
        <v>569.309</v>
      </c>
      <c r="V96" s="20" t="n">
        <v>551.092</v>
      </c>
      <c r="W96" s="20" t="n">
        <v>681.3049999999999</v>
      </c>
      <c r="X96" s="20" t="n">
        <v>648.047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IF(OR(G96="",C96=""),"",IF(G96*C96&lt;=0,"",IFERROR(G96/C96-1,"")))</f>
        <v/>
      </c>
      <c r="H97" s="15">
        <f>IF(OR(H96="",D96=""),"",IF(H96*D96&lt;=0,"",IFERROR(H96/D96-1,"")))</f>
        <v/>
      </c>
      <c r="I97" s="15">
        <f>IF(OR(I96="",E96=""),"",IF(I96*E96&lt;=0,"",IFERROR(I96/E96-1,"")))</f>
        <v/>
      </c>
      <c r="J97" s="15">
        <f>IF(OR(J96="",F96=""),"",IF(J96*F96&lt;=0,"",IFERROR(J96/F96-1,"")))</f>
        <v/>
      </c>
      <c r="K97" s="15">
        <f>IF(OR(K96="",G96=""),"",IF(K96*G96&lt;=0,"",IFERROR(K96/G96-1,"")))</f>
        <v/>
      </c>
      <c r="L97" s="15">
        <f>IF(OR(L96="",H96=""),"",IF(L96*H96&lt;=0,"",IFERROR(L96/H96-1,"")))</f>
        <v/>
      </c>
      <c r="M97" s="15">
        <f>IF(OR(M96="",I96=""),"",IF(M96*I96&lt;=0,"",IFERROR(M96/I96-1,"")))</f>
        <v/>
      </c>
      <c r="N97" s="15">
        <f>IF(OR(N96="",J96=""),"",IF(N96*J96&lt;=0,"",IFERROR(N96/J96-1,"")))</f>
        <v/>
      </c>
      <c r="T97" s="15">
        <f>IF(OR(T96="",S96=""),"",IF(T96*S96&lt;=0,"",IFERROR(T96/S96-1,"")))</f>
        <v/>
      </c>
      <c r="U97" s="15">
        <f>IF(OR(U96="",T96=""),"",IF(U96*T96&lt;=0,"",IFERROR(U96/T96-1,"")))</f>
        <v/>
      </c>
      <c r="V97" s="15">
        <f>IF(OR(V96="",U96=""),"",IF(V96*U96&lt;=0,"",IFERROR(V96/U96-1,"")))</f>
        <v/>
      </c>
      <c r="W97" s="15">
        <f>IF(OR(W96="",V96=""),"",IF(W96*V96&lt;=0,"",IFERROR(W96/V96-1,"")))</f>
        <v/>
      </c>
      <c r="X97" s="15">
        <f>IF(OR(X96="",W96=""),"",IF(X96*W96&lt;=0,"",IFERROR(X96/W96-1,"")))</f>
        <v/>
      </c>
    </row>
    <row r="98">
      <c r="A98" s="9" t="inlineStr">
        <is>
          <t>영업이익</t>
        </is>
      </c>
      <c r="C98" s="12" t="n">
        <v>-28.307</v>
      </c>
      <c r="D98" s="12" t="n">
        <v>104.181</v>
      </c>
      <c r="E98" s="12" t="n">
        <v>-40.488</v>
      </c>
      <c r="F98" s="12" t="n">
        <v>-0.86</v>
      </c>
      <c r="G98" s="12" t="n">
        <v>128.66</v>
      </c>
      <c r="H98" s="12" t="n">
        <v>201.246</v>
      </c>
      <c r="I98" s="12" t="n">
        <v>179.536</v>
      </c>
      <c r="J98" s="12" t="n">
        <v>48.041</v>
      </c>
      <c r="K98" s="12" t="n">
        <v>77.276</v>
      </c>
      <c r="L98" s="12" t="n">
        <v>185.373</v>
      </c>
      <c r="M98" s="12" t="n">
        <v>67.232</v>
      </c>
      <c r="N98" s="12" t="n">
        <v>117.136</v>
      </c>
      <c r="T98" s="12" t="n">
        <v>11.731</v>
      </c>
      <c r="U98" s="12" t="n">
        <v>34.428</v>
      </c>
      <c r="V98" s="12" t="n">
        <v>-0.86</v>
      </c>
      <c r="W98" s="12" t="n">
        <v>48.041</v>
      </c>
      <c r="X98" s="12" t="n">
        <v>117.136</v>
      </c>
    </row>
    <row r="99">
      <c r="A99" s="43" t="inlineStr">
        <is>
          <t>OPM</t>
        </is>
      </c>
      <c r="B99" s="3" t="inlineStr">
        <is>
          <t>영업이익 ÷ 매출</t>
        </is>
      </c>
      <c r="C99" s="15">
        <f>IF(OR(C98="",C90=""),"",IF(C90&lt;=0,"",IFERROR(C98/C90,"")))</f>
        <v/>
      </c>
      <c r="D99" s="15">
        <f>IF(OR(D98="",D90=""),"",IF(D90&lt;=0,"",IFERROR(D98/D90,"")))</f>
        <v/>
      </c>
      <c r="E99" s="15">
        <f>IF(OR(E98="",E90=""),"",IF(E90&lt;=0,"",IFERROR(E98/E90,"")))</f>
        <v/>
      </c>
      <c r="F99" s="15">
        <f>IF(OR(F98="",F90=""),"",IF(F90&lt;=0,"",IFERROR(F98/F90,"")))</f>
        <v/>
      </c>
      <c r="G99" s="15">
        <f>IF(OR(G98="",G90=""),"",IF(G90&lt;=0,"",IFERROR(G98/G90,"")))</f>
        <v/>
      </c>
      <c r="H99" s="15">
        <f>IF(OR(H98="",H90=""),"",IF(H90&lt;=0,"",IFERROR(H98/H90,"")))</f>
        <v/>
      </c>
      <c r="I99" s="15">
        <f>IF(OR(I98="",I90=""),"",IF(I90&lt;=0,"",IFERROR(I98/I90,"")))</f>
        <v/>
      </c>
      <c r="J99" s="15">
        <f>IF(OR(J98="",J90=""),"",IF(J90&lt;=0,"",IFERROR(J98/J90,"")))</f>
        <v/>
      </c>
      <c r="K99" s="15">
        <f>IF(OR(K98="",K90=""),"",IF(K90&lt;=0,"",IFERROR(K98/K90,"")))</f>
        <v/>
      </c>
      <c r="L99" s="15">
        <f>IF(OR(L98="",L90=""),"",IF(L90&lt;=0,"",IFERROR(L98/L90,"")))</f>
        <v/>
      </c>
      <c r="M99" s="15">
        <f>IF(OR(M98="",M90=""),"",IF(M90&lt;=0,"",IFERROR(M98/M90,"")))</f>
        <v/>
      </c>
      <c r="N99" s="15">
        <f>IF(OR(N98="",N90=""),"",IF(N90&lt;=0,"",IFERROR(N98/N90,"")))</f>
        <v/>
      </c>
      <c r="T99" s="15">
        <f>IF(OR(T98="",T90=""),"",IF(T90&lt;=0,"",IFERROR(T98/T90,"")))</f>
        <v/>
      </c>
      <c r="U99" s="15">
        <f>IF(OR(U98="",U90=""),"",IF(U90&lt;=0,"",IFERROR(U98/U90,"")))</f>
        <v/>
      </c>
      <c r="V99" s="15">
        <f>IF(OR(V98="",V90=""),"",IF(V90&lt;=0,"",IFERROR(V98/V90,"")))</f>
        <v/>
      </c>
      <c r="W99" s="15">
        <f>IF(OR(W98="",W90=""),"",IF(W90&lt;=0,"",IFERROR(W98/W90,"")))</f>
        <v/>
      </c>
      <c r="X99" s="15">
        <f>IF(OR(X98="",X90=""),"",IF(X90&lt;=0,"",IFERROR(X98/X90,"")))</f>
        <v/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IF(OR(G98="",C98=""),"",IF(C98&lt;=0,"",IFERROR(G98/C98-1,"")))</f>
        <v/>
      </c>
      <c r="H100" s="15">
        <f>IF(OR(H98="",D98=""),"",IF(D98&lt;=0,"",IFERROR(H98/D98-1,"")))</f>
        <v/>
      </c>
      <c r="I100" s="15">
        <f>IF(OR(I98="",E98=""),"",IF(E98&lt;=0,"",IFERROR(I98/E98-1,"")))</f>
        <v/>
      </c>
      <c r="J100" s="15">
        <f>IF(OR(J98="",F98=""),"",IF(F98&lt;=0,"",IFERROR(J98/F98-1,"")))</f>
        <v/>
      </c>
      <c r="K100" s="15">
        <f>IF(OR(K98="",G98=""),"",IF(G98&lt;=0,"",IFERROR(K98/G98-1,"")))</f>
        <v/>
      </c>
      <c r="L100" s="15">
        <f>IF(OR(L98="",H98=""),"",IF(H98&lt;=0,"",IFERROR(L98/H98-1,"")))</f>
        <v/>
      </c>
      <c r="M100" s="15">
        <f>IF(OR(M98="",I98=""),"",IF(I98&lt;=0,"",IFERROR(M98/I98-1,"")))</f>
        <v/>
      </c>
      <c r="N100" s="15">
        <f>IF(OR(N98="",J98=""),"",IF(J98&lt;=0,"",IFERROR(N98/J98-1,"")))</f>
        <v/>
      </c>
      <c r="T100" s="15">
        <f>IF(OR(T98="",S98=""),"",IF(S98&lt;=0,"",IFERROR(T98/S98-1,"")))</f>
        <v/>
      </c>
      <c r="U100" s="15">
        <f>IF(OR(U98="",T98=""),"",IF(T98&lt;=0,"",IFERROR(U98/T98-1,"")))</f>
        <v/>
      </c>
      <c r="V100" s="15">
        <f>IF(OR(V98="",U98=""),"",IF(U98&lt;=0,"",IFERROR(V98/U98-1,"")))</f>
        <v/>
      </c>
      <c r="W100" s="15">
        <f>IF(OR(W98="",V98=""),"",IF(V98&lt;=0,"",IFERROR(W98/V98-1,"")))</f>
        <v/>
      </c>
      <c r="X100" s="15">
        <f>IF(OR(X98="",W98=""),"",IF(W98&lt;=0,"",IFERROR(X98/W98-1,"")))</f>
        <v/>
      </c>
    </row>
    <row r="101">
      <c r="A101" s="18" t="inlineStr">
        <is>
          <t>이자수익</t>
        </is>
      </c>
      <c r="C101" s="20" t="n">
        <v>0.07000000000000001</v>
      </c>
      <c r="D101" s="20" t="n">
        <v>0.08500000000000001</v>
      </c>
      <c r="E101" s="20" t="n">
        <v>0.07000000000000001</v>
      </c>
      <c r="F101" s="20" t="n">
        <v>0.321</v>
      </c>
      <c r="G101" s="20" t="n">
        <v>0.076</v>
      </c>
      <c r="H101" s="20" t="n">
        <v>1.491</v>
      </c>
      <c r="I101" s="20" t="n">
        <v>0.098</v>
      </c>
      <c r="J101" s="20" t="n">
        <v>2.602</v>
      </c>
      <c r="K101" s="20" t="n">
        <v>0.103</v>
      </c>
      <c r="L101" s="20" t="n">
        <v>2.451</v>
      </c>
      <c r="M101" s="20" t="n">
        <v>0.113</v>
      </c>
      <c r="N101" s="20" t="n">
        <v>5.416</v>
      </c>
      <c r="T101" s="20" t="n">
        <v>0.014</v>
      </c>
      <c r="U101" s="20" t="n">
        <v>0.06</v>
      </c>
      <c r="V101" s="20" t="n">
        <v>0.321</v>
      </c>
      <c r="W101" s="20" t="n">
        <v>2.602</v>
      </c>
      <c r="X101" s="20" t="n">
        <v>5.416</v>
      </c>
    </row>
    <row r="102">
      <c r="A102" s="18" t="inlineStr">
        <is>
          <t>배당금수익</t>
        </is>
      </c>
      <c r="F102" s="20" t="n">
        <v>0</v>
      </c>
      <c r="G102" s="20" t="n">
        <v>0</v>
      </c>
      <c r="H102" s="20" t="n">
        <v>0</v>
      </c>
      <c r="I102" s="20" t="n">
        <v>10.033</v>
      </c>
      <c r="J102" s="20" t="n">
        <v>23.729</v>
      </c>
      <c r="K102" s="20" t="n">
        <v>33.167</v>
      </c>
      <c r="L102" s="20" t="n">
        <v>31.663</v>
      </c>
      <c r="M102" s="20" t="n">
        <v>29.991</v>
      </c>
      <c r="N102" s="20" t="n">
        <v>29.956</v>
      </c>
      <c r="V102" s="20" t="n">
        <v>0</v>
      </c>
      <c r="W102" s="20" t="n">
        <v>23.729</v>
      </c>
      <c r="X102" s="20" t="n">
        <v>29.956</v>
      </c>
    </row>
    <row r="103">
      <c r="A103" s="18" t="inlineStr">
        <is>
          <t>지분법이익</t>
        </is>
      </c>
      <c r="C103" s="20" t="n">
        <v>2.698</v>
      </c>
      <c r="D103" s="20" t="n">
        <v>5.574</v>
      </c>
      <c r="E103" s="20" t="n">
        <v>4.397</v>
      </c>
      <c r="F103" s="20" t="n">
        <v>2.491</v>
      </c>
      <c r="G103" s="20" t="n">
        <v>6.406</v>
      </c>
      <c r="H103" s="20" t="n">
        <v>6.35</v>
      </c>
      <c r="I103" s="20" t="n">
        <v>4.896</v>
      </c>
      <c r="J103" s="20" t="n">
        <v>4.089</v>
      </c>
      <c r="K103" s="20" t="n">
        <v>5.965</v>
      </c>
      <c r="L103" s="20" t="n">
        <v>8.215</v>
      </c>
      <c r="M103" s="20" t="n">
        <v>3.854</v>
      </c>
      <c r="N103" s="20" t="n">
        <v>5.097</v>
      </c>
      <c r="T103" s="20" t="n">
        <v>0</v>
      </c>
      <c r="U103" s="20" t="n">
        <v>2.309</v>
      </c>
      <c r="V103" s="20" t="n">
        <v>2.491</v>
      </c>
      <c r="W103" s="20" t="n">
        <v>4.089</v>
      </c>
      <c r="X103" s="20" t="n">
        <v>5.097</v>
      </c>
    </row>
    <row r="104">
      <c r="A104" s="18" t="inlineStr">
        <is>
          <t>외환차익</t>
        </is>
      </c>
      <c r="C104" s="20" t="n">
        <v>0.154</v>
      </c>
      <c r="D104" s="20" t="n">
        <v>0.032</v>
      </c>
      <c r="E104" s="20" t="n">
        <v>0.055</v>
      </c>
      <c r="F104" s="20" t="n">
        <v>-0.108</v>
      </c>
      <c r="G104" s="20" t="n">
        <v>0.053</v>
      </c>
      <c r="H104" s="20" t="n">
        <v>-0.008999999999999999</v>
      </c>
      <c r="I104" s="20" t="n">
        <v>0.13</v>
      </c>
      <c r="J104" s="20" t="n">
        <v>0.195</v>
      </c>
      <c r="K104" s="20" t="n">
        <v>0.281</v>
      </c>
      <c r="L104" s="20" t="n">
        <v>0.046</v>
      </c>
      <c r="M104" s="20" t="n">
        <v>0.059</v>
      </c>
      <c r="N104" s="20" t="n">
        <v>0.001</v>
      </c>
      <c r="T104" s="20" t="n">
        <v>0.126</v>
      </c>
      <c r="U104" s="20" t="n">
        <v>0</v>
      </c>
      <c r="V104" s="20" t="n">
        <v>-0.108</v>
      </c>
      <c r="W104" s="20" t="n">
        <v>0.195</v>
      </c>
      <c r="X104" s="20" t="n">
        <v>0.001</v>
      </c>
    </row>
    <row r="105">
      <c r="A105" s="18" t="inlineStr">
        <is>
          <t>임대료 수익</t>
        </is>
      </c>
      <c r="T105" s="20" t="n">
        <v>2.724</v>
      </c>
      <c r="U105" s="20" t="n">
        <v>0</v>
      </c>
    </row>
    <row r="106">
      <c r="A106" s="18" t="inlineStr">
        <is>
          <t>기타</t>
        </is>
      </c>
      <c r="C106" s="20" t="n">
        <v>0.392</v>
      </c>
      <c r="D106" s="20" t="n">
        <v>1.475</v>
      </c>
      <c r="E106" s="20" t="n">
        <v>0.275</v>
      </c>
      <c r="F106" s="20" t="n">
        <v>0.735</v>
      </c>
      <c r="G106" s="20" t="n">
        <v>1.079</v>
      </c>
      <c r="H106" s="20" t="n">
        <v>1.701</v>
      </c>
      <c r="I106" s="20" t="n">
        <v>0.118</v>
      </c>
      <c r="J106" s="20" t="n">
        <v>0.518</v>
      </c>
      <c r="K106" s="20" t="n">
        <v>0.908</v>
      </c>
      <c r="L106" s="20" t="n">
        <v>1.788</v>
      </c>
      <c r="M106" s="20" t="n">
        <v>1.078</v>
      </c>
      <c r="N106" s="20" t="n">
        <v>1.16</v>
      </c>
      <c r="T106" s="20" t="n">
        <v>0.26</v>
      </c>
      <c r="U106" s="20" t="n">
        <v>0.23</v>
      </c>
      <c r="V106" s="20" t="n">
        <v>0.735</v>
      </c>
      <c r="W106" s="20" t="n">
        <v>0.518</v>
      </c>
      <c r="X106" s="20" t="n">
        <v>1.16</v>
      </c>
    </row>
    <row r="107">
      <c r="A107" s="18" t="inlineStr">
        <is>
          <t>영업외수익 합계</t>
        </is>
      </c>
      <c r="C107" s="20" t="n">
        <v>3.314</v>
      </c>
      <c r="D107" s="20" t="n">
        <v>7.167</v>
      </c>
      <c r="E107" s="20" t="n">
        <v>4.798</v>
      </c>
      <c r="F107" s="20" t="n">
        <v>3.439</v>
      </c>
      <c r="G107" s="20" t="n">
        <v>7.616</v>
      </c>
      <c r="H107" s="20" t="n">
        <v>9.531000000000001</v>
      </c>
      <c r="I107" s="20" t="n">
        <v>15.278</v>
      </c>
      <c r="J107" s="20" t="n">
        <v>31.133</v>
      </c>
      <c r="K107" s="20" t="n">
        <v>40.426</v>
      </c>
      <c r="L107" s="20" t="n">
        <v>44.163</v>
      </c>
      <c r="M107" s="20" t="n">
        <v>35.096</v>
      </c>
      <c r="N107" s="20" t="n">
        <v>41.63</v>
      </c>
      <c r="T107" s="20" t="n">
        <v>3.123</v>
      </c>
      <c r="U107" s="20" t="n">
        <v>2.599</v>
      </c>
      <c r="V107" s="20" t="n">
        <v>3.439</v>
      </c>
      <c r="W107" s="20" t="n">
        <v>31.133</v>
      </c>
      <c r="X107" s="20" t="n">
        <v>41.63</v>
      </c>
    </row>
    <row r="108">
      <c r="A108" s="43" t="inlineStr">
        <is>
          <t>YoY</t>
        </is>
      </c>
      <c r="B108" s="3" t="inlineStr">
        <is>
          <t>전년 같은 분기·전년 대비</t>
        </is>
      </c>
      <c r="G108" s="15">
        <f>IF(OR(G107="",C107=""),"",IF(G107*C107&lt;=0,"",IFERROR(G107/C107-1,"")))</f>
        <v/>
      </c>
      <c r="H108" s="15">
        <f>IF(OR(H107="",D107=""),"",IF(H107*D107&lt;=0,"",IFERROR(H107/D107-1,"")))</f>
        <v/>
      </c>
      <c r="I108" s="15">
        <f>IF(OR(I107="",E107=""),"",IF(I107*E107&lt;=0,"",IFERROR(I107/E107-1,"")))</f>
        <v/>
      </c>
      <c r="J108" s="15">
        <f>IF(OR(J107="",F107=""),"",IF(J107*F107&lt;=0,"",IFERROR(J107/F107-1,"")))</f>
        <v/>
      </c>
      <c r="K108" s="15">
        <f>IF(OR(K107="",G107=""),"",IF(K107*G107&lt;=0,"",IFERROR(K107/G107-1,"")))</f>
        <v/>
      </c>
      <c r="L108" s="15">
        <f>IF(OR(L107="",H107=""),"",IF(L107*H107&lt;=0,"",IFERROR(L107/H107-1,"")))</f>
        <v/>
      </c>
      <c r="M108" s="15">
        <f>IF(OR(M107="",I107=""),"",IF(M107*I107&lt;=0,"",IFERROR(M107/I107-1,"")))</f>
        <v/>
      </c>
      <c r="N108" s="15">
        <f>IF(OR(N107="",J107=""),"",IF(N107*J107&lt;=0,"",IFERROR(N107/J107-1,"")))</f>
        <v/>
      </c>
      <c r="T108" s="15">
        <f>IF(OR(T107="",S107=""),"",IF(T107*S107&lt;=0,"",IFERROR(T107/S107-1,"")))</f>
        <v/>
      </c>
      <c r="U108" s="15">
        <f>IF(OR(U107="",T107=""),"",IF(U107*T107&lt;=0,"",IFERROR(U107/T107-1,"")))</f>
        <v/>
      </c>
      <c r="V108" s="15">
        <f>IF(OR(V107="",U107=""),"",IF(V107*U107&lt;=0,"",IFERROR(V107/U107-1,"")))</f>
        <v/>
      </c>
      <c r="W108" s="15">
        <f>IF(OR(W107="",V107=""),"",IF(W107*V107&lt;=0,"",IFERROR(W107/V107-1,"")))</f>
        <v/>
      </c>
      <c r="X108" s="15">
        <f>IF(OR(X107="",W107=""),"",IF(X107*W107&lt;=0,"",IFERROR(X107/W107-1,"")))</f>
        <v/>
      </c>
    </row>
    <row r="109">
      <c r="A109" s="18" t="inlineStr">
        <is>
          <t>이자비용</t>
        </is>
      </c>
      <c r="C109" s="20" t="n">
        <v>0.235</v>
      </c>
      <c r="D109" s="20" t="n">
        <v>0.195</v>
      </c>
      <c r="E109" s="20" t="n">
        <v>0.551</v>
      </c>
      <c r="F109" s="20" t="n">
        <v>0.5590000000000001</v>
      </c>
      <c r="G109" s="20" t="n">
        <v>0.573</v>
      </c>
      <c r="H109" s="20" t="n">
        <v>0.636</v>
      </c>
      <c r="I109" s="20" t="n">
        <v>0.64</v>
      </c>
      <c r="J109" s="20" t="n">
        <v>0.543</v>
      </c>
      <c r="K109" s="20" t="n">
        <v>0.538</v>
      </c>
      <c r="L109" s="20" t="n">
        <v>0.536</v>
      </c>
      <c r="M109" s="20" t="n">
        <v>0.503</v>
      </c>
      <c r="N109" s="20" t="n">
        <v>0.298</v>
      </c>
      <c r="T109" s="20" t="n">
        <v>0.996</v>
      </c>
      <c r="U109" s="20" t="n">
        <v>0.273</v>
      </c>
      <c r="V109" s="20" t="n">
        <v>0.5590000000000001</v>
      </c>
      <c r="W109" s="20" t="n">
        <v>0.543</v>
      </c>
      <c r="X109" s="20" t="n">
        <v>0.298</v>
      </c>
    </row>
    <row r="110">
      <c r="A110" s="18" t="inlineStr">
        <is>
          <t>외환차손</t>
        </is>
      </c>
      <c r="C110" s="20" t="n">
        <v>0</v>
      </c>
      <c r="D110" s="20" t="n">
        <v>0</v>
      </c>
      <c r="E110" s="20" t="n">
        <v>0</v>
      </c>
      <c r="F110" s="20" t="n">
        <v>0</v>
      </c>
      <c r="T110" s="20" t="n">
        <v>0</v>
      </c>
      <c r="U110" s="20" t="n">
        <v>-0.128</v>
      </c>
      <c r="V110" s="20" t="n">
        <v>0</v>
      </c>
    </row>
    <row r="111">
      <c r="A111" s="18" t="inlineStr">
        <is>
          <t>주식교부비</t>
        </is>
      </c>
      <c r="C111" s="20" t="n">
        <v>0.063</v>
      </c>
      <c r="D111" s="20" t="n">
        <v>0.03</v>
      </c>
      <c r="E111" s="20" t="n">
        <v>0.01</v>
      </c>
      <c r="F111" s="20" t="n">
        <v>0.065</v>
      </c>
      <c r="G111" s="20" t="n">
        <v>0</v>
      </c>
      <c r="H111" s="20" t="n">
        <v>0</v>
      </c>
      <c r="I111" s="20" t="n">
        <v>0.03</v>
      </c>
      <c r="J111" s="20" t="n">
        <v>0.008</v>
      </c>
      <c r="K111" s="20" t="n">
        <v>0.035</v>
      </c>
      <c r="L111" s="20" t="n">
        <v>-0.004</v>
      </c>
      <c r="M111" s="20" t="n">
        <v>0</v>
      </c>
      <c r="N111" s="20" t="n">
        <v>0</v>
      </c>
      <c r="T111" s="20" t="n">
        <v>0.048</v>
      </c>
      <c r="U111" s="20" t="n">
        <v>0.043</v>
      </c>
      <c r="V111" s="20" t="n">
        <v>0.065</v>
      </c>
      <c r="W111" s="20" t="n">
        <v>0.008</v>
      </c>
      <c r="X111" s="20" t="n">
        <v>0</v>
      </c>
    </row>
    <row r="112">
      <c r="A112" s="18" t="inlineStr">
        <is>
          <t>신주예약권 발행비</t>
        </is>
      </c>
      <c r="E112" s="20" t="n">
        <v>0</v>
      </c>
      <c r="F112" s="20" t="n">
        <v>0</v>
      </c>
      <c r="I112" s="20" t="n">
        <v>0</v>
      </c>
      <c r="J112" s="20" t="n">
        <v>0</v>
      </c>
      <c r="M112" s="20" t="n">
        <v>0</v>
      </c>
      <c r="N112" s="20" t="n">
        <v>0</v>
      </c>
      <c r="U112" s="20" t="n">
        <v>0</v>
      </c>
      <c r="V112" s="20" t="n">
        <v>0</v>
      </c>
      <c r="W112" s="20" t="n">
        <v>0</v>
      </c>
      <c r="X112" s="20" t="n">
        <v>0</v>
      </c>
    </row>
    <row r="113">
      <c r="A113" s="18" t="inlineStr">
        <is>
          <t>지분법손실</t>
        </is>
      </c>
      <c r="T113" s="20" t="n">
        <v>-1.324</v>
      </c>
      <c r="U113" s="20" t="n">
        <v>0</v>
      </c>
    </row>
    <row r="114">
      <c r="A114" s="18" t="inlineStr">
        <is>
          <t>투자조합 운용손실</t>
        </is>
      </c>
      <c r="C114" s="20" t="n">
        <v>4.511</v>
      </c>
      <c r="D114" s="20" t="n">
        <v>1.649</v>
      </c>
      <c r="E114" s="20" t="n">
        <v>0</v>
      </c>
      <c r="F114" s="20" t="n">
        <v>-3.344</v>
      </c>
      <c r="G114" s="20" t="n">
        <v>3.204</v>
      </c>
      <c r="H114" s="20" t="n">
        <v>0.246</v>
      </c>
      <c r="I114" s="20" t="n">
        <v>0</v>
      </c>
      <c r="J114" s="20" t="n">
        <v>-1.936</v>
      </c>
      <c r="K114" s="20" t="n">
        <v>9.932</v>
      </c>
      <c r="L114" s="20" t="n">
        <v>-0.986</v>
      </c>
      <c r="M114" s="20" t="n">
        <v>0</v>
      </c>
      <c r="N114" s="20" t="n">
        <v>0.361</v>
      </c>
      <c r="U114" s="20" t="n">
        <v>0</v>
      </c>
      <c r="V114" s="20" t="n">
        <v>-3.344</v>
      </c>
      <c r="W114" s="20" t="n">
        <v>-1.936</v>
      </c>
      <c r="X114" s="20" t="n">
        <v>0.361</v>
      </c>
    </row>
    <row r="115">
      <c r="A115" s="18" t="inlineStr">
        <is>
          <t>지급수수료</t>
        </is>
      </c>
      <c r="C115" s="20" t="n">
        <v>0</v>
      </c>
      <c r="D115" s="20" t="n">
        <v>0.662</v>
      </c>
      <c r="E115" s="20" t="n">
        <v>-0.662</v>
      </c>
      <c r="F115" s="20" t="n">
        <v>0.917</v>
      </c>
      <c r="G115" s="20" t="n">
        <v>0.876</v>
      </c>
      <c r="H115" s="20" t="n">
        <v>0.441</v>
      </c>
      <c r="I115" s="20" t="n">
        <v>0</v>
      </c>
      <c r="J115" s="20" t="n">
        <v>0</v>
      </c>
      <c r="K115" s="20" t="n">
        <v>0</v>
      </c>
      <c r="L115" s="20" t="n">
        <v>0</v>
      </c>
      <c r="M115" s="20" t="n">
        <v>0</v>
      </c>
      <c r="N115" s="20" t="n">
        <v>0.162</v>
      </c>
      <c r="V115" s="20" t="n">
        <v>0.917</v>
      </c>
      <c r="W115" s="20" t="n">
        <v>0</v>
      </c>
      <c r="X115" s="20" t="n">
        <v>0.162</v>
      </c>
    </row>
    <row r="116">
      <c r="A116" s="18" t="inlineStr">
        <is>
          <t>기타</t>
        </is>
      </c>
      <c r="C116" s="20" t="n">
        <v>0.019</v>
      </c>
      <c r="D116" s="20" t="n">
        <v>0</v>
      </c>
      <c r="E116" s="20" t="n">
        <v>0.918</v>
      </c>
      <c r="F116" s="20" t="n">
        <v>-0.388</v>
      </c>
      <c r="G116" s="20" t="n">
        <v>0</v>
      </c>
      <c r="H116" s="20" t="n">
        <v>0.169</v>
      </c>
      <c r="I116" s="20" t="n">
        <v>0.15</v>
      </c>
      <c r="J116" s="20" t="n">
        <v>0.223</v>
      </c>
      <c r="K116" s="20" t="n">
        <v>0</v>
      </c>
      <c r="L116" s="20" t="n">
        <v>0</v>
      </c>
      <c r="M116" s="20" t="n">
        <v>0.5600000000000001</v>
      </c>
      <c r="N116" s="20" t="n">
        <v>1.041</v>
      </c>
      <c r="T116" s="20" t="n">
        <v>0.591</v>
      </c>
      <c r="U116" s="20" t="n">
        <v>0.358</v>
      </c>
      <c r="V116" s="20" t="n">
        <v>-0.388</v>
      </c>
      <c r="W116" s="20" t="n">
        <v>0.223</v>
      </c>
      <c r="X116" s="20" t="n">
        <v>1.041</v>
      </c>
    </row>
    <row r="117">
      <c r="A117" s="18" t="inlineStr">
        <is>
          <t>영업외비용 합계</t>
        </is>
      </c>
      <c r="C117" s="20" t="n">
        <v>4.829</v>
      </c>
      <c r="D117" s="20" t="n">
        <v>3.09</v>
      </c>
      <c r="E117" s="20" t="n">
        <v>0.8169999999999999</v>
      </c>
      <c r="F117" s="20" t="n">
        <v>-2.192</v>
      </c>
      <c r="G117" s="20" t="n">
        <v>4.654</v>
      </c>
      <c r="H117" s="20" t="n">
        <v>2.044</v>
      </c>
      <c r="I117" s="20" t="n">
        <v>0.82</v>
      </c>
      <c r="J117" s="20" t="n">
        <v>0.503</v>
      </c>
      <c r="K117" s="20" t="n">
        <v>10.506</v>
      </c>
      <c r="L117" s="20" t="n">
        <v>0.098</v>
      </c>
      <c r="M117" s="20" t="n">
        <v>1.063</v>
      </c>
      <c r="N117" s="20" t="n">
        <v>1.864</v>
      </c>
      <c r="T117" s="20" t="n">
        <v>0.919</v>
      </c>
      <c r="U117" s="20" t="n">
        <v>0.546</v>
      </c>
      <c r="V117" s="20" t="n">
        <v>-2.192</v>
      </c>
      <c r="W117" s="20" t="n">
        <v>0.503</v>
      </c>
      <c r="X117" s="20" t="n">
        <v>1.864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M118" s="15">
        <f>IF(OR(M117="",I117=""),"",IF(M117*I117&lt;=0,"",IFERROR(M117/I117-1,"")))</f>
        <v/>
      </c>
      <c r="N118" s="15">
        <f>IF(OR(N117="",J117=""),"",IF(N117*J117&lt;=0,"",IFERROR(N117/J117-1,"")))</f>
        <v/>
      </c>
      <c r="T118" s="15">
        <f>IF(OR(T117="",S117=""),"",IF(T117*S117&lt;=0,"",IFERROR(T117/S117-1,"")))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  <c r="X118" s="15">
        <f>IF(OR(X117="",W117=""),"",IF(X117*W117&lt;=0,"",IFERROR(X117/W117-1,"")))</f>
        <v/>
      </c>
    </row>
    <row r="119">
      <c r="A119" s="9" t="inlineStr">
        <is>
          <t>경상이익</t>
        </is>
      </c>
      <c r="C119" s="12" t="n">
        <v>-29.822</v>
      </c>
      <c r="D119" s="12" t="n">
        <v>108.259</v>
      </c>
      <c r="E119" s="12" t="n">
        <v>-36.507</v>
      </c>
      <c r="F119" s="12" t="n">
        <v>4.769</v>
      </c>
      <c r="G119" s="12" t="n">
        <v>131.622</v>
      </c>
      <c r="H119" s="12" t="n">
        <v>208.733</v>
      </c>
      <c r="I119" s="12" t="n">
        <v>193.994</v>
      </c>
      <c r="J119" s="12" t="n">
        <v>78.672</v>
      </c>
      <c r="K119" s="12" t="n">
        <v>107.196</v>
      </c>
      <c r="L119" s="12" t="n">
        <v>229.437</v>
      </c>
      <c r="M119" s="12" t="n">
        <v>101.266</v>
      </c>
      <c r="N119" s="12" t="n">
        <v>156.902</v>
      </c>
      <c r="T119" s="12" t="n">
        <v>13.935</v>
      </c>
      <c r="U119" s="12" t="n">
        <v>36.482</v>
      </c>
      <c r="V119" s="12" t="n">
        <v>4.769</v>
      </c>
      <c r="W119" s="12" t="n">
        <v>78.672</v>
      </c>
      <c r="X119" s="12" t="n">
        <v>156.902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IF(OR(G119="",C119=""),"",IF(C119&lt;=0,"",IFERROR(G119/C119-1,"")))</f>
        <v/>
      </c>
      <c r="H120" s="15">
        <f>IF(OR(H119="",D119=""),"",IF(D119&lt;=0,"",IFERROR(H119/D119-1,"")))</f>
        <v/>
      </c>
      <c r="I120" s="15">
        <f>IF(OR(I119="",E119=""),"",IF(E119&lt;=0,"",IFERROR(I119/E119-1,"")))</f>
        <v/>
      </c>
      <c r="J120" s="15">
        <f>IF(OR(J119="",F119=""),"",IF(F119&lt;=0,"",IFERROR(J119/F119-1,"")))</f>
        <v/>
      </c>
      <c r="K120" s="15">
        <f>IF(OR(K119="",G119=""),"",IF(G119&lt;=0,"",IFERROR(K119/G119-1,"")))</f>
        <v/>
      </c>
      <c r="L120" s="15">
        <f>IF(OR(L119="",H119=""),"",IF(H119&lt;=0,"",IFERROR(L119/H119-1,"")))</f>
        <v/>
      </c>
      <c r="M120" s="15">
        <f>IF(OR(M119="",I119=""),"",IF(I119&lt;=0,"",IFERROR(M119/I119-1,"")))</f>
        <v/>
      </c>
      <c r="N120" s="15">
        <f>IF(OR(N119="",J119=""),"",IF(J119&lt;=0,"",IFERROR(N119/J119-1,"")))</f>
        <v/>
      </c>
      <c r="T120" s="15">
        <f>IF(OR(T119="",S119=""),"",IF(S119&lt;=0,"",IFERROR(T119/S119-1,"")))</f>
        <v/>
      </c>
      <c r="U120" s="15">
        <f>IF(OR(U119="",T119=""),"",IF(T119&lt;=0,"",IFERROR(U119/T119-1,"")))</f>
        <v/>
      </c>
      <c r="V120" s="15">
        <f>IF(OR(V119="",U119=""),"",IF(U119&lt;=0,"",IFERROR(V119/U119-1,"")))</f>
        <v/>
      </c>
      <c r="W120" s="15">
        <f>IF(OR(W119="",V119=""),"",IF(V119&lt;=0,"",IFERROR(W119/V119-1,"")))</f>
        <v/>
      </c>
      <c r="X120" s="15">
        <f>IF(OR(X119="",W119=""),"",IF(W119&lt;=0,"",IFERROR(X119/W119-1,"")))</f>
        <v/>
      </c>
    </row>
    <row r="121">
      <c r="A121" s="18" t="inlineStr">
        <is>
          <t>투자유가증권 매각이익</t>
        </is>
      </c>
      <c r="G121" s="20" t="n">
        <v>0</v>
      </c>
      <c r="H121" s="20" t="n">
        <v>0</v>
      </c>
      <c r="I121" s="20" t="n">
        <v>0</v>
      </c>
      <c r="J121" s="20" t="n">
        <v>0</v>
      </c>
      <c r="K121" s="20" t="n">
        <v>5.002</v>
      </c>
      <c r="L121" s="20" t="n">
        <v>0</v>
      </c>
      <c r="M121" s="20" t="n">
        <v>0</v>
      </c>
      <c r="N121" s="20" t="n">
        <v>0</v>
      </c>
      <c r="W121" s="20" t="n">
        <v>0</v>
      </c>
      <c r="X121" s="20" t="n">
        <v>0</v>
      </c>
    </row>
    <row r="122">
      <c r="A122" s="18" t="inlineStr">
        <is>
          <t>관계회사 청산이익</t>
        </is>
      </c>
      <c r="E122" s="20" t="n">
        <v>0</v>
      </c>
      <c r="F122" s="20" t="n">
        <v>0</v>
      </c>
      <c r="I122" s="20" t="n">
        <v>0</v>
      </c>
      <c r="J122" s="20" t="n">
        <v>0</v>
      </c>
      <c r="M122" s="20" t="n">
        <v>0</v>
      </c>
      <c r="N122" s="20" t="n">
        <v>0</v>
      </c>
      <c r="V122" s="20" t="n">
        <v>0</v>
      </c>
      <c r="W122" s="20" t="n">
        <v>0</v>
      </c>
      <c r="X122" s="20" t="n">
        <v>0</v>
      </c>
    </row>
    <row r="123">
      <c r="A123" s="18" t="inlineStr">
        <is>
          <t>신주예약권 환입이익</t>
        </is>
      </c>
      <c r="C123" s="20" t="n">
        <v>0</v>
      </c>
      <c r="D123" s="20" t="n">
        <v>0.273</v>
      </c>
      <c r="E123" s="20" t="n">
        <v>0.593</v>
      </c>
      <c r="F123" s="20" t="n">
        <v>-0.137</v>
      </c>
      <c r="G123" s="20" t="n">
        <v>2.553</v>
      </c>
      <c r="H123" s="20" t="n">
        <v>0.501</v>
      </c>
      <c r="I123" s="20" t="n">
        <v>3.783</v>
      </c>
      <c r="J123" s="20" t="n">
        <v>0.327</v>
      </c>
      <c r="K123" s="20" t="n">
        <v>0.273</v>
      </c>
      <c r="L123" s="20" t="n">
        <v>0.502</v>
      </c>
      <c r="M123" s="20" t="n">
        <v>0</v>
      </c>
      <c r="N123" s="20" t="n">
        <v>0</v>
      </c>
      <c r="U123" s="20" t="n">
        <v>0</v>
      </c>
      <c r="V123" s="20" t="n">
        <v>-0.137</v>
      </c>
      <c r="W123" s="20" t="n">
        <v>0.327</v>
      </c>
      <c r="X123" s="20" t="n">
        <v>0</v>
      </c>
    </row>
    <row r="124">
      <c r="A124" s="18" t="inlineStr">
        <is>
          <t>사업정리 이익</t>
        </is>
      </c>
      <c r="C124" s="20" t="n">
        <v>0</v>
      </c>
      <c r="D124" s="20" t="n">
        <v>0</v>
      </c>
      <c r="E124" s="20" t="n">
        <v>0</v>
      </c>
      <c r="F124" s="20" t="n">
        <v>0</v>
      </c>
      <c r="T124" s="20" t="n">
        <v>0</v>
      </c>
      <c r="U124" s="20" t="n">
        <v>11.513</v>
      </c>
      <c r="V124" s="20" t="n">
        <v>0</v>
      </c>
    </row>
    <row r="125">
      <c r="A125" s="18" t="inlineStr">
        <is>
          <t>특별이익 합계</t>
        </is>
      </c>
      <c r="C125" s="20" t="n">
        <v>0</v>
      </c>
      <c r="D125" s="20" t="n">
        <v>0.273</v>
      </c>
      <c r="E125" s="20" t="n">
        <v>0.593</v>
      </c>
      <c r="F125" s="20" t="n">
        <v>-0.137</v>
      </c>
      <c r="G125" s="20" t="n">
        <v>2.553</v>
      </c>
      <c r="H125" s="20" t="n">
        <v>1.473</v>
      </c>
      <c r="I125" s="20" t="n">
        <v>3.782</v>
      </c>
      <c r="J125" s="20" t="n">
        <v>0.327</v>
      </c>
      <c r="K125" s="20" t="n">
        <v>5.275</v>
      </c>
      <c r="L125" s="20" t="n">
        <v>0.502</v>
      </c>
      <c r="M125" s="20" t="n">
        <v>0</v>
      </c>
      <c r="N125" s="20" t="n">
        <v>11.314</v>
      </c>
      <c r="T125" s="20" t="n">
        <v>0</v>
      </c>
      <c r="U125" s="20" t="n">
        <v>11.513</v>
      </c>
      <c r="V125" s="20" t="n">
        <v>-0.137</v>
      </c>
      <c r="W125" s="20" t="n">
        <v>0.327</v>
      </c>
      <c r="X125" s="20" t="n">
        <v>11.314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IF(OR(G125="",C125=""),"",IF(G125*C125&lt;=0,"",IFERROR(G125/C125-1,"")))</f>
        <v/>
      </c>
      <c r="H126" s="15">
        <f>IF(OR(H125="",D125=""),"",IF(H125*D125&lt;=0,"",IFERROR(H125/D125-1,"")))</f>
        <v/>
      </c>
      <c r="I126" s="15">
        <f>IF(OR(I125="",E125=""),"",IF(I125*E125&lt;=0,"",IFERROR(I125/E125-1,"")))</f>
        <v/>
      </c>
      <c r="J126" s="15">
        <f>IF(OR(J125="",F125=""),"",IF(J125*F125&lt;=0,"",IFERROR(J125/F125-1,"")))</f>
        <v/>
      </c>
      <c r="K126" s="15">
        <f>IF(OR(K125="",G125=""),"",IF(K125*G125&lt;=0,"",IFERROR(K125/G125-1,"")))</f>
        <v/>
      </c>
      <c r="L126" s="15">
        <f>IF(OR(L125="",H125=""),"",IF(L125*H125&lt;=0,"",IFERROR(L125/H125-1,"")))</f>
        <v/>
      </c>
      <c r="M126" s="15">
        <f>IF(OR(M125="",I125=""),"",IF(M125*I125&lt;=0,"",IFERROR(M125/I125-1,"")))</f>
        <v/>
      </c>
      <c r="N126" s="15">
        <f>IF(OR(N125="",J125=""),"",IF(N125*J125&lt;=0,"",IFERROR(N125/J125-1,"")))</f>
        <v/>
      </c>
      <c r="T126" s="15">
        <f>IF(OR(T125="",S125=""),"",IF(T125*S125&lt;=0,"",IFERROR(T125/S125-1,"")))</f>
        <v/>
      </c>
      <c r="U126" s="15">
        <f>IF(OR(U125="",T125=""),"",IF(U125*T125&lt;=0,"",IFERROR(U125/T125-1,"")))</f>
        <v/>
      </c>
      <c r="V126" s="15">
        <f>IF(OR(V125="",U125=""),"",IF(V125*U125&lt;=0,"",IFERROR(V125/U125-1,"")))</f>
        <v/>
      </c>
      <c r="W126" s="15">
        <f>IF(OR(W125="",V125=""),"",IF(W125*V125&lt;=0,"",IFERROR(W125/V125-1,"")))</f>
        <v/>
      </c>
      <c r="X126" s="15">
        <f>IF(OR(X125="",W125=""),"",IF(X125*W125&lt;=0,"",IFERROR(X125/W125-1,"")))</f>
        <v/>
      </c>
    </row>
    <row r="127">
      <c r="A127" s="9" t="inlineStr">
        <is>
          <t>법인세차감전 순이익</t>
        </is>
      </c>
      <c r="C127" s="12" t="n">
        <v>-29.822</v>
      </c>
      <c r="D127" s="12" t="n">
        <v>108.532</v>
      </c>
      <c r="E127" s="12" t="n">
        <v>-35.914</v>
      </c>
      <c r="F127" s="12" t="n">
        <v>4.633</v>
      </c>
      <c r="G127" s="12" t="n">
        <v>134.175</v>
      </c>
      <c r="H127" s="12" t="n">
        <v>210.206</v>
      </c>
      <c r="I127" s="12" t="n">
        <v>197.776</v>
      </c>
      <c r="J127" s="12" t="n">
        <v>78.999</v>
      </c>
      <c r="K127" s="12" t="n">
        <v>112.472</v>
      </c>
      <c r="L127" s="12" t="n">
        <v>229.939</v>
      </c>
      <c r="M127" s="12" t="n">
        <v>101.265</v>
      </c>
      <c r="N127" s="12" t="n">
        <v>110.466</v>
      </c>
      <c r="T127" s="12" t="n">
        <v>-232.311</v>
      </c>
      <c r="U127" s="12" t="n">
        <v>47.995</v>
      </c>
      <c r="V127" s="12" t="n">
        <v>4.633</v>
      </c>
      <c r="W127" s="12" t="n">
        <v>78.999</v>
      </c>
      <c r="X127" s="12" t="n">
        <v>110.466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G128" s="15">
        <f>IF(OR(G127="",C127=""),"",IF(C127&lt;=0,"",IFERROR(G127/C127-1,"")))</f>
        <v/>
      </c>
      <c r="H128" s="15">
        <f>IF(OR(H127="",D127=""),"",IF(D127&lt;=0,"",IFERROR(H127/D127-1,"")))</f>
        <v/>
      </c>
      <c r="I128" s="15">
        <f>IF(OR(I127="",E127=""),"",IF(E127&lt;=0,"",IFERROR(I127/E127-1,"")))</f>
        <v/>
      </c>
      <c r="J128" s="15">
        <f>IF(OR(J127="",F127=""),"",IF(F127&lt;=0,"",IFERROR(J127/F127-1,"")))</f>
        <v/>
      </c>
      <c r="K128" s="15">
        <f>IF(OR(K127="",G127=""),"",IF(G127&lt;=0,"",IFERROR(K127/G127-1,"")))</f>
        <v/>
      </c>
      <c r="L128" s="15">
        <f>IF(OR(L127="",H127=""),"",IF(H127&lt;=0,"",IFERROR(L127/H127-1,"")))</f>
        <v/>
      </c>
      <c r="M128" s="15">
        <f>IF(OR(M127="",I127=""),"",IF(I127&lt;=0,"",IFERROR(M127/I127-1,"")))</f>
        <v/>
      </c>
      <c r="N128" s="15">
        <f>IF(OR(N127="",J127=""),"",IF(J127&lt;=0,"",IFERROR(N127/J127-1,"")))</f>
        <v/>
      </c>
      <c r="T128" s="15">
        <f>IF(OR(T127="",S127=""),"",IF(S127&lt;=0,"",IFERROR(T127/S127-1,"")))</f>
        <v/>
      </c>
      <c r="U128" s="15">
        <f>IF(OR(U127="",T127=""),"",IF(T127&lt;=0,"",IFERROR(U127/T127-1,"")))</f>
        <v/>
      </c>
      <c r="V128" s="15">
        <f>IF(OR(V127="",U127=""),"",IF(U127&lt;=0,"",IFERROR(V127/U127-1,"")))</f>
        <v/>
      </c>
      <c r="W128" s="15">
        <f>IF(OR(W127="",V127=""),"",IF(V127&lt;=0,"",IFERROR(W127/V127-1,"")))</f>
        <v/>
      </c>
      <c r="X128" s="15">
        <f>IF(OR(X127="",W127=""),"",IF(W127&lt;=0,"",IFERROR(X127/W127-1,"")))</f>
        <v/>
      </c>
    </row>
    <row r="129">
      <c r="A129" s="18" t="inlineStr">
        <is>
          <t>법인세·주민세·사업세</t>
        </is>
      </c>
      <c r="C129" s="20" t="n">
        <v>0.5600000000000001</v>
      </c>
      <c r="D129" s="20" t="n">
        <v>22.826</v>
      </c>
      <c r="E129" s="20" t="n">
        <v>-12.97</v>
      </c>
      <c r="F129" s="20" t="n">
        <v>6.608</v>
      </c>
      <c r="G129" s="20" t="n">
        <v>47.781</v>
      </c>
      <c r="H129" s="20" t="n">
        <v>22.546</v>
      </c>
      <c r="I129" s="20" t="n">
        <v>75.024</v>
      </c>
      <c r="J129" s="20" t="n">
        <v>65.25</v>
      </c>
      <c r="K129" s="20" t="n">
        <v>9.032</v>
      </c>
      <c r="L129" s="20" t="n">
        <v>86.19199999999999</v>
      </c>
      <c r="M129" s="20" t="n">
        <v>36.941</v>
      </c>
      <c r="N129" s="20" t="n">
        <v>37.189</v>
      </c>
      <c r="T129" s="20" t="n">
        <v>-20.738</v>
      </c>
      <c r="U129" s="20" t="n">
        <v>27.766</v>
      </c>
      <c r="V129" s="20" t="n">
        <v>6.608</v>
      </c>
      <c r="W129" s="20" t="n">
        <v>65.25</v>
      </c>
      <c r="X129" s="20" t="n">
        <v>37.189</v>
      </c>
    </row>
    <row r="130">
      <c r="A130" s="18" t="inlineStr">
        <is>
          <t>법인세 조정액</t>
        </is>
      </c>
      <c r="C130" s="20" t="n">
        <v>-0.275</v>
      </c>
      <c r="D130" s="20" t="n">
        <v>12.846</v>
      </c>
      <c r="E130" s="20" t="n">
        <v>8.686999999999999</v>
      </c>
      <c r="F130" s="20" t="n">
        <v>-2.386</v>
      </c>
      <c r="G130" s="20" t="n">
        <v>-2.639</v>
      </c>
      <c r="H130" s="20" t="n">
        <v>48.36</v>
      </c>
      <c r="I130" s="20" t="n">
        <v>-7.363</v>
      </c>
      <c r="J130" s="20" t="n">
        <v>-28.3</v>
      </c>
      <c r="K130" s="20" t="n">
        <v>42.48</v>
      </c>
      <c r="L130" s="20" t="n">
        <v>-11.478</v>
      </c>
      <c r="M130" s="20" t="n">
        <v>-3.795</v>
      </c>
      <c r="N130" s="20" t="n">
        <v>3.948</v>
      </c>
      <c r="T130" s="20" t="n">
        <v>-57.11</v>
      </c>
      <c r="U130" s="20" t="n">
        <v>-9.039</v>
      </c>
      <c r="V130" s="20" t="n">
        <v>-2.386</v>
      </c>
      <c r="W130" s="20" t="n">
        <v>-28.3</v>
      </c>
      <c r="X130" s="20" t="n">
        <v>3.948</v>
      </c>
    </row>
    <row r="131">
      <c r="A131" s="18" t="inlineStr">
        <is>
          <t>법인세 등 합계</t>
        </is>
      </c>
      <c r="C131" s="20" t="n">
        <v>0.284</v>
      </c>
      <c r="D131" s="20" t="n">
        <v>35.674</v>
      </c>
      <c r="E131" s="20" t="n">
        <v>-4.284</v>
      </c>
      <c r="F131" s="20" t="n">
        <v>4.222</v>
      </c>
      <c r="G131" s="20" t="n">
        <v>45.142</v>
      </c>
      <c r="H131" s="20" t="n">
        <v>70.90600000000001</v>
      </c>
      <c r="I131" s="20" t="n">
        <v>67.66200000000001</v>
      </c>
      <c r="J131" s="20" t="n">
        <v>36.95</v>
      </c>
      <c r="K131" s="20" t="n">
        <v>51.512</v>
      </c>
      <c r="L131" s="20" t="n">
        <v>74.714</v>
      </c>
      <c r="M131" s="20" t="n">
        <v>33.147</v>
      </c>
      <c r="N131" s="20" t="n">
        <v>41.137</v>
      </c>
      <c r="T131" s="20" t="n">
        <v>-77.849</v>
      </c>
      <c r="U131" s="20" t="n">
        <v>18.727</v>
      </c>
      <c r="V131" s="20" t="n">
        <v>4.222</v>
      </c>
      <c r="W131" s="20" t="n">
        <v>36.95</v>
      </c>
      <c r="X131" s="20" t="n">
        <v>41.137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IF(OR(G131="",C131=""),"",IF(G131*C131&lt;=0,"",IFERROR(G131/C131-1,"")))</f>
        <v/>
      </c>
      <c r="H132" s="15">
        <f>IF(OR(H131="",D131=""),"",IF(H131*D131&lt;=0,"",IFERROR(H131/D131-1,"")))</f>
        <v/>
      </c>
      <c r="I132" s="15">
        <f>IF(OR(I131="",E131=""),"",IF(I131*E131&lt;=0,"",IFERROR(I131/E131-1,"")))</f>
        <v/>
      </c>
      <c r="J132" s="15">
        <f>IF(OR(J131="",F131=""),"",IF(J131*F131&lt;=0,"",IFERROR(J131/F131-1,"")))</f>
        <v/>
      </c>
      <c r="K132" s="15">
        <f>IF(OR(K131="",G131=""),"",IF(K131*G131&lt;=0,"",IFERROR(K131/G131-1,"")))</f>
        <v/>
      </c>
      <c r="L132" s="15">
        <f>IF(OR(L131="",H131=""),"",IF(L131*H131&lt;=0,"",IFERROR(L131/H131-1,"")))</f>
        <v/>
      </c>
      <c r="M132" s="15">
        <f>IF(OR(M131="",I131=""),"",IF(M131*I131&lt;=0,"",IFERROR(M131/I131-1,"")))</f>
        <v/>
      </c>
      <c r="N132" s="15">
        <f>IF(OR(N131="",J131=""),"",IF(N131*J131&lt;=0,"",IFERROR(N131/J131-1,"")))</f>
        <v/>
      </c>
      <c r="T132" s="15">
        <f>IF(OR(T131="",S131=""),"",IF(T131*S131&lt;=0,"",IFERROR(T131/S131-1,"")))</f>
        <v/>
      </c>
      <c r="U132" s="15">
        <f>IF(OR(U131="",T131=""),"",IF(U131*T131&lt;=0,"",IFERROR(U131/T131-1,"")))</f>
        <v/>
      </c>
      <c r="V132" s="15">
        <f>IF(OR(V131="",U131=""),"",IF(V131*U131&lt;=0,"",IFERROR(V131/U131-1,"")))</f>
        <v/>
      </c>
      <c r="W132" s="15">
        <f>IF(OR(W131="",V131=""),"",IF(W131*V131&lt;=0,"",IFERROR(W131/V131-1,"")))</f>
        <v/>
      </c>
      <c r="X132" s="15">
        <f>IF(OR(X131="",W131=""),"",IF(X131*W131&lt;=0,"",IFERROR(X131/W131-1,"")))</f>
        <v/>
      </c>
    </row>
    <row r="133">
      <c r="A133" s="9" t="inlineStr">
        <is>
          <t>순이익</t>
        </is>
      </c>
      <c r="C133" s="12" t="n">
        <v>-30.107</v>
      </c>
      <c r="D133" s="12" t="n">
        <v>72.85899999999999</v>
      </c>
      <c r="E133" s="12" t="n">
        <v>-31.63</v>
      </c>
      <c r="F133" s="12" t="n">
        <v>0.41</v>
      </c>
      <c r="G133" s="12" t="n">
        <v>89.033</v>
      </c>
      <c r="H133" s="12" t="n">
        <v>139.299</v>
      </c>
      <c r="I133" s="12" t="n">
        <v>130.115</v>
      </c>
      <c r="J133" s="12" t="n">
        <v>42.049</v>
      </c>
      <c r="K133" s="12" t="n">
        <v>60.96</v>
      </c>
      <c r="L133" s="12" t="n">
        <v>155.224</v>
      </c>
      <c r="M133" s="12" t="n">
        <v>68.11799999999999</v>
      </c>
      <c r="N133" s="12" t="n">
        <v>69.33</v>
      </c>
      <c r="T133" s="12" t="n">
        <v>-154.462</v>
      </c>
      <c r="U133" s="12" t="n">
        <v>29.269</v>
      </c>
      <c r="V133" s="12" t="n">
        <v>0.41</v>
      </c>
      <c r="W133" s="12" t="n">
        <v>42.049</v>
      </c>
      <c r="X133" s="12" t="n">
        <v>69.33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IF(OR(G133="",C133=""),"",IF(C133&lt;=0,"",IFERROR(G133/C133-1,"")))</f>
        <v/>
      </c>
      <c r="H134" s="15">
        <f>IF(OR(H133="",D133=""),"",IF(D133&lt;=0,"",IFERROR(H133/D133-1,"")))</f>
        <v/>
      </c>
      <c r="I134" s="15">
        <f>IF(OR(I133="",E133=""),"",IF(E133&lt;=0,"",IFERROR(I133/E133-1,"")))</f>
        <v/>
      </c>
      <c r="J134" s="15">
        <f>IF(OR(J133="",F133=""),"",IF(F133&lt;=0,"",IFERROR(J133/F133-1,"")))</f>
        <v/>
      </c>
      <c r="K134" s="15">
        <f>IF(OR(K133="",G133=""),"",IF(G133&lt;=0,"",IFERROR(K133/G133-1,"")))</f>
        <v/>
      </c>
      <c r="L134" s="15">
        <f>IF(OR(L133="",H133=""),"",IF(H133&lt;=0,"",IFERROR(L133/H133-1,"")))</f>
        <v/>
      </c>
      <c r="M134" s="15">
        <f>IF(OR(M133="",I133=""),"",IF(I133&lt;=0,"",IFERROR(M133/I133-1,"")))</f>
        <v/>
      </c>
      <c r="N134" s="15">
        <f>IF(OR(N133="",J133=""),"",IF(J133&lt;=0,"",IFERROR(N133/J133-1,"")))</f>
        <v/>
      </c>
      <c r="T134" s="15">
        <f>IF(OR(T133="",S133=""),"",IF(S133&lt;=0,"",IFERROR(T133/S133-1,"")))</f>
        <v/>
      </c>
      <c r="U134" s="15">
        <f>IF(OR(U133="",T133=""),"",IF(T133&lt;=0,"",IFERROR(U133/T133-1,"")))</f>
        <v/>
      </c>
      <c r="V134" s="15">
        <f>IF(OR(V133="",U133=""),"",IF(U133&lt;=0,"",IFERROR(V133/U133-1,"")))</f>
        <v/>
      </c>
      <c r="W134" s="15">
        <f>IF(OR(W133="",V133=""),"",IF(V133&lt;=0,"",IFERROR(W133/V133-1,"")))</f>
        <v/>
      </c>
      <c r="X134" s="15">
        <f>IF(OR(X133="",W133=""),"",IF(W133&lt;=0,"",IFERROR(X133/W133-1,"")))</f>
        <v/>
      </c>
    </row>
    <row r="135">
      <c r="A135" s="9" t="inlineStr">
        <is>
          <t>비지배주주 당기순손실</t>
        </is>
      </c>
      <c r="E135" s="12" t="n">
        <v>0</v>
      </c>
      <c r="F135" s="12" t="n">
        <v>0</v>
      </c>
      <c r="I135" s="12" t="n">
        <v>-2.321</v>
      </c>
      <c r="J135" s="12" t="n">
        <v>-0.694</v>
      </c>
      <c r="M135" s="12" t="n">
        <v>0</v>
      </c>
      <c r="N135" s="12" t="n">
        <v>0</v>
      </c>
      <c r="V135" s="12" t="n">
        <v>0</v>
      </c>
      <c r="W135" s="12" t="n">
        <v>-0.694</v>
      </c>
      <c r="X135" s="12" t="n">
        <v>0</v>
      </c>
    </row>
    <row r="136">
      <c r="A136" s="9" t="inlineStr">
        <is>
          <t>지배주주 순이익</t>
        </is>
      </c>
      <c r="C136" s="12" t="n">
        <v>-30.107</v>
      </c>
      <c r="D136" s="12" t="n">
        <v>72.85899999999999</v>
      </c>
      <c r="E136" s="12" t="n">
        <v>-31.63</v>
      </c>
      <c r="F136" s="12" t="n">
        <v>0.41</v>
      </c>
      <c r="G136" s="12" t="n">
        <v>89.033</v>
      </c>
      <c r="H136" s="12" t="n">
        <v>142.84</v>
      </c>
      <c r="I136" s="12" t="n">
        <v>132.435</v>
      </c>
      <c r="J136" s="12" t="n">
        <v>42.743</v>
      </c>
      <c r="K136" s="12" t="n">
        <v>60.96</v>
      </c>
      <c r="L136" s="12" t="n">
        <v>155.274</v>
      </c>
      <c r="M136" s="12" t="n">
        <v>68.11799999999999</v>
      </c>
      <c r="N136" s="12" t="n">
        <v>69.33</v>
      </c>
      <c r="T136" s="12" t="n">
        <v>-154.462</v>
      </c>
      <c r="U136" s="12" t="n">
        <v>29.269</v>
      </c>
      <c r="V136" s="12" t="n">
        <v>0.41</v>
      </c>
      <c r="W136" s="12" t="n">
        <v>42.743</v>
      </c>
      <c r="X136" s="12" t="n">
        <v>69.33</v>
      </c>
    </row>
    <row r="137">
      <c r="A137" s="43" t="inlineStr">
        <is>
          <t>YoY</t>
        </is>
      </c>
      <c r="B137" s="3" t="inlineStr">
        <is>
          <t>전년 같은 분기·전년 대비</t>
        </is>
      </c>
      <c r="G137" s="15">
        <f>IF(OR(G136="",C136=""),"",IF(C136&lt;=0,"",IFERROR(G136/C136-1,"")))</f>
        <v/>
      </c>
      <c r="H137" s="15">
        <f>IF(OR(H136="",D136=""),"",IF(D136&lt;=0,"",IFERROR(H136/D136-1,"")))</f>
        <v/>
      </c>
      <c r="I137" s="15">
        <f>IF(OR(I136="",E136=""),"",IF(E136&lt;=0,"",IFERROR(I136/E136-1,"")))</f>
        <v/>
      </c>
      <c r="J137" s="15">
        <f>IF(OR(J136="",F136=""),"",IF(F136&lt;=0,"",IFERROR(J136/F136-1,"")))</f>
        <v/>
      </c>
      <c r="K137" s="15">
        <f>IF(OR(K136="",G136=""),"",IF(G136&lt;=0,"",IFERROR(K136/G136-1,"")))</f>
        <v/>
      </c>
      <c r="L137" s="15">
        <f>IF(OR(L136="",H136=""),"",IF(H136&lt;=0,"",IFERROR(L136/H136-1,"")))</f>
        <v/>
      </c>
      <c r="M137" s="15">
        <f>IF(OR(M136="",I136=""),"",IF(I136&lt;=0,"",IFERROR(M136/I136-1,"")))</f>
        <v/>
      </c>
      <c r="N137" s="15">
        <f>IF(OR(N136="",J136=""),"",IF(J136&lt;=0,"",IFERROR(N136/J136-1,"")))</f>
        <v/>
      </c>
      <c r="T137" s="15">
        <f>IF(OR(T136="",S136=""),"",IF(S136&lt;=0,"",IFERROR(T136/S136-1,"")))</f>
        <v/>
      </c>
      <c r="U137" s="15">
        <f>IF(OR(U136="",T136=""),"",IF(T136&lt;=0,"",IFERROR(U136/T136-1,"")))</f>
        <v/>
      </c>
      <c r="V137" s="15">
        <f>IF(OR(V136="",U136=""),"",IF(U136&lt;=0,"",IFERROR(V136/U136-1,"")))</f>
        <v/>
      </c>
      <c r="W137" s="15">
        <f>IF(OR(W136="",V136=""),"",IF(V136&lt;=0,"",IFERROR(W136/V136-1,"")))</f>
        <v/>
      </c>
      <c r="X137" s="15">
        <f>IF(OR(X136="",W136=""),"",IF(W136&lt;=0,"",IFERROR(X136/W136-1,"")))</f>
        <v/>
      </c>
    </row>
    <row r="139">
      <c r="A139" s="16" t="inlineStr">
        <is>
          <t>포괄손익 · 전 항목</t>
        </is>
      </c>
      <c r="B139" s="42" t="inlineStr">
        <is>
          <t>분기 = 3개월 단독</t>
        </is>
      </c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</row>
    <row r="140">
      <c r="A140" s="5" t="inlineStr">
        <is>
          <t>항목</t>
        </is>
      </c>
      <c r="B140" s="5" t="inlineStr">
        <is>
          <t>참고</t>
        </is>
      </c>
      <c r="C140" s="5" t="inlineStr">
        <is>
          <t>2024.1Q</t>
        </is>
      </c>
      <c r="D140" s="5" t="inlineStr">
        <is>
          <t>2024.2Q</t>
        </is>
      </c>
      <c r="E140" s="5" t="inlineStr">
        <is>
          <t>2024.3Q</t>
        </is>
      </c>
      <c r="F140" s="5" t="inlineStr">
        <is>
          <t>2024.4Q</t>
        </is>
      </c>
      <c r="G140" s="5" t="inlineStr">
        <is>
          <t>2025.1Q</t>
        </is>
      </c>
      <c r="H140" s="5" t="inlineStr">
        <is>
          <t>2025.2Q</t>
        </is>
      </c>
      <c r="I140" s="5" t="inlineStr">
        <is>
          <t>2025.3Q</t>
        </is>
      </c>
      <c r="J140" s="5" t="inlineStr">
        <is>
          <t>2025.4Q</t>
        </is>
      </c>
      <c r="K140" s="5" t="inlineStr">
        <is>
          <t>2026.1Q</t>
        </is>
      </c>
      <c r="L140" s="5" t="inlineStr">
        <is>
          <t>2026.2Q</t>
        </is>
      </c>
      <c r="M140" s="5" t="inlineStr">
        <is>
          <t>2026.3Q</t>
        </is>
      </c>
      <c r="N140" s="5" t="inlineStr">
        <is>
          <t>2026.4Q</t>
        </is>
      </c>
      <c r="O140" s="5" t="inlineStr">
        <is>
          <t>2017</t>
        </is>
      </c>
      <c r="P140" s="5" t="inlineStr">
        <is>
          <t>2018</t>
        </is>
      </c>
      <c r="Q140" s="5" t="inlineStr">
        <is>
          <t>2019</t>
        </is>
      </c>
      <c r="R140" s="5" t="inlineStr">
        <is>
          <t>2020</t>
        </is>
      </c>
      <c r="S140" s="5" t="inlineStr">
        <is>
          <t>2021</t>
        </is>
      </c>
      <c r="T140" s="5" t="inlineStr">
        <is>
          <t>2022</t>
        </is>
      </c>
      <c r="U140" s="5" t="inlineStr">
        <is>
          <t>2023</t>
        </is>
      </c>
      <c r="V140" s="5" t="inlineStr">
        <is>
          <t>2024</t>
        </is>
      </c>
      <c r="W140" s="5" t="inlineStr">
        <is>
          <t>2025</t>
        </is>
      </c>
      <c r="X140" s="5" t="inlineStr">
        <is>
          <t>2026</t>
        </is>
      </c>
      <c r="Y140" s="5" t="inlineStr">
        <is>
          <t>2027(MW)</t>
        </is>
      </c>
      <c r="Z140" s="5" t="inlineStr">
        <is>
          <t>2028(MW)</t>
        </is>
      </c>
      <c r="AA140" s="5" t="inlineStr">
        <is>
          <t>2029(MW)</t>
        </is>
      </c>
      <c r="AB140" s="5" t="inlineStr">
        <is>
          <t>2030(MW)</t>
        </is>
      </c>
      <c r="AC140" s="5" t="inlineStr">
        <is>
          <t>2031(MW)</t>
        </is>
      </c>
    </row>
    <row r="141">
      <c r="A141" s="9" t="inlineStr">
        <is>
          <t>순이익</t>
        </is>
      </c>
      <c r="C141" s="12" t="n">
        <v>-30.107</v>
      </c>
      <c r="D141" s="12" t="n">
        <v>72.85899999999999</v>
      </c>
      <c r="E141" s="12" t="n">
        <v>-31.63</v>
      </c>
      <c r="F141" s="12" t="n">
        <v>0.41</v>
      </c>
      <c r="G141" s="12" t="n">
        <v>89.033</v>
      </c>
      <c r="H141" s="12" t="n">
        <v>139.299</v>
      </c>
      <c r="I141" s="12" t="n">
        <v>130.115</v>
      </c>
      <c r="J141" s="12" t="n">
        <v>42.049</v>
      </c>
      <c r="K141" s="12" t="n">
        <v>60.96</v>
      </c>
      <c r="L141" s="12" t="n">
        <v>155.224</v>
      </c>
      <c r="M141" s="12" t="n">
        <v>68.11799999999999</v>
      </c>
      <c r="N141" s="12" t="n">
        <v>69.33</v>
      </c>
      <c r="T141" s="12" t="n">
        <v>-154.462</v>
      </c>
      <c r="U141" s="12" t="n">
        <v>29.269</v>
      </c>
      <c r="V141" s="12" t="n">
        <v>0.41</v>
      </c>
      <c r="W141" s="12" t="n">
        <v>42.049</v>
      </c>
      <c r="X141" s="12" t="n">
        <v>69.33</v>
      </c>
    </row>
    <row r="142">
      <c r="A142" s="18" t="inlineStr">
        <is>
          <t>기타유가증권 평가차액</t>
        </is>
      </c>
      <c r="E142" s="20" t="n">
        <v>0</v>
      </c>
      <c r="F142" s="20" t="n">
        <v>-2.375</v>
      </c>
      <c r="G142" s="20" t="n">
        <v>0</v>
      </c>
      <c r="H142" s="20" t="n">
        <v>0.08699999999999999</v>
      </c>
      <c r="I142" s="20" t="n">
        <v>6.104</v>
      </c>
      <c r="J142" s="20" t="n">
        <v>9.061999999999999</v>
      </c>
      <c r="K142" s="20" t="n">
        <v>30.159</v>
      </c>
      <c r="L142" s="20" t="n">
        <v>15.998</v>
      </c>
      <c r="M142" s="20" t="n">
        <v>10.989</v>
      </c>
      <c r="N142" s="20" t="n">
        <v>-11.586</v>
      </c>
      <c r="U142" s="20" t="n">
        <v>0</v>
      </c>
      <c r="V142" s="20" t="n">
        <v>-2.375</v>
      </c>
      <c r="W142" s="20" t="n">
        <v>9.061999999999999</v>
      </c>
      <c r="X142" s="20" t="n">
        <v>-11.586</v>
      </c>
    </row>
    <row r="143">
      <c r="A143" s="18" t="inlineStr">
        <is>
          <t>해외사업환산조정</t>
        </is>
      </c>
      <c r="C143" s="20" t="n">
        <v>-0.024</v>
      </c>
      <c r="D143" s="20" t="n">
        <v>0.001</v>
      </c>
      <c r="E143" s="20" t="n">
        <v>-0.09</v>
      </c>
      <c r="F143" s="20" t="n">
        <v>0.142</v>
      </c>
      <c r="G143" s="20" t="n">
        <v>-0.006</v>
      </c>
      <c r="H143" s="20" t="n">
        <v>2.929</v>
      </c>
      <c r="I143" s="20" t="n">
        <v>0.048</v>
      </c>
      <c r="J143" s="20" t="n">
        <v>-0.03</v>
      </c>
      <c r="K143" s="20" t="n">
        <v>-0.05</v>
      </c>
      <c r="L143" s="20" t="n">
        <v>0.05</v>
      </c>
      <c r="M143" s="20" t="n">
        <v>0</v>
      </c>
      <c r="N143" s="20" t="n">
        <v>-0.014</v>
      </c>
      <c r="T143" s="20" t="n">
        <v>-3.255</v>
      </c>
      <c r="U143" s="20" t="n">
        <v>0.25</v>
      </c>
      <c r="V143" s="20" t="n">
        <v>0.142</v>
      </c>
      <c r="W143" s="20" t="n">
        <v>-0.03</v>
      </c>
      <c r="X143" s="20" t="n">
        <v>-0.014</v>
      </c>
    </row>
    <row r="144">
      <c r="A144" s="18" t="inlineStr">
        <is>
          <t>기타포괄손익 합계</t>
        </is>
      </c>
      <c r="C144" s="20" t="n">
        <v>-0.024</v>
      </c>
      <c r="D144" s="20" t="n">
        <v>2.315</v>
      </c>
      <c r="E144" s="20" t="n">
        <v>-0.09</v>
      </c>
      <c r="F144" s="20" t="n">
        <v>-2.231</v>
      </c>
      <c r="G144" s="20" t="n">
        <v>-0.006</v>
      </c>
      <c r="H144" s="20" t="n">
        <v>3.017</v>
      </c>
      <c r="I144" s="20" t="n">
        <v>6.152</v>
      </c>
      <c r="J144" s="20" t="n">
        <v>9.031000000000001</v>
      </c>
      <c r="K144" s="20" t="n">
        <v>30.108</v>
      </c>
      <c r="L144" s="20" t="n">
        <v>16.05</v>
      </c>
      <c r="M144" s="20" t="n">
        <v>10.989</v>
      </c>
      <c r="N144" s="20" t="n">
        <v>-11.602</v>
      </c>
      <c r="T144" s="20" t="n">
        <v>-3.255</v>
      </c>
      <c r="U144" s="20" t="n">
        <v>0.25</v>
      </c>
      <c r="V144" s="20" t="n">
        <v>-2.231</v>
      </c>
      <c r="W144" s="20" t="n">
        <v>9.031000000000001</v>
      </c>
      <c r="X144" s="20" t="n">
        <v>-11.602</v>
      </c>
    </row>
    <row r="145">
      <c r="A145" s="9" t="inlineStr">
        <is>
          <t>포괄이익</t>
        </is>
      </c>
      <c r="C145" s="12" t="n">
        <v>-30.131</v>
      </c>
      <c r="D145" s="12" t="n">
        <v>75.175</v>
      </c>
      <c r="E145" s="12" t="n">
        <v>-31.72</v>
      </c>
      <c r="F145" s="12" t="n">
        <v>-1.822</v>
      </c>
      <c r="G145" s="12" t="n">
        <v>89.026</v>
      </c>
      <c r="H145" s="12" t="n">
        <v>142.317</v>
      </c>
      <c r="I145" s="12" t="n">
        <v>136.267</v>
      </c>
      <c r="J145" s="12" t="n">
        <v>51.081</v>
      </c>
      <c r="K145" s="12" t="n">
        <v>91.069</v>
      </c>
      <c r="L145" s="12" t="n">
        <v>171.274</v>
      </c>
      <c r="M145" s="12" t="n">
        <v>79.107</v>
      </c>
      <c r="N145" s="12" t="n">
        <v>57.728</v>
      </c>
      <c r="T145" s="12" t="n">
        <v>-157.717</v>
      </c>
      <c r="U145" s="12" t="n">
        <v>29.518</v>
      </c>
      <c r="V145" s="12" t="n">
        <v>-1.822</v>
      </c>
      <c r="W145" s="12" t="n">
        <v>51.081</v>
      </c>
      <c r="X145" s="12" t="n">
        <v>57.728</v>
      </c>
    </row>
    <row r="146">
      <c r="A146" s="9" t="inlineStr">
        <is>
          <t>지배주주 포괄이익</t>
        </is>
      </c>
      <c r="C146" s="12" t="n">
        <v>-30.131</v>
      </c>
      <c r="D146" s="12" t="n">
        <v>75.175</v>
      </c>
      <c r="E146" s="12" t="n">
        <v>-31.72</v>
      </c>
      <c r="F146" s="12" t="n">
        <v>-1.822</v>
      </c>
      <c r="G146" s="12" t="n">
        <v>89.026</v>
      </c>
      <c r="H146" s="12" t="n">
        <v>145.858</v>
      </c>
      <c r="I146" s="12" t="n">
        <v>138.588</v>
      </c>
      <c r="J146" s="12" t="n">
        <v>51.774</v>
      </c>
      <c r="K146" s="12" t="n">
        <v>91.069</v>
      </c>
      <c r="L146" s="12" t="n">
        <v>171.324</v>
      </c>
      <c r="M146" s="12" t="n">
        <v>79.107</v>
      </c>
      <c r="N146" s="12" t="n">
        <v>57.728</v>
      </c>
      <c r="T146" s="12" t="n">
        <v>-157.717</v>
      </c>
      <c r="U146" s="12" t="n">
        <v>29.518</v>
      </c>
      <c r="V146" s="12" t="n">
        <v>-1.822</v>
      </c>
      <c r="W146" s="12" t="n">
        <v>51.774</v>
      </c>
      <c r="X146" s="12" t="n">
        <v>57.728</v>
      </c>
    </row>
    <row r="147">
      <c r="A147" s="9" t="inlineStr">
        <is>
          <t>비지배주주 포괄이익</t>
        </is>
      </c>
      <c r="C147" s="12" t="n">
        <v>0</v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-3.54</v>
      </c>
      <c r="I147" s="12" t="n">
        <v>-2.321</v>
      </c>
      <c r="J147" s="12" t="n">
        <v>-0.694</v>
      </c>
      <c r="K147" s="12" t="n">
        <v>0</v>
      </c>
      <c r="L147" s="12" t="n">
        <v>-0.05</v>
      </c>
      <c r="M147" s="12" t="n">
        <v>0</v>
      </c>
      <c r="N147" s="12" t="n">
        <v>0</v>
      </c>
      <c r="T147" s="12" t="n">
        <v>0</v>
      </c>
      <c r="U147" s="12" t="n">
        <v>0</v>
      </c>
      <c r="V147" s="12" t="n">
        <v>0</v>
      </c>
      <c r="W147" s="12" t="n">
        <v>-0.694</v>
      </c>
      <c r="X147" s="12" t="n">
        <v>0</v>
      </c>
    </row>
    <row r="149">
      <c r="A149" s="16" t="inlineStr">
        <is>
          <t>부문 · 전 항목</t>
        </is>
      </c>
      <c r="B149" s="42" t="inlineStr">
        <is>
          <t>부문 · 항목</t>
        </is>
      </c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</row>
    <row r="150">
      <c r="A150" s="5" t="inlineStr">
        <is>
          <t>항목</t>
        </is>
      </c>
      <c r="B150" s="5" t="inlineStr">
        <is>
          <t>참고</t>
        </is>
      </c>
      <c r="C150" s="5" t="inlineStr">
        <is>
          <t>2024.1Q</t>
        </is>
      </c>
      <c r="D150" s="5" t="inlineStr">
        <is>
          <t>2024.2Q</t>
        </is>
      </c>
      <c r="E150" s="5" t="inlineStr">
        <is>
          <t>2024.3Q</t>
        </is>
      </c>
      <c r="F150" s="5" t="inlineStr">
        <is>
          <t>2024.4Q</t>
        </is>
      </c>
      <c r="G150" s="5" t="inlineStr">
        <is>
          <t>2025.1Q</t>
        </is>
      </c>
      <c r="H150" s="5" t="inlineStr">
        <is>
          <t>2025.2Q</t>
        </is>
      </c>
      <c r="I150" s="5" t="inlineStr">
        <is>
          <t>2025.3Q</t>
        </is>
      </c>
      <c r="J150" s="5" t="inlineStr">
        <is>
          <t>2025.4Q</t>
        </is>
      </c>
      <c r="K150" s="5" t="inlineStr">
        <is>
          <t>2026.1Q</t>
        </is>
      </c>
      <c r="L150" s="5" t="inlineStr">
        <is>
          <t>2026.2Q</t>
        </is>
      </c>
      <c r="M150" s="5" t="inlineStr">
        <is>
          <t>2026.3Q</t>
        </is>
      </c>
      <c r="N150" s="5" t="inlineStr">
        <is>
          <t>2026.4Q</t>
        </is>
      </c>
      <c r="O150" s="5" t="inlineStr">
        <is>
          <t>2017</t>
        </is>
      </c>
      <c r="P150" s="5" t="inlineStr">
        <is>
          <t>2018</t>
        </is>
      </c>
      <c r="Q150" s="5" t="inlineStr">
        <is>
          <t>2019</t>
        </is>
      </c>
      <c r="R150" s="5" t="inlineStr">
        <is>
          <t>2020</t>
        </is>
      </c>
      <c r="S150" s="5" t="inlineStr">
        <is>
          <t>2021</t>
        </is>
      </c>
      <c r="T150" s="5" t="inlineStr">
        <is>
          <t>2022</t>
        </is>
      </c>
      <c r="U150" s="5" t="inlineStr">
        <is>
          <t>2023</t>
        </is>
      </c>
      <c r="V150" s="5" t="inlineStr">
        <is>
          <t>2024</t>
        </is>
      </c>
      <c r="W150" s="5" t="inlineStr">
        <is>
          <t>2025</t>
        </is>
      </c>
      <c r="X150" s="5" t="inlineStr">
        <is>
          <t>2026</t>
        </is>
      </c>
      <c r="Y150" s="5" t="inlineStr">
        <is>
          <t>2027(MW)</t>
        </is>
      </c>
      <c r="Z150" s="5" t="inlineStr">
        <is>
          <t>2028(MW)</t>
        </is>
      </c>
      <c r="AA150" s="5" t="inlineStr">
        <is>
          <t>2029(MW)</t>
        </is>
      </c>
      <c r="AB150" s="5" t="inlineStr">
        <is>
          <t>2030(MW)</t>
        </is>
      </c>
      <c r="AC150" s="5" t="inlineStr">
        <is>
          <t>2031(MW)</t>
        </is>
      </c>
    </row>
    <row r="151">
      <c r="A151" s="18" t="inlineStr">
        <is>
          <t>DesignPartnerBusinessReportableSegmentMember · 외부 고객 매출</t>
        </is>
      </c>
      <c r="C151" s="20" t="n">
        <v>950.8680000000001</v>
      </c>
      <c r="D151" s="20" t="n">
        <v>960.968</v>
      </c>
      <c r="E151" s="20" t="n">
        <v>842.2670000000001</v>
      </c>
      <c r="F151" s="20" t="n">
        <v>841.463</v>
      </c>
      <c r="G151" s="20" t="n">
        <v>1114.732</v>
      </c>
      <c r="H151" s="20" t="n">
        <v>1171.805</v>
      </c>
      <c r="I151" s="20" t="n">
        <v>1255.631</v>
      </c>
      <c r="J151" s="20" t="n">
        <v>1153.978</v>
      </c>
      <c r="K151" s="20" t="n">
        <v>1129.272</v>
      </c>
      <c r="L151" s="20" t="n">
        <v>1246.137</v>
      </c>
      <c r="M151" s="20" t="n">
        <v>1177.857</v>
      </c>
      <c r="N151" s="20" t="n">
        <v>1239.277</v>
      </c>
      <c r="V151" s="20" t="n">
        <v>841.463</v>
      </c>
      <c r="W151" s="20" t="n">
        <v>1153.978</v>
      </c>
      <c r="X151" s="20" t="n">
        <v>1239.277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IF(OR(G151="",C151=""),"",IF(C151&lt;=0,"",IFERROR(G151/C151-1,"")))</f>
        <v/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K152" s="15">
        <f>IF(OR(K151="",G151=""),"",IF(G151&lt;=0,"",IFERROR(K151/G151-1,"")))</f>
        <v/>
      </c>
      <c r="L152" s="15">
        <f>IF(OR(L151="",H151=""),"",IF(H151&lt;=0,"",IFERROR(L151/H151-1,"")))</f>
        <v/>
      </c>
      <c r="M152" s="15">
        <f>IF(OR(M151="",I151=""),"",IF(I151&lt;=0,"",IFERROR(M151/I151-1,"")))</f>
        <v/>
      </c>
      <c r="N152" s="15">
        <f>IF(OR(N151="",J151=""),"",IF(J151&lt;=0,"",IFERROR(N151/J151-1,"")))</f>
        <v/>
      </c>
      <c r="V152" s="15">
        <f>IF(OR(V151="",U151=""),"",IF(U151&lt;=0,"",IFERROR(V151/U151-1,"")))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18" t="inlineStr">
        <is>
          <t>DesignPlatformBusinessReportableSegmentMember · 외부 고객 매출</t>
        </is>
      </c>
      <c r="C153" s="20" t="n">
        <v>73.57599999999999</v>
      </c>
      <c r="D153" s="20" t="n">
        <v>79.67</v>
      </c>
      <c r="E153" s="20" t="n">
        <v>92.846</v>
      </c>
      <c r="F153" s="20" t="n">
        <v>101.309</v>
      </c>
      <c r="G153" s="20" t="n">
        <v>99.455</v>
      </c>
      <c r="H153" s="20" t="n">
        <v>82.96299999999999</v>
      </c>
      <c r="I153" s="20" t="n">
        <v>110.466</v>
      </c>
      <c r="J153" s="20" t="n">
        <v>96.52200000000001</v>
      </c>
      <c r="K153" s="20" t="n">
        <v>77.08799999999999</v>
      </c>
      <c r="L153" s="20" t="n">
        <v>126.102</v>
      </c>
      <c r="M153" s="20" t="n">
        <v>91.318</v>
      </c>
      <c r="N153" s="20" t="n">
        <v>110.208</v>
      </c>
      <c r="V153" s="20" t="n">
        <v>101.309</v>
      </c>
      <c r="W153" s="20" t="n">
        <v>96.52200000000001</v>
      </c>
      <c r="X153" s="20" t="n">
        <v>110.208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L154" s="15">
        <f>IF(OR(L153="",H153=""),"",IF(H153&lt;=0,"",IFERROR(L153/H153-1,"")))</f>
        <v/>
      </c>
      <c r="M154" s="15">
        <f>IF(OR(M153="",I153=""),"",IF(I153&lt;=0,"",IFERROR(M153/I153-1,"")))</f>
        <v/>
      </c>
      <c r="N154" s="15">
        <f>IF(OR(N153="",J153=""),"",IF(J153&lt;=0,"",IFERROR(N153/J153-1,"")))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보고부문 합계 · 외부 고객 매출</t>
        </is>
      </c>
      <c r="C155" s="20" t="n">
        <v>1024.444</v>
      </c>
      <c r="D155" s="20" t="n">
        <v>1040.638</v>
      </c>
      <c r="E155" s="20" t="n">
        <v>935.114</v>
      </c>
      <c r="F155" s="20" t="n">
        <v>942.771</v>
      </c>
      <c r="G155" s="20" t="n">
        <v>1214.187</v>
      </c>
      <c r="H155" s="20" t="n">
        <v>1254.768</v>
      </c>
      <c r="I155" s="20" t="n">
        <v>1366.097</v>
      </c>
      <c r="J155" s="20" t="n">
        <v>1250.501</v>
      </c>
      <c r="K155" s="20" t="n">
        <v>1206.36</v>
      </c>
      <c r="L155" s="20" t="n">
        <v>1372.24</v>
      </c>
      <c r="M155" s="20" t="n">
        <v>1269.175</v>
      </c>
      <c r="N155" s="20" t="n">
        <v>1349.484</v>
      </c>
      <c r="V155" s="20" t="n">
        <v>942.771</v>
      </c>
      <c r="W155" s="20" t="n">
        <v>1250.501</v>
      </c>
      <c r="X155" s="20" t="n">
        <v>1349.484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조정액 · 외부 고객 매출</t>
        </is>
      </c>
      <c r="C157" s="20" t="n">
        <v>0</v>
      </c>
      <c r="D157" s="20" t="n">
        <v>0</v>
      </c>
      <c r="E157" s="20" t="n">
        <v>0</v>
      </c>
      <c r="F157" s="20" t="n">
        <v>0</v>
      </c>
      <c r="G157" s="20" t="n">
        <v>0</v>
      </c>
      <c r="H157" s="20" t="n">
        <v>0</v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0" t="n">
        <v>0</v>
      </c>
      <c r="V157" s="20" t="n">
        <v>0</v>
      </c>
      <c r="W157" s="20" t="n">
        <v>0</v>
      </c>
      <c r="X157" s="20" t="n">
        <v>0</v>
      </c>
    </row>
    <row r="158">
      <c r="A158" s="18" t="inlineStr">
        <is>
          <t>EntityTotalMember · 외부 고객 매출</t>
        </is>
      </c>
      <c r="G158" s="20" t="n">
        <v>1214.187</v>
      </c>
      <c r="K158" s="20" t="n">
        <v>1206.36</v>
      </c>
    </row>
    <row r="159">
      <c r="A159" s="9" t="inlineStr">
        <is>
          <t>외부 고객 매출</t>
        </is>
      </c>
      <c r="C159" s="12" t="n">
        <v>1024.444</v>
      </c>
      <c r="D159" s="12" t="n">
        <v>1040.638</v>
      </c>
      <c r="E159" s="12" t="n">
        <v>935.114</v>
      </c>
      <c r="F159" s="12" t="n">
        <v>942.771</v>
      </c>
      <c r="G159" s="12" t="n">
        <v>1214.187</v>
      </c>
      <c r="H159" s="12" t="n">
        <v>1254.768</v>
      </c>
      <c r="I159" s="12" t="n">
        <v>1366.097</v>
      </c>
      <c r="J159" s="12" t="n">
        <v>1250.501</v>
      </c>
      <c r="V159" s="12" t="n">
        <v>942.771</v>
      </c>
      <c r="W159" s="12" t="n">
        <v>1250.501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</row>
    <row r="161">
      <c r="A161" s="18" t="inlineStr">
        <is>
          <t>DesignPartnerBusinessReportableSegmentMember · 부문 간 내부매출·대체</t>
        </is>
      </c>
      <c r="C161" s="20" t="n">
        <v>0</v>
      </c>
      <c r="D161" s="20" t="n">
        <v>0</v>
      </c>
      <c r="E161" s="20" t="n">
        <v>0</v>
      </c>
      <c r="F161" s="20" t="n">
        <v>0</v>
      </c>
      <c r="G161" s="20" t="n">
        <v>0</v>
      </c>
      <c r="H161" s="20" t="n">
        <v>0</v>
      </c>
      <c r="I161" s="20" t="n">
        <v>0</v>
      </c>
      <c r="J161" s="20" t="n">
        <v>0</v>
      </c>
      <c r="K161" s="20" t="n">
        <v>0</v>
      </c>
      <c r="L161" s="20" t="n">
        <v>0.15</v>
      </c>
      <c r="M161" s="20" t="n">
        <v>0</v>
      </c>
      <c r="N161" s="20" t="n">
        <v>2.76</v>
      </c>
      <c r="V161" s="20" t="n">
        <v>0</v>
      </c>
      <c r="W161" s="20" t="n">
        <v>0</v>
      </c>
      <c r="X161" s="20" t="n">
        <v>2.76</v>
      </c>
    </row>
    <row r="162">
      <c r="A162" s="18" t="inlineStr">
        <is>
          <t>DesignPlatformBusinessReportableSegmentMember · 부문 간 내부매출·대체</t>
        </is>
      </c>
      <c r="C162" s="20" t="n">
        <v>0</v>
      </c>
      <c r="D162" s="20" t="n">
        <v>0</v>
      </c>
      <c r="E162" s="20" t="n">
        <v>0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0</v>
      </c>
      <c r="K162" s="20" t="n">
        <v>0</v>
      </c>
      <c r="L162" s="20" t="n">
        <v>0</v>
      </c>
      <c r="M162" s="20" t="n">
        <v>0</v>
      </c>
      <c r="N162" s="20" t="n">
        <v>3.681</v>
      </c>
      <c r="V162" s="20" t="n">
        <v>0</v>
      </c>
      <c r="W162" s="20" t="n">
        <v>0</v>
      </c>
      <c r="X162" s="20" t="n">
        <v>3.681</v>
      </c>
    </row>
    <row r="163">
      <c r="A163" s="18" t="inlineStr">
        <is>
          <t>보고부문 합계 · 부문 간 내부매출·대체</t>
        </is>
      </c>
      <c r="C163" s="20" t="n">
        <v>0</v>
      </c>
      <c r="D163" s="20" t="n">
        <v>0</v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J163" s="20" t="n">
        <v>0</v>
      </c>
      <c r="K163" s="20" t="n">
        <v>0</v>
      </c>
      <c r="L163" s="20" t="n">
        <v>0.15</v>
      </c>
      <c r="M163" s="20" t="n">
        <v>0</v>
      </c>
      <c r="N163" s="20" t="n">
        <v>6.441</v>
      </c>
      <c r="V163" s="20" t="n">
        <v>0</v>
      </c>
      <c r="W163" s="20" t="n">
        <v>0</v>
      </c>
      <c r="X163" s="20" t="n">
        <v>6.441</v>
      </c>
    </row>
    <row r="164">
      <c r="A164" s="18" t="inlineStr">
        <is>
          <t>조정액 · 부문 간 내부매출·대체</t>
        </is>
      </c>
      <c r="C164" s="20" t="n">
        <v>0</v>
      </c>
      <c r="D164" s="20" t="n">
        <v>0</v>
      </c>
      <c r="E164" s="20" t="n">
        <v>0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0</v>
      </c>
      <c r="K164" s="20" t="n">
        <v>0</v>
      </c>
      <c r="L164" s="20" t="n">
        <v>-0.15</v>
      </c>
      <c r="M164" s="20" t="n">
        <v>0</v>
      </c>
      <c r="N164" s="20" t="n">
        <v>-6.441</v>
      </c>
      <c r="V164" s="20" t="n">
        <v>0</v>
      </c>
      <c r="W164" s="20" t="n">
        <v>0</v>
      </c>
      <c r="X164" s="20" t="n">
        <v>-6.441</v>
      </c>
    </row>
    <row r="165">
      <c r="A165" s="18" t="inlineStr">
        <is>
          <t>EntityTotalMember · 부문 간 내부매출·대체</t>
        </is>
      </c>
      <c r="G165" s="20" t="n">
        <v>0</v>
      </c>
      <c r="K165" s="20" t="n">
        <v>0</v>
      </c>
    </row>
    <row r="166">
      <c r="A166" s="18" t="inlineStr">
        <is>
          <t>부문 간 내부매출·대체</t>
        </is>
      </c>
      <c r="C166" s="20" t="n">
        <v>0</v>
      </c>
      <c r="D166" s="20" t="n">
        <v>0</v>
      </c>
      <c r="E166" s="20" t="n">
        <v>0</v>
      </c>
      <c r="F166" s="20" t="n">
        <v>0</v>
      </c>
      <c r="G166" s="20" t="n">
        <v>0</v>
      </c>
      <c r="H166" s="20" t="n">
        <v>0</v>
      </c>
      <c r="I166" s="20" t="n">
        <v>0</v>
      </c>
      <c r="J166" s="20" t="n">
        <v>0</v>
      </c>
      <c r="V166" s="20" t="n">
        <v>0</v>
      </c>
      <c r="W166" s="20" t="n">
        <v>0</v>
      </c>
    </row>
    <row r="167">
      <c r="A167" s="18" t="inlineStr">
        <is>
          <t>DesignPartnerBusinessReportableSegmentMember · 계</t>
        </is>
      </c>
      <c r="C167" s="20" t="n">
        <v>950.8680000000001</v>
      </c>
      <c r="D167" s="20" t="n">
        <v>960.968</v>
      </c>
      <c r="E167" s="20" t="n">
        <v>842.2670000000001</v>
      </c>
      <c r="F167" s="20" t="n">
        <v>841.463</v>
      </c>
      <c r="G167" s="20" t="n">
        <v>1114.732</v>
      </c>
      <c r="H167" s="20" t="n">
        <v>1171.805</v>
      </c>
      <c r="I167" s="20" t="n">
        <v>1255.631</v>
      </c>
      <c r="J167" s="20" t="n">
        <v>1153.978</v>
      </c>
      <c r="K167" s="20" t="n">
        <v>1129.272</v>
      </c>
      <c r="L167" s="20" t="n">
        <v>1246.287</v>
      </c>
      <c r="M167" s="20" t="n">
        <v>1177.857</v>
      </c>
      <c r="N167" s="20" t="n">
        <v>1242.037</v>
      </c>
      <c r="V167" s="20" t="n">
        <v>841.463</v>
      </c>
      <c r="W167" s="20" t="n">
        <v>1153.978</v>
      </c>
      <c r="X167" s="20" t="n">
        <v>1242.037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DesignPlatformBusinessReportableSegmentMember · 계</t>
        </is>
      </c>
      <c r="C169" s="20" t="n">
        <v>73.57599999999999</v>
      </c>
      <c r="D169" s="20" t="n">
        <v>79.67</v>
      </c>
      <c r="E169" s="20" t="n">
        <v>92.846</v>
      </c>
      <c r="F169" s="20" t="n">
        <v>101.309</v>
      </c>
      <c r="G169" s="20" t="n">
        <v>99.455</v>
      </c>
      <c r="H169" s="20" t="n">
        <v>82.96299999999999</v>
      </c>
      <c r="I169" s="20" t="n">
        <v>110.466</v>
      </c>
      <c r="J169" s="20" t="n">
        <v>96.52200000000001</v>
      </c>
      <c r="K169" s="20" t="n">
        <v>77.08799999999999</v>
      </c>
      <c r="L169" s="20" t="n">
        <v>126.102</v>
      </c>
      <c r="M169" s="20" t="n">
        <v>91.318</v>
      </c>
      <c r="N169" s="20" t="n">
        <v>113.889</v>
      </c>
      <c r="V169" s="20" t="n">
        <v>101.309</v>
      </c>
      <c r="W169" s="20" t="n">
        <v>96.52200000000001</v>
      </c>
      <c r="X169" s="20" t="n">
        <v>113.889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보고부문 합계 · 계</t>
        </is>
      </c>
      <c r="C171" s="20" t="n">
        <v>1024.444</v>
      </c>
      <c r="D171" s="20" t="n">
        <v>1040.638</v>
      </c>
      <c r="E171" s="20" t="n">
        <v>935.114</v>
      </c>
      <c r="F171" s="20" t="n">
        <v>942.771</v>
      </c>
      <c r="G171" s="20" t="n">
        <v>1214.187</v>
      </c>
      <c r="H171" s="20" t="n">
        <v>1254.768</v>
      </c>
      <c r="I171" s="20" t="n">
        <v>1366.097</v>
      </c>
      <c r="J171" s="20" t="n">
        <v>1250.501</v>
      </c>
      <c r="K171" s="20" t="n">
        <v>1206.36</v>
      </c>
      <c r="L171" s="20" t="n">
        <v>1372.39</v>
      </c>
      <c r="M171" s="20" t="n">
        <v>1269.175</v>
      </c>
      <c r="N171" s="20" t="n">
        <v>1355.925</v>
      </c>
      <c r="V171" s="20" t="n">
        <v>942.771</v>
      </c>
      <c r="W171" s="20" t="n">
        <v>1250.501</v>
      </c>
      <c r="X171" s="20" t="n">
        <v>1355.925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L172" s="15">
        <f>IF(OR(L171="",H171=""),"",IF(H171&lt;=0,"",IFERROR(L171/H171-1,"")))</f>
        <v/>
      </c>
      <c r="M172" s="15">
        <f>IF(OR(M171="",I171=""),"",IF(I171&lt;=0,"",IFERROR(M171/I171-1,"")))</f>
        <v/>
      </c>
      <c r="N172" s="15">
        <f>IF(OR(N171="",J171=""),"",IF(J171&lt;=0,"",IFERROR(N171/J171-1,"")))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조정액 · 계</t>
        </is>
      </c>
      <c r="C173" s="20" t="n">
        <v>0</v>
      </c>
      <c r="D173" s="20" t="n">
        <v>0</v>
      </c>
      <c r="E173" s="20" t="n">
        <v>0</v>
      </c>
      <c r="F173" s="20" t="n">
        <v>0</v>
      </c>
      <c r="G173" s="20" t="n">
        <v>0</v>
      </c>
      <c r="H173" s="20" t="n">
        <v>0</v>
      </c>
      <c r="I173" s="20" t="n">
        <v>0</v>
      </c>
      <c r="J173" s="20" t="n">
        <v>0</v>
      </c>
      <c r="K173" s="20" t="n">
        <v>0</v>
      </c>
      <c r="L173" s="20" t="n">
        <v>-0.15</v>
      </c>
      <c r="M173" s="20" t="n">
        <v>0</v>
      </c>
      <c r="N173" s="20" t="n">
        <v>-6.441</v>
      </c>
      <c r="V173" s="20" t="n">
        <v>0</v>
      </c>
      <c r="W173" s="20" t="n">
        <v>0</v>
      </c>
      <c r="X173" s="20" t="n">
        <v>-6.441</v>
      </c>
    </row>
    <row r="174">
      <c r="A174" s="18" t="inlineStr">
        <is>
          <t>EntityTotalMember · 계</t>
        </is>
      </c>
      <c r="G174" s="20" t="n">
        <v>1214.187</v>
      </c>
      <c r="K174" s="20" t="n">
        <v>1206.36</v>
      </c>
    </row>
    <row r="175">
      <c r="A175" s="9" t="inlineStr">
        <is>
          <t>계</t>
        </is>
      </c>
      <c r="C175" s="12" t="n">
        <v>1024.444</v>
      </c>
      <c r="D175" s="12" t="n">
        <v>1040.638</v>
      </c>
      <c r="E175" s="12" t="n">
        <v>935.114</v>
      </c>
      <c r="F175" s="12" t="n">
        <v>942.771</v>
      </c>
      <c r="G175" s="12" t="n">
        <v>1214.187</v>
      </c>
      <c r="H175" s="12" t="n">
        <v>1254.768</v>
      </c>
      <c r="I175" s="12" t="n">
        <v>1366.097</v>
      </c>
      <c r="J175" s="12" t="n">
        <v>1250.501</v>
      </c>
      <c r="V175" s="12" t="n">
        <v>942.771</v>
      </c>
      <c r="W175" s="12" t="n">
        <v>1250.501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IF(OR(G175="",C175=""),"",IF(C175&lt;=0,"",IFERROR(G175/C175-1,"")))</f>
        <v/>
      </c>
      <c r="H176" s="15">
        <f>IF(OR(H175="",D175=""),"",IF(D175&lt;=0,"",IFERROR(H175/D175-1,"")))</f>
        <v/>
      </c>
      <c r="I176" s="15">
        <f>IF(OR(I175="",E175=""),"",IF(E175&lt;=0,"",IFERROR(I175/E175-1,"")))</f>
        <v/>
      </c>
      <c r="J176" s="15">
        <f>IF(OR(J175="",F175=""),"",IF(F175&lt;=0,"",IFERROR(J175/F175-1,"")))</f>
        <v/>
      </c>
      <c r="V176" s="15">
        <f>IF(OR(V175="",U175=""),"",IF(U175&lt;=0,"",IFERROR(V175/U175-1,"")))</f>
        <v/>
      </c>
      <c r="W176" s="15">
        <f>IF(OR(W175="",V175=""),"",IF(V175&lt;=0,"",IFERROR(W175/V175-1,"")))</f>
        <v/>
      </c>
    </row>
    <row r="177">
      <c r="A177" s="18" t="inlineStr">
        <is>
          <t>DesignPartnerBusinessReportableSegmentMember · 부문 이익(손실)</t>
        </is>
      </c>
      <c r="C177" s="20" t="n">
        <v>5.833</v>
      </c>
      <c r="D177" s="20" t="n">
        <v>135.316</v>
      </c>
      <c r="E177" s="20" t="n">
        <v>-17.366</v>
      </c>
      <c r="F177" s="20" t="n">
        <v>4.588</v>
      </c>
      <c r="G177" s="20" t="n">
        <v>132.169</v>
      </c>
      <c r="H177" s="20" t="n">
        <v>222.077</v>
      </c>
      <c r="I177" s="20" t="n">
        <v>184.249</v>
      </c>
      <c r="J177" s="20" t="n">
        <v>73.056</v>
      </c>
      <c r="K177" s="20" t="n">
        <v>105.577</v>
      </c>
      <c r="L177" s="20" t="n">
        <v>179.09</v>
      </c>
      <c r="M177" s="20" t="n">
        <v>94.994</v>
      </c>
      <c r="N177" s="20" t="n">
        <v>133.061</v>
      </c>
      <c r="V177" s="20" t="n">
        <v>4.588</v>
      </c>
      <c r="W177" s="20" t="n">
        <v>73.056</v>
      </c>
      <c r="X177" s="20" t="n">
        <v>133.061</v>
      </c>
    </row>
    <row r="178">
      <c r="A178" s="43" t="inlineStr">
        <is>
          <t>OPM</t>
        </is>
      </c>
      <c r="B178" s="3" t="inlineStr">
        <is>
          <t>영업이익 ÷ 매출</t>
        </is>
      </c>
      <c r="C178" s="15">
        <f>IF(OR(C177="",C167=""),"",IF(C167&lt;=0,"",IFERROR(C177/C167,"")))</f>
        <v/>
      </c>
      <c r="D178" s="15">
        <f>IF(OR(D177="",D167=""),"",IF(D167&lt;=0,"",IFERROR(D177/D167,"")))</f>
        <v/>
      </c>
      <c r="E178" s="15">
        <f>IF(OR(E177="",E167=""),"",IF(E167&lt;=0,"",IFERROR(E177/E167,"")))</f>
        <v/>
      </c>
      <c r="F178" s="15">
        <f>IF(OR(F177="",F167=""),"",IF(F167&lt;=0,"",IFERROR(F177/F167,"")))</f>
        <v/>
      </c>
      <c r="G178" s="15">
        <f>IF(OR(G177="",G167=""),"",IF(G167&lt;=0,"",IFERROR(G177/G167,"")))</f>
        <v/>
      </c>
      <c r="H178" s="15">
        <f>IF(OR(H177="",H167=""),"",IF(H167&lt;=0,"",IFERROR(H177/H167,"")))</f>
        <v/>
      </c>
      <c r="I178" s="15">
        <f>IF(OR(I177="",I167=""),"",IF(I167&lt;=0,"",IFERROR(I177/I167,"")))</f>
        <v/>
      </c>
      <c r="J178" s="15">
        <f>IF(OR(J177="",J167=""),"",IF(J167&lt;=0,"",IFERROR(J177/J167,"")))</f>
        <v/>
      </c>
      <c r="K178" s="15">
        <f>IF(OR(K177="",K167=""),"",IF(K167&lt;=0,"",IFERROR(K177/K167,"")))</f>
        <v/>
      </c>
      <c r="L178" s="15">
        <f>IF(OR(L177="",L167=""),"",IF(L167&lt;=0,"",IFERROR(L177/L167,"")))</f>
        <v/>
      </c>
      <c r="M178" s="15">
        <f>IF(OR(M177="",M167=""),"",IF(M167&lt;=0,"",IFERROR(M177/M167,"")))</f>
        <v/>
      </c>
      <c r="N178" s="15">
        <f>IF(OR(N177="",N167=""),"",IF(N167&lt;=0,"",IFERROR(N177/N167,"")))</f>
        <v/>
      </c>
      <c r="V178" s="15">
        <f>IF(OR(V177="",V167=""),"",IF(V167&lt;=0,"",IFERROR(V177/V167,"")))</f>
        <v/>
      </c>
      <c r="W178" s="15">
        <f>IF(OR(W177="",W167=""),"",IF(W167&lt;=0,"",IFERROR(W177/W167,"")))</f>
        <v/>
      </c>
      <c r="X178" s="15">
        <f>IF(OR(X177="",X167=""),"",IF(X167&lt;=0,"",IFERROR(X177/X167,"")))</f>
        <v/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IF(OR(G177="",C177=""),"",IF(C177&lt;=0,"",IFERROR(G177/C177-1,"")))</f>
        <v/>
      </c>
      <c r="H179" s="15">
        <f>IF(OR(H177="",D177=""),"",IF(D177&lt;=0,"",IFERROR(H177/D177-1,"")))</f>
        <v/>
      </c>
      <c r="I179" s="15">
        <f>IF(OR(I177="",E177=""),"",IF(E177&lt;=0,"",IFERROR(I177/E177-1,"")))</f>
        <v/>
      </c>
      <c r="J179" s="15">
        <f>IF(OR(J177="",F177=""),"",IF(F177&lt;=0,"",IFERROR(J177/F177-1,"")))</f>
        <v/>
      </c>
      <c r="K179" s="15">
        <f>IF(OR(K177="",G177=""),"",IF(G177&lt;=0,"",IFERROR(K177/G177-1,"")))</f>
        <v/>
      </c>
      <c r="L179" s="15">
        <f>IF(OR(L177="",H177=""),"",IF(H177&lt;=0,"",IFERROR(L177/H177-1,"")))</f>
        <v/>
      </c>
      <c r="M179" s="15">
        <f>IF(OR(M177="",I177=""),"",IF(I177&lt;=0,"",IFERROR(M177/I177-1,"")))</f>
        <v/>
      </c>
      <c r="N179" s="15">
        <f>IF(OR(N177="",J177=""),"",IF(J177&lt;=0,"",IFERROR(N177/J177-1,"")))</f>
        <v/>
      </c>
      <c r="V179" s="15">
        <f>IF(OR(V177="",U177=""),"",IF(U177&lt;=0,"",IFERROR(V177/U177-1,"")))</f>
        <v/>
      </c>
      <c r="W179" s="15">
        <f>IF(OR(W177="",V177=""),"",IF(V177&lt;=0,"",IFERROR(W177/V177-1,"")))</f>
        <v/>
      </c>
      <c r="X179" s="15">
        <f>IF(OR(X177="",W177=""),"",IF(W177&lt;=0,"",IFERROR(X177/W177-1,"")))</f>
        <v/>
      </c>
    </row>
    <row r="180">
      <c r="A180" s="18" t="inlineStr">
        <is>
          <t>DesignPlatformBusinessReportableSegmentMember · 부문 이익(손실)</t>
        </is>
      </c>
      <c r="C180" s="20" t="n">
        <v>-34.141</v>
      </c>
      <c r="D180" s="20" t="n">
        <v>-31.133</v>
      </c>
      <c r="E180" s="20" t="n">
        <v>-23.122</v>
      </c>
      <c r="F180" s="20" t="n">
        <v>-5.449</v>
      </c>
      <c r="G180" s="20" t="n">
        <v>-3.509</v>
      </c>
      <c r="H180" s="20" t="n">
        <v>-20.83</v>
      </c>
      <c r="I180" s="20" t="n">
        <v>-4.714</v>
      </c>
      <c r="J180" s="20" t="n">
        <v>-25.014</v>
      </c>
      <c r="K180" s="20" t="n">
        <v>-28.301</v>
      </c>
      <c r="L180" s="20" t="n">
        <v>6.433</v>
      </c>
      <c r="M180" s="20" t="n">
        <v>-27.762</v>
      </c>
      <c r="N180" s="20" t="n">
        <v>-9.484</v>
      </c>
      <c r="V180" s="20" t="n">
        <v>-5.449</v>
      </c>
      <c r="W180" s="20" t="n">
        <v>-25.014</v>
      </c>
      <c r="X180" s="20" t="n">
        <v>-9.484</v>
      </c>
    </row>
    <row r="181">
      <c r="A181" s="43" t="inlineStr">
        <is>
          <t>OPM</t>
        </is>
      </c>
      <c r="B181" s="3" t="inlineStr">
        <is>
          <t>영업이익 ÷ 매출</t>
        </is>
      </c>
      <c r="C181" s="15">
        <f>IF(OR(C180="",C169=""),"",IF(C169&lt;=0,"",IFERROR(C180/C169,"")))</f>
        <v/>
      </c>
      <c r="D181" s="15">
        <f>IF(OR(D180="",D169=""),"",IF(D169&lt;=0,"",IFERROR(D180/D169,"")))</f>
        <v/>
      </c>
      <c r="E181" s="15">
        <f>IF(OR(E180="",E169=""),"",IF(E169&lt;=0,"",IFERROR(E180/E169,"")))</f>
        <v/>
      </c>
      <c r="F181" s="15">
        <f>IF(OR(F180="",F169=""),"",IF(F169&lt;=0,"",IFERROR(F180/F169,"")))</f>
        <v/>
      </c>
      <c r="G181" s="15">
        <f>IF(OR(G180="",G169=""),"",IF(G169&lt;=0,"",IFERROR(G180/G169,"")))</f>
        <v/>
      </c>
      <c r="H181" s="15">
        <f>IF(OR(H180="",H169=""),"",IF(H169&lt;=0,"",IFERROR(H180/H169,"")))</f>
        <v/>
      </c>
      <c r="I181" s="15">
        <f>IF(OR(I180="",I169=""),"",IF(I169&lt;=0,"",IFERROR(I180/I169,"")))</f>
        <v/>
      </c>
      <c r="J181" s="15">
        <f>IF(OR(J180="",J169=""),"",IF(J169&lt;=0,"",IFERROR(J180/J169,"")))</f>
        <v/>
      </c>
      <c r="K181" s="15">
        <f>IF(OR(K180="",K169=""),"",IF(K169&lt;=0,"",IFERROR(K180/K169,"")))</f>
        <v/>
      </c>
      <c r="L181" s="15">
        <f>IF(OR(L180="",L169=""),"",IF(L169&lt;=0,"",IFERROR(L180/L169,"")))</f>
        <v/>
      </c>
      <c r="M181" s="15">
        <f>IF(OR(M180="",M169=""),"",IF(M169&lt;=0,"",IFERROR(M180/M169,"")))</f>
        <v/>
      </c>
      <c r="N181" s="15">
        <f>IF(OR(N180="",N169=""),"",IF(N169&lt;=0,"",IFERROR(N180/N169,"")))</f>
        <v/>
      </c>
      <c r="V181" s="15">
        <f>IF(OR(V180="",V169=""),"",IF(V169&lt;=0,"",IFERROR(V180/V169,"")))</f>
        <v/>
      </c>
      <c r="W181" s="15">
        <f>IF(OR(W180="",W169=""),"",IF(W169&lt;=0,"",IFERROR(W180/W169,"")))</f>
        <v/>
      </c>
      <c r="X181" s="15">
        <f>IF(OR(X180="",X169=""),"",IF(X169&lt;=0,"",IFERROR(X180/X169,"")))</f>
        <v/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IF(OR(G180="",C180=""),"",IF(C180&lt;=0,"",IFERROR(G180/C180-1,"")))</f>
        <v/>
      </c>
      <c r="H182" s="15">
        <f>IF(OR(H180="",D180=""),"",IF(D180&lt;=0,"",IFERROR(H180/D180-1,"")))</f>
        <v/>
      </c>
      <c r="I182" s="15">
        <f>IF(OR(I180="",E180=""),"",IF(E180&lt;=0,"",IFERROR(I180/E180-1,"")))</f>
        <v/>
      </c>
      <c r="J182" s="15">
        <f>IF(OR(J180="",F180=""),"",IF(F180&lt;=0,"",IFERROR(J180/F180-1,"")))</f>
        <v/>
      </c>
      <c r="K182" s="15">
        <f>IF(OR(K180="",G180=""),"",IF(G180&lt;=0,"",IFERROR(K180/G180-1,"")))</f>
        <v/>
      </c>
      <c r="L182" s="15">
        <f>IF(OR(L180="",H180=""),"",IF(H180&lt;=0,"",IFERROR(L180/H180-1,"")))</f>
        <v/>
      </c>
      <c r="M182" s="15">
        <f>IF(OR(M180="",I180=""),"",IF(I180&lt;=0,"",IFERROR(M180/I180-1,"")))</f>
        <v/>
      </c>
      <c r="N182" s="15">
        <f>IF(OR(N180="",J180=""),"",IF(J180&lt;=0,"",IFERROR(N180/J180-1,"")))</f>
        <v/>
      </c>
      <c r="V182" s="15">
        <f>IF(OR(V180="",U180=""),"",IF(U180&lt;=0,"",IFERROR(V180/U180-1,"")))</f>
        <v/>
      </c>
      <c r="W182" s="15">
        <f>IF(OR(W180="",V180=""),"",IF(V180&lt;=0,"",IFERROR(W180/V180-1,"")))</f>
        <v/>
      </c>
      <c r="X182" s="15">
        <f>IF(OR(X180="",W180=""),"",IF(W180&lt;=0,"",IFERROR(X180/W180-1,"")))</f>
        <v/>
      </c>
    </row>
    <row r="183">
      <c r="A183" s="18" t="inlineStr">
        <is>
          <t>보고부문 합계 · 부문 이익(손실)</t>
        </is>
      </c>
      <c r="C183" s="20" t="n">
        <v>-28.307</v>
      </c>
      <c r="D183" s="20" t="n">
        <v>104.181</v>
      </c>
      <c r="E183" s="20" t="n">
        <v>-40.488</v>
      </c>
      <c r="F183" s="20" t="n">
        <v>-0.86</v>
      </c>
      <c r="G183" s="20" t="n">
        <v>128.66</v>
      </c>
      <c r="H183" s="20" t="n">
        <v>201.246</v>
      </c>
      <c r="I183" s="20" t="n">
        <v>179.536</v>
      </c>
      <c r="J183" s="20" t="n">
        <v>48.041</v>
      </c>
      <c r="K183" s="20" t="n">
        <v>77.276</v>
      </c>
      <c r="L183" s="20" t="n">
        <v>185.523</v>
      </c>
      <c r="M183" s="20" t="n">
        <v>67.232</v>
      </c>
      <c r="N183" s="20" t="n">
        <v>123.577</v>
      </c>
      <c r="V183" s="20" t="n">
        <v>-0.86</v>
      </c>
      <c r="W183" s="20" t="n">
        <v>48.041</v>
      </c>
      <c r="X183" s="20" t="n">
        <v>123.577</v>
      </c>
    </row>
    <row r="184">
      <c r="A184" s="43" t="inlineStr">
        <is>
          <t>OPM</t>
        </is>
      </c>
      <c r="B184" s="3" t="inlineStr">
        <is>
          <t>영업이익 ÷ 매출</t>
        </is>
      </c>
      <c r="C184" s="15">
        <f>IF(OR(C183="",C171=""),"",IF(C171&lt;=0,"",IFERROR(C183/C171,"")))</f>
        <v/>
      </c>
      <c r="D184" s="15">
        <f>IF(OR(D183="",D171=""),"",IF(D171&lt;=0,"",IFERROR(D183/D171,"")))</f>
        <v/>
      </c>
      <c r="E184" s="15">
        <f>IF(OR(E183="",E171=""),"",IF(E171&lt;=0,"",IFERROR(E183/E171,"")))</f>
        <v/>
      </c>
      <c r="F184" s="15">
        <f>IF(OR(F183="",F171=""),"",IF(F171&lt;=0,"",IFERROR(F183/F171,"")))</f>
        <v/>
      </c>
      <c r="G184" s="15">
        <f>IF(OR(G183="",G171=""),"",IF(G171&lt;=0,"",IFERROR(G183/G171,"")))</f>
        <v/>
      </c>
      <c r="H184" s="15">
        <f>IF(OR(H183="",H171=""),"",IF(H171&lt;=0,"",IFERROR(H183/H171,"")))</f>
        <v/>
      </c>
      <c r="I184" s="15">
        <f>IF(OR(I183="",I171=""),"",IF(I171&lt;=0,"",IFERROR(I183/I171,"")))</f>
        <v/>
      </c>
      <c r="J184" s="15">
        <f>IF(OR(J183="",J171=""),"",IF(J171&lt;=0,"",IFERROR(J183/J171,"")))</f>
        <v/>
      </c>
      <c r="K184" s="15">
        <f>IF(OR(K183="",K171=""),"",IF(K171&lt;=0,"",IFERROR(K183/K171,"")))</f>
        <v/>
      </c>
      <c r="L184" s="15">
        <f>IF(OR(L183="",L171=""),"",IF(L171&lt;=0,"",IFERROR(L183/L171,"")))</f>
        <v/>
      </c>
      <c r="M184" s="15">
        <f>IF(OR(M183="",M171=""),"",IF(M171&lt;=0,"",IFERROR(M183/M171,"")))</f>
        <v/>
      </c>
      <c r="N184" s="15">
        <f>IF(OR(N183="",N171=""),"",IF(N171&lt;=0,"",IFERROR(N183/N171,"")))</f>
        <v/>
      </c>
      <c r="V184" s="15">
        <f>IF(OR(V183="",V171=""),"",IF(V171&lt;=0,"",IFERROR(V183/V171,"")))</f>
        <v/>
      </c>
      <c r="W184" s="15">
        <f>IF(OR(W183="",W171=""),"",IF(W171&lt;=0,"",IFERROR(W183/W171,"")))</f>
        <v/>
      </c>
      <c r="X184" s="15">
        <f>IF(OR(X183="",X171=""),"",IF(X171&lt;=0,"",IFERROR(X183/X171,"")))</f>
        <v/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IF(OR(G183="",C183=""),"",IF(C183&lt;=0,"",IFERROR(G183/C183-1,"")))</f>
        <v/>
      </c>
      <c r="H185" s="15">
        <f>IF(OR(H183="",D183=""),"",IF(D183&lt;=0,"",IFERROR(H183/D183-1,"")))</f>
        <v/>
      </c>
      <c r="I185" s="15">
        <f>IF(OR(I183="",E183=""),"",IF(E183&lt;=0,"",IFERROR(I183/E183-1,"")))</f>
        <v/>
      </c>
      <c r="J185" s="15">
        <f>IF(OR(J183="",F183=""),"",IF(F183&lt;=0,"",IFERROR(J183/F183-1,"")))</f>
        <v/>
      </c>
      <c r="K185" s="15">
        <f>IF(OR(K183="",G183=""),"",IF(G183&lt;=0,"",IFERROR(K183/G183-1,"")))</f>
        <v/>
      </c>
      <c r="L185" s="15">
        <f>IF(OR(L183="",H183=""),"",IF(H183&lt;=0,"",IFERROR(L183/H183-1,"")))</f>
        <v/>
      </c>
      <c r="M185" s="15">
        <f>IF(OR(M183="",I183=""),"",IF(I183&lt;=0,"",IFERROR(M183/I183-1,"")))</f>
        <v/>
      </c>
      <c r="N185" s="15">
        <f>IF(OR(N183="",J183=""),"",IF(J183&lt;=0,"",IFERROR(N183/J183-1,"")))</f>
        <v/>
      </c>
      <c r="V185" s="15">
        <f>IF(OR(V183="",U183=""),"",IF(U183&lt;=0,"",IFERROR(V183/U183-1,"")))</f>
        <v/>
      </c>
      <c r="W185" s="15">
        <f>IF(OR(W183="",V183=""),"",IF(V183&lt;=0,"",IFERROR(W183/V183-1,"")))</f>
        <v/>
      </c>
      <c r="X185" s="15">
        <f>IF(OR(X183="",W183=""),"",IF(W183&lt;=0,"",IFERROR(X183/W183-1,"")))</f>
        <v/>
      </c>
    </row>
    <row r="186">
      <c r="A186" s="18" t="inlineStr">
        <is>
          <t>조정액 · 부문 이익(손실)</t>
        </is>
      </c>
      <c r="C186" s="20" t="n">
        <v>0</v>
      </c>
      <c r="D186" s="20" t="n">
        <v>0</v>
      </c>
      <c r="E186" s="20" t="n">
        <v>0</v>
      </c>
      <c r="F186" s="20" t="n">
        <v>0</v>
      </c>
      <c r="G186" s="20" t="n">
        <v>0</v>
      </c>
      <c r="H186" s="20" t="n">
        <v>0</v>
      </c>
      <c r="I186" s="20" t="n">
        <v>0</v>
      </c>
      <c r="J186" s="20" t="n">
        <v>0</v>
      </c>
      <c r="K186" s="20" t="n">
        <v>0</v>
      </c>
      <c r="L186" s="20" t="n">
        <v>-0.15</v>
      </c>
      <c r="M186" s="20" t="n">
        <v>0</v>
      </c>
      <c r="N186" s="20" t="n">
        <v>-6.441</v>
      </c>
      <c r="V186" s="20" t="n">
        <v>0</v>
      </c>
      <c r="W186" s="20" t="n">
        <v>0</v>
      </c>
      <c r="X186" s="20" t="n">
        <v>-6.441</v>
      </c>
    </row>
    <row r="187">
      <c r="A187" s="18" t="inlineStr">
        <is>
          <t>EntityTotalMember · 부문 이익(손실)</t>
        </is>
      </c>
      <c r="G187" s="20" t="n">
        <v>128.66</v>
      </c>
      <c r="K187" s="20" t="n">
        <v>77.276</v>
      </c>
    </row>
    <row r="188">
      <c r="A188" s="9" t="inlineStr">
        <is>
          <t>부문 이익(손실)</t>
        </is>
      </c>
      <c r="C188" s="12" t="n">
        <v>-28.307</v>
      </c>
      <c r="D188" s="12" t="n">
        <v>104.181</v>
      </c>
      <c r="E188" s="12" t="n">
        <v>-40.488</v>
      </c>
      <c r="F188" s="12" t="n">
        <v>-0.86</v>
      </c>
      <c r="G188" s="12" t="n">
        <v>128.66</v>
      </c>
      <c r="H188" s="12" t="n">
        <v>201.246</v>
      </c>
      <c r="I188" s="12" t="n">
        <v>179.536</v>
      </c>
      <c r="J188" s="12" t="n">
        <v>48.041</v>
      </c>
      <c r="V188" s="12" t="n">
        <v>-0.86</v>
      </c>
      <c r="W188" s="12" t="n">
        <v>48.041</v>
      </c>
    </row>
    <row r="189">
      <c r="A189" s="43" t="inlineStr">
        <is>
          <t>OPM</t>
        </is>
      </c>
      <c r="B189" s="3" t="inlineStr">
        <is>
          <t>영업이익 ÷ 매출</t>
        </is>
      </c>
      <c r="C189" s="15">
        <f>IF(OR(C188="",C159=""),"",IF(C159&lt;=0,"",IFERROR(C188/C159,"")))</f>
        <v/>
      </c>
      <c r="D189" s="15">
        <f>IF(OR(D188="",D159=""),"",IF(D159&lt;=0,"",IFERROR(D188/D159,"")))</f>
        <v/>
      </c>
      <c r="E189" s="15">
        <f>IF(OR(E188="",E159=""),"",IF(E159&lt;=0,"",IFERROR(E188/E159,"")))</f>
        <v/>
      </c>
      <c r="F189" s="15">
        <f>IF(OR(F188="",F159=""),"",IF(F159&lt;=0,"",IFERROR(F188/F159,"")))</f>
        <v/>
      </c>
      <c r="G189" s="15">
        <f>IF(OR(G188="",G159=""),"",IF(G159&lt;=0,"",IFERROR(G188/G159,"")))</f>
        <v/>
      </c>
      <c r="H189" s="15">
        <f>IF(OR(H188="",H159=""),"",IF(H159&lt;=0,"",IFERROR(H188/H159,"")))</f>
        <v/>
      </c>
      <c r="I189" s="15">
        <f>IF(OR(I188="",I159=""),"",IF(I159&lt;=0,"",IFERROR(I188/I159,"")))</f>
        <v/>
      </c>
      <c r="J189" s="15">
        <f>IF(OR(J188="",J159=""),"",IF(J159&lt;=0,"",IFERROR(J188/J159,"")))</f>
        <v/>
      </c>
      <c r="V189" s="15">
        <f>IF(OR(V188="",V159=""),"",IF(V159&lt;=0,"",IFERROR(V188/V159,"")))</f>
        <v/>
      </c>
      <c r="W189" s="15">
        <f>IF(OR(W188="",W159=""),"",IF(W159&lt;=0,"",IFERROR(W188/W159,"")))</f>
        <v/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IF(OR(G188="",C188=""),"",IF(C188&lt;=0,"",IFERROR(G188/C188-1,"")))</f>
        <v/>
      </c>
      <c r="H190" s="15">
        <f>IF(OR(H188="",D188=""),"",IF(D188&lt;=0,"",IFERROR(H188/D188-1,"")))</f>
        <v/>
      </c>
      <c r="I190" s="15">
        <f>IF(OR(I188="",E188=""),"",IF(E188&lt;=0,"",IFERROR(I188/E188-1,"")))</f>
        <v/>
      </c>
      <c r="J190" s="15">
        <f>IF(OR(J188="",F188=""),"",IF(F188&lt;=0,"",IFERROR(J188/F188-1,"")))</f>
        <v/>
      </c>
      <c r="V190" s="15">
        <f>IF(OR(V188="",U188=""),"",IF(U188&lt;=0,"",IFERROR(V188/U188-1,"")))</f>
        <v/>
      </c>
      <c r="W190" s="15">
        <f>IF(OR(W188="",V188=""),"",IF(V188&lt;=0,"",IFERROR(W188/V188-1,"")))</f>
        <v/>
      </c>
    </row>
    <row r="192">
      <c r="A192" s="16" t="inlineStr">
        <is>
          <t>현금흐름표 · 전 항목</t>
        </is>
      </c>
      <c r="B192" s="42" t="inlineStr">
        <is>
          <t>분기 = 결산기 첫날부터 누계(공시 그대로)</t>
        </is>
      </c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</row>
    <row r="193">
      <c r="A193" s="5" t="inlineStr">
        <is>
          <t>항목</t>
        </is>
      </c>
      <c r="B193" s="5" t="inlineStr">
        <is>
          <t>참고</t>
        </is>
      </c>
      <c r="C193" s="5" t="inlineStr">
        <is>
          <t>2024.1Q</t>
        </is>
      </c>
      <c r="D193" s="5" t="inlineStr">
        <is>
          <t>2024.2Q</t>
        </is>
      </c>
      <c r="E193" s="5" t="inlineStr">
        <is>
          <t>2024.3Q</t>
        </is>
      </c>
      <c r="F193" s="5" t="inlineStr">
        <is>
          <t>2024.4Q</t>
        </is>
      </c>
      <c r="G193" s="5" t="inlineStr">
        <is>
          <t>2025.1Q</t>
        </is>
      </c>
      <c r="H193" s="5" t="inlineStr">
        <is>
          <t>2025.2Q</t>
        </is>
      </c>
      <c r="I193" s="5" t="inlineStr">
        <is>
          <t>2025.3Q</t>
        </is>
      </c>
      <c r="J193" s="5" t="inlineStr">
        <is>
          <t>2025.4Q</t>
        </is>
      </c>
      <c r="K193" s="5" t="inlineStr">
        <is>
          <t>2026.1Q</t>
        </is>
      </c>
      <c r="L193" s="5" t="inlineStr">
        <is>
          <t>2026.2Q</t>
        </is>
      </c>
      <c r="M193" s="5" t="inlineStr">
        <is>
          <t>2026.3Q</t>
        </is>
      </c>
      <c r="N193" s="5" t="inlineStr">
        <is>
          <t>2026.4Q</t>
        </is>
      </c>
      <c r="O193" s="5" t="inlineStr">
        <is>
          <t>2017</t>
        </is>
      </c>
      <c r="P193" s="5" t="inlineStr">
        <is>
          <t>2018</t>
        </is>
      </c>
      <c r="Q193" s="5" t="inlineStr">
        <is>
          <t>2019</t>
        </is>
      </c>
      <c r="R193" s="5" t="inlineStr">
        <is>
          <t>2020</t>
        </is>
      </c>
      <c r="S193" s="5" t="inlineStr">
        <is>
          <t>2021</t>
        </is>
      </c>
      <c r="T193" s="5" t="inlineStr">
        <is>
          <t>2022</t>
        </is>
      </c>
      <c r="U193" s="5" t="inlineStr">
        <is>
          <t>2023</t>
        </is>
      </c>
      <c r="V193" s="5" t="inlineStr">
        <is>
          <t>2024</t>
        </is>
      </c>
      <c r="W193" s="5" t="inlineStr">
        <is>
          <t>2025</t>
        </is>
      </c>
      <c r="X193" s="5" t="inlineStr">
        <is>
          <t>2026</t>
        </is>
      </c>
      <c r="Y193" s="5" t="inlineStr">
        <is>
          <t>2027(MW)</t>
        </is>
      </c>
      <c r="Z193" s="5" t="inlineStr">
        <is>
          <t>2028(MW)</t>
        </is>
      </c>
      <c r="AA193" s="5" t="inlineStr">
        <is>
          <t>2029(MW)</t>
        </is>
      </c>
      <c r="AB193" s="5" t="inlineStr">
        <is>
          <t>2030(MW)</t>
        </is>
      </c>
      <c r="AC193" s="5" t="inlineStr">
        <is>
          <t>2031(MW)</t>
        </is>
      </c>
    </row>
    <row r="194">
      <c r="A194" s="9" t="inlineStr">
        <is>
          <t>법인세차감전 순이익</t>
        </is>
      </c>
      <c r="D194" s="12" t="n">
        <v>78.70999999999999</v>
      </c>
      <c r="F194" s="12" t="n">
        <v>47.429</v>
      </c>
      <c r="H194" s="12" t="n">
        <v>344.381</v>
      </c>
      <c r="J194" s="12" t="n">
        <v>621.1559999999999</v>
      </c>
      <c r="L194" s="12" t="n">
        <v>342.411</v>
      </c>
      <c r="N194" s="12" t="n">
        <v>554.1420000000001</v>
      </c>
      <c r="Q194" s="12" t="n">
        <v>83.678</v>
      </c>
      <c r="R194" s="12" t="n">
        <v>201.72</v>
      </c>
      <c r="S194" s="12" t="n">
        <v>393.907</v>
      </c>
      <c r="T194" s="12" t="n">
        <v>149.178</v>
      </c>
      <c r="U194" s="12" t="n">
        <v>345.498</v>
      </c>
      <c r="V194" s="12" t="n">
        <v>47.429</v>
      </c>
      <c r="W194" s="12" t="n">
        <v>621.1559999999999</v>
      </c>
      <c r="X194" s="12" t="n">
        <v>554.1420000000001</v>
      </c>
    </row>
    <row r="195">
      <c r="A195" s="18" t="inlineStr">
        <is>
          <t>감가상각비</t>
        </is>
      </c>
      <c r="D195" s="20" t="n">
        <v>9.755000000000001</v>
      </c>
      <c r="F195" s="20" t="n">
        <v>20.365</v>
      </c>
      <c r="H195" s="20" t="n">
        <v>9.396000000000001</v>
      </c>
      <c r="J195" s="20" t="n">
        <v>19.386</v>
      </c>
      <c r="L195" s="20" t="n">
        <v>11.608</v>
      </c>
      <c r="N195" s="20" t="n">
        <v>25.455</v>
      </c>
      <c r="Q195" s="20" t="n">
        <v>34.525</v>
      </c>
      <c r="R195" s="20" t="n">
        <v>48.049</v>
      </c>
      <c r="S195" s="20" t="n">
        <v>52.956</v>
      </c>
      <c r="T195" s="20" t="n">
        <v>49.664</v>
      </c>
      <c r="U195" s="20" t="n">
        <v>22.913</v>
      </c>
      <c r="V195" s="20" t="n">
        <v>20.365</v>
      </c>
      <c r="W195" s="20" t="n">
        <v>19.386</v>
      </c>
      <c r="X195" s="20" t="n">
        <v>25.455</v>
      </c>
    </row>
    <row r="196">
      <c r="A196" s="18" t="inlineStr">
        <is>
          <t>영업권 상각</t>
        </is>
      </c>
      <c r="D196" s="20" t="n">
        <v>31.733</v>
      </c>
      <c r="F196" s="20" t="n">
        <v>63.467</v>
      </c>
      <c r="H196" s="20" t="n">
        <v>32.375</v>
      </c>
      <c r="J196" s="20" t="n">
        <v>65.39100000000001</v>
      </c>
      <c r="L196" s="20" t="n">
        <v>35.483</v>
      </c>
      <c r="N196" s="20" t="n">
        <v>71.717</v>
      </c>
      <c r="S196" s="20" t="n">
        <v>0</v>
      </c>
      <c r="T196" s="20" t="n">
        <v>31.733</v>
      </c>
      <c r="U196" s="20" t="n">
        <v>63.467</v>
      </c>
      <c r="V196" s="20" t="n">
        <v>63.467</v>
      </c>
      <c r="W196" s="20" t="n">
        <v>65.39100000000001</v>
      </c>
      <c r="X196" s="20" t="n">
        <v>71.717</v>
      </c>
    </row>
    <row r="197">
      <c r="A197" s="18" t="inlineStr">
        <is>
          <t>이자·배당금 수익</t>
        </is>
      </c>
      <c r="H197" s="20" t="n">
        <v>-1.567</v>
      </c>
      <c r="J197" s="20" t="n">
        <v>-38.03</v>
      </c>
      <c r="L197" s="20" t="n">
        <v>-67.38500000000001</v>
      </c>
      <c r="N197" s="20" t="n">
        <v>-132.861</v>
      </c>
      <c r="W197" s="20" t="n">
        <v>-38.03</v>
      </c>
      <c r="X197" s="20" t="n">
        <v>-132.861</v>
      </c>
    </row>
    <row r="198">
      <c r="A198" s="18" t="inlineStr">
        <is>
          <t>지분법손익</t>
        </is>
      </c>
      <c r="D198" s="20" t="n">
        <v>-8.272</v>
      </c>
      <c r="F198" s="20" t="n">
        <v>-15.16</v>
      </c>
      <c r="H198" s="20" t="n">
        <v>-12.756</v>
      </c>
      <c r="J198" s="20" t="n">
        <v>-21.741</v>
      </c>
      <c r="L198" s="20" t="n">
        <v>-14.18</v>
      </c>
      <c r="N198" s="20" t="n">
        <v>-23.131</v>
      </c>
      <c r="S198" s="20" t="n">
        <v>0</v>
      </c>
      <c r="T198" s="20" t="n">
        <v>0.5649999999999999</v>
      </c>
      <c r="U198" s="20" t="n">
        <v>-7.775</v>
      </c>
      <c r="V198" s="20" t="n">
        <v>-15.16</v>
      </c>
      <c r="W198" s="20" t="n">
        <v>-21.741</v>
      </c>
      <c r="X198" s="20" t="n">
        <v>-23.131</v>
      </c>
    </row>
    <row r="199">
      <c r="A199" s="18" t="inlineStr">
        <is>
          <t>사업정리 이익</t>
        </is>
      </c>
      <c r="D199" s="20" t="n">
        <v>0</v>
      </c>
    </row>
    <row r="200">
      <c r="A200" s="18" t="inlineStr">
        <is>
          <t>매출채권·계약자산 증감</t>
        </is>
      </c>
      <c r="D200" s="20" t="n">
        <v>49.915</v>
      </c>
      <c r="T200" s="20" t="n">
        <v>6.057</v>
      </c>
      <c r="U200" s="20" t="n">
        <v>-141.203</v>
      </c>
    </row>
    <row r="201">
      <c r="A201" s="18" t="inlineStr">
        <is>
          <t>사업정리 손익</t>
        </is>
      </c>
      <c r="F201" s="20" t="n">
        <v>0</v>
      </c>
      <c r="T201" s="20" t="n">
        <v>80.65000000000001</v>
      </c>
      <c r="U201" s="20" t="n">
        <v>-46.481</v>
      </c>
      <c r="V201" s="20" t="n">
        <v>0</v>
      </c>
    </row>
    <row r="202">
      <c r="A202" s="18" t="inlineStr">
        <is>
          <t>수주손실 충당금 증감</t>
        </is>
      </c>
      <c r="R202" s="20" t="n">
        <v>0</v>
      </c>
      <c r="S202" s="20" t="n">
        <v>6.333</v>
      </c>
      <c r="T202" s="20" t="n">
        <v>-6.333</v>
      </c>
      <c r="U202" s="20" t="n">
        <v>0</v>
      </c>
    </row>
    <row r="203">
      <c r="A203" s="18" t="inlineStr">
        <is>
          <t>이자비용</t>
        </is>
      </c>
      <c r="D203" s="20" t="n">
        <v>0.43</v>
      </c>
      <c r="F203" s="20" t="n">
        <v>1.54</v>
      </c>
      <c r="H203" s="20" t="n">
        <v>1.209</v>
      </c>
      <c r="J203" s="20" t="n">
        <v>2.392</v>
      </c>
      <c r="L203" s="20" t="n">
        <v>1.074</v>
      </c>
      <c r="N203" s="20" t="n">
        <v>1.875</v>
      </c>
      <c r="Q203" s="20" t="n">
        <v>5.643</v>
      </c>
      <c r="R203" s="20" t="n">
        <v>9.835000000000001</v>
      </c>
      <c r="S203" s="20" t="n">
        <v>5.424</v>
      </c>
      <c r="T203" s="20" t="n">
        <v>4.356</v>
      </c>
      <c r="U203" s="20" t="n">
        <v>1.331</v>
      </c>
      <c r="V203" s="20" t="n">
        <v>1.54</v>
      </c>
      <c r="W203" s="20" t="n">
        <v>2.392</v>
      </c>
      <c r="X203" s="20" t="n">
        <v>1.875</v>
      </c>
    </row>
    <row r="204">
      <c r="A204" s="18" t="inlineStr">
        <is>
          <t>주식교부비</t>
        </is>
      </c>
      <c r="D204" s="20" t="n">
        <v>0.093</v>
      </c>
      <c r="F204" s="20" t="n">
        <v>0.168</v>
      </c>
      <c r="H204" s="20" t="n">
        <v>0</v>
      </c>
      <c r="J204" s="20" t="n">
        <v>0.038</v>
      </c>
      <c r="L204" s="20" t="n">
        <v>0.031</v>
      </c>
      <c r="N204" s="20" t="n">
        <v>0.031</v>
      </c>
      <c r="Q204" s="20" t="n">
        <v>0</v>
      </c>
      <c r="R204" s="20" t="n">
        <v>4.092</v>
      </c>
      <c r="S204" s="20" t="n">
        <v>7.429</v>
      </c>
      <c r="T204" s="20" t="n">
        <v>3.087</v>
      </c>
      <c r="U204" s="20" t="n">
        <v>8.242000000000001</v>
      </c>
      <c r="V204" s="20" t="n">
        <v>0.168</v>
      </c>
      <c r="W204" s="20" t="n">
        <v>0.038</v>
      </c>
      <c r="X204" s="20" t="n">
        <v>0.031</v>
      </c>
    </row>
    <row r="205">
      <c r="A205" s="18" t="inlineStr">
        <is>
          <t>상장비용</t>
        </is>
      </c>
      <c r="Q205" s="20" t="n">
        <v>0</v>
      </c>
      <c r="R205" s="20" t="n">
        <v>3.326</v>
      </c>
      <c r="S205" s="20" t="n">
        <v>0</v>
      </c>
    </row>
    <row r="206">
      <c r="A206" s="18" t="inlineStr">
        <is>
          <t>신주예약권 발행비</t>
        </is>
      </c>
      <c r="F206" s="20" t="n">
        <v>0.552</v>
      </c>
      <c r="J206" s="20" t="n">
        <v>0</v>
      </c>
      <c r="N206" s="20" t="n">
        <v>0.552</v>
      </c>
      <c r="R206" s="20" t="n">
        <v>0</v>
      </c>
      <c r="S206" s="20" t="n">
        <v>7.031</v>
      </c>
      <c r="T206" s="20" t="n">
        <v>0.608</v>
      </c>
      <c r="U206" s="20" t="n">
        <v>0</v>
      </c>
      <c r="V206" s="20" t="n">
        <v>0.552</v>
      </c>
      <c r="W206" s="20" t="n">
        <v>0</v>
      </c>
      <c r="X206" s="20" t="n">
        <v>0.552</v>
      </c>
    </row>
    <row r="207">
      <c r="A207" s="18" t="inlineStr">
        <is>
          <t>매출채권 증감</t>
        </is>
      </c>
      <c r="Q207" s="20" t="n">
        <v>-47.017</v>
      </c>
      <c r="R207" s="20" t="n">
        <v>-54.497</v>
      </c>
      <c r="S207" s="20" t="n">
        <v>-48.48</v>
      </c>
      <c r="T207" s="20" t="n">
        <v>6.057</v>
      </c>
    </row>
    <row r="208">
      <c r="A208" s="18" t="inlineStr">
        <is>
          <t>자산복구부채 환입이익</t>
        </is>
      </c>
      <c r="J208" s="20" t="n">
        <v>0</v>
      </c>
      <c r="N208" s="20" t="n">
        <v>-2.59</v>
      </c>
      <c r="W208" s="20" t="n">
        <v>0</v>
      </c>
      <c r="X208" s="20" t="n">
        <v>-2.59</v>
      </c>
    </row>
    <row r="209">
      <c r="A209" s="18" t="inlineStr">
        <is>
          <t>투자유가증권 평가손익</t>
        </is>
      </c>
      <c r="J209" s="20" t="n">
        <v>0</v>
      </c>
      <c r="N209" s="20" t="n">
        <v>47.999</v>
      </c>
      <c r="S209" s="20" t="n">
        <v>0</v>
      </c>
      <c r="T209" s="20" t="n">
        <v>118.382</v>
      </c>
      <c r="U209" s="20" t="n">
        <v>0</v>
      </c>
      <c r="W209" s="20" t="n">
        <v>0</v>
      </c>
      <c r="X209" s="20" t="n">
        <v>47.999</v>
      </c>
    </row>
    <row r="210">
      <c r="A210" s="18" t="inlineStr">
        <is>
          <t>투자유가증권 매각손익</t>
        </is>
      </c>
      <c r="H210" s="20" t="n">
        <v>0</v>
      </c>
      <c r="J210" s="20" t="n">
        <v>0</v>
      </c>
      <c r="L210" s="20" t="n">
        <v>-5.002</v>
      </c>
      <c r="N210" s="20" t="n">
        <v>-5.002</v>
      </c>
      <c r="W210" s="20" t="n">
        <v>0</v>
      </c>
      <c r="X210" s="20" t="n">
        <v>-5.002</v>
      </c>
    </row>
    <row r="211">
      <c r="A211" s="18" t="inlineStr">
        <is>
          <t>관계회사 주식 매각이익</t>
        </is>
      </c>
      <c r="J211" s="20" t="n">
        <v>0</v>
      </c>
      <c r="N211" s="20" t="n">
        <v>-8.723000000000001</v>
      </c>
      <c r="W211" s="20" t="n">
        <v>0</v>
      </c>
      <c r="X211" s="20" t="n">
        <v>-8.723000000000001</v>
      </c>
    </row>
    <row r="212">
      <c r="A212" s="18" t="inlineStr">
        <is>
          <t>관계회사 청산이익</t>
        </is>
      </c>
      <c r="D212" s="20" t="n">
        <v>0</v>
      </c>
      <c r="F212" s="20" t="n">
        <v>0</v>
      </c>
      <c r="H212" s="20" t="n">
        <v>-0.971</v>
      </c>
      <c r="J212" s="20" t="n">
        <v>-0.971</v>
      </c>
      <c r="L212" s="20" t="n">
        <v>0</v>
      </c>
      <c r="N212" s="20" t="n">
        <v>0</v>
      </c>
      <c r="V212" s="20" t="n">
        <v>0</v>
      </c>
      <c r="W212" s="20" t="n">
        <v>-0.971</v>
      </c>
      <c r="X212" s="20" t="n">
        <v>0</v>
      </c>
    </row>
    <row r="213">
      <c r="A213" s="18" t="inlineStr">
        <is>
          <t>손상차손</t>
        </is>
      </c>
      <c r="J213" s="20" t="n">
        <v>0</v>
      </c>
      <c r="N213" s="20" t="n">
        <v>9.75</v>
      </c>
      <c r="S213" s="20" t="n">
        <v>0</v>
      </c>
      <c r="T213" s="20" t="n">
        <v>47.213</v>
      </c>
      <c r="U213" s="20" t="n">
        <v>0</v>
      </c>
      <c r="W213" s="20" t="n">
        <v>0</v>
      </c>
      <c r="X213" s="20" t="n">
        <v>9.75</v>
      </c>
    </row>
    <row r="214">
      <c r="A214" s="18" t="inlineStr">
        <is>
          <t>상여충당금 증감</t>
        </is>
      </c>
      <c r="D214" s="20" t="n">
        <v>11.728</v>
      </c>
      <c r="F214" s="20" t="n">
        <v>1.885</v>
      </c>
      <c r="H214" s="20" t="n">
        <v>25.992</v>
      </c>
      <c r="J214" s="20" t="n">
        <v>98.461</v>
      </c>
      <c r="L214" s="20" t="n">
        <v>-91.751</v>
      </c>
      <c r="N214" s="20" t="n">
        <v>-91.834</v>
      </c>
      <c r="S214" s="20" t="n">
        <v>0</v>
      </c>
      <c r="T214" s="20" t="n">
        <v>0.215</v>
      </c>
      <c r="U214" s="20" t="n">
        <v>-0.215</v>
      </c>
      <c r="V214" s="20" t="n">
        <v>1.885</v>
      </c>
      <c r="W214" s="20" t="n">
        <v>98.461</v>
      </c>
      <c r="X214" s="20" t="n">
        <v>-91.834</v>
      </c>
    </row>
    <row r="215">
      <c r="A215" s="18" t="inlineStr">
        <is>
          <t>관계회사 정리손실 충당금 증감</t>
        </is>
      </c>
      <c r="S215" s="20" t="n">
        <v>0</v>
      </c>
      <c r="T215" s="20" t="n">
        <v>72.44499999999999</v>
      </c>
    </row>
    <row r="216">
      <c r="A216" s="18" t="inlineStr">
        <is>
          <t>외환차손익</t>
        </is>
      </c>
      <c r="Q216" s="20" t="n">
        <v>3.413</v>
      </c>
      <c r="R216" s="20" t="n">
        <v>-3.045</v>
      </c>
      <c r="S216" s="20" t="n">
        <v>-1.436</v>
      </c>
      <c r="T216" s="20" t="n">
        <v>0.104</v>
      </c>
      <c r="U216" s="20" t="n">
        <v>0</v>
      </c>
    </row>
    <row r="217">
      <c r="A217" s="18" t="inlineStr">
        <is>
          <t>이자수익</t>
        </is>
      </c>
      <c r="D217" s="20" t="n">
        <v>-0.155</v>
      </c>
      <c r="F217" s="20" t="n">
        <v>-0.546</v>
      </c>
      <c r="H217" s="20" t="n">
        <v>-1.567</v>
      </c>
      <c r="J217" s="20" t="n">
        <v>-4.267</v>
      </c>
      <c r="Q217" s="20" t="n">
        <v>-0.014</v>
      </c>
      <c r="R217" s="20" t="n">
        <v>-0.007</v>
      </c>
      <c r="S217" s="20" t="n">
        <v>-0.017</v>
      </c>
      <c r="T217" s="20" t="n">
        <v>-0.026</v>
      </c>
      <c r="U217" s="20" t="n">
        <v>-0.073</v>
      </c>
      <c r="V217" s="20" t="n">
        <v>-0.546</v>
      </c>
      <c r="W217" s="20" t="n">
        <v>-4.267</v>
      </c>
    </row>
    <row r="218">
      <c r="A218" s="18" t="inlineStr">
        <is>
          <t>보조금 수입</t>
        </is>
      </c>
      <c r="Q218" s="20" t="n">
        <v>-14.559</v>
      </c>
      <c r="R218" s="20" t="n">
        <v>-9.656000000000001</v>
      </c>
      <c r="S218" s="20" t="n">
        <v>-2.071</v>
      </c>
      <c r="T218" s="20" t="n">
        <v>0</v>
      </c>
    </row>
    <row r="219">
      <c r="A219" s="18" t="inlineStr">
        <is>
          <t>임대료 수익</t>
        </is>
      </c>
      <c r="Q219" s="20" t="n">
        <v>-1.454</v>
      </c>
      <c r="R219" s="20" t="n">
        <v>0</v>
      </c>
      <c r="S219" s="20" t="n">
        <v>-4.004</v>
      </c>
      <c r="T219" s="20" t="n">
        <v>-10.457</v>
      </c>
      <c r="U219" s="20" t="n">
        <v>0</v>
      </c>
    </row>
    <row r="220">
      <c r="A220" s="18" t="inlineStr">
        <is>
          <t>매출채권·계약자산 증감</t>
        </is>
      </c>
      <c r="D220" s="20" t="n">
        <v>49.915</v>
      </c>
      <c r="F220" s="20" t="n">
        <v>27.972</v>
      </c>
      <c r="H220" s="20" t="n">
        <v>-109.662</v>
      </c>
      <c r="J220" s="20" t="n">
        <v>-156.553</v>
      </c>
      <c r="L220" s="20" t="n">
        <v>-15.529</v>
      </c>
      <c r="N220" s="20" t="n">
        <v>32.416</v>
      </c>
      <c r="U220" s="20" t="n">
        <v>-107.608</v>
      </c>
      <c r="V220" s="20" t="n">
        <v>27.972</v>
      </c>
      <c r="W220" s="20" t="n">
        <v>-156.553</v>
      </c>
      <c r="X220" s="20" t="n">
        <v>32.416</v>
      </c>
    </row>
    <row r="221">
      <c r="A221" s="18" t="inlineStr">
        <is>
          <t>재고자산 증감</t>
        </is>
      </c>
      <c r="D221" s="20" t="n">
        <v>2.118</v>
      </c>
      <c r="F221" s="20" t="n">
        <v>8.545999999999999</v>
      </c>
      <c r="H221" s="20" t="n">
        <v>-18.826</v>
      </c>
      <c r="J221" s="20" t="n">
        <v>-6.681</v>
      </c>
      <c r="L221" s="20" t="n">
        <v>0.611</v>
      </c>
      <c r="N221" s="20" t="n">
        <v>-4.96</v>
      </c>
      <c r="Q221" s="20" t="n">
        <v>22.562</v>
      </c>
      <c r="R221" s="20" t="n">
        <v>5.38</v>
      </c>
      <c r="S221" s="20" t="n">
        <v>-22.718</v>
      </c>
      <c r="T221" s="20" t="n">
        <v>21.722</v>
      </c>
      <c r="U221" s="20" t="n">
        <v>-9.677</v>
      </c>
      <c r="V221" s="20" t="n">
        <v>8.545999999999999</v>
      </c>
      <c r="W221" s="20" t="n">
        <v>-6.681</v>
      </c>
      <c r="X221" s="20" t="n">
        <v>-4.96</v>
      </c>
    </row>
    <row r="222">
      <c r="A222" s="18" t="inlineStr">
        <is>
          <t>선급비용 증감</t>
        </is>
      </c>
      <c r="D222" s="20" t="n">
        <v>-24.99</v>
      </c>
      <c r="F222" s="20" t="n">
        <v>-30.456</v>
      </c>
      <c r="H222" s="20" t="n">
        <v>-16.803</v>
      </c>
      <c r="J222" s="20" t="n">
        <v>24.299</v>
      </c>
      <c r="L222" s="20" t="n">
        <v>-38.024</v>
      </c>
      <c r="N222" s="20" t="n">
        <v>-33.61</v>
      </c>
      <c r="Q222" s="20" t="n">
        <v>-5.846</v>
      </c>
      <c r="R222" s="20" t="n">
        <v>-6.306</v>
      </c>
      <c r="S222" s="20" t="n">
        <v>-5.943</v>
      </c>
      <c r="T222" s="20" t="n">
        <v>4.705</v>
      </c>
      <c r="U222" s="20" t="n">
        <v>-4.105</v>
      </c>
      <c r="V222" s="20" t="n">
        <v>-30.456</v>
      </c>
      <c r="W222" s="20" t="n">
        <v>24.299</v>
      </c>
      <c r="X222" s="20" t="n">
        <v>-33.61</v>
      </c>
    </row>
    <row r="223">
      <c r="A223" s="18" t="inlineStr">
        <is>
          <t>매입채무 증감</t>
        </is>
      </c>
      <c r="D223" s="20" t="n">
        <v>-23.018</v>
      </c>
      <c r="F223" s="20" t="n">
        <v>-8.222</v>
      </c>
      <c r="H223" s="20" t="n">
        <v>43.626</v>
      </c>
      <c r="J223" s="20" t="n">
        <v>36.416</v>
      </c>
      <c r="L223" s="20" t="n">
        <v>13.148</v>
      </c>
      <c r="N223" s="20" t="n">
        <v>9.268000000000001</v>
      </c>
      <c r="Q223" s="20" t="n">
        <v>9.167999999999999</v>
      </c>
      <c r="R223" s="20" t="n">
        <v>1.033</v>
      </c>
      <c r="S223" s="20" t="n">
        <v>7.332</v>
      </c>
      <c r="T223" s="20" t="n">
        <v>-1.611</v>
      </c>
      <c r="U223" s="20" t="n">
        <v>23.576</v>
      </c>
      <c r="V223" s="20" t="n">
        <v>-8.222</v>
      </c>
      <c r="W223" s="20" t="n">
        <v>36.416</v>
      </c>
      <c r="X223" s="20" t="n">
        <v>9.268000000000001</v>
      </c>
    </row>
    <row r="224">
      <c r="A224" s="18" t="inlineStr">
        <is>
          <t>미지급금 증감</t>
        </is>
      </c>
      <c r="D224" s="20" t="n">
        <v>-53.952</v>
      </c>
      <c r="F224" s="20" t="n">
        <v>-47.493</v>
      </c>
      <c r="H224" s="20" t="n">
        <v>-9.432</v>
      </c>
      <c r="J224" s="20" t="n">
        <v>56.857</v>
      </c>
      <c r="L224" s="20" t="n">
        <v>-30.812</v>
      </c>
      <c r="N224" s="20" t="n">
        <v>-8.581</v>
      </c>
      <c r="Q224" s="20" t="n">
        <v>51.306</v>
      </c>
      <c r="R224" s="20" t="n">
        <v>-51.263</v>
      </c>
      <c r="S224" s="20" t="n">
        <v>32.332</v>
      </c>
      <c r="T224" s="20" t="n">
        <v>-11.47</v>
      </c>
      <c r="U224" s="20" t="n">
        <v>-7.006</v>
      </c>
      <c r="V224" s="20" t="n">
        <v>-47.493</v>
      </c>
      <c r="W224" s="20" t="n">
        <v>56.857</v>
      </c>
      <c r="X224" s="20" t="n">
        <v>-8.581</v>
      </c>
    </row>
    <row r="225">
      <c r="A225" s="18" t="inlineStr">
        <is>
          <t>예수금 증감</t>
        </is>
      </c>
      <c r="F225" s="20" t="n">
        <v>22.377</v>
      </c>
      <c r="J225" s="20" t="n">
        <v>-0.45</v>
      </c>
      <c r="N225" s="20" t="n">
        <v>-18.305</v>
      </c>
      <c r="V225" s="20" t="n">
        <v>22.377</v>
      </c>
      <c r="W225" s="20" t="n">
        <v>-0.45</v>
      </c>
      <c r="X225" s="20" t="n">
        <v>-18.305</v>
      </c>
    </row>
    <row r="226">
      <c r="A226" s="18" t="inlineStr">
        <is>
          <t>미지급비용 증감</t>
        </is>
      </c>
      <c r="D226" s="20" t="n">
        <v>-29.589</v>
      </c>
      <c r="F226" s="20" t="n">
        <v>-22.07</v>
      </c>
      <c r="H226" s="20" t="n">
        <v>-8.57</v>
      </c>
      <c r="J226" s="20" t="n">
        <v>-0.448</v>
      </c>
      <c r="L226" s="20" t="n">
        <v>-5.977</v>
      </c>
      <c r="N226" s="20" t="n">
        <v>2.797</v>
      </c>
      <c r="Q226" s="20" t="n">
        <v>16.474</v>
      </c>
      <c r="R226" s="20" t="n">
        <v>8.685</v>
      </c>
      <c r="S226" s="20" t="n">
        <v>7.888</v>
      </c>
      <c r="T226" s="20" t="n">
        <v>-0.636</v>
      </c>
      <c r="U226" s="20" t="n">
        <v>0.315</v>
      </c>
      <c r="V226" s="20" t="n">
        <v>-22.07</v>
      </c>
      <c r="W226" s="20" t="n">
        <v>-0.448</v>
      </c>
      <c r="X226" s="20" t="n">
        <v>2.797</v>
      </c>
    </row>
    <row r="227">
      <c r="A227" s="18" t="inlineStr">
        <is>
          <t>선수금 증감</t>
        </is>
      </c>
      <c r="Q227" s="20" t="n">
        <v>-21.999</v>
      </c>
      <c r="R227" s="20" t="n">
        <v>1.803</v>
      </c>
      <c r="S227" s="20" t="n">
        <v>35.684</v>
      </c>
      <c r="T227" s="20" t="n">
        <v>-33.594</v>
      </c>
    </row>
    <row r="228">
      <c r="A228" s="18" t="inlineStr">
        <is>
          <t>선수수익 증감</t>
        </is>
      </c>
      <c r="Q228" s="20" t="n">
        <v>-14.629</v>
      </c>
      <c r="R228" s="20" t="n">
        <v>-9.933999999999999</v>
      </c>
      <c r="S228" s="20" t="n">
        <v>4.885</v>
      </c>
      <c r="T228" s="20" t="n">
        <v>5.037</v>
      </c>
    </row>
    <row r="229">
      <c r="A229" s="18" t="inlineStr">
        <is>
          <t>계약부채 증감</t>
        </is>
      </c>
      <c r="D229" s="20" t="n">
        <v>-15.561</v>
      </c>
      <c r="T229" s="20" t="n">
        <v>-28.556</v>
      </c>
      <c r="U229" s="20" t="n">
        <v>10.414</v>
      </c>
    </row>
    <row r="230">
      <c r="A230" s="18" t="inlineStr">
        <is>
          <t>계약부채 증감</t>
        </is>
      </c>
      <c r="D230" s="20" t="n">
        <v>-15.561</v>
      </c>
      <c r="F230" s="20" t="n">
        <v>15.065</v>
      </c>
      <c r="H230" s="20" t="n">
        <v>-21.051</v>
      </c>
      <c r="J230" s="20" t="n">
        <v>-14.454</v>
      </c>
      <c r="L230" s="20" t="n">
        <v>5.935</v>
      </c>
      <c r="N230" s="20" t="n">
        <v>-9.471</v>
      </c>
      <c r="U230" s="20" t="n">
        <v>18.377</v>
      </c>
      <c r="V230" s="20" t="n">
        <v>15.065</v>
      </c>
      <c r="W230" s="20" t="n">
        <v>-14.454</v>
      </c>
      <c r="X230" s="20" t="n">
        <v>-9.471</v>
      </c>
    </row>
    <row r="231">
      <c r="A231" s="18" t="inlineStr">
        <is>
          <t>미지급 소비세 증감</t>
        </is>
      </c>
      <c r="D231" s="20" t="n">
        <v>-7.097</v>
      </c>
      <c r="F231" s="20" t="n">
        <v>-18.572</v>
      </c>
      <c r="H231" s="20" t="n">
        <v>46.106</v>
      </c>
      <c r="J231" s="20" t="n">
        <v>78.273</v>
      </c>
      <c r="L231" s="20" t="n">
        <v>-52.503</v>
      </c>
      <c r="N231" s="20" t="n">
        <v>-55.489</v>
      </c>
      <c r="Q231" s="20" t="n">
        <v>-17.187</v>
      </c>
      <c r="R231" s="20" t="n">
        <v>46.547</v>
      </c>
      <c r="S231" s="20" t="n">
        <v>-9.09</v>
      </c>
      <c r="T231" s="20" t="n">
        <v>20.62</v>
      </c>
      <c r="U231" s="20" t="n">
        <v>-45.124</v>
      </c>
      <c r="V231" s="20" t="n">
        <v>-18.572</v>
      </c>
      <c r="W231" s="20" t="n">
        <v>78.273</v>
      </c>
      <c r="X231" s="20" t="n">
        <v>-55.489</v>
      </c>
    </row>
    <row r="232">
      <c r="A232" s="18" t="inlineStr">
        <is>
          <t>기타</t>
        </is>
      </c>
      <c r="D232" s="20" t="n">
        <v>-0.044</v>
      </c>
      <c r="F232" s="20" t="n">
        <v>4.71</v>
      </c>
      <c r="H232" s="20" t="n">
        <v>-21.797</v>
      </c>
      <c r="J232" s="20" t="n">
        <v>12.545</v>
      </c>
      <c r="L232" s="20" t="n">
        <v>-7.923</v>
      </c>
      <c r="N232" s="20" t="n">
        <v>12.502</v>
      </c>
      <c r="Q232" s="20" t="n">
        <v>12.996</v>
      </c>
      <c r="R232" s="20" t="n">
        <v>-11.883</v>
      </c>
      <c r="S232" s="20" t="n">
        <v>67.214</v>
      </c>
      <c r="T232" s="20" t="n">
        <v>-3.539</v>
      </c>
      <c r="U232" s="20" t="n">
        <v>0.668</v>
      </c>
      <c r="V232" s="20" t="n">
        <v>4.71</v>
      </c>
      <c r="W232" s="20" t="n">
        <v>12.545</v>
      </c>
      <c r="X232" s="20" t="n">
        <v>12.502</v>
      </c>
    </row>
    <row r="233">
      <c r="A233" s="18" t="inlineStr">
        <is>
          <t>소계</t>
        </is>
      </c>
      <c r="D233" s="20" t="n">
        <v>21.804</v>
      </c>
      <c r="F233" s="20" t="n">
        <v>71.56</v>
      </c>
      <c r="H233" s="20" t="n">
        <v>281.648</v>
      </c>
      <c r="J233" s="20" t="n">
        <v>775.885</v>
      </c>
      <c r="L233" s="20" t="n">
        <v>81.214</v>
      </c>
      <c r="N233" s="20" t="n">
        <v>373.947</v>
      </c>
      <c r="Q233" s="20" t="n">
        <v>117.06</v>
      </c>
      <c r="R233" s="20" t="n">
        <v>183.88</v>
      </c>
      <c r="S233" s="20" t="n">
        <v>534.658</v>
      </c>
      <c r="T233" s="20" t="n">
        <v>476.233</v>
      </c>
      <c r="U233" s="20" t="n">
        <v>256.323</v>
      </c>
      <c r="V233" s="20" t="n">
        <v>71.56</v>
      </c>
      <c r="W233" s="20" t="n">
        <v>775.885</v>
      </c>
      <c r="X233" s="20" t="n">
        <v>373.947</v>
      </c>
    </row>
    <row r="234">
      <c r="A234" s="18" t="inlineStr">
        <is>
          <t>이자·배당금 수취</t>
        </is>
      </c>
      <c r="D234" s="20" t="n">
        <v>0.015</v>
      </c>
      <c r="F234" s="20" t="n">
        <v>0.266</v>
      </c>
      <c r="H234" s="20" t="n">
        <v>1.427</v>
      </c>
      <c r="J234" s="20" t="n">
        <v>37.82</v>
      </c>
      <c r="L234" s="20" t="n">
        <v>67.46299999999999</v>
      </c>
      <c r="N234" s="20" t="n">
        <v>130.154</v>
      </c>
      <c r="Q234" s="20" t="n">
        <v>0.014</v>
      </c>
      <c r="R234" s="20" t="n">
        <v>0.007</v>
      </c>
      <c r="S234" s="20" t="n">
        <v>0.017</v>
      </c>
      <c r="T234" s="20" t="n">
        <v>0.026</v>
      </c>
      <c r="U234" s="20" t="n">
        <v>0.027</v>
      </c>
      <c r="V234" s="20" t="n">
        <v>0.266</v>
      </c>
      <c r="W234" s="20" t="n">
        <v>37.82</v>
      </c>
      <c r="X234" s="20" t="n">
        <v>130.154</v>
      </c>
    </row>
    <row r="235">
      <c r="A235" s="18" t="inlineStr">
        <is>
          <t>이자 지급</t>
        </is>
      </c>
      <c r="D235" s="20" t="n">
        <v>-0.488</v>
      </c>
      <c r="F235" s="20" t="n">
        <v>-1.659</v>
      </c>
      <c r="H235" s="20" t="n">
        <v>-1.191</v>
      </c>
      <c r="J235" s="20" t="n">
        <v>-2.346</v>
      </c>
      <c r="L235" s="20" t="n">
        <v>-1.052</v>
      </c>
      <c r="N235" s="20" t="n">
        <v>-1.828</v>
      </c>
      <c r="Q235" s="20" t="n">
        <v>-5.643</v>
      </c>
      <c r="R235" s="20" t="n">
        <v>-9.835000000000001</v>
      </c>
      <c r="S235" s="20" t="n">
        <v>-5.448</v>
      </c>
      <c r="T235" s="20" t="n">
        <v>-4.346</v>
      </c>
      <c r="U235" s="20" t="n">
        <v>-1.322</v>
      </c>
      <c r="V235" s="20" t="n">
        <v>-1.659</v>
      </c>
      <c r="W235" s="20" t="n">
        <v>-2.346</v>
      </c>
      <c r="X235" s="20" t="n">
        <v>-1.828</v>
      </c>
    </row>
    <row r="236">
      <c r="A236" s="18" t="inlineStr">
        <is>
          <t>보조금 수취</t>
        </is>
      </c>
      <c r="Q236" s="20" t="n">
        <v>14.559</v>
      </c>
      <c r="R236" s="20" t="n">
        <v>9.656000000000001</v>
      </c>
      <c r="S236" s="20" t="n">
        <v>1.373</v>
      </c>
      <c r="T236" s="20" t="n">
        <v>0</v>
      </c>
    </row>
    <row r="237">
      <c r="A237" s="18" t="inlineStr">
        <is>
          <t>임대료 수취</t>
        </is>
      </c>
      <c r="Q237" s="20" t="n">
        <v>1.454</v>
      </c>
      <c r="R237" s="20" t="n">
        <v>0</v>
      </c>
      <c r="S237" s="20" t="n">
        <v>4.004</v>
      </c>
      <c r="T237" s="20" t="n">
        <v>10.457</v>
      </c>
      <c r="U237" s="20" t="n">
        <v>0</v>
      </c>
    </row>
    <row r="238">
      <c r="A238" s="18" t="inlineStr">
        <is>
          <t>법인세 납부</t>
        </is>
      </c>
      <c r="D238" s="20" t="n">
        <v>-73.795</v>
      </c>
      <c r="F238" s="20" t="n">
        <v>-139.941</v>
      </c>
      <c r="H238" s="20" t="n">
        <v>-2.681</v>
      </c>
      <c r="J238" s="20" t="n">
        <v>-17.008</v>
      </c>
      <c r="L238" s="20" t="n">
        <v>-207.708</v>
      </c>
      <c r="N238" s="20" t="n">
        <v>-319.397</v>
      </c>
      <c r="Q238" s="20" t="n">
        <v>-0.5639999999999999</v>
      </c>
      <c r="R238" s="20" t="n">
        <v>-37.811</v>
      </c>
      <c r="S238" s="20" t="n">
        <v>-51.289</v>
      </c>
      <c r="T238" s="20" t="n">
        <v>-71.723</v>
      </c>
      <c r="U238" s="20" t="n">
        <v>-176.361</v>
      </c>
      <c r="V238" s="20" t="n">
        <v>-139.941</v>
      </c>
      <c r="W238" s="20" t="n">
        <v>-17.008</v>
      </c>
      <c r="X238" s="20" t="n">
        <v>-319.397</v>
      </c>
    </row>
    <row r="239">
      <c r="A239" s="18" t="inlineStr">
        <is>
          <t>법인세 환급</t>
        </is>
      </c>
      <c r="D239" s="20" t="n">
        <v>12.652</v>
      </c>
      <c r="F239" s="20" t="n">
        <v>12.652</v>
      </c>
      <c r="H239" s="20" t="n">
        <v>50.037</v>
      </c>
      <c r="J239" s="20" t="n">
        <v>50.037</v>
      </c>
      <c r="L239" s="20" t="n">
        <v>0.006</v>
      </c>
      <c r="N239" s="20" t="n">
        <v>0.006</v>
      </c>
      <c r="U239" s="20" t="n">
        <v>0</v>
      </c>
      <c r="V239" s="20" t="n">
        <v>12.652</v>
      </c>
      <c r="W239" s="20" t="n">
        <v>50.037</v>
      </c>
      <c r="X239" s="20" t="n">
        <v>0.006</v>
      </c>
    </row>
    <row r="240">
      <c r="A240" s="9" t="inlineStr">
        <is>
          <t>영업활동 현금흐름</t>
        </is>
      </c>
      <c r="D240" s="12" t="n">
        <v>-39.812</v>
      </c>
      <c r="F240" s="12" t="n">
        <v>-57.122</v>
      </c>
      <c r="H240" s="12" t="n">
        <v>329.241</v>
      </c>
      <c r="J240" s="12" t="n">
        <v>844.388</v>
      </c>
      <c r="L240" s="12" t="n">
        <v>-60.077</v>
      </c>
      <c r="N240" s="12" t="n">
        <v>182.882</v>
      </c>
      <c r="Q240" s="12" t="n">
        <v>126.88</v>
      </c>
      <c r="R240" s="12" t="n">
        <v>145.898</v>
      </c>
      <c r="S240" s="12" t="n">
        <v>483.316</v>
      </c>
      <c r="T240" s="12" t="n">
        <v>410.646</v>
      </c>
      <c r="U240" s="12" t="n">
        <v>78.666</v>
      </c>
      <c r="V240" s="12" t="n">
        <v>-57.122</v>
      </c>
      <c r="W240" s="12" t="n">
        <v>844.388</v>
      </c>
      <c r="X240" s="12" t="n">
        <v>182.882</v>
      </c>
    </row>
    <row r="241">
      <c r="A241" s="18" t="inlineStr">
        <is>
          <t>정기예금 예입</t>
        </is>
      </c>
      <c r="J241" s="20" t="n">
        <v>0</v>
      </c>
      <c r="N241" s="20" t="n">
        <v>-1200</v>
      </c>
      <c r="W241" s="20" t="n">
        <v>0</v>
      </c>
      <c r="X241" s="20" t="n">
        <v>-1200</v>
      </c>
    </row>
    <row r="242">
      <c r="A242" s="18" t="inlineStr">
        <is>
          <t>유형자산 취득(설비투자)</t>
        </is>
      </c>
      <c r="D242" s="20" t="n">
        <v>-10.229</v>
      </c>
      <c r="F242" s="20" t="n">
        <v>-13.067</v>
      </c>
      <c r="H242" s="20" t="n">
        <v>-1.675</v>
      </c>
      <c r="J242" s="20" t="n">
        <v>-2.324</v>
      </c>
      <c r="L242" s="20" t="n">
        <v>-1.543</v>
      </c>
      <c r="N242" s="20" t="n">
        <v>-41.971</v>
      </c>
      <c r="Q242" s="20" t="n">
        <v>-23.654</v>
      </c>
      <c r="R242" s="20" t="n">
        <v>-23.532</v>
      </c>
      <c r="S242" s="20" t="n">
        <v>-21.619</v>
      </c>
      <c r="T242" s="20" t="n">
        <v>-15.073</v>
      </c>
      <c r="U242" s="20" t="n">
        <v>-2.113</v>
      </c>
      <c r="V242" s="20" t="n">
        <v>-13.067</v>
      </c>
      <c r="W242" s="20" t="n">
        <v>-2.324</v>
      </c>
      <c r="X242" s="20" t="n">
        <v>-41.971</v>
      </c>
    </row>
    <row r="243">
      <c r="A243" s="18" t="inlineStr">
        <is>
          <t>투자유가증권 취득</t>
        </is>
      </c>
      <c r="D243" s="20" t="n">
        <v>-20</v>
      </c>
      <c r="F243" s="20" t="n">
        <v>-50</v>
      </c>
      <c r="H243" s="20" t="n">
        <v>-48</v>
      </c>
      <c r="J243" s="20" t="n">
        <v>-1077.134</v>
      </c>
      <c r="L243" s="20" t="n">
        <v>-15.111</v>
      </c>
      <c r="N243" s="20" t="n">
        <v>-15.111</v>
      </c>
      <c r="Q243" s="20" t="n">
        <v>0</v>
      </c>
      <c r="R243" s="20" t="n">
        <v>-52.4</v>
      </c>
      <c r="S243" s="20" t="n">
        <v>-43.982</v>
      </c>
      <c r="T243" s="20" t="n">
        <v>-78</v>
      </c>
      <c r="U243" s="20" t="n">
        <v>-84</v>
      </c>
      <c r="V243" s="20" t="n">
        <v>-50</v>
      </c>
      <c r="W243" s="20" t="n">
        <v>-1077.134</v>
      </c>
      <c r="X243" s="20" t="n">
        <v>-15.111</v>
      </c>
    </row>
    <row r="244">
      <c r="A244" s="18" t="inlineStr">
        <is>
          <t>투자유가증권 매각</t>
        </is>
      </c>
      <c r="H244" s="20" t="n">
        <v>0</v>
      </c>
      <c r="J244" s="20" t="n">
        <v>0</v>
      </c>
      <c r="L244" s="20" t="n">
        <v>5.002</v>
      </c>
      <c r="N244" s="20" t="n">
        <v>5.002</v>
      </c>
      <c r="W244" s="20" t="n">
        <v>0</v>
      </c>
      <c r="X244" s="20" t="n">
        <v>5.002</v>
      </c>
    </row>
    <row r="245">
      <c r="A245" s="18" t="inlineStr">
        <is>
          <t>관계회사 주식 매각</t>
        </is>
      </c>
      <c r="J245" s="20" t="n">
        <v>0</v>
      </c>
      <c r="N245" s="20" t="n">
        <v>8.723000000000001</v>
      </c>
      <c r="W245" s="20" t="n">
        <v>0</v>
      </c>
      <c r="X245" s="20" t="n">
        <v>8.723000000000001</v>
      </c>
    </row>
    <row r="246">
      <c r="A246" s="18" t="inlineStr">
        <is>
          <t>투자조합 분배 수입</t>
        </is>
      </c>
      <c r="D246" s="20" t="n">
        <v>1.294</v>
      </c>
      <c r="F246" s="20" t="n">
        <v>5.007</v>
      </c>
      <c r="H246" s="20" t="n">
        <v>0</v>
      </c>
      <c r="J246" s="20" t="n">
        <v>4.608</v>
      </c>
      <c r="L246" s="20" t="n">
        <v>5.208</v>
      </c>
      <c r="N246" s="20" t="n">
        <v>14.36</v>
      </c>
      <c r="U246" s="20" t="n">
        <v>0</v>
      </c>
      <c r="V246" s="20" t="n">
        <v>5.007</v>
      </c>
      <c r="W246" s="20" t="n">
        <v>4.608</v>
      </c>
      <c r="X246" s="20" t="n">
        <v>14.36</v>
      </c>
    </row>
    <row r="247">
      <c r="A247" s="18" t="inlineStr">
        <is>
          <t>임차보증금·보증금 납입</t>
        </is>
      </c>
      <c r="D247" s="20" t="n">
        <v>-0.297</v>
      </c>
      <c r="F247" s="20" t="n">
        <v>-0.427</v>
      </c>
      <c r="H247" s="20" t="n">
        <v>-0.119</v>
      </c>
      <c r="J247" s="20" t="n">
        <v>-1.397</v>
      </c>
      <c r="L247" s="20" t="n">
        <v>-15.695</v>
      </c>
      <c r="N247" s="20" t="n">
        <v>-16.367</v>
      </c>
      <c r="Q247" s="20" t="n">
        <v>-0.334</v>
      </c>
      <c r="R247" s="20" t="n">
        <v>-2.509</v>
      </c>
      <c r="S247" s="20" t="n">
        <v>0</v>
      </c>
      <c r="T247" s="20" t="n">
        <v>-0.1</v>
      </c>
      <c r="U247" s="20" t="n">
        <v>0</v>
      </c>
      <c r="V247" s="20" t="n">
        <v>-0.427</v>
      </c>
      <c r="W247" s="20" t="n">
        <v>-1.397</v>
      </c>
      <c r="X247" s="20" t="n">
        <v>-16.367</v>
      </c>
    </row>
    <row r="248">
      <c r="A248" s="18" t="inlineStr">
        <is>
          <t>임차보증금·보증금 회수</t>
        </is>
      </c>
      <c r="D248" s="20" t="n">
        <v>0</v>
      </c>
      <c r="F248" s="20" t="n">
        <v>0</v>
      </c>
      <c r="Q248" s="20" t="n">
        <v>3.113</v>
      </c>
      <c r="R248" s="20" t="n">
        <v>0.505</v>
      </c>
      <c r="S248" s="20" t="n">
        <v>0</v>
      </c>
      <c r="T248" s="20" t="n">
        <v>1.862</v>
      </c>
      <c r="U248" s="20" t="n">
        <v>2.546</v>
      </c>
      <c r="V248" s="20" t="n">
        <v>0</v>
      </c>
    </row>
    <row r="249">
      <c r="A249" s="18" t="inlineStr">
        <is>
          <t>종업원 대여</t>
        </is>
      </c>
      <c r="F249" s="20" t="n">
        <v>0</v>
      </c>
      <c r="U249" s="20" t="n">
        <v>-14</v>
      </c>
      <c r="V249" s="20" t="n">
        <v>0</v>
      </c>
    </row>
    <row r="250">
      <c r="A250" s="18" t="inlineStr">
        <is>
          <t>연결범위 변경 자회사 주식 취득</t>
        </is>
      </c>
      <c r="H250" s="20" t="n">
        <v>0</v>
      </c>
      <c r="J250" s="20" t="n">
        <v>0</v>
      </c>
      <c r="L250" s="20" t="n">
        <v>-18</v>
      </c>
      <c r="N250" s="20" t="n">
        <v>-18</v>
      </c>
      <c r="S250" s="20" t="n">
        <v>0</v>
      </c>
      <c r="T250" s="20" t="n">
        <v>-582.259</v>
      </c>
      <c r="U250" s="20" t="n">
        <v>0</v>
      </c>
      <c r="W250" s="20" t="n">
        <v>0</v>
      </c>
      <c r="X250" s="20" t="n">
        <v>-18</v>
      </c>
    </row>
    <row r="251">
      <c r="A251" s="18" t="inlineStr">
        <is>
          <t>기타</t>
        </is>
      </c>
      <c r="F251" s="20" t="n">
        <v>0</v>
      </c>
      <c r="H251" s="20" t="n">
        <v>0</v>
      </c>
      <c r="J251" s="20" t="n">
        <v>0.333</v>
      </c>
      <c r="L251" s="20" t="n">
        <v>1</v>
      </c>
      <c r="N251" s="20" t="n">
        <v>2.045</v>
      </c>
      <c r="Q251" s="20" t="n">
        <v>0.063</v>
      </c>
      <c r="R251" s="20" t="n">
        <v>0.317</v>
      </c>
      <c r="S251" s="20" t="n">
        <v>0.751</v>
      </c>
      <c r="T251" s="20" t="n">
        <v>-0.114</v>
      </c>
      <c r="U251" s="20" t="n">
        <v>0.366</v>
      </c>
      <c r="V251" s="20" t="n">
        <v>0</v>
      </c>
      <c r="W251" s="20" t="n">
        <v>0.333</v>
      </c>
      <c r="X251" s="20" t="n">
        <v>2.045</v>
      </c>
    </row>
    <row r="252">
      <c r="A252" s="9" t="inlineStr">
        <is>
          <t>투자활동 현금흐름</t>
        </is>
      </c>
      <c r="D252" s="12" t="n">
        <v>-29.231</v>
      </c>
      <c r="F252" s="12" t="n">
        <v>-58.487</v>
      </c>
      <c r="H252" s="12" t="n">
        <v>-49.794</v>
      </c>
      <c r="J252" s="12" t="n">
        <v>-1075.915</v>
      </c>
      <c r="L252" s="12" t="n">
        <v>-39.139</v>
      </c>
      <c r="N252" s="12" t="n">
        <v>-1261.319</v>
      </c>
      <c r="Q252" s="12" t="n">
        <v>-20.812</v>
      </c>
      <c r="R252" s="12" t="n">
        <v>-77.61799999999999</v>
      </c>
      <c r="S252" s="12" t="n">
        <v>-64.84999999999999</v>
      </c>
      <c r="T252" s="12" t="n">
        <v>-673.6849999999999</v>
      </c>
      <c r="U252" s="12" t="n">
        <v>-97.2</v>
      </c>
      <c r="V252" s="12" t="n">
        <v>-58.487</v>
      </c>
      <c r="W252" s="12" t="n">
        <v>-1075.915</v>
      </c>
      <c r="X252" s="12" t="n">
        <v>-1261.319</v>
      </c>
    </row>
    <row r="253">
      <c r="A253" s="18" t="inlineStr">
        <is>
          <t>장기차입</t>
        </is>
      </c>
      <c r="D253" s="20" t="n">
        <v>50</v>
      </c>
      <c r="F253" s="20" t="n">
        <v>350</v>
      </c>
      <c r="H253" s="20" t="n">
        <v>0</v>
      </c>
      <c r="J253" s="20" t="n">
        <v>0</v>
      </c>
      <c r="Q253" s="20" t="n">
        <v>22.499</v>
      </c>
      <c r="R253" s="20" t="n">
        <v>210.864</v>
      </c>
      <c r="S253" s="20" t="n">
        <v>300</v>
      </c>
      <c r="T253" s="20" t="n">
        <v>50</v>
      </c>
      <c r="U253" s="20" t="n">
        <v>0</v>
      </c>
      <c r="V253" s="20" t="n">
        <v>350</v>
      </c>
      <c r="W253" s="20" t="n">
        <v>0</v>
      </c>
    </row>
    <row r="254">
      <c r="A254" s="18" t="inlineStr">
        <is>
          <t>장기차입금 상환</t>
        </is>
      </c>
      <c r="D254" s="20" t="n">
        <v>-62.948</v>
      </c>
      <c r="F254" s="20" t="n">
        <v>-141.47</v>
      </c>
      <c r="H254" s="20" t="n">
        <v>-85.56100000000001</v>
      </c>
      <c r="J254" s="20" t="n">
        <v>-162.412</v>
      </c>
      <c r="L254" s="20" t="n">
        <v>-74.57899999999999</v>
      </c>
      <c r="N254" s="20" t="n">
        <v>-130.423</v>
      </c>
      <c r="Q254" s="20" t="n">
        <v>-86.88800000000001</v>
      </c>
      <c r="R254" s="20" t="n">
        <v>-85.021</v>
      </c>
      <c r="S254" s="20" t="n">
        <v>-131.343</v>
      </c>
      <c r="T254" s="20" t="n">
        <v>-183.801</v>
      </c>
      <c r="U254" s="20" t="n">
        <v>-125.816</v>
      </c>
      <c r="V254" s="20" t="n">
        <v>-141.47</v>
      </c>
      <c r="W254" s="20" t="n">
        <v>-162.412</v>
      </c>
      <c r="X254" s="20" t="n">
        <v>-130.423</v>
      </c>
    </row>
    <row r="255">
      <c r="A255" s="18" t="inlineStr">
        <is>
          <t>신주예약권 발행</t>
        </is>
      </c>
      <c r="R255" s="20" t="n">
        <v>0</v>
      </c>
      <c r="S255" s="20" t="n">
        <v>1.176</v>
      </c>
      <c r="T255" s="20" t="n">
        <v>0</v>
      </c>
    </row>
    <row r="256">
      <c r="A256" s="18" t="inlineStr">
        <is>
          <t>신주예약권 행사에 따른 주식 발행</t>
        </is>
      </c>
      <c r="D256" s="20" t="n">
        <v>2.451</v>
      </c>
      <c r="F256" s="20" t="n">
        <v>9.279</v>
      </c>
      <c r="H256" s="20" t="n">
        <v>0.231</v>
      </c>
      <c r="J256" s="20" t="n">
        <v>4.56</v>
      </c>
      <c r="L256" s="20" t="n">
        <v>0.017</v>
      </c>
      <c r="N256" s="20" t="n">
        <v>0.46</v>
      </c>
      <c r="R256" s="20" t="n">
        <v>0</v>
      </c>
      <c r="S256" s="20" t="n">
        <v>1268.924</v>
      </c>
      <c r="T256" s="20" t="n">
        <v>545.539</v>
      </c>
      <c r="U256" s="20" t="n">
        <v>12.839</v>
      </c>
      <c r="V256" s="20" t="n">
        <v>9.279</v>
      </c>
      <c r="W256" s="20" t="n">
        <v>4.56</v>
      </c>
      <c r="X256" s="20" t="n">
        <v>0.46</v>
      </c>
    </row>
    <row r="257">
      <c r="A257" s="18" t="inlineStr">
        <is>
          <t>주식 발행</t>
        </is>
      </c>
      <c r="F257" s="20" t="n">
        <v>0</v>
      </c>
      <c r="Q257" s="20" t="n">
        <v>0</v>
      </c>
      <c r="R257" s="20" t="n">
        <v>254.779</v>
      </c>
      <c r="S257" s="20" t="n">
        <v>0</v>
      </c>
      <c r="T257" s="20" t="n">
        <v>0</v>
      </c>
      <c r="U257" s="20" t="n">
        <v>491.879</v>
      </c>
      <c r="V257" s="20" t="n">
        <v>0</v>
      </c>
    </row>
    <row r="258">
      <c r="A258" s="18" t="inlineStr">
        <is>
          <t>상장비용 지출</t>
        </is>
      </c>
      <c r="Q258" s="20" t="n">
        <v>0</v>
      </c>
      <c r="R258" s="20" t="n">
        <v>-3.326</v>
      </c>
      <c r="S258" s="20" t="n">
        <v>0</v>
      </c>
    </row>
    <row r="259">
      <c r="A259" s="18" t="inlineStr">
        <is>
          <t>자기주식 취득</t>
        </is>
      </c>
      <c r="D259" s="20" t="n">
        <v>-73.898</v>
      </c>
      <c r="F259" s="20" t="n">
        <v>-100.907</v>
      </c>
      <c r="H259" s="20" t="n">
        <v>-151.331</v>
      </c>
      <c r="J259" s="20" t="n">
        <v>-151.385</v>
      </c>
      <c r="L259" s="20" t="n">
        <v>-0.011</v>
      </c>
      <c r="N259" s="20" t="n">
        <v>-18.245</v>
      </c>
      <c r="U259" s="20" t="n">
        <v>0</v>
      </c>
      <c r="V259" s="20" t="n">
        <v>-100.907</v>
      </c>
      <c r="W259" s="20" t="n">
        <v>-151.385</v>
      </c>
      <c r="X259" s="20" t="n">
        <v>-18.245</v>
      </c>
    </row>
    <row r="260">
      <c r="A260" s="18" t="inlineStr">
        <is>
          <t>배당금 지급</t>
        </is>
      </c>
      <c r="H260" s="20" t="n">
        <v>0</v>
      </c>
      <c r="J260" s="20" t="n">
        <v>0</v>
      </c>
      <c r="L260" s="20" t="n">
        <v>-81.68899999999999</v>
      </c>
      <c r="N260" s="20" t="n">
        <v>-86.934</v>
      </c>
      <c r="W260" s="20" t="n">
        <v>0</v>
      </c>
      <c r="X260" s="20" t="n">
        <v>-86.934</v>
      </c>
    </row>
    <row r="261">
      <c r="A261" s="18" t="inlineStr">
        <is>
          <t>비지배주주 납입</t>
        </is>
      </c>
      <c r="D261" s="20" t="n">
        <v>0</v>
      </c>
      <c r="F261" s="20" t="n">
        <v>0</v>
      </c>
      <c r="H261" s="20" t="n">
        <v>24.5</v>
      </c>
      <c r="J261" s="20" t="n">
        <v>24.5</v>
      </c>
      <c r="L261" s="20" t="n">
        <v>0</v>
      </c>
      <c r="N261" s="20" t="n">
        <v>0</v>
      </c>
      <c r="V261" s="20" t="n">
        <v>0</v>
      </c>
      <c r="W261" s="20" t="n">
        <v>24.5</v>
      </c>
      <c r="X261" s="20" t="n">
        <v>0</v>
      </c>
    </row>
    <row r="262">
      <c r="A262" s="18" t="inlineStr">
        <is>
          <t>리스부채 상환</t>
        </is>
      </c>
      <c r="D262" s="20" t="n">
        <v>0</v>
      </c>
      <c r="F262" s="20" t="n">
        <v>0</v>
      </c>
      <c r="H262" s="20" t="n">
        <v>-0.431</v>
      </c>
      <c r="J262" s="20" t="n">
        <v>-1.091</v>
      </c>
      <c r="L262" s="20" t="n">
        <v>-0.675</v>
      </c>
      <c r="N262" s="20" t="n">
        <v>-1.367</v>
      </c>
      <c r="Q262" s="20" t="n">
        <v>0</v>
      </c>
      <c r="R262" s="20" t="n">
        <v>-17.869</v>
      </c>
      <c r="S262" s="20" t="n">
        <v>-20.591</v>
      </c>
      <c r="T262" s="20" t="n">
        <v>-22.133</v>
      </c>
      <c r="U262" s="20" t="n">
        <v>-4.989</v>
      </c>
      <c r="V262" s="20" t="n">
        <v>0</v>
      </c>
      <c r="W262" s="20" t="n">
        <v>-1.091</v>
      </c>
      <c r="X262" s="20" t="n">
        <v>-1.367</v>
      </c>
    </row>
    <row r="263">
      <c r="A263" s="18" t="inlineStr">
        <is>
          <t>기타</t>
        </is>
      </c>
      <c r="R263" s="20" t="n">
        <v>0</v>
      </c>
      <c r="S263" s="20" t="n">
        <v>-0.055</v>
      </c>
      <c r="T263" s="20" t="n">
        <v>-0.055</v>
      </c>
      <c r="U263" s="20" t="n">
        <v>0</v>
      </c>
    </row>
    <row r="264">
      <c r="A264" s="18" t="inlineStr">
        <is>
          <t>연결범위 변경 없는 자회사 주식 취득</t>
        </is>
      </c>
      <c r="F264" s="20" t="n">
        <v>0</v>
      </c>
      <c r="J264" s="20" t="n">
        <v>-24.5</v>
      </c>
      <c r="N264" s="20" t="n">
        <v>0</v>
      </c>
      <c r="V264" s="20" t="n">
        <v>0</v>
      </c>
      <c r="W264" s="20" t="n">
        <v>-24.5</v>
      </c>
      <c r="X264" s="20" t="n">
        <v>0</v>
      </c>
    </row>
    <row r="265">
      <c r="A265" s="9" t="inlineStr">
        <is>
          <t>재무활동 현금흐름</t>
        </is>
      </c>
      <c r="D265" s="12" t="n">
        <v>-84.395</v>
      </c>
      <c r="F265" s="12" t="n">
        <v>116.901</v>
      </c>
      <c r="H265" s="12" t="n">
        <v>-212.592</v>
      </c>
      <c r="J265" s="12" t="n">
        <v>-310.328</v>
      </c>
      <c r="L265" s="12" t="n">
        <v>-156.938</v>
      </c>
      <c r="N265" s="12" t="n">
        <v>-236.509</v>
      </c>
      <c r="Q265" s="12" t="n">
        <v>-64.38800000000001</v>
      </c>
      <c r="R265" s="12" t="n">
        <v>359.426</v>
      </c>
      <c r="S265" s="12" t="n">
        <v>1418.11</v>
      </c>
      <c r="T265" s="12" t="n">
        <v>389.549</v>
      </c>
      <c r="U265" s="12" t="n">
        <v>373.913</v>
      </c>
      <c r="V265" s="12" t="n">
        <v>116.901</v>
      </c>
      <c r="W265" s="12" t="n">
        <v>-310.328</v>
      </c>
      <c r="X265" s="12" t="n">
        <v>-236.509</v>
      </c>
    </row>
    <row r="266">
      <c r="A266" s="18" t="inlineStr">
        <is>
          <t>현금성자산 환산차이</t>
        </is>
      </c>
      <c r="D266" s="20" t="n">
        <v>0.149</v>
      </c>
      <c r="F266" s="20" t="n">
        <v>0.066</v>
      </c>
      <c r="H266" s="20" t="n">
        <v>-0.14</v>
      </c>
      <c r="J266" s="20" t="n">
        <v>-0.156</v>
      </c>
      <c r="L266" s="20" t="n">
        <v>0.081</v>
      </c>
      <c r="N266" s="20" t="n">
        <v>0.12</v>
      </c>
      <c r="Q266" s="20" t="n">
        <v>-6.336</v>
      </c>
      <c r="R266" s="20" t="n">
        <v>3.298</v>
      </c>
      <c r="S266" s="20" t="n">
        <v>3.583</v>
      </c>
      <c r="T266" s="20" t="n">
        <v>3.876</v>
      </c>
      <c r="U266" s="20" t="n">
        <v>7.945</v>
      </c>
      <c r="V266" s="20" t="n">
        <v>0.066</v>
      </c>
      <c r="W266" s="20" t="n">
        <v>-0.156</v>
      </c>
      <c r="X266" s="20" t="n">
        <v>0.12</v>
      </c>
    </row>
    <row r="267">
      <c r="A267" s="18" t="inlineStr">
        <is>
          <t>현금성자산 증감</t>
        </is>
      </c>
      <c r="D267" s="20" t="n">
        <v>-153.29</v>
      </c>
      <c r="F267" s="20" t="n">
        <v>1.358</v>
      </c>
      <c r="H267" s="20" t="n">
        <v>66.714</v>
      </c>
      <c r="J267" s="20" t="n">
        <v>-542.011</v>
      </c>
      <c r="L267" s="20" t="n">
        <v>-256.074</v>
      </c>
      <c r="N267" s="20" t="n">
        <v>-1314.826</v>
      </c>
      <c r="Q267" s="20" t="n">
        <v>35.343</v>
      </c>
      <c r="R267" s="20" t="n">
        <v>431.004</v>
      </c>
      <c r="S267" s="20" t="n">
        <v>1840.16</v>
      </c>
      <c r="T267" s="20" t="n">
        <v>130.387</v>
      </c>
      <c r="U267" s="20" t="n">
        <v>363.325</v>
      </c>
      <c r="V267" s="20" t="n">
        <v>1.358</v>
      </c>
      <c r="W267" s="20" t="n">
        <v>-542.011</v>
      </c>
      <c r="X267" s="20" t="n">
        <v>-1314.826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굿패치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3395.698</v>
      </c>
      <c r="D5" s="12" t="n">
        <v>3045.491</v>
      </c>
      <c r="E5" s="12" t="n">
        <v>3204.211</v>
      </c>
      <c r="F5" s="12" t="n">
        <v>3213.591</v>
      </c>
      <c r="G5" s="12" t="n">
        <v>3308.132</v>
      </c>
      <c r="H5" s="11" t="n">
        <v>3312.071</v>
      </c>
      <c r="I5" s="12" t="n">
        <v>3799.84</v>
      </c>
      <c r="J5" s="12" t="n">
        <v>3839.295</v>
      </c>
      <c r="K5" s="12" t="n">
        <v>3395.698</v>
      </c>
      <c r="L5" s="12" t="n">
        <v>3308.132</v>
      </c>
    </row>
    <row r="6">
      <c r="A6" s="18" t="inlineStr">
        <is>
          <t>현금및현금성자산</t>
        </is>
      </c>
      <c r="B6" s="10" t="n"/>
      <c r="C6" s="19" t="n">
        <v>2733.133</v>
      </c>
      <c r="D6" s="20" t="n">
        <v>2324.083</v>
      </c>
      <c r="E6" s="20" t="n">
        <v>2477.059</v>
      </c>
      <c r="F6" s="20" t="n">
        <v>2591.98</v>
      </c>
      <c r="G6" s="20" t="n">
        <v>2534.557</v>
      </c>
      <c r="H6" s="19" t="n">
        <v>2910.461</v>
      </c>
      <c r="I6" s="20" t="n">
        <v>3273.786</v>
      </c>
      <c r="J6" s="20" t="n">
        <v>3275.145</v>
      </c>
      <c r="K6" s="20" t="n">
        <v>2733.133</v>
      </c>
      <c r="L6" s="20" t="n">
        <v>2534.557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/>
      <c r="D8" s="20" t="n"/>
      <c r="E8" s="20" t="n"/>
      <c r="F8" s="20" t="n"/>
      <c r="G8" s="20" t="n"/>
      <c r="H8" s="19" t="n">
        <v>0</v>
      </c>
      <c r="I8" s="20" t="n">
        <v>455.68</v>
      </c>
      <c r="J8" s="20" t="n"/>
      <c r="K8" s="20" t="n"/>
      <c r="L8" s="20" t="n"/>
    </row>
    <row r="9">
      <c r="A9" s="18" t="inlineStr">
        <is>
          <t>재고자산</t>
        </is>
      </c>
      <c r="B9" s="10" t="n"/>
      <c r="C9" s="19" t="n">
        <v>9.565</v>
      </c>
      <c r="D9" s="20" t="n">
        <v>10.178</v>
      </c>
      <c r="E9" s="20" t="n">
        <v>8.954000000000001</v>
      </c>
      <c r="F9" s="20" t="n">
        <v>16.552</v>
      </c>
      <c r="G9" s="20" t="n">
        <v>14.525</v>
      </c>
      <c r="H9" s="19" t="n">
        <v>1.752</v>
      </c>
      <c r="I9" s="20" t="n">
        <v>11.43</v>
      </c>
      <c r="J9" s="20" t="n">
        <v>2.884</v>
      </c>
      <c r="K9" s="20" t="n">
        <v>9.565</v>
      </c>
      <c r="L9" s="20" t="n">
        <v>14.525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1849.729</v>
      </c>
      <c r="D11" s="12" t="n">
        <v>1845.682</v>
      </c>
      <c r="E11" s="12" t="n">
        <v>1869.584</v>
      </c>
      <c r="F11" s="12" t="n">
        <v>1863.058</v>
      </c>
      <c r="G11" s="12" t="n">
        <v>1801.229</v>
      </c>
      <c r="H11" s="11" t="n">
        <v>857.87</v>
      </c>
      <c r="I11" s="12" t="n">
        <v>871.7089999999999</v>
      </c>
      <c r="J11" s="12" t="n">
        <v>836.708</v>
      </c>
      <c r="K11" s="12" t="n">
        <v>1849.729</v>
      </c>
      <c r="L11" s="12" t="n">
        <v>1801.229</v>
      </c>
    </row>
    <row r="12">
      <c r="A12" s="18" t="inlineStr">
        <is>
          <t>유형자산</t>
        </is>
      </c>
      <c r="B12" s="10" t="n"/>
      <c r="C12" s="19" t="n">
        <v>48.86</v>
      </c>
      <c r="D12" s="20" t="n">
        <v>47.433</v>
      </c>
      <c r="E12" s="20" t="n">
        <v>43.704</v>
      </c>
      <c r="F12" s="20" t="n">
        <v>38.928</v>
      </c>
      <c r="G12" s="20" t="n">
        <v>80.452</v>
      </c>
      <c r="H12" s="19" t="n">
        <v>59.819</v>
      </c>
      <c r="I12" s="20" t="n">
        <v>46.76</v>
      </c>
      <c r="J12" s="20" t="n">
        <v>47.877</v>
      </c>
      <c r="K12" s="20" t="n">
        <v>48.86</v>
      </c>
      <c r="L12" s="20" t="n">
        <v>80.452</v>
      </c>
    </row>
    <row r="13">
      <c r="A13" s="18" t="inlineStr">
        <is>
          <t>무형자산</t>
        </is>
      </c>
      <c r="B13" s="10" t="n"/>
      <c r="C13" s="19" t="n">
        <v>395.54</v>
      </c>
      <c r="D13" s="20" t="n">
        <v>394.011</v>
      </c>
      <c r="E13" s="20" t="n">
        <v>373.823</v>
      </c>
      <c r="F13" s="20" t="n">
        <v>353.589</v>
      </c>
      <c r="G13" s="20" t="n">
        <v>323.605</v>
      </c>
      <c r="H13" s="19" t="n">
        <v>611.441</v>
      </c>
      <c r="I13" s="20" t="n">
        <v>539.458</v>
      </c>
      <c r="J13" s="20" t="n">
        <v>467.475</v>
      </c>
      <c r="K13" s="20" t="n">
        <v>395.54</v>
      </c>
      <c r="L13" s="20" t="n">
        <v>323.605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5245.428</v>
      </c>
      <c r="D16" s="12" t="n">
        <v>4891.173</v>
      </c>
      <c r="E16" s="12" t="n">
        <v>5073.796</v>
      </c>
      <c r="F16" s="12" t="n">
        <v>5076.65</v>
      </c>
      <c r="G16" s="12" t="n">
        <v>5109.362</v>
      </c>
      <c r="H16" s="11" t="n">
        <v>4169.942</v>
      </c>
      <c r="I16" s="12" t="n">
        <v>4671.549</v>
      </c>
      <c r="J16" s="12" t="n">
        <v>4676.003</v>
      </c>
      <c r="K16" s="12" t="n">
        <v>5245.428</v>
      </c>
      <c r="L16" s="12" t="n">
        <v>5109.362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956.456</v>
      </c>
      <c r="D18" s="12" t="n">
        <v>617.297</v>
      </c>
      <c r="E18" s="12" t="n">
        <v>656.544</v>
      </c>
      <c r="F18" s="12" t="n">
        <v>598.7619999999999</v>
      </c>
      <c r="G18" s="12" t="n">
        <v>594.658</v>
      </c>
      <c r="H18" s="11" t="n">
        <v>709.271</v>
      </c>
      <c r="I18" s="12" t="n">
        <v>608.499</v>
      </c>
      <c r="J18" s="12" t="n">
        <v>533.332</v>
      </c>
      <c r="K18" s="12" t="n">
        <v>956.456</v>
      </c>
      <c r="L18" s="12" t="n">
        <v>594.658</v>
      </c>
    </row>
    <row r="19">
      <c r="A19" s="18" t="inlineStr">
        <is>
          <t>매입채무</t>
        </is>
      </c>
      <c r="B19" s="10" t="n"/>
      <c r="C19" s="19" t="n">
        <v>99.60899999999999</v>
      </c>
      <c r="D19" s="20" t="n">
        <v>109.717</v>
      </c>
      <c r="E19" s="20" t="n">
        <v>112.757</v>
      </c>
      <c r="F19" s="20" t="n">
        <v>93.807</v>
      </c>
      <c r="G19" s="20" t="n">
        <v>108.878</v>
      </c>
      <c r="H19" s="19" t="n">
        <v>47.377</v>
      </c>
      <c r="I19" s="20" t="n">
        <v>71.414</v>
      </c>
      <c r="J19" s="20" t="n">
        <v>63.192</v>
      </c>
      <c r="K19" s="20" t="n">
        <v>99.60899999999999</v>
      </c>
      <c r="L19" s="20" t="n">
        <v>108.878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>
        <v>130.423</v>
      </c>
      <c r="D21" s="20" t="n">
        <v>117.301</v>
      </c>
      <c r="E21" s="20" t="n">
        <v>107.572</v>
      </c>
      <c r="F21" s="20" t="n">
        <v>100.297</v>
      </c>
      <c r="G21" s="20" t="n">
        <v>78.398</v>
      </c>
      <c r="H21" s="19" t="n">
        <v>125.816</v>
      </c>
      <c r="I21" s="20" t="n">
        <v>106.488</v>
      </c>
      <c r="J21" s="20" t="n">
        <v>162.412</v>
      </c>
      <c r="K21" s="20" t="n">
        <v>130.423</v>
      </c>
      <c r="L21" s="20" t="n">
        <v>78.398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143.793</v>
      </c>
      <c r="D23" s="12" t="n">
        <v>122.913</v>
      </c>
      <c r="E23" s="12" t="n">
        <v>93.265</v>
      </c>
      <c r="F23" s="12" t="n">
        <v>72.178</v>
      </c>
      <c r="G23" s="12" t="n">
        <v>66.27800000000001</v>
      </c>
      <c r="H23" s="11" t="n">
        <v>251.32</v>
      </c>
      <c r="I23" s="12" t="n">
        <v>119.423</v>
      </c>
      <c r="J23" s="12" t="n">
        <v>270.29</v>
      </c>
      <c r="K23" s="12" t="n">
        <v>143.793</v>
      </c>
      <c r="L23" s="12" t="n">
        <v>66.27800000000001</v>
      </c>
    </row>
    <row r="24">
      <c r="A24" s="18" t="inlineStr">
        <is>
          <t>장기차입금</t>
        </is>
      </c>
      <c r="B24" s="10" t="n"/>
      <c r="C24" s="19" t="n">
        <v>108.426</v>
      </c>
      <c r="D24" s="20" t="n">
        <v>82.602</v>
      </c>
      <c r="E24" s="20" t="n">
        <v>56.698</v>
      </c>
      <c r="F24" s="20" t="n">
        <v>35.026</v>
      </c>
      <c r="G24" s="20" t="n">
        <v>30.028</v>
      </c>
      <c r="H24" s="19" t="n">
        <v>192.731</v>
      </c>
      <c r="I24" s="20" t="n">
        <v>86.24299999999999</v>
      </c>
      <c r="J24" s="20" t="n">
        <v>238.849</v>
      </c>
      <c r="K24" s="20" t="n">
        <v>108.426</v>
      </c>
      <c r="L24" s="20" t="n">
        <v>30.028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1100.25</v>
      </c>
      <c r="D27" s="12" t="n">
        <v>740.21</v>
      </c>
      <c r="E27" s="12" t="n">
        <v>749.809</v>
      </c>
      <c r="F27" s="12" t="n">
        <v>670.941</v>
      </c>
      <c r="G27" s="12" t="n">
        <v>660.936</v>
      </c>
      <c r="H27" s="11" t="n">
        <v>960.592</v>
      </c>
      <c r="I27" s="12" t="n">
        <v>727.923</v>
      </c>
      <c r="J27" s="12" t="n">
        <v>803.622</v>
      </c>
      <c r="K27" s="12" t="n">
        <v>1100.25</v>
      </c>
      <c r="L27" s="12" t="n">
        <v>660.936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4121.824</v>
      </c>
      <c r="D31" s="12" t="n">
        <v>4125.556</v>
      </c>
      <c r="E31" s="12" t="n">
        <v>4296.916</v>
      </c>
      <c r="F31" s="12" t="n">
        <v>4376.023</v>
      </c>
      <c r="G31" s="12" t="n">
        <v>4416.124</v>
      </c>
      <c r="H31" s="11" t="n">
        <v>3201.181</v>
      </c>
      <c r="I31" s="12" t="n">
        <v>3929.491</v>
      </c>
      <c r="J31" s="12" t="n">
        <v>3850.45</v>
      </c>
      <c r="K31" s="12" t="n">
        <v>4121.824</v>
      </c>
      <c r="L31" s="12" t="n">
        <v>4416.124</v>
      </c>
    </row>
    <row r="32">
      <c r="A32" s="18" t="inlineStr">
        <is>
          <t>자본금</t>
        </is>
      </c>
      <c r="B32" s="10" t="n"/>
      <c r="C32" s="19" t="n">
        <v>1774.543</v>
      </c>
      <c r="D32" s="20" t="n">
        <v>1774.543</v>
      </c>
      <c r="E32" s="20" t="n">
        <v>1774.568</v>
      </c>
      <c r="F32" s="20" t="n">
        <v>1774.568</v>
      </c>
      <c r="G32" s="20" t="n">
        <v>1774.79</v>
      </c>
      <c r="H32" s="19" t="n">
        <v>1511.039</v>
      </c>
      <c r="I32" s="20" t="n">
        <v>1767.52</v>
      </c>
      <c r="J32" s="20" t="n">
        <v>1772.244</v>
      </c>
      <c r="K32" s="20" t="n">
        <v>1774.543</v>
      </c>
      <c r="L32" s="20" t="n">
        <v>1774.79</v>
      </c>
    </row>
    <row r="33">
      <c r="A33" s="18" t="inlineStr">
        <is>
          <t>이익잉여금</t>
        </is>
      </c>
      <c r="B33" s="10" t="n"/>
      <c r="C33" s="19" t="n">
        <v>821.244</v>
      </c>
      <c r="D33" s="20" t="n">
        <v>794.876</v>
      </c>
      <c r="E33" s="20" t="n">
        <v>950.141</v>
      </c>
      <c r="F33" s="20" t="n">
        <v>1018.259</v>
      </c>
      <c r="G33" s="20" t="n">
        <v>1087.589</v>
      </c>
      <c r="H33" s="19" t="n">
        <v>186.62</v>
      </c>
      <c r="I33" s="20" t="n">
        <v>402.659</v>
      </c>
      <c r="J33" s="20" t="n">
        <v>414.192</v>
      </c>
      <c r="K33" s="20" t="n">
        <v>821.244</v>
      </c>
      <c r="L33" s="20" t="n">
        <v>1087.589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>
        <v>0</v>
      </c>
      <c r="K34" s="20" t="n"/>
      <c r="L34" s="20" t="n"/>
    </row>
    <row r="35">
      <c r="A35" s="9" t="inlineStr">
        <is>
          <t>자본총계</t>
        </is>
      </c>
      <c r="B35" s="10" t="n"/>
      <c r="C35" s="11" t="n">
        <v>4145.177</v>
      </c>
      <c r="D35" s="12" t="n">
        <v>4150.963</v>
      </c>
      <c r="E35" s="12" t="n">
        <v>4323.986</v>
      </c>
      <c r="F35" s="12" t="n">
        <v>4405.709</v>
      </c>
      <c r="G35" s="12" t="n">
        <v>4448.425</v>
      </c>
      <c r="H35" s="11" t="n">
        <v>3209.349</v>
      </c>
      <c r="I35" s="12" t="n">
        <v>3943.626</v>
      </c>
      <c r="J35" s="12" t="n">
        <v>3872.38</v>
      </c>
      <c r="K35" s="12" t="n">
        <v>4145.177</v>
      </c>
      <c r="L35" s="12" t="n">
        <v>4448.425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844.388</v>
      </c>
      <c r="D37" s="12" t="n"/>
      <c r="E37" s="12" t="n">
        <v>455.07</v>
      </c>
      <c r="F37" s="12" t="n"/>
      <c r="G37" s="12" t="n">
        <v>182.882</v>
      </c>
      <c r="H37" s="11" t="n">
        <v>410.646</v>
      </c>
      <c r="I37" s="12" t="n">
        <v>78.666</v>
      </c>
      <c r="J37" s="12" t="n">
        <v>-57.122</v>
      </c>
      <c r="K37" s="12" t="n">
        <v>844.388</v>
      </c>
      <c r="L37" s="12" t="n">
        <v>182.882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2.324</v>
      </c>
      <c r="D38" s="20" t="n"/>
      <c r="E38" s="20" t="n">
        <v>2.192</v>
      </c>
      <c r="F38" s="20" t="n"/>
      <c r="G38" s="20" t="n">
        <v>41.971</v>
      </c>
      <c r="H38" s="19" t="n">
        <v>15.073</v>
      </c>
      <c r="I38" s="20" t="n">
        <v>2.113</v>
      </c>
      <c r="J38" s="20" t="n">
        <v>13.067</v>
      </c>
      <c r="K38" s="20" t="n">
        <v>2.324</v>
      </c>
      <c r="L38" s="20" t="n">
        <v>41.971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0</v>
      </c>
      <c r="D40" s="20" t="n"/>
      <c r="E40" s="20" t="n">
        <v>81.68899999999999</v>
      </c>
      <c r="F40" s="20" t="n"/>
      <c r="G40" s="20" t="n">
        <v>86.934</v>
      </c>
      <c r="H40" s="19" t="n"/>
      <c r="I40" s="20" t="n"/>
      <c r="J40" s="20" t="n"/>
      <c r="K40" s="20" t="n">
        <v>0</v>
      </c>
      <c r="L40" s="20" t="n">
        <v>86.934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IFERROR(IF((IF(COUNT('연간'!G55:J55)&lt;4,"",SUM('연간'!G55:J55)))&lt;=0,"적자",C28/(IF(COUNT('연간'!G55:J55)&lt;4,"",SUM('연간'!G55:J55)))),"")</f>
        <v/>
      </c>
      <c r="D49" s="47">
        <f>IFERROR(IF((IF(COUNT('연간'!H55:K55)&lt;4,"",SUM('연간'!H55:K55)))&lt;=0,"적자",D28/(IF(COUNT('연간'!H55:K55)&lt;4,"",SUM('연간'!H55:K55)))),"")</f>
        <v/>
      </c>
      <c r="E49" s="47">
        <f>IFERROR(IF((IF(COUNT('연간'!I55:L55)&lt;4,"",SUM('연간'!I55:L55)))&lt;=0,"적자",E28/(IF(COUNT('연간'!I55:L55)&lt;4,"",SUM('연간'!I55:L55)))),"")</f>
        <v/>
      </c>
      <c r="F49" s="47">
        <f>IFERROR(IF((IF(COUNT('연간'!J55:M55)&lt;4,"",SUM('연간'!J55:M55)))&lt;=0,"적자",F28/(IF(COUNT('연간'!J55:M55)&lt;4,"",SUM('연간'!J55:M55)))),"")</f>
        <v/>
      </c>
      <c r="G49" s="47">
        <f>IFERROR(IF((IF(COUNT('연간'!K55:N55)&lt;4,"",SUM('연간'!K55:N55)))&lt;=0,"적자",G28/(IF(COUNT('연간'!K55:N55)&lt;4,"",SUM('연간'!K55:N55)))),"")</f>
        <v/>
      </c>
      <c r="H49" s="46">
        <f>IFERROR(IF(('연간'!T55)&lt;=0,"적자",H28/('연간'!T55)),"")</f>
        <v/>
      </c>
      <c r="I49" s="47">
        <f>IFERROR(IF(('연간'!U55)&lt;=0,"적자",I28/('연간'!U55)),"")</f>
        <v/>
      </c>
      <c r="J49" s="47">
        <f>IFERROR(IF(('연간'!V55)&lt;=0,"적자",J28/('연간'!V55)),"")</f>
        <v/>
      </c>
      <c r="K49" s="47">
        <f>IFERROR(IF(('연간'!W55)&lt;=0,"적자",K28/('연간'!W55)),"")</f>
        <v/>
      </c>
      <c r="L49" s="47">
        <f>IFERROR(IF(('연간'!X55)&lt;=0,"적자",L28/('연간'!X55)),"")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IFERROR((IF(COUNT('연간'!G55:J55)&lt;4,"",SUM('연간'!G55:J55)))/C31,"")</f>
        <v/>
      </c>
      <c r="D51" s="36">
        <f>IFERROR((IF(COUNT('연간'!H55:K55)&lt;4,"",SUM('연간'!H55:K55)))/D31,"")</f>
        <v/>
      </c>
      <c r="E51" s="36">
        <f>IFERROR((IF(COUNT('연간'!I55:L55)&lt;4,"",SUM('연간'!I55:L55)))/E31,"")</f>
        <v/>
      </c>
      <c r="F51" s="36">
        <f>IFERROR((IF(COUNT('연간'!J55:M55)&lt;4,"",SUM('연간'!J55:M55)))/F31,"")</f>
        <v/>
      </c>
      <c r="G51" s="36">
        <f>IFERROR((IF(COUNT('연간'!K55:N55)&lt;4,"",SUM('연간'!K55:N55)))/G31,"")</f>
        <v/>
      </c>
      <c r="H51" s="35">
        <f>IFERROR(('연간'!T55)/H31,"")</f>
        <v/>
      </c>
      <c r="I51" s="36">
        <f>IFERROR(('연간'!U55)/I31,"")</f>
        <v/>
      </c>
      <c r="J51" s="36">
        <f>IFERROR(('연간'!V55)/J31,"")</f>
        <v/>
      </c>
      <c r="K51" s="36">
        <f>IFERROR(('연간'!W55)/K31,"")</f>
        <v/>
      </c>
      <c r="L51" s="36">
        <f>IFERROR(('연간'!X55)/L31,"")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IFERROR((IF(COUNT('연간'!G53:J53)&lt;4,"",SUM('연간'!G53:J53)))/C16,"")</f>
        <v/>
      </c>
      <c r="D52" s="36">
        <f>IFERROR((IF(COUNT('연간'!H53:K53)&lt;4,"",SUM('연간'!H53:K53)))/D16,"")</f>
        <v/>
      </c>
      <c r="E52" s="36">
        <f>IFERROR((IF(COUNT('연간'!I53:L53)&lt;4,"",SUM('연간'!I53:L53)))/E16,"")</f>
        <v/>
      </c>
      <c r="F52" s="36">
        <f>IFERROR((IF(COUNT('연간'!J53:M53)&lt;4,"",SUM('연간'!J53:M53)))/F16,"")</f>
        <v/>
      </c>
      <c r="G52" s="36">
        <f>IFERROR((IF(COUNT('연간'!K53:N53)&lt;4,"",SUM('연간'!K53:N53)))/G16,"")</f>
        <v/>
      </c>
      <c r="H52" s="35">
        <f>IFERROR(('연간'!T53)/H16,"")</f>
        <v/>
      </c>
      <c r="I52" s="36">
        <f>IFERROR(('연간'!U53)/I16,"")</f>
        <v/>
      </c>
      <c r="J52" s="36">
        <f>IFERROR(('연간'!V53)/J16,"")</f>
        <v/>
      </c>
      <c r="K52" s="36">
        <f>IFERROR(('연간'!W53)/K16,"")</f>
        <v/>
      </c>
      <c r="L52" s="36">
        <f>IFERROR(('연간'!X53)/L16,"")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IFERROR((IF(COUNT('연간'!G19:J19)&lt;4,"",SUM('연간'!G19:J19)))/(IF(COUNT('연간'!G4:J4)&lt;4,"",SUM('연간'!G4:J4))),"")</f>
        <v/>
      </c>
      <c r="D54" s="36">
        <f>IFERROR((IF(COUNT('연간'!H19:K19)&lt;4,"",SUM('연간'!H19:K19)))/(IF(COUNT('연간'!H4:K4)&lt;4,"",SUM('연간'!H4:K4))),"")</f>
        <v/>
      </c>
      <c r="E54" s="36">
        <f>IFERROR((IF(COUNT('연간'!I19:L19)&lt;4,"",SUM('연간'!I19:L19)))/(IF(COUNT('연간'!I4:L4)&lt;4,"",SUM('연간'!I4:L4))),"")</f>
        <v/>
      </c>
      <c r="F54" s="36">
        <f>IFERROR((IF(COUNT('연간'!J19:M19)&lt;4,"",SUM('연간'!J19:M19)))/(IF(COUNT('연간'!J4:M4)&lt;4,"",SUM('연간'!J4:M4))),"")</f>
        <v/>
      </c>
      <c r="G54" s="36">
        <f>IFERROR((IF(COUNT('연간'!K19:N19)&lt;4,"",SUM('연간'!K19:N19)))/(IF(COUNT('연간'!K4:N4)&lt;4,"",SUM('연간'!K4:N4))),"")</f>
        <v/>
      </c>
      <c r="H54" s="35">
        <f>IFERROR(('연간'!T19)/('연간'!T4),"")</f>
        <v/>
      </c>
      <c r="I54" s="36">
        <f>IFERROR(('연간'!U19)/('연간'!U4),"")</f>
        <v/>
      </c>
      <c r="J54" s="36">
        <f>IFERROR(('연간'!V19)/('연간'!V4),"")</f>
        <v/>
      </c>
      <c r="K54" s="36">
        <f>IFERROR(('연간'!W19)/('연간'!W4),"")</f>
        <v/>
      </c>
      <c r="L54" s="36">
        <f>IFERROR(('연간'!X19)/('연간'!X4),"")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IFERROR((IF(COUNT('연간'!G53:J53)&lt;4,"",SUM('연간'!G53:J53)))/(IF(COUNT('연간'!G4:J4)&lt;4,"",SUM('연간'!G4:J4))),"")</f>
        <v/>
      </c>
      <c r="D56" s="36">
        <f>IFERROR((IF(COUNT('연간'!H53:K53)&lt;4,"",SUM('연간'!H53:K53)))/(IF(COUNT('연간'!H4:K4)&lt;4,"",SUM('연간'!H4:K4))),"")</f>
        <v/>
      </c>
      <c r="E56" s="36">
        <f>IFERROR((IF(COUNT('연간'!I53:L53)&lt;4,"",SUM('연간'!I53:L53)))/(IF(COUNT('연간'!I4:L4)&lt;4,"",SUM('연간'!I4:L4))),"")</f>
        <v/>
      </c>
      <c r="F56" s="36">
        <f>IFERROR((IF(COUNT('연간'!J53:M53)&lt;4,"",SUM('연간'!J53:M53)))/(IF(COUNT('연간'!J4:M4)&lt;4,"",SUM('연간'!J4:M4))),"")</f>
        <v/>
      </c>
      <c r="G56" s="36">
        <f>IFERROR((IF(COUNT('연간'!K53:N53)&lt;4,"",SUM('연간'!K53:N53)))/(IF(COUNT('연간'!K4:N4)&lt;4,"",SUM('연간'!K4:N4))),"")</f>
        <v/>
      </c>
      <c r="H56" s="35">
        <f>IFERROR(('연간'!T53)/('연간'!T4),"")</f>
        <v/>
      </c>
      <c r="I56" s="36">
        <f>IFERROR(('연간'!U53)/('연간'!U4),"")</f>
        <v/>
      </c>
      <c r="J56" s="36">
        <f>IFERROR(('연간'!V53)/('연간'!V4),"")</f>
        <v/>
      </c>
      <c r="K56" s="36">
        <f>IFERROR(('연간'!W53)/('연간'!W4),"")</f>
        <v/>
      </c>
      <c r="L56" s="36">
        <f>IFERROR(('연간'!X53)/('연간'!X4),"")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IFERROR(C9/(IF(COUNT('연간'!G17:J17)&lt;4,"",SUM('연간'!G17:J17)))*365,"")</f>
        <v/>
      </c>
      <c r="D60" s="49">
        <f>IFERROR(D9/(IF(COUNT('연간'!H17:K17)&lt;4,"",SUM('연간'!H17:K17)))*365,"")</f>
        <v/>
      </c>
      <c r="E60" s="49">
        <f>IFERROR(E9/(IF(COUNT('연간'!I17:L17)&lt;4,"",SUM('연간'!I17:L17)))*365,"")</f>
        <v/>
      </c>
      <c r="F60" s="49">
        <f>IFERROR(F9/(IF(COUNT('연간'!J17:M17)&lt;4,"",SUM('연간'!J17:M17)))*365,"")</f>
        <v/>
      </c>
      <c r="G60" s="49">
        <f>IFERROR(G9/(IF(COUNT('연간'!K17:N17)&lt;4,"",SUM('연간'!K17:N17)))*365,"")</f>
        <v/>
      </c>
      <c r="H60" s="48">
        <f>IFERROR(H9/('연간'!T17)*365,"")</f>
        <v/>
      </c>
      <c r="I60" s="49">
        <f>IFERROR(I9/('연간'!U17)*365,"")</f>
        <v/>
      </c>
      <c r="J60" s="49">
        <f>IFERROR(J9/('연간'!V17)*365,"")</f>
        <v/>
      </c>
      <c r="K60" s="49">
        <f>IFERROR(K9/('연간'!W17)*365,"")</f>
        <v/>
      </c>
      <c r="L60" s="49">
        <f>IFERROR(L9/('연간'!X17)*365,"")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IFERROR(C19/(IF(COUNT('연간'!G17:J17)&lt;4,"",SUM('연간'!G17:J17)))*365,"")</f>
        <v/>
      </c>
      <c r="D61" s="49">
        <f>IFERROR(D19/(IF(COUNT('연간'!H17:K17)&lt;4,"",SUM('연간'!H17:K17)))*365,"")</f>
        <v/>
      </c>
      <c r="E61" s="49">
        <f>IFERROR(E19/(IF(COUNT('연간'!I17:L17)&lt;4,"",SUM('연간'!I17:L17)))*365,"")</f>
        <v/>
      </c>
      <c r="F61" s="49">
        <f>IFERROR(F19/(IF(COUNT('연간'!J17:M17)&lt;4,"",SUM('연간'!J17:M17)))*365,"")</f>
        <v/>
      </c>
      <c r="G61" s="49">
        <f>IFERROR(G19/(IF(COUNT('연간'!K17:N17)&lt;4,"",SUM('연간'!K17:N17)))*365,"")</f>
        <v/>
      </c>
      <c r="H61" s="48">
        <f>IFERROR(H19/('연간'!T17)*365,"")</f>
        <v/>
      </c>
      <c r="I61" s="49">
        <f>IFERROR(I19/('연간'!U17)*365,"")</f>
        <v/>
      </c>
      <c r="J61" s="49">
        <f>IFERROR(J19/('연간'!V17)*365,"")</f>
        <v/>
      </c>
      <c r="K61" s="49">
        <f>IFERROR(K19/('연간'!W17)*365,"")</f>
        <v/>
      </c>
      <c r="L61" s="49">
        <f>IFERROR(L19/('연간'!X17)*365,"")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IF(C37="","",IFERROR(C37/(IF(COUNT('연간'!G53:J53)&lt;4,"",SUM('연간'!G53:J53))),""))</f>
        <v/>
      </c>
      <c r="D64" s="31">
        <f>IF(D37="","",IFERROR(D37/(IF(COUNT('연간'!H53:K53)&lt;4,"",SUM('연간'!H53:K53))),""))</f>
        <v/>
      </c>
      <c r="E64" s="31">
        <f>IF(E37="","",IFERROR(E37/(IF(COUNT('연간'!I53:L53)&lt;4,"",SUM('연간'!I53:L53))),""))</f>
        <v/>
      </c>
      <c r="F64" s="31">
        <f>IF(F37="","",IFERROR(F37/(IF(COUNT('연간'!J53:M53)&lt;4,"",SUM('연간'!J53:M53))),""))</f>
        <v/>
      </c>
      <c r="G64" s="31">
        <f>IF(G37="","",IFERROR(G37/(IF(COUNT('연간'!K53:N53)&lt;4,"",SUM('연간'!K53:N53))),""))</f>
        <v/>
      </c>
      <c r="H64" s="30">
        <f>IF(H37="","",IFERROR(H37/('연간'!T53),""))</f>
        <v/>
      </c>
      <c r="I64" s="31">
        <f>IF(I37="","",IFERROR(I37/('연간'!U53),""))</f>
        <v/>
      </c>
      <c r="J64" s="31">
        <f>IF(J37="","",IFERROR(J37/('연간'!V53),""))</f>
        <v/>
      </c>
      <c r="K64" s="31">
        <f>IF(K37="","",IFERROR(K37/('연간'!W53),""))</f>
        <v/>
      </c>
      <c r="L64" s="31">
        <f>IF(L37="","",IFERROR(L37/('연간'!X53),""))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IF(C40="","",IFERROR(C40/(IF(COUNT('연간'!G55:J55)&lt;4,"",SUM('연간'!G55:J55))),""))</f>
        <v/>
      </c>
      <c r="D67" s="36">
        <f>IF(D40="","",IFERROR(D40/(IF(COUNT('연간'!H55:K55)&lt;4,"",SUM('연간'!H55:K55))),""))</f>
        <v/>
      </c>
      <c r="E67" s="36">
        <f>IF(E40="","",IFERROR(E40/(IF(COUNT('연간'!I55:L55)&lt;4,"",SUM('연간'!I55:L55))),""))</f>
        <v/>
      </c>
      <c r="F67" s="36">
        <f>IF(F40="","",IFERROR(F40/(IF(COUNT('연간'!J55:M55)&lt;4,"",SUM('연간'!J55:M55))),""))</f>
        <v/>
      </c>
      <c r="G67" s="36">
        <f>IF(G40="","",IFERROR(G40/(IF(COUNT('연간'!K55:N55)&lt;4,"",SUM('연간'!K55:N55))),""))</f>
        <v/>
      </c>
      <c r="H67" s="35">
        <f>IF(H40="","",IFERROR(H40/('연간'!T55),""))</f>
        <v/>
      </c>
      <c r="I67" s="36">
        <f>IF(I40="","",IFERROR(I40/('연간'!U55),""))</f>
        <v/>
      </c>
      <c r="J67" s="36">
        <f>IF(J40="","",IFERROR(J40/('연간'!V55),""))</f>
        <v/>
      </c>
      <c r="K67" s="36">
        <f>IF(K40="","",IFERROR(K40/('연간'!W55),""))</f>
        <v/>
      </c>
      <c r="L67" s="36">
        <f>IF(L40="","",IFERROR(L40/('연간'!X55),""))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2733.133</v>
      </c>
      <c r="D71" s="20" t="n">
        <v>2324.083</v>
      </c>
      <c r="E71" s="20" t="n">
        <v>2477.059</v>
      </c>
      <c r="F71" s="20" t="n">
        <v>2591.98</v>
      </c>
      <c r="G71" s="20" t="n">
        <v>2534.557</v>
      </c>
      <c r="H71" s="20" t="n">
        <v>2910.461</v>
      </c>
      <c r="I71" s="20" t="n">
        <v>3273.786</v>
      </c>
      <c r="J71" s="20" t="n">
        <v>3275.145</v>
      </c>
      <c r="K71" s="20" t="n">
        <v>2733.133</v>
      </c>
      <c r="L71" s="20" t="n">
        <v>2534.557</v>
      </c>
    </row>
    <row r="72">
      <c r="A72" s="18" t="inlineStr">
        <is>
          <t>매출채권</t>
        </is>
      </c>
      <c r="H72" s="20" t="n">
        <v>0</v>
      </c>
    </row>
    <row r="73">
      <c r="A73" s="18" t="inlineStr">
        <is>
          <t>받을어음·매출채권·계약자산</t>
        </is>
      </c>
      <c r="I73" s="20" t="n">
        <v>455.68</v>
      </c>
    </row>
    <row r="74">
      <c r="A74" s="18" t="inlineStr">
        <is>
          <t>매출채권·계약자산</t>
        </is>
      </c>
      <c r="C74" s="20" t="n">
        <v>584.2619999999999</v>
      </c>
      <c r="D74" s="20" t="n">
        <v>592.246</v>
      </c>
      <c r="E74" s="20" t="n">
        <v>599.7910000000001</v>
      </c>
      <c r="F74" s="20" t="n">
        <v>441.424</v>
      </c>
      <c r="G74" s="20" t="n">
        <v>552.175</v>
      </c>
      <c r="H74" s="20" t="n">
        <v>348.971</v>
      </c>
      <c r="I74" s="20" t="n">
        <v>455.68</v>
      </c>
      <c r="J74" s="20" t="n">
        <v>427.708</v>
      </c>
      <c r="K74" s="20" t="n">
        <v>584.2619999999999</v>
      </c>
      <c r="L74" s="20" t="n">
        <v>552.175</v>
      </c>
    </row>
    <row r="75">
      <c r="A75" s="18" t="inlineStr">
        <is>
          <t>재공품</t>
        </is>
      </c>
      <c r="C75" s="20" t="n">
        <v>9.565</v>
      </c>
      <c r="D75" s="20" t="n">
        <v>10.178</v>
      </c>
      <c r="E75" s="20" t="n">
        <v>8.954000000000001</v>
      </c>
      <c r="F75" s="20" t="n">
        <v>16.552</v>
      </c>
      <c r="G75" s="20" t="n">
        <v>14.525</v>
      </c>
      <c r="H75" s="20" t="n">
        <v>1.752</v>
      </c>
      <c r="I75" s="20" t="n">
        <v>11.43</v>
      </c>
      <c r="J75" s="20" t="n">
        <v>2.884</v>
      </c>
      <c r="K75" s="20" t="n">
        <v>9.565</v>
      </c>
      <c r="L75" s="20" t="n">
        <v>14.525</v>
      </c>
    </row>
    <row r="76">
      <c r="A76" s="18" t="inlineStr">
        <is>
          <t>선급비용</t>
        </is>
      </c>
      <c r="C76" s="20" t="n">
        <v>55.483</v>
      </c>
      <c r="D76" s="20" t="n">
        <v>107.811</v>
      </c>
      <c r="E76" s="20" t="n">
        <v>93.485</v>
      </c>
      <c r="F76" s="20" t="n">
        <v>117.416</v>
      </c>
      <c r="G76" s="20" t="n">
        <v>89.04600000000001</v>
      </c>
      <c r="H76" s="20" t="n">
        <v>45.073</v>
      </c>
      <c r="I76" s="20" t="n">
        <v>49.252</v>
      </c>
      <c r="J76" s="20" t="n">
        <v>79.83</v>
      </c>
      <c r="K76" s="20" t="n">
        <v>55.483</v>
      </c>
      <c r="L76" s="20" t="n">
        <v>89.04600000000001</v>
      </c>
    </row>
    <row r="77">
      <c r="A77" s="18" t="inlineStr">
        <is>
          <t>미수 환급법인세</t>
        </is>
      </c>
      <c r="C77" s="20" t="n">
        <v>0.006</v>
      </c>
      <c r="D77" s="20" t="n">
        <v>0.006</v>
      </c>
      <c r="E77" s="20" t="n">
        <v>0</v>
      </c>
      <c r="F77" s="20" t="n">
        <v>24.157</v>
      </c>
      <c r="G77" s="20" t="n">
        <v>10.157</v>
      </c>
      <c r="I77" s="20" t="n">
        <v>0</v>
      </c>
      <c r="J77" s="20" t="n">
        <v>48.772</v>
      </c>
      <c r="K77" s="20" t="n">
        <v>0.006</v>
      </c>
      <c r="L77" s="20" t="n">
        <v>10.157</v>
      </c>
    </row>
    <row r="78">
      <c r="A78" s="18" t="inlineStr">
        <is>
          <t>예치금</t>
        </is>
      </c>
      <c r="C78" s="20" t="n">
        <v>0</v>
      </c>
      <c r="G78" s="20" t="n">
        <v>83.75</v>
      </c>
      <c r="J78" s="20" t="n">
        <v>0</v>
      </c>
      <c r="K78" s="20" t="n">
        <v>0</v>
      </c>
      <c r="L78" s="20" t="n">
        <v>83.75</v>
      </c>
    </row>
    <row r="79">
      <c r="A79" s="18" t="inlineStr">
        <is>
          <t>기타</t>
        </is>
      </c>
      <c r="C79" s="20" t="n">
        <v>13.247</v>
      </c>
      <c r="D79" s="20" t="n">
        <v>11.164</v>
      </c>
      <c r="E79" s="20" t="n">
        <v>24.92</v>
      </c>
      <c r="F79" s="20" t="n">
        <v>22.192</v>
      </c>
      <c r="G79" s="20" t="n">
        <v>24.25</v>
      </c>
      <c r="H79" s="20" t="n">
        <v>5.812</v>
      </c>
      <c r="I79" s="20" t="n">
        <v>9.689</v>
      </c>
      <c r="J79" s="20" t="n">
        <v>4.953</v>
      </c>
      <c r="K79" s="20" t="n">
        <v>13.247</v>
      </c>
      <c r="L79" s="20" t="n">
        <v>24.25</v>
      </c>
    </row>
    <row r="80">
      <c r="A80" s="18" t="inlineStr">
        <is>
          <t>대손충당금</t>
        </is>
      </c>
      <c r="C80" s="20" t="n">
        <v>0</v>
      </c>
      <c r="F80" s="20" t="n">
        <v>-0.132</v>
      </c>
      <c r="G80" s="20" t="n">
        <v>-0.33</v>
      </c>
      <c r="K80" s="20" t="n">
        <v>0</v>
      </c>
      <c r="L80" s="20" t="n">
        <v>-0.33</v>
      </c>
    </row>
    <row r="81">
      <c r="A81" s="9" t="inlineStr">
        <is>
          <t>유동자산 합계</t>
        </is>
      </c>
      <c r="C81" s="12" t="n">
        <v>3395.698</v>
      </c>
      <c r="D81" s="12" t="n">
        <v>3045.491</v>
      </c>
      <c r="E81" s="12" t="n">
        <v>3204.211</v>
      </c>
      <c r="F81" s="12" t="n">
        <v>3213.591</v>
      </c>
      <c r="G81" s="12" t="n">
        <v>3308.132</v>
      </c>
      <c r="H81" s="12" t="n">
        <v>3312.071</v>
      </c>
      <c r="I81" s="12" t="n">
        <v>3799.84</v>
      </c>
      <c r="J81" s="12" t="n">
        <v>3839.295</v>
      </c>
      <c r="K81" s="12" t="n">
        <v>3395.698</v>
      </c>
      <c r="L81" s="12" t="n">
        <v>3308.132</v>
      </c>
    </row>
    <row r="82">
      <c r="A82" s="18" t="inlineStr">
        <is>
          <t>건물</t>
        </is>
      </c>
      <c r="C82" s="20" t="n">
        <v>75.179</v>
      </c>
      <c r="D82" s="20" t="n">
        <v>75.179</v>
      </c>
      <c r="E82" s="20" t="n">
        <v>75.179</v>
      </c>
      <c r="F82" s="20" t="n">
        <v>75.179</v>
      </c>
      <c r="G82" s="20" t="n">
        <v>105.278</v>
      </c>
      <c r="H82" s="20" t="n">
        <v>68.76900000000001</v>
      </c>
      <c r="I82" s="20" t="n">
        <v>68.76900000000001</v>
      </c>
      <c r="J82" s="20" t="n">
        <v>75.179</v>
      </c>
      <c r="K82" s="20" t="n">
        <v>75.179</v>
      </c>
      <c r="L82" s="20" t="n">
        <v>105.278</v>
      </c>
    </row>
    <row r="83">
      <c r="A83" s="18" t="inlineStr">
        <is>
          <t>감가상각누계액</t>
        </is>
      </c>
      <c r="C83" s="20" t="n">
        <v>-42.101</v>
      </c>
      <c r="D83" s="20" t="n">
        <v>-43.371</v>
      </c>
      <c r="E83" s="20" t="n">
        <v>-46.945</v>
      </c>
      <c r="F83" s="20" t="n">
        <v>-50.315</v>
      </c>
      <c r="G83" s="20" t="n">
        <v>-44.652</v>
      </c>
      <c r="H83" s="20" t="n">
        <v>-27.242</v>
      </c>
      <c r="I83" s="20" t="n">
        <v>-31.972</v>
      </c>
      <c r="J83" s="20" t="n">
        <v>-37.019</v>
      </c>
      <c r="K83" s="20" t="n">
        <v>-42.101</v>
      </c>
      <c r="L83" s="20" t="n">
        <v>-44.652</v>
      </c>
    </row>
    <row r="84">
      <c r="A84" s="18" t="inlineStr">
        <is>
          <t>건물(순액)</t>
        </is>
      </c>
      <c r="C84" s="20" t="n">
        <v>33.078</v>
      </c>
      <c r="D84" s="20" t="n">
        <v>31.807</v>
      </c>
      <c r="E84" s="20" t="n">
        <v>28.233</v>
      </c>
      <c r="F84" s="20" t="n">
        <v>24.863</v>
      </c>
      <c r="G84" s="20" t="n">
        <v>60.626</v>
      </c>
      <c r="H84" s="20" t="n">
        <v>41.526</v>
      </c>
      <c r="I84" s="20" t="n">
        <v>36.796</v>
      </c>
      <c r="J84" s="20" t="n">
        <v>38.16</v>
      </c>
      <c r="K84" s="20" t="n">
        <v>33.078</v>
      </c>
      <c r="L84" s="20" t="n">
        <v>60.626</v>
      </c>
    </row>
    <row r="85">
      <c r="A85" s="18" t="inlineStr">
        <is>
          <t>공구·기구·비품</t>
        </is>
      </c>
      <c r="C85" s="20" t="n">
        <v>59.906</v>
      </c>
      <c r="D85" s="20" t="n">
        <v>60.837</v>
      </c>
      <c r="E85" s="20" t="n">
        <v>62.001</v>
      </c>
      <c r="F85" s="20" t="n">
        <v>61.565</v>
      </c>
      <c r="G85" s="20" t="n">
        <v>69.681</v>
      </c>
      <c r="H85" s="20" t="n">
        <v>89.729</v>
      </c>
      <c r="I85" s="20" t="n">
        <v>77.377</v>
      </c>
      <c r="J85" s="20" t="n">
        <v>81.55200000000001</v>
      </c>
      <c r="K85" s="20" t="n">
        <v>59.906</v>
      </c>
      <c r="L85" s="20" t="n">
        <v>69.681</v>
      </c>
    </row>
    <row r="86">
      <c r="A86" s="18" t="inlineStr">
        <is>
          <t>감가상각누계액</t>
        </is>
      </c>
      <c r="C86" s="20" t="n">
        <v>-52.652</v>
      </c>
      <c r="D86" s="20" t="n">
        <v>-53.393</v>
      </c>
      <c r="E86" s="20" t="n">
        <v>-54.367</v>
      </c>
      <c r="F86" s="20" t="n">
        <v>-54.991</v>
      </c>
      <c r="G86" s="20" t="n">
        <v>-57</v>
      </c>
      <c r="H86" s="20" t="n">
        <v>-71.437</v>
      </c>
      <c r="I86" s="20" t="n">
        <v>-67.414</v>
      </c>
      <c r="J86" s="20" t="n">
        <v>-71.834</v>
      </c>
      <c r="K86" s="20" t="n">
        <v>-52.652</v>
      </c>
      <c r="L86" s="20" t="n">
        <v>-57</v>
      </c>
    </row>
    <row r="87">
      <c r="A87" s="18" t="inlineStr">
        <is>
          <t>공구·기구·비품(순액)</t>
        </is>
      </c>
      <c r="C87" s="20" t="n">
        <v>7.254</v>
      </c>
      <c r="D87" s="20" t="n">
        <v>7.444</v>
      </c>
      <c r="E87" s="20" t="n">
        <v>7.634</v>
      </c>
      <c r="F87" s="20" t="n">
        <v>6.574</v>
      </c>
      <c r="G87" s="20" t="n">
        <v>12.681</v>
      </c>
      <c r="H87" s="20" t="n">
        <v>18.292</v>
      </c>
      <c r="I87" s="20" t="n">
        <v>9.962999999999999</v>
      </c>
      <c r="J87" s="20" t="n">
        <v>9.717000000000001</v>
      </c>
      <c r="K87" s="20" t="n">
        <v>7.254</v>
      </c>
      <c r="L87" s="20" t="n">
        <v>12.681</v>
      </c>
    </row>
    <row r="88">
      <c r="A88" s="18" t="inlineStr">
        <is>
          <t>사용권자산(순액)</t>
        </is>
      </c>
      <c r="H88" s="20" t="n">
        <v>0</v>
      </c>
    </row>
    <row r="89">
      <c r="A89" s="18" t="inlineStr">
        <is>
          <t>리스자산</t>
        </is>
      </c>
      <c r="C89" s="20" t="n">
        <v>9.68</v>
      </c>
      <c r="D89" s="20" t="n">
        <v>9.68</v>
      </c>
      <c r="E89" s="20" t="n">
        <v>9.68</v>
      </c>
      <c r="F89" s="20" t="n">
        <v>9.68</v>
      </c>
      <c r="G89" s="20" t="n">
        <v>9.68</v>
      </c>
      <c r="J89" s="20" t="n">
        <v>0</v>
      </c>
      <c r="K89" s="20" t="n">
        <v>9.68</v>
      </c>
      <c r="L89" s="20" t="n">
        <v>9.68</v>
      </c>
    </row>
    <row r="90">
      <c r="A90" s="18" t="inlineStr">
        <is>
          <t>감가상각누계액</t>
        </is>
      </c>
      <c r="C90" s="20" t="n">
        <v>-1.152</v>
      </c>
      <c r="D90" s="20" t="n">
        <v>-1.498</v>
      </c>
      <c r="E90" s="20" t="n">
        <v>-1.843</v>
      </c>
      <c r="F90" s="20" t="n">
        <v>-2.189</v>
      </c>
      <c r="G90" s="20" t="n">
        <v>-2.535</v>
      </c>
      <c r="J90" s="20" t="n">
        <v>0</v>
      </c>
      <c r="K90" s="20" t="n">
        <v>-1.152</v>
      </c>
      <c r="L90" s="20" t="n">
        <v>-2.535</v>
      </c>
    </row>
    <row r="91">
      <c r="A91" s="18" t="inlineStr">
        <is>
          <t>리스자산(순액)</t>
        </is>
      </c>
      <c r="C91" s="20" t="n">
        <v>8.526999999999999</v>
      </c>
      <c r="D91" s="20" t="n">
        <v>8.180999999999999</v>
      </c>
      <c r="E91" s="20" t="n">
        <v>7.836</v>
      </c>
      <c r="F91" s="20" t="n">
        <v>7.49</v>
      </c>
      <c r="G91" s="20" t="n">
        <v>7.144</v>
      </c>
      <c r="J91" s="20" t="n">
        <v>0</v>
      </c>
      <c r="K91" s="20" t="n">
        <v>8.526999999999999</v>
      </c>
      <c r="L91" s="20" t="n">
        <v>7.144</v>
      </c>
    </row>
    <row r="92">
      <c r="A92" s="18" t="inlineStr">
        <is>
          <t>유형자산 합계</t>
        </is>
      </c>
      <c r="C92" s="20" t="n">
        <v>48.86</v>
      </c>
      <c r="D92" s="20" t="n">
        <v>47.433</v>
      </c>
      <c r="E92" s="20" t="n">
        <v>43.704</v>
      </c>
      <c r="F92" s="20" t="n">
        <v>38.928</v>
      </c>
      <c r="G92" s="20" t="n">
        <v>80.452</v>
      </c>
      <c r="H92" s="20" t="n">
        <v>59.819</v>
      </c>
      <c r="I92" s="20" t="n">
        <v>46.76</v>
      </c>
      <c r="J92" s="20" t="n">
        <v>47.877</v>
      </c>
      <c r="K92" s="20" t="n">
        <v>48.86</v>
      </c>
      <c r="L92" s="20" t="n">
        <v>80.452</v>
      </c>
    </row>
    <row r="93">
      <c r="A93" s="18" t="inlineStr">
        <is>
          <t>상표권</t>
        </is>
      </c>
      <c r="C93" s="20" t="n">
        <v>1.247</v>
      </c>
      <c r="D93" s="20" t="n">
        <v>1.186</v>
      </c>
      <c r="E93" s="20" t="n">
        <v>1.125</v>
      </c>
      <c r="F93" s="20" t="n">
        <v>1.063</v>
      </c>
      <c r="G93" s="20" t="n">
        <v>1.002</v>
      </c>
      <c r="H93" s="20" t="n">
        <v>1.984</v>
      </c>
      <c r="I93" s="20" t="n">
        <v>1.738</v>
      </c>
      <c r="J93" s="20" t="n">
        <v>1.493</v>
      </c>
      <c r="K93" s="20" t="n">
        <v>1.247</v>
      </c>
      <c r="L93" s="20" t="n">
        <v>1.002</v>
      </c>
    </row>
    <row r="94">
      <c r="A94" s="18" t="inlineStr">
        <is>
          <t>영업권</t>
        </is>
      </c>
      <c r="C94" s="20" t="n">
        <v>349.07</v>
      </c>
      <c r="D94" s="20" t="n">
        <v>349.657</v>
      </c>
      <c r="E94" s="20" t="n">
        <v>331.586</v>
      </c>
      <c r="F94" s="20" t="n">
        <v>313.47</v>
      </c>
      <c r="G94" s="20" t="n">
        <v>285.603</v>
      </c>
      <c r="H94" s="20" t="n">
        <v>539.472</v>
      </c>
      <c r="I94" s="20" t="n">
        <v>476.005</v>
      </c>
      <c r="J94" s="20" t="n">
        <v>412.538</v>
      </c>
      <c r="K94" s="20" t="n">
        <v>349.07</v>
      </c>
      <c r="L94" s="20" t="n">
        <v>285.603</v>
      </c>
    </row>
    <row r="95">
      <c r="A95" s="18" t="inlineStr">
        <is>
          <t>고객관계자산</t>
        </is>
      </c>
      <c r="C95" s="20" t="n">
        <v>45.222</v>
      </c>
      <c r="D95" s="20" t="n">
        <v>43.166</v>
      </c>
      <c r="E95" s="20" t="n">
        <v>41.111</v>
      </c>
      <c r="F95" s="20" t="n">
        <v>39.055</v>
      </c>
      <c r="G95" s="20" t="n">
        <v>37</v>
      </c>
      <c r="H95" s="20" t="n">
        <v>69.88800000000001</v>
      </c>
      <c r="I95" s="20" t="n">
        <v>61.666</v>
      </c>
      <c r="J95" s="20" t="n">
        <v>53.444</v>
      </c>
      <c r="K95" s="20" t="n">
        <v>45.222</v>
      </c>
      <c r="L95" s="20" t="n">
        <v>37</v>
      </c>
    </row>
    <row r="96">
      <c r="A96" s="18" t="inlineStr">
        <is>
          <t>기타</t>
        </is>
      </c>
      <c r="H96" s="20" t="n">
        <v>0.096</v>
      </c>
      <c r="I96" s="20" t="n">
        <v>0.048</v>
      </c>
      <c r="J96" s="20" t="n">
        <v>0</v>
      </c>
    </row>
    <row r="97">
      <c r="A97" s="18" t="inlineStr">
        <is>
          <t>무형자산 합계</t>
        </is>
      </c>
      <c r="C97" s="20" t="n">
        <v>395.54</v>
      </c>
      <c r="D97" s="20" t="n">
        <v>394.011</v>
      </c>
      <c r="E97" s="20" t="n">
        <v>373.823</v>
      </c>
      <c r="F97" s="20" t="n">
        <v>353.589</v>
      </c>
      <c r="G97" s="20" t="n">
        <v>323.605</v>
      </c>
      <c r="H97" s="20" t="n">
        <v>611.441</v>
      </c>
      <c r="I97" s="20" t="n">
        <v>539.458</v>
      </c>
      <c r="J97" s="20" t="n">
        <v>467.475</v>
      </c>
      <c r="K97" s="20" t="n">
        <v>395.54</v>
      </c>
      <c r="L97" s="20" t="n">
        <v>323.605</v>
      </c>
    </row>
    <row r="98">
      <c r="A98" s="18" t="inlineStr">
        <is>
          <t>투자유가증권</t>
        </is>
      </c>
      <c r="C98" s="20" t="n">
        <v>1310.16</v>
      </c>
      <c r="D98" s="20" t="n">
        <v>1359.82</v>
      </c>
      <c r="E98" s="20" t="n">
        <v>1392.601</v>
      </c>
      <c r="F98" s="20" t="n">
        <v>1412.503</v>
      </c>
      <c r="G98" s="20" t="n">
        <v>1343.129</v>
      </c>
      <c r="H98" s="20" t="n">
        <v>54.441</v>
      </c>
      <c r="I98" s="20" t="n">
        <v>145.561</v>
      </c>
      <c r="J98" s="20" t="n">
        <v>202.017</v>
      </c>
      <c r="K98" s="20" t="n">
        <v>1310.16</v>
      </c>
      <c r="L98" s="20" t="n">
        <v>1343.129</v>
      </c>
    </row>
    <row r="99">
      <c r="A99" s="18" t="inlineStr">
        <is>
          <t>임차보증금·보증금</t>
        </is>
      </c>
      <c r="C99" s="20" t="n">
        <v>23.325</v>
      </c>
      <c r="D99" s="20" t="n">
        <v>23.737</v>
      </c>
      <c r="E99" s="20" t="n">
        <v>35.258</v>
      </c>
      <c r="F99" s="20" t="n">
        <v>35.034</v>
      </c>
      <c r="G99" s="20" t="n">
        <v>33.984</v>
      </c>
      <c r="H99" s="20" t="n">
        <v>28.929</v>
      </c>
      <c r="I99" s="20" t="n">
        <v>23.299</v>
      </c>
      <c r="J99" s="20" t="n">
        <v>22.827</v>
      </c>
      <c r="K99" s="20" t="n">
        <v>23.325</v>
      </c>
      <c r="L99" s="20" t="n">
        <v>33.984</v>
      </c>
    </row>
    <row r="100">
      <c r="A100" s="18" t="inlineStr">
        <is>
          <t>이연법인세자산</t>
        </is>
      </c>
      <c r="C100" s="20" t="n">
        <v>51.563</v>
      </c>
      <c r="D100" s="20" t="n">
        <v>0.493</v>
      </c>
      <c r="E100" s="20" t="n">
        <v>0.928</v>
      </c>
      <c r="F100" s="20" t="n">
        <v>0.605</v>
      </c>
      <c r="G100" s="20" t="n">
        <v>0</v>
      </c>
      <c r="H100" s="20" t="n">
        <v>93.73099999999999</v>
      </c>
      <c r="I100" s="20" t="n">
        <v>94.629</v>
      </c>
      <c r="J100" s="20" t="n">
        <v>74.017</v>
      </c>
      <c r="K100" s="20" t="n">
        <v>51.563</v>
      </c>
      <c r="L100" s="20" t="n">
        <v>0</v>
      </c>
    </row>
    <row r="101">
      <c r="A101" s="18" t="inlineStr">
        <is>
          <t>기타</t>
        </is>
      </c>
      <c r="C101" s="20" t="n">
        <v>20.279</v>
      </c>
      <c r="D101" s="20" t="n">
        <v>20.187</v>
      </c>
      <c r="E101" s="20" t="n">
        <v>23.269</v>
      </c>
      <c r="F101" s="20" t="n">
        <v>22.398</v>
      </c>
      <c r="G101" s="20" t="n">
        <v>20.057</v>
      </c>
      <c r="H101" s="20" t="n">
        <v>9.505000000000001</v>
      </c>
      <c r="I101" s="20" t="n">
        <v>22</v>
      </c>
      <c r="J101" s="20" t="n">
        <v>22.492</v>
      </c>
      <c r="K101" s="20" t="n">
        <v>20.279</v>
      </c>
      <c r="L101" s="20" t="n">
        <v>20.057</v>
      </c>
    </row>
    <row r="102">
      <c r="A102" s="18" t="inlineStr">
        <is>
          <t>투자 및 기타자산 합계</t>
        </is>
      </c>
      <c r="C102" s="20" t="n">
        <v>1405.328</v>
      </c>
      <c r="D102" s="20" t="n">
        <v>1404.238</v>
      </c>
      <c r="E102" s="20" t="n">
        <v>1452.057</v>
      </c>
      <c r="F102" s="20" t="n">
        <v>1470.541</v>
      </c>
      <c r="G102" s="20" t="n">
        <v>1397.171</v>
      </c>
      <c r="H102" s="20" t="n">
        <v>186.608</v>
      </c>
      <c r="I102" s="20" t="n">
        <v>285.49</v>
      </c>
      <c r="J102" s="20" t="n">
        <v>321.355</v>
      </c>
      <c r="K102" s="20" t="n">
        <v>1405.328</v>
      </c>
      <c r="L102" s="20" t="n">
        <v>1397.171</v>
      </c>
    </row>
    <row r="103">
      <c r="A103" s="9" t="inlineStr">
        <is>
          <t>비유동자산 합계</t>
        </is>
      </c>
      <c r="C103" s="12" t="n">
        <v>1849.729</v>
      </c>
      <c r="D103" s="12" t="n">
        <v>1845.682</v>
      </c>
      <c r="E103" s="12" t="n">
        <v>1869.584</v>
      </c>
      <c r="F103" s="12" t="n">
        <v>1863.058</v>
      </c>
      <c r="G103" s="12" t="n">
        <v>1801.229</v>
      </c>
      <c r="H103" s="12" t="n">
        <v>857.87</v>
      </c>
      <c r="I103" s="12" t="n">
        <v>871.7089999999999</v>
      </c>
      <c r="J103" s="12" t="n">
        <v>836.708</v>
      </c>
      <c r="K103" s="12" t="n">
        <v>1849.729</v>
      </c>
      <c r="L103" s="12" t="n">
        <v>1801.229</v>
      </c>
    </row>
    <row r="104">
      <c r="A104" s="9" t="inlineStr">
        <is>
          <t>자산 합계</t>
        </is>
      </c>
      <c r="C104" s="12" t="n">
        <v>5245.428</v>
      </c>
      <c r="D104" s="12" t="n">
        <v>4891.173</v>
      </c>
      <c r="E104" s="12" t="n">
        <v>5073.796</v>
      </c>
      <c r="F104" s="12" t="n">
        <v>5076.65</v>
      </c>
      <c r="G104" s="12" t="n">
        <v>5109.362</v>
      </c>
      <c r="H104" s="12" t="n">
        <v>4169.942</v>
      </c>
      <c r="I104" s="12" t="n">
        <v>4671.549</v>
      </c>
      <c r="J104" s="12" t="n">
        <v>4676.003</v>
      </c>
      <c r="K104" s="12" t="n">
        <v>5245.428</v>
      </c>
      <c r="L104" s="12" t="n">
        <v>5109.362</v>
      </c>
    </row>
    <row r="105">
      <c r="A105" s="18" t="inlineStr">
        <is>
          <t>매입채무</t>
        </is>
      </c>
      <c r="C105" s="20" t="n">
        <v>99.60899999999999</v>
      </c>
      <c r="D105" s="20" t="n">
        <v>109.717</v>
      </c>
      <c r="E105" s="20" t="n">
        <v>112.757</v>
      </c>
      <c r="F105" s="20" t="n">
        <v>93.807</v>
      </c>
      <c r="G105" s="20" t="n">
        <v>108.878</v>
      </c>
      <c r="H105" s="20" t="n">
        <v>47.377</v>
      </c>
      <c r="I105" s="20" t="n">
        <v>71.414</v>
      </c>
      <c r="J105" s="20" t="n">
        <v>63.192</v>
      </c>
      <c r="K105" s="20" t="n">
        <v>99.60899999999999</v>
      </c>
      <c r="L105" s="20" t="n">
        <v>108.878</v>
      </c>
    </row>
    <row r="106">
      <c r="A106" s="18" t="inlineStr">
        <is>
          <t>1년 내 상환 장기차입금</t>
        </is>
      </c>
      <c r="C106" s="20" t="n">
        <v>130.423</v>
      </c>
      <c r="D106" s="20" t="n">
        <v>117.301</v>
      </c>
      <c r="E106" s="20" t="n">
        <v>107.572</v>
      </c>
      <c r="F106" s="20" t="n">
        <v>100.297</v>
      </c>
      <c r="G106" s="20" t="n">
        <v>78.398</v>
      </c>
      <c r="H106" s="20" t="n">
        <v>125.816</v>
      </c>
      <c r="I106" s="20" t="n">
        <v>106.488</v>
      </c>
      <c r="J106" s="20" t="n">
        <v>162.412</v>
      </c>
      <c r="K106" s="20" t="n">
        <v>130.423</v>
      </c>
      <c r="L106" s="20" t="n">
        <v>78.398</v>
      </c>
    </row>
    <row r="107">
      <c r="A107" s="18" t="inlineStr">
        <is>
          <t>미지급금</t>
        </is>
      </c>
      <c r="C107" s="20" t="n">
        <v>142.063</v>
      </c>
      <c r="D107" s="20" t="n">
        <v>107.309</v>
      </c>
      <c r="E107" s="20" t="n">
        <v>111.258</v>
      </c>
      <c r="F107" s="20" t="n">
        <v>128.112</v>
      </c>
      <c r="G107" s="20" t="n">
        <v>136.384</v>
      </c>
      <c r="H107" s="20" t="n">
        <v>148.026</v>
      </c>
      <c r="I107" s="20" t="n">
        <v>132.915</v>
      </c>
      <c r="J107" s="20" t="n">
        <v>85.434</v>
      </c>
      <c r="K107" s="20" t="n">
        <v>142.063</v>
      </c>
      <c r="L107" s="20" t="n">
        <v>136.384</v>
      </c>
    </row>
    <row r="108">
      <c r="A108" s="18" t="inlineStr">
        <is>
          <t>미지급비용</t>
        </is>
      </c>
      <c r="C108" s="20" t="n">
        <v>39.493</v>
      </c>
      <c r="D108" s="20" t="n">
        <v>31.499</v>
      </c>
      <c r="E108" s="20" t="n">
        <v>33.516</v>
      </c>
      <c r="F108" s="20" t="n">
        <v>35.182</v>
      </c>
      <c r="G108" s="20" t="n">
        <v>42.29</v>
      </c>
      <c r="H108" s="20" t="n">
        <v>61.114</v>
      </c>
      <c r="I108" s="20" t="n">
        <v>62.814</v>
      </c>
      <c r="J108" s="20" t="n">
        <v>40.766</v>
      </c>
      <c r="K108" s="20" t="n">
        <v>39.493</v>
      </c>
      <c r="L108" s="20" t="n">
        <v>42.29</v>
      </c>
    </row>
    <row r="109">
      <c r="A109" s="18" t="inlineStr">
        <is>
          <t>미지급법인세</t>
        </is>
      </c>
      <c r="C109" s="20" t="n">
        <v>219.888</v>
      </c>
      <c r="D109" s="20" t="n">
        <v>12.991</v>
      </c>
      <c r="E109" s="20" t="n">
        <v>106.513</v>
      </c>
      <c r="F109" s="20" t="n">
        <v>50.679</v>
      </c>
      <c r="G109" s="20" t="n">
        <v>78.358</v>
      </c>
      <c r="H109" s="20" t="n">
        <v>123.911</v>
      </c>
      <c r="I109" s="20" t="n">
        <v>88.952</v>
      </c>
      <c r="J109" s="20" t="n">
        <v>15.388</v>
      </c>
      <c r="K109" s="20" t="n">
        <v>219.888</v>
      </c>
      <c r="L109" s="20" t="n">
        <v>78.358</v>
      </c>
    </row>
    <row r="110">
      <c r="A110" s="18" t="inlineStr">
        <is>
          <t>미지급 소비세</t>
        </is>
      </c>
      <c r="C110" s="20" t="n">
        <v>112.933</v>
      </c>
      <c r="D110" s="20" t="n">
        <v>77.062</v>
      </c>
      <c r="E110" s="20" t="n">
        <v>60.43</v>
      </c>
      <c r="F110" s="20" t="n">
        <v>56.073</v>
      </c>
      <c r="G110" s="20" t="n">
        <v>57.444</v>
      </c>
      <c r="H110" s="20" t="n">
        <v>98.175</v>
      </c>
      <c r="I110" s="20" t="n">
        <v>53.233</v>
      </c>
      <c r="J110" s="20" t="n">
        <v>34.684</v>
      </c>
      <c r="K110" s="20" t="n">
        <v>112.933</v>
      </c>
      <c r="L110" s="20" t="n">
        <v>57.444</v>
      </c>
    </row>
    <row r="111">
      <c r="A111" s="18" t="inlineStr">
        <is>
          <t>선수금</t>
        </is>
      </c>
      <c r="H111" s="20" t="n">
        <v>0</v>
      </c>
    </row>
    <row r="112">
      <c r="A112" s="18" t="inlineStr">
        <is>
          <t>선수수익</t>
        </is>
      </c>
      <c r="H112" s="20" t="n">
        <v>0</v>
      </c>
    </row>
    <row r="113">
      <c r="A113" s="18" t="inlineStr">
        <is>
          <t>계약부채</t>
        </is>
      </c>
      <c r="C113" s="20" t="n">
        <v>61.599</v>
      </c>
      <c r="D113" s="20" t="n">
        <v>61.164</v>
      </c>
      <c r="E113" s="20" t="n">
        <v>67.53400000000001</v>
      </c>
      <c r="F113" s="20" t="n">
        <v>77.093</v>
      </c>
      <c r="G113" s="20" t="n">
        <v>52.128</v>
      </c>
      <c r="H113" s="20" t="n">
        <v>42.489</v>
      </c>
      <c r="I113" s="20" t="n">
        <v>60.988</v>
      </c>
      <c r="J113" s="20" t="n">
        <v>76.054</v>
      </c>
      <c r="K113" s="20" t="n">
        <v>61.599</v>
      </c>
      <c r="L113" s="20" t="n">
        <v>52.128</v>
      </c>
    </row>
    <row r="114">
      <c r="A114" s="18" t="inlineStr">
        <is>
          <t>리스부채</t>
        </is>
      </c>
      <c r="C114" s="20" t="n">
        <v>1.367</v>
      </c>
      <c r="D114" s="20" t="n">
        <v>1.383</v>
      </c>
      <c r="E114" s="20" t="n">
        <v>1.4</v>
      </c>
      <c r="F114" s="20" t="n">
        <v>1.416</v>
      </c>
      <c r="G114" s="20" t="n">
        <v>1.433</v>
      </c>
      <c r="H114" s="20" t="n">
        <v>20.224</v>
      </c>
      <c r="I114" s="20" t="n">
        <v>0</v>
      </c>
      <c r="J114" s="20" t="n">
        <v>0</v>
      </c>
      <c r="K114" s="20" t="n">
        <v>1.367</v>
      </c>
      <c r="L114" s="20" t="n">
        <v>1.433</v>
      </c>
    </row>
    <row r="115">
      <c r="A115" s="18" t="inlineStr">
        <is>
          <t>예수금</t>
        </is>
      </c>
      <c r="C115" s="20" t="n">
        <v>48.73</v>
      </c>
      <c r="D115" s="20" t="n">
        <v>77.251</v>
      </c>
      <c r="E115" s="20" t="n">
        <v>41.129</v>
      </c>
      <c r="F115" s="20" t="n">
        <v>51.003</v>
      </c>
      <c r="G115" s="20" t="n">
        <v>30.425</v>
      </c>
      <c r="I115" s="20" t="n">
        <v>27.142</v>
      </c>
      <c r="J115" s="20" t="n">
        <v>49.524</v>
      </c>
      <c r="K115" s="20" t="n">
        <v>48.73</v>
      </c>
      <c r="L115" s="20" t="n">
        <v>30.425</v>
      </c>
    </row>
    <row r="116">
      <c r="A116" s="18" t="inlineStr">
        <is>
          <t>상여충당금</t>
        </is>
      </c>
      <c r="C116" s="20" t="n">
        <v>100.347</v>
      </c>
      <c r="D116" s="20" t="n">
        <v>6.298</v>
      </c>
      <c r="E116" s="20" t="n">
        <v>8.596</v>
      </c>
      <c r="F116" s="20" t="n">
        <v>4.536</v>
      </c>
      <c r="G116" s="20" t="n">
        <v>8.512</v>
      </c>
      <c r="H116" s="20" t="n">
        <v>0.215</v>
      </c>
      <c r="I116" s="20" t="n">
        <v>0</v>
      </c>
      <c r="J116" s="20" t="n">
        <v>1.885</v>
      </c>
      <c r="K116" s="20" t="n">
        <v>100.347</v>
      </c>
      <c r="L116" s="20" t="n">
        <v>8.512</v>
      </c>
    </row>
    <row r="117">
      <c r="A117" s="18" t="inlineStr">
        <is>
          <t>수주손실 충당금</t>
        </is>
      </c>
      <c r="H117" s="20" t="n">
        <v>0</v>
      </c>
    </row>
    <row r="118">
      <c r="A118" s="18" t="inlineStr">
        <is>
          <t>관계회사 정리손실 충당금</t>
        </is>
      </c>
      <c r="H118" s="20" t="n">
        <v>75.125</v>
      </c>
    </row>
    <row r="119">
      <c r="A119" s="18" t="inlineStr">
        <is>
          <t>기타</t>
        </is>
      </c>
      <c r="C119" s="20" t="n">
        <v>0</v>
      </c>
      <c r="D119" s="20" t="n">
        <v>15.317</v>
      </c>
      <c r="E119" s="20" t="n">
        <v>5.835</v>
      </c>
      <c r="F119" s="20" t="n">
        <v>0.5590000000000001</v>
      </c>
      <c r="G119" s="20" t="n">
        <v>0.404</v>
      </c>
      <c r="H119" s="20" t="n">
        <v>41.921</v>
      </c>
      <c r="I119" s="20" t="n">
        <v>4.55</v>
      </c>
      <c r="J119" s="20" t="n">
        <v>3.989</v>
      </c>
      <c r="K119" s="20" t="n">
        <v>0</v>
      </c>
      <c r="L119" s="20" t="n">
        <v>0.404</v>
      </c>
    </row>
    <row r="120">
      <c r="A120" s="9" t="inlineStr">
        <is>
          <t>유동부채 합계</t>
        </is>
      </c>
      <c r="C120" s="12" t="n">
        <v>956.456</v>
      </c>
      <c r="D120" s="12" t="n">
        <v>617.297</v>
      </c>
      <c r="E120" s="12" t="n">
        <v>656.544</v>
      </c>
      <c r="F120" s="12" t="n">
        <v>598.7619999999999</v>
      </c>
      <c r="G120" s="12" t="n">
        <v>594.658</v>
      </c>
      <c r="H120" s="12" t="n">
        <v>709.271</v>
      </c>
      <c r="I120" s="12" t="n">
        <v>608.499</v>
      </c>
      <c r="J120" s="12" t="n">
        <v>533.332</v>
      </c>
      <c r="K120" s="12" t="n">
        <v>956.456</v>
      </c>
      <c r="L120" s="12" t="n">
        <v>594.658</v>
      </c>
    </row>
    <row r="121">
      <c r="A121" s="18" t="inlineStr">
        <is>
          <t>장기차입금</t>
        </is>
      </c>
      <c r="C121" s="20" t="n">
        <v>108.426</v>
      </c>
      <c r="D121" s="20" t="n">
        <v>82.602</v>
      </c>
      <c r="E121" s="20" t="n">
        <v>56.698</v>
      </c>
      <c r="F121" s="20" t="n">
        <v>35.026</v>
      </c>
      <c r="G121" s="20" t="n">
        <v>30.028</v>
      </c>
      <c r="H121" s="20" t="n">
        <v>192.731</v>
      </c>
      <c r="I121" s="20" t="n">
        <v>86.24299999999999</v>
      </c>
      <c r="J121" s="20" t="n">
        <v>238.849</v>
      </c>
      <c r="K121" s="20" t="n">
        <v>108.426</v>
      </c>
      <c r="L121" s="20" t="n">
        <v>30.028</v>
      </c>
    </row>
    <row r="122">
      <c r="A122" s="18" t="inlineStr">
        <is>
          <t>리스부채</t>
        </is>
      </c>
      <c r="C122" s="20" t="n">
        <v>8.188000000000001</v>
      </c>
      <c r="D122" s="20" t="n">
        <v>7.836</v>
      </c>
      <c r="E122" s="20" t="n">
        <v>7.48</v>
      </c>
      <c r="F122" s="20" t="n">
        <v>7.119</v>
      </c>
      <c r="G122" s="20" t="n">
        <v>6.755</v>
      </c>
      <c r="H122" s="20" t="n">
        <v>22.686</v>
      </c>
      <c r="I122" s="20" t="n">
        <v>0</v>
      </c>
      <c r="J122" s="20" t="n">
        <v>0</v>
      </c>
      <c r="K122" s="20" t="n">
        <v>8.188000000000001</v>
      </c>
      <c r="L122" s="20" t="n">
        <v>6.755</v>
      </c>
    </row>
    <row r="123">
      <c r="A123" s="18" t="inlineStr">
        <is>
          <t>자산복구부채</t>
        </is>
      </c>
      <c r="C123" s="20" t="n">
        <v>11.608</v>
      </c>
      <c r="D123" s="20" t="n">
        <v>11.612</v>
      </c>
      <c r="E123" s="20" t="n">
        <v>11.616</v>
      </c>
      <c r="F123" s="20" t="n">
        <v>11.62</v>
      </c>
      <c r="G123" s="20" t="n">
        <v>13.075</v>
      </c>
      <c r="H123" s="20" t="n">
        <v>11.56</v>
      </c>
      <c r="I123" s="20" t="n">
        <v>11.576</v>
      </c>
      <c r="J123" s="20" t="n">
        <v>11.592</v>
      </c>
      <c r="K123" s="20" t="n">
        <v>11.608</v>
      </c>
      <c r="L123" s="20" t="n">
        <v>13.075</v>
      </c>
    </row>
    <row r="124">
      <c r="A124" s="18" t="inlineStr">
        <is>
          <t>이연법인세부채</t>
        </is>
      </c>
      <c r="C124" s="20" t="n">
        <v>15.57</v>
      </c>
      <c r="D124" s="20" t="n">
        <v>20.861</v>
      </c>
      <c r="E124" s="20" t="n">
        <v>17.47</v>
      </c>
      <c r="F124" s="20" t="n">
        <v>18.411</v>
      </c>
      <c r="G124" s="20" t="n">
        <v>16.42</v>
      </c>
      <c r="H124" s="20" t="n">
        <v>24.342</v>
      </c>
      <c r="I124" s="20" t="n">
        <v>21.604</v>
      </c>
      <c r="J124" s="20" t="n">
        <v>19.848</v>
      </c>
      <c r="K124" s="20" t="n">
        <v>15.57</v>
      </c>
      <c r="L124" s="20" t="n">
        <v>16.42</v>
      </c>
    </row>
    <row r="125">
      <c r="A125" s="9" t="inlineStr">
        <is>
          <t>비유동부채 합계</t>
        </is>
      </c>
      <c r="C125" s="12" t="n">
        <v>143.793</v>
      </c>
      <c r="D125" s="12" t="n">
        <v>122.913</v>
      </c>
      <c r="E125" s="12" t="n">
        <v>93.265</v>
      </c>
      <c r="F125" s="12" t="n">
        <v>72.178</v>
      </c>
      <c r="G125" s="12" t="n">
        <v>66.27800000000001</v>
      </c>
      <c r="H125" s="12" t="n">
        <v>251.32</v>
      </c>
      <c r="I125" s="12" t="n">
        <v>119.423</v>
      </c>
      <c r="J125" s="12" t="n">
        <v>270.29</v>
      </c>
      <c r="K125" s="12" t="n">
        <v>143.793</v>
      </c>
      <c r="L125" s="12" t="n">
        <v>66.27800000000001</v>
      </c>
    </row>
    <row r="126">
      <c r="A126" s="9" t="inlineStr">
        <is>
          <t>부채 합계</t>
        </is>
      </c>
      <c r="C126" s="12" t="n">
        <v>1100.25</v>
      </c>
      <c r="D126" s="12" t="n">
        <v>740.21</v>
      </c>
      <c r="E126" s="12" t="n">
        <v>749.809</v>
      </c>
      <c r="F126" s="12" t="n">
        <v>670.941</v>
      </c>
      <c r="G126" s="12" t="n">
        <v>660.936</v>
      </c>
      <c r="H126" s="12" t="n">
        <v>960.592</v>
      </c>
      <c r="I126" s="12" t="n">
        <v>727.923</v>
      </c>
      <c r="J126" s="12" t="n">
        <v>803.622</v>
      </c>
      <c r="K126" s="12" t="n">
        <v>1100.25</v>
      </c>
      <c r="L126" s="12" t="n">
        <v>660.936</v>
      </c>
    </row>
    <row r="127">
      <c r="A127" s="18" t="inlineStr">
        <is>
          <t>자본금</t>
        </is>
      </c>
      <c r="C127" s="20" t="n">
        <v>1774.543</v>
      </c>
      <c r="D127" s="20" t="n">
        <v>1774.543</v>
      </c>
      <c r="E127" s="20" t="n">
        <v>1774.568</v>
      </c>
      <c r="F127" s="20" t="n">
        <v>1774.568</v>
      </c>
      <c r="G127" s="20" t="n">
        <v>1774.79</v>
      </c>
      <c r="H127" s="20" t="n">
        <v>1511.039</v>
      </c>
      <c r="I127" s="20" t="n">
        <v>1767.52</v>
      </c>
      <c r="J127" s="20" t="n">
        <v>1772.244</v>
      </c>
      <c r="K127" s="20" t="n">
        <v>1774.543</v>
      </c>
      <c r="L127" s="20" t="n">
        <v>1774.79</v>
      </c>
    </row>
    <row r="128">
      <c r="A128" s="18" t="inlineStr">
        <is>
          <t>자본잉여금</t>
        </is>
      </c>
      <c r="C128" s="20" t="n">
        <v>1761.139</v>
      </c>
      <c r="D128" s="20" t="n">
        <v>1761.139</v>
      </c>
      <c r="E128" s="20" t="n">
        <v>1761.164</v>
      </c>
      <c r="F128" s="20" t="n">
        <v>1761.164</v>
      </c>
      <c r="G128" s="20" t="n">
        <v>1761.386</v>
      </c>
      <c r="H128" s="20" t="n">
        <v>1506.039</v>
      </c>
      <c r="I128" s="20" t="n">
        <v>1762.52</v>
      </c>
      <c r="J128" s="20" t="n">
        <v>1767.244</v>
      </c>
      <c r="K128" s="20" t="n">
        <v>1761.139</v>
      </c>
      <c r="L128" s="20" t="n">
        <v>1761.386</v>
      </c>
    </row>
    <row r="129">
      <c r="A129" s="18" t="inlineStr">
        <is>
          <t>이익잉여금</t>
        </is>
      </c>
      <c r="C129" s="20" t="n">
        <v>821.244</v>
      </c>
      <c r="D129" s="20" t="n">
        <v>794.876</v>
      </c>
      <c r="E129" s="20" t="n">
        <v>950.141</v>
      </c>
      <c r="F129" s="20" t="n">
        <v>1018.259</v>
      </c>
      <c r="G129" s="20" t="n">
        <v>1087.589</v>
      </c>
      <c r="H129" s="20" t="n">
        <v>186.62</v>
      </c>
      <c r="I129" s="20" t="n">
        <v>402.659</v>
      </c>
      <c r="J129" s="20" t="n">
        <v>414.192</v>
      </c>
      <c r="K129" s="20" t="n">
        <v>821.244</v>
      </c>
      <c r="L129" s="20" t="n">
        <v>1087.589</v>
      </c>
    </row>
    <row r="130">
      <c r="A130" s="18" t="inlineStr">
        <is>
          <t>자기주식</t>
        </is>
      </c>
      <c r="C130" s="20" t="n">
        <v>-250.168</v>
      </c>
      <c r="D130" s="20" t="n">
        <v>-250.177</v>
      </c>
      <c r="E130" s="20" t="n">
        <v>-250.18</v>
      </c>
      <c r="F130" s="20" t="n">
        <v>-250.18</v>
      </c>
      <c r="G130" s="20" t="n">
        <v>-268.251</v>
      </c>
      <c r="H130" s="20" t="n">
        <v>-0.11</v>
      </c>
      <c r="I130" s="20" t="n">
        <v>-0.11</v>
      </c>
      <c r="J130" s="20" t="n">
        <v>-100.1</v>
      </c>
      <c r="K130" s="20" t="n">
        <v>-250.168</v>
      </c>
      <c r="L130" s="20" t="n">
        <v>-268.251</v>
      </c>
    </row>
    <row r="131">
      <c r="A131" s="9" t="inlineStr">
        <is>
          <t>주주자본 합계</t>
        </is>
      </c>
      <c r="C131" s="12" t="n">
        <v>4106.759</v>
      </c>
      <c r="D131" s="12" t="n">
        <v>4080.382</v>
      </c>
      <c r="E131" s="12" t="n">
        <v>4235.692</v>
      </c>
      <c r="F131" s="12" t="n">
        <v>4303.811</v>
      </c>
      <c r="G131" s="12" t="n">
        <v>4355.514</v>
      </c>
      <c r="H131" s="12" t="n">
        <v>3203.588</v>
      </c>
      <c r="I131" s="12" t="n">
        <v>3932.589</v>
      </c>
      <c r="J131" s="12" t="n">
        <v>3853.58</v>
      </c>
      <c r="K131" s="12" t="n">
        <v>4106.759</v>
      </c>
      <c r="L131" s="12" t="n">
        <v>4355.514</v>
      </c>
    </row>
    <row r="132">
      <c r="A132" s="18" t="inlineStr">
        <is>
          <t>기타유가증권 평가차액</t>
        </is>
      </c>
      <c r="C132" s="20" t="n">
        <v>15.192</v>
      </c>
      <c r="D132" s="20" t="n">
        <v>45.351</v>
      </c>
      <c r="E132" s="20" t="n">
        <v>61.35</v>
      </c>
      <c r="F132" s="20" t="n">
        <v>72.339</v>
      </c>
      <c r="G132" s="20" t="n">
        <v>60.752</v>
      </c>
      <c r="I132" s="20" t="n">
        <v>0</v>
      </c>
      <c r="J132" s="20" t="n">
        <v>-0.06</v>
      </c>
      <c r="K132" s="20" t="n">
        <v>15.192</v>
      </c>
      <c r="L132" s="20" t="n">
        <v>60.752</v>
      </c>
    </row>
    <row r="133">
      <c r="A133" s="18" t="inlineStr">
        <is>
          <t>해외사업환산조정</t>
        </is>
      </c>
      <c r="C133" s="20" t="n">
        <v>-0.128</v>
      </c>
      <c r="D133" s="20" t="n">
        <v>-0.178</v>
      </c>
      <c r="E133" s="20" t="n">
        <v>-0.127</v>
      </c>
      <c r="F133" s="20" t="n">
        <v>-0.127</v>
      </c>
      <c r="G133" s="20" t="n">
        <v>-0.143</v>
      </c>
      <c r="H133" s="20" t="n">
        <v>-2.407</v>
      </c>
      <c r="I133" s="20" t="n">
        <v>-3.099</v>
      </c>
      <c r="J133" s="20" t="n">
        <v>-3.069</v>
      </c>
      <c r="K133" s="20" t="n">
        <v>-0.128</v>
      </c>
      <c r="L133" s="20" t="n">
        <v>-0.143</v>
      </c>
    </row>
    <row r="134">
      <c r="A134" s="18" t="inlineStr">
        <is>
          <t>기타포괄손익누계액 합계</t>
        </is>
      </c>
      <c r="C134" s="20" t="n">
        <v>15.064</v>
      </c>
      <c r="D134" s="20" t="n">
        <v>45.173</v>
      </c>
      <c r="E134" s="20" t="n">
        <v>61.223</v>
      </c>
      <c r="F134" s="20" t="n">
        <v>72.212</v>
      </c>
      <c r="G134" s="20" t="n">
        <v>60.609</v>
      </c>
      <c r="H134" s="20" t="n">
        <v>-2.407</v>
      </c>
      <c r="I134" s="20" t="n">
        <v>-3.099</v>
      </c>
      <c r="J134" s="20" t="n">
        <v>-3.13</v>
      </c>
      <c r="K134" s="20" t="n">
        <v>15.064</v>
      </c>
      <c r="L134" s="20" t="n">
        <v>60.609</v>
      </c>
    </row>
    <row r="135">
      <c r="A135" s="18" t="inlineStr">
        <is>
          <t>신주예약권</t>
        </is>
      </c>
      <c r="C135" s="20" t="n">
        <v>23.353</v>
      </c>
      <c r="D135" s="20" t="n">
        <v>25.407</v>
      </c>
      <c r="E135" s="20" t="n">
        <v>27.07</v>
      </c>
      <c r="F135" s="20" t="n">
        <v>29.686</v>
      </c>
      <c r="G135" s="20" t="n">
        <v>32.301</v>
      </c>
      <c r="H135" s="20" t="n">
        <v>8.167999999999999</v>
      </c>
      <c r="I135" s="20" t="n">
        <v>14.135</v>
      </c>
      <c r="J135" s="20" t="n">
        <v>21.93</v>
      </c>
      <c r="K135" s="20" t="n">
        <v>23.353</v>
      </c>
      <c r="L135" s="20" t="n">
        <v>32.301</v>
      </c>
    </row>
    <row r="136">
      <c r="A136" s="18" t="inlineStr">
        <is>
          <t>비지배지분</t>
        </is>
      </c>
      <c r="J136" s="20" t="n">
        <v>0</v>
      </c>
    </row>
    <row r="137">
      <c r="A137" s="9" t="inlineStr">
        <is>
          <t>순자산 합계</t>
        </is>
      </c>
      <c r="C137" s="12" t="n">
        <v>4145.177</v>
      </c>
      <c r="D137" s="12" t="n">
        <v>4150.963</v>
      </c>
      <c r="E137" s="12" t="n">
        <v>4323.986</v>
      </c>
      <c r="F137" s="12" t="n">
        <v>4405.709</v>
      </c>
      <c r="G137" s="12" t="n">
        <v>4448.425</v>
      </c>
      <c r="H137" s="12" t="n">
        <v>3209.349</v>
      </c>
      <c r="I137" s="12" t="n">
        <v>3943.626</v>
      </c>
      <c r="J137" s="12" t="n">
        <v>3872.38</v>
      </c>
      <c r="K137" s="12" t="n">
        <v>4145.177</v>
      </c>
      <c r="L137" s="12" t="n">
        <v>4448.425</v>
      </c>
    </row>
    <row r="138">
      <c r="A138" s="9" t="inlineStr">
        <is>
          <t>부채·순자산 합계</t>
        </is>
      </c>
      <c r="C138" s="12" t="n">
        <v>5245.428</v>
      </c>
      <c r="D138" s="12" t="n">
        <v>4891.173</v>
      </c>
      <c r="E138" s="12" t="n">
        <v>5073.796</v>
      </c>
      <c r="F138" s="12" t="n">
        <v>5076.65</v>
      </c>
      <c r="G138" s="12" t="n">
        <v>5109.362</v>
      </c>
      <c r="H138" s="12" t="n">
        <v>4169.942</v>
      </c>
      <c r="I138" s="12" t="n">
        <v>4671.549</v>
      </c>
      <c r="J138" s="12" t="n">
        <v>4676.003</v>
      </c>
      <c r="K138" s="12" t="n">
        <v>5245.428</v>
      </c>
      <c r="L138" s="12" t="n">
        <v>5109.362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2026-10-15</t>
        </is>
      </c>
      <c r="B4" t="inlineStr">
        <is>
          <t>2026년 8월 결산기 연간 결산단신</t>
        </is>
      </c>
      <c r="C4" t="inlineStr">
        <is>
          <t>https://www2.jpx.co.jp/disc/73510/140120261015551193.pdf</t>
        </is>
      </c>
    </row>
    <row r="5">
      <c r="A5" t="inlineStr">
        <is>
          <t>2026-07-15</t>
        </is>
      </c>
      <c r="B5" t="inlineStr">
        <is>
          <t>2026년 8월 결산기 ３분기 결산단신</t>
        </is>
      </c>
      <c r="C5" t="inlineStr">
        <is>
          <t>https://www2.jpx.co.jp/disc/73510/140120260715594111.pdf</t>
        </is>
      </c>
    </row>
    <row r="6">
      <c r="A6" t="inlineStr">
        <is>
          <t>2026-04-14</t>
        </is>
      </c>
      <c r="B6" t="inlineStr">
        <is>
          <t>2026년 8월 결산기 ２분기 결산단신</t>
        </is>
      </c>
      <c r="C6" t="inlineStr">
        <is>
          <t>https://www2.jpx.co.jp/disc/73510/140120260414503873.pdf</t>
        </is>
      </c>
    </row>
    <row r="7">
      <c r="A7" t="inlineStr">
        <is>
          <t>2026-01-14</t>
        </is>
      </c>
      <c r="B7" t="inlineStr">
        <is>
          <t>2026년 8월 결산기 １분기 결산단신</t>
        </is>
      </c>
      <c r="C7" t="inlineStr">
        <is>
          <t>https://www2.jpx.co.jp/disc/73510/140120260114533673.pdf</t>
        </is>
      </c>
    </row>
    <row r="8">
      <c r="A8" t="inlineStr">
        <is>
          <t>2025-10-15</t>
        </is>
      </c>
      <c r="B8" t="inlineStr">
        <is>
          <t>2025년 8월 결산기 연간 결산단신</t>
        </is>
      </c>
      <c r="C8" t="inlineStr">
        <is>
          <t>https://www2.jpx.co.jp/disc/73510/140120251015573463.pdf</t>
        </is>
      </c>
    </row>
    <row r="9">
      <c r="A9" t="inlineStr">
        <is>
          <t>2025-07-15</t>
        </is>
      </c>
      <c r="B9" t="inlineStr">
        <is>
          <t>2025년 8월 결산기 ３분기 결산단신</t>
        </is>
      </c>
      <c r="C9" t="inlineStr">
        <is>
          <t>https://www2.jpx.co.jp/disc/73510/140120250714514138.pdf</t>
        </is>
      </c>
    </row>
    <row r="10">
      <c r="A10" t="inlineStr">
        <is>
          <t>2025-04-14</t>
        </is>
      </c>
      <c r="B10" t="inlineStr">
        <is>
          <t>2025년 8월 결산기 ２분기 결산단신</t>
        </is>
      </c>
      <c r="C10" t="inlineStr">
        <is>
          <t>https://www2.jpx.co.jp/disc/73510/140120250413514423.pdf</t>
        </is>
      </c>
    </row>
    <row r="11">
      <c r="A11" t="inlineStr">
        <is>
          <t>2025-01-14</t>
        </is>
      </c>
      <c r="B11" t="inlineStr">
        <is>
          <t>2025년 8월 결산기 １분기 결산단신</t>
        </is>
      </c>
      <c r="C11" t="inlineStr">
        <is>
          <t>https://www2.jpx.co.jp/disc/73510/140120250114550346.pdf</t>
        </is>
      </c>
    </row>
    <row r="12">
      <c r="A12" t="inlineStr">
        <is>
          <t>2024-10-15</t>
        </is>
      </c>
      <c r="B12" t="inlineStr">
        <is>
          <t>2024년 8월 결산기 연간 결산단신</t>
        </is>
      </c>
      <c r="C12" t="inlineStr">
        <is>
          <t>https://www2.jpx.co.jp/disc/73510/140120241015597630.pdf</t>
        </is>
      </c>
    </row>
    <row r="13">
      <c r="A13" t="inlineStr">
        <is>
          <t>2024-07-12</t>
        </is>
      </c>
      <c r="B13" t="inlineStr">
        <is>
          <t>2024년 8월 결산기 ３분기 결산단신</t>
        </is>
      </c>
      <c r="C13" t="inlineStr">
        <is>
          <t>https://www2.jpx.co.jp/disc/73510/140120240712548244.pdf</t>
        </is>
      </c>
    </row>
    <row r="14">
      <c r="A14" t="inlineStr">
        <is>
          <t>2024-04-12</t>
        </is>
      </c>
      <c r="B14" t="inlineStr">
        <is>
          <t>2024년 8월 결산기 ２분기 결산단신</t>
        </is>
      </c>
      <c r="C14" t="inlineStr">
        <is>
          <t>https://www2.jpx.co.jp/disc/73510/140120240412569724.pdf</t>
        </is>
      </c>
    </row>
    <row r="15">
      <c r="A15" t="inlineStr">
        <is>
          <t>2024-01-12</t>
        </is>
      </c>
      <c r="B15" t="inlineStr">
        <is>
          <t>2024년 8월 결산기 １분기 결산단신</t>
        </is>
      </c>
      <c r="C15" t="inlineStr">
        <is>
          <t>https://www2.jpx.co.jp/disc/73510/140120240112514534.pdf</t>
        </is>
      </c>
    </row>
    <row r="16">
      <c r="A16" t="inlineStr">
        <is>
          <t>2023-10-13</t>
        </is>
      </c>
      <c r="B16" t="inlineStr">
        <is>
          <t>2023년 8월 결산기 연간 결산단신</t>
        </is>
      </c>
      <c r="C16" t="inlineStr">
        <is>
          <t>https://www2.jpx.co.jp/disc/73510/140120231013566368.pdf</t>
        </is>
      </c>
    </row>
    <row r="17">
      <c r="A17" t="inlineStr">
        <is>
          <t>2023-07-14</t>
        </is>
      </c>
      <c r="B17" t="inlineStr">
        <is>
          <t>2023년 8월 결산기 ３분기 결산단신</t>
        </is>
      </c>
      <c r="C17" t="inlineStr">
        <is>
          <t>https://www2.jpx.co.jp/disc/73510/140120230713522040.pdf</t>
        </is>
      </c>
    </row>
    <row r="18">
      <c r="A18" t="inlineStr">
        <is>
          <t>2023-04-14</t>
        </is>
      </c>
      <c r="B18" t="inlineStr">
        <is>
          <t>2023년 8월 결산기 ２분기 결산단신</t>
        </is>
      </c>
      <c r="C18" t="inlineStr">
        <is>
          <t>https://www2.jpx.co.jp/disc/73510/140120230413547084.pdf</t>
        </is>
      </c>
    </row>
    <row r="19">
      <c r="A19" t="inlineStr">
        <is>
          <t>2023-01-13</t>
        </is>
      </c>
      <c r="B19" t="inlineStr">
        <is>
          <t>2023년 8월 결산기 １분기 결산단신</t>
        </is>
      </c>
      <c r="C19" t="inlineStr">
        <is>
          <t>https://www2.jpx.co.jp/disc/73510/140120230112588535.pdf</t>
        </is>
      </c>
    </row>
    <row r="20">
      <c r="A20" t="inlineStr">
        <is>
          <t>2022-10-14</t>
        </is>
      </c>
      <c r="B20" t="inlineStr">
        <is>
          <t>2022년 8월 결산기 연간 결산단신</t>
        </is>
      </c>
      <c r="C20" t="inlineStr">
        <is>
          <t>https://www2.jpx.co.jp/disc/73510/140120221014544633.pdf</t>
        </is>
      </c>
    </row>
    <row r="21">
      <c r="A21" t="inlineStr">
        <is>
          <t>2021-10-15</t>
        </is>
      </c>
      <c r="B21" t="inlineStr">
        <is>
          <t>2021년 8월 결산기 연간 결산단신</t>
        </is>
      </c>
      <c r="C21" t="inlineStr">
        <is>
          <t>https://www2.jpx.co.jp/disc/73510/140120211015411443.pdf</t>
        </is>
      </c>
    </row>
    <row r="22">
      <c r="A22" t="inlineStr">
        <is>
          <t>2020-10-15</t>
        </is>
      </c>
      <c r="B22" t="inlineStr">
        <is>
          <t>2020년 8월 결산기 연간 결산단신</t>
        </is>
      </c>
      <c r="C22" t="inlineStr">
        <is>
          <t>https://www2.jpx.co.jp/disc/73510/140120201015404128.pdf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2026-10-28T06:59:51Z</dcterms:created>
  <dcterms:modified xmlns:dcterms="http://purl.org/dc/terms/" xmlns:xsi="http://www.w3.org/2001/XMLSchema-instance" xsi:type="dcterms:W3CDTF">2026-10-28T06:59:52Z</dcterms:modified>
</cp:coreProperties>
</file>