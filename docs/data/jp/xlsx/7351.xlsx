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5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굿패치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1024.444</v>
      </c>
      <c r="D4" s="12" t="n">
        <v>1040.638</v>
      </c>
      <c r="E4" s="12" t="n">
        <v>935.114</v>
      </c>
      <c r="F4" s="12" t="n">
        <v>942.771</v>
      </c>
      <c r="G4" s="12" t="n">
        <v>1214.187</v>
      </c>
      <c r="H4" s="12" t="n">
        <v>1254.768</v>
      </c>
      <c r="I4" s="12" t="n">
        <v>1366.097</v>
      </c>
      <c r="J4" s="12" t="n">
        <v>1250.501</v>
      </c>
      <c r="K4" s="12" t="n">
        <v>1206.36</v>
      </c>
      <c r="L4" s="12" t="n">
        <v>1372.24</v>
      </c>
      <c r="M4" s="12" t="n">
        <v>1269.175</v>
      </c>
      <c r="N4" s="12" t="n">
        <v>1349.484</v>
      </c>
      <c r="O4" s="11" t="n"/>
      <c r="P4" s="12" t="n"/>
      <c r="Q4" s="12" t="n">
        <v>1683.269</v>
      </c>
      <c r="R4" s="12" t="n">
        <v>2143.511</v>
      </c>
      <c r="S4" s="12" t="n">
        <v>2741.275</v>
      </c>
      <c r="T4" s="12" t="n">
        <v>3724.512</v>
      </c>
      <c r="U4" s="12" t="n">
        <v>3928.524</v>
      </c>
      <c r="V4" s="12" t="n">
        <v>3942.967</v>
      </c>
      <c r="W4" s="12" t="n">
        <v>5085.553</v>
      </c>
      <c r="X4" s="12" t="n">
        <v>5197.259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DesignPartnerBusinessReportableSegmentMember</t>
        </is>
      </c>
      <c r="B7" s="10" t="n"/>
      <c r="C7" s="19" t="n">
        <v>950.8680000000001</v>
      </c>
      <c r="D7" s="20" t="n">
        <v>960.968</v>
      </c>
      <c r="E7" s="20" t="n">
        <v>842.2670000000001</v>
      </c>
      <c r="F7" s="20" t="n">
        <v>841.463</v>
      </c>
      <c r="G7" s="20" t="n">
        <v>1114.732</v>
      </c>
      <c r="H7" s="20" t="n">
        <v>1171.805</v>
      </c>
      <c r="I7" s="20" t="n">
        <v>1255.631</v>
      </c>
      <c r="J7" s="20" t="n">
        <v>1153.978</v>
      </c>
      <c r="K7" s="20" t="n">
        <v>1129.272</v>
      </c>
      <c r="L7" s="20" t="n">
        <v>1246.137</v>
      </c>
      <c r="M7" s="20" t="n">
        <v>1177.857</v>
      </c>
      <c r="N7" s="20" t="n">
        <v>1239.277</v>
      </c>
      <c r="O7" s="19" t="n"/>
      <c r="P7" s="20" t="n"/>
      <c r="Q7" s="20" t="n"/>
      <c r="R7" s="20" t="n"/>
      <c r="S7" s="20" t="n"/>
      <c r="T7" s="20" t="n"/>
      <c r="U7" s="20" t="n">
        <v>3605.659</v>
      </c>
      <c r="V7" s="20" t="n">
        <v>3595.566</v>
      </c>
      <c r="W7" s="20" t="n">
        <v>4696.146</v>
      </c>
      <c r="X7" s="20" t="n">
        <v>4792.543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DesignPlatformBusinessReportableSegmentMember</t>
        </is>
      </c>
      <c r="B10" s="10" t="n"/>
      <c r="C10" s="19" t="n">
        <v>73.57599999999999</v>
      </c>
      <c r="D10" s="20" t="n">
        <v>79.67</v>
      </c>
      <c r="E10" s="20" t="n">
        <v>92.846</v>
      </c>
      <c r="F10" s="20" t="n">
        <v>101.309</v>
      </c>
      <c r="G10" s="20" t="n">
        <v>99.455</v>
      </c>
      <c r="H10" s="20" t="n">
        <v>82.96299999999999</v>
      </c>
      <c r="I10" s="20" t="n">
        <v>110.466</v>
      </c>
      <c r="J10" s="20" t="n">
        <v>96.52200000000001</v>
      </c>
      <c r="K10" s="20" t="n">
        <v>77.08799999999999</v>
      </c>
      <c r="L10" s="20" t="n">
        <v>126.102</v>
      </c>
      <c r="M10" s="20" t="n">
        <v>91.318</v>
      </c>
      <c r="N10" s="20" t="n">
        <v>110.208</v>
      </c>
      <c r="O10" s="19" t="n"/>
      <c r="P10" s="20" t="n"/>
      <c r="Q10" s="20" t="n"/>
      <c r="R10" s="20" t="n"/>
      <c r="S10" s="20" t="n"/>
      <c r="T10" s="20" t="n"/>
      <c r="U10" s="20" t="n">
        <v>322.864</v>
      </c>
      <c r="V10" s="20" t="n">
        <v>347.401</v>
      </c>
      <c r="W10" s="20" t="n">
        <v>389.406</v>
      </c>
      <c r="X10" s="20" t="n">
        <v>404.716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EntityTotalMember</t>
        </is>
      </c>
      <c r="B13" s="10" t="n"/>
      <c r="C13" s="19" t="n"/>
      <c r="D13" s="20" t="n"/>
      <c r="E13" s="20" t="n"/>
      <c r="F13" s="20" t="n"/>
      <c r="G13" s="20" t="n">
        <v>1214.187</v>
      </c>
      <c r="H13" s="20" t="n"/>
      <c r="I13" s="20" t="n"/>
      <c r="J13" s="20" t="n"/>
      <c r="K13" s="20" t="n">
        <v>1206.36</v>
      </c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523.345</v>
      </c>
      <c r="D17" s="20" t="n">
        <v>437.132</v>
      </c>
      <c r="E17" s="20" t="n">
        <v>406.829</v>
      </c>
      <c r="F17" s="20" t="n">
        <v>392.54</v>
      </c>
      <c r="G17" s="20" t="n">
        <v>531.566</v>
      </c>
      <c r="H17" s="20" t="n">
        <v>499.428</v>
      </c>
      <c r="I17" s="20" t="n">
        <v>590.881</v>
      </c>
      <c r="J17" s="20" t="n">
        <v>521.153</v>
      </c>
      <c r="K17" s="20" t="n">
        <v>534.051</v>
      </c>
      <c r="L17" s="20" t="n">
        <v>581.005</v>
      </c>
      <c r="M17" s="20" t="n">
        <v>572.182</v>
      </c>
      <c r="N17" s="20" t="n">
        <v>584.301</v>
      </c>
      <c r="O17" s="19" t="n"/>
      <c r="P17" s="20" t="n"/>
      <c r="Q17" s="20" t="n">
        <v>619.928</v>
      </c>
      <c r="R17" s="20" t="n">
        <v>788.736</v>
      </c>
      <c r="S17" s="20" t="n">
        <v>1011.72</v>
      </c>
      <c r="T17" s="20" t="n">
        <v>1448.417</v>
      </c>
      <c r="U17" s="20" t="n">
        <v>1656.414</v>
      </c>
      <c r="V17" s="20" t="n">
        <v>1759.846</v>
      </c>
      <c r="W17" s="20" t="n">
        <v>2143.028</v>
      </c>
      <c r="X17" s="20" t="n">
        <v>2271.539</v>
      </c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>
        <v>529.407</v>
      </c>
      <c r="D21" s="20" t="n">
        <v>499.322</v>
      </c>
      <c r="E21" s="20" t="n">
        <v>568.774</v>
      </c>
      <c r="F21" s="20" t="n">
        <v>551.092</v>
      </c>
      <c r="G21" s="20" t="n">
        <v>553.96</v>
      </c>
      <c r="H21" s="20" t="n">
        <v>554.095</v>
      </c>
      <c r="I21" s="20" t="n">
        <v>595.6799999999999</v>
      </c>
      <c r="J21" s="20" t="n">
        <v>681.3049999999999</v>
      </c>
      <c r="K21" s="20" t="n">
        <v>595.032</v>
      </c>
      <c r="L21" s="20" t="n">
        <v>605.862</v>
      </c>
      <c r="M21" s="20" t="n">
        <v>629.7619999999999</v>
      </c>
      <c r="N21" s="20" t="n">
        <v>648.047</v>
      </c>
      <c r="O21" s="19" t="n"/>
      <c r="P21" s="20" t="n"/>
      <c r="Q21" s="20" t="n">
        <v>987.9349999999999</v>
      </c>
      <c r="R21" s="20" t="n">
        <v>1138.171</v>
      </c>
      <c r="S21" s="20" t="n">
        <v>1323.344</v>
      </c>
      <c r="T21" s="20" t="n">
        <v>1881.94</v>
      </c>
      <c r="U21" s="20" t="n">
        <v>1973.479</v>
      </c>
      <c r="V21" s="20" t="n">
        <v>2148.595</v>
      </c>
      <c r="W21" s="20" t="n">
        <v>2385.04</v>
      </c>
      <c r="X21" s="20" t="n">
        <v>2478.703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-28.307</v>
      </c>
      <c r="D22" s="12" t="n">
        <v>104.181</v>
      </c>
      <c r="E22" s="12" t="n">
        <v>-40.488</v>
      </c>
      <c r="F22" s="12" t="n">
        <v>-0.86</v>
      </c>
      <c r="G22" s="12" t="n">
        <v>128.66</v>
      </c>
      <c r="H22" s="12" t="n">
        <v>201.246</v>
      </c>
      <c r="I22" s="12" t="n">
        <v>179.536</v>
      </c>
      <c r="J22" s="12" t="n">
        <v>48.041</v>
      </c>
      <c r="K22" s="12" t="n">
        <v>77.276</v>
      </c>
      <c r="L22" s="12" t="n">
        <v>185.373</v>
      </c>
      <c r="M22" s="12" t="n">
        <v>67.232</v>
      </c>
      <c r="N22" s="12" t="n">
        <v>117.136</v>
      </c>
      <c r="O22" s="11" t="n"/>
      <c r="P22" s="12" t="n"/>
      <c r="Q22" s="12" t="n">
        <v>75.405</v>
      </c>
      <c r="R22" s="12" t="n">
        <v>216.604</v>
      </c>
      <c r="S22" s="12" t="n">
        <v>406.211</v>
      </c>
      <c r="T22" s="12" t="n">
        <v>394.154</v>
      </c>
      <c r="U22" s="12" t="n">
        <v>298.63</v>
      </c>
      <c r="V22" s="12" t="n">
        <v>34.526</v>
      </c>
      <c r="W22" s="12" t="n">
        <v>557.4829999999999</v>
      </c>
      <c r="X22" s="12" t="n">
        <v>447.017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>
        <v>0</v>
      </c>
      <c r="D38" s="20" t="n">
        <v>0.273</v>
      </c>
      <c r="E38" s="20" t="n">
        <v>0.593</v>
      </c>
      <c r="F38" s="20" t="n">
        <v>-0.137</v>
      </c>
      <c r="G38" s="20" t="n">
        <v>2.553</v>
      </c>
      <c r="H38" s="20" t="n">
        <v>1.473</v>
      </c>
      <c r="I38" s="20" t="n">
        <v>3.782</v>
      </c>
      <c r="J38" s="20" t="n">
        <v>0.327</v>
      </c>
      <c r="K38" s="20" t="n">
        <v>5.275</v>
      </c>
      <c r="L38" s="20" t="n">
        <v>0.502</v>
      </c>
      <c r="M38" s="20" t="n">
        <v>0</v>
      </c>
      <c r="N38" s="20" t="n">
        <v>11.314</v>
      </c>
      <c r="O38" s="19" t="n"/>
      <c r="P38" s="20" t="n"/>
      <c r="Q38" s="20" t="n"/>
      <c r="R38" s="20" t="n"/>
      <c r="S38" s="20" t="n"/>
      <c r="T38" s="20" t="n">
        <v>0</v>
      </c>
      <c r="U38" s="20" t="n">
        <v>46.481</v>
      </c>
      <c r="V38" s="20" t="n">
        <v>0.729</v>
      </c>
      <c r="W38" s="20" t="n">
        <v>8.135</v>
      </c>
      <c r="X38" s="20" t="n">
        <v>17.091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>
        <v>0</v>
      </c>
      <c r="R40" s="20" t="n">
        <v>10.23</v>
      </c>
      <c r="S40" s="20" t="n">
        <v>0</v>
      </c>
      <c r="T40" s="20" t="n">
        <v>246.245</v>
      </c>
      <c r="U40" s="20" t="n">
        <v>0</v>
      </c>
      <c r="V40" s="20" t="n"/>
      <c r="W40" s="20" t="n">
        <v>0</v>
      </c>
      <c r="X40" s="20" t="n">
        <v>57.749</v>
      </c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3.314</v>
      </c>
      <c r="D42" s="20" t="n">
        <v>7.167</v>
      </c>
      <c r="E42" s="20" t="n">
        <v>4.798</v>
      </c>
      <c r="F42" s="20" t="n">
        <v>3.439</v>
      </c>
      <c r="G42" s="20" t="n">
        <v>7.616</v>
      </c>
      <c r="H42" s="20" t="n">
        <v>9.531000000000001</v>
      </c>
      <c r="I42" s="20" t="n">
        <v>15.278</v>
      </c>
      <c r="J42" s="20" t="n">
        <v>31.133</v>
      </c>
      <c r="K42" s="20" t="n">
        <v>40.426</v>
      </c>
      <c r="L42" s="20" t="n">
        <v>44.163</v>
      </c>
      <c r="M42" s="20" t="n">
        <v>35.096</v>
      </c>
      <c r="N42" s="20" t="n">
        <v>41.63</v>
      </c>
      <c r="O42" s="19" t="n"/>
      <c r="P42" s="20" t="n"/>
      <c r="Q42" s="20" t="n">
        <v>17.071</v>
      </c>
      <c r="R42" s="20" t="n">
        <v>13.217</v>
      </c>
      <c r="S42" s="20" t="n">
        <v>9.502000000000001</v>
      </c>
      <c r="T42" s="20" t="n">
        <v>12.21</v>
      </c>
      <c r="U42" s="20" t="n">
        <v>11.954</v>
      </c>
      <c r="V42" s="20" t="n">
        <v>18.718</v>
      </c>
      <c r="W42" s="20" t="n">
        <v>63.558</v>
      </c>
      <c r="X42" s="20" t="n">
        <v>161.315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4.829</v>
      </c>
      <c r="D44" s="20" t="n">
        <v>3.09</v>
      </c>
      <c r="E44" s="20" t="n">
        <v>0.8169999999999999</v>
      </c>
      <c r="F44" s="20" t="n">
        <v>-2.192</v>
      </c>
      <c r="G44" s="20" t="n">
        <v>4.654</v>
      </c>
      <c r="H44" s="20" t="n">
        <v>2.044</v>
      </c>
      <c r="I44" s="20" t="n">
        <v>0.82</v>
      </c>
      <c r="J44" s="20" t="n">
        <v>0.503</v>
      </c>
      <c r="K44" s="20" t="n">
        <v>10.506</v>
      </c>
      <c r="L44" s="20" t="n">
        <v>0.098</v>
      </c>
      <c r="M44" s="20" t="n">
        <v>1.063</v>
      </c>
      <c r="N44" s="20" t="n">
        <v>1.864</v>
      </c>
      <c r="O44" s="19" t="n"/>
      <c r="P44" s="20" t="n"/>
      <c r="Q44" s="20" t="n">
        <v>8.798</v>
      </c>
      <c r="R44" s="20" t="n">
        <v>17.871</v>
      </c>
      <c r="S44" s="20" t="n">
        <v>21.806</v>
      </c>
      <c r="T44" s="20" t="n">
        <v>10.94</v>
      </c>
      <c r="U44" s="20" t="n">
        <v>11.568</v>
      </c>
      <c r="V44" s="20" t="n">
        <v>6.544</v>
      </c>
      <c r="W44" s="20" t="n">
        <v>8.021000000000001</v>
      </c>
      <c r="X44" s="20" t="n">
        <v>13.531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-29.822</v>
      </c>
      <c r="D46" s="12" t="n">
        <v>108.532</v>
      </c>
      <c r="E46" s="12" t="n">
        <v>-35.914</v>
      </c>
      <c r="F46" s="12" t="n">
        <v>4.633</v>
      </c>
      <c r="G46" s="12" t="n">
        <v>134.175</v>
      </c>
      <c r="H46" s="12" t="n">
        <v>210.206</v>
      </c>
      <c r="I46" s="12" t="n">
        <v>197.776</v>
      </c>
      <c r="J46" s="12" t="n">
        <v>78.999</v>
      </c>
      <c r="K46" s="12" t="n">
        <v>112.472</v>
      </c>
      <c r="L46" s="12" t="n">
        <v>229.939</v>
      </c>
      <c r="M46" s="12" t="n">
        <v>101.265</v>
      </c>
      <c r="N46" s="12" t="n">
        <v>110.466</v>
      </c>
      <c r="O46" s="11" t="n"/>
      <c r="P46" s="12" t="n"/>
      <c r="Q46" s="12" t="n">
        <v>83.678</v>
      </c>
      <c r="R46" s="12" t="n">
        <v>201.72</v>
      </c>
      <c r="S46" s="12" t="n">
        <v>393.907</v>
      </c>
      <c r="T46" s="12" t="n">
        <v>149.178</v>
      </c>
      <c r="U46" s="12" t="n">
        <v>345.498</v>
      </c>
      <c r="V46" s="12" t="n">
        <v>47.429</v>
      </c>
      <c r="W46" s="12" t="n">
        <v>621.1559999999999</v>
      </c>
      <c r="X46" s="12" t="n">
        <v>554.1420000000001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>
        <v>0.284</v>
      </c>
      <c r="D47" s="20" t="n">
        <v>35.674</v>
      </c>
      <c r="E47" s="20" t="n">
        <v>-4.284</v>
      </c>
      <c r="F47" s="20" t="n">
        <v>4.222</v>
      </c>
      <c r="G47" s="20" t="n">
        <v>45.142</v>
      </c>
      <c r="H47" s="20" t="n">
        <v>70.90600000000001</v>
      </c>
      <c r="I47" s="20" t="n">
        <v>67.66200000000001</v>
      </c>
      <c r="J47" s="20" t="n">
        <v>36.95</v>
      </c>
      <c r="K47" s="20" t="n">
        <v>51.512</v>
      </c>
      <c r="L47" s="20" t="n">
        <v>74.714</v>
      </c>
      <c r="M47" s="20" t="n">
        <v>33.147</v>
      </c>
      <c r="N47" s="20" t="n">
        <v>41.137</v>
      </c>
      <c r="O47" s="19" t="n"/>
      <c r="P47" s="20" t="n"/>
      <c r="Q47" s="20" t="n">
        <v>26.288</v>
      </c>
      <c r="R47" s="20" t="n">
        <v>-14.013</v>
      </c>
      <c r="S47" s="20" t="n">
        <v>66.254</v>
      </c>
      <c r="T47" s="20" t="n">
        <v>76.639</v>
      </c>
      <c r="U47" s="20" t="n">
        <v>129.459</v>
      </c>
      <c r="V47" s="20" t="n">
        <v>35.896</v>
      </c>
      <c r="W47" s="20" t="n">
        <v>220.66</v>
      </c>
      <c r="X47" s="20" t="n">
        <v>200.51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>
        <v>-30.107</v>
      </c>
      <c r="D49" s="12" t="n">
        <v>72.85899999999999</v>
      </c>
      <c r="E49" s="12" t="n">
        <v>-31.63</v>
      </c>
      <c r="F49" s="12" t="n">
        <v>0.41</v>
      </c>
      <c r="G49" s="12" t="n">
        <v>89.033</v>
      </c>
      <c r="H49" s="12" t="n">
        <v>139.299</v>
      </c>
      <c r="I49" s="12" t="n">
        <v>130.115</v>
      </c>
      <c r="J49" s="12" t="n">
        <v>42.049</v>
      </c>
      <c r="K49" s="12" t="n">
        <v>60.96</v>
      </c>
      <c r="L49" s="12" t="n">
        <v>155.224</v>
      </c>
      <c r="M49" s="12" t="n">
        <v>68.11799999999999</v>
      </c>
      <c r="N49" s="12" t="n">
        <v>69.33</v>
      </c>
      <c r="O49" s="11" t="n"/>
      <c r="P49" s="12" t="n"/>
      <c r="Q49" s="12" t="n">
        <v>57.389</v>
      </c>
      <c r="R49" s="12" t="n">
        <v>215.734</v>
      </c>
      <c r="S49" s="12" t="n">
        <v>327.653</v>
      </c>
      <c r="T49" s="12" t="n">
        <v>72.538</v>
      </c>
      <c r="U49" s="12" t="n">
        <v>216.039</v>
      </c>
      <c r="V49" s="12" t="n">
        <v>11.532</v>
      </c>
      <c r="W49" s="12" t="n">
        <v>400.496</v>
      </c>
      <c r="X49" s="12" t="n">
        <v>353.632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>
        <v>-30.107</v>
      </c>
      <c r="D50" s="12" t="n">
        <v>72.85899999999999</v>
      </c>
      <c r="E50" s="12" t="n">
        <v>-31.63</v>
      </c>
      <c r="F50" s="12" t="n">
        <v>0.41</v>
      </c>
      <c r="G50" s="12" t="n">
        <v>89.033</v>
      </c>
      <c r="H50" s="12" t="n">
        <v>142.84</v>
      </c>
      <c r="I50" s="12" t="n">
        <v>132.435</v>
      </c>
      <c r="J50" s="12" t="n">
        <v>42.743</v>
      </c>
      <c r="K50" s="12" t="n">
        <v>60.96</v>
      </c>
      <c r="L50" s="12" t="n">
        <v>155.274</v>
      </c>
      <c r="M50" s="12" t="n">
        <v>68.11799999999999</v>
      </c>
      <c r="N50" s="12" t="n">
        <v>69.33</v>
      </c>
      <c r="O50" s="11" t="n"/>
      <c r="P50" s="12" t="n"/>
      <c r="Q50" s="12" t="n">
        <v>57.389</v>
      </c>
      <c r="R50" s="12" t="n">
        <v>215.734</v>
      </c>
      <c r="S50" s="12" t="n">
        <v>327.653</v>
      </c>
      <c r="T50" s="12" t="n">
        <v>72.538</v>
      </c>
      <c r="U50" s="12" t="n">
        <v>216.039</v>
      </c>
      <c r="V50" s="12" t="n">
        <v>11.532</v>
      </c>
      <c r="W50" s="12" t="n">
        <v>407.051</v>
      </c>
      <c r="X50" s="12" t="n">
        <v>353.682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(2026.10.26)</t>
        </is>
      </c>
      <c r="B53" s="27" t="n">
        <v>455</v>
      </c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>
        <v>9250820</v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 2026.10.26</t>
        </is>
      </c>
      <c r="C80" s="39" t="n"/>
      <c r="O80" s="39" t="n"/>
      <c r="Y80" s="39" t="n"/>
    </row>
    <row r="82">
      <c r="A82" s="16" t="inlineStr">
        <is>
          <t>손익계산서 · 전 항목</t>
        </is>
      </c>
      <c r="B82" s="42" t="inlineStr">
        <is>
          <t>분기 = 3개월 단독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2024.1Q</t>
        </is>
      </c>
      <c r="D83" s="5" t="inlineStr">
        <is>
          <t>2024.2Q</t>
        </is>
      </c>
      <c r="E83" s="5" t="inlineStr">
        <is>
          <t>2024.3Q</t>
        </is>
      </c>
      <c r="F83" s="5" t="inlineStr">
        <is>
          <t>2024.4Q</t>
        </is>
      </c>
      <c r="G83" s="5" t="inlineStr">
        <is>
          <t>2025.1Q</t>
        </is>
      </c>
      <c r="H83" s="5" t="inlineStr">
        <is>
          <t>2025.2Q</t>
        </is>
      </c>
      <c r="I83" s="5" t="inlineStr">
        <is>
          <t>2025.3Q</t>
        </is>
      </c>
      <c r="J83" s="5" t="inlineStr">
        <is>
          <t>2025.4Q</t>
        </is>
      </c>
      <c r="K83" s="5" t="inlineStr">
        <is>
          <t>2026.1Q</t>
        </is>
      </c>
      <c r="L83" s="5" t="inlineStr">
        <is>
          <t>2026.2Q</t>
        </is>
      </c>
      <c r="M83" s="5" t="inlineStr">
        <is>
          <t>2026.3Q</t>
        </is>
      </c>
      <c r="N83" s="5" t="inlineStr">
        <is>
          <t>2026.4Q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1024.444</v>
      </c>
      <c r="D84" s="12" t="n">
        <v>1040.638</v>
      </c>
      <c r="E84" s="12" t="n">
        <v>935.114</v>
      </c>
      <c r="F84" s="12" t="n">
        <v>942.771</v>
      </c>
      <c r="G84" s="12" t="n">
        <v>1214.187</v>
      </c>
      <c r="H84" s="12" t="n">
        <v>1254.768</v>
      </c>
      <c r="I84" s="12" t="n">
        <v>1366.097</v>
      </c>
      <c r="J84" s="12" t="n">
        <v>1250.501</v>
      </c>
      <c r="K84" s="12" t="n">
        <v>1206.36</v>
      </c>
      <c r="L84" s="12" t="n">
        <v>1372.24</v>
      </c>
      <c r="M84" s="12" t="n">
        <v>1269.175</v>
      </c>
      <c r="N84" s="12" t="n">
        <v>1349.484</v>
      </c>
      <c r="T84" s="12" t="n">
        <v>916.265</v>
      </c>
      <c r="U84" s="12" t="n">
        <v>1058.587</v>
      </c>
      <c r="V84" s="12" t="n">
        <v>942.771</v>
      </c>
      <c r="W84" s="12" t="n">
        <v>1250.501</v>
      </c>
      <c r="X84" s="12" t="n">
        <v>1349.484</v>
      </c>
    </row>
    <row r="85">
      <c r="A85" s="43" t="inlineStr">
        <is>
          <t>YoY</t>
        </is>
      </c>
      <c r="B85" s="3" t="inlineStr">
        <is>
          <t>전년 같은 분기·전년 대비</t>
        </is>
      </c>
      <c r="G85" s="15">
        <f>IF(OR(G84="",C84=""),"",IF(C84&lt;=0,"",IFERROR(G84/C84-1,"")))</f>
        <v/>
      </c>
      <c r="H85" s="15">
        <f>IF(OR(H84="",D84=""),"",IF(D84&lt;=0,"",IFERROR(H84/D84-1,"")))</f>
        <v/>
      </c>
      <c r="I85" s="15">
        <f>IF(OR(I84="",E84=""),"",IF(E84&lt;=0,"",IFERROR(I84/E84-1,"")))</f>
        <v/>
      </c>
      <c r="J85" s="15">
        <f>IF(OR(J84="",F84=""),"",IF(F84&lt;=0,"",IFERROR(J84/F84-1,"")))</f>
        <v/>
      </c>
      <c r="K85" s="15">
        <f>IF(OR(K84="",G84=""),"",IF(G84&lt;=0,"",IFERROR(K84/G84-1,"")))</f>
        <v/>
      </c>
      <c r="L85" s="15">
        <f>IF(OR(L84="",H84=""),"",IF(H84&lt;=0,"",IFERROR(L84/H84-1,"")))</f>
        <v/>
      </c>
      <c r="M85" s="15">
        <f>IF(OR(M84="",I84=""),"",IF(I84&lt;=0,"",IFERROR(M84/I84-1,"")))</f>
        <v/>
      </c>
      <c r="N85" s="15">
        <f>IF(OR(N84="",J84=""),"",IF(J84&lt;=0,"",IFERROR(N84/J84-1,"")))</f>
        <v/>
      </c>
      <c r="T85" s="15">
        <f>IF(OR(T84="",S84=""),"",IF(S84&lt;=0,"",IFERROR(T84/S84-1,"")))</f>
        <v/>
      </c>
      <c r="U85" s="15">
        <f>IF(OR(U84="",T84=""),"",IF(T84&lt;=0,"",IFERROR(U84/T84-1,"")))</f>
        <v/>
      </c>
      <c r="V85" s="15">
        <f>IF(OR(V84="",U84=""),"",IF(U84&lt;=0,"",IFERROR(V84/U84-1,"")))</f>
        <v/>
      </c>
      <c r="W85" s="15">
        <f>IF(OR(W84="",V84=""),"",IF(V84&lt;=0,"",IFERROR(W84/V84-1,"")))</f>
        <v/>
      </c>
      <c r="X85" s="15">
        <f>IF(OR(X84="",W84=""),"",IF(W84&lt;=0,"",IFERROR(X84/W84-1,"")))</f>
        <v/>
      </c>
    </row>
    <row r="86">
      <c r="A86" s="18" t="inlineStr">
        <is>
          <t>매출원가</t>
        </is>
      </c>
      <c r="C86" s="20" t="n">
        <v>523.345</v>
      </c>
      <c r="D86" s="20" t="n">
        <v>437.132</v>
      </c>
      <c r="E86" s="20" t="n">
        <v>406.829</v>
      </c>
      <c r="F86" s="20" t="n">
        <v>392.54</v>
      </c>
      <c r="G86" s="20" t="n">
        <v>531.566</v>
      </c>
      <c r="H86" s="20" t="n">
        <v>499.428</v>
      </c>
      <c r="I86" s="20" t="n">
        <v>590.881</v>
      </c>
      <c r="J86" s="20" t="n">
        <v>521.153</v>
      </c>
      <c r="K86" s="20" t="n">
        <v>534.051</v>
      </c>
      <c r="L86" s="20" t="n">
        <v>581.005</v>
      </c>
      <c r="M86" s="20" t="n">
        <v>572.182</v>
      </c>
      <c r="N86" s="20" t="n">
        <v>584.301</v>
      </c>
      <c r="T86" s="20" t="n">
        <v>404.553</v>
      </c>
      <c r="U86" s="20" t="n">
        <v>454.851</v>
      </c>
      <c r="V86" s="20" t="n">
        <v>392.54</v>
      </c>
      <c r="W86" s="20" t="n">
        <v>521.153</v>
      </c>
      <c r="X86" s="20" t="n">
        <v>584.301</v>
      </c>
    </row>
    <row r="87">
      <c r="A87" s="9" t="inlineStr">
        <is>
          <t>매출총이익</t>
        </is>
      </c>
      <c r="C87" s="12" t="n">
        <v>501.099</v>
      </c>
      <c r="D87" s="12" t="n">
        <v>603.505</v>
      </c>
      <c r="E87" s="12" t="n">
        <v>528.285</v>
      </c>
      <c r="F87" s="12" t="n">
        <v>550.232</v>
      </c>
      <c r="G87" s="12" t="n">
        <v>682.62</v>
      </c>
      <c r="H87" s="12" t="n">
        <v>755.341</v>
      </c>
      <c r="I87" s="12" t="n">
        <v>775.216</v>
      </c>
      <c r="J87" s="12" t="n">
        <v>729.347</v>
      </c>
      <c r="K87" s="12" t="n">
        <v>672.309</v>
      </c>
      <c r="L87" s="12" t="n">
        <v>791.234</v>
      </c>
      <c r="M87" s="12" t="n">
        <v>696.994</v>
      </c>
      <c r="N87" s="12" t="n">
        <v>765.183</v>
      </c>
      <c r="T87" s="12" t="n">
        <v>511.712</v>
      </c>
      <c r="U87" s="12" t="n">
        <v>603.736</v>
      </c>
      <c r="V87" s="12" t="n">
        <v>550.232</v>
      </c>
      <c r="W87" s="12" t="n">
        <v>729.347</v>
      </c>
      <c r="X87" s="12" t="n">
        <v>765.183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판매비와 관리비</t>
        </is>
      </c>
      <c r="C89" s="20" t="n">
        <v>529.407</v>
      </c>
      <c r="D89" s="20" t="n">
        <v>499.322</v>
      </c>
      <c r="E89" s="20" t="n">
        <v>568.774</v>
      </c>
      <c r="F89" s="20" t="n">
        <v>551.092</v>
      </c>
      <c r="G89" s="20" t="n">
        <v>553.96</v>
      </c>
      <c r="H89" s="20" t="n">
        <v>554.095</v>
      </c>
      <c r="I89" s="20" t="n">
        <v>595.6799999999999</v>
      </c>
      <c r="J89" s="20" t="n">
        <v>681.3049999999999</v>
      </c>
      <c r="K89" s="20" t="n">
        <v>595.032</v>
      </c>
      <c r="L89" s="20" t="n">
        <v>605.862</v>
      </c>
      <c r="M89" s="20" t="n">
        <v>629.7619999999999</v>
      </c>
      <c r="N89" s="20" t="n">
        <v>648.047</v>
      </c>
      <c r="T89" s="20" t="n">
        <v>499.98</v>
      </c>
      <c r="U89" s="20" t="n">
        <v>569.309</v>
      </c>
      <c r="V89" s="20" t="n">
        <v>551.092</v>
      </c>
      <c r="W89" s="20" t="n">
        <v>681.3049999999999</v>
      </c>
      <c r="X89" s="20" t="n">
        <v>648.047</v>
      </c>
    </row>
    <row r="90">
      <c r="A90" s="9" t="inlineStr">
        <is>
          <t>영업이익</t>
        </is>
      </c>
      <c r="C90" s="12" t="n">
        <v>-28.307</v>
      </c>
      <c r="D90" s="12" t="n">
        <v>104.181</v>
      </c>
      <c r="E90" s="12" t="n">
        <v>-40.488</v>
      </c>
      <c r="F90" s="12" t="n">
        <v>-0.86</v>
      </c>
      <c r="G90" s="12" t="n">
        <v>128.66</v>
      </c>
      <c r="H90" s="12" t="n">
        <v>201.246</v>
      </c>
      <c r="I90" s="12" t="n">
        <v>179.536</v>
      </c>
      <c r="J90" s="12" t="n">
        <v>48.041</v>
      </c>
      <c r="K90" s="12" t="n">
        <v>77.276</v>
      </c>
      <c r="L90" s="12" t="n">
        <v>185.373</v>
      </c>
      <c r="M90" s="12" t="n">
        <v>67.232</v>
      </c>
      <c r="N90" s="12" t="n">
        <v>117.136</v>
      </c>
      <c r="T90" s="12" t="n">
        <v>11.731</v>
      </c>
      <c r="U90" s="12" t="n">
        <v>34.428</v>
      </c>
      <c r="V90" s="12" t="n">
        <v>-0.86</v>
      </c>
      <c r="W90" s="12" t="n">
        <v>48.041</v>
      </c>
      <c r="X90" s="12" t="n">
        <v>117.136</v>
      </c>
    </row>
    <row r="91">
      <c r="A91" s="43" t="inlineStr">
        <is>
          <t>OPM</t>
        </is>
      </c>
      <c r="B91" s="3" t="inlineStr">
        <is>
          <t>영업이익 ÷ 매출</t>
        </is>
      </c>
      <c r="C91" s="15">
        <f>IF(OR(C90="",C84=""),"",IF(C84&lt;=0,"",IFERROR(C90/C84,"")))</f>
        <v/>
      </c>
      <c r="D91" s="15">
        <f>IF(OR(D90="",D84=""),"",IF(D84&lt;=0,"",IFERROR(D90/D84,"")))</f>
        <v/>
      </c>
      <c r="E91" s="15">
        <f>IF(OR(E90="",E84=""),"",IF(E84&lt;=0,"",IFERROR(E90/E84,"")))</f>
        <v/>
      </c>
      <c r="F91" s="15">
        <f>IF(OR(F90="",F84=""),"",IF(F84&lt;=0,"",IFERROR(F90/F84,"")))</f>
        <v/>
      </c>
      <c r="G91" s="15">
        <f>IF(OR(G90="",G84=""),"",IF(G84&lt;=0,"",IFERROR(G90/G84,"")))</f>
        <v/>
      </c>
      <c r="H91" s="15">
        <f>IF(OR(H90="",H84=""),"",IF(H84&lt;=0,"",IFERROR(H90/H84,"")))</f>
        <v/>
      </c>
      <c r="I91" s="15">
        <f>IF(OR(I90="",I84=""),"",IF(I84&lt;=0,"",IFERROR(I90/I84,"")))</f>
        <v/>
      </c>
      <c r="J91" s="15">
        <f>IF(OR(J90="",J84=""),"",IF(J84&lt;=0,"",IFERROR(J90/J84,"")))</f>
        <v/>
      </c>
      <c r="K91" s="15">
        <f>IF(OR(K90="",K84=""),"",IF(K84&lt;=0,"",IFERROR(K90/K84,"")))</f>
        <v/>
      </c>
      <c r="L91" s="15">
        <f>IF(OR(L90="",L84=""),"",IF(L84&lt;=0,"",IFERROR(L90/L84,"")))</f>
        <v/>
      </c>
      <c r="M91" s="15">
        <f>IF(OR(M90="",M84=""),"",IF(M84&lt;=0,"",IFERROR(M90/M84,"")))</f>
        <v/>
      </c>
      <c r="N91" s="15">
        <f>IF(OR(N90="",N84=""),"",IF(N84&lt;=0,"",IFERROR(N90/N84,"")))</f>
        <v/>
      </c>
      <c r="T91" s="15">
        <f>IF(OR(T90="",T84=""),"",IF(T84&lt;=0,"",IFERROR(T90/T84,"")))</f>
        <v/>
      </c>
      <c r="U91" s="15">
        <f>IF(OR(U90="",U84=""),"",IF(U84&lt;=0,"",IFERROR(U90/U84,"")))</f>
        <v/>
      </c>
      <c r="V91" s="15">
        <f>IF(OR(V90="",V84=""),"",IF(V84&lt;=0,"",IFERROR(V90/V84,"")))</f>
        <v/>
      </c>
      <c r="W91" s="15">
        <f>IF(OR(W90="",W84=""),"",IF(W84&lt;=0,"",IFERROR(W90/W84,"")))</f>
        <v/>
      </c>
      <c r="X91" s="15">
        <f>IF(OR(X90="",X84=""),"",IF(X84&lt;=0,"",IFERROR(X90/X84,"")))</f>
        <v/>
      </c>
    </row>
    <row r="92">
      <c r="A92" s="43" t="inlineStr">
        <is>
          <t>YoY</t>
        </is>
      </c>
      <c r="B92" s="3" t="inlineStr">
        <is>
          <t>전년 같은 분기·전년 대비</t>
        </is>
      </c>
      <c r="G92" s="15">
        <f>IF(OR(G90="",C90=""),"",IF(C90&lt;=0,"",IFERROR(G90/C90-1,"")))</f>
        <v/>
      </c>
      <c r="H92" s="15">
        <f>IF(OR(H90="",D90=""),"",IF(D90&lt;=0,"",IFERROR(H90/D90-1,"")))</f>
        <v/>
      </c>
      <c r="I92" s="15">
        <f>IF(OR(I90="",E90=""),"",IF(E90&lt;=0,"",IFERROR(I90/E90-1,"")))</f>
        <v/>
      </c>
      <c r="J92" s="15">
        <f>IF(OR(J90="",F90=""),"",IF(F90&lt;=0,"",IFERROR(J90/F90-1,"")))</f>
        <v/>
      </c>
      <c r="K92" s="15">
        <f>IF(OR(K90="",G90=""),"",IF(G90&lt;=0,"",IFERROR(K90/G90-1,"")))</f>
        <v/>
      </c>
      <c r="L92" s="15">
        <f>IF(OR(L90="",H90=""),"",IF(H90&lt;=0,"",IFERROR(L90/H90-1,"")))</f>
        <v/>
      </c>
      <c r="M92" s="15">
        <f>IF(OR(M90="",I90=""),"",IF(I90&lt;=0,"",IFERROR(M90/I90-1,"")))</f>
        <v/>
      </c>
      <c r="N92" s="15">
        <f>IF(OR(N90="",J90=""),"",IF(J90&lt;=0,"",IFERROR(N90/J90-1,"")))</f>
        <v/>
      </c>
      <c r="T92" s="15">
        <f>IF(OR(T90="",S90=""),"",IF(S90&lt;=0,"",IFERROR(T90/S90-1,"")))</f>
        <v/>
      </c>
      <c r="U92" s="15">
        <f>IF(OR(U90="",T90=""),"",IF(T90&lt;=0,"",IFERROR(U90/T90-1,"")))</f>
        <v/>
      </c>
      <c r="V92" s="15">
        <f>IF(OR(V90="",U90=""),"",IF(U90&lt;=0,"",IFERROR(V90/U90-1,"")))</f>
        <v/>
      </c>
      <c r="W92" s="15">
        <f>IF(OR(W90="",V90=""),"",IF(V90&lt;=0,"",IFERROR(W90/V90-1,"")))</f>
        <v/>
      </c>
      <c r="X92" s="15">
        <f>IF(OR(X90="",W90=""),"",IF(W90&lt;=0,"",IFERROR(X90/W90-1,"")))</f>
        <v/>
      </c>
    </row>
    <row r="93">
      <c r="A93" s="18" t="inlineStr">
        <is>
          <t>이자수익</t>
        </is>
      </c>
      <c r="C93" s="20" t="n">
        <v>0.07000000000000001</v>
      </c>
      <c r="D93" s="20" t="n">
        <v>0.08500000000000001</v>
      </c>
      <c r="E93" s="20" t="n">
        <v>0.07000000000000001</v>
      </c>
      <c r="F93" s="20" t="n">
        <v>0.321</v>
      </c>
      <c r="G93" s="20" t="n">
        <v>0.076</v>
      </c>
      <c r="H93" s="20" t="n">
        <v>1.491</v>
      </c>
      <c r="I93" s="20" t="n">
        <v>0.098</v>
      </c>
      <c r="J93" s="20" t="n">
        <v>2.602</v>
      </c>
      <c r="K93" s="20" t="n">
        <v>0.103</v>
      </c>
      <c r="L93" s="20" t="n">
        <v>2.451</v>
      </c>
      <c r="M93" s="20" t="n">
        <v>0.113</v>
      </c>
      <c r="N93" s="20" t="n">
        <v>5.416</v>
      </c>
      <c r="T93" s="20" t="n">
        <v>0.014</v>
      </c>
      <c r="U93" s="20" t="n">
        <v>0.06</v>
      </c>
      <c r="V93" s="20" t="n">
        <v>0.321</v>
      </c>
      <c r="W93" s="20" t="n">
        <v>2.602</v>
      </c>
      <c r="X93" s="20" t="n">
        <v>5.416</v>
      </c>
    </row>
    <row r="94">
      <c r="A94" s="18" t="inlineStr">
        <is>
          <t>배당금수익</t>
        </is>
      </c>
      <c r="F94" s="20" t="n">
        <v>0</v>
      </c>
      <c r="G94" s="20" t="n">
        <v>0</v>
      </c>
      <c r="H94" s="20" t="n">
        <v>0</v>
      </c>
      <c r="I94" s="20" t="n">
        <v>10.033</v>
      </c>
      <c r="J94" s="20" t="n">
        <v>23.729</v>
      </c>
      <c r="K94" s="20" t="n">
        <v>33.167</v>
      </c>
      <c r="L94" s="20" t="n">
        <v>31.663</v>
      </c>
      <c r="M94" s="20" t="n">
        <v>29.991</v>
      </c>
      <c r="N94" s="20" t="n">
        <v>29.956</v>
      </c>
      <c r="V94" s="20" t="n">
        <v>0</v>
      </c>
      <c r="W94" s="20" t="n">
        <v>23.729</v>
      </c>
      <c r="X94" s="20" t="n">
        <v>29.956</v>
      </c>
    </row>
    <row r="95">
      <c r="A95" s="18" t="inlineStr">
        <is>
          <t>지분법이익</t>
        </is>
      </c>
      <c r="C95" s="20" t="n">
        <v>2.698</v>
      </c>
      <c r="D95" s="20" t="n">
        <v>5.574</v>
      </c>
      <c r="E95" s="20" t="n">
        <v>4.397</v>
      </c>
      <c r="F95" s="20" t="n">
        <v>2.491</v>
      </c>
      <c r="G95" s="20" t="n">
        <v>6.406</v>
      </c>
      <c r="H95" s="20" t="n">
        <v>6.35</v>
      </c>
      <c r="I95" s="20" t="n">
        <v>4.896</v>
      </c>
      <c r="J95" s="20" t="n">
        <v>4.089</v>
      </c>
      <c r="K95" s="20" t="n">
        <v>5.965</v>
      </c>
      <c r="L95" s="20" t="n">
        <v>8.215</v>
      </c>
      <c r="M95" s="20" t="n">
        <v>3.854</v>
      </c>
      <c r="N95" s="20" t="n">
        <v>5.097</v>
      </c>
      <c r="T95" s="20" t="n">
        <v>0</v>
      </c>
      <c r="U95" s="20" t="n">
        <v>2.309</v>
      </c>
      <c r="V95" s="20" t="n">
        <v>2.491</v>
      </c>
      <c r="W95" s="20" t="n">
        <v>4.089</v>
      </c>
      <c r="X95" s="20" t="n">
        <v>5.097</v>
      </c>
    </row>
    <row r="96">
      <c r="A96" s="18" t="inlineStr">
        <is>
          <t>외환차익</t>
        </is>
      </c>
      <c r="C96" s="20" t="n">
        <v>0.154</v>
      </c>
      <c r="D96" s="20" t="n">
        <v>0.032</v>
      </c>
      <c r="E96" s="20" t="n">
        <v>0.055</v>
      </c>
      <c r="F96" s="20" t="n">
        <v>-0.108</v>
      </c>
      <c r="G96" s="20" t="n">
        <v>0.053</v>
      </c>
      <c r="H96" s="20" t="n">
        <v>-0.008999999999999999</v>
      </c>
      <c r="I96" s="20" t="n">
        <v>0.13</v>
      </c>
      <c r="J96" s="20" t="n">
        <v>0.195</v>
      </c>
      <c r="K96" s="20" t="n">
        <v>0.281</v>
      </c>
      <c r="L96" s="20" t="n">
        <v>0.046</v>
      </c>
      <c r="M96" s="20" t="n">
        <v>0.059</v>
      </c>
      <c r="N96" s="20" t="n">
        <v>0.001</v>
      </c>
      <c r="T96" s="20" t="n">
        <v>0.126</v>
      </c>
      <c r="U96" s="20" t="n">
        <v>0</v>
      </c>
      <c r="V96" s="20" t="n">
        <v>-0.108</v>
      </c>
      <c r="W96" s="20" t="n">
        <v>0.195</v>
      </c>
      <c r="X96" s="20" t="n">
        <v>0.001</v>
      </c>
    </row>
    <row r="97">
      <c r="A97" s="18" t="inlineStr">
        <is>
          <t>임대료 수익</t>
        </is>
      </c>
      <c r="T97" s="20" t="n">
        <v>2.724</v>
      </c>
      <c r="U97" s="20" t="n">
        <v>0</v>
      </c>
    </row>
    <row r="98">
      <c r="A98" s="18" t="inlineStr">
        <is>
          <t>기타</t>
        </is>
      </c>
      <c r="C98" s="20" t="n">
        <v>0.392</v>
      </c>
      <c r="D98" s="20" t="n">
        <v>1.475</v>
      </c>
      <c r="E98" s="20" t="n">
        <v>0.275</v>
      </c>
      <c r="F98" s="20" t="n">
        <v>0.735</v>
      </c>
      <c r="G98" s="20" t="n">
        <v>1.079</v>
      </c>
      <c r="H98" s="20" t="n">
        <v>1.701</v>
      </c>
      <c r="I98" s="20" t="n">
        <v>0.118</v>
      </c>
      <c r="J98" s="20" t="n">
        <v>0.518</v>
      </c>
      <c r="K98" s="20" t="n">
        <v>0.908</v>
      </c>
      <c r="L98" s="20" t="n">
        <v>1.788</v>
      </c>
      <c r="M98" s="20" t="n">
        <v>1.078</v>
      </c>
      <c r="N98" s="20" t="n">
        <v>1.16</v>
      </c>
      <c r="T98" s="20" t="n">
        <v>0.26</v>
      </c>
      <c r="U98" s="20" t="n">
        <v>0.23</v>
      </c>
      <c r="V98" s="20" t="n">
        <v>0.735</v>
      </c>
      <c r="W98" s="20" t="n">
        <v>0.518</v>
      </c>
      <c r="X98" s="20" t="n">
        <v>1.16</v>
      </c>
    </row>
    <row r="99">
      <c r="A99" s="18" t="inlineStr">
        <is>
          <t>영업외수익 합계</t>
        </is>
      </c>
      <c r="C99" s="20" t="n">
        <v>3.314</v>
      </c>
      <c r="D99" s="20" t="n">
        <v>7.167</v>
      </c>
      <c r="E99" s="20" t="n">
        <v>4.798</v>
      </c>
      <c r="F99" s="20" t="n">
        <v>3.439</v>
      </c>
      <c r="G99" s="20" t="n">
        <v>7.616</v>
      </c>
      <c r="H99" s="20" t="n">
        <v>9.531000000000001</v>
      </c>
      <c r="I99" s="20" t="n">
        <v>15.278</v>
      </c>
      <c r="J99" s="20" t="n">
        <v>31.133</v>
      </c>
      <c r="K99" s="20" t="n">
        <v>40.426</v>
      </c>
      <c r="L99" s="20" t="n">
        <v>44.163</v>
      </c>
      <c r="M99" s="20" t="n">
        <v>35.096</v>
      </c>
      <c r="N99" s="20" t="n">
        <v>41.63</v>
      </c>
      <c r="T99" s="20" t="n">
        <v>3.123</v>
      </c>
      <c r="U99" s="20" t="n">
        <v>2.599</v>
      </c>
      <c r="V99" s="20" t="n">
        <v>3.439</v>
      </c>
      <c r="W99" s="20" t="n">
        <v>31.133</v>
      </c>
      <c r="X99" s="20" t="n">
        <v>41.63</v>
      </c>
    </row>
    <row r="100">
      <c r="A100" s="18" t="inlineStr">
        <is>
          <t>이자비용</t>
        </is>
      </c>
      <c r="C100" s="20" t="n">
        <v>0.235</v>
      </c>
      <c r="D100" s="20" t="n">
        <v>0.195</v>
      </c>
      <c r="E100" s="20" t="n">
        <v>0.551</v>
      </c>
      <c r="F100" s="20" t="n">
        <v>0.5590000000000001</v>
      </c>
      <c r="G100" s="20" t="n">
        <v>0.573</v>
      </c>
      <c r="H100" s="20" t="n">
        <v>0.636</v>
      </c>
      <c r="I100" s="20" t="n">
        <v>0.64</v>
      </c>
      <c r="J100" s="20" t="n">
        <v>0.543</v>
      </c>
      <c r="K100" s="20" t="n">
        <v>0.538</v>
      </c>
      <c r="L100" s="20" t="n">
        <v>0.536</v>
      </c>
      <c r="M100" s="20" t="n">
        <v>0.503</v>
      </c>
      <c r="N100" s="20" t="n">
        <v>0.298</v>
      </c>
      <c r="T100" s="20" t="n">
        <v>0.996</v>
      </c>
      <c r="U100" s="20" t="n">
        <v>0.273</v>
      </c>
      <c r="V100" s="20" t="n">
        <v>0.5590000000000001</v>
      </c>
      <c r="W100" s="20" t="n">
        <v>0.543</v>
      </c>
      <c r="X100" s="20" t="n">
        <v>0.298</v>
      </c>
    </row>
    <row r="101">
      <c r="A101" s="18" t="inlineStr">
        <is>
          <t>외환차손</t>
        </is>
      </c>
      <c r="C101" s="20" t="n">
        <v>0</v>
      </c>
      <c r="D101" s="20" t="n">
        <v>0</v>
      </c>
      <c r="E101" s="20" t="n">
        <v>0</v>
      </c>
      <c r="F101" s="20" t="n">
        <v>0</v>
      </c>
      <c r="T101" s="20" t="n">
        <v>0</v>
      </c>
      <c r="U101" s="20" t="n">
        <v>-0.128</v>
      </c>
      <c r="V101" s="20" t="n">
        <v>0</v>
      </c>
    </row>
    <row r="102">
      <c r="A102" s="18" t="inlineStr">
        <is>
          <t>주식교부비</t>
        </is>
      </c>
      <c r="C102" s="20" t="n">
        <v>0.063</v>
      </c>
      <c r="D102" s="20" t="n">
        <v>0.03</v>
      </c>
      <c r="E102" s="20" t="n">
        <v>0.01</v>
      </c>
      <c r="F102" s="20" t="n">
        <v>0.065</v>
      </c>
      <c r="G102" s="20" t="n">
        <v>0</v>
      </c>
      <c r="H102" s="20" t="n">
        <v>0</v>
      </c>
      <c r="I102" s="20" t="n">
        <v>0.03</v>
      </c>
      <c r="J102" s="20" t="n">
        <v>0.008</v>
      </c>
      <c r="K102" s="20" t="n">
        <v>0.035</v>
      </c>
      <c r="L102" s="20" t="n">
        <v>-0.004</v>
      </c>
      <c r="M102" s="20" t="n">
        <v>0</v>
      </c>
      <c r="N102" s="20" t="n">
        <v>0</v>
      </c>
      <c r="T102" s="20" t="n">
        <v>0.048</v>
      </c>
      <c r="U102" s="20" t="n">
        <v>0.043</v>
      </c>
      <c r="V102" s="20" t="n">
        <v>0.065</v>
      </c>
      <c r="W102" s="20" t="n">
        <v>0.008</v>
      </c>
      <c r="X102" s="20" t="n">
        <v>0</v>
      </c>
    </row>
    <row r="103">
      <c r="A103" s="18" t="inlineStr">
        <is>
          <t>신주예약권 발행비</t>
        </is>
      </c>
      <c r="E103" s="20" t="n">
        <v>0</v>
      </c>
      <c r="F103" s="20" t="n">
        <v>0</v>
      </c>
      <c r="I103" s="20" t="n">
        <v>0</v>
      </c>
      <c r="J103" s="20" t="n">
        <v>0</v>
      </c>
      <c r="M103" s="20" t="n">
        <v>0</v>
      </c>
      <c r="N103" s="20" t="n">
        <v>0</v>
      </c>
      <c r="U103" s="20" t="n">
        <v>0</v>
      </c>
      <c r="V103" s="20" t="n">
        <v>0</v>
      </c>
      <c r="W103" s="20" t="n">
        <v>0</v>
      </c>
      <c r="X103" s="20" t="n">
        <v>0</v>
      </c>
    </row>
    <row r="104">
      <c r="A104" s="18" t="inlineStr">
        <is>
          <t>지분법손실</t>
        </is>
      </c>
      <c r="T104" s="20" t="n">
        <v>-1.324</v>
      </c>
      <c r="U104" s="20" t="n">
        <v>0</v>
      </c>
    </row>
    <row r="105">
      <c r="A105" s="18" t="inlineStr">
        <is>
          <t>투자조합 운용손실</t>
        </is>
      </c>
      <c r="C105" s="20" t="n">
        <v>4.511</v>
      </c>
      <c r="D105" s="20" t="n">
        <v>1.649</v>
      </c>
      <c r="E105" s="20" t="n">
        <v>0</v>
      </c>
      <c r="F105" s="20" t="n">
        <v>-3.344</v>
      </c>
      <c r="G105" s="20" t="n">
        <v>3.204</v>
      </c>
      <c r="H105" s="20" t="n">
        <v>0.246</v>
      </c>
      <c r="I105" s="20" t="n">
        <v>0</v>
      </c>
      <c r="J105" s="20" t="n">
        <v>-1.936</v>
      </c>
      <c r="K105" s="20" t="n">
        <v>9.932</v>
      </c>
      <c r="L105" s="20" t="n">
        <v>-0.986</v>
      </c>
      <c r="M105" s="20" t="n">
        <v>0</v>
      </c>
      <c r="N105" s="20" t="n">
        <v>0.361</v>
      </c>
      <c r="U105" s="20" t="n">
        <v>0</v>
      </c>
      <c r="V105" s="20" t="n">
        <v>-3.344</v>
      </c>
      <c r="W105" s="20" t="n">
        <v>-1.936</v>
      </c>
      <c r="X105" s="20" t="n">
        <v>0.361</v>
      </c>
    </row>
    <row r="106">
      <c r="A106" s="18" t="inlineStr">
        <is>
          <t>지급수수료</t>
        </is>
      </c>
      <c r="C106" s="20" t="n">
        <v>0</v>
      </c>
      <c r="D106" s="20" t="n">
        <v>0.662</v>
      </c>
      <c r="E106" s="20" t="n">
        <v>-0.662</v>
      </c>
      <c r="F106" s="20" t="n">
        <v>0.917</v>
      </c>
      <c r="G106" s="20" t="n">
        <v>0.876</v>
      </c>
      <c r="H106" s="20" t="n">
        <v>0.441</v>
      </c>
      <c r="I106" s="20" t="n">
        <v>0</v>
      </c>
      <c r="J106" s="20" t="n">
        <v>0</v>
      </c>
      <c r="K106" s="20" t="n">
        <v>0</v>
      </c>
      <c r="L106" s="20" t="n">
        <v>0</v>
      </c>
      <c r="M106" s="20" t="n">
        <v>0</v>
      </c>
      <c r="N106" s="20" t="n">
        <v>0.162</v>
      </c>
      <c r="V106" s="20" t="n">
        <v>0.917</v>
      </c>
      <c r="W106" s="20" t="n">
        <v>0</v>
      </c>
      <c r="X106" s="20" t="n">
        <v>0.162</v>
      </c>
    </row>
    <row r="107">
      <c r="A107" s="18" t="inlineStr">
        <is>
          <t>기타</t>
        </is>
      </c>
      <c r="C107" s="20" t="n">
        <v>0.019</v>
      </c>
      <c r="D107" s="20" t="n">
        <v>0</v>
      </c>
      <c r="E107" s="20" t="n">
        <v>0.918</v>
      </c>
      <c r="F107" s="20" t="n">
        <v>-0.388</v>
      </c>
      <c r="G107" s="20" t="n">
        <v>0</v>
      </c>
      <c r="H107" s="20" t="n">
        <v>0.169</v>
      </c>
      <c r="I107" s="20" t="n">
        <v>0.15</v>
      </c>
      <c r="J107" s="20" t="n">
        <v>0.223</v>
      </c>
      <c r="K107" s="20" t="n">
        <v>0</v>
      </c>
      <c r="L107" s="20" t="n">
        <v>0</v>
      </c>
      <c r="M107" s="20" t="n">
        <v>0.5600000000000001</v>
      </c>
      <c r="N107" s="20" t="n">
        <v>1.041</v>
      </c>
      <c r="T107" s="20" t="n">
        <v>0.591</v>
      </c>
      <c r="U107" s="20" t="n">
        <v>0.358</v>
      </c>
      <c r="V107" s="20" t="n">
        <v>-0.388</v>
      </c>
      <c r="W107" s="20" t="n">
        <v>0.223</v>
      </c>
      <c r="X107" s="20" t="n">
        <v>1.041</v>
      </c>
    </row>
    <row r="108">
      <c r="A108" s="18" t="inlineStr">
        <is>
          <t>영업외비용 합계</t>
        </is>
      </c>
      <c r="C108" s="20" t="n">
        <v>4.829</v>
      </c>
      <c r="D108" s="20" t="n">
        <v>3.09</v>
      </c>
      <c r="E108" s="20" t="n">
        <v>0.8169999999999999</v>
      </c>
      <c r="F108" s="20" t="n">
        <v>-2.192</v>
      </c>
      <c r="G108" s="20" t="n">
        <v>4.654</v>
      </c>
      <c r="H108" s="20" t="n">
        <v>2.044</v>
      </c>
      <c r="I108" s="20" t="n">
        <v>0.82</v>
      </c>
      <c r="J108" s="20" t="n">
        <v>0.503</v>
      </c>
      <c r="K108" s="20" t="n">
        <v>10.506</v>
      </c>
      <c r="L108" s="20" t="n">
        <v>0.098</v>
      </c>
      <c r="M108" s="20" t="n">
        <v>1.063</v>
      </c>
      <c r="N108" s="20" t="n">
        <v>1.864</v>
      </c>
      <c r="T108" s="20" t="n">
        <v>0.919</v>
      </c>
      <c r="U108" s="20" t="n">
        <v>0.546</v>
      </c>
      <c r="V108" s="20" t="n">
        <v>-2.192</v>
      </c>
      <c r="W108" s="20" t="n">
        <v>0.503</v>
      </c>
      <c r="X108" s="20" t="n">
        <v>1.864</v>
      </c>
    </row>
    <row r="109">
      <c r="A109" s="9" t="inlineStr">
        <is>
          <t>경상이익</t>
        </is>
      </c>
      <c r="C109" s="12" t="n">
        <v>-29.822</v>
      </c>
      <c r="D109" s="12" t="n">
        <v>108.259</v>
      </c>
      <c r="E109" s="12" t="n">
        <v>-36.507</v>
      </c>
      <c r="F109" s="12" t="n">
        <v>4.769</v>
      </c>
      <c r="G109" s="12" t="n">
        <v>131.622</v>
      </c>
      <c r="H109" s="12" t="n">
        <v>208.733</v>
      </c>
      <c r="I109" s="12" t="n">
        <v>193.994</v>
      </c>
      <c r="J109" s="12" t="n">
        <v>78.672</v>
      </c>
      <c r="K109" s="12" t="n">
        <v>107.196</v>
      </c>
      <c r="L109" s="12" t="n">
        <v>229.437</v>
      </c>
      <c r="M109" s="12" t="n">
        <v>101.266</v>
      </c>
      <c r="N109" s="12" t="n">
        <v>156.902</v>
      </c>
      <c r="T109" s="12" t="n">
        <v>13.935</v>
      </c>
      <c r="U109" s="12" t="n">
        <v>36.482</v>
      </c>
      <c r="V109" s="12" t="n">
        <v>4.769</v>
      </c>
      <c r="W109" s="12" t="n">
        <v>78.672</v>
      </c>
      <c r="X109" s="12" t="n">
        <v>156.902</v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IF(OR(G109="",C109=""),"",IF(C109&lt;=0,"",IFERROR(G109/C109-1,"")))</f>
        <v/>
      </c>
      <c r="H110" s="15">
        <f>IF(OR(H109="",D109=""),"",IF(D109&lt;=0,"",IFERROR(H109/D109-1,"")))</f>
        <v/>
      </c>
      <c r="I110" s="15">
        <f>IF(OR(I109="",E109=""),"",IF(E109&lt;=0,"",IFERROR(I109/E109-1,"")))</f>
        <v/>
      </c>
      <c r="J110" s="15">
        <f>IF(OR(J109="",F109=""),"",IF(F109&lt;=0,"",IFERROR(J109/F109-1,"")))</f>
        <v/>
      </c>
      <c r="K110" s="15">
        <f>IF(OR(K109="",G109=""),"",IF(G109&lt;=0,"",IFERROR(K109/G109-1,"")))</f>
        <v/>
      </c>
      <c r="L110" s="15">
        <f>IF(OR(L109="",H109=""),"",IF(H109&lt;=0,"",IFERROR(L109/H109-1,"")))</f>
        <v/>
      </c>
      <c r="M110" s="15">
        <f>IF(OR(M109="",I109=""),"",IF(I109&lt;=0,"",IFERROR(M109/I109-1,"")))</f>
        <v/>
      </c>
      <c r="N110" s="15">
        <f>IF(OR(N109="",J109=""),"",IF(J109&lt;=0,"",IFERROR(N109/J109-1,"")))</f>
        <v/>
      </c>
      <c r="T110" s="15">
        <f>IF(OR(T109="",S109=""),"",IF(S109&lt;=0,"",IFERROR(T109/S109-1,"")))</f>
        <v/>
      </c>
      <c r="U110" s="15">
        <f>IF(OR(U109="",T109=""),"",IF(T109&lt;=0,"",IFERROR(U109/T109-1,"")))</f>
        <v/>
      </c>
      <c r="V110" s="15">
        <f>IF(OR(V109="",U109=""),"",IF(U109&lt;=0,"",IFERROR(V109/U109-1,"")))</f>
        <v/>
      </c>
      <c r="W110" s="15">
        <f>IF(OR(W109="",V109=""),"",IF(V109&lt;=0,"",IFERROR(W109/V109-1,"")))</f>
        <v/>
      </c>
      <c r="X110" s="15">
        <f>IF(OR(X109="",W109=""),"",IF(W109&lt;=0,"",IFERROR(X109/W109-1,"")))</f>
        <v/>
      </c>
    </row>
    <row r="111">
      <c r="A111" s="18" t="inlineStr">
        <is>
          <t>투자유가증권 매각이익</t>
        </is>
      </c>
      <c r="G111" s="20" t="n">
        <v>0</v>
      </c>
      <c r="H111" s="20" t="n">
        <v>0</v>
      </c>
      <c r="I111" s="20" t="n">
        <v>0</v>
      </c>
      <c r="J111" s="20" t="n">
        <v>0</v>
      </c>
      <c r="K111" s="20" t="n">
        <v>5.002</v>
      </c>
      <c r="L111" s="20" t="n">
        <v>0</v>
      </c>
      <c r="M111" s="20" t="n">
        <v>0</v>
      </c>
      <c r="N111" s="20" t="n">
        <v>0</v>
      </c>
      <c r="W111" s="20" t="n">
        <v>0</v>
      </c>
      <c r="X111" s="20" t="n">
        <v>0</v>
      </c>
    </row>
    <row r="112">
      <c r="A112" s="18" t="inlineStr">
        <is>
          <t>관계회사 청산이익</t>
        </is>
      </c>
      <c r="E112" s="20" t="n">
        <v>0</v>
      </c>
      <c r="F112" s="20" t="n">
        <v>0</v>
      </c>
      <c r="I112" s="20" t="n">
        <v>0</v>
      </c>
      <c r="J112" s="20" t="n">
        <v>0</v>
      </c>
      <c r="M112" s="20" t="n">
        <v>0</v>
      </c>
      <c r="N112" s="20" t="n">
        <v>0</v>
      </c>
      <c r="V112" s="20" t="n">
        <v>0</v>
      </c>
      <c r="W112" s="20" t="n">
        <v>0</v>
      </c>
      <c r="X112" s="20" t="n">
        <v>0</v>
      </c>
    </row>
    <row r="113">
      <c r="A113" s="18" t="inlineStr">
        <is>
          <t>신주예약권 환입이익</t>
        </is>
      </c>
      <c r="C113" s="20" t="n">
        <v>0</v>
      </c>
      <c r="D113" s="20" t="n">
        <v>0.273</v>
      </c>
      <c r="E113" s="20" t="n">
        <v>0.593</v>
      </c>
      <c r="F113" s="20" t="n">
        <v>-0.137</v>
      </c>
      <c r="G113" s="20" t="n">
        <v>2.553</v>
      </c>
      <c r="H113" s="20" t="n">
        <v>0.501</v>
      </c>
      <c r="I113" s="20" t="n">
        <v>3.783</v>
      </c>
      <c r="J113" s="20" t="n">
        <v>0.327</v>
      </c>
      <c r="K113" s="20" t="n">
        <v>0.273</v>
      </c>
      <c r="L113" s="20" t="n">
        <v>0.502</v>
      </c>
      <c r="M113" s="20" t="n">
        <v>0</v>
      </c>
      <c r="N113" s="20" t="n">
        <v>0</v>
      </c>
      <c r="U113" s="20" t="n">
        <v>0</v>
      </c>
      <c r="V113" s="20" t="n">
        <v>-0.137</v>
      </c>
      <c r="W113" s="20" t="n">
        <v>0.327</v>
      </c>
      <c r="X113" s="20" t="n">
        <v>0</v>
      </c>
    </row>
    <row r="114">
      <c r="A114" s="18" t="inlineStr">
        <is>
          <t>사업정리 이익</t>
        </is>
      </c>
      <c r="C114" s="20" t="n">
        <v>0</v>
      </c>
      <c r="D114" s="20" t="n">
        <v>0</v>
      </c>
      <c r="E114" s="20" t="n">
        <v>0</v>
      </c>
      <c r="F114" s="20" t="n">
        <v>0</v>
      </c>
      <c r="T114" s="20" t="n">
        <v>0</v>
      </c>
      <c r="U114" s="20" t="n">
        <v>11.513</v>
      </c>
      <c r="V114" s="20" t="n">
        <v>0</v>
      </c>
    </row>
    <row r="115">
      <c r="A115" s="18" t="inlineStr">
        <is>
          <t>특별이익 합계</t>
        </is>
      </c>
      <c r="C115" s="20" t="n">
        <v>0</v>
      </c>
      <c r="D115" s="20" t="n">
        <v>0.273</v>
      </c>
      <c r="E115" s="20" t="n">
        <v>0.593</v>
      </c>
      <c r="F115" s="20" t="n">
        <v>-0.137</v>
      </c>
      <c r="G115" s="20" t="n">
        <v>2.553</v>
      </c>
      <c r="H115" s="20" t="n">
        <v>1.473</v>
      </c>
      <c r="I115" s="20" t="n">
        <v>3.782</v>
      </c>
      <c r="J115" s="20" t="n">
        <v>0.327</v>
      </c>
      <c r="K115" s="20" t="n">
        <v>5.275</v>
      </c>
      <c r="L115" s="20" t="n">
        <v>0.502</v>
      </c>
      <c r="M115" s="20" t="n">
        <v>0</v>
      </c>
      <c r="N115" s="20" t="n">
        <v>11.314</v>
      </c>
      <c r="T115" s="20" t="n">
        <v>0</v>
      </c>
      <c r="U115" s="20" t="n">
        <v>11.513</v>
      </c>
      <c r="V115" s="20" t="n">
        <v>-0.137</v>
      </c>
      <c r="W115" s="20" t="n">
        <v>0.327</v>
      </c>
      <c r="X115" s="20" t="n">
        <v>11.314</v>
      </c>
    </row>
    <row r="116">
      <c r="A116" s="9" t="inlineStr">
        <is>
          <t>법인세차감전 순이익</t>
        </is>
      </c>
      <c r="C116" s="12" t="n">
        <v>-29.822</v>
      </c>
      <c r="D116" s="12" t="n">
        <v>108.532</v>
      </c>
      <c r="E116" s="12" t="n">
        <v>-35.914</v>
      </c>
      <c r="F116" s="12" t="n">
        <v>4.633</v>
      </c>
      <c r="G116" s="12" t="n">
        <v>134.175</v>
      </c>
      <c r="H116" s="12" t="n">
        <v>210.206</v>
      </c>
      <c r="I116" s="12" t="n">
        <v>197.776</v>
      </c>
      <c r="J116" s="12" t="n">
        <v>78.999</v>
      </c>
      <c r="K116" s="12" t="n">
        <v>112.472</v>
      </c>
      <c r="L116" s="12" t="n">
        <v>229.939</v>
      </c>
      <c r="M116" s="12" t="n">
        <v>101.265</v>
      </c>
      <c r="N116" s="12" t="n">
        <v>110.466</v>
      </c>
      <c r="T116" s="12" t="n">
        <v>-232.311</v>
      </c>
      <c r="U116" s="12" t="n">
        <v>47.995</v>
      </c>
      <c r="V116" s="12" t="n">
        <v>4.633</v>
      </c>
      <c r="W116" s="12" t="n">
        <v>78.999</v>
      </c>
      <c r="X116" s="12" t="n">
        <v>110.466</v>
      </c>
    </row>
    <row r="117">
      <c r="A117" s="18" t="inlineStr">
        <is>
          <t>법인세·주민세·사업세</t>
        </is>
      </c>
      <c r="C117" s="20" t="n">
        <v>0.5600000000000001</v>
      </c>
      <c r="D117" s="20" t="n">
        <v>22.826</v>
      </c>
      <c r="E117" s="20" t="n">
        <v>-12.97</v>
      </c>
      <c r="F117" s="20" t="n">
        <v>6.608</v>
      </c>
      <c r="G117" s="20" t="n">
        <v>47.781</v>
      </c>
      <c r="H117" s="20" t="n">
        <v>22.546</v>
      </c>
      <c r="I117" s="20" t="n">
        <v>75.024</v>
      </c>
      <c r="J117" s="20" t="n">
        <v>65.25</v>
      </c>
      <c r="K117" s="20" t="n">
        <v>9.032</v>
      </c>
      <c r="L117" s="20" t="n">
        <v>86.19199999999999</v>
      </c>
      <c r="M117" s="20" t="n">
        <v>36.941</v>
      </c>
      <c r="N117" s="20" t="n">
        <v>37.189</v>
      </c>
      <c r="T117" s="20" t="n">
        <v>-20.738</v>
      </c>
      <c r="U117" s="20" t="n">
        <v>27.766</v>
      </c>
      <c r="V117" s="20" t="n">
        <v>6.608</v>
      </c>
      <c r="W117" s="20" t="n">
        <v>65.25</v>
      </c>
      <c r="X117" s="20" t="n">
        <v>37.189</v>
      </c>
    </row>
    <row r="118">
      <c r="A118" s="18" t="inlineStr">
        <is>
          <t>법인세 조정액</t>
        </is>
      </c>
      <c r="C118" s="20" t="n">
        <v>-0.275</v>
      </c>
      <c r="D118" s="20" t="n">
        <v>12.846</v>
      </c>
      <c r="E118" s="20" t="n">
        <v>8.686999999999999</v>
      </c>
      <c r="F118" s="20" t="n">
        <v>-2.386</v>
      </c>
      <c r="G118" s="20" t="n">
        <v>-2.639</v>
      </c>
      <c r="H118" s="20" t="n">
        <v>48.36</v>
      </c>
      <c r="I118" s="20" t="n">
        <v>-7.363</v>
      </c>
      <c r="J118" s="20" t="n">
        <v>-28.3</v>
      </c>
      <c r="K118" s="20" t="n">
        <v>42.48</v>
      </c>
      <c r="L118" s="20" t="n">
        <v>-11.478</v>
      </c>
      <c r="M118" s="20" t="n">
        <v>-3.795</v>
      </c>
      <c r="N118" s="20" t="n">
        <v>3.948</v>
      </c>
      <c r="T118" s="20" t="n">
        <v>-57.11</v>
      </c>
      <c r="U118" s="20" t="n">
        <v>-9.039</v>
      </c>
      <c r="V118" s="20" t="n">
        <v>-2.386</v>
      </c>
      <c r="W118" s="20" t="n">
        <v>-28.3</v>
      </c>
      <c r="X118" s="20" t="n">
        <v>3.948</v>
      </c>
    </row>
    <row r="119">
      <c r="A119" s="18" t="inlineStr">
        <is>
          <t>법인세 등 합계</t>
        </is>
      </c>
      <c r="C119" s="20" t="n">
        <v>0.284</v>
      </c>
      <c r="D119" s="20" t="n">
        <v>35.674</v>
      </c>
      <c r="E119" s="20" t="n">
        <v>-4.284</v>
      </c>
      <c r="F119" s="20" t="n">
        <v>4.222</v>
      </c>
      <c r="G119" s="20" t="n">
        <v>45.142</v>
      </c>
      <c r="H119" s="20" t="n">
        <v>70.90600000000001</v>
      </c>
      <c r="I119" s="20" t="n">
        <v>67.66200000000001</v>
      </c>
      <c r="J119" s="20" t="n">
        <v>36.95</v>
      </c>
      <c r="K119" s="20" t="n">
        <v>51.512</v>
      </c>
      <c r="L119" s="20" t="n">
        <v>74.714</v>
      </c>
      <c r="M119" s="20" t="n">
        <v>33.147</v>
      </c>
      <c r="N119" s="20" t="n">
        <v>41.137</v>
      </c>
      <c r="T119" s="20" t="n">
        <v>-77.849</v>
      </c>
      <c r="U119" s="20" t="n">
        <v>18.727</v>
      </c>
      <c r="V119" s="20" t="n">
        <v>4.222</v>
      </c>
      <c r="W119" s="20" t="n">
        <v>36.95</v>
      </c>
      <c r="X119" s="20" t="n">
        <v>41.137</v>
      </c>
    </row>
    <row r="120">
      <c r="A120" s="9" t="inlineStr">
        <is>
          <t>순이익</t>
        </is>
      </c>
      <c r="C120" s="12" t="n">
        <v>-30.107</v>
      </c>
      <c r="D120" s="12" t="n">
        <v>72.85899999999999</v>
      </c>
      <c r="E120" s="12" t="n">
        <v>-31.63</v>
      </c>
      <c r="F120" s="12" t="n">
        <v>0.41</v>
      </c>
      <c r="G120" s="12" t="n">
        <v>89.033</v>
      </c>
      <c r="H120" s="12" t="n">
        <v>139.299</v>
      </c>
      <c r="I120" s="12" t="n">
        <v>130.115</v>
      </c>
      <c r="J120" s="12" t="n">
        <v>42.049</v>
      </c>
      <c r="K120" s="12" t="n">
        <v>60.96</v>
      </c>
      <c r="L120" s="12" t="n">
        <v>155.224</v>
      </c>
      <c r="M120" s="12" t="n">
        <v>68.11799999999999</v>
      </c>
      <c r="N120" s="12" t="n">
        <v>69.33</v>
      </c>
      <c r="T120" s="12" t="n">
        <v>-154.462</v>
      </c>
      <c r="U120" s="12" t="n">
        <v>29.269</v>
      </c>
      <c r="V120" s="12" t="n">
        <v>0.41</v>
      </c>
      <c r="W120" s="12" t="n">
        <v>42.049</v>
      </c>
      <c r="X120" s="12" t="n">
        <v>69.33</v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IF(OR(G120="",C120=""),"",IF(C120&lt;=0,"",IFERROR(G120/C120-1,"")))</f>
        <v/>
      </c>
      <c r="H121" s="15">
        <f>IF(OR(H120="",D120=""),"",IF(D120&lt;=0,"",IFERROR(H120/D120-1,"")))</f>
        <v/>
      </c>
      <c r="I121" s="15">
        <f>IF(OR(I120="",E120=""),"",IF(E120&lt;=0,"",IFERROR(I120/E120-1,"")))</f>
        <v/>
      </c>
      <c r="J121" s="15">
        <f>IF(OR(J120="",F120=""),"",IF(F120&lt;=0,"",IFERROR(J120/F120-1,"")))</f>
        <v/>
      </c>
      <c r="K121" s="15">
        <f>IF(OR(K120="",G120=""),"",IF(G120&lt;=0,"",IFERROR(K120/G120-1,"")))</f>
        <v/>
      </c>
      <c r="L121" s="15">
        <f>IF(OR(L120="",H120=""),"",IF(H120&lt;=0,"",IFERROR(L120/H120-1,"")))</f>
        <v/>
      </c>
      <c r="M121" s="15">
        <f>IF(OR(M120="",I120=""),"",IF(I120&lt;=0,"",IFERROR(M120/I120-1,"")))</f>
        <v/>
      </c>
      <c r="N121" s="15">
        <f>IF(OR(N120="",J120=""),"",IF(J120&lt;=0,"",IFERROR(N120/J120-1,"")))</f>
        <v/>
      </c>
      <c r="T121" s="15">
        <f>IF(OR(T120="",S120=""),"",IF(S120&lt;=0,"",IFERROR(T120/S120-1,"")))</f>
        <v/>
      </c>
      <c r="U121" s="15">
        <f>IF(OR(U120="",T120=""),"",IF(T120&lt;=0,"",IFERROR(U120/T120-1,"")))</f>
        <v/>
      </c>
      <c r="V121" s="15">
        <f>IF(OR(V120="",U120=""),"",IF(U120&lt;=0,"",IFERROR(V120/U120-1,"")))</f>
        <v/>
      </c>
      <c r="W121" s="15">
        <f>IF(OR(W120="",V120=""),"",IF(V120&lt;=0,"",IFERROR(W120/V120-1,"")))</f>
        <v/>
      </c>
      <c r="X121" s="15">
        <f>IF(OR(X120="",W120=""),"",IF(W120&lt;=0,"",IFERROR(X120/W120-1,"")))</f>
        <v/>
      </c>
    </row>
    <row r="122">
      <c r="A122" s="9" t="inlineStr">
        <is>
          <t>비지배주주 당기순손실</t>
        </is>
      </c>
      <c r="E122" s="12" t="n">
        <v>0</v>
      </c>
      <c r="F122" s="12" t="n">
        <v>0</v>
      </c>
      <c r="I122" s="12" t="n">
        <v>-2.321</v>
      </c>
      <c r="J122" s="12" t="n">
        <v>-0.694</v>
      </c>
      <c r="M122" s="12" t="n">
        <v>0</v>
      </c>
      <c r="N122" s="12" t="n">
        <v>0</v>
      </c>
      <c r="V122" s="12" t="n">
        <v>0</v>
      </c>
      <c r="W122" s="12" t="n">
        <v>-0.694</v>
      </c>
      <c r="X122" s="12" t="n">
        <v>0</v>
      </c>
    </row>
    <row r="123">
      <c r="A123" s="9" t="inlineStr">
        <is>
          <t>지배주주 순이익</t>
        </is>
      </c>
      <c r="C123" s="12" t="n">
        <v>-30.107</v>
      </c>
      <c r="D123" s="12" t="n">
        <v>72.85899999999999</v>
      </c>
      <c r="E123" s="12" t="n">
        <v>-31.63</v>
      </c>
      <c r="F123" s="12" t="n">
        <v>0.41</v>
      </c>
      <c r="G123" s="12" t="n">
        <v>89.033</v>
      </c>
      <c r="H123" s="12" t="n">
        <v>142.84</v>
      </c>
      <c r="I123" s="12" t="n">
        <v>132.435</v>
      </c>
      <c r="J123" s="12" t="n">
        <v>42.743</v>
      </c>
      <c r="K123" s="12" t="n">
        <v>60.96</v>
      </c>
      <c r="L123" s="12" t="n">
        <v>155.274</v>
      </c>
      <c r="M123" s="12" t="n">
        <v>68.11799999999999</v>
      </c>
      <c r="N123" s="12" t="n">
        <v>69.33</v>
      </c>
      <c r="T123" s="12" t="n">
        <v>-154.462</v>
      </c>
      <c r="U123" s="12" t="n">
        <v>29.269</v>
      </c>
      <c r="V123" s="12" t="n">
        <v>0.41</v>
      </c>
      <c r="W123" s="12" t="n">
        <v>42.743</v>
      </c>
      <c r="X123" s="12" t="n">
        <v>69.33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IF(OR(G123="",C123=""),"",IF(C123&lt;=0,"",IFERROR(G123/C123-1,"")))</f>
        <v/>
      </c>
      <c r="H124" s="15">
        <f>IF(OR(H123="",D123=""),"",IF(D123&lt;=0,"",IFERROR(H123/D123-1,"")))</f>
        <v/>
      </c>
      <c r="I124" s="15">
        <f>IF(OR(I123="",E123=""),"",IF(E123&lt;=0,"",IFERROR(I123/E123-1,"")))</f>
        <v/>
      </c>
      <c r="J124" s="15">
        <f>IF(OR(J123="",F123=""),"",IF(F123&lt;=0,"",IFERROR(J123/F123-1,"")))</f>
        <v/>
      </c>
      <c r="K124" s="15">
        <f>IF(OR(K123="",G123=""),"",IF(G123&lt;=0,"",IFERROR(K123/G123-1,"")))</f>
        <v/>
      </c>
      <c r="L124" s="15">
        <f>IF(OR(L123="",H123=""),"",IF(H123&lt;=0,"",IFERROR(L123/H123-1,"")))</f>
        <v/>
      </c>
      <c r="M124" s="15">
        <f>IF(OR(M123="",I123=""),"",IF(I123&lt;=0,"",IFERROR(M123/I123-1,"")))</f>
        <v/>
      </c>
      <c r="N124" s="15">
        <f>IF(OR(N123="",J123=""),"",IF(J123&lt;=0,"",IFERROR(N123/J123-1,"")))</f>
        <v/>
      </c>
      <c r="T124" s="15">
        <f>IF(OR(T123="",S123=""),"",IF(S123&lt;=0,"",IFERROR(T123/S123-1,"")))</f>
        <v/>
      </c>
      <c r="U124" s="15">
        <f>IF(OR(U123="",T123=""),"",IF(T123&lt;=0,"",IFERROR(U123/T123-1,"")))</f>
        <v/>
      </c>
      <c r="V124" s="15">
        <f>IF(OR(V123="",U123=""),"",IF(U123&lt;=0,"",IFERROR(V123/U123-1,"")))</f>
        <v/>
      </c>
      <c r="W124" s="15">
        <f>IF(OR(W123="",V123=""),"",IF(V123&lt;=0,"",IFERROR(W123/V123-1,"")))</f>
        <v/>
      </c>
      <c r="X124" s="15">
        <f>IF(OR(X123="",W123=""),"",IF(W123&lt;=0,"",IFERROR(X123/W123-1,"")))</f>
        <v/>
      </c>
    </row>
    <row r="126">
      <c r="A126" s="16" t="inlineStr">
        <is>
          <t>포괄손익 · 전 항목</t>
        </is>
      </c>
      <c r="B126" s="42" t="inlineStr">
        <is>
          <t>분기 = 3개월 단독</t>
        </is>
      </c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</row>
    <row r="127">
      <c r="A127" s="5" t="inlineStr">
        <is>
          <t>항목</t>
        </is>
      </c>
      <c r="B127" s="5" t="inlineStr">
        <is>
          <t>참고</t>
        </is>
      </c>
      <c r="C127" s="5" t="inlineStr">
        <is>
          <t>2024.1Q</t>
        </is>
      </c>
      <c r="D127" s="5" t="inlineStr">
        <is>
          <t>2024.2Q</t>
        </is>
      </c>
      <c r="E127" s="5" t="inlineStr">
        <is>
          <t>2024.3Q</t>
        </is>
      </c>
      <c r="F127" s="5" t="inlineStr">
        <is>
          <t>2024.4Q</t>
        </is>
      </c>
      <c r="G127" s="5" t="inlineStr">
        <is>
          <t>2025.1Q</t>
        </is>
      </c>
      <c r="H127" s="5" t="inlineStr">
        <is>
          <t>2025.2Q</t>
        </is>
      </c>
      <c r="I127" s="5" t="inlineStr">
        <is>
          <t>2025.3Q</t>
        </is>
      </c>
      <c r="J127" s="5" t="inlineStr">
        <is>
          <t>2025.4Q</t>
        </is>
      </c>
      <c r="K127" s="5" t="inlineStr">
        <is>
          <t>2026.1Q</t>
        </is>
      </c>
      <c r="L127" s="5" t="inlineStr">
        <is>
          <t>2026.2Q</t>
        </is>
      </c>
      <c r="M127" s="5" t="inlineStr">
        <is>
          <t>2026.3Q</t>
        </is>
      </c>
      <c r="N127" s="5" t="inlineStr">
        <is>
          <t>2026.4Q</t>
        </is>
      </c>
      <c r="O127" s="5" t="inlineStr">
        <is>
          <t>2017</t>
        </is>
      </c>
      <c r="P127" s="5" t="inlineStr">
        <is>
          <t>2018</t>
        </is>
      </c>
      <c r="Q127" s="5" t="inlineStr">
        <is>
          <t>2019</t>
        </is>
      </c>
      <c r="R127" s="5" t="inlineStr">
        <is>
          <t>2020</t>
        </is>
      </c>
      <c r="S127" s="5" t="inlineStr">
        <is>
          <t>2021</t>
        </is>
      </c>
      <c r="T127" s="5" t="inlineStr">
        <is>
          <t>2022</t>
        </is>
      </c>
      <c r="U127" s="5" t="inlineStr">
        <is>
          <t>2023</t>
        </is>
      </c>
      <c r="V127" s="5" t="inlineStr">
        <is>
          <t>2024</t>
        </is>
      </c>
      <c r="W127" s="5" t="inlineStr">
        <is>
          <t>2025</t>
        </is>
      </c>
      <c r="X127" s="5" t="inlineStr">
        <is>
          <t>2026</t>
        </is>
      </c>
      <c r="Y127" s="5" t="inlineStr">
        <is>
          <t>2027(MW)</t>
        </is>
      </c>
      <c r="Z127" s="5" t="inlineStr">
        <is>
          <t>2028(MW)</t>
        </is>
      </c>
      <c r="AA127" s="5" t="inlineStr">
        <is>
          <t>2029(MW)</t>
        </is>
      </c>
      <c r="AB127" s="5" t="inlineStr">
        <is>
          <t>2030(MW)</t>
        </is>
      </c>
      <c r="AC127" s="5" t="inlineStr">
        <is>
          <t>2031(MW)</t>
        </is>
      </c>
    </row>
    <row r="128">
      <c r="A128" s="9" t="inlineStr">
        <is>
          <t>순이익</t>
        </is>
      </c>
      <c r="C128" s="12" t="n">
        <v>-30.107</v>
      </c>
      <c r="D128" s="12" t="n">
        <v>72.85899999999999</v>
      </c>
      <c r="E128" s="12" t="n">
        <v>-31.63</v>
      </c>
      <c r="F128" s="12" t="n">
        <v>0.41</v>
      </c>
      <c r="G128" s="12" t="n">
        <v>89.033</v>
      </c>
      <c r="H128" s="12" t="n">
        <v>139.299</v>
      </c>
      <c r="I128" s="12" t="n">
        <v>130.115</v>
      </c>
      <c r="J128" s="12" t="n">
        <v>42.049</v>
      </c>
      <c r="K128" s="12" t="n">
        <v>60.96</v>
      </c>
      <c r="L128" s="12" t="n">
        <v>155.224</v>
      </c>
      <c r="M128" s="12" t="n">
        <v>68.11799999999999</v>
      </c>
      <c r="N128" s="12" t="n">
        <v>69.33</v>
      </c>
      <c r="T128" s="12" t="n">
        <v>-154.462</v>
      </c>
      <c r="U128" s="12" t="n">
        <v>29.269</v>
      </c>
      <c r="V128" s="12" t="n">
        <v>0.41</v>
      </c>
      <c r="W128" s="12" t="n">
        <v>42.049</v>
      </c>
      <c r="X128" s="12" t="n">
        <v>69.33</v>
      </c>
    </row>
    <row r="129">
      <c r="A129" s="18" t="inlineStr">
        <is>
          <t>기타유가증권 평가차액</t>
        </is>
      </c>
      <c r="E129" s="20" t="n">
        <v>0</v>
      </c>
      <c r="F129" s="20" t="n">
        <v>-2.375</v>
      </c>
      <c r="G129" s="20" t="n">
        <v>0</v>
      </c>
      <c r="H129" s="20" t="n">
        <v>0.08699999999999999</v>
      </c>
      <c r="I129" s="20" t="n">
        <v>6.104</v>
      </c>
      <c r="J129" s="20" t="n">
        <v>9.061999999999999</v>
      </c>
      <c r="K129" s="20" t="n">
        <v>30.159</v>
      </c>
      <c r="L129" s="20" t="n">
        <v>15.998</v>
      </c>
      <c r="M129" s="20" t="n">
        <v>10.989</v>
      </c>
      <c r="N129" s="20" t="n">
        <v>-11.586</v>
      </c>
      <c r="U129" s="20" t="n">
        <v>0</v>
      </c>
      <c r="V129" s="20" t="n">
        <v>-2.375</v>
      </c>
      <c r="W129" s="20" t="n">
        <v>9.061999999999999</v>
      </c>
      <c r="X129" s="20" t="n">
        <v>-11.586</v>
      </c>
    </row>
    <row r="130">
      <c r="A130" s="18" t="inlineStr">
        <is>
          <t>해외사업환산조정</t>
        </is>
      </c>
      <c r="C130" s="20" t="n">
        <v>-0.024</v>
      </c>
      <c r="D130" s="20" t="n">
        <v>0.001</v>
      </c>
      <c r="E130" s="20" t="n">
        <v>-0.09</v>
      </c>
      <c r="F130" s="20" t="n">
        <v>0.142</v>
      </c>
      <c r="G130" s="20" t="n">
        <v>-0.006</v>
      </c>
      <c r="H130" s="20" t="n">
        <v>2.929</v>
      </c>
      <c r="I130" s="20" t="n">
        <v>0.048</v>
      </c>
      <c r="J130" s="20" t="n">
        <v>-0.03</v>
      </c>
      <c r="K130" s="20" t="n">
        <v>-0.05</v>
      </c>
      <c r="L130" s="20" t="n">
        <v>0.05</v>
      </c>
      <c r="M130" s="20" t="n">
        <v>0</v>
      </c>
      <c r="N130" s="20" t="n">
        <v>-0.014</v>
      </c>
      <c r="T130" s="20" t="n">
        <v>-3.255</v>
      </c>
      <c r="U130" s="20" t="n">
        <v>0.25</v>
      </c>
      <c r="V130" s="20" t="n">
        <v>0.142</v>
      </c>
      <c r="W130" s="20" t="n">
        <v>-0.03</v>
      </c>
      <c r="X130" s="20" t="n">
        <v>-0.014</v>
      </c>
    </row>
    <row r="131">
      <c r="A131" s="18" t="inlineStr">
        <is>
          <t>기타포괄손익 합계</t>
        </is>
      </c>
      <c r="C131" s="20" t="n">
        <v>-0.024</v>
      </c>
      <c r="D131" s="20" t="n">
        <v>2.315</v>
      </c>
      <c r="E131" s="20" t="n">
        <v>-0.09</v>
      </c>
      <c r="F131" s="20" t="n">
        <v>-2.231</v>
      </c>
      <c r="G131" s="20" t="n">
        <v>-0.006</v>
      </c>
      <c r="H131" s="20" t="n">
        <v>3.017</v>
      </c>
      <c r="I131" s="20" t="n">
        <v>6.152</v>
      </c>
      <c r="J131" s="20" t="n">
        <v>9.031000000000001</v>
      </c>
      <c r="K131" s="20" t="n">
        <v>30.108</v>
      </c>
      <c r="L131" s="20" t="n">
        <v>16.05</v>
      </c>
      <c r="M131" s="20" t="n">
        <v>10.989</v>
      </c>
      <c r="N131" s="20" t="n">
        <v>-11.602</v>
      </c>
      <c r="T131" s="20" t="n">
        <v>-3.255</v>
      </c>
      <c r="U131" s="20" t="n">
        <v>0.25</v>
      </c>
      <c r="V131" s="20" t="n">
        <v>-2.231</v>
      </c>
      <c r="W131" s="20" t="n">
        <v>9.031000000000001</v>
      </c>
      <c r="X131" s="20" t="n">
        <v>-11.602</v>
      </c>
    </row>
    <row r="132">
      <c r="A132" s="9" t="inlineStr">
        <is>
          <t>포괄이익</t>
        </is>
      </c>
      <c r="C132" s="12" t="n">
        <v>-30.131</v>
      </c>
      <c r="D132" s="12" t="n">
        <v>75.175</v>
      </c>
      <c r="E132" s="12" t="n">
        <v>-31.72</v>
      </c>
      <c r="F132" s="12" t="n">
        <v>-1.822</v>
      </c>
      <c r="G132" s="12" t="n">
        <v>89.026</v>
      </c>
      <c r="H132" s="12" t="n">
        <v>142.317</v>
      </c>
      <c r="I132" s="12" t="n">
        <v>136.267</v>
      </c>
      <c r="J132" s="12" t="n">
        <v>51.081</v>
      </c>
      <c r="K132" s="12" t="n">
        <v>91.069</v>
      </c>
      <c r="L132" s="12" t="n">
        <v>171.274</v>
      </c>
      <c r="M132" s="12" t="n">
        <v>79.107</v>
      </c>
      <c r="N132" s="12" t="n">
        <v>57.728</v>
      </c>
      <c r="T132" s="12" t="n">
        <v>-157.717</v>
      </c>
      <c r="U132" s="12" t="n">
        <v>29.518</v>
      </c>
      <c r="V132" s="12" t="n">
        <v>-1.822</v>
      </c>
      <c r="W132" s="12" t="n">
        <v>51.081</v>
      </c>
      <c r="X132" s="12" t="n">
        <v>57.728</v>
      </c>
    </row>
    <row r="133">
      <c r="A133" s="9" t="inlineStr">
        <is>
          <t>지배주주 포괄이익</t>
        </is>
      </c>
      <c r="C133" s="12" t="n">
        <v>-30.131</v>
      </c>
      <c r="D133" s="12" t="n">
        <v>75.175</v>
      </c>
      <c r="E133" s="12" t="n">
        <v>-31.72</v>
      </c>
      <c r="F133" s="12" t="n">
        <v>-1.822</v>
      </c>
      <c r="G133" s="12" t="n">
        <v>89.026</v>
      </c>
      <c r="H133" s="12" t="n">
        <v>145.858</v>
      </c>
      <c r="I133" s="12" t="n">
        <v>138.588</v>
      </c>
      <c r="J133" s="12" t="n">
        <v>51.774</v>
      </c>
      <c r="K133" s="12" t="n">
        <v>91.069</v>
      </c>
      <c r="L133" s="12" t="n">
        <v>171.324</v>
      </c>
      <c r="M133" s="12" t="n">
        <v>79.107</v>
      </c>
      <c r="N133" s="12" t="n">
        <v>57.728</v>
      </c>
      <c r="T133" s="12" t="n">
        <v>-157.717</v>
      </c>
      <c r="U133" s="12" t="n">
        <v>29.518</v>
      </c>
      <c r="V133" s="12" t="n">
        <v>-1.822</v>
      </c>
      <c r="W133" s="12" t="n">
        <v>51.774</v>
      </c>
      <c r="X133" s="12" t="n">
        <v>57.728</v>
      </c>
    </row>
    <row r="134">
      <c r="A134" s="9" t="inlineStr">
        <is>
          <t>비지배주주 포괄이익</t>
        </is>
      </c>
      <c r="C134" s="12" t="n">
        <v>0</v>
      </c>
      <c r="D134" s="12" t="n">
        <v>0</v>
      </c>
      <c r="E134" s="12" t="n">
        <v>0</v>
      </c>
      <c r="F134" s="12" t="n">
        <v>0</v>
      </c>
      <c r="G134" s="12" t="n">
        <v>0</v>
      </c>
      <c r="H134" s="12" t="n">
        <v>-3.54</v>
      </c>
      <c r="I134" s="12" t="n">
        <v>-2.321</v>
      </c>
      <c r="J134" s="12" t="n">
        <v>-0.694</v>
      </c>
      <c r="K134" s="12" t="n">
        <v>0</v>
      </c>
      <c r="L134" s="12" t="n">
        <v>-0.05</v>
      </c>
      <c r="M134" s="12" t="n">
        <v>0</v>
      </c>
      <c r="N134" s="12" t="n">
        <v>0</v>
      </c>
      <c r="T134" s="12" t="n">
        <v>0</v>
      </c>
      <c r="U134" s="12" t="n">
        <v>0</v>
      </c>
      <c r="V134" s="12" t="n">
        <v>0</v>
      </c>
      <c r="W134" s="12" t="n">
        <v>-0.694</v>
      </c>
      <c r="X134" s="12" t="n">
        <v>0</v>
      </c>
    </row>
    <row r="136">
      <c r="A136" s="16" t="inlineStr">
        <is>
          <t>부문 · 전 항목</t>
        </is>
      </c>
      <c r="B136" s="42" t="inlineStr">
        <is>
          <t>부문 · 항목</t>
        </is>
      </c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</row>
    <row r="137">
      <c r="A137" s="5" t="inlineStr">
        <is>
          <t>항목</t>
        </is>
      </c>
      <c r="B137" s="5" t="inlineStr">
        <is>
          <t>참고</t>
        </is>
      </c>
      <c r="C137" s="5" t="inlineStr">
        <is>
          <t>2024.1Q</t>
        </is>
      </c>
      <c r="D137" s="5" t="inlineStr">
        <is>
          <t>2024.2Q</t>
        </is>
      </c>
      <c r="E137" s="5" t="inlineStr">
        <is>
          <t>2024.3Q</t>
        </is>
      </c>
      <c r="F137" s="5" t="inlineStr">
        <is>
          <t>2024.4Q</t>
        </is>
      </c>
      <c r="G137" s="5" t="inlineStr">
        <is>
          <t>2025.1Q</t>
        </is>
      </c>
      <c r="H137" s="5" t="inlineStr">
        <is>
          <t>2025.2Q</t>
        </is>
      </c>
      <c r="I137" s="5" t="inlineStr">
        <is>
          <t>2025.3Q</t>
        </is>
      </c>
      <c r="J137" s="5" t="inlineStr">
        <is>
          <t>2025.4Q</t>
        </is>
      </c>
      <c r="K137" s="5" t="inlineStr">
        <is>
          <t>2026.1Q</t>
        </is>
      </c>
      <c r="L137" s="5" t="inlineStr">
        <is>
          <t>2026.2Q</t>
        </is>
      </c>
      <c r="M137" s="5" t="inlineStr">
        <is>
          <t>2026.3Q</t>
        </is>
      </c>
      <c r="N137" s="5" t="inlineStr">
        <is>
          <t>2026.4Q</t>
        </is>
      </c>
      <c r="O137" s="5" t="inlineStr">
        <is>
          <t>2017</t>
        </is>
      </c>
      <c r="P137" s="5" t="inlineStr">
        <is>
          <t>2018</t>
        </is>
      </c>
      <c r="Q137" s="5" t="inlineStr">
        <is>
          <t>2019</t>
        </is>
      </c>
      <c r="R137" s="5" t="inlineStr">
        <is>
          <t>2020</t>
        </is>
      </c>
      <c r="S137" s="5" t="inlineStr">
        <is>
          <t>2021</t>
        </is>
      </c>
      <c r="T137" s="5" t="inlineStr">
        <is>
          <t>2022</t>
        </is>
      </c>
      <c r="U137" s="5" t="inlineStr">
        <is>
          <t>2023</t>
        </is>
      </c>
      <c r="V137" s="5" t="inlineStr">
        <is>
          <t>2024</t>
        </is>
      </c>
      <c r="W137" s="5" t="inlineStr">
        <is>
          <t>2025</t>
        </is>
      </c>
      <c r="X137" s="5" t="inlineStr">
        <is>
          <t>2026</t>
        </is>
      </c>
      <c r="Y137" s="5" t="inlineStr">
        <is>
          <t>2027(MW)</t>
        </is>
      </c>
      <c r="Z137" s="5" t="inlineStr">
        <is>
          <t>2028(MW)</t>
        </is>
      </c>
      <c r="AA137" s="5" t="inlineStr">
        <is>
          <t>2029(MW)</t>
        </is>
      </c>
      <c r="AB137" s="5" t="inlineStr">
        <is>
          <t>2030(MW)</t>
        </is>
      </c>
      <c r="AC137" s="5" t="inlineStr">
        <is>
          <t>2031(MW)</t>
        </is>
      </c>
    </row>
    <row r="138">
      <c r="A138" s="18" t="inlineStr">
        <is>
          <t>DesignPartnerBusinessReportableSegmentMember · 외부 고객 매출</t>
        </is>
      </c>
      <c r="C138" s="20" t="n">
        <v>950.8680000000001</v>
      </c>
      <c r="D138" s="20" t="n">
        <v>960.968</v>
      </c>
      <c r="E138" s="20" t="n">
        <v>842.2670000000001</v>
      </c>
      <c r="F138" s="20" t="n">
        <v>841.463</v>
      </c>
      <c r="G138" s="20" t="n">
        <v>1114.732</v>
      </c>
      <c r="H138" s="20" t="n">
        <v>1171.805</v>
      </c>
      <c r="I138" s="20" t="n">
        <v>1255.631</v>
      </c>
      <c r="J138" s="20" t="n">
        <v>1153.978</v>
      </c>
      <c r="K138" s="20" t="n">
        <v>1129.272</v>
      </c>
      <c r="L138" s="20" t="n">
        <v>1246.137</v>
      </c>
      <c r="M138" s="20" t="n">
        <v>1177.857</v>
      </c>
      <c r="N138" s="20" t="n">
        <v>1239.277</v>
      </c>
      <c r="V138" s="20" t="n">
        <v>841.463</v>
      </c>
      <c r="W138" s="20" t="n">
        <v>1153.978</v>
      </c>
      <c r="X138" s="20" t="n">
        <v>1239.277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IF(OR(G138="",C138=""),"",IF(C138&lt;=0,"",IFERROR(G138/C138-1,"")))</f>
        <v/>
      </c>
      <c r="H139" s="15">
        <f>IF(OR(H138="",D138=""),"",IF(D138&lt;=0,"",IFERROR(H138/D138-1,"")))</f>
        <v/>
      </c>
      <c r="I139" s="15">
        <f>IF(OR(I138="",E138=""),"",IF(E138&lt;=0,"",IFERROR(I138/E138-1,"")))</f>
        <v/>
      </c>
      <c r="J139" s="15">
        <f>IF(OR(J138="",F138=""),"",IF(F138&lt;=0,"",IFERROR(J138/F138-1,"")))</f>
        <v/>
      </c>
      <c r="K139" s="15">
        <f>IF(OR(K138="",G138=""),"",IF(G138&lt;=0,"",IFERROR(K138/G138-1,"")))</f>
        <v/>
      </c>
      <c r="L139" s="15">
        <f>IF(OR(L138="",H138=""),"",IF(H138&lt;=0,"",IFERROR(L138/H138-1,"")))</f>
        <v/>
      </c>
      <c r="M139" s="15">
        <f>IF(OR(M138="",I138=""),"",IF(I138&lt;=0,"",IFERROR(M138/I138-1,"")))</f>
        <v/>
      </c>
      <c r="N139" s="15">
        <f>IF(OR(N138="",J138=""),"",IF(J138&lt;=0,"",IFERROR(N138/J138-1,"")))</f>
        <v/>
      </c>
      <c r="V139" s="15">
        <f>IF(OR(V138="",U138=""),"",IF(U138&lt;=0,"",IFERROR(V138/U138-1,"")))</f>
        <v/>
      </c>
      <c r="W139" s="15">
        <f>IF(OR(W138="",V138=""),"",IF(V138&lt;=0,"",IFERROR(W138/V138-1,"")))</f>
        <v/>
      </c>
      <c r="X139" s="15">
        <f>IF(OR(X138="",W138=""),"",IF(W138&lt;=0,"",IFERROR(X138/W138-1,"")))</f>
        <v/>
      </c>
    </row>
    <row r="140">
      <c r="A140" s="18" t="inlineStr">
        <is>
          <t>DesignPlatformBusinessReportableSegmentMember · 외부 고객 매출</t>
        </is>
      </c>
      <c r="C140" s="20" t="n">
        <v>73.57599999999999</v>
      </c>
      <c r="D140" s="20" t="n">
        <v>79.67</v>
      </c>
      <c r="E140" s="20" t="n">
        <v>92.846</v>
      </c>
      <c r="F140" s="20" t="n">
        <v>101.309</v>
      </c>
      <c r="G140" s="20" t="n">
        <v>99.455</v>
      </c>
      <c r="H140" s="20" t="n">
        <v>82.96299999999999</v>
      </c>
      <c r="I140" s="20" t="n">
        <v>110.466</v>
      </c>
      <c r="J140" s="20" t="n">
        <v>96.52200000000001</v>
      </c>
      <c r="K140" s="20" t="n">
        <v>77.08799999999999</v>
      </c>
      <c r="L140" s="20" t="n">
        <v>126.102</v>
      </c>
      <c r="M140" s="20" t="n">
        <v>91.318</v>
      </c>
      <c r="N140" s="20" t="n">
        <v>110.208</v>
      </c>
      <c r="V140" s="20" t="n">
        <v>101.309</v>
      </c>
      <c r="W140" s="20" t="n">
        <v>96.52200000000001</v>
      </c>
      <c r="X140" s="20" t="n">
        <v>110.208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IF(OR(G140="",C140=""),"",IF(C140&lt;=0,"",IFERROR(G140/C140-1,"")))</f>
        <v/>
      </c>
      <c r="H141" s="15">
        <f>IF(OR(H140="",D140=""),"",IF(D140&lt;=0,"",IFERROR(H140/D140-1,"")))</f>
        <v/>
      </c>
      <c r="I141" s="15">
        <f>IF(OR(I140="",E140=""),"",IF(E140&lt;=0,"",IFERROR(I140/E140-1,"")))</f>
        <v/>
      </c>
      <c r="J141" s="15">
        <f>IF(OR(J140="",F140=""),"",IF(F140&lt;=0,"",IFERROR(J140/F140-1,"")))</f>
        <v/>
      </c>
      <c r="K141" s="15">
        <f>IF(OR(K140="",G140=""),"",IF(G140&lt;=0,"",IFERROR(K140/G140-1,"")))</f>
        <v/>
      </c>
      <c r="L141" s="15">
        <f>IF(OR(L140="",H140=""),"",IF(H140&lt;=0,"",IFERROR(L140/H140-1,"")))</f>
        <v/>
      </c>
      <c r="M141" s="15">
        <f>IF(OR(M140="",I140=""),"",IF(I140&lt;=0,"",IFERROR(M140/I140-1,"")))</f>
        <v/>
      </c>
      <c r="N141" s="15">
        <f>IF(OR(N140="",J140=""),"",IF(J140&lt;=0,"",IFERROR(N140/J140-1,"")))</f>
        <v/>
      </c>
      <c r="V141" s="15">
        <f>IF(OR(V140="",U140=""),"",IF(U140&lt;=0,"",IFERROR(V140/U140-1,"")))</f>
        <v/>
      </c>
      <c r="W141" s="15">
        <f>IF(OR(W140="",V140=""),"",IF(V140&lt;=0,"",IFERROR(W140/V140-1,"")))</f>
        <v/>
      </c>
      <c r="X141" s="15">
        <f>IF(OR(X140="",W140=""),"",IF(W140&lt;=0,"",IFERROR(X140/W140-1,"")))</f>
        <v/>
      </c>
    </row>
    <row r="142">
      <c r="A142" s="18" t="inlineStr">
        <is>
          <t>보고부문 합계 · 외부 고객 매출</t>
        </is>
      </c>
      <c r="C142" s="20" t="n">
        <v>1024.444</v>
      </c>
      <c r="D142" s="20" t="n">
        <v>1040.638</v>
      </c>
      <c r="E142" s="20" t="n">
        <v>935.114</v>
      </c>
      <c r="F142" s="20" t="n">
        <v>942.771</v>
      </c>
      <c r="G142" s="20" t="n">
        <v>1214.187</v>
      </c>
      <c r="H142" s="20" t="n">
        <v>1254.768</v>
      </c>
      <c r="I142" s="20" t="n">
        <v>1366.097</v>
      </c>
      <c r="J142" s="20" t="n">
        <v>1250.501</v>
      </c>
      <c r="K142" s="20" t="n">
        <v>1206.36</v>
      </c>
      <c r="L142" s="20" t="n">
        <v>1372.24</v>
      </c>
      <c r="M142" s="20" t="n">
        <v>1269.175</v>
      </c>
      <c r="N142" s="20" t="n">
        <v>1349.484</v>
      </c>
      <c r="V142" s="20" t="n">
        <v>942.771</v>
      </c>
      <c r="W142" s="20" t="n">
        <v>1250.501</v>
      </c>
      <c r="X142" s="20" t="n">
        <v>1349.484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18" t="inlineStr">
        <is>
          <t>조정액 · 외부 고객 매출</t>
        </is>
      </c>
      <c r="C144" s="20" t="n">
        <v>0</v>
      </c>
      <c r="D144" s="20" t="n">
        <v>0</v>
      </c>
      <c r="E144" s="20" t="n">
        <v>0</v>
      </c>
      <c r="F144" s="20" t="n">
        <v>0</v>
      </c>
      <c r="G144" s="20" t="n">
        <v>0</v>
      </c>
      <c r="H144" s="20" t="n">
        <v>0</v>
      </c>
      <c r="I144" s="20" t="n">
        <v>0</v>
      </c>
      <c r="J144" s="20" t="n">
        <v>0</v>
      </c>
      <c r="K144" s="20" t="n">
        <v>0</v>
      </c>
      <c r="L144" s="20" t="n">
        <v>0</v>
      </c>
      <c r="M144" s="20" t="n">
        <v>0</v>
      </c>
      <c r="N144" s="20" t="n">
        <v>0</v>
      </c>
      <c r="V144" s="20" t="n">
        <v>0</v>
      </c>
      <c r="W144" s="20" t="n">
        <v>0</v>
      </c>
      <c r="X144" s="20" t="n">
        <v>0</v>
      </c>
    </row>
    <row r="145">
      <c r="A145" s="18" t="inlineStr">
        <is>
          <t>EntityTotalMember · 외부 고객 매출</t>
        </is>
      </c>
      <c r="G145" s="20" t="n">
        <v>1214.187</v>
      </c>
      <c r="K145" s="20" t="n">
        <v>1206.36</v>
      </c>
    </row>
    <row r="146">
      <c r="A146" s="9" t="inlineStr">
        <is>
          <t>외부 고객 매출</t>
        </is>
      </c>
      <c r="C146" s="12" t="n">
        <v>1024.444</v>
      </c>
      <c r="D146" s="12" t="n">
        <v>1040.638</v>
      </c>
      <c r="E146" s="12" t="n">
        <v>935.114</v>
      </c>
      <c r="F146" s="12" t="n">
        <v>942.771</v>
      </c>
      <c r="G146" s="12" t="n">
        <v>1214.187</v>
      </c>
      <c r="H146" s="12" t="n">
        <v>1254.768</v>
      </c>
      <c r="I146" s="12" t="n">
        <v>1366.097</v>
      </c>
      <c r="J146" s="12" t="n">
        <v>1250.501</v>
      </c>
      <c r="V146" s="12" t="n">
        <v>942.771</v>
      </c>
      <c r="W146" s="12" t="n">
        <v>1250.501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</row>
    <row r="148">
      <c r="A148" s="18" t="inlineStr">
        <is>
          <t>DesignPartnerBusinessReportableSegmentMember · 부문 간 내부매출·대체</t>
        </is>
      </c>
      <c r="C148" s="20" t="n">
        <v>0</v>
      </c>
      <c r="D148" s="20" t="n">
        <v>0</v>
      </c>
      <c r="E148" s="20" t="n">
        <v>0</v>
      </c>
      <c r="F148" s="20" t="n">
        <v>0</v>
      </c>
      <c r="G148" s="20" t="n">
        <v>0</v>
      </c>
      <c r="H148" s="20" t="n">
        <v>0</v>
      </c>
      <c r="I148" s="20" t="n">
        <v>0</v>
      </c>
      <c r="J148" s="20" t="n">
        <v>0</v>
      </c>
      <c r="K148" s="20" t="n">
        <v>0</v>
      </c>
      <c r="L148" s="20" t="n">
        <v>0.15</v>
      </c>
      <c r="M148" s="20" t="n">
        <v>0</v>
      </c>
      <c r="N148" s="20" t="n">
        <v>2.76</v>
      </c>
      <c r="V148" s="20" t="n">
        <v>0</v>
      </c>
      <c r="W148" s="20" t="n">
        <v>0</v>
      </c>
      <c r="X148" s="20" t="n">
        <v>2.76</v>
      </c>
    </row>
    <row r="149">
      <c r="A149" s="18" t="inlineStr">
        <is>
          <t>DesignPlatformBusinessReportableSegmentMember · 부문 간 내부매출·대체</t>
        </is>
      </c>
      <c r="C149" s="20" t="n">
        <v>0</v>
      </c>
      <c r="D149" s="20" t="n">
        <v>0</v>
      </c>
      <c r="E149" s="20" t="n">
        <v>0</v>
      </c>
      <c r="F149" s="20" t="n">
        <v>0</v>
      </c>
      <c r="G149" s="20" t="n">
        <v>0</v>
      </c>
      <c r="H149" s="20" t="n">
        <v>0</v>
      </c>
      <c r="I149" s="20" t="n">
        <v>0</v>
      </c>
      <c r="J149" s="20" t="n">
        <v>0</v>
      </c>
      <c r="K149" s="20" t="n">
        <v>0</v>
      </c>
      <c r="L149" s="20" t="n">
        <v>0</v>
      </c>
      <c r="M149" s="20" t="n">
        <v>0</v>
      </c>
      <c r="N149" s="20" t="n">
        <v>3.681</v>
      </c>
      <c r="V149" s="20" t="n">
        <v>0</v>
      </c>
      <c r="W149" s="20" t="n">
        <v>0</v>
      </c>
      <c r="X149" s="20" t="n">
        <v>3.681</v>
      </c>
    </row>
    <row r="150">
      <c r="A150" s="18" t="inlineStr">
        <is>
          <t>보고부문 합계 · 부문 간 내부매출·대체</t>
        </is>
      </c>
      <c r="C150" s="20" t="n">
        <v>0</v>
      </c>
      <c r="D150" s="20" t="n">
        <v>0</v>
      </c>
      <c r="E150" s="20" t="n">
        <v>0</v>
      </c>
      <c r="F150" s="20" t="n">
        <v>0</v>
      </c>
      <c r="G150" s="20" t="n">
        <v>0</v>
      </c>
      <c r="H150" s="20" t="n">
        <v>0</v>
      </c>
      <c r="I150" s="20" t="n">
        <v>0</v>
      </c>
      <c r="J150" s="20" t="n">
        <v>0</v>
      </c>
      <c r="K150" s="20" t="n">
        <v>0</v>
      </c>
      <c r="L150" s="20" t="n">
        <v>0.15</v>
      </c>
      <c r="M150" s="20" t="n">
        <v>0</v>
      </c>
      <c r="N150" s="20" t="n">
        <v>6.441</v>
      </c>
      <c r="V150" s="20" t="n">
        <v>0</v>
      </c>
      <c r="W150" s="20" t="n">
        <v>0</v>
      </c>
      <c r="X150" s="20" t="n">
        <v>6.441</v>
      </c>
    </row>
    <row r="151">
      <c r="A151" s="18" t="inlineStr">
        <is>
          <t>조정액 · 부문 간 내부매출·대체</t>
        </is>
      </c>
      <c r="C151" s="20" t="n">
        <v>0</v>
      </c>
      <c r="D151" s="20" t="n">
        <v>0</v>
      </c>
      <c r="E151" s="20" t="n">
        <v>0</v>
      </c>
      <c r="F151" s="20" t="n">
        <v>0</v>
      </c>
      <c r="G151" s="20" t="n">
        <v>0</v>
      </c>
      <c r="H151" s="20" t="n">
        <v>0</v>
      </c>
      <c r="I151" s="20" t="n">
        <v>0</v>
      </c>
      <c r="J151" s="20" t="n">
        <v>0</v>
      </c>
      <c r="K151" s="20" t="n">
        <v>0</v>
      </c>
      <c r="L151" s="20" t="n">
        <v>-0.15</v>
      </c>
      <c r="M151" s="20" t="n">
        <v>0</v>
      </c>
      <c r="N151" s="20" t="n">
        <v>-6.441</v>
      </c>
      <c r="V151" s="20" t="n">
        <v>0</v>
      </c>
      <c r="W151" s="20" t="n">
        <v>0</v>
      </c>
      <c r="X151" s="20" t="n">
        <v>-6.441</v>
      </c>
    </row>
    <row r="152">
      <c r="A152" s="18" t="inlineStr">
        <is>
          <t>EntityTotalMember · 부문 간 내부매출·대체</t>
        </is>
      </c>
      <c r="G152" s="20" t="n">
        <v>0</v>
      </c>
      <c r="K152" s="20" t="n">
        <v>0</v>
      </c>
    </row>
    <row r="153">
      <c r="A153" s="18" t="inlineStr">
        <is>
          <t>부문 간 내부매출·대체</t>
        </is>
      </c>
      <c r="C153" s="20" t="n">
        <v>0</v>
      </c>
      <c r="D153" s="20" t="n">
        <v>0</v>
      </c>
      <c r="E153" s="20" t="n">
        <v>0</v>
      </c>
      <c r="F153" s="20" t="n">
        <v>0</v>
      </c>
      <c r="G153" s="20" t="n">
        <v>0</v>
      </c>
      <c r="H153" s="20" t="n">
        <v>0</v>
      </c>
      <c r="I153" s="20" t="n">
        <v>0</v>
      </c>
      <c r="J153" s="20" t="n">
        <v>0</v>
      </c>
      <c r="V153" s="20" t="n">
        <v>0</v>
      </c>
      <c r="W153" s="20" t="n">
        <v>0</v>
      </c>
    </row>
    <row r="154">
      <c r="A154" s="18" t="inlineStr">
        <is>
          <t>DesignPartnerBusinessReportableSegmentMember · 계</t>
        </is>
      </c>
      <c r="C154" s="20" t="n">
        <v>950.8680000000001</v>
      </c>
      <c r="D154" s="20" t="n">
        <v>960.968</v>
      </c>
      <c r="E154" s="20" t="n">
        <v>842.2670000000001</v>
      </c>
      <c r="F154" s="20" t="n">
        <v>841.463</v>
      </c>
      <c r="G154" s="20" t="n">
        <v>1114.732</v>
      </c>
      <c r="H154" s="20" t="n">
        <v>1171.805</v>
      </c>
      <c r="I154" s="20" t="n">
        <v>1255.631</v>
      </c>
      <c r="J154" s="20" t="n">
        <v>1153.978</v>
      </c>
      <c r="K154" s="20" t="n">
        <v>1129.272</v>
      </c>
      <c r="L154" s="20" t="n">
        <v>1246.287</v>
      </c>
      <c r="M154" s="20" t="n">
        <v>1177.857</v>
      </c>
      <c r="N154" s="20" t="n">
        <v>1242.037</v>
      </c>
      <c r="V154" s="20" t="n">
        <v>841.463</v>
      </c>
      <c r="W154" s="20" t="n">
        <v>1153.978</v>
      </c>
      <c r="X154" s="20" t="n">
        <v>1242.037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DesignPlatformBusinessReportableSegmentMember · 계</t>
        </is>
      </c>
      <c r="C156" s="20" t="n">
        <v>73.57599999999999</v>
      </c>
      <c r="D156" s="20" t="n">
        <v>79.67</v>
      </c>
      <c r="E156" s="20" t="n">
        <v>92.846</v>
      </c>
      <c r="F156" s="20" t="n">
        <v>101.309</v>
      </c>
      <c r="G156" s="20" t="n">
        <v>99.455</v>
      </c>
      <c r="H156" s="20" t="n">
        <v>82.96299999999999</v>
      </c>
      <c r="I156" s="20" t="n">
        <v>110.466</v>
      </c>
      <c r="J156" s="20" t="n">
        <v>96.52200000000001</v>
      </c>
      <c r="K156" s="20" t="n">
        <v>77.08799999999999</v>
      </c>
      <c r="L156" s="20" t="n">
        <v>126.102</v>
      </c>
      <c r="M156" s="20" t="n">
        <v>91.318</v>
      </c>
      <c r="N156" s="20" t="n">
        <v>113.889</v>
      </c>
      <c r="V156" s="20" t="n">
        <v>101.309</v>
      </c>
      <c r="W156" s="20" t="n">
        <v>96.52200000000001</v>
      </c>
      <c r="X156" s="20" t="n">
        <v>113.889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8">
      <c r="A158" s="18" t="inlineStr">
        <is>
          <t>보고부문 합계 · 계</t>
        </is>
      </c>
      <c r="C158" s="20" t="n">
        <v>1024.444</v>
      </c>
      <c r="D158" s="20" t="n">
        <v>1040.638</v>
      </c>
      <c r="E158" s="20" t="n">
        <v>935.114</v>
      </c>
      <c r="F158" s="20" t="n">
        <v>942.771</v>
      </c>
      <c r="G158" s="20" t="n">
        <v>1214.187</v>
      </c>
      <c r="H158" s="20" t="n">
        <v>1254.768</v>
      </c>
      <c r="I158" s="20" t="n">
        <v>1366.097</v>
      </c>
      <c r="J158" s="20" t="n">
        <v>1250.501</v>
      </c>
      <c r="K158" s="20" t="n">
        <v>1206.36</v>
      </c>
      <c r="L158" s="20" t="n">
        <v>1372.39</v>
      </c>
      <c r="M158" s="20" t="n">
        <v>1269.175</v>
      </c>
      <c r="N158" s="20" t="n">
        <v>1355.925</v>
      </c>
      <c r="V158" s="20" t="n">
        <v>942.771</v>
      </c>
      <c r="W158" s="20" t="n">
        <v>1250.501</v>
      </c>
      <c r="X158" s="20" t="n">
        <v>1355.925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조정액 · 계</t>
        </is>
      </c>
      <c r="C160" s="20" t="n">
        <v>0</v>
      </c>
      <c r="D160" s="20" t="n">
        <v>0</v>
      </c>
      <c r="E160" s="20" t="n">
        <v>0</v>
      </c>
      <c r="F160" s="20" t="n">
        <v>0</v>
      </c>
      <c r="G160" s="20" t="n">
        <v>0</v>
      </c>
      <c r="H160" s="20" t="n">
        <v>0</v>
      </c>
      <c r="I160" s="20" t="n">
        <v>0</v>
      </c>
      <c r="J160" s="20" t="n">
        <v>0</v>
      </c>
      <c r="K160" s="20" t="n">
        <v>0</v>
      </c>
      <c r="L160" s="20" t="n">
        <v>-0.15</v>
      </c>
      <c r="M160" s="20" t="n">
        <v>0</v>
      </c>
      <c r="N160" s="20" t="n">
        <v>-6.441</v>
      </c>
      <c r="V160" s="20" t="n">
        <v>0</v>
      </c>
      <c r="W160" s="20" t="n">
        <v>0</v>
      </c>
      <c r="X160" s="20" t="n">
        <v>-6.441</v>
      </c>
    </row>
    <row r="161">
      <c r="A161" s="18" t="inlineStr">
        <is>
          <t>EntityTotalMember · 계</t>
        </is>
      </c>
      <c r="G161" s="20" t="n">
        <v>1214.187</v>
      </c>
      <c r="K161" s="20" t="n">
        <v>1206.36</v>
      </c>
    </row>
    <row r="162">
      <c r="A162" s="9" t="inlineStr">
        <is>
          <t>계</t>
        </is>
      </c>
      <c r="C162" s="12" t="n">
        <v>1024.444</v>
      </c>
      <c r="D162" s="12" t="n">
        <v>1040.638</v>
      </c>
      <c r="E162" s="12" t="n">
        <v>935.114</v>
      </c>
      <c r="F162" s="12" t="n">
        <v>942.771</v>
      </c>
      <c r="G162" s="12" t="n">
        <v>1214.187</v>
      </c>
      <c r="H162" s="12" t="n">
        <v>1254.768</v>
      </c>
      <c r="I162" s="12" t="n">
        <v>1366.097</v>
      </c>
      <c r="J162" s="12" t="n">
        <v>1250.501</v>
      </c>
      <c r="V162" s="12" t="n">
        <v>942.771</v>
      </c>
      <c r="W162" s="12" t="n">
        <v>1250.501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J163" s="15">
        <f>IF(OR(J162="",F162=""),"",IF(F162&lt;=0,"",IFERROR(J162/F162-1,"")))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</row>
    <row r="164">
      <c r="A164" s="18" t="inlineStr">
        <is>
          <t>DesignPartnerBusinessReportableSegmentMember · 부문 이익(손실)</t>
        </is>
      </c>
      <c r="C164" s="20" t="n">
        <v>5.833</v>
      </c>
      <c r="D164" s="20" t="n">
        <v>135.316</v>
      </c>
      <c r="E164" s="20" t="n">
        <v>-17.366</v>
      </c>
      <c r="F164" s="20" t="n">
        <v>4.588</v>
      </c>
      <c r="G164" s="20" t="n">
        <v>132.169</v>
      </c>
      <c r="H164" s="20" t="n">
        <v>222.077</v>
      </c>
      <c r="I164" s="20" t="n">
        <v>184.249</v>
      </c>
      <c r="J164" s="20" t="n">
        <v>73.056</v>
      </c>
      <c r="K164" s="20" t="n">
        <v>105.577</v>
      </c>
      <c r="L164" s="20" t="n">
        <v>179.09</v>
      </c>
      <c r="M164" s="20" t="n">
        <v>94.994</v>
      </c>
      <c r="N164" s="20" t="n">
        <v>133.061</v>
      </c>
      <c r="V164" s="20" t="n">
        <v>4.588</v>
      </c>
      <c r="W164" s="20" t="n">
        <v>73.056</v>
      </c>
      <c r="X164" s="20" t="n">
        <v>133.061</v>
      </c>
    </row>
    <row r="165">
      <c r="A165" s="43" t="inlineStr">
        <is>
          <t>OPM</t>
        </is>
      </c>
      <c r="B165" s="3" t="inlineStr">
        <is>
          <t>영업이익 ÷ 매출</t>
        </is>
      </c>
      <c r="C165" s="15">
        <f>IF(OR(C164="",C154=""),"",IF(C154&lt;=0,"",IFERROR(C164/C154,"")))</f>
        <v/>
      </c>
      <c r="D165" s="15">
        <f>IF(OR(D164="",D154=""),"",IF(D154&lt;=0,"",IFERROR(D164/D154,"")))</f>
        <v/>
      </c>
      <c r="E165" s="15">
        <f>IF(OR(E164="",E154=""),"",IF(E154&lt;=0,"",IFERROR(E164/E154,"")))</f>
        <v/>
      </c>
      <c r="F165" s="15">
        <f>IF(OR(F164="",F154=""),"",IF(F154&lt;=0,"",IFERROR(F164/F154,"")))</f>
        <v/>
      </c>
      <c r="G165" s="15">
        <f>IF(OR(G164="",G154=""),"",IF(G154&lt;=0,"",IFERROR(G164/G154,"")))</f>
        <v/>
      </c>
      <c r="H165" s="15">
        <f>IF(OR(H164="",H154=""),"",IF(H154&lt;=0,"",IFERROR(H164/H154,"")))</f>
        <v/>
      </c>
      <c r="I165" s="15">
        <f>IF(OR(I164="",I154=""),"",IF(I154&lt;=0,"",IFERROR(I164/I154,"")))</f>
        <v/>
      </c>
      <c r="J165" s="15">
        <f>IF(OR(J164="",J154=""),"",IF(J154&lt;=0,"",IFERROR(J164/J154,"")))</f>
        <v/>
      </c>
      <c r="K165" s="15">
        <f>IF(OR(K164="",K154=""),"",IF(K154&lt;=0,"",IFERROR(K164/K154,"")))</f>
        <v/>
      </c>
      <c r="L165" s="15">
        <f>IF(OR(L164="",L154=""),"",IF(L154&lt;=0,"",IFERROR(L164/L154,"")))</f>
        <v/>
      </c>
      <c r="M165" s="15">
        <f>IF(OR(M164="",M154=""),"",IF(M154&lt;=0,"",IFERROR(M164/M154,"")))</f>
        <v/>
      </c>
      <c r="N165" s="15">
        <f>IF(OR(N164="",N154=""),"",IF(N154&lt;=0,"",IFERROR(N164/N154,"")))</f>
        <v/>
      </c>
      <c r="V165" s="15">
        <f>IF(OR(V164="",V154=""),"",IF(V154&lt;=0,"",IFERROR(V164/V154,"")))</f>
        <v/>
      </c>
      <c r="W165" s="15">
        <f>IF(OR(W164="",W154=""),"",IF(W154&lt;=0,"",IFERROR(W164/W154,"")))</f>
        <v/>
      </c>
      <c r="X165" s="15">
        <f>IF(OR(X164="",X154=""),"",IF(X154&lt;=0,"",IFERROR(X164/X154,"")))</f>
        <v/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IF(OR(G164="",C164=""),"",IF(C164&lt;=0,"",IFERROR(G164/C164-1,"")))</f>
        <v/>
      </c>
      <c r="H166" s="15">
        <f>IF(OR(H164="",D164=""),"",IF(D164&lt;=0,"",IFERROR(H164/D164-1,"")))</f>
        <v/>
      </c>
      <c r="I166" s="15">
        <f>IF(OR(I164="",E164=""),"",IF(E164&lt;=0,"",IFERROR(I164/E164-1,"")))</f>
        <v/>
      </c>
      <c r="J166" s="15">
        <f>IF(OR(J164="",F164=""),"",IF(F164&lt;=0,"",IFERROR(J164/F164-1,"")))</f>
        <v/>
      </c>
      <c r="K166" s="15">
        <f>IF(OR(K164="",G164=""),"",IF(G164&lt;=0,"",IFERROR(K164/G164-1,"")))</f>
        <v/>
      </c>
      <c r="L166" s="15">
        <f>IF(OR(L164="",H164=""),"",IF(H164&lt;=0,"",IFERROR(L164/H164-1,"")))</f>
        <v/>
      </c>
      <c r="M166" s="15">
        <f>IF(OR(M164="",I164=""),"",IF(I164&lt;=0,"",IFERROR(M164/I164-1,"")))</f>
        <v/>
      </c>
      <c r="N166" s="15">
        <f>IF(OR(N164="",J164=""),"",IF(J164&lt;=0,"",IFERROR(N164/J164-1,"")))</f>
        <v/>
      </c>
      <c r="V166" s="15">
        <f>IF(OR(V164="",U164=""),"",IF(U164&lt;=0,"",IFERROR(V164/U164-1,"")))</f>
        <v/>
      </c>
      <c r="W166" s="15">
        <f>IF(OR(W164="",V164=""),"",IF(V164&lt;=0,"",IFERROR(W164/V164-1,"")))</f>
        <v/>
      </c>
      <c r="X166" s="15">
        <f>IF(OR(X164="",W164=""),"",IF(W164&lt;=0,"",IFERROR(X164/W164-1,"")))</f>
        <v/>
      </c>
    </row>
    <row r="167">
      <c r="A167" s="18" t="inlineStr">
        <is>
          <t>DesignPlatformBusinessReportableSegmentMember · 부문 이익(손실)</t>
        </is>
      </c>
      <c r="C167" s="20" t="n">
        <v>-34.141</v>
      </c>
      <c r="D167" s="20" t="n">
        <v>-31.133</v>
      </c>
      <c r="E167" s="20" t="n">
        <v>-23.122</v>
      </c>
      <c r="F167" s="20" t="n">
        <v>-5.449</v>
      </c>
      <c r="G167" s="20" t="n">
        <v>-3.509</v>
      </c>
      <c r="H167" s="20" t="n">
        <v>-20.83</v>
      </c>
      <c r="I167" s="20" t="n">
        <v>-4.714</v>
      </c>
      <c r="J167" s="20" t="n">
        <v>-25.014</v>
      </c>
      <c r="K167" s="20" t="n">
        <v>-28.301</v>
      </c>
      <c r="L167" s="20" t="n">
        <v>6.433</v>
      </c>
      <c r="M167" s="20" t="n">
        <v>-27.762</v>
      </c>
      <c r="N167" s="20" t="n">
        <v>-9.484</v>
      </c>
      <c r="V167" s="20" t="n">
        <v>-5.449</v>
      </c>
      <c r="W167" s="20" t="n">
        <v>-25.014</v>
      </c>
      <c r="X167" s="20" t="n">
        <v>-9.484</v>
      </c>
    </row>
    <row r="168">
      <c r="A168" s="43" t="inlineStr">
        <is>
          <t>OPM</t>
        </is>
      </c>
      <c r="B168" s="3" t="inlineStr">
        <is>
          <t>영업이익 ÷ 매출</t>
        </is>
      </c>
      <c r="C168" s="15">
        <f>IF(OR(C167="",C156=""),"",IF(C156&lt;=0,"",IFERROR(C167/C156,"")))</f>
        <v/>
      </c>
      <c r="D168" s="15">
        <f>IF(OR(D167="",D156=""),"",IF(D156&lt;=0,"",IFERROR(D167/D156,"")))</f>
        <v/>
      </c>
      <c r="E168" s="15">
        <f>IF(OR(E167="",E156=""),"",IF(E156&lt;=0,"",IFERROR(E167/E156,"")))</f>
        <v/>
      </c>
      <c r="F168" s="15">
        <f>IF(OR(F167="",F156=""),"",IF(F156&lt;=0,"",IFERROR(F167/F156,"")))</f>
        <v/>
      </c>
      <c r="G168" s="15">
        <f>IF(OR(G167="",G156=""),"",IF(G156&lt;=0,"",IFERROR(G167/G156,"")))</f>
        <v/>
      </c>
      <c r="H168" s="15">
        <f>IF(OR(H167="",H156=""),"",IF(H156&lt;=0,"",IFERROR(H167/H156,"")))</f>
        <v/>
      </c>
      <c r="I168" s="15">
        <f>IF(OR(I167="",I156=""),"",IF(I156&lt;=0,"",IFERROR(I167/I156,"")))</f>
        <v/>
      </c>
      <c r="J168" s="15">
        <f>IF(OR(J167="",J156=""),"",IF(J156&lt;=0,"",IFERROR(J167/J156,"")))</f>
        <v/>
      </c>
      <c r="K168" s="15">
        <f>IF(OR(K167="",K156=""),"",IF(K156&lt;=0,"",IFERROR(K167/K156,"")))</f>
        <v/>
      </c>
      <c r="L168" s="15">
        <f>IF(OR(L167="",L156=""),"",IF(L156&lt;=0,"",IFERROR(L167/L156,"")))</f>
        <v/>
      </c>
      <c r="M168" s="15">
        <f>IF(OR(M167="",M156=""),"",IF(M156&lt;=0,"",IFERROR(M167/M156,"")))</f>
        <v/>
      </c>
      <c r="N168" s="15">
        <f>IF(OR(N167="",N156=""),"",IF(N156&lt;=0,"",IFERROR(N167/N156,"")))</f>
        <v/>
      </c>
      <c r="V168" s="15">
        <f>IF(OR(V167="",V156=""),"",IF(V156&lt;=0,"",IFERROR(V167/V156,"")))</f>
        <v/>
      </c>
      <c r="W168" s="15">
        <f>IF(OR(W167="",W156=""),"",IF(W156&lt;=0,"",IFERROR(W167/W156,"")))</f>
        <v/>
      </c>
      <c r="X168" s="15">
        <f>IF(OR(X167="",X156=""),"",IF(X156&lt;=0,"",IFERROR(X167/X156,"")))</f>
        <v/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IF(OR(G167="",C167=""),"",IF(C167&lt;=0,"",IFERROR(G167/C167-1,"")))</f>
        <v/>
      </c>
      <c r="H169" s="15">
        <f>IF(OR(H167="",D167=""),"",IF(D167&lt;=0,"",IFERROR(H167/D167-1,"")))</f>
        <v/>
      </c>
      <c r="I169" s="15">
        <f>IF(OR(I167="",E167=""),"",IF(E167&lt;=0,"",IFERROR(I167/E167-1,"")))</f>
        <v/>
      </c>
      <c r="J169" s="15">
        <f>IF(OR(J167="",F167=""),"",IF(F167&lt;=0,"",IFERROR(J167/F167-1,"")))</f>
        <v/>
      </c>
      <c r="K169" s="15">
        <f>IF(OR(K167="",G167=""),"",IF(G167&lt;=0,"",IFERROR(K167/G167-1,"")))</f>
        <v/>
      </c>
      <c r="L169" s="15">
        <f>IF(OR(L167="",H167=""),"",IF(H167&lt;=0,"",IFERROR(L167/H167-1,"")))</f>
        <v/>
      </c>
      <c r="M169" s="15">
        <f>IF(OR(M167="",I167=""),"",IF(I167&lt;=0,"",IFERROR(M167/I167-1,"")))</f>
        <v/>
      </c>
      <c r="N169" s="15">
        <f>IF(OR(N167="",J167=""),"",IF(J167&lt;=0,"",IFERROR(N167/J167-1,"")))</f>
        <v/>
      </c>
      <c r="V169" s="15">
        <f>IF(OR(V167="",U167=""),"",IF(U167&lt;=0,"",IFERROR(V167/U167-1,"")))</f>
        <v/>
      </c>
      <c r="W169" s="15">
        <f>IF(OR(W167="",V167=""),"",IF(V167&lt;=0,"",IFERROR(W167/V167-1,"")))</f>
        <v/>
      </c>
      <c r="X169" s="15">
        <f>IF(OR(X167="",W167=""),"",IF(W167&lt;=0,"",IFERROR(X167/W167-1,"")))</f>
        <v/>
      </c>
    </row>
    <row r="170">
      <c r="A170" s="18" t="inlineStr">
        <is>
          <t>보고부문 합계 · 부문 이익(손실)</t>
        </is>
      </c>
      <c r="C170" s="20" t="n">
        <v>-28.307</v>
      </c>
      <c r="D170" s="20" t="n">
        <v>104.181</v>
      </c>
      <c r="E170" s="20" t="n">
        <v>-40.488</v>
      </c>
      <c r="F170" s="20" t="n">
        <v>-0.86</v>
      </c>
      <c r="G170" s="20" t="n">
        <v>128.66</v>
      </c>
      <c r="H170" s="20" t="n">
        <v>201.246</v>
      </c>
      <c r="I170" s="20" t="n">
        <v>179.536</v>
      </c>
      <c r="J170" s="20" t="n">
        <v>48.041</v>
      </c>
      <c r="K170" s="20" t="n">
        <v>77.276</v>
      </c>
      <c r="L170" s="20" t="n">
        <v>185.523</v>
      </c>
      <c r="M170" s="20" t="n">
        <v>67.232</v>
      </c>
      <c r="N170" s="20" t="n">
        <v>123.577</v>
      </c>
      <c r="V170" s="20" t="n">
        <v>-0.86</v>
      </c>
      <c r="W170" s="20" t="n">
        <v>48.041</v>
      </c>
      <c r="X170" s="20" t="n">
        <v>123.577</v>
      </c>
    </row>
    <row r="171">
      <c r="A171" s="43" t="inlineStr">
        <is>
          <t>OPM</t>
        </is>
      </c>
      <c r="B171" s="3" t="inlineStr">
        <is>
          <t>영업이익 ÷ 매출</t>
        </is>
      </c>
      <c r="C171" s="15">
        <f>IF(OR(C170="",C158=""),"",IF(C158&lt;=0,"",IFERROR(C170/C158,"")))</f>
        <v/>
      </c>
      <c r="D171" s="15">
        <f>IF(OR(D170="",D158=""),"",IF(D158&lt;=0,"",IFERROR(D170/D158,"")))</f>
        <v/>
      </c>
      <c r="E171" s="15">
        <f>IF(OR(E170="",E158=""),"",IF(E158&lt;=0,"",IFERROR(E170/E158,"")))</f>
        <v/>
      </c>
      <c r="F171" s="15">
        <f>IF(OR(F170="",F158=""),"",IF(F158&lt;=0,"",IFERROR(F170/F158,"")))</f>
        <v/>
      </c>
      <c r="G171" s="15">
        <f>IF(OR(G170="",G158=""),"",IF(G158&lt;=0,"",IFERROR(G170/G158,"")))</f>
        <v/>
      </c>
      <c r="H171" s="15">
        <f>IF(OR(H170="",H158=""),"",IF(H158&lt;=0,"",IFERROR(H170/H158,"")))</f>
        <v/>
      </c>
      <c r="I171" s="15">
        <f>IF(OR(I170="",I158=""),"",IF(I158&lt;=0,"",IFERROR(I170/I158,"")))</f>
        <v/>
      </c>
      <c r="J171" s="15">
        <f>IF(OR(J170="",J158=""),"",IF(J158&lt;=0,"",IFERROR(J170/J158,"")))</f>
        <v/>
      </c>
      <c r="K171" s="15">
        <f>IF(OR(K170="",K158=""),"",IF(K158&lt;=0,"",IFERROR(K170/K158,"")))</f>
        <v/>
      </c>
      <c r="L171" s="15">
        <f>IF(OR(L170="",L158=""),"",IF(L158&lt;=0,"",IFERROR(L170/L158,"")))</f>
        <v/>
      </c>
      <c r="M171" s="15">
        <f>IF(OR(M170="",M158=""),"",IF(M158&lt;=0,"",IFERROR(M170/M158,"")))</f>
        <v/>
      </c>
      <c r="N171" s="15">
        <f>IF(OR(N170="",N158=""),"",IF(N158&lt;=0,"",IFERROR(N170/N158,"")))</f>
        <v/>
      </c>
      <c r="V171" s="15">
        <f>IF(OR(V170="",V158=""),"",IF(V158&lt;=0,"",IFERROR(V170/V158,"")))</f>
        <v/>
      </c>
      <c r="W171" s="15">
        <f>IF(OR(W170="",W158=""),"",IF(W158&lt;=0,"",IFERROR(W170/W158,"")))</f>
        <v/>
      </c>
      <c r="X171" s="15">
        <f>IF(OR(X170="",X158=""),"",IF(X158&lt;=0,"",IFERROR(X170/X158,"")))</f>
        <v/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IF(OR(G170="",C170=""),"",IF(C170&lt;=0,"",IFERROR(G170/C170-1,"")))</f>
        <v/>
      </c>
      <c r="H172" s="15">
        <f>IF(OR(H170="",D170=""),"",IF(D170&lt;=0,"",IFERROR(H170/D170-1,"")))</f>
        <v/>
      </c>
      <c r="I172" s="15">
        <f>IF(OR(I170="",E170=""),"",IF(E170&lt;=0,"",IFERROR(I170/E170-1,"")))</f>
        <v/>
      </c>
      <c r="J172" s="15">
        <f>IF(OR(J170="",F170=""),"",IF(F170&lt;=0,"",IFERROR(J170/F170-1,"")))</f>
        <v/>
      </c>
      <c r="K172" s="15">
        <f>IF(OR(K170="",G170=""),"",IF(G170&lt;=0,"",IFERROR(K170/G170-1,"")))</f>
        <v/>
      </c>
      <c r="L172" s="15">
        <f>IF(OR(L170="",H170=""),"",IF(H170&lt;=0,"",IFERROR(L170/H170-1,"")))</f>
        <v/>
      </c>
      <c r="M172" s="15">
        <f>IF(OR(M170="",I170=""),"",IF(I170&lt;=0,"",IFERROR(M170/I170-1,"")))</f>
        <v/>
      </c>
      <c r="N172" s="15">
        <f>IF(OR(N170="",J170=""),"",IF(J170&lt;=0,"",IFERROR(N170/J170-1,"")))</f>
        <v/>
      </c>
      <c r="V172" s="15">
        <f>IF(OR(V170="",U170=""),"",IF(U170&lt;=0,"",IFERROR(V170/U170-1,"")))</f>
        <v/>
      </c>
      <c r="W172" s="15">
        <f>IF(OR(W170="",V170=""),"",IF(V170&lt;=0,"",IFERROR(W170/V170-1,"")))</f>
        <v/>
      </c>
      <c r="X172" s="15">
        <f>IF(OR(X170="",W170=""),"",IF(W170&lt;=0,"",IFERROR(X170/W170-1,"")))</f>
        <v/>
      </c>
    </row>
    <row r="173">
      <c r="A173" s="18" t="inlineStr">
        <is>
          <t>조정액 · 부문 이익(손실)</t>
        </is>
      </c>
      <c r="C173" s="20" t="n">
        <v>0</v>
      </c>
      <c r="D173" s="20" t="n">
        <v>0</v>
      </c>
      <c r="E173" s="20" t="n">
        <v>0</v>
      </c>
      <c r="F173" s="20" t="n">
        <v>0</v>
      </c>
      <c r="G173" s="20" t="n">
        <v>0</v>
      </c>
      <c r="H173" s="20" t="n">
        <v>0</v>
      </c>
      <c r="I173" s="20" t="n">
        <v>0</v>
      </c>
      <c r="J173" s="20" t="n">
        <v>0</v>
      </c>
      <c r="K173" s="20" t="n">
        <v>0</v>
      </c>
      <c r="L173" s="20" t="n">
        <v>-0.15</v>
      </c>
      <c r="M173" s="20" t="n">
        <v>0</v>
      </c>
      <c r="N173" s="20" t="n">
        <v>-6.441</v>
      </c>
      <c r="V173" s="20" t="n">
        <v>0</v>
      </c>
      <c r="W173" s="20" t="n">
        <v>0</v>
      </c>
      <c r="X173" s="20" t="n">
        <v>-6.441</v>
      </c>
    </row>
    <row r="174">
      <c r="A174" s="18" t="inlineStr">
        <is>
          <t>EntityTotalMember · 부문 이익(손실)</t>
        </is>
      </c>
      <c r="G174" s="20" t="n">
        <v>128.66</v>
      </c>
      <c r="K174" s="20" t="n">
        <v>77.276</v>
      </c>
    </row>
    <row r="175">
      <c r="A175" s="9" t="inlineStr">
        <is>
          <t>부문 이익(손실)</t>
        </is>
      </c>
      <c r="C175" s="12" t="n">
        <v>-28.307</v>
      </c>
      <c r="D175" s="12" t="n">
        <v>104.181</v>
      </c>
      <c r="E175" s="12" t="n">
        <v>-40.488</v>
      </c>
      <c r="F175" s="12" t="n">
        <v>-0.86</v>
      </c>
      <c r="G175" s="12" t="n">
        <v>128.66</v>
      </c>
      <c r="H175" s="12" t="n">
        <v>201.246</v>
      </c>
      <c r="I175" s="12" t="n">
        <v>179.536</v>
      </c>
      <c r="J175" s="12" t="n">
        <v>48.041</v>
      </c>
      <c r="V175" s="12" t="n">
        <v>-0.86</v>
      </c>
      <c r="W175" s="12" t="n">
        <v>48.041</v>
      </c>
    </row>
    <row r="176">
      <c r="A176" s="43" t="inlineStr">
        <is>
          <t>OPM</t>
        </is>
      </c>
      <c r="B176" s="3" t="inlineStr">
        <is>
          <t>영업이익 ÷ 매출</t>
        </is>
      </c>
      <c r="C176" s="15">
        <f>IF(OR(C175="",C146=""),"",IF(C146&lt;=0,"",IFERROR(C175/C146,"")))</f>
        <v/>
      </c>
      <c r="D176" s="15">
        <f>IF(OR(D175="",D146=""),"",IF(D146&lt;=0,"",IFERROR(D175/D146,"")))</f>
        <v/>
      </c>
      <c r="E176" s="15">
        <f>IF(OR(E175="",E146=""),"",IF(E146&lt;=0,"",IFERROR(E175/E146,"")))</f>
        <v/>
      </c>
      <c r="F176" s="15">
        <f>IF(OR(F175="",F146=""),"",IF(F146&lt;=0,"",IFERROR(F175/F146,"")))</f>
        <v/>
      </c>
      <c r="G176" s="15">
        <f>IF(OR(G175="",G146=""),"",IF(G146&lt;=0,"",IFERROR(G175/G146,"")))</f>
        <v/>
      </c>
      <c r="H176" s="15">
        <f>IF(OR(H175="",H146=""),"",IF(H146&lt;=0,"",IFERROR(H175/H146,"")))</f>
        <v/>
      </c>
      <c r="I176" s="15">
        <f>IF(OR(I175="",I146=""),"",IF(I146&lt;=0,"",IFERROR(I175/I146,"")))</f>
        <v/>
      </c>
      <c r="J176" s="15">
        <f>IF(OR(J175="",J146=""),"",IF(J146&lt;=0,"",IFERROR(J175/J146,"")))</f>
        <v/>
      </c>
      <c r="V176" s="15">
        <f>IF(OR(V175="",V146=""),"",IF(V146&lt;=0,"",IFERROR(V175/V146,"")))</f>
        <v/>
      </c>
      <c r="W176" s="15">
        <f>IF(OR(W175="",W146=""),"",IF(W146&lt;=0,"",IFERROR(W175/W146,"")))</f>
        <v/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IF(OR(G175="",C175=""),"",IF(C175&lt;=0,"",IFERROR(G175/C175-1,"")))</f>
        <v/>
      </c>
      <c r="H177" s="15">
        <f>IF(OR(H175="",D175=""),"",IF(D175&lt;=0,"",IFERROR(H175/D175-1,"")))</f>
        <v/>
      </c>
      <c r="I177" s="15">
        <f>IF(OR(I175="",E175=""),"",IF(E175&lt;=0,"",IFERROR(I175/E175-1,"")))</f>
        <v/>
      </c>
      <c r="J177" s="15">
        <f>IF(OR(J175="",F175=""),"",IF(F175&lt;=0,"",IFERROR(J175/F175-1,"")))</f>
        <v/>
      </c>
      <c r="V177" s="15">
        <f>IF(OR(V175="",U175=""),"",IF(U175&lt;=0,"",IFERROR(V175/U175-1,"")))</f>
        <v/>
      </c>
      <c r="W177" s="15">
        <f>IF(OR(W175="",V175=""),"",IF(V175&lt;=0,"",IFERROR(W175/V175-1,"")))</f>
        <v/>
      </c>
    </row>
    <row r="179">
      <c r="A179" s="16" t="inlineStr">
        <is>
          <t>현금흐름표 · 전 항목</t>
        </is>
      </c>
      <c r="B179" s="42" t="inlineStr">
        <is>
          <t>분기 = 결산기 첫날부터 누계(공시 그대로)</t>
        </is>
      </c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</row>
    <row r="180">
      <c r="A180" s="5" t="inlineStr">
        <is>
          <t>항목</t>
        </is>
      </c>
      <c r="B180" s="5" t="inlineStr">
        <is>
          <t>참고</t>
        </is>
      </c>
      <c r="C180" s="5" t="inlineStr">
        <is>
          <t>2024.1Q</t>
        </is>
      </c>
      <c r="D180" s="5" t="inlineStr">
        <is>
          <t>2024.2Q</t>
        </is>
      </c>
      <c r="E180" s="5" t="inlineStr">
        <is>
          <t>2024.3Q</t>
        </is>
      </c>
      <c r="F180" s="5" t="inlineStr">
        <is>
          <t>2024.4Q</t>
        </is>
      </c>
      <c r="G180" s="5" t="inlineStr">
        <is>
          <t>2025.1Q</t>
        </is>
      </c>
      <c r="H180" s="5" t="inlineStr">
        <is>
          <t>2025.2Q</t>
        </is>
      </c>
      <c r="I180" s="5" t="inlineStr">
        <is>
          <t>2025.3Q</t>
        </is>
      </c>
      <c r="J180" s="5" t="inlineStr">
        <is>
          <t>2025.4Q</t>
        </is>
      </c>
      <c r="K180" s="5" t="inlineStr">
        <is>
          <t>2026.1Q</t>
        </is>
      </c>
      <c r="L180" s="5" t="inlineStr">
        <is>
          <t>2026.2Q</t>
        </is>
      </c>
      <c r="M180" s="5" t="inlineStr">
        <is>
          <t>2026.3Q</t>
        </is>
      </c>
      <c r="N180" s="5" t="inlineStr">
        <is>
          <t>2026.4Q</t>
        </is>
      </c>
      <c r="O180" s="5" t="inlineStr">
        <is>
          <t>2017</t>
        </is>
      </c>
      <c r="P180" s="5" t="inlineStr">
        <is>
          <t>2018</t>
        </is>
      </c>
      <c r="Q180" s="5" t="inlineStr">
        <is>
          <t>2019</t>
        </is>
      </c>
      <c r="R180" s="5" t="inlineStr">
        <is>
          <t>2020</t>
        </is>
      </c>
      <c r="S180" s="5" t="inlineStr">
        <is>
          <t>2021</t>
        </is>
      </c>
      <c r="T180" s="5" t="inlineStr">
        <is>
          <t>2022</t>
        </is>
      </c>
      <c r="U180" s="5" t="inlineStr">
        <is>
          <t>2023</t>
        </is>
      </c>
      <c r="V180" s="5" t="inlineStr">
        <is>
          <t>2024</t>
        </is>
      </c>
      <c r="W180" s="5" t="inlineStr">
        <is>
          <t>2025</t>
        </is>
      </c>
      <c r="X180" s="5" t="inlineStr">
        <is>
          <t>2026</t>
        </is>
      </c>
      <c r="Y180" s="5" t="inlineStr">
        <is>
          <t>2027(MW)</t>
        </is>
      </c>
      <c r="Z180" s="5" t="inlineStr">
        <is>
          <t>2028(MW)</t>
        </is>
      </c>
      <c r="AA180" s="5" t="inlineStr">
        <is>
          <t>2029(MW)</t>
        </is>
      </c>
      <c r="AB180" s="5" t="inlineStr">
        <is>
          <t>2030(MW)</t>
        </is>
      </c>
      <c r="AC180" s="5" t="inlineStr">
        <is>
          <t>2031(MW)</t>
        </is>
      </c>
    </row>
    <row r="181">
      <c r="A181" s="9" t="inlineStr">
        <is>
          <t>법인세차감전 순이익</t>
        </is>
      </c>
      <c r="D181" s="12" t="n">
        <v>78.70999999999999</v>
      </c>
      <c r="F181" s="12" t="n">
        <v>47.429</v>
      </c>
      <c r="H181" s="12" t="n">
        <v>344.381</v>
      </c>
      <c r="J181" s="12" t="n">
        <v>621.1559999999999</v>
      </c>
      <c r="L181" s="12" t="n">
        <v>342.411</v>
      </c>
      <c r="N181" s="12" t="n">
        <v>554.1420000000001</v>
      </c>
      <c r="Q181" s="12" t="n">
        <v>83.678</v>
      </c>
      <c r="R181" s="12" t="n">
        <v>201.72</v>
      </c>
      <c r="S181" s="12" t="n">
        <v>393.907</v>
      </c>
      <c r="T181" s="12" t="n">
        <v>149.178</v>
      </c>
      <c r="U181" s="12" t="n">
        <v>345.498</v>
      </c>
      <c r="V181" s="12" t="n">
        <v>47.429</v>
      </c>
      <c r="W181" s="12" t="n">
        <v>621.1559999999999</v>
      </c>
      <c r="X181" s="12" t="n">
        <v>554.1420000000001</v>
      </c>
    </row>
    <row r="182">
      <c r="A182" s="18" t="inlineStr">
        <is>
          <t>감가상각비</t>
        </is>
      </c>
      <c r="D182" s="20" t="n">
        <v>9.755000000000001</v>
      </c>
      <c r="F182" s="20" t="n">
        <v>20.365</v>
      </c>
      <c r="H182" s="20" t="n">
        <v>9.396000000000001</v>
      </c>
      <c r="J182" s="20" t="n">
        <v>19.386</v>
      </c>
      <c r="L182" s="20" t="n">
        <v>11.608</v>
      </c>
      <c r="N182" s="20" t="n">
        <v>25.455</v>
      </c>
      <c r="Q182" s="20" t="n">
        <v>34.525</v>
      </c>
      <c r="R182" s="20" t="n">
        <v>48.049</v>
      </c>
      <c r="S182" s="20" t="n">
        <v>52.956</v>
      </c>
      <c r="T182" s="20" t="n">
        <v>49.664</v>
      </c>
      <c r="U182" s="20" t="n">
        <v>22.913</v>
      </c>
      <c r="V182" s="20" t="n">
        <v>20.365</v>
      </c>
      <c r="W182" s="20" t="n">
        <v>19.386</v>
      </c>
      <c r="X182" s="20" t="n">
        <v>25.455</v>
      </c>
    </row>
    <row r="183">
      <c r="A183" s="18" t="inlineStr">
        <is>
          <t>영업권 상각</t>
        </is>
      </c>
      <c r="D183" s="20" t="n">
        <v>31.733</v>
      </c>
      <c r="F183" s="20" t="n">
        <v>63.467</v>
      </c>
      <c r="H183" s="20" t="n">
        <v>32.375</v>
      </c>
      <c r="J183" s="20" t="n">
        <v>65.39100000000001</v>
      </c>
      <c r="L183" s="20" t="n">
        <v>35.483</v>
      </c>
      <c r="N183" s="20" t="n">
        <v>71.717</v>
      </c>
      <c r="S183" s="20" t="n">
        <v>0</v>
      </c>
      <c r="T183" s="20" t="n">
        <v>31.733</v>
      </c>
      <c r="U183" s="20" t="n">
        <v>63.467</v>
      </c>
      <c r="V183" s="20" t="n">
        <v>63.467</v>
      </c>
      <c r="W183" s="20" t="n">
        <v>65.39100000000001</v>
      </c>
      <c r="X183" s="20" t="n">
        <v>71.717</v>
      </c>
    </row>
    <row r="184">
      <c r="A184" s="18" t="inlineStr">
        <is>
          <t>이자·배당금 수익</t>
        </is>
      </c>
      <c r="H184" s="20" t="n">
        <v>-1.567</v>
      </c>
      <c r="J184" s="20" t="n">
        <v>-38.03</v>
      </c>
      <c r="L184" s="20" t="n">
        <v>-67.38500000000001</v>
      </c>
      <c r="N184" s="20" t="n">
        <v>-132.861</v>
      </c>
      <c r="W184" s="20" t="n">
        <v>-38.03</v>
      </c>
      <c r="X184" s="20" t="n">
        <v>-132.861</v>
      </c>
    </row>
    <row r="185">
      <c r="A185" s="18" t="inlineStr">
        <is>
          <t>지분법손익</t>
        </is>
      </c>
      <c r="D185" s="20" t="n">
        <v>-8.272</v>
      </c>
      <c r="F185" s="20" t="n">
        <v>-15.16</v>
      </c>
      <c r="H185" s="20" t="n">
        <v>-12.756</v>
      </c>
      <c r="J185" s="20" t="n">
        <v>-21.741</v>
      </c>
      <c r="L185" s="20" t="n">
        <v>-14.18</v>
      </c>
      <c r="N185" s="20" t="n">
        <v>-23.131</v>
      </c>
      <c r="S185" s="20" t="n">
        <v>0</v>
      </c>
      <c r="T185" s="20" t="n">
        <v>0.5649999999999999</v>
      </c>
      <c r="U185" s="20" t="n">
        <v>-7.775</v>
      </c>
      <c r="V185" s="20" t="n">
        <v>-15.16</v>
      </c>
      <c r="W185" s="20" t="n">
        <v>-21.741</v>
      </c>
      <c r="X185" s="20" t="n">
        <v>-23.131</v>
      </c>
    </row>
    <row r="186">
      <c r="A186" s="18" t="inlineStr">
        <is>
          <t>사업정리 이익</t>
        </is>
      </c>
      <c r="D186" s="20" t="n">
        <v>0</v>
      </c>
    </row>
    <row r="187">
      <c r="A187" s="18" t="inlineStr">
        <is>
          <t>매출채권·계약자산 증감</t>
        </is>
      </c>
      <c r="D187" s="20" t="n">
        <v>49.915</v>
      </c>
      <c r="T187" s="20" t="n">
        <v>6.057</v>
      </c>
      <c r="U187" s="20" t="n">
        <v>-141.203</v>
      </c>
    </row>
    <row r="188">
      <c r="A188" s="18" t="inlineStr">
        <is>
          <t>사업정리 손익</t>
        </is>
      </c>
      <c r="F188" s="20" t="n">
        <v>0</v>
      </c>
      <c r="T188" s="20" t="n">
        <v>80.65000000000001</v>
      </c>
      <c r="U188" s="20" t="n">
        <v>-46.481</v>
      </c>
      <c r="V188" s="20" t="n">
        <v>0</v>
      </c>
    </row>
    <row r="189">
      <c r="A189" s="18" t="inlineStr">
        <is>
          <t>수주손실 충당금 증감</t>
        </is>
      </c>
      <c r="R189" s="20" t="n">
        <v>0</v>
      </c>
      <c r="S189" s="20" t="n">
        <v>6.333</v>
      </c>
      <c r="T189" s="20" t="n">
        <v>-6.333</v>
      </c>
      <c r="U189" s="20" t="n">
        <v>0</v>
      </c>
    </row>
    <row r="190">
      <c r="A190" s="18" t="inlineStr">
        <is>
          <t>이자비용</t>
        </is>
      </c>
      <c r="D190" s="20" t="n">
        <v>0.43</v>
      </c>
      <c r="F190" s="20" t="n">
        <v>1.54</v>
      </c>
      <c r="H190" s="20" t="n">
        <v>1.209</v>
      </c>
      <c r="J190" s="20" t="n">
        <v>2.392</v>
      </c>
      <c r="L190" s="20" t="n">
        <v>1.074</v>
      </c>
      <c r="N190" s="20" t="n">
        <v>1.875</v>
      </c>
      <c r="Q190" s="20" t="n">
        <v>5.643</v>
      </c>
      <c r="R190" s="20" t="n">
        <v>9.835000000000001</v>
      </c>
      <c r="S190" s="20" t="n">
        <v>5.424</v>
      </c>
      <c r="T190" s="20" t="n">
        <v>4.356</v>
      </c>
      <c r="U190" s="20" t="n">
        <v>1.331</v>
      </c>
      <c r="V190" s="20" t="n">
        <v>1.54</v>
      </c>
      <c r="W190" s="20" t="n">
        <v>2.392</v>
      </c>
      <c r="X190" s="20" t="n">
        <v>1.875</v>
      </c>
    </row>
    <row r="191">
      <c r="A191" s="18" t="inlineStr">
        <is>
          <t>주식교부비</t>
        </is>
      </c>
      <c r="D191" s="20" t="n">
        <v>0.093</v>
      </c>
      <c r="F191" s="20" t="n">
        <v>0.168</v>
      </c>
      <c r="H191" s="20" t="n">
        <v>0</v>
      </c>
      <c r="J191" s="20" t="n">
        <v>0.038</v>
      </c>
      <c r="L191" s="20" t="n">
        <v>0.031</v>
      </c>
      <c r="N191" s="20" t="n">
        <v>0.031</v>
      </c>
      <c r="Q191" s="20" t="n">
        <v>0</v>
      </c>
      <c r="R191" s="20" t="n">
        <v>4.092</v>
      </c>
      <c r="S191" s="20" t="n">
        <v>7.429</v>
      </c>
      <c r="T191" s="20" t="n">
        <v>3.087</v>
      </c>
      <c r="U191" s="20" t="n">
        <v>8.242000000000001</v>
      </c>
      <c r="V191" s="20" t="n">
        <v>0.168</v>
      </c>
      <c r="W191" s="20" t="n">
        <v>0.038</v>
      </c>
      <c r="X191" s="20" t="n">
        <v>0.031</v>
      </c>
    </row>
    <row r="192">
      <c r="A192" s="18" t="inlineStr">
        <is>
          <t>상장비용</t>
        </is>
      </c>
      <c r="Q192" s="20" t="n">
        <v>0</v>
      </c>
      <c r="R192" s="20" t="n">
        <v>3.326</v>
      </c>
      <c r="S192" s="20" t="n">
        <v>0</v>
      </c>
    </row>
    <row r="193">
      <c r="A193" s="18" t="inlineStr">
        <is>
          <t>신주예약권 발행비</t>
        </is>
      </c>
      <c r="F193" s="20" t="n">
        <v>0.552</v>
      </c>
      <c r="J193" s="20" t="n">
        <v>0</v>
      </c>
      <c r="N193" s="20" t="n">
        <v>0.552</v>
      </c>
      <c r="R193" s="20" t="n">
        <v>0</v>
      </c>
      <c r="S193" s="20" t="n">
        <v>7.031</v>
      </c>
      <c r="T193" s="20" t="n">
        <v>0.608</v>
      </c>
      <c r="U193" s="20" t="n">
        <v>0</v>
      </c>
      <c r="V193" s="20" t="n">
        <v>0.552</v>
      </c>
      <c r="W193" s="20" t="n">
        <v>0</v>
      </c>
      <c r="X193" s="20" t="n">
        <v>0.552</v>
      </c>
    </row>
    <row r="194">
      <c r="A194" s="18" t="inlineStr">
        <is>
          <t>매출채권 증감</t>
        </is>
      </c>
      <c r="Q194" s="20" t="n">
        <v>-47.017</v>
      </c>
      <c r="R194" s="20" t="n">
        <v>-54.497</v>
      </c>
      <c r="S194" s="20" t="n">
        <v>-48.48</v>
      </c>
      <c r="T194" s="20" t="n">
        <v>6.057</v>
      </c>
    </row>
    <row r="195">
      <c r="A195" s="18" t="inlineStr">
        <is>
          <t>자산복구부채 환입이익</t>
        </is>
      </c>
      <c r="J195" s="20" t="n">
        <v>0</v>
      </c>
      <c r="N195" s="20" t="n">
        <v>-2.59</v>
      </c>
      <c r="W195" s="20" t="n">
        <v>0</v>
      </c>
      <c r="X195" s="20" t="n">
        <v>-2.59</v>
      </c>
    </row>
    <row r="196">
      <c r="A196" s="18" t="inlineStr">
        <is>
          <t>투자유가증권 평가손익</t>
        </is>
      </c>
      <c r="J196" s="20" t="n">
        <v>0</v>
      </c>
      <c r="N196" s="20" t="n">
        <v>47.999</v>
      </c>
      <c r="S196" s="20" t="n">
        <v>0</v>
      </c>
      <c r="T196" s="20" t="n">
        <v>118.382</v>
      </c>
      <c r="U196" s="20" t="n">
        <v>0</v>
      </c>
      <c r="W196" s="20" t="n">
        <v>0</v>
      </c>
      <c r="X196" s="20" t="n">
        <v>47.999</v>
      </c>
    </row>
    <row r="197">
      <c r="A197" s="18" t="inlineStr">
        <is>
          <t>투자유가증권 매각손익</t>
        </is>
      </c>
      <c r="H197" s="20" t="n">
        <v>0</v>
      </c>
      <c r="J197" s="20" t="n">
        <v>0</v>
      </c>
      <c r="L197" s="20" t="n">
        <v>-5.002</v>
      </c>
      <c r="N197" s="20" t="n">
        <v>-5.002</v>
      </c>
      <c r="W197" s="20" t="n">
        <v>0</v>
      </c>
      <c r="X197" s="20" t="n">
        <v>-5.002</v>
      </c>
    </row>
    <row r="198">
      <c r="A198" s="18" t="inlineStr">
        <is>
          <t>관계회사 주식 매각이익</t>
        </is>
      </c>
      <c r="J198" s="20" t="n">
        <v>0</v>
      </c>
      <c r="N198" s="20" t="n">
        <v>-8.723000000000001</v>
      </c>
      <c r="W198" s="20" t="n">
        <v>0</v>
      </c>
      <c r="X198" s="20" t="n">
        <v>-8.723000000000001</v>
      </c>
    </row>
    <row r="199">
      <c r="A199" s="18" t="inlineStr">
        <is>
          <t>관계회사 청산이익</t>
        </is>
      </c>
      <c r="D199" s="20" t="n">
        <v>0</v>
      </c>
      <c r="F199" s="20" t="n">
        <v>0</v>
      </c>
      <c r="H199" s="20" t="n">
        <v>-0.971</v>
      </c>
      <c r="J199" s="20" t="n">
        <v>-0.971</v>
      </c>
      <c r="L199" s="20" t="n">
        <v>0</v>
      </c>
      <c r="N199" s="20" t="n">
        <v>0</v>
      </c>
      <c r="V199" s="20" t="n">
        <v>0</v>
      </c>
      <c r="W199" s="20" t="n">
        <v>-0.971</v>
      </c>
      <c r="X199" s="20" t="n">
        <v>0</v>
      </c>
    </row>
    <row r="200">
      <c r="A200" s="18" t="inlineStr">
        <is>
          <t>손상차손</t>
        </is>
      </c>
      <c r="J200" s="20" t="n">
        <v>0</v>
      </c>
      <c r="N200" s="20" t="n">
        <v>9.75</v>
      </c>
      <c r="S200" s="20" t="n">
        <v>0</v>
      </c>
      <c r="T200" s="20" t="n">
        <v>47.213</v>
      </c>
      <c r="U200" s="20" t="n">
        <v>0</v>
      </c>
      <c r="W200" s="20" t="n">
        <v>0</v>
      </c>
      <c r="X200" s="20" t="n">
        <v>9.75</v>
      </c>
    </row>
    <row r="201">
      <c r="A201" s="18" t="inlineStr">
        <is>
          <t>상여충당금 증감</t>
        </is>
      </c>
      <c r="D201" s="20" t="n">
        <v>11.728</v>
      </c>
      <c r="F201" s="20" t="n">
        <v>1.885</v>
      </c>
      <c r="H201" s="20" t="n">
        <v>25.992</v>
      </c>
      <c r="J201" s="20" t="n">
        <v>98.461</v>
      </c>
      <c r="L201" s="20" t="n">
        <v>-91.751</v>
      </c>
      <c r="N201" s="20" t="n">
        <v>-91.834</v>
      </c>
      <c r="S201" s="20" t="n">
        <v>0</v>
      </c>
      <c r="T201" s="20" t="n">
        <v>0.215</v>
      </c>
      <c r="U201" s="20" t="n">
        <v>-0.215</v>
      </c>
      <c r="V201" s="20" t="n">
        <v>1.885</v>
      </c>
      <c r="W201" s="20" t="n">
        <v>98.461</v>
      </c>
      <c r="X201" s="20" t="n">
        <v>-91.834</v>
      </c>
    </row>
    <row r="202">
      <c r="A202" s="18" t="inlineStr">
        <is>
          <t>관계회사 정리손실 충당금 증감</t>
        </is>
      </c>
      <c r="S202" s="20" t="n">
        <v>0</v>
      </c>
      <c r="T202" s="20" t="n">
        <v>72.44499999999999</v>
      </c>
    </row>
    <row r="203">
      <c r="A203" s="18" t="inlineStr">
        <is>
          <t>외환차손익</t>
        </is>
      </c>
      <c r="Q203" s="20" t="n">
        <v>3.413</v>
      </c>
      <c r="R203" s="20" t="n">
        <v>-3.045</v>
      </c>
      <c r="S203" s="20" t="n">
        <v>-1.436</v>
      </c>
      <c r="T203" s="20" t="n">
        <v>0.104</v>
      </c>
      <c r="U203" s="20" t="n">
        <v>0</v>
      </c>
    </row>
    <row r="204">
      <c r="A204" s="18" t="inlineStr">
        <is>
          <t>이자수익</t>
        </is>
      </c>
      <c r="D204" s="20" t="n">
        <v>-0.155</v>
      </c>
      <c r="F204" s="20" t="n">
        <v>-0.546</v>
      </c>
      <c r="H204" s="20" t="n">
        <v>-1.567</v>
      </c>
      <c r="J204" s="20" t="n">
        <v>-4.267</v>
      </c>
      <c r="Q204" s="20" t="n">
        <v>-0.014</v>
      </c>
      <c r="R204" s="20" t="n">
        <v>-0.007</v>
      </c>
      <c r="S204" s="20" t="n">
        <v>-0.017</v>
      </c>
      <c r="T204" s="20" t="n">
        <v>-0.026</v>
      </c>
      <c r="U204" s="20" t="n">
        <v>-0.073</v>
      </c>
      <c r="V204" s="20" t="n">
        <v>-0.546</v>
      </c>
      <c r="W204" s="20" t="n">
        <v>-4.267</v>
      </c>
    </row>
    <row r="205">
      <c r="A205" s="18" t="inlineStr">
        <is>
          <t>보조금 수입</t>
        </is>
      </c>
      <c r="Q205" s="20" t="n">
        <v>-14.559</v>
      </c>
      <c r="R205" s="20" t="n">
        <v>-9.656000000000001</v>
      </c>
      <c r="S205" s="20" t="n">
        <v>-2.071</v>
      </c>
      <c r="T205" s="20" t="n">
        <v>0</v>
      </c>
    </row>
    <row r="206">
      <c r="A206" s="18" t="inlineStr">
        <is>
          <t>임대료 수익</t>
        </is>
      </c>
      <c r="Q206" s="20" t="n">
        <v>-1.454</v>
      </c>
      <c r="R206" s="20" t="n">
        <v>0</v>
      </c>
      <c r="S206" s="20" t="n">
        <v>-4.004</v>
      </c>
      <c r="T206" s="20" t="n">
        <v>-10.457</v>
      </c>
      <c r="U206" s="20" t="n">
        <v>0</v>
      </c>
    </row>
    <row r="207">
      <c r="A207" s="18" t="inlineStr">
        <is>
          <t>매출채권·계약자산 증감</t>
        </is>
      </c>
      <c r="D207" s="20" t="n">
        <v>49.915</v>
      </c>
      <c r="F207" s="20" t="n">
        <v>27.972</v>
      </c>
      <c r="H207" s="20" t="n">
        <v>-109.662</v>
      </c>
      <c r="J207" s="20" t="n">
        <v>-156.553</v>
      </c>
      <c r="L207" s="20" t="n">
        <v>-15.529</v>
      </c>
      <c r="N207" s="20" t="n">
        <v>32.416</v>
      </c>
      <c r="U207" s="20" t="n">
        <v>-107.608</v>
      </c>
      <c r="V207" s="20" t="n">
        <v>27.972</v>
      </c>
      <c r="W207" s="20" t="n">
        <v>-156.553</v>
      </c>
      <c r="X207" s="20" t="n">
        <v>32.416</v>
      </c>
    </row>
    <row r="208">
      <c r="A208" s="18" t="inlineStr">
        <is>
          <t>재고자산 증감</t>
        </is>
      </c>
      <c r="D208" s="20" t="n">
        <v>2.118</v>
      </c>
      <c r="F208" s="20" t="n">
        <v>8.545999999999999</v>
      </c>
      <c r="H208" s="20" t="n">
        <v>-18.826</v>
      </c>
      <c r="J208" s="20" t="n">
        <v>-6.681</v>
      </c>
      <c r="L208" s="20" t="n">
        <v>0.611</v>
      </c>
      <c r="N208" s="20" t="n">
        <v>-4.96</v>
      </c>
      <c r="Q208" s="20" t="n">
        <v>22.562</v>
      </c>
      <c r="R208" s="20" t="n">
        <v>5.38</v>
      </c>
      <c r="S208" s="20" t="n">
        <v>-22.718</v>
      </c>
      <c r="T208" s="20" t="n">
        <v>21.722</v>
      </c>
      <c r="U208" s="20" t="n">
        <v>-9.677</v>
      </c>
      <c r="V208" s="20" t="n">
        <v>8.545999999999999</v>
      </c>
      <c r="W208" s="20" t="n">
        <v>-6.681</v>
      </c>
      <c r="X208" s="20" t="n">
        <v>-4.96</v>
      </c>
    </row>
    <row r="209">
      <c r="A209" s="18" t="inlineStr">
        <is>
          <t>선급비용 증감</t>
        </is>
      </c>
      <c r="D209" s="20" t="n">
        <v>-24.99</v>
      </c>
      <c r="F209" s="20" t="n">
        <v>-30.456</v>
      </c>
      <c r="H209" s="20" t="n">
        <v>-16.803</v>
      </c>
      <c r="J209" s="20" t="n">
        <v>24.299</v>
      </c>
      <c r="L209" s="20" t="n">
        <v>-38.024</v>
      </c>
      <c r="N209" s="20" t="n">
        <v>-33.61</v>
      </c>
      <c r="Q209" s="20" t="n">
        <v>-5.846</v>
      </c>
      <c r="R209" s="20" t="n">
        <v>-6.306</v>
      </c>
      <c r="S209" s="20" t="n">
        <v>-5.943</v>
      </c>
      <c r="T209" s="20" t="n">
        <v>4.705</v>
      </c>
      <c r="U209" s="20" t="n">
        <v>-4.105</v>
      </c>
      <c r="V209" s="20" t="n">
        <v>-30.456</v>
      </c>
      <c r="W209" s="20" t="n">
        <v>24.299</v>
      </c>
      <c r="X209" s="20" t="n">
        <v>-33.61</v>
      </c>
    </row>
    <row r="210">
      <c r="A210" s="18" t="inlineStr">
        <is>
          <t>매입채무 증감</t>
        </is>
      </c>
      <c r="D210" s="20" t="n">
        <v>-23.018</v>
      </c>
      <c r="F210" s="20" t="n">
        <v>-8.222</v>
      </c>
      <c r="H210" s="20" t="n">
        <v>43.626</v>
      </c>
      <c r="J210" s="20" t="n">
        <v>36.416</v>
      </c>
      <c r="L210" s="20" t="n">
        <v>13.148</v>
      </c>
      <c r="N210" s="20" t="n">
        <v>9.268000000000001</v>
      </c>
      <c r="Q210" s="20" t="n">
        <v>9.167999999999999</v>
      </c>
      <c r="R210" s="20" t="n">
        <v>1.033</v>
      </c>
      <c r="S210" s="20" t="n">
        <v>7.332</v>
      </c>
      <c r="T210" s="20" t="n">
        <v>-1.611</v>
      </c>
      <c r="U210" s="20" t="n">
        <v>23.576</v>
      </c>
      <c r="V210" s="20" t="n">
        <v>-8.222</v>
      </c>
      <c r="W210" s="20" t="n">
        <v>36.416</v>
      </c>
      <c r="X210" s="20" t="n">
        <v>9.268000000000001</v>
      </c>
    </row>
    <row r="211">
      <c r="A211" s="18" t="inlineStr">
        <is>
          <t>미지급금 증감</t>
        </is>
      </c>
      <c r="D211" s="20" t="n">
        <v>-53.952</v>
      </c>
      <c r="F211" s="20" t="n">
        <v>-47.493</v>
      </c>
      <c r="H211" s="20" t="n">
        <v>-9.432</v>
      </c>
      <c r="J211" s="20" t="n">
        <v>56.857</v>
      </c>
      <c r="L211" s="20" t="n">
        <v>-30.812</v>
      </c>
      <c r="N211" s="20" t="n">
        <v>-8.581</v>
      </c>
      <c r="Q211" s="20" t="n">
        <v>51.306</v>
      </c>
      <c r="R211" s="20" t="n">
        <v>-51.263</v>
      </c>
      <c r="S211" s="20" t="n">
        <v>32.332</v>
      </c>
      <c r="T211" s="20" t="n">
        <v>-11.47</v>
      </c>
      <c r="U211" s="20" t="n">
        <v>-7.006</v>
      </c>
      <c r="V211" s="20" t="n">
        <v>-47.493</v>
      </c>
      <c r="W211" s="20" t="n">
        <v>56.857</v>
      </c>
      <c r="X211" s="20" t="n">
        <v>-8.581</v>
      </c>
    </row>
    <row r="212">
      <c r="A212" s="18" t="inlineStr">
        <is>
          <t>예수금 증감</t>
        </is>
      </c>
      <c r="F212" s="20" t="n">
        <v>22.377</v>
      </c>
      <c r="J212" s="20" t="n">
        <v>-0.45</v>
      </c>
      <c r="N212" s="20" t="n">
        <v>-18.305</v>
      </c>
      <c r="V212" s="20" t="n">
        <v>22.377</v>
      </c>
      <c r="W212" s="20" t="n">
        <v>-0.45</v>
      </c>
      <c r="X212" s="20" t="n">
        <v>-18.305</v>
      </c>
    </row>
    <row r="213">
      <c r="A213" s="18" t="inlineStr">
        <is>
          <t>미지급비용 증감</t>
        </is>
      </c>
      <c r="D213" s="20" t="n">
        <v>-29.589</v>
      </c>
      <c r="F213" s="20" t="n">
        <v>-22.07</v>
      </c>
      <c r="H213" s="20" t="n">
        <v>-8.57</v>
      </c>
      <c r="J213" s="20" t="n">
        <v>-0.448</v>
      </c>
      <c r="L213" s="20" t="n">
        <v>-5.977</v>
      </c>
      <c r="N213" s="20" t="n">
        <v>2.797</v>
      </c>
      <c r="Q213" s="20" t="n">
        <v>16.474</v>
      </c>
      <c r="R213" s="20" t="n">
        <v>8.685</v>
      </c>
      <c r="S213" s="20" t="n">
        <v>7.888</v>
      </c>
      <c r="T213" s="20" t="n">
        <v>-0.636</v>
      </c>
      <c r="U213" s="20" t="n">
        <v>0.315</v>
      </c>
      <c r="V213" s="20" t="n">
        <v>-22.07</v>
      </c>
      <c r="W213" s="20" t="n">
        <v>-0.448</v>
      </c>
      <c r="X213" s="20" t="n">
        <v>2.797</v>
      </c>
    </row>
    <row r="214">
      <c r="A214" s="18" t="inlineStr">
        <is>
          <t>선수금 증감</t>
        </is>
      </c>
      <c r="Q214" s="20" t="n">
        <v>-21.999</v>
      </c>
      <c r="R214" s="20" t="n">
        <v>1.803</v>
      </c>
      <c r="S214" s="20" t="n">
        <v>35.684</v>
      </c>
      <c r="T214" s="20" t="n">
        <v>-33.594</v>
      </c>
    </row>
    <row r="215">
      <c r="A215" s="18" t="inlineStr">
        <is>
          <t>선수수익 증감</t>
        </is>
      </c>
      <c r="Q215" s="20" t="n">
        <v>-14.629</v>
      </c>
      <c r="R215" s="20" t="n">
        <v>-9.933999999999999</v>
      </c>
      <c r="S215" s="20" t="n">
        <v>4.885</v>
      </c>
      <c r="T215" s="20" t="n">
        <v>5.037</v>
      </c>
    </row>
    <row r="216">
      <c r="A216" s="18" t="inlineStr">
        <is>
          <t>계약부채 증감</t>
        </is>
      </c>
      <c r="D216" s="20" t="n">
        <v>-15.561</v>
      </c>
      <c r="T216" s="20" t="n">
        <v>-28.556</v>
      </c>
      <c r="U216" s="20" t="n">
        <v>10.414</v>
      </c>
    </row>
    <row r="217">
      <c r="A217" s="18" t="inlineStr">
        <is>
          <t>계약부채 증감</t>
        </is>
      </c>
      <c r="D217" s="20" t="n">
        <v>-15.561</v>
      </c>
      <c r="F217" s="20" t="n">
        <v>15.065</v>
      </c>
      <c r="H217" s="20" t="n">
        <v>-21.051</v>
      </c>
      <c r="J217" s="20" t="n">
        <v>-14.454</v>
      </c>
      <c r="L217" s="20" t="n">
        <v>5.935</v>
      </c>
      <c r="N217" s="20" t="n">
        <v>-9.471</v>
      </c>
      <c r="U217" s="20" t="n">
        <v>18.377</v>
      </c>
      <c r="V217" s="20" t="n">
        <v>15.065</v>
      </c>
      <c r="W217" s="20" t="n">
        <v>-14.454</v>
      </c>
      <c r="X217" s="20" t="n">
        <v>-9.471</v>
      </c>
    </row>
    <row r="218">
      <c r="A218" s="18" t="inlineStr">
        <is>
          <t>미지급 소비세 증감</t>
        </is>
      </c>
      <c r="D218" s="20" t="n">
        <v>-7.097</v>
      </c>
      <c r="F218" s="20" t="n">
        <v>-18.572</v>
      </c>
      <c r="H218" s="20" t="n">
        <v>46.106</v>
      </c>
      <c r="J218" s="20" t="n">
        <v>78.273</v>
      </c>
      <c r="L218" s="20" t="n">
        <v>-52.503</v>
      </c>
      <c r="N218" s="20" t="n">
        <v>-55.489</v>
      </c>
      <c r="Q218" s="20" t="n">
        <v>-17.187</v>
      </c>
      <c r="R218" s="20" t="n">
        <v>46.547</v>
      </c>
      <c r="S218" s="20" t="n">
        <v>-9.09</v>
      </c>
      <c r="T218" s="20" t="n">
        <v>20.62</v>
      </c>
      <c r="U218" s="20" t="n">
        <v>-45.124</v>
      </c>
      <c r="V218" s="20" t="n">
        <v>-18.572</v>
      </c>
      <c r="W218" s="20" t="n">
        <v>78.273</v>
      </c>
      <c r="X218" s="20" t="n">
        <v>-55.489</v>
      </c>
    </row>
    <row r="219">
      <c r="A219" s="18" t="inlineStr">
        <is>
          <t>기타</t>
        </is>
      </c>
      <c r="D219" s="20" t="n">
        <v>-0.044</v>
      </c>
      <c r="F219" s="20" t="n">
        <v>4.71</v>
      </c>
      <c r="H219" s="20" t="n">
        <v>-21.797</v>
      </c>
      <c r="J219" s="20" t="n">
        <v>12.545</v>
      </c>
      <c r="L219" s="20" t="n">
        <v>-7.923</v>
      </c>
      <c r="N219" s="20" t="n">
        <v>12.502</v>
      </c>
      <c r="Q219" s="20" t="n">
        <v>12.996</v>
      </c>
      <c r="R219" s="20" t="n">
        <v>-11.883</v>
      </c>
      <c r="S219" s="20" t="n">
        <v>67.214</v>
      </c>
      <c r="T219" s="20" t="n">
        <v>-3.539</v>
      </c>
      <c r="U219" s="20" t="n">
        <v>0.668</v>
      </c>
      <c r="V219" s="20" t="n">
        <v>4.71</v>
      </c>
      <c r="W219" s="20" t="n">
        <v>12.545</v>
      </c>
      <c r="X219" s="20" t="n">
        <v>12.502</v>
      </c>
    </row>
    <row r="220">
      <c r="A220" s="18" t="inlineStr">
        <is>
          <t>소계</t>
        </is>
      </c>
      <c r="D220" s="20" t="n">
        <v>21.804</v>
      </c>
      <c r="F220" s="20" t="n">
        <v>71.56</v>
      </c>
      <c r="H220" s="20" t="n">
        <v>281.648</v>
      </c>
      <c r="J220" s="20" t="n">
        <v>775.885</v>
      </c>
      <c r="L220" s="20" t="n">
        <v>81.214</v>
      </c>
      <c r="N220" s="20" t="n">
        <v>373.947</v>
      </c>
      <c r="Q220" s="20" t="n">
        <v>117.06</v>
      </c>
      <c r="R220" s="20" t="n">
        <v>183.88</v>
      </c>
      <c r="S220" s="20" t="n">
        <v>534.658</v>
      </c>
      <c r="T220" s="20" t="n">
        <v>476.233</v>
      </c>
      <c r="U220" s="20" t="n">
        <v>256.323</v>
      </c>
      <c r="V220" s="20" t="n">
        <v>71.56</v>
      </c>
      <c r="W220" s="20" t="n">
        <v>775.885</v>
      </c>
      <c r="X220" s="20" t="n">
        <v>373.947</v>
      </c>
    </row>
    <row r="221">
      <c r="A221" s="18" t="inlineStr">
        <is>
          <t>이자·배당금 수취</t>
        </is>
      </c>
      <c r="D221" s="20" t="n">
        <v>0.015</v>
      </c>
      <c r="F221" s="20" t="n">
        <v>0.266</v>
      </c>
      <c r="H221" s="20" t="n">
        <v>1.427</v>
      </c>
      <c r="J221" s="20" t="n">
        <v>37.82</v>
      </c>
      <c r="L221" s="20" t="n">
        <v>67.46299999999999</v>
      </c>
      <c r="N221" s="20" t="n">
        <v>130.154</v>
      </c>
      <c r="Q221" s="20" t="n">
        <v>0.014</v>
      </c>
      <c r="R221" s="20" t="n">
        <v>0.007</v>
      </c>
      <c r="S221" s="20" t="n">
        <v>0.017</v>
      </c>
      <c r="T221" s="20" t="n">
        <v>0.026</v>
      </c>
      <c r="U221" s="20" t="n">
        <v>0.027</v>
      </c>
      <c r="V221" s="20" t="n">
        <v>0.266</v>
      </c>
      <c r="W221" s="20" t="n">
        <v>37.82</v>
      </c>
      <c r="X221" s="20" t="n">
        <v>130.154</v>
      </c>
    </row>
    <row r="222">
      <c r="A222" s="18" t="inlineStr">
        <is>
          <t>이자 지급</t>
        </is>
      </c>
      <c r="D222" s="20" t="n">
        <v>-0.488</v>
      </c>
      <c r="F222" s="20" t="n">
        <v>-1.659</v>
      </c>
      <c r="H222" s="20" t="n">
        <v>-1.191</v>
      </c>
      <c r="J222" s="20" t="n">
        <v>-2.346</v>
      </c>
      <c r="L222" s="20" t="n">
        <v>-1.052</v>
      </c>
      <c r="N222" s="20" t="n">
        <v>-1.828</v>
      </c>
      <c r="Q222" s="20" t="n">
        <v>-5.643</v>
      </c>
      <c r="R222" s="20" t="n">
        <v>-9.835000000000001</v>
      </c>
      <c r="S222" s="20" t="n">
        <v>-5.448</v>
      </c>
      <c r="T222" s="20" t="n">
        <v>-4.346</v>
      </c>
      <c r="U222" s="20" t="n">
        <v>-1.322</v>
      </c>
      <c r="V222" s="20" t="n">
        <v>-1.659</v>
      </c>
      <c r="W222" s="20" t="n">
        <v>-2.346</v>
      </c>
      <c r="X222" s="20" t="n">
        <v>-1.828</v>
      </c>
    </row>
    <row r="223">
      <c r="A223" s="18" t="inlineStr">
        <is>
          <t>보조금 수취</t>
        </is>
      </c>
      <c r="Q223" s="20" t="n">
        <v>14.559</v>
      </c>
      <c r="R223" s="20" t="n">
        <v>9.656000000000001</v>
      </c>
      <c r="S223" s="20" t="n">
        <v>1.373</v>
      </c>
      <c r="T223" s="20" t="n">
        <v>0</v>
      </c>
    </row>
    <row r="224">
      <c r="A224" s="18" t="inlineStr">
        <is>
          <t>임대료 수취</t>
        </is>
      </c>
      <c r="Q224" s="20" t="n">
        <v>1.454</v>
      </c>
      <c r="R224" s="20" t="n">
        <v>0</v>
      </c>
      <c r="S224" s="20" t="n">
        <v>4.004</v>
      </c>
      <c r="T224" s="20" t="n">
        <v>10.457</v>
      </c>
      <c r="U224" s="20" t="n">
        <v>0</v>
      </c>
    </row>
    <row r="225">
      <c r="A225" s="18" t="inlineStr">
        <is>
          <t>법인세 납부</t>
        </is>
      </c>
      <c r="D225" s="20" t="n">
        <v>-73.795</v>
      </c>
      <c r="F225" s="20" t="n">
        <v>-139.941</v>
      </c>
      <c r="H225" s="20" t="n">
        <v>-2.681</v>
      </c>
      <c r="J225" s="20" t="n">
        <v>-17.008</v>
      </c>
      <c r="L225" s="20" t="n">
        <v>-207.708</v>
      </c>
      <c r="N225" s="20" t="n">
        <v>-319.397</v>
      </c>
      <c r="Q225" s="20" t="n">
        <v>-0.5639999999999999</v>
      </c>
      <c r="R225" s="20" t="n">
        <v>-37.811</v>
      </c>
      <c r="S225" s="20" t="n">
        <v>-51.289</v>
      </c>
      <c r="T225" s="20" t="n">
        <v>-71.723</v>
      </c>
      <c r="U225" s="20" t="n">
        <v>-176.361</v>
      </c>
      <c r="V225" s="20" t="n">
        <v>-139.941</v>
      </c>
      <c r="W225" s="20" t="n">
        <v>-17.008</v>
      </c>
      <c r="X225" s="20" t="n">
        <v>-319.397</v>
      </c>
    </row>
    <row r="226">
      <c r="A226" s="18" t="inlineStr">
        <is>
          <t>법인세 환급</t>
        </is>
      </c>
      <c r="D226" s="20" t="n">
        <v>12.652</v>
      </c>
      <c r="F226" s="20" t="n">
        <v>12.652</v>
      </c>
      <c r="H226" s="20" t="n">
        <v>50.037</v>
      </c>
      <c r="J226" s="20" t="n">
        <v>50.037</v>
      </c>
      <c r="L226" s="20" t="n">
        <v>0.006</v>
      </c>
      <c r="N226" s="20" t="n">
        <v>0.006</v>
      </c>
      <c r="U226" s="20" t="n">
        <v>0</v>
      </c>
      <c r="V226" s="20" t="n">
        <v>12.652</v>
      </c>
      <c r="W226" s="20" t="n">
        <v>50.037</v>
      </c>
      <c r="X226" s="20" t="n">
        <v>0.006</v>
      </c>
    </row>
    <row r="227">
      <c r="A227" s="9" t="inlineStr">
        <is>
          <t>영업활동 현금흐름</t>
        </is>
      </c>
      <c r="D227" s="12" t="n">
        <v>-39.812</v>
      </c>
      <c r="F227" s="12" t="n">
        <v>-57.122</v>
      </c>
      <c r="H227" s="12" t="n">
        <v>329.241</v>
      </c>
      <c r="J227" s="12" t="n">
        <v>844.388</v>
      </c>
      <c r="L227" s="12" t="n">
        <v>-60.077</v>
      </c>
      <c r="N227" s="12" t="n">
        <v>182.882</v>
      </c>
      <c r="Q227" s="12" t="n">
        <v>126.88</v>
      </c>
      <c r="R227" s="12" t="n">
        <v>145.898</v>
      </c>
      <c r="S227" s="12" t="n">
        <v>483.316</v>
      </c>
      <c r="T227" s="12" t="n">
        <v>410.646</v>
      </c>
      <c r="U227" s="12" t="n">
        <v>78.666</v>
      </c>
      <c r="V227" s="12" t="n">
        <v>-57.122</v>
      </c>
      <c r="W227" s="12" t="n">
        <v>844.388</v>
      </c>
      <c r="X227" s="12" t="n">
        <v>182.882</v>
      </c>
    </row>
    <row r="228">
      <c r="A228" s="18" t="inlineStr">
        <is>
          <t>정기예금 예입</t>
        </is>
      </c>
      <c r="J228" s="20" t="n">
        <v>0</v>
      </c>
      <c r="N228" s="20" t="n">
        <v>-1200</v>
      </c>
      <c r="W228" s="20" t="n">
        <v>0</v>
      </c>
      <c r="X228" s="20" t="n">
        <v>-1200</v>
      </c>
    </row>
    <row r="229">
      <c r="A229" s="18" t="inlineStr">
        <is>
          <t>유형자산 취득(설비투자)</t>
        </is>
      </c>
      <c r="D229" s="20" t="n">
        <v>-10.229</v>
      </c>
      <c r="F229" s="20" t="n">
        <v>-13.067</v>
      </c>
      <c r="H229" s="20" t="n">
        <v>-1.675</v>
      </c>
      <c r="J229" s="20" t="n">
        <v>-2.324</v>
      </c>
      <c r="L229" s="20" t="n">
        <v>-1.543</v>
      </c>
      <c r="N229" s="20" t="n">
        <v>-41.971</v>
      </c>
      <c r="Q229" s="20" t="n">
        <v>-23.654</v>
      </c>
      <c r="R229" s="20" t="n">
        <v>-23.532</v>
      </c>
      <c r="S229" s="20" t="n">
        <v>-21.619</v>
      </c>
      <c r="T229" s="20" t="n">
        <v>-15.073</v>
      </c>
      <c r="U229" s="20" t="n">
        <v>-2.113</v>
      </c>
      <c r="V229" s="20" t="n">
        <v>-13.067</v>
      </c>
      <c r="W229" s="20" t="n">
        <v>-2.324</v>
      </c>
      <c r="X229" s="20" t="n">
        <v>-41.971</v>
      </c>
    </row>
    <row r="230">
      <c r="A230" s="18" t="inlineStr">
        <is>
          <t>투자유가증권 취득</t>
        </is>
      </c>
      <c r="D230" s="20" t="n">
        <v>-20</v>
      </c>
      <c r="F230" s="20" t="n">
        <v>-50</v>
      </c>
      <c r="H230" s="20" t="n">
        <v>-48</v>
      </c>
      <c r="J230" s="20" t="n">
        <v>-1077.134</v>
      </c>
      <c r="L230" s="20" t="n">
        <v>-15.111</v>
      </c>
      <c r="N230" s="20" t="n">
        <v>-15.111</v>
      </c>
      <c r="Q230" s="20" t="n">
        <v>0</v>
      </c>
      <c r="R230" s="20" t="n">
        <v>-52.4</v>
      </c>
      <c r="S230" s="20" t="n">
        <v>-43.982</v>
      </c>
      <c r="T230" s="20" t="n">
        <v>-78</v>
      </c>
      <c r="U230" s="20" t="n">
        <v>-84</v>
      </c>
      <c r="V230" s="20" t="n">
        <v>-50</v>
      </c>
      <c r="W230" s="20" t="n">
        <v>-1077.134</v>
      </c>
      <c r="X230" s="20" t="n">
        <v>-15.111</v>
      </c>
    </row>
    <row r="231">
      <c r="A231" s="18" t="inlineStr">
        <is>
          <t>투자유가증권 매각</t>
        </is>
      </c>
      <c r="H231" s="20" t="n">
        <v>0</v>
      </c>
      <c r="J231" s="20" t="n">
        <v>0</v>
      </c>
      <c r="L231" s="20" t="n">
        <v>5.002</v>
      </c>
      <c r="N231" s="20" t="n">
        <v>5.002</v>
      </c>
      <c r="W231" s="20" t="n">
        <v>0</v>
      </c>
      <c r="X231" s="20" t="n">
        <v>5.002</v>
      </c>
    </row>
    <row r="232">
      <c r="A232" s="18" t="inlineStr">
        <is>
          <t>관계회사 주식 매각</t>
        </is>
      </c>
      <c r="J232" s="20" t="n">
        <v>0</v>
      </c>
      <c r="N232" s="20" t="n">
        <v>8.723000000000001</v>
      </c>
      <c r="W232" s="20" t="n">
        <v>0</v>
      </c>
      <c r="X232" s="20" t="n">
        <v>8.723000000000001</v>
      </c>
    </row>
    <row r="233">
      <c r="A233" s="18" t="inlineStr">
        <is>
          <t>투자조합 분배 수입</t>
        </is>
      </c>
      <c r="D233" s="20" t="n">
        <v>1.294</v>
      </c>
      <c r="F233" s="20" t="n">
        <v>5.007</v>
      </c>
      <c r="H233" s="20" t="n">
        <v>0</v>
      </c>
      <c r="J233" s="20" t="n">
        <v>4.608</v>
      </c>
      <c r="L233" s="20" t="n">
        <v>5.208</v>
      </c>
      <c r="N233" s="20" t="n">
        <v>14.36</v>
      </c>
      <c r="U233" s="20" t="n">
        <v>0</v>
      </c>
      <c r="V233" s="20" t="n">
        <v>5.007</v>
      </c>
      <c r="W233" s="20" t="n">
        <v>4.608</v>
      </c>
      <c r="X233" s="20" t="n">
        <v>14.36</v>
      </c>
    </row>
    <row r="234">
      <c r="A234" s="18" t="inlineStr">
        <is>
          <t>임차보증금·보증금 납입</t>
        </is>
      </c>
      <c r="D234" s="20" t="n">
        <v>-0.297</v>
      </c>
      <c r="F234" s="20" t="n">
        <v>-0.427</v>
      </c>
      <c r="H234" s="20" t="n">
        <v>-0.119</v>
      </c>
      <c r="J234" s="20" t="n">
        <v>-1.397</v>
      </c>
      <c r="L234" s="20" t="n">
        <v>-15.695</v>
      </c>
      <c r="N234" s="20" t="n">
        <v>-16.367</v>
      </c>
      <c r="Q234" s="20" t="n">
        <v>-0.334</v>
      </c>
      <c r="R234" s="20" t="n">
        <v>-2.509</v>
      </c>
      <c r="S234" s="20" t="n">
        <v>0</v>
      </c>
      <c r="T234" s="20" t="n">
        <v>-0.1</v>
      </c>
      <c r="U234" s="20" t="n">
        <v>0</v>
      </c>
      <c r="V234" s="20" t="n">
        <v>-0.427</v>
      </c>
      <c r="W234" s="20" t="n">
        <v>-1.397</v>
      </c>
      <c r="X234" s="20" t="n">
        <v>-16.367</v>
      </c>
    </row>
    <row r="235">
      <c r="A235" s="18" t="inlineStr">
        <is>
          <t>임차보증금·보증금 회수</t>
        </is>
      </c>
      <c r="D235" s="20" t="n">
        <v>0</v>
      </c>
      <c r="F235" s="20" t="n">
        <v>0</v>
      </c>
      <c r="Q235" s="20" t="n">
        <v>3.113</v>
      </c>
      <c r="R235" s="20" t="n">
        <v>0.505</v>
      </c>
      <c r="S235" s="20" t="n">
        <v>0</v>
      </c>
      <c r="T235" s="20" t="n">
        <v>1.862</v>
      </c>
      <c r="U235" s="20" t="n">
        <v>2.546</v>
      </c>
      <c r="V235" s="20" t="n">
        <v>0</v>
      </c>
    </row>
    <row r="236">
      <c r="A236" s="18" t="inlineStr">
        <is>
          <t>종업원 대여</t>
        </is>
      </c>
      <c r="F236" s="20" t="n">
        <v>0</v>
      </c>
      <c r="U236" s="20" t="n">
        <v>-14</v>
      </c>
      <c r="V236" s="20" t="n">
        <v>0</v>
      </c>
    </row>
    <row r="237">
      <c r="A237" s="18" t="inlineStr">
        <is>
          <t>연결범위 변경 자회사 주식 취득</t>
        </is>
      </c>
      <c r="H237" s="20" t="n">
        <v>0</v>
      </c>
      <c r="J237" s="20" t="n">
        <v>0</v>
      </c>
      <c r="L237" s="20" t="n">
        <v>-18</v>
      </c>
      <c r="N237" s="20" t="n">
        <v>-18</v>
      </c>
      <c r="S237" s="20" t="n">
        <v>0</v>
      </c>
      <c r="T237" s="20" t="n">
        <v>-582.259</v>
      </c>
      <c r="U237" s="20" t="n">
        <v>0</v>
      </c>
      <c r="W237" s="20" t="n">
        <v>0</v>
      </c>
      <c r="X237" s="20" t="n">
        <v>-18</v>
      </c>
    </row>
    <row r="238">
      <c r="A238" s="18" t="inlineStr">
        <is>
          <t>기타</t>
        </is>
      </c>
      <c r="F238" s="20" t="n">
        <v>0</v>
      </c>
      <c r="H238" s="20" t="n">
        <v>0</v>
      </c>
      <c r="J238" s="20" t="n">
        <v>0.333</v>
      </c>
      <c r="L238" s="20" t="n">
        <v>1</v>
      </c>
      <c r="N238" s="20" t="n">
        <v>2.045</v>
      </c>
      <c r="Q238" s="20" t="n">
        <v>0.063</v>
      </c>
      <c r="R238" s="20" t="n">
        <v>0.317</v>
      </c>
      <c r="S238" s="20" t="n">
        <v>0.751</v>
      </c>
      <c r="T238" s="20" t="n">
        <v>-0.114</v>
      </c>
      <c r="U238" s="20" t="n">
        <v>0.366</v>
      </c>
      <c r="V238" s="20" t="n">
        <v>0</v>
      </c>
      <c r="W238" s="20" t="n">
        <v>0.333</v>
      </c>
      <c r="X238" s="20" t="n">
        <v>2.045</v>
      </c>
    </row>
    <row r="239">
      <c r="A239" s="9" t="inlineStr">
        <is>
          <t>투자활동 현금흐름</t>
        </is>
      </c>
      <c r="D239" s="12" t="n">
        <v>-29.231</v>
      </c>
      <c r="F239" s="12" t="n">
        <v>-58.487</v>
      </c>
      <c r="H239" s="12" t="n">
        <v>-49.794</v>
      </c>
      <c r="J239" s="12" t="n">
        <v>-1075.915</v>
      </c>
      <c r="L239" s="12" t="n">
        <v>-39.139</v>
      </c>
      <c r="N239" s="12" t="n">
        <v>-1261.319</v>
      </c>
      <c r="Q239" s="12" t="n">
        <v>-20.812</v>
      </c>
      <c r="R239" s="12" t="n">
        <v>-77.61799999999999</v>
      </c>
      <c r="S239" s="12" t="n">
        <v>-64.84999999999999</v>
      </c>
      <c r="T239" s="12" t="n">
        <v>-673.6849999999999</v>
      </c>
      <c r="U239" s="12" t="n">
        <v>-97.2</v>
      </c>
      <c r="V239" s="12" t="n">
        <v>-58.487</v>
      </c>
      <c r="W239" s="12" t="n">
        <v>-1075.915</v>
      </c>
      <c r="X239" s="12" t="n">
        <v>-1261.319</v>
      </c>
    </row>
    <row r="240">
      <c r="A240" s="18" t="inlineStr">
        <is>
          <t>장기차입</t>
        </is>
      </c>
      <c r="D240" s="20" t="n">
        <v>50</v>
      </c>
      <c r="F240" s="20" t="n">
        <v>350</v>
      </c>
      <c r="H240" s="20" t="n">
        <v>0</v>
      </c>
      <c r="J240" s="20" t="n">
        <v>0</v>
      </c>
      <c r="Q240" s="20" t="n">
        <v>22.499</v>
      </c>
      <c r="R240" s="20" t="n">
        <v>210.864</v>
      </c>
      <c r="S240" s="20" t="n">
        <v>300</v>
      </c>
      <c r="T240" s="20" t="n">
        <v>50</v>
      </c>
      <c r="U240" s="20" t="n">
        <v>0</v>
      </c>
      <c r="V240" s="20" t="n">
        <v>350</v>
      </c>
      <c r="W240" s="20" t="n">
        <v>0</v>
      </c>
    </row>
    <row r="241">
      <c r="A241" s="18" t="inlineStr">
        <is>
          <t>장기차입금 상환</t>
        </is>
      </c>
      <c r="D241" s="20" t="n">
        <v>-62.948</v>
      </c>
      <c r="F241" s="20" t="n">
        <v>-141.47</v>
      </c>
      <c r="H241" s="20" t="n">
        <v>-85.56100000000001</v>
      </c>
      <c r="J241" s="20" t="n">
        <v>-162.412</v>
      </c>
      <c r="L241" s="20" t="n">
        <v>-74.57899999999999</v>
      </c>
      <c r="N241" s="20" t="n">
        <v>-130.423</v>
      </c>
      <c r="Q241" s="20" t="n">
        <v>-86.88800000000001</v>
      </c>
      <c r="R241" s="20" t="n">
        <v>-85.021</v>
      </c>
      <c r="S241" s="20" t="n">
        <v>-131.343</v>
      </c>
      <c r="T241" s="20" t="n">
        <v>-183.801</v>
      </c>
      <c r="U241" s="20" t="n">
        <v>-125.816</v>
      </c>
      <c r="V241" s="20" t="n">
        <v>-141.47</v>
      </c>
      <c r="W241" s="20" t="n">
        <v>-162.412</v>
      </c>
      <c r="X241" s="20" t="n">
        <v>-130.423</v>
      </c>
    </row>
    <row r="242">
      <c r="A242" s="18" t="inlineStr">
        <is>
          <t>신주예약권 발행</t>
        </is>
      </c>
      <c r="R242" s="20" t="n">
        <v>0</v>
      </c>
      <c r="S242" s="20" t="n">
        <v>1.176</v>
      </c>
      <c r="T242" s="20" t="n">
        <v>0</v>
      </c>
    </row>
    <row r="243">
      <c r="A243" s="18" t="inlineStr">
        <is>
          <t>신주예약권 행사에 따른 주식 발행</t>
        </is>
      </c>
      <c r="D243" s="20" t="n">
        <v>2.451</v>
      </c>
      <c r="F243" s="20" t="n">
        <v>9.279</v>
      </c>
      <c r="H243" s="20" t="n">
        <v>0.231</v>
      </c>
      <c r="J243" s="20" t="n">
        <v>4.56</v>
      </c>
      <c r="L243" s="20" t="n">
        <v>0.017</v>
      </c>
      <c r="N243" s="20" t="n">
        <v>0.46</v>
      </c>
      <c r="R243" s="20" t="n">
        <v>0</v>
      </c>
      <c r="S243" s="20" t="n">
        <v>1268.924</v>
      </c>
      <c r="T243" s="20" t="n">
        <v>545.539</v>
      </c>
      <c r="U243" s="20" t="n">
        <v>12.839</v>
      </c>
      <c r="V243" s="20" t="n">
        <v>9.279</v>
      </c>
      <c r="W243" s="20" t="n">
        <v>4.56</v>
      </c>
      <c r="X243" s="20" t="n">
        <v>0.46</v>
      </c>
    </row>
    <row r="244">
      <c r="A244" s="18" t="inlineStr">
        <is>
          <t>주식 발행</t>
        </is>
      </c>
      <c r="F244" s="20" t="n">
        <v>0</v>
      </c>
      <c r="Q244" s="20" t="n">
        <v>0</v>
      </c>
      <c r="R244" s="20" t="n">
        <v>254.779</v>
      </c>
      <c r="S244" s="20" t="n">
        <v>0</v>
      </c>
      <c r="T244" s="20" t="n">
        <v>0</v>
      </c>
      <c r="U244" s="20" t="n">
        <v>491.879</v>
      </c>
      <c r="V244" s="20" t="n">
        <v>0</v>
      </c>
    </row>
    <row r="245">
      <c r="A245" s="18" t="inlineStr">
        <is>
          <t>상장비용 지출</t>
        </is>
      </c>
      <c r="Q245" s="20" t="n">
        <v>0</v>
      </c>
      <c r="R245" s="20" t="n">
        <v>-3.326</v>
      </c>
      <c r="S245" s="20" t="n">
        <v>0</v>
      </c>
    </row>
    <row r="246">
      <c r="A246" s="18" t="inlineStr">
        <is>
          <t>자기주식 취득</t>
        </is>
      </c>
      <c r="D246" s="20" t="n">
        <v>-73.898</v>
      </c>
      <c r="F246" s="20" t="n">
        <v>-100.907</v>
      </c>
      <c r="H246" s="20" t="n">
        <v>-151.331</v>
      </c>
      <c r="J246" s="20" t="n">
        <v>-151.385</v>
      </c>
      <c r="L246" s="20" t="n">
        <v>-0.011</v>
      </c>
      <c r="N246" s="20" t="n">
        <v>-18.245</v>
      </c>
      <c r="U246" s="20" t="n">
        <v>0</v>
      </c>
      <c r="V246" s="20" t="n">
        <v>-100.907</v>
      </c>
      <c r="W246" s="20" t="n">
        <v>-151.385</v>
      </c>
      <c r="X246" s="20" t="n">
        <v>-18.245</v>
      </c>
    </row>
    <row r="247">
      <c r="A247" s="18" t="inlineStr">
        <is>
          <t>배당금 지급</t>
        </is>
      </c>
      <c r="H247" s="20" t="n">
        <v>0</v>
      </c>
      <c r="J247" s="20" t="n">
        <v>0</v>
      </c>
      <c r="L247" s="20" t="n">
        <v>-81.68899999999999</v>
      </c>
      <c r="N247" s="20" t="n">
        <v>-86.934</v>
      </c>
      <c r="W247" s="20" t="n">
        <v>0</v>
      </c>
      <c r="X247" s="20" t="n">
        <v>-86.934</v>
      </c>
    </row>
    <row r="248">
      <c r="A248" s="18" t="inlineStr">
        <is>
          <t>비지배주주 납입</t>
        </is>
      </c>
      <c r="D248" s="20" t="n">
        <v>0</v>
      </c>
      <c r="F248" s="20" t="n">
        <v>0</v>
      </c>
      <c r="H248" s="20" t="n">
        <v>24.5</v>
      </c>
      <c r="J248" s="20" t="n">
        <v>24.5</v>
      </c>
      <c r="L248" s="20" t="n">
        <v>0</v>
      </c>
      <c r="N248" s="20" t="n">
        <v>0</v>
      </c>
      <c r="V248" s="20" t="n">
        <v>0</v>
      </c>
      <c r="W248" s="20" t="n">
        <v>24.5</v>
      </c>
      <c r="X248" s="20" t="n">
        <v>0</v>
      </c>
    </row>
    <row r="249">
      <c r="A249" s="18" t="inlineStr">
        <is>
          <t>리스부채 상환</t>
        </is>
      </c>
      <c r="D249" s="20" t="n">
        <v>0</v>
      </c>
      <c r="F249" s="20" t="n">
        <v>0</v>
      </c>
      <c r="H249" s="20" t="n">
        <v>-0.431</v>
      </c>
      <c r="J249" s="20" t="n">
        <v>-1.091</v>
      </c>
      <c r="L249" s="20" t="n">
        <v>-0.675</v>
      </c>
      <c r="N249" s="20" t="n">
        <v>-1.367</v>
      </c>
      <c r="Q249" s="20" t="n">
        <v>0</v>
      </c>
      <c r="R249" s="20" t="n">
        <v>-17.869</v>
      </c>
      <c r="S249" s="20" t="n">
        <v>-20.591</v>
      </c>
      <c r="T249" s="20" t="n">
        <v>-22.133</v>
      </c>
      <c r="U249" s="20" t="n">
        <v>-4.989</v>
      </c>
      <c r="V249" s="20" t="n">
        <v>0</v>
      </c>
      <c r="W249" s="20" t="n">
        <v>-1.091</v>
      </c>
      <c r="X249" s="20" t="n">
        <v>-1.367</v>
      </c>
    </row>
    <row r="250">
      <c r="A250" s="18" t="inlineStr">
        <is>
          <t>기타</t>
        </is>
      </c>
      <c r="R250" s="20" t="n">
        <v>0</v>
      </c>
      <c r="S250" s="20" t="n">
        <v>-0.055</v>
      </c>
      <c r="T250" s="20" t="n">
        <v>-0.055</v>
      </c>
      <c r="U250" s="20" t="n">
        <v>0</v>
      </c>
    </row>
    <row r="251">
      <c r="A251" s="18" t="inlineStr">
        <is>
          <t>연결범위 변경 없는 자회사 주식 취득</t>
        </is>
      </c>
      <c r="F251" s="20" t="n">
        <v>0</v>
      </c>
      <c r="J251" s="20" t="n">
        <v>-24.5</v>
      </c>
      <c r="N251" s="20" t="n">
        <v>0</v>
      </c>
      <c r="V251" s="20" t="n">
        <v>0</v>
      </c>
      <c r="W251" s="20" t="n">
        <v>-24.5</v>
      </c>
      <c r="X251" s="20" t="n">
        <v>0</v>
      </c>
    </row>
    <row r="252">
      <c r="A252" s="9" t="inlineStr">
        <is>
          <t>재무활동 현금흐름</t>
        </is>
      </c>
      <c r="D252" s="12" t="n">
        <v>-84.395</v>
      </c>
      <c r="F252" s="12" t="n">
        <v>116.901</v>
      </c>
      <c r="H252" s="12" t="n">
        <v>-212.592</v>
      </c>
      <c r="J252" s="12" t="n">
        <v>-310.328</v>
      </c>
      <c r="L252" s="12" t="n">
        <v>-156.938</v>
      </c>
      <c r="N252" s="12" t="n">
        <v>-236.509</v>
      </c>
      <c r="Q252" s="12" t="n">
        <v>-64.38800000000001</v>
      </c>
      <c r="R252" s="12" t="n">
        <v>359.426</v>
      </c>
      <c r="S252" s="12" t="n">
        <v>1418.11</v>
      </c>
      <c r="T252" s="12" t="n">
        <v>389.549</v>
      </c>
      <c r="U252" s="12" t="n">
        <v>373.913</v>
      </c>
      <c r="V252" s="12" t="n">
        <v>116.901</v>
      </c>
      <c r="W252" s="12" t="n">
        <v>-310.328</v>
      </c>
      <c r="X252" s="12" t="n">
        <v>-236.509</v>
      </c>
    </row>
    <row r="253">
      <c r="A253" s="18" t="inlineStr">
        <is>
          <t>현금성자산 환산차이</t>
        </is>
      </c>
      <c r="D253" s="20" t="n">
        <v>0.149</v>
      </c>
      <c r="F253" s="20" t="n">
        <v>0.066</v>
      </c>
      <c r="H253" s="20" t="n">
        <v>-0.14</v>
      </c>
      <c r="J253" s="20" t="n">
        <v>-0.156</v>
      </c>
      <c r="L253" s="20" t="n">
        <v>0.081</v>
      </c>
      <c r="N253" s="20" t="n">
        <v>0.12</v>
      </c>
      <c r="Q253" s="20" t="n">
        <v>-6.336</v>
      </c>
      <c r="R253" s="20" t="n">
        <v>3.298</v>
      </c>
      <c r="S253" s="20" t="n">
        <v>3.583</v>
      </c>
      <c r="T253" s="20" t="n">
        <v>3.876</v>
      </c>
      <c r="U253" s="20" t="n">
        <v>7.945</v>
      </c>
      <c r="V253" s="20" t="n">
        <v>0.066</v>
      </c>
      <c r="W253" s="20" t="n">
        <v>-0.156</v>
      </c>
      <c r="X253" s="20" t="n">
        <v>0.12</v>
      </c>
    </row>
    <row r="254">
      <c r="A254" s="18" t="inlineStr">
        <is>
          <t>현금성자산 증감</t>
        </is>
      </c>
      <c r="D254" s="20" t="n">
        <v>-153.29</v>
      </c>
      <c r="F254" s="20" t="n">
        <v>1.358</v>
      </c>
      <c r="H254" s="20" t="n">
        <v>66.714</v>
      </c>
      <c r="J254" s="20" t="n">
        <v>-542.011</v>
      </c>
      <c r="L254" s="20" t="n">
        <v>-256.074</v>
      </c>
      <c r="N254" s="20" t="n">
        <v>-1314.826</v>
      </c>
      <c r="Q254" s="20" t="n">
        <v>35.343</v>
      </c>
      <c r="R254" s="20" t="n">
        <v>431.004</v>
      </c>
      <c r="S254" s="20" t="n">
        <v>1840.16</v>
      </c>
      <c r="T254" s="20" t="n">
        <v>130.387</v>
      </c>
      <c r="U254" s="20" t="n">
        <v>363.325</v>
      </c>
      <c r="V254" s="20" t="n">
        <v>1.358</v>
      </c>
      <c r="W254" s="20" t="n">
        <v>-542.011</v>
      </c>
      <c r="X254" s="20" t="n">
        <v>-1314.826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굿패치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3395.698</v>
      </c>
      <c r="D5" s="12" t="n">
        <v>3045.491</v>
      </c>
      <c r="E5" s="12" t="n">
        <v>3204.211</v>
      </c>
      <c r="F5" s="12" t="n">
        <v>3213.591</v>
      </c>
      <c r="G5" s="12" t="n">
        <v>3308.132</v>
      </c>
      <c r="H5" s="11" t="n">
        <v>3312.071</v>
      </c>
      <c r="I5" s="12" t="n">
        <v>3799.84</v>
      </c>
      <c r="J5" s="12" t="n">
        <v>3839.295</v>
      </c>
      <c r="K5" s="12" t="n">
        <v>3395.698</v>
      </c>
      <c r="L5" s="12" t="n">
        <v>3308.132</v>
      </c>
    </row>
    <row r="6">
      <c r="A6" s="18" t="inlineStr">
        <is>
          <t>현금및현금성자산</t>
        </is>
      </c>
      <c r="B6" s="10" t="n"/>
      <c r="C6" s="19" t="n">
        <v>2733.133</v>
      </c>
      <c r="D6" s="20" t="n">
        <v>2324.083</v>
      </c>
      <c r="E6" s="20" t="n">
        <v>2477.059</v>
      </c>
      <c r="F6" s="20" t="n">
        <v>2591.98</v>
      </c>
      <c r="G6" s="20" t="n">
        <v>2534.557</v>
      </c>
      <c r="H6" s="19" t="n">
        <v>2910.461</v>
      </c>
      <c r="I6" s="20" t="n">
        <v>3273.786</v>
      </c>
      <c r="J6" s="20" t="n">
        <v>3275.145</v>
      </c>
      <c r="K6" s="20" t="n">
        <v>2733.133</v>
      </c>
      <c r="L6" s="20" t="n">
        <v>2534.557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/>
      <c r="D8" s="20" t="n"/>
      <c r="E8" s="20" t="n"/>
      <c r="F8" s="20" t="n"/>
      <c r="G8" s="20" t="n"/>
      <c r="H8" s="19" t="n">
        <v>0</v>
      </c>
      <c r="I8" s="20" t="n">
        <v>455.68</v>
      </c>
      <c r="J8" s="20" t="n"/>
      <c r="K8" s="20" t="n"/>
      <c r="L8" s="20" t="n"/>
    </row>
    <row r="9">
      <c r="A9" s="18" t="inlineStr">
        <is>
          <t>재고자산</t>
        </is>
      </c>
      <c r="B9" s="10" t="n"/>
      <c r="C9" s="19" t="n">
        <v>9.565</v>
      </c>
      <c r="D9" s="20" t="n">
        <v>10.178</v>
      </c>
      <c r="E9" s="20" t="n">
        <v>8.954000000000001</v>
      </c>
      <c r="F9" s="20" t="n">
        <v>16.552</v>
      </c>
      <c r="G9" s="20" t="n">
        <v>14.525</v>
      </c>
      <c r="H9" s="19" t="n">
        <v>1.752</v>
      </c>
      <c r="I9" s="20" t="n">
        <v>11.43</v>
      </c>
      <c r="J9" s="20" t="n">
        <v>2.884</v>
      </c>
      <c r="K9" s="20" t="n">
        <v>9.565</v>
      </c>
      <c r="L9" s="20" t="n">
        <v>14.525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1849.729</v>
      </c>
      <c r="D11" s="12" t="n">
        <v>1845.682</v>
      </c>
      <c r="E11" s="12" t="n">
        <v>1869.584</v>
      </c>
      <c r="F11" s="12" t="n">
        <v>1863.058</v>
      </c>
      <c r="G11" s="12" t="n">
        <v>1801.229</v>
      </c>
      <c r="H11" s="11" t="n">
        <v>857.87</v>
      </c>
      <c r="I11" s="12" t="n">
        <v>871.7089999999999</v>
      </c>
      <c r="J11" s="12" t="n">
        <v>836.708</v>
      </c>
      <c r="K11" s="12" t="n">
        <v>1849.729</v>
      </c>
      <c r="L11" s="12" t="n">
        <v>1801.229</v>
      </c>
    </row>
    <row r="12">
      <c r="A12" s="18" t="inlineStr">
        <is>
          <t>유형자산</t>
        </is>
      </c>
      <c r="B12" s="10" t="n"/>
      <c r="C12" s="19" t="n">
        <v>48.86</v>
      </c>
      <c r="D12" s="20" t="n">
        <v>47.433</v>
      </c>
      <c r="E12" s="20" t="n">
        <v>43.704</v>
      </c>
      <c r="F12" s="20" t="n">
        <v>38.928</v>
      </c>
      <c r="G12" s="20" t="n">
        <v>80.452</v>
      </c>
      <c r="H12" s="19" t="n">
        <v>59.819</v>
      </c>
      <c r="I12" s="20" t="n">
        <v>46.76</v>
      </c>
      <c r="J12" s="20" t="n">
        <v>47.877</v>
      </c>
      <c r="K12" s="20" t="n">
        <v>48.86</v>
      </c>
      <c r="L12" s="20" t="n">
        <v>80.452</v>
      </c>
    </row>
    <row r="13">
      <c r="A13" s="18" t="inlineStr">
        <is>
          <t>무형자산</t>
        </is>
      </c>
      <c r="B13" s="10" t="n"/>
      <c r="C13" s="19" t="n">
        <v>395.54</v>
      </c>
      <c r="D13" s="20" t="n">
        <v>394.011</v>
      </c>
      <c r="E13" s="20" t="n">
        <v>373.823</v>
      </c>
      <c r="F13" s="20" t="n">
        <v>353.589</v>
      </c>
      <c r="G13" s="20" t="n">
        <v>323.605</v>
      </c>
      <c r="H13" s="19" t="n">
        <v>611.441</v>
      </c>
      <c r="I13" s="20" t="n">
        <v>539.458</v>
      </c>
      <c r="J13" s="20" t="n">
        <v>467.475</v>
      </c>
      <c r="K13" s="20" t="n">
        <v>395.54</v>
      </c>
      <c r="L13" s="20" t="n">
        <v>323.605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5245.428</v>
      </c>
      <c r="D16" s="12" t="n">
        <v>4891.173</v>
      </c>
      <c r="E16" s="12" t="n">
        <v>5073.796</v>
      </c>
      <c r="F16" s="12" t="n">
        <v>5076.65</v>
      </c>
      <c r="G16" s="12" t="n">
        <v>5109.362</v>
      </c>
      <c r="H16" s="11" t="n">
        <v>4169.942</v>
      </c>
      <c r="I16" s="12" t="n">
        <v>4671.549</v>
      </c>
      <c r="J16" s="12" t="n">
        <v>4676.003</v>
      </c>
      <c r="K16" s="12" t="n">
        <v>5245.428</v>
      </c>
      <c r="L16" s="12" t="n">
        <v>5109.362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956.456</v>
      </c>
      <c r="D18" s="12" t="n">
        <v>617.297</v>
      </c>
      <c r="E18" s="12" t="n">
        <v>656.544</v>
      </c>
      <c r="F18" s="12" t="n">
        <v>598.7619999999999</v>
      </c>
      <c r="G18" s="12" t="n">
        <v>594.658</v>
      </c>
      <c r="H18" s="11" t="n">
        <v>709.271</v>
      </c>
      <c r="I18" s="12" t="n">
        <v>608.499</v>
      </c>
      <c r="J18" s="12" t="n">
        <v>533.332</v>
      </c>
      <c r="K18" s="12" t="n">
        <v>956.456</v>
      </c>
      <c r="L18" s="12" t="n">
        <v>594.658</v>
      </c>
    </row>
    <row r="19">
      <c r="A19" s="18" t="inlineStr">
        <is>
          <t>매입채무</t>
        </is>
      </c>
      <c r="B19" s="10" t="n"/>
      <c r="C19" s="19" t="n">
        <v>99.60899999999999</v>
      </c>
      <c r="D19" s="20" t="n">
        <v>109.717</v>
      </c>
      <c r="E19" s="20" t="n">
        <v>112.757</v>
      </c>
      <c r="F19" s="20" t="n">
        <v>93.807</v>
      </c>
      <c r="G19" s="20" t="n">
        <v>108.878</v>
      </c>
      <c r="H19" s="19" t="n">
        <v>47.377</v>
      </c>
      <c r="I19" s="20" t="n">
        <v>71.414</v>
      </c>
      <c r="J19" s="20" t="n">
        <v>63.192</v>
      </c>
      <c r="K19" s="20" t="n">
        <v>99.60899999999999</v>
      </c>
      <c r="L19" s="20" t="n">
        <v>108.878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>
        <v>130.423</v>
      </c>
      <c r="D21" s="20" t="n">
        <v>117.301</v>
      </c>
      <c r="E21" s="20" t="n">
        <v>107.572</v>
      </c>
      <c r="F21" s="20" t="n">
        <v>100.297</v>
      </c>
      <c r="G21" s="20" t="n">
        <v>78.398</v>
      </c>
      <c r="H21" s="19" t="n">
        <v>125.816</v>
      </c>
      <c r="I21" s="20" t="n">
        <v>106.488</v>
      </c>
      <c r="J21" s="20" t="n">
        <v>162.412</v>
      </c>
      <c r="K21" s="20" t="n">
        <v>130.423</v>
      </c>
      <c r="L21" s="20" t="n">
        <v>78.398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143.793</v>
      </c>
      <c r="D23" s="12" t="n">
        <v>122.913</v>
      </c>
      <c r="E23" s="12" t="n">
        <v>93.265</v>
      </c>
      <c r="F23" s="12" t="n">
        <v>72.178</v>
      </c>
      <c r="G23" s="12" t="n">
        <v>66.27800000000001</v>
      </c>
      <c r="H23" s="11" t="n">
        <v>251.32</v>
      </c>
      <c r="I23" s="12" t="n">
        <v>119.423</v>
      </c>
      <c r="J23" s="12" t="n">
        <v>270.29</v>
      </c>
      <c r="K23" s="12" t="n">
        <v>143.793</v>
      </c>
      <c r="L23" s="12" t="n">
        <v>66.27800000000001</v>
      </c>
    </row>
    <row r="24">
      <c r="A24" s="18" t="inlineStr">
        <is>
          <t>장기차입금</t>
        </is>
      </c>
      <c r="B24" s="10" t="n"/>
      <c r="C24" s="19" t="n">
        <v>108.426</v>
      </c>
      <c r="D24" s="20" t="n">
        <v>82.602</v>
      </c>
      <c r="E24" s="20" t="n">
        <v>56.698</v>
      </c>
      <c r="F24" s="20" t="n">
        <v>35.026</v>
      </c>
      <c r="G24" s="20" t="n">
        <v>30.028</v>
      </c>
      <c r="H24" s="19" t="n">
        <v>192.731</v>
      </c>
      <c r="I24" s="20" t="n">
        <v>86.24299999999999</v>
      </c>
      <c r="J24" s="20" t="n">
        <v>238.849</v>
      </c>
      <c r="K24" s="20" t="n">
        <v>108.426</v>
      </c>
      <c r="L24" s="20" t="n">
        <v>30.028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1100.25</v>
      </c>
      <c r="D27" s="12" t="n">
        <v>740.21</v>
      </c>
      <c r="E27" s="12" t="n">
        <v>749.809</v>
      </c>
      <c r="F27" s="12" t="n">
        <v>670.941</v>
      </c>
      <c r="G27" s="12" t="n">
        <v>660.936</v>
      </c>
      <c r="H27" s="11" t="n">
        <v>960.592</v>
      </c>
      <c r="I27" s="12" t="n">
        <v>727.923</v>
      </c>
      <c r="J27" s="12" t="n">
        <v>803.622</v>
      </c>
      <c r="K27" s="12" t="n">
        <v>1100.25</v>
      </c>
      <c r="L27" s="12" t="n">
        <v>660.936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4121.824</v>
      </c>
      <c r="D31" s="12" t="n">
        <v>4125.556</v>
      </c>
      <c r="E31" s="12" t="n">
        <v>4296.916</v>
      </c>
      <c r="F31" s="12" t="n">
        <v>4376.023</v>
      </c>
      <c r="G31" s="12" t="n">
        <v>4416.124</v>
      </c>
      <c r="H31" s="11" t="n">
        <v>3201.181</v>
      </c>
      <c r="I31" s="12" t="n">
        <v>3929.491</v>
      </c>
      <c r="J31" s="12" t="n">
        <v>3850.45</v>
      </c>
      <c r="K31" s="12" t="n">
        <v>4121.824</v>
      </c>
      <c r="L31" s="12" t="n">
        <v>4416.124</v>
      </c>
    </row>
    <row r="32">
      <c r="A32" s="18" t="inlineStr">
        <is>
          <t>자본금</t>
        </is>
      </c>
      <c r="B32" s="10" t="n"/>
      <c r="C32" s="19" t="n">
        <v>1774.543</v>
      </c>
      <c r="D32" s="20" t="n">
        <v>1774.543</v>
      </c>
      <c r="E32" s="20" t="n">
        <v>1774.568</v>
      </c>
      <c r="F32" s="20" t="n">
        <v>1774.568</v>
      </c>
      <c r="G32" s="20" t="n">
        <v>1774.79</v>
      </c>
      <c r="H32" s="19" t="n">
        <v>1511.039</v>
      </c>
      <c r="I32" s="20" t="n">
        <v>1767.52</v>
      </c>
      <c r="J32" s="20" t="n">
        <v>1772.244</v>
      </c>
      <c r="K32" s="20" t="n">
        <v>1774.543</v>
      </c>
      <c r="L32" s="20" t="n">
        <v>1774.79</v>
      </c>
    </row>
    <row r="33">
      <c r="A33" s="18" t="inlineStr">
        <is>
          <t>이익잉여금</t>
        </is>
      </c>
      <c r="B33" s="10" t="n"/>
      <c r="C33" s="19" t="n">
        <v>821.244</v>
      </c>
      <c r="D33" s="20" t="n">
        <v>794.876</v>
      </c>
      <c r="E33" s="20" t="n">
        <v>950.141</v>
      </c>
      <c r="F33" s="20" t="n">
        <v>1018.259</v>
      </c>
      <c r="G33" s="20" t="n">
        <v>1087.589</v>
      </c>
      <c r="H33" s="19" t="n">
        <v>186.62</v>
      </c>
      <c r="I33" s="20" t="n">
        <v>402.659</v>
      </c>
      <c r="J33" s="20" t="n">
        <v>414.192</v>
      </c>
      <c r="K33" s="20" t="n">
        <v>821.244</v>
      </c>
      <c r="L33" s="20" t="n">
        <v>1087.589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>
        <v>0</v>
      </c>
      <c r="K34" s="20" t="n"/>
      <c r="L34" s="20" t="n"/>
    </row>
    <row r="35">
      <c r="A35" s="9" t="inlineStr">
        <is>
          <t>자본총계</t>
        </is>
      </c>
      <c r="B35" s="10" t="n"/>
      <c r="C35" s="11" t="n">
        <v>4145.177</v>
      </c>
      <c r="D35" s="12" t="n">
        <v>4150.963</v>
      </c>
      <c r="E35" s="12" t="n">
        <v>4323.986</v>
      </c>
      <c r="F35" s="12" t="n">
        <v>4405.709</v>
      </c>
      <c r="G35" s="12" t="n">
        <v>4448.425</v>
      </c>
      <c r="H35" s="11" t="n">
        <v>3209.349</v>
      </c>
      <c r="I35" s="12" t="n">
        <v>3943.626</v>
      </c>
      <c r="J35" s="12" t="n">
        <v>3872.38</v>
      </c>
      <c r="K35" s="12" t="n">
        <v>4145.177</v>
      </c>
      <c r="L35" s="12" t="n">
        <v>4448.425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844.388</v>
      </c>
      <c r="D37" s="12" t="n"/>
      <c r="E37" s="12" t="n">
        <v>455.07</v>
      </c>
      <c r="F37" s="12" t="n"/>
      <c r="G37" s="12" t="n">
        <v>182.882</v>
      </c>
      <c r="H37" s="11" t="n">
        <v>410.646</v>
      </c>
      <c r="I37" s="12" t="n">
        <v>78.666</v>
      </c>
      <c r="J37" s="12" t="n">
        <v>-57.122</v>
      </c>
      <c r="K37" s="12" t="n">
        <v>844.388</v>
      </c>
      <c r="L37" s="12" t="n">
        <v>182.882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2.324</v>
      </c>
      <c r="D38" s="20" t="n"/>
      <c r="E38" s="20" t="n">
        <v>2.192</v>
      </c>
      <c r="F38" s="20" t="n"/>
      <c r="G38" s="20" t="n">
        <v>41.971</v>
      </c>
      <c r="H38" s="19" t="n">
        <v>15.073</v>
      </c>
      <c r="I38" s="20" t="n">
        <v>2.113</v>
      </c>
      <c r="J38" s="20" t="n">
        <v>13.067</v>
      </c>
      <c r="K38" s="20" t="n">
        <v>2.324</v>
      </c>
      <c r="L38" s="20" t="n">
        <v>41.971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0</v>
      </c>
      <c r="D40" s="20" t="n"/>
      <c r="E40" s="20" t="n">
        <v>81.68899999999999</v>
      </c>
      <c r="F40" s="20" t="n"/>
      <c r="G40" s="20" t="n">
        <v>86.934</v>
      </c>
      <c r="H40" s="19" t="n"/>
      <c r="I40" s="20" t="n"/>
      <c r="J40" s="20" t="n"/>
      <c r="K40" s="20" t="n">
        <v>0</v>
      </c>
      <c r="L40" s="20" t="n">
        <v>86.934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IFERROR(IF((IF(COUNT('연간'!G50:J50)&lt;4,"",SUM('연간'!G50:J50)))&lt;=0,"적자",C28/(IF(COUNT('연간'!G50:J50)&lt;4,"",SUM('연간'!G50:J50)))),"")</f>
        <v/>
      </c>
      <c r="D49" s="47">
        <f>IFERROR(IF((IF(COUNT('연간'!H50:K50)&lt;4,"",SUM('연간'!H50:K50)))&lt;=0,"적자",D28/(IF(COUNT('연간'!H50:K50)&lt;4,"",SUM('연간'!H50:K50)))),"")</f>
        <v/>
      </c>
      <c r="E49" s="47">
        <f>IFERROR(IF((IF(COUNT('연간'!I50:L50)&lt;4,"",SUM('연간'!I50:L50)))&lt;=0,"적자",E28/(IF(COUNT('연간'!I50:L50)&lt;4,"",SUM('연간'!I50:L50)))),"")</f>
        <v/>
      </c>
      <c r="F49" s="47">
        <f>IFERROR(IF((IF(COUNT('연간'!J50:M50)&lt;4,"",SUM('연간'!J50:M50)))&lt;=0,"적자",F28/(IF(COUNT('연간'!J50:M50)&lt;4,"",SUM('연간'!J50:M50)))),"")</f>
        <v/>
      </c>
      <c r="G49" s="47">
        <f>IFERROR(IF((IF(COUNT('연간'!K50:N50)&lt;4,"",SUM('연간'!K50:N50)))&lt;=0,"적자",G28/(IF(COUNT('연간'!K50:N50)&lt;4,"",SUM('연간'!K50:N50)))),"")</f>
        <v/>
      </c>
      <c r="H49" s="46">
        <f>IFERROR(IF(('연간'!T50)&lt;=0,"적자",H28/('연간'!T50)),"")</f>
        <v/>
      </c>
      <c r="I49" s="47">
        <f>IFERROR(IF(('연간'!U50)&lt;=0,"적자",I28/('연간'!U50)),"")</f>
        <v/>
      </c>
      <c r="J49" s="47">
        <f>IFERROR(IF(('연간'!V50)&lt;=0,"적자",J28/('연간'!V50)),"")</f>
        <v/>
      </c>
      <c r="K49" s="47">
        <f>IFERROR(IF(('연간'!W50)&lt;=0,"적자",K28/('연간'!W50)),"")</f>
        <v/>
      </c>
      <c r="L49" s="47">
        <f>IFERROR(IF(('연간'!X50)&lt;=0,"적자",L28/('연간'!X50)),"")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IFERROR((IF(COUNT('연간'!G50:J50)&lt;4,"",SUM('연간'!G50:J50)))/C31,"")</f>
        <v/>
      </c>
      <c r="D51" s="36">
        <f>IFERROR((IF(COUNT('연간'!H50:K50)&lt;4,"",SUM('연간'!H50:K50)))/D31,"")</f>
        <v/>
      </c>
      <c r="E51" s="36">
        <f>IFERROR((IF(COUNT('연간'!I50:L50)&lt;4,"",SUM('연간'!I50:L50)))/E31,"")</f>
        <v/>
      </c>
      <c r="F51" s="36">
        <f>IFERROR((IF(COUNT('연간'!J50:M50)&lt;4,"",SUM('연간'!J50:M50)))/F31,"")</f>
        <v/>
      </c>
      <c r="G51" s="36">
        <f>IFERROR((IF(COUNT('연간'!K50:N50)&lt;4,"",SUM('연간'!K50:N50)))/G31,"")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  <c r="L51" s="36">
        <f>IFERROR(('연간'!X50)/L31,"")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IFERROR((IF(COUNT('연간'!G49:J49)&lt;4,"",SUM('연간'!G49:J49)))/C16,"")</f>
        <v/>
      </c>
      <c r="D52" s="36">
        <f>IFERROR((IF(COUNT('연간'!H49:K49)&lt;4,"",SUM('연간'!H49:K49)))/D16,"")</f>
        <v/>
      </c>
      <c r="E52" s="36">
        <f>IFERROR((IF(COUNT('연간'!I49:L49)&lt;4,"",SUM('연간'!I49:L49)))/E16,"")</f>
        <v/>
      </c>
      <c r="F52" s="36">
        <f>IFERROR((IF(COUNT('연간'!J49:M49)&lt;4,"",SUM('연간'!J49:M49)))/F16,"")</f>
        <v/>
      </c>
      <c r="G52" s="36">
        <f>IFERROR((IF(COUNT('연간'!K49:N49)&lt;4,"",SUM('연간'!K49:N49)))/G16,"")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  <c r="L52" s="36">
        <f>IFERROR(('연간'!X49)/L16,"")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IFERROR((IF(COUNT('연간'!G18:J18)&lt;4,"",SUM('연간'!G18:J18)))/(IF(COUNT('연간'!G4:J4)&lt;4,"",SUM('연간'!G4:J4))),"")</f>
        <v/>
      </c>
      <c r="D54" s="36">
        <f>IFERROR((IF(COUNT('연간'!H18:K18)&lt;4,"",SUM('연간'!H18:K18)))/(IF(COUNT('연간'!H4:K4)&lt;4,"",SUM('연간'!H4:K4))),"")</f>
        <v/>
      </c>
      <c r="E54" s="36">
        <f>IFERROR((IF(COUNT('연간'!I18:L18)&lt;4,"",SUM('연간'!I18:L18)))/(IF(COUNT('연간'!I4:L4)&lt;4,"",SUM('연간'!I4:L4))),"")</f>
        <v/>
      </c>
      <c r="F54" s="36">
        <f>IFERROR((IF(COUNT('연간'!J18:M18)&lt;4,"",SUM('연간'!J18:M18)))/(IF(COUNT('연간'!J4:M4)&lt;4,"",SUM('연간'!J4:M4))),"")</f>
        <v/>
      </c>
      <c r="G54" s="36">
        <f>IFERROR((IF(COUNT('연간'!K18:N18)&lt;4,"",SUM('연간'!K18:N18)))/(IF(COUNT('연간'!K4:N4)&lt;4,"",SUM('연간'!K4:N4))),"")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  <c r="L54" s="36">
        <f>IFERROR(('연간'!X18)/('연간'!X4),"")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IFERROR((IF(COUNT('연간'!G49:J49)&lt;4,"",SUM('연간'!G49:J49)))/(IF(COUNT('연간'!G4:J4)&lt;4,"",SUM('연간'!G4:J4))),"")</f>
        <v/>
      </c>
      <c r="D56" s="36">
        <f>IFERROR((IF(COUNT('연간'!H49:K49)&lt;4,"",SUM('연간'!H49:K49)))/(IF(COUNT('연간'!H4:K4)&lt;4,"",SUM('연간'!H4:K4))),"")</f>
        <v/>
      </c>
      <c r="E56" s="36">
        <f>IFERROR((IF(COUNT('연간'!I49:L49)&lt;4,"",SUM('연간'!I49:L49)))/(IF(COUNT('연간'!I4:L4)&lt;4,"",SUM('연간'!I4:L4))),"")</f>
        <v/>
      </c>
      <c r="F56" s="36">
        <f>IFERROR((IF(COUNT('연간'!J49:M49)&lt;4,"",SUM('연간'!J49:M49)))/(IF(COUNT('연간'!J4:M4)&lt;4,"",SUM('연간'!J4:M4))),"")</f>
        <v/>
      </c>
      <c r="G56" s="36">
        <f>IFERROR((IF(COUNT('연간'!K49:N49)&lt;4,"",SUM('연간'!K49:N49)))/(IF(COUNT('연간'!K4:N4)&lt;4,"",SUM('연간'!K4:N4))),"")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  <c r="L56" s="36">
        <f>IFERROR(('연간'!X49)/('연간'!X4),"")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IFERROR(C9/(IF(COUNT('연간'!G17:J17)&lt;4,"",SUM('연간'!G17:J17)))*365,"")</f>
        <v/>
      </c>
      <c r="D60" s="49">
        <f>IFERROR(D9/(IF(COUNT('연간'!H17:K17)&lt;4,"",SUM('연간'!H17:K17)))*365,"")</f>
        <v/>
      </c>
      <c r="E60" s="49">
        <f>IFERROR(E9/(IF(COUNT('연간'!I17:L17)&lt;4,"",SUM('연간'!I17:L17)))*365,"")</f>
        <v/>
      </c>
      <c r="F60" s="49">
        <f>IFERROR(F9/(IF(COUNT('연간'!J17:M17)&lt;4,"",SUM('연간'!J17:M17)))*365,"")</f>
        <v/>
      </c>
      <c r="G60" s="49">
        <f>IFERROR(G9/(IF(COUNT('연간'!K17:N17)&lt;4,"",SUM('연간'!K17:N17)))*365,"")</f>
        <v/>
      </c>
      <c r="H60" s="48">
        <f>IFERROR(H9/('연간'!T17)*365,"")</f>
        <v/>
      </c>
      <c r="I60" s="49">
        <f>IFERROR(I9/('연간'!U17)*365,"")</f>
        <v/>
      </c>
      <c r="J60" s="49">
        <f>IFERROR(J9/('연간'!V17)*365,"")</f>
        <v/>
      </c>
      <c r="K60" s="49">
        <f>IFERROR(K9/('연간'!W17)*365,"")</f>
        <v/>
      </c>
      <c r="L60" s="49">
        <f>IFERROR(L9/('연간'!X17)*365,"")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IFERROR(C19/(IF(COUNT('연간'!G17:J17)&lt;4,"",SUM('연간'!G17:J17)))*365,"")</f>
        <v/>
      </c>
      <c r="D61" s="49">
        <f>IFERROR(D19/(IF(COUNT('연간'!H17:K17)&lt;4,"",SUM('연간'!H17:K17)))*365,"")</f>
        <v/>
      </c>
      <c r="E61" s="49">
        <f>IFERROR(E19/(IF(COUNT('연간'!I17:L17)&lt;4,"",SUM('연간'!I17:L17)))*365,"")</f>
        <v/>
      </c>
      <c r="F61" s="49">
        <f>IFERROR(F19/(IF(COUNT('연간'!J17:M17)&lt;4,"",SUM('연간'!J17:M17)))*365,"")</f>
        <v/>
      </c>
      <c r="G61" s="49">
        <f>IFERROR(G19/(IF(COUNT('연간'!K17:N17)&lt;4,"",SUM('연간'!K17:N17)))*365,"")</f>
        <v/>
      </c>
      <c r="H61" s="48">
        <f>IFERROR(H19/('연간'!T17)*365,"")</f>
        <v/>
      </c>
      <c r="I61" s="49">
        <f>IFERROR(I19/('연간'!U17)*365,"")</f>
        <v/>
      </c>
      <c r="J61" s="49">
        <f>IFERROR(J19/('연간'!V17)*365,"")</f>
        <v/>
      </c>
      <c r="K61" s="49">
        <f>IFERROR(K19/('연간'!W17)*365,"")</f>
        <v/>
      </c>
      <c r="L61" s="49">
        <f>IFERROR(L19/('연간'!X17)*365,"")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IF(C37="","",IFERROR(C37/(IF(COUNT('연간'!G49:J49)&lt;4,"",SUM('연간'!G49:J49))),""))</f>
        <v/>
      </c>
      <c r="D64" s="31">
        <f>IF(D37="","",IFERROR(D37/(IF(COUNT('연간'!H49:K49)&lt;4,"",SUM('연간'!H49:K49))),""))</f>
        <v/>
      </c>
      <c r="E64" s="31">
        <f>IF(E37="","",IFERROR(E37/(IF(COUNT('연간'!I49:L49)&lt;4,"",SUM('연간'!I49:L49))),""))</f>
        <v/>
      </c>
      <c r="F64" s="31">
        <f>IF(F37="","",IFERROR(F37/(IF(COUNT('연간'!J49:M49)&lt;4,"",SUM('연간'!J49:M49))),""))</f>
        <v/>
      </c>
      <c r="G64" s="31">
        <f>IF(G37="","",IFERROR(G37/(IF(COUNT('연간'!K49:N49)&lt;4,"",SUM('연간'!K49:N49))),""))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  <c r="L64" s="31">
        <f>IF(L37="","",IFERROR(L37/('연간'!X49),""))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IF(C40="","",IFERROR(C40/(IF(COUNT('연간'!G50:J50)&lt;4,"",SUM('연간'!G50:J50))),""))</f>
        <v/>
      </c>
      <c r="D67" s="36">
        <f>IF(D40="","",IFERROR(D40/(IF(COUNT('연간'!H50:K50)&lt;4,"",SUM('연간'!H50:K50))),""))</f>
        <v/>
      </c>
      <c r="E67" s="36">
        <f>IF(E40="","",IFERROR(E40/(IF(COUNT('연간'!I50:L50)&lt;4,"",SUM('연간'!I50:L50))),""))</f>
        <v/>
      </c>
      <c r="F67" s="36">
        <f>IF(F40="","",IFERROR(F40/(IF(COUNT('연간'!J50:M50)&lt;4,"",SUM('연간'!J50:M50))),""))</f>
        <v/>
      </c>
      <c r="G67" s="36">
        <f>IF(G40="","",IFERROR(G40/(IF(COUNT('연간'!K50:N50)&lt;4,"",SUM('연간'!K50:N50))),""))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  <c r="L67" s="36">
        <f>IF(L40="","",IFERROR(L40/('연간'!X50),""))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2733.133</v>
      </c>
      <c r="D71" s="20" t="n">
        <v>2324.083</v>
      </c>
      <c r="E71" s="20" t="n">
        <v>2477.059</v>
      </c>
      <c r="F71" s="20" t="n">
        <v>2591.98</v>
      </c>
      <c r="G71" s="20" t="n">
        <v>2534.557</v>
      </c>
      <c r="H71" s="20" t="n">
        <v>2910.461</v>
      </c>
      <c r="I71" s="20" t="n">
        <v>3273.786</v>
      </c>
      <c r="J71" s="20" t="n">
        <v>3275.145</v>
      </c>
      <c r="K71" s="20" t="n">
        <v>2733.133</v>
      </c>
      <c r="L71" s="20" t="n">
        <v>2534.557</v>
      </c>
    </row>
    <row r="72">
      <c r="A72" s="18" t="inlineStr">
        <is>
          <t>매출채권</t>
        </is>
      </c>
      <c r="H72" s="20" t="n">
        <v>0</v>
      </c>
    </row>
    <row r="73">
      <c r="A73" s="18" t="inlineStr">
        <is>
          <t>받을어음·매출채권·계약자산</t>
        </is>
      </c>
      <c r="I73" s="20" t="n">
        <v>455.68</v>
      </c>
    </row>
    <row r="74">
      <c r="A74" s="18" t="inlineStr">
        <is>
          <t>매출채권·계약자산</t>
        </is>
      </c>
      <c r="C74" s="20" t="n">
        <v>584.2619999999999</v>
      </c>
      <c r="D74" s="20" t="n">
        <v>592.246</v>
      </c>
      <c r="E74" s="20" t="n">
        <v>599.7910000000001</v>
      </c>
      <c r="F74" s="20" t="n">
        <v>441.424</v>
      </c>
      <c r="G74" s="20" t="n">
        <v>552.175</v>
      </c>
      <c r="H74" s="20" t="n">
        <v>348.971</v>
      </c>
      <c r="I74" s="20" t="n">
        <v>455.68</v>
      </c>
      <c r="J74" s="20" t="n">
        <v>427.708</v>
      </c>
      <c r="K74" s="20" t="n">
        <v>584.2619999999999</v>
      </c>
      <c r="L74" s="20" t="n">
        <v>552.175</v>
      </c>
    </row>
    <row r="75">
      <c r="A75" s="18" t="inlineStr">
        <is>
          <t>재공품</t>
        </is>
      </c>
      <c r="C75" s="20" t="n">
        <v>9.565</v>
      </c>
      <c r="D75" s="20" t="n">
        <v>10.178</v>
      </c>
      <c r="E75" s="20" t="n">
        <v>8.954000000000001</v>
      </c>
      <c r="F75" s="20" t="n">
        <v>16.552</v>
      </c>
      <c r="G75" s="20" t="n">
        <v>14.525</v>
      </c>
      <c r="H75" s="20" t="n">
        <v>1.752</v>
      </c>
      <c r="I75" s="20" t="n">
        <v>11.43</v>
      </c>
      <c r="J75" s="20" t="n">
        <v>2.884</v>
      </c>
      <c r="K75" s="20" t="n">
        <v>9.565</v>
      </c>
      <c r="L75" s="20" t="n">
        <v>14.525</v>
      </c>
    </row>
    <row r="76">
      <c r="A76" s="18" t="inlineStr">
        <is>
          <t>선급비용</t>
        </is>
      </c>
      <c r="C76" s="20" t="n">
        <v>55.483</v>
      </c>
      <c r="D76" s="20" t="n">
        <v>107.811</v>
      </c>
      <c r="E76" s="20" t="n">
        <v>93.485</v>
      </c>
      <c r="F76" s="20" t="n">
        <v>117.416</v>
      </c>
      <c r="G76" s="20" t="n">
        <v>89.04600000000001</v>
      </c>
      <c r="H76" s="20" t="n">
        <v>45.073</v>
      </c>
      <c r="I76" s="20" t="n">
        <v>49.252</v>
      </c>
      <c r="J76" s="20" t="n">
        <v>79.83</v>
      </c>
      <c r="K76" s="20" t="n">
        <v>55.483</v>
      </c>
      <c r="L76" s="20" t="n">
        <v>89.04600000000001</v>
      </c>
    </row>
    <row r="77">
      <c r="A77" s="18" t="inlineStr">
        <is>
          <t>미수 환급법인세</t>
        </is>
      </c>
      <c r="C77" s="20" t="n">
        <v>0.006</v>
      </c>
      <c r="D77" s="20" t="n">
        <v>0.006</v>
      </c>
      <c r="E77" s="20" t="n">
        <v>0</v>
      </c>
      <c r="F77" s="20" t="n">
        <v>24.157</v>
      </c>
      <c r="G77" s="20" t="n">
        <v>10.157</v>
      </c>
      <c r="I77" s="20" t="n">
        <v>0</v>
      </c>
      <c r="J77" s="20" t="n">
        <v>48.772</v>
      </c>
      <c r="K77" s="20" t="n">
        <v>0.006</v>
      </c>
      <c r="L77" s="20" t="n">
        <v>10.157</v>
      </c>
    </row>
    <row r="78">
      <c r="A78" s="18" t="inlineStr">
        <is>
          <t>예치금</t>
        </is>
      </c>
      <c r="C78" s="20" t="n">
        <v>0</v>
      </c>
      <c r="G78" s="20" t="n">
        <v>83.75</v>
      </c>
      <c r="J78" s="20" t="n">
        <v>0</v>
      </c>
      <c r="K78" s="20" t="n">
        <v>0</v>
      </c>
      <c r="L78" s="20" t="n">
        <v>83.75</v>
      </c>
    </row>
    <row r="79">
      <c r="A79" s="18" t="inlineStr">
        <is>
          <t>기타</t>
        </is>
      </c>
      <c r="C79" s="20" t="n">
        <v>13.247</v>
      </c>
      <c r="D79" s="20" t="n">
        <v>11.164</v>
      </c>
      <c r="E79" s="20" t="n">
        <v>24.92</v>
      </c>
      <c r="F79" s="20" t="n">
        <v>22.192</v>
      </c>
      <c r="G79" s="20" t="n">
        <v>24.25</v>
      </c>
      <c r="H79" s="20" t="n">
        <v>5.812</v>
      </c>
      <c r="I79" s="20" t="n">
        <v>9.689</v>
      </c>
      <c r="J79" s="20" t="n">
        <v>4.953</v>
      </c>
      <c r="K79" s="20" t="n">
        <v>13.247</v>
      </c>
      <c r="L79" s="20" t="n">
        <v>24.25</v>
      </c>
    </row>
    <row r="80">
      <c r="A80" s="18" t="inlineStr">
        <is>
          <t>대손충당금</t>
        </is>
      </c>
      <c r="C80" s="20" t="n">
        <v>0</v>
      </c>
      <c r="F80" s="20" t="n">
        <v>-0.132</v>
      </c>
      <c r="G80" s="20" t="n">
        <v>-0.33</v>
      </c>
      <c r="K80" s="20" t="n">
        <v>0</v>
      </c>
      <c r="L80" s="20" t="n">
        <v>-0.33</v>
      </c>
    </row>
    <row r="81">
      <c r="A81" s="9" t="inlineStr">
        <is>
          <t>유동자산 합계</t>
        </is>
      </c>
      <c r="C81" s="12" t="n">
        <v>3395.698</v>
      </c>
      <c r="D81" s="12" t="n">
        <v>3045.491</v>
      </c>
      <c r="E81" s="12" t="n">
        <v>3204.211</v>
      </c>
      <c r="F81" s="12" t="n">
        <v>3213.591</v>
      </c>
      <c r="G81" s="12" t="n">
        <v>3308.132</v>
      </c>
      <c r="H81" s="12" t="n">
        <v>3312.071</v>
      </c>
      <c r="I81" s="12" t="n">
        <v>3799.84</v>
      </c>
      <c r="J81" s="12" t="n">
        <v>3839.295</v>
      </c>
      <c r="K81" s="12" t="n">
        <v>3395.698</v>
      </c>
      <c r="L81" s="12" t="n">
        <v>3308.132</v>
      </c>
    </row>
    <row r="82">
      <c r="A82" s="18" t="inlineStr">
        <is>
          <t>건물</t>
        </is>
      </c>
      <c r="C82" s="20" t="n">
        <v>75.179</v>
      </c>
      <c r="D82" s="20" t="n">
        <v>75.179</v>
      </c>
      <c r="E82" s="20" t="n">
        <v>75.179</v>
      </c>
      <c r="F82" s="20" t="n">
        <v>75.179</v>
      </c>
      <c r="G82" s="20" t="n">
        <v>105.278</v>
      </c>
      <c r="H82" s="20" t="n">
        <v>68.76900000000001</v>
      </c>
      <c r="I82" s="20" t="n">
        <v>68.76900000000001</v>
      </c>
      <c r="J82" s="20" t="n">
        <v>75.179</v>
      </c>
      <c r="K82" s="20" t="n">
        <v>75.179</v>
      </c>
      <c r="L82" s="20" t="n">
        <v>105.278</v>
      </c>
    </row>
    <row r="83">
      <c r="A83" s="18" t="inlineStr">
        <is>
          <t>감가상각누계액</t>
        </is>
      </c>
      <c r="C83" s="20" t="n">
        <v>-42.101</v>
      </c>
      <c r="D83" s="20" t="n">
        <v>-43.371</v>
      </c>
      <c r="E83" s="20" t="n">
        <v>-46.945</v>
      </c>
      <c r="F83" s="20" t="n">
        <v>-50.315</v>
      </c>
      <c r="G83" s="20" t="n">
        <v>-44.652</v>
      </c>
      <c r="H83" s="20" t="n">
        <v>-27.242</v>
      </c>
      <c r="I83" s="20" t="n">
        <v>-31.972</v>
      </c>
      <c r="J83" s="20" t="n">
        <v>-37.019</v>
      </c>
      <c r="K83" s="20" t="n">
        <v>-42.101</v>
      </c>
      <c r="L83" s="20" t="n">
        <v>-44.652</v>
      </c>
    </row>
    <row r="84">
      <c r="A84" s="18" t="inlineStr">
        <is>
          <t>건물(순액)</t>
        </is>
      </c>
      <c r="C84" s="20" t="n">
        <v>33.078</v>
      </c>
      <c r="D84" s="20" t="n">
        <v>31.807</v>
      </c>
      <c r="E84" s="20" t="n">
        <v>28.233</v>
      </c>
      <c r="F84" s="20" t="n">
        <v>24.863</v>
      </c>
      <c r="G84" s="20" t="n">
        <v>60.626</v>
      </c>
      <c r="H84" s="20" t="n">
        <v>41.526</v>
      </c>
      <c r="I84" s="20" t="n">
        <v>36.796</v>
      </c>
      <c r="J84" s="20" t="n">
        <v>38.16</v>
      </c>
      <c r="K84" s="20" t="n">
        <v>33.078</v>
      </c>
      <c r="L84" s="20" t="n">
        <v>60.626</v>
      </c>
    </row>
    <row r="85">
      <c r="A85" s="18" t="inlineStr">
        <is>
          <t>공구·기구·비품</t>
        </is>
      </c>
      <c r="C85" s="20" t="n">
        <v>59.906</v>
      </c>
      <c r="D85" s="20" t="n">
        <v>60.837</v>
      </c>
      <c r="E85" s="20" t="n">
        <v>62.001</v>
      </c>
      <c r="F85" s="20" t="n">
        <v>61.565</v>
      </c>
      <c r="G85" s="20" t="n">
        <v>69.681</v>
      </c>
      <c r="H85" s="20" t="n">
        <v>89.729</v>
      </c>
      <c r="I85" s="20" t="n">
        <v>77.377</v>
      </c>
      <c r="J85" s="20" t="n">
        <v>81.55200000000001</v>
      </c>
      <c r="K85" s="20" t="n">
        <v>59.906</v>
      </c>
      <c r="L85" s="20" t="n">
        <v>69.681</v>
      </c>
    </row>
    <row r="86">
      <c r="A86" s="18" t="inlineStr">
        <is>
          <t>감가상각누계액</t>
        </is>
      </c>
      <c r="C86" s="20" t="n">
        <v>-52.652</v>
      </c>
      <c r="D86" s="20" t="n">
        <v>-53.393</v>
      </c>
      <c r="E86" s="20" t="n">
        <v>-54.367</v>
      </c>
      <c r="F86" s="20" t="n">
        <v>-54.991</v>
      </c>
      <c r="G86" s="20" t="n">
        <v>-57</v>
      </c>
      <c r="H86" s="20" t="n">
        <v>-71.437</v>
      </c>
      <c r="I86" s="20" t="n">
        <v>-67.414</v>
      </c>
      <c r="J86" s="20" t="n">
        <v>-71.834</v>
      </c>
      <c r="K86" s="20" t="n">
        <v>-52.652</v>
      </c>
      <c r="L86" s="20" t="n">
        <v>-57</v>
      </c>
    </row>
    <row r="87">
      <c r="A87" s="18" t="inlineStr">
        <is>
          <t>공구·기구·비품(순액)</t>
        </is>
      </c>
      <c r="C87" s="20" t="n">
        <v>7.254</v>
      </c>
      <c r="D87" s="20" t="n">
        <v>7.444</v>
      </c>
      <c r="E87" s="20" t="n">
        <v>7.634</v>
      </c>
      <c r="F87" s="20" t="n">
        <v>6.574</v>
      </c>
      <c r="G87" s="20" t="n">
        <v>12.681</v>
      </c>
      <c r="H87" s="20" t="n">
        <v>18.292</v>
      </c>
      <c r="I87" s="20" t="n">
        <v>9.962999999999999</v>
      </c>
      <c r="J87" s="20" t="n">
        <v>9.717000000000001</v>
      </c>
      <c r="K87" s="20" t="n">
        <v>7.254</v>
      </c>
      <c r="L87" s="20" t="n">
        <v>12.681</v>
      </c>
    </row>
    <row r="88">
      <c r="A88" s="18" t="inlineStr">
        <is>
          <t>사용권자산(순액)</t>
        </is>
      </c>
      <c r="H88" s="20" t="n">
        <v>0</v>
      </c>
    </row>
    <row r="89">
      <c r="A89" s="18" t="inlineStr">
        <is>
          <t>리스자산</t>
        </is>
      </c>
      <c r="C89" s="20" t="n">
        <v>9.68</v>
      </c>
      <c r="D89" s="20" t="n">
        <v>9.68</v>
      </c>
      <c r="E89" s="20" t="n">
        <v>9.68</v>
      </c>
      <c r="F89" s="20" t="n">
        <v>9.68</v>
      </c>
      <c r="G89" s="20" t="n">
        <v>9.68</v>
      </c>
      <c r="J89" s="20" t="n">
        <v>0</v>
      </c>
      <c r="K89" s="20" t="n">
        <v>9.68</v>
      </c>
      <c r="L89" s="20" t="n">
        <v>9.68</v>
      </c>
    </row>
    <row r="90">
      <c r="A90" s="18" t="inlineStr">
        <is>
          <t>감가상각누계액</t>
        </is>
      </c>
      <c r="C90" s="20" t="n">
        <v>-1.152</v>
      </c>
      <c r="D90" s="20" t="n">
        <v>-1.498</v>
      </c>
      <c r="E90" s="20" t="n">
        <v>-1.843</v>
      </c>
      <c r="F90" s="20" t="n">
        <v>-2.189</v>
      </c>
      <c r="G90" s="20" t="n">
        <v>-2.535</v>
      </c>
      <c r="J90" s="20" t="n">
        <v>0</v>
      </c>
      <c r="K90" s="20" t="n">
        <v>-1.152</v>
      </c>
      <c r="L90" s="20" t="n">
        <v>-2.535</v>
      </c>
    </row>
    <row r="91">
      <c r="A91" s="18" t="inlineStr">
        <is>
          <t>리스자산(순액)</t>
        </is>
      </c>
      <c r="C91" s="20" t="n">
        <v>8.526999999999999</v>
      </c>
      <c r="D91" s="20" t="n">
        <v>8.180999999999999</v>
      </c>
      <c r="E91" s="20" t="n">
        <v>7.836</v>
      </c>
      <c r="F91" s="20" t="n">
        <v>7.49</v>
      </c>
      <c r="G91" s="20" t="n">
        <v>7.144</v>
      </c>
      <c r="J91" s="20" t="n">
        <v>0</v>
      </c>
      <c r="K91" s="20" t="n">
        <v>8.526999999999999</v>
      </c>
      <c r="L91" s="20" t="n">
        <v>7.144</v>
      </c>
    </row>
    <row r="92">
      <c r="A92" s="18" t="inlineStr">
        <is>
          <t>유형자산 합계</t>
        </is>
      </c>
      <c r="C92" s="20" t="n">
        <v>48.86</v>
      </c>
      <c r="D92" s="20" t="n">
        <v>47.433</v>
      </c>
      <c r="E92" s="20" t="n">
        <v>43.704</v>
      </c>
      <c r="F92" s="20" t="n">
        <v>38.928</v>
      </c>
      <c r="G92" s="20" t="n">
        <v>80.452</v>
      </c>
      <c r="H92" s="20" t="n">
        <v>59.819</v>
      </c>
      <c r="I92" s="20" t="n">
        <v>46.76</v>
      </c>
      <c r="J92" s="20" t="n">
        <v>47.877</v>
      </c>
      <c r="K92" s="20" t="n">
        <v>48.86</v>
      </c>
      <c r="L92" s="20" t="n">
        <v>80.452</v>
      </c>
    </row>
    <row r="93">
      <c r="A93" s="18" t="inlineStr">
        <is>
          <t>상표권</t>
        </is>
      </c>
      <c r="C93" s="20" t="n">
        <v>1.247</v>
      </c>
      <c r="D93" s="20" t="n">
        <v>1.186</v>
      </c>
      <c r="E93" s="20" t="n">
        <v>1.125</v>
      </c>
      <c r="F93" s="20" t="n">
        <v>1.063</v>
      </c>
      <c r="G93" s="20" t="n">
        <v>1.002</v>
      </c>
      <c r="H93" s="20" t="n">
        <v>1.984</v>
      </c>
      <c r="I93" s="20" t="n">
        <v>1.738</v>
      </c>
      <c r="J93" s="20" t="n">
        <v>1.493</v>
      </c>
      <c r="K93" s="20" t="n">
        <v>1.247</v>
      </c>
      <c r="L93" s="20" t="n">
        <v>1.002</v>
      </c>
    </row>
    <row r="94">
      <c r="A94" s="18" t="inlineStr">
        <is>
          <t>영업권</t>
        </is>
      </c>
      <c r="C94" s="20" t="n">
        <v>349.07</v>
      </c>
      <c r="D94" s="20" t="n">
        <v>349.657</v>
      </c>
      <c r="E94" s="20" t="n">
        <v>331.586</v>
      </c>
      <c r="F94" s="20" t="n">
        <v>313.47</v>
      </c>
      <c r="G94" s="20" t="n">
        <v>285.603</v>
      </c>
      <c r="H94" s="20" t="n">
        <v>539.472</v>
      </c>
      <c r="I94" s="20" t="n">
        <v>476.005</v>
      </c>
      <c r="J94" s="20" t="n">
        <v>412.538</v>
      </c>
      <c r="K94" s="20" t="n">
        <v>349.07</v>
      </c>
      <c r="L94" s="20" t="n">
        <v>285.603</v>
      </c>
    </row>
    <row r="95">
      <c r="A95" s="18" t="inlineStr">
        <is>
          <t>고객관계자산</t>
        </is>
      </c>
      <c r="C95" s="20" t="n">
        <v>45.222</v>
      </c>
      <c r="D95" s="20" t="n">
        <v>43.166</v>
      </c>
      <c r="E95" s="20" t="n">
        <v>41.111</v>
      </c>
      <c r="F95" s="20" t="n">
        <v>39.055</v>
      </c>
      <c r="G95" s="20" t="n">
        <v>37</v>
      </c>
      <c r="H95" s="20" t="n">
        <v>69.88800000000001</v>
      </c>
      <c r="I95" s="20" t="n">
        <v>61.666</v>
      </c>
      <c r="J95" s="20" t="n">
        <v>53.444</v>
      </c>
      <c r="K95" s="20" t="n">
        <v>45.222</v>
      </c>
      <c r="L95" s="20" t="n">
        <v>37</v>
      </c>
    </row>
    <row r="96">
      <c r="A96" s="18" t="inlineStr">
        <is>
          <t>기타</t>
        </is>
      </c>
      <c r="H96" s="20" t="n">
        <v>0.096</v>
      </c>
      <c r="I96" s="20" t="n">
        <v>0.048</v>
      </c>
      <c r="J96" s="20" t="n">
        <v>0</v>
      </c>
    </row>
    <row r="97">
      <c r="A97" s="18" t="inlineStr">
        <is>
          <t>무형자산 합계</t>
        </is>
      </c>
      <c r="C97" s="20" t="n">
        <v>395.54</v>
      </c>
      <c r="D97" s="20" t="n">
        <v>394.011</v>
      </c>
      <c r="E97" s="20" t="n">
        <v>373.823</v>
      </c>
      <c r="F97" s="20" t="n">
        <v>353.589</v>
      </c>
      <c r="G97" s="20" t="n">
        <v>323.605</v>
      </c>
      <c r="H97" s="20" t="n">
        <v>611.441</v>
      </c>
      <c r="I97" s="20" t="n">
        <v>539.458</v>
      </c>
      <c r="J97" s="20" t="n">
        <v>467.475</v>
      </c>
      <c r="K97" s="20" t="n">
        <v>395.54</v>
      </c>
      <c r="L97" s="20" t="n">
        <v>323.605</v>
      </c>
    </row>
    <row r="98">
      <c r="A98" s="18" t="inlineStr">
        <is>
          <t>투자유가증권</t>
        </is>
      </c>
      <c r="C98" s="20" t="n">
        <v>1310.16</v>
      </c>
      <c r="D98" s="20" t="n">
        <v>1359.82</v>
      </c>
      <c r="E98" s="20" t="n">
        <v>1392.601</v>
      </c>
      <c r="F98" s="20" t="n">
        <v>1412.503</v>
      </c>
      <c r="G98" s="20" t="n">
        <v>1343.129</v>
      </c>
      <c r="H98" s="20" t="n">
        <v>54.441</v>
      </c>
      <c r="I98" s="20" t="n">
        <v>145.561</v>
      </c>
      <c r="J98" s="20" t="n">
        <v>202.017</v>
      </c>
      <c r="K98" s="20" t="n">
        <v>1310.16</v>
      </c>
      <c r="L98" s="20" t="n">
        <v>1343.129</v>
      </c>
    </row>
    <row r="99">
      <c r="A99" s="18" t="inlineStr">
        <is>
          <t>임차보증금·보증금</t>
        </is>
      </c>
      <c r="C99" s="20" t="n">
        <v>23.325</v>
      </c>
      <c r="D99" s="20" t="n">
        <v>23.737</v>
      </c>
      <c r="E99" s="20" t="n">
        <v>35.258</v>
      </c>
      <c r="F99" s="20" t="n">
        <v>35.034</v>
      </c>
      <c r="G99" s="20" t="n">
        <v>33.984</v>
      </c>
      <c r="H99" s="20" t="n">
        <v>28.929</v>
      </c>
      <c r="I99" s="20" t="n">
        <v>23.299</v>
      </c>
      <c r="J99" s="20" t="n">
        <v>22.827</v>
      </c>
      <c r="K99" s="20" t="n">
        <v>23.325</v>
      </c>
      <c r="L99" s="20" t="n">
        <v>33.984</v>
      </c>
    </row>
    <row r="100">
      <c r="A100" s="18" t="inlineStr">
        <is>
          <t>이연법인세자산</t>
        </is>
      </c>
      <c r="C100" s="20" t="n">
        <v>51.563</v>
      </c>
      <c r="D100" s="20" t="n">
        <v>0.493</v>
      </c>
      <c r="E100" s="20" t="n">
        <v>0.928</v>
      </c>
      <c r="F100" s="20" t="n">
        <v>0.605</v>
      </c>
      <c r="G100" s="20" t="n">
        <v>0</v>
      </c>
      <c r="H100" s="20" t="n">
        <v>93.73099999999999</v>
      </c>
      <c r="I100" s="20" t="n">
        <v>94.629</v>
      </c>
      <c r="J100" s="20" t="n">
        <v>74.017</v>
      </c>
      <c r="K100" s="20" t="n">
        <v>51.563</v>
      </c>
      <c r="L100" s="20" t="n">
        <v>0</v>
      </c>
    </row>
    <row r="101">
      <c r="A101" s="18" t="inlineStr">
        <is>
          <t>기타</t>
        </is>
      </c>
      <c r="C101" s="20" t="n">
        <v>20.279</v>
      </c>
      <c r="D101" s="20" t="n">
        <v>20.187</v>
      </c>
      <c r="E101" s="20" t="n">
        <v>23.269</v>
      </c>
      <c r="F101" s="20" t="n">
        <v>22.398</v>
      </c>
      <c r="G101" s="20" t="n">
        <v>20.057</v>
      </c>
      <c r="H101" s="20" t="n">
        <v>9.505000000000001</v>
      </c>
      <c r="I101" s="20" t="n">
        <v>22</v>
      </c>
      <c r="J101" s="20" t="n">
        <v>22.492</v>
      </c>
      <c r="K101" s="20" t="n">
        <v>20.279</v>
      </c>
      <c r="L101" s="20" t="n">
        <v>20.057</v>
      </c>
    </row>
    <row r="102">
      <c r="A102" s="18" t="inlineStr">
        <is>
          <t>투자 및 기타자산 합계</t>
        </is>
      </c>
      <c r="C102" s="20" t="n">
        <v>1405.328</v>
      </c>
      <c r="D102" s="20" t="n">
        <v>1404.238</v>
      </c>
      <c r="E102" s="20" t="n">
        <v>1452.057</v>
      </c>
      <c r="F102" s="20" t="n">
        <v>1470.541</v>
      </c>
      <c r="G102" s="20" t="n">
        <v>1397.171</v>
      </c>
      <c r="H102" s="20" t="n">
        <v>186.608</v>
      </c>
      <c r="I102" s="20" t="n">
        <v>285.49</v>
      </c>
      <c r="J102" s="20" t="n">
        <v>321.355</v>
      </c>
      <c r="K102" s="20" t="n">
        <v>1405.328</v>
      </c>
      <c r="L102" s="20" t="n">
        <v>1397.171</v>
      </c>
    </row>
    <row r="103">
      <c r="A103" s="9" t="inlineStr">
        <is>
          <t>비유동자산 합계</t>
        </is>
      </c>
      <c r="C103" s="12" t="n">
        <v>1849.729</v>
      </c>
      <c r="D103" s="12" t="n">
        <v>1845.682</v>
      </c>
      <c r="E103" s="12" t="n">
        <v>1869.584</v>
      </c>
      <c r="F103" s="12" t="n">
        <v>1863.058</v>
      </c>
      <c r="G103" s="12" t="n">
        <v>1801.229</v>
      </c>
      <c r="H103" s="12" t="n">
        <v>857.87</v>
      </c>
      <c r="I103" s="12" t="n">
        <v>871.7089999999999</v>
      </c>
      <c r="J103" s="12" t="n">
        <v>836.708</v>
      </c>
      <c r="K103" s="12" t="n">
        <v>1849.729</v>
      </c>
      <c r="L103" s="12" t="n">
        <v>1801.229</v>
      </c>
    </row>
    <row r="104">
      <c r="A104" s="9" t="inlineStr">
        <is>
          <t>자산 합계</t>
        </is>
      </c>
      <c r="C104" s="12" t="n">
        <v>5245.428</v>
      </c>
      <c r="D104" s="12" t="n">
        <v>4891.173</v>
      </c>
      <c r="E104" s="12" t="n">
        <v>5073.796</v>
      </c>
      <c r="F104" s="12" t="n">
        <v>5076.65</v>
      </c>
      <c r="G104" s="12" t="n">
        <v>5109.362</v>
      </c>
      <c r="H104" s="12" t="n">
        <v>4169.942</v>
      </c>
      <c r="I104" s="12" t="n">
        <v>4671.549</v>
      </c>
      <c r="J104" s="12" t="n">
        <v>4676.003</v>
      </c>
      <c r="K104" s="12" t="n">
        <v>5245.428</v>
      </c>
      <c r="L104" s="12" t="n">
        <v>5109.362</v>
      </c>
    </row>
    <row r="105">
      <c r="A105" s="18" t="inlineStr">
        <is>
          <t>매입채무</t>
        </is>
      </c>
      <c r="C105" s="20" t="n">
        <v>99.60899999999999</v>
      </c>
      <c r="D105" s="20" t="n">
        <v>109.717</v>
      </c>
      <c r="E105" s="20" t="n">
        <v>112.757</v>
      </c>
      <c r="F105" s="20" t="n">
        <v>93.807</v>
      </c>
      <c r="G105" s="20" t="n">
        <v>108.878</v>
      </c>
      <c r="H105" s="20" t="n">
        <v>47.377</v>
      </c>
      <c r="I105" s="20" t="n">
        <v>71.414</v>
      </c>
      <c r="J105" s="20" t="n">
        <v>63.192</v>
      </c>
      <c r="K105" s="20" t="n">
        <v>99.60899999999999</v>
      </c>
      <c r="L105" s="20" t="n">
        <v>108.878</v>
      </c>
    </row>
    <row r="106">
      <c r="A106" s="18" t="inlineStr">
        <is>
          <t>1년 내 상환 장기차입금</t>
        </is>
      </c>
      <c r="C106" s="20" t="n">
        <v>130.423</v>
      </c>
      <c r="D106" s="20" t="n">
        <v>117.301</v>
      </c>
      <c r="E106" s="20" t="n">
        <v>107.572</v>
      </c>
      <c r="F106" s="20" t="n">
        <v>100.297</v>
      </c>
      <c r="G106" s="20" t="n">
        <v>78.398</v>
      </c>
      <c r="H106" s="20" t="n">
        <v>125.816</v>
      </c>
      <c r="I106" s="20" t="n">
        <v>106.488</v>
      </c>
      <c r="J106" s="20" t="n">
        <v>162.412</v>
      </c>
      <c r="K106" s="20" t="n">
        <v>130.423</v>
      </c>
      <c r="L106" s="20" t="n">
        <v>78.398</v>
      </c>
    </row>
    <row r="107">
      <c r="A107" s="18" t="inlineStr">
        <is>
          <t>미지급금</t>
        </is>
      </c>
      <c r="C107" s="20" t="n">
        <v>142.063</v>
      </c>
      <c r="D107" s="20" t="n">
        <v>107.309</v>
      </c>
      <c r="E107" s="20" t="n">
        <v>111.258</v>
      </c>
      <c r="F107" s="20" t="n">
        <v>128.112</v>
      </c>
      <c r="G107" s="20" t="n">
        <v>136.384</v>
      </c>
      <c r="H107" s="20" t="n">
        <v>148.026</v>
      </c>
      <c r="I107" s="20" t="n">
        <v>132.915</v>
      </c>
      <c r="J107" s="20" t="n">
        <v>85.434</v>
      </c>
      <c r="K107" s="20" t="n">
        <v>142.063</v>
      </c>
      <c r="L107" s="20" t="n">
        <v>136.384</v>
      </c>
    </row>
    <row r="108">
      <c r="A108" s="18" t="inlineStr">
        <is>
          <t>미지급비용</t>
        </is>
      </c>
      <c r="C108" s="20" t="n">
        <v>39.493</v>
      </c>
      <c r="D108" s="20" t="n">
        <v>31.499</v>
      </c>
      <c r="E108" s="20" t="n">
        <v>33.516</v>
      </c>
      <c r="F108" s="20" t="n">
        <v>35.182</v>
      </c>
      <c r="G108" s="20" t="n">
        <v>42.29</v>
      </c>
      <c r="H108" s="20" t="n">
        <v>61.114</v>
      </c>
      <c r="I108" s="20" t="n">
        <v>62.814</v>
      </c>
      <c r="J108" s="20" t="n">
        <v>40.766</v>
      </c>
      <c r="K108" s="20" t="n">
        <v>39.493</v>
      </c>
      <c r="L108" s="20" t="n">
        <v>42.29</v>
      </c>
    </row>
    <row r="109">
      <c r="A109" s="18" t="inlineStr">
        <is>
          <t>미지급법인세</t>
        </is>
      </c>
      <c r="C109" s="20" t="n">
        <v>219.888</v>
      </c>
      <c r="D109" s="20" t="n">
        <v>12.991</v>
      </c>
      <c r="E109" s="20" t="n">
        <v>106.513</v>
      </c>
      <c r="F109" s="20" t="n">
        <v>50.679</v>
      </c>
      <c r="G109" s="20" t="n">
        <v>78.358</v>
      </c>
      <c r="H109" s="20" t="n">
        <v>123.911</v>
      </c>
      <c r="I109" s="20" t="n">
        <v>88.952</v>
      </c>
      <c r="J109" s="20" t="n">
        <v>15.388</v>
      </c>
      <c r="K109" s="20" t="n">
        <v>219.888</v>
      </c>
      <c r="L109" s="20" t="n">
        <v>78.358</v>
      </c>
    </row>
    <row r="110">
      <c r="A110" s="18" t="inlineStr">
        <is>
          <t>미지급 소비세</t>
        </is>
      </c>
      <c r="C110" s="20" t="n">
        <v>112.933</v>
      </c>
      <c r="D110" s="20" t="n">
        <v>77.062</v>
      </c>
      <c r="E110" s="20" t="n">
        <v>60.43</v>
      </c>
      <c r="F110" s="20" t="n">
        <v>56.073</v>
      </c>
      <c r="G110" s="20" t="n">
        <v>57.444</v>
      </c>
      <c r="H110" s="20" t="n">
        <v>98.175</v>
      </c>
      <c r="I110" s="20" t="n">
        <v>53.233</v>
      </c>
      <c r="J110" s="20" t="n">
        <v>34.684</v>
      </c>
      <c r="K110" s="20" t="n">
        <v>112.933</v>
      </c>
      <c r="L110" s="20" t="n">
        <v>57.444</v>
      </c>
    </row>
    <row r="111">
      <c r="A111" s="18" t="inlineStr">
        <is>
          <t>선수금</t>
        </is>
      </c>
      <c r="H111" s="20" t="n">
        <v>0</v>
      </c>
    </row>
    <row r="112">
      <c r="A112" s="18" t="inlineStr">
        <is>
          <t>선수수익</t>
        </is>
      </c>
      <c r="H112" s="20" t="n">
        <v>0</v>
      </c>
    </row>
    <row r="113">
      <c r="A113" s="18" t="inlineStr">
        <is>
          <t>계약부채</t>
        </is>
      </c>
      <c r="C113" s="20" t="n">
        <v>61.599</v>
      </c>
      <c r="D113" s="20" t="n">
        <v>61.164</v>
      </c>
      <c r="E113" s="20" t="n">
        <v>67.53400000000001</v>
      </c>
      <c r="F113" s="20" t="n">
        <v>77.093</v>
      </c>
      <c r="G113" s="20" t="n">
        <v>52.128</v>
      </c>
      <c r="H113" s="20" t="n">
        <v>42.489</v>
      </c>
      <c r="I113" s="20" t="n">
        <v>60.988</v>
      </c>
      <c r="J113" s="20" t="n">
        <v>76.054</v>
      </c>
      <c r="K113" s="20" t="n">
        <v>61.599</v>
      </c>
      <c r="L113" s="20" t="n">
        <v>52.128</v>
      </c>
    </row>
    <row r="114">
      <c r="A114" s="18" t="inlineStr">
        <is>
          <t>리스부채</t>
        </is>
      </c>
      <c r="C114" s="20" t="n">
        <v>1.367</v>
      </c>
      <c r="D114" s="20" t="n">
        <v>1.383</v>
      </c>
      <c r="E114" s="20" t="n">
        <v>1.4</v>
      </c>
      <c r="F114" s="20" t="n">
        <v>1.416</v>
      </c>
      <c r="G114" s="20" t="n">
        <v>1.433</v>
      </c>
      <c r="H114" s="20" t="n">
        <v>20.224</v>
      </c>
      <c r="I114" s="20" t="n">
        <v>0</v>
      </c>
      <c r="J114" s="20" t="n">
        <v>0</v>
      </c>
      <c r="K114" s="20" t="n">
        <v>1.367</v>
      </c>
      <c r="L114" s="20" t="n">
        <v>1.433</v>
      </c>
    </row>
    <row r="115">
      <c r="A115" s="18" t="inlineStr">
        <is>
          <t>예수금</t>
        </is>
      </c>
      <c r="C115" s="20" t="n">
        <v>48.73</v>
      </c>
      <c r="D115" s="20" t="n">
        <v>77.251</v>
      </c>
      <c r="E115" s="20" t="n">
        <v>41.129</v>
      </c>
      <c r="F115" s="20" t="n">
        <v>51.003</v>
      </c>
      <c r="G115" s="20" t="n">
        <v>30.425</v>
      </c>
      <c r="I115" s="20" t="n">
        <v>27.142</v>
      </c>
      <c r="J115" s="20" t="n">
        <v>49.524</v>
      </c>
      <c r="K115" s="20" t="n">
        <v>48.73</v>
      </c>
      <c r="L115" s="20" t="n">
        <v>30.425</v>
      </c>
    </row>
    <row r="116">
      <c r="A116" s="18" t="inlineStr">
        <is>
          <t>상여충당금</t>
        </is>
      </c>
      <c r="C116" s="20" t="n">
        <v>100.347</v>
      </c>
      <c r="D116" s="20" t="n">
        <v>6.298</v>
      </c>
      <c r="E116" s="20" t="n">
        <v>8.596</v>
      </c>
      <c r="F116" s="20" t="n">
        <v>4.536</v>
      </c>
      <c r="G116" s="20" t="n">
        <v>8.512</v>
      </c>
      <c r="H116" s="20" t="n">
        <v>0.215</v>
      </c>
      <c r="I116" s="20" t="n">
        <v>0</v>
      </c>
      <c r="J116" s="20" t="n">
        <v>1.885</v>
      </c>
      <c r="K116" s="20" t="n">
        <v>100.347</v>
      </c>
      <c r="L116" s="20" t="n">
        <v>8.512</v>
      </c>
    </row>
    <row r="117">
      <c r="A117" s="18" t="inlineStr">
        <is>
          <t>수주손실 충당금</t>
        </is>
      </c>
      <c r="H117" s="20" t="n">
        <v>0</v>
      </c>
    </row>
    <row r="118">
      <c r="A118" s="18" t="inlineStr">
        <is>
          <t>관계회사 정리손실 충당금</t>
        </is>
      </c>
      <c r="H118" s="20" t="n">
        <v>75.125</v>
      </c>
    </row>
    <row r="119">
      <c r="A119" s="18" t="inlineStr">
        <is>
          <t>기타</t>
        </is>
      </c>
      <c r="C119" s="20" t="n">
        <v>0</v>
      </c>
      <c r="D119" s="20" t="n">
        <v>15.317</v>
      </c>
      <c r="E119" s="20" t="n">
        <v>5.835</v>
      </c>
      <c r="F119" s="20" t="n">
        <v>0.5590000000000001</v>
      </c>
      <c r="G119" s="20" t="n">
        <v>0.404</v>
      </c>
      <c r="H119" s="20" t="n">
        <v>41.921</v>
      </c>
      <c r="I119" s="20" t="n">
        <v>4.55</v>
      </c>
      <c r="J119" s="20" t="n">
        <v>3.989</v>
      </c>
      <c r="K119" s="20" t="n">
        <v>0</v>
      </c>
      <c r="L119" s="20" t="n">
        <v>0.404</v>
      </c>
    </row>
    <row r="120">
      <c r="A120" s="9" t="inlineStr">
        <is>
          <t>유동부채 합계</t>
        </is>
      </c>
      <c r="C120" s="12" t="n">
        <v>956.456</v>
      </c>
      <c r="D120" s="12" t="n">
        <v>617.297</v>
      </c>
      <c r="E120" s="12" t="n">
        <v>656.544</v>
      </c>
      <c r="F120" s="12" t="n">
        <v>598.7619999999999</v>
      </c>
      <c r="G120" s="12" t="n">
        <v>594.658</v>
      </c>
      <c r="H120" s="12" t="n">
        <v>709.271</v>
      </c>
      <c r="I120" s="12" t="n">
        <v>608.499</v>
      </c>
      <c r="J120" s="12" t="n">
        <v>533.332</v>
      </c>
      <c r="K120" s="12" t="n">
        <v>956.456</v>
      </c>
      <c r="L120" s="12" t="n">
        <v>594.658</v>
      </c>
    </row>
    <row r="121">
      <c r="A121" s="18" t="inlineStr">
        <is>
          <t>장기차입금</t>
        </is>
      </c>
      <c r="C121" s="20" t="n">
        <v>108.426</v>
      </c>
      <c r="D121" s="20" t="n">
        <v>82.602</v>
      </c>
      <c r="E121" s="20" t="n">
        <v>56.698</v>
      </c>
      <c r="F121" s="20" t="n">
        <v>35.026</v>
      </c>
      <c r="G121" s="20" t="n">
        <v>30.028</v>
      </c>
      <c r="H121" s="20" t="n">
        <v>192.731</v>
      </c>
      <c r="I121" s="20" t="n">
        <v>86.24299999999999</v>
      </c>
      <c r="J121" s="20" t="n">
        <v>238.849</v>
      </c>
      <c r="K121" s="20" t="n">
        <v>108.426</v>
      </c>
      <c r="L121" s="20" t="n">
        <v>30.028</v>
      </c>
    </row>
    <row r="122">
      <c r="A122" s="18" t="inlineStr">
        <is>
          <t>리스부채</t>
        </is>
      </c>
      <c r="C122" s="20" t="n">
        <v>8.188000000000001</v>
      </c>
      <c r="D122" s="20" t="n">
        <v>7.836</v>
      </c>
      <c r="E122" s="20" t="n">
        <v>7.48</v>
      </c>
      <c r="F122" s="20" t="n">
        <v>7.119</v>
      </c>
      <c r="G122" s="20" t="n">
        <v>6.755</v>
      </c>
      <c r="H122" s="20" t="n">
        <v>22.686</v>
      </c>
      <c r="I122" s="20" t="n">
        <v>0</v>
      </c>
      <c r="J122" s="20" t="n">
        <v>0</v>
      </c>
      <c r="K122" s="20" t="n">
        <v>8.188000000000001</v>
      </c>
      <c r="L122" s="20" t="n">
        <v>6.755</v>
      </c>
    </row>
    <row r="123">
      <c r="A123" s="18" t="inlineStr">
        <is>
          <t>자산복구부채</t>
        </is>
      </c>
      <c r="C123" s="20" t="n">
        <v>11.608</v>
      </c>
      <c r="D123" s="20" t="n">
        <v>11.612</v>
      </c>
      <c r="E123" s="20" t="n">
        <v>11.616</v>
      </c>
      <c r="F123" s="20" t="n">
        <v>11.62</v>
      </c>
      <c r="G123" s="20" t="n">
        <v>13.075</v>
      </c>
      <c r="H123" s="20" t="n">
        <v>11.56</v>
      </c>
      <c r="I123" s="20" t="n">
        <v>11.576</v>
      </c>
      <c r="J123" s="20" t="n">
        <v>11.592</v>
      </c>
      <c r="K123" s="20" t="n">
        <v>11.608</v>
      </c>
      <c r="L123" s="20" t="n">
        <v>13.075</v>
      </c>
    </row>
    <row r="124">
      <c r="A124" s="18" t="inlineStr">
        <is>
          <t>이연법인세부채</t>
        </is>
      </c>
      <c r="C124" s="20" t="n">
        <v>15.57</v>
      </c>
      <c r="D124" s="20" t="n">
        <v>20.861</v>
      </c>
      <c r="E124" s="20" t="n">
        <v>17.47</v>
      </c>
      <c r="F124" s="20" t="n">
        <v>18.411</v>
      </c>
      <c r="G124" s="20" t="n">
        <v>16.42</v>
      </c>
      <c r="H124" s="20" t="n">
        <v>24.342</v>
      </c>
      <c r="I124" s="20" t="n">
        <v>21.604</v>
      </c>
      <c r="J124" s="20" t="n">
        <v>19.848</v>
      </c>
      <c r="K124" s="20" t="n">
        <v>15.57</v>
      </c>
      <c r="L124" s="20" t="n">
        <v>16.42</v>
      </c>
    </row>
    <row r="125">
      <c r="A125" s="9" t="inlineStr">
        <is>
          <t>비유동부채 합계</t>
        </is>
      </c>
      <c r="C125" s="12" t="n">
        <v>143.793</v>
      </c>
      <c r="D125" s="12" t="n">
        <v>122.913</v>
      </c>
      <c r="E125" s="12" t="n">
        <v>93.265</v>
      </c>
      <c r="F125" s="12" t="n">
        <v>72.178</v>
      </c>
      <c r="G125" s="12" t="n">
        <v>66.27800000000001</v>
      </c>
      <c r="H125" s="12" t="n">
        <v>251.32</v>
      </c>
      <c r="I125" s="12" t="n">
        <v>119.423</v>
      </c>
      <c r="J125" s="12" t="n">
        <v>270.29</v>
      </c>
      <c r="K125" s="12" t="n">
        <v>143.793</v>
      </c>
      <c r="L125" s="12" t="n">
        <v>66.27800000000001</v>
      </c>
    </row>
    <row r="126">
      <c r="A126" s="9" t="inlineStr">
        <is>
          <t>부채 합계</t>
        </is>
      </c>
      <c r="C126" s="12" t="n">
        <v>1100.25</v>
      </c>
      <c r="D126" s="12" t="n">
        <v>740.21</v>
      </c>
      <c r="E126" s="12" t="n">
        <v>749.809</v>
      </c>
      <c r="F126" s="12" t="n">
        <v>670.941</v>
      </c>
      <c r="G126" s="12" t="n">
        <v>660.936</v>
      </c>
      <c r="H126" s="12" t="n">
        <v>960.592</v>
      </c>
      <c r="I126" s="12" t="n">
        <v>727.923</v>
      </c>
      <c r="J126" s="12" t="n">
        <v>803.622</v>
      </c>
      <c r="K126" s="12" t="n">
        <v>1100.25</v>
      </c>
      <c r="L126" s="12" t="n">
        <v>660.936</v>
      </c>
    </row>
    <row r="127">
      <c r="A127" s="18" t="inlineStr">
        <is>
          <t>자본금</t>
        </is>
      </c>
      <c r="C127" s="20" t="n">
        <v>1774.543</v>
      </c>
      <c r="D127" s="20" t="n">
        <v>1774.543</v>
      </c>
      <c r="E127" s="20" t="n">
        <v>1774.568</v>
      </c>
      <c r="F127" s="20" t="n">
        <v>1774.568</v>
      </c>
      <c r="G127" s="20" t="n">
        <v>1774.79</v>
      </c>
      <c r="H127" s="20" t="n">
        <v>1511.039</v>
      </c>
      <c r="I127" s="20" t="n">
        <v>1767.52</v>
      </c>
      <c r="J127" s="20" t="n">
        <v>1772.244</v>
      </c>
      <c r="K127" s="20" t="n">
        <v>1774.543</v>
      </c>
      <c r="L127" s="20" t="n">
        <v>1774.79</v>
      </c>
    </row>
    <row r="128">
      <c r="A128" s="18" t="inlineStr">
        <is>
          <t>자본잉여금</t>
        </is>
      </c>
      <c r="C128" s="20" t="n">
        <v>1761.139</v>
      </c>
      <c r="D128" s="20" t="n">
        <v>1761.139</v>
      </c>
      <c r="E128" s="20" t="n">
        <v>1761.164</v>
      </c>
      <c r="F128" s="20" t="n">
        <v>1761.164</v>
      </c>
      <c r="G128" s="20" t="n">
        <v>1761.386</v>
      </c>
      <c r="H128" s="20" t="n">
        <v>1506.039</v>
      </c>
      <c r="I128" s="20" t="n">
        <v>1762.52</v>
      </c>
      <c r="J128" s="20" t="n">
        <v>1767.244</v>
      </c>
      <c r="K128" s="20" t="n">
        <v>1761.139</v>
      </c>
      <c r="L128" s="20" t="n">
        <v>1761.386</v>
      </c>
    </row>
    <row r="129">
      <c r="A129" s="18" t="inlineStr">
        <is>
          <t>이익잉여금</t>
        </is>
      </c>
      <c r="C129" s="20" t="n">
        <v>821.244</v>
      </c>
      <c r="D129" s="20" t="n">
        <v>794.876</v>
      </c>
      <c r="E129" s="20" t="n">
        <v>950.141</v>
      </c>
      <c r="F129" s="20" t="n">
        <v>1018.259</v>
      </c>
      <c r="G129" s="20" t="n">
        <v>1087.589</v>
      </c>
      <c r="H129" s="20" t="n">
        <v>186.62</v>
      </c>
      <c r="I129" s="20" t="n">
        <v>402.659</v>
      </c>
      <c r="J129" s="20" t="n">
        <v>414.192</v>
      </c>
      <c r="K129" s="20" t="n">
        <v>821.244</v>
      </c>
      <c r="L129" s="20" t="n">
        <v>1087.589</v>
      </c>
    </row>
    <row r="130">
      <c r="A130" s="18" t="inlineStr">
        <is>
          <t>자기주식</t>
        </is>
      </c>
      <c r="C130" s="20" t="n">
        <v>-250.168</v>
      </c>
      <c r="D130" s="20" t="n">
        <v>-250.177</v>
      </c>
      <c r="E130" s="20" t="n">
        <v>-250.18</v>
      </c>
      <c r="F130" s="20" t="n">
        <v>-250.18</v>
      </c>
      <c r="G130" s="20" t="n">
        <v>-268.251</v>
      </c>
      <c r="H130" s="20" t="n">
        <v>-0.11</v>
      </c>
      <c r="I130" s="20" t="n">
        <v>-0.11</v>
      </c>
      <c r="J130" s="20" t="n">
        <v>-100.1</v>
      </c>
      <c r="K130" s="20" t="n">
        <v>-250.168</v>
      </c>
      <c r="L130" s="20" t="n">
        <v>-268.251</v>
      </c>
    </row>
    <row r="131">
      <c r="A131" s="9" t="inlineStr">
        <is>
          <t>주주자본 합계</t>
        </is>
      </c>
      <c r="C131" s="12" t="n">
        <v>4106.759</v>
      </c>
      <c r="D131" s="12" t="n">
        <v>4080.382</v>
      </c>
      <c r="E131" s="12" t="n">
        <v>4235.692</v>
      </c>
      <c r="F131" s="12" t="n">
        <v>4303.811</v>
      </c>
      <c r="G131" s="12" t="n">
        <v>4355.514</v>
      </c>
      <c r="H131" s="12" t="n">
        <v>3203.588</v>
      </c>
      <c r="I131" s="12" t="n">
        <v>3932.589</v>
      </c>
      <c r="J131" s="12" t="n">
        <v>3853.58</v>
      </c>
      <c r="K131" s="12" t="n">
        <v>4106.759</v>
      </c>
      <c r="L131" s="12" t="n">
        <v>4355.514</v>
      </c>
    </row>
    <row r="132">
      <c r="A132" s="18" t="inlineStr">
        <is>
          <t>기타유가증권 평가차액</t>
        </is>
      </c>
      <c r="C132" s="20" t="n">
        <v>15.192</v>
      </c>
      <c r="D132" s="20" t="n">
        <v>45.351</v>
      </c>
      <c r="E132" s="20" t="n">
        <v>61.35</v>
      </c>
      <c r="F132" s="20" t="n">
        <v>72.339</v>
      </c>
      <c r="G132" s="20" t="n">
        <v>60.752</v>
      </c>
      <c r="I132" s="20" t="n">
        <v>0</v>
      </c>
      <c r="J132" s="20" t="n">
        <v>-0.06</v>
      </c>
      <c r="K132" s="20" t="n">
        <v>15.192</v>
      </c>
      <c r="L132" s="20" t="n">
        <v>60.752</v>
      </c>
    </row>
    <row r="133">
      <c r="A133" s="18" t="inlineStr">
        <is>
          <t>해외사업환산조정</t>
        </is>
      </c>
      <c r="C133" s="20" t="n">
        <v>-0.128</v>
      </c>
      <c r="D133" s="20" t="n">
        <v>-0.178</v>
      </c>
      <c r="E133" s="20" t="n">
        <v>-0.127</v>
      </c>
      <c r="F133" s="20" t="n">
        <v>-0.127</v>
      </c>
      <c r="G133" s="20" t="n">
        <v>-0.143</v>
      </c>
      <c r="H133" s="20" t="n">
        <v>-2.407</v>
      </c>
      <c r="I133" s="20" t="n">
        <v>-3.099</v>
      </c>
      <c r="J133" s="20" t="n">
        <v>-3.069</v>
      </c>
      <c r="K133" s="20" t="n">
        <v>-0.128</v>
      </c>
      <c r="L133" s="20" t="n">
        <v>-0.143</v>
      </c>
    </row>
    <row r="134">
      <c r="A134" s="18" t="inlineStr">
        <is>
          <t>기타포괄손익누계액 합계</t>
        </is>
      </c>
      <c r="C134" s="20" t="n">
        <v>15.064</v>
      </c>
      <c r="D134" s="20" t="n">
        <v>45.173</v>
      </c>
      <c r="E134" s="20" t="n">
        <v>61.223</v>
      </c>
      <c r="F134" s="20" t="n">
        <v>72.212</v>
      </c>
      <c r="G134" s="20" t="n">
        <v>60.609</v>
      </c>
      <c r="H134" s="20" t="n">
        <v>-2.407</v>
      </c>
      <c r="I134" s="20" t="n">
        <v>-3.099</v>
      </c>
      <c r="J134" s="20" t="n">
        <v>-3.13</v>
      </c>
      <c r="K134" s="20" t="n">
        <v>15.064</v>
      </c>
      <c r="L134" s="20" t="n">
        <v>60.609</v>
      </c>
    </row>
    <row r="135">
      <c r="A135" s="18" t="inlineStr">
        <is>
          <t>신주예약권</t>
        </is>
      </c>
      <c r="C135" s="20" t="n">
        <v>23.353</v>
      </c>
      <c r="D135" s="20" t="n">
        <v>25.407</v>
      </c>
      <c r="E135" s="20" t="n">
        <v>27.07</v>
      </c>
      <c r="F135" s="20" t="n">
        <v>29.686</v>
      </c>
      <c r="G135" s="20" t="n">
        <v>32.301</v>
      </c>
      <c r="H135" s="20" t="n">
        <v>8.167999999999999</v>
      </c>
      <c r="I135" s="20" t="n">
        <v>14.135</v>
      </c>
      <c r="J135" s="20" t="n">
        <v>21.93</v>
      </c>
      <c r="K135" s="20" t="n">
        <v>23.353</v>
      </c>
      <c r="L135" s="20" t="n">
        <v>32.301</v>
      </c>
    </row>
    <row r="136">
      <c r="A136" s="18" t="inlineStr">
        <is>
          <t>비지배지분</t>
        </is>
      </c>
      <c r="J136" s="20" t="n">
        <v>0</v>
      </c>
    </row>
    <row r="137">
      <c r="A137" s="9" t="inlineStr">
        <is>
          <t>순자산 합계</t>
        </is>
      </c>
      <c r="C137" s="12" t="n">
        <v>4145.177</v>
      </c>
      <c r="D137" s="12" t="n">
        <v>4150.963</v>
      </c>
      <c r="E137" s="12" t="n">
        <v>4323.986</v>
      </c>
      <c r="F137" s="12" t="n">
        <v>4405.709</v>
      </c>
      <c r="G137" s="12" t="n">
        <v>4448.425</v>
      </c>
      <c r="H137" s="12" t="n">
        <v>3209.349</v>
      </c>
      <c r="I137" s="12" t="n">
        <v>3943.626</v>
      </c>
      <c r="J137" s="12" t="n">
        <v>3872.38</v>
      </c>
      <c r="K137" s="12" t="n">
        <v>4145.177</v>
      </c>
      <c r="L137" s="12" t="n">
        <v>4448.425</v>
      </c>
    </row>
    <row r="138">
      <c r="A138" s="9" t="inlineStr">
        <is>
          <t>부채·순자산 합계</t>
        </is>
      </c>
      <c r="C138" s="12" t="n">
        <v>5245.428</v>
      </c>
      <c r="D138" s="12" t="n">
        <v>4891.173</v>
      </c>
      <c r="E138" s="12" t="n">
        <v>5073.796</v>
      </c>
      <c r="F138" s="12" t="n">
        <v>5076.65</v>
      </c>
      <c r="G138" s="12" t="n">
        <v>5109.362</v>
      </c>
      <c r="H138" s="12" t="n">
        <v>4169.942</v>
      </c>
      <c r="I138" s="12" t="n">
        <v>4671.549</v>
      </c>
      <c r="J138" s="12" t="n">
        <v>4676.003</v>
      </c>
      <c r="K138" s="12" t="n">
        <v>5245.428</v>
      </c>
      <c r="L138" s="12" t="n">
        <v>5109.362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https://www2.jpx.co.jp/disc/73510/140120261015551193.pdf</t>
        </is>
      </c>
    </row>
    <row r="5">
      <c r="A5" t="inlineStr">
        <is>
          <t>2026-07-15</t>
        </is>
      </c>
      <c r="B5" t="inlineStr">
        <is>
          <t>2026년 8월 결산기 ３분기 결산단신</t>
        </is>
      </c>
      <c r="C5" t="inlineStr">
        <is>
          <t>https://www2.jpx.co.jp/disc/73510/140120260715594111.pdf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https://www2.jpx.co.jp/disc/73510/140120260414503873.pdf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https://www2.jpx.co.jp/disc/73510/140120260114533673.pdf</t>
        </is>
      </c>
    </row>
    <row r="8">
      <c r="A8" t="inlineStr">
        <is>
          <t>2025-10-15</t>
        </is>
      </c>
      <c r="B8" t="inlineStr">
        <is>
          <t>2025년 8월 결산기 연간 결산단신</t>
        </is>
      </c>
      <c r="C8" t="inlineStr">
        <is>
          <t>https://www2.jpx.co.jp/disc/73510/140120251015573463.pdf</t>
        </is>
      </c>
    </row>
    <row r="9">
      <c r="A9" t="inlineStr">
        <is>
          <t>2025-07-15</t>
        </is>
      </c>
      <c r="B9" t="inlineStr">
        <is>
          <t>2025년 8월 결산기 ３분기 결산단신</t>
        </is>
      </c>
      <c r="C9" t="inlineStr">
        <is>
          <t>https://www2.jpx.co.jp/disc/73510/140120250714514138.pdf</t>
        </is>
      </c>
    </row>
    <row r="10">
      <c r="A10" t="inlineStr">
        <is>
          <t>2025-04-14</t>
        </is>
      </c>
      <c r="B10" t="inlineStr">
        <is>
          <t>2025년 8월 결산기 ２분기 결산단신</t>
        </is>
      </c>
      <c r="C10" t="inlineStr">
        <is>
          <t>https://www2.jpx.co.jp/disc/73510/140120250413514423.pdf</t>
        </is>
      </c>
    </row>
    <row r="11">
      <c r="A11" t="inlineStr">
        <is>
          <t>2025-01-14</t>
        </is>
      </c>
      <c r="B11" t="inlineStr">
        <is>
          <t>2025년 8월 결산기 １분기 결산단신</t>
        </is>
      </c>
      <c r="C11" t="inlineStr">
        <is>
          <t>https://www2.jpx.co.jp/disc/73510/140120250114550346.pdf</t>
        </is>
      </c>
    </row>
    <row r="12">
      <c r="A12" t="inlineStr">
        <is>
          <t>2024-10-15</t>
        </is>
      </c>
      <c r="B12" t="inlineStr">
        <is>
          <t>2024년 8월 결산기 연간 결산단신</t>
        </is>
      </c>
      <c r="C12" t="inlineStr">
        <is>
          <t>https://www2.jpx.co.jp/disc/73510/140120241015597630.pdf</t>
        </is>
      </c>
    </row>
    <row r="13">
      <c r="A13" t="inlineStr">
        <is>
          <t>2024-07-12</t>
        </is>
      </c>
      <c r="B13" t="inlineStr">
        <is>
          <t>2024년 8월 결산기 ３분기 결산단신</t>
        </is>
      </c>
      <c r="C13" t="inlineStr">
        <is>
          <t>https://www2.jpx.co.jp/disc/73510/140120240712548244.pdf</t>
        </is>
      </c>
    </row>
    <row r="14">
      <c r="A14" t="inlineStr">
        <is>
          <t>2024-04-12</t>
        </is>
      </c>
      <c r="B14" t="inlineStr">
        <is>
          <t>2024년 8월 결산기 ２분기 결산단신</t>
        </is>
      </c>
      <c r="C14" t="inlineStr">
        <is>
          <t>https://www2.jpx.co.jp/disc/73510/140120240412569724.pdf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https://www2.jpx.co.jp/disc/73510/140120240112514534.pdf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https://www2.jpx.co.jp/disc/73510/140120231013566368.pdf</t>
        </is>
      </c>
    </row>
    <row r="17">
      <c r="A17" t="inlineStr">
        <is>
          <t>2023-07-14</t>
        </is>
      </c>
      <c r="B17" t="inlineStr">
        <is>
          <t>2023년 8월 결산기 ３분기 결산단신</t>
        </is>
      </c>
      <c r="C17" t="inlineStr">
        <is>
          <t>https://www2.jpx.co.jp/disc/73510/140120230713522040.pdf</t>
        </is>
      </c>
    </row>
    <row r="18">
      <c r="A18" t="inlineStr">
        <is>
          <t>2023-04-14</t>
        </is>
      </c>
      <c r="B18" t="inlineStr">
        <is>
          <t>2023년 8월 결산기 ２분기 결산단신</t>
        </is>
      </c>
      <c r="C18" t="inlineStr">
        <is>
          <t>https://www2.jpx.co.jp/disc/73510/140120230413547084.pdf</t>
        </is>
      </c>
    </row>
    <row r="19">
      <c r="A19" t="inlineStr">
        <is>
          <t>2023-01-13</t>
        </is>
      </c>
      <c r="B19" t="inlineStr">
        <is>
          <t>2023년 8월 결산기 １분기 결산단신</t>
        </is>
      </c>
      <c r="C19" t="inlineStr">
        <is>
          <t>https://www2.jpx.co.jp/disc/73510/140120230112588535.pdf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https://www2.jpx.co.jp/disc/73510/140120221014544633.pdf</t>
        </is>
      </c>
    </row>
    <row r="21">
      <c r="A21" t="inlineStr">
        <is>
          <t>2021-10-15</t>
        </is>
      </c>
      <c r="B21" t="inlineStr">
        <is>
          <t>2021년 8월 결산기 연간 결산단신</t>
        </is>
      </c>
      <c r="C21" t="inlineStr">
        <is>
          <t>https://www2.jpx.co.jp/disc/73510/140120211015411443.pdf</t>
        </is>
      </c>
    </row>
    <row r="22">
      <c r="A22" t="inlineStr">
        <is>
          <t>2020-10-15</t>
        </is>
      </c>
      <c r="B22" t="inlineStr">
        <is>
          <t>2020년 8월 결산기 연간 결산단신</t>
        </is>
      </c>
      <c r="C22" t="inlineStr">
        <is>
          <t>https://www2.jpx.co.jp/disc/73510/140120201015404128.pdf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2026-10-26T10:58:45Z</dcterms:created>
  <dcterms:modified xmlns:dcterms="http://purl.org/dc/terms/" xmlns:xsi="http://www.w3.org/2001/XMLSchema-instance" xsi:type="dcterms:W3CDTF">2026-10-26T10:58:46Z</dcterms:modified>
</cp:coreProperties>
</file>