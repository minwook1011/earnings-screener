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6836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229.237</v>
      </c>
      <c r="D4" s="12" t="n">
        <v>244.885</v>
      </c>
      <c r="E4" s="12" t="n">
        <v>292.443</v>
      </c>
      <c r="F4" s="12" t="n">
        <v>260.792</v>
      </c>
      <c r="G4" s="12" t="n">
        <v>304.852</v>
      </c>
      <c r="H4" s="12" t="n">
        <v>315.587</v>
      </c>
      <c r="I4" s="12" t="n">
        <v>286.154</v>
      </c>
      <c r="J4" s="12" t="n">
        <v>304.7</v>
      </c>
      <c r="K4" s="12" t="n">
        <v>387.218</v>
      </c>
      <c r="L4" s="12" t="n">
        <v>282.536</v>
      </c>
      <c r="M4" s="12" t="n">
        <v>324.493</v>
      </c>
      <c r="N4" s="12" t="n">
        <v>401.644</v>
      </c>
      <c r="O4" s="11" t="n">
        <v>1133.986</v>
      </c>
      <c r="P4" s="12" t="n">
        <v>1299.454</v>
      </c>
      <c r="Q4" s="12" t="n">
        <v>1108.371</v>
      </c>
      <c r="R4" s="12" t="n">
        <v>1117.517</v>
      </c>
      <c r="S4" s="12" t="n">
        <v>1233.872</v>
      </c>
      <c r="T4" s="12" t="n">
        <v>1219.525</v>
      </c>
      <c r="U4" s="12" t="n">
        <v>994.756</v>
      </c>
      <c r="V4" s="12" t="n">
        <v>998.946</v>
      </c>
      <c r="W4" s="12" t="n">
        <v>1167.385</v>
      </c>
      <c r="X4" s="12" t="n">
        <v>1298.947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Network Segment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>
        <v>275.71</v>
      </c>
      <c r="M7" s="20" t="n">
        <v>320.083</v>
      </c>
      <c r="N7" s="20" t="n">
        <v>349.569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>
        <v>1264.018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Web3Segment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>
        <v>6.826</v>
      </c>
      <c r="M10" s="20" t="n">
        <v>4.41</v>
      </c>
      <c r="N10" s="20" t="n">
        <v>52.075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>
        <v>34.928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141.119</v>
      </c>
      <c r="D14" s="20" t="n">
        <v>146.255</v>
      </c>
      <c r="E14" s="20" t="n">
        <v>175.346</v>
      </c>
      <c r="F14" s="20" t="n">
        <v>160.902</v>
      </c>
      <c r="G14" s="20" t="n">
        <v>187.124</v>
      </c>
      <c r="H14" s="20" t="n">
        <v>198.799</v>
      </c>
      <c r="I14" s="20" t="n">
        <v>155.608</v>
      </c>
      <c r="J14" s="20" t="n">
        <v>177.941</v>
      </c>
      <c r="K14" s="20" t="n">
        <v>230.408</v>
      </c>
      <c r="L14" s="20" t="n">
        <v>148.04</v>
      </c>
      <c r="M14" s="20" t="n">
        <v>180.332</v>
      </c>
      <c r="N14" s="20" t="n">
        <v>207.426</v>
      </c>
      <c r="O14" s="19" t="n">
        <v>744.985</v>
      </c>
      <c r="P14" s="20" t="n">
        <v>843.635</v>
      </c>
      <c r="Q14" s="20" t="n">
        <v>725.852</v>
      </c>
      <c r="R14" s="20" t="n">
        <v>719.343</v>
      </c>
      <c r="S14" s="20" t="n">
        <v>803.921</v>
      </c>
      <c r="T14" s="20" t="n">
        <v>762.931</v>
      </c>
      <c r="U14" s="20" t="n">
        <v>619.982</v>
      </c>
      <c r="V14" s="20" t="n">
        <v>605.098</v>
      </c>
      <c r="W14" s="20" t="n">
        <v>702.433</v>
      </c>
      <c r="X14" s="20" t="n">
        <v>736.721</v>
      </c>
      <c r="Y14" s="19" t="n"/>
      <c r="Z14" s="20" t="n"/>
      <c r="AA14" s="20" t="n"/>
      <c r="AB14" s="20" t="n"/>
      <c r="AC14" s="20" t="n"/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IF(OR(G14="",C14=""),"",IF(C14&lt;=0,"",IFERROR(G14/C14-1,"")))</f>
        <v/>
      </c>
      <c r="H15" s="15">
        <f>IF(OR(H14="",D14=""),"",IF(D14&lt;=0,"",IFERROR(H14/D14-1,"")))</f>
        <v/>
      </c>
      <c r="I15" s="15">
        <f>IF(OR(I14="",E14=""),"",IF(E14&lt;=0,"",IFERROR(I14/E14-1,"")))</f>
        <v/>
      </c>
      <c r="J15" s="15">
        <f>IF(OR(J14="",F14=""),"",IF(F14&lt;=0,"",IFERROR(J14/F14-1,"")))</f>
        <v/>
      </c>
      <c r="K15" s="15">
        <f>IF(OR(K14="",G14=""),"",IF(G14&lt;=0,"",IFERROR(K14/G14-1,"")))</f>
        <v/>
      </c>
      <c r="L15" s="15">
        <f>IF(OR(L14="",H14=""),"",IF(H14&lt;=0,"",IFERROR(L14/H14-1,"")))</f>
        <v/>
      </c>
      <c r="M15" s="15">
        <f>IF(OR(M14="",I14=""),"",IF(I14&lt;=0,"",IFERROR(M14/I14-1,"")))</f>
        <v/>
      </c>
      <c r="N15" s="15">
        <f>IF(OR(N14="",J14=""),"",IF(J14&lt;=0,"",IFERROR(N14/J14-1,"")))</f>
        <v/>
      </c>
      <c r="O15" s="14" t="n"/>
      <c r="P15" s="15">
        <f>IF(OR(P14="",O14=""),"",IF(O14&lt;=0,"",IFERROR(P14/O14-1,"")))</f>
        <v/>
      </c>
      <c r="Q15" s="15">
        <f>IF(OR(Q14="",P14=""),"",IF(P14&lt;=0,"",IFERROR(Q14/P14-1,"")))</f>
        <v/>
      </c>
      <c r="R15" s="15">
        <f>IF(OR(R14="",Q14=""),"",IF(Q14&lt;=0,"",IFERROR(R14/Q14-1,"")))</f>
        <v/>
      </c>
      <c r="S15" s="15">
        <f>IF(OR(S14="",R14=""),"",IF(R14&lt;=0,"",IFERROR(S14/R14-1,"")))</f>
        <v/>
      </c>
      <c r="T15" s="15">
        <f>IF(OR(T14="",S14=""),"",IF(S14&lt;=0,"",IFERROR(T14/S14-1,"")))</f>
        <v/>
      </c>
      <c r="U15" s="15">
        <f>IF(OR(U14="",T14=""),"",IF(T14&lt;=0,"",IFERROR(U14/T14-1,"")))</f>
        <v/>
      </c>
      <c r="V15" s="15">
        <f>IF(OR(V14="",U14=""),"",IF(U14&lt;=0,"",IFERROR(V14/U14-1,"")))</f>
        <v/>
      </c>
      <c r="W15" s="15">
        <f>IF(OR(W14="",V14=""),"",IF(V14&lt;=0,"",IFERROR(W14/V14-1,"")))</f>
        <v/>
      </c>
      <c r="X15" s="15">
        <f>IF(OR(X14="",W14=""),"",IF(W14&lt;=0,"",IFERROR(X14/W14-1,"")))</f>
        <v/>
      </c>
      <c r="Y15" s="14">
        <f>IF(OR(Y14="",X14=""),"",IF(X14&lt;=0,"",IFERROR(Y14/X14-1,"")))</f>
        <v/>
      </c>
      <c r="Z15" s="15">
        <f>IF(OR(Z14="",Y14=""),"",IF(Y14&lt;=0,"",IFERROR(Z14/Y14-1,"")))</f>
        <v/>
      </c>
      <c r="AA15" s="15">
        <f>IF(OR(AA14="",Z14=""),"",IF(Z14&lt;=0,"",IFERROR(AA14/Z14-1,"")))</f>
        <v/>
      </c>
      <c r="AB15" s="15">
        <f>IF(OR(AB14="",AA14=""),"",IF(AA14&lt;=0,"",IFERROR(AB14/AA14-1,"")))</f>
        <v/>
      </c>
      <c r="AC15" s="15">
        <f>IF(OR(AC14="",AB14=""),"",IF(AB14&lt;=0,"",IFERROR(AC14/AB14-1,"")))</f>
        <v/>
      </c>
    </row>
    <row r="16">
      <c r="A16" s="18" t="inlineStr">
        <is>
          <t>매출총이익</t>
        </is>
      </c>
      <c r="B16" s="10" t="n"/>
      <c r="C16" s="19">
        <f>IF(OR(C4="",C14=""),"",IFERROR(C4-C14,""))</f>
        <v/>
      </c>
      <c r="D16" s="20">
        <f>IF(OR(D4="",D14=""),"",IFERROR(D4-D14,""))</f>
        <v/>
      </c>
      <c r="E16" s="20">
        <f>IF(OR(E4="",E14=""),"",IFERROR(E4-E14,""))</f>
        <v/>
      </c>
      <c r="F16" s="20">
        <f>IF(OR(F4="",F14=""),"",IFERROR(F4-F14,""))</f>
        <v/>
      </c>
      <c r="G16" s="20">
        <f>IF(OR(G4="",G14=""),"",IFERROR(G4-G14,""))</f>
        <v/>
      </c>
      <c r="H16" s="20">
        <f>IF(OR(H4="",H14=""),"",IFERROR(H4-H14,""))</f>
        <v/>
      </c>
      <c r="I16" s="20">
        <f>IF(OR(I4="",I14=""),"",IFERROR(I4-I14,""))</f>
        <v/>
      </c>
      <c r="J16" s="20">
        <f>IF(OR(J4="",J14=""),"",IFERROR(J4-J14,""))</f>
        <v/>
      </c>
      <c r="K16" s="20">
        <f>IF(OR(K4="",K14=""),"",IFERROR(K4-K14,""))</f>
        <v/>
      </c>
      <c r="L16" s="20">
        <f>IF(OR(L4="",L14=""),"",IFERROR(L4-L14,""))</f>
        <v/>
      </c>
      <c r="M16" s="20">
        <f>IF(OR(M4="",M14=""),"",IFERROR(M4-M14,""))</f>
        <v/>
      </c>
      <c r="N16" s="20">
        <f>IF(OR(N4="",N14=""),"",IFERROR(N4-N14,""))</f>
        <v/>
      </c>
      <c r="O16" s="19">
        <f>IF(OR(O4="",O14=""),"",IFERROR(O4-O14,""))</f>
        <v/>
      </c>
      <c r="P16" s="20">
        <f>IF(OR(P4="",P14=""),"",IFERROR(P4-P14,""))</f>
        <v/>
      </c>
      <c r="Q16" s="20">
        <f>IF(OR(Q4="",Q14=""),"",IFERROR(Q4-Q14,""))</f>
        <v/>
      </c>
      <c r="R16" s="20">
        <f>IF(OR(R4="",R14=""),"",IFERROR(R4-R14,""))</f>
        <v/>
      </c>
      <c r="S16" s="20">
        <f>IF(OR(S4="",S14=""),"",IFERROR(S4-S14,""))</f>
        <v/>
      </c>
      <c r="T16" s="20">
        <f>IF(OR(T4="",T14=""),"",IFERROR(T4-T14,""))</f>
        <v/>
      </c>
      <c r="U16" s="20">
        <f>IF(OR(U4="",U14=""),"",IFERROR(U4-U14,""))</f>
        <v/>
      </c>
      <c r="V16" s="20">
        <f>IF(OR(V4="",V14=""),"",IFERROR(V4-V14,""))</f>
        <v/>
      </c>
      <c r="W16" s="20">
        <f>IF(OR(W4="",W14=""),"",IFERROR(W4-W14,""))</f>
        <v/>
      </c>
      <c r="X16" s="20">
        <f>IF(OR(X4="",X14=""),"",IFERROR(X4-X14,""))</f>
        <v/>
      </c>
      <c r="Y16" s="19" t="n"/>
      <c r="Z16" s="20" t="n"/>
      <c r="AA16" s="20" t="n"/>
      <c r="AB16" s="20" t="n"/>
      <c r="AC16" s="20" t="n"/>
    </row>
    <row r="17">
      <c r="A17" s="13" t="inlineStr">
        <is>
          <t>GPM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IF(OR(G16="",C16=""),"",IF(C16&lt;=0,"",IFERROR(G16/C16-1,"")))</f>
        <v/>
      </c>
      <c r="H18" s="15">
        <f>IF(OR(H16="",D16=""),"",IF(D16&lt;=0,"",IFERROR(H16/D16-1,"")))</f>
        <v/>
      </c>
      <c r="I18" s="15">
        <f>IF(OR(I16="",E16=""),"",IF(E16&lt;=0,"",IFERROR(I16/E16-1,"")))</f>
        <v/>
      </c>
      <c r="J18" s="15">
        <f>IF(OR(J16="",F16=""),"",IF(F16&lt;=0,"",IFERROR(J16/F16-1,"")))</f>
        <v/>
      </c>
      <c r="K18" s="15">
        <f>IF(OR(K16="",G16=""),"",IF(G16&lt;=0,"",IFERROR(K16/G16-1,"")))</f>
        <v/>
      </c>
      <c r="L18" s="15">
        <f>IF(OR(L16="",H16=""),"",IF(H16&lt;=0,"",IFERROR(L16/H16-1,"")))</f>
        <v/>
      </c>
      <c r="M18" s="15">
        <f>IF(OR(M16="",I16=""),"",IF(I16&lt;=0,"",IFERROR(M16/I16-1,"")))</f>
        <v/>
      </c>
      <c r="N18" s="15">
        <f>IF(OR(N16="",J16=""),"",IF(J16&lt;=0,"",IFERROR(N16/J16-1,"")))</f>
        <v/>
      </c>
      <c r="O18" s="14" t="n"/>
      <c r="P18" s="15">
        <f>IF(OR(P16="",O16=""),"",IF(O16&lt;=0,"",IFERROR(P16/O16-1,"")))</f>
        <v/>
      </c>
      <c r="Q18" s="15">
        <f>IF(OR(Q16="",P16=""),"",IF(P16&lt;=0,"",IFERROR(Q16/P16-1,"")))</f>
        <v/>
      </c>
      <c r="R18" s="15">
        <f>IF(OR(R16="",Q16=""),"",IF(Q16&lt;=0,"",IFERROR(R16/Q16-1,"")))</f>
        <v/>
      </c>
      <c r="S18" s="15">
        <f>IF(OR(S16="",R16=""),"",IF(R16&lt;=0,"",IFERROR(S16/R16-1,"")))</f>
        <v/>
      </c>
      <c r="T18" s="15">
        <f>IF(OR(T16="",S16=""),"",IF(S16&lt;=0,"",IFERROR(T16/S16-1,"")))</f>
        <v/>
      </c>
      <c r="U18" s="15">
        <f>IF(OR(U16="",T16=""),"",IF(T16&lt;=0,"",IFERROR(U16/T16-1,"")))</f>
        <v/>
      </c>
      <c r="V18" s="15">
        <f>IF(OR(V16="",U16=""),"",IF(U16&lt;=0,"",IFERROR(V16/U16-1,"")))</f>
        <v/>
      </c>
      <c r="W18" s="15">
        <f>IF(OR(W16="",V16=""),"",IF(V16&lt;=0,"",IFERROR(W16/V16-1,"")))</f>
        <v/>
      </c>
      <c r="X18" s="15">
        <f>IF(OR(X16="",W16=""),"",IF(W16&lt;=0,"",IFERROR(X16/W16-1,"")))</f>
        <v/>
      </c>
      <c r="Y18" s="14">
        <f>IF(OR(Y16="",X16=""),"",IF(X16&lt;=0,"",IFERROR(Y16/X16-1,"")))</f>
        <v/>
      </c>
      <c r="Z18" s="15">
        <f>IF(OR(Z16="",Y16=""),"",IF(Y16&lt;=0,"",IFERROR(Z16/Y16-1,"")))</f>
        <v/>
      </c>
      <c r="AA18" s="15">
        <f>IF(OR(AA16="",Z16=""),"",IF(Z16&lt;=0,"",IFERROR(AA16/Z16-1,"")))</f>
        <v/>
      </c>
      <c r="AB18" s="15">
        <f>IF(OR(AB16="",AA16=""),"",IF(AA16&lt;=0,"",IFERROR(AB16/AA16-1,"")))</f>
        <v/>
      </c>
      <c r="AC18" s="15">
        <f>IF(OR(AC16="",AB16=""),"",IF(AB16&lt;=0,"",IFERROR(AC16/AB16-1,"")))</f>
        <v/>
      </c>
    </row>
    <row r="19">
      <c r="A19" s="23" t="inlineStr">
        <is>
          <t>판매관리비</t>
        </is>
      </c>
      <c r="B19" s="23" t="n"/>
      <c r="C19" s="24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</row>
    <row r="20">
      <c r="A20" s="18" t="inlineStr">
        <is>
          <t>전체 판관비</t>
        </is>
      </c>
      <c r="B20" s="10" t="n"/>
      <c r="C20" s="19" t="n">
        <v>122.632</v>
      </c>
      <c r="D20" s="20" t="n">
        <v>122.389</v>
      </c>
      <c r="E20" s="20" t="n">
        <v>128.314</v>
      </c>
      <c r="F20" s="20" t="n">
        <v>130.798</v>
      </c>
      <c r="G20" s="20" t="n">
        <v>118.634</v>
      </c>
      <c r="H20" s="20" t="n">
        <v>132.338</v>
      </c>
      <c r="I20" s="20" t="n">
        <v>129.193</v>
      </c>
      <c r="J20" s="20" t="n">
        <v>133.534</v>
      </c>
      <c r="K20" s="20" t="n">
        <v>132.056</v>
      </c>
      <c r="L20" s="20" t="n">
        <v>144.856</v>
      </c>
      <c r="M20" s="20" t="n">
        <v>139.151</v>
      </c>
      <c r="N20" s="20" t="n">
        <v>160.141</v>
      </c>
      <c r="O20" s="19" t="n">
        <v>621.5890000000001</v>
      </c>
      <c r="P20" s="20" t="n">
        <v>577.239</v>
      </c>
      <c r="Q20" s="20" t="n">
        <v>548.648</v>
      </c>
      <c r="R20" s="20" t="n">
        <v>540.346</v>
      </c>
      <c r="S20" s="20" t="n">
        <v>549.942</v>
      </c>
      <c r="T20" s="20" t="n">
        <v>513.211</v>
      </c>
      <c r="U20" s="20" t="n">
        <v>473.054</v>
      </c>
      <c r="V20" s="20" t="n">
        <v>495.655</v>
      </c>
      <c r="W20" s="20" t="n">
        <v>510.963</v>
      </c>
      <c r="X20" s="20" t="n">
        <v>549.597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-34.514</v>
      </c>
      <c r="D22" s="12" t="n">
        <v>-23.759</v>
      </c>
      <c r="E22" s="12" t="n">
        <v>-11.217</v>
      </c>
      <c r="F22" s="12" t="n">
        <v>-30.908</v>
      </c>
      <c r="G22" s="12" t="n">
        <v>-0.907</v>
      </c>
      <c r="H22" s="12" t="n">
        <v>-15.549</v>
      </c>
      <c r="I22" s="12" t="n">
        <v>1.353</v>
      </c>
      <c r="J22" s="12" t="n">
        <v>-6.774</v>
      </c>
      <c r="K22" s="12" t="n">
        <v>24.752</v>
      </c>
      <c r="L22" s="12" t="n">
        <v>-10.361</v>
      </c>
      <c r="M22" s="12" t="n">
        <v>5.011</v>
      </c>
      <c r="N22" s="12" t="n">
        <v>34.076</v>
      </c>
      <c r="O22" s="11" t="n">
        <v>-232.588</v>
      </c>
      <c r="P22" s="12" t="n">
        <v>-121.42</v>
      </c>
      <c r="Q22" s="12" t="n">
        <v>-166.129</v>
      </c>
      <c r="R22" s="12" t="n">
        <v>-142.173</v>
      </c>
      <c r="S22" s="12" t="n">
        <v>-119.99</v>
      </c>
      <c r="T22" s="12" t="n">
        <v>-56.617</v>
      </c>
      <c r="U22" s="12" t="n">
        <v>-98.28</v>
      </c>
      <c r="V22" s="12" t="n">
        <v>-101.807</v>
      </c>
      <c r="W22" s="12" t="n">
        <v>-46.011</v>
      </c>
      <c r="X22" s="12" t="n">
        <v>12.628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IF(O20="","",O20)</f>
        <v/>
      </c>
      <c r="P26" s="12">
        <f>IF(P20="","",P20)</f>
        <v/>
      </c>
      <c r="Q26" s="12">
        <f>IF(Q20="","",Q20)</f>
        <v/>
      </c>
      <c r="R26" s="12">
        <f>IF(R20="","",R20)</f>
        <v/>
      </c>
      <c r="S26" s="12">
        <f>IF(S20="","",S20)</f>
        <v/>
      </c>
      <c r="T26" s="12">
        <f>IF(T20="","",T20)</f>
        <v/>
      </c>
      <c r="U26" s="12">
        <f>IF(U20="","",U20)</f>
        <v/>
      </c>
      <c r="V26" s="12">
        <f>IF(V20="","",V20)</f>
        <v/>
      </c>
      <c r="W26" s="12">
        <f>IF(W20="","",W20)</f>
        <v/>
      </c>
      <c r="X26" s="12">
        <f>IF(X20="","",X20)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>
        <v>59.704</v>
      </c>
      <c r="P31" s="20" t="n">
        <v>50.939</v>
      </c>
      <c r="Q31" s="20" t="n">
        <v>48.747</v>
      </c>
      <c r="R31" s="20" t="n">
        <v>46.146</v>
      </c>
      <c r="S31" s="20" t="n">
        <v>52.699</v>
      </c>
      <c r="T31" s="20" t="n">
        <v>58.43</v>
      </c>
      <c r="U31" s="20" t="n">
        <v>57.022</v>
      </c>
      <c r="V31" s="20" t="n">
        <v>72.46899999999999</v>
      </c>
      <c r="W31" s="20" t="n">
        <v>73.55800000000001</v>
      </c>
      <c r="X31" s="20" t="n">
        <v>84.90600000000001</v>
      </c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>
        <v>0</v>
      </c>
      <c r="Q38" s="20" t="n">
        <v>0.997</v>
      </c>
      <c r="R38" s="20" t="n">
        <v>0</v>
      </c>
      <c r="S38" s="20" t="n">
        <v>1.196</v>
      </c>
      <c r="T38" s="20" t="n">
        <v>29.411</v>
      </c>
      <c r="U38" s="20" t="n">
        <v>0</v>
      </c>
      <c r="V38" s="20" t="n"/>
      <c r="W38" s="20" t="n"/>
      <c r="X38" s="20" t="n"/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1.269</v>
      </c>
      <c r="D40" s="20" t="n">
        <v>0.667</v>
      </c>
      <c r="E40" s="20" t="n">
        <v>0.749</v>
      </c>
      <c r="F40" s="20" t="n">
        <v>0</v>
      </c>
      <c r="G40" s="20" t="n">
        <v>0</v>
      </c>
      <c r="H40" s="20" t="n">
        <v>0.5590000000000001</v>
      </c>
      <c r="I40" s="20" t="n">
        <v>1.142</v>
      </c>
      <c r="J40" s="20" t="n"/>
      <c r="K40" s="20" t="n"/>
      <c r="L40" s="20" t="n"/>
      <c r="M40" s="20" t="n"/>
      <c r="N40" s="20" t="n"/>
      <c r="O40" s="19" t="n">
        <v>5.234</v>
      </c>
      <c r="P40" s="20" t="n">
        <v>2.083</v>
      </c>
      <c r="Q40" s="20" t="n">
        <v>0.421</v>
      </c>
      <c r="R40" s="20" t="n">
        <v>2.844</v>
      </c>
      <c r="S40" s="20" t="n">
        <v>3.58</v>
      </c>
      <c r="T40" s="20" t="n">
        <v>3.56</v>
      </c>
      <c r="U40" s="20" t="n">
        <v>6.032</v>
      </c>
      <c r="V40" s="20" t="n">
        <v>4.852</v>
      </c>
      <c r="W40" s="20" t="n">
        <v>1.701</v>
      </c>
      <c r="X40" s="20" t="n"/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-0.023</v>
      </c>
      <c r="D42" s="20" t="n">
        <v>0.55</v>
      </c>
      <c r="E42" s="20" t="n">
        <v>0.177</v>
      </c>
      <c r="F42" s="20" t="n">
        <v>33.287</v>
      </c>
      <c r="G42" s="20" t="n">
        <v>0.275</v>
      </c>
      <c r="H42" s="20" t="n">
        <v>0.58</v>
      </c>
      <c r="I42" s="20" t="n">
        <v>27.796</v>
      </c>
      <c r="J42" s="20" t="n">
        <v>1.114</v>
      </c>
      <c r="K42" s="20" t="n">
        <v>-0.403</v>
      </c>
      <c r="L42" s="20" t="n">
        <v>0.098</v>
      </c>
      <c r="M42" s="20" t="n">
        <v>15.364</v>
      </c>
      <c r="N42" s="20" t="n">
        <v>0.245</v>
      </c>
      <c r="O42" s="19" t="n">
        <v>14.573</v>
      </c>
      <c r="P42" s="20" t="n">
        <v>3.089</v>
      </c>
      <c r="Q42" s="20" t="n">
        <v>0.371</v>
      </c>
      <c r="R42" s="20" t="n">
        <v>0.478</v>
      </c>
      <c r="S42" s="20" t="n">
        <v>0.5</v>
      </c>
      <c r="T42" s="20" t="n">
        <v>0.847</v>
      </c>
      <c r="U42" s="20" t="n">
        <v>3.591</v>
      </c>
      <c r="V42" s="20" t="n">
        <v>0.795</v>
      </c>
      <c r="W42" s="20" t="n">
        <v>61.938</v>
      </c>
      <c r="X42" s="20" t="n">
        <v>16.173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0.093</v>
      </c>
      <c r="D44" s="20" t="n">
        <v>-0.083</v>
      </c>
      <c r="E44" s="20" t="n">
        <v>-0.01</v>
      </c>
      <c r="F44" s="20" t="n">
        <v>1.886</v>
      </c>
      <c r="G44" s="20" t="n">
        <v>-0.96</v>
      </c>
      <c r="H44" s="20" t="n">
        <v>0.9350000000000001</v>
      </c>
      <c r="I44" s="20" t="n">
        <v>-0.893</v>
      </c>
      <c r="J44" s="20" t="n">
        <v>0</v>
      </c>
      <c r="K44" s="20" t="n">
        <v>0.282</v>
      </c>
      <c r="L44" s="20" t="n">
        <v>0.378</v>
      </c>
      <c r="M44" s="20" t="n">
        <v>1.594</v>
      </c>
      <c r="N44" s="20" t="n">
        <v>1.308</v>
      </c>
      <c r="O44" s="19" t="n"/>
      <c r="P44" s="20" t="n">
        <v>0</v>
      </c>
      <c r="Q44" s="20" t="n">
        <v>0.116</v>
      </c>
      <c r="R44" s="20" t="n">
        <v>0.47</v>
      </c>
      <c r="S44" s="20" t="n">
        <v>0.509</v>
      </c>
      <c r="T44" s="20" t="n">
        <v>1.243</v>
      </c>
      <c r="U44" s="20" t="n">
        <v>1.159</v>
      </c>
      <c r="V44" s="20" t="n">
        <v>0</v>
      </c>
      <c r="W44" s="20" t="n">
        <v>0.968</v>
      </c>
      <c r="X44" s="20" t="n">
        <v>2.254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-35.899</v>
      </c>
      <c r="D46" s="12" t="n">
        <v>-23.794</v>
      </c>
      <c r="E46" s="12" t="n">
        <v>-11.779</v>
      </c>
      <c r="F46" s="12" t="n">
        <v>0.491</v>
      </c>
      <c r="G46" s="12" t="n">
        <v>0.329</v>
      </c>
      <c r="H46" s="12" t="n">
        <v>-16.463</v>
      </c>
      <c r="I46" s="12" t="n">
        <v>28.899</v>
      </c>
      <c r="J46" s="12" t="n">
        <v>-5.659</v>
      </c>
      <c r="K46" s="12" t="n">
        <v>24.066</v>
      </c>
      <c r="L46" s="12" t="n">
        <v>-10.641</v>
      </c>
      <c r="M46" s="12" t="n">
        <v>18.782</v>
      </c>
      <c r="N46" s="12" t="n">
        <v>33.014</v>
      </c>
      <c r="O46" s="11" t="n">
        <v>-223.249</v>
      </c>
      <c r="P46" s="12" t="n">
        <v>-120.413</v>
      </c>
      <c r="Q46" s="12" t="n">
        <v>-165.298</v>
      </c>
      <c r="R46" s="12" t="n">
        <v>-145.01</v>
      </c>
      <c r="S46" s="12" t="n">
        <v>-122.384</v>
      </c>
      <c r="T46" s="12" t="n">
        <v>-31.161</v>
      </c>
      <c r="U46" s="12" t="n">
        <v>-101.881</v>
      </c>
      <c r="V46" s="12" t="n">
        <v>-105.865</v>
      </c>
      <c r="W46" s="12" t="n">
        <v>13.256</v>
      </c>
      <c r="X46" s="12" t="n">
        <v>26.548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3" t="inlineStr">
        <is>
          <t>YoY</t>
        </is>
      </c>
      <c r="B47" s="10" t="n"/>
      <c r="C47" s="14" t="n"/>
      <c r="D47" s="15" t="n"/>
      <c r="E47" s="15" t="n"/>
      <c r="F47" s="15" t="n"/>
      <c r="G47" s="15">
        <f>IF(OR(G46="",C46=""),"",IF(C46&lt;=0,"",IFERROR(G46/C46-1,"")))</f>
        <v/>
      </c>
      <c r="H47" s="15">
        <f>IF(OR(H46="",D46=""),"",IF(D46&lt;=0,"",IFERROR(H46/D46-1,"")))</f>
        <v/>
      </c>
      <c r="I47" s="15">
        <f>IF(OR(I46="",E46=""),"",IF(E46&lt;=0,"",IFERROR(I46/E46-1,"")))</f>
        <v/>
      </c>
      <c r="J47" s="15">
        <f>IF(OR(J46="",F46=""),"",IF(F46&lt;=0,"",IFERROR(J46/F46-1,"")))</f>
        <v/>
      </c>
      <c r="K47" s="15">
        <f>IF(OR(K46="",G46=""),"",IF(G46&lt;=0,"",IFERROR(K46/G46-1,"")))</f>
        <v/>
      </c>
      <c r="L47" s="15">
        <f>IF(OR(L46="",H46=""),"",IF(H46&lt;=0,"",IFERROR(L46/H46-1,"")))</f>
        <v/>
      </c>
      <c r="M47" s="15">
        <f>IF(OR(M46="",I46=""),"",IF(I46&lt;=0,"",IFERROR(M46/I46-1,"")))</f>
        <v/>
      </c>
      <c r="N47" s="15">
        <f>IF(OR(N46="",J46=""),"",IF(J46&lt;=0,"",IFERROR(N46/J46-1,"")))</f>
        <v/>
      </c>
      <c r="O47" s="14" t="n"/>
      <c r="P47" s="15">
        <f>IF(OR(P46="",O46=""),"",IF(O46&lt;=0,"",IFERROR(P46/O46-1,"")))</f>
        <v/>
      </c>
      <c r="Q47" s="15">
        <f>IF(OR(Q46="",P46=""),"",IF(P46&lt;=0,"",IFERROR(Q46/P46-1,"")))</f>
        <v/>
      </c>
      <c r="R47" s="15">
        <f>IF(OR(R46="",Q46=""),"",IF(Q46&lt;=0,"",IFERROR(R46/Q46-1,"")))</f>
        <v/>
      </c>
      <c r="S47" s="15">
        <f>IF(OR(S46="",R46=""),"",IF(R46&lt;=0,"",IFERROR(S46/R46-1,"")))</f>
        <v/>
      </c>
      <c r="T47" s="15">
        <f>IF(OR(T46="",S46=""),"",IF(S46&lt;=0,"",IFERROR(T46/S46-1,"")))</f>
        <v/>
      </c>
      <c r="U47" s="15">
        <f>IF(OR(U46="",T46=""),"",IF(T46&lt;=0,"",IFERROR(U46/T46-1,"")))</f>
        <v/>
      </c>
      <c r="V47" s="15">
        <f>IF(OR(V46="",U46=""),"",IF(U46&lt;=0,"",IFERROR(V46/U46-1,"")))</f>
        <v/>
      </c>
      <c r="W47" s="15">
        <f>IF(OR(W46="",V46=""),"",IF(V46&lt;=0,"",IFERROR(W46/V46-1,"")))</f>
        <v/>
      </c>
      <c r="X47" s="15">
        <f>IF(OR(X46="",W46=""),"",IF(W46&lt;=0,"",IFERROR(X46/W46-1,"")))</f>
        <v/>
      </c>
      <c r="Y47" s="14">
        <f>IF(OR(Y46="",X46=""),"",IF(X46&lt;=0,"",IFERROR(Y46/X46-1,"")))</f>
        <v/>
      </c>
      <c r="Z47" s="15">
        <f>IF(OR(Z46="",Y46=""),"",IF(Y46&lt;=0,"",IFERROR(Z46/Y46-1,"")))</f>
        <v/>
      </c>
      <c r="AA47" s="15">
        <f>IF(OR(AA46="",Z46=""),"",IF(Z46&lt;=0,"",IFERROR(AA46/Z46-1,"")))</f>
        <v/>
      </c>
      <c r="AB47" s="15">
        <f>IF(OR(AB46="",AA46=""),"",IF(AA46&lt;=0,"",IFERROR(AB46/AA46-1,"")))</f>
        <v/>
      </c>
      <c r="AC47" s="15">
        <f>IF(OR(AC46="",AB46=""),"",IF(AB46&lt;=0,"",IFERROR(AC46/AB46-1,"")))</f>
        <v/>
      </c>
    </row>
    <row r="48">
      <c r="A48" s="18" t="inlineStr">
        <is>
          <t>법인세비용(수익)</t>
        </is>
      </c>
      <c r="B48" s="10" t="n"/>
      <c r="C48" s="19" t="n">
        <v>0.303</v>
      </c>
      <c r="D48" s="20" t="n">
        <v>0.302</v>
      </c>
      <c r="E48" s="20" t="n"/>
      <c r="F48" s="20" t="n">
        <v>0.302</v>
      </c>
      <c r="G48" s="20" t="n">
        <v>0.303</v>
      </c>
      <c r="H48" s="20" t="n">
        <v>0.302</v>
      </c>
      <c r="I48" s="20" t="n"/>
      <c r="J48" s="20" t="n">
        <v>0.302</v>
      </c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>
        <f>IF(OR(Y46="",Y49=""),"",IFERROR(MAX(Y46,0)*Y49,""))</f>
        <v/>
      </c>
      <c r="Z48" s="20">
        <f>IF(OR(Z46="",Z49=""),"",IFERROR(MAX(Z46,0)*Z49,""))</f>
        <v/>
      </c>
      <c r="AA48" s="20">
        <f>IF(OR(AA46="",AA49=""),"",IFERROR(MAX(AA46,0)*AA49,""))</f>
        <v/>
      </c>
      <c r="AB48" s="20">
        <f>IF(OR(AB46="",AB49=""),"",IFERROR(MAX(AB46,0)*AB49,""))</f>
        <v/>
      </c>
      <c r="AC48" s="20">
        <f>IF(OR(AC46="",AC49=""),"",IFERROR(MAX(AC46,0)*AC49,""))</f>
        <v/>
      </c>
    </row>
    <row r="49">
      <c r="A49" s="13" t="inlineStr">
        <is>
          <t>법인세율</t>
        </is>
      </c>
      <c r="B49" s="10" t="inlineStr">
        <is>
          <t>MW 기본 30%</t>
        </is>
      </c>
      <c r="C49" s="14">
        <f>IF(OR(C48="",C46=""),"",IFERROR(C48/C46,""))</f>
        <v/>
      </c>
      <c r="D49" s="15">
        <f>IF(OR(D48="",D46=""),"",IFERROR(D48/D46,""))</f>
        <v/>
      </c>
      <c r="E49" s="15">
        <f>IF(OR(E48="",E46=""),"",IFERROR(E48/E46,""))</f>
        <v/>
      </c>
      <c r="F49" s="15">
        <f>IF(OR(F48="",F46=""),"",IFERROR(F48/F46,""))</f>
        <v/>
      </c>
      <c r="G49" s="15">
        <f>IF(OR(G48="",G46=""),"",IFERROR(G48/G46,""))</f>
        <v/>
      </c>
      <c r="H49" s="15">
        <f>IF(OR(H48="",H46=""),"",IFERROR(H48/H46,""))</f>
        <v/>
      </c>
      <c r="I49" s="15">
        <f>IF(OR(I48="",I46=""),"",IFERROR(I48/I46,""))</f>
        <v/>
      </c>
      <c r="J49" s="15">
        <f>IF(OR(J48="",J46=""),"",IFERROR(J48/J46,""))</f>
        <v/>
      </c>
      <c r="K49" s="15">
        <f>IF(OR(K48="",K46=""),"",IFERROR(K48/K46,""))</f>
        <v/>
      </c>
      <c r="L49" s="15">
        <f>IF(OR(L48="",L46=""),"",IFERROR(L48/L46,""))</f>
        <v/>
      </c>
      <c r="M49" s="15">
        <f>IF(OR(M48="",M46=""),"",IFERROR(M48/M46,""))</f>
        <v/>
      </c>
      <c r="N49" s="15">
        <f>IF(OR(N48="",N46=""),"",IFERROR(N48/N46,""))</f>
        <v/>
      </c>
      <c r="O49" s="14">
        <f>IF(OR(O48="",O46=""),"",IFERROR(O48/O46,""))</f>
        <v/>
      </c>
      <c r="P49" s="15">
        <f>IF(OR(P48="",P46=""),"",IFERROR(P48/P46,""))</f>
        <v/>
      </c>
      <c r="Q49" s="15">
        <f>IF(OR(Q48="",Q46=""),"",IFERROR(Q48/Q46,""))</f>
        <v/>
      </c>
      <c r="R49" s="15">
        <f>IF(OR(R48="",R46=""),"",IFERROR(R48/R46,""))</f>
        <v/>
      </c>
      <c r="S49" s="15">
        <f>IF(OR(S48="",S46=""),"",IFERROR(S48/S46,""))</f>
        <v/>
      </c>
      <c r="T49" s="15">
        <f>IF(OR(T48="",T46=""),"",IFERROR(T48/T46,""))</f>
        <v/>
      </c>
      <c r="U49" s="15">
        <f>IF(OR(U48="",U46=""),"",IFERROR(U48/U46,""))</f>
        <v/>
      </c>
      <c r="V49" s="15">
        <f>IF(OR(V48="",V46=""),"",IFERROR(V48/V46,""))</f>
        <v/>
      </c>
      <c r="W49" s="15">
        <f>IF(OR(W48="",W46=""),"",IFERROR(W48/W46,""))</f>
        <v/>
      </c>
      <c r="X49" s="15">
        <f>IF(OR(X48="",X46=""),"",IFERROR(X48/X46,""))</f>
        <v/>
      </c>
      <c r="Y49" s="25" t="n">
        <v>0.3</v>
      </c>
      <c r="Z49" s="26" t="n">
        <v>0.3</v>
      </c>
      <c r="AA49" s="26" t="n">
        <v>0.3</v>
      </c>
      <c r="AB49" s="26" t="n">
        <v>0.3</v>
      </c>
      <c r="AC49" s="26" t="n">
        <v>0.3</v>
      </c>
    </row>
    <row r="50">
      <c r="A50" s="9" t="inlineStr">
        <is>
          <t>당기순이익(손실)</t>
        </is>
      </c>
      <c r="B50" s="10" t="n"/>
      <c r="C50" s="11" t="n">
        <v>-36.202</v>
      </c>
      <c r="D50" s="12" t="n">
        <v>-24.096</v>
      </c>
      <c r="E50" s="12" t="n">
        <v>-12.082</v>
      </c>
      <c r="F50" s="12" t="n">
        <v>0.189</v>
      </c>
      <c r="G50" s="12" t="n">
        <v>0.026</v>
      </c>
      <c r="H50" s="12" t="n">
        <v>-16.766</v>
      </c>
      <c r="I50" s="12" t="n">
        <v>28.597</v>
      </c>
      <c r="J50" s="12" t="n">
        <v>-5.962</v>
      </c>
      <c r="K50" s="12" t="n">
        <v>22.439</v>
      </c>
      <c r="L50" s="12" t="n">
        <v>-11.636</v>
      </c>
      <c r="M50" s="12" t="n">
        <v>17.787</v>
      </c>
      <c r="N50" s="12" t="n">
        <v>32.019</v>
      </c>
      <c r="O50" s="11" t="n">
        <v>-227.049</v>
      </c>
      <c r="P50" s="12" t="n">
        <v>-124.213</v>
      </c>
      <c r="Q50" s="12" t="n">
        <v>-169.098</v>
      </c>
      <c r="R50" s="12" t="n">
        <v>-150.06</v>
      </c>
      <c r="S50" s="12" t="n">
        <v>-124.844</v>
      </c>
      <c r="T50" s="12" t="n">
        <v>-33.621</v>
      </c>
      <c r="U50" s="12" t="n">
        <v>-103.82</v>
      </c>
      <c r="V50" s="12" t="n">
        <v>-107.075</v>
      </c>
      <c r="W50" s="12" t="n">
        <v>12.046</v>
      </c>
      <c r="X50" s="12" t="n">
        <v>22.628</v>
      </c>
      <c r="Y50" s="11">
        <f>IF(OR(Y46=""),"",IFERROR(Y46-Y48,""))</f>
        <v/>
      </c>
      <c r="Z50" s="12">
        <f>IF(OR(Z46=""),"",IFERROR(Z46-Z48,""))</f>
        <v/>
      </c>
      <c r="AA50" s="12">
        <f>IF(OR(AA46=""),"",IFERROR(AA46-AA48,""))</f>
        <v/>
      </c>
      <c r="AB50" s="12">
        <f>IF(OR(AB46=""),"",IFERROR(AB46-AB48,""))</f>
        <v/>
      </c>
      <c r="AC50" s="12">
        <f>IF(OR(AC46=""),"",IFERROR(AC46-AC48,""))</f>
        <v/>
      </c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지배주주 순이익</t>
        </is>
      </c>
      <c r="B52" s="10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>
        <v>-11.636</v>
      </c>
      <c r="M52" s="12" t="n">
        <v>17.787</v>
      </c>
      <c r="N52" s="12" t="n">
        <v>32.019</v>
      </c>
      <c r="O52" s="11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>
        <v>22.628</v>
      </c>
      <c r="Y52" s="11">
        <f>IF(OR(Y50="",Y53=""),"",IFERROR(Y50*Y53,""))</f>
        <v/>
      </c>
      <c r="Z52" s="12">
        <f>IF(OR(Z50="",Z53=""),"",IFERROR(Z50*Z53,""))</f>
        <v/>
      </c>
      <c r="AA52" s="12">
        <f>IF(OR(AA50="",AA53=""),"",IFERROR(AA50*AA53,""))</f>
        <v/>
      </c>
      <c r="AB52" s="12">
        <f>IF(OR(AB50="",AB53=""),"",IFERROR(AB50*AB53,""))</f>
        <v/>
      </c>
      <c r="AC52" s="12">
        <f>IF(OR(AC50="",AC53=""),"",IFERROR(AC50*AC53,""))</f>
        <v/>
      </c>
    </row>
    <row r="53">
      <c r="A53" s="13" t="inlineStr">
        <is>
          <t>지배주주 순이익률</t>
        </is>
      </c>
      <c r="B53" s="10" t="inlineStr">
        <is>
          <t>MW 기본 100%</t>
        </is>
      </c>
      <c r="C53" s="14">
        <f>IF(OR(C52="",C50=""),"",IFERROR(C52/C50,""))</f>
        <v/>
      </c>
      <c r="D53" s="15">
        <f>IF(OR(D52="",D50=""),"",IFERROR(D52/D50,""))</f>
        <v/>
      </c>
      <c r="E53" s="15">
        <f>IF(OR(E52="",E50=""),"",IFERROR(E52/E50,""))</f>
        <v/>
      </c>
      <c r="F53" s="15">
        <f>IF(OR(F52="",F50=""),"",IFERROR(F52/F50,""))</f>
        <v/>
      </c>
      <c r="G53" s="15">
        <f>IF(OR(G52="",G50=""),"",IFERROR(G52/G50,""))</f>
        <v/>
      </c>
      <c r="H53" s="15">
        <f>IF(OR(H52="",H50=""),"",IFERROR(H52/H50,""))</f>
        <v/>
      </c>
      <c r="I53" s="15">
        <f>IF(OR(I52="",I50=""),"",IFERROR(I52/I50,""))</f>
        <v/>
      </c>
      <c r="J53" s="15">
        <f>IF(OR(J52="",J50=""),"",IFERROR(J52/J50,""))</f>
        <v/>
      </c>
      <c r="K53" s="15">
        <f>IF(OR(K52="",K50=""),"",IFERROR(K52/K50,""))</f>
        <v/>
      </c>
      <c r="L53" s="15">
        <f>IF(OR(L52="",L50=""),"",IFERROR(L52/L50,""))</f>
        <v/>
      </c>
      <c r="M53" s="15">
        <f>IF(OR(M52="",M50=""),"",IFERROR(M52/M50,""))</f>
        <v/>
      </c>
      <c r="N53" s="15">
        <f>IF(OR(N52="",N50=""),"",IFERROR(N52/N50,""))</f>
        <v/>
      </c>
      <c r="O53" s="14">
        <f>IF(OR(O52="",O50=""),"",IFERROR(O52/O50,""))</f>
        <v/>
      </c>
      <c r="P53" s="15">
        <f>IF(OR(P52="",P50=""),"",IFERROR(P52/P50,""))</f>
        <v/>
      </c>
      <c r="Q53" s="15">
        <f>IF(OR(Q52="",Q50=""),"",IFERROR(Q52/Q50,""))</f>
        <v/>
      </c>
      <c r="R53" s="15">
        <f>IF(OR(R52="",R50=""),"",IFERROR(R52/R50,""))</f>
        <v/>
      </c>
      <c r="S53" s="15">
        <f>IF(OR(S52="",S50=""),"",IFERROR(S52/S50,""))</f>
        <v/>
      </c>
      <c r="T53" s="15">
        <f>IF(OR(T52="",T50=""),"",IFERROR(T52/T50,""))</f>
        <v/>
      </c>
      <c r="U53" s="15">
        <f>IF(OR(U52="",U50=""),"",IFERROR(U52/U50,""))</f>
        <v/>
      </c>
      <c r="V53" s="15">
        <f>IF(OR(V52="",V50=""),"",IFERROR(V52/V50,""))</f>
        <v/>
      </c>
      <c r="W53" s="15">
        <f>IF(OR(W52="",W50=""),"",IFERROR(W52/W50,""))</f>
        <v/>
      </c>
      <c r="X53" s="15">
        <f>IF(OR(X52="",X50=""),"",IFERROR(X52/X50,""))</f>
        <v/>
      </c>
      <c r="Y53" s="25" t="n">
        <v>1</v>
      </c>
      <c r="Z53" s="26" t="n">
        <v>1</v>
      </c>
      <c r="AA53" s="26" t="n">
        <v>1</v>
      </c>
      <c r="AB53" s="26" t="n">
        <v>1</v>
      </c>
      <c r="AC53" s="26" t="n">
        <v>1</v>
      </c>
    </row>
    <row r="54">
      <c r="A54" s="13" t="inlineStr">
        <is>
          <t>지배주주 순이익 YoY</t>
        </is>
      </c>
      <c r="B54" s="10" t="n"/>
      <c r="C54" s="14" t="n"/>
      <c r="D54" s="15" t="n"/>
      <c r="E54" s="15" t="n"/>
      <c r="F54" s="15" t="n"/>
      <c r="G54" s="15">
        <f>IF(OR(G52="",C52=""),"",IF(C52&lt;=0,"",IFERROR(G52/C52-1,"")))</f>
        <v/>
      </c>
      <c r="H54" s="15">
        <f>IF(OR(H52="",D52=""),"",IF(D52&lt;=0,"",IFERROR(H52/D52-1,"")))</f>
        <v/>
      </c>
      <c r="I54" s="15">
        <f>IF(OR(I52="",E52=""),"",IF(E52&lt;=0,"",IFERROR(I52/E52-1,"")))</f>
        <v/>
      </c>
      <c r="J54" s="15">
        <f>IF(OR(J52="",F52=""),"",IF(F52&lt;=0,"",IFERROR(J52/F52-1,"")))</f>
        <v/>
      </c>
      <c r="K54" s="15">
        <f>IF(OR(K52="",G52=""),"",IF(G52&lt;=0,"",IFERROR(K52/G52-1,"")))</f>
        <v/>
      </c>
      <c r="L54" s="15">
        <f>IF(OR(L52="",H52=""),"",IF(H52&lt;=0,"",IFERROR(L52/H52-1,"")))</f>
        <v/>
      </c>
      <c r="M54" s="15">
        <f>IF(OR(M52="",I52=""),"",IF(I52&lt;=0,"",IFERROR(M52/I52-1,"")))</f>
        <v/>
      </c>
      <c r="N54" s="15">
        <f>IF(OR(N52="",J52=""),"",IF(J52&lt;=0,"",IFERROR(N52/J52-1,"")))</f>
        <v/>
      </c>
      <c r="O54" s="14" t="n"/>
      <c r="P54" s="15">
        <f>IF(OR(P52="",O52=""),"",IF(O52&lt;=0,"",IFERROR(P52/O52-1,"")))</f>
        <v/>
      </c>
      <c r="Q54" s="15">
        <f>IF(OR(Q52="",P52=""),"",IF(P52&lt;=0,"",IFERROR(Q52/P52-1,"")))</f>
        <v/>
      </c>
      <c r="R54" s="15">
        <f>IF(OR(R52="",Q52=""),"",IF(Q52&lt;=0,"",IFERROR(R52/Q52-1,"")))</f>
        <v/>
      </c>
      <c r="S54" s="15">
        <f>IF(OR(S52="",R52=""),"",IF(R52&lt;=0,"",IFERROR(S52/R52-1,"")))</f>
        <v/>
      </c>
      <c r="T54" s="15">
        <f>IF(OR(T52="",S52=""),"",IF(S52&lt;=0,"",IFERROR(T52/S52-1,"")))</f>
        <v/>
      </c>
      <c r="U54" s="15">
        <f>IF(OR(U52="",T52=""),"",IF(T52&lt;=0,"",IFERROR(U52/T52-1,"")))</f>
        <v/>
      </c>
      <c r="V54" s="15">
        <f>IF(OR(V52="",U52=""),"",IF(U52&lt;=0,"",IFERROR(V52/U52-1,"")))</f>
        <v/>
      </c>
      <c r="W54" s="15">
        <f>IF(OR(W52="",V52=""),"",IF(V52&lt;=0,"",IFERROR(W52/V52-1,"")))</f>
        <v/>
      </c>
      <c r="X54" s="15">
        <f>IF(OR(X52="",W52=""),"",IF(W52&lt;=0,"",IFERROR(X52/W52-1,"")))</f>
        <v/>
      </c>
      <c r="Y54" s="14">
        <f>IF(OR(Y52="",X52=""),"",IF(X52&lt;=0,"",IFERROR(Y52/X52-1,"")))</f>
        <v/>
      </c>
      <c r="Z54" s="15">
        <f>IF(OR(Z52="",Y52=""),"",IF(Y52&lt;=0,"",IFERROR(Z52/Y52-1,"")))</f>
        <v/>
      </c>
      <c r="AA54" s="15">
        <f>IF(OR(AA52="",Z52=""),"",IF(Z52&lt;=0,"",IFERROR(AA52/Z52-1,"")))</f>
        <v/>
      </c>
      <c r="AB54" s="15">
        <f>IF(OR(AB52="",AA52=""),"",IF(AA52&lt;=0,"",IFERROR(AB52/AA52-1,"")))</f>
        <v/>
      </c>
      <c r="AC54" s="15">
        <f>IF(OR(AC52="",AB52=""),"",IF(AB52&lt;=0,"",IFERROR(AC52/AB52-1,"")))</f>
        <v/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IF(O23="","",O23)</f>
        <v/>
      </c>
      <c r="P59" s="15">
        <f>IF(P23="","",P23)</f>
        <v/>
      </c>
      <c r="Q59" s="15">
        <f>IF(Q23="","",Q23)</f>
        <v/>
      </c>
      <c r="R59" s="15">
        <f>IF(R23="","",R23)</f>
        <v/>
      </c>
      <c r="S59" s="15">
        <f>IF(S23="","",S23)</f>
        <v/>
      </c>
      <c r="T59" s="15">
        <f>IF(T23="","",T23)</f>
        <v/>
      </c>
      <c r="U59" s="15">
        <f>IF(U23="","",U23)</f>
        <v/>
      </c>
      <c r="V59" s="15">
        <f>IF(V23="","",V23)</f>
        <v/>
      </c>
      <c r="W59" s="15">
        <f>IF(W23="","",W23)</f>
        <v/>
      </c>
      <c r="X59" s="15">
        <f>IF(X23="","",X23)</f>
        <v/>
      </c>
      <c r="Y59" s="14">
        <f>IF(Y23="","",Y23)</f>
        <v/>
      </c>
      <c r="Z59" s="15">
        <f>IF(Z23="","",Z23)</f>
        <v/>
      </c>
      <c r="AA59" s="15">
        <f>IF(AA23="","",AA23)</f>
        <v/>
      </c>
      <c r="AB59" s="15">
        <f>IF(AB23="","",AB23)</f>
        <v/>
      </c>
      <c r="AC59" s="15">
        <f>IF(AC23="","",AC23)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IF(OR(P52="",O52=""),"",IFERROR(P52/O52-1,""))</f>
        <v/>
      </c>
      <c r="Q60" s="15">
        <f>IF(OR(Q52="",P52=""),"",IFERROR(Q52/P52-1,""))</f>
        <v/>
      </c>
      <c r="R60" s="15">
        <f>IF(OR(R52="",Q52=""),"",IFERROR(R52/Q52-1,""))</f>
        <v/>
      </c>
      <c r="S60" s="15">
        <f>IF(OR(S52="",R52=""),"",IFERROR(S52/R52-1,""))</f>
        <v/>
      </c>
      <c r="T60" s="15">
        <f>IF(OR(T52="",S52=""),"",IFERROR(T52/S52-1,""))</f>
        <v/>
      </c>
      <c r="U60" s="15">
        <f>IF(OR(U52="",T52=""),"",IFERROR(U52/T52-1,""))</f>
        <v/>
      </c>
      <c r="V60" s="15">
        <f>IF(OR(V52="",U52=""),"",IFERROR(V52/U52-1,""))</f>
        <v/>
      </c>
      <c r="W60" s="15">
        <f>IF(OR(W52="",V52=""),"",IFERROR(W52/V52-1,""))</f>
        <v/>
      </c>
      <c r="X60" s="15">
        <f>IF(OR(X52="",W52=""),"",IFERROR(X52/W52-1,""))</f>
        <v/>
      </c>
      <c r="Y60" s="14">
        <f>IF(OR(Y52="",X52=""),"",IFERROR(Y52/X52-1,""))</f>
        <v/>
      </c>
      <c r="Z60" s="15">
        <f>IF(OR(Z52="",Y52=""),"",IFERROR(Z52/Y52-1,""))</f>
        <v/>
      </c>
      <c r="AA60" s="15">
        <f>IF(OR(AA52="",Z52=""),"",IFERROR(AA52/Z52-1,""))</f>
        <v/>
      </c>
      <c r="AB60" s="15">
        <f>IF(OR(AB52="",AA52=""),"",IFERROR(AB52/AA52-1,""))</f>
        <v/>
      </c>
      <c r="AC60" s="15">
        <f>IF(OR(AC52="",AB52=""),"",IFERROR(AC52/AB52-1,""))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IF(OR($B$58="",X52=""),"",IFERROR($B$58/X52,""))</f>
        <v/>
      </c>
      <c r="Y61" s="30">
        <f>IF(OR($B$58="",Y52=""),"",IFERROR($B$58/Y52,""))</f>
        <v/>
      </c>
      <c r="Z61" s="31">
        <f>IF(OR($B$58="",Z52=""),"",IFERROR($B$58/Z52,""))</f>
        <v/>
      </c>
      <c r="AA61" s="31">
        <f>IF(OR($B$58="",AA52=""),"",IFERROR($B$58/AA52,""))</f>
        <v/>
      </c>
      <c r="AB61" s="31">
        <f>IF(OR($B$58="",AB52=""),"",IFERROR($B$58/AB52,""))</f>
        <v/>
      </c>
      <c r="AC61" s="31">
        <f>IF(OR($B$58="",AC52=""),"",IFERROR($B$58/AC52,""))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IF(OR(O52="",$B$57=""),"",IFERROR(O52*1000000.0/$B$57,""))</f>
        <v/>
      </c>
      <c r="P63" s="29">
        <f>IF(OR(P52="",$B$57=""),"",IFERROR(P52*1000000.0/$B$57,""))</f>
        <v/>
      </c>
      <c r="Q63" s="29">
        <f>IF(OR(Q52="",$B$57=""),"",IFERROR(Q52*1000000.0/$B$57,""))</f>
        <v/>
      </c>
      <c r="R63" s="29">
        <f>IF(OR(R52="",$B$57=""),"",IFERROR(R52*1000000.0/$B$57,""))</f>
        <v/>
      </c>
      <c r="S63" s="29">
        <f>IF(OR(S52="",$B$57=""),"",IFERROR(S52*1000000.0/$B$57,""))</f>
        <v/>
      </c>
      <c r="T63" s="29">
        <f>IF(OR(T52="",$B$57=""),"",IFERROR(T52*1000000.0/$B$57,""))</f>
        <v/>
      </c>
      <c r="U63" s="29">
        <f>IF(OR(U52="",$B$57=""),"",IFERROR(U52*1000000.0/$B$57,""))</f>
        <v/>
      </c>
      <c r="V63" s="29">
        <f>IF(OR(V52="",$B$57=""),"",IFERROR(V52*1000000.0/$B$57,""))</f>
        <v/>
      </c>
      <c r="W63" s="29">
        <f>IF(OR(W52="",$B$57=""),"",IFERROR(W52*1000000.0/$B$57,""))</f>
        <v/>
      </c>
      <c r="X63" s="29">
        <f>IF(OR(X52="",$B$57=""),"",IFERROR(X52*1000000.0/$B$57,""))</f>
        <v/>
      </c>
      <c r="Y63" s="28">
        <f>IF(OR(Y52="",$B$57=""),"",IFERROR(Y52*1000000.0/$B$57,""))</f>
        <v/>
      </c>
      <c r="Z63" s="29">
        <f>IF(OR(Z52="",$B$57=""),"",IFERROR(Z52*1000000.0/$B$57,""))</f>
        <v/>
      </c>
      <c r="AA63" s="29">
        <f>IF(OR(AA52="",$B$57=""),"",IFERROR(AA52*1000000.0/$B$57,""))</f>
        <v/>
      </c>
      <c r="AB63" s="29">
        <f>IF(OR(AB52="",$B$57=""),"",IFERROR(AB52*1000000.0/$B$57,""))</f>
        <v/>
      </c>
      <c r="AC63" s="29">
        <f>IF(OR(AC52="",$B$57=""),"",IFERROR(AC52*1000000.0/$B$57,""))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IF(OR(Y52="",Y62=""),"",IFERROR(Y52*Y62,""))</f>
        <v/>
      </c>
      <c r="Z75" s="20">
        <f>IF(OR(Z52="",Z62=""),"",IFERROR(Z52*Z62,""))</f>
        <v/>
      </c>
      <c r="AA75" s="20">
        <f>IF(OR(AA52="",AA62=""),"",IFERROR(AA52*AA62,""))</f>
        <v/>
      </c>
      <c r="AB75" s="20">
        <f>IF(OR(AB52="",AB62=""),"",IFERROR(AB52*AB62,""))</f>
        <v/>
      </c>
      <c r="AC75" s="20">
        <f>IF(OR(AC52="",AC62=""),"",IFERROR(AC52*AC62,""))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229.237</v>
      </c>
      <c r="D87" s="12" t="n">
        <v>244.885</v>
      </c>
      <c r="E87" s="12" t="n">
        <v>292.443</v>
      </c>
      <c r="F87" s="12" t="n">
        <v>260.792</v>
      </c>
      <c r="G87" s="12" t="n">
        <v>304.852</v>
      </c>
      <c r="H87" s="12" t="n">
        <v>315.587</v>
      </c>
      <c r="I87" s="12" t="n">
        <v>286.154</v>
      </c>
      <c r="J87" s="12" t="n">
        <v>304.7</v>
      </c>
      <c r="K87" s="12" t="n">
        <v>387.218</v>
      </c>
      <c r="L87" s="12" t="n">
        <v>282.536</v>
      </c>
      <c r="M87" s="12" t="n">
        <v>324.493</v>
      </c>
      <c r="N87" s="12" t="n">
        <v>401.644</v>
      </c>
      <c r="T87" s="12" t="n">
        <v>343.389</v>
      </c>
      <c r="U87" s="12" t="n">
        <v>315.898</v>
      </c>
      <c r="V87" s="12" t="n">
        <v>292.443</v>
      </c>
      <c r="W87" s="12" t="n">
        <v>286.154</v>
      </c>
      <c r="X87" s="12" t="n">
        <v>324.493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141.119</v>
      </c>
      <c r="D89" s="20" t="n">
        <v>146.255</v>
      </c>
      <c r="E89" s="20" t="n">
        <v>175.346</v>
      </c>
      <c r="F89" s="20" t="n">
        <v>160.902</v>
      </c>
      <c r="G89" s="20" t="n">
        <v>187.124</v>
      </c>
      <c r="H89" s="20" t="n">
        <v>198.799</v>
      </c>
      <c r="I89" s="20" t="n">
        <v>155.608</v>
      </c>
      <c r="J89" s="20" t="n">
        <v>177.941</v>
      </c>
      <c r="K89" s="20" t="n">
        <v>230.408</v>
      </c>
      <c r="L89" s="20" t="n">
        <v>148.04</v>
      </c>
      <c r="M89" s="20" t="n">
        <v>180.332</v>
      </c>
      <c r="N89" s="20" t="n">
        <v>207.426</v>
      </c>
      <c r="T89" s="20" t="n">
        <v>220.636</v>
      </c>
      <c r="U89" s="20" t="n">
        <v>200.9</v>
      </c>
      <c r="V89" s="20" t="n">
        <v>175.346</v>
      </c>
      <c r="W89" s="20" t="n">
        <v>155.608</v>
      </c>
      <c r="X89" s="20" t="n">
        <v>180.332</v>
      </c>
    </row>
    <row r="90">
      <c r="A90" s="43" t="inlineStr">
        <is>
          <t>YoY</t>
        </is>
      </c>
      <c r="B90" s="3" t="inlineStr">
        <is>
          <t>전년 같은 분기·전년 대비</t>
        </is>
      </c>
      <c r="G90" s="15">
        <f>IF(OR(G89="",C89=""),"",IF(G89*C89&lt;=0,"",IFERROR(G89/C89-1,"")))</f>
        <v/>
      </c>
      <c r="H90" s="15">
        <f>IF(OR(H89="",D89=""),"",IF(H89*D89&lt;=0,"",IFERROR(H89/D89-1,"")))</f>
        <v/>
      </c>
      <c r="I90" s="15">
        <f>IF(OR(I89="",E89=""),"",IF(I89*E89&lt;=0,"",IFERROR(I89/E89-1,"")))</f>
        <v/>
      </c>
      <c r="J90" s="15">
        <f>IF(OR(J89="",F89=""),"",IF(J89*F89&lt;=0,"",IFERROR(J89/F89-1,"")))</f>
        <v/>
      </c>
      <c r="K90" s="15">
        <f>IF(OR(K89="",G89=""),"",IF(K89*G89&lt;=0,"",IFERROR(K89/G89-1,"")))</f>
        <v/>
      </c>
      <c r="L90" s="15">
        <f>IF(OR(L89="",H89=""),"",IF(L89*H89&lt;=0,"",IFERROR(L89/H89-1,"")))</f>
        <v/>
      </c>
      <c r="M90" s="15">
        <f>IF(OR(M89="",I89=""),"",IF(M89*I89&lt;=0,"",IFERROR(M89/I89-1,"")))</f>
        <v/>
      </c>
      <c r="N90" s="15">
        <f>IF(OR(N89="",J89=""),"",IF(N89*J89&lt;=0,"",IFERROR(N89/J89-1,"")))</f>
        <v/>
      </c>
      <c r="T90" s="15">
        <f>IF(OR(T89="",S89=""),"",IF(T89*S89&lt;=0,"",IFERROR(T89/S89-1,"")))</f>
        <v/>
      </c>
      <c r="U90" s="15">
        <f>IF(OR(U89="",T89=""),"",IF(U89*T89&lt;=0,"",IFERROR(U89/T89-1,"")))</f>
        <v/>
      </c>
      <c r="V90" s="15">
        <f>IF(OR(V89="",U89=""),"",IF(V89*U89&lt;=0,"",IFERROR(V89/U89-1,"")))</f>
        <v/>
      </c>
      <c r="W90" s="15">
        <f>IF(OR(W89="",V89=""),"",IF(W89*V89&lt;=0,"",IFERROR(W89/V89-1,"")))</f>
        <v/>
      </c>
      <c r="X90" s="15">
        <f>IF(OR(X89="",W89=""),"",IF(X89*W89&lt;=0,"",IFERROR(X89/W89-1,"")))</f>
        <v/>
      </c>
    </row>
    <row r="91">
      <c r="A91" s="9" t="inlineStr">
        <is>
          <t>매출총이익</t>
        </is>
      </c>
      <c r="C91" s="12" t="n">
        <v>88.11799999999999</v>
      </c>
      <c r="D91" s="12" t="n">
        <v>98.629</v>
      </c>
      <c r="E91" s="12" t="n">
        <v>117.097</v>
      </c>
      <c r="F91" s="12" t="n">
        <v>99.889</v>
      </c>
      <c r="G91" s="12" t="n">
        <v>117.728</v>
      </c>
      <c r="H91" s="12" t="n">
        <v>116.789</v>
      </c>
      <c r="I91" s="12" t="n">
        <v>130.546</v>
      </c>
      <c r="J91" s="12" t="n">
        <v>126.759</v>
      </c>
      <c r="K91" s="12" t="n">
        <v>156.809</v>
      </c>
      <c r="L91" s="12" t="n">
        <v>134.496</v>
      </c>
      <c r="M91" s="12" t="n">
        <v>144.161</v>
      </c>
      <c r="N91" s="12" t="n">
        <v>194.218</v>
      </c>
      <c r="T91" s="12" t="n">
        <v>122.752</v>
      </c>
      <c r="U91" s="12" t="n">
        <v>114.999</v>
      </c>
      <c r="V91" s="12" t="n">
        <v>117.097</v>
      </c>
      <c r="W91" s="12" t="n">
        <v>130.546</v>
      </c>
      <c r="X91" s="12" t="n">
        <v>144.161</v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IF(OR(G91="",C91=""),"",IF(C91&lt;=0,"",IFERROR(G91/C91-1,"")))</f>
        <v/>
      </c>
      <c r="H92" s="15">
        <f>IF(OR(H91="",D91=""),"",IF(D91&lt;=0,"",IFERROR(H91/D91-1,"")))</f>
        <v/>
      </c>
      <c r="I92" s="15">
        <f>IF(OR(I91="",E91=""),"",IF(E91&lt;=0,"",IFERROR(I91/E91-1,"")))</f>
        <v/>
      </c>
      <c r="J92" s="15">
        <f>IF(OR(J91="",F91=""),"",IF(F91&lt;=0,"",IFERROR(J91/F91-1,"")))</f>
        <v/>
      </c>
      <c r="K92" s="15">
        <f>IF(OR(K91="",G91=""),"",IF(G91&lt;=0,"",IFERROR(K91/G91-1,"")))</f>
        <v/>
      </c>
      <c r="L92" s="15">
        <f>IF(OR(L91="",H91=""),"",IF(H91&lt;=0,"",IFERROR(L91/H91-1,"")))</f>
        <v/>
      </c>
      <c r="M92" s="15">
        <f>IF(OR(M91="",I91=""),"",IF(I91&lt;=0,"",IFERROR(M91/I91-1,"")))</f>
        <v/>
      </c>
      <c r="N92" s="15">
        <f>IF(OR(N91="",J91=""),"",IF(J91&lt;=0,"",IFERROR(N91/J91-1,"")))</f>
        <v/>
      </c>
      <c r="T92" s="15">
        <f>IF(OR(T91="",S91=""),"",IF(S91&lt;=0,"",IFERROR(T91/S91-1,"")))</f>
        <v/>
      </c>
      <c r="U92" s="15">
        <f>IF(OR(U91="",T91=""),"",IF(T91&lt;=0,"",IFERROR(U91/T91-1,"")))</f>
        <v/>
      </c>
      <c r="V92" s="15">
        <f>IF(OR(V91="",U91=""),"",IF(U91&lt;=0,"",IFERROR(V91/U91-1,"")))</f>
        <v/>
      </c>
      <c r="W92" s="15">
        <f>IF(OR(W91="",V91=""),"",IF(V91&lt;=0,"",IFERROR(W91/V91-1,"")))</f>
        <v/>
      </c>
      <c r="X92" s="15">
        <f>IF(OR(X91="",W91=""),"",IF(W91&lt;=0,"",IFERROR(X91/W91-1,"")))</f>
        <v/>
      </c>
    </row>
    <row r="93">
      <c r="A93" s="18" t="inlineStr">
        <is>
          <t>판매비와 관리비</t>
        </is>
      </c>
      <c r="C93" s="20" t="n">
        <v>122.632</v>
      </c>
      <c r="D93" s="20" t="n">
        <v>122.389</v>
      </c>
      <c r="E93" s="20" t="n">
        <v>128.314</v>
      </c>
      <c r="F93" s="20" t="n">
        <v>130.798</v>
      </c>
      <c r="G93" s="20" t="n">
        <v>118.634</v>
      </c>
      <c r="H93" s="20" t="n">
        <v>132.338</v>
      </c>
      <c r="I93" s="20" t="n">
        <v>129.193</v>
      </c>
      <c r="J93" s="20" t="n">
        <v>133.534</v>
      </c>
      <c r="K93" s="20" t="n">
        <v>132.056</v>
      </c>
      <c r="L93" s="20" t="n">
        <v>144.856</v>
      </c>
      <c r="M93" s="20" t="n">
        <v>139.151</v>
      </c>
      <c r="N93" s="20" t="n">
        <v>160.141</v>
      </c>
      <c r="T93" s="20" t="n">
        <v>103.32</v>
      </c>
      <c r="U93" s="20" t="n">
        <v>112.204</v>
      </c>
      <c r="V93" s="20" t="n">
        <v>128.314</v>
      </c>
      <c r="W93" s="20" t="n">
        <v>129.193</v>
      </c>
      <c r="X93" s="20" t="n">
        <v>139.151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IF(OR(G93="",C93=""),"",IF(G93*C93&lt;=0,"",IFERROR(G93/C93-1,"")))</f>
        <v/>
      </c>
      <c r="H94" s="15">
        <f>IF(OR(H93="",D93=""),"",IF(H93*D93&lt;=0,"",IFERROR(H93/D93-1,"")))</f>
        <v/>
      </c>
      <c r="I94" s="15">
        <f>IF(OR(I93="",E93=""),"",IF(I93*E93&lt;=0,"",IFERROR(I93/E93-1,"")))</f>
        <v/>
      </c>
      <c r="J94" s="15">
        <f>IF(OR(J93="",F93=""),"",IF(J93*F93&lt;=0,"",IFERROR(J93/F93-1,"")))</f>
        <v/>
      </c>
      <c r="K94" s="15">
        <f>IF(OR(K93="",G93=""),"",IF(K93*G93&lt;=0,"",IFERROR(K93/G93-1,"")))</f>
        <v/>
      </c>
      <c r="L94" s="15">
        <f>IF(OR(L93="",H93=""),"",IF(L93*H93&lt;=0,"",IFERROR(L93/H93-1,"")))</f>
        <v/>
      </c>
      <c r="M94" s="15">
        <f>IF(OR(M93="",I93=""),"",IF(M93*I93&lt;=0,"",IFERROR(M93/I93-1,"")))</f>
        <v/>
      </c>
      <c r="N94" s="15">
        <f>IF(OR(N93="",J93=""),"",IF(N93*J93&lt;=0,"",IFERROR(N93/J93-1,"")))</f>
        <v/>
      </c>
      <c r="T94" s="15">
        <f>IF(OR(T93="",S93=""),"",IF(T93*S93&lt;=0,"",IFERROR(T93/S93-1,"")))</f>
        <v/>
      </c>
      <c r="U94" s="15">
        <f>IF(OR(U93="",T93=""),"",IF(U93*T93&lt;=0,"",IFERROR(U93/T93-1,"")))</f>
        <v/>
      </c>
      <c r="V94" s="15">
        <f>IF(OR(V93="",U93=""),"",IF(V93*U93&lt;=0,"",IFERROR(V93/U93-1,"")))</f>
        <v/>
      </c>
      <c r="W94" s="15">
        <f>IF(OR(W93="",V93=""),"",IF(W93*V93&lt;=0,"",IFERROR(W93/V93-1,"")))</f>
        <v/>
      </c>
      <c r="X94" s="15">
        <f>IF(OR(X93="",W93=""),"",IF(X93*W93&lt;=0,"",IFERROR(X93/W93-1,"")))</f>
        <v/>
      </c>
    </row>
    <row r="95">
      <c r="A95" s="9" t="inlineStr">
        <is>
          <t>영업이익</t>
        </is>
      </c>
      <c r="C95" s="12" t="n">
        <v>-34.514</v>
      </c>
      <c r="D95" s="12" t="n">
        <v>-23.759</v>
      </c>
      <c r="E95" s="12" t="n">
        <v>-11.217</v>
      </c>
      <c r="F95" s="12" t="n">
        <v>-30.908</v>
      </c>
      <c r="G95" s="12" t="n">
        <v>-0.907</v>
      </c>
      <c r="H95" s="12" t="n">
        <v>-15.549</v>
      </c>
      <c r="I95" s="12" t="n">
        <v>1.353</v>
      </c>
      <c r="J95" s="12" t="n">
        <v>-6.774</v>
      </c>
      <c r="K95" s="12" t="n">
        <v>24.752</v>
      </c>
      <c r="L95" s="12" t="n">
        <v>-10.361</v>
      </c>
      <c r="M95" s="12" t="n">
        <v>5.011</v>
      </c>
      <c r="N95" s="12" t="n">
        <v>34.076</v>
      </c>
      <c r="T95" s="12" t="n">
        <v>19.433</v>
      </c>
      <c r="U95" s="12" t="n">
        <v>2.795</v>
      </c>
      <c r="V95" s="12" t="n">
        <v>-11.217</v>
      </c>
      <c r="W95" s="12" t="n">
        <v>1.353</v>
      </c>
      <c r="X95" s="12" t="n">
        <v>5.011</v>
      </c>
    </row>
    <row r="96">
      <c r="A96" s="43" t="inlineStr">
        <is>
          <t>OPM</t>
        </is>
      </c>
      <c r="B96" s="3" t="inlineStr">
        <is>
          <t>영업이익 ÷ 매출</t>
        </is>
      </c>
      <c r="C96" s="15">
        <f>IF(OR(C95="",C87=""),"",IF(C87&lt;=0,"",IFERROR(C95/C87,"")))</f>
        <v/>
      </c>
      <c r="D96" s="15">
        <f>IF(OR(D95="",D87=""),"",IF(D87&lt;=0,"",IFERROR(D95/D87,"")))</f>
        <v/>
      </c>
      <c r="E96" s="15">
        <f>IF(OR(E95="",E87=""),"",IF(E87&lt;=0,"",IFERROR(E95/E87,"")))</f>
        <v/>
      </c>
      <c r="F96" s="15">
        <f>IF(OR(F95="",F87=""),"",IF(F87&lt;=0,"",IFERROR(F95/F87,"")))</f>
        <v/>
      </c>
      <c r="G96" s="15">
        <f>IF(OR(G95="",G87=""),"",IF(G87&lt;=0,"",IFERROR(G95/G87,"")))</f>
        <v/>
      </c>
      <c r="H96" s="15">
        <f>IF(OR(H95="",H87=""),"",IF(H87&lt;=0,"",IFERROR(H95/H87,"")))</f>
        <v/>
      </c>
      <c r="I96" s="15">
        <f>IF(OR(I95="",I87=""),"",IF(I87&lt;=0,"",IFERROR(I95/I87,"")))</f>
        <v/>
      </c>
      <c r="J96" s="15">
        <f>IF(OR(J95="",J87=""),"",IF(J87&lt;=0,"",IFERROR(J95/J87,"")))</f>
        <v/>
      </c>
      <c r="K96" s="15">
        <f>IF(OR(K95="",K87=""),"",IF(K87&lt;=0,"",IFERROR(K95/K87,"")))</f>
        <v/>
      </c>
      <c r="L96" s="15">
        <f>IF(OR(L95="",L87=""),"",IF(L87&lt;=0,"",IFERROR(L95/L87,"")))</f>
        <v/>
      </c>
      <c r="M96" s="15">
        <f>IF(OR(M95="",M87=""),"",IF(M87&lt;=0,"",IFERROR(M95/M87,"")))</f>
        <v/>
      </c>
      <c r="N96" s="15">
        <f>IF(OR(N95="",N87=""),"",IF(N87&lt;=0,"",IFERROR(N95/N87,"")))</f>
        <v/>
      </c>
      <c r="T96" s="15">
        <f>IF(OR(T95="",T87=""),"",IF(T87&lt;=0,"",IFERROR(T95/T87,"")))</f>
        <v/>
      </c>
      <c r="U96" s="15">
        <f>IF(OR(U95="",U87=""),"",IF(U87&lt;=0,"",IFERROR(U95/U87,"")))</f>
        <v/>
      </c>
      <c r="V96" s="15">
        <f>IF(OR(V95="",V87=""),"",IF(V87&lt;=0,"",IFERROR(V95/V87,"")))</f>
        <v/>
      </c>
      <c r="W96" s="15">
        <f>IF(OR(W95="",W87=""),"",IF(W87&lt;=0,"",IFERROR(W95/W87,"")))</f>
        <v/>
      </c>
      <c r="X96" s="15">
        <f>IF(OR(X95="",X87=""),"",IF(X87&lt;=0,"",IFERROR(X95/X87,"")))</f>
        <v/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IF(OR(G95="",C95=""),"",IF(C95&lt;=0,"",IFERROR(G95/C95-1,"")))</f>
        <v/>
      </c>
      <c r="H97" s="15">
        <f>IF(OR(H95="",D95=""),"",IF(D95&lt;=0,"",IFERROR(H95/D95-1,"")))</f>
        <v/>
      </c>
      <c r="I97" s="15">
        <f>IF(OR(I95="",E95=""),"",IF(E95&lt;=0,"",IFERROR(I95/E95-1,"")))</f>
        <v/>
      </c>
      <c r="J97" s="15">
        <f>IF(OR(J95="",F95=""),"",IF(F95&lt;=0,"",IFERROR(J95/F95-1,"")))</f>
        <v/>
      </c>
      <c r="K97" s="15">
        <f>IF(OR(K95="",G95=""),"",IF(G95&lt;=0,"",IFERROR(K95/G95-1,"")))</f>
        <v/>
      </c>
      <c r="L97" s="15">
        <f>IF(OR(L95="",H95=""),"",IF(H95&lt;=0,"",IFERROR(L95/H95-1,"")))</f>
        <v/>
      </c>
      <c r="M97" s="15">
        <f>IF(OR(M95="",I95=""),"",IF(I95&lt;=0,"",IFERROR(M95/I95-1,"")))</f>
        <v/>
      </c>
      <c r="N97" s="15">
        <f>IF(OR(N95="",J95=""),"",IF(J95&lt;=0,"",IFERROR(N95/J95-1,"")))</f>
        <v/>
      </c>
      <c r="T97" s="15">
        <f>IF(OR(T95="",S95=""),"",IF(S95&lt;=0,"",IFERROR(T95/S95-1,"")))</f>
        <v/>
      </c>
      <c r="U97" s="15">
        <f>IF(OR(U95="",T95=""),"",IF(T95&lt;=0,"",IFERROR(U95/T95-1,"")))</f>
        <v/>
      </c>
      <c r="V97" s="15">
        <f>IF(OR(V95="",U95=""),"",IF(U95&lt;=0,"",IFERROR(V95/U95-1,"")))</f>
        <v/>
      </c>
      <c r="W97" s="15">
        <f>IF(OR(W95="",V95=""),"",IF(V95&lt;=0,"",IFERROR(W95/V95-1,"")))</f>
        <v/>
      </c>
      <c r="X97" s="15">
        <f>IF(OR(X95="",W95=""),"",IF(W95&lt;=0,"",IFERROR(X95/W95-1,"")))</f>
        <v/>
      </c>
    </row>
    <row r="98">
      <c r="A98" s="18" t="inlineStr">
        <is>
          <t>이자수익</t>
        </is>
      </c>
      <c r="L98" s="20" t="n">
        <v>0</v>
      </c>
      <c r="M98" s="20" t="n">
        <v>0.275</v>
      </c>
      <c r="X98" s="20" t="n">
        <v>0.275</v>
      </c>
    </row>
    <row r="99">
      <c r="A99" s="18" t="inlineStr">
        <is>
          <t>외환차익</t>
        </is>
      </c>
      <c r="C99" s="20" t="n">
        <v>-0.091</v>
      </c>
      <c r="D99" s="20" t="n">
        <v>0</v>
      </c>
      <c r="E99" s="20" t="n">
        <v>0.098</v>
      </c>
      <c r="F99" s="20" t="n">
        <v>0</v>
      </c>
      <c r="G99" s="20" t="n">
        <v>0.155</v>
      </c>
      <c r="J99" s="20" t="n">
        <v>1.06</v>
      </c>
      <c r="K99" s="20" t="n">
        <v>-0.6840000000000001</v>
      </c>
      <c r="T99" s="20" t="n">
        <v>0</v>
      </c>
      <c r="U99" s="20" t="n">
        <v>-0.098</v>
      </c>
      <c r="V99" s="20" t="n">
        <v>0.098</v>
      </c>
    </row>
    <row r="100">
      <c r="A100" s="18" t="inlineStr">
        <is>
          <t>배당금수익</t>
        </is>
      </c>
      <c r="E100" s="20" t="n">
        <v>0</v>
      </c>
      <c r="I100" s="20" t="n">
        <v>0</v>
      </c>
      <c r="M100" s="20" t="n">
        <v>0</v>
      </c>
      <c r="T100" s="20" t="n">
        <v>0</v>
      </c>
      <c r="U100" s="20" t="n">
        <v>0</v>
      </c>
      <c r="V100" s="20" t="n">
        <v>0</v>
      </c>
      <c r="W100" s="20" t="n">
        <v>0</v>
      </c>
      <c r="X100" s="20" t="n">
        <v>0</v>
      </c>
    </row>
    <row r="101">
      <c r="A101" s="18" t="inlineStr">
        <is>
          <t>보조금 수입</t>
        </is>
      </c>
      <c r="C101" s="20" t="n">
        <v>0</v>
      </c>
      <c r="D101" s="20" t="n">
        <v>0</v>
      </c>
      <c r="E101" s="20" t="n">
        <v>0</v>
      </c>
      <c r="F101" s="20" t="n">
        <v>32.934</v>
      </c>
      <c r="G101" s="20" t="n">
        <v>0</v>
      </c>
      <c r="H101" s="20" t="n">
        <v>0</v>
      </c>
      <c r="I101" s="20" t="n">
        <v>27.647</v>
      </c>
      <c r="J101" s="20" t="n">
        <v>0</v>
      </c>
      <c r="V101" s="20" t="n">
        <v>0</v>
      </c>
      <c r="W101" s="20" t="n">
        <v>27.647</v>
      </c>
    </row>
    <row r="102">
      <c r="A102" s="18" t="inlineStr">
        <is>
          <t>보험배당금</t>
        </is>
      </c>
      <c r="C102" s="20" t="n">
        <v>0</v>
      </c>
      <c r="D102" s="20" t="n">
        <v>0</v>
      </c>
      <c r="E102" s="20" t="n">
        <v>0</v>
      </c>
      <c r="F102" s="20" t="n">
        <v>0.254</v>
      </c>
      <c r="G102" s="20" t="n">
        <v>0</v>
      </c>
      <c r="H102" s="20" t="n">
        <v>0</v>
      </c>
      <c r="I102" s="20" t="n">
        <v>0</v>
      </c>
      <c r="J102" s="20" t="n">
        <v>0</v>
      </c>
      <c r="N102" s="20" t="n">
        <v>0.233</v>
      </c>
      <c r="T102" s="20" t="n">
        <v>0</v>
      </c>
      <c r="U102" s="20" t="n">
        <v>0</v>
      </c>
      <c r="V102" s="20" t="n">
        <v>0</v>
      </c>
      <c r="W102" s="20" t="n">
        <v>0</v>
      </c>
    </row>
    <row r="103">
      <c r="A103" s="18" t="inlineStr">
        <is>
          <t>기타</t>
        </is>
      </c>
      <c r="C103" s="20" t="n">
        <v>0.068</v>
      </c>
      <c r="D103" s="20" t="n">
        <v>0.04</v>
      </c>
      <c r="E103" s="20" t="n">
        <v>-0.068</v>
      </c>
      <c r="F103" s="20" t="n">
        <v>0.099</v>
      </c>
      <c r="G103" s="20" t="n">
        <v>0.119</v>
      </c>
      <c r="H103" s="20" t="n">
        <v>0.181</v>
      </c>
      <c r="I103" s="20" t="n">
        <v>-0.08699999999999999</v>
      </c>
      <c r="J103" s="20" t="n">
        <v>0.054</v>
      </c>
      <c r="K103" s="20" t="n">
        <v>0</v>
      </c>
      <c r="L103" s="20" t="n">
        <v>0.037</v>
      </c>
      <c r="M103" s="20" t="n">
        <v>0</v>
      </c>
      <c r="N103" s="20" t="n">
        <v>0.012</v>
      </c>
      <c r="T103" s="20" t="n">
        <v>-0.001</v>
      </c>
      <c r="U103" s="20" t="n">
        <v>0.001</v>
      </c>
      <c r="V103" s="20" t="n">
        <v>-0.068</v>
      </c>
      <c r="W103" s="20" t="n">
        <v>-0.08699999999999999</v>
      </c>
      <c r="X103" s="20" t="n">
        <v>0</v>
      </c>
    </row>
    <row r="104">
      <c r="A104" s="18" t="inlineStr">
        <is>
          <t>영업외수익 합계</t>
        </is>
      </c>
      <c r="C104" s="20" t="n">
        <v>-0.023</v>
      </c>
      <c r="D104" s="20" t="n">
        <v>0.55</v>
      </c>
      <c r="E104" s="20" t="n">
        <v>0.177</v>
      </c>
      <c r="F104" s="20" t="n">
        <v>33.287</v>
      </c>
      <c r="G104" s="20" t="n">
        <v>0.275</v>
      </c>
      <c r="H104" s="20" t="n">
        <v>0.58</v>
      </c>
      <c r="I104" s="20" t="n">
        <v>27.796</v>
      </c>
      <c r="J104" s="20" t="n">
        <v>1.114</v>
      </c>
      <c r="K104" s="20" t="n">
        <v>-0.403</v>
      </c>
      <c r="L104" s="20" t="n">
        <v>0.098</v>
      </c>
      <c r="M104" s="20" t="n">
        <v>15.364</v>
      </c>
      <c r="N104" s="20" t="n">
        <v>0.245</v>
      </c>
      <c r="T104" s="20" t="n">
        <v>0.002</v>
      </c>
      <c r="U104" s="20" t="n">
        <v>-0.06</v>
      </c>
      <c r="V104" s="20" t="n">
        <v>0.177</v>
      </c>
      <c r="W104" s="20" t="n">
        <v>27.796</v>
      </c>
      <c r="X104" s="20" t="n">
        <v>15.364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18" t="inlineStr">
        <is>
          <t>외환차손</t>
        </is>
      </c>
      <c r="C106" s="20" t="n">
        <v>0.093</v>
      </c>
      <c r="D106" s="20" t="n">
        <v>-0.083</v>
      </c>
      <c r="E106" s="20" t="n">
        <v>-0.01</v>
      </c>
      <c r="F106" s="20" t="n">
        <v>0.96</v>
      </c>
      <c r="G106" s="20" t="n">
        <v>-0.96</v>
      </c>
      <c r="H106" s="20" t="n">
        <v>0.9350000000000001</v>
      </c>
      <c r="I106" s="20" t="n">
        <v>-0.893</v>
      </c>
      <c r="J106" s="20" t="n">
        <v>0</v>
      </c>
      <c r="M106" s="20" t="n">
        <v>1.593</v>
      </c>
      <c r="N106" s="20" t="n">
        <v>1.298</v>
      </c>
      <c r="T106" s="20" t="n">
        <v>0.15</v>
      </c>
      <c r="U106" s="20" t="n">
        <v>0</v>
      </c>
      <c r="V106" s="20" t="n">
        <v>-0.01</v>
      </c>
      <c r="W106" s="20" t="n">
        <v>-0.893</v>
      </c>
      <c r="X106" s="20" t="n">
        <v>1.593</v>
      </c>
    </row>
    <row r="107">
      <c r="A107" s="18" t="inlineStr">
        <is>
          <t>주식교부비</t>
        </is>
      </c>
      <c r="C107" s="20" t="n">
        <v>0</v>
      </c>
      <c r="D107" s="20" t="n">
        <v>0</v>
      </c>
      <c r="E107" s="20" t="n">
        <v>0</v>
      </c>
      <c r="F107" s="20" t="n">
        <v>0.926</v>
      </c>
      <c r="G107" s="20" t="n">
        <v>0</v>
      </c>
      <c r="H107" s="20" t="n">
        <v>0</v>
      </c>
      <c r="I107" s="20" t="n">
        <v>0</v>
      </c>
      <c r="J107" s="20" t="n">
        <v>0</v>
      </c>
      <c r="V107" s="20" t="n">
        <v>0</v>
      </c>
      <c r="W107" s="20" t="n">
        <v>0</v>
      </c>
    </row>
    <row r="108">
      <c r="A108" s="18" t="inlineStr">
        <is>
          <t>창립비</t>
        </is>
      </c>
      <c r="L108" s="20" t="n">
        <v>0</v>
      </c>
      <c r="M108" s="20" t="n">
        <v>0</v>
      </c>
      <c r="X108" s="20" t="n">
        <v>0</v>
      </c>
    </row>
    <row r="109">
      <c r="A109" s="18" t="inlineStr">
        <is>
          <t>기타</t>
        </is>
      </c>
      <c r="N109" s="20" t="n">
        <v>0.01</v>
      </c>
      <c r="T109" s="20" t="n">
        <v>0</v>
      </c>
    </row>
    <row r="110">
      <c r="A110" s="18" t="inlineStr">
        <is>
          <t>영업외비용 합계</t>
        </is>
      </c>
      <c r="C110" s="20" t="n">
        <v>0.093</v>
      </c>
      <c r="D110" s="20" t="n">
        <v>-0.083</v>
      </c>
      <c r="E110" s="20" t="n">
        <v>-0.01</v>
      </c>
      <c r="F110" s="20" t="n">
        <v>1.886</v>
      </c>
      <c r="G110" s="20" t="n">
        <v>-0.96</v>
      </c>
      <c r="H110" s="20" t="n">
        <v>0.9350000000000001</v>
      </c>
      <c r="I110" s="20" t="n">
        <v>-0.893</v>
      </c>
      <c r="J110" s="20" t="n">
        <v>0</v>
      </c>
      <c r="K110" s="20" t="n">
        <v>0.282</v>
      </c>
      <c r="L110" s="20" t="n">
        <v>0.378</v>
      </c>
      <c r="M110" s="20" t="n">
        <v>1.594</v>
      </c>
      <c r="N110" s="20" t="n">
        <v>1.308</v>
      </c>
      <c r="T110" s="20" t="n">
        <v>0.15</v>
      </c>
      <c r="U110" s="20" t="n">
        <v>1.159</v>
      </c>
      <c r="V110" s="20" t="n">
        <v>-0.01</v>
      </c>
      <c r="W110" s="20" t="n">
        <v>-0.893</v>
      </c>
      <c r="X110" s="20" t="n">
        <v>1.594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9" t="inlineStr">
        <is>
          <t>경상이익</t>
        </is>
      </c>
      <c r="C112" s="12" t="n">
        <v>-34.631</v>
      </c>
      <c r="D112" s="12" t="n">
        <v>-23.126</v>
      </c>
      <c r="E112" s="12" t="n">
        <v>-11.03</v>
      </c>
      <c r="F112" s="12" t="n">
        <v>0.491</v>
      </c>
      <c r="G112" s="12" t="n">
        <v>0.329</v>
      </c>
      <c r="H112" s="12" t="n">
        <v>-15.903</v>
      </c>
      <c r="I112" s="12" t="n">
        <v>30.041</v>
      </c>
      <c r="J112" s="12" t="n">
        <v>-5.659</v>
      </c>
      <c r="K112" s="12" t="n">
        <v>24.066</v>
      </c>
      <c r="L112" s="12" t="n">
        <v>-10.641</v>
      </c>
      <c r="M112" s="12" t="n">
        <v>18.782</v>
      </c>
      <c r="N112" s="12" t="n">
        <v>33.014</v>
      </c>
      <c r="T112" s="12" t="n">
        <v>19.284</v>
      </c>
      <c r="U112" s="12" t="n">
        <v>1.574</v>
      </c>
      <c r="V112" s="12" t="n">
        <v>-11.03</v>
      </c>
      <c r="W112" s="12" t="n">
        <v>30.041</v>
      </c>
      <c r="X112" s="12" t="n">
        <v>18.782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IF(OR(G112="",C112=""),"",IF(C112&lt;=0,"",IFERROR(G112/C112-1,"")))</f>
        <v/>
      </c>
      <c r="H113" s="15">
        <f>IF(OR(H112="",D112=""),"",IF(D112&lt;=0,"",IFERROR(H112/D112-1,"")))</f>
        <v/>
      </c>
      <c r="I113" s="15">
        <f>IF(OR(I112="",E112=""),"",IF(E112&lt;=0,"",IFERROR(I112/E112-1,"")))</f>
        <v/>
      </c>
      <c r="J113" s="15">
        <f>IF(OR(J112="",F112=""),"",IF(F112&lt;=0,"",IFERROR(J112/F112-1,"")))</f>
        <v/>
      </c>
      <c r="K113" s="15">
        <f>IF(OR(K112="",G112=""),"",IF(G112&lt;=0,"",IFERROR(K112/G112-1,"")))</f>
        <v/>
      </c>
      <c r="L113" s="15">
        <f>IF(OR(L112="",H112=""),"",IF(H112&lt;=0,"",IFERROR(L112/H112-1,"")))</f>
        <v/>
      </c>
      <c r="M113" s="15">
        <f>IF(OR(M112="",I112=""),"",IF(I112&lt;=0,"",IFERROR(M112/I112-1,"")))</f>
        <v/>
      </c>
      <c r="N113" s="15">
        <f>IF(OR(N112="",J112=""),"",IF(J112&lt;=0,"",IFERROR(N112/J112-1,"")))</f>
        <v/>
      </c>
      <c r="T113" s="15">
        <f>IF(OR(T112="",S112=""),"",IF(S112&lt;=0,"",IFERROR(T112/S112-1,"")))</f>
        <v/>
      </c>
      <c r="U113" s="15">
        <f>IF(OR(U112="",T112=""),"",IF(T112&lt;=0,"",IFERROR(U112/T112-1,"")))</f>
        <v/>
      </c>
      <c r="V113" s="15">
        <f>IF(OR(V112="",U112=""),"",IF(U112&lt;=0,"",IFERROR(V112/U112-1,"")))</f>
        <v/>
      </c>
      <c r="W113" s="15">
        <f>IF(OR(W112="",V112=""),"",IF(V112&lt;=0,"",IFERROR(W112/V112-1,"")))</f>
        <v/>
      </c>
      <c r="X113" s="15">
        <f>IF(OR(X112="",W112=""),"",IF(W112&lt;=0,"",IFERROR(X112/W112-1,"")))</f>
        <v/>
      </c>
    </row>
    <row r="114">
      <c r="A114" s="18" t="inlineStr">
        <is>
          <t>신주예약권 환입이익</t>
        </is>
      </c>
      <c r="T114" s="20" t="n">
        <v>0</v>
      </c>
      <c r="U114" s="20" t="n">
        <v>0</v>
      </c>
    </row>
    <row r="115">
      <c r="A115" s="18" t="inlineStr">
        <is>
          <t>특별이익 합계</t>
        </is>
      </c>
      <c r="T115" s="20" t="n">
        <v>0</v>
      </c>
      <c r="U115" s="20" t="n">
        <v>0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T116" s="15">
        <f>IF(OR(T115="",S115=""),"",IF(T115*S115&lt;=0,"",IFERROR(T115/S115-1,"")))</f>
        <v/>
      </c>
      <c r="U116" s="15">
        <f>IF(OR(U115="",T115=""),"",IF(U115*T115&lt;=0,"",IFERROR(U115/T115-1,"")))</f>
        <v/>
      </c>
    </row>
    <row r="117">
      <c r="A117" s="18" t="inlineStr">
        <is>
          <t>손상차손</t>
        </is>
      </c>
      <c r="C117" s="20" t="n">
        <v>1.269</v>
      </c>
      <c r="D117" s="20" t="n">
        <v>0.667</v>
      </c>
      <c r="E117" s="20" t="n">
        <v>0.749</v>
      </c>
      <c r="F117" s="20" t="n">
        <v>0</v>
      </c>
      <c r="G117" s="20" t="n">
        <v>0</v>
      </c>
      <c r="H117" s="20" t="n">
        <v>0.5590000000000001</v>
      </c>
      <c r="I117" s="20" t="n">
        <v>1.142</v>
      </c>
      <c r="T117" s="20" t="n">
        <v>1.55</v>
      </c>
      <c r="U117" s="20" t="n">
        <v>0</v>
      </c>
      <c r="V117" s="20" t="n">
        <v>0.749</v>
      </c>
      <c r="W117" s="20" t="n">
        <v>1.142</v>
      </c>
    </row>
    <row r="118">
      <c r="A118" s="18" t="inlineStr">
        <is>
          <t>특별손실 합계</t>
        </is>
      </c>
      <c r="C118" s="20" t="n">
        <v>1.269</v>
      </c>
      <c r="D118" s="20" t="n">
        <v>0.667</v>
      </c>
      <c r="E118" s="20" t="n">
        <v>0.749</v>
      </c>
      <c r="F118" s="20" t="n">
        <v>0</v>
      </c>
      <c r="G118" s="20" t="n">
        <v>0</v>
      </c>
      <c r="H118" s="20" t="n">
        <v>0.5590000000000001</v>
      </c>
      <c r="I118" s="20" t="n">
        <v>1.142</v>
      </c>
      <c r="T118" s="20" t="n">
        <v>1.55</v>
      </c>
      <c r="U118" s="20" t="n">
        <v>0</v>
      </c>
      <c r="V118" s="20" t="n">
        <v>0.749</v>
      </c>
      <c r="W118" s="20" t="n">
        <v>1.142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T119" s="15">
        <f>IF(OR(T118="",S118=""),"",IF(T118*S118&lt;=0,"",IFERROR(T118/S118-1,"")))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</row>
    <row r="120">
      <c r="A120" s="9" t="inlineStr">
        <is>
          <t>법인세차감전 순이익</t>
        </is>
      </c>
      <c r="C120" s="12" t="n">
        <v>-35.899</v>
      </c>
      <c r="D120" s="12" t="n">
        <v>-23.794</v>
      </c>
      <c r="E120" s="12" t="n">
        <v>-11.779</v>
      </c>
      <c r="F120" s="12" t="n">
        <v>0.491</v>
      </c>
      <c r="G120" s="12" t="n">
        <v>0.329</v>
      </c>
      <c r="H120" s="12" t="n">
        <v>-16.463</v>
      </c>
      <c r="I120" s="12" t="n">
        <v>28.899</v>
      </c>
      <c r="J120" s="12" t="n">
        <v>-5.659</v>
      </c>
      <c r="K120" s="12" t="n">
        <v>24.066</v>
      </c>
      <c r="L120" s="12" t="n">
        <v>-10.641</v>
      </c>
      <c r="M120" s="12" t="n">
        <v>18.782</v>
      </c>
      <c r="N120" s="12" t="n">
        <v>33.014</v>
      </c>
      <c r="T120" s="12" t="n">
        <v>17.735</v>
      </c>
      <c r="U120" s="12" t="n">
        <v>1.574</v>
      </c>
      <c r="V120" s="12" t="n">
        <v>-11.779</v>
      </c>
      <c r="W120" s="12" t="n">
        <v>28.899</v>
      </c>
      <c r="X120" s="12" t="n">
        <v>18.782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IF(OR(G120="",C120=""),"",IF(C120&lt;=0,"",IFERROR(G120/C120-1,"")))</f>
        <v/>
      </c>
      <c r="H121" s="15">
        <f>IF(OR(H120="",D120=""),"",IF(D120&lt;=0,"",IFERROR(H120/D120-1,"")))</f>
        <v/>
      </c>
      <c r="I121" s="15">
        <f>IF(OR(I120="",E120=""),"",IF(E120&lt;=0,"",IFERROR(I120/E120-1,"")))</f>
        <v/>
      </c>
      <c r="J121" s="15">
        <f>IF(OR(J120="",F120=""),"",IF(F120&lt;=0,"",IFERROR(J120/F120-1,"")))</f>
        <v/>
      </c>
      <c r="K121" s="15">
        <f>IF(OR(K120="",G120=""),"",IF(G120&lt;=0,"",IFERROR(K120/G120-1,"")))</f>
        <v/>
      </c>
      <c r="L121" s="15">
        <f>IF(OR(L120="",H120=""),"",IF(H120&lt;=0,"",IFERROR(L120/H120-1,"")))</f>
        <v/>
      </c>
      <c r="M121" s="15">
        <f>IF(OR(M120="",I120=""),"",IF(I120&lt;=0,"",IFERROR(M120/I120-1,"")))</f>
        <v/>
      </c>
      <c r="N121" s="15">
        <f>IF(OR(N120="",J120=""),"",IF(J120&lt;=0,"",IFERROR(N120/J120-1,"")))</f>
        <v/>
      </c>
      <c r="T121" s="15">
        <f>IF(OR(T120="",S120=""),"",IF(S120&lt;=0,"",IFERROR(T120/S120-1,"")))</f>
        <v/>
      </c>
      <c r="U121" s="15">
        <f>IF(OR(U120="",T120=""),"",IF(T120&lt;=0,"",IFERROR(U120/T120-1,"")))</f>
        <v/>
      </c>
      <c r="V121" s="15">
        <f>IF(OR(V120="",U120=""),"",IF(U120&lt;=0,"",IFERROR(V120/U120-1,"")))</f>
        <v/>
      </c>
      <c r="W121" s="15">
        <f>IF(OR(W120="",V120=""),"",IF(V120&lt;=0,"",IFERROR(W120/V120-1,"")))</f>
        <v/>
      </c>
      <c r="X121" s="15">
        <f>IF(OR(X120="",W120=""),"",IF(W120&lt;=0,"",IFERROR(X120/W120-1,"")))</f>
        <v/>
      </c>
    </row>
    <row r="122">
      <c r="A122" s="18" t="inlineStr">
        <is>
          <t>법인세 등</t>
        </is>
      </c>
      <c r="C122" s="20" t="n">
        <v>0.303</v>
      </c>
      <c r="D122" s="20" t="n">
        <v>0.302</v>
      </c>
      <c r="F122" s="20" t="n">
        <v>0.302</v>
      </c>
      <c r="G122" s="20" t="n">
        <v>0.303</v>
      </c>
      <c r="H122" s="20" t="n">
        <v>0.302</v>
      </c>
      <c r="J122" s="20" t="n">
        <v>0.302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J123" s="15">
        <f>IF(OR(J122="",F122=""),"",IF(J122*F122&lt;=0,"",IFERROR(J122/F122-1,"")))</f>
        <v/>
      </c>
    </row>
    <row r="124">
      <c r="A124" s="18" t="inlineStr">
        <is>
          <t>법인세·주민세·사업세</t>
        </is>
      </c>
      <c r="L124" s="20" t="n">
        <v>0.995</v>
      </c>
      <c r="M124" s="20" t="n">
        <v>0.995</v>
      </c>
      <c r="N124" s="20" t="n">
        <v>0.995</v>
      </c>
      <c r="X124" s="20" t="n">
        <v>0.995</v>
      </c>
    </row>
    <row r="125">
      <c r="A125" s="9" t="inlineStr">
        <is>
          <t>순이익</t>
        </is>
      </c>
      <c r="C125" s="12" t="n">
        <v>-36.202</v>
      </c>
      <c r="D125" s="12" t="n">
        <v>-24.096</v>
      </c>
      <c r="E125" s="12" t="n">
        <v>-12.082</v>
      </c>
      <c r="F125" s="12" t="n">
        <v>0.189</v>
      </c>
      <c r="G125" s="12" t="n">
        <v>0.026</v>
      </c>
      <c r="H125" s="12" t="n">
        <v>-16.766</v>
      </c>
      <c r="I125" s="12" t="n">
        <v>28.597</v>
      </c>
      <c r="J125" s="12" t="n">
        <v>-5.962</v>
      </c>
      <c r="K125" s="12" t="n">
        <v>22.439</v>
      </c>
      <c r="L125" s="12" t="n">
        <v>-11.636</v>
      </c>
      <c r="M125" s="12" t="n">
        <v>17.787</v>
      </c>
      <c r="N125" s="12" t="n">
        <v>32.019</v>
      </c>
      <c r="T125" s="12" t="n">
        <v>17.12</v>
      </c>
      <c r="U125" s="12" t="n">
        <v>1.272</v>
      </c>
      <c r="V125" s="12" t="n">
        <v>-12.082</v>
      </c>
      <c r="W125" s="12" t="n">
        <v>28.597</v>
      </c>
      <c r="X125" s="12" t="n">
        <v>17.787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9" t="inlineStr">
        <is>
          <t>지배주주 순이익</t>
        </is>
      </c>
      <c r="L127" s="12" t="n">
        <v>-11.636</v>
      </c>
      <c r="M127" s="12" t="n">
        <v>17.787</v>
      </c>
      <c r="N127" s="12" t="n">
        <v>32.019</v>
      </c>
      <c r="X127" s="12" t="n">
        <v>17.787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L128" s="15">
        <f>IF(OR(L127="",H127=""),"",IF(H127&lt;=0,"",IFERROR(L127/H127-1,"")))</f>
        <v/>
      </c>
      <c r="M128" s="15">
        <f>IF(OR(M127="",I127=""),"",IF(I127&lt;=0,"",IFERROR(M127/I127-1,"")))</f>
        <v/>
      </c>
      <c r="N128" s="15">
        <f>IF(OR(N127="",J127=""),"",IF(J127&lt;=0,"",IFERROR(N127/J127-1,"")))</f>
        <v/>
      </c>
      <c r="X128" s="15">
        <f>IF(OR(X127="",W127=""),"",IF(W127&lt;=0,"",IFERROR(X127/W127-1,"")))</f>
        <v/>
      </c>
    </row>
    <row r="130">
      <c r="A130" s="16" t="inlineStr">
        <is>
          <t>포괄손익 · 전 항목</t>
        </is>
      </c>
      <c r="B130" s="42" t="inlineStr">
        <is>
          <t>분기 = 3개월 단독</t>
        </is>
      </c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</row>
    <row r="131">
      <c r="A131" s="5" t="inlineStr">
        <is>
          <t>항목</t>
        </is>
      </c>
      <c r="B131" s="5" t="inlineStr">
        <is>
          <t>참고</t>
        </is>
      </c>
      <c r="C131" s="5" t="inlineStr">
        <is>
          <t>2024.2Q</t>
        </is>
      </c>
      <c r="D131" s="5" t="inlineStr">
        <is>
          <t>2024.3Q</t>
        </is>
      </c>
      <c r="E131" s="5" t="inlineStr">
        <is>
          <t>2024.4Q</t>
        </is>
      </c>
      <c r="F131" s="5" t="inlineStr">
        <is>
          <t>2025.1Q</t>
        </is>
      </c>
      <c r="G131" s="5" t="inlineStr">
        <is>
          <t>2025.2Q</t>
        </is>
      </c>
      <c r="H131" s="5" t="inlineStr">
        <is>
          <t>2025.3Q</t>
        </is>
      </c>
      <c r="I131" s="5" t="inlineStr">
        <is>
          <t>2025.4Q</t>
        </is>
      </c>
      <c r="J131" s="5" t="inlineStr">
        <is>
          <t>2026.1Q</t>
        </is>
      </c>
      <c r="K131" s="5" t="inlineStr">
        <is>
          <t>2026.2Q</t>
        </is>
      </c>
      <c r="L131" s="5" t="inlineStr">
        <is>
          <t>2026.3Q</t>
        </is>
      </c>
      <c r="M131" s="5" t="inlineStr">
        <is>
          <t>2026.4Q</t>
        </is>
      </c>
      <c r="N131" s="5" t="inlineStr">
        <is>
          <t>2027.1Q</t>
        </is>
      </c>
      <c r="O131" s="5" t="inlineStr">
        <is>
          <t>2017</t>
        </is>
      </c>
      <c r="P131" s="5" t="inlineStr">
        <is>
          <t>2018</t>
        </is>
      </c>
      <c r="Q131" s="5" t="inlineStr">
        <is>
          <t>2019</t>
        </is>
      </c>
      <c r="R131" s="5" t="inlineStr">
        <is>
          <t>2020</t>
        </is>
      </c>
      <c r="S131" s="5" t="inlineStr">
        <is>
          <t>2021</t>
        </is>
      </c>
      <c r="T131" s="5" t="inlineStr">
        <is>
          <t>2022</t>
        </is>
      </c>
      <c r="U131" s="5" t="inlineStr">
        <is>
          <t>2023</t>
        </is>
      </c>
      <c r="V131" s="5" t="inlineStr">
        <is>
          <t>2024</t>
        </is>
      </c>
      <c r="W131" s="5" t="inlineStr">
        <is>
          <t>2025</t>
        </is>
      </c>
      <c r="X131" s="5" t="inlineStr">
        <is>
          <t>2026</t>
        </is>
      </c>
      <c r="Y131" s="5" t="inlineStr">
        <is>
          <t>2027(MW)</t>
        </is>
      </c>
      <c r="Z131" s="5" t="inlineStr">
        <is>
          <t>2028(MW)</t>
        </is>
      </c>
      <c r="AA131" s="5" t="inlineStr">
        <is>
          <t>2029(MW)</t>
        </is>
      </c>
      <c r="AB131" s="5" t="inlineStr">
        <is>
          <t>2030(MW)</t>
        </is>
      </c>
      <c r="AC131" s="5" t="inlineStr">
        <is>
          <t>2031(MW)</t>
        </is>
      </c>
    </row>
    <row r="132">
      <c r="A132" s="9" t="inlineStr">
        <is>
          <t>순이익</t>
        </is>
      </c>
      <c r="L132" s="12" t="n">
        <v>-11.636</v>
      </c>
      <c r="M132" s="12" t="n">
        <v>17.787</v>
      </c>
      <c r="N132" s="12" t="n">
        <v>32.019</v>
      </c>
      <c r="X132" s="12" t="n">
        <v>17.787</v>
      </c>
    </row>
    <row r="133">
      <c r="A133" s="9" t="inlineStr">
        <is>
          <t>포괄이익</t>
        </is>
      </c>
      <c r="L133" s="12" t="n">
        <v>-11.636</v>
      </c>
      <c r="M133" s="12" t="n">
        <v>17.787</v>
      </c>
      <c r="N133" s="12" t="n">
        <v>32.019</v>
      </c>
      <c r="X133" s="12" t="n">
        <v>17.787</v>
      </c>
    </row>
    <row r="134">
      <c r="A134" s="9" t="inlineStr">
        <is>
          <t>지배주주 포괄이익</t>
        </is>
      </c>
      <c r="L134" s="12" t="n">
        <v>-11.636</v>
      </c>
      <c r="M134" s="12" t="n">
        <v>17.787</v>
      </c>
      <c r="N134" s="12" t="n">
        <v>32.019</v>
      </c>
      <c r="X134" s="12" t="n">
        <v>17.787</v>
      </c>
    </row>
    <row r="136">
      <c r="A136" s="16" t="inlineStr">
        <is>
          <t>부문 · 전 항목</t>
        </is>
      </c>
      <c r="B136" s="42" t="inlineStr">
        <is>
          <t>부문 · 항목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2024.2Q</t>
        </is>
      </c>
      <c r="D137" s="5" t="inlineStr">
        <is>
          <t>2024.3Q</t>
        </is>
      </c>
      <c r="E137" s="5" t="inlineStr">
        <is>
          <t>2024.4Q</t>
        </is>
      </c>
      <c r="F137" s="5" t="inlineStr">
        <is>
          <t>2025.1Q</t>
        </is>
      </c>
      <c r="G137" s="5" t="inlineStr">
        <is>
          <t>2025.2Q</t>
        </is>
      </c>
      <c r="H137" s="5" t="inlineStr">
        <is>
          <t>2025.3Q</t>
        </is>
      </c>
      <c r="I137" s="5" t="inlineStr">
        <is>
          <t>2025.4Q</t>
        </is>
      </c>
      <c r="J137" s="5" t="inlineStr">
        <is>
          <t>2026.1Q</t>
        </is>
      </c>
      <c r="K137" s="5" t="inlineStr">
        <is>
          <t>2026.2Q</t>
        </is>
      </c>
      <c r="L137" s="5" t="inlineStr">
        <is>
          <t>2026.3Q</t>
        </is>
      </c>
      <c r="M137" s="5" t="inlineStr">
        <is>
          <t>2026.4Q</t>
        </is>
      </c>
      <c r="N137" s="5" t="inlineStr">
        <is>
          <t>2027.1Q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18" t="inlineStr">
        <is>
          <t>부문 · 외부 고객 매출</t>
        </is>
      </c>
      <c r="L138" s="20" t="n">
        <v>275.71</v>
      </c>
      <c r="M138" s="20" t="n">
        <v>320.083</v>
      </c>
      <c r="N138" s="20" t="n">
        <v>349.569</v>
      </c>
      <c r="X138" s="20" t="n">
        <v>320.083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X139" s="15">
        <f>IF(OR(X138="",W138=""),"",IF(W138&lt;=0,"",IFERROR(X138/W138-1,"")))</f>
        <v/>
      </c>
    </row>
    <row r="140">
      <c r="A140" s="18" t="inlineStr">
        <is>
          <t>부문 · 외부 고객 매출</t>
        </is>
      </c>
      <c r="L140" s="20" t="n">
        <v>6.826</v>
      </c>
      <c r="M140" s="20" t="n">
        <v>4.41</v>
      </c>
      <c r="N140" s="20" t="n">
        <v>52.075</v>
      </c>
      <c r="X140" s="20" t="n">
        <v>4.41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X141" s="15">
        <f>IF(OR(X140="",W140=""),"",IF(W140&lt;=0,"",IFERROR(X140/W140-1,"")))</f>
        <v/>
      </c>
    </row>
    <row r="142">
      <c r="A142" s="18" t="inlineStr">
        <is>
          <t>보고부문 합계 · 외부 고객 매출</t>
        </is>
      </c>
      <c r="L142" s="20" t="n">
        <v>282.536</v>
      </c>
      <c r="M142" s="20" t="n">
        <v>324.493</v>
      </c>
      <c r="N142" s="20" t="n">
        <v>401.644</v>
      </c>
      <c r="X142" s="20" t="n">
        <v>324.493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X143" s="15">
        <f>IF(OR(X142="",W142=""),"",IF(W142&lt;=0,"",IFERROR(X142/W142-1,"")))</f>
        <v/>
      </c>
    </row>
    <row r="144">
      <c r="A144" s="18" t="inlineStr">
        <is>
          <t>조정액 · 외부 고객 매출</t>
        </is>
      </c>
      <c r="L144" s="20" t="n">
        <v>0</v>
      </c>
      <c r="M144" s="20" t="n">
        <v>0</v>
      </c>
      <c r="N144" s="20" t="n">
        <v>0</v>
      </c>
      <c r="X144" s="20" t="n">
        <v>0</v>
      </c>
    </row>
    <row r="145">
      <c r="A145" s="9" t="inlineStr">
        <is>
          <t>외부 고객 매출</t>
        </is>
      </c>
      <c r="L145" s="12" t="n">
        <v>282.536</v>
      </c>
      <c r="M145" s="12" t="n">
        <v>324.493</v>
      </c>
      <c r="N145" s="12" t="n">
        <v>401.644</v>
      </c>
      <c r="X145" s="12" t="n">
        <v>324.493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X146" s="15">
        <f>IF(OR(X145="",W145=""),"",IF(W145&lt;=0,"",IFERROR(X145/W145-1,"")))</f>
        <v/>
      </c>
    </row>
    <row r="147">
      <c r="A147" s="18" t="inlineStr">
        <is>
          <t>부문 · 부문 간 내부매출·대체</t>
        </is>
      </c>
      <c r="L147" s="20" t="n">
        <v>0</v>
      </c>
      <c r="M147" s="20" t="n">
        <v>0</v>
      </c>
      <c r="N147" s="20" t="n">
        <v>0</v>
      </c>
      <c r="X147" s="20" t="n">
        <v>0</v>
      </c>
    </row>
    <row r="148">
      <c r="A148" s="18" t="inlineStr">
        <is>
          <t>부문 · 부문 간 내부매출·대체</t>
        </is>
      </c>
      <c r="L148" s="20" t="n">
        <v>0</v>
      </c>
      <c r="M148" s="20" t="n">
        <v>0</v>
      </c>
      <c r="N148" s="20" t="n">
        <v>0</v>
      </c>
      <c r="X148" s="20" t="n">
        <v>0</v>
      </c>
    </row>
    <row r="149">
      <c r="A149" s="18" t="inlineStr">
        <is>
          <t>보고부문 합계 · 부문 간 내부매출·대체</t>
        </is>
      </c>
      <c r="L149" s="20" t="n">
        <v>0</v>
      </c>
      <c r="M149" s="20" t="n">
        <v>0</v>
      </c>
      <c r="N149" s="20" t="n">
        <v>0</v>
      </c>
      <c r="X149" s="20" t="n">
        <v>0</v>
      </c>
    </row>
    <row r="150">
      <c r="A150" s="18" t="inlineStr">
        <is>
          <t>조정액 · 부문 간 내부매출·대체</t>
        </is>
      </c>
      <c r="L150" s="20" t="n">
        <v>0</v>
      </c>
      <c r="M150" s="20" t="n">
        <v>0</v>
      </c>
      <c r="N150" s="20" t="n">
        <v>0</v>
      </c>
      <c r="X150" s="20" t="n">
        <v>0</v>
      </c>
    </row>
    <row r="151">
      <c r="A151" s="18" t="inlineStr">
        <is>
          <t>부문 간 내부매출·대체</t>
        </is>
      </c>
      <c r="L151" s="20" t="n">
        <v>0</v>
      </c>
      <c r="M151" s="20" t="n">
        <v>0</v>
      </c>
      <c r="N151" s="20" t="n">
        <v>0</v>
      </c>
      <c r="X151" s="20" t="n">
        <v>0</v>
      </c>
    </row>
    <row r="152">
      <c r="A152" s="18" t="inlineStr">
        <is>
          <t>부문 · 계</t>
        </is>
      </c>
      <c r="L152" s="20" t="n">
        <v>275.71</v>
      </c>
      <c r="M152" s="20" t="n">
        <v>320.083</v>
      </c>
      <c r="N152" s="20" t="n">
        <v>349.569</v>
      </c>
      <c r="X152" s="20" t="n">
        <v>320.083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X153" s="15">
        <f>IF(OR(X152="",W152=""),"",IF(W152&lt;=0,"",IFERROR(X152/W152-1,"")))</f>
        <v/>
      </c>
    </row>
    <row r="154">
      <c r="A154" s="18" t="inlineStr">
        <is>
          <t>부문 · 계</t>
        </is>
      </c>
      <c r="L154" s="20" t="n">
        <v>6.826</v>
      </c>
      <c r="M154" s="20" t="n">
        <v>4.41</v>
      </c>
      <c r="N154" s="20" t="n">
        <v>52.075</v>
      </c>
      <c r="X154" s="20" t="n">
        <v>4.41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X155" s="15">
        <f>IF(OR(X154="",W154=""),"",IF(W154&lt;=0,"",IFERROR(X154/W154-1,"")))</f>
        <v/>
      </c>
    </row>
    <row r="156">
      <c r="A156" s="18" t="inlineStr">
        <is>
          <t>보고부문 합계 · 계</t>
        </is>
      </c>
      <c r="L156" s="20" t="n">
        <v>282.536</v>
      </c>
      <c r="M156" s="20" t="n">
        <v>324.493</v>
      </c>
      <c r="N156" s="20" t="n">
        <v>401.644</v>
      </c>
      <c r="X156" s="20" t="n">
        <v>324.493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X157" s="15">
        <f>IF(OR(X156="",W156=""),"",IF(W156&lt;=0,"",IFERROR(X156/W156-1,"")))</f>
        <v/>
      </c>
    </row>
    <row r="158">
      <c r="A158" s="18" t="inlineStr">
        <is>
          <t>조정액 · 계</t>
        </is>
      </c>
      <c r="L158" s="20" t="n">
        <v>0</v>
      </c>
      <c r="M158" s="20" t="n">
        <v>0</v>
      </c>
      <c r="N158" s="20" t="n">
        <v>0</v>
      </c>
      <c r="X158" s="20" t="n">
        <v>0</v>
      </c>
    </row>
    <row r="159">
      <c r="A159" s="9" t="inlineStr">
        <is>
          <t>계</t>
        </is>
      </c>
      <c r="L159" s="12" t="n">
        <v>282.536</v>
      </c>
      <c r="M159" s="12" t="n">
        <v>324.493</v>
      </c>
      <c r="N159" s="12" t="n">
        <v>401.644</v>
      </c>
      <c r="X159" s="12" t="n">
        <v>324.493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X160" s="15">
        <f>IF(OR(X159="",W159=""),"",IF(W159&lt;=0,"",IFERROR(X159/W159-1,"")))</f>
        <v/>
      </c>
    </row>
    <row r="161">
      <c r="A161" s="18" t="inlineStr">
        <is>
          <t>부문 · 부문 이익</t>
        </is>
      </c>
      <c r="L161" s="20" t="n">
        <v>58.005</v>
      </c>
      <c r="M161" s="20" t="n">
        <v>70.977</v>
      </c>
      <c r="N161" s="20" t="n">
        <v>76.562</v>
      </c>
      <c r="X161" s="20" t="n">
        <v>70.977</v>
      </c>
    </row>
    <row r="162">
      <c r="A162" s="43" t="inlineStr">
        <is>
          <t>OPM</t>
        </is>
      </c>
      <c r="B162" s="3" t="inlineStr">
        <is>
          <t>영업이익 ÷ 매출</t>
        </is>
      </c>
      <c r="L162" s="15">
        <f>IF(OR(L161="",L152=""),"",IF(L152&lt;=0,"",IFERROR(L161/L152,"")))</f>
        <v/>
      </c>
      <c r="M162" s="15">
        <f>IF(OR(M161="",M152=""),"",IF(M152&lt;=0,"",IFERROR(M161/M152,"")))</f>
        <v/>
      </c>
      <c r="N162" s="15">
        <f>IF(OR(N161="",N152=""),"",IF(N152&lt;=0,"",IFERROR(N161/N152,"")))</f>
        <v/>
      </c>
      <c r="X162" s="15">
        <f>IF(OR(X161="",X152=""),"",IF(X152&lt;=0,"",IFERROR(X161/X152,"")))</f>
        <v/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L163" s="15">
        <f>IF(OR(L161="",H161=""),"",IF(H161&lt;=0,"",IFERROR(L161/H161-1,"")))</f>
        <v/>
      </c>
      <c r="M163" s="15">
        <f>IF(OR(M161="",I161=""),"",IF(I161&lt;=0,"",IFERROR(M161/I161-1,"")))</f>
        <v/>
      </c>
      <c r="N163" s="15">
        <f>IF(OR(N161="",J161=""),"",IF(J161&lt;=0,"",IFERROR(N161/J161-1,"")))</f>
        <v/>
      </c>
      <c r="X163" s="15">
        <f>IF(OR(X161="",W161=""),"",IF(W161&lt;=0,"",IFERROR(X161/W161-1,"")))</f>
        <v/>
      </c>
    </row>
    <row r="164">
      <c r="A164" s="18" t="inlineStr">
        <is>
          <t>부문 · 부문 이익</t>
        </is>
      </c>
      <c r="L164" s="20" t="n">
        <v>-20.686</v>
      </c>
      <c r="M164" s="20" t="n">
        <v>-3.999</v>
      </c>
      <c r="N164" s="20" t="n">
        <v>17.727</v>
      </c>
      <c r="X164" s="20" t="n">
        <v>-3.999</v>
      </c>
    </row>
    <row r="165">
      <c r="A165" s="43" t="inlineStr">
        <is>
          <t>OPM</t>
        </is>
      </c>
      <c r="B165" s="3" t="inlineStr">
        <is>
          <t>영업이익 ÷ 매출</t>
        </is>
      </c>
      <c r="L165" s="15">
        <f>IF(OR(L164="",L154=""),"",IF(L154&lt;=0,"",IFERROR(L164/L154,"")))</f>
        <v/>
      </c>
      <c r="M165" s="15">
        <f>IF(OR(M164="",M154=""),"",IF(M154&lt;=0,"",IFERROR(M164/M154,"")))</f>
        <v/>
      </c>
      <c r="N165" s="15">
        <f>IF(OR(N164="",N154=""),"",IF(N154&lt;=0,"",IFERROR(N164/N154,"")))</f>
        <v/>
      </c>
      <c r="X165" s="15">
        <f>IF(OR(X164="",X154=""),"",IF(X154&lt;=0,"",IFERROR(X164/X154,"")))</f>
        <v/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L166" s="15">
        <f>IF(OR(L164="",H164=""),"",IF(H164&lt;=0,"",IFERROR(L164/H164-1,"")))</f>
        <v/>
      </c>
      <c r="M166" s="15">
        <f>IF(OR(M164="",I164=""),"",IF(I164&lt;=0,"",IFERROR(M164/I164-1,"")))</f>
        <v/>
      </c>
      <c r="N166" s="15">
        <f>IF(OR(N164="",J164=""),"",IF(J164&lt;=0,"",IFERROR(N164/J164-1,"")))</f>
        <v/>
      </c>
      <c r="X166" s="15">
        <f>IF(OR(X164="",W164=""),"",IF(W164&lt;=0,"",IFERROR(X164/W164-1,"")))</f>
        <v/>
      </c>
    </row>
    <row r="167">
      <c r="A167" s="18" t="inlineStr">
        <is>
          <t>보고부문 합계 · 부문 이익</t>
        </is>
      </c>
      <c r="L167" s="20" t="n">
        <v>37.319</v>
      </c>
      <c r="M167" s="20" t="n">
        <v>66.97799999999999</v>
      </c>
      <c r="N167" s="20" t="n">
        <v>94.289</v>
      </c>
      <c r="X167" s="20" t="n">
        <v>66.97799999999999</v>
      </c>
    </row>
    <row r="168">
      <c r="A168" s="43" t="inlineStr">
        <is>
          <t>OPM</t>
        </is>
      </c>
      <c r="B168" s="3" t="inlineStr">
        <is>
          <t>영업이익 ÷ 매출</t>
        </is>
      </c>
      <c r="L168" s="15">
        <f>IF(OR(L167="",L156=""),"",IF(L156&lt;=0,"",IFERROR(L167/L156,"")))</f>
        <v/>
      </c>
      <c r="M168" s="15">
        <f>IF(OR(M167="",M156=""),"",IF(M156&lt;=0,"",IFERROR(M167/M156,"")))</f>
        <v/>
      </c>
      <c r="N168" s="15">
        <f>IF(OR(N167="",N156=""),"",IF(N156&lt;=0,"",IFERROR(N167/N156,"")))</f>
        <v/>
      </c>
      <c r="X168" s="15">
        <f>IF(OR(X167="",X156=""),"",IF(X156&lt;=0,"",IFERROR(X167/X156,"")))</f>
        <v/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L169" s="15">
        <f>IF(OR(L167="",H167=""),"",IF(H167&lt;=0,"",IFERROR(L167/H167-1,"")))</f>
        <v/>
      </c>
      <c r="M169" s="15">
        <f>IF(OR(M167="",I167=""),"",IF(I167&lt;=0,"",IFERROR(M167/I167-1,"")))</f>
        <v/>
      </c>
      <c r="N169" s="15">
        <f>IF(OR(N167="",J167=""),"",IF(J167&lt;=0,"",IFERROR(N167/J167-1,"")))</f>
        <v/>
      </c>
      <c r="X169" s="15">
        <f>IF(OR(X167="",W167=""),"",IF(W167&lt;=0,"",IFERROR(X167/W167-1,"")))</f>
        <v/>
      </c>
    </row>
    <row r="170">
      <c r="A170" s="18" t="inlineStr">
        <is>
          <t>조정액 · 부문 이익</t>
        </is>
      </c>
      <c r="L170" s="20" t="n">
        <v>-47.68</v>
      </c>
      <c r="M170" s="20" t="n">
        <v>-61.966</v>
      </c>
      <c r="N170" s="20" t="n">
        <v>-60.212</v>
      </c>
      <c r="X170" s="20" t="n">
        <v>-61.966</v>
      </c>
    </row>
    <row r="171">
      <c r="A171" s="9" t="inlineStr">
        <is>
          <t>부문 이익</t>
        </is>
      </c>
      <c r="L171" s="12" t="n">
        <v>-10.361</v>
      </c>
      <c r="M171" s="12" t="n">
        <v>5.011</v>
      </c>
      <c r="N171" s="12" t="n">
        <v>34.076</v>
      </c>
      <c r="X171" s="12" t="n">
        <v>5.011</v>
      </c>
    </row>
    <row r="172">
      <c r="A172" s="43" t="inlineStr">
        <is>
          <t>OPM</t>
        </is>
      </c>
      <c r="B172" s="3" t="inlineStr">
        <is>
          <t>영업이익 ÷ 매출</t>
        </is>
      </c>
      <c r="L172" s="15">
        <f>IF(OR(L171="",L145=""),"",IF(L145&lt;=0,"",IFERROR(L171/L145,"")))</f>
        <v/>
      </c>
      <c r="M172" s="15">
        <f>IF(OR(M171="",M145=""),"",IF(M145&lt;=0,"",IFERROR(M171/M145,"")))</f>
        <v/>
      </c>
      <c r="N172" s="15">
        <f>IF(OR(N171="",N145=""),"",IF(N145&lt;=0,"",IFERROR(N171/N145,"")))</f>
        <v/>
      </c>
      <c r="X172" s="15">
        <f>IF(OR(X171="",X145=""),"",IF(X145&lt;=0,"",IFERROR(X171/X145,"")))</f>
        <v/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L173" s="15">
        <f>IF(OR(L171="",H171=""),"",IF(H171&lt;=0,"",IFERROR(L171/H171-1,"")))</f>
        <v/>
      </c>
      <c r="M173" s="15">
        <f>IF(OR(M171="",I171=""),"",IF(I171&lt;=0,"",IFERROR(M171/I171-1,"")))</f>
        <v/>
      </c>
      <c r="N173" s="15">
        <f>IF(OR(N171="",J171=""),"",IF(J171&lt;=0,"",IFERROR(N171/J171-1,"")))</f>
        <v/>
      </c>
      <c r="X173" s="15">
        <f>IF(OR(X171="",W171=""),"",IF(W171&lt;=0,"",IFERROR(X171/W171-1,"")))</f>
        <v/>
      </c>
    </row>
    <row r="175">
      <c r="A175" s="16" t="inlineStr">
        <is>
          <t>현금흐름표 · 전 항목</t>
        </is>
      </c>
      <c r="B175" s="42" t="inlineStr">
        <is>
          <t>분기 = 결산기 첫날부터 누계(공시 그대로)</t>
        </is>
      </c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</row>
    <row r="176">
      <c r="A176" s="5" t="inlineStr">
        <is>
          <t>항목</t>
        </is>
      </c>
      <c r="B176" s="5" t="inlineStr">
        <is>
          <t>참고</t>
        </is>
      </c>
      <c r="C176" s="5" t="inlineStr">
        <is>
          <t>2024.2Q</t>
        </is>
      </c>
      <c r="D176" s="5" t="inlineStr">
        <is>
          <t>2024.3Q</t>
        </is>
      </c>
      <c r="E176" s="5" t="inlineStr">
        <is>
          <t>2024.4Q</t>
        </is>
      </c>
      <c r="F176" s="5" t="inlineStr">
        <is>
          <t>2025.1Q</t>
        </is>
      </c>
      <c r="G176" s="5" t="inlineStr">
        <is>
          <t>2025.2Q</t>
        </is>
      </c>
      <c r="H176" s="5" t="inlineStr">
        <is>
          <t>2025.3Q</t>
        </is>
      </c>
      <c r="I176" s="5" t="inlineStr">
        <is>
          <t>2025.4Q</t>
        </is>
      </c>
      <c r="J176" s="5" t="inlineStr">
        <is>
          <t>2026.1Q</t>
        </is>
      </c>
      <c r="K176" s="5" t="inlineStr">
        <is>
          <t>2026.2Q</t>
        </is>
      </c>
      <c r="L176" s="5" t="inlineStr">
        <is>
          <t>2026.3Q</t>
        </is>
      </c>
      <c r="M176" s="5" t="inlineStr">
        <is>
          <t>2026.4Q</t>
        </is>
      </c>
      <c r="N176" s="5" t="inlineStr">
        <is>
          <t>2027.1Q</t>
        </is>
      </c>
      <c r="O176" s="5" t="inlineStr">
        <is>
          <t>2017</t>
        </is>
      </c>
      <c r="P176" s="5" t="inlineStr">
        <is>
          <t>2018</t>
        </is>
      </c>
      <c r="Q176" s="5" t="inlineStr">
        <is>
          <t>2019</t>
        </is>
      </c>
      <c r="R176" s="5" t="inlineStr">
        <is>
          <t>2020</t>
        </is>
      </c>
      <c r="S176" s="5" t="inlineStr">
        <is>
          <t>2021</t>
        </is>
      </c>
      <c r="T176" s="5" t="inlineStr">
        <is>
          <t>2022</t>
        </is>
      </c>
      <c r="U176" s="5" t="inlineStr">
        <is>
          <t>2023</t>
        </is>
      </c>
      <c r="V176" s="5" t="inlineStr">
        <is>
          <t>2024</t>
        </is>
      </c>
      <c r="W176" s="5" t="inlineStr">
        <is>
          <t>2025</t>
        </is>
      </c>
      <c r="X176" s="5" t="inlineStr">
        <is>
          <t>2026</t>
        </is>
      </c>
      <c r="Y176" s="5" t="inlineStr">
        <is>
          <t>2027(MW)</t>
        </is>
      </c>
      <c r="Z176" s="5" t="inlineStr">
        <is>
          <t>2028(MW)</t>
        </is>
      </c>
      <c r="AA176" s="5" t="inlineStr">
        <is>
          <t>2029(MW)</t>
        </is>
      </c>
      <c r="AB176" s="5" t="inlineStr">
        <is>
          <t>2030(MW)</t>
        </is>
      </c>
      <c r="AC176" s="5" t="inlineStr">
        <is>
          <t>2031(MW)</t>
        </is>
      </c>
    </row>
    <row r="177">
      <c r="A177" s="9" t="inlineStr">
        <is>
          <t>법인세차감전 순이익</t>
        </is>
      </c>
      <c r="C177" s="12" t="n">
        <v>-70.292</v>
      </c>
      <c r="E177" s="12" t="n">
        <v>-105.865</v>
      </c>
      <c r="G177" s="12" t="n">
        <v>0.82</v>
      </c>
      <c r="I177" s="12" t="n">
        <v>13.256</v>
      </c>
      <c r="K177" s="12" t="n">
        <v>18.407</v>
      </c>
      <c r="M177" s="12" t="n">
        <v>26.548</v>
      </c>
      <c r="O177" s="12" t="n">
        <v>-223.249</v>
      </c>
      <c r="P177" s="12" t="n">
        <v>-120.413</v>
      </c>
      <c r="Q177" s="12" t="n">
        <v>-165.298</v>
      </c>
      <c r="R177" s="12" t="n">
        <v>-145.01</v>
      </c>
      <c r="S177" s="12" t="n">
        <v>-122.384</v>
      </c>
      <c r="T177" s="12" t="n">
        <v>-31.161</v>
      </c>
      <c r="U177" s="12" t="n">
        <v>-101.881</v>
      </c>
      <c r="V177" s="12" t="n">
        <v>-105.865</v>
      </c>
      <c r="W177" s="12" t="n">
        <v>13.256</v>
      </c>
      <c r="X177" s="12" t="n">
        <v>26.548</v>
      </c>
    </row>
    <row r="178">
      <c r="A178" s="18" t="inlineStr">
        <is>
          <t>손상차손</t>
        </is>
      </c>
      <c r="C178" s="20" t="n">
        <v>3.436</v>
      </c>
      <c r="E178" s="20" t="n">
        <v>4.852</v>
      </c>
      <c r="G178" s="20" t="n">
        <v>0</v>
      </c>
      <c r="I178" s="20" t="n">
        <v>1.701</v>
      </c>
      <c r="O178" s="20" t="n">
        <v>5.234</v>
      </c>
      <c r="P178" s="20" t="n">
        <v>2.083</v>
      </c>
      <c r="Q178" s="20" t="n">
        <v>0.421</v>
      </c>
      <c r="R178" s="20" t="n">
        <v>2.844</v>
      </c>
      <c r="S178" s="20" t="n">
        <v>3.58</v>
      </c>
      <c r="T178" s="20" t="n">
        <v>3.56</v>
      </c>
      <c r="U178" s="20" t="n">
        <v>6.032</v>
      </c>
      <c r="V178" s="20" t="n">
        <v>4.852</v>
      </c>
      <c r="W178" s="20" t="n">
        <v>1.701</v>
      </c>
    </row>
    <row r="179">
      <c r="A179" s="18" t="inlineStr">
        <is>
          <t>감가상각비</t>
        </is>
      </c>
      <c r="K179" s="20" t="n">
        <v>0.073</v>
      </c>
      <c r="M179" s="20" t="n">
        <v>0.619</v>
      </c>
      <c r="X179" s="20" t="n">
        <v>0.619</v>
      </c>
    </row>
    <row r="180">
      <c r="A180" s="18" t="inlineStr">
        <is>
          <t>상여충당금 증감</t>
        </is>
      </c>
      <c r="E180" s="20" t="n">
        <v>0.788</v>
      </c>
      <c r="I180" s="20" t="n">
        <v>0.659</v>
      </c>
      <c r="M180" s="20" t="n">
        <v>4.398</v>
      </c>
      <c r="O180" s="20" t="n">
        <v>1.855</v>
      </c>
      <c r="P180" s="20" t="n">
        <v>0.469</v>
      </c>
      <c r="Q180" s="20" t="n">
        <v>-1.586</v>
      </c>
      <c r="R180" s="20" t="n">
        <v>0.746</v>
      </c>
      <c r="S180" s="20" t="n">
        <v>0.062</v>
      </c>
      <c r="T180" s="20" t="n">
        <v>-1.584</v>
      </c>
      <c r="U180" s="20" t="n">
        <v>-1.458</v>
      </c>
      <c r="V180" s="20" t="n">
        <v>0.788</v>
      </c>
      <c r="W180" s="20" t="n">
        <v>0.659</v>
      </c>
      <c r="X180" s="20" t="n">
        <v>4.398</v>
      </c>
    </row>
    <row r="181">
      <c r="A181" s="18" t="inlineStr">
        <is>
          <t>퇴직급여충당금 증감액</t>
        </is>
      </c>
      <c r="E181" s="20" t="n">
        <v>1.014</v>
      </c>
      <c r="I181" s="20" t="n">
        <v>-1.071</v>
      </c>
      <c r="O181" s="20" t="n">
        <v>1.144</v>
      </c>
      <c r="P181" s="20" t="n">
        <v>0.28</v>
      </c>
      <c r="Q181" s="20" t="n">
        <v>2.259</v>
      </c>
      <c r="R181" s="20" t="n">
        <v>2.433</v>
      </c>
      <c r="S181" s="20" t="n">
        <v>2.132</v>
      </c>
      <c r="T181" s="20" t="n">
        <v>1.186</v>
      </c>
      <c r="U181" s="20" t="n">
        <v>-4.297</v>
      </c>
      <c r="V181" s="20" t="n">
        <v>1.014</v>
      </c>
      <c r="W181" s="20" t="n">
        <v>-1.071</v>
      </c>
    </row>
    <row r="182">
      <c r="A182" s="18" t="inlineStr">
        <is>
          <t>퇴직급여부채 증감</t>
        </is>
      </c>
      <c r="M182" s="20" t="n">
        <v>0.626</v>
      </c>
      <c r="X182" s="20" t="n">
        <v>0.626</v>
      </c>
    </row>
    <row r="183">
      <c r="A183" s="18" t="inlineStr">
        <is>
          <t>주식보상비용</t>
        </is>
      </c>
      <c r="E183" s="20" t="n">
        <v>0</v>
      </c>
      <c r="I183" s="20" t="n">
        <v>1.235</v>
      </c>
      <c r="M183" s="20" t="n">
        <v>6.227</v>
      </c>
      <c r="O183" s="20" t="n">
        <v>9.832000000000001</v>
      </c>
      <c r="P183" s="20" t="n">
        <v>15.719</v>
      </c>
      <c r="Q183" s="20" t="n">
        <v>6.052</v>
      </c>
      <c r="R183" s="20" t="n">
        <v>0</v>
      </c>
      <c r="V183" s="20" t="n">
        <v>0</v>
      </c>
      <c r="W183" s="20" t="n">
        <v>1.235</v>
      </c>
      <c r="X183" s="20" t="n">
        <v>6.227</v>
      </c>
    </row>
    <row r="184">
      <c r="A184" s="18" t="inlineStr">
        <is>
          <t>이자·배당금 수익</t>
        </is>
      </c>
      <c r="C184" s="20" t="n">
        <v>-0.067</v>
      </c>
      <c r="E184" s="20" t="n">
        <v>-0.656</v>
      </c>
      <c r="G184" s="20" t="n">
        <v>-0.089</v>
      </c>
      <c r="I184" s="20" t="n">
        <v>-0.79</v>
      </c>
      <c r="K184" s="20" t="n">
        <v>-0.281</v>
      </c>
      <c r="M184" s="20" t="n">
        <v>-0.993</v>
      </c>
      <c r="O184" s="20" t="n">
        <v>-0.046</v>
      </c>
      <c r="P184" s="20" t="n">
        <v>-0.039</v>
      </c>
      <c r="Q184" s="20" t="n">
        <v>-0.116</v>
      </c>
      <c r="R184" s="20" t="n">
        <v>-0.187</v>
      </c>
      <c r="S184" s="20" t="n">
        <v>-0.282</v>
      </c>
      <c r="T184" s="20" t="n">
        <v>-0.597</v>
      </c>
      <c r="U184" s="20" t="n">
        <v>-0.621</v>
      </c>
      <c r="V184" s="20" t="n">
        <v>-0.656</v>
      </c>
      <c r="W184" s="20" t="n">
        <v>-0.79</v>
      </c>
      <c r="X184" s="20" t="n">
        <v>-0.993</v>
      </c>
    </row>
    <row r="185">
      <c r="A185" s="18" t="inlineStr">
        <is>
          <t>신주예약권 환입이익</t>
        </is>
      </c>
      <c r="P185" s="20" t="n">
        <v>0</v>
      </c>
      <c r="Q185" s="20" t="n">
        <v>-0.997</v>
      </c>
      <c r="R185" s="20" t="n">
        <v>0</v>
      </c>
      <c r="S185" s="20" t="n">
        <v>-1.196</v>
      </c>
      <c r="T185" s="20" t="n">
        <v>-29.411</v>
      </c>
      <c r="U185" s="20" t="n">
        <v>0</v>
      </c>
    </row>
    <row r="186">
      <c r="A186" s="18" t="inlineStr">
        <is>
          <t>매출채권·계약자산 증감</t>
        </is>
      </c>
      <c r="C186" s="20" t="n">
        <v>69.389</v>
      </c>
      <c r="S186" s="20" t="n">
        <v>0</v>
      </c>
      <c r="T186" s="20" t="n">
        <v>-33.166</v>
      </c>
      <c r="U186" s="20" t="n">
        <v>-13.191</v>
      </c>
    </row>
    <row r="187">
      <c r="A187" s="18" t="inlineStr">
        <is>
          <t>보조금 수입</t>
        </is>
      </c>
      <c r="C187" s="20" t="n">
        <v>0</v>
      </c>
      <c r="E187" s="20" t="n">
        <v>0</v>
      </c>
      <c r="G187" s="20" t="n">
        <v>-32.934</v>
      </c>
      <c r="I187" s="20" t="n">
        <v>-60.581</v>
      </c>
      <c r="M187" s="20" t="n">
        <v>-15.088</v>
      </c>
      <c r="V187" s="20" t="n">
        <v>0</v>
      </c>
      <c r="W187" s="20" t="n">
        <v>-60.581</v>
      </c>
      <c r="X187" s="20" t="n">
        <v>-15.088</v>
      </c>
    </row>
    <row r="188">
      <c r="A188" s="18" t="inlineStr">
        <is>
          <t>외환차손익</t>
        </is>
      </c>
      <c r="E188" s="20" t="n">
        <v>-0.532</v>
      </c>
      <c r="I188" s="20" t="n">
        <v>0.057</v>
      </c>
      <c r="O188" s="20" t="n">
        <v>0.07199999999999999</v>
      </c>
      <c r="P188" s="20" t="n">
        <v>0.901</v>
      </c>
      <c r="Q188" s="20" t="n">
        <v>-0.72</v>
      </c>
      <c r="R188" s="20" t="n">
        <v>0.496</v>
      </c>
      <c r="S188" s="20" t="n">
        <v>-0.055</v>
      </c>
      <c r="T188" s="20" t="n">
        <v>-0.343</v>
      </c>
      <c r="U188" s="20" t="n">
        <v>-0.327</v>
      </c>
      <c r="V188" s="20" t="n">
        <v>-0.532</v>
      </c>
      <c r="W188" s="20" t="n">
        <v>0.057</v>
      </c>
    </row>
    <row r="189">
      <c r="A189" s="18" t="inlineStr">
        <is>
          <t>투자사업조합 운용 손익(△는 이익)</t>
        </is>
      </c>
      <c r="O189" s="20" t="n">
        <v>-12.072</v>
      </c>
      <c r="P189" s="20" t="n">
        <v>-2.711</v>
      </c>
      <c r="Q189" s="20" t="n">
        <v>0</v>
      </c>
    </row>
    <row r="190">
      <c r="A190" s="18" t="inlineStr">
        <is>
          <t>매출채권 증감</t>
        </is>
      </c>
      <c r="O190" s="20" t="n">
        <v>22.665</v>
      </c>
      <c r="P190" s="20" t="n">
        <v>19.563</v>
      </c>
      <c r="Q190" s="20" t="n">
        <v>-26.859</v>
      </c>
      <c r="R190" s="20" t="n">
        <v>-30.588</v>
      </c>
      <c r="S190" s="20" t="n">
        <v>53.425</v>
      </c>
      <c r="T190" s="20" t="n">
        <v>0</v>
      </c>
    </row>
    <row r="191">
      <c r="A191" s="18" t="inlineStr">
        <is>
          <t>매출채권·계약자산 증감</t>
        </is>
      </c>
      <c r="C191" s="20" t="n">
        <v>69.389</v>
      </c>
      <c r="E191" s="20" t="n">
        <v>15.626</v>
      </c>
      <c r="G191" s="20" t="n">
        <v>-31.832</v>
      </c>
      <c r="I191" s="20" t="n">
        <v>47.376</v>
      </c>
      <c r="K191" s="20" t="n">
        <v>-107.239</v>
      </c>
      <c r="M191" s="20" t="n">
        <v>-41.711</v>
      </c>
      <c r="U191" s="20" t="n">
        <v>-13.191</v>
      </c>
      <c r="V191" s="20" t="n">
        <v>15.626</v>
      </c>
      <c r="W191" s="20" t="n">
        <v>47.376</v>
      </c>
      <c r="X191" s="20" t="n">
        <v>-41.711</v>
      </c>
    </row>
    <row r="192">
      <c r="A192" s="18" t="inlineStr">
        <is>
          <t>재고자산 증감</t>
        </is>
      </c>
      <c r="C192" s="20" t="n">
        <v>-18.418</v>
      </c>
      <c r="E192" s="20" t="n">
        <v>-15.94</v>
      </c>
      <c r="G192" s="20" t="n">
        <v>59.31</v>
      </c>
      <c r="I192" s="20" t="n">
        <v>61.185</v>
      </c>
      <c r="K192" s="20" t="n">
        <v>-37.519</v>
      </c>
      <c r="M192" s="20" t="n">
        <v>-215.632</v>
      </c>
      <c r="O192" s="20" t="n">
        <v>-51.682</v>
      </c>
      <c r="P192" s="20" t="n">
        <v>9.670999999999999</v>
      </c>
      <c r="Q192" s="20" t="n">
        <v>16.409</v>
      </c>
      <c r="R192" s="20" t="n">
        <v>50.108</v>
      </c>
      <c r="S192" s="20" t="n">
        <v>17.561</v>
      </c>
      <c r="T192" s="20" t="n">
        <v>49.91</v>
      </c>
      <c r="U192" s="20" t="n">
        <v>-48.184</v>
      </c>
      <c r="V192" s="20" t="n">
        <v>-15.94</v>
      </c>
      <c r="W192" s="20" t="n">
        <v>61.185</v>
      </c>
      <c r="X192" s="20" t="n">
        <v>-215.632</v>
      </c>
    </row>
    <row r="193">
      <c r="A193" s="18" t="inlineStr">
        <is>
          <t>매입채무 증감</t>
        </is>
      </c>
      <c r="C193" s="20" t="n">
        <v>49.001</v>
      </c>
      <c r="E193" s="20" t="n">
        <v>31.182</v>
      </c>
      <c r="G193" s="20" t="n">
        <v>-43.486</v>
      </c>
      <c r="I193" s="20" t="n">
        <v>-27.929</v>
      </c>
      <c r="K193" s="20" t="n">
        <v>44.281</v>
      </c>
      <c r="M193" s="20" t="n">
        <v>65.55200000000001</v>
      </c>
      <c r="O193" s="20" t="n">
        <v>-3.27</v>
      </c>
      <c r="P193" s="20" t="n">
        <v>43.096</v>
      </c>
      <c r="Q193" s="20" t="n">
        <v>-49.251</v>
      </c>
      <c r="R193" s="20" t="n">
        <v>-35.402</v>
      </c>
      <c r="S193" s="20" t="n">
        <v>41.713</v>
      </c>
      <c r="T193" s="20" t="n">
        <v>-29.552</v>
      </c>
      <c r="U193" s="20" t="n">
        <v>-18.971</v>
      </c>
      <c r="V193" s="20" t="n">
        <v>31.182</v>
      </c>
      <c r="W193" s="20" t="n">
        <v>-27.929</v>
      </c>
      <c r="X193" s="20" t="n">
        <v>65.55200000000001</v>
      </c>
    </row>
    <row r="194">
      <c r="A194" s="18" t="inlineStr">
        <is>
          <t>선급금 증감</t>
        </is>
      </c>
      <c r="C194" s="20" t="n">
        <v>8.465</v>
      </c>
      <c r="E194" s="20" t="n">
        <v>-0.969</v>
      </c>
      <c r="G194" s="20" t="n">
        <v>4.342</v>
      </c>
      <c r="I194" s="20" t="n">
        <v>8.449999999999999</v>
      </c>
      <c r="K194" s="20" t="n">
        <v>-3.48</v>
      </c>
      <c r="M194" s="20" t="n">
        <v>-10.491</v>
      </c>
      <c r="O194" s="20" t="n">
        <v>-75.818</v>
      </c>
      <c r="P194" s="20" t="n">
        <v>51.082</v>
      </c>
      <c r="Q194" s="20" t="n">
        <v>2.179</v>
      </c>
      <c r="R194" s="20" t="n">
        <v>26.273</v>
      </c>
      <c r="S194" s="20" t="n">
        <v>0.314</v>
      </c>
      <c r="T194" s="20" t="n">
        <v>-11.653</v>
      </c>
      <c r="U194" s="20" t="n">
        <v>1.323</v>
      </c>
      <c r="V194" s="20" t="n">
        <v>-0.969</v>
      </c>
      <c r="W194" s="20" t="n">
        <v>8.449999999999999</v>
      </c>
      <c r="X194" s="20" t="n">
        <v>-10.491</v>
      </c>
    </row>
    <row r="195">
      <c r="A195" s="18" t="inlineStr">
        <is>
          <t>미수금 증감</t>
        </is>
      </c>
      <c r="C195" s="20" t="n">
        <v>0.679</v>
      </c>
      <c r="E195" s="20" t="n">
        <v>0.406</v>
      </c>
      <c r="G195" s="20" t="n">
        <v>0.27</v>
      </c>
      <c r="I195" s="20" t="n">
        <v>-0.036</v>
      </c>
      <c r="O195" s="20" t="n">
        <v>1.727</v>
      </c>
      <c r="P195" s="20" t="n">
        <v>3.247</v>
      </c>
      <c r="Q195" s="20" t="n">
        <v>-0.216</v>
      </c>
      <c r="R195" s="20" t="n">
        <v>0.424</v>
      </c>
      <c r="S195" s="20" t="n">
        <v>-1.107</v>
      </c>
      <c r="T195" s="20" t="n">
        <v>-0.927</v>
      </c>
      <c r="U195" s="20" t="n">
        <v>1.425</v>
      </c>
      <c r="V195" s="20" t="n">
        <v>0.406</v>
      </c>
      <c r="W195" s="20" t="n">
        <v>-0.036</v>
      </c>
    </row>
    <row r="196">
      <c r="A196" s="18" t="inlineStr">
        <is>
          <t>미지급금 증감</t>
        </is>
      </c>
      <c r="C196" s="20" t="n">
        <v>7.101</v>
      </c>
      <c r="E196" s="20" t="n">
        <v>13.554</v>
      </c>
      <c r="G196" s="20" t="n">
        <v>-8.417999999999999</v>
      </c>
      <c r="I196" s="20" t="n">
        <v>-3.776</v>
      </c>
      <c r="K196" s="20" t="n">
        <v>-2.24</v>
      </c>
      <c r="M196" s="20" t="n">
        <v>-6.198</v>
      </c>
      <c r="O196" s="20" t="n">
        <v>0.169</v>
      </c>
      <c r="P196" s="20" t="n">
        <v>0.866</v>
      </c>
      <c r="Q196" s="20" t="n">
        <v>-6.121</v>
      </c>
      <c r="R196" s="20" t="n">
        <v>-2.439</v>
      </c>
      <c r="S196" s="20" t="n">
        <v>7.738</v>
      </c>
      <c r="T196" s="20" t="n">
        <v>-4.267</v>
      </c>
      <c r="U196" s="20" t="n">
        <v>-5.227</v>
      </c>
      <c r="V196" s="20" t="n">
        <v>13.554</v>
      </c>
      <c r="W196" s="20" t="n">
        <v>-3.776</v>
      </c>
      <c r="X196" s="20" t="n">
        <v>-6.198</v>
      </c>
    </row>
    <row r="197">
      <c r="A197" s="18" t="inlineStr">
        <is>
          <t>선수금 증감</t>
        </is>
      </c>
      <c r="E197" s="20" t="n">
        <v>-10.856</v>
      </c>
      <c r="I197" s="20" t="n">
        <v>40.043</v>
      </c>
      <c r="M197" s="20" t="n">
        <v>60.024</v>
      </c>
      <c r="V197" s="20" t="n">
        <v>-10.856</v>
      </c>
      <c r="W197" s="20" t="n">
        <v>40.043</v>
      </c>
      <c r="X197" s="20" t="n">
        <v>60.024</v>
      </c>
    </row>
    <row r="198">
      <c r="A198" s="18" t="inlineStr">
        <is>
          <t>기타</t>
        </is>
      </c>
      <c r="C198" s="20" t="n">
        <v>-0.76</v>
      </c>
      <c r="E198" s="20" t="n">
        <v>5.911</v>
      </c>
      <c r="G198" s="20" t="n">
        <v>28.171</v>
      </c>
      <c r="I198" s="20" t="n">
        <v>11.573</v>
      </c>
      <c r="K198" s="20" t="n">
        <v>0.333</v>
      </c>
      <c r="M198" s="20" t="n">
        <v>-29.408</v>
      </c>
      <c r="O198" s="20" t="n">
        <v>11.952</v>
      </c>
      <c r="P198" s="20" t="n">
        <v>22.449</v>
      </c>
      <c r="Q198" s="20" t="n">
        <v>-19.884</v>
      </c>
      <c r="R198" s="20" t="n">
        <v>19.469</v>
      </c>
      <c r="S198" s="20" t="n">
        <v>-8.782</v>
      </c>
      <c r="T198" s="20" t="n">
        <v>-14.245</v>
      </c>
      <c r="U198" s="20" t="n">
        <v>7.985</v>
      </c>
      <c r="V198" s="20" t="n">
        <v>5.911</v>
      </c>
      <c r="W198" s="20" t="n">
        <v>11.573</v>
      </c>
      <c r="X198" s="20" t="n">
        <v>-29.408</v>
      </c>
    </row>
    <row r="199">
      <c r="A199" s="18" t="inlineStr">
        <is>
          <t>소계</t>
        </is>
      </c>
      <c r="C199" s="20" t="n">
        <v>48.534</v>
      </c>
      <c r="E199" s="20" t="n">
        <v>-61.483</v>
      </c>
      <c r="G199" s="20" t="n">
        <v>-23.845</v>
      </c>
      <c r="I199" s="20" t="n">
        <v>91.35299999999999</v>
      </c>
      <c r="K199" s="20" t="n">
        <v>-87.664</v>
      </c>
      <c r="M199" s="20" t="n">
        <v>-155.527</v>
      </c>
      <c r="O199" s="20" t="n">
        <v>-311.485</v>
      </c>
      <c r="P199" s="20" t="n">
        <v>46.266</v>
      </c>
      <c r="Q199" s="20" t="n">
        <v>-243.73</v>
      </c>
      <c r="R199" s="20" t="n">
        <v>-110.83</v>
      </c>
      <c r="S199" s="20" t="n">
        <v>-7.28</v>
      </c>
      <c r="T199" s="20" t="n">
        <v>-102.254</v>
      </c>
      <c r="U199" s="20" t="n">
        <v>-177.394</v>
      </c>
      <c r="V199" s="20" t="n">
        <v>-61.483</v>
      </c>
      <c r="W199" s="20" t="n">
        <v>91.35299999999999</v>
      </c>
      <c r="X199" s="20" t="n">
        <v>-155.527</v>
      </c>
    </row>
    <row r="200">
      <c r="A200" s="18" t="inlineStr">
        <is>
          <t>이자·배당금 수취</t>
        </is>
      </c>
      <c r="C200" s="20" t="n">
        <v>0.067</v>
      </c>
      <c r="E200" s="20" t="n">
        <v>0.656</v>
      </c>
      <c r="G200" s="20" t="n">
        <v>0.089</v>
      </c>
      <c r="I200" s="20" t="n">
        <v>0.79</v>
      </c>
      <c r="K200" s="20" t="n">
        <v>0.281</v>
      </c>
      <c r="M200" s="20" t="n">
        <v>0.993</v>
      </c>
      <c r="O200" s="20" t="n">
        <v>0.046</v>
      </c>
      <c r="P200" s="20" t="n">
        <v>0.039</v>
      </c>
      <c r="Q200" s="20" t="n">
        <v>0.116</v>
      </c>
      <c r="R200" s="20" t="n">
        <v>0.187</v>
      </c>
      <c r="S200" s="20" t="n">
        <v>0.282</v>
      </c>
      <c r="T200" s="20" t="n">
        <v>0.597</v>
      </c>
      <c r="U200" s="20" t="n">
        <v>0.621</v>
      </c>
      <c r="V200" s="20" t="n">
        <v>0.656</v>
      </c>
      <c r="W200" s="20" t="n">
        <v>0.79</v>
      </c>
      <c r="X200" s="20" t="n">
        <v>0.993</v>
      </c>
    </row>
    <row r="201">
      <c r="A201" s="18" t="inlineStr">
        <is>
          <t>보조금 수취</t>
        </is>
      </c>
      <c r="C201" s="20" t="n">
        <v>0</v>
      </c>
      <c r="E201" s="20" t="n">
        <v>0</v>
      </c>
      <c r="G201" s="20" t="n">
        <v>32.934</v>
      </c>
      <c r="I201" s="20" t="n">
        <v>60.581</v>
      </c>
      <c r="M201" s="20" t="n">
        <v>15.088</v>
      </c>
      <c r="V201" s="20" t="n">
        <v>0</v>
      </c>
      <c r="W201" s="20" t="n">
        <v>60.581</v>
      </c>
      <c r="X201" s="20" t="n">
        <v>15.088</v>
      </c>
    </row>
    <row r="202">
      <c r="A202" s="18" t="inlineStr">
        <is>
          <t>법인세 납부</t>
        </is>
      </c>
      <c r="C202" s="20" t="n">
        <v>-1.939</v>
      </c>
      <c r="E202" s="20" t="n">
        <v>-1.939</v>
      </c>
      <c r="G202" s="20" t="n">
        <v>-1.21</v>
      </c>
      <c r="I202" s="20" t="n">
        <v>-1.21</v>
      </c>
      <c r="K202" s="20" t="n">
        <v>-1.21</v>
      </c>
      <c r="M202" s="20" t="n">
        <v>-1.21</v>
      </c>
      <c r="O202" s="20" t="n">
        <v>-3.794</v>
      </c>
      <c r="P202" s="20" t="n">
        <v>-3.8</v>
      </c>
      <c r="Q202" s="20" t="n">
        <v>-3.8</v>
      </c>
      <c r="R202" s="20" t="n">
        <v>-3.8</v>
      </c>
      <c r="S202" s="20" t="n">
        <v>-5.05</v>
      </c>
      <c r="T202" s="20" t="n">
        <v>-2.46</v>
      </c>
      <c r="U202" s="20" t="n">
        <v>-2.46</v>
      </c>
      <c r="V202" s="20" t="n">
        <v>-1.939</v>
      </c>
      <c r="W202" s="20" t="n">
        <v>-1.21</v>
      </c>
      <c r="X202" s="20" t="n">
        <v>-1.21</v>
      </c>
    </row>
    <row r="203">
      <c r="A203" s="9" t="inlineStr">
        <is>
          <t>영업활동 현금흐름</t>
        </is>
      </c>
      <c r="C203" s="12" t="n">
        <v>46.662</v>
      </c>
      <c r="E203" s="12" t="n">
        <v>-62.766</v>
      </c>
      <c r="G203" s="12" t="n">
        <v>7.968</v>
      </c>
      <c r="I203" s="12" t="n">
        <v>151.515</v>
      </c>
      <c r="K203" s="12" t="n">
        <v>-88.593</v>
      </c>
      <c r="M203" s="12" t="n">
        <v>-140.655</v>
      </c>
      <c r="O203" s="12" t="n">
        <v>-315.233</v>
      </c>
      <c r="P203" s="12" t="n">
        <v>42.506</v>
      </c>
      <c r="Q203" s="12" t="n">
        <v>-247.413</v>
      </c>
      <c r="R203" s="12" t="n">
        <v>-114.442</v>
      </c>
      <c r="S203" s="12" t="n">
        <v>-12.047</v>
      </c>
      <c r="T203" s="12" t="n">
        <v>-104.117</v>
      </c>
      <c r="U203" s="12" t="n">
        <v>-179.233</v>
      </c>
      <c r="V203" s="12" t="n">
        <v>-62.766</v>
      </c>
      <c r="W203" s="12" t="n">
        <v>151.515</v>
      </c>
      <c r="X203" s="12" t="n">
        <v>-140.655</v>
      </c>
    </row>
    <row r="204">
      <c r="A204" s="18" t="inlineStr">
        <is>
          <t>Proceeds From Investment In Securities Inv CF</t>
        </is>
      </c>
      <c r="O204" s="20" t="n">
        <v>7.8</v>
      </c>
      <c r="P204" s="20" t="n">
        <v>17.851</v>
      </c>
      <c r="Q204" s="20" t="n">
        <v>0</v>
      </c>
    </row>
    <row r="205">
      <c r="A205" s="18" t="inlineStr">
        <is>
          <t>유형자산 취득(설비투자)</t>
        </is>
      </c>
      <c r="C205" s="20" t="n">
        <v>-3.436</v>
      </c>
      <c r="E205" s="20" t="n">
        <v>-4.852</v>
      </c>
      <c r="G205" s="20" t="n">
        <v>0</v>
      </c>
      <c r="I205" s="20" t="n">
        <v>-1.701</v>
      </c>
      <c r="M205" s="20" t="n">
        <v>-1.78</v>
      </c>
      <c r="O205" s="20" t="n">
        <v>-3.51</v>
      </c>
      <c r="P205" s="20" t="n">
        <v>-3.583</v>
      </c>
      <c r="Q205" s="20" t="n">
        <v>-0.221</v>
      </c>
      <c r="R205" s="20" t="n">
        <v>-2.844</v>
      </c>
      <c r="S205" s="20" t="n">
        <v>-2.1</v>
      </c>
      <c r="T205" s="20" t="n">
        <v>-4.012</v>
      </c>
      <c r="U205" s="20" t="n">
        <v>-4.22</v>
      </c>
      <c r="V205" s="20" t="n">
        <v>-4.852</v>
      </c>
      <c r="W205" s="20" t="n">
        <v>-1.701</v>
      </c>
      <c r="X205" s="20" t="n">
        <v>-1.78</v>
      </c>
    </row>
    <row r="206">
      <c r="A206" s="18" t="inlineStr">
        <is>
          <t>무형자산 취득</t>
        </is>
      </c>
      <c r="E206" s="20" t="n">
        <v>0</v>
      </c>
      <c r="R206" s="20" t="n">
        <v>0</v>
      </c>
      <c r="S206" s="20" t="n">
        <v>-1.3</v>
      </c>
      <c r="T206" s="20" t="n">
        <v>0</v>
      </c>
      <c r="U206" s="20" t="n">
        <v>-1.54</v>
      </c>
      <c r="V206" s="20" t="n">
        <v>0</v>
      </c>
    </row>
    <row r="207">
      <c r="A207" s="18" t="inlineStr">
        <is>
          <t>기타</t>
        </is>
      </c>
      <c r="C207" s="20" t="n">
        <v>0.423</v>
      </c>
      <c r="E207" s="20" t="n">
        <v>0.423</v>
      </c>
      <c r="G207" s="20" t="n">
        <v>0</v>
      </c>
      <c r="I207" s="20" t="n">
        <v>0</v>
      </c>
      <c r="M207" s="20" t="n">
        <v>-0.21</v>
      </c>
      <c r="O207" s="20" t="n">
        <v>-0.547</v>
      </c>
      <c r="P207" s="20" t="n">
        <v>0.169</v>
      </c>
      <c r="Q207" s="20" t="n">
        <v>-0.608</v>
      </c>
      <c r="R207" s="20" t="n">
        <v>0</v>
      </c>
      <c r="U207" s="20" t="n">
        <v>0</v>
      </c>
      <c r="V207" s="20" t="n">
        <v>0.423</v>
      </c>
      <c r="W207" s="20" t="n">
        <v>0</v>
      </c>
      <c r="X207" s="20" t="n">
        <v>-0.21</v>
      </c>
    </row>
    <row r="208">
      <c r="A208" s="9" t="inlineStr">
        <is>
          <t>투자활동 현금흐름</t>
        </is>
      </c>
      <c r="C208" s="12" t="n">
        <v>-3.013</v>
      </c>
      <c r="E208" s="12" t="n">
        <v>-4.429</v>
      </c>
      <c r="G208" s="12" t="n">
        <v>0</v>
      </c>
      <c r="I208" s="12" t="n">
        <v>-1.701</v>
      </c>
      <c r="M208" s="12" t="n">
        <v>-1.991</v>
      </c>
      <c r="O208" s="12" t="n">
        <v>3.742</v>
      </c>
      <c r="P208" s="12" t="n">
        <v>14.438</v>
      </c>
      <c r="Q208" s="12" t="n">
        <v>-0.83</v>
      </c>
      <c r="R208" s="12" t="n">
        <v>-2.844</v>
      </c>
      <c r="S208" s="12" t="n">
        <v>-3.4</v>
      </c>
      <c r="T208" s="12" t="n">
        <v>-4.012</v>
      </c>
      <c r="U208" s="12" t="n">
        <v>-5.76</v>
      </c>
      <c r="V208" s="12" t="n">
        <v>-4.429</v>
      </c>
      <c r="W208" s="12" t="n">
        <v>-1.701</v>
      </c>
      <c r="X208" s="12" t="n">
        <v>-1.991</v>
      </c>
    </row>
    <row r="209">
      <c r="A209" s="18" t="inlineStr">
        <is>
          <t>주식 발행</t>
        </is>
      </c>
      <c r="C209" s="20" t="n">
        <v>0</v>
      </c>
      <c r="E209" s="20" t="n">
        <v>0</v>
      </c>
      <c r="G209" s="20" t="n">
        <v>46.741</v>
      </c>
      <c r="I209" s="20" t="n">
        <v>46.741</v>
      </c>
      <c r="T209" s="20" t="n">
        <v>0</v>
      </c>
      <c r="U209" s="20" t="n">
        <v>99.922</v>
      </c>
      <c r="V209" s="20" t="n">
        <v>0</v>
      </c>
      <c r="W209" s="20" t="n">
        <v>46.741</v>
      </c>
    </row>
    <row r="210">
      <c r="A210" s="18" t="inlineStr">
        <is>
          <t>자기주식 매각</t>
        </is>
      </c>
      <c r="S210" s="20" t="n">
        <v>0</v>
      </c>
      <c r="T210" s="20" t="n">
        <v>98.94</v>
      </c>
      <c r="U210" s="20" t="n">
        <v>0</v>
      </c>
    </row>
    <row r="211">
      <c r="A211" s="9" t="inlineStr">
        <is>
          <t>재무활동 현금흐름</t>
        </is>
      </c>
      <c r="C211" s="12" t="n">
        <v>0</v>
      </c>
      <c r="E211" s="12" t="n">
        <v>0</v>
      </c>
      <c r="G211" s="12" t="n">
        <v>46.741</v>
      </c>
      <c r="I211" s="12" t="n">
        <v>46.741</v>
      </c>
      <c r="S211" s="12" t="n">
        <v>0</v>
      </c>
      <c r="T211" s="12" t="n">
        <v>98.94</v>
      </c>
      <c r="U211" s="12" t="n">
        <v>99.922</v>
      </c>
      <c r="V211" s="12" t="n">
        <v>0</v>
      </c>
      <c r="W211" s="12" t="n">
        <v>46.741</v>
      </c>
    </row>
    <row r="212">
      <c r="A212" s="18" t="inlineStr">
        <is>
          <t>현금성자산 환산차이</t>
        </is>
      </c>
      <c r="C212" s="20" t="n">
        <v>0.477</v>
      </c>
      <c r="E212" s="20" t="n">
        <v>0.532</v>
      </c>
      <c r="G212" s="20" t="n">
        <v>-0.266</v>
      </c>
      <c r="I212" s="20" t="n">
        <v>-0.057</v>
      </c>
      <c r="K212" s="20" t="n">
        <v>-0.019</v>
      </c>
      <c r="M212" s="20" t="n">
        <v>0.33</v>
      </c>
      <c r="O212" s="20" t="n">
        <v>-0.07199999999999999</v>
      </c>
      <c r="P212" s="20" t="n">
        <v>-0.901</v>
      </c>
      <c r="Q212" s="20" t="n">
        <v>0.72</v>
      </c>
      <c r="R212" s="20" t="n">
        <v>-0.496</v>
      </c>
      <c r="S212" s="20" t="n">
        <v>0.055</v>
      </c>
      <c r="T212" s="20" t="n">
        <v>0.343</v>
      </c>
      <c r="U212" s="20" t="n">
        <v>0.327</v>
      </c>
      <c r="V212" s="20" t="n">
        <v>0.532</v>
      </c>
      <c r="W212" s="20" t="n">
        <v>-0.057</v>
      </c>
      <c r="X212" s="20" t="n">
        <v>0.33</v>
      </c>
    </row>
    <row r="213">
      <c r="A213" s="18" t="inlineStr">
        <is>
          <t>현금성자산 증감</t>
        </is>
      </c>
      <c r="C213" s="20" t="n">
        <v>44.126</v>
      </c>
      <c r="E213" s="20" t="n">
        <v>-66.663</v>
      </c>
      <c r="G213" s="20" t="n">
        <v>54.443</v>
      </c>
      <c r="I213" s="20" t="n">
        <v>196.498</v>
      </c>
      <c r="K213" s="20" t="n">
        <v>-88.61199999999999</v>
      </c>
      <c r="M213" s="20" t="n">
        <v>-142.316</v>
      </c>
      <c r="O213" s="20" t="n">
        <v>-311.564</v>
      </c>
      <c r="P213" s="20" t="n">
        <v>56.044</v>
      </c>
      <c r="Q213" s="20" t="n">
        <v>-247.523</v>
      </c>
      <c r="R213" s="20" t="n">
        <v>-117.784</v>
      </c>
      <c r="S213" s="20" t="n">
        <v>-15.392</v>
      </c>
      <c r="T213" s="20" t="n">
        <v>-8.846</v>
      </c>
      <c r="U213" s="20" t="n">
        <v>-84.74299999999999</v>
      </c>
      <c r="V213" s="20" t="n">
        <v>-66.663</v>
      </c>
      <c r="W213" s="20" t="n">
        <v>196.498</v>
      </c>
      <c r="X213" s="20" t="n">
        <v>-142.316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6836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676.447</v>
      </c>
      <c r="D5" s="12" t="n">
        <v>737.921</v>
      </c>
      <c r="E5" s="12" t="n">
        <v>721.876</v>
      </c>
      <c r="F5" s="12" t="n">
        <v>811.224</v>
      </c>
      <c r="G5" s="12" t="n">
        <v>959.684</v>
      </c>
      <c r="H5" s="11" t="n">
        <v>705.71</v>
      </c>
      <c r="I5" s="12" t="n">
        <v>664.619</v>
      </c>
      <c r="J5" s="12" t="n">
        <v>596.102</v>
      </c>
      <c r="K5" s="12" t="n">
        <v>676.064</v>
      </c>
      <c r="L5" s="12" t="n">
        <v>811.224</v>
      </c>
    </row>
    <row r="6">
      <c r="A6" s="18" t="inlineStr">
        <is>
          <t>현금및현금성자산</t>
        </is>
      </c>
      <c r="B6" s="10" t="n"/>
      <c r="C6" s="19" t="n">
        <v>294.702</v>
      </c>
      <c r="D6" s="20" t="n">
        <v>266.41</v>
      </c>
      <c r="E6" s="20" t="n">
        <v>312.102</v>
      </c>
      <c r="F6" s="20" t="n">
        <v>212.706</v>
      </c>
      <c r="G6" s="20" t="n">
        <v>219.828</v>
      </c>
      <c r="H6" s="19" t="n">
        <v>309.931</v>
      </c>
      <c r="I6" s="20" t="n">
        <v>225.188</v>
      </c>
      <c r="J6" s="20" t="n">
        <v>158.524</v>
      </c>
      <c r="K6" s="20" t="n">
        <v>355.023</v>
      </c>
      <c r="L6" s="20" t="n">
        <v>212.706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/>
      <c r="D8" s="20" t="n">
        <v>212.713</v>
      </c>
      <c r="E8" s="20" t="n">
        <v>123.998</v>
      </c>
      <c r="F8" s="20" t="n">
        <v>147.186</v>
      </c>
      <c r="G8" s="20" t="n">
        <v>208.157</v>
      </c>
      <c r="H8" s="19" t="n">
        <v>0</v>
      </c>
      <c r="I8" s="20" t="n"/>
      <c r="J8" s="20" t="n"/>
      <c r="K8" s="20" t="n"/>
      <c r="L8" s="20" t="n">
        <v>147.186</v>
      </c>
    </row>
    <row r="9">
      <c r="A9" s="18" t="inlineStr">
        <is>
          <t>재고자산</t>
        </is>
      </c>
      <c r="B9" s="10" t="n"/>
      <c r="C9" s="19" t="n">
        <v>208.557</v>
      </c>
      <c r="D9" s="20" t="n">
        <v>239.79</v>
      </c>
      <c r="E9" s="20" t="n">
        <v>240.133</v>
      </c>
      <c r="F9" s="20" t="n">
        <v>417.902</v>
      </c>
      <c r="G9" s="20" t="n">
        <v>490.172</v>
      </c>
      <c r="H9" s="19" t="n">
        <v>199.331</v>
      </c>
      <c r="I9" s="20" t="n">
        <v>247.516</v>
      </c>
      <c r="J9" s="20" t="n">
        <v>263.456</v>
      </c>
      <c r="K9" s="20" t="n">
        <v>202.27</v>
      </c>
      <c r="L9" s="20" t="n">
        <v>417.902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49.147</v>
      </c>
      <c r="D11" s="12" t="n">
        <v>50.399</v>
      </c>
      <c r="E11" s="12" t="n">
        <v>50.818</v>
      </c>
      <c r="F11" s="12" t="n">
        <v>50.776</v>
      </c>
      <c r="G11" s="12" t="n">
        <v>51.601</v>
      </c>
      <c r="H11" s="11" t="n">
        <v>49.57</v>
      </c>
      <c r="I11" s="12" t="n">
        <v>49.147</v>
      </c>
      <c r="J11" s="12" t="n">
        <v>49.147</v>
      </c>
      <c r="K11" s="12" t="n">
        <v>49.147</v>
      </c>
      <c r="L11" s="12" t="n">
        <v>50.776</v>
      </c>
    </row>
    <row r="12">
      <c r="A12" s="18" t="inlineStr">
        <is>
          <t>유형자산</t>
        </is>
      </c>
      <c r="B12" s="10" t="n"/>
      <c r="C12" s="19" t="n"/>
      <c r="D12" s="20" t="n">
        <v>1.251</v>
      </c>
      <c r="E12" s="20" t="n">
        <v>1.466</v>
      </c>
      <c r="F12" s="20" t="n">
        <v>1.435</v>
      </c>
      <c r="G12" s="20" t="n">
        <v>1.461</v>
      </c>
      <c r="H12" s="19" t="n">
        <v>0</v>
      </c>
      <c r="I12" s="20" t="n">
        <v>0</v>
      </c>
      <c r="J12" s="20" t="n">
        <v>0</v>
      </c>
      <c r="K12" s="20" t="n">
        <v>0</v>
      </c>
      <c r="L12" s="20" t="n">
        <v>1.435</v>
      </c>
    </row>
    <row r="13">
      <c r="A13" s="18" t="inlineStr">
        <is>
          <t>무형자산</t>
        </is>
      </c>
      <c r="B13" s="10" t="n"/>
      <c r="C13" s="19" t="n"/>
      <c r="D13" s="20" t="n"/>
      <c r="E13" s="20" t="n">
        <v>0.203</v>
      </c>
      <c r="F13" s="20" t="n">
        <v>0.193</v>
      </c>
      <c r="G13" s="20" t="n">
        <v>0.182</v>
      </c>
      <c r="H13" s="19" t="n"/>
      <c r="I13" s="20" t="n"/>
      <c r="J13" s="20" t="n"/>
      <c r="K13" s="20" t="n"/>
      <c r="L13" s="20" t="n">
        <v>0.193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725.595</v>
      </c>
      <c r="D16" s="12" t="n">
        <v>788.3200000000001</v>
      </c>
      <c r="E16" s="12" t="n">
        <v>772.6950000000001</v>
      </c>
      <c r="F16" s="12" t="n">
        <v>862.001</v>
      </c>
      <c r="G16" s="12" t="n">
        <v>1011.286</v>
      </c>
      <c r="H16" s="11" t="n">
        <v>755.2809999999999</v>
      </c>
      <c r="I16" s="12" t="n">
        <v>713.7670000000001</v>
      </c>
      <c r="J16" s="12" t="n">
        <v>645.25</v>
      </c>
      <c r="K16" s="12" t="n">
        <v>725.212</v>
      </c>
      <c r="L16" s="12" t="n">
        <v>862.001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277.386</v>
      </c>
      <c r="D18" s="12" t="n">
        <v>315.872</v>
      </c>
      <c r="E18" s="12" t="n">
        <v>310.525</v>
      </c>
      <c r="F18" s="12" t="n">
        <v>379.422</v>
      </c>
      <c r="G18" s="12" t="n">
        <v>440.689</v>
      </c>
      <c r="H18" s="11" t="n">
        <v>246.88</v>
      </c>
      <c r="I18" s="12" t="n">
        <v>213.562</v>
      </c>
      <c r="J18" s="12" t="n">
        <v>251.106</v>
      </c>
      <c r="K18" s="12" t="n">
        <v>272.116</v>
      </c>
      <c r="L18" s="12" t="n">
        <v>379.422</v>
      </c>
    </row>
    <row r="19">
      <c r="A19" s="18" t="inlineStr">
        <is>
          <t>매입채무</t>
        </is>
      </c>
      <c r="B19" s="10" t="n"/>
      <c r="C19" s="19" t="n">
        <v>66.32899999999999</v>
      </c>
      <c r="D19" s="20" t="n">
        <v>115.047</v>
      </c>
      <c r="E19" s="20" t="n">
        <v>74.941</v>
      </c>
      <c r="F19" s="20" t="n">
        <v>136.318</v>
      </c>
      <c r="G19" s="20" t="n">
        <v>132.157</v>
      </c>
      <c r="H19" s="19" t="n">
        <v>86.48399999999999</v>
      </c>
      <c r="I19" s="20" t="n">
        <v>67.512</v>
      </c>
      <c r="J19" s="20" t="n">
        <v>98.69499999999999</v>
      </c>
      <c r="K19" s="20" t="n">
        <v>70.76600000000001</v>
      </c>
      <c r="L19" s="20" t="n">
        <v>136.318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>
        <v>0</v>
      </c>
      <c r="G21" s="20" t="n">
        <v>26.676</v>
      </c>
      <c r="H21" s="19" t="n"/>
      <c r="I21" s="20" t="n"/>
      <c r="J21" s="20" t="n"/>
      <c r="K21" s="20" t="n"/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36.88</v>
      </c>
      <c r="D23" s="12" t="n">
        <v>37.376</v>
      </c>
      <c r="E23" s="12" t="n">
        <v>36.537</v>
      </c>
      <c r="F23" s="12" t="n">
        <v>37.011</v>
      </c>
      <c r="G23" s="12" t="n">
        <v>90.83799999999999</v>
      </c>
      <c r="H23" s="11" t="n">
        <v>40.74</v>
      </c>
      <c r="I23" s="12" t="n">
        <v>36.442</v>
      </c>
      <c r="J23" s="12" t="n">
        <v>37.456</v>
      </c>
      <c r="K23" s="12" t="n">
        <v>36.384</v>
      </c>
      <c r="L23" s="12" t="n">
        <v>37.011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>
        <v>0</v>
      </c>
      <c r="G24" s="20" t="n">
        <v>53.324</v>
      </c>
      <c r="H24" s="19" t="n"/>
      <c r="I24" s="20" t="n"/>
      <c r="J24" s="20" t="n"/>
      <c r="K24" s="20" t="n"/>
      <c r="L24" s="20" t="n">
        <v>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314.266</v>
      </c>
      <c r="D27" s="12" t="n">
        <v>353.249</v>
      </c>
      <c r="E27" s="12" t="n">
        <v>347.063</v>
      </c>
      <c r="F27" s="12" t="n">
        <v>416.433</v>
      </c>
      <c r="G27" s="12" t="n">
        <v>531.527</v>
      </c>
      <c r="H27" s="11" t="n">
        <v>287.62</v>
      </c>
      <c r="I27" s="12" t="n">
        <v>250.004</v>
      </c>
      <c r="J27" s="12" t="n">
        <v>288.562</v>
      </c>
      <c r="K27" s="12" t="n">
        <v>308.501</v>
      </c>
      <c r="L27" s="12" t="n">
        <v>416.433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409.513</v>
      </c>
      <c r="D31" s="12" t="n">
        <v>431.953</v>
      </c>
      <c r="E31" s="12" t="n">
        <v>420.318</v>
      </c>
      <c r="F31" s="12" t="n">
        <v>438.104</v>
      </c>
      <c r="G31" s="12" t="n">
        <v>470.124</v>
      </c>
      <c r="H31" s="11" t="n">
        <v>467.66</v>
      </c>
      <c r="I31" s="12" t="n">
        <v>463.762</v>
      </c>
      <c r="J31" s="12" t="n">
        <v>356.687</v>
      </c>
      <c r="K31" s="12" t="n">
        <v>415.476</v>
      </c>
      <c r="L31" s="12" t="n">
        <v>438.104</v>
      </c>
    </row>
    <row r="32">
      <c r="A32" s="18" t="inlineStr">
        <is>
          <t>자본금</t>
        </is>
      </c>
      <c r="B32" s="10" t="n"/>
      <c r="C32" s="19" t="n">
        <v>100</v>
      </c>
      <c r="D32" s="20" t="n">
        <v>100</v>
      </c>
      <c r="E32" s="20" t="n">
        <v>100</v>
      </c>
      <c r="F32" s="20" t="n">
        <v>100</v>
      </c>
      <c r="G32" s="20" t="n">
        <v>100</v>
      </c>
      <c r="H32" s="19" t="n">
        <v>100</v>
      </c>
      <c r="I32" s="20" t="n">
        <v>100</v>
      </c>
      <c r="J32" s="20" t="n">
        <v>100</v>
      </c>
      <c r="K32" s="20" t="n">
        <v>100</v>
      </c>
      <c r="L32" s="20" t="n">
        <v>100</v>
      </c>
    </row>
    <row r="33">
      <c r="A33" s="18" t="inlineStr">
        <is>
          <t>이익잉여금</t>
        </is>
      </c>
      <c r="B33" s="10" t="n"/>
      <c r="C33" s="19" t="n">
        <v>-238.433</v>
      </c>
      <c r="D33" s="20" t="n">
        <v>-215.994</v>
      </c>
      <c r="E33" s="20" t="n">
        <v>-227.629</v>
      </c>
      <c r="F33" s="20" t="n">
        <v>-209.843</v>
      </c>
      <c r="G33" s="20" t="n">
        <v>-177.823</v>
      </c>
      <c r="H33" s="19" t="n">
        <v>-33.621</v>
      </c>
      <c r="I33" s="20" t="n">
        <v>-137.442</v>
      </c>
      <c r="J33" s="20" t="n">
        <v>-244.517</v>
      </c>
      <c r="K33" s="20" t="n">
        <v>-232.471</v>
      </c>
      <c r="L33" s="20" t="n">
        <v>-209.843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411.328</v>
      </c>
      <c r="D35" s="12" t="n">
        <v>435.071</v>
      </c>
      <c r="E35" s="12" t="n">
        <v>425.632</v>
      </c>
      <c r="F35" s="12" t="n">
        <v>445.567</v>
      </c>
      <c r="G35" s="12" t="n">
        <v>479.759</v>
      </c>
      <c r="H35" s="11" t="n">
        <v>467.66</v>
      </c>
      <c r="I35" s="12" t="n">
        <v>463.762</v>
      </c>
      <c r="J35" s="12" t="n">
        <v>356.687</v>
      </c>
      <c r="K35" s="12" t="n">
        <v>416.711</v>
      </c>
      <c r="L35" s="12" t="n">
        <v>445.567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54.954</v>
      </c>
      <c r="E37" s="12" t="n"/>
      <c r="F37" s="12" t="n">
        <v>-140.655</v>
      </c>
      <c r="G37" s="12" t="n"/>
      <c r="H37" s="11" t="n">
        <v>-104.117</v>
      </c>
      <c r="I37" s="12" t="n">
        <v>-179.233</v>
      </c>
      <c r="J37" s="12" t="n">
        <v>-62.766</v>
      </c>
      <c r="K37" s="12" t="n">
        <v>151.515</v>
      </c>
      <c r="L37" s="12" t="n">
        <v>-140.655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1.78</v>
      </c>
      <c r="G38" s="20" t="n"/>
      <c r="H38" s="19" t="n">
        <v>4.012</v>
      </c>
      <c r="I38" s="20" t="n">
        <v>5.76</v>
      </c>
      <c r="J38" s="20" t="n">
        <v>4.852</v>
      </c>
      <c r="K38" s="20" t="n">
        <v>1.701</v>
      </c>
      <c r="L38" s="20" t="n">
        <v>1.78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IFERROR(IF((IF(COUNT('연간'!G52:J52)&lt;4,"",SUM('연간'!G52:J52)))&lt;=0,"적자",C28/(IF(COUNT('연간'!G52:J52)&lt;4,"",SUM('연간'!G52:J52)))),"")</f>
        <v/>
      </c>
      <c r="D49" s="47">
        <f>IFERROR(IF((IF(COUNT('연간'!H52:K52)&lt;4,"",SUM('연간'!H52:K52)))&lt;=0,"적자",D28/(IF(COUNT('연간'!H52:K52)&lt;4,"",SUM('연간'!H52:K52)))),"")</f>
        <v/>
      </c>
      <c r="E49" s="47">
        <f>IFERROR(IF((IF(COUNT('연간'!I52:L52)&lt;4,"",SUM('연간'!I52:L52)))&lt;=0,"적자",E28/(IF(COUNT('연간'!I52:L52)&lt;4,"",SUM('연간'!I52:L52)))),"")</f>
        <v/>
      </c>
      <c r="F49" s="47">
        <f>IFERROR(IF((IF(COUNT('연간'!J52:M52)&lt;4,"",SUM('연간'!J52:M52)))&lt;=0,"적자",F28/(IF(COUNT('연간'!J52:M52)&lt;4,"",SUM('연간'!J52:M52)))),"")</f>
        <v/>
      </c>
      <c r="G49" s="47">
        <f>IFERROR(IF((IF(COUNT('연간'!K52:N52)&lt;4,"",SUM('연간'!K52:N52)))&lt;=0,"적자",G28/(IF(COUNT('연간'!K52:N52)&lt;4,"",SUM('연간'!K52:N52)))),"")</f>
        <v/>
      </c>
      <c r="H49" s="46">
        <f>IFERROR(IF(('연간'!T52)&lt;=0,"적자",H28/('연간'!T52)),"")</f>
        <v/>
      </c>
      <c r="I49" s="47">
        <f>IFERROR(IF(('연간'!U52)&lt;=0,"적자",I28/('연간'!U52)),"")</f>
        <v/>
      </c>
      <c r="J49" s="47">
        <f>IFERROR(IF(('연간'!V52)&lt;=0,"적자",J28/('연간'!V52)),"")</f>
        <v/>
      </c>
      <c r="K49" s="47">
        <f>IFERROR(IF(('연간'!W52)&lt;=0,"적자",K28/('연간'!W52)),"")</f>
        <v/>
      </c>
      <c r="L49" s="47">
        <f>IFERROR(IF(('연간'!X52)&lt;=0,"적자",L28/('연간'!X52)),"")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IFERROR((IF(COUNT('연간'!G52:J52)&lt;4,"",SUM('연간'!G52:J52)))/C31,"")</f>
        <v/>
      </c>
      <c r="D51" s="36">
        <f>IFERROR((IF(COUNT('연간'!H52:K52)&lt;4,"",SUM('연간'!H52:K52)))/D31,"")</f>
        <v/>
      </c>
      <c r="E51" s="36">
        <f>IFERROR((IF(COUNT('연간'!I52:L52)&lt;4,"",SUM('연간'!I52:L52)))/E31,"")</f>
        <v/>
      </c>
      <c r="F51" s="36">
        <f>IFERROR((IF(COUNT('연간'!J52:M52)&lt;4,"",SUM('연간'!J52:M52)))/F31,"")</f>
        <v/>
      </c>
      <c r="G51" s="36">
        <f>IFERROR((IF(COUNT('연간'!K52:N52)&lt;4,"",SUM('연간'!K52:N52)))/G31,"")</f>
        <v/>
      </c>
      <c r="H51" s="35">
        <f>IFERROR(('연간'!T52)/H31,"")</f>
        <v/>
      </c>
      <c r="I51" s="36">
        <f>IFERROR(('연간'!U52)/I31,"")</f>
        <v/>
      </c>
      <c r="J51" s="36">
        <f>IFERROR(('연간'!V52)/J31,"")</f>
        <v/>
      </c>
      <c r="K51" s="36">
        <f>IFERROR(('연간'!W52)/K31,"")</f>
        <v/>
      </c>
      <c r="L51" s="36">
        <f>IFERROR(('연간'!X52)/L31,"")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IFERROR((IF(COUNT('연간'!G50:J50)&lt;4,"",SUM('연간'!G50:J50)))/C16,"")</f>
        <v/>
      </c>
      <c r="D52" s="36">
        <f>IFERROR((IF(COUNT('연간'!H50:K50)&lt;4,"",SUM('연간'!H50:K50)))/D16,"")</f>
        <v/>
      </c>
      <c r="E52" s="36">
        <f>IFERROR((IF(COUNT('연간'!I50:L50)&lt;4,"",SUM('연간'!I50:L50)))/E16,"")</f>
        <v/>
      </c>
      <c r="F52" s="36">
        <f>IFERROR((IF(COUNT('연간'!J50:M50)&lt;4,"",SUM('연간'!J50:M50)))/F16,"")</f>
        <v/>
      </c>
      <c r="G52" s="36">
        <f>IFERROR((IF(COUNT('연간'!K50:N50)&lt;4,"",SUM('연간'!K50:N50)))/G16,"")</f>
        <v/>
      </c>
      <c r="H52" s="35">
        <f>IFERROR(('연간'!T50)/H16,"")</f>
        <v/>
      </c>
      <c r="I52" s="36">
        <f>IFERROR(('연간'!U50)/I16,"")</f>
        <v/>
      </c>
      <c r="J52" s="36">
        <f>IFERROR(('연간'!V50)/J16,"")</f>
        <v/>
      </c>
      <c r="K52" s="36">
        <f>IFERROR(('연간'!W50)/K16,"")</f>
        <v/>
      </c>
      <c r="L52" s="36">
        <f>IFERROR(('연간'!X50)/L16,"")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IFERROR((IF(COUNT('연간'!G16:J16)&lt;4,"",SUM('연간'!G16:J16)))/(IF(COUNT('연간'!G4:J4)&lt;4,"",SUM('연간'!G4:J4))),"")</f>
        <v/>
      </c>
      <c r="D54" s="36">
        <f>IFERROR((IF(COUNT('연간'!H16:K16)&lt;4,"",SUM('연간'!H16:K16)))/(IF(COUNT('연간'!H4:K4)&lt;4,"",SUM('연간'!H4:K4))),"")</f>
        <v/>
      </c>
      <c r="E54" s="36">
        <f>IFERROR((IF(COUNT('연간'!I16:L16)&lt;4,"",SUM('연간'!I16:L16)))/(IF(COUNT('연간'!I4:L4)&lt;4,"",SUM('연간'!I4:L4))),"")</f>
        <v/>
      </c>
      <c r="F54" s="36">
        <f>IFERROR((IF(COUNT('연간'!J16:M16)&lt;4,"",SUM('연간'!J16:M16)))/(IF(COUNT('연간'!J4:M4)&lt;4,"",SUM('연간'!J4:M4))),"")</f>
        <v/>
      </c>
      <c r="G54" s="36">
        <f>IFERROR((IF(COUNT('연간'!K16:N16)&lt;4,"",SUM('연간'!K16:N16)))/(IF(COUNT('연간'!K4:N4)&lt;4,"",SUM('연간'!K4:N4))),"")</f>
        <v/>
      </c>
      <c r="H54" s="35">
        <f>IFERROR(('연간'!T16)/('연간'!T4),"")</f>
        <v/>
      </c>
      <c r="I54" s="36">
        <f>IFERROR(('연간'!U16)/('연간'!U4),"")</f>
        <v/>
      </c>
      <c r="J54" s="36">
        <f>IFERROR(('연간'!V16)/('연간'!V4),"")</f>
        <v/>
      </c>
      <c r="K54" s="36">
        <f>IFERROR(('연간'!W16)/('연간'!W4),"")</f>
        <v/>
      </c>
      <c r="L54" s="36">
        <f>IFERROR(('연간'!X16)/('연간'!X4),"")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IFERROR((IF(COUNT('연간'!G50:J50)&lt;4,"",SUM('연간'!G50:J50)))/(IF(COUNT('연간'!G4:J4)&lt;4,"",SUM('연간'!G4:J4))),"")</f>
        <v/>
      </c>
      <c r="D56" s="36">
        <f>IFERROR((IF(COUNT('연간'!H50:K50)&lt;4,"",SUM('연간'!H50:K50)))/(IF(COUNT('연간'!H4:K4)&lt;4,"",SUM('연간'!H4:K4))),"")</f>
        <v/>
      </c>
      <c r="E56" s="36">
        <f>IFERROR((IF(COUNT('연간'!I50:L50)&lt;4,"",SUM('연간'!I50:L50)))/(IF(COUNT('연간'!I4:L4)&lt;4,"",SUM('연간'!I4:L4))),"")</f>
        <v/>
      </c>
      <c r="F56" s="36">
        <f>IFERROR((IF(COUNT('연간'!J50:M50)&lt;4,"",SUM('연간'!J50:M50)))/(IF(COUNT('연간'!J4:M4)&lt;4,"",SUM('연간'!J4:M4))),"")</f>
        <v/>
      </c>
      <c r="G56" s="36">
        <f>IFERROR((IF(COUNT('연간'!K50:N50)&lt;4,"",SUM('연간'!K50:N50)))/(IF(COUNT('연간'!K4:N4)&lt;4,"",SUM('연간'!K4:N4))),"")</f>
        <v/>
      </c>
      <c r="H56" s="35">
        <f>IFERROR(('연간'!T50)/('연간'!T4),"")</f>
        <v/>
      </c>
      <c r="I56" s="36">
        <f>IFERROR(('연간'!U50)/('연간'!U4),"")</f>
        <v/>
      </c>
      <c r="J56" s="36">
        <f>IFERROR(('연간'!V50)/('연간'!V4),"")</f>
        <v/>
      </c>
      <c r="K56" s="36">
        <f>IFERROR(('연간'!W50)/('연간'!W4),"")</f>
        <v/>
      </c>
      <c r="L56" s="36">
        <f>IFERROR(('연간'!X50)/('연간'!X4),"")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IF(C37="","",IFERROR(C37/(IF(COUNT('연간'!G50:J50)&lt;4,"",SUM('연간'!G50:J50))),""))</f>
        <v/>
      </c>
      <c r="D64" s="31">
        <f>IF(D37="","",IFERROR(D37/(IF(COUNT('연간'!H50:K50)&lt;4,"",SUM('연간'!H50:K50))),""))</f>
        <v/>
      </c>
      <c r="E64" s="31">
        <f>IF(E37="","",IFERROR(E37/(IF(COUNT('연간'!I50:L50)&lt;4,"",SUM('연간'!I50:L50))),""))</f>
        <v/>
      </c>
      <c r="F64" s="31">
        <f>IF(F37="","",IFERROR(F37/(IF(COUNT('연간'!J50:M50)&lt;4,"",SUM('연간'!J50:M50))),""))</f>
        <v/>
      </c>
      <c r="G64" s="31">
        <f>IF(G37="","",IFERROR(G37/(IF(COUNT('연간'!K50:N50)&lt;4,"",SUM('연간'!K50:N50))),""))</f>
        <v/>
      </c>
      <c r="H64" s="30">
        <f>IF(H37="","",IFERROR(H37/('연간'!T50),""))</f>
        <v/>
      </c>
      <c r="I64" s="31">
        <f>IF(I37="","",IFERROR(I37/('연간'!U50),""))</f>
        <v/>
      </c>
      <c r="J64" s="31">
        <f>IF(J37="","",IFERROR(J37/('연간'!V50),""))</f>
        <v/>
      </c>
      <c r="K64" s="31">
        <f>IF(K37="","",IFERROR(K37/('연간'!W50),""))</f>
        <v/>
      </c>
      <c r="L64" s="31">
        <f>IF(L37="","",IFERROR(L37/('연간'!X50),""))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IF(C40="","",IFERROR(C40/(IF(COUNT('연간'!G52:J52)&lt;4,"",SUM('연간'!G52:J52))),""))</f>
        <v/>
      </c>
      <c r="D67" s="36">
        <f>IF(D40="","",IFERROR(D40/(IF(COUNT('연간'!H52:K52)&lt;4,"",SUM('연간'!H52:K52))),""))</f>
        <v/>
      </c>
      <c r="E67" s="36">
        <f>IF(E40="","",IFERROR(E40/(IF(COUNT('연간'!I52:L52)&lt;4,"",SUM('연간'!I52:L52))),""))</f>
        <v/>
      </c>
      <c r="F67" s="36">
        <f>IF(F40="","",IFERROR(F40/(IF(COUNT('연간'!J52:M52)&lt;4,"",SUM('연간'!J52:M52))),""))</f>
        <v/>
      </c>
      <c r="G67" s="36">
        <f>IF(G40="","",IFERROR(G40/(IF(COUNT('연간'!K52:N52)&lt;4,"",SUM('연간'!K52:N52))),""))</f>
        <v/>
      </c>
      <c r="H67" s="35">
        <f>IF(H40="","",IFERROR(H40/('연간'!T52),""))</f>
        <v/>
      </c>
      <c r="I67" s="36">
        <f>IF(I40="","",IFERROR(I40/('연간'!U52),""))</f>
        <v/>
      </c>
      <c r="J67" s="36">
        <f>IF(J40="","",IFERROR(J40/('연간'!V52),""))</f>
        <v/>
      </c>
      <c r="K67" s="36">
        <f>IF(K40="","",IFERROR(K40/('연간'!W52),""))</f>
        <v/>
      </c>
      <c r="L67" s="36">
        <f>IF(L40="","",IFERROR(L40/('연간'!X52),""))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294.702</v>
      </c>
      <c r="D71" s="20" t="n">
        <v>266.41</v>
      </c>
      <c r="E71" s="20" t="n">
        <v>312.102</v>
      </c>
      <c r="F71" s="20" t="n">
        <v>212.706</v>
      </c>
      <c r="G71" s="20" t="n">
        <v>219.828</v>
      </c>
      <c r="H71" s="20" t="n">
        <v>309.931</v>
      </c>
      <c r="I71" s="20" t="n">
        <v>225.188</v>
      </c>
      <c r="J71" s="20" t="n">
        <v>158.524</v>
      </c>
      <c r="K71" s="20" t="n">
        <v>355.023</v>
      </c>
      <c r="L71" s="20" t="n">
        <v>212.706</v>
      </c>
    </row>
    <row r="72">
      <c r="A72" s="18" t="inlineStr">
        <is>
          <t>매출채권</t>
        </is>
      </c>
      <c r="H72" s="20" t="n">
        <v>0</v>
      </c>
    </row>
    <row r="73">
      <c r="A73" s="18" t="inlineStr">
        <is>
          <t>매출채권·계약자산</t>
        </is>
      </c>
      <c r="C73" s="20" t="n">
        <v>147.868</v>
      </c>
      <c r="H73" s="20" t="n">
        <v>155.285</v>
      </c>
      <c r="I73" s="20" t="n">
        <v>168.477</v>
      </c>
      <c r="J73" s="20" t="n">
        <v>152.851</v>
      </c>
      <c r="K73" s="20" t="n">
        <v>105.474</v>
      </c>
    </row>
    <row r="74">
      <c r="A74" s="18" t="inlineStr">
        <is>
          <t>매출채권·계약자산</t>
        </is>
      </c>
      <c r="D74" s="20" t="n">
        <v>212.713</v>
      </c>
      <c r="E74" s="20" t="n">
        <v>123.998</v>
      </c>
      <c r="F74" s="20" t="n">
        <v>147.186</v>
      </c>
      <c r="G74" s="20" t="n">
        <v>208.157</v>
      </c>
      <c r="L74" s="20" t="n">
        <v>147.186</v>
      </c>
    </row>
    <row r="75">
      <c r="A75" s="18" t="inlineStr">
        <is>
          <t>상품·제품</t>
        </is>
      </c>
      <c r="C75" s="20" t="n">
        <v>36.799</v>
      </c>
      <c r="D75" s="20" t="n">
        <v>25.636</v>
      </c>
      <c r="E75" s="20" t="n">
        <v>30.915</v>
      </c>
      <c r="F75" s="20" t="n">
        <v>59.076</v>
      </c>
      <c r="G75" s="20" t="n">
        <v>103.831</v>
      </c>
      <c r="H75" s="20" t="n">
        <v>18.541</v>
      </c>
      <c r="I75" s="20" t="n">
        <v>20.026</v>
      </c>
      <c r="J75" s="20" t="n">
        <v>19.168</v>
      </c>
      <c r="K75" s="20" t="n">
        <v>26.051</v>
      </c>
      <c r="L75" s="20" t="n">
        <v>59.076</v>
      </c>
    </row>
    <row r="76">
      <c r="A76" s="18" t="inlineStr">
        <is>
          <t>재공품</t>
        </is>
      </c>
      <c r="F76" s="20" t="n">
        <v>0.036</v>
      </c>
      <c r="G76" s="20" t="n">
        <v>0.017</v>
      </c>
      <c r="H76" s="20" t="n">
        <v>0.262</v>
      </c>
      <c r="I76" s="20" t="n">
        <v>0</v>
      </c>
      <c r="J76" s="20" t="n">
        <v>0</v>
      </c>
      <c r="L76" s="20" t="n">
        <v>0.036</v>
      </c>
    </row>
    <row r="77">
      <c r="A77" s="18" t="inlineStr">
        <is>
          <t>원재료</t>
        </is>
      </c>
      <c r="C77" s="20" t="n">
        <v>171.758</v>
      </c>
      <c r="D77" s="20" t="n">
        <v>214.154</v>
      </c>
      <c r="E77" s="20" t="n">
        <v>209.218</v>
      </c>
      <c r="F77" s="20" t="n">
        <v>358.79</v>
      </c>
      <c r="G77" s="20" t="n">
        <v>386.324</v>
      </c>
      <c r="H77" s="20" t="n">
        <v>180.528</v>
      </c>
      <c r="I77" s="20" t="n">
        <v>227.49</v>
      </c>
      <c r="J77" s="20" t="n">
        <v>244.288</v>
      </c>
      <c r="K77" s="20" t="n">
        <v>176.219</v>
      </c>
      <c r="L77" s="20" t="n">
        <v>358.79</v>
      </c>
    </row>
    <row r="78">
      <c r="A78" s="18" t="inlineStr">
        <is>
          <t>선급금</t>
        </is>
      </c>
      <c r="H78" s="20" t="n">
        <v>12.216</v>
      </c>
      <c r="I78" s="20" t="n">
        <v>10.892</v>
      </c>
      <c r="J78" s="20" t="n">
        <v>11.862</v>
      </c>
      <c r="K78" s="20" t="n">
        <v>3.411</v>
      </c>
    </row>
    <row r="79">
      <c r="A79" s="18" t="inlineStr">
        <is>
          <t>선급비용</t>
        </is>
      </c>
      <c r="H79" s="20" t="n">
        <v>8.122999999999999</v>
      </c>
      <c r="I79" s="20" t="n">
        <v>8.547000000000001</v>
      </c>
      <c r="J79" s="20" t="n">
        <v>8.723000000000001</v>
      </c>
      <c r="K79" s="20" t="n">
        <v>9.026999999999999</v>
      </c>
    </row>
    <row r="80">
      <c r="A80" s="18" t="inlineStr">
        <is>
          <t>기타</t>
        </is>
      </c>
      <c r="C80" s="20" t="n">
        <v>25.317</v>
      </c>
      <c r="D80" s="20" t="n">
        <v>19.006</v>
      </c>
      <c r="E80" s="20" t="n">
        <v>45.642</v>
      </c>
      <c r="F80" s="20" t="n">
        <v>33.428</v>
      </c>
      <c r="G80" s="20" t="n">
        <v>41.525</v>
      </c>
      <c r="H80" s="20" t="n">
        <v>20.82</v>
      </c>
      <c r="I80" s="20" t="n">
        <v>3.997</v>
      </c>
      <c r="J80" s="20" t="n">
        <v>0.6830000000000001</v>
      </c>
      <c r="K80" s="20" t="n">
        <v>13.295</v>
      </c>
      <c r="L80" s="20" t="n">
        <v>33.428</v>
      </c>
    </row>
    <row r="81">
      <c r="A81" s="9" t="inlineStr">
        <is>
          <t>유동자산 합계</t>
        </is>
      </c>
      <c r="C81" s="12" t="n">
        <v>676.447</v>
      </c>
      <c r="D81" s="12" t="n">
        <v>737.921</v>
      </c>
      <c r="E81" s="12" t="n">
        <v>721.876</v>
      </c>
      <c r="F81" s="12" t="n">
        <v>811.224</v>
      </c>
      <c r="G81" s="12" t="n">
        <v>959.684</v>
      </c>
      <c r="H81" s="12" t="n">
        <v>705.71</v>
      </c>
      <c r="I81" s="12" t="n">
        <v>664.619</v>
      </c>
      <c r="J81" s="12" t="n">
        <v>596.102</v>
      </c>
      <c r="K81" s="12" t="n">
        <v>676.064</v>
      </c>
      <c r="L81" s="12" t="n">
        <v>811.224</v>
      </c>
    </row>
    <row r="82">
      <c r="A82" s="18" t="inlineStr">
        <is>
          <t>공구·기구·비품</t>
        </is>
      </c>
      <c r="H82" s="20" t="n">
        <v>9.946999999999999</v>
      </c>
      <c r="I82" s="20" t="n">
        <v>9.837999999999999</v>
      </c>
      <c r="J82" s="20" t="n">
        <v>9.550000000000001</v>
      </c>
      <c r="K82" s="20" t="n">
        <v>9.116</v>
      </c>
    </row>
    <row r="83">
      <c r="A83" s="18" t="inlineStr">
        <is>
          <t>감가상각누계액</t>
        </is>
      </c>
      <c r="H83" s="20" t="n">
        <v>-9.946999999999999</v>
      </c>
      <c r="I83" s="20" t="n">
        <v>-9.837999999999999</v>
      </c>
      <c r="J83" s="20" t="n">
        <v>-9.550000000000001</v>
      </c>
      <c r="K83" s="20" t="n">
        <v>-9.116</v>
      </c>
    </row>
    <row r="84">
      <c r="A84" s="18" t="inlineStr">
        <is>
          <t>공구·기구·비품(순액)</t>
        </is>
      </c>
      <c r="H84" s="20" t="n">
        <v>0</v>
      </c>
      <c r="I84" s="20" t="n">
        <v>0</v>
      </c>
      <c r="J84" s="20" t="n">
        <v>0</v>
      </c>
      <c r="K84" s="20" t="n">
        <v>0</v>
      </c>
    </row>
    <row r="85">
      <c r="A85" s="18" t="inlineStr">
        <is>
          <t>기타</t>
        </is>
      </c>
      <c r="F85" s="20" t="n">
        <v>8.746</v>
      </c>
      <c r="L85" s="20" t="n">
        <v>8.746</v>
      </c>
    </row>
    <row r="86">
      <c r="A86" s="18" t="inlineStr">
        <is>
          <t>감가상각누계액</t>
        </is>
      </c>
      <c r="F86" s="20" t="n">
        <v>-7.311</v>
      </c>
      <c r="L86" s="20" t="n">
        <v>-7.311</v>
      </c>
    </row>
    <row r="87">
      <c r="A87" s="18" t="inlineStr">
        <is>
          <t>기타(순액)</t>
        </is>
      </c>
      <c r="F87" s="20" t="n">
        <v>1.435</v>
      </c>
      <c r="L87" s="20" t="n">
        <v>1.435</v>
      </c>
    </row>
    <row r="88">
      <c r="A88" s="18" t="inlineStr">
        <is>
          <t>유형자산</t>
        </is>
      </c>
      <c r="D88" s="20" t="n">
        <v>1.251</v>
      </c>
      <c r="E88" s="20" t="n">
        <v>1.466</v>
      </c>
      <c r="F88" s="20" t="n">
        <v>1.435</v>
      </c>
      <c r="G88" s="20" t="n">
        <v>1.461</v>
      </c>
      <c r="H88" s="20" t="n">
        <v>0</v>
      </c>
      <c r="I88" s="20" t="n">
        <v>0</v>
      </c>
      <c r="J88" s="20" t="n">
        <v>0</v>
      </c>
      <c r="K88" s="20" t="n">
        <v>0</v>
      </c>
      <c r="L88" s="20" t="n">
        <v>1.435</v>
      </c>
    </row>
    <row r="89">
      <c r="A89" s="18" t="inlineStr">
        <is>
          <t>무형자산</t>
        </is>
      </c>
      <c r="E89" s="20" t="n">
        <v>0.203</v>
      </c>
      <c r="F89" s="20" t="n">
        <v>0.193</v>
      </c>
      <c r="G89" s="20" t="n">
        <v>0.182</v>
      </c>
      <c r="L89" s="20" t="n">
        <v>0.193</v>
      </c>
    </row>
    <row r="90">
      <c r="A90" s="18" t="inlineStr">
        <is>
          <t>투자유가증권</t>
        </is>
      </c>
      <c r="F90" s="20" t="n">
        <v>1.4</v>
      </c>
      <c r="H90" s="20" t="n">
        <v>1.4</v>
      </c>
      <c r="I90" s="20" t="n">
        <v>1.4</v>
      </c>
      <c r="J90" s="20" t="n">
        <v>1.4</v>
      </c>
      <c r="K90" s="20" t="n">
        <v>1.4</v>
      </c>
      <c r="L90" s="20" t="n">
        <v>1.4</v>
      </c>
    </row>
    <row r="91">
      <c r="A91" s="18" t="inlineStr">
        <is>
          <t>임차보증금·보증금</t>
        </is>
      </c>
      <c r="F91" s="20" t="n">
        <v>47.747</v>
      </c>
      <c r="H91" s="20" t="n">
        <v>48.17</v>
      </c>
      <c r="I91" s="20" t="n">
        <v>47.747</v>
      </c>
      <c r="J91" s="20" t="n">
        <v>47.747</v>
      </c>
      <c r="K91" s="20" t="n">
        <v>47.747</v>
      </c>
      <c r="L91" s="20" t="n">
        <v>47.747</v>
      </c>
    </row>
    <row r="92">
      <c r="A92" s="18" t="inlineStr">
        <is>
          <t>투자 및 기타자산</t>
        </is>
      </c>
      <c r="C92" s="20" t="n">
        <v>49.147</v>
      </c>
      <c r="D92" s="20" t="n">
        <v>49.147</v>
      </c>
      <c r="E92" s="20" t="n">
        <v>49.147</v>
      </c>
      <c r="F92" s="20" t="n">
        <v>49.147</v>
      </c>
      <c r="G92" s="20" t="n">
        <v>49.957</v>
      </c>
      <c r="H92" s="20" t="n">
        <v>49.57</v>
      </c>
      <c r="I92" s="20" t="n">
        <v>49.147</v>
      </c>
      <c r="J92" s="20" t="n">
        <v>49.147</v>
      </c>
      <c r="K92" s="20" t="n">
        <v>49.147</v>
      </c>
      <c r="L92" s="20" t="n">
        <v>49.147</v>
      </c>
    </row>
    <row r="93">
      <c r="A93" s="9" t="inlineStr">
        <is>
          <t>비유동자산 합계</t>
        </is>
      </c>
      <c r="C93" s="12" t="n">
        <v>49.147</v>
      </c>
      <c r="D93" s="12" t="n">
        <v>50.399</v>
      </c>
      <c r="E93" s="12" t="n">
        <v>50.818</v>
      </c>
      <c r="F93" s="12" t="n">
        <v>50.776</v>
      </c>
      <c r="G93" s="12" t="n">
        <v>51.601</v>
      </c>
      <c r="H93" s="12" t="n">
        <v>49.57</v>
      </c>
      <c r="I93" s="12" t="n">
        <v>49.147</v>
      </c>
      <c r="J93" s="12" t="n">
        <v>49.147</v>
      </c>
      <c r="K93" s="12" t="n">
        <v>49.147</v>
      </c>
      <c r="L93" s="12" t="n">
        <v>50.776</v>
      </c>
    </row>
    <row r="94">
      <c r="A94" s="9" t="inlineStr">
        <is>
          <t>자산 합계</t>
        </is>
      </c>
      <c r="C94" s="12" t="n">
        <v>725.595</v>
      </c>
      <c r="D94" s="12" t="n">
        <v>788.3200000000001</v>
      </c>
      <c r="E94" s="12" t="n">
        <v>772.6950000000001</v>
      </c>
      <c r="F94" s="12" t="n">
        <v>862.001</v>
      </c>
      <c r="G94" s="12" t="n">
        <v>1011.286</v>
      </c>
      <c r="H94" s="12" t="n">
        <v>755.2809999999999</v>
      </c>
      <c r="I94" s="12" t="n">
        <v>713.7670000000001</v>
      </c>
      <c r="J94" s="12" t="n">
        <v>645.25</v>
      </c>
      <c r="K94" s="12" t="n">
        <v>725.212</v>
      </c>
      <c r="L94" s="12" t="n">
        <v>862.001</v>
      </c>
    </row>
    <row r="95">
      <c r="A95" s="18" t="inlineStr">
        <is>
          <t>매입채무</t>
        </is>
      </c>
      <c r="C95" s="20" t="n">
        <v>66.32899999999999</v>
      </c>
      <c r="D95" s="20" t="n">
        <v>115.047</v>
      </c>
      <c r="E95" s="20" t="n">
        <v>74.941</v>
      </c>
      <c r="F95" s="20" t="n">
        <v>136.318</v>
      </c>
      <c r="G95" s="20" t="n">
        <v>132.157</v>
      </c>
      <c r="H95" s="20" t="n">
        <v>86.48399999999999</v>
      </c>
      <c r="I95" s="20" t="n">
        <v>67.512</v>
      </c>
      <c r="J95" s="20" t="n">
        <v>98.69499999999999</v>
      </c>
      <c r="K95" s="20" t="n">
        <v>70.76600000000001</v>
      </c>
      <c r="L95" s="20" t="n">
        <v>136.318</v>
      </c>
    </row>
    <row r="96">
      <c r="A96" s="18" t="inlineStr">
        <is>
          <t>미지급금</t>
        </is>
      </c>
      <c r="H96" s="20" t="n">
        <v>11.272</v>
      </c>
      <c r="I96" s="20" t="n">
        <v>6.045</v>
      </c>
      <c r="J96" s="20" t="n">
        <v>19.6</v>
      </c>
      <c r="K96" s="20" t="n">
        <v>15.823</v>
      </c>
    </row>
    <row r="97">
      <c r="A97" s="18" t="inlineStr">
        <is>
          <t>미지급비용</t>
        </is>
      </c>
      <c r="H97" s="20" t="n">
        <v>6.678</v>
      </c>
      <c r="I97" s="20" t="n">
        <v>5.939</v>
      </c>
      <c r="J97" s="20" t="n">
        <v>6.242</v>
      </c>
      <c r="K97" s="20" t="n">
        <v>6.141</v>
      </c>
    </row>
    <row r="98">
      <c r="A98" s="18" t="inlineStr">
        <is>
          <t>1년 내 상환 장기차입금</t>
        </is>
      </c>
      <c r="F98" s="20" t="n">
        <v>0</v>
      </c>
      <c r="G98" s="20" t="n">
        <v>26.676</v>
      </c>
      <c r="L98" s="20" t="n">
        <v>0</v>
      </c>
    </row>
    <row r="99">
      <c r="A99" s="18" t="inlineStr">
        <is>
          <t>미지급법인세</t>
        </is>
      </c>
      <c r="C99" s="20" t="n">
        <v>0.302</v>
      </c>
      <c r="D99" s="20" t="n">
        <v>1.93</v>
      </c>
      <c r="E99" s="20" t="n">
        <v>2.925</v>
      </c>
      <c r="F99" s="20" t="n">
        <v>3.92</v>
      </c>
      <c r="G99" s="20" t="n">
        <v>0.995</v>
      </c>
      <c r="H99" s="20" t="n">
        <v>2.46</v>
      </c>
      <c r="I99" s="20" t="n">
        <v>1.939</v>
      </c>
      <c r="J99" s="20" t="n">
        <v>1.21</v>
      </c>
      <c r="K99" s="20" t="n">
        <v>1.21</v>
      </c>
      <c r="L99" s="20" t="n">
        <v>3.92</v>
      </c>
    </row>
    <row r="100">
      <c r="A100" s="18" t="inlineStr">
        <is>
          <t>선수금</t>
        </is>
      </c>
      <c r="C100" s="20" t="n">
        <v>140.635</v>
      </c>
      <c r="D100" s="20" t="n">
        <v>144.927</v>
      </c>
      <c r="E100" s="20" t="n">
        <v>176.418</v>
      </c>
      <c r="F100" s="20" t="n">
        <v>194.709</v>
      </c>
      <c r="G100" s="20" t="n">
        <v>200.977</v>
      </c>
      <c r="H100" s="20" t="n">
        <v>97.55</v>
      </c>
      <c r="I100" s="20" t="n">
        <v>105.498</v>
      </c>
      <c r="J100" s="20" t="n">
        <v>94.64100000000001</v>
      </c>
      <c r="K100" s="20" t="n">
        <v>134.684</v>
      </c>
      <c r="L100" s="20" t="n">
        <v>194.709</v>
      </c>
    </row>
    <row r="101">
      <c r="A101" s="18" t="inlineStr">
        <is>
          <t>예수금</t>
        </is>
      </c>
      <c r="H101" s="20" t="n">
        <v>2.621</v>
      </c>
      <c r="I101" s="20" t="n">
        <v>1.915</v>
      </c>
      <c r="J101" s="20" t="n">
        <v>4.364</v>
      </c>
      <c r="K101" s="20" t="n">
        <v>2.014</v>
      </c>
    </row>
    <row r="102">
      <c r="A102" s="18" t="inlineStr">
        <is>
          <t>상여충당금</t>
        </is>
      </c>
      <c r="C102" s="20" t="n">
        <v>31.257</v>
      </c>
      <c r="D102" s="20" t="n">
        <v>21.025</v>
      </c>
      <c r="E102" s="20" t="n">
        <v>11.335</v>
      </c>
      <c r="F102" s="20" t="n">
        <v>23.617</v>
      </c>
      <c r="G102" s="20" t="n">
        <v>38.3</v>
      </c>
      <c r="H102" s="20" t="n">
        <v>19.23</v>
      </c>
      <c r="I102" s="20" t="n">
        <v>17.771</v>
      </c>
      <c r="J102" s="20" t="n">
        <v>18.559</v>
      </c>
      <c r="K102" s="20" t="n">
        <v>19.218</v>
      </c>
      <c r="L102" s="20" t="n">
        <v>23.617</v>
      </c>
    </row>
    <row r="103">
      <c r="A103" s="18" t="inlineStr">
        <is>
          <t>제품보증 충당금</t>
        </is>
      </c>
      <c r="C103" s="20" t="n">
        <v>0.412</v>
      </c>
      <c r="D103" s="20" t="n">
        <v>0.37</v>
      </c>
      <c r="E103" s="20" t="n">
        <v>0.323</v>
      </c>
      <c r="F103" s="20" t="n">
        <v>0.293</v>
      </c>
      <c r="G103" s="20" t="n">
        <v>0.274</v>
      </c>
      <c r="H103" s="20" t="n">
        <v>0.644</v>
      </c>
      <c r="I103" s="20" t="n">
        <v>0.412</v>
      </c>
      <c r="J103" s="20" t="n">
        <v>0.296</v>
      </c>
      <c r="K103" s="20" t="n">
        <v>0.337</v>
      </c>
      <c r="L103" s="20" t="n">
        <v>0.293</v>
      </c>
    </row>
    <row r="104">
      <c r="A104" s="18" t="inlineStr">
        <is>
          <t>기타</t>
        </is>
      </c>
      <c r="C104" s="20" t="n">
        <v>38.449</v>
      </c>
      <c r="D104" s="20" t="n">
        <v>32.572</v>
      </c>
      <c r="E104" s="20" t="n">
        <v>44.582</v>
      </c>
      <c r="F104" s="20" t="n">
        <v>20.564</v>
      </c>
      <c r="G104" s="20" t="n">
        <v>41.308</v>
      </c>
      <c r="H104" s="20" t="n">
        <v>19.938</v>
      </c>
      <c r="I104" s="20" t="n">
        <v>6.527</v>
      </c>
      <c r="J104" s="20" t="n">
        <v>7.495</v>
      </c>
      <c r="K104" s="20" t="n">
        <v>45.899</v>
      </c>
      <c r="L104" s="20" t="n">
        <v>20.564</v>
      </c>
    </row>
    <row r="105">
      <c r="A105" s="9" t="inlineStr">
        <is>
          <t>유동부채 합계</t>
        </is>
      </c>
      <c r="C105" s="12" t="n">
        <v>277.386</v>
      </c>
      <c r="D105" s="12" t="n">
        <v>315.872</v>
      </c>
      <c r="E105" s="12" t="n">
        <v>310.525</v>
      </c>
      <c r="F105" s="12" t="n">
        <v>379.422</v>
      </c>
      <c r="G105" s="12" t="n">
        <v>440.689</v>
      </c>
      <c r="H105" s="12" t="n">
        <v>246.88</v>
      </c>
      <c r="I105" s="12" t="n">
        <v>213.562</v>
      </c>
      <c r="J105" s="12" t="n">
        <v>251.106</v>
      </c>
      <c r="K105" s="12" t="n">
        <v>272.116</v>
      </c>
      <c r="L105" s="12" t="n">
        <v>379.422</v>
      </c>
    </row>
    <row r="106">
      <c r="A106" s="18" t="inlineStr">
        <is>
          <t>퇴직급여충당금</t>
        </is>
      </c>
      <c r="C106" s="20" t="n">
        <v>28.38</v>
      </c>
      <c r="H106" s="20" t="n">
        <v>32.24</v>
      </c>
      <c r="I106" s="20" t="n">
        <v>27.942</v>
      </c>
      <c r="J106" s="20" t="n">
        <v>28.956</v>
      </c>
      <c r="K106" s="20" t="n">
        <v>27.884</v>
      </c>
    </row>
    <row r="107">
      <c r="A107" s="18" t="inlineStr">
        <is>
          <t>장기차입금</t>
        </is>
      </c>
      <c r="F107" s="20" t="n">
        <v>0</v>
      </c>
      <c r="G107" s="20" t="n">
        <v>53.324</v>
      </c>
      <c r="L107" s="20" t="n">
        <v>0</v>
      </c>
    </row>
    <row r="108">
      <c r="A108" s="18" t="inlineStr">
        <is>
          <t>퇴직급여부채</t>
        </is>
      </c>
      <c r="D108" s="20" t="n">
        <v>28.876</v>
      </c>
      <c r="E108" s="20" t="n">
        <v>28.037</v>
      </c>
      <c r="F108" s="20" t="n">
        <v>28.511</v>
      </c>
      <c r="G108" s="20" t="n">
        <v>29.014</v>
      </c>
      <c r="L108" s="20" t="n">
        <v>28.511</v>
      </c>
    </row>
    <row r="109">
      <c r="A109" s="18" t="inlineStr">
        <is>
          <t>자산복구부채</t>
        </is>
      </c>
      <c r="C109" s="20" t="n">
        <v>8.5</v>
      </c>
      <c r="D109" s="20" t="n">
        <v>8.5</v>
      </c>
      <c r="E109" s="20" t="n">
        <v>8.5</v>
      </c>
      <c r="F109" s="20" t="n">
        <v>8.5</v>
      </c>
      <c r="G109" s="20" t="n">
        <v>8.5</v>
      </c>
      <c r="H109" s="20" t="n">
        <v>8.5</v>
      </c>
      <c r="I109" s="20" t="n">
        <v>8.5</v>
      </c>
      <c r="J109" s="20" t="n">
        <v>8.5</v>
      </c>
      <c r="K109" s="20" t="n">
        <v>8.5</v>
      </c>
      <c r="L109" s="20" t="n">
        <v>8.5</v>
      </c>
    </row>
    <row r="110">
      <c r="A110" s="9" t="inlineStr">
        <is>
          <t>비유동부채 합계</t>
        </is>
      </c>
      <c r="C110" s="12" t="n">
        <v>36.88</v>
      </c>
      <c r="D110" s="12" t="n">
        <v>37.376</v>
      </c>
      <c r="E110" s="12" t="n">
        <v>36.537</v>
      </c>
      <c r="F110" s="12" t="n">
        <v>37.011</v>
      </c>
      <c r="G110" s="12" t="n">
        <v>90.83799999999999</v>
      </c>
      <c r="H110" s="12" t="n">
        <v>40.74</v>
      </c>
      <c r="I110" s="12" t="n">
        <v>36.442</v>
      </c>
      <c r="J110" s="12" t="n">
        <v>37.456</v>
      </c>
      <c r="K110" s="12" t="n">
        <v>36.384</v>
      </c>
      <c r="L110" s="12" t="n">
        <v>37.011</v>
      </c>
    </row>
    <row r="111">
      <c r="A111" s="9" t="inlineStr">
        <is>
          <t>부채 합계</t>
        </is>
      </c>
      <c r="C111" s="12" t="n">
        <v>314.266</v>
      </c>
      <c r="D111" s="12" t="n">
        <v>353.249</v>
      </c>
      <c r="E111" s="12" t="n">
        <v>347.063</v>
      </c>
      <c r="F111" s="12" t="n">
        <v>416.433</v>
      </c>
      <c r="G111" s="12" t="n">
        <v>531.527</v>
      </c>
      <c r="H111" s="12" t="n">
        <v>287.62</v>
      </c>
      <c r="I111" s="12" t="n">
        <v>250.004</v>
      </c>
      <c r="J111" s="12" t="n">
        <v>288.562</v>
      </c>
      <c r="K111" s="12" t="n">
        <v>308.501</v>
      </c>
      <c r="L111" s="12" t="n">
        <v>416.433</v>
      </c>
    </row>
    <row r="112">
      <c r="A112" s="18" t="inlineStr">
        <is>
          <t>자본금</t>
        </is>
      </c>
      <c r="C112" s="20" t="n">
        <v>100</v>
      </c>
      <c r="D112" s="20" t="n">
        <v>100</v>
      </c>
      <c r="E112" s="20" t="n">
        <v>100</v>
      </c>
      <c r="F112" s="20" t="n">
        <v>100</v>
      </c>
      <c r="G112" s="20" t="n">
        <v>100</v>
      </c>
      <c r="H112" s="20" t="n">
        <v>100</v>
      </c>
      <c r="I112" s="20" t="n">
        <v>100</v>
      </c>
      <c r="J112" s="20" t="n">
        <v>100</v>
      </c>
      <c r="K112" s="20" t="n">
        <v>100</v>
      </c>
      <c r="L112" s="20" t="n">
        <v>100</v>
      </c>
    </row>
    <row r="113">
      <c r="A113" s="18" t="inlineStr">
        <is>
          <t>기타자본잉여금</t>
        </is>
      </c>
      <c r="H113" s="20" t="n">
        <v>424.05</v>
      </c>
      <c r="I113" s="20" t="n">
        <v>523.973</v>
      </c>
      <c r="J113" s="20" t="n">
        <v>523.973</v>
      </c>
      <c r="K113" s="20" t="n">
        <v>570.715</v>
      </c>
    </row>
    <row r="114">
      <c r="A114" s="18" t="inlineStr">
        <is>
          <t>자본잉여금</t>
        </is>
      </c>
      <c r="C114" s="20" t="n">
        <v>570.715</v>
      </c>
      <c r="D114" s="20" t="n">
        <v>570.715</v>
      </c>
      <c r="E114" s="20" t="n">
        <v>570.715</v>
      </c>
      <c r="F114" s="20" t="n">
        <v>570.715</v>
      </c>
      <c r="G114" s="20" t="n">
        <v>570.715</v>
      </c>
      <c r="H114" s="20" t="n">
        <v>424.05</v>
      </c>
      <c r="I114" s="20" t="n">
        <v>523.973</v>
      </c>
      <c r="J114" s="20" t="n">
        <v>523.973</v>
      </c>
      <c r="K114" s="20" t="n">
        <v>570.715</v>
      </c>
      <c r="L114" s="20" t="n">
        <v>570.715</v>
      </c>
    </row>
    <row r="115">
      <c r="A115" s="18" t="inlineStr">
        <is>
          <t>이월이익잉여금</t>
        </is>
      </c>
      <c r="H115" s="20" t="n">
        <v>-33.621</v>
      </c>
      <c r="I115" s="20" t="n">
        <v>-137.442</v>
      </c>
      <c r="J115" s="20" t="n">
        <v>-244.517</v>
      </c>
      <c r="K115" s="20" t="n">
        <v>-232.471</v>
      </c>
    </row>
    <row r="116">
      <c r="A116" s="18" t="inlineStr">
        <is>
          <t>이익잉여금</t>
        </is>
      </c>
      <c r="C116" s="20" t="n">
        <v>-238.433</v>
      </c>
      <c r="D116" s="20" t="n">
        <v>-215.994</v>
      </c>
      <c r="E116" s="20" t="n">
        <v>-227.629</v>
      </c>
      <c r="F116" s="20" t="n">
        <v>-209.843</v>
      </c>
      <c r="G116" s="20" t="n">
        <v>-177.823</v>
      </c>
      <c r="H116" s="20" t="n">
        <v>-33.621</v>
      </c>
      <c r="I116" s="20" t="n">
        <v>-137.442</v>
      </c>
      <c r="J116" s="20" t="n">
        <v>-244.517</v>
      </c>
      <c r="K116" s="20" t="n">
        <v>-232.471</v>
      </c>
      <c r="L116" s="20" t="n">
        <v>-209.843</v>
      </c>
    </row>
    <row r="117">
      <c r="A117" s="18" t="inlineStr">
        <is>
          <t>자기주식</t>
        </is>
      </c>
      <c r="C117" s="20" t="n">
        <v>-22.767</v>
      </c>
      <c r="D117" s="20" t="n">
        <v>-22.767</v>
      </c>
      <c r="E117" s="20" t="n">
        <v>-22.767</v>
      </c>
      <c r="F117" s="20" t="n">
        <v>-22.767</v>
      </c>
      <c r="G117" s="20" t="n">
        <v>-22.767</v>
      </c>
      <c r="H117" s="20" t="n">
        <v>-22.767</v>
      </c>
      <c r="I117" s="20" t="n">
        <v>-22.767</v>
      </c>
      <c r="J117" s="20" t="n">
        <v>-22.767</v>
      </c>
      <c r="K117" s="20" t="n">
        <v>-22.767</v>
      </c>
      <c r="L117" s="20" t="n">
        <v>-22.767</v>
      </c>
    </row>
    <row r="118">
      <c r="A118" s="9" t="inlineStr">
        <is>
          <t>주주자본 합계</t>
        </is>
      </c>
      <c r="C118" s="12" t="n">
        <v>409.513</v>
      </c>
      <c r="D118" s="12" t="n">
        <v>431.952</v>
      </c>
      <c r="E118" s="12" t="n">
        <v>420.317</v>
      </c>
      <c r="F118" s="12" t="n">
        <v>438.103</v>
      </c>
      <c r="G118" s="12" t="n">
        <v>470.123</v>
      </c>
      <c r="H118" s="12" t="n">
        <v>467.66</v>
      </c>
      <c r="I118" s="12" t="n">
        <v>463.762</v>
      </c>
      <c r="J118" s="12" t="n">
        <v>356.687</v>
      </c>
      <c r="K118" s="12" t="n">
        <v>415.475</v>
      </c>
      <c r="L118" s="12" t="n">
        <v>438.103</v>
      </c>
    </row>
    <row r="119">
      <c r="A119" s="18" t="inlineStr">
        <is>
          <t>신주예약권</t>
        </is>
      </c>
      <c r="C119" s="20" t="n">
        <v>1.815</v>
      </c>
      <c r="D119" s="20" t="n">
        <v>3.118</v>
      </c>
      <c r="E119" s="20" t="n">
        <v>5.314</v>
      </c>
      <c r="F119" s="20" t="n">
        <v>7.463</v>
      </c>
      <c r="G119" s="20" t="n">
        <v>9.635</v>
      </c>
      <c r="H119" s="20" t="n">
        <v>0</v>
      </c>
      <c r="J119" s="20" t="n">
        <v>0</v>
      </c>
      <c r="K119" s="20" t="n">
        <v>1.235</v>
      </c>
      <c r="L119" s="20" t="n">
        <v>7.463</v>
      </c>
    </row>
    <row r="120">
      <c r="A120" s="9" t="inlineStr">
        <is>
          <t>순자산 합계</t>
        </is>
      </c>
      <c r="C120" s="12" t="n">
        <v>411.328</v>
      </c>
      <c r="D120" s="12" t="n">
        <v>435.071</v>
      </c>
      <c r="E120" s="12" t="n">
        <v>425.632</v>
      </c>
      <c r="F120" s="12" t="n">
        <v>445.567</v>
      </c>
      <c r="G120" s="12" t="n">
        <v>479.759</v>
      </c>
      <c r="H120" s="12" t="n">
        <v>467.66</v>
      </c>
      <c r="I120" s="12" t="n">
        <v>463.762</v>
      </c>
      <c r="J120" s="12" t="n">
        <v>356.687</v>
      </c>
      <c r="K120" s="12" t="n">
        <v>416.711</v>
      </c>
      <c r="L120" s="12" t="n">
        <v>445.567</v>
      </c>
    </row>
    <row r="121">
      <c r="A121" s="9" t="inlineStr">
        <is>
          <t>부채·순자산 합계</t>
        </is>
      </c>
      <c r="C121" s="12" t="n">
        <v>725.595</v>
      </c>
      <c r="D121" s="12" t="n">
        <v>788.3200000000001</v>
      </c>
      <c r="E121" s="12" t="n">
        <v>772.6950000000001</v>
      </c>
      <c r="F121" s="12" t="n">
        <v>862.001</v>
      </c>
      <c r="G121" s="12" t="n">
        <v>1011.286</v>
      </c>
      <c r="H121" s="12" t="n">
        <v>755.2809999999999</v>
      </c>
      <c r="I121" s="12" t="n">
        <v>713.7670000000001</v>
      </c>
      <c r="J121" s="12" t="n">
        <v>645.25</v>
      </c>
      <c r="K121" s="12" t="n">
        <v>725.212</v>
      </c>
      <c r="L121" s="12" t="n">
        <v>862.001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0" t="inlineStr">
        <is>
          <t>6836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revision 20261030 · FY 부문 매출 revised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</row>
    <row r="5">
      <c r="A5" s="53" t="inlineStr">
        <is>
          <t>항목</t>
        </is>
      </c>
      <c r="B5" s="53" t="inlineStr">
        <is>
          <t>값</t>
        </is>
      </c>
      <c r="L5" s="53" t="inlineStr">
        <is>
          <t>출처</t>
        </is>
      </c>
    </row>
    <row r="6">
      <c r="A6" s="54" t="inlineStr">
        <is>
          <t>네트워크 사업</t>
        </is>
      </c>
      <c r="B6" s="55" t="n">
        <v>14.76</v>
      </c>
      <c r="L6" s="56" t="inlineStr">
        <is>
          <t>2단계 보고서 자료(회사 설명회 자료·공시)</t>
        </is>
      </c>
    </row>
    <row r="7">
      <c r="A7" s="54" t="inlineStr">
        <is>
          <t>Web3 사업</t>
        </is>
      </c>
      <c r="B7" s="55" t="n">
        <v>1.53</v>
      </c>
    </row>
    <row r="9">
      <c r="A9" s="52" t="inlineStr">
        <is>
          <t>revision 20261030 · 2Q calc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</row>
    <row r="10">
      <c r="A10" s="53" t="inlineStr">
        <is>
          <t>항목</t>
        </is>
      </c>
      <c r="B10" s="53" t="inlineStr">
        <is>
          <t>값</t>
        </is>
      </c>
      <c r="L10" s="53" t="inlineStr">
        <is>
          <t>출처</t>
        </is>
      </c>
    </row>
    <row r="11">
      <c r="A11" s="54" t="inlineStr">
        <is>
          <t>매출</t>
        </is>
      </c>
      <c r="B11" s="55" t="n">
        <v>4.74</v>
      </c>
      <c r="L11" s="56" t="inlineStr">
        <is>
          <t>2단계 보고서 자료(회사 설명회 자료·공시)</t>
        </is>
      </c>
    </row>
    <row r="12">
      <c r="A12" s="54" t="inlineStr">
        <is>
          <t>영업이익</t>
        </is>
      </c>
      <c r="B12" s="55" t="n">
        <v>0.68</v>
      </c>
    </row>
    <row r="13">
      <c r="A13" s="54" t="inlineStr">
        <is>
          <t>경상이익</t>
        </is>
      </c>
      <c r="B13" s="55" t="n">
        <v>0.6899999999999999</v>
      </c>
    </row>
    <row r="14">
      <c r="A14" s="54" t="inlineStr">
        <is>
          <t>순이익</t>
        </is>
      </c>
      <c r="B14" s="55" t="n">
        <v>0.68</v>
      </c>
    </row>
    <row r="15">
      <c r="A15" s="54" t="inlineStr">
        <is>
          <t>EPS</t>
        </is>
      </c>
      <c r="B15" s="55" t="n">
        <v>14.36</v>
      </c>
    </row>
    <row r="16">
      <c r="A16" s="54" t="inlineStr">
        <is>
          <t>영업이익률 %</t>
        </is>
      </c>
      <c r="B16" s="55" t="n">
        <v>14.3</v>
      </c>
    </row>
    <row r="17">
      <c r="A17" s="54" t="inlineStr">
        <is>
          <t>QoQ 매출 %</t>
        </is>
      </c>
      <c r="B17" s="55" t="n">
        <v>18.2</v>
      </c>
    </row>
    <row r="19">
      <c r="A19" s="52" t="inlineStr">
        <is>
          <t>revision 20261030 · 하반기 implied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>
      <c r="A20" s="53" t="inlineStr">
        <is>
          <t>항목</t>
        </is>
      </c>
      <c r="B20" s="53" t="inlineStr">
        <is>
          <t>값</t>
        </is>
      </c>
      <c r="L20" s="53" t="inlineStr">
        <is>
          <t>출처</t>
        </is>
      </c>
    </row>
    <row r="21">
      <c r="A21" s="54" t="inlineStr">
        <is>
          <t>매출</t>
        </is>
      </c>
      <c r="B21" s="55" t="n">
        <v>7.54</v>
      </c>
      <c r="L21" s="56" t="inlineStr">
        <is>
          <t>2단계 보고서 자료(회사 설명회 자료·공시)</t>
        </is>
      </c>
    </row>
    <row r="22">
      <c r="A22" s="54" t="inlineStr">
        <is>
          <t>영업이익</t>
        </is>
      </c>
      <c r="B22" s="55" t="n">
        <v>-0.22</v>
      </c>
    </row>
    <row r="23">
      <c r="A23" s="54" t="inlineStr">
        <is>
          <t>경상이익</t>
        </is>
      </c>
      <c r="B23" s="55" t="n">
        <v>-0.26</v>
      </c>
    </row>
    <row r="24">
      <c r="A24" s="54" t="inlineStr">
        <is>
          <t>순이익</t>
        </is>
      </c>
      <c r="B24" s="55" t="n">
        <v>-0.28</v>
      </c>
    </row>
    <row r="26">
      <c r="A26" s="52" t="inlineStr">
        <is>
          <t>revision 20261030 · 가격 reaction</t>
        </is>
      </c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</row>
    <row r="27">
      <c r="A27" s="53" t="inlineStr">
        <is>
          <t>항목</t>
        </is>
      </c>
      <c r="B27" s="53" t="inlineStr">
        <is>
          <t>값</t>
        </is>
      </c>
      <c r="L27" s="53" t="inlineStr">
        <is>
          <t>출처</t>
        </is>
      </c>
    </row>
    <row r="28">
      <c r="A28" s="54" t="inlineStr">
        <is>
          <t>2026-10-29 close</t>
        </is>
      </c>
      <c r="B28" s="57" t="n">
        <v>1020</v>
      </c>
      <c r="L28" s="56" t="inlineStr">
        <is>
          <t>2단계 보고서 자료(회사 설명회 자료·공시)</t>
        </is>
      </c>
    </row>
    <row r="29">
      <c r="A29" s="54" t="inlineStr">
        <is>
          <t>2026-10-30 close</t>
        </is>
      </c>
      <c r="B29" s="57" t="n">
        <v>1114</v>
      </c>
    </row>
    <row r="30">
      <c r="A30" s="54" t="inlineStr">
        <is>
          <t>chg %</t>
        </is>
      </c>
      <c r="B30" s="55" t="n">
        <v>9.199999999999999</v>
      </c>
    </row>
    <row r="31">
      <c r="A31" s="54" t="inlineStr">
        <is>
          <t>intraday 최고</t>
        </is>
      </c>
      <c r="B31" s="57" t="n">
        <v>1208</v>
      </c>
    </row>
    <row r="32">
      <c r="A32" s="54" t="inlineStr">
        <is>
          <t>intraday 최고 %</t>
        </is>
      </c>
      <c r="B32" s="55" t="n">
        <v>18.4</v>
      </c>
    </row>
    <row r="33">
      <c r="A33" s="54" t="inlineStr">
        <is>
          <t>물량</t>
        </is>
      </c>
      <c r="B33" s="57" t="n">
        <v>436900</v>
      </c>
    </row>
    <row r="35">
      <c r="A35" s="52" t="inlineStr">
        <is>
          <t>quarterly bn</t>
        </is>
      </c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</row>
    <row r="36">
      <c r="A36" s="53" t="inlineStr">
        <is>
          <t>항목</t>
        </is>
      </c>
      <c r="B36" s="53" t="inlineStr">
        <is>
          <t>2025.1Q</t>
        </is>
      </c>
      <c r="C36" s="53" t="inlineStr">
        <is>
          <t>2025.2Q</t>
        </is>
      </c>
      <c r="D36" s="53" t="inlineStr">
        <is>
          <t>2025.3Q</t>
        </is>
      </c>
      <c r="E36" s="53" t="inlineStr">
        <is>
          <t>2025.4Q</t>
        </is>
      </c>
      <c r="F36" s="53" t="inlineStr">
        <is>
          <t>2026.1Q</t>
        </is>
      </c>
      <c r="G36" s="53" t="inlineStr">
        <is>
          <t>2026.2Q</t>
        </is>
      </c>
      <c r="H36" s="53" t="inlineStr">
        <is>
          <t>2026.3Q</t>
        </is>
      </c>
      <c r="I36" s="53" t="inlineStr">
        <is>
          <t>2026.4Q</t>
        </is>
      </c>
      <c r="J36" s="53" t="inlineStr">
        <is>
          <t>2027.1Q</t>
        </is>
      </c>
      <c r="K36" s="53" t="inlineStr">
        <is>
          <t>2027.2Q(수정 예상)</t>
        </is>
      </c>
      <c r="L36" s="53" t="inlineStr">
        <is>
          <t>출처</t>
        </is>
      </c>
    </row>
    <row r="37">
      <c r="A37" s="54" t="inlineStr">
        <is>
          <t>매출</t>
        </is>
      </c>
      <c r="B37" s="55" t="n">
        <v>2.6</v>
      </c>
      <c r="C37" s="55" t="n">
        <v>3.05</v>
      </c>
      <c r="D37" s="55" t="n">
        <v>3.16</v>
      </c>
      <c r="E37" s="55" t="n">
        <v>2.86</v>
      </c>
      <c r="F37" s="55" t="n">
        <v>3.04</v>
      </c>
      <c r="G37" s="55" t="n">
        <v>3.87</v>
      </c>
      <c r="H37" s="55" t="n">
        <v>2.83</v>
      </c>
      <c r="I37" s="55" t="n">
        <v>3.24</v>
      </c>
      <c r="J37" s="55" t="n">
        <v>4.01</v>
      </c>
      <c r="K37" s="55" t="n">
        <v>4.74</v>
      </c>
      <c r="L37" s="56" t="inlineStr">
        <is>
          <t>억 엔, 분기 단독(2~4Q 누계 차분 계산). FY26 1Q까지 개별, FY26 2Q부터 연결. 2027.2Q는 (계산)(수정 예상 기준).</t>
        </is>
      </c>
    </row>
    <row r="38">
      <c r="A38" s="54" t="inlineStr">
        <is>
          <t>영업이익</t>
        </is>
      </c>
      <c r="B38" s="55" t="n">
        <v>-0.3</v>
      </c>
      <c r="C38" s="55" t="n">
        <v>-0.01</v>
      </c>
      <c r="D38" s="55" t="n">
        <v>-0.16</v>
      </c>
      <c r="E38" s="55" t="n">
        <v>0.01</v>
      </c>
      <c r="F38" s="55" t="n">
        <v>-0.06</v>
      </c>
      <c r="G38" s="55" t="n">
        <v>0.23</v>
      </c>
      <c r="H38" s="55" t="n">
        <v>-0.1</v>
      </c>
      <c r="I38" s="55" t="n">
        <v>0.05</v>
      </c>
      <c r="J38" s="55" t="n">
        <v>0.34</v>
      </c>
      <c r="K38" s="55" t="n">
        <v>0.68</v>
      </c>
    </row>
    <row r="39">
      <c r="A39" s="54" t="inlineStr">
        <is>
          <t>ordinary</t>
        </is>
      </c>
      <c r="B39" s="55" t="n">
        <v>0</v>
      </c>
      <c r="C39" s="55" t="n">
        <v>0</v>
      </c>
      <c r="D39" s="55" t="n">
        <v>-0.15</v>
      </c>
      <c r="E39" s="55" t="n">
        <v>0.29</v>
      </c>
      <c r="F39" s="55" t="n">
        <v>-0.05</v>
      </c>
      <c r="G39" s="55" t="n">
        <v>0.23</v>
      </c>
      <c r="H39" s="55" t="n">
        <v>-0.11</v>
      </c>
      <c r="I39" s="55" t="n">
        <v>0.19</v>
      </c>
      <c r="J39" s="55" t="n">
        <v>0.33</v>
      </c>
      <c r="K39" s="55" t="n">
        <v>0.6899999999999999</v>
      </c>
    </row>
    <row r="40">
      <c r="A40" s="54" t="inlineStr">
        <is>
          <t>순이익</t>
        </is>
      </c>
      <c r="B40" s="55" t="n">
        <v>0</v>
      </c>
      <c r="C40" s="55" t="n">
        <v>0</v>
      </c>
      <c r="D40" s="55" t="n">
        <v>-0.16</v>
      </c>
      <c r="E40" s="55" t="n">
        <v>0.28</v>
      </c>
      <c r="F40" s="55" t="n">
        <v>-0.05</v>
      </c>
      <c r="G40" s="55" t="n">
        <v>0.21</v>
      </c>
      <c r="H40" s="55" t="n">
        <v>-0.12</v>
      </c>
      <c r="I40" s="55" t="n">
        <v>0.18</v>
      </c>
      <c r="J40" s="55" t="n">
        <v>0.32</v>
      </c>
      <c r="K40" s="55" t="n">
        <v>0.68</v>
      </c>
    </row>
    <row r="42">
      <c r="A42" s="52" t="inlineStr">
        <is>
          <t>annual bn</t>
        </is>
      </c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</row>
    <row r="43">
      <c r="A43" s="53" t="inlineStr">
        <is>
          <t>항목</t>
        </is>
      </c>
      <c r="B43" s="53" t="inlineStr">
        <is>
          <t>2017</t>
        </is>
      </c>
      <c r="C43" s="53" t="inlineStr">
        <is>
          <t>2018</t>
        </is>
      </c>
      <c r="D43" s="53" t="inlineStr">
        <is>
          <t>2019</t>
        </is>
      </c>
      <c r="E43" s="53" t="inlineStr">
        <is>
          <t>2020</t>
        </is>
      </c>
      <c r="F43" s="53" t="inlineStr">
        <is>
          <t>2021</t>
        </is>
      </c>
      <c r="G43" s="53" t="inlineStr">
        <is>
          <t>2022</t>
        </is>
      </c>
      <c r="H43" s="53" t="inlineStr">
        <is>
          <t>2023</t>
        </is>
      </c>
      <c r="I43" s="53" t="inlineStr">
        <is>
          <t>2024</t>
        </is>
      </c>
      <c r="J43" s="53" t="inlineStr">
        <is>
          <t>2025</t>
        </is>
      </c>
      <c r="K43" s="53" t="inlineStr">
        <is>
          <t>2026</t>
        </is>
      </c>
      <c r="L43" s="53" t="inlineStr">
        <is>
          <t>출처</t>
        </is>
      </c>
    </row>
    <row r="44">
      <c r="A44" s="54" t="inlineStr">
        <is>
          <t>labels</t>
        </is>
      </c>
      <c r="B44" s="57" t="n">
        <v>2017</v>
      </c>
      <c r="C44" s="57" t="n">
        <v>2018</v>
      </c>
      <c r="D44" s="57" t="n">
        <v>2019</v>
      </c>
      <c r="E44" s="57" t="n">
        <v>2020</v>
      </c>
      <c r="F44" s="57" t="n">
        <v>2021</v>
      </c>
      <c r="G44" s="57" t="n">
        <v>2022</v>
      </c>
      <c r="H44" s="57" t="n">
        <v>2023</v>
      </c>
      <c r="I44" s="57" t="n">
        <v>2024</v>
      </c>
      <c r="J44" s="57" t="n">
        <v>2025</v>
      </c>
      <c r="K44" s="57" t="n">
        <v>2026</v>
      </c>
      <c r="L44" s="56" t="inlineStr">
        <is>
          <t>FY2025까지 개별, FY2026부터 연결. EPS는 공시 당시 주식수 기준 — FY24·FY25 사이 주식수 기준 변화(FY24 이전 EPS는 주식 수가 적던 때라 직접 비교 불가).</t>
        </is>
      </c>
    </row>
    <row r="45">
      <c r="A45" s="54" t="inlineStr">
        <is>
          <t>매출</t>
        </is>
      </c>
      <c r="B45" s="55" t="n">
        <v>11.33</v>
      </c>
      <c r="C45" s="55" t="n">
        <v>12.99</v>
      </c>
      <c r="D45" s="55" t="n">
        <v>11.08</v>
      </c>
      <c r="E45" s="55" t="n">
        <v>11.17</v>
      </c>
      <c r="F45" s="55" t="n">
        <v>12.33</v>
      </c>
      <c r="G45" s="55" t="n">
        <v>12.19</v>
      </c>
      <c r="H45" s="55" t="n">
        <v>9.94</v>
      </c>
      <c r="I45" s="55" t="n">
        <v>9.98</v>
      </c>
      <c r="J45" s="55" t="n">
        <v>11.67</v>
      </c>
      <c r="K45" s="55" t="n">
        <v>12.98</v>
      </c>
    </row>
    <row r="46">
      <c r="A46" s="54" t="inlineStr">
        <is>
          <t>영업이익</t>
        </is>
      </c>
      <c r="B46" s="55" t="n">
        <v>-2.32</v>
      </c>
      <c r="C46" s="55" t="n">
        <v>-1.21</v>
      </c>
      <c r="D46" s="55" t="n">
        <v>-1.66</v>
      </c>
      <c r="E46" s="55" t="n">
        <v>-1.42</v>
      </c>
      <c r="F46" s="55" t="n">
        <v>-1.19</v>
      </c>
      <c r="G46" s="55" t="n">
        <v>-0.5600000000000001</v>
      </c>
      <c r="H46" s="55" t="n">
        <v>-0.98</v>
      </c>
      <c r="I46" s="55" t="n">
        <v>-1.01</v>
      </c>
      <c r="J46" s="55" t="n">
        <v>-0.46</v>
      </c>
      <c r="K46" s="55" t="n">
        <v>0.12</v>
      </c>
    </row>
    <row r="47">
      <c r="A47" s="54" t="inlineStr">
        <is>
          <t>ordinary</t>
        </is>
      </c>
      <c r="B47" s="55" t="n">
        <v>-2.18</v>
      </c>
      <c r="C47" s="55" t="n">
        <v>-1.18</v>
      </c>
      <c r="D47" s="55" t="n">
        <v>-1.65</v>
      </c>
      <c r="E47" s="55" t="n">
        <v>-1.42</v>
      </c>
      <c r="F47" s="55" t="n">
        <v>-1.2</v>
      </c>
      <c r="G47" s="55" t="n">
        <v>-0.57</v>
      </c>
      <c r="H47" s="55" t="n">
        <v>-0.95</v>
      </c>
      <c r="I47" s="55" t="n">
        <v>-1.01</v>
      </c>
      <c r="J47" s="55" t="n">
        <v>0.14</v>
      </c>
      <c r="K47" s="55" t="n">
        <v>0.26</v>
      </c>
    </row>
    <row r="48">
      <c r="A48" s="54" t="inlineStr">
        <is>
          <t>순이익</t>
        </is>
      </c>
      <c r="B48" s="55" t="n">
        <v>-2.27</v>
      </c>
      <c r="C48" s="55" t="n">
        <v>-1.24</v>
      </c>
      <c r="D48" s="55" t="n">
        <v>-1.69</v>
      </c>
      <c r="E48" s="55" t="n">
        <v>-1.5</v>
      </c>
      <c r="F48" s="55" t="n">
        <v>-1.24</v>
      </c>
      <c r="G48" s="55" t="n">
        <v>-0.33</v>
      </c>
      <c r="H48" s="55" t="n">
        <v>-1.03</v>
      </c>
      <c r="I48" s="55" t="n">
        <v>-1.07</v>
      </c>
      <c r="J48" s="55" t="n">
        <v>0.12</v>
      </c>
      <c r="K48" s="55" t="n">
        <v>0.22</v>
      </c>
    </row>
    <row r="49">
      <c r="A49" s="54" t="inlineStr">
        <is>
          <t>EPS</t>
        </is>
      </c>
      <c r="B49" s="55" t="n">
        <v>-179.04</v>
      </c>
      <c r="C49" s="55" t="n">
        <v>-97.95</v>
      </c>
      <c r="D49" s="55" t="n">
        <v>-133.34</v>
      </c>
      <c r="E49" s="55" t="n">
        <v>-118.33</v>
      </c>
      <c r="F49" s="55" t="n">
        <v>-98.44</v>
      </c>
      <c r="G49" s="55" t="n">
        <v>-25.45</v>
      </c>
      <c r="H49" s="55" t="n">
        <v>-75.93000000000001</v>
      </c>
      <c r="I49" s="55" t="n">
        <v>-70.59</v>
      </c>
      <c r="J49" s="55" t="n">
        <v>2.55</v>
      </c>
      <c r="K49" s="55" t="n">
        <v>4.77</v>
      </c>
    </row>
    <row r="50">
      <c r="A50" s="54" t="inlineStr">
        <is>
          <t>gp prep</t>
        </is>
      </c>
      <c r="B50" s="55" t="n">
        <v>3.9</v>
      </c>
      <c r="C50" s="55" t="n">
        <v>4.6</v>
      </c>
      <c r="D50" s="55" t="n">
        <v>3.8</v>
      </c>
      <c r="E50" s="55" t="n">
        <v>4</v>
      </c>
      <c r="F50" s="55" t="n">
        <v>4.3</v>
      </c>
      <c r="G50" s="55" t="n">
        <v>4.6</v>
      </c>
      <c r="H50" s="55" t="n">
        <v>3.7</v>
      </c>
      <c r="I50" s="55" t="n">
        <v>3.9</v>
      </c>
      <c r="J50" s="55" t="n">
        <v>4.6</v>
      </c>
      <c r="K50" s="55" t="n">
        <v>5.6</v>
      </c>
    </row>
    <row r="51">
      <c r="A51" s="54" t="inlineStr">
        <is>
          <t>sga prep</t>
        </is>
      </c>
      <c r="B51" s="55" t="n">
        <v>6.2</v>
      </c>
      <c r="C51" s="55" t="n">
        <v>5.8</v>
      </c>
      <c r="D51" s="55" t="n">
        <v>5.5</v>
      </c>
      <c r="E51" s="55" t="n">
        <v>5.4</v>
      </c>
      <c r="F51" s="55" t="n">
        <v>5.5</v>
      </c>
      <c r="G51" s="55" t="n">
        <v>5.1</v>
      </c>
      <c r="H51" s="55" t="n">
        <v>4.7</v>
      </c>
      <c r="I51" s="55" t="n">
        <v>5</v>
      </c>
      <c r="J51" s="55" t="n">
        <v>5.1</v>
      </c>
      <c r="K51" s="55" t="n">
        <v>5.5</v>
      </c>
    </row>
    <row r="53">
      <c r="A53" s="52" t="inlineStr">
        <is>
          <t>부문별 · FY2026</t>
        </is>
      </c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</row>
    <row r="54">
      <c r="A54" s="53" t="inlineStr">
        <is>
          <t>항목</t>
        </is>
      </c>
      <c r="B54" s="53" t="inlineStr">
        <is>
          <t>값</t>
        </is>
      </c>
      <c r="L54" s="53" t="inlineStr">
        <is>
          <t>출처</t>
        </is>
      </c>
    </row>
    <row r="55">
      <c r="A55" s="54" t="inlineStr">
        <is>
          <t>네트워크 사업</t>
        </is>
      </c>
      <c r="B55" s="55" t="n">
        <v>12.6</v>
      </c>
      <c r="L55" s="56" t="inlineStr">
        <is>
          <t>억 엔. FY2026(26.3)부터 연결·2부문(네트워크 사업, Web3 사업). 분기 이익은 부문 이익(전사비용 배분 전).</t>
        </is>
      </c>
    </row>
    <row r="56">
      <c r="A56" s="54" t="inlineStr">
        <is>
          <t>Web3 사업</t>
        </is>
      </c>
      <c r="B56" s="55" t="n">
        <v>0.3</v>
      </c>
    </row>
    <row r="58">
      <c r="A58" s="52" t="inlineStr">
        <is>
          <t>부문별 · FY27 1Q profit</t>
        </is>
      </c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</row>
    <row r="59">
      <c r="A59" s="53" t="inlineStr">
        <is>
          <t>항목</t>
        </is>
      </c>
      <c r="B59" s="53" t="inlineStr">
        <is>
          <t>값</t>
        </is>
      </c>
      <c r="L59" s="53" t="inlineStr">
        <is>
          <t>출처</t>
        </is>
      </c>
    </row>
    <row r="60">
      <c r="A60" s="54" t="inlineStr">
        <is>
          <t>네트워크 사업</t>
        </is>
      </c>
      <c r="B60" s="55" t="n">
        <v>0.77</v>
      </c>
      <c r="L60" s="56" t="inlineStr">
        <is>
          <t>억 엔. FY2026(26.3)부터 연결·2부문(네트워크 사업, Web3 사업). 분기 이익은 부문 이익(전사비용 배분 전).</t>
        </is>
      </c>
    </row>
    <row r="61">
      <c r="A61" s="54" t="inlineStr">
        <is>
          <t>Web3 사업</t>
        </is>
      </c>
      <c r="B61" s="55" t="n">
        <v>0.18</v>
      </c>
    </row>
    <row r="62">
      <c r="A62" s="54" t="inlineStr">
        <is>
          <t>전사비용</t>
        </is>
      </c>
      <c r="B62" s="55" t="n">
        <v>-0.6</v>
      </c>
    </row>
    <row r="63">
      <c r="A63" s="54" t="inlineStr">
        <is>
          <t>영업이익</t>
        </is>
      </c>
      <c r="B63" s="55" t="n">
        <v>0.34</v>
      </c>
    </row>
    <row r="65">
      <c r="A65" s="52" t="inlineStr">
        <is>
          <t>부문별 · FY27 revised 매출</t>
        </is>
      </c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</row>
    <row r="66">
      <c r="A66" s="53" t="inlineStr">
        <is>
          <t>항목</t>
        </is>
      </c>
      <c r="B66" s="53" t="inlineStr">
        <is>
          <t>값</t>
        </is>
      </c>
      <c r="L66" s="53" t="inlineStr">
        <is>
          <t>출처</t>
        </is>
      </c>
    </row>
    <row r="67">
      <c r="A67" s="54" t="inlineStr">
        <is>
          <t>네트워크 사업</t>
        </is>
      </c>
      <c r="B67" s="55" t="n">
        <v>14.76</v>
      </c>
      <c r="L67" s="56" t="inlineStr">
        <is>
          <t>억 엔. FY2026(26.3)부터 연결·2부문(네트워크 사업, Web3 사업). 분기 이익은 부문 이익(전사비용 배분 전).</t>
        </is>
      </c>
    </row>
    <row r="68">
      <c r="A68" s="54" t="inlineStr">
        <is>
          <t>Web3 사업</t>
        </is>
      </c>
      <c r="B68" s="55" t="n">
        <v>1.53</v>
      </c>
    </row>
    <row r="70">
      <c r="A70" s="52" t="inlineStr">
        <is>
          <t>bs annual bn</t>
        </is>
      </c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</row>
    <row r="71">
      <c r="A71" s="53" t="inlineStr">
        <is>
          <t>항목</t>
        </is>
      </c>
      <c r="B71" s="53" t="inlineStr">
        <is>
          <t>2022</t>
        </is>
      </c>
      <c r="C71" s="53" t="inlineStr">
        <is>
          <t>2023</t>
        </is>
      </c>
      <c r="D71" s="53" t="inlineStr">
        <is>
          <t>2024</t>
        </is>
      </c>
      <c r="E71" s="53" t="inlineStr">
        <is>
          <t>2025</t>
        </is>
      </c>
      <c r="F71" s="53" t="inlineStr">
        <is>
          <t>2026</t>
        </is>
      </c>
      <c r="L71" s="53" t="inlineStr">
        <is>
          <t>출처</t>
        </is>
      </c>
    </row>
    <row r="72">
      <c r="A72" s="54" t="inlineStr">
        <is>
          <t>labels</t>
        </is>
      </c>
      <c r="B72" s="57" t="n">
        <v>2022</v>
      </c>
      <c r="C72" s="57" t="n">
        <v>2023</v>
      </c>
      <c r="D72" s="57" t="n">
        <v>2024</v>
      </c>
      <c r="E72" s="57" t="n">
        <v>2025</v>
      </c>
      <c r="F72" s="57" t="n">
        <v>2026</v>
      </c>
      <c r="L72" s="56" t="inlineStr">
        <is>
          <t>2단계 보고서 자료(회사 설명회 자료·공시)</t>
        </is>
      </c>
    </row>
    <row r="73">
      <c r="A73" s="54" t="inlineStr">
        <is>
          <t>합계 assets</t>
        </is>
      </c>
      <c r="B73" s="55" t="n">
        <v>7.6</v>
      </c>
      <c r="C73" s="55" t="n">
        <v>7.1</v>
      </c>
      <c r="D73" s="55" t="n">
        <v>6.5</v>
      </c>
      <c r="E73" s="55" t="n">
        <v>7.3</v>
      </c>
      <c r="F73" s="55" t="n">
        <v>8.6</v>
      </c>
    </row>
    <row r="74">
      <c r="A74" s="54" t="inlineStr">
        <is>
          <t>cash</t>
        </is>
      </c>
      <c r="B74" s="55" t="n">
        <v>3.1</v>
      </c>
      <c r="C74" s="55" t="n">
        <v>2.3</v>
      </c>
      <c r="D74" s="55" t="n">
        <v>1.6</v>
      </c>
      <c r="E74" s="55" t="n">
        <v>3.6</v>
      </c>
      <c r="F74" s="55" t="n">
        <v>2.1</v>
      </c>
    </row>
    <row r="75">
      <c r="A75" s="54" t="inlineStr">
        <is>
          <t>inventory</t>
        </is>
      </c>
      <c r="B75" s="55" t="n">
        <v>2</v>
      </c>
      <c r="C75" s="55" t="n">
        <v>2.5</v>
      </c>
      <c r="D75" s="55" t="n">
        <v>2.6</v>
      </c>
      <c r="E75" s="55" t="n">
        <v>2</v>
      </c>
      <c r="F75" s="55" t="n">
        <v>4.2</v>
      </c>
    </row>
    <row r="76">
      <c r="A76" s="54" t="inlineStr">
        <is>
          <t>receivables</t>
        </is>
      </c>
      <c r="B76" s="55" t="n">
        <v>0</v>
      </c>
      <c r="C76" s="58" t="n"/>
      <c r="D76" s="58" t="n"/>
      <c r="E76" s="58" t="n"/>
      <c r="F76" s="55" t="n">
        <v>1.5</v>
      </c>
    </row>
    <row r="77">
      <c r="A77" s="54" t="inlineStr">
        <is>
          <t>합계 liab</t>
        </is>
      </c>
      <c r="B77" s="55" t="n">
        <v>2.9</v>
      </c>
      <c r="C77" s="55" t="n">
        <v>2.5</v>
      </c>
      <c r="D77" s="55" t="n">
        <v>2.9</v>
      </c>
      <c r="E77" s="55" t="n">
        <v>3.1</v>
      </c>
      <c r="F77" s="55" t="n">
        <v>4.2</v>
      </c>
    </row>
    <row r="78">
      <c r="A78" s="54" t="inlineStr">
        <is>
          <t>equity</t>
        </is>
      </c>
      <c r="B78" s="55" t="n">
        <v>4.7</v>
      </c>
      <c r="C78" s="55" t="n">
        <v>4.6</v>
      </c>
      <c r="D78" s="55" t="n">
        <v>3.6</v>
      </c>
      <c r="E78" s="55" t="n">
        <v>4.2</v>
      </c>
      <c r="F78" s="55" t="n">
        <v>4.5</v>
      </c>
    </row>
    <row r="79">
      <c r="A79" s="54" t="inlineStr">
        <is>
          <t>retained</t>
        </is>
      </c>
      <c r="B79" s="55" t="n">
        <v>-0.3</v>
      </c>
      <c r="C79" s="55" t="n">
        <v>-1.4</v>
      </c>
      <c r="D79" s="55" t="n">
        <v>-2.4</v>
      </c>
      <c r="E79" s="55" t="n">
        <v>-2.3</v>
      </c>
      <c r="F79" s="55" t="n">
        <v>-2.1</v>
      </c>
    </row>
    <row r="81">
      <c r="A81" s="52" t="inlineStr">
        <is>
          <t>cf annual bn</t>
        </is>
      </c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</row>
    <row r="82">
      <c r="A82" s="53" t="inlineStr">
        <is>
          <t>항목</t>
        </is>
      </c>
      <c r="B82" s="53" t="inlineStr">
        <is>
          <t>2022</t>
        </is>
      </c>
      <c r="C82" s="53" t="inlineStr">
        <is>
          <t>2023</t>
        </is>
      </c>
      <c r="D82" s="53" t="inlineStr">
        <is>
          <t>2024</t>
        </is>
      </c>
      <c r="E82" s="53" t="inlineStr">
        <is>
          <t>2025</t>
        </is>
      </c>
      <c r="F82" s="53" t="inlineStr">
        <is>
          <t>2026</t>
        </is>
      </c>
      <c r="L82" s="53" t="inlineStr">
        <is>
          <t>출처</t>
        </is>
      </c>
    </row>
    <row r="83">
      <c r="A83" s="54" t="inlineStr">
        <is>
          <t>labels</t>
        </is>
      </c>
      <c r="B83" s="57" t="n">
        <v>2022</v>
      </c>
      <c r="C83" s="57" t="n">
        <v>2023</v>
      </c>
      <c r="D83" s="57" t="n">
        <v>2024</v>
      </c>
      <c r="E83" s="57" t="n">
        <v>2025</v>
      </c>
      <c r="F83" s="57" t="n">
        <v>2026</v>
      </c>
      <c r="L83" s="56" t="inlineStr">
        <is>
          <t>2단계 보고서 자료(회사 설명회 자료·공시)</t>
        </is>
      </c>
    </row>
    <row r="84">
      <c r="A84" s="54" t="inlineStr">
        <is>
          <t>ocf</t>
        </is>
      </c>
      <c r="B84" s="55" t="n">
        <v>-1</v>
      </c>
      <c r="C84" s="55" t="n">
        <v>-1.8</v>
      </c>
      <c r="D84" s="55" t="n">
        <v>-0.6</v>
      </c>
      <c r="E84" s="55" t="n">
        <v>1.5</v>
      </c>
      <c r="F84" s="55" t="n">
        <v>-1.4</v>
      </c>
    </row>
    <row r="85">
      <c r="A85" s="54" t="inlineStr">
        <is>
          <t>설비투자</t>
        </is>
      </c>
      <c r="B85" s="55" t="n">
        <v>0</v>
      </c>
      <c r="C85" s="55" t="n">
        <v>0.1</v>
      </c>
      <c r="D85" s="55" t="n">
        <v>0</v>
      </c>
      <c r="E85" s="55" t="n">
        <v>0</v>
      </c>
      <c r="F85" s="55" t="n">
        <v>0</v>
      </c>
    </row>
    <row r="87">
      <c r="A87" s="52" t="inlineStr">
        <is>
          <t>market</t>
        </is>
      </c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A88" s="53" t="inlineStr">
        <is>
          <t>항목</t>
        </is>
      </c>
      <c r="B88" s="53" t="inlineStr">
        <is>
          <t>값</t>
        </is>
      </c>
      <c r="L88" s="53" t="inlineStr">
        <is>
          <t>출처</t>
        </is>
      </c>
    </row>
    <row r="89">
      <c r="A89" s="54" t="inlineStr">
        <is>
          <t>가격</t>
        </is>
      </c>
      <c r="B89" s="57" t="n">
        <v>1114</v>
      </c>
      <c r="L89" s="56" t="inlineStr">
        <is>
          <t>2단계 보고서 자료(회사 설명회 자료·공시)</t>
        </is>
      </c>
    </row>
    <row r="90">
      <c r="A90" s="54" t="inlineStr">
        <is>
          <t>shares mn</t>
        </is>
      </c>
      <c r="B90" s="55" t="n">
        <v>4.737</v>
      </c>
    </row>
    <row r="91">
      <c r="A91" s="54" t="inlineStr">
        <is>
          <t>mcap bn</t>
        </is>
      </c>
      <c r="B91" s="55" t="n">
        <v>52.8</v>
      </c>
    </row>
    <row r="92">
      <c r="A92" s="54" t="inlineStr">
        <is>
          <t>PER 가이던스 revised</t>
        </is>
      </c>
      <c r="B92" s="55" t="n">
        <v>73.40000000000001</v>
      </c>
    </row>
    <row r="93">
      <c r="A93" s="54" t="inlineStr">
        <is>
          <t>PER 가이던스 before</t>
        </is>
      </c>
      <c r="B93" s="55" t="n">
        <v>105.7</v>
      </c>
    </row>
    <row r="94">
      <c r="A94" s="54" t="inlineStr">
        <is>
          <t>PER 상반기 annualized</t>
        </is>
      </c>
      <c r="B94" s="55" t="n">
        <v>26.4</v>
      </c>
    </row>
    <row r="95">
      <c r="A95" s="54" t="inlineStr">
        <is>
          <t>PBR</t>
        </is>
      </c>
      <c r="B95" s="5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2026-08-07</t>
        </is>
      </c>
      <c r="B4" t="inlineStr">
        <is>
          <t>2027년 3월 결산기 １분기 결산단신</t>
        </is>
      </c>
      <c r="C4" t="inlineStr">
        <is>
          <t>https://www2.jpx.co.jp/disc/68360/140120260806513271.pdf</t>
        </is>
      </c>
    </row>
    <row r="5">
      <c r="A5" t="inlineStr">
        <is>
          <t>2026-05-15</t>
        </is>
      </c>
      <c r="B5" t="inlineStr">
        <is>
          <t>2026년 3월 결산기 연간 결산단신</t>
        </is>
      </c>
      <c r="C5" t="inlineStr">
        <is>
          <t>https://www2.jpx.co.jp/disc/68360/140120260514535814.pdf</t>
        </is>
      </c>
    </row>
    <row r="6">
      <c r="A6" t="inlineStr">
        <is>
          <t>2026-02-06</t>
        </is>
      </c>
      <c r="B6" t="inlineStr">
        <is>
          <t>2026년 3월 결산기 ３분기 결산단신</t>
        </is>
      </c>
      <c r="C6" t="inlineStr">
        <is>
          <t>https://www2.jpx.co.jp/disc/68360/140120260204547332.pdf</t>
        </is>
      </c>
    </row>
    <row r="7">
      <c r="A7" t="inlineStr">
        <is>
          <t>2025-11-07</t>
        </is>
      </c>
      <c r="B7" t="inlineStr">
        <is>
          <t>2026년 3월 결산기 ２분기 결산단신</t>
        </is>
      </c>
      <c r="C7" t="inlineStr">
        <is>
          <t>https://www2.jpx.co.jp/disc/68360/140120251106590212.pdf</t>
        </is>
      </c>
    </row>
    <row r="8">
      <c r="A8" t="inlineStr">
        <is>
          <t>2025-08-08</t>
        </is>
      </c>
      <c r="B8" t="inlineStr">
        <is>
          <t>2026년 3월 결산기 １분기 결산단신</t>
        </is>
      </c>
      <c r="C8" t="inlineStr">
        <is>
          <t>https://www2.jpx.co.jp/disc/68360/140120250807534694.pdf</t>
        </is>
      </c>
    </row>
    <row r="9">
      <c r="A9" t="inlineStr">
        <is>
          <t>2025-05-09</t>
        </is>
      </c>
      <c r="B9" t="inlineStr">
        <is>
          <t>2025년 3월 결산기 연간 결산단신</t>
        </is>
      </c>
      <c r="C9" t="inlineStr">
        <is>
          <t>https://www2.jpx.co.jp/disc/68360/140120250508535290.pdf</t>
        </is>
      </c>
    </row>
    <row r="10">
      <c r="A10" t="inlineStr">
        <is>
          <t>2025-02-07</t>
        </is>
      </c>
      <c r="B10" t="inlineStr">
        <is>
          <t>2025년 3월 결산기 ３분기 결산단신</t>
        </is>
      </c>
      <c r="C10" t="inlineStr">
        <is>
          <t>https://www2.jpx.co.jp/disc/68360/140120250206565727.pdf</t>
        </is>
      </c>
    </row>
    <row r="11">
      <c r="A11" t="inlineStr">
        <is>
          <t>2024-11-08</t>
        </is>
      </c>
      <c r="B11" t="inlineStr">
        <is>
          <t>2025년 3월 결산기 ２분기 결산단신</t>
        </is>
      </c>
      <c r="C11" t="inlineStr">
        <is>
          <t>https://www2.jpx.co.jp/disc/68360/140120241107514599.pdf</t>
        </is>
      </c>
    </row>
    <row r="12">
      <c r="A12" t="inlineStr">
        <is>
          <t>2024-08-09</t>
        </is>
      </c>
      <c r="B12" t="inlineStr">
        <is>
          <t>2025년 3월 결산기 １분기 결산단신</t>
        </is>
      </c>
      <c r="C12" t="inlineStr">
        <is>
          <t>https://www2.jpx.co.jp/disc/68360/140120240808567947.pdf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https://www2.jpx.co.jp/disc/68360/140120240509587026.pdf</t>
        </is>
      </c>
    </row>
    <row r="14">
      <c r="A14" t="inlineStr">
        <is>
          <t>2024-02-09</t>
        </is>
      </c>
      <c r="B14" t="inlineStr">
        <is>
          <t>2024년 3월 결산기 ３분기 결산단신</t>
        </is>
      </c>
      <c r="C14" t="inlineStr">
        <is>
          <t>https://www2.jpx.co.jp/disc/68360/140120240208530849.pdf</t>
        </is>
      </c>
    </row>
    <row r="15">
      <c r="A15" t="inlineStr">
        <is>
          <t>2023-11-10</t>
        </is>
      </c>
      <c r="B15" t="inlineStr">
        <is>
          <t>2024년 3월 결산기 ２분기 결산단신</t>
        </is>
      </c>
      <c r="C15" t="inlineStr">
        <is>
          <t>https://www2.jpx.co.jp/disc/68360/140120231109583632.pdf</t>
        </is>
      </c>
    </row>
    <row r="16">
      <c r="A16" t="inlineStr">
        <is>
          <t>2023-08-04</t>
        </is>
      </c>
      <c r="B16" t="inlineStr">
        <is>
          <t>2024년 3월 결산기 １분기 결산단신</t>
        </is>
      </c>
      <c r="C16" t="inlineStr">
        <is>
          <t>https://www2.jpx.co.jp/disc/68360/140120230803533873.pdf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https://www2.jpx.co.jp/disc/68360/140120230511567277.pdf</t>
        </is>
      </c>
    </row>
    <row r="18">
      <c r="A18" t="inlineStr">
        <is>
          <t>2023-02-03</t>
        </is>
      </c>
      <c r="B18" t="inlineStr">
        <is>
          <t>2023년 3월 결산기 ３분기 결산단신</t>
        </is>
      </c>
      <c r="C18" t="inlineStr">
        <is>
          <t>https://www2.jpx.co.jp/disc/68360/140120230202599355.pdf</t>
        </is>
      </c>
    </row>
    <row r="19">
      <c r="A19" t="inlineStr">
        <is>
          <t>2022-11-04</t>
        </is>
      </c>
      <c r="B19" t="inlineStr">
        <is>
          <t>2023년 3월 결산기 ２분기 결산단신</t>
        </is>
      </c>
      <c r="C19" t="inlineStr">
        <is>
          <t>https://www2.jpx.co.jp/disc/68360/140120221102556026.pdf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https://www2.jpx.co.jp/disc/68360/140120220512543541.pdf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https://www2.jpx.co.jp/disc/68360/140120210513416414.pdf</t>
        </is>
      </c>
    </row>
    <row r="22">
      <c r="A22" t="inlineStr">
        <is>
          <t>2020-05-20</t>
        </is>
      </c>
      <c r="B22" t="inlineStr">
        <is>
          <t>2020년 3월 결산기 연간 결산단신</t>
        </is>
      </c>
      <c r="C22" t="inlineStr">
        <is>
          <t>https://www2.jpx.co.jp/disc/68360/140120200518417719.pdf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https://www2.jpx.co.jp/disc/68360/140120190509418914.pdf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https://www2.jpx.co.jp/disc/68360/140120180510434133.pdf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6836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36건(2017-11-10~2026-08-07).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3Q16</t>
        </is>
      </c>
      <c r="C4" s="63" t="inlineStr">
        <is>
          <t>4Q16</t>
        </is>
      </c>
      <c r="D4" s="63" t="inlineStr">
        <is>
          <t>1Q17</t>
        </is>
      </c>
      <c r="E4" s="63" t="inlineStr">
        <is>
          <t>2Q17</t>
        </is>
      </c>
      <c r="F4" s="63" t="inlineStr">
        <is>
          <t>3Q17</t>
        </is>
      </c>
      <c r="G4" s="63" t="inlineStr">
        <is>
          <t>4Q17</t>
        </is>
      </c>
      <c r="H4" s="63" t="inlineStr">
        <is>
          <t>1Q18</t>
        </is>
      </c>
      <c r="I4" s="63" t="inlineStr">
        <is>
          <t>2Q18</t>
        </is>
      </c>
      <c r="J4" s="63" t="inlineStr">
        <is>
          <t>3Q18</t>
        </is>
      </c>
      <c r="K4" s="63" t="inlineStr">
        <is>
          <t>4Q18</t>
        </is>
      </c>
      <c r="L4" s="63" t="inlineStr">
        <is>
          <t>1Q19</t>
        </is>
      </c>
      <c r="M4" s="63" t="inlineStr">
        <is>
          <t>2Q19</t>
        </is>
      </c>
      <c r="N4" s="63" t="inlineStr">
        <is>
          <t>3Q19</t>
        </is>
      </c>
      <c r="O4" s="63" t="inlineStr">
        <is>
          <t>4Q19</t>
        </is>
      </c>
      <c r="P4" s="63" t="inlineStr">
        <is>
          <t>1Q20</t>
        </is>
      </c>
      <c r="Q4" s="63" t="inlineStr">
        <is>
          <t>2Q20</t>
        </is>
      </c>
      <c r="R4" s="63" t="inlineStr">
        <is>
          <t>3Q20</t>
        </is>
      </c>
      <c r="S4" s="63" t="inlineStr">
        <is>
          <t>4Q20</t>
        </is>
      </c>
      <c r="T4" s="63" t="inlineStr">
        <is>
          <t>1Q21</t>
        </is>
      </c>
      <c r="U4" s="63" t="inlineStr">
        <is>
          <t>2Q21</t>
        </is>
      </c>
      <c r="V4" s="63" t="inlineStr">
        <is>
          <t>3Q21</t>
        </is>
      </c>
      <c r="W4" s="63" t="inlineStr">
        <is>
          <t>4Q21</t>
        </is>
      </c>
      <c r="X4" s="63" t="inlineStr">
        <is>
          <t>1Q22</t>
        </is>
      </c>
      <c r="Y4" s="63" t="inlineStr">
        <is>
          <t>2Q22</t>
        </is>
      </c>
      <c r="Z4" s="63" t="inlineStr">
        <is>
          <t>3Q22</t>
        </is>
      </c>
      <c r="AA4" s="63" t="inlineStr">
        <is>
          <t>4Q22</t>
        </is>
      </c>
      <c r="AB4" s="63" t="inlineStr">
        <is>
          <t>1Q23</t>
        </is>
      </c>
      <c r="AC4" s="63" t="inlineStr">
        <is>
          <t>2Q23</t>
        </is>
      </c>
      <c r="AD4" s="63" t="inlineStr">
        <is>
          <t>3Q23</t>
        </is>
      </c>
      <c r="AE4" s="63" t="inlineStr">
        <is>
          <t>4Q23</t>
        </is>
      </c>
      <c r="AF4" s="63" t="inlineStr">
        <is>
          <t>1Q24</t>
        </is>
      </c>
      <c r="AG4" s="63" t="inlineStr">
        <is>
          <t>2Q24</t>
        </is>
      </c>
      <c r="AH4" s="63" t="inlineStr">
        <is>
          <t>3Q24</t>
        </is>
      </c>
      <c r="AI4" s="63" t="inlineStr">
        <is>
          <t>4Q24</t>
        </is>
      </c>
      <c r="AJ4" s="63" t="inlineStr">
        <is>
          <t>1Q25</t>
        </is>
      </c>
      <c r="AK4" s="63" t="inlineStr">
        <is>
          <t>2Q25</t>
        </is>
      </c>
      <c r="AL4" s="63" t="inlineStr">
        <is>
          <t>3Q25</t>
        </is>
      </c>
      <c r="AM4" s="63" t="inlineStr">
        <is>
          <t>4Q25</t>
        </is>
      </c>
      <c r="AN4" s="63" t="inlineStr">
        <is>
          <t>1Q26</t>
        </is>
      </c>
      <c r="AO4" s="63" t="inlineStr">
        <is>
          <t>2Q26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2.9</v>
      </c>
      <c r="D5" s="65" t="n">
        <v>3.1</v>
      </c>
      <c r="E5" s="65" t="n">
        <v>3.2</v>
      </c>
      <c r="F5" s="65" t="n">
        <v>3.3</v>
      </c>
      <c r="G5" s="65" t="n">
        <v>3.4</v>
      </c>
      <c r="H5" s="65" t="n">
        <v>3.1</v>
      </c>
      <c r="I5" s="65" t="n">
        <v>2.8</v>
      </c>
      <c r="J5" s="65" t="n">
        <v>2.8</v>
      </c>
      <c r="K5" s="65" t="n">
        <v>2.1</v>
      </c>
      <c r="L5" s="65" t="n">
        <v>3.4</v>
      </c>
      <c r="M5" s="65" t="n">
        <v>2.7</v>
      </c>
      <c r="N5" s="65" t="n">
        <v>2.8</v>
      </c>
      <c r="O5" s="65" t="n">
        <v>2.5</v>
      </c>
      <c r="P5" s="65" t="n">
        <v>3.1</v>
      </c>
      <c r="Q5" s="65" t="n">
        <v>2.7</v>
      </c>
      <c r="R5" s="65" t="n">
        <v>3.1</v>
      </c>
      <c r="S5" s="65" t="n">
        <v>3.3</v>
      </c>
      <c r="T5" s="65" t="n">
        <v>3.2</v>
      </c>
      <c r="U5" s="65" t="n">
        <v>2.7</v>
      </c>
      <c r="V5" s="65" t="n">
        <v>2.9</v>
      </c>
      <c r="W5" s="65" t="n">
        <v>3.1</v>
      </c>
      <c r="X5" s="65" t="n">
        <v>3.4</v>
      </c>
      <c r="Y5" s="65" t="n">
        <v>2.8</v>
      </c>
      <c r="Z5" s="65" t="n">
        <v>1.7</v>
      </c>
      <c r="AA5" s="65" t="n">
        <v>2.3</v>
      </c>
      <c r="AB5" s="65" t="n">
        <v>3.2</v>
      </c>
      <c r="AC5" s="65" t="n">
        <v>2.3</v>
      </c>
      <c r="AD5" s="65" t="n">
        <v>2.3</v>
      </c>
      <c r="AE5" s="65" t="n">
        <v>2.4</v>
      </c>
      <c r="AF5" s="65" t="n">
        <v>2.9</v>
      </c>
      <c r="AG5" s="65" t="n">
        <v>2.6</v>
      </c>
      <c r="AH5" s="65" t="n">
        <v>3</v>
      </c>
      <c r="AI5" s="65" t="n">
        <v>3.2</v>
      </c>
      <c r="AJ5" s="65" t="n">
        <v>2.9</v>
      </c>
      <c r="AK5" s="65" t="n">
        <v>3</v>
      </c>
      <c r="AL5" s="65" t="n">
        <v>3.9</v>
      </c>
      <c r="AM5" s="65" t="n">
        <v>2.8</v>
      </c>
      <c r="AN5" s="65" t="n">
        <v>3.2</v>
      </c>
      <c r="AO5" s="65" t="n">
        <v>4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17.2</v>
      </c>
      <c r="H6" s="66" t="n">
        <v>0</v>
      </c>
      <c r="I6" s="66" t="n">
        <v>-12.5</v>
      </c>
      <c r="J6" s="66" t="n">
        <v>-15.2</v>
      </c>
      <c r="K6" s="66" t="n">
        <v>-38.2</v>
      </c>
      <c r="L6" s="66" t="n">
        <v>9.699999999999999</v>
      </c>
      <c r="M6" s="66" t="n">
        <v>-3.6</v>
      </c>
      <c r="N6" s="66" t="n">
        <v>0</v>
      </c>
      <c r="O6" s="66" t="n">
        <v>19</v>
      </c>
      <c r="P6" s="66" t="n">
        <v>-8.800000000000001</v>
      </c>
      <c r="Q6" s="66" t="n">
        <v>0</v>
      </c>
      <c r="R6" s="66" t="n">
        <v>10.7</v>
      </c>
      <c r="S6" s="66" t="n">
        <v>32</v>
      </c>
      <c r="T6" s="66" t="n">
        <v>3.2</v>
      </c>
      <c r="U6" s="66" t="n">
        <v>0</v>
      </c>
      <c r="V6" s="66" t="n">
        <v>-6.5</v>
      </c>
      <c r="W6" s="66" t="n">
        <v>-6.1</v>
      </c>
      <c r="X6" s="66" t="n">
        <v>6.2</v>
      </c>
      <c r="Y6" s="66" t="n">
        <v>3.7</v>
      </c>
      <c r="Z6" s="66" t="n">
        <v>-41.4</v>
      </c>
      <c r="AA6" s="66" t="n">
        <v>-25.8</v>
      </c>
      <c r="AB6" s="66" t="n">
        <v>-5.9</v>
      </c>
      <c r="AC6" s="66" t="n">
        <v>-17.9</v>
      </c>
      <c r="AD6" s="66" t="n">
        <v>35.3</v>
      </c>
      <c r="AE6" s="66" t="n">
        <v>4.3</v>
      </c>
      <c r="AF6" s="66" t="n">
        <v>-9.4</v>
      </c>
      <c r="AG6" s="66" t="n">
        <v>13</v>
      </c>
      <c r="AH6" s="66" t="n">
        <v>30.4</v>
      </c>
      <c r="AI6" s="66" t="n">
        <v>33.3</v>
      </c>
      <c r="AJ6" s="66" t="n">
        <v>0</v>
      </c>
      <c r="AK6" s="66" t="n">
        <v>15.4</v>
      </c>
      <c r="AL6" s="66" t="n">
        <v>30</v>
      </c>
      <c r="AM6" s="66" t="n">
        <v>-12.5</v>
      </c>
      <c r="AN6" s="66" t="n">
        <v>10.3</v>
      </c>
      <c r="AO6" s="66" t="n">
        <v>33.3</v>
      </c>
    </row>
    <row r="7">
      <c r="A7" s="64" t="inlineStr">
        <is>
          <t>영업이익</t>
        </is>
      </c>
      <c r="B7" s="65" t="n"/>
      <c r="C7" s="65" t="n">
        <v>-0.5</v>
      </c>
      <c r="D7" s="65" t="n">
        <v>-0.4</v>
      </c>
      <c r="E7" s="65" t="n">
        <v>-0.4</v>
      </c>
      <c r="F7" s="65" t="n">
        <v>-0.2</v>
      </c>
      <c r="G7" s="65" t="n">
        <v>-0.2</v>
      </c>
      <c r="H7" s="65" t="n">
        <v>-0.4</v>
      </c>
      <c r="I7" s="65" t="n">
        <v>-0.5</v>
      </c>
      <c r="J7" s="65" t="n">
        <v>-0.5</v>
      </c>
      <c r="K7" s="65" t="n">
        <v>-0.5</v>
      </c>
      <c r="L7" s="65" t="n">
        <v>-0.2</v>
      </c>
      <c r="M7" s="65" t="n">
        <v>-0.4</v>
      </c>
      <c r="N7" s="65" t="n">
        <v>-0.3</v>
      </c>
      <c r="O7" s="65" t="n">
        <v>-0.5</v>
      </c>
      <c r="P7" s="65" t="n">
        <v>-0.1</v>
      </c>
      <c r="Q7" s="65" t="n">
        <v>-0.5</v>
      </c>
      <c r="R7" s="65" t="n">
        <v>-0.3</v>
      </c>
      <c r="S7" s="65" t="n">
        <v>-0.2</v>
      </c>
      <c r="T7" s="65" t="n">
        <v>-0.2</v>
      </c>
      <c r="U7" s="65" t="n">
        <v>-0.4</v>
      </c>
      <c r="V7" s="65" t="n">
        <v>-0.2</v>
      </c>
      <c r="W7" s="65" t="n">
        <v>-0.1</v>
      </c>
      <c r="X7" s="65" t="n">
        <v>0.2</v>
      </c>
      <c r="Y7" s="65" t="n">
        <v>-0.2</v>
      </c>
      <c r="Z7" s="65" t="n">
        <v>-0.5</v>
      </c>
      <c r="AA7" s="65" t="n">
        <v>-0.3</v>
      </c>
      <c r="AB7" s="65" t="n">
        <v>0</v>
      </c>
      <c r="AC7" s="65" t="n">
        <v>-0.3</v>
      </c>
      <c r="AD7" s="65" t="n">
        <v>-0.3</v>
      </c>
      <c r="AE7" s="65" t="n">
        <v>-0.2</v>
      </c>
      <c r="AF7" s="65" t="n">
        <v>-0.1</v>
      </c>
      <c r="AG7" s="65" t="n">
        <v>-0.3</v>
      </c>
      <c r="AH7" s="65" t="n">
        <v>-0</v>
      </c>
      <c r="AI7" s="65" t="n">
        <v>-0.2</v>
      </c>
      <c r="AJ7" s="65" t="n">
        <v>0</v>
      </c>
      <c r="AK7" s="65" t="n">
        <v>-0.1</v>
      </c>
      <c r="AL7" s="65" t="n">
        <v>0.2</v>
      </c>
      <c r="AM7" s="65" t="n">
        <v>-0.1</v>
      </c>
      <c r="AN7" s="65" t="n">
        <v>0.1</v>
      </c>
      <c r="AO7" s="65" t="n">
        <v>0.3</v>
      </c>
    </row>
    <row r="8">
      <c r="A8" s="64" t="inlineStr">
        <is>
          <t>영업이익률</t>
        </is>
      </c>
      <c r="B8" s="66" t="n"/>
      <c r="C8" s="66" t="n">
        <v>-17.2</v>
      </c>
      <c r="D8" s="66" t="n">
        <v>-12.9</v>
      </c>
      <c r="E8" s="66" t="n">
        <v>-12.5</v>
      </c>
      <c r="F8" s="66" t="n">
        <v>-6.1</v>
      </c>
      <c r="G8" s="66" t="n">
        <v>-5.9</v>
      </c>
      <c r="H8" s="66" t="n">
        <v>-12.9</v>
      </c>
      <c r="I8" s="66" t="n">
        <v>-17.9</v>
      </c>
      <c r="J8" s="66" t="n">
        <v>-17.9</v>
      </c>
      <c r="K8" s="66" t="n">
        <v>-23.8</v>
      </c>
      <c r="L8" s="66" t="n">
        <v>-5.9</v>
      </c>
      <c r="M8" s="66" t="n">
        <v>-14.8</v>
      </c>
      <c r="N8" s="66" t="n">
        <v>-10.7</v>
      </c>
      <c r="O8" s="66" t="n">
        <v>-20</v>
      </c>
      <c r="P8" s="66" t="n">
        <v>-3.2</v>
      </c>
      <c r="Q8" s="66" t="n">
        <v>-18.5</v>
      </c>
      <c r="R8" s="66" t="n">
        <v>-9.699999999999999</v>
      </c>
      <c r="S8" s="66" t="n">
        <v>-6.1</v>
      </c>
      <c r="T8" s="66" t="n">
        <v>-6.2</v>
      </c>
      <c r="U8" s="66" t="n">
        <v>-14.8</v>
      </c>
      <c r="V8" s="66" t="n">
        <v>-6.9</v>
      </c>
      <c r="W8" s="66" t="n">
        <v>-3.2</v>
      </c>
      <c r="X8" s="66" t="n">
        <v>5.9</v>
      </c>
      <c r="Y8" s="66" t="n">
        <v>-7.1</v>
      </c>
      <c r="Z8" s="66" t="n">
        <v>-29.4</v>
      </c>
      <c r="AA8" s="66" t="n">
        <v>-13</v>
      </c>
      <c r="AB8" s="66" t="n">
        <v>0</v>
      </c>
      <c r="AC8" s="66" t="n">
        <v>-13</v>
      </c>
      <c r="AD8" s="66" t="n">
        <v>-13</v>
      </c>
      <c r="AE8" s="66" t="n">
        <v>-8.300000000000001</v>
      </c>
      <c r="AF8" s="66" t="n">
        <v>-3.4</v>
      </c>
      <c r="AG8" s="66" t="n">
        <v>-11.5</v>
      </c>
      <c r="AH8" s="66" t="n">
        <v>-0</v>
      </c>
      <c r="AI8" s="66" t="n">
        <v>-6.2</v>
      </c>
      <c r="AJ8" s="66" t="n">
        <v>0</v>
      </c>
      <c r="AK8" s="66" t="n">
        <v>-3.3</v>
      </c>
      <c r="AL8" s="66" t="n">
        <v>5.1</v>
      </c>
      <c r="AM8" s="66" t="n">
        <v>-3.6</v>
      </c>
      <c r="AN8" s="66" t="n">
        <v>3.1</v>
      </c>
      <c r="AO8" s="66" t="n">
        <v>7.5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>
        <v>-100</v>
      </c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</row>
    <row r="10">
      <c r="A10" s="64" t="inlineStr">
        <is>
          <t>유동자산</t>
        </is>
      </c>
      <c r="B10" s="65" t="n"/>
      <c r="C10" s="65" t="n"/>
      <c r="D10" s="65" t="n">
        <v>12.2</v>
      </c>
      <c r="E10" s="65" t="n"/>
      <c r="F10" s="65" t="n">
        <v>11.5</v>
      </c>
      <c r="G10" s="65" t="n">
        <v>11.6</v>
      </c>
      <c r="H10" s="65" t="n">
        <v>11.9</v>
      </c>
      <c r="I10" s="65" t="n">
        <v>10.8</v>
      </c>
      <c r="J10" s="65" t="n">
        <v>10</v>
      </c>
      <c r="K10" s="65" t="n">
        <v>9.199999999999999</v>
      </c>
      <c r="L10" s="65" t="n">
        <v>9.5</v>
      </c>
      <c r="M10" s="65" t="n">
        <v>8.9</v>
      </c>
      <c r="N10" s="65" t="n">
        <v>8.6</v>
      </c>
      <c r="O10" s="65" t="n">
        <v>7.9</v>
      </c>
      <c r="P10" s="65" t="n">
        <v>7.9</v>
      </c>
      <c r="Q10" s="65" t="n">
        <v>7.4</v>
      </c>
      <c r="R10" s="65" t="n">
        <v>7.1</v>
      </c>
      <c r="S10" s="65" t="n">
        <v>6.8</v>
      </c>
      <c r="T10" s="65" t="n">
        <v>7</v>
      </c>
      <c r="U10" s="65" t="n">
        <v>6.3</v>
      </c>
      <c r="V10" s="65" t="n">
        <v>7.2</v>
      </c>
      <c r="W10" s="65" t="n">
        <v>7.1</v>
      </c>
      <c r="X10" s="65" t="n">
        <v>7.1</v>
      </c>
      <c r="Y10" s="65" t="n">
        <v>6.8</v>
      </c>
      <c r="Z10" s="65" t="n">
        <v>5.9</v>
      </c>
      <c r="AA10" s="65" t="n">
        <v>5.6</v>
      </c>
      <c r="AB10" s="65" t="n">
        <v>6.6</v>
      </c>
      <c r="AC10" s="65" t="n">
        <v>6.5</v>
      </c>
      <c r="AD10" s="65" t="n">
        <v>6.5</v>
      </c>
      <c r="AE10" s="65" t="n">
        <v>5.8</v>
      </c>
      <c r="AF10" s="65" t="n">
        <v>6</v>
      </c>
      <c r="AG10" s="65" t="n">
        <v>6.8</v>
      </c>
      <c r="AH10" s="65" t="n">
        <v>6.2</v>
      </c>
      <c r="AI10" s="65" t="n">
        <v>6.5</v>
      </c>
      <c r="AJ10" s="65" t="n">
        <v>6.8</v>
      </c>
      <c r="AK10" s="65" t="n">
        <v>6.8</v>
      </c>
      <c r="AL10" s="65" t="n">
        <v>7.4</v>
      </c>
      <c r="AM10" s="65" t="n">
        <v>7.2</v>
      </c>
      <c r="AN10" s="65" t="n">
        <v>8.1</v>
      </c>
      <c r="AO10" s="65" t="n">
        <v>9.6</v>
      </c>
    </row>
    <row r="11">
      <c r="A11" s="64" t="inlineStr">
        <is>
          <t>유동부채</t>
        </is>
      </c>
      <c r="B11" s="65" t="n"/>
      <c r="C11" s="65" t="n"/>
      <c r="D11" s="65" t="n">
        <v>2.7</v>
      </c>
      <c r="E11" s="65" t="n"/>
      <c r="F11" s="65" t="n">
        <v>2.5</v>
      </c>
      <c r="G11" s="65" t="n">
        <v>2.6</v>
      </c>
      <c r="H11" s="65" t="n">
        <v>3.3</v>
      </c>
      <c r="I11" s="65" t="n">
        <v>2.7</v>
      </c>
      <c r="J11" s="65" t="n">
        <v>2.4</v>
      </c>
      <c r="K11" s="65" t="n">
        <v>2.1</v>
      </c>
      <c r="L11" s="65" t="n">
        <v>2.6</v>
      </c>
      <c r="M11" s="65" t="n">
        <v>2.5</v>
      </c>
      <c r="N11" s="65" t="n">
        <v>2.5</v>
      </c>
      <c r="O11" s="65" t="n">
        <v>2.3</v>
      </c>
      <c r="P11" s="65" t="n">
        <v>2.4</v>
      </c>
      <c r="Q11" s="65" t="n">
        <v>2.5</v>
      </c>
      <c r="R11" s="65" t="n">
        <v>2.4</v>
      </c>
      <c r="S11" s="65" t="n">
        <v>2.3</v>
      </c>
      <c r="T11" s="65" t="n">
        <v>2.8</v>
      </c>
      <c r="U11" s="65" t="n">
        <v>2.5</v>
      </c>
      <c r="V11" s="65" t="n">
        <v>2.6</v>
      </c>
      <c r="W11" s="65" t="n">
        <v>2.6</v>
      </c>
      <c r="X11" s="65" t="n">
        <v>2.5</v>
      </c>
      <c r="Y11" s="65" t="n">
        <v>2.4</v>
      </c>
      <c r="Z11" s="65" t="n">
        <v>2.1</v>
      </c>
      <c r="AA11" s="65" t="n">
        <v>2.1</v>
      </c>
      <c r="AB11" s="65" t="n">
        <v>2.1</v>
      </c>
      <c r="AC11" s="65" t="n">
        <v>2.3</v>
      </c>
      <c r="AD11" s="65" t="n">
        <v>2.7</v>
      </c>
      <c r="AE11" s="65" t="n">
        <v>2.2</v>
      </c>
      <c r="AF11" s="65" t="n">
        <v>2.5</v>
      </c>
      <c r="AG11" s="65" t="n">
        <v>2.9</v>
      </c>
      <c r="AH11" s="65" t="n">
        <v>2.3</v>
      </c>
      <c r="AI11" s="65" t="n">
        <v>2.8</v>
      </c>
      <c r="AJ11" s="65" t="n">
        <v>2.7</v>
      </c>
      <c r="AK11" s="65" t="n">
        <v>2.8</v>
      </c>
      <c r="AL11" s="65" t="n">
        <v>3.2</v>
      </c>
      <c r="AM11" s="65" t="n">
        <v>3.1</v>
      </c>
      <c r="AN11" s="65" t="n">
        <v>3.8</v>
      </c>
      <c r="AO11" s="65" t="n">
        <v>4.4</v>
      </c>
    </row>
    <row r="12">
      <c r="A12" s="64" t="inlineStr">
        <is>
          <t>부채총계</t>
        </is>
      </c>
      <c r="B12" s="65" t="n"/>
      <c r="C12" s="65" t="n"/>
      <c r="D12" s="65" t="n">
        <v>3</v>
      </c>
      <c r="E12" s="65" t="n"/>
      <c r="F12" s="65" t="n">
        <v>2.8</v>
      </c>
      <c r="G12" s="65" t="n">
        <v>3</v>
      </c>
      <c r="H12" s="65" t="n">
        <v>3.7</v>
      </c>
      <c r="I12" s="65" t="n">
        <v>3</v>
      </c>
      <c r="J12" s="65" t="n">
        <v>2.7</v>
      </c>
      <c r="K12" s="65" t="n">
        <v>2.4</v>
      </c>
      <c r="L12" s="65" t="n">
        <v>2.9</v>
      </c>
      <c r="M12" s="65" t="n">
        <v>2.8</v>
      </c>
      <c r="N12" s="65" t="n">
        <v>2.8</v>
      </c>
      <c r="O12" s="65" t="n">
        <v>2.7</v>
      </c>
      <c r="P12" s="65" t="n">
        <v>2.8</v>
      </c>
      <c r="Q12" s="65" t="n">
        <v>2.9</v>
      </c>
      <c r="R12" s="65" t="n">
        <v>2.8</v>
      </c>
      <c r="S12" s="65" t="n">
        <v>2.7</v>
      </c>
      <c r="T12" s="65" t="n">
        <v>3.2</v>
      </c>
      <c r="U12" s="65" t="n">
        <v>2.9</v>
      </c>
      <c r="V12" s="65" t="n">
        <v>3.1</v>
      </c>
      <c r="W12" s="65" t="n">
        <v>3.1</v>
      </c>
      <c r="X12" s="65" t="n">
        <v>2.9</v>
      </c>
      <c r="Y12" s="65" t="n">
        <v>2.8</v>
      </c>
      <c r="Z12" s="65" t="n">
        <v>2.5</v>
      </c>
      <c r="AA12" s="65" t="n">
        <v>2.5</v>
      </c>
      <c r="AB12" s="65" t="n">
        <v>2.5</v>
      </c>
      <c r="AC12" s="65" t="n">
        <v>2.7</v>
      </c>
      <c r="AD12" s="65" t="n">
        <v>3</v>
      </c>
      <c r="AE12" s="65" t="n">
        <v>2.6</v>
      </c>
      <c r="AF12" s="65" t="n">
        <v>2.9</v>
      </c>
      <c r="AG12" s="65" t="n">
        <v>3.2</v>
      </c>
      <c r="AH12" s="65" t="n">
        <v>2.6</v>
      </c>
      <c r="AI12" s="65" t="n">
        <v>3.1</v>
      </c>
      <c r="AJ12" s="65" t="n">
        <v>3.1</v>
      </c>
      <c r="AK12" s="65" t="n">
        <v>3.1</v>
      </c>
      <c r="AL12" s="65" t="n">
        <v>3.5</v>
      </c>
      <c r="AM12" s="65" t="n">
        <v>3.5</v>
      </c>
      <c r="AN12" s="65" t="n">
        <v>4.2</v>
      </c>
      <c r="AO12" s="65" t="n">
        <v>5.3</v>
      </c>
    </row>
    <row r="13">
      <c r="A13" s="64" t="inlineStr">
        <is>
          <t>자기자본</t>
        </is>
      </c>
      <c r="B13" s="66" t="n"/>
      <c r="C13" s="66" t="n"/>
      <c r="D13" s="66" t="n">
        <v>9.800000000000001</v>
      </c>
      <c r="E13" s="66" t="n"/>
      <c r="F13" s="66" t="n">
        <v>9.199999999999999</v>
      </c>
      <c r="G13" s="66" t="n">
        <v>9.1</v>
      </c>
      <c r="H13" s="66" t="n">
        <v>8.699999999999999</v>
      </c>
      <c r="I13" s="66" t="n">
        <v>8.300000000000001</v>
      </c>
      <c r="J13" s="66" t="n">
        <v>7.8</v>
      </c>
      <c r="K13" s="66" t="n">
        <v>7.3</v>
      </c>
      <c r="L13" s="66" t="n">
        <v>7.1</v>
      </c>
      <c r="M13" s="66" t="n">
        <v>6.6</v>
      </c>
      <c r="N13" s="66" t="n">
        <v>6.2</v>
      </c>
      <c r="O13" s="66" t="n">
        <v>5.7</v>
      </c>
      <c r="P13" s="66" t="n">
        <v>5.6</v>
      </c>
      <c r="Q13" s="66" t="n">
        <v>5.1</v>
      </c>
      <c r="R13" s="66" t="n">
        <v>4.8</v>
      </c>
      <c r="S13" s="66" t="n">
        <v>4.6</v>
      </c>
      <c r="T13" s="66" t="n">
        <v>4.3</v>
      </c>
      <c r="U13" s="66" t="n">
        <v>3.9</v>
      </c>
      <c r="V13" s="66" t="n">
        <v>4.6</v>
      </c>
      <c r="W13" s="66" t="n">
        <v>4.5</v>
      </c>
      <c r="X13" s="66" t="n">
        <v>4.7</v>
      </c>
      <c r="Y13" s="66" t="n">
        <v>4.5</v>
      </c>
      <c r="Z13" s="66" t="n">
        <v>3.9</v>
      </c>
      <c r="AA13" s="66" t="n">
        <v>3.6</v>
      </c>
      <c r="AB13" s="66" t="n">
        <v>4.6</v>
      </c>
      <c r="AC13" s="66" t="n">
        <v>4.3</v>
      </c>
      <c r="AD13" s="66" t="n">
        <v>3.9</v>
      </c>
      <c r="AE13" s="66" t="n">
        <v>3.7</v>
      </c>
      <c r="AF13" s="66" t="n">
        <v>3.6</v>
      </c>
      <c r="AG13" s="66" t="n">
        <v>4</v>
      </c>
      <c r="AH13" s="66" t="n">
        <v>4</v>
      </c>
      <c r="AI13" s="66" t="n">
        <v>3.9</v>
      </c>
      <c r="AJ13" s="66" t="n">
        <v>4.2</v>
      </c>
      <c r="AK13" s="66" t="n">
        <v>4.1</v>
      </c>
      <c r="AL13" s="66" t="n">
        <v>4.4</v>
      </c>
      <c r="AM13" s="66" t="n">
        <v>4.3</v>
      </c>
      <c r="AN13" s="66" t="n">
        <v>4.5</v>
      </c>
      <c r="AO13" s="66" t="n">
        <v>4.8</v>
      </c>
    </row>
    <row r="14">
      <c r="A14" s="64" t="inlineStr">
        <is>
          <t>유동비율</t>
        </is>
      </c>
      <c r="B14" s="66" t="n"/>
      <c r="C14" s="66" t="n"/>
      <c r="D14" s="66" t="n">
        <v>451.9</v>
      </c>
      <c r="E14" s="66" t="n"/>
      <c r="F14" s="66" t="n">
        <v>460</v>
      </c>
      <c r="G14" s="66" t="n">
        <v>446.2</v>
      </c>
      <c r="H14" s="66" t="n">
        <v>360.6</v>
      </c>
      <c r="I14" s="66" t="n">
        <v>400</v>
      </c>
      <c r="J14" s="66" t="n">
        <v>416.7</v>
      </c>
      <c r="K14" s="66" t="n">
        <v>438.1</v>
      </c>
      <c r="L14" s="66" t="n">
        <v>365.4</v>
      </c>
      <c r="M14" s="66" t="n">
        <v>356</v>
      </c>
      <c r="N14" s="66" t="n">
        <v>344</v>
      </c>
      <c r="O14" s="66" t="n">
        <v>343.5</v>
      </c>
      <c r="P14" s="66" t="n">
        <v>329.2</v>
      </c>
      <c r="Q14" s="66" t="n">
        <v>296</v>
      </c>
      <c r="R14" s="66" t="n">
        <v>295.8</v>
      </c>
      <c r="S14" s="66" t="n">
        <v>295.7</v>
      </c>
      <c r="T14" s="66" t="n">
        <v>250</v>
      </c>
      <c r="U14" s="66" t="n">
        <v>252</v>
      </c>
      <c r="V14" s="66" t="n">
        <v>276.9</v>
      </c>
      <c r="W14" s="66" t="n">
        <v>273.1</v>
      </c>
      <c r="X14" s="66" t="n">
        <v>284</v>
      </c>
      <c r="Y14" s="66" t="n">
        <v>283.3</v>
      </c>
      <c r="Z14" s="66" t="n">
        <v>281</v>
      </c>
      <c r="AA14" s="66" t="n">
        <v>266.7</v>
      </c>
      <c r="AB14" s="66" t="n">
        <v>314.3</v>
      </c>
      <c r="AC14" s="66" t="n">
        <v>282.6</v>
      </c>
      <c r="AD14" s="66" t="n">
        <v>240.7</v>
      </c>
      <c r="AE14" s="66" t="n">
        <v>263.6</v>
      </c>
      <c r="AF14" s="66" t="n">
        <v>240</v>
      </c>
      <c r="AG14" s="66" t="n">
        <v>234.5</v>
      </c>
      <c r="AH14" s="66" t="n">
        <v>269.6</v>
      </c>
      <c r="AI14" s="66" t="n">
        <v>232.1</v>
      </c>
      <c r="AJ14" s="66" t="n">
        <v>251.9</v>
      </c>
      <c r="AK14" s="66" t="n">
        <v>242.9</v>
      </c>
      <c r="AL14" s="66" t="n">
        <v>231.2</v>
      </c>
      <c r="AM14" s="66" t="n">
        <v>232.3</v>
      </c>
      <c r="AN14" s="66" t="n">
        <v>213.2</v>
      </c>
      <c r="AO14" s="66" t="n">
        <v>218.2</v>
      </c>
    </row>
    <row r="15">
      <c r="A15" s="64" t="inlineStr">
        <is>
          <t>부채비율</t>
        </is>
      </c>
      <c r="B15" s="66" t="n"/>
      <c r="C15" s="66" t="n"/>
      <c r="D15" s="66" t="n">
        <v>30.6</v>
      </c>
      <c r="E15" s="66" t="n"/>
      <c r="F15" s="66" t="n">
        <v>30.4</v>
      </c>
      <c r="G15" s="66" t="n">
        <v>33</v>
      </c>
      <c r="H15" s="66" t="n">
        <v>42.5</v>
      </c>
      <c r="I15" s="66" t="n">
        <v>36.1</v>
      </c>
      <c r="J15" s="66" t="n">
        <v>34.6</v>
      </c>
      <c r="K15" s="66" t="n">
        <v>32.9</v>
      </c>
      <c r="L15" s="66" t="n">
        <v>40.8</v>
      </c>
      <c r="M15" s="66" t="n">
        <v>42.4</v>
      </c>
      <c r="N15" s="66" t="n">
        <v>45.2</v>
      </c>
      <c r="O15" s="66" t="n">
        <v>47.4</v>
      </c>
      <c r="P15" s="66" t="n">
        <v>50</v>
      </c>
      <c r="Q15" s="66" t="n">
        <v>56.9</v>
      </c>
      <c r="R15" s="66" t="n">
        <v>58.3</v>
      </c>
      <c r="S15" s="66" t="n">
        <v>58.7</v>
      </c>
      <c r="T15" s="66" t="n">
        <v>74.40000000000001</v>
      </c>
      <c r="U15" s="66" t="n">
        <v>74.40000000000001</v>
      </c>
      <c r="V15" s="66" t="n">
        <v>67.40000000000001</v>
      </c>
      <c r="W15" s="66" t="n">
        <v>68.90000000000001</v>
      </c>
      <c r="X15" s="66" t="n">
        <v>61.7</v>
      </c>
      <c r="Y15" s="66" t="n">
        <v>62.2</v>
      </c>
      <c r="Z15" s="66" t="n">
        <v>64.09999999999999</v>
      </c>
      <c r="AA15" s="66" t="n">
        <v>69.40000000000001</v>
      </c>
      <c r="AB15" s="66" t="n">
        <v>54.3</v>
      </c>
      <c r="AC15" s="66" t="n">
        <v>62.8</v>
      </c>
      <c r="AD15" s="66" t="n">
        <v>76.90000000000001</v>
      </c>
      <c r="AE15" s="66" t="n">
        <v>70.3</v>
      </c>
      <c r="AF15" s="66" t="n">
        <v>80.59999999999999</v>
      </c>
      <c r="AG15" s="66" t="n">
        <v>80</v>
      </c>
      <c r="AH15" s="66" t="n">
        <v>65</v>
      </c>
      <c r="AI15" s="66" t="n">
        <v>79.5</v>
      </c>
      <c r="AJ15" s="66" t="n">
        <v>73.8</v>
      </c>
      <c r="AK15" s="66" t="n">
        <v>75.59999999999999</v>
      </c>
      <c r="AL15" s="66" t="n">
        <v>79.5</v>
      </c>
      <c r="AM15" s="66" t="n">
        <v>81.40000000000001</v>
      </c>
      <c r="AN15" s="66" t="n">
        <v>93.3</v>
      </c>
      <c r="AO15" s="66" t="n">
        <v>110.4</v>
      </c>
    </row>
    <row r="16">
      <c r="A16" s="64" t="inlineStr">
        <is>
          <t>순차입금/자기자본</t>
        </is>
      </c>
      <c r="B16" s="66" t="n"/>
      <c r="C16" s="66" t="n"/>
      <c r="D16" s="66" t="n">
        <v>-65.3</v>
      </c>
      <c r="E16" s="66" t="n"/>
      <c r="F16" s="66" t="n">
        <v>-72.8</v>
      </c>
      <c r="G16" s="66" t="n">
        <v>-69.2</v>
      </c>
      <c r="H16" s="66" t="n">
        <v>-80.5</v>
      </c>
      <c r="I16" s="66" t="n">
        <v>-71.09999999999999</v>
      </c>
      <c r="J16" s="66" t="n">
        <v>-70.5</v>
      </c>
      <c r="K16" s="66" t="n">
        <v>-54.8</v>
      </c>
      <c r="L16" s="66" t="n">
        <v>-63.4</v>
      </c>
      <c r="M16" s="66" t="n">
        <v>-65.2</v>
      </c>
      <c r="N16" s="66" t="n">
        <v>-64.5</v>
      </c>
      <c r="O16" s="66" t="n">
        <v>-66.7</v>
      </c>
      <c r="P16" s="66" t="n">
        <v>-58.9</v>
      </c>
      <c r="Q16" s="66" t="n">
        <v>-78.40000000000001</v>
      </c>
      <c r="R16" s="66" t="n">
        <v>-62.5</v>
      </c>
      <c r="S16" s="66" t="n">
        <v>-52.2</v>
      </c>
      <c r="T16" s="66" t="n">
        <v>-74.40000000000001</v>
      </c>
      <c r="U16" s="66" t="n">
        <v>-66.7</v>
      </c>
      <c r="V16" s="66" t="n">
        <v>-63</v>
      </c>
      <c r="W16" s="66" t="n">
        <v>-77.8</v>
      </c>
      <c r="X16" s="66" t="n">
        <v>-66</v>
      </c>
      <c r="Y16" s="66" t="n">
        <v>-60</v>
      </c>
      <c r="Z16" s="66" t="n">
        <v>-66.7</v>
      </c>
      <c r="AA16" s="66" t="n">
        <v>-36.1</v>
      </c>
      <c r="AB16" s="66" t="n">
        <v>-50</v>
      </c>
      <c r="AC16" s="66" t="n">
        <v>-65.09999999999999</v>
      </c>
      <c r="AD16" s="66" t="n">
        <v>-69.2</v>
      </c>
      <c r="AE16" s="66" t="n">
        <v>-37.8</v>
      </c>
      <c r="AF16" s="66" t="n">
        <v>-44.4</v>
      </c>
      <c r="AG16" s="66" t="n">
        <v>-55</v>
      </c>
      <c r="AH16" s="66" t="n">
        <v>-52.5</v>
      </c>
      <c r="AI16" s="66" t="n">
        <v>-64.09999999999999</v>
      </c>
      <c r="AJ16" s="66" t="n">
        <v>-85.7</v>
      </c>
      <c r="AK16" s="66" t="n">
        <v>-70.7</v>
      </c>
      <c r="AL16" s="66" t="n">
        <v>-61.4</v>
      </c>
      <c r="AM16" s="66" t="n">
        <v>-72.09999999999999</v>
      </c>
      <c r="AN16" s="66" t="n">
        <v>-46.7</v>
      </c>
      <c r="AO16" s="66" t="n">
        <v>-29.2</v>
      </c>
    </row>
    <row r="17">
      <c r="A17" s="64" t="inlineStr">
        <is>
          <t>재고자산</t>
        </is>
      </c>
      <c r="B17" s="65" t="n"/>
      <c r="C17" s="65" t="n"/>
      <c r="D17" s="65" t="n">
        <v>3.5</v>
      </c>
      <c r="E17" s="65" t="n"/>
      <c r="F17" s="65" t="n">
        <v>3</v>
      </c>
      <c r="G17" s="65" t="n">
        <v>2.8</v>
      </c>
      <c r="H17" s="65" t="n">
        <v>3.4</v>
      </c>
      <c r="I17" s="65" t="n">
        <v>3.5</v>
      </c>
      <c r="J17" s="65" t="n">
        <v>3.2</v>
      </c>
      <c r="K17" s="65" t="n">
        <v>3.6</v>
      </c>
      <c r="L17" s="65" t="n">
        <v>3.2</v>
      </c>
      <c r="M17" s="65" t="n">
        <v>3</v>
      </c>
      <c r="N17" s="65" t="n">
        <v>3</v>
      </c>
      <c r="O17" s="65" t="n">
        <v>3</v>
      </c>
      <c r="P17" s="65" t="n">
        <v>2.6</v>
      </c>
      <c r="Q17" s="65" t="n">
        <v>2.1</v>
      </c>
      <c r="R17" s="65" t="n">
        <v>2.2</v>
      </c>
      <c r="S17" s="65" t="n">
        <v>2.4</v>
      </c>
      <c r="T17" s="65" t="n">
        <v>2.4</v>
      </c>
      <c r="U17" s="65" t="n">
        <v>2.4</v>
      </c>
      <c r="V17" s="65" t="n">
        <v>2.6</v>
      </c>
      <c r="W17" s="65" t="n">
        <v>2.5</v>
      </c>
      <c r="X17" s="65" t="n">
        <v>2</v>
      </c>
      <c r="Y17" s="65" t="n">
        <v>2.2</v>
      </c>
      <c r="Z17" s="65" t="n">
        <v>2.4</v>
      </c>
      <c r="AA17" s="65" t="n">
        <v>3.1</v>
      </c>
      <c r="AB17" s="65" t="n">
        <v>2.5</v>
      </c>
      <c r="AC17" s="65" t="n">
        <v>2.5</v>
      </c>
      <c r="AD17" s="65" t="n">
        <v>2.7</v>
      </c>
      <c r="AE17" s="65" t="n">
        <v>3</v>
      </c>
      <c r="AF17" s="65" t="n">
        <v>2.6</v>
      </c>
      <c r="AG17" s="65" t="n">
        <v>2.8</v>
      </c>
      <c r="AH17" s="65" t="n">
        <v>2</v>
      </c>
      <c r="AI17" s="65" t="n">
        <v>2</v>
      </c>
      <c r="AJ17" s="65" t="n">
        <v>2.1</v>
      </c>
      <c r="AK17" s="65" t="n">
        <v>2.1</v>
      </c>
      <c r="AL17" s="65" t="n">
        <v>2.4</v>
      </c>
      <c r="AM17" s="65" t="n">
        <v>2.4</v>
      </c>
      <c r="AN17" s="65" t="n">
        <v>4.2</v>
      </c>
      <c r="AO17" s="65" t="n">
        <v>4.9</v>
      </c>
    </row>
    <row r="18">
      <c r="A18" s="64" t="inlineStr">
        <is>
          <t>재고자산 회전일수</t>
        </is>
      </c>
      <c r="B18" s="65" t="n"/>
      <c r="C18" s="65" t="n"/>
      <c r="D18" s="65" t="n">
        <v>152</v>
      </c>
      <c r="E18" s="65" t="n"/>
      <c r="F18" s="65" t="n">
        <v>130</v>
      </c>
      <c r="G18" s="65" t="n">
        <v>116</v>
      </c>
      <c r="H18" s="65" t="n">
        <v>147</v>
      </c>
      <c r="I18" s="65" t="n">
        <v>177</v>
      </c>
      <c r="J18" s="65" t="n">
        <v>162</v>
      </c>
      <c r="K18" s="65" t="n">
        <v>252</v>
      </c>
      <c r="L18" s="65" t="n">
        <v>121</v>
      </c>
      <c r="M18" s="65" t="n">
        <v>152</v>
      </c>
      <c r="N18" s="65" t="n">
        <v>152</v>
      </c>
      <c r="O18" s="65" t="n">
        <v>161</v>
      </c>
      <c r="P18" s="65" t="n">
        <v>118</v>
      </c>
      <c r="Q18" s="65" t="n">
        <v>106</v>
      </c>
      <c r="R18" s="65" t="n">
        <v>100</v>
      </c>
      <c r="S18" s="65" t="n">
        <v>104</v>
      </c>
      <c r="T18" s="65" t="n">
        <v>104</v>
      </c>
      <c r="U18" s="65" t="n">
        <v>121</v>
      </c>
      <c r="V18" s="65" t="n">
        <v>131</v>
      </c>
      <c r="W18" s="65" t="n">
        <v>120</v>
      </c>
      <c r="X18" s="65" t="n">
        <v>83</v>
      </c>
      <c r="Y18" s="65" t="n">
        <v>118</v>
      </c>
      <c r="Z18" s="65" t="n">
        <v>218</v>
      </c>
      <c r="AA18" s="65" t="n">
        <v>188</v>
      </c>
      <c r="AB18" s="65" t="n">
        <v>114</v>
      </c>
      <c r="AC18" s="65" t="n">
        <v>162</v>
      </c>
      <c r="AD18" s="65" t="n">
        <v>176</v>
      </c>
      <c r="AE18" s="65" t="n">
        <v>182</v>
      </c>
      <c r="AF18" s="65" t="n">
        <v>131</v>
      </c>
      <c r="AG18" s="65" t="n">
        <v>159</v>
      </c>
      <c r="AH18" s="65" t="n">
        <v>96</v>
      </c>
      <c r="AI18" s="65" t="n">
        <v>91</v>
      </c>
      <c r="AJ18" s="65" t="n">
        <v>119</v>
      </c>
      <c r="AK18" s="65" t="n">
        <v>106</v>
      </c>
      <c r="AL18" s="65" t="n">
        <v>95</v>
      </c>
      <c r="AM18" s="65" t="n">
        <v>146</v>
      </c>
      <c r="AN18" s="65" t="n">
        <v>212</v>
      </c>
      <c r="AO18" s="65" t="n">
        <v>212</v>
      </c>
    </row>
    <row r="19">
      <c r="A19" s="64" t="inlineStr">
        <is>
          <t>매출채권 회전일수</t>
        </is>
      </c>
      <c r="B19" s="65" t="n"/>
      <c r="C19" s="65" t="n"/>
      <c r="D19" s="65" t="n">
        <v>41</v>
      </c>
      <c r="E19" s="65" t="n"/>
      <c r="F19" s="65" t="n">
        <v>30</v>
      </c>
      <c r="G19" s="65" t="n">
        <v>43</v>
      </c>
      <c r="H19" s="65" t="n">
        <v>35</v>
      </c>
      <c r="I19" s="65" t="n">
        <v>29</v>
      </c>
      <c r="J19" s="65" t="n">
        <v>36</v>
      </c>
      <c r="K19" s="65" t="n">
        <v>48</v>
      </c>
      <c r="L19" s="65" t="n">
        <v>37</v>
      </c>
      <c r="M19" s="65" t="n">
        <v>44</v>
      </c>
      <c r="N19" s="65" t="n">
        <v>39</v>
      </c>
      <c r="O19" s="65" t="n">
        <v>33</v>
      </c>
      <c r="P19" s="65" t="n">
        <v>53</v>
      </c>
      <c r="Q19" s="65" t="n">
        <v>34</v>
      </c>
      <c r="R19" s="65" t="n">
        <v>50</v>
      </c>
      <c r="S19" s="65" t="n">
        <v>50</v>
      </c>
      <c r="T19" s="65" t="n">
        <v>34</v>
      </c>
      <c r="U19" s="65" t="n">
        <v>0</v>
      </c>
      <c r="V19" s="65" t="n">
        <v>0</v>
      </c>
      <c r="W19" s="65" t="n">
        <v>0</v>
      </c>
      <c r="X19" s="65" t="n">
        <v>0</v>
      </c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>
        <v>49</v>
      </c>
      <c r="AM19" s="65" t="n">
        <v>39</v>
      </c>
      <c r="AN19" s="65" t="n">
        <v>43</v>
      </c>
      <c r="AO19" s="65" t="n">
        <v>48</v>
      </c>
    </row>
    <row r="20">
      <c r="A20" s="64" t="inlineStr">
        <is>
          <t>매입채무 회전일수</t>
        </is>
      </c>
      <c r="B20" s="65" t="n"/>
      <c r="C20" s="65" t="n"/>
      <c r="D20" s="65" t="n">
        <v>52</v>
      </c>
      <c r="E20" s="65" t="n"/>
      <c r="F20" s="65" t="n">
        <v>39</v>
      </c>
      <c r="G20" s="65" t="n">
        <v>41</v>
      </c>
      <c r="H20" s="65" t="n">
        <v>69</v>
      </c>
      <c r="I20" s="65" t="n">
        <v>56</v>
      </c>
      <c r="J20" s="65" t="n">
        <v>46</v>
      </c>
      <c r="K20" s="65" t="n">
        <v>49</v>
      </c>
      <c r="L20" s="65" t="n">
        <v>42</v>
      </c>
      <c r="M20" s="65" t="n">
        <v>40</v>
      </c>
      <c r="N20" s="65" t="n">
        <v>51</v>
      </c>
      <c r="O20" s="65" t="n">
        <v>43</v>
      </c>
      <c r="P20" s="65" t="n">
        <v>32</v>
      </c>
      <c r="Q20" s="65" t="n">
        <v>40</v>
      </c>
      <c r="R20" s="65" t="n">
        <v>36</v>
      </c>
      <c r="S20" s="65" t="n">
        <v>39</v>
      </c>
      <c r="T20" s="65" t="n">
        <v>52</v>
      </c>
      <c r="U20" s="65" t="n">
        <v>40</v>
      </c>
      <c r="V20" s="65" t="n">
        <v>46</v>
      </c>
      <c r="W20" s="65" t="n">
        <v>43</v>
      </c>
      <c r="X20" s="65" t="n">
        <v>37</v>
      </c>
      <c r="Y20" s="65" t="n">
        <v>37</v>
      </c>
      <c r="Z20" s="65" t="n">
        <v>55</v>
      </c>
      <c r="AA20" s="65" t="n">
        <v>42</v>
      </c>
      <c r="AB20" s="65" t="n">
        <v>32</v>
      </c>
      <c r="AC20" s="65" t="n">
        <v>39</v>
      </c>
      <c r="AD20" s="65" t="n">
        <v>78</v>
      </c>
      <c r="AE20" s="65" t="n">
        <v>55</v>
      </c>
      <c r="AF20" s="65" t="n">
        <v>51</v>
      </c>
      <c r="AG20" s="65" t="n">
        <v>68</v>
      </c>
      <c r="AH20" s="65" t="n">
        <v>29</v>
      </c>
      <c r="AI20" s="65" t="n">
        <v>36</v>
      </c>
      <c r="AJ20" s="65" t="n">
        <v>40</v>
      </c>
      <c r="AK20" s="65" t="n">
        <v>35</v>
      </c>
      <c r="AL20" s="65" t="n">
        <v>47</v>
      </c>
      <c r="AM20" s="65" t="n">
        <v>42</v>
      </c>
      <c r="AN20" s="65" t="n">
        <v>71</v>
      </c>
      <c r="AO20" s="65" t="n">
        <v>56</v>
      </c>
    </row>
    <row r="21">
      <c r="A21" s="64" t="inlineStr">
        <is>
          <t>현금전환주기(CCC)</t>
        </is>
      </c>
      <c r="B21" s="65" t="n"/>
      <c r="C21" s="65" t="n"/>
      <c r="D21" s="65" t="n">
        <v>141</v>
      </c>
      <c r="E21" s="65" t="n"/>
      <c r="F21" s="65" t="n">
        <v>121</v>
      </c>
      <c r="G21" s="65" t="n">
        <v>118</v>
      </c>
      <c r="H21" s="65" t="n">
        <v>113</v>
      </c>
      <c r="I21" s="65" t="n">
        <v>150</v>
      </c>
      <c r="J21" s="65" t="n">
        <v>152</v>
      </c>
      <c r="K21" s="65" t="n">
        <v>251</v>
      </c>
      <c r="L21" s="65" t="n">
        <v>116</v>
      </c>
      <c r="M21" s="65" t="n">
        <v>156</v>
      </c>
      <c r="N21" s="65" t="n">
        <v>140</v>
      </c>
      <c r="O21" s="65" t="n">
        <v>151</v>
      </c>
      <c r="P21" s="65" t="n">
        <v>139</v>
      </c>
      <c r="Q21" s="65" t="n">
        <v>100</v>
      </c>
      <c r="R21" s="65" t="n">
        <v>114</v>
      </c>
      <c r="S21" s="65" t="n">
        <v>115</v>
      </c>
      <c r="T21" s="65" t="n">
        <v>86</v>
      </c>
      <c r="U21" s="65" t="n">
        <v>81</v>
      </c>
      <c r="V21" s="65" t="n">
        <v>85</v>
      </c>
      <c r="W21" s="65" t="n">
        <v>77</v>
      </c>
      <c r="X21" s="65" t="n">
        <v>46</v>
      </c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>
        <v>97</v>
      </c>
      <c r="AM21" s="65" t="n">
        <v>143</v>
      </c>
      <c r="AN21" s="65" t="n">
        <v>184</v>
      </c>
      <c r="AO21" s="65" t="n">
        <v>204</v>
      </c>
    </row>
    <row r="22">
      <c r="A22" s="64" t="inlineStr">
        <is>
          <t>총 차입금</t>
        </is>
      </c>
      <c r="B22" s="65" t="n"/>
      <c r="C22" s="65" t="n"/>
      <c r="D22" s="65" t="n">
        <v>0</v>
      </c>
      <c r="E22" s="65" t="n"/>
      <c r="F22" s="65" t="n">
        <v>0</v>
      </c>
      <c r="G22" s="65" t="n">
        <v>0</v>
      </c>
      <c r="H22" s="65" t="n">
        <v>0</v>
      </c>
      <c r="I22" s="65" t="n">
        <v>0</v>
      </c>
      <c r="J22" s="65" t="n">
        <v>0</v>
      </c>
      <c r="K22" s="65" t="n">
        <v>0</v>
      </c>
      <c r="L22" s="65" t="n">
        <v>0</v>
      </c>
      <c r="M22" s="65" t="n">
        <v>0</v>
      </c>
      <c r="N22" s="65" t="n">
        <v>0</v>
      </c>
      <c r="O22" s="65" t="n">
        <v>0</v>
      </c>
      <c r="P22" s="65" t="n">
        <v>0</v>
      </c>
      <c r="Q22" s="65" t="n">
        <v>0</v>
      </c>
      <c r="R22" s="65" t="n">
        <v>0</v>
      </c>
      <c r="S22" s="65" t="n">
        <v>0</v>
      </c>
      <c r="T22" s="65" t="n">
        <v>0</v>
      </c>
      <c r="U22" s="65" t="n">
        <v>0</v>
      </c>
      <c r="V22" s="65" t="n">
        <v>0</v>
      </c>
      <c r="W22" s="65" t="n">
        <v>0</v>
      </c>
      <c r="X22" s="65" t="n">
        <v>0</v>
      </c>
      <c r="Y22" s="65" t="n">
        <v>0</v>
      </c>
      <c r="Z22" s="65" t="n">
        <v>0</v>
      </c>
      <c r="AA22" s="65" t="n">
        <v>0</v>
      </c>
      <c r="AB22" s="65" t="n">
        <v>0</v>
      </c>
      <c r="AC22" s="65" t="n">
        <v>0</v>
      </c>
      <c r="AD22" s="65" t="n">
        <v>0</v>
      </c>
      <c r="AE22" s="65" t="n">
        <v>0</v>
      </c>
      <c r="AF22" s="65" t="n">
        <v>0</v>
      </c>
      <c r="AG22" s="65" t="n">
        <v>0</v>
      </c>
      <c r="AH22" s="65" t="n">
        <v>0</v>
      </c>
      <c r="AI22" s="65" t="n">
        <v>0</v>
      </c>
      <c r="AJ22" s="65" t="n">
        <v>0</v>
      </c>
      <c r="AK22" s="65" t="n">
        <v>0</v>
      </c>
      <c r="AL22" s="65" t="n">
        <v>0</v>
      </c>
      <c r="AM22" s="65" t="n">
        <v>0</v>
      </c>
      <c r="AN22" s="65" t="n">
        <v>0</v>
      </c>
      <c r="AO22" s="65" t="n">
        <v>0.8</v>
      </c>
    </row>
    <row r="23">
      <c r="A23" s="64" t="inlineStr">
        <is>
          <t>현금</t>
        </is>
      </c>
      <c r="B23" s="65" t="n"/>
      <c r="C23" s="65" t="n"/>
      <c r="D23" s="65" t="n">
        <v>6.4</v>
      </c>
      <c r="E23" s="65" t="n"/>
      <c r="F23" s="65" t="n">
        <v>6.7</v>
      </c>
      <c r="G23" s="65" t="n">
        <v>6.3</v>
      </c>
      <c r="H23" s="65" t="n">
        <v>7</v>
      </c>
      <c r="I23" s="65" t="n">
        <v>5.9</v>
      </c>
      <c r="J23" s="65" t="n">
        <v>5.5</v>
      </c>
      <c r="K23" s="65" t="n">
        <v>4</v>
      </c>
      <c r="L23" s="65" t="n">
        <v>4.5</v>
      </c>
      <c r="M23" s="65" t="n">
        <v>4.3</v>
      </c>
      <c r="N23" s="65" t="n">
        <v>4</v>
      </c>
      <c r="O23" s="65" t="n">
        <v>3.8</v>
      </c>
      <c r="P23" s="65" t="n">
        <v>3.3</v>
      </c>
      <c r="Q23" s="65" t="n">
        <v>4</v>
      </c>
      <c r="R23" s="65" t="n">
        <v>3</v>
      </c>
      <c r="S23" s="65" t="n">
        <v>2.4</v>
      </c>
      <c r="T23" s="65" t="n">
        <v>3.2</v>
      </c>
      <c r="U23" s="65" t="n">
        <v>2.6</v>
      </c>
      <c r="V23" s="65" t="n">
        <v>2.9</v>
      </c>
      <c r="W23" s="65" t="n">
        <v>3.5</v>
      </c>
      <c r="X23" s="65" t="n">
        <v>3.1</v>
      </c>
      <c r="Y23" s="65" t="n">
        <v>2.7</v>
      </c>
      <c r="Z23" s="65" t="n">
        <v>2.6</v>
      </c>
      <c r="AA23" s="65" t="n">
        <v>1.3</v>
      </c>
      <c r="AB23" s="65" t="n">
        <v>2.3</v>
      </c>
      <c r="AC23" s="65" t="n">
        <v>2.8</v>
      </c>
      <c r="AD23" s="65" t="n">
        <v>2.7</v>
      </c>
      <c r="AE23" s="65" t="n">
        <v>1.4</v>
      </c>
      <c r="AF23" s="65" t="n">
        <v>1.6</v>
      </c>
      <c r="AG23" s="65" t="n">
        <v>2.2</v>
      </c>
      <c r="AH23" s="65" t="n">
        <v>2.1</v>
      </c>
      <c r="AI23" s="65" t="n">
        <v>2.5</v>
      </c>
      <c r="AJ23" s="65" t="n">
        <v>3.6</v>
      </c>
      <c r="AK23" s="65" t="n">
        <v>2.9</v>
      </c>
      <c r="AL23" s="65" t="n">
        <v>2.7</v>
      </c>
      <c r="AM23" s="65" t="n">
        <v>3.1</v>
      </c>
      <c r="AN23" s="65" t="n">
        <v>2.1</v>
      </c>
      <c r="AO23" s="65" t="n">
        <v>2.2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2026-10-30T10:06:58Z</dcterms:created>
  <dcterms:modified xmlns:dcterms="http://purl.org/dc/terms/" xmlns:xsi="http://www.w3.org/2001/XMLSchema-instance" xsi:type="dcterms:W3CDTF">2026-10-30T10:08:08Z</dcterms:modified>
</cp:coreProperties>
</file>