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7">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1" fillId="0" borderId="3" applyAlignment="1" pivotButton="0" quotePrefix="0" xfId="0">
      <alignment horizontal="center" vertical="center"/>
    </xf>
    <xf numFmtId="164" fontId="11" fillId="0" borderId="0" applyAlignment="1" pivotButton="0" quotePrefix="0" xfId="0">
      <alignment horizontal="center" vertical="center"/>
    </xf>
    <xf numFmtId="0" fontId="0" fillId="0" borderId="3" pivotButton="0" quotePrefix="0" xfId="0"/>
    <xf numFmtId="0" fontId="12" fillId="0" borderId="0" applyAlignment="1" pivotButton="0" quotePrefix="0" xfId="0">
      <alignment horizontal="left"/>
    </xf>
    <xf numFmtId="0" fontId="3" fillId="0" borderId="0" applyAlignment="1" pivotButton="0" quotePrefix="0" xfId="0">
      <alignment horizontal="left"/>
    </xf>
    <xf numFmtId="0" fontId="14" fillId="3" borderId="0" applyAlignment="1" pivotButton="0" quotePrefix="0" xfId="0">
      <alignment horizontal="center" vertical="center"/>
    </xf>
    <xf numFmtId="0" fontId="6" fillId="0" borderId="0" applyAlignment="1" pivotButton="0" quotePrefix="0" xfId="0">
      <alignment horizontal="center" vertical="center"/>
    </xf>
    <xf numFmtId="0" fontId="13"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5" fillId="0" borderId="0" pivotButton="0" quotePrefix="0" xfId="0"/>
    <xf numFmtId="0" fontId="16"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315"/>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2811 Model</t>
        </is>
      </c>
    </row>
    <row r="2">
      <c r="A2" s="2" t="inlineStr">
        <is>
          <t>모를 땐 보수적으로</t>
        </is>
      </c>
      <c r="B2" s="3" t="inlineStr">
        <is>
          <t>(단위: 백만엔)</t>
        </is>
      </c>
      <c r="C2" s="3" t="inlineStr">
        <is>
          <t>12월 결산 · IFRS · 2026.2Q = 2026년 12월 결산기 2분기</t>
        </is>
      </c>
      <c r="Y2" s="4" t="inlineStr">
        <is>
          <t>(추정: 파란 글씨 = 직접 입력)</t>
        </is>
      </c>
    </row>
    <row r="3">
      <c r="A3" s="5" t="inlineStr">
        <is>
          <t>항목</t>
        </is>
      </c>
      <c r="B3" s="5" t="inlineStr">
        <is>
          <t>참고</t>
        </is>
      </c>
      <c r="C3" s="6" t="inlineStr">
        <is>
          <t>2023.3Q</t>
        </is>
      </c>
      <c r="D3" s="5" t="inlineStr">
        <is>
          <t>2023.4Q</t>
        </is>
      </c>
      <c r="E3" s="5" t="inlineStr">
        <is>
          <t>2024.1Q</t>
        </is>
      </c>
      <c r="F3" s="5" t="inlineStr">
        <is>
          <t>2024.2Q</t>
        </is>
      </c>
      <c r="G3" s="5" t="inlineStr">
        <is>
          <t>2024.3Q</t>
        </is>
      </c>
      <c r="H3" s="5" t="inlineStr">
        <is>
          <t>2024.4Q</t>
        </is>
      </c>
      <c r="I3" s="5" t="inlineStr">
        <is>
          <t>2025.1Q</t>
        </is>
      </c>
      <c r="J3" s="5" t="inlineStr">
        <is>
          <t>2025.2Q</t>
        </is>
      </c>
      <c r="K3" s="5" t="inlineStr">
        <is>
          <t>2025.3Q</t>
        </is>
      </c>
      <c r="L3" s="5" t="inlineStr">
        <is>
          <t>2025.4Q</t>
        </is>
      </c>
      <c r="M3" s="5" t="inlineStr">
        <is>
          <t>2026.1Q</t>
        </is>
      </c>
      <c r="N3" s="5" t="inlineStr">
        <is>
          <t>2026.2Q</t>
        </is>
      </c>
      <c r="O3" s="6" t="inlineStr">
        <is>
          <t>2016</t>
        </is>
      </c>
      <c r="P3" s="5" t="inlineStr">
        <is>
          <t>2017</t>
        </is>
      </c>
      <c r="Q3" s="5" t="inlineStr">
        <is>
          <t>2018</t>
        </is>
      </c>
      <c r="R3" s="5" t="inlineStr">
        <is>
          <t>2019</t>
        </is>
      </c>
      <c r="S3" s="5" t="inlineStr">
        <is>
          <t>2020</t>
        </is>
      </c>
      <c r="T3" s="5" t="inlineStr">
        <is>
          <t>2021</t>
        </is>
      </c>
      <c r="U3" s="5" t="inlineStr">
        <is>
          <t>2022</t>
        </is>
      </c>
      <c r="V3" s="5" t="inlineStr">
        <is>
          <t>2023</t>
        </is>
      </c>
      <c r="W3" s="5" t="inlineStr">
        <is>
          <t>2024</t>
        </is>
      </c>
      <c r="X3" s="5" t="inlineStr">
        <is>
          <t>2025</t>
        </is>
      </c>
      <c r="Y3" s="7" t="inlineStr">
        <is>
          <t>2026(MW)</t>
        </is>
      </c>
      <c r="Z3" s="8" t="inlineStr">
        <is>
          <t>2027(MW)</t>
        </is>
      </c>
      <c r="AA3" s="8" t="inlineStr">
        <is>
          <t>2028(MW)</t>
        </is>
      </c>
      <c r="AB3" s="8" t="inlineStr">
        <is>
          <t>2029(MW)</t>
        </is>
      </c>
      <c r="AC3" s="8" t="inlineStr">
        <is>
          <t>2030(MW)</t>
        </is>
      </c>
    </row>
    <row r="4">
      <c r="A4" s="9" t="inlineStr">
        <is>
          <t>매출액</t>
        </is>
      </c>
      <c r="B4" s="10" t="inlineStr">
        <is>
          <t>MW = 제품 합계</t>
        </is>
      </c>
      <c r="C4" s="11" t="n">
        <v>59544</v>
      </c>
      <c r="D4" s="12" t="n">
        <v>59863</v>
      </c>
      <c r="E4" s="12" t="n">
        <v>67378</v>
      </c>
      <c r="F4" s="12" t="n">
        <v>80864</v>
      </c>
      <c r="G4" s="12" t="n">
        <v>78138</v>
      </c>
      <c r="H4" s="12" t="n">
        <v>80489</v>
      </c>
      <c r="I4" s="12" t="n">
        <v>67167</v>
      </c>
      <c r="J4" s="12" t="n">
        <v>71514</v>
      </c>
      <c r="K4" s="12" t="n">
        <v>77628</v>
      </c>
      <c r="L4" s="12" t="n">
        <v>77955</v>
      </c>
      <c r="M4" s="12" t="n">
        <v>67564</v>
      </c>
      <c r="N4" s="12" t="n">
        <v>76221</v>
      </c>
      <c r="O4" s="11" t="n">
        <v>202534</v>
      </c>
      <c r="P4" s="12" t="n">
        <v>214210</v>
      </c>
      <c r="Q4" s="12" t="n">
        <v>184595</v>
      </c>
      <c r="R4" s="12" t="n">
        <v>180849</v>
      </c>
      <c r="S4" s="12" t="n">
        <v>183041</v>
      </c>
      <c r="T4" s="12" t="n">
        <v>189652</v>
      </c>
      <c r="U4" s="12" t="n">
        <v>205618</v>
      </c>
      <c r="V4" s="12" t="n">
        <v>224730</v>
      </c>
      <c r="W4" s="12" t="n">
        <v>306869</v>
      </c>
      <c r="X4" s="12" t="n">
        <v>294264</v>
      </c>
      <c r="Y4" s="11">
        <f>IF(COUNT(Y7,Y10,Y13,Y16,Y19)=0,"",SUM(Y7,Y10,Y13,Y16,Y19))</f>
        <v/>
      </c>
      <c r="Z4" s="12">
        <f>IF(COUNT(Z7,Z10,Z13,Z16,Z19)=0,"",SUM(Z7,Z10,Z13,Z16,Z19))</f>
        <v/>
      </c>
      <c r="AA4" s="12">
        <f>IF(COUNT(AA7,AA10,AA13,AA16,AA19)=0,"",SUM(AA7,AA10,AA13,AA16,AA19))</f>
        <v/>
      </c>
      <c r="AB4" s="12">
        <f>IF(COUNT(AB7,AB10,AB13,AB16,AB19)=0,"",SUM(AB7,AB10,AB13,AB16,AB19))</f>
        <v/>
      </c>
      <c r="AC4" s="12">
        <f>IF(COUNT(AC7,AC10,AC13,AC16,AC19)=0,"",SUM(AC7,AC10,AC13,AC16,AC19))</f>
        <v/>
      </c>
    </row>
    <row r="5">
      <c r="A5" s="13" t="inlineStr">
        <is>
          <t>YoY</t>
        </is>
      </c>
      <c r="B5" s="10" t="n"/>
      <c r="C5" s="14" t="n"/>
      <c r="D5" s="15" t="n"/>
      <c r="E5" s="15" t="n"/>
      <c r="F5" s="15" t="n"/>
      <c r="G5" s="15">
        <f>IF(OR(G4="",C4=""),"",IFERROR(G4/C4-1,""))</f>
        <v/>
      </c>
      <c r="H5" s="15">
        <f>IF(OR(H4="",D4=""),"",IFERROR(H4/D4-1,""))</f>
        <v/>
      </c>
      <c r="I5" s="15">
        <f>IF(OR(I4="",E4=""),"",IFERROR(I4/E4-1,""))</f>
        <v/>
      </c>
      <c r="J5" s="15">
        <f>IF(OR(J4="",F4=""),"",IFERROR(J4/F4-1,""))</f>
        <v/>
      </c>
      <c r="K5" s="15">
        <f>IF(OR(K4="",G4=""),"",IFERROR(K4/G4-1,""))</f>
        <v/>
      </c>
      <c r="L5" s="15">
        <f>IF(OR(L4="",H4=""),"",IFERROR(L4/H4-1,""))</f>
        <v/>
      </c>
      <c r="M5" s="15">
        <f>IF(OR(M4="",I4=""),"",IFERROR(M4/I4-1,""))</f>
        <v/>
      </c>
      <c r="N5" s="15">
        <f>IF(OR(N4="",J4=""),"",IFERROR(N4/J4-1,""))</f>
        <v/>
      </c>
      <c r="O5" s="14" t="n"/>
      <c r="P5" s="15">
        <f>IF(OR(P4="",O4=""),"",IFERROR(P4/O4-1,""))</f>
        <v/>
      </c>
      <c r="Q5" s="15">
        <f>IF(OR(Q4="",P4=""),"",IFERROR(Q4/P4-1,""))</f>
        <v/>
      </c>
      <c r="R5" s="15">
        <f>IF(OR(R4="",Q4=""),"",IFERROR(R4/Q4-1,""))</f>
        <v/>
      </c>
      <c r="S5" s="15">
        <f>IF(OR(S4="",R4=""),"",IFERROR(S4/R4-1,""))</f>
        <v/>
      </c>
      <c r="T5" s="15">
        <f>IF(OR(T4="",S4=""),"",IFERROR(T4/S4-1,""))</f>
        <v/>
      </c>
      <c r="U5" s="15">
        <f>IF(OR(U4="",T4=""),"",IFERROR(U4/T4-1,""))</f>
        <v/>
      </c>
      <c r="V5" s="15">
        <f>IF(OR(V4="",U4=""),"",IFERROR(V4/U4-1,""))</f>
        <v/>
      </c>
      <c r="W5" s="15">
        <f>IF(OR(W4="",V4=""),"",IFERROR(W4/V4-1,""))</f>
        <v/>
      </c>
      <c r="X5" s="15">
        <f>IF(OR(X4="",W4=""),"",IFERROR(X4/W4-1,""))</f>
        <v/>
      </c>
      <c r="Y5" s="14">
        <f>IF(OR(Y4="",X4=""),"",IFERROR(Y4/X4-1,""))</f>
        <v/>
      </c>
      <c r="Z5" s="15">
        <f>IF(OR(Z4="",Y4=""),"",IFERROR(Z4/Y4-1,""))</f>
        <v/>
      </c>
      <c r="AA5" s="15">
        <f>IF(OR(AA4="",Z4=""),"",IFERROR(AA4/Z4-1,""))</f>
        <v/>
      </c>
      <c r="AB5" s="15">
        <f>IF(OR(AB4="",AA4=""),"",IFERROR(AB4/AA4-1,""))</f>
        <v/>
      </c>
      <c r="AC5" s="15">
        <f>IF(OR(AC4="",AB4=""),"",IFERROR(AC4/AB4-1,""))</f>
        <v/>
      </c>
    </row>
    <row r="6">
      <c r="A6" s="16" t="inlineStr">
        <is>
          <t>제품별 매출 분류</t>
        </is>
      </c>
      <c r="B6" s="16" t="inlineStr">
        <is>
          <t>사업보고서 매출실적</t>
        </is>
      </c>
      <c r="C6" s="17" t="n"/>
      <c r="D6" s="16" t="n"/>
      <c r="E6" s="16" t="n"/>
      <c r="F6" s="16" t="n"/>
      <c r="G6" s="16" t="n"/>
      <c r="H6" s="16" t="n"/>
      <c r="I6" s="16" t="n"/>
      <c r="J6" s="16" t="n"/>
      <c r="K6" s="16" t="n"/>
      <c r="L6" s="16" t="n"/>
      <c r="M6" s="16" t="n"/>
      <c r="N6" s="16" t="n"/>
      <c r="O6" s="17" t="n"/>
      <c r="P6" s="16" t="n"/>
      <c r="Q6" s="16" t="n"/>
      <c r="R6" s="16" t="n"/>
      <c r="S6" s="16" t="n"/>
      <c r="T6" s="16" t="n"/>
      <c r="U6" s="16" t="n"/>
      <c r="V6" s="16" t="n"/>
      <c r="W6" s="16" t="n"/>
      <c r="X6" s="16" t="n"/>
      <c r="Y6" s="17" t="n"/>
      <c r="Z6" s="16" t="n"/>
      <c r="AA6" s="16" t="n"/>
      <c r="AB6" s="16" t="n"/>
      <c r="AC6" s="16" t="n"/>
    </row>
    <row r="7">
      <c r="A7" s="18" t="inlineStr">
        <is>
          <t>DomesticProcessedFoodBusinessReportableSegmentMember</t>
        </is>
      </c>
      <c r="B7" s="10" t="n"/>
      <c r="C7" s="19" t="n">
        <v>38674</v>
      </c>
      <c r="D7" s="20" t="n">
        <v>37811</v>
      </c>
      <c r="E7" s="20" t="n">
        <v>32807</v>
      </c>
      <c r="F7" s="20" t="n">
        <v>39876</v>
      </c>
      <c r="G7" s="20" t="n">
        <v>42204</v>
      </c>
      <c r="H7" s="20" t="n">
        <v>40824</v>
      </c>
      <c r="I7" s="20" t="n">
        <v>33475</v>
      </c>
      <c r="J7" s="20" t="n">
        <v>39753</v>
      </c>
      <c r="K7" s="20" t="n">
        <v>42456</v>
      </c>
      <c r="L7" s="20" t="n">
        <v>41640</v>
      </c>
      <c r="M7" s="20" t="n">
        <v>33399</v>
      </c>
      <c r="N7" s="20" t="n">
        <v>39678</v>
      </c>
      <c r="O7" s="19" t="n"/>
      <c r="P7" s="20" t="n"/>
      <c r="Q7" s="20" t="n"/>
      <c r="R7" s="20" t="n"/>
      <c r="S7" s="20" t="n"/>
      <c r="T7" s="20" t="n"/>
      <c r="U7" s="20" t="n"/>
      <c r="V7" s="20" t="n">
        <v>142173</v>
      </c>
      <c r="W7" s="20" t="n">
        <v>155711</v>
      </c>
      <c r="X7" s="20" t="n">
        <v>157324</v>
      </c>
      <c r="Y7" s="21" t="n"/>
      <c r="Z7" s="22" t="n"/>
      <c r="AA7" s="22" t="n"/>
      <c r="AB7" s="22" t="n"/>
      <c r="AC7" s="22" t="n"/>
    </row>
    <row r="8">
      <c r="A8" s="13" t="inlineStr">
        <is>
          <t>비중</t>
        </is>
      </c>
      <c r="B8" s="10" t="n"/>
      <c r="C8" s="14">
        <f>IF(OR(C7="",C4=""),"",IFERROR(C7/C4,""))</f>
        <v/>
      </c>
      <c r="D8" s="15">
        <f>IF(OR(D7="",D4=""),"",IFERROR(D7/D4,""))</f>
        <v/>
      </c>
      <c r="E8" s="15">
        <f>IF(OR(E7="",E4=""),"",IFERROR(E7/E4,""))</f>
        <v/>
      </c>
      <c r="F8" s="15">
        <f>IF(OR(F7="",F4=""),"",IFERROR(F7/F4,""))</f>
        <v/>
      </c>
      <c r="G8" s="15">
        <f>IF(OR(G7="",G4=""),"",IFERROR(G7/G4,""))</f>
        <v/>
      </c>
      <c r="H8" s="15">
        <f>IF(OR(H7="",H4=""),"",IFERROR(H7/H4,""))</f>
        <v/>
      </c>
      <c r="I8" s="15">
        <f>IF(OR(I7="",I4=""),"",IFERROR(I7/I4,""))</f>
        <v/>
      </c>
      <c r="J8" s="15">
        <f>IF(OR(J7="",J4=""),"",IFERROR(J7/J4,""))</f>
        <v/>
      </c>
      <c r="K8" s="15">
        <f>IF(OR(K7="",K4=""),"",IFERROR(K7/K4,""))</f>
        <v/>
      </c>
      <c r="L8" s="15">
        <f>IF(OR(L7="",L4=""),"",IFERROR(L7/L4,""))</f>
        <v/>
      </c>
      <c r="M8" s="15">
        <f>IF(OR(M7="",M4=""),"",IFERROR(M7/M4,""))</f>
        <v/>
      </c>
      <c r="N8" s="15">
        <f>IF(OR(N7="",N4=""),"",IFERROR(N7/N4,""))</f>
        <v/>
      </c>
      <c r="O8" s="14">
        <f>IF(OR(O7="",O4=""),"",IFERROR(O7/O4,""))</f>
        <v/>
      </c>
      <c r="P8" s="15">
        <f>IF(OR(P7="",P4=""),"",IFERROR(P7/P4,""))</f>
        <v/>
      </c>
      <c r="Q8" s="15">
        <f>IF(OR(Q7="",Q4=""),"",IFERROR(Q7/Q4,""))</f>
        <v/>
      </c>
      <c r="R8" s="15">
        <f>IF(OR(R7="",R4=""),"",IFERROR(R7/R4,""))</f>
        <v/>
      </c>
      <c r="S8" s="15">
        <f>IF(OR(S7="",S4=""),"",IFERROR(S7/S4,""))</f>
        <v/>
      </c>
      <c r="T8" s="15">
        <f>IF(OR(T7="",T4=""),"",IFERROR(T7/T4,""))</f>
        <v/>
      </c>
      <c r="U8" s="15">
        <f>IF(OR(U7="",U4=""),"",IFERROR(U7/U4,""))</f>
        <v/>
      </c>
      <c r="V8" s="15">
        <f>IF(OR(V7="",V4=""),"",IFERROR(V7/V4,""))</f>
        <v/>
      </c>
      <c r="W8" s="15">
        <f>IF(OR(W7="",W4=""),"",IFERROR(W7/W4,""))</f>
        <v/>
      </c>
      <c r="X8" s="15">
        <f>IF(OR(X7="",X4=""),"",IFERROR(X7/X4,""))</f>
        <v/>
      </c>
      <c r="Y8" s="14">
        <f>IF(OR(Y7="",Y4=""),"",IFERROR(Y7/Y4,""))</f>
        <v/>
      </c>
      <c r="Z8" s="15">
        <f>IF(OR(Z7="",Z4=""),"",IFERROR(Z7/Z4,""))</f>
        <v/>
      </c>
      <c r="AA8" s="15">
        <f>IF(OR(AA7="",AA4=""),"",IFERROR(AA7/AA4,""))</f>
        <v/>
      </c>
      <c r="AB8" s="15">
        <f>IF(OR(AB7="",AB4=""),"",IFERROR(AB7/AB4,""))</f>
        <v/>
      </c>
      <c r="AC8" s="15">
        <f>IF(OR(AC7="",AC4=""),"",IFERROR(AC7/AC4,""))</f>
        <v/>
      </c>
    </row>
    <row r="9">
      <c r="A9" s="13" t="inlineStr">
        <is>
          <t>YoY</t>
        </is>
      </c>
      <c r="B9" s="10" t="n"/>
      <c r="C9" s="14" t="n"/>
      <c r="D9" s="15" t="n"/>
      <c r="E9" s="15" t="n"/>
      <c r="F9" s="15" t="n"/>
      <c r="G9" s="15">
        <f>IF(OR(G7="",C7=""),"",IFERROR(G7/C7-1,""))</f>
        <v/>
      </c>
      <c r="H9" s="15">
        <f>IF(OR(H7="",D7=""),"",IFERROR(H7/D7-1,""))</f>
        <v/>
      </c>
      <c r="I9" s="15">
        <f>IF(OR(I7="",E7=""),"",IFERROR(I7/E7-1,""))</f>
        <v/>
      </c>
      <c r="J9" s="15">
        <f>IF(OR(J7="",F7=""),"",IFERROR(J7/F7-1,""))</f>
        <v/>
      </c>
      <c r="K9" s="15">
        <f>IF(OR(K7="",G7=""),"",IFERROR(K7/G7-1,""))</f>
        <v/>
      </c>
      <c r="L9" s="15">
        <f>IF(OR(L7="",H7=""),"",IFERROR(L7/H7-1,""))</f>
        <v/>
      </c>
      <c r="M9" s="15">
        <f>IF(OR(M7="",I7=""),"",IFERROR(M7/I7-1,""))</f>
        <v/>
      </c>
      <c r="N9" s="15">
        <f>IF(OR(N7="",J7=""),"",IFERROR(N7/J7-1,""))</f>
        <v/>
      </c>
      <c r="O9" s="14" t="n"/>
      <c r="P9" s="15">
        <f>IF(OR(P7="",O7=""),"",IFERROR(P7/O7-1,""))</f>
        <v/>
      </c>
      <c r="Q9" s="15">
        <f>IF(OR(Q7="",P7=""),"",IFERROR(Q7/P7-1,""))</f>
        <v/>
      </c>
      <c r="R9" s="15">
        <f>IF(OR(R7="",Q7=""),"",IFERROR(R7/Q7-1,""))</f>
        <v/>
      </c>
      <c r="S9" s="15">
        <f>IF(OR(S7="",R7=""),"",IFERROR(S7/R7-1,""))</f>
        <v/>
      </c>
      <c r="T9" s="15">
        <f>IF(OR(T7="",S7=""),"",IFERROR(T7/S7-1,""))</f>
        <v/>
      </c>
      <c r="U9" s="15">
        <f>IF(OR(U7="",T7=""),"",IFERROR(U7/T7-1,""))</f>
        <v/>
      </c>
      <c r="V9" s="15">
        <f>IF(OR(V7="",U7=""),"",IFERROR(V7/U7-1,""))</f>
        <v/>
      </c>
      <c r="W9" s="15">
        <f>IF(OR(W7="",V7=""),"",IFERROR(W7/V7-1,""))</f>
        <v/>
      </c>
      <c r="X9" s="15">
        <f>IF(OR(X7="",W7=""),"",IFERROR(X7/W7-1,""))</f>
        <v/>
      </c>
      <c r="Y9" s="14">
        <f>IF(OR(Y7="",X7=""),"",IFERROR(Y7/X7-1,""))</f>
        <v/>
      </c>
      <c r="Z9" s="15">
        <f>IF(OR(Z7="",Y7=""),"",IFERROR(Z7/Y7-1,""))</f>
        <v/>
      </c>
      <c r="AA9" s="15">
        <f>IF(OR(AA7="",Z7=""),"",IFERROR(AA7/Z7-1,""))</f>
        <v/>
      </c>
      <c r="AB9" s="15">
        <f>IF(OR(AB7="",AA7=""),"",IFERROR(AB7/AA7-1,""))</f>
        <v/>
      </c>
      <c r="AC9" s="15">
        <f>IF(OR(AC7="",AB7=""),"",IFERROR(AC7/AB7-1,""))</f>
        <v/>
      </c>
    </row>
    <row r="10">
      <c r="A10" s="18" t="inlineStr">
        <is>
          <t>OverseasReportableSegmentMember</t>
        </is>
      </c>
      <c r="B10" s="10" t="n"/>
      <c r="C10" s="19" t="n">
        <v>16246</v>
      </c>
      <c r="D10" s="20" t="n">
        <v>17479</v>
      </c>
      <c r="E10" s="20" t="n">
        <v>29822</v>
      </c>
      <c r="F10" s="20" t="n">
        <v>33636</v>
      </c>
      <c r="G10" s="20" t="n">
        <v>31496</v>
      </c>
      <c r="H10" s="20" t="n">
        <v>34580</v>
      </c>
      <c r="I10" s="20" t="n">
        <v>28340</v>
      </c>
      <c r="J10" s="20" t="n">
        <v>25347</v>
      </c>
      <c r="K10" s="20" t="n">
        <v>30435</v>
      </c>
      <c r="L10" s="20" t="n">
        <v>30707</v>
      </c>
      <c r="M10" s="20" t="n">
        <v>29073</v>
      </c>
      <c r="N10" s="20" t="n">
        <v>29878</v>
      </c>
      <c r="O10" s="19" t="n"/>
      <c r="P10" s="20" t="n"/>
      <c r="Q10" s="20" t="n"/>
      <c r="R10" s="20" t="n"/>
      <c r="S10" s="20" t="n"/>
      <c r="T10" s="20" t="n"/>
      <c r="U10" s="20" t="n"/>
      <c r="V10" s="20" t="n">
        <v>63110</v>
      </c>
      <c r="W10" s="20" t="n">
        <v>129534</v>
      </c>
      <c r="X10" s="20" t="n">
        <v>114829</v>
      </c>
      <c r="Y10" s="21" t="n"/>
      <c r="Z10" s="22" t="n"/>
      <c r="AA10" s="22" t="n"/>
      <c r="AB10" s="22" t="n"/>
      <c r="AC10" s="22" t="n"/>
    </row>
    <row r="11">
      <c r="A11" s="13" t="inlineStr">
        <is>
          <t>비중</t>
        </is>
      </c>
      <c r="B11" s="10" t="n"/>
      <c r="C11" s="14">
        <f>IF(OR(C10="",C4=""),"",IFERROR(C10/C4,""))</f>
        <v/>
      </c>
      <c r="D11" s="15">
        <f>IF(OR(D10="",D4=""),"",IFERROR(D10/D4,""))</f>
        <v/>
      </c>
      <c r="E11" s="15">
        <f>IF(OR(E10="",E4=""),"",IFERROR(E10/E4,""))</f>
        <v/>
      </c>
      <c r="F11" s="15">
        <f>IF(OR(F10="",F4=""),"",IFERROR(F10/F4,""))</f>
        <v/>
      </c>
      <c r="G11" s="15">
        <f>IF(OR(G10="",G4=""),"",IFERROR(G10/G4,""))</f>
        <v/>
      </c>
      <c r="H11" s="15">
        <f>IF(OR(H10="",H4=""),"",IFERROR(H10/H4,""))</f>
        <v/>
      </c>
      <c r="I11" s="15">
        <f>IF(OR(I10="",I4=""),"",IFERROR(I10/I4,""))</f>
        <v/>
      </c>
      <c r="J11" s="15">
        <f>IF(OR(J10="",J4=""),"",IFERROR(J10/J4,""))</f>
        <v/>
      </c>
      <c r="K11" s="15">
        <f>IF(OR(K10="",K4=""),"",IFERROR(K10/K4,""))</f>
        <v/>
      </c>
      <c r="L11" s="15">
        <f>IF(OR(L10="",L4=""),"",IFERROR(L10/L4,""))</f>
        <v/>
      </c>
      <c r="M11" s="15">
        <f>IF(OR(M10="",M4=""),"",IFERROR(M10/M4,""))</f>
        <v/>
      </c>
      <c r="N11" s="15">
        <f>IF(OR(N10="",N4=""),"",IFERROR(N10/N4,""))</f>
        <v/>
      </c>
      <c r="O11" s="14">
        <f>IF(OR(O10="",O4=""),"",IFERROR(O10/O4,""))</f>
        <v/>
      </c>
      <c r="P11" s="15">
        <f>IF(OR(P10="",P4=""),"",IFERROR(P10/P4,""))</f>
        <v/>
      </c>
      <c r="Q11" s="15">
        <f>IF(OR(Q10="",Q4=""),"",IFERROR(Q10/Q4,""))</f>
        <v/>
      </c>
      <c r="R11" s="15">
        <f>IF(OR(R10="",R4=""),"",IFERROR(R10/R4,""))</f>
        <v/>
      </c>
      <c r="S11" s="15">
        <f>IF(OR(S10="",S4=""),"",IFERROR(S10/S4,""))</f>
        <v/>
      </c>
      <c r="T11" s="15">
        <f>IF(OR(T10="",T4=""),"",IFERROR(T10/T4,""))</f>
        <v/>
      </c>
      <c r="U11" s="15">
        <f>IF(OR(U10="",U4=""),"",IFERROR(U10/U4,""))</f>
        <v/>
      </c>
      <c r="V11" s="15">
        <f>IF(OR(V10="",V4=""),"",IFERROR(V10/V4,""))</f>
        <v/>
      </c>
      <c r="W11" s="15">
        <f>IF(OR(W10="",W4=""),"",IFERROR(W10/W4,""))</f>
        <v/>
      </c>
      <c r="X11" s="15">
        <f>IF(OR(X10="",X4=""),"",IFERROR(X10/X4,""))</f>
        <v/>
      </c>
      <c r="Y11" s="14">
        <f>IF(OR(Y10="",Y4=""),"",IFERROR(Y10/Y4,""))</f>
        <v/>
      </c>
      <c r="Z11" s="15">
        <f>IF(OR(Z10="",Z4=""),"",IFERROR(Z10/Z4,""))</f>
        <v/>
      </c>
      <c r="AA11" s="15">
        <f>IF(OR(AA10="",AA4=""),"",IFERROR(AA10/AA4,""))</f>
        <v/>
      </c>
      <c r="AB11" s="15">
        <f>IF(OR(AB10="",AB4=""),"",IFERROR(AB10/AB4,""))</f>
        <v/>
      </c>
      <c r="AC11" s="15">
        <f>IF(OR(AC10="",AC4=""),"",IFERROR(AC10/AC4,""))</f>
        <v/>
      </c>
    </row>
    <row r="12">
      <c r="A12" s="13" t="inlineStr">
        <is>
          <t>YoY</t>
        </is>
      </c>
      <c r="B12" s="10" t="n"/>
      <c r="C12" s="14" t="n"/>
      <c r="D12" s="15" t="n"/>
      <c r="E12" s="15" t="n"/>
      <c r="F12" s="15" t="n"/>
      <c r="G12" s="15">
        <f>IF(OR(G10="",C10=""),"",IFERROR(G10/C10-1,""))</f>
        <v/>
      </c>
      <c r="H12" s="15">
        <f>IF(OR(H10="",D10=""),"",IFERROR(H10/D10-1,""))</f>
        <v/>
      </c>
      <c r="I12" s="15">
        <f>IF(OR(I10="",E10=""),"",IFERROR(I10/E10-1,""))</f>
        <v/>
      </c>
      <c r="J12" s="15">
        <f>IF(OR(J10="",F10=""),"",IFERROR(J10/F10-1,""))</f>
        <v/>
      </c>
      <c r="K12" s="15">
        <f>IF(OR(K10="",G10=""),"",IFERROR(K10/G10-1,""))</f>
        <v/>
      </c>
      <c r="L12" s="15">
        <f>IF(OR(L10="",H10=""),"",IFERROR(L10/H10-1,""))</f>
        <v/>
      </c>
      <c r="M12" s="15">
        <f>IF(OR(M10="",I10=""),"",IFERROR(M10/I10-1,""))</f>
        <v/>
      </c>
      <c r="N12" s="15">
        <f>IF(OR(N10="",J10=""),"",IFERROR(N10/J10-1,""))</f>
        <v/>
      </c>
      <c r="O12" s="14" t="n"/>
      <c r="P12" s="15">
        <f>IF(OR(P10="",O10=""),"",IFERROR(P10/O10-1,""))</f>
        <v/>
      </c>
      <c r="Q12" s="15">
        <f>IF(OR(Q10="",P10=""),"",IFERROR(Q10/P10-1,""))</f>
        <v/>
      </c>
      <c r="R12" s="15">
        <f>IF(OR(R10="",Q10=""),"",IFERROR(R10/Q10-1,""))</f>
        <v/>
      </c>
      <c r="S12" s="15">
        <f>IF(OR(S10="",R10=""),"",IFERROR(S10/R10-1,""))</f>
        <v/>
      </c>
      <c r="T12" s="15">
        <f>IF(OR(T10="",S10=""),"",IFERROR(T10/S10-1,""))</f>
        <v/>
      </c>
      <c r="U12" s="15">
        <f>IF(OR(U10="",T10=""),"",IFERROR(U10/T10-1,""))</f>
        <v/>
      </c>
      <c r="V12" s="15">
        <f>IF(OR(V10="",U10=""),"",IFERROR(V10/U10-1,""))</f>
        <v/>
      </c>
      <c r="W12" s="15">
        <f>IF(OR(W10="",V10=""),"",IFERROR(W10/V10-1,""))</f>
        <v/>
      </c>
      <c r="X12" s="15">
        <f>IF(OR(X10="",W10=""),"",IFERROR(X10/W10-1,""))</f>
        <v/>
      </c>
      <c r="Y12" s="14">
        <f>IF(OR(Y10="",X10=""),"",IFERROR(Y10/X10-1,""))</f>
        <v/>
      </c>
      <c r="Z12" s="15">
        <f>IF(OR(Z10="",Y10=""),"",IFERROR(Z10/Y10-1,""))</f>
        <v/>
      </c>
      <c r="AA12" s="15">
        <f>IF(OR(AA10="",Z10=""),"",IFERROR(AA10/Z10-1,""))</f>
        <v/>
      </c>
      <c r="AB12" s="15">
        <f>IF(OR(AB10="",AA10=""),"",IFERROR(AB10/AA10-1,""))</f>
        <v/>
      </c>
      <c r="AC12" s="15">
        <f>IF(OR(AC10="",AB10=""),"",IFERROR(AC10/AB10-1,""))</f>
        <v/>
      </c>
    </row>
    <row r="13">
      <c r="A13" s="18" t="inlineStr">
        <is>
          <t>OtherDomesticReportableSegmentMember</t>
        </is>
      </c>
      <c r="B13" s="10" t="n"/>
      <c r="C13" s="19" t="n">
        <v>4624</v>
      </c>
      <c r="D13" s="20" t="n">
        <v>4573</v>
      </c>
      <c r="E13" s="20" t="n">
        <v>4747</v>
      </c>
      <c r="F13" s="20" t="n">
        <v>7352</v>
      </c>
      <c r="G13" s="20" t="n">
        <v>4438</v>
      </c>
      <c r="H13" s="20" t="n">
        <v>5085</v>
      </c>
      <c r="I13" s="20" t="n">
        <v>5351</v>
      </c>
      <c r="J13" s="20" t="n">
        <v>6415</v>
      </c>
      <c r="K13" s="20" t="n">
        <v>4737</v>
      </c>
      <c r="L13" s="20" t="n">
        <v>5606</v>
      </c>
      <c r="M13" s="20" t="n">
        <v>5091</v>
      </c>
      <c r="N13" s="20" t="n">
        <v>6665</v>
      </c>
      <c r="O13" s="19" t="n"/>
      <c r="P13" s="20" t="n"/>
      <c r="Q13" s="20" t="n"/>
      <c r="R13" s="20" t="n"/>
      <c r="S13" s="20" t="n"/>
      <c r="T13" s="20" t="n"/>
      <c r="U13" s="20" t="n"/>
      <c r="V13" s="20" t="n">
        <v>19446</v>
      </c>
      <c r="W13" s="20" t="n">
        <v>21622</v>
      </c>
      <c r="X13" s="20" t="n">
        <v>22109</v>
      </c>
      <c r="Y13" s="21" t="n"/>
      <c r="Z13" s="22" t="n"/>
      <c r="AA13" s="22" t="n"/>
      <c r="AB13" s="22" t="n"/>
      <c r="AC13" s="22" t="n"/>
    </row>
    <row r="14">
      <c r="A14" s="13" t="inlineStr">
        <is>
          <t>비중</t>
        </is>
      </c>
      <c r="B14" s="10" t="n"/>
      <c r="C14" s="14">
        <f>IF(OR(C13="",C4=""),"",IFERROR(C13/C4,""))</f>
        <v/>
      </c>
      <c r="D14" s="15">
        <f>IF(OR(D13="",D4=""),"",IFERROR(D13/D4,""))</f>
        <v/>
      </c>
      <c r="E14" s="15">
        <f>IF(OR(E13="",E4=""),"",IFERROR(E13/E4,""))</f>
        <v/>
      </c>
      <c r="F14" s="15">
        <f>IF(OR(F13="",F4=""),"",IFERROR(F13/F4,""))</f>
        <v/>
      </c>
      <c r="G14" s="15">
        <f>IF(OR(G13="",G4=""),"",IFERROR(G13/G4,""))</f>
        <v/>
      </c>
      <c r="H14" s="15">
        <f>IF(OR(H13="",H4=""),"",IFERROR(H13/H4,""))</f>
        <v/>
      </c>
      <c r="I14" s="15">
        <f>IF(OR(I13="",I4=""),"",IFERROR(I13/I4,""))</f>
        <v/>
      </c>
      <c r="J14" s="15">
        <f>IF(OR(J13="",J4=""),"",IFERROR(J13/J4,""))</f>
        <v/>
      </c>
      <c r="K14" s="15">
        <f>IF(OR(K13="",K4=""),"",IFERROR(K13/K4,""))</f>
        <v/>
      </c>
      <c r="L14" s="15">
        <f>IF(OR(L13="",L4=""),"",IFERROR(L13/L4,""))</f>
        <v/>
      </c>
      <c r="M14" s="15">
        <f>IF(OR(M13="",M4=""),"",IFERROR(M13/M4,""))</f>
        <v/>
      </c>
      <c r="N14" s="15">
        <f>IF(OR(N13="",N4=""),"",IFERROR(N13/N4,""))</f>
        <v/>
      </c>
      <c r="O14" s="14">
        <f>IF(OR(O13="",O4=""),"",IFERROR(O13/O4,""))</f>
        <v/>
      </c>
      <c r="P14" s="15">
        <f>IF(OR(P13="",P4=""),"",IFERROR(P13/P4,""))</f>
        <v/>
      </c>
      <c r="Q14" s="15">
        <f>IF(OR(Q13="",Q4=""),"",IFERROR(Q13/Q4,""))</f>
        <v/>
      </c>
      <c r="R14" s="15">
        <f>IF(OR(R13="",R4=""),"",IFERROR(R13/R4,""))</f>
        <v/>
      </c>
      <c r="S14" s="15">
        <f>IF(OR(S13="",S4=""),"",IFERROR(S13/S4,""))</f>
        <v/>
      </c>
      <c r="T14" s="15">
        <f>IF(OR(T13="",T4=""),"",IFERROR(T13/T4,""))</f>
        <v/>
      </c>
      <c r="U14" s="15">
        <f>IF(OR(U13="",U4=""),"",IFERROR(U13/U4,""))</f>
        <v/>
      </c>
      <c r="V14" s="15">
        <f>IF(OR(V13="",V4=""),"",IFERROR(V13/V4,""))</f>
        <v/>
      </c>
      <c r="W14" s="15">
        <f>IF(OR(W13="",W4=""),"",IFERROR(W13/W4,""))</f>
        <v/>
      </c>
      <c r="X14" s="15">
        <f>IF(OR(X13="",X4=""),"",IFERROR(X13/X4,""))</f>
        <v/>
      </c>
      <c r="Y14" s="14">
        <f>IF(OR(Y13="",Y4=""),"",IFERROR(Y13/Y4,""))</f>
        <v/>
      </c>
      <c r="Z14" s="15">
        <f>IF(OR(Z13="",Z4=""),"",IFERROR(Z13/Z4,""))</f>
        <v/>
      </c>
      <c r="AA14" s="15">
        <f>IF(OR(AA13="",AA4=""),"",IFERROR(AA13/AA4,""))</f>
        <v/>
      </c>
      <c r="AB14" s="15">
        <f>IF(OR(AB13="",AB4=""),"",IFERROR(AB13/AB4,""))</f>
        <v/>
      </c>
      <c r="AC14" s="15">
        <f>IF(OR(AC13="",AC4=""),"",IFERROR(AC13/AC4,""))</f>
        <v/>
      </c>
    </row>
    <row r="15">
      <c r="A15" s="13" t="inlineStr">
        <is>
          <t>YoY</t>
        </is>
      </c>
      <c r="B15" s="10" t="n"/>
      <c r="C15" s="14" t="n"/>
      <c r="D15" s="15" t="n"/>
      <c r="E15" s="15" t="n"/>
      <c r="F15" s="15" t="n"/>
      <c r="G15" s="15">
        <f>IF(OR(G13="",C13=""),"",IFERROR(G13/C13-1,""))</f>
        <v/>
      </c>
      <c r="H15" s="15">
        <f>IF(OR(H13="",D13=""),"",IFERROR(H13/D13-1,""))</f>
        <v/>
      </c>
      <c r="I15" s="15">
        <f>IF(OR(I13="",E13=""),"",IFERROR(I13/E13-1,""))</f>
        <v/>
      </c>
      <c r="J15" s="15">
        <f>IF(OR(J13="",F13=""),"",IFERROR(J13/F13-1,""))</f>
        <v/>
      </c>
      <c r="K15" s="15">
        <f>IF(OR(K13="",G13=""),"",IFERROR(K13/G13-1,""))</f>
        <v/>
      </c>
      <c r="L15" s="15">
        <f>IF(OR(L13="",H13=""),"",IFERROR(L13/H13-1,""))</f>
        <v/>
      </c>
      <c r="M15" s="15">
        <f>IF(OR(M13="",I13=""),"",IFERROR(M13/I13-1,""))</f>
        <v/>
      </c>
      <c r="N15" s="15">
        <f>IF(OR(N13="",J13=""),"",IFERROR(N13/J13-1,""))</f>
        <v/>
      </c>
      <c r="O15" s="14" t="n"/>
      <c r="P15" s="15">
        <f>IF(OR(P13="",O13=""),"",IFERROR(P13/O13-1,""))</f>
        <v/>
      </c>
      <c r="Q15" s="15">
        <f>IF(OR(Q13="",P13=""),"",IFERROR(Q13/P13-1,""))</f>
        <v/>
      </c>
      <c r="R15" s="15">
        <f>IF(OR(R13="",Q13=""),"",IFERROR(R13/Q13-1,""))</f>
        <v/>
      </c>
      <c r="S15" s="15">
        <f>IF(OR(S13="",R13=""),"",IFERROR(S13/R13-1,""))</f>
        <v/>
      </c>
      <c r="T15" s="15">
        <f>IF(OR(T13="",S13=""),"",IFERROR(T13/S13-1,""))</f>
        <v/>
      </c>
      <c r="U15" s="15">
        <f>IF(OR(U13="",T13=""),"",IFERROR(U13/T13-1,""))</f>
        <v/>
      </c>
      <c r="V15" s="15">
        <f>IF(OR(V13="",U13=""),"",IFERROR(V13/U13-1,""))</f>
        <v/>
      </c>
      <c r="W15" s="15">
        <f>IF(OR(W13="",V13=""),"",IFERROR(W13/V13-1,""))</f>
        <v/>
      </c>
      <c r="X15" s="15">
        <f>IF(OR(X13="",W13=""),"",IFERROR(X13/W13-1,""))</f>
        <v/>
      </c>
      <c r="Y15" s="14">
        <f>IF(OR(Y13="",X13=""),"",IFERROR(Y13/X13-1,""))</f>
        <v/>
      </c>
      <c r="Z15" s="15">
        <f>IF(OR(Z13="",Y13=""),"",IFERROR(Z13/Y13-1,""))</f>
        <v/>
      </c>
      <c r="AA15" s="15">
        <f>IF(OR(AA13="",Z13=""),"",IFERROR(AA13/Z13-1,""))</f>
        <v/>
      </c>
      <c r="AB15" s="15">
        <f>IF(OR(AB13="",AA13=""),"",IFERROR(AB13/AA13-1,""))</f>
        <v/>
      </c>
      <c r="AC15" s="15">
        <f>IF(OR(AC13="",AB13=""),"",IFERROR(AC13/AB13-1,""))</f>
        <v/>
      </c>
    </row>
    <row r="16">
      <c r="A16" s="18" t="inlineStr">
        <is>
          <t>ReconcilingItemsDomesticReportableSegmentMember</t>
        </is>
      </c>
      <c r="B16" s="10" t="n"/>
      <c r="C16" s="19" t="n"/>
      <c r="D16" s="20" t="n"/>
      <c r="E16" s="20" t="n"/>
      <c r="F16" s="20" t="n"/>
      <c r="G16" s="20" t="n"/>
      <c r="H16" s="20" t="n"/>
      <c r="I16" s="20" t="n"/>
      <c r="J16" s="20" t="n"/>
      <c r="K16" s="20" t="n"/>
      <c r="L16" s="20" t="n"/>
      <c r="M16" s="20" t="n"/>
      <c r="N16" s="20" t="n"/>
      <c r="O16" s="19" t="n"/>
      <c r="P16" s="20" t="n"/>
      <c r="Q16" s="20" t="n"/>
      <c r="R16" s="20" t="n"/>
      <c r="S16" s="20" t="n"/>
      <c r="T16" s="20" t="n"/>
      <c r="U16" s="20" t="n"/>
      <c r="V16" s="20" t="n">
        <v>0</v>
      </c>
      <c r="W16" s="20" t="n">
        <v>0</v>
      </c>
      <c r="X16" s="20" t="n"/>
      <c r="Y16" s="21" t="n"/>
      <c r="Z16" s="22" t="n"/>
      <c r="AA16" s="22" t="n"/>
      <c r="AB16" s="22" t="n"/>
      <c r="AC16" s="22" t="n"/>
    </row>
    <row r="17">
      <c r="A17" s="13" t="inlineStr">
        <is>
          <t>비중</t>
        </is>
      </c>
      <c r="B17" s="10" t="n"/>
      <c r="C17" s="14">
        <f>IF(OR(C16="",C4=""),"",IFERROR(C16/C4,""))</f>
        <v/>
      </c>
      <c r="D17" s="15">
        <f>IF(OR(D16="",D4=""),"",IFERROR(D16/D4,""))</f>
        <v/>
      </c>
      <c r="E17" s="15">
        <f>IF(OR(E16="",E4=""),"",IFERROR(E16/E4,""))</f>
        <v/>
      </c>
      <c r="F17" s="15">
        <f>IF(OR(F16="",F4=""),"",IFERROR(F16/F4,""))</f>
        <v/>
      </c>
      <c r="G17" s="15">
        <f>IF(OR(G16="",G4=""),"",IFERROR(G16/G4,""))</f>
        <v/>
      </c>
      <c r="H17" s="15">
        <f>IF(OR(H16="",H4=""),"",IFERROR(H16/H4,""))</f>
        <v/>
      </c>
      <c r="I17" s="15">
        <f>IF(OR(I16="",I4=""),"",IFERROR(I16/I4,""))</f>
        <v/>
      </c>
      <c r="J17" s="15">
        <f>IF(OR(J16="",J4=""),"",IFERROR(J16/J4,""))</f>
        <v/>
      </c>
      <c r="K17" s="15">
        <f>IF(OR(K16="",K4=""),"",IFERROR(K16/K4,""))</f>
        <v/>
      </c>
      <c r="L17" s="15">
        <f>IF(OR(L16="",L4=""),"",IFERROR(L16/L4,""))</f>
        <v/>
      </c>
      <c r="M17" s="15">
        <f>IF(OR(M16="",M4=""),"",IFERROR(M16/M4,""))</f>
        <v/>
      </c>
      <c r="N17" s="15">
        <f>IF(OR(N16="",N4=""),"",IFERROR(N16/N4,""))</f>
        <v/>
      </c>
      <c r="O17" s="14">
        <f>IF(OR(O16="",O4=""),"",IFERROR(O16/O4,""))</f>
        <v/>
      </c>
      <c r="P17" s="15">
        <f>IF(OR(P16="",P4=""),"",IFERROR(P16/P4,""))</f>
        <v/>
      </c>
      <c r="Q17" s="15">
        <f>IF(OR(Q16="",Q4=""),"",IFERROR(Q16/Q4,""))</f>
        <v/>
      </c>
      <c r="R17" s="15">
        <f>IF(OR(R16="",R4=""),"",IFERROR(R16/R4,""))</f>
        <v/>
      </c>
      <c r="S17" s="15">
        <f>IF(OR(S16="",S4=""),"",IFERROR(S16/S4,""))</f>
        <v/>
      </c>
      <c r="T17" s="15">
        <f>IF(OR(T16="",T4=""),"",IFERROR(T16/T4,""))</f>
        <v/>
      </c>
      <c r="U17" s="15">
        <f>IF(OR(U16="",U4=""),"",IFERROR(U16/U4,""))</f>
        <v/>
      </c>
      <c r="V17" s="15">
        <f>IF(OR(V16="",V4=""),"",IFERROR(V16/V4,""))</f>
        <v/>
      </c>
      <c r="W17" s="15">
        <f>IF(OR(W16="",W4=""),"",IFERROR(W16/W4,""))</f>
        <v/>
      </c>
      <c r="X17" s="15">
        <f>IF(OR(X16="",X4=""),"",IFERROR(X16/X4,""))</f>
        <v/>
      </c>
      <c r="Y17" s="14">
        <f>IF(OR(Y16="",Y4=""),"",IFERROR(Y16/Y4,""))</f>
        <v/>
      </c>
      <c r="Z17" s="15">
        <f>IF(OR(Z16="",Z4=""),"",IFERROR(Z16/Z4,""))</f>
        <v/>
      </c>
      <c r="AA17" s="15">
        <f>IF(OR(AA16="",AA4=""),"",IFERROR(AA16/AA4,""))</f>
        <v/>
      </c>
      <c r="AB17" s="15">
        <f>IF(OR(AB16="",AB4=""),"",IFERROR(AB16/AB4,""))</f>
        <v/>
      </c>
      <c r="AC17" s="15">
        <f>IF(OR(AC16="",AC4=""),"",IFERROR(AC16/AC4,""))</f>
        <v/>
      </c>
    </row>
    <row r="18">
      <c r="A18" s="13" t="inlineStr">
        <is>
          <t>YoY</t>
        </is>
      </c>
      <c r="B18" s="10" t="n"/>
      <c r="C18" s="14" t="n"/>
      <c r="D18" s="15" t="n"/>
      <c r="E18" s="15" t="n"/>
      <c r="F18" s="15" t="n"/>
      <c r="G18" s="15">
        <f>IF(OR(G16="",C16=""),"",IFERROR(G16/C16-1,""))</f>
        <v/>
      </c>
      <c r="H18" s="15">
        <f>IF(OR(H16="",D16=""),"",IFERROR(H16/D16-1,""))</f>
        <v/>
      </c>
      <c r="I18" s="15">
        <f>IF(OR(I16="",E16=""),"",IFERROR(I16/E16-1,""))</f>
        <v/>
      </c>
      <c r="J18" s="15">
        <f>IF(OR(J16="",F16=""),"",IFERROR(J16/F16-1,""))</f>
        <v/>
      </c>
      <c r="K18" s="15">
        <f>IF(OR(K16="",G16=""),"",IFERROR(K16/G16-1,""))</f>
        <v/>
      </c>
      <c r="L18" s="15">
        <f>IF(OR(L16="",H16=""),"",IFERROR(L16/H16-1,""))</f>
        <v/>
      </c>
      <c r="M18" s="15">
        <f>IF(OR(M16="",I16=""),"",IFERROR(M16/I16-1,""))</f>
        <v/>
      </c>
      <c r="N18" s="15">
        <f>IF(OR(N16="",J16=""),"",IFERROR(N16/J16-1,""))</f>
        <v/>
      </c>
      <c r="O18" s="14" t="n"/>
      <c r="P18" s="15">
        <f>IF(OR(P16="",O16=""),"",IFERROR(P16/O16-1,""))</f>
        <v/>
      </c>
      <c r="Q18" s="15">
        <f>IF(OR(Q16="",P16=""),"",IFERROR(Q16/P16-1,""))</f>
        <v/>
      </c>
      <c r="R18" s="15">
        <f>IF(OR(R16="",Q16=""),"",IFERROR(R16/Q16-1,""))</f>
        <v/>
      </c>
      <c r="S18" s="15">
        <f>IF(OR(S16="",R16=""),"",IFERROR(S16/R16-1,""))</f>
        <v/>
      </c>
      <c r="T18" s="15">
        <f>IF(OR(T16="",S16=""),"",IFERROR(T16/S16-1,""))</f>
        <v/>
      </c>
      <c r="U18" s="15">
        <f>IF(OR(U16="",T16=""),"",IFERROR(U16/T16-1,""))</f>
        <v/>
      </c>
      <c r="V18" s="15">
        <f>IF(OR(V16="",U16=""),"",IFERROR(V16/U16-1,""))</f>
        <v/>
      </c>
      <c r="W18" s="15">
        <f>IF(OR(W16="",V16=""),"",IFERROR(W16/V16-1,""))</f>
        <v/>
      </c>
      <c r="X18" s="15">
        <f>IF(OR(X16="",W16=""),"",IFERROR(X16/W16-1,""))</f>
        <v/>
      </c>
      <c r="Y18" s="14">
        <f>IF(OR(Y16="",X16=""),"",IFERROR(Y16/X16-1,""))</f>
        <v/>
      </c>
      <c r="Z18" s="15">
        <f>IF(OR(Z16="",Y16=""),"",IFERROR(Z16/Y16-1,""))</f>
        <v/>
      </c>
      <c r="AA18" s="15">
        <f>IF(OR(AA16="",Z16=""),"",IFERROR(AA16/Z16-1,""))</f>
        <v/>
      </c>
      <c r="AB18" s="15">
        <f>IF(OR(AB16="",AA16=""),"",IFERROR(AB16/AA16-1,""))</f>
        <v/>
      </c>
      <c r="AC18" s="15">
        <f>IF(OR(AC16="",AB16=""),"",IFERROR(AC16/AB16-1,""))</f>
        <v/>
      </c>
    </row>
    <row r="19">
      <c r="A19" s="18" t="inlineStr">
        <is>
          <t>EntityTotalMember</t>
        </is>
      </c>
      <c r="B19" s="10" t="n"/>
      <c r="C19" s="19" t="n"/>
      <c r="D19" s="20" t="n"/>
      <c r="E19" s="20" t="n"/>
      <c r="F19" s="20" t="n"/>
      <c r="G19" s="20" t="n"/>
      <c r="H19" s="20" t="n"/>
      <c r="I19" s="20" t="n">
        <v>67167</v>
      </c>
      <c r="J19" s="20" t="n"/>
      <c r="K19" s="20" t="n"/>
      <c r="L19" s="20" t="n"/>
      <c r="M19" s="20" t="n">
        <v>67564</v>
      </c>
      <c r="N19" s="20" t="n"/>
      <c r="O19" s="19" t="n"/>
      <c r="P19" s="20" t="n"/>
      <c r="Q19" s="20" t="n"/>
      <c r="R19" s="20" t="n"/>
      <c r="S19" s="20" t="n"/>
      <c r="T19" s="20" t="n"/>
      <c r="U19" s="20" t="n"/>
      <c r="V19" s="20" t="n"/>
      <c r="W19" s="20" t="n"/>
      <c r="X19" s="20" t="n"/>
      <c r="Y19" s="21" t="n"/>
      <c r="Z19" s="22" t="n"/>
      <c r="AA19" s="22" t="n"/>
      <c r="AB19" s="22" t="n"/>
      <c r="AC19" s="22" t="n"/>
    </row>
    <row r="20">
      <c r="A20" s="13" t="inlineStr">
        <is>
          <t>비중</t>
        </is>
      </c>
      <c r="B20" s="10" t="n"/>
      <c r="C20" s="14">
        <f>IF(OR(C19="",C4=""),"",IFERROR(C19/C4,""))</f>
        <v/>
      </c>
      <c r="D20" s="15">
        <f>IF(OR(D19="",D4=""),"",IFERROR(D19/D4,""))</f>
        <v/>
      </c>
      <c r="E20" s="15">
        <f>IF(OR(E19="",E4=""),"",IFERROR(E19/E4,""))</f>
        <v/>
      </c>
      <c r="F20" s="15">
        <f>IF(OR(F19="",F4=""),"",IFERROR(F19/F4,""))</f>
        <v/>
      </c>
      <c r="G20" s="15">
        <f>IF(OR(G19="",G4=""),"",IFERROR(G19/G4,""))</f>
        <v/>
      </c>
      <c r="H20" s="15">
        <f>IF(OR(H19="",H4=""),"",IFERROR(H19/H4,""))</f>
        <v/>
      </c>
      <c r="I20" s="15">
        <f>IF(OR(I19="",I4=""),"",IFERROR(I19/I4,""))</f>
        <v/>
      </c>
      <c r="J20" s="15">
        <f>IF(OR(J19="",J4=""),"",IFERROR(J19/J4,""))</f>
        <v/>
      </c>
      <c r="K20" s="15">
        <f>IF(OR(K19="",K4=""),"",IFERROR(K19/K4,""))</f>
        <v/>
      </c>
      <c r="L20" s="15">
        <f>IF(OR(L19="",L4=""),"",IFERROR(L19/L4,""))</f>
        <v/>
      </c>
      <c r="M20" s="15">
        <f>IF(OR(M19="",M4=""),"",IFERROR(M19/M4,""))</f>
        <v/>
      </c>
      <c r="N20" s="15">
        <f>IF(OR(N19="",N4=""),"",IFERROR(N19/N4,""))</f>
        <v/>
      </c>
      <c r="O20" s="14">
        <f>IF(OR(O19="",O4=""),"",IFERROR(O19/O4,""))</f>
        <v/>
      </c>
      <c r="P20" s="15">
        <f>IF(OR(P19="",P4=""),"",IFERROR(P19/P4,""))</f>
        <v/>
      </c>
      <c r="Q20" s="15">
        <f>IF(OR(Q19="",Q4=""),"",IFERROR(Q19/Q4,""))</f>
        <v/>
      </c>
      <c r="R20" s="15">
        <f>IF(OR(R19="",R4=""),"",IFERROR(R19/R4,""))</f>
        <v/>
      </c>
      <c r="S20" s="15">
        <f>IF(OR(S19="",S4=""),"",IFERROR(S19/S4,""))</f>
        <v/>
      </c>
      <c r="T20" s="15">
        <f>IF(OR(T19="",T4=""),"",IFERROR(T19/T4,""))</f>
        <v/>
      </c>
      <c r="U20" s="15">
        <f>IF(OR(U19="",U4=""),"",IFERROR(U19/U4,""))</f>
        <v/>
      </c>
      <c r="V20" s="15">
        <f>IF(OR(V19="",V4=""),"",IFERROR(V19/V4,""))</f>
        <v/>
      </c>
      <c r="W20" s="15">
        <f>IF(OR(W19="",W4=""),"",IFERROR(W19/W4,""))</f>
        <v/>
      </c>
      <c r="X20" s="15">
        <f>IF(OR(X19="",X4=""),"",IFERROR(X19/X4,""))</f>
        <v/>
      </c>
      <c r="Y20" s="14">
        <f>IF(OR(Y19="",Y4=""),"",IFERROR(Y19/Y4,""))</f>
        <v/>
      </c>
      <c r="Z20" s="15">
        <f>IF(OR(Z19="",Z4=""),"",IFERROR(Z19/Z4,""))</f>
        <v/>
      </c>
      <c r="AA20" s="15">
        <f>IF(OR(AA19="",AA4=""),"",IFERROR(AA19/AA4,""))</f>
        <v/>
      </c>
      <c r="AB20" s="15">
        <f>IF(OR(AB19="",AB4=""),"",IFERROR(AB19/AB4,""))</f>
        <v/>
      </c>
      <c r="AC20" s="15">
        <f>IF(OR(AC19="",AC4=""),"",IFERROR(AC19/AC4,""))</f>
        <v/>
      </c>
    </row>
    <row r="21">
      <c r="A21" s="13" t="inlineStr">
        <is>
          <t>YoY</t>
        </is>
      </c>
      <c r="B21" s="10" t="n"/>
      <c r="C21" s="14" t="n"/>
      <c r="D21" s="15" t="n"/>
      <c r="E21" s="15" t="n"/>
      <c r="F21" s="15" t="n"/>
      <c r="G21" s="15">
        <f>IF(OR(G19="",C19=""),"",IFERROR(G19/C19-1,""))</f>
        <v/>
      </c>
      <c r="H21" s="15">
        <f>IF(OR(H19="",D19=""),"",IFERROR(H19/D19-1,""))</f>
        <v/>
      </c>
      <c r="I21" s="15">
        <f>IF(OR(I19="",E19=""),"",IFERROR(I19/E19-1,""))</f>
        <v/>
      </c>
      <c r="J21" s="15">
        <f>IF(OR(J19="",F19=""),"",IFERROR(J19/F19-1,""))</f>
        <v/>
      </c>
      <c r="K21" s="15">
        <f>IF(OR(K19="",G19=""),"",IFERROR(K19/G19-1,""))</f>
        <v/>
      </c>
      <c r="L21" s="15">
        <f>IF(OR(L19="",H19=""),"",IFERROR(L19/H19-1,""))</f>
        <v/>
      </c>
      <c r="M21" s="15">
        <f>IF(OR(M19="",I19=""),"",IFERROR(M19/I19-1,""))</f>
        <v/>
      </c>
      <c r="N21" s="15">
        <f>IF(OR(N19="",J19=""),"",IFERROR(N19/J19-1,""))</f>
        <v/>
      </c>
      <c r="O21" s="14" t="n"/>
      <c r="P21" s="15">
        <f>IF(OR(P19="",O19=""),"",IFERROR(P19/O19-1,""))</f>
        <v/>
      </c>
      <c r="Q21" s="15">
        <f>IF(OR(Q19="",P19=""),"",IFERROR(Q19/P19-1,""))</f>
        <v/>
      </c>
      <c r="R21" s="15">
        <f>IF(OR(R19="",Q19=""),"",IFERROR(R19/Q19-1,""))</f>
        <v/>
      </c>
      <c r="S21" s="15">
        <f>IF(OR(S19="",R19=""),"",IFERROR(S19/R19-1,""))</f>
        <v/>
      </c>
      <c r="T21" s="15">
        <f>IF(OR(T19="",S19=""),"",IFERROR(T19/S19-1,""))</f>
        <v/>
      </c>
      <c r="U21" s="15">
        <f>IF(OR(U19="",T19=""),"",IFERROR(U19/T19-1,""))</f>
        <v/>
      </c>
      <c r="V21" s="15">
        <f>IF(OR(V19="",U19=""),"",IFERROR(V19/U19-1,""))</f>
        <v/>
      </c>
      <c r="W21" s="15">
        <f>IF(OR(W19="",V19=""),"",IFERROR(W19/V19-1,""))</f>
        <v/>
      </c>
      <c r="X21" s="15">
        <f>IF(OR(X19="",W19=""),"",IFERROR(X19/W19-1,""))</f>
        <v/>
      </c>
      <c r="Y21" s="14">
        <f>IF(OR(Y19="",X19=""),"",IFERROR(Y19/X19-1,""))</f>
        <v/>
      </c>
      <c r="Z21" s="15">
        <f>IF(OR(Z19="",Y19=""),"",IFERROR(Z19/Y19-1,""))</f>
        <v/>
      </c>
      <c r="AA21" s="15">
        <f>IF(OR(AA19="",Z19=""),"",IFERROR(AA19/Z19-1,""))</f>
        <v/>
      </c>
      <c r="AB21" s="15">
        <f>IF(OR(AB19="",AA19=""),"",IFERROR(AB19/AA19-1,""))</f>
        <v/>
      </c>
      <c r="AC21" s="15">
        <f>IF(OR(AC19="",AB19=""),"",IFERROR(AC19/AB19-1,""))</f>
        <v/>
      </c>
    </row>
    <row r="22">
      <c r="A22" s="16" t="inlineStr">
        <is>
          <t>매출원가</t>
        </is>
      </c>
      <c r="B22" s="16" t="n"/>
      <c r="C22" s="17" t="n"/>
      <c r="D22" s="16" t="n"/>
      <c r="E22" s="16" t="n"/>
      <c r="F22" s="16" t="n"/>
      <c r="G22" s="16" t="n"/>
      <c r="H22" s="16" t="n"/>
      <c r="I22" s="16" t="n"/>
      <c r="J22" s="16" t="n"/>
      <c r="K22" s="16" t="n"/>
      <c r="L22" s="16" t="n"/>
      <c r="M22" s="16" t="n"/>
      <c r="N22" s="16" t="n"/>
      <c r="O22" s="17" t="n"/>
      <c r="P22" s="16" t="n"/>
      <c r="Q22" s="16" t="n"/>
      <c r="R22" s="16" t="n"/>
      <c r="S22" s="16" t="n"/>
      <c r="T22" s="16" t="n"/>
      <c r="U22" s="16" t="n"/>
      <c r="V22" s="16" t="n"/>
      <c r="W22" s="16" t="n"/>
      <c r="X22" s="16" t="n"/>
      <c r="Y22" s="17" t="n"/>
      <c r="Z22" s="16" t="n"/>
      <c r="AA22" s="16" t="n"/>
      <c r="AB22" s="16" t="n"/>
      <c r="AC22" s="16" t="n"/>
    </row>
    <row r="23">
      <c r="A23" s="18" t="inlineStr">
        <is>
          <t>전체 매출원가</t>
        </is>
      </c>
      <c r="B23" s="10" t="n"/>
      <c r="C23" s="19" t="n">
        <v>38021</v>
      </c>
      <c r="D23" s="20" t="n">
        <v>38632</v>
      </c>
      <c r="E23" s="20" t="n">
        <v>45315</v>
      </c>
      <c r="F23" s="20" t="n">
        <v>53531</v>
      </c>
      <c r="G23" s="20" t="n">
        <v>52111</v>
      </c>
      <c r="H23" s="20" t="n">
        <v>56180</v>
      </c>
      <c r="I23" s="20" t="n">
        <v>45581</v>
      </c>
      <c r="J23" s="20" t="n">
        <v>47329</v>
      </c>
      <c r="K23" s="20" t="n">
        <v>52426</v>
      </c>
      <c r="L23" s="20" t="n">
        <v>53517</v>
      </c>
      <c r="M23" s="20" t="n">
        <v>45860</v>
      </c>
      <c r="N23" s="20" t="n">
        <v>50978</v>
      </c>
      <c r="O23" s="19" t="n">
        <v>111607</v>
      </c>
      <c r="P23" s="20" t="n">
        <v>117738</v>
      </c>
      <c r="Q23" s="20" t="n">
        <v>118296</v>
      </c>
      <c r="R23" s="20" t="n">
        <v>115667</v>
      </c>
      <c r="S23" s="20" t="n">
        <v>115469</v>
      </c>
      <c r="T23" s="20" t="n">
        <v>120121</v>
      </c>
      <c r="U23" s="20" t="n">
        <v>134481</v>
      </c>
      <c r="V23" s="20" t="n">
        <v>144935</v>
      </c>
      <c r="W23" s="20" t="n">
        <v>207137</v>
      </c>
      <c r="X23" s="20" t="n">
        <v>198853</v>
      </c>
      <c r="Y23" s="19" t="n"/>
      <c r="Z23" s="20" t="n"/>
      <c r="AA23" s="20" t="n"/>
      <c r="AB23" s="20" t="n"/>
      <c r="AC23" s="20" t="n"/>
    </row>
    <row r="24">
      <c r="A24" s="18" t="inlineStr">
        <is>
          <t>매출총이익</t>
        </is>
      </c>
      <c r="B24" s="10" t="n"/>
      <c r="C24" s="19">
        <f>IF(OR(C4="",C23=""),"",IFERROR(C4-C23,""))</f>
        <v/>
      </c>
      <c r="D24" s="20">
        <f>IF(OR(D4="",D23=""),"",IFERROR(D4-D23,""))</f>
        <v/>
      </c>
      <c r="E24" s="20">
        <f>IF(OR(E4="",E23=""),"",IFERROR(E4-E23,""))</f>
        <v/>
      </c>
      <c r="F24" s="20">
        <f>IF(OR(F4="",F23=""),"",IFERROR(F4-F23,""))</f>
        <v/>
      </c>
      <c r="G24" s="20">
        <f>IF(OR(G4="",G23=""),"",IFERROR(G4-G23,""))</f>
        <v/>
      </c>
      <c r="H24" s="20">
        <f>IF(OR(H4="",H23=""),"",IFERROR(H4-H23,""))</f>
        <v/>
      </c>
      <c r="I24" s="20">
        <f>IF(OR(I4="",I23=""),"",IFERROR(I4-I23,""))</f>
        <v/>
      </c>
      <c r="J24" s="20">
        <f>IF(OR(J4="",J23=""),"",IFERROR(J4-J23,""))</f>
        <v/>
      </c>
      <c r="K24" s="20">
        <f>IF(OR(K4="",K23=""),"",IFERROR(K4-K23,""))</f>
        <v/>
      </c>
      <c r="L24" s="20">
        <f>IF(OR(L4="",L23=""),"",IFERROR(L4-L23,""))</f>
        <v/>
      </c>
      <c r="M24" s="20">
        <f>IF(OR(M4="",M23=""),"",IFERROR(M4-M23,""))</f>
        <v/>
      </c>
      <c r="N24" s="20">
        <f>IF(OR(N4="",N23=""),"",IFERROR(N4-N23,""))</f>
        <v/>
      </c>
      <c r="O24" s="19">
        <f>IF(OR(O4="",O23=""),"",IFERROR(O4-O23,""))</f>
        <v/>
      </c>
      <c r="P24" s="20">
        <f>IF(OR(P4="",P23=""),"",IFERROR(P4-P23,""))</f>
        <v/>
      </c>
      <c r="Q24" s="20">
        <f>IF(OR(Q4="",Q23=""),"",IFERROR(Q4-Q23,""))</f>
        <v/>
      </c>
      <c r="R24" s="20">
        <f>IF(OR(R4="",R23=""),"",IFERROR(R4-R23,""))</f>
        <v/>
      </c>
      <c r="S24" s="20">
        <f>IF(OR(S4="",S23=""),"",IFERROR(S4-S23,""))</f>
        <v/>
      </c>
      <c r="T24" s="20">
        <f>IF(OR(T4="",T23=""),"",IFERROR(T4-T23,""))</f>
        <v/>
      </c>
      <c r="U24" s="20">
        <f>IF(OR(U4="",U23=""),"",IFERROR(U4-U23,""))</f>
        <v/>
      </c>
      <c r="V24" s="20">
        <f>IF(OR(V4="",V23=""),"",IFERROR(V4-V23,""))</f>
        <v/>
      </c>
      <c r="W24" s="20">
        <f>IF(OR(W4="",W23=""),"",IFERROR(W4-W23,""))</f>
        <v/>
      </c>
      <c r="X24" s="20">
        <f>IF(OR(X4="",X23=""),"",IFERROR(X4-X23,""))</f>
        <v/>
      </c>
      <c r="Y24" s="19" t="n"/>
      <c r="Z24" s="20" t="n"/>
      <c r="AA24" s="20" t="n"/>
      <c r="AB24" s="20" t="n"/>
      <c r="AC24" s="20" t="n"/>
    </row>
    <row r="25">
      <c r="A25" s="13" t="inlineStr">
        <is>
          <t>GPM</t>
        </is>
      </c>
      <c r="B25" s="10" t="n"/>
      <c r="C25" s="14">
        <f>IF(OR(C24="",C4=""),"",IFERROR(C24/C4,""))</f>
        <v/>
      </c>
      <c r="D25" s="15">
        <f>IF(OR(D24="",D4=""),"",IFERROR(D24/D4,""))</f>
        <v/>
      </c>
      <c r="E25" s="15">
        <f>IF(OR(E24="",E4=""),"",IFERROR(E24/E4,""))</f>
        <v/>
      </c>
      <c r="F25" s="15">
        <f>IF(OR(F24="",F4=""),"",IFERROR(F24/F4,""))</f>
        <v/>
      </c>
      <c r="G25" s="15">
        <f>IF(OR(G24="",G4=""),"",IFERROR(G24/G4,""))</f>
        <v/>
      </c>
      <c r="H25" s="15">
        <f>IF(OR(H24="",H4=""),"",IFERROR(H24/H4,""))</f>
        <v/>
      </c>
      <c r="I25" s="15">
        <f>IF(OR(I24="",I4=""),"",IFERROR(I24/I4,""))</f>
        <v/>
      </c>
      <c r="J25" s="15">
        <f>IF(OR(J24="",J4=""),"",IFERROR(J24/J4,""))</f>
        <v/>
      </c>
      <c r="K25" s="15">
        <f>IF(OR(K24="",K4=""),"",IFERROR(K24/K4,""))</f>
        <v/>
      </c>
      <c r="L25" s="15">
        <f>IF(OR(L24="",L4=""),"",IFERROR(L24/L4,""))</f>
        <v/>
      </c>
      <c r="M25" s="15">
        <f>IF(OR(M24="",M4=""),"",IFERROR(M24/M4,""))</f>
        <v/>
      </c>
      <c r="N25" s="15">
        <f>IF(OR(N24="",N4=""),"",IFERROR(N24/N4,""))</f>
        <v/>
      </c>
      <c r="O25" s="14">
        <f>IF(OR(O24="",O4=""),"",IFERROR(O24/O4,""))</f>
        <v/>
      </c>
      <c r="P25" s="15">
        <f>IF(OR(P24="",P4=""),"",IFERROR(P24/P4,""))</f>
        <v/>
      </c>
      <c r="Q25" s="15">
        <f>IF(OR(Q24="",Q4=""),"",IFERROR(Q24/Q4,""))</f>
        <v/>
      </c>
      <c r="R25" s="15">
        <f>IF(OR(R24="",R4=""),"",IFERROR(R24/R4,""))</f>
        <v/>
      </c>
      <c r="S25" s="15">
        <f>IF(OR(S24="",S4=""),"",IFERROR(S24/S4,""))</f>
        <v/>
      </c>
      <c r="T25" s="15">
        <f>IF(OR(T24="",T4=""),"",IFERROR(T24/T4,""))</f>
        <v/>
      </c>
      <c r="U25" s="15">
        <f>IF(OR(U24="",U4=""),"",IFERROR(U24/U4,""))</f>
        <v/>
      </c>
      <c r="V25" s="15">
        <f>IF(OR(V24="",V4=""),"",IFERROR(V24/V4,""))</f>
        <v/>
      </c>
      <c r="W25" s="15">
        <f>IF(OR(W24="",W4=""),"",IFERROR(W24/W4,""))</f>
        <v/>
      </c>
      <c r="X25" s="15">
        <f>IF(OR(X24="",X4=""),"",IFERROR(X24/X4,""))</f>
        <v/>
      </c>
      <c r="Y25" s="14">
        <f>IF(OR(Y24="",Y4=""),"",IFERROR(Y24/Y4,""))</f>
        <v/>
      </c>
      <c r="Z25" s="15">
        <f>IF(OR(Z24="",Z4=""),"",IFERROR(Z24/Z4,""))</f>
        <v/>
      </c>
      <c r="AA25" s="15">
        <f>IF(OR(AA24="",AA4=""),"",IFERROR(AA24/AA4,""))</f>
        <v/>
      </c>
      <c r="AB25" s="15">
        <f>IF(OR(AB24="",AB4=""),"",IFERROR(AB24/AB4,""))</f>
        <v/>
      </c>
      <c r="AC25" s="15">
        <f>IF(OR(AC24="",AC4=""),"",IFERROR(AC24/AC4,""))</f>
        <v/>
      </c>
    </row>
    <row r="26">
      <c r="A26" s="23" t="inlineStr">
        <is>
          <t>판매관리비</t>
        </is>
      </c>
      <c r="B26" s="23" t="n"/>
      <c r="C26" s="24" t="n"/>
      <c r="D26" s="23" t="n"/>
      <c r="E26" s="23" t="n"/>
      <c r="F26" s="23" t="n"/>
      <c r="G26" s="23" t="n"/>
      <c r="H26" s="23" t="n"/>
      <c r="I26" s="23" t="n"/>
      <c r="J26" s="23" t="n"/>
      <c r="K26" s="23" t="n"/>
      <c r="L26" s="23" t="n"/>
      <c r="M26" s="23" t="n"/>
      <c r="N26" s="23" t="n"/>
      <c r="O26" s="24" t="n"/>
      <c r="P26" s="23" t="n"/>
      <c r="Q26" s="23" t="n"/>
      <c r="R26" s="23" t="n"/>
      <c r="S26" s="23" t="n"/>
      <c r="T26" s="23" t="n"/>
      <c r="U26" s="23" t="n"/>
      <c r="V26" s="23" t="n"/>
      <c r="W26" s="23" t="n"/>
      <c r="X26" s="23" t="n"/>
      <c r="Y26" s="24" t="n"/>
      <c r="Z26" s="23" t="n"/>
      <c r="AA26" s="23" t="n"/>
      <c r="AB26" s="23" t="n"/>
      <c r="AC26" s="23" t="n"/>
    </row>
    <row r="27">
      <c r="A27" s="18" t="inlineStr">
        <is>
          <t>전체 판관비</t>
        </is>
      </c>
      <c r="B27" s="10" t="n"/>
      <c r="C27" s="19" t="n">
        <v>15628</v>
      </c>
      <c r="D27" s="20" t="n">
        <v>17966</v>
      </c>
      <c r="E27" s="20" t="n">
        <v>16396</v>
      </c>
      <c r="F27" s="20" t="n">
        <v>17541</v>
      </c>
      <c r="G27" s="20" t="n">
        <v>17959</v>
      </c>
      <c r="H27" s="20" t="n">
        <v>21011</v>
      </c>
      <c r="I27" s="20" t="n">
        <v>16949</v>
      </c>
      <c r="J27" s="20" t="n">
        <v>18460</v>
      </c>
      <c r="K27" s="20" t="n">
        <v>18241</v>
      </c>
      <c r="L27" s="20" t="n">
        <v>19393</v>
      </c>
      <c r="M27" s="20" t="n">
        <v>18265</v>
      </c>
      <c r="N27" s="20" t="n">
        <v>20245</v>
      </c>
      <c r="O27" s="19" t="n">
        <v>79981</v>
      </c>
      <c r="P27" s="20" t="n">
        <v>84503</v>
      </c>
      <c r="Q27" s="20" t="n">
        <v>53901</v>
      </c>
      <c r="R27" s="20" t="n">
        <v>52986</v>
      </c>
      <c r="S27" s="20" t="n">
        <v>53059</v>
      </c>
      <c r="T27" s="20" t="n">
        <v>55809</v>
      </c>
      <c r="U27" s="20" t="n">
        <v>59232</v>
      </c>
      <c r="V27" s="20" t="n">
        <v>62536</v>
      </c>
      <c r="W27" s="20" t="n">
        <v>72907</v>
      </c>
      <c r="X27" s="20" t="n">
        <v>73043</v>
      </c>
      <c r="Y27" s="19" t="n"/>
      <c r="Z27" s="20" t="n"/>
      <c r="AA27" s="20" t="n"/>
      <c r="AB27" s="20" t="n"/>
      <c r="AC27" s="20" t="n"/>
    </row>
    <row r="28">
      <c r="A28" s="9" t="inlineStr">
        <is>
          <t>영업이익</t>
        </is>
      </c>
      <c r="B28" s="10" t="inlineStr">
        <is>
          <t>MW = 매출 × OPM</t>
        </is>
      </c>
      <c r="C28" s="11" t="n">
        <v>6665</v>
      </c>
      <c r="D28" s="12" t="n">
        <v>1896</v>
      </c>
      <c r="E28" s="12" t="n">
        <v>14850</v>
      </c>
      <c r="F28" s="12" t="n">
        <v>9834</v>
      </c>
      <c r="G28" s="12" t="n">
        <v>8006</v>
      </c>
      <c r="H28" s="12" t="n">
        <v>3531</v>
      </c>
      <c r="I28" s="12" t="n">
        <v>4830</v>
      </c>
      <c r="J28" s="12" t="n">
        <v>5796</v>
      </c>
      <c r="K28" s="12" t="n">
        <v>7016</v>
      </c>
      <c r="L28" s="12" t="n">
        <v>4996</v>
      </c>
      <c r="M28" s="12" t="n">
        <v>4124</v>
      </c>
      <c r="N28" s="12" t="n">
        <v>4965</v>
      </c>
      <c r="O28" s="11" t="n">
        <v>10946</v>
      </c>
      <c r="P28" s="12" t="n">
        <v>11968</v>
      </c>
      <c r="Q28" s="12" t="n">
        <v>12228</v>
      </c>
      <c r="R28" s="12" t="n">
        <v>14079</v>
      </c>
      <c r="S28" s="12" t="n">
        <v>10682</v>
      </c>
      <c r="T28" s="12" t="n">
        <v>14010</v>
      </c>
      <c r="U28" s="12" t="n">
        <v>12757</v>
      </c>
      <c r="V28" s="12" t="n">
        <v>17472</v>
      </c>
      <c r="W28" s="12" t="n">
        <v>36221</v>
      </c>
      <c r="X28" s="12" t="n">
        <v>22638</v>
      </c>
      <c r="Y28" s="11">
        <f>IF(OR(Y4="",Y29=""),"",IFERROR(Y4*Y29,""))</f>
        <v/>
      </c>
      <c r="Z28" s="12">
        <f>IF(OR(Z4="",Z29=""),"",IFERROR(Z4*Z29,""))</f>
        <v/>
      </c>
      <c r="AA28" s="12">
        <f>IF(OR(AA4="",AA29=""),"",IFERROR(AA4*AA29,""))</f>
        <v/>
      </c>
      <c r="AB28" s="12">
        <f>IF(OR(AB4="",AB29=""),"",IFERROR(AB4*AB29,""))</f>
        <v/>
      </c>
      <c r="AC28" s="12">
        <f>IF(OR(AC4="",AC29=""),"",IFERROR(AC4*AC29,""))</f>
        <v/>
      </c>
    </row>
    <row r="29">
      <c r="A29" s="13" t="inlineStr">
        <is>
          <t>OPM</t>
        </is>
      </c>
      <c r="B29" s="10" t="inlineStr">
        <is>
          <t>MW 입력</t>
        </is>
      </c>
      <c r="C29" s="14">
        <f>IF(OR(C28="",C4=""),"",IFERROR(C28/C4,""))</f>
        <v/>
      </c>
      <c r="D29" s="15">
        <f>IF(OR(D28="",D4=""),"",IFERROR(D28/D4,""))</f>
        <v/>
      </c>
      <c r="E29" s="15">
        <f>IF(OR(E28="",E4=""),"",IFERROR(E28/E4,""))</f>
        <v/>
      </c>
      <c r="F29" s="15">
        <f>IF(OR(F28="",F4=""),"",IFERROR(F28/F4,""))</f>
        <v/>
      </c>
      <c r="G29" s="15">
        <f>IF(OR(G28="",G4=""),"",IFERROR(G28/G4,""))</f>
        <v/>
      </c>
      <c r="H29" s="15">
        <f>IF(OR(H28="",H4=""),"",IFERROR(H28/H4,""))</f>
        <v/>
      </c>
      <c r="I29" s="15">
        <f>IF(OR(I28="",I4=""),"",IFERROR(I28/I4,""))</f>
        <v/>
      </c>
      <c r="J29" s="15">
        <f>IF(OR(J28="",J4=""),"",IFERROR(J28/J4,""))</f>
        <v/>
      </c>
      <c r="K29" s="15">
        <f>IF(OR(K28="",K4=""),"",IFERROR(K28/K4,""))</f>
        <v/>
      </c>
      <c r="L29" s="15">
        <f>IF(OR(L28="",L4=""),"",IFERROR(L28/L4,""))</f>
        <v/>
      </c>
      <c r="M29" s="15">
        <f>IF(OR(M28="",M4=""),"",IFERROR(M28/M4,""))</f>
        <v/>
      </c>
      <c r="N29" s="15">
        <f>IF(OR(N28="",N4=""),"",IFERROR(N28/N4,""))</f>
        <v/>
      </c>
      <c r="O29" s="14">
        <f>IF(OR(O28="",O4=""),"",IFERROR(O28/O4,""))</f>
        <v/>
      </c>
      <c r="P29" s="15">
        <f>IF(OR(P28="",P4=""),"",IFERROR(P28/P4,""))</f>
        <v/>
      </c>
      <c r="Q29" s="15">
        <f>IF(OR(Q28="",Q4=""),"",IFERROR(Q28/Q4,""))</f>
        <v/>
      </c>
      <c r="R29" s="15">
        <f>IF(OR(R28="",R4=""),"",IFERROR(R28/R4,""))</f>
        <v/>
      </c>
      <c r="S29" s="15">
        <f>IF(OR(S28="",S4=""),"",IFERROR(S28/S4,""))</f>
        <v/>
      </c>
      <c r="T29" s="15">
        <f>IF(OR(T28="",T4=""),"",IFERROR(T28/T4,""))</f>
        <v/>
      </c>
      <c r="U29" s="15">
        <f>IF(OR(U28="",U4=""),"",IFERROR(U28/U4,""))</f>
        <v/>
      </c>
      <c r="V29" s="15">
        <f>IF(OR(V28="",V4=""),"",IFERROR(V28/V4,""))</f>
        <v/>
      </c>
      <c r="W29" s="15">
        <f>IF(OR(W28="",W4=""),"",IFERROR(W28/W4,""))</f>
        <v/>
      </c>
      <c r="X29" s="15">
        <f>IF(OR(X28="",X4=""),"",IFERROR(X28/X4,""))</f>
        <v/>
      </c>
      <c r="Y29" s="25" t="n"/>
      <c r="Z29" s="26" t="n"/>
      <c r="AA29" s="26" t="n"/>
      <c r="AB29" s="26" t="n"/>
      <c r="AC29" s="26" t="n"/>
    </row>
    <row r="30">
      <c r="A30" s="13" t="inlineStr">
        <is>
          <t>증가율</t>
        </is>
      </c>
      <c r="B30" s="10" t="n"/>
      <c r="C30" s="14" t="n"/>
      <c r="D30" s="15" t="n"/>
      <c r="E30" s="15" t="n"/>
      <c r="F30" s="15" t="n"/>
      <c r="G30" s="15">
        <f>IF(OR(G28="",C28=""),"",IFERROR(G28/C28-1,""))</f>
        <v/>
      </c>
      <c r="H30" s="15">
        <f>IF(OR(H28="",D28=""),"",IFERROR(H28/D28-1,""))</f>
        <v/>
      </c>
      <c r="I30" s="15">
        <f>IF(OR(I28="",E28=""),"",IFERROR(I28/E28-1,""))</f>
        <v/>
      </c>
      <c r="J30" s="15">
        <f>IF(OR(J28="",F28=""),"",IFERROR(J28/F28-1,""))</f>
        <v/>
      </c>
      <c r="K30" s="15">
        <f>IF(OR(K28="",G28=""),"",IFERROR(K28/G28-1,""))</f>
        <v/>
      </c>
      <c r="L30" s="15">
        <f>IF(OR(L28="",H28=""),"",IFERROR(L28/H28-1,""))</f>
        <v/>
      </c>
      <c r="M30" s="15">
        <f>IF(OR(M28="",I28=""),"",IFERROR(M28/I28-1,""))</f>
        <v/>
      </c>
      <c r="N30" s="15">
        <f>IF(OR(N28="",J28=""),"",IFERROR(N28/J28-1,""))</f>
        <v/>
      </c>
      <c r="O30" s="14" t="n"/>
      <c r="P30" s="15">
        <f>IF(OR(P28="",O28=""),"",IFERROR(P28/O28-1,""))</f>
        <v/>
      </c>
      <c r="Q30" s="15">
        <f>IF(OR(Q28="",P28=""),"",IFERROR(Q28/P28-1,""))</f>
        <v/>
      </c>
      <c r="R30" s="15">
        <f>IF(OR(R28="",Q28=""),"",IFERROR(R28/Q28-1,""))</f>
        <v/>
      </c>
      <c r="S30" s="15">
        <f>IF(OR(S28="",R28=""),"",IFERROR(S28/R28-1,""))</f>
        <v/>
      </c>
      <c r="T30" s="15">
        <f>IF(OR(T28="",S28=""),"",IFERROR(T28/S28-1,""))</f>
        <v/>
      </c>
      <c r="U30" s="15">
        <f>IF(OR(U28="",T28=""),"",IFERROR(U28/T28-1,""))</f>
        <v/>
      </c>
      <c r="V30" s="15">
        <f>IF(OR(V28="",U28=""),"",IFERROR(V28/U28-1,""))</f>
        <v/>
      </c>
      <c r="W30" s="15">
        <f>IF(OR(W28="",V28=""),"",IFERROR(W28/V28-1,""))</f>
        <v/>
      </c>
      <c r="X30" s="15">
        <f>IF(OR(X28="",W28=""),"",IFERROR(X28/W28-1,""))</f>
        <v/>
      </c>
      <c r="Y30" s="14">
        <f>IF(OR(Y28="",X28=""),"",IFERROR(Y28/X28-1,""))</f>
        <v/>
      </c>
      <c r="Z30" s="15">
        <f>IF(OR(Z28="",Y28=""),"",IFERROR(Z28/Y28-1,""))</f>
        <v/>
      </c>
      <c r="AA30" s="15">
        <f>IF(OR(AA28="",Z28=""),"",IFERROR(AA28/Z28-1,""))</f>
        <v/>
      </c>
      <c r="AB30" s="15">
        <f>IF(OR(AB28="",AA28=""),"",IFERROR(AB28/AA28-1,""))</f>
        <v/>
      </c>
      <c r="AC30" s="15">
        <f>IF(OR(AC28="",AB28=""),"",IFERROR(AC28/AB28-1,""))</f>
        <v/>
      </c>
    </row>
    <row r="31">
      <c r="A31" s="16" t="inlineStr">
        <is>
          <t>비용의 성격별 분류</t>
        </is>
      </c>
      <c r="B31" s="16" t="inlineStr">
        <is>
          <t>참고 데이터</t>
        </is>
      </c>
      <c r="C31" s="17" t="n"/>
      <c r="D31" s="16" t="n"/>
      <c r="E31" s="16" t="n"/>
      <c r="F31" s="16" t="n"/>
      <c r="G31" s="16" t="n"/>
      <c r="H31" s="16" t="n"/>
      <c r="I31" s="16" t="n"/>
      <c r="J31" s="16" t="n"/>
      <c r="K31" s="16" t="n"/>
      <c r="L31" s="16" t="n"/>
      <c r="M31" s="16" t="n"/>
      <c r="N31" s="16" t="n"/>
      <c r="O31" s="17" t="n"/>
      <c r="P31" s="16" t="n"/>
      <c r="Q31" s="16" t="n"/>
      <c r="R31" s="16" t="n"/>
      <c r="S31" s="16" t="n"/>
      <c r="T31" s="16" t="n"/>
      <c r="U31" s="16" t="n"/>
      <c r="V31" s="16" t="n"/>
      <c r="W31" s="16" t="n"/>
      <c r="X31" s="16" t="n"/>
      <c r="Y31" s="17" t="n"/>
      <c r="Z31" s="16" t="n"/>
      <c r="AA31" s="16" t="n"/>
      <c r="AB31" s="16" t="n"/>
      <c r="AC31" s="16" t="n"/>
    </row>
    <row r="32">
      <c r="A32" s="9" t="inlineStr">
        <is>
          <t>총 판관비</t>
        </is>
      </c>
      <c r="B32" s="10" t="n"/>
      <c r="C32" s="11" t="n"/>
      <c r="D32" s="12" t="n"/>
      <c r="E32" s="12" t="n"/>
      <c r="F32" s="12" t="n"/>
      <c r="G32" s="12" t="n"/>
      <c r="H32" s="12" t="n"/>
      <c r="I32" s="12" t="n"/>
      <c r="J32" s="12" t="n"/>
      <c r="K32" s="12" t="n"/>
      <c r="L32" s="12" t="n"/>
      <c r="M32" s="12" t="n"/>
      <c r="N32" s="12" t="n"/>
      <c r="O32" s="11">
        <f>IF(O27="","",O27)</f>
        <v/>
      </c>
      <c r="P32" s="12">
        <f>IF(P27="","",P27)</f>
        <v/>
      </c>
      <c r="Q32" s="12">
        <f>IF(Q27="","",Q27)</f>
        <v/>
      </c>
      <c r="R32" s="12">
        <f>IF(R27="","",R27)</f>
        <v/>
      </c>
      <c r="S32" s="12">
        <f>IF(S27="","",S27)</f>
        <v/>
      </c>
      <c r="T32" s="12">
        <f>IF(T27="","",T27)</f>
        <v/>
      </c>
      <c r="U32" s="12">
        <f>IF(U27="","",U27)</f>
        <v/>
      </c>
      <c r="V32" s="12">
        <f>IF(V27="","",V27)</f>
        <v/>
      </c>
      <c r="W32" s="12">
        <f>IF(W27="","",W27)</f>
        <v/>
      </c>
      <c r="X32" s="12">
        <f>IF(X27="","",X27)</f>
        <v/>
      </c>
      <c r="Y32" s="11" t="n"/>
      <c r="Z32" s="12" t="n"/>
      <c r="AA32" s="12" t="n"/>
      <c r="AB32" s="12" t="n"/>
      <c r="AC32" s="12" t="n"/>
    </row>
    <row r="33">
      <c r="A33" s="18" t="inlineStr">
        <is>
          <t>급여</t>
        </is>
      </c>
      <c r="B33" s="10" t="inlineStr">
        <is>
          <t>고정비</t>
        </is>
      </c>
      <c r="C33" s="19" t="n"/>
      <c r="D33" s="20" t="n"/>
      <c r="E33" s="20" t="n"/>
      <c r="F33" s="20" t="n"/>
      <c r="G33" s="20" t="n"/>
      <c r="H33" s="20" t="n"/>
      <c r="I33" s="20" t="n"/>
      <c r="J33" s="20" t="n"/>
      <c r="K33" s="20" t="n"/>
      <c r="L33" s="20" t="n"/>
      <c r="M33" s="20" t="n"/>
      <c r="N33" s="20" t="n"/>
      <c r="O33" s="19" t="n"/>
      <c r="P33" s="20" t="n"/>
      <c r="Q33" s="20" t="n"/>
      <c r="R33" s="20" t="n"/>
      <c r="S33" s="20" t="n"/>
      <c r="T33" s="20" t="n"/>
      <c r="U33" s="20" t="n"/>
      <c r="V33" s="20" t="n"/>
      <c r="W33" s="20" t="n"/>
      <c r="X33" s="20" t="n"/>
      <c r="Y33" s="19" t="n"/>
      <c r="Z33" s="20" t="n"/>
      <c r="AA33" s="20" t="n"/>
      <c r="AB33" s="20" t="n"/>
      <c r="AC33" s="20" t="n"/>
    </row>
    <row r="34">
      <c r="A34" s="13" t="inlineStr">
        <is>
          <t>% of Sales</t>
        </is>
      </c>
      <c r="B34" s="10" t="n"/>
      <c r="C34" s="14" t="n"/>
      <c r="D34" s="15" t="n"/>
      <c r="E34" s="15" t="n"/>
      <c r="F34" s="15" t="n"/>
      <c r="G34" s="15" t="n"/>
      <c r="H34" s="15" t="n"/>
      <c r="I34" s="15" t="n"/>
      <c r="J34" s="15" t="n"/>
      <c r="K34" s="15" t="n"/>
      <c r="L34" s="15" t="n"/>
      <c r="M34" s="15" t="n"/>
      <c r="N34" s="15" t="n"/>
      <c r="O34" s="14">
        <f>IF(OR(O33="",O4=""),"",IFERROR(O33/O4,""))</f>
        <v/>
      </c>
      <c r="P34" s="15">
        <f>IF(OR(P33="",P4=""),"",IFERROR(P33/P4,""))</f>
        <v/>
      </c>
      <c r="Q34" s="15">
        <f>IF(OR(Q33="",Q4=""),"",IFERROR(Q33/Q4,""))</f>
        <v/>
      </c>
      <c r="R34" s="15">
        <f>IF(OR(R33="",R4=""),"",IFERROR(R33/R4,""))</f>
        <v/>
      </c>
      <c r="S34" s="15">
        <f>IF(OR(S33="",S4=""),"",IFERROR(S33/S4,""))</f>
        <v/>
      </c>
      <c r="T34" s="15">
        <f>IF(OR(T33="",T4=""),"",IFERROR(T33/T4,""))</f>
        <v/>
      </c>
      <c r="U34" s="15">
        <f>IF(OR(U33="",U4=""),"",IFERROR(U33/U4,""))</f>
        <v/>
      </c>
      <c r="V34" s="15">
        <f>IF(OR(V33="",V4=""),"",IFERROR(V33/V4,""))</f>
        <v/>
      </c>
      <c r="W34" s="15">
        <f>IF(OR(W33="",W4=""),"",IFERROR(W33/W4,""))</f>
        <v/>
      </c>
      <c r="X34" s="15">
        <f>IF(OR(X33="",X4=""),"",IFERROR(X33/X4,""))</f>
        <v/>
      </c>
      <c r="Y34" s="14" t="n"/>
      <c r="Z34" s="15" t="n"/>
      <c r="AA34" s="15" t="n"/>
      <c r="AB34" s="15" t="n"/>
      <c r="AC34" s="15" t="n"/>
    </row>
    <row r="35">
      <c r="A35" s="18" t="inlineStr">
        <is>
          <t>감가상각비</t>
        </is>
      </c>
      <c r="B35" s="10" t="inlineStr">
        <is>
          <t>고정비</t>
        </is>
      </c>
      <c r="C35" s="19" t="n"/>
      <c r="D35" s="20" t="n"/>
      <c r="E35" s="20" t="n"/>
      <c r="F35" s="20" t="n"/>
      <c r="G35" s="20" t="n"/>
      <c r="H35" s="20" t="n"/>
      <c r="I35" s="20" t="n"/>
      <c r="J35" s="20" t="n"/>
      <c r="K35" s="20" t="n"/>
      <c r="L35" s="20" t="n"/>
      <c r="M35" s="20" t="n"/>
      <c r="N35" s="20" t="n"/>
      <c r="O35" s="19" t="n"/>
      <c r="P35" s="20" t="n"/>
      <c r="Q35" s="20" t="n"/>
      <c r="R35" s="20" t="n"/>
      <c r="S35" s="20" t="n"/>
      <c r="T35" s="20" t="n"/>
      <c r="U35" s="20" t="n"/>
      <c r="V35" s="20" t="n"/>
      <c r="W35" s="20" t="n"/>
      <c r="X35" s="20" t="n"/>
      <c r="Y35" s="19" t="n"/>
      <c r="Z35" s="20" t="n"/>
      <c r="AA35" s="20" t="n"/>
      <c r="AB35" s="20" t="n"/>
      <c r="AC35" s="20" t="n"/>
    </row>
    <row r="36">
      <c r="A36" s="13" t="inlineStr">
        <is>
          <t>% of Sales</t>
        </is>
      </c>
      <c r="B36" s="10" t="n"/>
      <c r="C36" s="14" t="n"/>
      <c r="D36" s="15" t="n"/>
      <c r="E36" s="15" t="n"/>
      <c r="F36" s="15" t="n"/>
      <c r="G36" s="15" t="n"/>
      <c r="H36" s="15" t="n"/>
      <c r="I36" s="15" t="n"/>
      <c r="J36" s="15" t="n"/>
      <c r="K36" s="15" t="n"/>
      <c r="L36" s="15" t="n"/>
      <c r="M36" s="15" t="n"/>
      <c r="N36" s="15" t="n"/>
      <c r="O36" s="14">
        <f>IF(OR(O35="",O4=""),"",IFERROR(O35/O4,""))</f>
        <v/>
      </c>
      <c r="P36" s="15">
        <f>IF(OR(P35="",P4=""),"",IFERROR(P35/P4,""))</f>
        <v/>
      </c>
      <c r="Q36" s="15">
        <f>IF(OR(Q35="",Q4=""),"",IFERROR(Q35/Q4,""))</f>
        <v/>
      </c>
      <c r="R36" s="15">
        <f>IF(OR(R35="",R4=""),"",IFERROR(R35/R4,""))</f>
        <v/>
      </c>
      <c r="S36" s="15">
        <f>IF(OR(S35="",S4=""),"",IFERROR(S35/S4,""))</f>
        <v/>
      </c>
      <c r="T36" s="15">
        <f>IF(OR(T35="",T4=""),"",IFERROR(T35/T4,""))</f>
        <v/>
      </c>
      <c r="U36" s="15">
        <f>IF(OR(U35="",U4=""),"",IFERROR(U35/U4,""))</f>
        <v/>
      </c>
      <c r="V36" s="15">
        <f>IF(OR(V35="",V4=""),"",IFERROR(V35/V4,""))</f>
        <v/>
      </c>
      <c r="W36" s="15">
        <f>IF(OR(W35="",W4=""),"",IFERROR(W35/W4,""))</f>
        <v/>
      </c>
      <c r="X36" s="15">
        <f>IF(OR(X35="",X4=""),"",IFERROR(X35/X4,""))</f>
        <v/>
      </c>
      <c r="Y36" s="14" t="n"/>
      <c r="Z36" s="15" t="n"/>
      <c r="AA36" s="15" t="n"/>
      <c r="AB36" s="15" t="n"/>
      <c r="AC36" s="15" t="n"/>
    </row>
    <row r="37">
      <c r="A37" s="18" t="inlineStr">
        <is>
          <t>지급수수료</t>
        </is>
      </c>
      <c r="B37" s="10" t="inlineStr">
        <is>
          <t>고정비</t>
        </is>
      </c>
      <c r="C37" s="19" t="n"/>
      <c r="D37" s="20" t="n"/>
      <c r="E37" s="20" t="n"/>
      <c r="F37" s="20" t="n"/>
      <c r="G37" s="20" t="n"/>
      <c r="H37" s="20" t="n"/>
      <c r="I37" s="20" t="n"/>
      <c r="J37" s="20" t="n"/>
      <c r="K37" s="20" t="n"/>
      <c r="L37" s="20" t="n"/>
      <c r="M37" s="20" t="n"/>
      <c r="N37" s="20" t="n"/>
      <c r="O37" s="19" t="n"/>
      <c r="P37" s="20" t="n"/>
      <c r="Q37" s="20" t="n"/>
      <c r="R37" s="20" t="n"/>
      <c r="S37" s="20" t="n"/>
      <c r="T37" s="20" t="n"/>
      <c r="U37" s="20" t="n"/>
      <c r="V37" s="20" t="n"/>
      <c r="W37" s="20" t="n"/>
      <c r="X37" s="20" t="n"/>
      <c r="Y37" s="19" t="n"/>
      <c r="Z37" s="20" t="n"/>
      <c r="AA37" s="20" t="n"/>
      <c r="AB37" s="20" t="n"/>
      <c r="AC37" s="20" t="n"/>
    </row>
    <row r="38">
      <c r="A38" s="13" t="inlineStr">
        <is>
          <t>% of Sales</t>
        </is>
      </c>
      <c r="B38" s="10" t="n"/>
      <c r="C38" s="14" t="n"/>
      <c r="D38" s="15" t="n"/>
      <c r="E38" s="15" t="n"/>
      <c r="F38" s="15" t="n"/>
      <c r="G38" s="15" t="n"/>
      <c r="H38" s="15" t="n"/>
      <c r="I38" s="15" t="n"/>
      <c r="J38" s="15" t="n"/>
      <c r="K38" s="15" t="n"/>
      <c r="L38" s="15" t="n"/>
      <c r="M38" s="15" t="n"/>
      <c r="N38" s="15" t="n"/>
      <c r="O38" s="14">
        <f>IF(OR(O37="",O4=""),"",IFERROR(O37/O4,""))</f>
        <v/>
      </c>
      <c r="P38" s="15">
        <f>IF(OR(P37="",P4=""),"",IFERROR(P37/P4,""))</f>
        <v/>
      </c>
      <c r="Q38" s="15">
        <f>IF(OR(Q37="",Q4=""),"",IFERROR(Q37/Q4,""))</f>
        <v/>
      </c>
      <c r="R38" s="15">
        <f>IF(OR(R37="",R4=""),"",IFERROR(R37/R4,""))</f>
        <v/>
      </c>
      <c r="S38" s="15">
        <f>IF(OR(S37="",S4=""),"",IFERROR(S37/S4,""))</f>
        <v/>
      </c>
      <c r="T38" s="15">
        <f>IF(OR(T37="",T4=""),"",IFERROR(T37/T4,""))</f>
        <v/>
      </c>
      <c r="U38" s="15">
        <f>IF(OR(U37="",U4=""),"",IFERROR(U37/U4,""))</f>
        <v/>
      </c>
      <c r="V38" s="15">
        <f>IF(OR(V37="",V4=""),"",IFERROR(V37/V4,""))</f>
        <v/>
      </c>
      <c r="W38" s="15">
        <f>IF(OR(W37="",W4=""),"",IFERROR(W37/W4,""))</f>
        <v/>
      </c>
      <c r="X38" s="15">
        <f>IF(OR(X37="",X4=""),"",IFERROR(X37/X4,""))</f>
        <v/>
      </c>
      <c r="Y38" s="14" t="n"/>
      <c r="Z38" s="15" t="n"/>
      <c r="AA38" s="15" t="n"/>
      <c r="AB38" s="15" t="n"/>
      <c r="AC38" s="15" t="n"/>
    </row>
    <row r="39">
      <c r="A39" s="18" t="inlineStr">
        <is>
          <t>연구개발비</t>
        </is>
      </c>
      <c r="B39" s="10" t="inlineStr">
        <is>
          <t>변동비</t>
        </is>
      </c>
      <c r="C39" s="19" t="n"/>
      <c r="D39" s="20" t="n"/>
      <c r="E39" s="20" t="n"/>
      <c r="F39" s="20" t="n"/>
      <c r="G39" s="20" t="n"/>
      <c r="H39" s="20" t="n"/>
      <c r="I39" s="20" t="n"/>
      <c r="J39" s="20" t="n"/>
      <c r="K39" s="20" t="n"/>
      <c r="L39" s="20" t="n"/>
      <c r="M39" s="20" t="n"/>
      <c r="N39" s="20" t="n"/>
      <c r="O39" s="19" t="n"/>
      <c r="P39" s="20" t="n"/>
      <c r="Q39" s="20" t="n"/>
      <c r="R39" s="20" t="n"/>
      <c r="S39" s="20" t="n"/>
      <c r="T39" s="20" t="n"/>
      <c r="U39" s="20" t="n"/>
      <c r="V39" s="20" t="n"/>
      <c r="W39" s="20" t="n"/>
      <c r="X39" s="20" t="n"/>
      <c r="Y39" s="19" t="n"/>
      <c r="Z39" s="20" t="n"/>
      <c r="AA39" s="20" t="n"/>
      <c r="AB39" s="20" t="n"/>
      <c r="AC39" s="20" t="n"/>
    </row>
    <row r="40">
      <c r="A40" s="13" t="inlineStr">
        <is>
          <t>% of Sales</t>
        </is>
      </c>
      <c r="B40" s="10" t="n"/>
      <c r="C40" s="14" t="n"/>
      <c r="D40" s="15" t="n"/>
      <c r="E40" s="15" t="n"/>
      <c r="F40" s="15" t="n"/>
      <c r="G40" s="15" t="n"/>
      <c r="H40" s="15" t="n"/>
      <c r="I40" s="15" t="n"/>
      <c r="J40" s="15" t="n"/>
      <c r="K40" s="15" t="n"/>
      <c r="L40" s="15" t="n"/>
      <c r="M40" s="15" t="n"/>
      <c r="N40" s="15" t="n"/>
      <c r="O40" s="14">
        <f>IF(OR(O39="",O4=""),"",IFERROR(O39/O4,""))</f>
        <v/>
      </c>
      <c r="P40" s="15">
        <f>IF(OR(P39="",P4=""),"",IFERROR(P39/P4,""))</f>
        <v/>
      </c>
      <c r="Q40" s="15">
        <f>IF(OR(Q39="",Q4=""),"",IFERROR(Q39/Q4,""))</f>
        <v/>
      </c>
      <c r="R40" s="15">
        <f>IF(OR(R39="",R4=""),"",IFERROR(R39/R4,""))</f>
        <v/>
      </c>
      <c r="S40" s="15">
        <f>IF(OR(S39="",S4=""),"",IFERROR(S39/S4,""))</f>
        <v/>
      </c>
      <c r="T40" s="15">
        <f>IF(OR(T39="",T4=""),"",IFERROR(T39/T4,""))</f>
        <v/>
      </c>
      <c r="U40" s="15">
        <f>IF(OR(U39="",U4=""),"",IFERROR(U39/U4,""))</f>
        <v/>
      </c>
      <c r="V40" s="15">
        <f>IF(OR(V39="",V4=""),"",IFERROR(V39/V4,""))</f>
        <v/>
      </c>
      <c r="W40" s="15">
        <f>IF(OR(W39="",W4=""),"",IFERROR(W39/W4,""))</f>
        <v/>
      </c>
      <c r="X40" s="15">
        <f>IF(OR(X39="",X4=""),"",IFERROR(X39/X4,""))</f>
        <v/>
      </c>
      <c r="Y40" s="14" t="n"/>
      <c r="Z40" s="15" t="n"/>
      <c r="AA40" s="15" t="n"/>
      <c r="AB40" s="15" t="n"/>
      <c r="AC40" s="15" t="n"/>
    </row>
    <row r="41">
      <c r="A41" s="18" t="inlineStr">
        <is>
          <t>기타비용</t>
        </is>
      </c>
      <c r="B41" s="10" t="inlineStr">
        <is>
          <t>변동비</t>
        </is>
      </c>
      <c r="C41" s="19" t="n"/>
      <c r="D41" s="20" t="n"/>
      <c r="E41" s="20" t="n"/>
      <c r="F41" s="20" t="n"/>
      <c r="G41" s="20" t="n"/>
      <c r="H41" s="20" t="n"/>
      <c r="I41" s="20" t="n"/>
      <c r="J41" s="20" t="n"/>
      <c r="K41" s="20" t="n"/>
      <c r="L41" s="20" t="n"/>
      <c r="M41" s="20" t="n"/>
      <c r="N41" s="20" t="n"/>
      <c r="O41" s="19">
        <f>IF(OR(O32="",O33="",O35="",O37="",O39=""),"",IFERROR(O32-O33-O35-O37-O39,""))</f>
        <v/>
      </c>
      <c r="P41" s="20">
        <f>IF(OR(P32="",P33="",P35="",P37="",P39=""),"",IFERROR(P32-P33-P35-P37-P39,""))</f>
        <v/>
      </c>
      <c r="Q41" s="20">
        <f>IF(OR(Q32="",Q33="",Q35="",Q37="",Q39=""),"",IFERROR(Q32-Q33-Q35-Q37-Q39,""))</f>
        <v/>
      </c>
      <c r="R41" s="20">
        <f>IF(OR(R32="",R33="",R35="",R37="",R39=""),"",IFERROR(R32-R33-R35-R37-R39,""))</f>
        <v/>
      </c>
      <c r="S41" s="20">
        <f>IF(OR(S32="",S33="",S35="",S37="",S39=""),"",IFERROR(S32-S33-S35-S37-S39,""))</f>
        <v/>
      </c>
      <c r="T41" s="20">
        <f>IF(OR(T32="",T33="",T35="",T37="",T39=""),"",IFERROR(T32-T33-T35-T37-T39,""))</f>
        <v/>
      </c>
      <c r="U41" s="20">
        <f>IF(OR(U32="",U33="",U35="",U37="",U39=""),"",IFERROR(U32-U33-U35-U37-U39,""))</f>
        <v/>
      </c>
      <c r="V41" s="20">
        <f>IF(OR(V32="",V33="",V35="",V37="",V39=""),"",IFERROR(V32-V33-V35-V37-V39,""))</f>
        <v/>
      </c>
      <c r="W41" s="20">
        <f>IF(OR(W32="",W33="",W35="",W37="",W39=""),"",IFERROR(W32-W33-W35-W37-W39,""))</f>
        <v/>
      </c>
      <c r="X41" s="20">
        <f>IF(OR(X32="",X33="",X35="",X37="",X39=""),"",IFERROR(X32-X33-X35-X37-X39,""))</f>
        <v/>
      </c>
      <c r="Y41" s="19" t="n"/>
      <c r="Z41" s="20" t="n"/>
      <c r="AA41" s="20" t="n"/>
      <c r="AB41" s="20" t="n"/>
      <c r="AC41" s="20" t="n"/>
    </row>
    <row r="42">
      <c r="A42" s="13" t="inlineStr">
        <is>
          <t>% of Sales</t>
        </is>
      </c>
      <c r="B42" s="10" t="n"/>
      <c r="C42" s="14" t="n"/>
      <c r="D42" s="15" t="n"/>
      <c r="E42" s="15" t="n"/>
      <c r="F42" s="15" t="n"/>
      <c r="G42" s="15" t="n"/>
      <c r="H42" s="15" t="n"/>
      <c r="I42" s="15" t="n"/>
      <c r="J42" s="15" t="n"/>
      <c r="K42" s="15" t="n"/>
      <c r="L42" s="15" t="n"/>
      <c r="M42" s="15" t="n"/>
      <c r="N42" s="15" t="n"/>
      <c r="O42" s="14">
        <f>IF(OR(O41="",O4=""),"",IFERROR(O41/O4,""))</f>
        <v/>
      </c>
      <c r="P42" s="15">
        <f>IF(OR(P41="",P4=""),"",IFERROR(P41/P4,""))</f>
        <v/>
      </c>
      <c r="Q42" s="15">
        <f>IF(OR(Q41="",Q4=""),"",IFERROR(Q41/Q4,""))</f>
        <v/>
      </c>
      <c r="R42" s="15">
        <f>IF(OR(R41="",R4=""),"",IFERROR(R41/R4,""))</f>
        <v/>
      </c>
      <c r="S42" s="15">
        <f>IF(OR(S41="",S4=""),"",IFERROR(S41/S4,""))</f>
        <v/>
      </c>
      <c r="T42" s="15">
        <f>IF(OR(T41="",T4=""),"",IFERROR(T41/T4,""))</f>
        <v/>
      </c>
      <c r="U42" s="15">
        <f>IF(OR(U41="",U4=""),"",IFERROR(U41/U4,""))</f>
        <v/>
      </c>
      <c r="V42" s="15">
        <f>IF(OR(V41="",V4=""),"",IFERROR(V41/V4,""))</f>
        <v/>
      </c>
      <c r="W42" s="15">
        <f>IF(OR(W41="",W4=""),"",IFERROR(W41/W4,""))</f>
        <v/>
      </c>
      <c r="X42" s="15">
        <f>IF(OR(X41="",X4=""),"",IFERROR(X41/X4,""))</f>
        <v/>
      </c>
      <c r="Y42" s="14" t="n"/>
      <c r="Z42" s="15" t="n"/>
      <c r="AA42" s="15" t="n"/>
      <c r="AB42" s="15" t="n"/>
      <c r="AC42" s="15" t="n"/>
    </row>
    <row r="43">
      <c r="A43" s="16" t="inlineStr">
        <is>
          <t>당기순이익 추정</t>
        </is>
      </c>
      <c r="B43" s="16" t="n"/>
      <c r="C43" s="17" t="n"/>
      <c r="D43" s="16" t="n"/>
      <c r="E43" s="16" t="n"/>
      <c r="F43" s="16" t="n"/>
      <c r="G43" s="16" t="n"/>
      <c r="H43" s="16" t="n"/>
      <c r="I43" s="16" t="n"/>
      <c r="J43" s="16" t="n"/>
      <c r="K43" s="16" t="n"/>
      <c r="L43" s="16" t="n"/>
      <c r="M43" s="16" t="n"/>
      <c r="N43" s="16" t="n"/>
      <c r="O43" s="17" t="n"/>
      <c r="P43" s="16" t="n"/>
      <c r="Q43" s="16" t="n"/>
      <c r="R43" s="16" t="n"/>
      <c r="S43" s="16" t="n"/>
      <c r="T43" s="16" t="n"/>
      <c r="U43" s="16" t="n"/>
      <c r="V43" s="16" t="n"/>
      <c r="W43" s="16" t="n"/>
      <c r="X43" s="16" t="n"/>
      <c r="Y43" s="17" t="n"/>
      <c r="Z43" s="16" t="n"/>
      <c r="AA43" s="16" t="n"/>
      <c r="AB43" s="16" t="n"/>
      <c r="AC43" s="16" t="n"/>
    </row>
    <row r="44">
      <c r="A44" s="18" t="inlineStr">
        <is>
          <t>기타이익</t>
        </is>
      </c>
      <c r="B44" s="10" t="n"/>
      <c r="C44" s="19" t="n">
        <v>155</v>
      </c>
      <c r="D44" s="20" t="n">
        <v>264</v>
      </c>
      <c r="E44" s="20" t="n">
        <v>9448</v>
      </c>
      <c r="F44" s="20" t="n">
        <v>68</v>
      </c>
      <c r="G44" s="20" t="n">
        <v>125</v>
      </c>
      <c r="H44" s="20" t="n">
        <v>432</v>
      </c>
      <c r="I44" s="20" t="n">
        <v>288</v>
      </c>
      <c r="J44" s="20" t="n">
        <v>41</v>
      </c>
      <c r="K44" s="20" t="n">
        <v>195</v>
      </c>
      <c r="L44" s="20" t="n">
        <v>120</v>
      </c>
      <c r="M44" s="20" t="n"/>
      <c r="N44" s="20" t="n"/>
      <c r="O44" s="19" t="n">
        <v>2233</v>
      </c>
      <c r="P44" s="20" t="n">
        <v>4590</v>
      </c>
      <c r="Q44" s="20" t="n">
        <v>1897</v>
      </c>
      <c r="R44" s="20" t="n">
        <v>2733</v>
      </c>
      <c r="S44" s="20" t="n">
        <v>1377</v>
      </c>
      <c r="T44" s="20" t="n">
        <v>675</v>
      </c>
      <c r="U44" s="20" t="n">
        <v>713</v>
      </c>
      <c r="V44" s="20" t="n">
        <v>634</v>
      </c>
      <c r="W44" s="20" t="n">
        <v>10073</v>
      </c>
      <c r="X44" s="20" t="n">
        <v>644</v>
      </c>
      <c r="Y44" s="19">
        <f>IF(OR(Y4="",Y45=""),"",IFERROR(Y4*Y45,""))</f>
        <v/>
      </c>
      <c r="Z44" s="20">
        <f>IF(OR(Z4="",Z45=""),"",IFERROR(Z4*Z45,""))</f>
        <v/>
      </c>
      <c r="AA44" s="20">
        <f>IF(OR(AA4="",AA45=""),"",IFERROR(AA4*AA45,""))</f>
        <v/>
      </c>
      <c r="AB44" s="20">
        <f>IF(OR(AB4="",AB45=""),"",IFERROR(AB4*AB45,""))</f>
        <v/>
      </c>
      <c r="AC44" s="20">
        <f>IF(OR(AC4="",AC45=""),"",IFERROR(AC4*AC45,""))</f>
        <v/>
      </c>
    </row>
    <row r="45">
      <c r="A45" s="13" t="inlineStr">
        <is>
          <t>% of Sales</t>
        </is>
      </c>
      <c r="B45" s="10" t="inlineStr">
        <is>
          <t>MW = 최근 3년 평균</t>
        </is>
      </c>
      <c r="C45" s="14">
        <f>IF(OR(C44="",C4=""),"",IFERROR(C44/C4,""))</f>
        <v/>
      </c>
      <c r="D45" s="15">
        <f>IF(OR(D44="",D4=""),"",IFERROR(D44/D4,""))</f>
        <v/>
      </c>
      <c r="E45" s="15">
        <f>IF(OR(E44="",E4=""),"",IFERROR(E44/E4,""))</f>
        <v/>
      </c>
      <c r="F45" s="15">
        <f>IF(OR(F44="",F4=""),"",IFERROR(F44/F4,""))</f>
        <v/>
      </c>
      <c r="G45" s="15">
        <f>IF(OR(G44="",G4=""),"",IFERROR(G44/G4,""))</f>
        <v/>
      </c>
      <c r="H45" s="15">
        <f>IF(OR(H44="",H4=""),"",IFERROR(H44/H4,""))</f>
        <v/>
      </c>
      <c r="I45" s="15">
        <f>IF(OR(I44="",I4=""),"",IFERROR(I44/I4,""))</f>
        <v/>
      </c>
      <c r="J45" s="15">
        <f>IF(OR(J44="",J4=""),"",IFERROR(J44/J4,""))</f>
        <v/>
      </c>
      <c r="K45" s="15">
        <f>IF(OR(K44="",K4=""),"",IFERROR(K44/K4,""))</f>
        <v/>
      </c>
      <c r="L45" s="15">
        <f>IF(OR(L44="",L4=""),"",IFERROR(L44/L4,""))</f>
        <v/>
      </c>
      <c r="M45" s="15">
        <f>IF(OR(M44="",M4=""),"",IFERROR(M44/M4,""))</f>
        <v/>
      </c>
      <c r="N45" s="15">
        <f>IF(OR(N44="",N4=""),"",IFERROR(N44/N4,""))</f>
        <v/>
      </c>
      <c r="O45" s="14">
        <f>IF(OR(O44="",O4=""),"",IFERROR(O44/O4,""))</f>
        <v/>
      </c>
      <c r="P45" s="15">
        <f>IF(OR(P44="",P4=""),"",IFERROR(P44/P4,""))</f>
        <v/>
      </c>
      <c r="Q45" s="15">
        <f>IF(OR(Q44="",Q4=""),"",IFERROR(Q44/Q4,""))</f>
        <v/>
      </c>
      <c r="R45" s="15">
        <f>IF(OR(R44="",R4=""),"",IFERROR(R44/R4,""))</f>
        <v/>
      </c>
      <c r="S45" s="15">
        <f>IF(OR(S44="",S4=""),"",IFERROR(S44/S4,""))</f>
        <v/>
      </c>
      <c r="T45" s="15">
        <f>IF(OR(T44="",T4=""),"",IFERROR(T44/T4,""))</f>
        <v/>
      </c>
      <c r="U45" s="15">
        <f>IF(OR(U44="",U4=""),"",IFERROR(U44/U4,""))</f>
        <v/>
      </c>
      <c r="V45" s="15">
        <f>IF(OR(V44="",V4=""),"",IFERROR(V44/V4,""))</f>
        <v/>
      </c>
      <c r="W45" s="15">
        <f>IF(OR(W44="",W4=""),"",IFERROR(W44/W4,""))</f>
        <v/>
      </c>
      <c r="X45" s="15">
        <f>IF(OR(X44="",X4=""),"",IFERROR(X44/X4,""))</f>
        <v/>
      </c>
      <c r="Y45" s="25">
        <f>IFERROR(AVERAGE(V45,W45,X45),"")</f>
        <v/>
      </c>
      <c r="Z45" s="26">
        <f>Y45</f>
        <v/>
      </c>
      <c r="AA45" s="26">
        <f>Z45</f>
        <v/>
      </c>
      <c r="AB45" s="26">
        <f>AA45</f>
        <v/>
      </c>
      <c r="AC45" s="26">
        <f>AB45</f>
        <v/>
      </c>
    </row>
    <row r="46">
      <c r="A46" s="18" t="inlineStr">
        <is>
          <t>기타손실</t>
        </is>
      </c>
      <c r="B46" s="10" t="n"/>
      <c r="C46" s="19" t="n">
        <v>38</v>
      </c>
      <c r="D46" s="20" t="n">
        <v>2466</v>
      </c>
      <c r="E46" s="20" t="n">
        <v>204</v>
      </c>
      <c r="F46" s="20" t="n">
        <v>77</v>
      </c>
      <c r="G46" s="20" t="n">
        <v>194</v>
      </c>
      <c r="H46" s="20" t="n">
        <v>471</v>
      </c>
      <c r="I46" s="20" t="n">
        <v>135</v>
      </c>
      <c r="J46" s="20" t="n">
        <v>31</v>
      </c>
      <c r="K46" s="20" t="n">
        <v>164</v>
      </c>
      <c r="L46" s="20" t="n">
        <v>370</v>
      </c>
      <c r="M46" s="20" t="n"/>
      <c r="N46" s="20" t="n"/>
      <c r="O46" s="19" t="n">
        <v>2279</v>
      </c>
      <c r="P46" s="20" t="n">
        <v>1598</v>
      </c>
      <c r="Q46" s="20" t="n">
        <v>-2069</v>
      </c>
      <c r="R46" s="20" t="n">
        <v>958</v>
      </c>
      <c r="S46" s="20" t="n">
        <v>4293</v>
      </c>
      <c r="T46" s="20" t="n">
        <v>802</v>
      </c>
      <c r="U46" s="20" t="n">
        <v>765</v>
      </c>
      <c r="V46" s="20" t="n">
        <v>2637</v>
      </c>
      <c r="W46" s="20" t="n">
        <v>946</v>
      </c>
      <c r="X46" s="20" t="n">
        <v>700</v>
      </c>
      <c r="Y46" s="19">
        <f>IF(OR(Y4="",Y47=""),"",IFERROR(Y4*Y47,""))</f>
        <v/>
      </c>
      <c r="Z46" s="20">
        <f>IF(OR(Z4="",Z47=""),"",IFERROR(Z4*Z47,""))</f>
        <v/>
      </c>
      <c r="AA46" s="20">
        <f>IF(OR(AA4="",AA47=""),"",IFERROR(AA4*AA47,""))</f>
        <v/>
      </c>
      <c r="AB46" s="20">
        <f>IF(OR(AB4="",AB47=""),"",IFERROR(AB4*AB47,""))</f>
        <v/>
      </c>
      <c r="AC46" s="20">
        <f>IF(OR(AC4="",AC47=""),"",IFERROR(AC4*AC47,""))</f>
        <v/>
      </c>
    </row>
    <row r="47">
      <c r="A47" s="13" t="inlineStr">
        <is>
          <t>% of Sales</t>
        </is>
      </c>
      <c r="B47" s="10" t="n"/>
      <c r="C47" s="14">
        <f>IF(OR(C46="",C4=""),"",IFERROR(C46/C4,""))</f>
        <v/>
      </c>
      <c r="D47" s="15">
        <f>IF(OR(D46="",D4=""),"",IFERROR(D46/D4,""))</f>
        <v/>
      </c>
      <c r="E47" s="15">
        <f>IF(OR(E46="",E4=""),"",IFERROR(E46/E4,""))</f>
        <v/>
      </c>
      <c r="F47" s="15">
        <f>IF(OR(F46="",F4=""),"",IFERROR(F46/F4,""))</f>
        <v/>
      </c>
      <c r="G47" s="15">
        <f>IF(OR(G46="",G4=""),"",IFERROR(G46/G4,""))</f>
        <v/>
      </c>
      <c r="H47" s="15">
        <f>IF(OR(H46="",H4=""),"",IFERROR(H46/H4,""))</f>
        <v/>
      </c>
      <c r="I47" s="15">
        <f>IF(OR(I46="",I4=""),"",IFERROR(I46/I4,""))</f>
        <v/>
      </c>
      <c r="J47" s="15">
        <f>IF(OR(J46="",J4=""),"",IFERROR(J46/J4,""))</f>
        <v/>
      </c>
      <c r="K47" s="15">
        <f>IF(OR(K46="",K4=""),"",IFERROR(K46/K4,""))</f>
        <v/>
      </c>
      <c r="L47" s="15">
        <f>IF(OR(L46="",L4=""),"",IFERROR(L46/L4,""))</f>
        <v/>
      </c>
      <c r="M47" s="15">
        <f>IF(OR(M46="",M4=""),"",IFERROR(M46/M4,""))</f>
        <v/>
      </c>
      <c r="N47" s="15">
        <f>IF(OR(N46="",N4=""),"",IFERROR(N46/N4,""))</f>
        <v/>
      </c>
      <c r="O47" s="14">
        <f>IF(OR(O46="",O4=""),"",IFERROR(O46/O4,""))</f>
        <v/>
      </c>
      <c r="P47" s="15">
        <f>IF(OR(P46="",P4=""),"",IFERROR(P46/P4,""))</f>
        <v/>
      </c>
      <c r="Q47" s="15">
        <f>IF(OR(Q46="",Q4=""),"",IFERROR(Q46/Q4,""))</f>
        <v/>
      </c>
      <c r="R47" s="15">
        <f>IF(OR(R46="",R4=""),"",IFERROR(R46/R4,""))</f>
        <v/>
      </c>
      <c r="S47" s="15">
        <f>IF(OR(S46="",S4=""),"",IFERROR(S46/S4,""))</f>
        <v/>
      </c>
      <c r="T47" s="15">
        <f>IF(OR(T46="",T4=""),"",IFERROR(T46/T4,""))</f>
        <v/>
      </c>
      <c r="U47" s="15">
        <f>IF(OR(U46="",U4=""),"",IFERROR(U46/U4,""))</f>
        <v/>
      </c>
      <c r="V47" s="15">
        <f>IF(OR(V46="",V4=""),"",IFERROR(V46/V4,""))</f>
        <v/>
      </c>
      <c r="W47" s="15">
        <f>IF(OR(W46="",W4=""),"",IFERROR(W46/W4,""))</f>
        <v/>
      </c>
      <c r="X47" s="15">
        <f>IF(OR(X46="",X4=""),"",IFERROR(X46/X4,""))</f>
        <v/>
      </c>
      <c r="Y47" s="25">
        <f>IFERROR(AVERAGE(V47,W47,X47),"")</f>
        <v/>
      </c>
      <c r="Z47" s="26">
        <f>Y47</f>
        <v/>
      </c>
      <c r="AA47" s="26">
        <f>Z47</f>
        <v/>
      </c>
      <c r="AB47" s="26">
        <f>AA47</f>
        <v/>
      </c>
      <c r="AC47" s="26">
        <f>AB47</f>
        <v/>
      </c>
    </row>
    <row r="48">
      <c r="A48" s="18" t="inlineStr">
        <is>
          <t>금융수익</t>
        </is>
      </c>
      <c r="B48" s="10" t="n"/>
      <c r="C48" s="19" t="n">
        <v>274</v>
      </c>
      <c r="D48" s="20" t="n">
        <v>20</v>
      </c>
      <c r="E48" s="20" t="n">
        <v>454</v>
      </c>
      <c r="F48" s="20" t="n">
        <v>335</v>
      </c>
      <c r="G48" s="20" t="n">
        <v>71</v>
      </c>
      <c r="H48" s="20" t="n">
        <v>235</v>
      </c>
      <c r="I48" s="20" t="n">
        <v>271</v>
      </c>
      <c r="J48" s="20" t="n">
        <v>311</v>
      </c>
      <c r="K48" s="20" t="n">
        <v>137</v>
      </c>
      <c r="L48" s="20" t="n">
        <v>373</v>
      </c>
      <c r="M48" s="20" t="n"/>
      <c r="N48" s="20" t="n"/>
      <c r="O48" s="19" t="n">
        <v>1224</v>
      </c>
      <c r="P48" s="20" t="n">
        <v>1559</v>
      </c>
      <c r="Q48" s="20" t="n">
        <v>630</v>
      </c>
      <c r="R48" s="20" t="n">
        <v>451</v>
      </c>
      <c r="S48" s="20" t="n">
        <v>523</v>
      </c>
      <c r="T48" s="20" t="n">
        <v>592</v>
      </c>
      <c r="U48" s="20" t="n">
        <v>903</v>
      </c>
      <c r="V48" s="20" t="n">
        <v>959</v>
      </c>
      <c r="W48" s="20" t="n">
        <v>1095</v>
      </c>
      <c r="X48" s="20" t="n">
        <v>1092</v>
      </c>
      <c r="Y48" s="19">
        <f>IF(OR(Y4="",Y49=""),"",IFERROR(Y4*Y49,""))</f>
        <v/>
      </c>
      <c r="Z48" s="20">
        <f>IF(OR(Z4="",Z49=""),"",IFERROR(Z4*Z49,""))</f>
        <v/>
      </c>
      <c r="AA48" s="20">
        <f>IF(OR(AA4="",AA49=""),"",IFERROR(AA4*AA49,""))</f>
        <v/>
      </c>
      <c r="AB48" s="20">
        <f>IF(OR(AB4="",AB49=""),"",IFERROR(AB4*AB49,""))</f>
        <v/>
      </c>
      <c r="AC48" s="20">
        <f>IF(OR(AC4="",AC49=""),"",IFERROR(AC4*AC49,""))</f>
        <v/>
      </c>
    </row>
    <row r="49">
      <c r="A49" s="13" t="inlineStr">
        <is>
          <t>% of Sales</t>
        </is>
      </c>
      <c r="B49" s="10" t="n"/>
      <c r="C49" s="14">
        <f>IF(OR(C48="",C4=""),"",IFERROR(C48/C4,""))</f>
        <v/>
      </c>
      <c r="D49" s="15">
        <f>IF(OR(D48="",D4=""),"",IFERROR(D48/D4,""))</f>
        <v/>
      </c>
      <c r="E49" s="15">
        <f>IF(OR(E48="",E4=""),"",IFERROR(E48/E4,""))</f>
        <v/>
      </c>
      <c r="F49" s="15">
        <f>IF(OR(F48="",F4=""),"",IFERROR(F48/F4,""))</f>
        <v/>
      </c>
      <c r="G49" s="15">
        <f>IF(OR(G48="",G4=""),"",IFERROR(G48/G4,""))</f>
        <v/>
      </c>
      <c r="H49" s="15">
        <f>IF(OR(H48="",H4=""),"",IFERROR(H48/H4,""))</f>
        <v/>
      </c>
      <c r="I49" s="15">
        <f>IF(OR(I48="",I4=""),"",IFERROR(I48/I4,""))</f>
        <v/>
      </c>
      <c r="J49" s="15">
        <f>IF(OR(J48="",J4=""),"",IFERROR(J48/J4,""))</f>
        <v/>
      </c>
      <c r="K49" s="15">
        <f>IF(OR(K48="",K4=""),"",IFERROR(K48/K4,""))</f>
        <v/>
      </c>
      <c r="L49" s="15">
        <f>IF(OR(L48="",L4=""),"",IFERROR(L48/L4,""))</f>
        <v/>
      </c>
      <c r="M49" s="15">
        <f>IF(OR(M48="",M4=""),"",IFERROR(M48/M4,""))</f>
        <v/>
      </c>
      <c r="N49" s="15">
        <f>IF(OR(N48="",N4=""),"",IFERROR(N48/N4,""))</f>
        <v/>
      </c>
      <c r="O49" s="14">
        <f>IF(OR(O48="",O4=""),"",IFERROR(O48/O4,""))</f>
        <v/>
      </c>
      <c r="P49" s="15">
        <f>IF(OR(P48="",P4=""),"",IFERROR(P48/P4,""))</f>
        <v/>
      </c>
      <c r="Q49" s="15">
        <f>IF(OR(Q48="",Q4=""),"",IFERROR(Q48/Q4,""))</f>
        <v/>
      </c>
      <c r="R49" s="15">
        <f>IF(OR(R48="",R4=""),"",IFERROR(R48/R4,""))</f>
        <v/>
      </c>
      <c r="S49" s="15">
        <f>IF(OR(S48="",S4=""),"",IFERROR(S48/S4,""))</f>
        <v/>
      </c>
      <c r="T49" s="15">
        <f>IF(OR(T48="",T4=""),"",IFERROR(T48/T4,""))</f>
        <v/>
      </c>
      <c r="U49" s="15">
        <f>IF(OR(U48="",U4=""),"",IFERROR(U48/U4,""))</f>
        <v/>
      </c>
      <c r="V49" s="15">
        <f>IF(OR(V48="",V4=""),"",IFERROR(V48/V4,""))</f>
        <v/>
      </c>
      <c r="W49" s="15">
        <f>IF(OR(W48="",W4=""),"",IFERROR(W48/W4,""))</f>
        <v/>
      </c>
      <c r="X49" s="15">
        <f>IF(OR(X48="",X4=""),"",IFERROR(X48/X4,""))</f>
        <v/>
      </c>
      <c r="Y49" s="25">
        <f>IFERROR(AVERAGE(V49,W49,X49),"")</f>
        <v/>
      </c>
      <c r="Z49" s="26">
        <f>Y49</f>
        <v/>
      </c>
      <c r="AA49" s="26">
        <f>Z49</f>
        <v/>
      </c>
      <c r="AB49" s="26">
        <f>AA49</f>
        <v/>
      </c>
      <c r="AC49" s="26">
        <f>AB49</f>
        <v/>
      </c>
    </row>
    <row r="50">
      <c r="A50" s="18" t="inlineStr">
        <is>
          <t>금융원가</t>
        </is>
      </c>
      <c r="B50" s="10" t="n"/>
      <c r="C50" s="19" t="n">
        <v>566</v>
      </c>
      <c r="D50" s="20" t="n">
        <v>479</v>
      </c>
      <c r="E50" s="20" t="n">
        <v>1209</v>
      </c>
      <c r="F50" s="20" t="n">
        <v>1133</v>
      </c>
      <c r="G50" s="20" t="n">
        <v>312</v>
      </c>
      <c r="H50" s="20" t="n">
        <v>998</v>
      </c>
      <c r="I50" s="20" t="n">
        <v>738</v>
      </c>
      <c r="J50" s="20" t="n">
        <v>426</v>
      </c>
      <c r="K50" s="20" t="n">
        <v>615</v>
      </c>
      <c r="L50" s="20" t="n">
        <v>833</v>
      </c>
      <c r="M50" s="20" t="n"/>
      <c r="N50" s="20" t="n"/>
      <c r="O50" s="19" t="n">
        <v>854</v>
      </c>
      <c r="P50" s="20" t="n">
        <v>910</v>
      </c>
      <c r="Q50" s="20" t="n">
        <v>-646</v>
      </c>
      <c r="R50" s="20" t="n">
        <v>642</v>
      </c>
      <c r="S50" s="20" t="n">
        <v>581</v>
      </c>
      <c r="T50" s="20" t="n">
        <v>722</v>
      </c>
      <c r="U50" s="20" t="n">
        <v>1103</v>
      </c>
      <c r="V50" s="20" t="n">
        <v>1942</v>
      </c>
      <c r="W50" s="20" t="n">
        <v>3652</v>
      </c>
      <c r="X50" s="20" t="n">
        <v>2612</v>
      </c>
      <c r="Y50" s="19">
        <f>IF(OR(Y4="",Y51=""),"",IFERROR(Y4*Y51,""))</f>
        <v/>
      </c>
      <c r="Z50" s="20">
        <f>IF(OR(Z4="",Z51=""),"",IFERROR(Z4*Z51,""))</f>
        <v/>
      </c>
      <c r="AA50" s="20">
        <f>IF(OR(AA4="",AA51=""),"",IFERROR(AA4*AA51,""))</f>
        <v/>
      </c>
      <c r="AB50" s="20">
        <f>IF(OR(AB4="",AB51=""),"",IFERROR(AB4*AB51,""))</f>
        <v/>
      </c>
      <c r="AC50" s="20">
        <f>IF(OR(AC4="",AC51=""),"",IFERROR(AC4*AC51,""))</f>
        <v/>
      </c>
    </row>
    <row r="51">
      <c r="A51" s="13" t="inlineStr">
        <is>
          <t>% of Sales</t>
        </is>
      </c>
      <c r="B51" s="10" t="n"/>
      <c r="C51" s="14">
        <f>IF(OR(C50="",C4=""),"",IFERROR(C50/C4,""))</f>
        <v/>
      </c>
      <c r="D51" s="15">
        <f>IF(OR(D50="",D4=""),"",IFERROR(D50/D4,""))</f>
        <v/>
      </c>
      <c r="E51" s="15">
        <f>IF(OR(E50="",E4=""),"",IFERROR(E50/E4,""))</f>
        <v/>
      </c>
      <c r="F51" s="15">
        <f>IF(OR(F50="",F4=""),"",IFERROR(F50/F4,""))</f>
        <v/>
      </c>
      <c r="G51" s="15">
        <f>IF(OR(G50="",G4=""),"",IFERROR(G50/G4,""))</f>
        <v/>
      </c>
      <c r="H51" s="15">
        <f>IF(OR(H50="",H4=""),"",IFERROR(H50/H4,""))</f>
        <v/>
      </c>
      <c r="I51" s="15">
        <f>IF(OR(I50="",I4=""),"",IFERROR(I50/I4,""))</f>
        <v/>
      </c>
      <c r="J51" s="15">
        <f>IF(OR(J50="",J4=""),"",IFERROR(J50/J4,""))</f>
        <v/>
      </c>
      <c r="K51" s="15">
        <f>IF(OR(K50="",K4=""),"",IFERROR(K50/K4,""))</f>
        <v/>
      </c>
      <c r="L51" s="15">
        <f>IF(OR(L50="",L4=""),"",IFERROR(L50/L4,""))</f>
        <v/>
      </c>
      <c r="M51" s="15">
        <f>IF(OR(M50="",M4=""),"",IFERROR(M50/M4,""))</f>
        <v/>
      </c>
      <c r="N51" s="15">
        <f>IF(OR(N50="",N4=""),"",IFERROR(N50/N4,""))</f>
        <v/>
      </c>
      <c r="O51" s="14">
        <f>IF(OR(O50="",O4=""),"",IFERROR(O50/O4,""))</f>
        <v/>
      </c>
      <c r="P51" s="15">
        <f>IF(OR(P50="",P4=""),"",IFERROR(P50/P4,""))</f>
        <v/>
      </c>
      <c r="Q51" s="15">
        <f>IF(OR(Q50="",Q4=""),"",IFERROR(Q50/Q4,""))</f>
        <v/>
      </c>
      <c r="R51" s="15">
        <f>IF(OR(R50="",R4=""),"",IFERROR(R50/R4,""))</f>
        <v/>
      </c>
      <c r="S51" s="15">
        <f>IF(OR(S50="",S4=""),"",IFERROR(S50/S4,""))</f>
        <v/>
      </c>
      <c r="T51" s="15">
        <f>IF(OR(T50="",T4=""),"",IFERROR(T50/T4,""))</f>
        <v/>
      </c>
      <c r="U51" s="15">
        <f>IF(OR(U50="",U4=""),"",IFERROR(U50/U4,""))</f>
        <v/>
      </c>
      <c r="V51" s="15">
        <f>IF(OR(V50="",V4=""),"",IFERROR(V50/V4,""))</f>
        <v/>
      </c>
      <c r="W51" s="15">
        <f>IF(OR(W50="",W4=""),"",IFERROR(W50/W4,""))</f>
        <v/>
      </c>
      <c r="X51" s="15">
        <f>IF(OR(X50="",X4=""),"",IFERROR(X50/X4,""))</f>
        <v/>
      </c>
      <c r="Y51" s="25">
        <f>IFERROR(AVERAGE(V51,W51,X51),"")</f>
        <v/>
      </c>
      <c r="Z51" s="26">
        <f>Y51</f>
        <v/>
      </c>
      <c r="AA51" s="26">
        <f>Z51</f>
        <v/>
      </c>
      <c r="AB51" s="26">
        <f>AA51</f>
        <v/>
      </c>
      <c r="AC51" s="26">
        <f>AB51</f>
        <v/>
      </c>
    </row>
    <row r="52">
      <c r="A52" s="9" t="inlineStr">
        <is>
          <t>법인세비용차감전순이익(손실)</t>
        </is>
      </c>
      <c r="B52" s="10" t="n"/>
      <c r="C52" s="11" t="n">
        <v>6374</v>
      </c>
      <c r="D52" s="12" t="n">
        <v>1436</v>
      </c>
      <c r="E52" s="12" t="n">
        <v>14096</v>
      </c>
      <c r="F52" s="12" t="n">
        <v>9035</v>
      </c>
      <c r="G52" s="12" t="n">
        <v>7764</v>
      </c>
      <c r="H52" s="12" t="n">
        <v>2770</v>
      </c>
      <c r="I52" s="12" t="n">
        <v>4275</v>
      </c>
      <c r="J52" s="12" t="n">
        <v>5706</v>
      </c>
      <c r="K52" s="12" t="n">
        <v>6600</v>
      </c>
      <c r="L52" s="12" t="n">
        <v>4537</v>
      </c>
      <c r="M52" s="12" t="n">
        <v>3594</v>
      </c>
      <c r="N52" s="12" t="n">
        <v>4655</v>
      </c>
      <c r="O52" s="11" t="n">
        <v>11269</v>
      </c>
      <c r="P52" s="12" t="n">
        <v>15610</v>
      </c>
      <c r="Q52" s="12" t="n">
        <v>12213</v>
      </c>
      <c r="R52" s="12" t="n">
        <v>13888</v>
      </c>
      <c r="S52" s="12" t="n">
        <v>10624</v>
      </c>
      <c r="T52" s="12" t="n">
        <v>13880</v>
      </c>
      <c r="U52" s="12" t="n">
        <v>12557</v>
      </c>
      <c r="V52" s="12" t="n">
        <v>16489</v>
      </c>
      <c r="W52" s="12" t="n">
        <v>33665</v>
      </c>
      <c r="X52" s="12" t="n">
        <v>21118</v>
      </c>
      <c r="Y52" s="11">
        <f>IF(OR(Y28=""),"",IFERROR(Y28+N(Y44)-N(Y46)+N(Y48)-N(Y50),""))</f>
        <v/>
      </c>
      <c r="Z52" s="12">
        <f>IF(OR(Z28=""),"",IFERROR(Z28+N(Z44)-N(Z46)+N(Z48)-N(Z50),""))</f>
        <v/>
      </c>
      <c r="AA52" s="12">
        <f>IF(OR(AA28=""),"",IFERROR(AA28+N(AA44)-N(AA46)+N(AA48)-N(AA50),""))</f>
        <v/>
      </c>
      <c r="AB52" s="12">
        <f>IF(OR(AB28=""),"",IFERROR(AB28+N(AB44)-N(AB46)+N(AB48)-N(AB50),""))</f>
        <v/>
      </c>
      <c r="AC52" s="12">
        <f>IF(OR(AC28=""),"",IFERROR(AC28+N(AC44)-N(AC46)+N(AC48)-N(AC50),""))</f>
        <v/>
      </c>
    </row>
    <row r="53">
      <c r="A53" s="18" t="inlineStr">
        <is>
          <t>법인세비용(수익)</t>
        </is>
      </c>
      <c r="B53" s="10" t="n"/>
      <c r="C53" s="19" t="n">
        <v>1751</v>
      </c>
      <c r="D53" s="20" t="n">
        <v>285</v>
      </c>
      <c r="E53" s="20" t="n">
        <v>2163</v>
      </c>
      <c r="F53" s="20" t="n">
        <v>2551</v>
      </c>
      <c r="G53" s="20" t="n">
        <v>1692</v>
      </c>
      <c r="H53" s="20" t="n">
        <v>83</v>
      </c>
      <c r="I53" s="20" t="n">
        <v>1248</v>
      </c>
      <c r="J53" s="20" t="n">
        <v>1588</v>
      </c>
      <c r="K53" s="20" t="n">
        <v>1848</v>
      </c>
      <c r="L53" s="20" t="n">
        <v>378</v>
      </c>
      <c r="M53" s="20" t="n">
        <v>807</v>
      </c>
      <c r="N53" s="20" t="n">
        <v>1510</v>
      </c>
      <c r="O53" s="19" t="n">
        <v>4125</v>
      </c>
      <c r="P53" s="20" t="n">
        <v>5232</v>
      </c>
      <c r="Q53" s="20" t="n">
        <v>-3657</v>
      </c>
      <c r="R53" s="20" t="n">
        <v>3574</v>
      </c>
      <c r="S53" s="20" t="n">
        <v>4522</v>
      </c>
      <c r="T53" s="20" t="n">
        <v>3897</v>
      </c>
      <c r="U53" s="20" t="n">
        <v>2790</v>
      </c>
      <c r="V53" s="20" t="n">
        <v>4676</v>
      </c>
      <c r="W53" s="20" t="n">
        <v>6489</v>
      </c>
      <c r="X53" s="20" t="n">
        <v>5062</v>
      </c>
      <c r="Y53" s="19">
        <f>IF(OR(Y52="",Y54=""),"",IFERROR(MAX(Y52,0)*Y54,""))</f>
        <v/>
      </c>
      <c r="Z53" s="20">
        <f>IF(OR(Z52="",Z54=""),"",IFERROR(MAX(Z52,0)*Z54,""))</f>
        <v/>
      </c>
      <c r="AA53" s="20">
        <f>IF(OR(AA52="",AA54=""),"",IFERROR(MAX(AA52,0)*AA54,""))</f>
        <v/>
      </c>
      <c r="AB53" s="20">
        <f>IF(OR(AB52="",AB54=""),"",IFERROR(MAX(AB52,0)*AB54,""))</f>
        <v/>
      </c>
      <c r="AC53" s="20">
        <f>IF(OR(AC52="",AC54=""),"",IFERROR(MAX(AC52,0)*AC54,""))</f>
        <v/>
      </c>
    </row>
    <row r="54">
      <c r="A54" s="13" t="inlineStr">
        <is>
          <t>법인세율</t>
        </is>
      </c>
      <c r="B54" s="10" t="inlineStr">
        <is>
          <t>MW 기본 30%</t>
        </is>
      </c>
      <c r="C54" s="14">
        <f>IF(OR(C53="",C52=""),"",IFERROR(C53/C52,""))</f>
        <v/>
      </c>
      <c r="D54" s="15">
        <f>IF(OR(D53="",D52=""),"",IFERROR(D53/D52,""))</f>
        <v/>
      </c>
      <c r="E54" s="15">
        <f>IF(OR(E53="",E52=""),"",IFERROR(E53/E52,""))</f>
        <v/>
      </c>
      <c r="F54" s="15">
        <f>IF(OR(F53="",F52=""),"",IFERROR(F53/F52,""))</f>
        <v/>
      </c>
      <c r="G54" s="15">
        <f>IF(OR(G53="",G52=""),"",IFERROR(G53/G52,""))</f>
        <v/>
      </c>
      <c r="H54" s="15">
        <f>IF(OR(H53="",H52=""),"",IFERROR(H53/H52,""))</f>
        <v/>
      </c>
      <c r="I54" s="15">
        <f>IF(OR(I53="",I52=""),"",IFERROR(I53/I52,""))</f>
        <v/>
      </c>
      <c r="J54" s="15">
        <f>IF(OR(J53="",J52=""),"",IFERROR(J53/J52,""))</f>
        <v/>
      </c>
      <c r="K54" s="15">
        <f>IF(OR(K53="",K52=""),"",IFERROR(K53/K52,""))</f>
        <v/>
      </c>
      <c r="L54" s="15">
        <f>IF(OR(L53="",L52=""),"",IFERROR(L53/L52,""))</f>
        <v/>
      </c>
      <c r="M54" s="15">
        <f>IF(OR(M53="",M52=""),"",IFERROR(M53/M52,""))</f>
        <v/>
      </c>
      <c r="N54" s="15">
        <f>IF(OR(N53="",N52=""),"",IFERROR(N53/N52,""))</f>
        <v/>
      </c>
      <c r="O54" s="14">
        <f>IF(OR(O53="",O52=""),"",IFERROR(O53/O52,""))</f>
        <v/>
      </c>
      <c r="P54" s="15">
        <f>IF(OR(P53="",P52=""),"",IFERROR(P53/P52,""))</f>
        <v/>
      </c>
      <c r="Q54" s="15">
        <f>IF(OR(Q53="",Q52=""),"",IFERROR(Q53/Q52,""))</f>
        <v/>
      </c>
      <c r="R54" s="15">
        <f>IF(OR(R53="",R52=""),"",IFERROR(R53/R52,""))</f>
        <v/>
      </c>
      <c r="S54" s="15">
        <f>IF(OR(S53="",S52=""),"",IFERROR(S53/S52,""))</f>
        <v/>
      </c>
      <c r="T54" s="15">
        <f>IF(OR(T53="",T52=""),"",IFERROR(T53/T52,""))</f>
        <v/>
      </c>
      <c r="U54" s="15">
        <f>IF(OR(U53="",U52=""),"",IFERROR(U53/U52,""))</f>
        <v/>
      </c>
      <c r="V54" s="15">
        <f>IF(OR(V53="",V52=""),"",IFERROR(V53/V52,""))</f>
        <v/>
      </c>
      <c r="W54" s="15">
        <f>IF(OR(W53="",W52=""),"",IFERROR(W53/W52,""))</f>
        <v/>
      </c>
      <c r="X54" s="15">
        <f>IF(OR(X53="",X52=""),"",IFERROR(X53/X52,""))</f>
        <v/>
      </c>
      <c r="Y54" s="25" t="n">
        <v>0.3</v>
      </c>
      <c r="Z54" s="26" t="n">
        <v>0.3</v>
      </c>
      <c r="AA54" s="26" t="n">
        <v>0.3</v>
      </c>
      <c r="AB54" s="26" t="n">
        <v>0.3</v>
      </c>
      <c r="AC54" s="26" t="n">
        <v>0.3</v>
      </c>
    </row>
    <row r="55">
      <c r="A55" s="9" t="inlineStr">
        <is>
          <t>당기순이익(손실)</t>
        </is>
      </c>
      <c r="B55" s="10" t="n"/>
      <c r="C55" s="11" t="n">
        <v>4623</v>
      </c>
      <c r="D55" s="12" t="n">
        <v>1151</v>
      </c>
      <c r="E55" s="12" t="n">
        <v>11932</v>
      </c>
      <c r="F55" s="12" t="n">
        <v>6484</v>
      </c>
      <c r="G55" s="12" t="n">
        <v>6073</v>
      </c>
      <c r="H55" s="12" t="n">
        <v>2686</v>
      </c>
      <c r="I55" s="12" t="n">
        <v>3026</v>
      </c>
      <c r="J55" s="12" t="n">
        <v>4119</v>
      </c>
      <c r="K55" s="12" t="n">
        <v>4752</v>
      </c>
      <c r="L55" s="12" t="n">
        <v>4159</v>
      </c>
      <c r="M55" s="12" t="n">
        <v>2787</v>
      </c>
      <c r="N55" s="12" t="n">
        <v>3145</v>
      </c>
      <c r="O55" s="11" t="n">
        <v>7144</v>
      </c>
      <c r="P55" s="12" t="n">
        <v>10377</v>
      </c>
      <c r="Q55" s="12" t="n">
        <v>8555</v>
      </c>
      <c r="R55" s="12" t="n">
        <v>10314</v>
      </c>
      <c r="S55" s="12" t="n">
        <v>6102</v>
      </c>
      <c r="T55" s="12" t="n">
        <v>9983</v>
      </c>
      <c r="U55" s="12" t="n">
        <v>9766</v>
      </c>
      <c r="V55" s="12" t="n">
        <v>11812</v>
      </c>
      <c r="W55" s="12" t="n">
        <v>27175</v>
      </c>
      <c r="X55" s="12" t="n">
        <v>16056</v>
      </c>
      <c r="Y55" s="11">
        <f>IF(OR(Y52=""),"",IFERROR(Y52-Y53,""))</f>
        <v/>
      </c>
      <c r="Z55" s="12">
        <f>IF(OR(Z52=""),"",IFERROR(Z52-Z53,""))</f>
        <v/>
      </c>
      <c r="AA55" s="12">
        <f>IF(OR(AA52=""),"",IFERROR(AA52-AA53,""))</f>
        <v/>
      </c>
      <c r="AB55" s="12">
        <f>IF(OR(AB52=""),"",IFERROR(AB52-AB53,""))</f>
        <v/>
      </c>
      <c r="AC55" s="12">
        <f>IF(OR(AC52=""),"",IFERROR(AC52-AC53,""))</f>
        <v/>
      </c>
    </row>
    <row r="56">
      <c r="A56" s="9" t="inlineStr">
        <is>
          <t>지배주주 순이익</t>
        </is>
      </c>
      <c r="B56" s="10" t="n"/>
      <c r="C56" s="11" t="n">
        <v>4337</v>
      </c>
      <c r="D56" s="12" t="n">
        <v>906</v>
      </c>
      <c r="E56" s="12" t="n">
        <v>11492</v>
      </c>
      <c r="F56" s="12" t="n">
        <v>5654</v>
      </c>
      <c r="G56" s="12" t="n">
        <v>5396</v>
      </c>
      <c r="H56" s="12" t="n">
        <v>2473</v>
      </c>
      <c r="I56" s="12" t="n">
        <v>2813</v>
      </c>
      <c r="J56" s="12" t="n">
        <v>3368</v>
      </c>
      <c r="K56" s="12" t="n">
        <v>4500</v>
      </c>
      <c r="L56" s="12" t="n">
        <v>4119</v>
      </c>
      <c r="M56" s="12" t="n">
        <v>2055</v>
      </c>
      <c r="N56" s="12" t="n">
        <v>2628</v>
      </c>
      <c r="O56" s="11" t="n">
        <v>6764</v>
      </c>
      <c r="P56" s="12" t="n">
        <v>10100</v>
      </c>
      <c r="Q56" s="12" t="n">
        <v>8998</v>
      </c>
      <c r="R56" s="12" t="n">
        <v>10198</v>
      </c>
      <c r="S56" s="12" t="n">
        <v>7425</v>
      </c>
      <c r="T56" s="12" t="n">
        <v>9763</v>
      </c>
      <c r="U56" s="12" t="n">
        <v>9116</v>
      </c>
      <c r="V56" s="12" t="n">
        <v>10432</v>
      </c>
      <c r="W56" s="12" t="n">
        <v>25015</v>
      </c>
      <c r="X56" s="12" t="n">
        <v>14800</v>
      </c>
      <c r="Y56" s="11">
        <f>IF(OR(Y55="",Y57=""),"",IFERROR(Y55*Y57,""))</f>
        <v/>
      </c>
      <c r="Z56" s="12">
        <f>IF(OR(Z55="",Z57=""),"",IFERROR(Z55*Z57,""))</f>
        <v/>
      </c>
      <c r="AA56" s="12">
        <f>IF(OR(AA55="",AA57=""),"",IFERROR(AA55*AA57,""))</f>
        <v/>
      </c>
      <c r="AB56" s="12">
        <f>IF(OR(AB55="",AB57=""),"",IFERROR(AB55*AB57,""))</f>
        <v/>
      </c>
      <c r="AC56" s="12">
        <f>IF(OR(AC55="",AC57=""),"",IFERROR(AC55*AC57,""))</f>
        <v/>
      </c>
    </row>
    <row r="57">
      <c r="A57" s="13" t="inlineStr">
        <is>
          <t>지배주주 순이익률</t>
        </is>
      </c>
      <c r="B57" s="10" t="inlineStr">
        <is>
          <t>MW 기본 100%</t>
        </is>
      </c>
      <c r="C57" s="14">
        <f>IF(OR(C56="",C55=""),"",IFERROR(C56/C55,""))</f>
        <v/>
      </c>
      <c r="D57" s="15">
        <f>IF(OR(D56="",D55=""),"",IFERROR(D56/D55,""))</f>
        <v/>
      </c>
      <c r="E57" s="15">
        <f>IF(OR(E56="",E55=""),"",IFERROR(E56/E55,""))</f>
        <v/>
      </c>
      <c r="F57" s="15">
        <f>IF(OR(F56="",F55=""),"",IFERROR(F56/F55,""))</f>
        <v/>
      </c>
      <c r="G57" s="15">
        <f>IF(OR(G56="",G55=""),"",IFERROR(G56/G55,""))</f>
        <v/>
      </c>
      <c r="H57" s="15">
        <f>IF(OR(H56="",H55=""),"",IFERROR(H56/H55,""))</f>
        <v/>
      </c>
      <c r="I57" s="15">
        <f>IF(OR(I56="",I55=""),"",IFERROR(I56/I55,""))</f>
        <v/>
      </c>
      <c r="J57" s="15">
        <f>IF(OR(J56="",J55=""),"",IFERROR(J56/J55,""))</f>
        <v/>
      </c>
      <c r="K57" s="15">
        <f>IF(OR(K56="",K55=""),"",IFERROR(K56/K55,""))</f>
        <v/>
      </c>
      <c r="L57" s="15">
        <f>IF(OR(L56="",L55=""),"",IFERROR(L56/L55,""))</f>
        <v/>
      </c>
      <c r="M57" s="15">
        <f>IF(OR(M56="",M55=""),"",IFERROR(M56/M55,""))</f>
        <v/>
      </c>
      <c r="N57" s="15">
        <f>IF(OR(N56="",N55=""),"",IFERROR(N56/N55,""))</f>
        <v/>
      </c>
      <c r="O57" s="14">
        <f>IF(OR(O56="",O55=""),"",IFERROR(O56/O55,""))</f>
        <v/>
      </c>
      <c r="P57" s="15">
        <f>IF(OR(P56="",P55=""),"",IFERROR(P56/P55,""))</f>
        <v/>
      </c>
      <c r="Q57" s="15">
        <f>IF(OR(Q56="",Q55=""),"",IFERROR(Q56/Q55,""))</f>
        <v/>
      </c>
      <c r="R57" s="15">
        <f>IF(OR(R56="",R55=""),"",IFERROR(R56/R55,""))</f>
        <v/>
      </c>
      <c r="S57" s="15">
        <f>IF(OR(S56="",S55=""),"",IFERROR(S56/S55,""))</f>
        <v/>
      </c>
      <c r="T57" s="15">
        <f>IF(OR(T56="",T55=""),"",IFERROR(T56/T55,""))</f>
        <v/>
      </c>
      <c r="U57" s="15">
        <f>IF(OR(U56="",U55=""),"",IFERROR(U56/U55,""))</f>
        <v/>
      </c>
      <c r="V57" s="15">
        <f>IF(OR(V56="",V55=""),"",IFERROR(V56/V55,""))</f>
        <v/>
      </c>
      <c r="W57" s="15">
        <f>IF(OR(W56="",W55=""),"",IFERROR(W56/W55,""))</f>
        <v/>
      </c>
      <c r="X57" s="15">
        <f>IF(OR(X56="",X55=""),"",IFERROR(X56/X55,""))</f>
        <v/>
      </c>
      <c r="Y57" s="25" t="n">
        <v>1</v>
      </c>
      <c r="Z57" s="26" t="n">
        <v>1</v>
      </c>
      <c r="AA57" s="26" t="n">
        <v>1</v>
      </c>
      <c r="AB57" s="26" t="n">
        <v>1</v>
      </c>
      <c r="AC57" s="26" t="n">
        <v>1</v>
      </c>
    </row>
    <row r="58">
      <c r="A58" s="16" t="inlineStr">
        <is>
          <t>목표주가 산출</t>
        </is>
      </c>
      <c r="B58" s="16" t="n"/>
      <c r="C58" s="17" t="n"/>
      <c r="D58" s="16" t="n"/>
      <c r="E58" s="16" t="n"/>
      <c r="F58" s="16" t="n"/>
      <c r="G58" s="16" t="n"/>
      <c r="H58" s="16" t="n"/>
      <c r="I58" s="16" t="n"/>
      <c r="J58" s="16" t="n"/>
      <c r="K58" s="16" t="n"/>
      <c r="L58" s="16" t="n"/>
      <c r="M58" s="16" t="n"/>
      <c r="N58" s="16" t="n"/>
      <c r="O58" s="17" t="n"/>
      <c r="P58" s="16" t="n"/>
      <c r="Q58" s="16" t="n"/>
      <c r="R58" s="16" t="n"/>
      <c r="S58" s="16" t="n"/>
      <c r="T58" s="16" t="n"/>
      <c r="U58" s="16" t="n"/>
      <c r="V58" s="16" t="n"/>
      <c r="W58" s="16" t="n"/>
      <c r="X58" s="16" t="n"/>
      <c r="Y58" s="17" t="n"/>
      <c r="Z58" s="16" t="n"/>
      <c r="AA58" s="16" t="n"/>
      <c r="AB58" s="16" t="n"/>
      <c r="AC58" s="16" t="n"/>
    </row>
    <row r="59">
      <c r="A59" s="18" t="inlineStr">
        <is>
          <t>현재 주가 (2026.10.26)</t>
        </is>
      </c>
      <c r="B59" s="27" t="n">
        <v>2794</v>
      </c>
      <c r="C59" s="28" t="n"/>
      <c r="D59" s="29" t="n"/>
      <c r="E59" s="29" t="n"/>
      <c r="F59" s="29" t="n"/>
      <c r="G59" s="29" t="n"/>
      <c r="H59" s="29" t="n"/>
      <c r="I59" s="29" t="n"/>
      <c r="J59" s="29" t="n"/>
      <c r="K59" s="29" t="n"/>
      <c r="L59" s="29" t="n"/>
      <c r="M59" s="29" t="n"/>
      <c r="N59" s="29" t="n"/>
      <c r="O59" s="28" t="n"/>
      <c r="P59" s="29" t="n"/>
      <c r="Q59" s="29" t="n"/>
      <c r="R59" s="29" t="n"/>
      <c r="S59" s="29" t="n"/>
      <c r="T59" s="29" t="n"/>
      <c r="U59" s="29" t="n"/>
      <c r="V59" s="29" t="n"/>
      <c r="W59" s="29" t="n"/>
      <c r="X59" s="29" t="n"/>
      <c r="Y59" s="28" t="n"/>
      <c r="Z59" s="29" t="n"/>
      <c r="AA59" s="29" t="n"/>
      <c r="AB59" s="29" t="n"/>
      <c r="AC59" s="29" t="n"/>
    </row>
    <row r="60">
      <c r="A60" s="18" t="inlineStr">
        <is>
          <t>발행주식수 (보통주)</t>
        </is>
      </c>
      <c r="B60" s="27" t="n">
        <v>91132844</v>
      </c>
      <c r="C60" s="28" t="n"/>
      <c r="D60" s="29" t="n"/>
      <c r="E60" s="29" t="n"/>
      <c r="F60" s="29" t="n"/>
      <c r="G60" s="29" t="n"/>
      <c r="H60" s="29" t="n"/>
      <c r="I60" s="29" t="n"/>
      <c r="J60" s="29" t="n"/>
      <c r="K60" s="29" t="n"/>
      <c r="L60" s="29" t="n"/>
      <c r="M60" s="29" t="n"/>
      <c r="N60" s="29" t="n"/>
      <c r="O60" s="28" t="n"/>
      <c r="P60" s="29" t="n"/>
      <c r="Q60" s="29" t="n"/>
      <c r="R60" s="29" t="n"/>
      <c r="S60" s="29" t="n"/>
      <c r="T60" s="29" t="n"/>
      <c r="U60" s="29" t="n"/>
      <c r="V60" s="29" t="n"/>
      <c r="W60" s="29" t="n"/>
      <c r="X60" s="29" t="n"/>
      <c r="Y60" s="28" t="n"/>
      <c r="Z60" s="29" t="n"/>
      <c r="AA60" s="29" t="n"/>
      <c r="AB60" s="29" t="n"/>
      <c r="AC60" s="29" t="n"/>
    </row>
    <row r="61">
      <c r="A61" s="18" t="inlineStr">
        <is>
          <t>시가총액 (백만엔)</t>
        </is>
      </c>
      <c r="B61" s="12">
        <f>IF(OR(B59="",B60=""),"",B59*B60/1000000.0)</f>
        <v/>
      </c>
      <c r="C61" s="19" t="n"/>
      <c r="D61" s="20" t="n"/>
      <c r="E61" s="20" t="n"/>
      <c r="F61" s="20" t="n"/>
      <c r="G61" s="20" t="n"/>
      <c r="H61" s="20" t="n"/>
      <c r="I61" s="20" t="n"/>
      <c r="J61" s="20" t="n"/>
      <c r="K61" s="20" t="n"/>
      <c r="L61" s="20" t="n"/>
      <c r="M61" s="20" t="n"/>
      <c r="N61" s="20" t="n"/>
      <c r="O61" s="19" t="n"/>
      <c r="P61" s="20" t="n"/>
      <c r="Q61" s="20" t="n"/>
      <c r="R61" s="20" t="n"/>
      <c r="S61" s="20" t="n"/>
      <c r="T61" s="20" t="n"/>
      <c r="U61" s="20" t="n"/>
      <c r="V61" s="20" t="n"/>
      <c r="W61" s="20" t="n"/>
      <c r="X61" s="20" t="n"/>
      <c r="Y61" s="19" t="n"/>
      <c r="Z61" s="20" t="n"/>
      <c r="AA61" s="20" t="n"/>
      <c r="AB61" s="20" t="n"/>
      <c r="AC61" s="20" t="n"/>
    </row>
    <row r="62">
      <c r="A62" s="13" t="inlineStr">
        <is>
          <t>OPM</t>
        </is>
      </c>
      <c r="B62" s="10" t="n"/>
      <c r="C62" s="14" t="n"/>
      <c r="D62" s="15" t="n"/>
      <c r="E62" s="15" t="n"/>
      <c r="F62" s="15" t="n"/>
      <c r="G62" s="15" t="n"/>
      <c r="H62" s="15" t="n"/>
      <c r="I62" s="15" t="n"/>
      <c r="J62" s="15" t="n"/>
      <c r="K62" s="15" t="n"/>
      <c r="L62" s="15" t="n"/>
      <c r="M62" s="15" t="n"/>
      <c r="N62" s="15" t="n"/>
      <c r="O62" s="14">
        <f>IF(O29="","",O29)</f>
        <v/>
      </c>
      <c r="P62" s="15">
        <f>IF(P29="","",P29)</f>
        <v/>
      </c>
      <c r="Q62" s="15">
        <f>IF(Q29="","",Q29)</f>
        <v/>
      </c>
      <c r="R62" s="15">
        <f>IF(R29="","",R29)</f>
        <v/>
      </c>
      <c r="S62" s="15">
        <f>IF(S29="","",S29)</f>
        <v/>
      </c>
      <c r="T62" s="15">
        <f>IF(T29="","",T29)</f>
        <v/>
      </c>
      <c r="U62" s="15">
        <f>IF(U29="","",U29)</f>
        <v/>
      </c>
      <c r="V62" s="15">
        <f>IF(V29="","",V29)</f>
        <v/>
      </c>
      <c r="W62" s="15">
        <f>IF(W29="","",W29)</f>
        <v/>
      </c>
      <c r="X62" s="15">
        <f>IF(X29="","",X29)</f>
        <v/>
      </c>
      <c r="Y62" s="14">
        <f>IF(Y29="","",Y29)</f>
        <v/>
      </c>
      <c r="Z62" s="15">
        <f>IF(Z29="","",Z29)</f>
        <v/>
      </c>
      <c r="AA62" s="15">
        <f>IF(AA29="","",AA29)</f>
        <v/>
      </c>
      <c r="AB62" s="15">
        <f>IF(AB29="","",AB29)</f>
        <v/>
      </c>
      <c r="AC62" s="15">
        <f>IF(AC29="","",AC29)</f>
        <v/>
      </c>
    </row>
    <row r="63">
      <c r="A63" s="13" t="inlineStr">
        <is>
          <t>지배주주 순이익 증가율</t>
        </is>
      </c>
      <c r="B63" s="10" t="n"/>
      <c r="C63" s="14" t="n"/>
      <c r="D63" s="15" t="n"/>
      <c r="E63" s="15" t="n"/>
      <c r="F63" s="15" t="n"/>
      <c r="G63" s="15" t="n"/>
      <c r="H63" s="15" t="n"/>
      <c r="I63" s="15" t="n"/>
      <c r="J63" s="15" t="n"/>
      <c r="K63" s="15" t="n"/>
      <c r="L63" s="15" t="n"/>
      <c r="M63" s="15" t="n"/>
      <c r="N63" s="15" t="n"/>
      <c r="O63" s="14" t="n"/>
      <c r="P63" s="15">
        <f>IF(OR(P56="",O56=""),"",IFERROR(P56/O56-1,""))</f>
        <v/>
      </c>
      <c r="Q63" s="15">
        <f>IF(OR(Q56="",P56=""),"",IFERROR(Q56/P56-1,""))</f>
        <v/>
      </c>
      <c r="R63" s="15">
        <f>IF(OR(R56="",Q56=""),"",IFERROR(R56/Q56-1,""))</f>
        <v/>
      </c>
      <c r="S63" s="15">
        <f>IF(OR(S56="",R56=""),"",IFERROR(S56/R56-1,""))</f>
        <v/>
      </c>
      <c r="T63" s="15">
        <f>IF(OR(T56="",S56=""),"",IFERROR(T56/S56-1,""))</f>
        <v/>
      </c>
      <c r="U63" s="15">
        <f>IF(OR(U56="",T56=""),"",IFERROR(U56/T56-1,""))</f>
        <v/>
      </c>
      <c r="V63" s="15">
        <f>IF(OR(V56="",U56=""),"",IFERROR(V56/U56-1,""))</f>
        <v/>
      </c>
      <c r="W63" s="15">
        <f>IF(OR(W56="",V56=""),"",IFERROR(W56/V56-1,""))</f>
        <v/>
      </c>
      <c r="X63" s="15">
        <f>IF(OR(X56="",W56=""),"",IFERROR(X56/W56-1,""))</f>
        <v/>
      </c>
      <c r="Y63" s="14">
        <f>IF(OR(Y56="",X56=""),"",IFERROR(Y56/X56-1,""))</f>
        <v/>
      </c>
      <c r="Z63" s="15">
        <f>IF(OR(Z56="",Y56=""),"",IFERROR(Z56/Y56-1,""))</f>
        <v/>
      </c>
      <c r="AA63" s="15">
        <f>IF(OR(AA56="",Z56=""),"",IFERROR(AA56/Z56-1,""))</f>
        <v/>
      </c>
      <c r="AB63" s="15">
        <f>IF(OR(AB56="",AA56=""),"",IFERROR(AB56/AA56-1,""))</f>
        <v/>
      </c>
      <c r="AC63" s="15">
        <f>IF(OR(AC56="",AB56=""),"",IFERROR(AC56/AB56-1,""))</f>
        <v/>
      </c>
    </row>
    <row r="64">
      <c r="A64" s="18" t="inlineStr">
        <is>
          <t>P/E (현재 주가)</t>
        </is>
      </c>
      <c r="B64" s="10" t="inlineStr">
        <is>
          <t>시총 ÷ 지배순이익</t>
        </is>
      </c>
      <c r="C64" s="30" t="n"/>
      <c r="D64" s="31" t="n"/>
      <c r="E64" s="31" t="n"/>
      <c r="F64" s="31" t="n"/>
      <c r="G64" s="31" t="n"/>
      <c r="H64" s="31" t="n"/>
      <c r="I64" s="31" t="n"/>
      <c r="J64" s="31" t="n"/>
      <c r="K64" s="31" t="n"/>
      <c r="L64" s="31" t="n"/>
      <c r="M64" s="31" t="n"/>
      <c r="N64" s="31" t="n"/>
      <c r="O64" s="30" t="n"/>
      <c r="P64" s="31" t="n"/>
      <c r="Q64" s="31" t="n"/>
      <c r="R64" s="31" t="n"/>
      <c r="S64" s="31" t="n"/>
      <c r="T64" s="31" t="n"/>
      <c r="U64" s="31" t="n"/>
      <c r="V64" s="31" t="n"/>
      <c r="W64" s="31" t="n"/>
      <c r="X64" s="31">
        <f>IF(OR($B$61="",X56=""),"",IFERROR($B$61/X56,""))</f>
        <v/>
      </c>
      <c r="Y64" s="30">
        <f>IF(OR($B$61="",Y56=""),"",IFERROR($B$61/Y56,""))</f>
        <v/>
      </c>
      <c r="Z64" s="31">
        <f>IF(OR($B$61="",Z56=""),"",IFERROR($B$61/Z56,""))</f>
        <v/>
      </c>
      <c r="AA64" s="31">
        <f>IF(OR($B$61="",AA56=""),"",IFERROR($B$61/AA56,""))</f>
        <v/>
      </c>
      <c r="AB64" s="31">
        <f>IF(OR($B$61="",AB56=""),"",IFERROR($B$61/AB56,""))</f>
        <v/>
      </c>
      <c r="AC64" s="31">
        <f>IF(OR($B$61="",AC56=""),"",IFERROR($B$61/AC56,""))</f>
        <v/>
      </c>
    </row>
    <row r="65">
      <c r="A65" s="18" t="inlineStr">
        <is>
          <t>Target P/E</t>
        </is>
      </c>
      <c r="B65" s="10" t="inlineStr">
        <is>
          <t>직접 입력</t>
        </is>
      </c>
      <c r="C65" s="30" t="n"/>
      <c r="D65" s="31" t="n"/>
      <c r="E65" s="31" t="n"/>
      <c r="F65" s="31" t="n"/>
      <c r="G65" s="31" t="n"/>
      <c r="H65" s="31" t="n"/>
      <c r="I65" s="31" t="n"/>
      <c r="J65" s="31" t="n"/>
      <c r="K65" s="31" t="n"/>
      <c r="L65" s="31" t="n"/>
      <c r="M65" s="31" t="n"/>
      <c r="N65" s="31" t="n"/>
      <c r="O65" s="30" t="n"/>
      <c r="P65" s="31" t="n"/>
      <c r="Q65" s="31" t="n"/>
      <c r="R65" s="31" t="n"/>
      <c r="S65" s="31" t="n"/>
      <c r="T65" s="31" t="n"/>
      <c r="U65" s="31" t="n"/>
      <c r="V65" s="31" t="n"/>
      <c r="W65" s="31" t="n"/>
      <c r="X65" s="31" t="n"/>
      <c r="Y65" s="32" t="n"/>
      <c r="Z65" s="33" t="n"/>
      <c r="AA65" s="33" t="n"/>
      <c r="AB65" s="33" t="n"/>
      <c r="AC65" s="33" t="n"/>
    </row>
    <row r="66">
      <c r="A66" s="18" t="inlineStr">
        <is>
          <t>EPS</t>
        </is>
      </c>
      <c r="B66" s="10" t="inlineStr">
        <is>
          <t>지배순이익 ÷ 주식수</t>
        </is>
      </c>
      <c r="C66" s="28" t="n"/>
      <c r="D66" s="29" t="n"/>
      <c r="E66" s="29" t="n"/>
      <c r="F66" s="29" t="n"/>
      <c r="G66" s="29" t="n"/>
      <c r="H66" s="29" t="n"/>
      <c r="I66" s="29" t="n"/>
      <c r="J66" s="29" t="n"/>
      <c r="K66" s="29" t="n"/>
      <c r="L66" s="29" t="n"/>
      <c r="M66" s="29" t="n"/>
      <c r="N66" s="29" t="n"/>
      <c r="O66" s="28">
        <f>IF(OR(O56="",$B$60=""),"",IFERROR(O56*1000000.0/$B$60,""))</f>
        <v/>
      </c>
      <c r="P66" s="29">
        <f>IF(OR(P56="",$B$60=""),"",IFERROR(P56*1000000.0/$B$60,""))</f>
        <v/>
      </c>
      <c r="Q66" s="29">
        <f>IF(OR(Q56="",$B$60=""),"",IFERROR(Q56*1000000.0/$B$60,""))</f>
        <v/>
      </c>
      <c r="R66" s="29">
        <f>IF(OR(R56="",$B$60=""),"",IFERROR(R56*1000000.0/$B$60,""))</f>
        <v/>
      </c>
      <c r="S66" s="29">
        <f>IF(OR(S56="",$B$60=""),"",IFERROR(S56*1000000.0/$B$60,""))</f>
        <v/>
      </c>
      <c r="T66" s="29">
        <f>IF(OR(T56="",$B$60=""),"",IFERROR(T56*1000000.0/$B$60,""))</f>
        <v/>
      </c>
      <c r="U66" s="29">
        <f>IF(OR(U56="",$B$60=""),"",IFERROR(U56*1000000.0/$B$60,""))</f>
        <v/>
      </c>
      <c r="V66" s="29">
        <f>IF(OR(V56="",$B$60=""),"",IFERROR(V56*1000000.0/$B$60,""))</f>
        <v/>
      </c>
      <c r="W66" s="29">
        <f>IF(OR(W56="",$B$60=""),"",IFERROR(W56*1000000.0/$B$60,""))</f>
        <v/>
      </c>
      <c r="X66" s="29">
        <f>IF(OR(X56="",$B$60=""),"",IFERROR(X56*1000000.0/$B$60,""))</f>
        <v/>
      </c>
      <c r="Y66" s="28">
        <f>IF(OR(Y56="",$B$60=""),"",IFERROR(Y56*1000000.0/$B$60,""))</f>
        <v/>
      </c>
      <c r="Z66" s="29">
        <f>IF(OR(Z56="",$B$60=""),"",IFERROR(Z56*1000000.0/$B$60,""))</f>
        <v/>
      </c>
      <c r="AA66" s="29">
        <f>IF(OR(AA56="",$B$60=""),"",IFERROR(AA56*1000000.0/$B$60,""))</f>
        <v/>
      </c>
      <c r="AB66" s="29">
        <f>IF(OR(AB56="",$B$60=""),"",IFERROR(AB56*1000000.0/$B$60,""))</f>
        <v/>
      </c>
      <c r="AC66" s="29">
        <f>IF(OR(AC56="",$B$60=""),"",IFERROR(AC56*1000000.0/$B$60,""))</f>
        <v/>
      </c>
    </row>
    <row r="67">
      <c r="A67" s="9" t="inlineStr">
        <is>
          <t>목표주가</t>
        </is>
      </c>
      <c r="B67" s="10" t="n"/>
      <c r="C67" s="34" t="n"/>
      <c r="D67" s="27" t="n"/>
      <c r="E67" s="27" t="n"/>
      <c r="F67" s="27" t="n"/>
      <c r="G67" s="27" t="n"/>
      <c r="H67" s="27" t="n"/>
      <c r="I67" s="27" t="n"/>
      <c r="J67" s="27" t="n"/>
      <c r="K67" s="27" t="n"/>
      <c r="L67" s="27" t="n"/>
      <c r="M67" s="27" t="n"/>
      <c r="N67" s="27" t="n"/>
      <c r="O67" s="34" t="n"/>
      <c r="P67" s="27" t="n"/>
      <c r="Q67" s="27" t="n"/>
      <c r="R67" s="27" t="n"/>
      <c r="S67" s="27" t="n"/>
      <c r="T67" s="27" t="n"/>
      <c r="U67" s="27" t="n"/>
      <c r="V67" s="27" t="n"/>
      <c r="W67" s="27" t="n"/>
      <c r="X67" s="27" t="n"/>
      <c r="Y67" s="34">
        <f>IF(OR(Y66="",Y65=""),"",IFERROR(Y66*Y65,""))</f>
        <v/>
      </c>
      <c r="Z67" s="27">
        <f>IF(OR(Z66="",Z65=""),"",IFERROR(Z66*Z65,""))</f>
        <v/>
      </c>
      <c r="AA67" s="27">
        <f>IF(OR(AA66="",AA65=""),"",IFERROR(AA66*AA65,""))</f>
        <v/>
      </c>
      <c r="AB67" s="27">
        <f>IF(OR(AB66="",AB65=""),"",IFERROR(AB66*AB65,""))</f>
        <v/>
      </c>
      <c r="AC67" s="27">
        <f>IF(OR(AC66="",AC65=""),"",IFERROR(AC66*AC65,""))</f>
        <v/>
      </c>
    </row>
    <row r="68">
      <c r="A68" s="18" t="inlineStr">
        <is>
          <t>상승여력</t>
        </is>
      </c>
      <c r="B68" s="10" t="n"/>
      <c r="C68" s="35" t="n"/>
      <c r="D68" s="36" t="n"/>
      <c r="E68" s="36" t="n"/>
      <c r="F68" s="36" t="n"/>
      <c r="G68" s="36" t="n"/>
      <c r="H68" s="36" t="n"/>
      <c r="I68" s="36" t="n"/>
      <c r="J68" s="36" t="n"/>
      <c r="K68" s="36" t="n"/>
      <c r="L68" s="36" t="n"/>
      <c r="M68" s="36" t="n"/>
      <c r="N68" s="36" t="n"/>
      <c r="O68" s="35" t="n"/>
      <c r="P68" s="36" t="n"/>
      <c r="Q68" s="36" t="n"/>
      <c r="R68" s="36" t="n"/>
      <c r="S68" s="36" t="n"/>
      <c r="T68" s="36" t="n"/>
      <c r="U68" s="36" t="n"/>
      <c r="V68" s="36" t="n"/>
      <c r="W68" s="36" t="n"/>
      <c r="X68" s="36" t="n"/>
      <c r="Y68" s="37">
        <f>IF(OR(Y67="",$B$59=""),"",IFERROR(Y67/$B$59-1,""))</f>
        <v/>
      </c>
      <c r="Z68" s="38">
        <f>IF(OR(Z67="",$B$59=""),"",IFERROR(Z67/$B$59-1,""))</f>
        <v/>
      </c>
      <c r="AA68" s="38">
        <f>IF(OR(AA67="",$B$59=""),"",IFERROR(AA67/$B$59-1,""))</f>
        <v/>
      </c>
      <c r="AB68" s="38">
        <f>IF(OR(AB67="",$B$59=""),"",IFERROR(AB67/$B$59-1,""))</f>
        <v/>
      </c>
      <c r="AC68" s="38">
        <f>IF(OR(AC67="",$B$59=""),"",IFERROR(AC67/$B$59-1,""))</f>
        <v/>
      </c>
    </row>
    <row r="69">
      <c r="A69" s="16" t="inlineStr">
        <is>
          <t>자산가치 산출</t>
        </is>
      </c>
      <c r="B69" s="16" t="inlineStr">
        <is>
          <t>최신 분기 BS</t>
        </is>
      </c>
      <c r="C69" s="17" t="n"/>
      <c r="D69" s="16" t="n"/>
      <c r="E69" s="16" t="n"/>
      <c r="F69" s="16" t="n"/>
      <c r="G69" s="16" t="n"/>
      <c r="H69" s="16" t="n"/>
      <c r="I69" s="16" t="n"/>
      <c r="J69" s="16" t="n"/>
      <c r="K69" s="16" t="n"/>
      <c r="L69" s="16" t="n"/>
      <c r="M69" s="16" t="n"/>
      <c r="N69" s="16" t="n"/>
      <c r="O69" s="17" t="n"/>
      <c r="P69" s="16" t="n"/>
      <c r="Q69" s="16" t="n"/>
      <c r="R69" s="16" t="n"/>
      <c r="S69" s="16" t="n"/>
      <c r="T69" s="16" t="n"/>
      <c r="U69" s="16" t="n"/>
      <c r="V69" s="16" t="n"/>
      <c r="W69" s="16" t="n"/>
      <c r="X69" s="16" t="n"/>
      <c r="Y69" s="17" t="n"/>
      <c r="Z69" s="16" t="n"/>
      <c r="AA69" s="16" t="n"/>
      <c r="AB69" s="16" t="n"/>
      <c r="AC69" s="16" t="n"/>
    </row>
    <row r="70">
      <c r="A70" s="18" t="inlineStr">
        <is>
          <t>현금및현금성자산</t>
        </is>
      </c>
      <c r="B70" s="10" t="n"/>
      <c r="C70" s="19" t="n"/>
      <c r="D70" s="20" t="n"/>
      <c r="E70" s="20" t="n"/>
      <c r="F70" s="20" t="n"/>
      <c r="G70" s="20" t="n"/>
      <c r="H70" s="20" t="n"/>
      <c r="I70" s="20" t="n"/>
      <c r="J70" s="20" t="n"/>
      <c r="K70" s="20" t="n"/>
      <c r="L70" s="20" t="n"/>
      <c r="M70" s="20" t="n"/>
      <c r="N70" s="20" t="n"/>
      <c r="O70" s="19" t="n"/>
      <c r="P70" s="20" t="n"/>
      <c r="Q70" s="20" t="n"/>
      <c r="R70" s="20" t="n"/>
      <c r="S70" s="20" t="n"/>
      <c r="T70" s="20" t="n"/>
      <c r="U70" s="20" t="n"/>
      <c r="V70" s="20" t="n"/>
      <c r="W70" s="20" t="n"/>
      <c r="X70" s="20">
        <f>'재무상태표'!G6</f>
        <v/>
      </c>
      <c r="Y70" s="19">
        <f>'재무상태표'!G6</f>
        <v/>
      </c>
      <c r="Z70" s="20">
        <f>'재무상태표'!G6</f>
        <v/>
      </c>
      <c r="AA70" s="20">
        <f>'재무상태표'!G6</f>
        <v/>
      </c>
      <c r="AB70" s="20">
        <f>'재무상태표'!G6</f>
        <v/>
      </c>
      <c r="AC70" s="20">
        <f>'재무상태표'!G6</f>
        <v/>
      </c>
    </row>
    <row r="71">
      <c r="A71" s="18" t="inlineStr">
        <is>
          <t>단기금융상품</t>
        </is>
      </c>
      <c r="B71" s="10" t="n"/>
      <c r="C71" s="19" t="n"/>
      <c r="D71" s="20" t="n"/>
      <c r="E71" s="20" t="n"/>
      <c r="F71" s="20" t="n"/>
      <c r="G71" s="20" t="n"/>
      <c r="H71" s="20" t="n"/>
      <c r="I71" s="20" t="n"/>
      <c r="J71" s="20" t="n"/>
      <c r="K71" s="20" t="n"/>
      <c r="L71" s="20" t="n"/>
      <c r="M71" s="20" t="n"/>
      <c r="N71" s="20" t="n"/>
      <c r="O71" s="19" t="n"/>
      <c r="P71" s="20" t="n"/>
      <c r="Q71" s="20" t="n"/>
      <c r="R71" s="20" t="n"/>
      <c r="S71" s="20" t="n"/>
      <c r="T71" s="20" t="n"/>
      <c r="U71" s="20" t="n"/>
      <c r="V71" s="20" t="n"/>
      <c r="W71" s="20" t="n"/>
      <c r="X71" s="20">
        <f>'재무상태표'!G7</f>
        <v/>
      </c>
      <c r="Y71" s="19">
        <f>'재무상태표'!G7</f>
        <v/>
      </c>
      <c r="Z71" s="20">
        <f>'재무상태표'!G7</f>
        <v/>
      </c>
      <c r="AA71" s="20">
        <f>'재무상태표'!G7</f>
        <v/>
      </c>
      <c r="AB71" s="20">
        <f>'재무상태표'!G7</f>
        <v/>
      </c>
      <c r="AC71" s="20">
        <f>'재무상태표'!G7</f>
        <v/>
      </c>
    </row>
    <row r="72">
      <c r="A72" s="18" t="inlineStr">
        <is>
          <t>투자부동산</t>
        </is>
      </c>
      <c r="B72" s="10" t="n"/>
      <c r="C72" s="19" t="n"/>
      <c r="D72" s="20" t="n"/>
      <c r="E72" s="20" t="n"/>
      <c r="F72" s="20" t="n"/>
      <c r="G72" s="20" t="n"/>
      <c r="H72" s="20" t="n"/>
      <c r="I72" s="20" t="n"/>
      <c r="J72" s="20" t="n"/>
      <c r="K72" s="20" t="n"/>
      <c r="L72" s="20" t="n"/>
      <c r="M72" s="20" t="n"/>
      <c r="N72" s="20" t="n"/>
      <c r="O72" s="19" t="n"/>
      <c r="P72" s="20" t="n"/>
      <c r="Q72" s="20" t="n"/>
      <c r="R72" s="20" t="n"/>
      <c r="S72" s="20" t="n"/>
      <c r="T72" s="20" t="n"/>
      <c r="U72" s="20" t="n"/>
      <c r="V72" s="20" t="n"/>
      <c r="W72" s="20" t="n"/>
      <c r="X72" s="20">
        <f>'재무상태표'!G14</f>
        <v/>
      </c>
      <c r="Y72" s="19">
        <f>'재무상태표'!G14</f>
        <v/>
      </c>
      <c r="Z72" s="20">
        <f>'재무상태표'!G14</f>
        <v/>
      </c>
      <c r="AA72" s="20">
        <f>'재무상태표'!G14</f>
        <v/>
      </c>
      <c r="AB72" s="20">
        <f>'재무상태표'!G14</f>
        <v/>
      </c>
      <c r="AC72" s="20">
        <f>'재무상태표'!G14</f>
        <v/>
      </c>
    </row>
    <row r="73">
      <c r="A73" s="18" t="inlineStr">
        <is>
          <t>지배자본</t>
        </is>
      </c>
      <c r="B73" s="10" t="n"/>
      <c r="C73" s="19" t="n"/>
      <c r="D73" s="20" t="n"/>
      <c r="E73" s="20" t="n"/>
      <c r="F73" s="20" t="n"/>
      <c r="G73" s="20" t="n"/>
      <c r="H73" s="20" t="n"/>
      <c r="I73" s="20" t="n"/>
      <c r="J73" s="20" t="n"/>
      <c r="K73" s="20" t="n"/>
      <c r="L73" s="20" t="n"/>
      <c r="M73" s="20" t="n"/>
      <c r="N73" s="20" t="n"/>
      <c r="O73" s="19" t="n"/>
      <c r="P73" s="20" t="n"/>
      <c r="Q73" s="20" t="n"/>
      <c r="R73" s="20" t="n"/>
      <c r="S73" s="20" t="n"/>
      <c r="T73" s="20" t="n"/>
      <c r="U73" s="20" t="n"/>
      <c r="V73" s="20" t="n"/>
      <c r="W73" s="20" t="n"/>
      <c r="X73" s="20">
        <f>'재무상태표'!G31</f>
        <v/>
      </c>
      <c r="Y73" s="19">
        <f>'재무상태표'!G31</f>
        <v/>
      </c>
      <c r="Z73" s="20">
        <f>'재무상태표'!G31</f>
        <v/>
      </c>
      <c r="AA73" s="20">
        <f>'재무상태표'!G31</f>
        <v/>
      </c>
      <c r="AB73" s="20">
        <f>'재무상태표'!G31</f>
        <v/>
      </c>
      <c r="AC73" s="20">
        <f>'재무상태표'!G31</f>
        <v/>
      </c>
    </row>
    <row r="74">
      <c r="A74" s="18" t="inlineStr">
        <is>
          <t>부채</t>
        </is>
      </c>
      <c r="B74" s="10" t="n"/>
      <c r="C74" s="19" t="n"/>
      <c r="D74" s="20" t="n"/>
      <c r="E74" s="20" t="n"/>
      <c r="F74" s="20" t="n"/>
      <c r="G74" s="20" t="n"/>
      <c r="H74" s="20" t="n"/>
      <c r="I74" s="20" t="n"/>
      <c r="J74" s="20" t="n"/>
      <c r="K74" s="20" t="n"/>
      <c r="L74" s="20" t="n"/>
      <c r="M74" s="20" t="n"/>
      <c r="N74" s="20" t="n"/>
      <c r="O74" s="19" t="n"/>
      <c r="P74" s="20" t="n"/>
      <c r="Q74" s="20" t="n"/>
      <c r="R74" s="20" t="n"/>
      <c r="S74" s="20" t="n"/>
      <c r="T74" s="20" t="n"/>
      <c r="U74" s="20" t="n"/>
      <c r="V74" s="20" t="n"/>
      <c r="W74" s="20" t="n"/>
      <c r="X74" s="20">
        <f>'재무상태표'!G27</f>
        <v/>
      </c>
      <c r="Y74" s="19">
        <f>'재무상태표'!G27</f>
        <v/>
      </c>
      <c r="Z74" s="20">
        <f>'재무상태표'!G27</f>
        <v/>
      </c>
      <c r="AA74" s="20">
        <f>'재무상태표'!G27</f>
        <v/>
      </c>
      <c r="AB74" s="20">
        <f>'재무상태표'!G27</f>
        <v/>
      </c>
      <c r="AC74" s="20">
        <f>'재무상태표'!G27</f>
        <v/>
      </c>
    </row>
    <row r="75">
      <c r="A75" s="13" t="inlineStr">
        <is>
          <t>부채비율</t>
        </is>
      </c>
      <c r="B75" s="10" t="n"/>
      <c r="C75" s="14" t="n"/>
      <c r="D75" s="15" t="n"/>
      <c r="E75" s="15" t="n"/>
      <c r="F75" s="15" t="n"/>
      <c r="G75" s="15" t="n"/>
      <c r="H75" s="15" t="n"/>
      <c r="I75" s="15" t="n"/>
      <c r="J75" s="15" t="n"/>
      <c r="K75" s="15" t="n"/>
      <c r="L75" s="15" t="n"/>
      <c r="M75" s="15" t="n"/>
      <c r="N75" s="15" t="n"/>
      <c r="O75" s="14" t="n"/>
      <c r="P75" s="15" t="n"/>
      <c r="Q75" s="15" t="n"/>
      <c r="R75" s="15" t="n"/>
      <c r="S75" s="15" t="n"/>
      <c r="T75" s="15" t="n"/>
      <c r="U75" s="15" t="n"/>
      <c r="V75" s="15" t="n"/>
      <c r="W75" s="15" t="n"/>
      <c r="X75" s="15">
        <f>IF(OR(X74="",X73=""),"",IFERROR(X74/X73,""))</f>
        <v/>
      </c>
      <c r="Y75" s="14">
        <f>IF(OR(Y74="",Y73=""),"",IFERROR(Y74/Y73,""))</f>
        <v/>
      </c>
      <c r="Z75" s="15">
        <f>IF(OR(Z74="",Z73=""),"",IFERROR(Z74/Z73,""))</f>
        <v/>
      </c>
      <c r="AA75" s="15">
        <f>IF(OR(AA74="",AA73=""),"",IFERROR(AA74/AA73,""))</f>
        <v/>
      </c>
      <c r="AB75" s="15">
        <f>IF(OR(AB74="",AB73=""),"",IFERROR(AB74/AB73,""))</f>
        <v/>
      </c>
      <c r="AC75" s="15">
        <f>IF(OR(AC74="",AC73=""),"",IFERROR(AC74/AC73,""))</f>
        <v/>
      </c>
    </row>
    <row r="76">
      <c r="A76" s="9" t="inlineStr">
        <is>
          <t>자산가치</t>
        </is>
      </c>
      <c r="B76" s="10" t="inlineStr">
        <is>
          <t>현금+단기금융+투자부동산</t>
        </is>
      </c>
      <c r="C76" s="11" t="n"/>
      <c r="D76" s="12" t="n"/>
      <c r="E76" s="12" t="n"/>
      <c r="F76" s="12" t="n"/>
      <c r="G76" s="12" t="n"/>
      <c r="H76" s="12" t="n"/>
      <c r="I76" s="12" t="n"/>
      <c r="J76" s="12" t="n"/>
      <c r="K76" s="12" t="n"/>
      <c r="L76" s="12" t="n"/>
      <c r="M76" s="12" t="n"/>
      <c r="N76" s="12" t="n"/>
      <c r="O76" s="11" t="n"/>
      <c r="P76" s="12" t="n"/>
      <c r="Q76" s="12" t="n"/>
      <c r="R76" s="12" t="n"/>
      <c r="S76" s="12" t="n"/>
      <c r="T76" s="12" t="n"/>
      <c r="U76" s="12" t="n"/>
      <c r="V76" s="12" t="n"/>
      <c r="W76" s="12" t="n"/>
      <c r="X76" s="12">
        <f>SUM(X70,X71,X72)</f>
        <v/>
      </c>
      <c r="Y76" s="11">
        <f>SUM(Y70,Y71,Y72)</f>
        <v/>
      </c>
      <c r="Z76" s="12">
        <f>SUM(Z70,Z71,Z72)</f>
        <v/>
      </c>
      <c r="AA76" s="12">
        <f>SUM(AA70,AA71,AA72)</f>
        <v/>
      </c>
      <c r="AB76" s="12">
        <f>SUM(AB70,AB71,AB72)</f>
        <v/>
      </c>
      <c r="AC76" s="12">
        <f>SUM(AC70,AC71,AC72)</f>
        <v/>
      </c>
    </row>
    <row r="77">
      <c r="A77" s="16" t="inlineStr">
        <is>
          <t>기업가치 산출</t>
        </is>
      </c>
      <c r="B77" s="16" t="n"/>
      <c r="C77" s="17" t="n"/>
      <c r="D77" s="16" t="n"/>
      <c r="E77" s="16" t="n"/>
      <c r="F77" s="16" t="n"/>
      <c r="G77" s="16" t="n"/>
      <c r="H77" s="16" t="n"/>
      <c r="I77" s="16" t="n"/>
      <c r="J77" s="16" t="n"/>
      <c r="K77" s="16" t="n"/>
      <c r="L77" s="16" t="n"/>
      <c r="M77" s="16" t="n"/>
      <c r="N77" s="16" t="n"/>
      <c r="O77" s="17" t="n"/>
      <c r="P77" s="16" t="n"/>
      <c r="Q77" s="16" t="n"/>
      <c r="R77" s="16" t="n"/>
      <c r="S77" s="16" t="n"/>
      <c r="T77" s="16" t="n"/>
      <c r="U77" s="16" t="n"/>
      <c r="V77" s="16" t="n"/>
      <c r="W77" s="16" t="n"/>
      <c r="X77" s="16" t="n"/>
      <c r="Y77" s="17" t="n"/>
      <c r="Z77" s="16" t="n"/>
      <c r="AA77" s="16" t="n"/>
      <c r="AB77" s="16" t="n"/>
      <c r="AC77" s="16" t="n"/>
    </row>
    <row r="78">
      <c r="A78" s="18" t="inlineStr">
        <is>
          <t>목표 시가총액 (P/E)</t>
        </is>
      </c>
      <c r="B78" s="10" t="inlineStr">
        <is>
          <t>지배순이익 × Target P/E</t>
        </is>
      </c>
      <c r="C78" s="19" t="n"/>
      <c r="D78" s="20" t="n"/>
      <c r="E78" s="20" t="n"/>
      <c r="F78" s="20" t="n"/>
      <c r="G78" s="20" t="n"/>
      <c r="H78" s="20" t="n"/>
      <c r="I78" s="20" t="n"/>
      <c r="J78" s="20" t="n"/>
      <c r="K78" s="20" t="n"/>
      <c r="L78" s="20" t="n"/>
      <c r="M78" s="20" t="n"/>
      <c r="N78" s="20" t="n"/>
      <c r="O78" s="19" t="n"/>
      <c r="P78" s="20" t="n"/>
      <c r="Q78" s="20" t="n"/>
      <c r="R78" s="20" t="n"/>
      <c r="S78" s="20" t="n"/>
      <c r="T78" s="20" t="n"/>
      <c r="U78" s="20" t="n"/>
      <c r="V78" s="20" t="n"/>
      <c r="W78" s="20" t="n"/>
      <c r="X78" s="20" t="n"/>
      <c r="Y78" s="19">
        <f>IF(OR(Y56="",Y65=""),"",IFERROR(Y56*Y65,""))</f>
        <v/>
      </c>
      <c r="Z78" s="20">
        <f>IF(OR(Z56="",Z65=""),"",IFERROR(Z56*Z65,""))</f>
        <v/>
      </c>
      <c r="AA78" s="20">
        <f>IF(OR(AA56="",AA65=""),"",IFERROR(AA56*AA65,""))</f>
        <v/>
      </c>
      <c r="AB78" s="20">
        <f>IF(OR(AB56="",AB65=""),"",IFERROR(AB56*AB65,""))</f>
        <v/>
      </c>
      <c r="AC78" s="20">
        <f>IF(OR(AC56="",AC65=""),"",IFERROR(AC56*AC65,""))</f>
        <v/>
      </c>
    </row>
    <row r="79">
      <c r="A79" s="9" t="inlineStr">
        <is>
          <t>기업가치</t>
        </is>
      </c>
      <c r="B79" s="10" t="inlineStr">
        <is>
          <t>목표시총 + 자산가치</t>
        </is>
      </c>
      <c r="C79" s="11" t="n"/>
      <c r="D79" s="12" t="n"/>
      <c r="E79" s="12" t="n"/>
      <c r="F79" s="12" t="n"/>
      <c r="G79" s="12" t="n"/>
      <c r="H79" s="12" t="n"/>
      <c r="I79" s="12" t="n"/>
      <c r="J79" s="12" t="n"/>
      <c r="K79" s="12" t="n"/>
      <c r="L79" s="12" t="n"/>
      <c r="M79" s="12" t="n"/>
      <c r="N79" s="12" t="n"/>
      <c r="O79" s="11" t="n"/>
      <c r="P79" s="12" t="n"/>
      <c r="Q79" s="12" t="n"/>
      <c r="R79" s="12" t="n"/>
      <c r="S79" s="12" t="n"/>
      <c r="T79" s="12" t="n"/>
      <c r="U79" s="12" t="n"/>
      <c r="V79" s="12" t="n"/>
      <c r="W79" s="12" t="n"/>
      <c r="X79" s="12" t="n"/>
      <c r="Y79" s="11">
        <f>IF(OR(Y78=""),"",IFERROR(Y78+Y76,""))</f>
        <v/>
      </c>
      <c r="Z79" s="12">
        <f>IF(OR(Z78=""),"",IFERROR(Z78+Z76,""))</f>
        <v/>
      </c>
      <c r="AA79" s="12">
        <f>IF(OR(AA78=""),"",IFERROR(AA78+AA76,""))</f>
        <v/>
      </c>
      <c r="AB79" s="12">
        <f>IF(OR(AB78=""),"",IFERROR(AB78+AB76,""))</f>
        <v/>
      </c>
      <c r="AC79" s="12">
        <f>IF(OR(AC78=""),"",IFERROR(AC78+AC76,""))</f>
        <v/>
      </c>
    </row>
    <row r="80">
      <c r="A80" s="18" t="inlineStr">
        <is>
          <t>현재 시가총액</t>
        </is>
      </c>
      <c r="B80" s="10" t="n"/>
      <c r="C80" s="19" t="n"/>
      <c r="D80" s="20" t="n"/>
      <c r="E80" s="20" t="n"/>
      <c r="F80" s="20" t="n"/>
      <c r="G80" s="20" t="n"/>
      <c r="H80" s="20" t="n"/>
      <c r="I80" s="20" t="n"/>
      <c r="J80" s="20" t="n"/>
      <c r="K80" s="20" t="n"/>
      <c r="L80" s="20" t="n"/>
      <c r="M80" s="20" t="n"/>
      <c r="N80" s="20" t="n"/>
      <c r="O80" s="19" t="n"/>
      <c r="P80" s="20" t="n"/>
      <c r="Q80" s="20" t="n"/>
      <c r="R80" s="20" t="n"/>
      <c r="S80" s="20" t="n"/>
      <c r="T80" s="20" t="n"/>
      <c r="U80" s="20" t="n"/>
      <c r="V80" s="20" t="n"/>
      <c r="W80" s="20" t="n"/>
      <c r="X80" s="20" t="n"/>
      <c r="Y80" s="19">
        <f>$B$61</f>
        <v/>
      </c>
      <c r="Z80" s="20">
        <f>$B$61</f>
        <v/>
      </c>
      <c r="AA80" s="20">
        <f>$B$61</f>
        <v/>
      </c>
      <c r="AB80" s="20">
        <f>$B$61</f>
        <v/>
      </c>
      <c r="AC80" s="20">
        <f>$B$61</f>
        <v/>
      </c>
    </row>
    <row r="81">
      <c r="A81" s="18" t="inlineStr">
        <is>
          <t>상승여력</t>
        </is>
      </c>
      <c r="B81" s="10" t="n"/>
      <c r="C81" s="35" t="n"/>
      <c r="D81" s="36" t="n"/>
      <c r="E81" s="36" t="n"/>
      <c r="F81" s="36" t="n"/>
      <c r="G81" s="36" t="n"/>
      <c r="H81" s="36" t="n"/>
      <c r="I81" s="36" t="n"/>
      <c r="J81" s="36" t="n"/>
      <c r="K81" s="36" t="n"/>
      <c r="L81" s="36" t="n"/>
      <c r="M81" s="36" t="n"/>
      <c r="N81" s="36" t="n"/>
      <c r="O81" s="35" t="n"/>
      <c r="P81" s="36" t="n"/>
      <c r="Q81" s="36" t="n"/>
      <c r="R81" s="36" t="n"/>
      <c r="S81" s="36" t="n"/>
      <c r="T81" s="36" t="n"/>
      <c r="U81" s="36" t="n"/>
      <c r="V81" s="36" t="n"/>
      <c r="W81" s="36" t="n"/>
      <c r="X81" s="36" t="n"/>
      <c r="Y81" s="37">
        <f>IF(OR(Y79="",Y80=""),"",IFERROR(Y79/Y80-1,""))</f>
        <v/>
      </c>
      <c r="Z81" s="38">
        <f>IF(OR(Z79="",Z80=""),"",IFERROR(Z79/Z80-1,""))</f>
        <v/>
      </c>
      <c r="AA81" s="38">
        <f>IF(OR(AA79="",AA80=""),"",IFERROR(AA79/AA80-1,""))</f>
        <v/>
      </c>
      <c r="AB81" s="38">
        <f>IF(OR(AB79="",AB80=""),"",IFERROR(AB79/AB80-1,""))</f>
        <v/>
      </c>
      <c r="AC81" s="38">
        <f>IF(OR(AC79="",AC80=""),"",IFERROR(AC79/AC80-1,""))</f>
        <v/>
      </c>
    </row>
    <row r="82">
      <c r="C82" s="39" t="n"/>
      <c r="O82" s="39" t="n"/>
      <c r="Y82" s="39" t="n"/>
    </row>
    <row r="83">
      <c r="A83" s="40" t="inlineStr">
        <is>
          <t>출처</t>
        </is>
      </c>
      <c r="C83" s="39" t="n"/>
      <c r="O83" s="39" t="n"/>
      <c r="Y83" s="39" t="n"/>
    </row>
    <row r="84">
      <c r="A84" s="41" t="inlineStr">
        <is>
          <t>결산단신 XBRL(TDnet·JPX 보관소) — 쓴 문서는 '출처' 시트</t>
        </is>
      </c>
      <c r="C84" s="39" t="n"/>
      <c r="O84" s="39" t="n"/>
      <c r="Y84" s="39" t="n"/>
    </row>
    <row r="85">
      <c r="A85" s="41" t="inlineStr">
        <is>
          <t>분기 = 누계에서 앞 분기를 뺀 3개월 값</t>
        </is>
      </c>
      <c r="C85" s="39" t="n"/>
      <c r="O85" s="39" t="n"/>
      <c r="Y85" s="39" t="n"/>
    </row>
    <row r="86">
      <c r="A86" s="41" t="inlineStr">
        <is>
          <t>주가: 야후 파이낸스 일봉 2026.10.26</t>
        </is>
      </c>
      <c r="C86" s="39" t="n"/>
      <c r="O86" s="39" t="n"/>
      <c r="Y86" s="39" t="n"/>
    </row>
    <row r="88">
      <c r="A88" s="16" t="inlineStr">
        <is>
          <t>손익계산서 · 전 항목</t>
        </is>
      </c>
      <c r="B88" s="42" t="inlineStr">
        <is>
          <t>분기 = 3개월 단독</t>
        </is>
      </c>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row>
    <row r="89">
      <c r="A89" s="5" t="inlineStr">
        <is>
          <t>항목</t>
        </is>
      </c>
      <c r="B89" s="5" t="inlineStr">
        <is>
          <t>참고</t>
        </is>
      </c>
      <c r="C89" s="5" t="inlineStr">
        <is>
          <t>2023.3Q</t>
        </is>
      </c>
      <c r="D89" s="5" t="inlineStr">
        <is>
          <t>2023.4Q</t>
        </is>
      </c>
      <c r="E89" s="5" t="inlineStr">
        <is>
          <t>2024.1Q</t>
        </is>
      </c>
      <c r="F89" s="5" t="inlineStr">
        <is>
          <t>2024.2Q</t>
        </is>
      </c>
      <c r="G89" s="5" t="inlineStr">
        <is>
          <t>2024.3Q</t>
        </is>
      </c>
      <c r="H89" s="5" t="inlineStr">
        <is>
          <t>2024.4Q</t>
        </is>
      </c>
      <c r="I89" s="5" t="inlineStr">
        <is>
          <t>2025.1Q</t>
        </is>
      </c>
      <c r="J89" s="5" t="inlineStr">
        <is>
          <t>2025.2Q</t>
        </is>
      </c>
      <c r="K89" s="5" t="inlineStr">
        <is>
          <t>2025.3Q</t>
        </is>
      </c>
      <c r="L89" s="5" t="inlineStr">
        <is>
          <t>2025.4Q</t>
        </is>
      </c>
      <c r="M89" s="5" t="inlineStr">
        <is>
          <t>2026.1Q</t>
        </is>
      </c>
      <c r="N89" s="5" t="inlineStr">
        <is>
          <t>2026.2Q</t>
        </is>
      </c>
      <c r="O89" s="5" t="inlineStr">
        <is>
          <t>2016</t>
        </is>
      </c>
      <c r="P89" s="5" t="inlineStr">
        <is>
          <t>2017</t>
        </is>
      </c>
      <c r="Q89" s="5" t="inlineStr">
        <is>
          <t>2018</t>
        </is>
      </c>
      <c r="R89" s="5" t="inlineStr">
        <is>
          <t>2019</t>
        </is>
      </c>
      <c r="S89" s="5" t="inlineStr">
        <is>
          <t>2020</t>
        </is>
      </c>
      <c r="T89" s="5" t="inlineStr">
        <is>
          <t>2021</t>
        </is>
      </c>
      <c r="U89" s="5" t="inlineStr">
        <is>
          <t>2022</t>
        </is>
      </c>
      <c r="V89" s="5" t="inlineStr">
        <is>
          <t>2023</t>
        </is>
      </c>
      <c r="W89" s="5" t="inlineStr">
        <is>
          <t>2024</t>
        </is>
      </c>
      <c r="X89" s="5" t="inlineStr">
        <is>
          <t>2025</t>
        </is>
      </c>
      <c r="Y89" s="5" t="inlineStr">
        <is>
          <t>2026(MW)</t>
        </is>
      </c>
      <c r="Z89" s="5" t="inlineStr">
        <is>
          <t>2027(MW)</t>
        </is>
      </c>
      <c r="AA89" s="5" t="inlineStr">
        <is>
          <t>2028(MW)</t>
        </is>
      </c>
      <c r="AB89" s="5" t="inlineStr">
        <is>
          <t>2029(MW)</t>
        </is>
      </c>
      <c r="AC89" s="5" t="inlineStr">
        <is>
          <t>2030(MW)</t>
        </is>
      </c>
    </row>
    <row r="90">
      <c r="A90" s="9" t="inlineStr">
        <is>
          <t>매출수익</t>
        </is>
      </c>
      <c r="C90" s="12" t="n">
        <v>59544</v>
      </c>
      <c r="D90" s="12" t="n">
        <v>59863</v>
      </c>
      <c r="E90" s="12" t="n">
        <v>67378</v>
      </c>
      <c r="F90" s="12" t="n">
        <v>80864</v>
      </c>
      <c r="G90" s="12" t="n">
        <v>78138</v>
      </c>
      <c r="H90" s="12" t="n">
        <v>80489</v>
      </c>
      <c r="I90" s="12" t="n">
        <v>67167</v>
      </c>
      <c r="J90" s="12" t="n">
        <v>71514</v>
      </c>
      <c r="K90" s="12" t="n">
        <v>77628</v>
      </c>
      <c r="L90" s="12" t="n">
        <v>77955</v>
      </c>
      <c r="M90" s="12" t="n">
        <v>67564</v>
      </c>
      <c r="N90" s="12" t="n">
        <v>76221</v>
      </c>
      <c r="U90" s="12" t="n">
        <v>55011</v>
      </c>
      <c r="V90" s="12" t="n">
        <v>59863</v>
      </c>
      <c r="W90" s="12" t="n">
        <v>80489</v>
      </c>
      <c r="X90" s="12" t="n">
        <v>77955</v>
      </c>
    </row>
    <row r="91">
      <c r="A91" s="43" t="inlineStr">
        <is>
          <t>YoY</t>
        </is>
      </c>
      <c r="B91" s="3" t="inlineStr">
        <is>
          <t>전년 같은 분기·전년 대비</t>
        </is>
      </c>
      <c r="G91" s="15">
        <f>IF(OR(G90="",C90=""),"",IF(C90&lt;=0,"",IFERROR(G90/C90-1,"")))</f>
        <v/>
      </c>
      <c r="H91" s="15">
        <f>IF(OR(H90="",D90=""),"",IF(D90&lt;=0,"",IFERROR(H90/D90-1,"")))</f>
        <v/>
      </c>
      <c r="I91" s="15">
        <f>IF(OR(I90="",E90=""),"",IF(E90&lt;=0,"",IFERROR(I90/E90-1,"")))</f>
        <v/>
      </c>
      <c r="J91" s="15">
        <f>IF(OR(J90="",F90=""),"",IF(F90&lt;=0,"",IFERROR(J90/F90-1,"")))</f>
        <v/>
      </c>
      <c r="K91" s="15">
        <f>IF(OR(K90="",G90=""),"",IF(G90&lt;=0,"",IFERROR(K90/G90-1,"")))</f>
        <v/>
      </c>
      <c r="L91" s="15">
        <f>IF(OR(L90="",H90=""),"",IF(H90&lt;=0,"",IFERROR(L90/H90-1,"")))</f>
        <v/>
      </c>
      <c r="M91" s="15">
        <f>IF(OR(M90="",I90=""),"",IF(I90&lt;=0,"",IFERROR(M90/I90-1,"")))</f>
        <v/>
      </c>
      <c r="N91" s="15">
        <f>IF(OR(N90="",J90=""),"",IF(J90&lt;=0,"",IFERROR(N90/J90-1,"")))</f>
        <v/>
      </c>
      <c r="U91" s="15">
        <f>IF(OR(U90="",T90=""),"",IF(T90&lt;=0,"",IFERROR(U90/T90-1,"")))</f>
        <v/>
      </c>
      <c r="V91" s="15">
        <f>IF(OR(V90="",U90=""),"",IF(U90&lt;=0,"",IFERROR(V90/U90-1,"")))</f>
        <v/>
      </c>
      <c r="W91" s="15">
        <f>IF(OR(W90="",V90=""),"",IF(V90&lt;=0,"",IFERROR(W90/V90-1,"")))</f>
        <v/>
      </c>
      <c r="X91" s="15">
        <f>IF(OR(X90="",W90=""),"",IF(W90&lt;=0,"",IFERROR(X90/W90-1,"")))</f>
        <v/>
      </c>
    </row>
    <row r="92">
      <c r="A92" s="18" t="inlineStr">
        <is>
          <t>매출원가</t>
        </is>
      </c>
      <c r="C92" s="20" t="n">
        <v>38021</v>
      </c>
      <c r="D92" s="20" t="n">
        <v>38632</v>
      </c>
      <c r="E92" s="20" t="n">
        <v>45315</v>
      </c>
      <c r="F92" s="20" t="n">
        <v>53531</v>
      </c>
      <c r="G92" s="20" t="n">
        <v>52111</v>
      </c>
      <c r="H92" s="20" t="n">
        <v>56180</v>
      </c>
      <c r="I92" s="20" t="n">
        <v>45581</v>
      </c>
      <c r="J92" s="20" t="n">
        <v>47329</v>
      </c>
      <c r="K92" s="20" t="n">
        <v>52426</v>
      </c>
      <c r="L92" s="20" t="n">
        <v>53517</v>
      </c>
      <c r="M92" s="20" t="n">
        <v>45860</v>
      </c>
      <c r="N92" s="20" t="n">
        <v>50978</v>
      </c>
      <c r="U92" s="20" t="n">
        <v>36728</v>
      </c>
      <c r="V92" s="20" t="n">
        <v>38632</v>
      </c>
      <c r="W92" s="20" t="n">
        <v>56180</v>
      </c>
      <c r="X92" s="20" t="n">
        <v>53517</v>
      </c>
    </row>
    <row r="93">
      <c r="A93" s="9" t="inlineStr">
        <is>
          <t>매출총이익</t>
        </is>
      </c>
      <c r="C93" s="12" t="n">
        <v>21522</v>
      </c>
      <c r="D93" s="12" t="n">
        <v>21231</v>
      </c>
      <c r="E93" s="12" t="n">
        <v>22062</v>
      </c>
      <c r="F93" s="12" t="n">
        <v>27333</v>
      </c>
      <c r="G93" s="12" t="n">
        <v>26028</v>
      </c>
      <c r="H93" s="12" t="n">
        <v>24309</v>
      </c>
      <c r="I93" s="12" t="n">
        <v>21586</v>
      </c>
      <c r="J93" s="12" t="n">
        <v>24185</v>
      </c>
      <c r="K93" s="12" t="n">
        <v>25201</v>
      </c>
      <c r="L93" s="12" t="n">
        <v>24438</v>
      </c>
      <c r="M93" s="12" t="n">
        <v>21704</v>
      </c>
      <c r="N93" s="12" t="n">
        <v>25242</v>
      </c>
      <c r="U93" s="12" t="n">
        <v>18283</v>
      </c>
      <c r="V93" s="12" t="n">
        <v>21231</v>
      </c>
      <c r="W93" s="12" t="n">
        <v>24309</v>
      </c>
      <c r="X93" s="12" t="n">
        <v>24438</v>
      </c>
    </row>
    <row r="94">
      <c r="A94" s="43" t="inlineStr">
        <is>
          <t>YoY</t>
        </is>
      </c>
      <c r="B94" s="3" t="inlineStr">
        <is>
          <t>전년 같은 분기·전년 대비</t>
        </is>
      </c>
      <c r="G94" s="15">
        <f>IF(OR(G93="",C93=""),"",IF(C93&lt;=0,"",IFERROR(G93/C93-1,"")))</f>
        <v/>
      </c>
      <c r="H94" s="15">
        <f>IF(OR(H93="",D93=""),"",IF(D93&lt;=0,"",IFERROR(H93/D93-1,"")))</f>
        <v/>
      </c>
      <c r="I94" s="15">
        <f>IF(OR(I93="",E93=""),"",IF(E93&lt;=0,"",IFERROR(I93/E93-1,"")))</f>
        <v/>
      </c>
      <c r="J94" s="15">
        <f>IF(OR(J93="",F93=""),"",IF(F93&lt;=0,"",IFERROR(J93/F93-1,"")))</f>
        <v/>
      </c>
      <c r="K94" s="15">
        <f>IF(OR(K93="",G93=""),"",IF(G93&lt;=0,"",IFERROR(K93/G93-1,"")))</f>
        <v/>
      </c>
      <c r="L94" s="15">
        <f>IF(OR(L93="",H93=""),"",IF(H93&lt;=0,"",IFERROR(L93/H93-1,"")))</f>
        <v/>
      </c>
      <c r="M94" s="15">
        <f>IF(OR(M93="",I93=""),"",IF(I93&lt;=0,"",IFERROR(M93/I93-1,"")))</f>
        <v/>
      </c>
      <c r="N94" s="15">
        <f>IF(OR(N93="",J93=""),"",IF(J93&lt;=0,"",IFERROR(N93/J93-1,"")))</f>
        <v/>
      </c>
      <c r="U94" s="15">
        <f>IF(OR(U93="",T93=""),"",IF(T93&lt;=0,"",IFERROR(U93/T93-1,"")))</f>
        <v/>
      </c>
      <c r="V94" s="15">
        <f>IF(OR(V93="",U93=""),"",IF(U93&lt;=0,"",IFERROR(V93/U93-1,"")))</f>
        <v/>
      </c>
      <c r="W94" s="15">
        <f>IF(OR(W93="",V93=""),"",IF(V93&lt;=0,"",IFERROR(W93/V93-1,"")))</f>
        <v/>
      </c>
      <c r="X94" s="15">
        <f>IF(OR(X93="",W93=""),"",IF(W93&lt;=0,"",IFERROR(X93/W93-1,"")))</f>
        <v/>
      </c>
    </row>
    <row r="95">
      <c r="A95" s="18" t="inlineStr">
        <is>
          <t>판매비와 관리비</t>
        </is>
      </c>
      <c r="C95" s="20" t="n">
        <v>15628</v>
      </c>
      <c r="D95" s="20" t="n">
        <v>17966</v>
      </c>
      <c r="E95" s="20" t="n">
        <v>16396</v>
      </c>
      <c r="F95" s="20" t="n">
        <v>17541</v>
      </c>
      <c r="G95" s="20" t="n">
        <v>17959</v>
      </c>
      <c r="H95" s="20" t="n">
        <v>21011</v>
      </c>
      <c r="I95" s="20" t="n">
        <v>16949</v>
      </c>
      <c r="J95" s="20" t="n">
        <v>18460</v>
      </c>
      <c r="K95" s="20" t="n">
        <v>18241</v>
      </c>
      <c r="L95" s="20" t="n">
        <v>19393</v>
      </c>
      <c r="M95" s="20" t="n">
        <v>18265</v>
      </c>
      <c r="N95" s="20" t="n">
        <v>20245</v>
      </c>
      <c r="U95" s="20" t="n">
        <v>15714</v>
      </c>
      <c r="V95" s="20" t="n">
        <v>17966</v>
      </c>
      <c r="W95" s="20" t="n">
        <v>21011</v>
      </c>
      <c r="X95" s="20" t="n">
        <v>19393</v>
      </c>
    </row>
    <row r="96">
      <c r="A96" s="18" t="inlineStr">
        <is>
          <t>Core Operating Profit Loss Operating</t>
        </is>
      </c>
      <c r="I96" s="20" t="n">
        <v>4636</v>
      </c>
      <c r="J96" s="20" t="n">
        <v>5725</v>
      </c>
      <c r="M96" s="20" t="n">
        <v>3438</v>
      </c>
      <c r="N96" s="20" t="n">
        <v>4998</v>
      </c>
    </row>
    <row r="97">
      <c r="A97" s="18" t="inlineStr">
        <is>
          <t>Other Operating Income Operating</t>
        </is>
      </c>
      <c r="I97" s="20" t="n">
        <v>329</v>
      </c>
      <c r="M97" s="20" t="n">
        <v>899</v>
      </c>
    </row>
    <row r="98">
      <c r="A98" s="18" t="inlineStr">
        <is>
          <t>Other Operating Expenses Operating</t>
        </is>
      </c>
      <c r="I98" s="20" t="n">
        <v>135</v>
      </c>
      <c r="M98" s="20" t="n">
        <v>214</v>
      </c>
    </row>
    <row r="99">
      <c r="A99" s="18" t="inlineStr">
        <is>
          <t>영업이익</t>
        </is>
      </c>
      <c r="C99" s="20" t="n">
        <v>6665</v>
      </c>
      <c r="D99" s="20" t="n">
        <v>1896</v>
      </c>
      <c r="E99" s="20" t="n">
        <v>14850</v>
      </c>
      <c r="F99" s="20" t="n">
        <v>9834</v>
      </c>
      <c r="G99" s="20" t="n">
        <v>8006</v>
      </c>
      <c r="H99" s="20" t="n">
        <v>3531</v>
      </c>
      <c r="I99" s="20" t="n">
        <v>4830</v>
      </c>
      <c r="J99" s="20" t="n">
        <v>5796</v>
      </c>
      <c r="K99" s="20" t="n">
        <v>7016</v>
      </c>
      <c r="L99" s="20" t="n">
        <v>4996</v>
      </c>
      <c r="M99" s="20" t="n">
        <v>4124</v>
      </c>
      <c r="N99" s="20" t="n">
        <v>4965</v>
      </c>
      <c r="U99" s="20" t="n">
        <v>2648</v>
      </c>
      <c r="V99" s="20" t="n">
        <v>1896</v>
      </c>
      <c r="W99" s="20" t="n">
        <v>3531</v>
      </c>
      <c r="X99" s="20" t="n">
        <v>4996</v>
      </c>
    </row>
    <row r="100">
      <c r="A100" s="43" t="inlineStr">
        <is>
          <t>OPM</t>
        </is>
      </c>
      <c r="B100" s="3" t="inlineStr">
        <is>
          <t>영업이익 ÷ 매출</t>
        </is>
      </c>
      <c r="C100" s="15">
        <f>IF(OR(C99="",C90=""),"",IF(C90&lt;=0,"",IFERROR(C99/C90,"")))</f>
        <v/>
      </c>
      <c r="D100" s="15">
        <f>IF(OR(D99="",D90=""),"",IF(D90&lt;=0,"",IFERROR(D99/D90,"")))</f>
        <v/>
      </c>
      <c r="E100" s="15">
        <f>IF(OR(E99="",E90=""),"",IF(E90&lt;=0,"",IFERROR(E99/E90,"")))</f>
        <v/>
      </c>
      <c r="F100" s="15">
        <f>IF(OR(F99="",F90=""),"",IF(F90&lt;=0,"",IFERROR(F99/F90,"")))</f>
        <v/>
      </c>
      <c r="G100" s="15">
        <f>IF(OR(G99="",G90=""),"",IF(G90&lt;=0,"",IFERROR(G99/G90,"")))</f>
        <v/>
      </c>
      <c r="H100" s="15">
        <f>IF(OR(H99="",H90=""),"",IF(H90&lt;=0,"",IFERROR(H99/H90,"")))</f>
        <v/>
      </c>
      <c r="I100" s="15">
        <f>IF(OR(I99="",I90=""),"",IF(I90&lt;=0,"",IFERROR(I99/I90,"")))</f>
        <v/>
      </c>
      <c r="J100" s="15">
        <f>IF(OR(J99="",J90=""),"",IF(J90&lt;=0,"",IFERROR(J99/J90,"")))</f>
        <v/>
      </c>
      <c r="K100" s="15">
        <f>IF(OR(K99="",K90=""),"",IF(K90&lt;=0,"",IFERROR(K99/K90,"")))</f>
        <v/>
      </c>
      <c r="L100" s="15">
        <f>IF(OR(L99="",L90=""),"",IF(L90&lt;=0,"",IFERROR(L99/L90,"")))</f>
        <v/>
      </c>
      <c r="M100" s="15">
        <f>IF(OR(M99="",M90=""),"",IF(M90&lt;=0,"",IFERROR(M99/M90,"")))</f>
        <v/>
      </c>
      <c r="N100" s="15">
        <f>IF(OR(N99="",N90=""),"",IF(N90&lt;=0,"",IFERROR(N99/N90,"")))</f>
        <v/>
      </c>
      <c r="U100" s="15">
        <f>IF(OR(U99="",U90=""),"",IF(U90&lt;=0,"",IFERROR(U99/U90,"")))</f>
        <v/>
      </c>
      <c r="V100" s="15">
        <f>IF(OR(V99="",V90=""),"",IF(V90&lt;=0,"",IFERROR(V99/V90,"")))</f>
        <v/>
      </c>
      <c r="W100" s="15">
        <f>IF(OR(W99="",W90=""),"",IF(W90&lt;=0,"",IFERROR(W99/W90,"")))</f>
        <v/>
      </c>
      <c r="X100" s="15">
        <f>IF(OR(X99="",X90=""),"",IF(X90&lt;=0,"",IFERROR(X99/X90,"")))</f>
        <v/>
      </c>
    </row>
    <row r="101">
      <c r="A101" s="43" t="inlineStr">
        <is>
          <t>YoY</t>
        </is>
      </c>
      <c r="B101" s="3" t="inlineStr">
        <is>
          <t>전년 같은 분기·전년 대비</t>
        </is>
      </c>
      <c r="G101" s="15">
        <f>IF(OR(G99="",C99=""),"",IF(C99&lt;=0,"",IFERROR(G99/C99-1,"")))</f>
        <v/>
      </c>
      <c r="H101" s="15">
        <f>IF(OR(H99="",D99=""),"",IF(D99&lt;=0,"",IFERROR(H99/D99-1,"")))</f>
        <v/>
      </c>
      <c r="I101" s="15">
        <f>IF(OR(I99="",E99=""),"",IF(E99&lt;=0,"",IFERROR(I99/E99-1,"")))</f>
        <v/>
      </c>
      <c r="J101" s="15">
        <f>IF(OR(J99="",F99=""),"",IF(F99&lt;=0,"",IFERROR(J99/F99-1,"")))</f>
        <v/>
      </c>
      <c r="K101" s="15">
        <f>IF(OR(K99="",G99=""),"",IF(G99&lt;=0,"",IFERROR(K99/G99-1,"")))</f>
        <v/>
      </c>
      <c r="L101" s="15">
        <f>IF(OR(L99="",H99=""),"",IF(H99&lt;=0,"",IFERROR(L99/H99-1,"")))</f>
        <v/>
      </c>
      <c r="M101" s="15">
        <f>IF(OR(M99="",I99=""),"",IF(I99&lt;=0,"",IFERROR(M99/I99-1,"")))</f>
        <v/>
      </c>
      <c r="N101" s="15">
        <f>IF(OR(N99="",J99=""),"",IF(J99&lt;=0,"",IFERROR(N99/J99-1,"")))</f>
        <v/>
      </c>
      <c r="U101" s="15">
        <f>IF(OR(U99="",T99=""),"",IF(T99&lt;=0,"",IFERROR(U99/T99-1,"")))</f>
        <v/>
      </c>
      <c r="V101" s="15">
        <f>IF(OR(V99="",U99=""),"",IF(U99&lt;=0,"",IFERROR(V99/U99-1,"")))</f>
        <v/>
      </c>
      <c r="W101" s="15">
        <f>IF(OR(W99="",V99=""),"",IF(V99&lt;=0,"",IFERROR(W99/V99-1,"")))</f>
        <v/>
      </c>
      <c r="X101" s="15">
        <f>IF(OR(X99="",W99=""),"",IF(W99&lt;=0,"",IFERROR(X99/W99-1,"")))</f>
        <v/>
      </c>
    </row>
    <row r="102">
      <c r="A102" s="18" t="inlineStr">
        <is>
          <t>금융수익</t>
        </is>
      </c>
      <c r="C102" s="20" t="n">
        <v>274</v>
      </c>
      <c r="D102" s="20" t="n">
        <v>20</v>
      </c>
      <c r="E102" s="20" t="n">
        <v>454</v>
      </c>
      <c r="F102" s="20" t="n">
        <v>335</v>
      </c>
      <c r="G102" s="20" t="n">
        <v>71</v>
      </c>
      <c r="H102" s="20" t="n">
        <v>235</v>
      </c>
      <c r="I102" s="20" t="n">
        <v>271</v>
      </c>
      <c r="J102" s="20" t="n">
        <v>311</v>
      </c>
      <c r="K102" s="20" t="n">
        <v>137</v>
      </c>
      <c r="L102" s="20" t="n">
        <v>373</v>
      </c>
      <c r="U102" s="20" t="n">
        <v>51</v>
      </c>
      <c r="V102" s="20" t="n">
        <v>20</v>
      </c>
      <c r="W102" s="20" t="n">
        <v>235</v>
      </c>
      <c r="X102" s="20" t="n">
        <v>373</v>
      </c>
    </row>
    <row r="103">
      <c r="A103" s="18" t="inlineStr">
        <is>
          <t>금융비용</t>
        </is>
      </c>
      <c r="C103" s="20" t="n">
        <v>566</v>
      </c>
      <c r="D103" s="20" t="n">
        <v>479</v>
      </c>
      <c r="E103" s="20" t="n">
        <v>1209</v>
      </c>
      <c r="F103" s="20" t="n">
        <v>1133</v>
      </c>
      <c r="G103" s="20" t="n">
        <v>312</v>
      </c>
      <c r="H103" s="20" t="n">
        <v>998</v>
      </c>
      <c r="I103" s="20" t="n">
        <v>738</v>
      </c>
      <c r="J103" s="20" t="n">
        <v>426</v>
      </c>
      <c r="K103" s="20" t="n">
        <v>615</v>
      </c>
      <c r="L103" s="20" t="n">
        <v>833</v>
      </c>
      <c r="U103" s="20" t="n">
        <v>4</v>
      </c>
      <c r="V103" s="20" t="n">
        <v>479</v>
      </c>
      <c r="W103" s="20" t="n">
        <v>998</v>
      </c>
      <c r="X103" s="20" t="n">
        <v>833</v>
      </c>
    </row>
    <row r="104">
      <c r="A104" s="18" t="inlineStr">
        <is>
          <t>Share Of Profit Loss Of Investments Accounted For Using Equity Method</t>
        </is>
      </c>
      <c r="C104" s="20" t="n">
        <v>655</v>
      </c>
      <c r="D104" s="20" t="n">
        <v>833</v>
      </c>
      <c r="E104" s="20" t="n">
        <v>-59</v>
      </c>
      <c r="F104" s="20" t="n">
        <v>50</v>
      </c>
      <c r="G104" s="20" t="n">
        <v>7</v>
      </c>
      <c r="H104" s="20" t="n">
        <v>272</v>
      </c>
      <c r="I104" s="20" t="n">
        <v>-45</v>
      </c>
      <c r="J104" s="20" t="n">
        <v>84</v>
      </c>
      <c r="K104" s="20" t="n">
        <v>86</v>
      </c>
      <c r="L104" s="20" t="n">
        <v>202</v>
      </c>
      <c r="M104" s="20" t="n">
        <v>-100</v>
      </c>
      <c r="N104" s="20" t="n">
        <v>81</v>
      </c>
      <c r="U104" s="20" t="n">
        <v>354</v>
      </c>
      <c r="V104" s="20" t="n">
        <v>833</v>
      </c>
      <c r="W104" s="20" t="n">
        <v>272</v>
      </c>
      <c r="X104" s="20" t="n">
        <v>202</v>
      </c>
    </row>
    <row r="105">
      <c r="A105" s="18" t="inlineStr">
        <is>
          <t>Core Operating Profit Loss</t>
        </is>
      </c>
      <c r="C105" s="20" t="n">
        <v>6549</v>
      </c>
      <c r="D105" s="20" t="n">
        <v>4099</v>
      </c>
      <c r="E105" s="20" t="n">
        <v>5607</v>
      </c>
      <c r="F105" s="20" t="n">
        <v>9841</v>
      </c>
      <c r="G105" s="20" t="n">
        <v>8076</v>
      </c>
      <c r="H105" s="20" t="n">
        <v>3570</v>
      </c>
      <c r="I105" s="20" t="n">
        <v>4590</v>
      </c>
      <c r="J105" s="20" t="n">
        <v>5810</v>
      </c>
      <c r="K105" s="20" t="n">
        <v>7047</v>
      </c>
      <c r="L105" s="20" t="n">
        <v>5247</v>
      </c>
      <c r="V105" s="20" t="n">
        <v>4099</v>
      </c>
      <c r="W105" s="20" t="n">
        <v>3570</v>
      </c>
      <c r="X105" s="20" t="n">
        <v>5247</v>
      </c>
    </row>
    <row r="106">
      <c r="A106" s="18" t="inlineStr">
        <is>
          <t>Other Income</t>
        </is>
      </c>
      <c r="C106" s="20" t="n">
        <v>155</v>
      </c>
      <c r="D106" s="20" t="n">
        <v>264</v>
      </c>
      <c r="E106" s="20" t="n">
        <v>9448</v>
      </c>
      <c r="F106" s="20" t="n">
        <v>68</v>
      </c>
      <c r="G106" s="20" t="n">
        <v>125</v>
      </c>
      <c r="H106" s="20" t="n">
        <v>432</v>
      </c>
      <c r="I106" s="20" t="n">
        <v>288</v>
      </c>
      <c r="J106" s="20" t="n">
        <v>41</v>
      </c>
      <c r="K106" s="20" t="n">
        <v>195</v>
      </c>
      <c r="L106" s="20" t="n">
        <v>120</v>
      </c>
      <c r="U106" s="20" t="n">
        <v>233</v>
      </c>
      <c r="V106" s="20" t="n">
        <v>264</v>
      </c>
      <c r="W106" s="20" t="n">
        <v>432</v>
      </c>
      <c r="X106" s="20" t="n">
        <v>120</v>
      </c>
    </row>
    <row r="107">
      <c r="A107" s="18" t="inlineStr">
        <is>
          <t>기타비용</t>
        </is>
      </c>
      <c r="C107" s="20" t="n">
        <v>38</v>
      </c>
      <c r="D107" s="20" t="n">
        <v>2466</v>
      </c>
      <c r="E107" s="20" t="n">
        <v>204</v>
      </c>
      <c r="F107" s="20" t="n">
        <v>77</v>
      </c>
      <c r="G107" s="20" t="n">
        <v>194</v>
      </c>
      <c r="H107" s="20" t="n">
        <v>471</v>
      </c>
      <c r="I107" s="20" t="n">
        <v>135</v>
      </c>
      <c r="J107" s="20" t="n">
        <v>31</v>
      </c>
      <c r="K107" s="20" t="n">
        <v>164</v>
      </c>
      <c r="L107" s="20" t="n">
        <v>370</v>
      </c>
      <c r="U107" s="20" t="n">
        <v>509</v>
      </c>
      <c r="V107" s="20" t="n">
        <v>2466</v>
      </c>
      <c r="W107" s="20" t="n">
        <v>471</v>
      </c>
      <c r="X107" s="20" t="n">
        <v>370</v>
      </c>
    </row>
    <row r="108">
      <c r="A108" s="18" t="inlineStr">
        <is>
          <t>Other Investment Income Investing</t>
        </is>
      </c>
      <c r="I108" s="20" t="n">
        <v>277</v>
      </c>
      <c r="J108" s="20" t="n">
        <v>490</v>
      </c>
      <c r="M108" s="20" t="n">
        <v>286</v>
      </c>
      <c r="N108" s="20" t="n">
        <v>288</v>
      </c>
    </row>
    <row r="109">
      <c r="A109" s="18" t="inlineStr">
        <is>
          <t>Other Investment Expenses Investing</t>
        </is>
      </c>
      <c r="I109" s="20" t="n">
        <v>205</v>
      </c>
      <c r="M109" s="20" t="n">
        <v>47</v>
      </c>
    </row>
    <row r="110">
      <c r="A110" s="18" t="inlineStr">
        <is>
          <t>Income Loss Before Finance Costs And Income Taxes</t>
        </is>
      </c>
      <c r="I110" s="20" t="n">
        <v>4856</v>
      </c>
      <c r="J110" s="20" t="n">
        <v>6576</v>
      </c>
      <c r="M110" s="20" t="n">
        <v>4263</v>
      </c>
      <c r="N110" s="20" t="n">
        <v>5381</v>
      </c>
    </row>
    <row r="111">
      <c r="A111" s="18" t="inlineStr">
        <is>
          <t>Finance Income Financing</t>
        </is>
      </c>
      <c r="I111" s="20" t="n">
        <v>142</v>
      </c>
      <c r="M111" s="20" t="n">
        <v>53</v>
      </c>
    </row>
    <row r="112">
      <c r="A112" s="18" t="inlineStr">
        <is>
          <t>Finance Costs Financing</t>
        </is>
      </c>
      <c r="I112" s="20" t="n">
        <v>723</v>
      </c>
      <c r="J112" s="20" t="n">
        <v>727</v>
      </c>
      <c r="M112" s="20" t="n">
        <v>721</v>
      </c>
      <c r="N112" s="20" t="n">
        <v>674</v>
      </c>
    </row>
    <row r="113">
      <c r="A113" s="9" t="inlineStr">
        <is>
          <t>법인세비용차감전 중간이익</t>
        </is>
      </c>
      <c r="C113" s="12" t="n">
        <v>6374</v>
      </c>
      <c r="D113" s="12" t="n">
        <v>1436</v>
      </c>
      <c r="E113" s="12" t="n">
        <v>14096</v>
      </c>
      <c r="F113" s="12" t="n">
        <v>9035</v>
      </c>
      <c r="G113" s="12" t="n">
        <v>7764</v>
      </c>
      <c r="H113" s="12" t="n">
        <v>2770</v>
      </c>
      <c r="I113" s="12" t="n">
        <v>4275</v>
      </c>
      <c r="J113" s="12" t="n">
        <v>5706</v>
      </c>
      <c r="K113" s="12" t="n">
        <v>6600</v>
      </c>
      <c r="L113" s="12" t="n">
        <v>4537</v>
      </c>
      <c r="M113" s="12" t="n">
        <v>3594</v>
      </c>
      <c r="N113" s="12" t="n">
        <v>4655</v>
      </c>
      <c r="U113" s="12" t="n">
        <v>2695</v>
      </c>
      <c r="V113" s="12" t="n">
        <v>1436</v>
      </c>
      <c r="W113" s="12" t="n">
        <v>2770</v>
      </c>
      <c r="X113" s="12" t="n">
        <v>4537</v>
      </c>
    </row>
    <row r="114">
      <c r="A114" s="18" t="inlineStr">
        <is>
          <t>Income Tax Expense</t>
        </is>
      </c>
      <c r="C114" s="20" t="n">
        <v>1751</v>
      </c>
      <c r="D114" s="20" t="n">
        <v>285</v>
      </c>
      <c r="E114" s="20" t="n">
        <v>2163</v>
      </c>
      <c r="F114" s="20" t="n">
        <v>2551</v>
      </c>
      <c r="G114" s="20" t="n">
        <v>1692</v>
      </c>
      <c r="H114" s="20" t="n">
        <v>83</v>
      </c>
      <c r="I114" s="20" t="n">
        <v>1248</v>
      </c>
      <c r="J114" s="20" t="n">
        <v>1588</v>
      </c>
      <c r="K114" s="20" t="n">
        <v>1848</v>
      </c>
      <c r="L114" s="20" t="n">
        <v>378</v>
      </c>
      <c r="M114" s="20" t="n">
        <v>807</v>
      </c>
      <c r="N114" s="20" t="n">
        <v>1510</v>
      </c>
      <c r="U114" s="20" t="n">
        <v>-170</v>
      </c>
      <c r="V114" s="20" t="n">
        <v>285</v>
      </c>
      <c r="W114" s="20" t="n">
        <v>83</v>
      </c>
      <c r="X114" s="20" t="n">
        <v>378</v>
      </c>
    </row>
    <row r="115">
      <c r="A115" s="9" t="inlineStr">
        <is>
          <t>중간이익</t>
        </is>
      </c>
      <c r="C115" s="12" t="n">
        <v>4623</v>
      </c>
      <c r="D115" s="12" t="n">
        <v>1151</v>
      </c>
      <c r="E115" s="12" t="n">
        <v>11932</v>
      </c>
      <c r="F115" s="12" t="n">
        <v>6484</v>
      </c>
      <c r="G115" s="12" t="n">
        <v>6073</v>
      </c>
      <c r="H115" s="12" t="n">
        <v>2686</v>
      </c>
      <c r="I115" s="12" t="n">
        <v>3026</v>
      </c>
      <c r="J115" s="12" t="n">
        <v>4119</v>
      </c>
      <c r="K115" s="12" t="n">
        <v>4752</v>
      </c>
      <c r="L115" s="12" t="n">
        <v>4159</v>
      </c>
      <c r="M115" s="12" t="n">
        <v>2787</v>
      </c>
      <c r="N115" s="12" t="n">
        <v>3145</v>
      </c>
      <c r="U115" s="12" t="n">
        <v>2864</v>
      </c>
      <c r="V115" s="12" t="n">
        <v>1151</v>
      </c>
      <c r="W115" s="12" t="n">
        <v>2686</v>
      </c>
      <c r="X115" s="12" t="n">
        <v>4159</v>
      </c>
    </row>
    <row r="116">
      <c r="A116" s="18" t="inlineStr">
        <is>
          <t>Basic Earnings Loss Per Share</t>
        </is>
      </c>
      <c r="C116" s="20" t="n">
        <v>5.037e-05</v>
      </c>
      <c r="D116" s="20" t="n">
        <v>1.051e-05</v>
      </c>
      <c r="E116" s="20" t="n">
        <v>0.00013345</v>
      </c>
      <c r="F116" s="20" t="n">
        <v>6.566000000000002e-05</v>
      </c>
      <c r="G116" s="20" t="n">
        <v>5.55e-05</v>
      </c>
      <c r="H116" s="20" t="n">
        <v>2.390999999999997e-05</v>
      </c>
      <c r="I116" s="20" t="n">
        <v>3.019e-05</v>
      </c>
      <c r="J116" s="20" t="n">
        <v>3.662000000000001e-05</v>
      </c>
      <c r="K116" s="20" t="n">
        <v>4.934000000000001e-05</v>
      </c>
      <c r="L116" s="20" t="n">
        <v>4.526999999999999e-05</v>
      </c>
      <c r="M116" s="20" t="n">
        <v>2.268e-05</v>
      </c>
      <c r="N116" s="20" t="n">
        <v>2.906e-05</v>
      </c>
      <c r="U116" s="20" t="n">
        <v>2.902e-05</v>
      </c>
      <c r="V116" s="20" t="n">
        <v>1.051e-05</v>
      </c>
      <c r="W116" s="20" t="n">
        <v>2.390999999999997e-05</v>
      </c>
      <c r="X116" s="20" t="n">
        <v>4.526999999999999e-05</v>
      </c>
    </row>
    <row r="117">
      <c r="A117" s="18" t="inlineStr">
        <is>
          <t>Diluted Earnings Loss Per Share</t>
        </is>
      </c>
      <c r="C117" s="20" t="n">
        <v>5.03e-05</v>
      </c>
      <c r="D117" s="20" t="n">
        <v>1.05e-05</v>
      </c>
      <c r="E117" s="20" t="n">
        <v>0.00013324</v>
      </c>
      <c r="F117" s="20" t="n">
        <v>6.557e-05</v>
      </c>
      <c r="G117" s="20" t="n">
        <v>5.543000000000001e-05</v>
      </c>
      <c r="H117" s="20" t="n">
        <v>2.394999999999999e-05</v>
      </c>
      <c r="I117" s="20" t="n">
        <v>3.015e-05</v>
      </c>
      <c r="J117" s="20" t="n">
        <v>3.658000000000001e-05</v>
      </c>
      <c r="K117" s="20" t="n">
        <v>4.928e-05</v>
      </c>
      <c r="L117" s="20" t="n">
        <v>4.521999999999998e-05</v>
      </c>
      <c r="M117" s="20" t="n">
        <v>2.265e-05</v>
      </c>
      <c r="N117" s="20" t="n">
        <v>2.903e-05</v>
      </c>
      <c r="U117" s="20" t="n">
        <v>2.895e-05</v>
      </c>
      <c r="V117" s="20" t="n">
        <v>1.05e-05</v>
      </c>
      <c r="W117" s="20" t="n">
        <v>2.394999999999999e-05</v>
      </c>
      <c r="X117" s="20" t="n">
        <v>4.521999999999998e-05</v>
      </c>
    </row>
    <row r="118">
      <c r="A118" s="9" t="inlineStr">
        <is>
          <t>Profit Loss Attributable To Owners Of Parent</t>
        </is>
      </c>
      <c r="C118" s="12" t="n">
        <v>4337</v>
      </c>
      <c r="D118" s="12" t="n">
        <v>906</v>
      </c>
      <c r="E118" s="12" t="n">
        <v>11492</v>
      </c>
      <c r="F118" s="12" t="n">
        <v>5654</v>
      </c>
      <c r="G118" s="12" t="n">
        <v>5396</v>
      </c>
      <c r="H118" s="12" t="n">
        <v>2473</v>
      </c>
      <c r="I118" s="12" t="n">
        <v>2813</v>
      </c>
      <c r="J118" s="12" t="n">
        <v>3368</v>
      </c>
      <c r="K118" s="12" t="n">
        <v>4500</v>
      </c>
      <c r="L118" s="12" t="n">
        <v>4119</v>
      </c>
      <c r="M118" s="12" t="n">
        <v>2055</v>
      </c>
      <c r="N118" s="12" t="n">
        <v>2628</v>
      </c>
      <c r="U118" s="12" t="n">
        <v>2501</v>
      </c>
      <c r="V118" s="12" t="n">
        <v>906</v>
      </c>
      <c r="W118" s="12" t="n">
        <v>2473</v>
      </c>
      <c r="X118" s="12" t="n">
        <v>4119</v>
      </c>
    </row>
    <row r="119">
      <c r="A119" s="43" t="inlineStr">
        <is>
          <t>YoY</t>
        </is>
      </c>
      <c r="B119" s="3" t="inlineStr">
        <is>
          <t>전년 같은 분기·전년 대비</t>
        </is>
      </c>
      <c r="G119" s="15">
        <f>IF(OR(G118="",C118=""),"",IF(C118&lt;=0,"",IFERROR(G118/C118-1,"")))</f>
        <v/>
      </c>
      <c r="H119" s="15">
        <f>IF(OR(H118="",D118=""),"",IF(D118&lt;=0,"",IFERROR(H118/D118-1,"")))</f>
        <v/>
      </c>
      <c r="I119" s="15">
        <f>IF(OR(I118="",E118=""),"",IF(E118&lt;=0,"",IFERROR(I118/E118-1,"")))</f>
        <v/>
      </c>
      <c r="J119" s="15">
        <f>IF(OR(J118="",F118=""),"",IF(F118&lt;=0,"",IFERROR(J118/F118-1,"")))</f>
        <v/>
      </c>
      <c r="K119" s="15">
        <f>IF(OR(K118="",G118=""),"",IF(G118&lt;=0,"",IFERROR(K118/G118-1,"")))</f>
        <v/>
      </c>
      <c r="L119" s="15">
        <f>IF(OR(L118="",H118=""),"",IF(H118&lt;=0,"",IFERROR(L118/H118-1,"")))</f>
        <v/>
      </c>
      <c r="M119" s="15">
        <f>IF(OR(M118="",I118=""),"",IF(I118&lt;=0,"",IFERROR(M118/I118-1,"")))</f>
        <v/>
      </c>
      <c r="N119" s="15">
        <f>IF(OR(N118="",J118=""),"",IF(J118&lt;=0,"",IFERROR(N118/J118-1,"")))</f>
        <v/>
      </c>
      <c r="U119" s="15">
        <f>IF(OR(U118="",T118=""),"",IF(T118&lt;=0,"",IFERROR(U118/T118-1,"")))</f>
        <v/>
      </c>
      <c r="V119" s="15">
        <f>IF(OR(V118="",U118=""),"",IF(U118&lt;=0,"",IFERROR(V118/U118-1,"")))</f>
        <v/>
      </c>
      <c r="W119" s="15">
        <f>IF(OR(W118="",V118=""),"",IF(V118&lt;=0,"",IFERROR(W118/V118-1,"")))</f>
        <v/>
      </c>
      <c r="X119" s="15">
        <f>IF(OR(X118="",W118=""),"",IF(W118&lt;=0,"",IFERROR(X118/W118-1,"")))</f>
        <v/>
      </c>
    </row>
    <row r="120">
      <c r="A120" s="9" t="inlineStr">
        <is>
          <t>비지배지분</t>
        </is>
      </c>
      <c r="C120" s="12" t="n">
        <v>286</v>
      </c>
      <c r="D120" s="12" t="n">
        <v>245</v>
      </c>
      <c r="E120" s="12" t="n">
        <v>440</v>
      </c>
      <c r="F120" s="12" t="n">
        <v>829</v>
      </c>
      <c r="G120" s="12" t="n">
        <v>677</v>
      </c>
      <c r="H120" s="12" t="n">
        <v>213</v>
      </c>
      <c r="I120" s="12" t="n">
        <v>213</v>
      </c>
      <c r="J120" s="12" t="n">
        <v>751</v>
      </c>
      <c r="K120" s="12" t="n">
        <v>251</v>
      </c>
      <c r="L120" s="12" t="n">
        <v>40</v>
      </c>
      <c r="M120" s="12" t="n">
        <v>731</v>
      </c>
      <c r="N120" s="12" t="n">
        <v>517</v>
      </c>
      <c r="U120" s="12" t="n">
        <v>364</v>
      </c>
      <c r="V120" s="12" t="n">
        <v>245</v>
      </c>
      <c r="W120" s="12" t="n">
        <v>213</v>
      </c>
      <c r="X120" s="12" t="n">
        <v>40</v>
      </c>
    </row>
    <row r="122">
      <c r="A122" s="16" t="inlineStr">
        <is>
          <t>포괄손익 · 전 항목</t>
        </is>
      </c>
      <c r="B122" s="42" t="inlineStr">
        <is>
          <t>분기 = 3개월 단독</t>
        </is>
      </c>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row>
    <row r="123">
      <c r="A123" s="5" t="inlineStr">
        <is>
          <t>항목</t>
        </is>
      </c>
      <c r="B123" s="5" t="inlineStr">
        <is>
          <t>참고</t>
        </is>
      </c>
      <c r="C123" s="5" t="inlineStr">
        <is>
          <t>2023.3Q</t>
        </is>
      </c>
      <c r="D123" s="5" t="inlineStr">
        <is>
          <t>2023.4Q</t>
        </is>
      </c>
      <c r="E123" s="5" t="inlineStr">
        <is>
          <t>2024.1Q</t>
        </is>
      </c>
      <c r="F123" s="5" t="inlineStr">
        <is>
          <t>2024.2Q</t>
        </is>
      </c>
      <c r="G123" s="5" t="inlineStr">
        <is>
          <t>2024.3Q</t>
        </is>
      </c>
      <c r="H123" s="5" t="inlineStr">
        <is>
          <t>2024.4Q</t>
        </is>
      </c>
      <c r="I123" s="5" t="inlineStr">
        <is>
          <t>2025.1Q</t>
        </is>
      </c>
      <c r="J123" s="5" t="inlineStr">
        <is>
          <t>2025.2Q</t>
        </is>
      </c>
      <c r="K123" s="5" t="inlineStr">
        <is>
          <t>2025.3Q</t>
        </is>
      </c>
      <c r="L123" s="5" t="inlineStr">
        <is>
          <t>2025.4Q</t>
        </is>
      </c>
      <c r="M123" s="5" t="inlineStr">
        <is>
          <t>2026.1Q</t>
        </is>
      </c>
      <c r="N123" s="5" t="inlineStr">
        <is>
          <t>2026.2Q</t>
        </is>
      </c>
      <c r="O123" s="5" t="inlineStr">
        <is>
          <t>2016</t>
        </is>
      </c>
      <c r="P123" s="5" t="inlineStr">
        <is>
          <t>2017</t>
        </is>
      </c>
      <c r="Q123" s="5" t="inlineStr">
        <is>
          <t>2018</t>
        </is>
      </c>
      <c r="R123" s="5" t="inlineStr">
        <is>
          <t>2019</t>
        </is>
      </c>
      <c r="S123" s="5" t="inlineStr">
        <is>
          <t>2020</t>
        </is>
      </c>
      <c r="T123" s="5" t="inlineStr">
        <is>
          <t>2021</t>
        </is>
      </c>
      <c r="U123" s="5" t="inlineStr">
        <is>
          <t>2022</t>
        </is>
      </c>
      <c r="V123" s="5" t="inlineStr">
        <is>
          <t>2023</t>
        </is>
      </c>
      <c r="W123" s="5" t="inlineStr">
        <is>
          <t>2024</t>
        </is>
      </c>
      <c r="X123" s="5" t="inlineStr">
        <is>
          <t>2025</t>
        </is>
      </c>
      <c r="Y123" s="5" t="inlineStr">
        <is>
          <t>2026(MW)</t>
        </is>
      </c>
      <c r="Z123" s="5" t="inlineStr">
        <is>
          <t>2027(MW)</t>
        </is>
      </c>
      <c r="AA123" s="5" t="inlineStr">
        <is>
          <t>2028(MW)</t>
        </is>
      </c>
      <c r="AB123" s="5" t="inlineStr">
        <is>
          <t>2029(MW)</t>
        </is>
      </c>
      <c r="AC123" s="5" t="inlineStr">
        <is>
          <t>2030(MW)</t>
        </is>
      </c>
    </row>
    <row r="124">
      <c r="A124" s="9" t="inlineStr">
        <is>
          <t>중간이익</t>
        </is>
      </c>
      <c r="C124" s="12" t="n">
        <v>4623</v>
      </c>
      <c r="D124" s="12" t="n">
        <v>1151</v>
      </c>
      <c r="E124" s="12" t="n">
        <v>11932</v>
      </c>
      <c r="F124" s="12" t="n">
        <v>6484</v>
      </c>
      <c r="G124" s="12" t="n">
        <v>6073</v>
      </c>
      <c r="H124" s="12" t="n">
        <v>2686</v>
      </c>
      <c r="I124" s="12" t="n">
        <v>3026</v>
      </c>
      <c r="J124" s="12" t="n">
        <v>4119</v>
      </c>
      <c r="K124" s="12" t="n">
        <v>4752</v>
      </c>
      <c r="L124" s="12" t="n">
        <v>4159</v>
      </c>
      <c r="M124" s="12" t="n">
        <v>2787</v>
      </c>
      <c r="N124" s="12" t="n">
        <v>3145</v>
      </c>
      <c r="U124" s="12" t="n">
        <v>2864</v>
      </c>
      <c r="V124" s="12" t="n">
        <v>1151</v>
      </c>
      <c r="W124" s="12" t="n">
        <v>2686</v>
      </c>
      <c r="X124" s="12" t="n">
        <v>4159</v>
      </c>
    </row>
    <row r="125">
      <c r="A125" s="18" t="inlineStr">
        <is>
          <t>확정급여제도 재측정</t>
        </is>
      </c>
      <c r="C125" s="20" t="n">
        <v>0</v>
      </c>
      <c r="D125" s="20" t="n">
        <v>50</v>
      </c>
      <c r="E125" s="20" t="n">
        <v>0</v>
      </c>
      <c r="F125" s="20" t="n">
        <v>0</v>
      </c>
      <c r="G125" s="20" t="n">
        <v>0</v>
      </c>
      <c r="H125" s="20" t="n">
        <v>200</v>
      </c>
      <c r="I125" s="20" t="n">
        <v>0</v>
      </c>
      <c r="J125" s="20" t="n">
        <v>0</v>
      </c>
      <c r="K125" s="20" t="n">
        <v>0</v>
      </c>
      <c r="L125" s="20" t="n">
        <v>229</v>
      </c>
      <c r="M125" s="20" t="n">
        <v>0</v>
      </c>
      <c r="N125" s="20" t="n">
        <v>0</v>
      </c>
      <c r="U125" s="20" t="n">
        <v>398</v>
      </c>
      <c r="V125" s="20" t="n">
        <v>50</v>
      </c>
      <c r="W125" s="20" t="n">
        <v>200</v>
      </c>
      <c r="X125" s="20" t="n">
        <v>229</v>
      </c>
    </row>
    <row r="126">
      <c r="A126" s="18" t="inlineStr">
        <is>
          <t>Net Change In Fair Value Of Equity Instruments Designated As Measured At Fair Value Through Other Comprehensive Income Net Of Tax Items That Will Not Be Reclassified To Profit Or Loss OCI</t>
        </is>
      </c>
      <c r="C126" s="20" t="n">
        <v>722</v>
      </c>
      <c r="D126" s="20" t="n">
        <v>-255</v>
      </c>
      <c r="E126" s="20" t="n">
        <v>251</v>
      </c>
      <c r="F126" s="20" t="n">
        <v>9</v>
      </c>
      <c r="G126" s="20" t="n">
        <v>0</v>
      </c>
      <c r="H126" s="20" t="n">
        <v>383</v>
      </c>
      <c r="I126" s="20" t="n">
        <v>82</v>
      </c>
      <c r="J126" s="20" t="n">
        <v>735</v>
      </c>
      <c r="K126" s="20" t="n">
        <v>989</v>
      </c>
      <c r="L126" s="20" t="n">
        <v>507</v>
      </c>
      <c r="M126" s="20" t="n">
        <v>129</v>
      </c>
      <c r="N126" s="20" t="n">
        <v>-424</v>
      </c>
      <c r="U126" s="20" t="n">
        <v>231</v>
      </c>
      <c r="V126" s="20" t="n">
        <v>-255</v>
      </c>
      <c r="W126" s="20" t="n">
        <v>383</v>
      </c>
      <c r="X126" s="20" t="n">
        <v>507</v>
      </c>
    </row>
    <row r="127">
      <c r="A127" s="18" t="inlineStr">
        <is>
          <t>Share Of Other Comprehensive Income Of Investments Accounted For Using Equity Method Net Of Tax Items That Will Not Be Reclassified To Profit Or Loss OCI</t>
        </is>
      </c>
      <c r="C127" s="20" t="n">
        <v>0</v>
      </c>
      <c r="D127" s="20" t="n">
        <v>0</v>
      </c>
      <c r="E127" s="20" t="n">
        <v>5</v>
      </c>
      <c r="F127" s="20" t="n">
        <v>0</v>
      </c>
      <c r="G127" s="20" t="n">
        <v>0</v>
      </c>
      <c r="H127" s="20" t="n">
        <v>0</v>
      </c>
      <c r="I127" s="20" t="n">
        <v>-8</v>
      </c>
      <c r="J127" s="20" t="n">
        <v>0</v>
      </c>
      <c r="K127" s="20" t="n">
        <v>0</v>
      </c>
      <c r="L127" s="20" t="n">
        <v>0</v>
      </c>
      <c r="M127" s="20" t="n">
        <v>43</v>
      </c>
      <c r="N127" s="20" t="n">
        <v>0</v>
      </c>
      <c r="U127" s="20" t="n">
        <v>0</v>
      </c>
      <c r="V127" s="20" t="n">
        <v>0</v>
      </c>
      <c r="W127" s="20" t="n">
        <v>0</v>
      </c>
      <c r="X127" s="20" t="n">
        <v>0</v>
      </c>
    </row>
    <row r="128">
      <c r="A128" s="18" t="inlineStr">
        <is>
          <t>합계</t>
        </is>
      </c>
      <c r="C128" s="20" t="n">
        <v>721</v>
      </c>
      <c r="D128" s="20" t="n">
        <v>-204</v>
      </c>
      <c r="E128" s="20" t="n">
        <v>256</v>
      </c>
      <c r="F128" s="20" t="n">
        <v>9</v>
      </c>
      <c r="G128" s="20" t="n">
        <v>0</v>
      </c>
      <c r="H128" s="20" t="n">
        <v>584</v>
      </c>
      <c r="I128" s="20" t="n">
        <v>73</v>
      </c>
      <c r="J128" s="20" t="n">
        <v>735</v>
      </c>
      <c r="K128" s="20" t="n">
        <v>990</v>
      </c>
      <c r="L128" s="20" t="n">
        <v>736</v>
      </c>
      <c r="M128" s="20" t="n">
        <v>173</v>
      </c>
      <c r="N128" s="20" t="n">
        <v>-425</v>
      </c>
      <c r="U128" s="20" t="n">
        <v>630</v>
      </c>
      <c r="V128" s="20" t="n">
        <v>-204</v>
      </c>
      <c r="W128" s="20" t="n">
        <v>584</v>
      </c>
      <c r="X128" s="20" t="n">
        <v>736</v>
      </c>
    </row>
    <row r="129">
      <c r="A129" s="18" t="inlineStr">
        <is>
          <t>현금흐름 위험회피</t>
        </is>
      </c>
      <c r="C129" s="20" t="n">
        <v>1115</v>
      </c>
      <c r="D129" s="20" t="n">
        <v>-1339</v>
      </c>
      <c r="E129" s="20" t="n">
        <v>2807</v>
      </c>
      <c r="F129" s="20" t="n">
        <v>3424</v>
      </c>
      <c r="G129" s="20" t="n">
        <v>-4041</v>
      </c>
      <c r="H129" s="20" t="n">
        <v>-1174</v>
      </c>
      <c r="I129" s="20" t="n">
        <v>1480</v>
      </c>
      <c r="J129" s="20" t="n">
        <v>161</v>
      </c>
      <c r="K129" s="20" t="n">
        <v>1411</v>
      </c>
      <c r="L129" s="20" t="n">
        <v>2724</v>
      </c>
      <c r="M129" s="20" t="n">
        <v>869</v>
      </c>
      <c r="N129" s="20" t="n">
        <v>984</v>
      </c>
      <c r="U129" s="20" t="n">
        <v>-2365</v>
      </c>
      <c r="V129" s="20" t="n">
        <v>-1339</v>
      </c>
      <c r="W129" s="20" t="n">
        <v>-1174</v>
      </c>
      <c r="X129" s="20" t="n">
        <v>2724</v>
      </c>
    </row>
    <row r="130">
      <c r="A130" s="18" t="inlineStr">
        <is>
          <t>Hedging Cost Net Of Tax Items That May Be Reclassified To Profit Or Loss OCI</t>
        </is>
      </c>
      <c r="C130" s="20" t="n">
        <v>234</v>
      </c>
      <c r="D130" s="20" t="n">
        <v>1166</v>
      </c>
      <c r="E130" s="20" t="n">
        <v>-46</v>
      </c>
      <c r="F130" s="20" t="n">
        <v>128</v>
      </c>
      <c r="G130" s="20" t="n">
        <v>437</v>
      </c>
      <c r="H130" s="20" t="n">
        <v>4417</v>
      </c>
      <c r="I130" s="20" t="n">
        <v>-2938</v>
      </c>
      <c r="J130" s="20" t="n">
        <v>290</v>
      </c>
      <c r="K130" s="20" t="n">
        <v>175</v>
      </c>
      <c r="L130" s="20" t="n">
        <v>79</v>
      </c>
      <c r="M130" s="20" t="n">
        <v>-183</v>
      </c>
      <c r="N130" s="20" t="n">
        <v>-139</v>
      </c>
      <c r="U130" s="20" t="n">
        <v>591</v>
      </c>
      <c r="V130" s="20" t="n">
        <v>1166</v>
      </c>
      <c r="W130" s="20" t="n">
        <v>4417</v>
      </c>
      <c r="X130" s="20" t="n">
        <v>79</v>
      </c>
    </row>
    <row r="131">
      <c r="A131" s="18" t="inlineStr">
        <is>
          <t>Exchange Differences On Translation Of Foreign Operations Net Of Tax Items That May Be Reclassified To Profit Or Loss OCI</t>
        </is>
      </c>
      <c r="C131" s="20" t="n">
        <v>855</v>
      </c>
      <c r="D131" s="20" t="n">
        <v>-1606</v>
      </c>
      <c r="E131" s="20" t="n">
        <v>3716</v>
      </c>
      <c r="F131" s="20" t="n">
        <v>7183</v>
      </c>
      <c r="G131" s="20" t="n">
        <v>-13511</v>
      </c>
      <c r="H131" s="20" t="n">
        <v>10568</v>
      </c>
      <c r="I131" s="20" t="n">
        <v>-6393</v>
      </c>
      <c r="J131" s="20" t="n">
        <v>-2265</v>
      </c>
      <c r="K131" s="20" t="n">
        <v>2822</v>
      </c>
      <c r="L131" s="20" t="n">
        <v>6028</v>
      </c>
      <c r="M131" s="20" t="n">
        <v>2281</v>
      </c>
      <c r="N131" s="20" t="n">
        <v>1980</v>
      </c>
      <c r="U131" s="20" t="n">
        <v>-2372</v>
      </c>
      <c r="V131" s="20" t="n">
        <v>-1606</v>
      </c>
      <c r="W131" s="20" t="n">
        <v>10568</v>
      </c>
      <c r="X131" s="20" t="n">
        <v>6028</v>
      </c>
    </row>
    <row r="132">
      <c r="A132" s="18" t="inlineStr">
        <is>
          <t>Share Of Other Comprehensive Income Of Investments Accounted For Using Equity Method Net Of Tax Items That May Be Reclassified To Profit Or Loss OCI</t>
        </is>
      </c>
      <c r="C132" s="20" t="n">
        <v>5</v>
      </c>
      <c r="D132" s="20" t="n">
        <v>-8</v>
      </c>
      <c r="E132" s="20" t="n">
        <v>11</v>
      </c>
      <c r="F132" s="20" t="n">
        <v>14</v>
      </c>
      <c r="G132" s="20" t="n">
        <v>-50</v>
      </c>
      <c r="H132" s="20" t="n">
        <v>68</v>
      </c>
      <c r="I132" s="20" t="n">
        <v>-14</v>
      </c>
      <c r="J132" s="20" t="n">
        <v>-10</v>
      </c>
      <c r="K132" s="20" t="n">
        <v>9</v>
      </c>
      <c r="L132" s="20" t="n">
        <v>14</v>
      </c>
      <c r="M132" s="20" t="n">
        <v>4</v>
      </c>
      <c r="N132" s="20" t="n">
        <v>4</v>
      </c>
      <c r="U132" s="20" t="n">
        <v>-10</v>
      </c>
      <c r="V132" s="20" t="n">
        <v>-8</v>
      </c>
      <c r="W132" s="20" t="n">
        <v>68</v>
      </c>
      <c r="X132" s="20" t="n">
        <v>14</v>
      </c>
    </row>
    <row r="133">
      <c r="A133" s="18" t="inlineStr">
        <is>
          <t>합계</t>
        </is>
      </c>
      <c r="C133" s="20" t="n">
        <v>2210</v>
      </c>
      <c r="D133" s="20" t="n">
        <v>-1787</v>
      </c>
      <c r="E133" s="20" t="n">
        <v>6490</v>
      </c>
      <c r="F133" s="20" t="n">
        <v>10748</v>
      </c>
      <c r="G133" s="20" t="n">
        <v>-17166</v>
      </c>
      <c r="H133" s="20" t="n">
        <v>13881</v>
      </c>
      <c r="I133" s="20" t="n">
        <v>-7866</v>
      </c>
      <c r="J133" s="20" t="n">
        <v>-1823</v>
      </c>
      <c r="K133" s="20" t="n">
        <v>4416</v>
      </c>
      <c r="L133" s="20" t="n">
        <v>8845</v>
      </c>
      <c r="M133" s="20" t="n">
        <v>2972</v>
      </c>
      <c r="N133" s="20" t="n">
        <v>2829</v>
      </c>
      <c r="U133" s="20" t="n">
        <v>-4157</v>
      </c>
      <c r="V133" s="20" t="n">
        <v>-1787</v>
      </c>
      <c r="W133" s="20" t="n">
        <v>13881</v>
      </c>
      <c r="X133" s="20" t="n">
        <v>8845</v>
      </c>
    </row>
    <row r="134">
      <c r="A134" s="18" t="inlineStr">
        <is>
          <t>Other Comprehensive Income</t>
        </is>
      </c>
      <c r="C134" s="20" t="n">
        <v>2931</v>
      </c>
      <c r="D134" s="20" t="n">
        <v>-1991</v>
      </c>
      <c r="E134" s="20" t="n">
        <v>6746</v>
      </c>
      <c r="F134" s="20" t="n">
        <v>10757</v>
      </c>
      <c r="G134" s="20" t="n">
        <v>-17165</v>
      </c>
      <c r="H134" s="20" t="n">
        <v>14464</v>
      </c>
      <c r="I134" s="20" t="n">
        <v>-7793</v>
      </c>
      <c r="J134" s="20" t="n">
        <v>-1088</v>
      </c>
      <c r="K134" s="20" t="n">
        <v>5407</v>
      </c>
      <c r="L134" s="20" t="n">
        <v>9580</v>
      </c>
      <c r="M134" s="20" t="n">
        <v>3145</v>
      </c>
      <c r="N134" s="20" t="n">
        <v>2404</v>
      </c>
      <c r="U134" s="20" t="n">
        <v>-3527</v>
      </c>
      <c r="V134" s="20" t="n">
        <v>-1991</v>
      </c>
      <c r="W134" s="20" t="n">
        <v>14464</v>
      </c>
      <c r="X134" s="20" t="n">
        <v>9580</v>
      </c>
    </row>
    <row r="135">
      <c r="A135" s="9" t="inlineStr">
        <is>
          <t>포괄이익</t>
        </is>
      </c>
      <c r="C135" s="12" t="n">
        <v>7555</v>
      </c>
      <c r="D135" s="12" t="n">
        <v>-840</v>
      </c>
      <c r="E135" s="12" t="n">
        <v>18678</v>
      </c>
      <c r="F135" s="12" t="n">
        <v>17242</v>
      </c>
      <c r="G135" s="12" t="n">
        <v>-11093</v>
      </c>
      <c r="H135" s="12" t="n">
        <v>17151</v>
      </c>
      <c r="I135" s="12" t="n">
        <v>-4766</v>
      </c>
      <c r="J135" s="12" t="n">
        <v>3031</v>
      </c>
      <c r="K135" s="12" t="n">
        <v>10157</v>
      </c>
      <c r="L135" s="12" t="n">
        <v>13740</v>
      </c>
      <c r="M135" s="12" t="n">
        <v>5932</v>
      </c>
      <c r="N135" s="12" t="n">
        <v>5549</v>
      </c>
      <c r="U135" s="12" t="n">
        <v>-662</v>
      </c>
      <c r="V135" s="12" t="n">
        <v>-840</v>
      </c>
      <c r="W135" s="12" t="n">
        <v>17151</v>
      </c>
      <c r="X135" s="12" t="n">
        <v>13740</v>
      </c>
    </row>
    <row r="136">
      <c r="A136" s="9" t="inlineStr">
        <is>
          <t>Comprehensive Income Attributable To Owners Of Parent</t>
        </is>
      </c>
      <c r="C136" s="12" t="n">
        <v>7283</v>
      </c>
      <c r="D136" s="12" t="n">
        <v>-1001</v>
      </c>
      <c r="E136" s="12" t="n">
        <v>17611</v>
      </c>
      <c r="F136" s="12" t="n">
        <v>14775</v>
      </c>
      <c r="G136" s="12" t="n">
        <v>-8762</v>
      </c>
      <c r="H136" s="12" t="n">
        <v>14622</v>
      </c>
      <c r="I136" s="12" t="n">
        <v>-3524</v>
      </c>
      <c r="J136" s="12" t="n">
        <v>2540</v>
      </c>
      <c r="K136" s="12" t="n">
        <v>9395</v>
      </c>
      <c r="L136" s="12" t="n">
        <v>12560</v>
      </c>
      <c r="M136" s="12" t="n">
        <v>4788</v>
      </c>
      <c r="N136" s="12" t="n">
        <v>4668</v>
      </c>
      <c r="U136" s="12" t="n">
        <v>-932</v>
      </c>
      <c r="V136" s="12" t="n">
        <v>-1001</v>
      </c>
      <c r="W136" s="12" t="n">
        <v>14622</v>
      </c>
      <c r="X136" s="12" t="n">
        <v>12560</v>
      </c>
    </row>
    <row r="137">
      <c r="A137" s="9" t="inlineStr">
        <is>
          <t>비지배지분</t>
        </is>
      </c>
      <c r="C137" s="12" t="n">
        <v>272</v>
      </c>
      <c r="D137" s="12" t="n">
        <v>161</v>
      </c>
      <c r="E137" s="12" t="n">
        <v>1067</v>
      </c>
      <c r="F137" s="12" t="n">
        <v>2467</v>
      </c>
      <c r="G137" s="12" t="n">
        <v>-2331</v>
      </c>
      <c r="H137" s="12" t="n">
        <v>2528</v>
      </c>
      <c r="I137" s="12" t="n">
        <v>-1241</v>
      </c>
      <c r="J137" s="12" t="n">
        <v>491</v>
      </c>
      <c r="K137" s="12" t="n">
        <v>760</v>
      </c>
      <c r="L137" s="12" t="n">
        <v>1181</v>
      </c>
      <c r="M137" s="12" t="n">
        <v>1143</v>
      </c>
      <c r="N137" s="12" t="n">
        <v>882</v>
      </c>
      <c r="U137" s="12" t="n">
        <v>269</v>
      </c>
      <c r="V137" s="12" t="n">
        <v>161</v>
      </c>
      <c r="W137" s="12" t="n">
        <v>2528</v>
      </c>
      <c r="X137" s="12" t="n">
        <v>1181</v>
      </c>
    </row>
    <row r="139">
      <c r="A139" s="16" t="inlineStr">
        <is>
          <t>부문 · 전 항목</t>
        </is>
      </c>
      <c r="B139" s="42" t="inlineStr">
        <is>
          <t>부문 · 항목</t>
        </is>
      </c>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c r="AB139" s="16" t="n"/>
      <c r="AC139" s="16" t="n"/>
    </row>
    <row r="140">
      <c r="A140" s="5" t="inlineStr">
        <is>
          <t>항목</t>
        </is>
      </c>
      <c r="B140" s="5" t="inlineStr">
        <is>
          <t>참고</t>
        </is>
      </c>
      <c r="C140" s="5" t="inlineStr">
        <is>
          <t>2023.3Q</t>
        </is>
      </c>
      <c r="D140" s="5" t="inlineStr">
        <is>
          <t>2023.4Q</t>
        </is>
      </c>
      <c r="E140" s="5" t="inlineStr">
        <is>
          <t>2024.1Q</t>
        </is>
      </c>
      <c r="F140" s="5" t="inlineStr">
        <is>
          <t>2024.2Q</t>
        </is>
      </c>
      <c r="G140" s="5" t="inlineStr">
        <is>
          <t>2024.3Q</t>
        </is>
      </c>
      <c r="H140" s="5" t="inlineStr">
        <is>
          <t>2024.4Q</t>
        </is>
      </c>
      <c r="I140" s="5" t="inlineStr">
        <is>
          <t>2025.1Q</t>
        </is>
      </c>
      <c r="J140" s="5" t="inlineStr">
        <is>
          <t>2025.2Q</t>
        </is>
      </c>
      <c r="K140" s="5" t="inlineStr">
        <is>
          <t>2025.3Q</t>
        </is>
      </c>
      <c r="L140" s="5" t="inlineStr">
        <is>
          <t>2025.4Q</t>
        </is>
      </c>
      <c r="M140" s="5" t="inlineStr">
        <is>
          <t>2026.1Q</t>
        </is>
      </c>
      <c r="N140" s="5" t="inlineStr">
        <is>
          <t>2026.2Q</t>
        </is>
      </c>
      <c r="O140" s="5" t="inlineStr">
        <is>
          <t>2016</t>
        </is>
      </c>
      <c r="P140" s="5" t="inlineStr">
        <is>
          <t>2017</t>
        </is>
      </c>
      <c r="Q140" s="5" t="inlineStr">
        <is>
          <t>2018</t>
        </is>
      </c>
      <c r="R140" s="5" t="inlineStr">
        <is>
          <t>2019</t>
        </is>
      </c>
      <c r="S140" s="5" t="inlineStr">
        <is>
          <t>2020</t>
        </is>
      </c>
      <c r="T140" s="5" t="inlineStr">
        <is>
          <t>2021</t>
        </is>
      </c>
      <c r="U140" s="5" t="inlineStr">
        <is>
          <t>2022</t>
        </is>
      </c>
      <c r="V140" s="5" t="inlineStr">
        <is>
          <t>2023</t>
        </is>
      </c>
      <c r="W140" s="5" t="inlineStr">
        <is>
          <t>2024</t>
        </is>
      </c>
      <c r="X140" s="5" t="inlineStr">
        <is>
          <t>2025</t>
        </is>
      </c>
      <c r="Y140" s="5" t="inlineStr">
        <is>
          <t>2026(MW)</t>
        </is>
      </c>
      <c r="Z140" s="5" t="inlineStr">
        <is>
          <t>2027(MW)</t>
        </is>
      </c>
      <c r="AA140" s="5" t="inlineStr">
        <is>
          <t>2028(MW)</t>
        </is>
      </c>
      <c r="AB140" s="5" t="inlineStr">
        <is>
          <t>2029(MW)</t>
        </is>
      </c>
      <c r="AC140" s="5" t="inlineStr">
        <is>
          <t>2030(MW)</t>
        </is>
      </c>
    </row>
    <row r="141">
      <c r="A141" s="18" t="inlineStr">
        <is>
          <t>DomesticProcessedFoodBusinessReportableSegmentMember · Revenue From External Customers</t>
        </is>
      </c>
      <c r="C141" s="20" t="n">
        <v>38674</v>
      </c>
      <c r="D141" s="20" t="n">
        <v>37811</v>
      </c>
      <c r="E141" s="20" t="n">
        <v>32807</v>
      </c>
      <c r="F141" s="20" t="n">
        <v>39876</v>
      </c>
      <c r="G141" s="20" t="n">
        <v>42204</v>
      </c>
      <c r="H141" s="20" t="n">
        <v>40824</v>
      </c>
      <c r="I141" s="20" t="n">
        <v>33475</v>
      </c>
      <c r="J141" s="20" t="n">
        <v>39753</v>
      </c>
      <c r="K141" s="20" t="n">
        <v>42456</v>
      </c>
      <c r="L141" s="20" t="n">
        <v>41640</v>
      </c>
      <c r="M141" s="20" t="n">
        <v>33399</v>
      </c>
      <c r="N141" s="20" t="n">
        <v>39678</v>
      </c>
      <c r="V141" s="20" t="n">
        <v>37811</v>
      </c>
      <c r="W141" s="20" t="n">
        <v>40824</v>
      </c>
      <c r="X141" s="20" t="n">
        <v>41640</v>
      </c>
    </row>
    <row r="142">
      <c r="A142" s="43" t="inlineStr">
        <is>
          <t>YoY</t>
        </is>
      </c>
      <c r="B142" s="3" t="inlineStr">
        <is>
          <t>전년 같은 분기·전년 대비</t>
        </is>
      </c>
      <c r="G142" s="15">
        <f>IF(OR(G141="",C141=""),"",IF(C141&lt;=0,"",IFERROR(G141/C141-1,"")))</f>
        <v/>
      </c>
      <c r="H142" s="15">
        <f>IF(OR(H141="",D141=""),"",IF(D141&lt;=0,"",IFERROR(H141/D141-1,"")))</f>
        <v/>
      </c>
      <c r="I142" s="15">
        <f>IF(OR(I141="",E141=""),"",IF(E141&lt;=0,"",IFERROR(I141/E141-1,"")))</f>
        <v/>
      </c>
      <c r="J142" s="15">
        <f>IF(OR(J141="",F141=""),"",IF(F141&lt;=0,"",IFERROR(J141/F141-1,"")))</f>
        <v/>
      </c>
      <c r="K142" s="15">
        <f>IF(OR(K141="",G141=""),"",IF(G141&lt;=0,"",IFERROR(K141/G141-1,"")))</f>
        <v/>
      </c>
      <c r="L142" s="15">
        <f>IF(OR(L141="",H141=""),"",IF(H141&lt;=0,"",IFERROR(L141/H141-1,"")))</f>
        <v/>
      </c>
      <c r="M142" s="15">
        <f>IF(OR(M141="",I141=""),"",IF(I141&lt;=0,"",IFERROR(M141/I141-1,"")))</f>
        <v/>
      </c>
      <c r="N142" s="15">
        <f>IF(OR(N141="",J141=""),"",IF(J141&lt;=0,"",IFERROR(N141/J141-1,"")))</f>
        <v/>
      </c>
      <c r="V142" s="15">
        <f>IF(OR(V141="",U141=""),"",IF(U141&lt;=0,"",IFERROR(V141/U141-1,"")))</f>
        <v/>
      </c>
      <c r="W142" s="15">
        <f>IF(OR(W141="",V141=""),"",IF(V141&lt;=0,"",IFERROR(W141/V141-1,"")))</f>
        <v/>
      </c>
      <c r="X142" s="15">
        <f>IF(OR(X141="",W141=""),"",IF(W141&lt;=0,"",IFERROR(X141/W141-1,"")))</f>
        <v/>
      </c>
    </row>
    <row r="143">
      <c r="A143" s="18" t="inlineStr">
        <is>
          <t>OverseasReportableSegmentMember · Revenue From External Customers</t>
        </is>
      </c>
      <c r="C143" s="20" t="n">
        <v>16246</v>
      </c>
      <c r="D143" s="20" t="n">
        <v>17479</v>
      </c>
      <c r="E143" s="20" t="n">
        <v>29822</v>
      </c>
      <c r="F143" s="20" t="n">
        <v>33636</v>
      </c>
      <c r="G143" s="20" t="n">
        <v>31496</v>
      </c>
      <c r="H143" s="20" t="n">
        <v>34580</v>
      </c>
      <c r="I143" s="20" t="n">
        <v>28340</v>
      </c>
      <c r="J143" s="20" t="n">
        <v>25347</v>
      </c>
      <c r="K143" s="20" t="n">
        <v>30435</v>
      </c>
      <c r="L143" s="20" t="n">
        <v>30707</v>
      </c>
      <c r="M143" s="20" t="n">
        <v>29073</v>
      </c>
      <c r="N143" s="20" t="n">
        <v>29878</v>
      </c>
      <c r="V143" s="20" t="n">
        <v>17479</v>
      </c>
      <c r="W143" s="20" t="n">
        <v>34580</v>
      </c>
      <c r="X143" s="20" t="n">
        <v>30707</v>
      </c>
    </row>
    <row r="144">
      <c r="A144" s="43" t="inlineStr">
        <is>
          <t>YoY</t>
        </is>
      </c>
      <c r="B144" s="3" t="inlineStr">
        <is>
          <t>전년 같은 분기·전년 대비</t>
        </is>
      </c>
      <c r="G144" s="15">
        <f>IF(OR(G143="",C143=""),"",IF(C143&lt;=0,"",IFERROR(G143/C143-1,"")))</f>
        <v/>
      </c>
      <c r="H144" s="15">
        <f>IF(OR(H143="",D143=""),"",IF(D143&lt;=0,"",IFERROR(H143/D143-1,"")))</f>
        <v/>
      </c>
      <c r="I144" s="15">
        <f>IF(OR(I143="",E143=""),"",IF(E143&lt;=0,"",IFERROR(I143/E143-1,"")))</f>
        <v/>
      </c>
      <c r="J144" s="15">
        <f>IF(OR(J143="",F143=""),"",IF(F143&lt;=0,"",IFERROR(J143/F143-1,"")))</f>
        <v/>
      </c>
      <c r="K144" s="15">
        <f>IF(OR(K143="",G143=""),"",IF(G143&lt;=0,"",IFERROR(K143/G143-1,"")))</f>
        <v/>
      </c>
      <c r="L144" s="15">
        <f>IF(OR(L143="",H143=""),"",IF(H143&lt;=0,"",IFERROR(L143/H143-1,"")))</f>
        <v/>
      </c>
      <c r="M144" s="15">
        <f>IF(OR(M143="",I143=""),"",IF(I143&lt;=0,"",IFERROR(M143/I143-1,"")))</f>
        <v/>
      </c>
      <c r="N144" s="15">
        <f>IF(OR(N143="",J143=""),"",IF(J143&lt;=0,"",IFERROR(N143/J143-1,"")))</f>
        <v/>
      </c>
      <c r="V144" s="15">
        <f>IF(OR(V143="",U143=""),"",IF(U143&lt;=0,"",IFERROR(V143/U143-1,"")))</f>
        <v/>
      </c>
      <c r="W144" s="15">
        <f>IF(OR(W143="",V143=""),"",IF(V143&lt;=0,"",IFERROR(W143/V143-1,"")))</f>
        <v/>
      </c>
      <c r="X144" s="15">
        <f>IF(OR(X143="",W143=""),"",IF(W143&lt;=0,"",IFERROR(X143/W143-1,"")))</f>
        <v/>
      </c>
    </row>
    <row r="145">
      <c r="A145" s="18" t="inlineStr">
        <is>
          <t>OtherDomesticReportableSegmentMember · Revenue From External Customers</t>
        </is>
      </c>
      <c r="C145" s="20" t="n">
        <v>4624</v>
      </c>
      <c r="D145" s="20" t="n">
        <v>4573</v>
      </c>
      <c r="E145" s="20" t="n">
        <v>4747</v>
      </c>
      <c r="F145" s="20" t="n">
        <v>7352</v>
      </c>
      <c r="G145" s="20" t="n">
        <v>4438</v>
      </c>
      <c r="H145" s="20" t="n">
        <v>5085</v>
      </c>
      <c r="I145" s="20" t="n">
        <v>5351</v>
      </c>
      <c r="J145" s="20" t="n">
        <v>6415</v>
      </c>
      <c r="K145" s="20" t="n">
        <v>4737</v>
      </c>
      <c r="L145" s="20" t="n">
        <v>5606</v>
      </c>
      <c r="M145" s="20" t="n">
        <v>5091</v>
      </c>
      <c r="N145" s="20" t="n">
        <v>6665</v>
      </c>
      <c r="V145" s="20" t="n">
        <v>4573</v>
      </c>
      <c r="W145" s="20" t="n">
        <v>5085</v>
      </c>
      <c r="X145" s="20" t="n">
        <v>5606</v>
      </c>
    </row>
    <row r="146">
      <c r="A146" s="43" t="inlineStr">
        <is>
          <t>YoY</t>
        </is>
      </c>
      <c r="B146" s="3" t="inlineStr">
        <is>
          <t>전년 같은 분기·전년 대비</t>
        </is>
      </c>
      <c r="G146" s="15">
        <f>IF(OR(G145="",C145=""),"",IF(C145&lt;=0,"",IFERROR(G145/C145-1,"")))</f>
        <v/>
      </c>
      <c r="H146" s="15">
        <f>IF(OR(H145="",D145=""),"",IF(D145&lt;=0,"",IFERROR(H145/D145-1,"")))</f>
        <v/>
      </c>
      <c r="I146" s="15">
        <f>IF(OR(I145="",E145=""),"",IF(E145&lt;=0,"",IFERROR(I145/E145-1,"")))</f>
        <v/>
      </c>
      <c r="J146" s="15">
        <f>IF(OR(J145="",F145=""),"",IF(F145&lt;=0,"",IFERROR(J145/F145-1,"")))</f>
        <v/>
      </c>
      <c r="K146" s="15">
        <f>IF(OR(K145="",G145=""),"",IF(G145&lt;=0,"",IFERROR(K145/G145-1,"")))</f>
        <v/>
      </c>
      <c r="L146" s="15">
        <f>IF(OR(L145="",H145=""),"",IF(H145&lt;=0,"",IFERROR(L145/H145-1,"")))</f>
        <v/>
      </c>
      <c r="M146" s="15">
        <f>IF(OR(M145="",I145=""),"",IF(I145&lt;=0,"",IFERROR(M145/I145-1,"")))</f>
        <v/>
      </c>
      <c r="N146" s="15">
        <f>IF(OR(N145="",J145=""),"",IF(J145&lt;=0,"",IFERROR(N145/J145-1,"")))</f>
        <v/>
      </c>
      <c r="V146" s="15">
        <f>IF(OR(V145="",U145=""),"",IF(U145&lt;=0,"",IFERROR(V145/U145-1,"")))</f>
        <v/>
      </c>
      <c r="W146" s="15">
        <f>IF(OR(W145="",V145=""),"",IF(V145&lt;=0,"",IFERROR(W145/V145-1,"")))</f>
        <v/>
      </c>
      <c r="X146" s="15">
        <f>IF(OR(X145="",W145=""),"",IF(W145&lt;=0,"",IFERROR(X145/W145-1,"")))</f>
        <v/>
      </c>
    </row>
    <row r="147">
      <c r="A147" s="18" t="inlineStr">
        <is>
          <t>조정액 · Revenue From External Customers</t>
        </is>
      </c>
      <c r="C147" s="20" t="n">
        <v>0</v>
      </c>
      <c r="E147" s="20" t="n">
        <v>0</v>
      </c>
      <c r="F147" s="20" t="n">
        <v>0</v>
      </c>
      <c r="G147" s="20" t="n">
        <v>0</v>
      </c>
      <c r="H147" s="20" t="n">
        <v>0</v>
      </c>
      <c r="I147" s="20" t="n">
        <v>0</v>
      </c>
      <c r="J147" s="20" t="n">
        <v>0</v>
      </c>
      <c r="K147" s="20" t="n">
        <v>0</v>
      </c>
      <c r="L147" s="20" t="n">
        <v>0</v>
      </c>
      <c r="M147" s="20" t="n">
        <v>0</v>
      </c>
      <c r="N147" s="20" t="n">
        <v>0</v>
      </c>
      <c r="W147" s="20" t="n">
        <v>0</v>
      </c>
      <c r="X147" s="20" t="n">
        <v>0</v>
      </c>
    </row>
    <row r="148">
      <c r="A148" s="18" t="inlineStr">
        <is>
          <t>EntityTotalMember · Revenue From External Customers</t>
        </is>
      </c>
      <c r="I148" s="20" t="n">
        <v>67167</v>
      </c>
      <c r="M148" s="20" t="n">
        <v>67564</v>
      </c>
    </row>
    <row r="149">
      <c r="A149" s="9" t="inlineStr">
        <is>
          <t>Revenue From External Customers</t>
        </is>
      </c>
      <c r="C149" s="12" t="n">
        <v>59544</v>
      </c>
      <c r="D149" s="12" t="n">
        <v>59863</v>
      </c>
      <c r="E149" s="12" t="n">
        <v>67378</v>
      </c>
      <c r="F149" s="12" t="n">
        <v>80864</v>
      </c>
      <c r="G149" s="12" t="n">
        <v>78138</v>
      </c>
      <c r="H149" s="12" t="n">
        <v>80489</v>
      </c>
      <c r="I149" s="12" t="n">
        <v>67167</v>
      </c>
      <c r="J149" s="12" t="n">
        <v>71514</v>
      </c>
      <c r="K149" s="12" t="n">
        <v>77628</v>
      </c>
      <c r="L149" s="12" t="n">
        <v>77955</v>
      </c>
      <c r="V149" s="12" t="n">
        <v>59863</v>
      </c>
      <c r="W149" s="12" t="n">
        <v>80489</v>
      </c>
      <c r="X149" s="12" t="n">
        <v>77955</v>
      </c>
    </row>
    <row r="150">
      <c r="A150" s="43" t="inlineStr">
        <is>
          <t>YoY</t>
        </is>
      </c>
      <c r="B150" s="3" t="inlineStr">
        <is>
          <t>전년 같은 분기·전년 대비</t>
        </is>
      </c>
      <c r="G150" s="15">
        <f>IF(OR(G149="",C149=""),"",IF(C149&lt;=0,"",IFERROR(G149/C149-1,"")))</f>
        <v/>
      </c>
      <c r="H150" s="15">
        <f>IF(OR(H149="",D149=""),"",IF(D149&lt;=0,"",IFERROR(H149/D149-1,"")))</f>
        <v/>
      </c>
      <c r="I150" s="15">
        <f>IF(OR(I149="",E149=""),"",IF(E149&lt;=0,"",IFERROR(I149/E149-1,"")))</f>
        <v/>
      </c>
      <c r="J150" s="15">
        <f>IF(OR(J149="",F149=""),"",IF(F149&lt;=0,"",IFERROR(J149/F149-1,"")))</f>
        <v/>
      </c>
      <c r="K150" s="15">
        <f>IF(OR(K149="",G149=""),"",IF(G149&lt;=0,"",IFERROR(K149/G149-1,"")))</f>
        <v/>
      </c>
      <c r="L150" s="15">
        <f>IF(OR(L149="",H149=""),"",IF(H149&lt;=0,"",IFERROR(L149/H149-1,"")))</f>
        <v/>
      </c>
      <c r="V150" s="15">
        <f>IF(OR(V149="",U149=""),"",IF(U149&lt;=0,"",IFERROR(V149/U149-1,"")))</f>
        <v/>
      </c>
      <c r="W150" s="15">
        <f>IF(OR(W149="",V149=""),"",IF(V149&lt;=0,"",IFERROR(W149/V149-1,"")))</f>
        <v/>
      </c>
      <c r="X150" s="15">
        <f>IF(OR(X149="",W149=""),"",IF(W149&lt;=0,"",IFERROR(X149/W149-1,"")))</f>
        <v/>
      </c>
    </row>
    <row r="151">
      <c r="A151" s="18" t="inlineStr">
        <is>
          <t>DomesticProcessedFoodBusinessReportableSegmentMember · Intersegment Revenue</t>
        </is>
      </c>
      <c r="C151" s="20" t="n">
        <v>0</v>
      </c>
      <c r="D151" s="20" t="n">
        <v>0</v>
      </c>
      <c r="E151" s="20" t="n">
        <v>0</v>
      </c>
      <c r="F151" s="20" t="n">
        <v>0</v>
      </c>
      <c r="G151" s="20" t="n">
        <v>0</v>
      </c>
      <c r="H151" s="20" t="n">
        <v>0</v>
      </c>
      <c r="I151" s="20" t="n">
        <v>0</v>
      </c>
      <c r="J151" s="20" t="n">
        <v>0</v>
      </c>
      <c r="K151" s="20" t="n">
        <v>0</v>
      </c>
      <c r="L151" s="20" t="n">
        <v>0</v>
      </c>
      <c r="M151" s="20" t="n">
        <v>0</v>
      </c>
      <c r="N151" s="20" t="n">
        <v>0</v>
      </c>
      <c r="V151" s="20" t="n">
        <v>0</v>
      </c>
      <c r="W151" s="20" t="n">
        <v>0</v>
      </c>
      <c r="X151" s="20" t="n">
        <v>0</v>
      </c>
    </row>
    <row r="152">
      <c r="A152" s="18" t="inlineStr">
        <is>
          <t>OverseasReportableSegmentMember · Intersegment Revenue</t>
        </is>
      </c>
      <c r="C152" s="20" t="n">
        <v>2356</v>
      </c>
      <c r="D152" s="20" t="n">
        <v>4673</v>
      </c>
      <c r="E152" s="20" t="n">
        <v>6401</v>
      </c>
      <c r="F152" s="20" t="n">
        <v>6299</v>
      </c>
      <c r="G152" s="20" t="n">
        <v>3594</v>
      </c>
      <c r="H152" s="20" t="n">
        <v>3474</v>
      </c>
      <c r="I152" s="20" t="n">
        <v>4033</v>
      </c>
      <c r="J152" s="20" t="n">
        <v>3570</v>
      </c>
      <c r="K152" s="20" t="n">
        <v>3090</v>
      </c>
      <c r="L152" s="20" t="n">
        <v>4314</v>
      </c>
      <c r="M152" s="20" t="n">
        <v>5184</v>
      </c>
      <c r="N152" s="20" t="n">
        <v>4440</v>
      </c>
      <c r="V152" s="20" t="n">
        <v>4673</v>
      </c>
      <c r="W152" s="20" t="n">
        <v>3474</v>
      </c>
      <c r="X152" s="20" t="n">
        <v>4314</v>
      </c>
    </row>
    <row r="153">
      <c r="A153" s="18" t="inlineStr">
        <is>
          <t>OtherDomesticReportableSegmentMember · Intersegment Revenue</t>
        </is>
      </c>
      <c r="C153" s="20" t="n">
        <v>56</v>
      </c>
      <c r="D153" s="20" t="n">
        <v>-4</v>
      </c>
      <c r="E153" s="20" t="n">
        <v>0</v>
      </c>
      <c r="F153" s="20" t="n">
        <v>1</v>
      </c>
      <c r="G153" s="20" t="n">
        <v>91</v>
      </c>
      <c r="H153" s="20" t="n">
        <v>146</v>
      </c>
      <c r="I153" s="20" t="n">
        <v>52</v>
      </c>
      <c r="J153" s="20" t="n">
        <v>52</v>
      </c>
      <c r="K153" s="20" t="n">
        <v>73</v>
      </c>
      <c r="L153" s="20" t="n">
        <v>74</v>
      </c>
      <c r="M153" s="20" t="n">
        <v>41</v>
      </c>
      <c r="N153" s="20" t="n">
        <v>51</v>
      </c>
      <c r="V153" s="20" t="n">
        <v>-4</v>
      </c>
      <c r="W153" s="20" t="n">
        <v>146</v>
      </c>
      <c r="X153" s="20" t="n">
        <v>74</v>
      </c>
    </row>
    <row r="154">
      <c r="A154" s="18" t="inlineStr">
        <is>
          <t>조정액 · Intersegment Revenue</t>
        </is>
      </c>
      <c r="C154" s="20" t="n">
        <v>-2411</v>
      </c>
      <c r="E154" s="20" t="n">
        <v>-6401</v>
      </c>
      <c r="F154" s="20" t="n">
        <v>-6300</v>
      </c>
      <c r="G154" s="20" t="n">
        <v>-3686</v>
      </c>
      <c r="H154" s="20" t="n">
        <v>-3620</v>
      </c>
      <c r="I154" s="20" t="n">
        <v>-4086</v>
      </c>
      <c r="J154" s="20" t="n">
        <v>-3622</v>
      </c>
      <c r="K154" s="20" t="n">
        <v>-3162</v>
      </c>
      <c r="L154" s="20" t="n">
        <v>-4389</v>
      </c>
      <c r="M154" s="20" t="n">
        <v>-5225</v>
      </c>
      <c r="N154" s="20" t="n">
        <v>-4492</v>
      </c>
      <c r="W154" s="20" t="n">
        <v>-3620</v>
      </c>
      <c r="X154" s="20" t="n">
        <v>-4389</v>
      </c>
    </row>
    <row r="155">
      <c r="A155" s="18" t="inlineStr">
        <is>
          <t>EntityTotalMember · Intersegment Revenue</t>
        </is>
      </c>
      <c r="I155" s="20" t="n">
        <v>0</v>
      </c>
      <c r="M155" s="20" t="n">
        <v>0</v>
      </c>
    </row>
    <row r="156">
      <c r="A156" s="18" t="inlineStr">
        <is>
          <t>Intersegment Revenue</t>
        </is>
      </c>
      <c r="C156" s="20" t="n">
        <v>0</v>
      </c>
      <c r="D156" s="20" t="n">
        <v>0</v>
      </c>
      <c r="E156" s="20" t="n">
        <v>0</v>
      </c>
      <c r="F156" s="20" t="n">
        <v>0</v>
      </c>
      <c r="G156" s="20" t="n">
        <v>0</v>
      </c>
      <c r="H156" s="20" t="n">
        <v>0</v>
      </c>
      <c r="I156" s="20" t="n">
        <v>0</v>
      </c>
      <c r="J156" s="20" t="n">
        <v>0</v>
      </c>
      <c r="K156" s="20" t="n">
        <v>0</v>
      </c>
      <c r="L156" s="20" t="n">
        <v>0</v>
      </c>
      <c r="V156" s="20" t="n">
        <v>0</v>
      </c>
      <c r="W156" s="20" t="n">
        <v>0</v>
      </c>
      <c r="X156" s="20" t="n">
        <v>0</v>
      </c>
    </row>
    <row r="157">
      <c r="A157" s="18" t="inlineStr">
        <is>
          <t>DomesticProcessedFoodBusinessReportableSegmentMember · Revenue</t>
        </is>
      </c>
      <c r="C157" s="20" t="n">
        <v>38674</v>
      </c>
      <c r="D157" s="20" t="n">
        <v>37811</v>
      </c>
      <c r="E157" s="20" t="n">
        <v>32807</v>
      </c>
      <c r="F157" s="20" t="n">
        <v>39876</v>
      </c>
      <c r="G157" s="20" t="n">
        <v>42204</v>
      </c>
      <c r="H157" s="20" t="n">
        <v>40824</v>
      </c>
      <c r="I157" s="20" t="n">
        <v>33475</v>
      </c>
      <c r="J157" s="20" t="n">
        <v>39753</v>
      </c>
      <c r="K157" s="20" t="n">
        <v>42456</v>
      </c>
      <c r="L157" s="20" t="n">
        <v>41640</v>
      </c>
      <c r="M157" s="20" t="n">
        <v>33399</v>
      </c>
      <c r="N157" s="20" t="n">
        <v>39678</v>
      </c>
      <c r="V157" s="20" t="n">
        <v>37811</v>
      </c>
      <c r="W157" s="20" t="n">
        <v>40824</v>
      </c>
      <c r="X157" s="20" t="n">
        <v>41640</v>
      </c>
    </row>
    <row r="158">
      <c r="A158" s="43" t="inlineStr">
        <is>
          <t>YoY</t>
        </is>
      </c>
      <c r="B158" s="3" t="inlineStr">
        <is>
          <t>전년 같은 분기·전년 대비</t>
        </is>
      </c>
      <c r="G158" s="15">
        <f>IF(OR(G157="",C157=""),"",IF(C157&lt;=0,"",IFERROR(G157/C157-1,"")))</f>
        <v/>
      </c>
      <c r="H158" s="15">
        <f>IF(OR(H157="",D157=""),"",IF(D157&lt;=0,"",IFERROR(H157/D157-1,"")))</f>
        <v/>
      </c>
      <c r="I158" s="15">
        <f>IF(OR(I157="",E157=""),"",IF(E157&lt;=0,"",IFERROR(I157/E157-1,"")))</f>
        <v/>
      </c>
      <c r="J158" s="15">
        <f>IF(OR(J157="",F157=""),"",IF(F157&lt;=0,"",IFERROR(J157/F157-1,"")))</f>
        <v/>
      </c>
      <c r="K158" s="15">
        <f>IF(OR(K157="",G157=""),"",IF(G157&lt;=0,"",IFERROR(K157/G157-1,"")))</f>
        <v/>
      </c>
      <c r="L158" s="15">
        <f>IF(OR(L157="",H157=""),"",IF(H157&lt;=0,"",IFERROR(L157/H157-1,"")))</f>
        <v/>
      </c>
      <c r="M158" s="15">
        <f>IF(OR(M157="",I157=""),"",IF(I157&lt;=0,"",IFERROR(M157/I157-1,"")))</f>
        <v/>
      </c>
      <c r="N158" s="15">
        <f>IF(OR(N157="",J157=""),"",IF(J157&lt;=0,"",IFERROR(N157/J157-1,"")))</f>
        <v/>
      </c>
      <c r="V158" s="15">
        <f>IF(OR(V157="",U157=""),"",IF(U157&lt;=0,"",IFERROR(V157/U157-1,"")))</f>
        <v/>
      </c>
      <c r="W158" s="15">
        <f>IF(OR(W157="",V157=""),"",IF(V157&lt;=0,"",IFERROR(W157/V157-1,"")))</f>
        <v/>
      </c>
      <c r="X158" s="15">
        <f>IF(OR(X157="",W157=""),"",IF(W157&lt;=0,"",IFERROR(X157/W157-1,"")))</f>
        <v/>
      </c>
    </row>
    <row r="159">
      <c r="A159" s="18" t="inlineStr">
        <is>
          <t>OverseasReportableSegmentMember · Revenue</t>
        </is>
      </c>
      <c r="C159" s="20" t="n">
        <v>18602</v>
      </c>
      <c r="D159" s="20" t="n">
        <v>22153</v>
      </c>
      <c r="E159" s="20" t="n">
        <v>36223</v>
      </c>
      <c r="F159" s="20" t="n">
        <v>39936</v>
      </c>
      <c r="G159" s="20" t="n">
        <v>35090</v>
      </c>
      <c r="H159" s="20" t="n">
        <v>38054</v>
      </c>
      <c r="I159" s="20" t="n">
        <v>32374</v>
      </c>
      <c r="J159" s="20" t="n">
        <v>28916</v>
      </c>
      <c r="K159" s="20" t="n">
        <v>33525</v>
      </c>
      <c r="L159" s="20" t="n">
        <v>35022</v>
      </c>
      <c r="M159" s="20" t="n">
        <v>34257</v>
      </c>
      <c r="N159" s="20" t="n">
        <v>34319</v>
      </c>
      <c r="V159" s="20" t="n">
        <v>22153</v>
      </c>
      <c r="W159" s="20" t="n">
        <v>38054</v>
      </c>
      <c r="X159" s="20" t="n">
        <v>35022</v>
      </c>
    </row>
    <row r="160">
      <c r="A160" s="43" t="inlineStr">
        <is>
          <t>YoY</t>
        </is>
      </c>
      <c r="B160" s="3" t="inlineStr">
        <is>
          <t>전년 같은 분기·전년 대비</t>
        </is>
      </c>
      <c r="G160" s="15">
        <f>IF(OR(G159="",C159=""),"",IF(C159&lt;=0,"",IFERROR(G159/C159-1,"")))</f>
        <v/>
      </c>
      <c r="H160" s="15">
        <f>IF(OR(H159="",D159=""),"",IF(D159&lt;=0,"",IFERROR(H159/D159-1,"")))</f>
        <v/>
      </c>
      <c r="I160" s="15">
        <f>IF(OR(I159="",E159=""),"",IF(E159&lt;=0,"",IFERROR(I159/E159-1,"")))</f>
        <v/>
      </c>
      <c r="J160" s="15">
        <f>IF(OR(J159="",F159=""),"",IF(F159&lt;=0,"",IFERROR(J159/F159-1,"")))</f>
        <v/>
      </c>
      <c r="K160" s="15">
        <f>IF(OR(K159="",G159=""),"",IF(G159&lt;=0,"",IFERROR(K159/G159-1,"")))</f>
        <v/>
      </c>
      <c r="L160" s="15">
        <f>IF(OR(L159="",H159=""),"",IF(H159&lt;=0,"",IFERROR(L159/H159-1,"")))</f>
        <v/>
      </c>
      <c r="M160" s="15">
        <f>IF(OR(M159="",I159=""),"",IF(I159&lt;=0,"",IFERROR(M159/I159-1,"")))</f>
        <v/>
      </c>
      <c r="N160" s="15">
        <f>IF(OR(N159="",J159=""),"",IF(J159&lt;=0,"",IFERROR(N159/J159-1,"")))</f>
        <v/>
      </c>
      <c r="V160" s="15">
        <f>IF(OR(V159="",U159=""),"",IF(U159&lt;=0,"",IFERROR(V159/U159-1,"")))</f>
        <v/>
      </c>
      <c r="W160" s="15">
        <f>IF(OR(W159="",V159=""),"",IF(V159&lt;=0,"",IFERROR(W159/V159-1,"")))</f>
        <v/>
      </c>
      <c r="X160" s="15">
        <f>IF(OR(X159="",W159=""),"",IF(W159&lt;=0,"",IFERROR(X159/W159-1,"")))</f>
        <v/>
      </c>
    </row>
    <row r="161">
      <c r="A161" s="18" t="inlineStr">
        <is>
          <t>OtherDomesticReportableSegmentMember · Revenue</t>
        </is>
      </c>
      <c r="C161" s="20" t="n">
        <v>4680</v>
      </c>
      <c r="D161" s="20" t="n">
        <v>4569</v>
      </c>
      <c r="E161" s="20" t="n">
        <v>4747</v>
      </c>
      <c r="F161" s="20" t="n">
        <v>7353</v>
      </c>
      <c r="G161" s="20" t="n">
        <v>4530</v>
      </c>
      <c r="H161" s="20" t="n">
        <v>5231</v>
      </c>
      <c r="I161" s="20" t="n">
        <v>5404</v>
      </c>
      <c r="J161" s="20" t="n">
        <v>6467</v>
      </c>
      <c r="K161" s="20" t="n">
        <v>4809</v>
      </c>
      <c r="L161" s="20" t="n">
        <v>5681</v>
      </c>
      <c r="M161" s="20" t="n">
        <v>5133</v>
      </c>
      <c r="N161" s="20" t="n">
        <v>6715</v>
      </c>
      <c r="V161" s="20" t="n">
        <v>4569</v>
      </c>
      <c r="W161" s="20" t="n">
        <v>5231</v>
      </c>
      <c r="X161" s="20" t="n">
        <v>5681</v>
      </c>
    </row>
    <row r="162">
      <c r="A162" s="43" t="inlineStr">
        <is>
          <t>YoY</t>
        </is>
      </c>
      <c r="B162" s="3" t="inlineStr">
        <is>
          <t>전년 같은 분기·전년 대비</t>
        </is>
      </c>
      <c r="G162" s="15">
        <f>IF(OR(G161="",C161=""),"",IF(C161&lt;=0,"",IFERROR(G161/C161-1,"")))</f>
        <v/>
      </c>
      <c r="H162" s="15">
        <f>IF(OR(H161="",D161=""),"",IF(D161&lt;=0,"",IFERROR(H161/D161-1,"")))</f>
        <v/>
      </c>
      <c r="I162" s="15">
        <f>IF(OR(I161="",E161=""),"",IF(E161&lt;=0,"",IFERROR(I161/E161-1,"")))</f>
        <v/>
      </c>
      <c r="J162" s="15">
        <f>IF(OR(J161="",F161=""),"",IF(F161&lt;=0,"",IFERROR(J161/F161-1,"")))</f>
        <v/>
      </c>
      <c r="K162" s="15">
        <f>IF(OR(K161="",G161=""),"",IF(G161&lt;=0,"",IFERROR(K161/G161-1,"")))</f>
        <v/>
      </c>
      <c r="L162" s="15">
        <f>IF(OR(L161="",H161=""),"",IF(H161&lt;=0,"",IFERROR(L161/H161-1,"")))</f>
        <v/>
      </c>
      <c r="M162" s="15">
        <f>IF(OR(M161="",I161=""),"",IF(I161&lt;=0,"",IFERROR(M161/I161-1,"")))</f>
        <v/>
      </c>
      <c r="N162" s="15">
        <f>IF(OR(N161="",J161=""),"",IF(J161&lt;=0,"",IFERROR(N161/J161-1,"")))</f>
        <v/>
      </c>
      <c r="V162" s="15">
        <f>IF(OR(V161="",U161=""),"",IF(U161&lt;=0,"",IFERROR(V161/U161-1,"")))</f>
        <v/>
      </c>
      <c r="W162" s="15">
        <f>IF(OR(W161="",V161=""),"",IF(V161&lt;=0,"",IFERROR(W161/V161-1,"")))</f>
        <v/>
      </c>
      <c r="X162" s="15">
        <f>IF(OR(X161="",W161=""),"",IF(W161&lt;=0,"",IFERROR(X161/W161-1,"")))</f>
        <v/>
      </c>
    </row>
    <row r="163">
      <c r="A163" s="18" t="inlineStr">
        <is>
          <t>조정액 · Revenue</t>
        </is>
      </c>
      <c r="C163" s="20" t="n">
        <v>-2411</v>
      </c>
      <c r="E163" s="20" t="n">
        <v>-6401</v>
      </c>
      <c r="F163" s="20" t="n">
        <v>-6300</v>
      </c>
      <c r="G163" s="20" t="n">
        <v>-3686</v>
      </c>
      <c r="H163" s="20" t="n">
        <v>-3620</v>
      </c>
      <c r="I163" s="20" t="n">
        <v>-4086</v>
      </c>
      <c r="J163" s="20" t="n">
        <v>-3622</v>
      </c>
      <c r="K163" s="20" t="n">
        <v>-3162</v>
      </c>
      <c r="L163" s="20" t="n">
        <v>-4389</v>
      </c>
      <c r="M163" s="20" t="n">
        <v>-5225</v>
      </c>
      <c r="N163" s="20" t="n">
        <v>-4492</v>
      </c>
      <c r="W163" s="20" t="n">
        <v>-3620</v>
      </c>
      <c r="X163" s="20" t="n">
        <v>-4389</v>
      </c>
    </row>
    <row r="164">
      <c r="A164" s="18" t="inlineStr">
        <is>
          <t>EntityTotalMember · Revenue</t>
        </is>
      </c>
      <c r="I164" s="20" t="n">
        <v>67167</v>
      </c>
      <c r="M164" s="20" t="n">
        <v>67564</v>
      </c>
    </row>
    <row r="165">
      <c r="A165" s="9" t="inlineStr">
        <is>
          <t>Revenue</t>
        </is>
      </c>
      <c r="C165" s="12" t="n">
        <v>59544</v>
      </c>
      <c r="D165" s="12" t="n">
        <v>59863</v>
      </c>
      <c r="E165" s="12" t="n">
        <v>67378</v>
      </c>
      <c r="F165" s="12" t="n">
        <v>80864</v>
      </c>
      <c r="G165" s="12" t="n">
        <v>78138</v>
      </c>
      <c r="H165" s="12" t="n">
        <v>80489</v>
      </c>
      <c r="I165" s="12" t="n">
        <v>67167</v>
      </c>
      <c r="J165" s="12" t="n">
        <v>71514</v>
      </c>
      <c r="K165" s="12" t="n">
        <v>77628</v>
      </c>
      <c r="L165" s="12" t="n">
        <v>77955</v>
      </c>
      <c r="V165" s="12" t="n">
        <v>59863</v>
      </c>
      <c r="W165" s="12" t="n">
        <v>80489</v>
      </c>
      <c r="X165" s="12" t="n">
        <v>77955</v>
      </c>
    </row>
    <row r="166">
      <c r="A166" s="43" t="inlineStr">
        <is>
          <t>YoY</t>
        </is>
      </c>
      <c r="B166" s="3" t="inlineStr">
        <is>
          <t>전년 같은 분기·전년 대비</t>
        </is>
      </c>
      <c r="G166" s="15">
        <f>IF(OR(G165="",C165=""),"",IF(C165&lt;=0,"",IFERROR(G165/C165-1,"")))</f>
        <v/>
      </c>
      <c r="H166" s="15">
        <f>IF(OR(H165="",D165=""),"",IF(D165&lt;=0,"",IFERROR(H165/D165-1,"")))</f>
        <v/>
      </c>
      <c r="I166" s="15">
        <f>IF(OR(I165="",E165=""),"",IF(E165&lt;=0,"",IFERROR(I165/E165-1,"")))</f>
        <v/>
      </c>
      <c r="J166" s="15">
        <f>IF(OR(J165="",F165=""),"",IF(F165&lt;=0,"",IFERROR(J165/F165-1,"")))</f>
        <v/>
      </c>
      <c r="K166" s="15">
        <f>IF(OR(K165="",G165=""),"",IF(G165&lt;=0,"",IFERROR(K165/G165-1,"")))</f>
        <v/>
      </c>
      <c r="L166" s="15">
        <f>IF(OR(L165="",H165=""),"",IF(H165&lt;=0,"",IFERROR(L165/H165-1,"")))</f>
        <v/>
      </c>
      <c r="V166" s="15">
        <f>IF(OR(V165="",U165=""),"",IF(U165&lt;=0,"",IFERROR(V165/U165-1,"")))</f>
        <v/>
      </c>
      <c r="W166" s="15">
        <f>IF(OR(W165="",V165=""),"",IF(V165&lt;=0,"",IFERROR(W165/V165-1,"")))</f>
        <v/>
      </c>
      <c r="X166" s="15">
        <f>IF(OR(X165="",W165=""),"",IF(W165&lt;=0,"",IFERROR(X165/W165-1,"")))</f>
        <v/>
      </c>
    </row>
    <row r="167">
      <c r="A167" s="18" t="inlineStr">
        <is>
          <t>DomesticProcessedFoodBusinessReportableSegmentMember · Operating Income Loss</t>
        </is>
      </c>
      <c r="C167" s="20" t="n">
        <v>4358</v>
      </c>
      <c r="D167" s="20" t="n">
        <v>1849</v>
      </c>
      <c r="E167" s="20" t="n">
        <v>2803</v>
      </c>
      <c r="F167" s="20" t="n">
        <v>5076</v>
      </c>
      <c r="G167" s="20" t="n">
        <v>5216</v>
      </c>
      <c r="H167" s="20" t="n">
        <v>2480</v>
      </c>
      <c r="I167" s="20" t="n">
        <v>2249</v>
      </c>
      <c r="J167" s="20" t="n">
        <v>3257</v>
      </c>
      <c r="K167" s="20" t="n">
        <v>5789</v>
      </c>
      <c r="L167" s="20" t="n">
        <v>4212</v>
      </c>
      <c r="M167" s="20" t="n">
        <v>1721</v>
      </c>
      <c r="N167" s="20" t="n">
        <v>3298</v>
      </c>
      <c r="V167" s="20" t="n">
        <v>1849</v>
      </c>
      <c r="W167" s="20" t="n">
        <v>2480</v>
      </c>
      <c r="X167" s="20" t="n">
        <v>4212</v>
      </c>
    </row>
    <row r="168">
      <c r="A168" s="43" t="inlineStr">
        <is>
          <t>OPM</t>
        </is>
      </c>
      <c r="B168" s="3" t="inlineStr">
        <is>
          <t>영업이익 ÷ 매출</t>
        </is>
      </c>
      <c r="C168" s="15">
        <f>IF(OR(C167="",C157=""),"",IF(C157&lt;=0,"",IFERROR(C167/C157,"")))</f>
        <v/>
      </c>
      <c r="D168" s="15">
        <f>IF(OR(D167="",D157=""),"",IF(D157&lt;=0,"",IFERROR(D167/D157,"")))</f>
        <v/>
      </c>
      <c r="E168" s="15">
        <f>IF(OR(E167="",E157=""),"",IF(E157&lt;=0,"",IFERROR(E167/E157,"")))</f>
        <v/>
      </c>
      <c r="F168" s="15">
        <f>IF(OR(F167="",F157=""),"",IF(F157&lt;=0,"",IFERROR(F167/F157,"")))</f>
        <v/>
      </c>
      <c r="G168" s="15">
        <f>IF(OR(G167="",G157=""),"",IF(G157&lt;=0,"",IFERROR(G167/G157,"")))</f>
        <v/>
      </c>
      <c r="H168" s="15">
        <f>IF(OR(H167="",H157=""),"",IF(H157&lt;=0,"",IFERROR(H167/H157,"")))</f>
        <v/>
      </c>
      <c r="I168" s="15">
        <f>IF(OR(I167="",I157=""),"",IF(I157&lt;=0,"",IFERROR(I167/I157,"")))</f>
        <v/>
      </c>
      <c r="J168" s="15">
        <f>IF(OR(J167="",J157=""),"",IF(J157&lt;=0,"",IFERROR(J167/J157,"")))</f>
        <v/>
      </c>
      <c r="K168" s="15">
        <f>IF(OR(K167="",K157=""),"",IF(K157&lt;=0,"",IFERROR(K167/K157,"")))</f>
        <v/>
      </c>
      <c r="L168" s="15">
        <f>IF(OR(L167="",L157=""),"",IF(L157&lt;=0,"",IFERROR(L167/L157,"")))</f>
        <v/>
      </c>
      <c r="M168" s="15">
        <f>IF(OR(M167="",M157=""),"",IF(M157&lt;=0,"",IFERROR(M167/M157,"")))</f>
        <v/>
      </c>
      <c r="N168" s="15">
        <f>IF(OR(N167="",N157=""),"",IF(N157&lt;=0,"",IFERROR(N167/N157,"")))</f>
        <v/>
      </c>
      <c r="V168" s="15">
        <f>IF(OR(V167="",V157=""),"",IF(V157&lt;=0,"",IFERROR(V167/V157,"")))</f>
        <v/>
      </c>
      <c r="W168" s="15">
        <f>IF(OR(W167="",W157=""),"",IF(W157&lt;=0,"",IFERROR(W167/W157,"")))</f>
        <v/>
      </c>
      <c r="X168" s="15">
        <f>IF(OR(X167="",X157=""),"",IF(X157&lt;=0,"",IFERROR(X167/X157,"")))</f>
        <v/>
      </c>
    </row>
    <row r="169">
      <c r="A169" s="43" t="inlineStr">
        <is>
          <t>YoY</t>
        </is>
      </c>
      <c r="B169" s="3" t="inlineStr">
        <is>
          <t>전년 같은 분기·전년 대비</t>
        </is>
      </c>
      <c r="G169" s="15">
        <f>IF(OR(G167="",C167=""),"",IF(C167&lt;=0,"",IFERROR(G167/C167-1,"")))</f>
        <v/>
      </c>
      <c r="H169" s="15">
        <f>IF(OR(H167="",D167=""),"",IF(D167&lt;=0,"",IFERROR(H167/D167-1,"")))</f>
        <v/>
      </c>
      <c r="I169" s="15">
        <f>IF(OR(I167="",E167=""),"",IF(E167&lt;=0,"",IFERROR(I167/E167-1,"")))</f>
        <v/>
      </c>
      <c r="J169" s="15">
        <f>IF(OR(J167="",F167=""),"",IF(F167&lt;=0,"",IFERROR(J167/F167-1,"")))</f>
        <v/>
      </c>
      <c r="K169" s="15">
        <f>IF(OR(K167="",G167=""),"",IF(G167&lt;=0,"",IFERROR(K167/G167-1,"")))</f>
        <v/>
      </c>
      <c r="L169" s="15">
        <f>IF(OR(L167="",H167=""),"",IF(H167&lt;=0,"",IFERROR(L167/H167-1,"")))</f>
        <v/>
      </c>
      <c r="M169" s="15">
        <f>IF(OR(M167="",I167=""),"",IF(I167&lt;=0,"",IFERROR(M167/I167-1,"")))</f>
        <v/>
      </c>
      <c r="N169" s="15">
        <f>IF(OR(N167="",J167=""),"",IF(J167&lt;=0,"",IFERROR(N167/J167-1,"")))</f>
        <v/>
      </c>
      <c r="V169" s="15">
        <f>IF(OR(V167="",U167=""),"",IF(U167&lt;=0,"",IFERROR(V167/U167-1,"")))</f>
        <v/>
      </c>
      <c r="W169" s="15">
        <f>IF(OR(W167="",V167=""),"",IF(V167&lt;=0,"",IFERROR(W167/V167-1,"")))</f>
        <v/>
      </c>
      <c r="X169" s="15">
        <f>IF(OR(X167="",W167=""),"",IF(W167&lt;=0,"",IFERROR(X167/W167-1,"")))</f>
        <v/>
      </c>
    </row>
    <row r="170">
      <c r="A170" s="18" t="inlineStr">
        <is>
          <t>OverseasReportableSegmentMember · Operating Income Loss</t>
        </is>
      </c>
      <c r="C170" s="20" t="n">
        <v>2834</v>
      </c>
      <c r="D170" s="20" t="n">
        <v>3571</v>
      </c>
      <c r="E170" s="20" t="n">
        <v>3631</v>
      </c>
      <c r="F170" s="20" t="n">
        <v>4310</v>
      </c>
      <c r="G170" s="20" t="n">
        <v>3949</v>
      </c>
      <c r="H170" s="20" t="n">
        <v>2042</v>
      </c>
      <c r="I170" s="20" t="n">
        <v>3081</v>
      </c>
      <c r="J170" s="20" t="n">
        <v>2701</v>
      </c>
      <c r="K170" s="20" t="n">
        <v>1998</v>
      </c>
      <c r="L170" s="20" t="n">
        <v>1503</v>
      </c>
      <c r="M170" s="20" t="n">
        <v>2894</v>
      </c>
      <c r="N170" s="20" t="n">
        <v>2298</v>
      </c>
      <c r="V170" s="20" t="n">
        <v>3571</v>
      </c>
      <c r="W170" s="20" t="n">
        <v>2042</v>
      </c>
      <c r="X170" s="20" t="n">
        <v>1503</v>
      </c>
    </row>
    <row r="171">
      <c r="A171" s="43" t="inlineStr">
        <is>
          <t>OPM</t>
        </is>
      </c>
      <c r="B171" s="3" t="inlineStr">
        <is>
          <t>영업이익 ÷ 매출</t>
        </is>
      </c>
      <c r="C171" s="15">
        <f>IF(OR(C170="",C159=""),"",IF(C159&lt;=0,"",IFERROR(C170/C159,"")))</f>
        <v/>
      </c>
      <c r="D171" s="15">
        <f>IF(OR(D170="",D159=""),"",IF(D159&lt;=0,"",IFERROR(D170/D159,"")))</f>
        <v/>
      </c>
      <c r="E171" s="15">
        <f>IF(OR(E170="",E159=""),"",IF(E159&lt;=0,"",IFERROR(E170/E159,"")))</f>
        <v/>
      </c>
      <c r="F171" s="15">
        <f>IF(OR(F170="",F159=""),"",IF(F159&lt;=0,"",IFERROR(F170/F159,"")))</f>
        <v/>
      </c>
      <c r="G171" s="15">
        <f>IF(OR(G170="",G159=""),"",IF(G159&lt;=0,"",IFERROR(G170/G159,"")))</f>
        <v/>
      </c>
      <c r="H171" s="15">
        <f>IF(OR(H170="",H159=""),"",IF(H159&lt;=0,"",IFERROR(H170/H159,"")))</f>
        <v/>
      </c>
      <c r="I171" s="15">
        <f>IF(OR(I170="",I159=""),"",IF(I159&lt;=0,"",IFERROR(I170/I159,"")))</f>
        <v/>
      </c>
      <c r="J171" s="15">
        <f>IF(OR(J170="",J159=""),"",IF(J159&lt;=0,"",IFERROR(J170/J159,"")))</f>
        <v/>
      </c>
      <c r="K171" s="15">
        <f>IF(OR(K170="",K159=""),"",IF(K159&lt;=0,"",IFERROR(K170/K159,"")))</f>
        <v/>
      </c>
      <c r="L171" s="15">
        <f>IF(OR(L170="",L159=""),"",IF(L159&lt;=0,"",IFERROR(L170/L159,"")))</f>
        <v/>
      </c>
      <c r="M171" s="15">
        <f>IF(OR(M170="",M159=""),"",IF(M159&lt;=0,"",IFERROR(M170/M159,"")))</f>
        <v/>
      </c>
      <c r="N171" s="15">
        <f>IF(OR(N170="",N159=""),"",IF(N159&lt;=0,"",IFERROR(N170/N159,"")))</f>
        <v/>
      </c>
      <c r="V171" s="15">
        <f>IF(OR(V170="",V159=""),"",IF(V159&lt;=0,"",IFERROR(V170/V159,"")))</f>
        <v/>
      </c>
      <c r="W171" s="15">
        <f>IF(OR(W170="",W159=""),"",IF(W159&lt;=0,"",IFERROR(W170/W159,"")))</f>
        <v/>
      </c>
      <c r="X171" s="15">
        <f>IF(OR(X170="",X159=""),"",IF(X159&lt;=0,"",IFERROR(X170/X159,"")))</f>
        <v/>
      </c>
    </row>
    <row r="172">
      <c r="A172" s="43" t="inlineStr">
        <is>
          <t>YoY</t>
        </is>
      </c>
      <c r="B172" s="3" t="inlineStr">
        <is>
          <t>전년 같은 분기·전년 대비</t>
        </is>
      </c>
      <c r="G172" s="15">
        <f>IF(OR(G170="",C170=""),"",IF(C170&lt;=0,"",IFERROR(G170/C170-1,"")))</f>
        <v/>
      </c>
      <c r="H172" s="15">
        <f>IF(OR(H170="",D170=""),"",IF(D170&lt;=0,"",IFERROR(H170/D170-1,"")))</f>
        <v/>
      </c>
      <c r="I172" s="15">
        <f>IF(OR(I170="",E170=""),"",IF(E170&lt;=0,"",IFERROR(I170/E170-1,"")))</f>
        <v/>
      </c>
      <c r="J172" s="15">
        <f>IF(OR(J170="",F170=""),"",IF(F170&lt;=0,"",IFERROR(J170/F170-1,"")))</f>
        <v/>
      </c>
      <c r="K172" s="15">
        <f>IF(OR(K170="",G170=""),"",IF(G170&lt;=0,"",IFERROR(K170/G170-1,"")))</f>
        <v/>
      </c>
      <c r="L172" s="15">
        <f>IF(OR(L170="",H170=""),"",IF(H170&lt;=0,"",IFERROR(L170/H170-1,"")))</f>
        <v/>
      </c>
      <c r="M172" s="15">
        <f>IF(OR(M170="",I170=""),"",IF(I170&lt;=0,"",IFERROR(M170/I170-1,"")))</f>
        <v/>
      </c>
      <c r="N172" s="15">
        <f>IF(OR(N170="",J170=""),"",IF(J170&lt;=0,"",IFERROR(N170/J170-1,"")))</f>
        <v/>
      </c>
      <c r="V172" s="15">
        <f>IF(OR(V170="",U170=""),"",IF(U170&lt;=0,"",IFERROR(V170/U170-1,"")))</f>
        <v/>
      </c>
      <c r="W172" s="15">
        <f>IF(OR(W170="",V170=""),"",IF(V170&lt;=0,"",IFERROR(W170/V170-1,"")))</f>
        <v/>
      </c>
      <c r="X172" s="15">
        <f>IF(OR(X170="",W170=""),"",IF(W170&lt;=0,"",IFERROR(X170/W170-1,"")))</f>
        <v/>
      </c>
    </row>
    <row r="173">
      <c r="A173" s="18" t="inlineStr">
        <is>
          <t>OtherDomesticReportableSegmentMember · Operating Income Loss</t>
        </is>
      </c>
      <c r="C173" s="20" t="n">
        <v>-216</v>
      </c>
      <c r="D173" s="20" t="n">
        <v>-71</v>
      </c>
      <c r="E173" s="20" t="n">
        <v>146</v>
      </c>
      <c r="F173" s="20" t="n">
        <v>1199</v>
      </c>
      <c r="G173" s="20" t="n">
        <v>-604</v>
      </c>
      <c r="H173" s="20" t="n">
        <v>-136</v>
      </c>
      <c r="I173" s="20" t="n">
        <v>70</v>
      </c>
      <c r="J173" s="20" t="n">
        <v>317</v>
      </c>
      <c r="K173" s="20" t="n">
        <v>-319</v>
      </c>
      <c r="L173" s="20" t="n">
        <v>387</v>
      </c>
      <c r="M173" s="20" t="n">
        <v>-126</v>
      </c>
      <c r="N173" s="20" t="n">
        <v>193</v>
      </c>
      <c r="V173" s="20" t="n">
        <v>-71</v>
      </c>
      <c r="W173" s="20" t="n">
        <v>-136</v>
      </c>
      <c r="X173" s="20" t="n">
        <v>387</v>
      </c>
    </row>
    <row r="174">
      <c r="A174" s="43" t="inlineStr">
        <is>
          <t>OPM</t>
        </is>
      </c>
      <c r="B174" s="3" t="inlineStr">
        <is>
          <t>영업이익 ÷ 매출</t>
        </is>
      </c>
      <c r="C174" s="15">
        <f>IF(OR(C173="",C161=""),"",IF(C161&lt;=0,"",IFERROR(C173/C161,"")))</f>
        <v/>
      </c>
      <c r="D174" s="15">
        <f>IF(OR(D173="",D161=""),"",IF(D161&lt;=0,"",IFERROR(D173/D161,"")))</f>
        <v/>
      </c>
      <c r="E174" s="15">
        <f>IF(OR(E173="",E161=""),"",IF(E161&lt;=0,"",IFERROR(E173/E161,"")))</f>
        <v/>
      </c>
      <c r="F174" s="15">
        <f>IF(OR(F173="",F161=""),"",IF(F161&lt;=0,"",IFERROR(F173/F161,"")))</f>
        <v/>
      </c>
      <c r="G174" s="15">
        <f>IF(OR(G173="",G161=""),"",IF(G161&lt;=0,"",IFERROR(G173/G161,"")))</f>
        <v/>
      </c>
      <c r="H174" s="15">
        <f>IF(OR(H173="",H161=""),"",IF(H161&lt;=0,"",IFERROR(H173/H161,"")))</f>
        <v/>
      </c>
      <c r="I174" s="15">
        <f>IF(OR(I173="",I161=""),"",IF(I161&lt;=0,"",IFERROR(I173/I161,"")))</f>
        <v/>
      </c>
      <c r="J174" s="15">
        <f>IF(OR(J173="",J161=""),"",IF(J161&lt;=0,"",IFERROR(J173/J161,"")))</f>
        <v/>
      </c>
      <c r="K174" s="15">
        <f>IF(OR(K173="",K161=""),"",IF(K161&lt;=0,"",IFERROR(K173/K161,"")))</f>
        <v/>
      </c>
      <c r="L174" s="15">
        <f>IF(OR(L173="",L161=""),"",IF(L161&lt;=0,"",IFERROR(L173/L161,"")))</f>
        <v/>
      </c>
      <c r="M174" s="15">
        <f>IF(OR(M173="",M161=""),"",IF(M161&lt;=0,"",IFERROR(M173/M161,"")))</f>
        <v/>
      </c>
      <c r="N174" s="15">
        <f>IF(OR(N173="",N161=""),"",IF(N161&lt;=0,"",IFERROR(N173/N161,"")))</f>
        <v/>
      </c>
      <c r="V174" s="15">
        <f>IF(OR(V173="",V161=""),"",IF(V161&lt;=0,"",IFERROR(V173/V161,"")))</f>
        <v/>
      </c>
      <c r="W174" s="15">
        <f>IF(OR(W173="",W161=""),"",IF(W161&lt;=0,"",IFERROR(W173/W161,"")))</f>
        <v/>
      </c>
      <c r="X174" s="15">
        <f>IF(OR(X173="",X161=""),"",IF(X161&lt;=0,"",IFERROR(X173/X161,"")))</f>
        <v/>
      </c>
    </row>
    <row r="175">
      <c r="A175" s="43" t="inlineStr">
        <is>
          <t>YoY</t>
        </is>
      </c>
      <c r="B175" s="3" t="inlineStr">
        <is>
          <t>전년 같은 분기·전년 대비</t>
        </is>
      </c>
      <c r="G175" s="15">
        <f>IF(OR(G173="",C173=""),"",IF(C173&lt;=0,"",IFERROR(G173/C173-1,"")))</f>
        <v/>
      </c>
      <c r="H175" s="15">
        <f>IF(OR(H173="",D173=""),"",IF(D173&lt;=0,"",IFERROR(H173/D173-1,"")))</f>
        <v/>
      </c>
      <c r="I175" s="15">
        <f>IF(OR(I173="",E173=""),"",IF(E173&lt;=0,"",IFERROR(I173/E173-1,"")))</f>
        <v/>
      </c>
      <c r="J175" s="15">
        <f>IF(OR(J173="",F173=""),"",IF(F173&lt;=0,"",IFERROR(J173/F173-1,"")))</f>
        <v/>
      </c>
      <c r="K175" s="15">
        <f>IF(OR(K173="",G173=""),"",IF(G173&lt;=0,"",IFERROR(K173/G173-1,"")))</f>
        <v/>
      </c>
      <c r="L175" s="15">
        <f>IF(OR(L173="",H173=""),"",IF(H173&lt;=0,"",IFERROR(L173/H173-1,"")))</f>
        <v/>
      </c>
      <c r="M175" s="15">
        <f>IF(OR(M173="",I173=""),"",IF(I173&lt;=0,"",IFERROR(M173/I173-1,"")))</f>
        <v/>
      </c>
      <c r="N175" s="15">
        <f>IF(OR(N173="",J173=""),"",IF(J173&lt;=0,"",IFERROR(N173/J173-1,"")))</f>
        <v/>
      </c>
      <c r="V175" s="15">
        <f>IF(OR(V173="",U173=""),"",IF(U173&lt;=0,"",IFERROR(V173/U173-1,"")))</f>
        <v/>
      </c>
      <c r="W175" s="15">
        <f>IF(OR(W173="",V173=""),"",IF(V173&lt;=0,"",IFERROR(W173/V173-1,"")))</f>
        <v/>
      </c>
      <c r="X175" s="15">
        <f>IF(OR(X173="",W173=""),"",IF(W173&lt;=0,"",IFERROR(X173/W173-1,"")))</f>
        <v/>
      </c>
    </row>
    <row r="176">
      <c r="A176" s="18" t="inlineStr">
        <is>
          <t>조정액 · Operating Income Loss</t>
        </is>
      </c>
      <c r="C176" s="20" t="n">
        <v>-424</v>
      </c>
      <c r="E176" s="20" t="n">
        <v>-974</v>
      </c>
      <c r="F176" s="20" t="n">
        <v>-744</v>
      </c>
      <c r="G176" s="20" t="n">
        <v>-485</v>
      </c>
      <c r="H176" s="20" t="n">
        <v>-816</v>
      </c>
      <c r="I176" s="20" t="n">
        <v>-765</v>
      </c>
      <c r="J176" s="20" t="n">
        <v>-550</v>
      </c>
      <c r="K176" s="20" t="n">
        <v>-382</v>
      </c>
      <c r="L176" s="20" t="n">
        <v>-855</v>
      </c>
      <c r="M176" s="20" t="n">
        <v>-1050</v>
      </c>
      <c r="N176" s="20" t="n">
        <v>-793</v>
      </c>
      <c r="W176" s="20" t="n">
        <v>-816</v>
      </c>
      <c r="X176" s="20" t="n">
        <v>-855</v>
      </c>
    </row>
    <row r="177">
      <c r="A177" s="18" t="inlineStr">
        <is>
          <t>EntityTotalMember · Operating Income Loss</t>
        </is>
      </c>
      <c r="I177" s="20" t="n">
        <v>4636</v>
      </c>
      <c r="M177" s="20" t="n">
        <v>3438</v>
      </c>
    </row>
    <row r="178">
      <c r="A178" s="18" t="inlineStr">
        <is>
          <t>EntityTotalMember · Other Operating Income Operating</t>
        </is>
      </c>
      <c r="I178" s="20" t="n">
        <v>329</v>
      </c>
      <c r="M178" s="20" t="n">
        <v>899</v>
      </c>
    </row>
    <row r="179">
      <c r="A179" s="18" t="inlineStr">
        <is>
          <t>EntityTotalMember · Other Operating Expenses Operating</t>
        </is>
      </c>
      <c r="I179" s="20" t="n">
        <v>135</v>
      </c>
      <c r="M179" s="20" t="n">
        <v>214</v>
      </c>
    </row>
    <row r="180">
      <c r="A180" s="18" t="inlineStr">
        <is>
          <t>EntityTotalMember · 영업이익</t>
        </is>
      </c>
      <c r="I180" s="20" t="n">
        <v>4830</v>
      </c>
      <c r="M180" s="20" t="n">
        <v>4124</v>
      </c>
    </row>
    <row r="181">
      <c r="A181" s="18" t="inlineStr">
        <is>
          <t>EntityTotalMember · Share Of Profit Loss Of Investments Accounted For Using Equity Method</t>
        </is>
      </c>
      <c r="I181" s="20" t="n">
        <v>-45</v>
      </c>
      <c r="M181" s="20" t="n">
        <v>-100</v>
      </c>
    </row>
    <row r="182">
      <c r="A182" s="18" t="inlineStr">
        <is>
          <t>EntityTotalMember · Other Investment Income Investing</t>
        </is>
      </c>
      <c r="I182" s="20" t="n">
        <v>277</v>
      </c>
      <c r="M182" s="20" t="n">
        <v>286</v>
      </c>
    </row>
    <row r="183">
      <c r="A183" s="18" t="inlineStr">
        <is>
          <t>EntityTotalMember · Other Investment Expenses Investing</t>
        </is>
      </c>
      <c r="I183" s="20" t="n">
        <v>205</v>
      </c>
      <c r="M183" s="20" t="n">
        <v>47</v>
      </c>
    </row>
    <row r="184">
      <c r="A184" s="18" t="inlineStr">
        <is>
          <t>EntityTotalMember · Income Loss Before Finance Costs And Income Taxes</t>
        </is>
      </c>
      <c r="I184" s="20" t="n">
        <v>4856</v>
      </c>
      <c r="M184" s="20" t="n">
        <v>4263</v>
      </c>
    </row>
    <row r="185">
      <c r="A185" s="18" t="inlineStr">
        <is>
          <t>EntityTotalMember · Finance Income Financing</t>
        </is>
      </c>
      <c r="I185" s="20" t="n">
        <v>142</v>
      </c>
      <c r="M185" s="20" t="n">
        <v>53</v>
      </c>
    </row>
    <row r="186">
      <c r="A186" s="18" t="inlineStr">
        <is>
          <t>EntityTotalMember · Finance Costs Financing</t>
        </is>
      </c>
      <c r="I186" s="20" t="n">
        <v>723</v>
      </c>
      <c r="M186" s="20" t="n">
        <v>721</v>
      </c>
    </row>
    <row r="187">
      <c r="A187" s="18" t="inlineStr">
        <is>
          <t>EntityTotalMember · 법인세비용차감전 중간이익</t>
        </is>
      </c>
      <c r="I187" s="20" t="n">
        <v>4275</v>
      </c>
      <c r="M187" s="20" t="n">
        <v>3594</v>
      </c>
    </row>
    <row r="188">
      <c r="A188" s="9" t="inlineStr">
        <is>
          <t>Operating Income Loss</t>
        </is>
      </c>
      <c r="C188" s="12" t="n">
        <v>6549</v>
      </c>
      <c r="D188" s="12" t="n">
        <v>4099</v>
      </c>
      <c r="E188" s="12" t="n">
        <v>5607</v>
      </c>
      <c r="F188" s="12" t="n">
        <v>9841</v>
      </c>
      <c r="G188" s="12" t="n">
        <v>8076</v>
      </c>
      <c r="H188" s="12" t="n">
        <v>3570</v>
      </c>
      <c r="I188" s="12" t="n">
        <v>4590</v>
      </c>
      <c r="J188" s="12" t="n">
        <v>5771</v>
      </c>
      <c r="K188" s="12" t="n">
        <v>7086</v>
      </c>
      <c r="L188" s="12" t="n">
        <v>5247</v>
      </c>
      <c r="V188" s="12" t="n">
        <v>4099</v>
      </c>
      <c r="W188" s="12" t="n">
        <v>3570</v>
      </c>
      <c r="X188" s="12" t="n">
        <v>5247</v>
      </c>
    </row>
    <row r="189">
      <c r="A189" s="43" t="inlineStr">
        <is>
          <t>OPM</t>
        </is>
      </c>
      <c r="B189" s="3" t="inlineStr">
        <is>
          <t>영업이익 ÷ 매출</t>
        </is>
      </c>
      <c r="C189" s="15">
        <f>IF(OR(C188="",C149=""),"",IF(C149&lt;=0,"",IFERROR(C188/C149,"")))</f>
        <v/>
      </c>
      <c r="D189" s="15">
        <f>IF(OR(D188="",D149=""),"",IF(D149&lt;=0,"",IFERROR(D188/D149,"")))</f>
        <v/>
      </c>
      <c r="E189" s="15">
        <f>IF(OR(E188="",E149=""),"",IF(E149&lt;=0,"",IFERROR(E188/E149,"")))</f>
        <v/>
      </c>
      <c r="F189" s="15">
        <f>IF(OR(F188="",F149=""),"",IF(F149&lt;=0,"",IFERROR(F188/F149,"")))</f>
        <v/>
      </c>
      <c r="G189" s="15">
        <f>IF(OR(G188="",G149=""),"",IF(G149&lt;=0,"",IFERROR(G188/G149,"")))</f>
        <v/>
      </c>
      <c r="H189" s="15">
        <f>IF(OR(H188="",H149=""),"",IF(H149&lt;=0,"",IFERROR(H188/H149,"")))</f>
        <v/>
      </c>
      <c r="I189" s="15">
        <f>IF(OR(I188="",I149=""),"",IF(I149&lt;=0,"",IFERROR(I188/I149,"")))</f>
        <v/>
      </c>
      <c r="J189" s="15">
        <f>IF(OR(J188="",J149=""),"",IF(J149&lt;=0,"",IFERROR(J188/J149,"")))</f>
        <v/>
      </c>
      <c r="K189" s="15">
        <f>IF(OR(K188="",K149=""),"",IF(K149&lt;=0,"",IFERROR(K188/K149,"")))</f>
        <v/>
      </c>
      <c r="L189" s="15">
        <f>IF(OR(L188="",L149=""),"",IF(L149&lt;=0,"",IFERROR(L188/L149,"")))</f>
        <v/>
      </c>
      <c r="V189" s="15">
        <f>IF(OR(V188="",V149=""),"",IF(V149&lt;=0,"",IFERROR(V188/V149,"")))</f>
        <v/>
      </c>
      <c r="W189" s="15">
        <f>IF(OR(W188="",W149=""),"",IF(W149&lt;=0,"",IFERROR(W188/W149,"")))</f>
        <v/>
      </c>
      <c r="X189" s="15">
        <f>IF(OR(X188="",X149=""),"",IF(X149&lt;=0,"",IFERROR(X188/X149,"")))</f>
        <v/>
      </c>
    </row>
    <row r="190">
      <c r="A190" s="43" t="inlineStr">
        <is>
          <t>YoY</t>
        </is>
      </c>
      <c r="B190" s="3" t="inlineStr">
        <is>
          <t>전년 같은 분기·전년 대비</t>
        </is>
      </c>
      <c r="G190" s="15">
        <f>IF(OR(G188="",C188=""),"",IF(C188&lt;=0,"",IFERROR(G188/C188-1,"")))</f>
        <v/>
      </c>
      <c r="H190" s="15">
        <f>IF(OR(H188="",D188=""),"",IF(D188&lt;=0,"",IFERROR(H188/D188-1,"")))</f>
        <v/>
      </c>
      <c r="I190" s="15">
        <f>IF(OR(I188="",E188=""),"",IF(E188&lt;=0,"",IFERROR(I188/E188-1,"")))</f>
        <v/>
      </c>
      <c r="J190" s="15">
        <f>IF(OR(J188="",F188=""),"",IF(F188&lt;=0,"",IFERROR(J188/F188-1,"")))</f>
        <v/>
      </c>
      <c r="K190" s="15">
        <f>IF(OR(K188="",G188=""),"",IF(G188&lt;=0,"",IFERROR(K188/G188-1,"")))</f>
        <v/>
      </c>
      <c r="L190" s="15">
        <f>IF(OR(L188="",H188=""),"",IF(H188&lt;=0,"",IFERROR(L188/H188-1,"")))</f>
        <v/>
      </c>
      <c r="V190" s="15">
        <f>IF(OR(V188="",U188=""),"",IF(U188&lt;=0,"",IFERROR(V188/U188-1,"")))</f>
        <v/>
      </c>
      <c r="W190" s="15">
        <f>IF(OR(W188="",V188=""),"",IF(V188&lt;=0,"",IFERROR(W188/V188-1,"")))</f>
        <v/>
      </c>
      <c r="X190" s="15">
        <f>IF(OR(X188="",W188=""),"",IF(W188&lt;=0,"",IFERROR(X188/W188-1,"")))</f>
        <v/>
      </c>
    </row>
    <row r="191">
      <c r="A191" s="18" t="inlineStr">
        <is>
          <t>Other Income</t>
        </is>
      </c>
      <c r="C191" s="20" t="n">
        <v>155</v>
      </c>
      <c r="D191" s="20" t="n">
        <v>264</v>
      </c>
      <c r="E191" s="20" t="n">
        <v>9448</v>
      </c>
      <c r="F191" s="20" t="n">
        <v>68</v>
      </c>
      <c r="G191" s="20" t="n">
        <v>125</v>
      </c>
      <c r="H191" s="20" t="n">
        <v>432</v>
      </c>
      <c r="I191" s="20" t="n">
        <v>288</v>
      </c>
      <c r="J191" s="20" t="n">
        <v>41</v>
      </c>
      <c r="K191" s="20" t="n">
        <v>195</v>
      </c>
      <c r="L191" s="20" t="n">
        <v>120</v>
      </c>
      <c r="V191" s="20" t="n">
        <v>264</v>
      </c>
      <c r="W191" s="20" t="n">
        <v>432</v>
      </c>
      <c r="X191" s="20" t="n">
        <v>120</v>
      </c>
    </row>
    <row r="192">
      <c r="A192" s="18" t="inlineStr">
        <is>
          <t>기타비용</t>
        </is>
      </c>
      <c r="C192" s="20" t="n">
        <v>38</v>
      </c>
      <c r="D192" s="20" t="n">
        <v>2466</v>
      </c>
      <c r="E192" s="20" t="n">
        <v>204</v>
      </c>
      <c r="F192" s="20" t="n">
        <v>77</v>
      </c>
      <c r="G192" s="20" t="n">
        <v>194</v>
      </c>
      <c r="H192" s="20" t="n">
        <v>471</v>
      </c>
      <c r="I192" s="20" t="n">
        <v>135</v>
      </c>
      <c r="J192" s="20" t="n">
        <v>31</v>
      </c>
      <c r="K192" s="20" t="n">
        <v>164</v>
      </c>
      <c r="L192" s="20" t="n">
        <v>370</v>
      </c>
      <c r="V192" s="20" t="n">
        <v>2466</v>
      </c>
      <c r="W192" s="20" t="n">
        <v>471</v>
      </c>
      <c r="X192" s="20" t="n">
        <v>370</v>
      </c>
    </row>
    <row r="193">
      <c r="A193" s="18" t="inlineStr">
        <is>
          <t>영업이익</t>
        </is>
      </c>
      <c r="C193" s="20" t="n">
        <v>6665</v>
      </c>
      <c r="D193" s="20" t="n">
        <v>1896</v>
      </c>
      <c r="E193" s="20" t="n">
        <v>14850</v>
      </c>
      <c r="F193" s="20" t="n">
        <v>9834</v>
      </c>
      <c r="G193" s="20" t="n">
        <v>8006</v>
      </c>
      <c r="H193" s="20" t="n">
        <v>3531</v>
      </c>
      <c r="I193" s="20" t="n">
        <v>4743</v>
      </c>
      <c r="J193" s="20" t="n">
        <v>5883</v>
      </c>
      <c r="K193" s="20" t="n">
        <v>7016</v>
      </c>
      <c r="L193" s="20" t="n">
        <v>4996</v>
      </c>
      <c r="V193" s="20" t="n">
        <v>1896</v>
      </c>
      <c r="W193" s="20" t="n">
        <v>3531</v>
      </c>
      <c r="X193" s="20" t="n">
        <v>4996</v>
      </c>
    </row>
    <row r="194">
      <c r="A194" s="43" t="inlineStr">
        <is>
          <t>OPM</t>
        </is>
      </c>
      <c r="B194" s="3" t="inlineStr">
        <is>
          <t>영업이익 ÷ 매출</t>
        </is>
      </c>
      <c r="C194" s="15">
        <f>IF(OR(C193="",C149=""),"",IF(C149&lt;=0,"",IFERROR(C193/C149,"")))</f>
        <v/>
      </c>
      <c r="D194" s="15">
        <f>IF(OR(D193="",D149=""),"",IF(D149&lt;=0,"",IFERROR(D193/D149,"")))</f>
        <v/>
      </c>
      <c r="E194" s="15">
        <f>IF(OR(E193="",E149=""),"",IF(E149&lt;=0,"",IFERROR(E193/E149,"")))</f>
        <v/>
      </c>
      <c r="F194" s="15">
        <f>IF(OR(F193="",F149=""),"",IF(F149&lt;=0,"",IFERROR(F193/F149,"")))</f>
        <v/>
      </c>
      <c r="G194" s="15">
        <f>IF(OR(G193="",G149=""),"",IF(G149&lt;=0,"",IFERROR(G193/G149,"")))</f>
        <v/>
      </c>
      <c r="H194" s="15">
        <f>IF(OR(H193="",H149=""),"",IF(H149&lt;=0,"",IFERROR(H193/H149,"")))</f>
        <v/>
      </c>
      <c r="I194" s="15">
        <f>IF(OR(I193="",I149=""),"",IF(I149&lt;=0,"",IFERROR(I193/I149,"")))</f>
        <v/>
      </c>
      <c r="J194" s="15">
        <f>IF(OR(J193="",J149=""),"",IF(J149&lt;=0,"",IFERROR(J193/J149,"")))</f>
        <v/>
      </c>
      <c r="K194" s="15">
        <f>IF(OR(K193="",K149=""),"",IF(K149&lt;=0,"",IFERROR(K193/K149,"")))</f>
        <v/>
      </c>
      <c r="L194" s="15">
        <f>IF(OR(L193="",L149=""),"",IF(L149&lt;=0,"",IFERROR(L193/L149,"")))</f>
        <v/>
      </c>
      <c r="V194" s="15">
        <f>IF(OR(V193="",V149=""),"",IF(V149&lt;=0,"",IFERROR(V193/V149,"")))</f>
        <v/>
      </c>
      <c r="W194" s="15">
        <f>IF(OR(W193="",W149=""),"",IF(W149&lt;=0,"",IFERROR(W193/W149,"")))</f>
        <v/>
      </c>
      <c r="X194" s="15">
        <f>IF(OR(X193="",X149=""),"",IF(X149&lt;=0,"",IFERROR(X193/X149,"")))</f>
        <v/>
      </c>
    </row>
    <row r="195">
      <c r="A195" s="43" t="inlineStr">
        <is>
          <t>YoY</t>
        </is>
      </c>
      <c r="B195" s="3" t="inlineStr">
        <is>
          <t>전년 같은 분기·전년 대비</t>
        </is>
      </c>
      <c r="G195" s="15">
        <f>IF(OR(G193="",C193=""),"",IF(C193&lt;=0,"",IFERROR(G193/C193-1,"")))</f>
        <v/>
      </c>
      <c r="H195" s="15">
        <f>IF(OR(H193="",D193=""),"",IF(D193&lt;=0,"",IFERROR(H193/D193-1,"")))</f>
        <v/>
      </c>
      <c r="I195" s="15">
        <f>IF(OR(I193="",E193=""),"",IF(E193&lt;=0,"",IFERROR(I193/E193-1,"")))</f>
        <v/>
      </c>
      <c r="J195" s="15">
        <f>IF(OR(J193="",F193=""),"",IF(F193&lt;=0,"",IFERROR(J193/F193-1,"")))</f>
        <v/>
      </c>
      <c r="K195" s="15">
        <f>IF(OR(K193="",G193=""),"",IF(G193&lt;=0,"",IFERROR(K193/G193-1,"")))</f>
        <v/>
      </c>
      <c r="L195" s="15">
        <f>IF(OR(L193="",H193=""),"",IF(H193&lt;=0,"",IFERROR(L193/H193-1,"")))</f>
        <v/>
      </c>
      <c r="V195" s="15">
        <f>IF(OR(V193="",U193=""),"",IF(U193&lt;=0,"",IFERROR(V193/U193-1,"")))</f>
        <v/>
      </c>
      <c r="W195" s="15">
        <f>IF(OR(W193="",V193=""),"",IF(V193&lt;=0,"",IFERROR(W193/V193-1,"")))</f>
        <v/>
      </c>
      <c r="X195" s="15">
        <f>IF(OR(X193="",W193=""),"",IF(W193&lt;=0,"",IFERROR(X193/W193-1,"")))</f>
        <v/>
      </c>
    </row>
    <row r="196">
      <c r="A196" s="18" t="inlineStr">
        <is>
          <t>금융수익</t>
        </is>
      </c>
      <c r="C196" s="20" t="n">
        <v>274</v>
      </c>
      <c r="D196" s="20" t="n">
        <v>20</v>
      </c>
      <c r="E196" s="20" t="n">
        <v>454</v>
      </c>
      <c r="F196" s="20" t="n">
        <v>335</v>
      </c>
      <c r="G196" s="20" t="n">
        <v>71</v>
      </c>
      <c r="H196" s="20" t="n">
        <v>235</v>
      </c>
      <c r="I196" s="20" t="n">
        <v>271</v>
      </c>
      <c r="J196" s="20" t="n">
        <v>311</v>
      </c>
      <c r="K196" s="20" t="n">
        <v>137</v>
      </c>
      <c r="L196" s="20" t="n">
        <v>373</v>
      </c>
      <c r="V196" s="20" t="n">
        <v>20</v>
      </c>
      <c r="W196" s="20" t="n">
        <v>235</v>
      </c>
      <c r="X196" s="20" t="n">
        <v>373</v>
      </c>
    </row>
    <row r="197">
      <c r="A197" s="18" t="inlineStr">
        <is>
          <t>금융비용</t>
        </is>
      </c>
      <c r="C197" s="20" t="n">
        <v>566</v>
      </c>
      <c r="D197" s="20" t="n">
        <v>479</v>
      </c>
      <c r="E197" s="20" t="n">
        <v>1209</v>
      </c>
      <c r="F197" s="20" t="n">
        <v>1133</v>
      </c>
      <c r="G197" s="20" t="n">
        <v>312</v>
      </c>
      <c r="H197" s="20" t="n">
        <v>998</v>
      </c>
      <c r="I197" s="20" t="n">
        <v>738</v>
      </c>
      <c r="J197" s="20" t="n">
        <v>426</v>
      </c>
      <c r="K197" s="20" t="n">
        <v>615</v>
      </c>
      <c r="L197" s="20" t="n">
        <v>833</v>
      </c>
      <c r="V197" s="20" t="n">
        <v>479</v>
      </c>
      <c r="W197" s="20" t="n">
        <v>998</v>
      </c>
      <c r="X197" s="20" t="n">
        <v>833</v>
      </c>
    </row>
    <row r="198">
      <c r="A198" s="9" t="inlineStr">
        <is>
          <t>법인세비용차감전 중간이익</t>
        </is>
      </c>
      <c r="C198" s="12" t="n">
        <v>6374</v>
      </c>
      <c r="D198" s="12" t="n">
        <v>1436</v>
      </c>
      <c r="E198" s="12" t="n">
        <v>14096</v>
      </c>
      <c r="F198" s="12" t="n">
        <v>9035</v>
      </c>
      <c r="G198" s="12" t="n">
        <v>7764</v>
      </c>
      <c r="H198" s="12" t="n">
        <v>2770</v>
      </c>
      <c r="I198" s="12" t="n">
        <v>4275</v>
      </c>
      <c r="J198" s="12" t="n">
        <v>5706</v>
      </c>
      <c r="K198" s="12" t="n">
        <v>6600</v>
      </c>
      <c r="L198" s="12" t="n">
        <v>4537</v>
      </c>
      <c r="V198" s="12" t="n">
        <v>1436</v>
      </c>
      <c r="W198" s="12" t="n">
        <v>2770</v>
      </c>
      <c r="X198" s="12" t="n">
        <v>4537</v>
      </c>
    </row>
    <row r="200">
      <c r="A200" s="16" t="inlineStr">
        <is>
          <t>현금흐름표 · 전 항목</t>
        </is>
      </c>
      <c r="B200" s="42" t="inlineStr">
        <is>
          <t>분기 = 결산기 첫날부터 누계(공시 그대로)</t>
        </is>
      </c>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c r="AB200" s="16" t="n"/>
      <c r="AC200" s="16" t="n"/>
    </row>
    <row r="201">
      <c r="A201" s="5" t="inlineStr">
        <is>
          <t>항목</t>
        </is>
      </c>
      <c r="B201" s="5" t="inlineStr">
        <is>
          <t>참고</t>
        </is>
      </c>
      <c r="C201" s="5" t="inlineStr">
        <is>
          <t>2023.3Q</t>
        </is>
      </c>
      <c r="D201" s="5" t="inlineStr">
        <is>
          <t>2023.4Q</t>
        </is>
      </c>
      <c r="E201" s="5" t="inlineStr">
        <is>
          <t>2024.1Q</t>
        </is>
      </c>
      <c r="F201" s="5" t="inlineStr">
        <is>
          <t>2024.2Q</t>
        </is>
      </c>
      <c r="G201" s="5" t="inlineStr">
        <is>
          <t>2024.3Q</t>
        </is>
      </c>
      <c r="H201" s="5" t="inlineStr">
        <is>
          <t>2024.4Q</t>
        </is>
      </c>
      <c r="I201" s="5" t="inlineStr">
        <is>
          <t>2025.1Q</t>
        </is>
      </c>
      <c r="J201" s="5" t="inlineStr">
        <is>
          <t>2025.2Q</t>
        </is>
      </c>
      <c r="K201" s="5" t="inlineStr">
        <is>
          <t>2025.3Q</t>
        </is>
      </c>
      <c r="L201" s="5" t="inlineStr">
        <is>
          <t>2025.4Q</t>
        </is>
      </c>
      <c r="M201" s="5" t="inlineStr">
        <is>
          <t>2026.1Q</t>
        </is>
      </c>
      <c r="N201" s="5" t="inlineStr">
        <is>
          <t>2026.2Q</t>
        </is>
      </c>
      <c r="O201" s="5" t="inlineStr">
        <is>
          <t>2016</t>
        </is>
      </c>
      <c r="P201" s="5" t="inlineStr">
        <is>
          <t>2017</t>
        </is>
      </c>
      <c r="Q201" s="5" t="inlineStr">
        <is>
          <t>2018</t>
        </is>
      </c>
      <c r="R201" s="5" t="inlineStr">
        <is>
          <t>2019</t>
        </is>
      </c>
      <c r="S201" s="5" t="inlineStr">
        <is>
          <t>2020</t>
        </is>
      </c>
      <c r="T201" s="5" t="inlineStr">
        <is>
          <t>2021</t>
        </is>
      </c>
      <c r="U201" s="5" t="inlineStr">
        <is>
          <t>2022</t>
        </is>
      </c>
      <c r="V201" s="5" t="inlineStr">
        <is>
          <t>2023</t>
        </is>
      </c>
      <c r="W201" s="5" t="inlineStr">
        <is>
          <t>2024</t>
        </is>
      </c>
      <c r="X201" s="5" t="inlineStr">
        <is>
          <t>2025</t>
        </is>
      </c>
      <c r="Y201" s="5" t="inlineStr">
        <is>
          <t>2026(MW)</t>
        </is>
      </c>
      <c r="Z201" s="5" t="inlineStr">
        <is>
          <t>2027(MW)</t>
        </is>
      </c>
      <c r="AA201" s="5" t="inlineStr">
        <is>
          <t>2028(MW)</t>
        </is>
      </c>
      <c r="AB201" s="5" t="inlineStr">
        <is>
          <t>2029(MW)</t>
        </is>
      </c>
      <c r="AC201" s="5" t="inlineStr">
        <is>
          <t>2030(MW)</t>
        </is>
      </c>
    </row>
    <row r="202">
      <c r="A202" s="18" t="inlineStr">
        <is>
          <t>영업이익</t>
        </is>
      </c>
      <c r="I202" s="20" t="n">
        <v>4830</v>
      </c>
      <c r="J202" s="20" t="n">
        <v>10626</v>
      </c>
      <c r="M202" s="20" t="n">
        <v>4124</v>
      </c>
      <c r="N202" s="20" t="n">
        <v>9089</v>
      </c>
    </row>
    <row r="203">
      <c r="A203" s="18" t="inlineStr">
        <is>
          <t>감가상각비 및 상각비</t>
        </is>
      </c>
      <c r="C203" s="20" t="n">
        <v>6223</v>
      </c>
      <c r="D203" s="20" t="n">
        <v>8249</v>
      </c>
      <c r="F203" s="20" t="n">
        <v>6125</v>
      </c>
      <c r="G203" s="20" t="n">
        <v>8957</v>
      </c>
      <c r="H203" s="20" t="n">
        <v>12000</v>
      </c>
      <c r="I203" s="20" t="n">
        <v>2994</v>
      </c>
      <c r="J203" s="20" t="n">
        <v>5796</v>
      </c>
      <c r="K203" s="20" t="n">
        <v>8697</v>
      </c>
      <c r="L203" s="20" t="n">
        <v>11814</v>
      </c>
      <c r="M203" s="20" t="n">
        <v>3029</v>
      </c>
      <c r="N203" s="20" t="n">
        <v>6074</v>
      </c>
      <c r="Q203" s="20" t="n">
        <v>5769</v>
      </c>
      <c r="R203" s="20" t="n">
        <v>6395</v>
      </c>
      <c r="S203" s="20" t="n">
        <v>6895</v>
      </c>
      <c r="T203" s="20" t="n">
        <v>7495</v>
      </c>
      <c r="U203" s="20" t="n">
        <v>8282</v>
      </c>
      <c r="V203" s="20" t="n">
        <v>8249</v>
      </c>
      <c r="W203" s="20" t="n">
        <v>12000</v>
      </c>
      <c r="X203" s="20" t="n">
        <v>11814</v>
      </c>
    </row>
    <row r="204">
      <c r="A204" s="18" t="inlineStr">
        <is>
          <t>손상차손</t>
        </is>
      </c>
      <c r="D204" s="20" t="n">
        <v>2236</v>
      </c>
      <c r="H204" s="20" t="n">
        <v>0</v>
      </c>
      <c r="Q204" s="20" t="n">
        <v>754</v>
      </c>
      <c r="R204" s="20" t="n">
        <v>223</v>
      </c>
      <c r="S204" s="20" t="n">
        <v>3028</v>
      </c>
      <c r="T204" s="20" t="n">
        <v>0</v>
      </c>
      <c r="U204" s="20" t="n">
        <v>0</v>
      </c>
      <c r="V204" s="20" t="n">
        <v>2236</v>
      </c>
      <c r="W204" s="20" t="n">
        <v>0</v>
      </c>
    </row>
    <row r="205">
      <c r="A205" s="18" t="inlineStr">
        <is>
          <t>사업 양도 이익</t>
        </is>
      </c>
      <c r="Q205" s="20" t="n">
        <v>0</v>
      </c>
      <c r="R205" s="20" t="n">
        <v>-1692</v>
      </c>
      <c r="S205" s="20" t="n">
        <v>0</v>
      </c>
    </row>
    <row r="206">
      <c r="A206" s="18" t="inlineStr">
        <is>
          <t>이자·배당금 수익</t>
        </is>
      </c>
      <c r="C206" s="20" t="n">
        <v>-469</v>
      </c>
      <c r="D206" s="20" t="n">
        <v>-623</v>
      </c>
      <c r="F206" s="20" t="n">
        <v>-461</v>
      </c>
      <c r="G206" s="20" t="n">
        <v>-560</v>
      </c>
      <c r="H206" s="20" t="n">
        <v>-772</v>
      </c>
      <c r="J206" s="20" t="n">
        <v>-495</v>
      </c>
      <c r="K206" s="20" t="n">
        <v>-663</v>
      </c>
      <c r="L206" s="20" t="n">
        <v>-854</v>
      </c>
      <c r="Q206" s="20" t="n">
        <v>-619</v>
      </c>
      <c r="R206" s="20" t="n">
        <v>-450</v>
      </c>
      <c r="S206" s="20" t="n">
        <v>-397</v>
      </c>
      <c r="T206" s="20" t="n">
        <v>-367</v>
      </c>
      <c r="U206" s="20" t="n">
        <v>-438</v>
      </c>
      <c r="V206" s="20" t="n">
        <v>-623</v>
      </c>
      <c r="W206" s="20" t="n">
        <v>-772</v>
      </c>
      <c r="X206" s="20" t="n">
        <v>-854</v>
      </c>
    </row>
    <row r="207">
      <c r="A207" s="18" t="inlineStr">
        <is>
          <t>이자비용</t>
        </is>
      </c>
      <c r="C207" s="20" t="n">
        <v>1052</v>
      </c>
      <c r="D207" s="20" t="n">
        <v>1673</v>
      </c>
      <c r="F207" s="20" t="n">
        <v>1754</v>
      </c>
      <c r="G207" s="20" t="n">
        <v>2186</v>
      </c>
      <c r="H207" s="20" t="n">
        <v>2984</v>
      </c>
      <c r="J207" s="20" t="n">
        <v>1085</v>
      </c>
      <c r="K207" s="20" t="n">
        <v>1655</v>
      </c>
      <c r="L207" s="20" t="n">
        <v>2408</v>
      </c>
      <c r="Q207" s="20" t="n">
        <v>410</v>
      </c>
      <c r="R207" s="20" t="n">
        <v>435</v>
      </c>
      <c r="S207" s="20" t="n">
        <v>480</v>
      </c>
      <c r="T207" s="20" t="n">
        <v>332</v>
      </c>
      <c r="U207" s="20" t="n">
        <v>554</v>
      </c>
      <c r="V207" s="20" t="n">
        <v>1673</v>
      </c>
      <c r="W207" s="20" t="n">
        <v>2984</v>
      </c>
      <c r="X207" s="20" t="n">
        <v>2408</v>
      </c>
    </row>
    <row r="208">
      <c r="A208" s="18" t="inlineStr">
        <is>
          <t>단계적 취득 차익</t>
        </is>
      </c>
      <c r="F208" s="20" t="n">
        <v>-9323</v>
      </c>
      <c r="J208" s="20" t="n">
        <v>0</v>
      </c>
    </row>
    <row r="209">
      <c r="A209" s="18" t="inlineStr">
        <is>
          <t>단계적 취득 차익</t>
        </is>
      </c>
      <c r="C209" s="20" t="n">
        <v>0</v>
      </c>
      <c r="D209" s="20" t="n">
        <v>0</v>
      </c>
      <c r="G209" s="20" t="n">
        <v>-9323</v>
      </c>
      <c r="H209" s="20" t="n">
        <v>-9323</v>
      </c>
      <c r="K209" s="20" t="n">
        <v>0</v>
      </c>
      <c r="L209" s="20" t="n">
        <v>0</v>
      </c>
      <c r="V209" s="20" t="n">
        <v>0</v>
      </c>
      <c r="W209" s="20" t="n">
        <v>-9323</v>
      </c>
      <c r="X209" s="20" t="n">
        <v>0</v>
      </c>
    </row>
    <row r="210">
      <c r="A210" s="18" t="inlineStr">
        <is>
          <t>지분법이익</t>
        </is>
      </c>
      <c r="C210" s="20" t="n">
        <v>-1384</v>
      </c>
      <c r="D210" s="20" t="n">
        <v>-2217</v>
      </c>
      <c r="F210" s="20" t="n">
        <v>9</v>
      </c>
      <c r="G210" s="20" t="n">
        <v>2</v>
      </c>
      <c r="H210" s="20" t="n">
        <v>-270</v>
      </c>
      <c r="J210" s="20" t="n">
        <v>-39</v>
      </c>
      <c r="K210" s="20" t="n">
        <v>-125</v>
      </c>
      <c r="L210" s="20" t="n">
        <v>-327</v>
      </c>
      <c r="Q210" s="20" t="n">
        <v>-3</v>
      </c>
      <c r="R210" s="20" t="n">
        <v>-108</v>
      </c>
      <c r="S210" s="20" t="n">
        <v>914</v>
      </c>
      <c r="T210" s="20" t="n">
        <v>-416</v>
      </c>
      <c r="U210" s="20" t="n">
        <v>-904</v>
      </c>
      <c r="V210" s="20" t="n">
        <v>-2217</v>
      </c>
      <c r="W210" s="20" t="n">
        <v>-270</v>
      </c>
      <c r="X210" s="20" t="n">
        <v>-327</v>
      </c>
    </row>
    <row r="211">
      <c r="A211" s="18" t="inlineStr">
        <is>
          <t>Loss Gain On Sale And Retirement Of Property Plant And Equipment And Intangible Assets Ope CF</t>
        </is>
      </c>
      <c r="C211" s="20" t="n">
        <v>1</v>
      </c>
      <c r="D211" s="20" t="n">
        <v>28</v>
      </c>
      <c r="F211" s="20" t="n">
        <v>39</v>
      </c>
      <c r="G211" s="20" t="n">
        <v>86</v>
      </c>
      <c r="H211" s="20" t="n">
        <v>107</v>
      </c>
      <c r="I211" s="20" t="n">
        <v>0</v>
      </c>
      <c r="J211" s="20" t="n">
        <v>3</v>
      </c>
      <c r="K211" s="20" t="n">
        <v>83</v>
      </c>
      <c r="L211" s="20" t="n">
        <v>165</v>
      </c>
      <c r="M211" s="20" t="n">
        <v>1</v>
      </c>
      <c r="N211" s="20" t="n">
        <v>38</v>
      </c>
      <c r="Q211" s="20" t="n">
        <v>-1242</v>
      </c>
      <c r="R211" s="20" t="n">
        <v>-46</v>
      </c>
      <c r="S211" s="20" t="n">
        <v>-189</v>
      </c>
      <c r="T211" s="20" t="n">
        <v>61</v>
      </c>
      <c r="U211" s="20" t="n">
        <v>97</v>
      </c>
      <c r="V211" s="20" t="n">
        <v>28</v>
      </c>
      <c r="W211" s="20" t="n">
        <v>107</v>
      </c>
      <c r="X211" s="20" t="n">
        <v>165</v>
      </c>
    </row>
    <row r="212">
      <c r="A212" s="18" t="inlineStr">
        <is>
          <t>매출채권 및 기타채권 증감액</t>
        </is>
      </c>
      <c r="C212" s="20" t="n">
        <v>-1076</v>
      </c>
      <c r="D212" s="20" t="n">
        <v>-2127</v>
      </c>
      <c r="F212" s="20" t="n">
        <v>-4492</v>
      </c>
      <c r="G212" s="20" t="n">
        <v>-2834</v>
      </c>
      <c r="H212" s="20" t="n">
        <v>-1640</v>
      </c>
      <c r="I212" s="20" t="n">
        <v>6577</v>
      </c>
      <c r="J212" s="20" t="n">
        <v>2292</v>
      </c>
      <c r="K212" s="20" t="n">
        <v>-1904</v>
      </c>
      <c r="L212" s="20" t="n">
        <v>-645</v>
      </c>
      <c r="M212" s="20" t="n">
        <v>9568</v>
      </c>
      <c r="N212" s="20" t="n">
        <v>5055</v>
      </c>
      <c r="Q212" s="20" t="n">
        <v>-542</v>
      </c>
      <c r="R212" s="20" t="n">
        <v>823</v>
      </c>
      <c r="S212" s="20" t="n">
        <v>-270</v>
      </c>
      <c r="T212" s="20" t="n">
        <v>-968</v>
      </c>
      <c r="U212" s="20" t="n">
        <v>-2771</v>
      </c>
      <c r="V212" s="20" t="n">
        <v>-2127</v>
      </c>
      <c r="W212" s="20" t="n">
        <v>-1640</v>
      </c>
      <c r="X212" s="20" t="n">
        <v>-645</v>
      </c>
    </row>
    <row r="213">
      <c r="A213" s="18" t="inlineStr">
        <is>
          <t>재고자산 증감</t>
        </is>
      </c>
      <c r="C213" s="20" t="n">
        <v>-12722</v>
      </c>
      <c r="D213" s="20" t="n">
        <v>-14780</v>
      </c>
      <c r="F213" s="20" t="n">
        <v>24881</v>
      </c>
      <c r="G213" s="20" t="n">
        <v>-9582</v>
      </c>
      <c r="H213" s="20" t="n">
        <v>7198</v>
      </c>
      <c r="I213" s="20" t="n">
        <v>4673</v>
      </c>
      <c r="J213" s="20" t="n">
        <v>15071</v>
      </c>
      <c r="K213" s="20" t="n">
        <v>-9251</v>
      </c>
      <c r="L213" s="20" t="n">
        <v>2117</v>
      </c>
      <c r="M213" s="20" t="n">
        <v>4050</v>
      </c>
      <c r="N213" s="20" t="n">
        <v>13511</v>
      </c>
      <c r="Q213" s="20" t="n">
        <v>-767</v>
      </c>
      <c r="R213" s="20" t="n">
        <v>-1421</v>
      </c>
      <c r="S213" s="20" t="n">
        <v>746</v>
      </c>
      <c r="T213" s="20" t="n">
        <v>-3226</v>
      </c>
      <c r="U213" s="20" t="n">
        <v>-7575</v>
      </c>
      <c r="V213" s="20" t="n">
        <v>-14780</v>
      </c>
      <c r="W213" s="20" t="n">
        <v>7198</v>
      </c>
      <c r="X213" s="20" t="n">
        <v>2117</v>
      </c>
    </row>
    <row r="214">
      <c r="A214" s="18" t="inlineStr">
        <is>
          <t>매입채무 및 기타채무 증감액</t>
        </is>
      </c>
      <c r="C214" s="20" t="n">
        <v>7396</v>
      </c>
      <c r="D214" s="20" t="n">
        <v>1014</v>
      </c>
      <c r="F214" s="20" t="n">
        <v>-6440</v>
      </c>
      <c r="G214" s="20" t="n">
        <v>4309</v>
      </c>
      <c r="H214" s="20" t="n">
        <v>-973</v>
      </c>
      <c r="I214" s="20" t="n">
        <v>-5936</v>
      </c>
      <c r="J214" s="20" t="n">
        <v>-5108</v>
      </c>
      <c r="K214" s="20" t="n">
        <v>5793</v>
      </c>
      <c r="L214" s="20" t="n">
        <v>-1356</v>
      </c>
      <c r="M214" s="20" t="n">
        <v>-7868</v>
      </c>
      <c r="N214" s="20" t="n">
        <v>-6975</v>
      </c>
      <c r="Q214" s="20" t="n">
        <v>-253</v>
      </c>
      <c r="R214" s="20" t="n">
        <v>-643</v>
      </c>
      <c r="S214" s="20" t="n">
        <v>2006</v>
      </c>
      <c r="T214" s="20" t="n">
        <v>3127</v>
      </c>
      <c r="U214" s="20" t="n">
        <v>638</v>
      </c>
      <c r="V214" s="20" t="n">
        <v>1014</v>
      </c>
      <c r="W214" s="20" t="n">
        <v>-973</v>
      </c>
      <c r="X214" s="20" t="n">
        <v>-1356</v>
      </c>
    </row>
    <row r="215">
      <c r="A215" s="18" t="inlineStr">
        <is>
          <t>Decrease In Other Ope CF</t>
        </is>
      </c>
      <c r="I215" s="20" t="n">
        <v>-1942</v>
      </c>
      <c r="M215" s="20" t="n">
        <v>-1350</v>
      </c>
    </row>
    <row r="216">
      <c r="A216" s="18" t="inlineStr">
        <is>
          <t>기타</t>
        </is>
      </c>
      <c r="C216" s="20" t="n">
        <v>-436</v>
      </c>
      <c r="D216" s="20" t="n">
        <v>-680</v>
      </c>
      <c r="F216" s="20" t="n">
        <v>-2794</v>
      </c>
      <c r="G216" s="20" t="n">
        <v>962</v>
      </c>
      <c r="H216" s="20" t="n">
        <v>-321</v>
      </c>
      <c r="J216" s="20" t="n">
        <v>-1723</v>
      </c>
      <c r="K216" s="20" t="n">
        <v>-595</v>
      </c>
      <c r="L216" s="20" t="n">
        <v>-1109</v>
      </c>
      <c r="N216" s="20" t="n">
        <v>-2427</v>
      </c>
      <c r="Q216" s="20" t="n">
        <v>-754</v>
      </c>
      <c r="R216" s="20" t="n">
        <v>23</v>
      </c>
      <c r="S216" s="20" t="n">
        <v>-0</v>
      </c>
      <c r="T216" s="20" t="n">
        <v>-401</v>
      </c>
      <c r="U216" s="20" t="n">
        <v>-1462</v>
      </c>
      <c r="V216" s="20" t="n">
        <v>-680</v>
      </c>
      <c r="W216" s="20" t="n">
        <v>-321</v>
      </c>
      <c r="X216" s="20" t="n">
        <v>-1109</v>
      </c>
    </row>
    <row r="217">
      <c r="A217" s="18" t="inlineStr">
        <is>
          <t>소계</t>
        </is>
      </c>
      <c r="C217" s="20" t="n">
        <v>13638</v>
      </c>
      <c r="D217" s="20" t="n">
        <v>9261</v>
      </c>
      <c r="F217" s="20" t="n">
        <v>32427</v>
      </c>
      <c r="G217" s="20" t="n">
        <v>25098</v>
      </c>
      <c r="H217" s="20" t="n">
        <v>42653</v>
      </c>
      <c r="I217" s="20" t="n">
        <v>11197</v>
      </c>
      <c r="J217" s="20" t="n">
        <v>26958</v>
      </c>
      <c r="K217" s="20" t="n">
        <v>20270</v>
      </c>
      <c r="L217" s="20" t="n">
        <v>33330</v>
      </c>
      <c r="M217" s="20" t="n">
        <v>11555</v>
      </c>
      <c r="N217" s="20" t="n">
        <v>24366</v>
      </c>
      <c r="Q217" s="20" t="n">
        <v>14963</v>
      </c>
      <c r="R217" s="20" t="n">
        <v>17427</v>
      </c>
      <c r="S217" s="20" t="n">
        <v>23838</v>
      </c>
      <c r="T217" s="20" t="n">
        <v>19517</v>
      </c>
      <c r="U217" s="20" t="n">
        <v>8978</v>
      </c>
      <c r="V217" s="20" t="n">
        <v>9261</v>
      </c>
      <c r="W217" s="20" t="n">
        <v>42653</v>
      </c>
      <c r="X217" s="20" t="n">
        <v>33330</v>
      </c>
    </row>
    <row r="218">
      <c r="A218" s="18" t="inlineStr">
        <is>
          <t>이자·배당금 수취</t>
        </is>
      </c>
      <c r="C218" s="20" t="n">
        <v>737</v>
      </c>
      <c r="D218" s="20" t="n">
        <v>1009</v>
      </c>
      <c r="F218" s="20" t="n">
        <v>445</v>
      </c>
      <c r="G218" s="20" t="n">
        <v>506</v>
      </c>
      <c r="H218" s="20" t="n">
        <v>805</v>
      </c>
      <c r="J218" s="20" t="n">
        <v>444</v>
      </c>
      <c r="K218" s="20" t="n">
        <v>587</v>
      </c>
      <c r="L218" s="20" t="n">
        <v>753</v>
      </c>
      <c r="Q218" s="20" t="n">
        <v>555</v>
      </c>
      <c r="R218" s="20" t="n">
        <v>513</v>
      </c>
      <c r="S218" s="20" t="n">
        <v>400</v>
      </c>
      <c r="T218" s="20" t="n">
        <v>333</v>
      </c>
      <c r="U218" s="20" t="n">
        <v>446</v>
      </c>
      <c r="V218" s="20" t="n">
        <v>1009</v>
      </c>
      <c r="W218" s="20" t="n">
        <v>805</v>
      </c>
      <c r="X218" s="20" t="n">
        <v>753</v>
      </c>
    </row>
    <row r="219">
      <c r="A219" s="18" t="inlineStr">
        <is>
          <t>이자 지급</t>
        </is>
      </c>
      <c r="C219" s="20" t="n">
        <v>-781</v>
      </c>
      <c r="D219" s="20" t="n">
        <v>-1381</v>
      </c>
      <c r="F219" s="20" t="n">
        <v>-2035</v>
      </c>
      <c r="G219" s="20" t="n">
        <v>-2298</v>
      </c>
      <c r="H219" s="20" t="n">
        <v>-3080</v>
      </c>
      <c r="J219" s="20" t="n">
        <v>-1316</v>
      </c>
      <c r="K219" s="20" t="n">
        <v>-1773</v>
      </c>
      <c r="L219" s="20" t="n">
        <v>-2430</v>
      </c>
      <c r="Q219" s="20" t="n">
        <v>-404</v>
      </c>
      <c r="R219" s="20" t="n">
        <v>-442</v>
      </c>
      <c r="S219" s="20" t="n">
        <v>-327</v>
      </c>
      <c r="T219" s="20" t="n">
        <v>-508</v>
      </c>
      <c r="U219" s="20" t="n">
        <v>-529</v>
      </c>
      <c r="V219" s="20" t="n">
        <v>-1381</v>
      </c>
      <c r="W219" s="20" t="n">
        <v>-3080</v>
      </c>
      <c r="X219" s="20" t="n">
        <v>-2430</v>
      </c>
    </row>
    <row r="220">
      <c r="A220" s="18" t="inlineStr">
        <is>
          <t>Income Taxes Paid Ope CF</t>
        </is>
      </c>
      <c r="C220" s="20" t="n">
        <v>-3704</v>
      </c>
      <c r="D220" s="20" t="n">
        <v>-4271</v>
      </c>
      <c r="F220" s="20" t="n">
        <v>-4035</v>
      </c>
      <c r="G220" s="20" t="n">
        <v>-7147</v>
      </c>
      <c r="H220" s="20" t="n">
        <v>-8686</v>
      </c>
      <c r="I220" s="20" t="n">
        <v>-2086</v>
      </c>
      <c r="J220" s="20" t="n">
        <v>-2515</v>
      </c>
      <c r="K220" s="20" t="n">
        <v>-4246</v>
      </c>
      <c r="L220" s="20" t="n">
        <v>-4723</v>
      </c>
      <c r="M220" s="20" t="n">
        <v>-2404</v>
      </c>
      <c r="N220" s="20" t="n">
        <v>-2562</v>
      </c>
      <c r="Q220" s="20" t="n">
        <v>-4392</v>
      </c>
      <c r="R220" s="20" t="n">
        <v>-5274</v>
      </c>
      <c r="S220" s="20" t="n">
        <v>-3469</v>
      </c>
      <c r="T220" s="20" t="n">
        <v>-4545</v>
      </c>
      <c r="U220" s="20" t="n">
        <v>-4260</v>
      </c>
      <c r="V220" s="20" t="n">
        <v>-4271</v>
      </c>
      <c r="W220" s="20" t="n">
        <v>-8686</v>
      </c>
      <c r="X220" s="20" t="n">
        <v>-4723</v>
      </c>
    </row>
    <row r="221">
      <c r="A221" s="9" t="inlineStr">
        <is>
          <t>영업활동 현금흐름</t>
        </is>
      </c>
      <c r="C221" s="12" t="n">
        <v>9890</v>
      </c>
      <c r="D221" s="12" t="n">
        <v>4617</v>
      </c>
      <c r="F221" s="12" t="n">
        <v>26802</v>
      </c>
      <c r="G221" s="12" t="n">
        <v>16158</v>
      </c>
      <c r="H221" s="12" t="n">
        <v>31692</v>
      </c>
      <c r="I221" s="12" t="n">
        <v>9111</v>
      </c>
      <c r="J221" s="12" t="n">
        <v>24443</v>
      </c>
      <c r="K221" s="12" t="n">
        <v>14838</v>
      </c>
      <c r="L221" s="12" t="n">
        <v>26930</v>
      </c>
      <c r="M221" s="12" t="n">
        <v>9150</v>
      </c>
      <c r="N221" s="12" t="n">
        <v>21803</v>
      </c>
      <c r="Q221" s="12" t="n">
        <v>10722</v>
      </c>
      <c r="R221" s="12" t="n">
        <v>12224</v>
      </c>
      <c r="S221" s="12" t="n">
        <v>20442</v>
      </c>
      <c r="T221" s="12" t="n">
        <v>14796</v>
      </c>
      <c r="U221" s="12" t="n">
        <v>4635</v>
      </c>
      <c r="V221" s="12" t="n">
        <v>4617</v>
      </c>
      <c r="W221" s="12" t="n">
        <v>31692</v>
      </c>
      <c r="X221" s="12" t="n">
        <v>26930</v>
      </c>
    </row>
    <row r="222">
      <c r="A222" s="18" t="inlineStr">
        <is>
          <t>Purchase Of Property Plant And Equipment And Intangible Assets Inv CF</t>
        </is>
      </c>
      <c r="C222" s="20" t="n">
        <v>-4439</v>
      </c>
      <c r="D222" s="20" t="n">
        <v>-6426</v>
      </c>
      <c r="F222" s="20" t="n">
        <v>-4896</v>
      </c>
      <c r="G222" s="20" t="n">
        <v>-7950</v>
      </c>
      <c r="H222" s="20" t="n">
        <v>-10943</v>
      </c>
      <c r="I222" s="20" t="n">
        <v>-3183</v>
      </c>
      <c r="J222" s="20" t="n">
        <v>-6098</v>
      </c>
      <c r="K222" s="20" t="n">
        <v>-8325</v>
      </c>
      <c r="L222" s="20" t="n">
        <v>-11393</v>
      </c>
      <c r="M222" s="20" t="n">
        <v>-2533</v>
      </c>
      <c r="N222" s="20" t="n">
        <v>-5806</v>
      </c>
      <c r="Q222" s="20" t="n">
        <v>-10718</v>
      </c>
      <c r="R222" s="20" t="n">
        <v>-10444</v>
      </c>
      <c r="S222" s="20" t="n">
        <v>-6107</v>
      </c>
      <c r="T222" s="20" t="n">
        <v>-14823</v>
      </c>
      <c r="U222" s="20" t="n">
        <v>-9878</v>
      </c>
      <c r="V222" s="20" t="n">
        <v>-6426</v>
      </c>
      <c r="W222" s="20" t="n">
        <v>-10943</v>
      </c>
      <c r="X222" s="20" t="n">
        <v>-11393</v>
      </c>
    </row>
    <row r="223">
      <c r="A223" s="18" t="inlineStr">
        <is>
          <t>Proceeds From Sale Of Property Plant And Equipment Inv CF</t>
        </is>
      </c>
      <c r="C223" s="20" t="n">
        <v>95</v>
      </c>
      <c r="D223" s="20" t="n">
        <v>297</v>
      </c>
      <c r="F223" s="20" t="n">
        <v>89</v>
      </c>
      <c r="G223" s="20" t="n">
        <v>102</v>
      </c>
      <c r="H223" s="20" t="n">
        <v>413</v>
      </c>
      <c r="I223" s="20" t="n">
        <v>33</v>
      </c>
      <c r="J223" s="20" t="n">
        <v>53</v>
      </c>
      <c r="K223" s="20" t="n">
        <v>63</v>
      </c>
      <c r="L223" s="20" t="n">
        <v>58</v>
      </c>
      <c r="M223" s="20" t="n">
        <v>18</v>
      </c>
      <c r="N223" s="20" t="n">
        <v>38</v>
      </c>
      <c r="Q223" s="20" t="n">
        <v>2331</v>
      </c>
      <c r="R223" s="20" t="n">
        <v>198</v>
      </c>
      <c r="S223" s="20" t="n">
        <v>3346</v>
      </c>
      <c r="T223" s="20" t="n">
        <v>532</v>
      </c>
      <c r="U223" s="20" t="n">
        <v>259</v>
      </c>
      <c r="V223" s="20" t="n">
        <v>297</v>
      </c>
      <c r="W223" s="20" t="n">
        <v>413</v>
      </c>
      <c r="X223" s="20" t="n">
        <v>58</v>
      </c>
    </row>
    <row r="224">
      <c r="A224" s="18" t="inlineStr">
        <is>
          <t>Payments For Purchase Of Subsidiaries And Affiliates Securities Inv CF</t>
        </is>
      </c>
      <c r="Q224" s="20" t="n">
        <v>-121</v>
      </c>
      <c r="R224" s="20" t="n">
        <v>0</v>
      </c>
    </row>
    <row r="225">
      <c r="A225" s="18" t="inlineStr">
        <is>
          <t>사업양수 지출</t>
        </is>
      </c>
      <c r="R225" s="20" t="n">
        <v>0</v>
      </c>
      <c r="S225" s="20" t="n">
        <v>-499</v>
      </c>
      <c r="T225" s="20" t="n">
        <v>0</v>
      </c>
    </row>
    <row r="226">
      <c r="A226" s="18" t="inlineStr">
        <is>
          <t>Purchase Of Investments In Subsidiaries Inv CF</t>
        </is>
      </c>
      <c r="R226" s="20" t="n">
        <v>0</v>
      </c>
      <c r="S226" s="20" t="n">
        <v>-10</v>
      </c>
      <c r="T226" s="20" t="n">
        <v>-65</v>
      </c>
      <c r="U226" s="20" t="n">
        <v>0</v>
      </c>
    </row>
    <row r="227">
      <c r="A227" s="18" t="inlineStr">
        <is>
          <t>연결범위 변경 자회사 주식 취득</t>
        </is>
      </c>
      <c r="C227" s="20" t="n">
        <v>0</v>
      </c>
      <c r="D227" s="20" t="n">
        <v>0</v>
      </c>
      <c r="F227" s="20" t="n">
        <v>-36046</v>
      </c>
      <c r="G227" s="20" t="n">
        <v>-36046</v>
      </c>
      <c r="H227" s="20" t="n">
        <v>-36046</v>
      </c>
      <c r="I227" s="20" t="n">
        <v>0</v>
      </c>
      <c r="J227" s="20" t="n">
        <v>0</v>
      </c>
      <c r="K227" s="20" t="n">
        <v>0</v>
      </c>
      <c r="L227" s="20" t="n">
        <v>0</v>
      </c>
      <c r="M227" s="20" t="n">
        <v>-4327</v>
      </c>
      <c r="N227" s="20" t="n">
        <v>-4327</v>
      </c>
      <c r="V227" s="20" t="n">
        <v>0</v>
      </c>
      <c r="W227" s="20" t="n">
        <v>-36046</v>
      </c>
      <c r="X227" s="20" t="n">
        <v>0</v>
      </c>
    </row>
    <row r="228">
      <c r="A228" s="18" t="inlineStr">
        <is>
          <t>Purchase Of Shares Of Associates Inv CF</t>
        </is>
      </c>
      <c r="J228" s="20" t="n">
        <v>0</v>
      </c>
      <c r="N228" s="20" t="n">
        <v>-12</v>
      </c>
    </row>
    <row r="229">
      <c r="A229" s="18" t="inlineStr">
        <is>
          <t>Purchase Of Other Financial Assets Inv CF</t>
        </is>
      </c>
      <c r="C229" s="20" t="n">
        <v>-54</v>
      </c>
      <c r="D229" s="20" t="n">
        <v>-309</v>
      </c>
      <c r="F229" s="20" t="n">
        <v>-190</v>
      </c>
      <c r="G229" s="20" t="n">
        <v>-228</v>
      </c>
      <c r="H229" s="20" t="n">
        <v>-215</v>
      </c>
      <c r="I229" s="20" t="n">
        <v>-488</v>
      </c>
      <c r="J229" s="20" t="n">
        <v>-175</v>
      </c>
      <c r="K229" s="20" t="n">
        <v>-453</v>
      </c>
      <c r="L229" s="20" t="n">
        <v>-602</v>
      </c>
      <c r="M229" s="20" t="n">
        <v>-23</v>
      </c>
      <c r="N229" s="20" t="n">
        <v>-410</v>
      </c>
      <c r="Q229" s="20" t="n">
        <v>-821</v>
      </c>
      <c r="R229" s="20" t="n">
        <v>-47</v>
      </c>
      <c r="S229" s="20" t="n">
        <v>-398</v>
      </c>
      <c r="T229" s="20" t="n">
        <v>-41</v>
      </c>
      <c r="U229" s="20" t="n">
        <v>-536</v>
      </c>
      <c r="V229" s="20" t="n">
        <v>-309</v>
      </c>
      <c r="W229" s="20" t="n">
        <v>-215</v>
      </c>
      <c r="X229" s="20" t="n">
        <v>-602</v>
      </c>
    </row>
    <row r="230">
      <c r="A230" s="18" t="inlineStr">
        <is>
          <t>Proceeds From Sale And Redemption Of Other Financial Assets Inv CF</t>
        </is>
      </c>
      <c r="C230" s="20" t="n">
        <v>250</v>
      </c>
      <c r="D230" s="20" t="n">
        <v>446</v>
      </c>
      <c r="F230" s="20" t="n">
        <v>223</v>
      </c>
      <c r="G230" s="20" t="n">
        <v>216</v>
      </c>
      <c r="H230" s="20" t="n">
        <v>443</v>
      </c>
      <c r="I230" s="20" t="n">
        <v>16</v>
      </c>
      <c r="J230" s="20" t="n">
        <v>246</v>
      </c>
      <c r="K230" s="20" t="n">
        <v>439</v>
      </c>
      <c r="L230" s="20" t="n">
        <v>499</v>
      </c>
      <c r="M230" s="20" t="n">
        <v>436</v>
      </c>
      <c r="N230" s="20" t="n">
        <v>733</v>
      </c>
      <c r="Q230" s="20" t="n">
        <v>8961</v>
      </c>
      <c r="R230" s="20" t="n">
        <v>1069</v>
      </c>
      <c r="S230" s="20" t="n">
        <v>260</v>
      </c>
      <c r="T230" s="20" t="n">
        <v>260</v>
      </c>
      <c r="U230" s="20" t="n">
        <v>563</v>
      </c>
      <c r="V230" s="20" t="n">
        <v>446</v>
      </c>
      <c r="W230" s="20" t="n">
        <v>443</v>
      </c>
      <c r="X230" s="20" t="n">
        <v>499</v>
      </c>
    </row>
    <row r="231">
      <c r="A231" s="18" t="inlineStr">
        <is>
          <t>이자 수취</t>
        </is>
      </c>
      <c r="I231" s="20" t="n">
        <v>104</v>
      </c>
      <c r="J231" s="20" t="n">
        <v>202</v>
      </c>
      <c r="M231" s="20" t="n">
        <v>198</v>
      </c>
      <c r="N231" s="20" t="n">
        <v>259</v>
      </c>
    </row>
    <row r="232">
      <c r="A232" s="18" t="inlineStr">
        <is>
          <t>배당금 수취액</t>
        </is>
      </c>
      <c r="I232" s="20" t="n">
        <v>119</v>
      </c>
      <c r="J232" s="20" t="n">
        <v>241</v>
      </c>
      <c r="M232" s="20" t="n">
        <v>138</v>
      </c>
      <c r="N232" s="20" t="n">
        <v>300</v>
      </c>
    </row>
    <row r="233">
      <c r="A233" s="18" t="inlineStr">
        <is>
          <t>Proceeds From Government Grants Inv CF</t>
        </is>
      </c>
      <c r="I233" s="20" t="n">
        <v>0</v>
      </c>
      <c r="J233" s="20" t="n">
        <v>0</v>
      </c>
      <c r="M233" s="20" t="n">
        <v>120</v>
      </c>
      <c r="N233" s="20" t="n">
        <v>143</v>
      </c>
    </row>
    <row r="234">
      <c r="A234" s="18" t="inlineStr">
        <is>
          <t>기타</t>
        </is>
      </c>
      <c r="C234" s="20" t="n">
        <v>-4</v>
      </c>
      <c r="D234" s="20" t="n">
        <v>-64</v>
      </c>
      <c r="F234" s="20" t="n">
        <v>70</v>
      </c>
      <c r="G234" s="20" t="n">
        <v>62</v>
      </c>
      <c r="H234" s="20" t="n">
        <v>22</v>
      </c>
      <c r="I234" s="20" t="n">
        <v>-23</v>
      </c>
      <c r="J234" s="20" t="n">
        <v>-3</v>
      </c>
      <c r="K234" s="20" t="n">
        <v>-7</v>
      </c>
      <c r="L234" s="20" t="n">
        <v>-46</v>
      </c>
      <c r="M234" s="20" t="n">
        <v>-20</v>
      </c>
      <c r="N234" s="20" t="n">
        <v>-12</v>
      </c>
      <c r="Q234" s="20" t="n">
        <v>69</v>
      </c>
      <c r="R234" s="20" t="n">
        <v>-43</v>
      </c>
      <c r="S234" s="20" t="n">
        <v>10</v>
      </c>
      <c r="T234" s="20" t="n">
        <v>-24</v>
      </c>
      <c r="U234" s="20" t="n">
        <v>134</v>
      </c>
      <c r="V234" s="20" t="n">
        <v>-64</v>
      </c>
      <c r="W234" s="20" t="n">
        <v>22</v>
      </c>
      <c r="X234" s="20" t="n">
        <v>-46</v>
      </c>
    </row>
    <row r="235">
      <c r="A235" s="9" t="inlineStr">
        <is>
          <t>투자활동 현금흐름</t>
        </is>
      </c>
      <c r="C235" s="12" t="n">
        <v>-4151</v>
      </c>
      <c r="D235" s="12" t="n">
        <v>-6056</v>
      </c>
      <c r="F235" s="12" t="n">
        <v>-40749</v>
      </c>
      <c r="G235" s="12" t="n">
        <v>-43843</v>
      </c>
      <c r="H235" s="12" t="n">
        <v>-46325</v>
      </c>
      <c r="I235" s="12" t="n">
        <v>-3421</v>
      </c>
      <c r="J235" s="12" t="n">
        <v>-5532</v>
      </c>
      <c r="K235" s="12" t="n">
        <v>-8284</v>
      </c>
      <c r="L235" s="12" t="n">
        <v>-11485</v>
      </c>
      <c r="M235" s="12" t="n">
        <v>-5993</v>
      </c>
      <c r="N235" s="12" t="n">
        <v>-9093</v>
      </c>
      <c r="Q235" s="12" t="n">
        <v>-299</v>
      </c>
      <c r="R235" s="12" t="n">
        <v>-9267</v>
      </c>
      <c r="S235" s="12" t="n">
        <v>-3398</v>
      </c>
      <c r="T235" s="12" t="n">
        <v>-14162</v>
      </c>
      <c r="U235" s="12" t="n">
        <v>-9457</v>
      </c>
      <c r="V235" s="12" t="n">
        <v>-6056</v>
      </c>
      <c r="W235" s="12" t="n">
        <v>-46325</v>
      </c>
      <c r="X235" s="12" t="n">
        <v>-11485</v>
      </c>
    </row>
    <row r="236">
      <c r="A236" s="18" t="inlineStr">
        <is>
          <t>단기차입금 순증감</t>
        </is>
      </c>
      <c r="C236" s="20" t="n">
        <v>-4211</v>
      </c>
      <c r="D236" s="20" t="n">
        <v>9209</v>
      </c>
      <c r="F236" s="20" t="n">
        <v>12118</v>
      </c>
      <c r="G236" s="20" t="n">
        <v>22409</v>
      </c>
      <c r="H236" s="20" t="n">
        <v>-15632</v>
      </c>
      <c r="I236" s="20" t="n">
        <v>1675</v>
      </c>
      <c r="J236" s="20" t="n">
        <v>890</v>
      </c>
      <c r="K236" s="20" t="n">
        <v>14768</v>
      </c>
      <c r="L236" s="20" t="n">
        <v>2119</v>
      </c>
      <c r="M236" s="20" t="n">
        <v>-6306</v>
      </c>
      <c r="N236" s="20" t="n">
        <v>-10853</v>
      </c>
      <c r="Q236" s="20" t="n">
        <v>2301</v>
      </c>
      <c r="R236" s="20" t="n">
        <v>430</v>
      </c>
      <c r="S236" s="20" t="n">
        <v>23927</v>
      </c>
      <c r="T236" s="20" t="n">
        <v>-23145</v>
      </c>
      <c r="U236" s="20" t="n">
        <v>6319</v>
      </c>
      <c r="V236" s="20" t="n">
        <v>9209</v>
      </c>
      <c r="W236" s="20" t="n">
        <v>-15632</v>
      </c>
      <c r="X236" s="20" t="n">
        <v>2119</v>
      </c>
    </row>
    <row r="237">
      <c r="A237" s="18" t="inlineStr">
        <is>
          <t>Proceeds From Long Term Borrowings Fin CF</t>
        </is>
      </c>
      <c r="C237" s="20" t="n">
        <v>10270</v>
      </c>
      <c r="D237" s="20" t="n">
        <v>10387</v>
      </c>
      <c r="F237" s="20" t="n">
        <v>0</v>
      </c>
      <c r="G237" s="20" t="n">
        <v>7792</v>
      </c>
      <c r="H237" s="20" t="n">
        <v>8587</v>
      </c>
      <c r="I237" s="20" t="n">
        <v>4913</v>
      </c>
      <c r="J237" s="20" t="n">
        <v>6011</v>
      </c>
      <c r="K237" s="20" t="n">
        <v>12130</v>
      </c>
      <c r="L237" s="20" t="n">
        <v>10382</v>
      </c>
      <c r="M237" s="20" t="n">
        <v>7000</v>
      </c>
      <c r="N237" s="20" t="n">
        <v>7000</v>
      </c>
      <c r="Q237" s="20" t="n">
        <v>7726</v>
      </c>
      <c r="R237" s="20" t="n">
        <v>1076</v>
      </c>
      <c r="S237" s="20" t="n">
        <v>1036</v>
      </c>
      <c r="T237" s="20" t="n">
        <v>2777</v>
      </c>
      <c r="U237" s="20" t="n">
        <v>1044</v>
      </c>
      <c r="V237" s="20" t="n">
        <v>10387</v>
      </c>
      <c r="W237" s="20" t="n">
        <v>8587</v>
      </c>
      <c r="X237" s="20" t="n">
        <v>10382</v>
      </c>
    </row>
    <row r="238">
      <c r="A238" s="18" t="inlineStr">
        <is>
          <t>장기차입금 상환</t>
        </is>
      </c>
      <c r="C238" s="20" t="n">
        <v>-490</v>
      </c>
      <c r="D238" s="20" t="n">
        <v>-865</v>
      </c>
      <c r="F238" s="20" t="n">
        <v>-4960</v>
      </c>
      <c r="G238" s="20" t="n">
        <v>-5219</v>
      </c>
      <c r="H238" s="20" t="n">
        <v>-5574</v>
      </c>
      <c r="I238" s="20" t="n">
        <v>-7131</v>
      </c>
      <c r="J238" s="20" t="n">
        <v>-12238</v>
      </c>
      <c r="K238" s="20" t="n">
        <v>-12354</v>
      </c>
      <c r="L238" s="20" t="n">
        <v>-5753</v>
      </c>
      <c r="M238" s="20" t="n">
        <v>-7878</v>
      </c>
      <c r="N238" s="20" t="n">
        <v>-12632</v>
      </c>
      <c r="Q238" s="20" t="n">
        <v>-8497</v>
      </c>
      <c r="R238" s="20" t="n">
        <v>-2539</v>
      </c>
      <c r="S238" s="20" t="n">
        <v>-7888</v>
      </c>
      <c r="T238" s="20" t="n">
        <v>-673</v>
      </c>
      <c r="U238" s="20" t="n">
        <v>-1036</v>
      </c>
      <c r="V238" s="20" t="n">
        <v>-865</v>
      </c>
      <c r="W238" s="20" t="n">
        <v>-5574</v>
      </c>
      <c r="X238" s="20" t="n">
        <v>-5753</v>
      </c>
    </row>
    <row r="239">
      <c r="A239" s="18" t="inlineStr">
        <is>
          <t>사채 발행</t>
        </is>
      </c>
      <c r="C239" s="20" t="n">
        <v>984</v>
      </c>
      <c r="D239" s="20" t="n">
        <v>984</v>
      </c>
      <c r="F239" s="20" t="n">
        <v>0</v>
      </c>
      <c r="G239" s="20" t="n">
        <v>0</v>
      </c>
      <c r="H239" s="20" t="n">
        <v>0</v>
      </c>
      <c r="U239" s="20" t="n">
        <v>0</v>
      </c>
      <c r="V239" s="20" t="n">
        <v>984</v>
      </c>
      <c r="W239" s="20" t="n">
        <v>0</v>
      </c>
    </row>
    <row r="240">
      <c r="A240" s="18" t="inlineStr">
        <is>
          <t>사채 상환</t>
        </is>
      </c>
      <c r="C240" s="20" t="n">
        <v>0</v>
      </c>
      <c r="D240" s="20" t="n">
        <v>0</v>
      </c>
      <c r="F240" s="20" t="n">
        <v>-1000</v>
      </c>
      <c r="G240" s="20" t="n">
        <v>-1000</v>
      </c>
      <c r="H240" s="20" t="n">
        <v>-1000</v>
      </c>
      <c r="J240" s="20" t="n">
        <v>0</v>
      </c>
      <c r="K240" s="20" t="n">
        <v>0</v>
      </c>
      <c r="L240" s="20" t="n">
        <v>0</v>
      </c>
      <c r="V240" s="20" t="n">
        <v>0</v>
      </c>
      <c r="W240" s="20" t="n">
        <v>-1000</v>
      </c>
      <c r="X240" s="20" t="n">
        <v>0</v>
      </c>
    </row>
    <row r="241">
      <c r="A241" s="18" t="inlineStr">
        <is>
          <t>리스부채 상환 지출</t>
        </is>
      </c>
      <c r="C241" s="20" t="n">
        <v>-516</v>
      </c>
      <c r="D241" s="20" t="n">
        <v>-736</v>
      </c>
      <c r="F241" s="20" t="n">
        <v>-459</v>
      </c>
      <c r="G241" s="20" t="n">
        <v>-686</v>
      </c>
      <c r="H241" s="20" t="n">
        <v>-904</v>
      </c>
      <c r="I241" s="20" t="n">
        <v>-239</v>
      </c>
      <c r="J241" s="20" t="n">
        <v>-451</v>
      </c>
      <c r="K241" s="20" t="n">
        <v>-677</v>
      </c>
      <c r="L241" s="20" t="n">
        <v>-863</v>
      </c>
      <c r="M241" s="20" t="n">
        <v>-220</v>
      </c>
      <c r="N241" s="20" t="n">
        <v>-461</v>
      </c>
      <c r="Q241" s="20" t="n">
        <v>-711</v>
      </c>
      <c r="R241" s="20" t="n">
        <v>-774</v>
      </c>
      <c r="S241" s="20" t="n">
        <v>-662</v>
      </c>
      <c r="T241" s="20" t="n">
        <v>-812</v>
      </c>
      <c r="U241" s="20" t="n">
        <v>-743</v>
      </c>
      <c r="V241" s="20" t="n">
        <v>-736</v>
      </c>
      <c r="W241" s="20" t="n">
        <v>-904</v>
      </c>
      <c r="X241" s="20" t="n">
        <v>-863</v>
      </c>
    </row>
    <row r="242">
      <c r="A242" s="18" t="inlineStr">
        <is>
          <t>배당금 지급</t>
        </is>
      </c>
      <c r="C242" s="20" t="n">
        <v>-3273</v>
      </c>
      <c r="D242" s="20" t="n">
        <v>-3277</v>
      </c>
      <c r="F242" s="20" t="n">
        <v>-3526</v>
      </c>
      <c r="G242" s="20" t="n">
        <v>-3530</v>
      </c>
      <c r="H242" s="20" t="n">
        <v>-3533</v>
      </c>
      <c r="I242" s="20" t="n">
        <v>-5226</v>
      </c>
      <c r="J242" s="20" t="n">
        <v>-5270</v>
      </c>
      <c r="K242" s="20" t="n">
        <v>-5331</v>
      </c>
      <c r="L242" s="20" t="n">
        <v>-5335</v>
      </c>
      <c r="M242" s="20" t="n">
        <v>-4284</v>
      </c>
      <c r="N242" s="20" t="n">
        <v>-4359</v>
      </c>
      <c r="Q242" s="20" t="n">
        <v>-2668</v>
      </c>
      <c r="R242" s="20" t="n">
        <v>-3553</v>
      </c>
      <c r="S242" s="20" t="n">
        <v>-3112</v>
      </c>
      <c r="T242" s="20" t="n">
        <v>-3219</v>
      </c>
      <c r="U242" s="20" t="n">
        <v>-3278</v>
      </c>
      <c r="V242" s="20" t="n">
        <v>-3277</v>
      </c>
      <c r="W242" s="20" t="n">
        <v>-3533</v>
      </c>
      <c r="X242" s="20" t="n">
        <v>-5335</v>
      </c>
    </row>
    <row r="243">
      <c r="A243" s="18" t="inlineStr">
        <is>
          <t>비지배주주 배당금 지급</t>
        </is>
      </c>
      <c r="C243" s="20" t="n">
        <v>-72</v>
      </c>
      <c r="D243" s="20" t="n">
        <v>-72</v>
      </c>
      <c r="F243" s="20" t="n">
        <v>0</v>
      </c>
      <c r="G243" s="20" t="n">
        <v>-2467</v>
      </c>
      <c r="H243" s="20" t="n">
        <v>-4916</v>
      </c>
      <c r="I243" s="20" t="n">
        <v>-667</v>
      </c>
      <c r="J243" s="20" t="n">
        <v>-1608</v>
      </c>
      <c r="K243" s="20" t="n">
        <v>-2298</v>
      </c>
      <c r="L243" s="20" t="n">
        <v>-2761</v>
      </c>
      <c r="M243" s="20" t="n">
        <v>-141</v>
      </c>
      <c r="N243" s="20" t="n">
        <v>-380</v>
      </c>
      <c r="Q243" s="20" t="n">
        <v>-74</v>
      </c>
      <c r="R243" s="20" t="n">
        <v>-77</v>
      </c>
      <c r="S243" s="20" t="n">
        <v>-68</v>
      </c>
      <c r="T243" s="20" t="n">
        <v>-91</v>
      </c>
      <c r="U243" s="20" t="n">
        <v>-72</v>
      </c>
      <c r="V243" s="20" t="n">
        <v>-72</v>
      </c>
      <c r="W243" s="20" t="n">
        <v>-4916</v>
      </c>
      <c r="X243" s="20" t="n">
        <v>-2761</v>
      </c>
    </row>
    <row r="244">
      <c r="A244" s="18" t="inlineStr">
        <is>
          <t>기타</t>
        </is>
      </c>
      <c r="Q244" s="20" t="n">
        <v>248</v>
      </c>
      <c r="R244" s="20" t="n">
        <v>369</v>
      </c>
    </row>
    <row r="245">
      <c r="A245" s="18" t="inlineStr">
        <is>
          <t>비지배지분에 자회사 지분 매각 수입</t>
        </is>
      </c>
      <c r="S245" s="20" t="n">
        <v>0</v>
      </c>
      <c r="T245" s="20" t="n">
        <v>14</v>
      </c>
      <c r="U245" s="20" t="n">
        <v>0</v>
      </c>
    </row>
    <row r="246">
      <c r="A246" s="18" t="inlineStr">
        <is>
          <t>비지배주주 납입</t>
        </is>
      </c>
      <c r="D246" s="20" t="n">
        <v>0</v>
      </c>
      <c r="T246" s="20" t="n">
        <v>0</v>
      </c>
      <c r="U246" s="20" t="n">
        <v>100</v>
      </c>
      <c r="V246" s="20" t="n">
        <v>0</v>
      </c>
    </row>
    <row r="247">
      <c r="A247" s="18" t="inlineStr">
        <is>
          <t>비지배지분으로부터 자회사 지분 취득 지출</t>
        </is>
      </c>
      <c r="D247" s="20" t="n">
        <v>0</v>
      </c>
      <c r="T247" s="20" t="n">
        <v>0</v>
      </c>
      <c r="U247" s="20" t="n">
        <v>-58</v>
      </c>
      <c r="V247" s="20" t="n">
        <v>0</v>
      </c>
    </row>
    <row r="248">
      <c r="A248" s="18" t="inlineStr">
        <is>
          <t>Purchase Of Shares Of Subsidiaries Resulting In No Change In Scope Of Consolidation Fin CF</t>
        </is>
      </c>
      <c r="C248" s="20" t="n">
        <v>0</v>
      </c>
      <c r="D248" s="20" t="n">
        <v>0</v>
      </c>
      <c r="F248" s="20" t="n">
        <v>-1291</v>
      </c>
      <c r="G248" s="20" t="n">
        <v>-1713</v>
      </c>
      <c r="H248" s="20" t="n">
        <v>-1713</v>
      </c>
      <c r="I248" s="20" t="n">
        <v>0</v>
      </c>
      <c r="J248" s="20" t="n">
        <v>0</v>
      </c>
      <c r="K248" s="20" t="n">
        <v>0</v>
      </c>
      <c r="L248" s="20" t="n">
        <v>0</v>
      </c>
      <c r="M248" s="20" t="n">
        <v>-867</v>
      </c>
      <c r="N248" s="20" t="n">
        <v>-867</v>
      </c>
      <c r="V248" s="20" t="n">
        <v>0</v>
      </c>
      <c r="W248" s="20" t="n">
        <v>-1713</v>
      </c>
      <c r="X248" s="20" t="n">
        <v>0</v>
      </c>
    </row>
    <row r="249">
      <c r="A249" s="18" t="inlineStr">
        <is>
          <t>Net Decrease Increase In Treasury Shares Fin CF</t>
        </is>
      </c>
      <c r="C249" s="20" t="n">
        <v>-2</v>
      </c>
      <c r="D249" s="20" t="n">
        <v>-2</v>
      </c>
      <c r="F249" s="20" t="n">
        <v>-0</v>
      </c>
      <c r="G249" s="20" t="n">
        <v>23127</v>
      </c>
      <c r="H249" s="20" t="n">
        <v>23129</v>
      </c>
      <c r="I249" s="20" t="n">
        <v>-3105</v>
      </c>
      <c r="J249" s="20" t="n">
        <v>-6907</v>
      </c>
      <c r="K249" s="20" t="n">
        <v>-8184</v>
      </c>
      <c r="L249" s="20" t="n">
        <v>-8184</v>
      </c>
      <c r="M249" s="20" t="n">
        <v>-1342</v>
      </c>
      <c r="N249" s="20" t="n">
        <v>-1343</v>
      </c>
      <c r="R249" s="20" t="n">
        <v>369</v>
      </c>
      <c r="S249" s="20" t="n">
        <v>-1127</v>
      </c>
      <c r="T249" s="20" t="n">
        <v>-2500</v>
      </c>
      <c r="U249" s="20" t="n">
        <v>-7786</v>
      </c>
      <c r="V249" s="20" t="n">
        <v>-2</v>
      </c>
      <c r="W249" s="20" t="n">
        <v>23129</v>
      </c>
      <c r="X249" s="20" t="n">
        <v>-8184</v>
      </c>
    </row>
    <row r="250">
      <c r="A250" s="18" t="inlineStr">
        <is>
          <t>Income By Settlement In Derivatives Fin CF</t>
        </is>
      </c>
      <c r="C250" s="20" t="n">
        <v>0</v>
      </c>
      <c r="D250" s="20" t="n">
        <v>0</v>
      </c>
      <c r="F250" s="20" t="n">
        <v>985</v>
      </c>
      <c r="G250" s="20" t="n">
        <v>985</v>
      </c>
      <c r="H250" s="20" t="n">
        <v>985</v>
      </c>
      <c r="J250" s="20" t="n">
        <v>0</v>
      </c>
      <c r="K250" s="20" t="n">
        <v>0</v>
      </c>
      <c r="L250" s="20" t="n">
        <v>0</v>
      </c>
      <c r="V250" s="20" t="n">
        <v>0</v>
      </c>
      <c r="W250" s="20" t="n">
        <v>985</v>
      </c>
      <c r="X250" s="20" t="n">
        <v>0</v>
      </c>
    </row>
    <row r="251">
      <c r="A251" s="18" t="inlineStr">
        <is>
          <t>이자 지급</t>
        </is>
      </c>
      <c r="I251" s="20" t="n">
        <v>-928</v>
      </c>
      <c r="J251" s="20" t="n">
        <v>-1316</v>
      </c>
      <c r="M251" s="20" t="n">
        <v>-851</v>
      </c>
      <c r="N251" s="20" t="n">
        <v>-1393</v>
      </c>
    </row>
    <row r="252">
      <c r="A252" s="9" t="inlineStr">
        <is>
          <t>재무활동 현금흐름</t>
        </is>
      </c>
      <c r="C252" s="12" t="n">
        <v>2687</v>
      </c>
      <c r="D252" s="12" t="n">
        <v>15626</v>
      </c>
      <c r="F252" s="12" t="n">
        <v>1866</v>
      </c>
      <c r="G252" s="12" t="n">
        <v>39697</v>
      </c>
      <c r="H252" s="12" t="n">
        <v>-571</v>
      </c>
      <c r="I252" s="12" t="n">
        <v>-10708</v>
      </c>
      <c r="J252" s="12" t="n">
        <v>-20891</v>
      </c>
      <c r="K252" s="12" t="n">
        <v>-1947</v>
      </c>
      <c r="L252" s="12" t="n">
        <v>-10394</v>
      </c>
      <c r="M252" s="12" t="n">
        <v>-14891</v>
      </c>
      <c r="N252" s="12" t="n">
        <v>-25291</v>
      </c>
      <c r="Q252" s="12" t="n">
        <v>-1675</v>
      </c>
      <c r="R252" s="12" t="n">
        <v>-5068</v>
      </c>
      <c r="S252" s="12" t="n">
        <v>12104</v>
      </c>
      <c r="T252" s="12" t="n">
        <v>-27652</v>
      </c>
      <c r="U252" s="12" t="n">
        <v>-5512</v>
      </c>
      <c r="V252" s="12" t="n">
        <v>15626</v>
      </c>
      <c r="W252" s="12" t="n">
        <v>-571</v>
      </c>
      <c r="X252" s="12" t="n">
        <v>-10394</v>
      </c>
    </row>
    <row r="253">
      <c r="A253" s="18" t="inlineStr">
        <is>
          <t>Net Increase Decrease In Cash And Cash Equivalents Before Effect Of Exchange Rate Changes</t>
        </is>
      </c>
      <c r="C253" s="20" t="n">
        <v>8426</v>
      </c>
      <c r="D253" s="20" t="n">
        <v>14187</v>
      </c>
      <c r="F253" s="20" t="n">
        <v>-12081</v>
      </c>
      <c r="G253" s="20" t="n">
        <v>12013</v>
      </c>
      <c r="H253" s="20" t="n">
        <v>-15205</v>
      </c>
      <c r="I253" s="20" t="n">
        <v>-5019</v>
      </c>
      <c r="J253" s="20" t="n">
        <v>-1980</v>
      </c>
      <c r="K253" s="20" t="n">
        <v>4606</v>
      </c>
      <c r="L253" s="20" t="n">
        <v>5050</v>
      </c>
      <c r="M253" s="20" t="n">
        <v>-11734</v>
      </c>
      <c r="N253" s="20" t="n">
        <v>-12580</v>
      </c>
      <c r="Q253" s="20" t="n">
        <v>8748</v>
      </c>
      <c r="R253" s="20" t="n">
        <v>-2112</v>
      </c>
      <c r="S253" s="20" t="n">
        <v>29148</v>
      </c>
      <c r="T253" s="20" t="n">
        <v>-27018</v>
      </c>
      <c r="U253" s="20" t="n">
        <v>-10334</v>
      </c>
      <c r="V253" s="20" t="n">
        <v>14187</v>
      </c>
      <c r="W253" s="20" t="n">
        <v>-15205</v>
      </c>
      <c r="X253" s="20" t="n">
        <v>5050</v>
      </c>
    </row>
    <row r="254">
      <c r="A254" s="18" t="inlineStr">
        <is>
          <t>현금성자산 환율변동 효과</t>
        </is>
      </c>
      <c r="C254" s="20" t="n">
        <v>702</v>
      </c>
      <c r="D254" s="20" t="n">
        <v>433</v>
      </c>
      <c r="F254" s="20" t="n">
        <v>615</v>
      </c>
      <c r="G254" s="20" t="n">
        <v>-29</v>
      </c>
      <c r="H254" s="20" t="n">
        <v>468</v>
      </c>
      <c r="I254" s="20" t="n">
        <v>-367</v>
      </c>
      <c r="J254" s="20" t="n">
        <v>-371</v>
      </c>
      <c r="K254" s="20" t="n">
        <v>-130</v>
      </c>
      <c r="L254" s="20" t="n">
        <v>520</v>
      </c>
      <c r="M254" s="20" t="n">
        <v>126</v>
      </c>
      <c r="N254" s="20" t="n">
        <v>268</v>
      </c>
      <c r="Q254" s="20" t="n">
        <v>-185</v>
      </c>
      <c r="R254" s="20" t="n">
        <v>-35</v>
      </c>
      <c r="S254" s="20" t="n">
        <v>359</v>
      </c>
      <c r="T254" s="20" t="n">
        <v>1480</v>
      </c>
      <c r="U254" s="20" t="n">
        <v>493</v>
      </c>
      <c r="V254" s="20" t="n">
        <v>433</v>
      </c>
      <c r="W254" s="20" t="n">
        <v>468</v>
      </c>
      <c r="X254" s="20" t="n">
        <v>520</v>
      </c>
    </row>
    <row r="255">
      <c r="A255" s="18" t="inlineStr">
        <is>
          <t>Net Increase Decrease In Cash And Cash Equivalents Relating To Transfer Of Assets Held For Sale</t>
        </is>
      </c>
      <c r="Q255" s="20" t="n">
        <v>-704</v>
      </c>
      <c r="R255" s="20" t="n">
        <v>0</v>
      </c>
    </row>
    <row r="256">
      <c r="A256" s="9" t="inlineStr">
        <is>
          <t>법인세차감전 이익</t>
        </is>
      </c>
      <c r="C256" s="12" t="n">
        <v>15053</v>
      </c>
      <c r="D256" s="12" t="n">
        <v>16489</v>
      </c>
      <c r="F256" s="12" t="n">
        <v>23131</v>
      </c>
      <c r="G256" s="12" t="n">
        <v>30895</v>
      </c>
      <c r="H256" s="12" t="n">
        <v>33665</v>
      </c>
      <c r="J256" s="12" t="n">
        <v>9981</v>
      </c>
      <c r="K256" s="12" t="n">
        <v>16581</v>
      </c>
      <c r="L256" s="12" t="n">
        <v>21118</v>
      </c>
      <c r="Q256" s="12" t="n">
        <v>12213</v>
      </c>
      <c r="R256" s="12" t="n">
        <v>13888</v>
      </c>
      <c r="S256" s="12" t="n">
        <v>10624</v>
      </c>
      <c r="T256" s="12" t="n">
        <v>13880</v>
      </c>
      <c r="U256" s="12" t="n">
        <v>12557</v>
      </c>
      <c r="V256" s="12" t="n">
        <v>16489</v>
      </c>
      <c r="W256" s="12" t="n">
        <v>33665</v>
      </c>
      <c r="X256" s="12" t="n">
        <v>21118</v>
      </c>
    </row>
    <row r="257">
      <c r="A257" s="9" t="inlineStr">
        <is>
          <t>법인세차감전 순이익</t>
        </is>
      </c>
      <c r="O257" s="12" t="n">
        <v>11269</v>
      </c>
      <c r="P257" s="12" t="n">
        <v>15610</v>
      </c>
      <c r="Q257" s="12" t="n">
        <v>15928</v>
      </c>
    </row>
    <row r="258">
      <c r="A258" s="18" t="inlineStr">
        <is>
          <t>감가상각비</t>
        </is>
      </c>
      <c r="O258" s="20" t="n">
        <v>5732</v>
      </c>
      <c r="P258" s="20" t="n">
        <v>5813</v>
      </c>
      <c r="Q258" s="20" t="n">
        <v>5194</v>
      </c>
    </row>
    <row r="259">
      <c r="A259" s="18" t="inlineStr">
        <is>
          <t>손상차손</t>
        </is>
      </c>
      <c r="O259" s="20" t="n">
        <v>990</v>
      </c>
      <c r="P259" s="20" t="n">
        <v>1337</v>
      </c>
      <c r="Q259" s="20" t="n">
        <v>844</v>
      </c>
    </row>
    <row r="260">
      <c r="A260" s="18" t="inlineStr">
        <is>
          <t>영업권 상각</t>
        </is>
      </c>
      <c r="O260" s="20" t="n">
        <v>752</v>
      </c>
      <c r="P260" s="20" t="n">
        <v>722</v>
      </c>
      <c r="Q260" s="20" t="n">
        <v>419</v>
      </c>
    </row>
    <row r="261">
      <c r="A261" s="18" t="inlineStr">
        <is>
          <t>이자·배당금 수익</t>
        </is>
      </c>
      <c r="O261" s="20" t="n">
        <v>-569</v>
      </c>
      <c r="P261" s="20" t="n">
        <v>-750</v>
      </c>
      <c r="Q261" s="20" t="n">
        <v>-619</v>
      </c>
    </row>
    <row r="262">
      <c r="A262" s="18" t="inlineStr">
        <is>
          <t>이자비용</t>
        </is>
      </c>
      <c r="O262" s="20" t="n">
        <v>195</v>
      </c>
      <c r="P262" s="20" t="n">
        <v>477</v>
      </c>
      <c r="Q262" s="20" t="n">
        <v>410</v>
      </c>
    </row>
    <row r="263">
      <c r="A263" s="18" t="inlineStr">
        <is>
          <t>상여충당금 증감</t>
        </is>
      </c>
      <c r="O263" s="20" t="n">
        <v>714</v>
      </c>
      <c r="P263" s="20" t="n">
        <v>18</v>
      </c>
      <c r="Q263" s="20" t="n">
        <v>42</v>
      </c>
    </row>
    <row r="264">
      <c r="A264" s="18" t="inlineStr">
        <is>
          <t>기타 충당금 증감</t>
        </is>
      </c>
      <c r="O264" s="20" t="n">
        <v>147</v>
      </c>
      <c r="P264" s="20" t="n">
        <v>93</v>
      </c>
      <c r="Q264" s="20" t="n">
        <v>-71</v>
      </c>
    </row>
    <row r="265">
      <c r="A265" s="18" t="inlineStr">
        <is>
          <t>퇴직급여부채 증감</t>
        </is>
      </c>
      <c r="O265" s="20" t="n">
        <v>147</v>
      </c>
      <c r="P265" s="20" t="n">
        <v>242</v>
      </c>
      <c r="Q265" s="20" t="n">
        <v>218</v>
      </c>
    </row>
    <row r="266">
      <c r="A266" s="18" t="inlineStr">
        <is>
          <t>지분법손익</t>
        </is>
      </c>
      <c r="O266" s="20" t="n">
        <v>-46</v>
      </c>
      <c r="P266" s="20" t="n">
        <v>44</v>
      </c>
      <c r="Q266" s="20" t="n">
        <v>96</v>
      </c>
    </row>
    <row r="267">
      <c r="A267" s="18" t="inlineStr">
        <is>
          <t>유가증권 매각손익</t>
        </is>
      </c>
      <c r="O267" s="20" t="n">
        <v>0</v>
      </c>
      <c r="P267" s="20" t="n">
        <v>-1721</v>
      </c>
      <c r="Q267" s="20" t="n">
        <v>-4517</v>
      </c>
    </row>
    <row r="268">
      <c r="A268" s="18" t="inlineStr">
        <is>
          <t>Loss Gain On Valuation Of Securities Ope CF</t>
        </is>
      </c>
      <c r="O268" s="20" t="n">
        <v>223</v>
      </c>
      <c r="P268" s="20" t="n">
        <v>2</v>
      </c>
    </row>
    <row r="269">
      <c r="A269" s="18" t="inlineStr">
        <is>
          <t>관계회사 주식 매각손익</t>
        </is>
      </c>
      <c r="O269" s="20" t="n">
        <v>0</v>
      </c>
      <c r="P269" s="20" t="n">
        <v>-2171</v>
      </c>
      <c r="Q269" s="20" t="n">
        <v>0</v>
      </c>
    </row>
    <row r="270">
      <c r="A270" s="18" t="inlineStr">
        <is>
          <t>고정자산 제각·매각손익</t>
        </is>
      </c>
      <c r="O270" s="20" t="n">
        <v>-1521</v>
      </c>
      <c r="P270" s="20" t="n">
        <v>-158</v>
      </c>
      <c r="Q270" s="20" t="n">
        <v>-1254</v>
      </c>
    </row>
    <row r="271">
      <c r="A271" s="18" t="inlineStr">
        <is>
          <t>사업양도 손익</t>
        </is>
      </c>
      <c r="O271" s="20" t="n">
        <v>0</v>
      </c>
      <c r="P271" s="20" t="n">
        <v>-330</v>
      </c>
      <c r="Q271" s="20" t="n">
        <v>0</v>
      </c>
    </row>
    <row r="272">
      <c r="A272" s="18" t="inlineStr">
        <is>
          <t>채무면제이익</t>
        </is>
      </c>
      <c r="O272" s="20" t="n">
        <v>-307</v>
      </c>
      <c r="P272" s="20" t="n">
        <v>0</v>
      </c>
    </row>
    <row r="273">
      <c r="A273" s="18" t="inlineStr">
        <is>
          <t>Compensation Income For Expropriation Ope CF</t>
        </is>
      </c>
      <c r="O273" s="20" t="n">
        <v>-236</v>
      </c>
      <c r="P273" s="20" t="n">
        <v>-11</v>
      </c>
      <c r="Q273" s="20" t="n">
        <v>0</v>
      </c>
    </row>
    <row r="274">
      <c r="A274" s="18" t="inlineStr">
        <is>
          <t>매출채권 증감</t>
        </is>
      </c>
      <c r="O274" s="20" t="n">
        <v>-1748</v>
      </c>
      <c r="P274" s="20" t="n">
        <v>-2993</v>
      </c>
      <c r="Q274" s="20" t="n">
        <v>-192</v>
      </c>
    </row>
    <row r="275">
      <c r="A275" s="18" t="inlineStr">
        <is>
          <t>재고자산 증감</t>
        </is>
      </c>
      <c r="O275" s="20" t="n">
        <v>4041</v>
      </c>
      <c r="P275" s="20" t="n">
        <v>-1876</v>
      </c>
      <c r="Q275" s="20" t="n">
        <v>-597</v>
      </c>
    </row>
    <row r="276">
      <c r="A276" s="18" t="inlineStr">
        <is>
          <t>미수금 증감</t>
        </is>
      </c>
      <c r="O276" s="20" t="n">
        <v>164</v>
      </c>
      <c r="P276" s="20" t="n">
        <v>-974</v>
      </c>
      <c r="Q276" s="20" t="n">
        <v>-501</v>
      </c>
    </row>
    <row r="277">
      <c r="A277" s="18" t="inlineStr">
        <is>
          <t>매입채무 증감</t>
        </is>
      </c>
      <c r="O277" s="20" t="n">
        <v>-1374</v>
      </c>
      <c r="P277" s="20" t="n">
        <v>3113</v>
      </c>
      <c r="Q277" s="20" t="n">
        <v>-46</v>
      </c>
    </row>
    <row r="278">
      <c r="A278" s="18" t="inlineStr">
        <is>
          <t>미지급금 증감</t>
        </is>
      </c>
      <c r="O278" s="20" t="n">
        <v>2173</v>
      </c>
      <c r="P278" s="20" t="n">
        <v>1203</v>
      </c>
      <c r="Q278" s="20" t="n">
        <v>80</v>
      </c>
    </row>
    <row r="279">
      <c r="A279" s="18" t="inlineStr">
        <is>
          <t>Proceeds From Lease And Guarantee Deposits Received Ope CF</t>
        </is>
      </c>
      <c r="O279" s="20" t="n">
        <v>1255</v>
      </c>
      <c r="P279" s="20" t="n">
        <v>615</v>
      </c>
      <c r="Q279" s="20" t="n">
        <v>0</v>
      </c>
    </row>
    <row r="280">
      <c r="A280" s="18" t="inlineStr">
        <is>
          <t>기타 유동자산 증감</t>
        </is>
      </c>
      <c r="O280" s="20" t="n">
        <v>156</v>
      </c>
      <c r="P280" s="20" t="n">
        <v>-260</v>
      </c>
      <c r="Q280" s="20" t="n">
        <v>-269</v>
      </c>
    </row>
    <row r="281">
      <c r="A281" s="18" t="inlineStr">
        <is>
          <t>기타 유동부채 증감</t>
        </is>
      </c>
      <c r="O281" s="20" t="n">
        <v>-110</v>
      </c>
      <c r="P281" s="20" t="n">
        <v>-255</v>
      </c>
      <c r="Q281" s="20" t="n">
        <v>321</v>
      </c>
    </row>
    <row r="282">
      <c r="A282" s="18" t="inlineStr">
        <is>
          <t>Other Increase Decrease Ope CF</t>
        </is>
      </c>
      <c r="O282" s="20" t="n">
        <v>542</v>
      </c>
      <c r="P282" s="20" t="n">
        <v>-51</v>
      </c>
      <c r="Q282" s="20" t="n">
        <v>-9</v>
      </c>
    </row>
    <row r="283">
      <c r="A283" s="18" t="inlineStr">
        <is>
          <t>소계</t>
        </is>
      </c>
      <c r="O283" s="20" t="n">
        <v>22591</v>
      </c>
      <c r="P283" s="20" t="n">
        <v>17738</v>
      </c>
      <c r="Q283" s="20" t="n">
        <v>15479</v>
      </c>
    </row>
    <row r="284">
      <c r="A284" s="18" t="inlineStr">
        <is>
          <t>이자·배당금 수취</t>
        </is>
      </c>
      <c r="O284" s="20" t="n">
        <v>541</v>
      </c>
      <c r="P284" s="20" t="n">
        <v>772</v>
      </c>
      <c r="Q284" s="20" t="n">
        <v>555</v>
      </c>
    </row>
    <row r="285">
      <c r="A285" s="18" t="inlineStr">
        <is>
          <t>이자 지급</t>
        </is>
      </c>
      <c r="O285" s="20" t="n">
        <v>-196</v>
      </c>
      <c r="P285" s="20" t="n">
        <v>-449</v>
      </c>
      <c r="Q285" s="20" t="n">
        <v>-404</v>
      </c>
    </row>
    <row r="286">
      <c r="A286" s="18" t="inlineStr">
        <is>
          <t>법인세 납부</t>
        </is>
      </c>
      <c r="O286" s="20" t="n">
        <v>-4264</v>
      </c>
      <c r="P286" s="20" t="n">
        <v>-1474</v>
      </c>
      <c r="Q286" s="20" t="n">
        <v>-5500</v>
      </c>
    </row>
    <row r="287">
      <c r="A287" s="18" t="inlineStr">
        <is>
          <t>Proceeds From Compensation For Expropriation Ope CF</t>
        </is>
      </c>
      <c r="O287" s="20" t="n">
        <v>153</v>
      </c>
      <c r="P287" s="20" t="n">
        <v>11</v>
      </c>
      <c r="Q287" s="20" t="n">
        <v>0</v>
      </c>
    </row>
    <row r="288">
      <c r="A288" s="9" t="inlineStr">
        <is>
          <t>영업활동 현금흐름</t>
        </is>
      </c>
      <c r="O288" s="12" t="n">
        <v>18824</v>
      </c>
      <c r="P288" s="12" t="n">
        <v>16598</v>
      </c>
      <c r="Q288" s="12" t="n">
        <v>10130</v>
      </c>
    </row>
    <row r="289">
      <c r="A289" s="18" t="inlineStr">
        <is>
          <t>정기예금 예입</t>
        </is>
      </c>
      <c r="O289" s="20" t="n">
        <v>-10676</v>
      </c>
      <c r="P289" s="20" t="n">
        <v>-96</v>
      </c>
      <c r="Q289" s="20" t="n">
        <v>-20</v>
      </c>
    </row>
    <row r="290">
      <c r="A290" s="18" t="inlineStr">
        <is>
          <t>정기예금 인출</t>
        </is>
      </c>
      <c r="O290" s="20" t="n">
        <v>546</v>
      </c>
      <c r="P290" s="20" t="n">
        <v>10122</v>
      </c>
      <c r="Q290" s="20" t="n">
        <v>115</v>
      </c>
    </row>
    <row r="291">
      <c r="A291" s="18" t="inlineStr">
        <is>
          <t>유가증권 취득</t>
        </is>
      </c>
      <c r="O291" s="20" t="n">
        <v>-64</v>
      </c>
      <c r="P291" s="20" t="n">
        <v>-682</v>
      </c>
      <c r="Q291" s="20" t="n">
        <v>-801</v>
      </c>
    </row>
    <row r="292">
      <c r="A292" s="18" t="inlineStr">
        <is>
          <t>유가증권 매각·상환 수입</t>
        </is>
      </c>
      <c r="O292" s="20" t="n">
        <v>0</v>
      </c>
      <c r="P292" s="20" t="n">
        <v>2938</v>
      </c>
      <c r="Q292" s="20" t="n">
        <v>8962</v>
      </c>
    </row>
    <row r="293">
      <c r="A293" s="18" t="inlineStr">
        <is>
          <t>고정자산 취득</t>
        </is>
      </c>
      <c r="O293" s="20" t="n">
        <v>-6836</v>
      </c>
      <c r="P293" s="20" t="n">
        <v>-9202</v>
      </c>
      <c r="Q293" s="20" t="n">
        <v>-10718</v>
      </c>
    </row>
    <row r="294">
      <c r="A294" s="18" t="inlineStr">
        <is>
          <t>고정자산 매각</t>
        </is>
      </c>
      <c r="O294" s="20" t="n">
        <v>2210</v>
      </c>
      <c r="P294" s="20" t="n">
        <v>1830</v>
      </c>
      <c r="Q294" s="20" t="n">
        <v>2331</v>
      </c>
    </row>
    <row r="295">
      <c r="A295" s="18" t="inlineStr">
        <is>
          <t>대여금 회수</t>
        </is>
      </c>
      <c r="O295" s="20" t="n">
        <v>58</v>
      </c>
      <c r="P295" s="20" t="n">
        <v>263</v>
      </c>
      <c r="Q295" s="20" t="n">
        <v>65</v>
      </c>
    </row>
    <row r="296">
      <c r="A296" s="18" t="inlineStr">
        <is>
          <t>사업양도 수입</t>
        </is>
      </c>
      <c r="O296" s="20" t="n">
        <v>0</v>
      </c>
      <c r="P296" s="20" t="n">
        <v>868</v>
      </c>
      <c r="Q296" s="20" t="n">
        <v>0</v>
      </c>
    </row>
    <row r="297">
      <c r="A297" s="18" t="inlineStr">
        <is>
          <t>Investments In Subsidiaries Resulting In Change In Scope Of Consolidation Inv CF</t>
        </is>
      </c>
      <c r="O297" s="20" t="n">
        <v>0</v>
      </c>
      <c r="P297" s="20" t="n">
        <v>-90</v>
      </c>
      <c r="Q297" s="20" t="n">
        <v>0</v>
      </c>
    </row>
    <row r="298">
      <c r="A298" s="18" t="inlineStr">
        <is>
          <t>Payments For Purchase Of Subsidiaries And Affiliates Securities Inv CF</t>
        </is>
      </c>
      <c r="O298" s="20" t="n">
        <v>-3741</v>
      </c>
      <c r="P298" s="20" t="n">
        <v>-48</v>
      </c>
      <c r="Q298" s="20" t="n">
        <v>-121</v>
      </c>
    </row>
    <row r="299">
      <c r="A299" s="18" t="inlineStr">
        <is>
          <t>연결범위 변경 자회사 주식 매각</t>
        </is>
      </c>
      <c r="O299" s="20" t="n">
        <v>0</v>
      </c>
      <c r="P299" s="20" t="n">
        <v>11246</v>
      </c>
      <c r="Q299" s="20" t="n">
        <v>0</v>
      </c>
    </row>
    <row r="300">
      <c r="A300" s="18" t="inlineStr">
        <is>
          <t>Other Increase Decrease Inv CF</t>
        </is>
      </c>
      <c r="O300" s="20" t="n">
        <v>-74</v>
      </c>
      <c r="P300" s="20" t="n">
        <v>122</v>
      </c>
      <c r="Q300" s="20" t="n">
        <v>-112</v>
      </c>
    </row>
    <row r="301">
      <c r="A301" s="9" t="inlineStr">
        <is>
          <t>투자활동 현금흐름</t>
        </is>
      </c>
      <c r="O301" s="12" t="n">
        <v>-18576</v>
      </c>
      <c r="P301" s="12" t="n">
        <v>17271</v>
      </c>
      <c r="Q301" s="12" t="n">
        <v>-299</v>
      </c>
    </row>
    <row r="302">
      <c r="A302" s="18" t="inlineStr">
        <is>
          <t>단기차입금 순증감</t>
        </is>
      </c>
      <c r="O302" s="20" t="n">
        <v>28160</v>
      </c>
      <c r="P302" s="20" t="n">
        <v>-17918</v>
      </c>
      <c r="Q302" s="20" t="n">
        <v>2301</v>
      </c>
    </row>
    <row r="303">
      <c r="A303" s="18" t="inlineStr">
        <is>
          <t>장기차입</t>
        </is>
      </c>
      <c r="O303" s="20" t="n">
        <v>11333</v>
      </c>
      <c r="P303" s="20" t="n">
        <v>8634</v>
      </c>
      <c r="Q303" s="20" t="n">
        <v>7726</v>
      </c>
    </row>
    <row r="304">
      <c r="A304" s="18" t="inlineStr">
        <is>
          <t>장기차입금 상환</t>
        </is>
      </c>
      <c r="O304" s="20" t="n">
        <v>-904</v>
      </c>
      <c r="P304" s="20" t="n">
        <v>-29277</v>
      </c>
      <c r="Q304" s="20" t="n">
        <v>-8497</v>
      </c>
    </row>
    <row r="305">
      <c r="A305" s="18" t="inlineStr">
        <is>
          <t>금융리스부채 상환</t>
        </is>
      </c>
      <c r="O305" s="20" t="n">
        <v>-57</v>
      </c>
      <c r="P305" s="20" t="n">
        <v>-123</v>
      </c>
      <c r="Q305" s="20" t="n">
        <v>-117</v>
      </c>
    </row>
    <row r="306">
      <c r="A306" s="18" t="inlineStr">
        <is>
          <t>배당금 지급</t>
        </is>
      </c>
      <c r="O306" s="20" t="n">
        <v>-2187</v>
      </c>
      <c r="P306" s="20" t="n">
        <v>-2180</v>
      </c>
      <c r="Q306" s="20" t="n">
        <v>-2668</v>
      </c>
    </row>
    <row r="307">
      <c r="A307" s="18" t="inlineStr">
        <is>
          <t>Payments From Changes In Ownership Interests In Subsidiaries And Investment That Do Not Result In Change In Scope Of Consolidation Fin CF</t>
        </is>
      </c>
      <c r="O307" s="20" t="n">
        <v>-2715</v>
      </c>
      <c r="P307" s="20" t="n">
        <v>0</v>
      </c>
    </row>
    <row r="308">
      <c r="A308" s="18" t="inlineStr">
        <is>
          <t>비지배주주 납입</t>
        </is>
      </c>
      <c r="O308" s="20" t="n">
        <v>195</v>
      </c>
      <c r="P308" s="20" t="n">
        <v>0</v>
      </c>
      <c r="Q308" s="20" t="n">
        <v>0</v>
      </c>
    </row>
    <row r="309">
      <c r="A309" s="18" t="inlineStr">
        <is>
          <t>비지배주주 배당금 지급</t>
        </is>
      </c>
      <c r="O309" s="20" t="n">
        <v>-72</v>
      </c>
      <c r="P309" s="20" t="n">
        <v>-69</v>
      </c>
      <c r="Q309" s="20" t="n">
        <v>-74</v>
      </c>
    </row>
    <row r="310">
      <c r="A310" s="18" t="inlineStr">
        <is>
          <t>자기주식 증감액</t>
        </is>
      </c>
      <c r="O310" s="20" t="n">
        <v>-26848</v>
      </c>
      <c r="P310" s="20" t="n">
        <v>173</v>
      </c>
      <c r="Q310" s="20" t="n">
        <v>246</v>
      </c>
    </row>
    <row r="311">
      <c r="A311" s="18" t="inlineStr">
        <is>
          <t>Other Increase Decrease Fin CF</t>
        </is>
      </c>
      <c r="O311" s="20" t="n">
        <v>0</v>
      </c>
      <c r="P311" s="20" t="n">
        <v>0</v>
      </c>
      <c r="Q311" s="20" t="n">
        <v>0</v>
      </c>
    </row>
    <row r="312">
      <c r="A312" s="9" t="inlineStr">
        <is>
          <t>재무활동 현금흐름</t>
        </is>
      </c>
      <c r="O312" s="12" t="n">
        <v>6904</v>
      </c>
      <c r="P312" s="12" t="n">
        <v>-40761</v>
      </c>
      <c r="Q312" s="12" t="n">
        <v>-1083</v>
      </c>
    </row>
    <row r="313">
      <c r="A313" s="18" t="inlineStr">
        <is>
          <t>현금성자산 환산차이</t>
        </is>
      </c>
      <c r="O313" s="20" t="n">
        <v>86</v>
      </c>
      <c r="P313" s="20" t="n">
        <v>377</v>
      </c>
      <c r="Q313" s="20" t="n">
        <v>-185</v>
      </c>
    </row>
    <row r="314">
      <c r="A314" s="18" t="inlineStr">
        <is>
          <t>현금성자산 증감</t>
        </is>
      </c>
      <c r="O314" s="20" t="n">
        <v>7238</v>
      </c>
      <c r="P314" s="20" t="n">
        <v>-6513</v>
      </c>
      <c r="Q314" s="20" t="n">
        <v>8562</v>
      </c>
    </row>
    <row r="315">
      <c r="A315" s="18" t="inlineStr">
        <is>
          <t>연결범위 변경에 따른 현금성자산 증감</t>
        </is>
      </c>
      <c r="O315" s="20" t="n">
        <v>0</v>
      </c>
      <c r="P315" s="20" t="n">
        <v>-249</v>
      </c>
      <c r="Q315" s="20" t="n">
        <v>0</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10"/>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2811 재무상태표</t>
        </is>
      </c>
    </row>
    <row r="2">
      <c r="A2" s="44" t="inlineStr">
        <is>
          <t>재무비율은 기말 잔액 기준 · 분기 손익은 최근 4분기 합산(TTM)</t>
        </is>
      </c>
      <c r="B2" s="3" t="inlineStr">
        <is>
          <t>(단위: 백만엔)</t>
        </is>
      </c>
    </row>
    <row r="3">
      <c r="A3" s="5" t="inlineStr">
        <is>
          <t>항목</t>
        </is>
      </c>
      <c r="B3" s="5" t="inlineStr">
        <is>
          <t>참고</t>
        </is>
      </c>
      <c r="C3" s="6" t="inlineStr">
        <is>
          <t>2025.2Q</t>
        </is>
      </c>
      <c r="D3" s="5" t="inlineStr">
        <is>
          <t>2025.3Q</t>
        </is>
      </c>
      <c r="E3" s="5" t="inlineStr">
        <is>
          <t>2025.4Q</t>
        </is>
      </c>
      <c r="F3" s="5" t="inlineStr">
        <is>
          <t>2026.1Q</t>
        </is>
      </c>
      <c r="G3" s="5" t="inlineStr">
        <is>
          <t>2026.2Q</t>
        </is>
      </c>
      <c r="H3" s="6" t="inlineStr">
        <is>
          <t>2021</t>
        </is>
      </c>
      <c r="I3" s="5" t="inlineStr">
        <is>
          <t>2022</t>
        </is>
      </c>
      <c r="J3" s="5" t="inlineStr">
        <is>
          <t>2023</t>
        </is>
      </c>
      <c r="K3" s="5" t="inlineStr">
        <is>
          <t>2024</t>
        </is>
      </c>
      <c r="L3" s="5" t="inlineStr">
        <is>
          <t>2025</t>
        </is>
      </c>
    </row>
    <row r="4">
      <c r="A4" s="16" t="inlineStr">
        <is>
          <t>자산</t>
        </is>
      </c>
      <c r="B4" s="16" t="n"/>
      <c r="C4" s="17" t="n"/>
      <c r="D4" s="16" t="n"/>
      <c r="E4" s="16" t="n"/>
      <c r="F4" s="16" t="n"/>
      <c r="G4" s="16" t="n"/>
      <c r="H4" s="17" t="n"/>
      <c r="I4" s="16" t="n"/>
      <c r="J4" s="16" t="n"/>
      <c r="K4" s="16" t="n"/>
      <c r="L4" s="16" t="n"/>
    </row>
    <row r="5">
      <c r="A5" s="9" t="inlineStr">
        <is>
          <t>유동자산</t>
        </is>
      </c>
      <c r="B5" s="10" t="n"/>
      <c r="C5" s="11" t="n">
        <v>183684</v>
      </c>
      <c r="D5" s="12" t="n">
        <v>223183</v>
      </c>
      <c r="E5" s="12" t="n">
        <v>216779</v>
      </c>
      <c r="F5" s="12" t="n">
        <v>196546</v>
      </c>
      <c r="G5" s="12" t="n">
        <v>193168</v>
      </c>
      <c r="H5" s="11" t="n">
        <v>123485</v>
      </c>
      <c r="I5" s="12" t="n">
        <v>129162</v>
      </c>
      <c r="J5" s="12" t="n">
        <v>165451</v>
      </c>
      <c r="K5" s="12" t="n">
        <v>209958</v>
      </c>
      <c r="L5" s="12" t="n">
        <v>216779</v>
      </c>
    </row>
    <row r="6">
      <c r="A6" s="18" t="inlineStr">
        <is>
          <t>현금및현금성자산</t>
        </is>
      </c>
      <c r="B6" s="10" t="n"/>
      <c r="C6" s="19" t="n">
        <v>18921</v>
      </c>
      <c r="D6" s="20" t="n">
        <v>25749</v>
      </c>
      <c r="E6" s="20" t="n">
        <v>26844</v>
      </c>
      <c r="F6" s="20" t="n">
        <v>15235</v>
      </c>
      <c r="G6" s="20" t="n">
        <v>14531</v>
      </c>
      <c r="H6" s="19" t="n">
        <v>31231</v>
      </c>
      <c r="I6" s="20" t="n">
        <v>21390</v>
      </c>
      <c r="J6" s="20" t="n">
        <v>36010</v>
      </c>
      <c r="K6" s="20" t="n">
        <v>21273</v>
      </c>
      <c r="L6" s="20" t="n">
        <v>26844</v>
      </c>
    </row>
    <row r="7">
      <c r="A7" s="18" t="inlineStr">
        <is>
          <t>단기금융상품</t>
        </is>
      </c>
      <c r="B7" s="10" t="n"/>
      <c r="C7" s="19" t="n">
        <v>3618</v>
      </c>
      <c r="D7" s="20" t="n">
        <v>3949</v>
      </c>
      <c r="E7" s="20" t="n">
        <v>4793</v>
      </c>
      <c r="F7" s="20" t="n">
        <v>5385</v>
      </c>
      <c r="G7" s="20" t="n">
        <v>5907</v>
      </c>
      <c r="H7" s="19" t="n">
        <v>1257</v>
      </c>
      <c r="I7" s="20" t="n">
        <v>1697</v>
      </c>
      <c r="J7" s="20" t="n">
        <v>3074</v>
      </c>
      <c r="K7" s="20" t="n">
        <v>4555</v>
      </c>
      <c r="L7" s="20" t="n">
        <v>4793</v>
      </c>
    </row>
    <row r="8">
      <c r="A8" s="18" t="inlineStr">
        <is>
          <t>매출채권</t>
        </is>
      </c>
      <c r="B8" s="10" t="n"/>
      <c r="C8" s="19" t="n">
        <v>55782</v>
      </c>
      <c r="D8" s="20" t="n">
        <v>60611</v>
      </c>
      <c r="E8" s="20" t="n">
        <v>60558</v>
      </c>
      <c r="F8" s="20" t="n">
        <v>54069</v>
      </c>
      <c r="G8" s="20" t="n">
        <v>58996</v>
      </c>
      <c r="H8" s="19" t="n">
        <v>41657</v>
      </c>
      <c r="I8" s="20" t="n">
        <v>45487</v>
      </c>
      <c r="J8" s="20" t="n">
        <v>48426</v>
      </c>
      <c r="K8" s="20" t="n">
        <v>59432</v>
      </c>
      <c r="L8" s="20" t="n">
        <v>60558</v>
      </c>
    </row>
    <row r="9">
      <c r="A9" s="18" t="inlineStr">
        <is>
          <t>재고자산</t>
        </is>
      </c>
      <c r="B9" s="10" t="n"/>
      <c r="C9" s="19" t="n">
        <v>100148</v>
      </c>
      <c r="D9" s="20" t="n">
        <v>126641</v>
      </c>
      <c r="E9" s="20" t="n">
        <v>119438</v>
      </c>
      <c r="F9" s="20" t="n">
        <v>117268</v>
      </c>
      <c r="G9" s="20" t="n">
        <v>108808</v>
      </c>
      <c r="H9" s="19" t="n">
        <v>47150</v>
      </c>
      <c r="I9" s="20" t="n">
        <v>57565</v>
      </c>
      <c r="J9" s="20" t="n">
        <v>75198</v>
      </c>
      <c r="K9" s="20" t="n">
        <v>119047</v>
      </c>
      <c r="L9" s="20" t="n">
        <v>119438</v>
      </c>
    </row>
    <row r="10">
      <c r="A10" s="18" t="inlineStr">
        <is>
          <t>기타유동자산</t>
        </is>
      </c>
      <c r="B10" s="10" t="inlineStr">
        <is>
          <t>총계 − 위 항목</t>
        </is>
      </c>
      <c r="C10" s="19">
        <f>IF(OR(C5=""),"",IFERROR(C5-SUM(C6,C7,C8,C9),""))</f>
        <v/>
      </c>
      <c r="D10" s="20">
        <f>IF(OR(D5=""),"",IFERROR(D5-SUM(D6,D7,D8,D9),""))</f>
        <v/>
      </c>
      <c r="E10" s="20">
        <f>IF(OR(E5=""),"",IFERROR(E5-SUM(E6,E7,E8,E9),""))</f>
        <v/>
      </c>
      <c r="F10" s="20">
        <f>IF(OR(F5=""),"",IFERROR(F5-SUM(F6,F7,F8,F9),""))</f>
        <v/>
      </c>
      <c r="G10" s="20">
        <f>IF(OR(G5=""),"",IFERROR(G5-SUM(G6,G7,G8,G9),""))</f>
        <v/>
      </c>
      <c r="H10" s="19">
        <f>IF(OR(H5=""),"",IFERROR(H5-SUM(H6,H7,H8,H9),""))</f>
        <v/>
      </c>
      <c r="I10" s="20">
        <f>IF(OR(I5=""),"",IFERROR(I5-SUM(I6,I7,I8,I9),""))</f>
        <v/>
      </c>
      <c r="J10" s="20">
        <f>IF(OR(J5=""),"",IFERROR(J5-SUM(J6,J7,J8,J9),""))</f>
        <v/>
      </c>
      <c r="K10" s="20">
        <f>IF(OR(K5=""),"",IFERROR(K5-SUM(K6,K7,K8,K9),""))</f>
        <v/>
      </c>
      <c r="L10" s="20">
        <f>IF(OR(L5=""),"",IFERROR(L5-SUM(L6,L7,L8,L9),""))</f>
        <v/>
      </c>
    </row>
    <row r="11">
      <c r="A11" s="9" t="inlineStr">
        <is>
          <t>비유동자산</t>
        </is>
      </c>
      <c r="B11" s="10" t="n"/>
      <c r="C11" s="11" t="n">
        <v>145827</v>
      </c>
      <c r="D11" s="12" t="n">
        <v>149362</v>
      </c>
      <c r="E11" s="12" t="n">
        <v>159040</v>
      </c>
      <c r="F11" s="12" t="n">
        <v>163411</v>
      </c>
      <c r="G11" s="12" t="n">
        <v>163782</v>
      </c>
      <c r="H11" s="11" t="n">
        <v>91723</v>
      </c>
      <c r="I11" s="12" t="n">
        <v>96209</v>
      </c>
      <c r="J11" s="12" t="n">
        <v>100197</v>
      </c>
      <c r="K11" s="12" t="n">
        <v>152456</v>
      </c>
      <c r="L11" s="12" t="n">
        <v>159040</v>
      </c>
    </row>
    <row r="12">
      <c r="A12" s="18" t="inlineStr">
        <is>
          <t>유형자산</t>
        </is>
      </c>
      <c r="B12" s="10" t="n"/>
      <c r="C12" s="19" t="n">
        <v>80826</v>
      </c>
      <c r="D12" s="20" t="n">
        <v>81422</v>
      </c>
      <c r="E12" s="20" t="n">
        <v>85295</v>
      </c>
      <c r="F12" s="20" t="n">
        <v>86349</v>
      </c>
      <c r="G12" s="20" t="n">
        <v>87552</v>
      </c>
      <c r="H12" s="19" t="n">
        <v>60193</v>
      </c>
      <c r="I12" s="20" t="n">
        <v>61779</v>
      </c>
      <c r="J12" s="20" t="n">
        <v>60756</v>
      </c>
      <c r="K12" s="20" t="n">
        <v>82589</v>
      </c>
      <c r="L12" s="20" t="n">
        <v>85295</v>
      </c>
    </row>
    <row r="13">
      <c r="A13" s="18" t="inlineStr">
        <is>
          <t>무형자산</t>
        </is>
      </c>
      <c r="B13" s="10" t="n"/>
      <c r="C13" s="19" t="n">
        <v>34362</v>
      </c>
      <c r="D13" s="20" t="n">
        <v>35031</v>
      </c>
      <c r="E13" s="20" t="n">
        <v>25101</v>
      </c>
      <c r="F13" s="20" t="n">
        <v>26893</v>
      </c>
      <c r="G13" s="20" t="n">
        <v>27004</v>
      </c>
      <c r="H13" s="19" t="n">
        <v>3351</v>
      </c>
      <c r="I13" s="20" t="n">
        <v>3220</v>
      </c>
      <c r="J13" s="20" t="n">
        <v>3023</v>
      </c>
      <c r="K13" s="20" t="n">
        <v>37817</v>
      </c>
      <c r="L13" s="20" t="n">
        <v>25101</v>
      </c>
    </row>
    <row r="14">
      <c r="A14" s="18" t="inlineStr">
        <is>
          <t>투자부동산</t>
        </is>
      </c>
      <c r="B14" s="10" t="n"/>
      <c r="C14" s="19" t="n"/>
      <c r="D14" s="20" t="n"/>
      <c r="E14" s="20" t="n"/>
      <c r="F14" s="20" t="n"/>
      <c r="G14" s="20" t="n"/>
      <c r="H14" s="19" t="n"/>
      <c r="I14" s="20" t="n"/>
      <c r="J14" s="20" t="n"/>
      <c r="K14" s="20" t="n"/>
      <c r="L14" s="20" t="n"/>
    </row>
    <row r="15">
      <c r="A15" s="18" t="inlineStr">
        <is>
          <t>기타비유동자산</t>
        </is>
      </c>
      <c r="B15" s="10" t="inlineStr">
        <is>
          <t>총계 − 위 항목</t>
        </is>
      </c>
      <c r="C15" s="19">
        <f>IF(OR(C11=""),"",IFERROR(C11-SUM(C12,C13,C14),""))</f>
        <v/>
      </c>
      <c r="D15" s="20">
        <f>IF(OR(D11=""),"",IFERROR(D11-SUM(D12,D13,D14),""))</f>
        <v/>
      </c>
      <c r="E15" s="20">
        <f>IF(OR(E11=""),"",IFERROR(E11-SUM(E12,E13,E14),""))</f>
        <v/>
      </c>
      <c r="F15" s="20">
        <f>IF(OR(F11=""),"",IFERROR(F11-SUM(F12,F13,F14),""))</f>
        <v/>
      </c>
      <c r="G15" s="20">
        <f>IF(OR(G11=""),"",IFERROR(G11-SUM(G12,G13,G14),""))</f>
        <v/>
      </c>
      <c r="H15" s="19">
        <f>IF(OR(H11=""),"",IFERROR(H11-SUM(H12,H13,H14),""))</f>
        <v/>
      </c>
      <c r="I15" s="20">
        <f>IF(OR(I11=""),"",IFERROR(I11-SUM(I12,I13,I14),""))</f>
        <v/>
      </c>
      <c r="J15" s="20">
        <f>IF(OR(J11=""),"",IFERROR(J11-SUM(J12,J13,J14),""))</f>
        <v/>
      </c>
      <c r="K15" s="20">
        <f>IF(OR(K11=""),"",IFERROR(K11-SUM(K12,K13,K14),""))</f>
        <v/>
      </c>
      <c r="L15" s="20">
        <f>IF(OR(L11=""),"",IFERROR(L11-SUM(L12,L13,L14),""))</f>
        <v/>
      </c>
    </row>
    <row r="16">
      <c r="A16" s="9" t="inlineStr">
        <is>
          <t>자산총계</t>
        </is>
      </c>
      <c r="B16" s="10" t="n"/>
      <c r="C16" s="11" t="n">
        <v>329512</v>
      </c>
      <c r="D16" s="12" t="n">
        <v>372545</v>
      </c>
      <c r="E16" s="12" t="n">
        <v>375820</v>
      </c>
      <c r="F16" s="12" t="n">
        <v>359957</v>
      </c>
      <c r="G16" s="12" t="n">
        <v>356950</v>
      </c>
      <c r="H16" s="11" t="n">
        <v>215208</v>
      </c>
      <c r="I16" s="12" t="n">
        <v>225372</v>
      </c>
      <c r="J16" s="12" t="n">
        <v>265648</v>
      </c>
      <c r="K16" s="12" t="n">
        <v>362415</v>
      </c>
      <c r="L16" s="12" t="n">
        <v>375820</v>
      </c>
    </row>
    <row r="17">
      <c r="A17" s="16" t="inlineStr">
        <is>
          <t>부채</t>
        </is>
      </c>
      <c r="B17" s="16" t="n"/>
      <c r="C17" s="17" t="n"/>
      <c r="D17" s="16" t="n"/>
      <c r="E17" s="16" t="n"/>
      <c r="F17" s="16" t="n"/>
      <c r="G17" s="16" t="n"/>
      <c r="H17" s="17" t="n"/>
      <c r="I17" s="16" t="n"/>
      <c r="J17" s="16" t="n"/>
      <c r="K17" s="16" t="n"/>
      <c r="L17" s="16" t="n"/>
    </row>
    <row r="18">
      <c r="A18" s="9" t="inlineStr">
        <is>
          <t>유동부채</t>
        </is>
      </c>
      <c r="B18" s="10" t="n"/>
      <c r="C18" s="11" t="n">
        <v>103851</v>
      </c>
      <c r="D18" s="12" t="n">
        <v>132671</v>
      </c>
      <c r="E18" s="12" t="n">
        <v>116222</v>
      </c>
      <c r="F18" s="12" t="n">
        <v>100568</v>
      </c>
      <c r="G18" s="12" t="n">
        <v>98173</v>
      </c>
      <c r="H18" s="11" t="n">
        <v>72911</v>
      </c>
      <c r="I18" s="12" t="n">
        <v>80313</v>
      </c>
      <c r="J18" s="12" t="n">
        <v>100430</v>
      </c>
      <c r="K18" s="12" t="n">
        <v>109213</v>
      </c>
      <c r="L18" s="12" t="n">
        <v>116222</v>
      </c>
    </row>
    <row r="19">
      <c r="A19" s="18" t="inlineStr">
        <is>
          <t>매입채무</t>
        </is>
      </c>
      <c r="B19" s="10" t="n"/>
      <c r="C19" s="19" t="n">
        <v>37601</v>
      </c>
      <c r="D19" s="20" t="n">
        <v>48576</v>
      </c>
      <c r="E19" s="20" t="n">
        <v>42497</v>
      </c>
      <c r="F19" s="20" t="n">
        <v>38586</v>
      </c>
      <c r="G19" s="20" t="n">
        <v>39325</v>
      </c>
      <c r="H19" s="19" t="n">
        <v>35244</v>
      </c>
      <c r="I19" s="20" t="n">
        <v>35486</v>
      </c>
      <c r="J19" s="20" t="n">
        <v>36750</v>
      </c>
      <c r="K19" s="20" t="n">
        <v>44412</v>
      </c>
      <c r="L19" s="20" t="n">
        <v>42497</v>
      </c>
    </row>
    <row r="20">
      <c r="A20" s="18" t="inlineStr">
        <is>
          <t>단기차입금</t>
        </is>
      </c>
      <c r="B20" s="10" t="n"/>
      <c r="C20" s="19" t="n">
        <v>53824</v>
      </c>
      <c r="D20" s="20" t="n">
        <v>68726</v>
      </c>
      <c r="E20" s="20" t="n">
        <v>58929</v>
      </c>
      <c r="F20" s="20" t="n">
        <v>50900</v>
      </c>
      <c r="G20" s="20" t="n">
        <v>46781</v>
      </c>
      <c r="H20" s="19" t="n">
        <v>26436</v>
      </c>
      <c r="I20" s="20" t="n">
        <v>34604</v>
      </c>
      <c r="J20" s="20" t="n">
        <v>49876</v>
      </c>
      <c r="K20" s="20" t="n">
        <v>51176</v>
      </c>
      <c r="L20" s="20" t="n">
        <v>58929</v>
      </c>
    </row>
    <row r="21">
      <c r="A21" s="18" t="inlineStr">
        <is>
          <t>유동성장기부채</t>
        </is>
      </c>
      <c r="B21" s="10" t="n"/>
      <c r="C21" s="19" t="n"/>
      <c r="D21" s="20" t="n"/>
      <c r="E21" s="20" t="n"/>
      <c r="F21" s="20" t="n"/>
      <c r="G21" s="20" t="n"/>
      <c r="H21" s="19" t="n"/>
      <c r="I21" s="20" t="n"/>
      <c r="J21" s="20" t="n"/>
      <c r="K21" s="20" t="n"/>
      <c r="L21" s="20" t="n"/>
    </row>
    <row r="22">
      <c r="A22" s="18" t="inlineStr">
        <is>
          <t>기타유동부채</t>
        </is>
      </c>
      <c r="B22" s="10" t="inlineStr">
        <is>
          <t>총계 − 위 항목</t>
        </is>
      </c>
      <c r="C22" s="19">
        <f>IF(OR(C18=""),"",IFERROR(C18-SUM(C19,C20,C21),""))</f>
        <v/>
      </c>
      <c r="D22" s="20">
        <f>IF(OR(D18=""),"",IFERROR(D18-SUM(D19,D20,D21),""))</f>
        <v/>
      </c>
      <c r="E22" s="20">
        <f>IF(OR(E18=""),"",IFERROR(E18-SUM(E19,E20,E21),""))</f>
        <v/>
      </c>
      <c r="F22" s="20">
        <f>IF(OR(F18=""),"",IFERROR(F18-SUM(F19,F20,F21),""))</f>
        <v/>
      </c>
      <c r="G22" s="20">
        <f>IF(OR(G18=""),"",IFERROR(G18-SUM(G19,G20,G21),""))</f>
        <v/>
      </c>
      <c r="H22" s="19">
        <f>IF(OR(H18=""),"",IFERROR(H18-SUM(H19,H20,H21),""))</f>
        <v/>
      </c>
      <c r="I22" s="20">
        <f>IF(OR(I18=""),"",IFERROR(I18-SUM(I19,I20,I21),""))</f>
        <v/>
      </c>
      <c r="J22" s="20">
        <f>IF(OR(J18=""),"",IFERROR(J18-SUM(J19,J20,J21),""))</f>
        <v/>
      </c>
      <c r="K22" s="20">
        <f>IF(OR(K18=""),"",IFERROR(K18-SUM(K19,K20,K21),""))</f>
        <v/>
      </c>
      <c r="L22" s="20">
        <f>IF(OR(L18=""),"",IFERROR(L18-SUM(L19,L20,L21),""))</f>
        <v/>
      </c>
    </row>
    <row r="23">
      <c r="A23" s="9" t="inlineStr">
        <is>
          <t>비유동부채</t>
        </is>
      </c>
      <c r="B23" s="10" t="n"/>
      <c r="C23" s="11" t="n">
        <v>30750</v>
      </c>
      <c r="D23" s="12" t="n">
        <v>37567</v>
      </c>
      <c r="E23" s="12" t="n">
        <v>44707</v>
      </c>
      <c r="F23" s="12" t="n">
        <v>46069</v>
      </c>
      <c r="G23" s="12" t="n">
        <v>41163</v>
      </c>
      <c r="H23" s="11" t="n">
        <v>22754</v>
      </c>
      <c r="I23" s="12" t="n">
        <v>23266</v>
      </c>
      <c r="J23" s="12" t="n">
        <v>28783</v>
      </c>
      <c r="K23" s="12" t="n">
        <v>41560</v>
      </c>
      <c r="L23" s="12" t="n">
        <v>44707</v>
      </c>
    </row>
    <row r="24">
      <c r="A24" s="18" t="inlineStr">
        <is>
          <t>장기차입금</t>
        </is>
      </c>
      <c r="B24" s="10" t="n"/>
      <c r="C24" s="19" t="n"/>
      <c r="D24" s="20" t="n"/>
      <c r="E24" s="20" t="n"/>
      <c r="F24" s="20" t="n"/>
      <c r="G24" s="20" t="n"/>
      <c r="H24" s="19" t="n"/>
      <c r="I24" s="20" t="n"/>
      <c r="J24" s="20" t="n"/>
      <c r="K24" s="20" t="n"/>
      <c r="L24" s="20" t="n"/>
    </row>
    <row r="25">
      <c r="A25" s="18" t="inlineStr">
        <is>
          <t>사채</t>
        </is>
      </c>
      <c r="B25" s="10" t="n"/>
      <c r="C25" s="19" t="n"/>
      <c r="D25" s="20" t="n"/>
      <c r="E25" s="20" t="n"/>
      <c r="F25" s="20" t="n"/>
      <c r="G25" s="20" t="n"/>
      <c r="H25" s="19" t="n"/>
      <c r="I25" s="20" t="n"/>
      <c r="J25" s="20" t="n"/>
      <c r="K25" s="20" t="n"/>
      <c r="L25" s="20" t="n"/>
    </row>
    <row r="26">
      <c r="A26" s="18" t="inlineStr">
        <is>
          <t>기타비유동부채</t>
        </is>
      </c>
      <c r="B26" s="10" t="inlineStr">
        <is>
          <t>총계 − 위 항목</t>
        </is>
      </c>
      <c r="C26" s="19">
        <f>IF(OR(C23=""),"",IFERROR(C23-SUM(C24,C25),""))</f>
        <v/>
      </c>
      <c r="D26" s="20">
        <f>IF(OR(D23=""),"",IFERROR(D23-SUM(D24,D25),""))</f>
        <v/>
      </c>
      <c r="E26" s="20">
        <f>IF(OR(E23=""),"",IFERROR(E23-SUM(E24,E25),""))</f>
        <v/>
      </c>
      <c r="F26" s="20">
        <f>IF(OR(F23=""),"",IFERROR(F23-SUM(F24,F25),""))</f>
        <v/>
      </c>
      <c r="G26" s="20">
        <f>IF(OR(G23=""),"",IFERROR(G23-SUM(G24,G25),""))</f>
        <v/>
      </c>
      <c r="H26" s="19">
        <f>IF(OR(H23=""),"",IFERROR(H23-SUM(H24,H25),""))</f>
        <v/>
      </c>
      <c r="I26" s="20">
        <f>IF(OR(I23=""),"",IFERROR(I23-SUM(I24,I25),""))</f>
        <v/>
      </c>
      <c r="J26" s="20">
        <f>IF(OR(J23=""),"",IFERROR(J23-SUM(J24,J25),""))</f>
        <v/>
      </c>
      <c r="K26" s="20">
        <f>IF(OR(K23=""),"",IFERROR(K23-SUM(K24,K25),""))</f>
        <v/>
      </c>
      <c r="L26" s="20">
        <f>IF(OR(L23=""),"",IFERROR(L23-SUM(L24,L25),""))</f>
        <v/>
      </c>
    </row>
    <row r="27">
      <c r="A27" s="9" t="inlineStr">
        <is>
          <t>부채총계</t>
        </is>
      </c>
      <c r="B27" s="10" t="n"/>
      <c r="C27" s="11" t="n">
        <v>134601</v>
      </c>
      <c r="D27" s="12" t="n">
        <v>170238</v>
      </c>
      <c r="E27" s="12" t="n">
        <v>160930</v>
      </c>
      <c r="F27" s="12" t="n">
        <v>146637</v>
      </c>
      <c r="G27" s="12" t="n">
        <v>139337</v>
      </c>
      <c r="H27" s="11" t="n">
        <v>95666</v>
      </c>
      <c r="I27" s="12" t="n">
        <v>103580</v>
      </c>
      <c r="J27" s="12" t="n">
        <v>129213</v>
      </c>
      <c r="K27" s="12" t="n">
        <v>150774</v>
      </c>
      <c r="L27" s="12" t="n">
        <v>160930</v>
      </c>
    </row>
    <row r="28">
      <c r="A28" s="18" t="inlineStr">
        <is>
          <t>총차입금</t>
        </is>
      </c>
      <c r="B28" s="10" t="inlineStr">
        <is>
          <t>단기+유동성장기+장기+사채</t>
        </is>
      </c>
      <c r="C28" s="19">
        <f>SUM(C20,C21,C24,C25)</f>
        <v/>
      </c>
      <c r="D28" s="20">
        <f>SUM(D20,D21,D24,D25)</f>
        <v/>
      </c>
      <c r="E28" s="20">
        <f>SUM(E20,E21,E24,E25)</f>
        <v/>
      </c>
      <c r="F28" s="20">
        <f>SUM(F20,F21,F24,F25)</f>
        <v/>
      </c>
      <c r="G28" s="20">
        <f>SUM(G20,G21,G24,G25)</f>
        <v/>
      </c>
      <c r="H28" s="19">
        <f>SUM(H20,H21,H24,H25)</f>
        <v/>
      </c>
      <c r="I28" s="20">
        <f>SUM(I20,I21,I24,I25)</f>
        <v/>
      </c>
      <c r="J28" s="20">
        <f>SUM(J20,J21,J24,J25)</f>
        <v/>
      </c>
      <c r="K28" s="20">
        <f>SUM(K20,K21,K24,K25)</f>
        <v/>
      </c>
      <c r="L28" s="20">
        <f>SUM(L20,L21,L24,L25)</f>
        <v/>
      </c>
    </row>
    <row r="29">
      <c r="A29" s="18" t="inlineStr">
        <is>
          <t>순차입금</t>
        </is>
      </c>
      <c r="B29" s="10" t="inlineStr">
        <is>
          <t>음수 = 순현금</t>
        </is>
      </c>
      <c r="C29" s="19">
        <f>C28-C6-N(C7)</f>
        <v/>
      </c>
      <c r="D29" s="20">
        <f>D28-D6-N(D7)</f>
        <v/>
      </c>
      <c r="E29" s="20">
        <f>E28-E6-N(E7)</f>
        <v/>
      </c>
      <c r="F29" s="20">
        <f>F28-F6-N(F7)</f>
        <v/>
      </c>
      <c r="G29" s="20">
        <f>G28-G6-N(G7)</f>
        <v/>
      </c>
      <c r="H29" s="19">
        <f>H28-H6-N(H7)</f>
        <v/>
      </c>
      <c r="I29" s="20">
        <f>I28-I6-N(I7)</f>
        <v/>
      </c>
      <c r="J29" s="20">
        <f>J28-J6-N(J7)</f>
        <v/>
      </c>
      <c r="K29" s="20">
        <f>K28-K6-N(K7)</f>
        <v/>
      </c>
      <c r="L29" s="20">
        <f>L28-L6-N(L7)</f>
        <v/>
      </c>
    </row>
    <row r="30">
      <c r="A30" s="16" t="inlineStr">
        <is>
          <t>자본</t>
        </is>
      </c>
      <c r="B30" s="16" t="n"/>
      <c r="C30" s="17" t="n"/>
      <c r="D30" s="16" t="n"/>
      <c r="E30" s="16" t="n"/>
      <c r="F30" s="16" t="n"/>
      <c r="G30" s="16" t="n"/>
      <c r="H30" s="17" t="n"/>
      <c r="I30" s="16" t="n"/>
      <c r="J30" s="16" t="n"/>
      <c r="K30" s="16" t="n"/>
      <c r="L30" s="16" t="n"/>
    </row>
    <row r="31">
      <c r="A31" s="9" t="inlineStr">
        <is>
          <t>지배주주지분</t>
        </is>
      </c>
      <c r="B31" s="10" t="n"/>
      <c r="C31" s="11" t="n">
        <v>171369</v>
      </c>
      <c r="D31" s="12" t="n">
        <v>178694</v>
      </c>
      <c r="E31" s="12" t="n">
        <v>190559</v>
      </c>
      <c r="F31" s="12" t="n">
        <v>189300</v>
      </c>
      <c r="G31" s="12" t="n">
        <v>192951</v>
      </c>
      <c r="H31" s="11" t="n">
        <v>117565</v>
      </c>
      <c r="I31" s="12" t="n">
        <v>119071</v>
      </c>
      <c r="J31" s="12" t="n">
        <v>132265</v>
      </c>
      <c r="K31" s="12" t="n">
        <v>185740</v>
      </c>
      <c r="L31" s="12" t="n">
        <v>190559</v>
      </c>
    </row>
    <row r="32">
      <c r="A32" s="18" t="inlineStr">
        <is>
          <t>자본금</t>
        </is>
      </c>
      <c r="B32" s="10" t="n"/>
      <c r="C32" s="19" t="n">
        <v>19985</v>
      </c>
      <c r="D32" s="20" t="n">
        <v>19985</v>
      </c>
      <c r="E32" s="20" t="n">
        <v>19985</v>
      </c>
      <c r="F32" s="20" t="n">
        <v>19985</v>
      </c>
      <c r="G32" s="20" t="n">
        <v>19985</v>
      </c>
      <c r="H32" s="19" t="n">
        <v>19985</v>
      </c>
      <c r="I32" s="20" t="n">
        <v>19985</v>
      </c>
      <c r="J32" s="20" t="n">
        <v>19985</v>
      </c>
      <c r="K32" s="20" t="n">
        <v>19985</v>
      </c>
      <c r="L32" s="20" t="n">
        <v>19985</v>
      </c>
    </row>
    <row r="33">
      <c r="A33" s="18" t="inlineStr">
        <is>
          <t>이익잉여금</t>
        </is>
      </c>
      <c r="B33" s="10" t="n"/>
      <c r="C33" s="19" t="n">
        <v>120637</v>
      </c>
      <c r="D33" s="20" t="n">
        <v>125183</v>
      </c>
      <c r="E33" s="20" t="n">
        <v>123007</v>
      </c>
      <c r="F33" s="20" t="n">
        <v>120905</v>
      </c>
      <c r="G33" s="20" t="n">
        <v>123674</v>
      </c>
      <c r="H33" s="19" t="n">
        <v>84235</v>
      </c>
      <c r="I33" s="20" t="n">
        <v>90708</v>
      </c>
      <c r="J33" s="20" t="n">
        <v>98017</v>
      </c>
      <c r="K33" s="20" t="n">
        <v>119725</v>
      </c>
      <c r="L33" s="20" t="n">
        <v>123007</v>
      </c>
    </row>
    <row r="34">
      <c r="A34" s="18" t="inlineStr">
        <is>
          <t>비지배지분</t>
        </is>
      </c>
      <c r="B34" s="10" t="n"/>
      <c r="C34" s="19" t="n">
        <v>23540</v>
      </c>
      <c r="D34" s="20" t="n">
        <v>23612</v>
      </c>
      <c r="E34" s="20" t="n">
        <v>24331</v>
      </c>
      <c r="F34" s="20" t="n">
        <v>24019</v>
      </c>
      <c r="G34" s="20" t="n">
        <v>24661</v>
      </c>
      <c r="H34" s="19" t="n">
        <v>1977</v>
      </c>
      <c r="I34" s="20" t="n">
        <v>2720</v>
      </c>
      <c r="J34" s="20" t="n">
        <v>4170</v>
      </c>
      <c r="K34" s="20" t="n">
        <v>25900</v>
      </c>
      <c r="L34" s="20" t="n">
        <v>24331</v>
      </c>
    </row>
    <row r="35">
      <c r="A35" s="9" t="inlineStr">
        <is>
          <t>자본총계</t>
        </is>
      </c>
      <c r="B35" s="10" t="n"/>
      <c r="C35" s="11" t="n">
        <v>194910</v>
      </c>
      <c r="D35" s="12" t="n">
        <v>202307</v>
      </c>
      <c r="E35" s="12" t="n">
        <v>214890</v>
      </c>
      <c r="F35" s="12" t="n">
        <v>213320</v>
      </c>
      <c r="G35" s="12" t="n">
        <v>217613</v>
      </c>
      <c r="H35" s="11" t="n">
        <v>119542</v>
      </c>
      <c r="I35" s="12" t="n">
        <v>121792</v>
      </c>
      <c r="J35" s="12" t="n">
        <v>136435</v>
      </c>
      <c r="K35" s="12" t="n">
        <v>211640</v>
      </c>
      <c r="L35" s="12" t="n">
        <v>214890</v>
      </c>
    </row>
    <row r="36">
      <c r="A36" s="16" t="inlineStr">
        <is>
          <t>현금흐름 요약</t>
        </is>
      </c>
      <c r="B36" s="16" t="inlineStr">
        <is>
          <t>분기 = TTM (있을 때만)</t>
        </is>
      </c>
      <c r="C36" s="17" t="n"/>
      <c r="D36" s="16" t="n"/>
      <c r="E36" s="16" t="n"/>
      <c r="F36" s="16" t="n"/>
      <c r="G36" s="16" t="n"/>
      <c r="H36" s="17" t="n"/>
      <c r="I36" s="16" t="n"/>
      <c r="J36" s="16" t="n"/>
      <c r="K36" s="16" t="n"/>
      <c r="L36" s="16" t="n"/>
    </row>
    <row r="37">
      <c r="A37" s="9" t="inlineStr">
        <is>
          <t>영업활동현금흐름</t>
        </is>
      </c>
      <c r="B37" s="10" t="n"/>
      <c r="C37" s="11" t="n">
        <v>29333</v>
      </c>
      <c r="D37" s="12" t="n">
        <v>30372</v>
      </c>
      <c r="E37" s="12" t="n">
        <v>26930</v>
      </c>
      <c r="F37" s="12" t="n">
        <v>26969</v>
      </c>
      <c r="G37" s="12" t="n">
        <v>24290</v>
      </c>
      <c r="H37" s="11" t="n">
        <v>14796</v>
      </c>
      <c r="I37" s="12" t="n">
        <v>4635</v>
      </c>
      <c r="J37" s="12" t="n">
        <v>4617</v>
      </c>
      <c r="K37" s="12" t="n">
        <v>31692</v>
      </c>
      <c r="L37" s="12" t="n">
        <v>26930</v>
      </c>
    </row>
    <row r="38">
      <c r="A38" s="18" t="inlineStr">
        <is>
          <t>CAPEX (유·무형 취득)</t>
        </is>
      </c>
      <c r="B38" s="10" t="inlineStr">
        <is>
          <t>양수로 입력</t>
        </is>
      </c>
      <c r="C38" s="19" t="n"/>
      <c r="D38" s="20" t="n"/>
      <c r="E38" s="20" t="n"/>
      <c r="F38" s="20" t="n"/>
      <c r="G38" s="20" t="n"/>
      <c r="H38" s="19" t="n"/>
      <c r="I38" s="20" t="n"/>
      <c r="J38" s="20" t="n"/>
      <c r="K38" s="20" t="n"/>
      <c r="L38" s="20" t="n"/>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18" t="inlineStr">
        <is>
          <t>배당금 지급</t>
        </is>
      </c>
      <c r="B40" s="10" t="inlineStr">
        <is>
          <t>양수로 입력</t>
        </is>
      </c>
      <c r="C40" s="19" t="n">
        <v>5277</v>
      </c>
      <c r="D40" s="20" t="n">
        <v>5334</v>
      </c>
      <c r="E40" s="20" t="n">
        <v>5335</v>
      </c>
      <c r="F40" s="20" t="n">
        <v>4393</v>
      </c>
      <c r="G40" s="20" t="n">
        <v>4424</v>
      </c>
      <c r="H40" s="19" t="n">
        <v>3219</v>
      </c>
      <c r="I40" s="20" t="n">
        <v>3278</v>
      </c>
      <c r="J40" s="20" t="n">
        <v>3277</v>
      </c>
      <c r="K40" s="20" t="n">
        <v>3533</v>
      </c>
      <c r="L40" s="20" t="n">
        <v>5335</v>
      </c>
    </row>
    <row r="41">
      <c r="A41" s="16" t="inlineStr">
        <is>
          <t>주요 재무 비율</t>
        </is>
      </c>
      <c r="B41" s="16" t="inlineStr">
        <is>
          <t>기준 (빨간 글씨 = 미달)</t>
        </is>
      </c>
      <c r="C41" s="17" t="n"/>
      <c r="D41" s="16" t="n"/>
      <c r="E41" s="16" t="n"/>
      <c r="F41" s="16" t="n"/>
      <c r="G41" s="16" t="n"/>
      <c r="H41" s="17" t="n"/>
      <c r="I41" s="16" t="n"/>
      <c r="J41" s="16" t="n"/>
      <c r="K41" s="16" t="n"/>
      <c r="L41" s="16" t="n"/>
    </row>
    <row r="42">
      <c r="A42" s="23" t="inlineStr">
        <is>
          <t>안정성</t>
        </is>
      </c>
      <c r="B42" s="23" t="n"/>
      <c r="C42" s="24" t="n"/>
      <c r="D42" s="23" t="n"/>
      <c r="E42" s="23" t="n"/>
      <c r="F42" s="23" t="n"/>
      <c r="G42" s="23" t="n"/>
      <c r="H42" s="24" t="n"/>
      <c r="I42" s="23" t="n"/>
      <c r="J42" s="23" t="n"/>
      <c r="K42" s="23" t="n"/>
      <c r="L42" s="23" t="n"/>
    </row>
    <row r="43">
      <c r="A43" s="45" t="inlineStr">
        <is>
          <t>부채비율</t>
        </is>
      </c>
      <c r="B43" s="10" t="inlineStr">
        <is>
          <t>100%↓</t>
        </is>
      </c>
      <c r="C43" s="35">
        <f>IF(OR(C27="",C35=""),"",IFERROR(C27/C35,""))</f>
        <v/>
      </c>
      <c r="D43" s="36">
        <f>IF(OR(D27="",D35=""),"",IFERROR(D27/D35,""))</f>
        <v/>
      </c>
      <c r="E43" s="36">
        <f>IF(OR(E27="",E35=""),"",IFERROR(E27/E35,""))</f>
        <v/>
      </c>
      <c r="F43" s="36">
        <f>IF(OR(F27="",F35=""),"",IFERROR(F27/F35,""))</f>
        <v/>
      </c>
      <c r="G43" s="36">
        <f>IF(OR(G27="",G35=""),"",IFERROR(G27/G35,""))</f>
        <v/>
      </c>
      <c r="H43" s="35">
        <f>IF(OR(H27="",H35=""),"",IFERROR(H27/H35,""))</f>
        <v/>
      </c>
      <c r="I43" s="36">
        <f>IF(OR(I27="",I35=""),"",IFERROR(I27/I35,""))</f>
        <v/>
      </c>
      <c r="J43" s="36">
        <f>IF(OR(J27="",J35=""),"",IFERROR(J27/J35,""))</f>
        <v/>
      </c>
      <c r="K43" s="36">
        <f>IF(OR(K27="",K35=""),"",IFERROR(K27/K35,""))</f>
        <v/>
      </c>
      <c r="L43" s="36">
        <f>IF(OR(L27="",L35=""),"",IFERROR(L27/L35,""))</f>
        <v/>
      </c>
    </row>
    <row r="44">
      <c r="A44" s="45" t="inlineStr">
        <is>
          <t>순차입금비율</t>
        </is>
      </c>
      <c r="B44" s="10" t="inlineStr">
        <is>
          <t>0%↓ 순현금</t>
        </is>
      </c>
      <c r="C44" s="35">
        <f>IF(OR(C29="",C35=""),"",IFERROR(C29/C35,""))</f>
        <v/>
      </c>
      <c r="D44" s="36">
        <f>IF(OR(D29="",D35=""),"",IFERROR(D29/D35,""))</f>
        <v/>
      </c>
      <c r="E44" s="36">
        <f>IF(OR(E29="",E35=""),"",IFERROR(E29/E35,""))</f>
        <v/>
      </c>
      <c r="F44" s="36">
        <f>IF(OR(F29="",F35=""),"",IFERROR(F29/F35,""))</f>
        <v/>
      </c>
      <c r="G44" s="36">
        <f>IF(OR(G29="",G35=""),"",IFERROR(G29/G35,""))</f>
        <v/>
      </c>
      <c r="H44" s="35">
        <f>IF(OR(H29="",H35=""),"",IFERROR(H29/H35,""))</f>
        <v/>
      </c>
      <c r="I44" s="36">
        <f>IF(OR(I29="",I35=""),"",IFERROR(I29/I35,""))</f>
        <v/>
      </c>
      <c r="J44" s="36">
        <f>IF(OR(J29="",J35=""),"",IFERROR(J29/J35,""))</f>
        <v/>
      </c>
      <c r="K44" s="36">
        <f>IF(OR(K29="",K35=""),"",IFERROR(K29/K35,""))</f>
        <v/>
      </c>
      <c r="L44" s="36">
        <f>IF(OR(L29="",L35=""),"",IFERROR(L29/L35,""))</f>
        <v/>
      </c>
    </row>
    <row r="45">
      <c r="A45" s="45" t="inlineStr">
        <is>
          <t>자기자본비율</t>
        </is>
      </c>
      <c r="B45" s="10" t="inlineStr">
        <is>
          <t>50%↑</t>
        </is>
      </c>
      <c r="C45" s="35">
        <f>IF(OR(C35="",C16=""),"",IFERROR(C35/C16,""))</f>
        <v/>
      </c>
      <c r="D45" s="36">
        <f>IF(OR(D35="",D16=""),"",IFERROR(D35/D16,""))</f>
        <v/>
      </c>
      <c r="E45" s="36">
        <f>IF(OR(E35="",E16=""),"",IFERROR(E35/E16,""))</f>
        <v/>
      </c>
      <c r="F45" s="36">
        <f>IF(OR(F35="",F16=""),"",IFERROR(F35/F16,""))</f>
        <v/>
      </c>
      <c r="G45" s="36">
        <f>IF(OR(G35="",G16=""),"",IFERROR(G35/G16,""))</f>
        <v/>
      </c>
      <c r="H45" s="35">
        <f>IF(OR(H35="",H16=""),"",IFERROR(H35/H16,""))</f>
        <v/>
      </c>
      <c r="I45" s="36">
        <f>IF(OR(I35="",I16=""),"",IFERROR(I35/I16,""))</f>
        <v/>
      </c>
      <c r="J45" s="36">
        <f>IF(OR(J35="",J16=""),"",IFERROR(J35/J16,""))</f>
        <v/>
      </c>
      <c r="K45" s="36">
        <f>IF(OR(K35="",K16=""),"",IFERROR(K35/K16,""))</f>
        <v/>
      </c>
      <c r="L45" s="36">
        <f>IF(OR(L35="",L16=""),"",IFERROR(L35/L16,""))</f>
        <v/>
      </c>
    </row>
    <row r="46">
      <c r="A46" s="45" t="inlineStr">
        <is>
          <t>유동비율</t>
        </is>
      </c>
      <c r="B46" s="10" t="inlineStr">
        <is>
          <t>150%↑</t>
        </is>
      </c>
      <c r="C46" s="35">
        <f>IF(OR(C5="",C18=""),"",IFERROR(C5/C18,""))</f>
        <v/>
      </c>
      <c r="D46" s="36">
        <f>IF(OR(D5="",D18=""),"",IFERROR(D5/D18,""))</f>
        <v/>
      </c>
      <c r="E46" s="36">
        <f>IF(OR(E5="",E18=""),"",IFERROR(E5/E18,""))</f>
        <v/>
      </c>
      <c r="F46" s="36">
        <f>IF(OR(F5="",F18=""),"",IFERROR(F5/F18,""))</f>
        <v/>
      </c>
      <c r="G46" s="36">
        <f>IF(OR(G5="",G18=""),"",IFERROR(G5/G18,""))</f>
        <v/>
      </c>
      <c r="H46" s="35">
        <f>IF(OR(H5="",H18=""),"",IFERROR(H5/H18,""))</f>
        <v/>
      </c>
      <c r="I46" s="36">
        <f>IF(OR(I5="",I18=""),"",IFERROR(I5/I18,""))</f>
        <v/>
      </c>
      <c r="J46" s="36">
        <f>IF(OR(J5="",J18=""),"",IFERROR(J5/J18,""))</f>
        <v/>
      </c>
      <c r="K46" s="36">
        <f>IF(OR(K5="",K18=""),"",IFERROR(K5/K18,""))</f>
        <v/>
      </c>
      <c r="L46" s="36">
        <f>IF(OR(L5="",L18=""),"",IFERROR(L5/L18,""))</f>
        <v/>
      </c>
    </row>
    <row r="47">
      <c r="A47" s="45" t="inlineStr">
        <is>
          <t>당좌비율</t>
        </is>
      </c>
      <c r="B47" s="10" t="inlineStr">
        <is>
          <t>100%↑</t>
        </is>
      </c>
      <c r="C47" s="35">
        <f>IF(OR(C5="",C18=""),"",IFERROR((C5-N(C9))/C18,""))</f>
        <v/>
      </c>
      <c r="D47" s="36">
        <f>IF(OR(D5="",D18=""),"",IFERROR((D5-N(D9))/D18,""))</f>
        <v/>
      </c>
      <c r="E47" s="36">
        <f>IF(OR(E5="",E18=""),"",IFERROR((E5-N(E9))/E18,""))</f>
        <v/>
      </c>
      <c r="F47" s="36">
        <f>IF(OR(F5="",F18=""),"",IFERROR((F5-N(F9))/F18,""))</f>
        <v/>
      </c>
      <c r="G47" s="36">
        <f>IF(OR(G5="",G18=""),"",IFERROR((G5-N(G9))/G18,""))</f>
        <v/>
      </c>
      <c r="H47" s="35">
        <f>IF(OR(H5="",H18=""),"",IFERROR((H5-N(H9))/H18,""))</f>
        <v/>
      </c>
      <c r="I47" s="36">
        <f>IF(OR(I5="",I18=""),"",IFERROR((I5-N(I9))/I18,""))</f>
        <v/>
      </c>
      <c r="J47" s="36">
        <f>IF(OR(J5="",J18=""),"",IFERROR((J5-N(J9))/J18,""))</f>
        <v/>
      </c>
      <c r="K47" s="36">
        <f>IF(OR(K5="",K18=""),"",IFERROR((K5-N(K9))/K18,""))</f>
        <v/>
      </c>
      <c r="L47" s="36">
        <f>IF(OR(L5="",L18=""),"",IFERROR((L5-N(L9))/L18,""))</f>
        <v/>
      </c>
    </row>
    <row r="48">
      <c r="A48" s="45" t="inlineStr">
        <is>
          <t>이자보상배율</t>
        </is>
      </c>
      <c r="B48" s="10" t="inlineStr">
        <is>
          <t>5x↑ (금융원가 기준)</t>
        </is>
      </c>
      <c r="C48" s="30">
        <f>IFERROR((IF(COUNT('연간'!G28:J28)&lt;4,"",SUM('연간'!G28:J28)))/(IF(COUNT('연간'!G50:J50)&lt;4,"",SUM('연간'!G50:J50))),"")</f>
        <v/>
      </c>
      <c r="D48" s="31">
        <f>IFERROR((IF(COUNT('연간'!H28:K28)&lt;4,"",SUM('연간'!H28:K28)))/(IF(COUNT('연간'!H50:K50)&lt;4,"",SUM('연간'!H50:K50))),"")</f>
        <v/>
      </c>
      <c r="E48" s="31">
        <f>IFERROR((IF(COUNT('연간'!I28:L28)&lt;4,"",SUM('연간'!I28:L28)))/(IF(COUNT('연간'!I50:L50)&lt;4,"",SUM('연간'!I50:L50))),"")</f>
        <v/>
      </c>
      <c r="F48" s="31">
        <f>IFERROR((IF(COUNT('연간'!J28:M28)&lt;4,"",SUM('연간'!J28:M28)))/(IF(COUNT('연간'!J50:M50)&lt;4,"",SUM('연간'!J50:M50))),"")</f>
        <v/>
      </c>
      <c r="G48" s="31">
        <f>IFERROR((IF(COUNT('연간'!K28:N28)&lt;4,"",SUM('연간'!K28:N28)))/(IF(COUNT('연간'!K50:N50)&lt;4,"",SUM('연간'!K50:N50))),"")</f>
        <v/>
      </c>
      <c r="H48" s="30">
        <f>IFERROR(('연간'!T28)/('연간'!T50),"")</f>
        <v/>
      </c>
      <c r="I48" s="31">
        <f>IFERROR(('연간'!U28)/('연간'!U50),"")</f>
        <v/>
      </c>
      <c r="J48" s="31">
        <f>IFERROR(('연간'!V28)/('연간'!V50),"")</f>
        <v/>
      </c>
      <c r="K48" s="31">
        <f>IFERROR(('연간'!W28)/('연간'!W50),"")</f>
        <v/>
      </c>
      <c r="L48" s="31">
        <f>IFERROR(('연간'!X28)/('연간'!X50),"")</f>
        <v/>
      </c>
    </row>
    <row r="49">
      <c r="A49" s="45" t="inlineStr">
        <is>
          <t>차입금 상환연수</t>
        </is>
      </c>
      <c r="B49" s="10" t="inlineStr">
        <is>
          <t>4년↓ (버핏)</t>
        </is>
      </c>
      <c r="C49" s="46">
        <f>IFERROR(IF((IF(COUNT('연간'!G56:J56)&lt;4,"",SUM('연간'!G56:J56)))&lt;=0,"적자",C28/(IF(COUNT('연간'!G56:J56)&lt;4,"",SUM('연간'!G56:J56)))),"")</f>
        <v/>
      </c>
      <c r="D49" s="47">
        <f>IFERROR(IF((IF(COUNT('연간'!H56:K56)&lt;4,"",SUM('연간'!H56:K56)))&lt;=0,"적자",D28/(IF(COUNT('연간'!H56:K56)&lt;4,"",SUM('연간'!H56:K56)))),"")</f>
        <v/>
      </c>
      <c r="E49" s="47">
        <f>IFERROR(IF((IF(COUNT('연간'!I56:L56)&lt;4,"",SUM('연간'!I56:L56)))&lt;=0,"적자",E28/(IF(COUNT('연간'!I56:L56)&lt;4,"",SUM('연간'!I56:L56)))),"")</f>
        <v/>
      </c>
      <c r="F49" s="47">
        <f>IFERROR(IF((IF(COUNT('연간'!J56:M56)&lt;4,"",SUM('연간'!J56:M56)))&lt;=0,"적자",F28/(IF(COUNT('연간'!J56:M56)&lt;4,"",SUM('연간'!J56:M56)))),"")</f>
        <v/>
      </c>
      <c r="G49" s="47">
        <f>IFERROR(IF((IF(COUNT('연간'!K56:N56)&lt;4,"",SUM('연간'!K56:N56)))&lt;=0,"적자",G28/(IF(COUNT('연간'!K56:N56)&lt;4,"",SUM('연간'!K56:N56)))),"")</f>
        <v/>
      </c>
      <c r="H49" s="46">
        <f>IFERROR(IF(('연간'!T56)&lt;=0,"적자",H28/('연간'!T56)),"")</f>
        <v/>
      </c>
      <c r="I49" s="47">
        <f>IFERROR(IF(('연간'!U56)&lt;=0,"적자",I28/('연간'!U56)),"")</f>
        <v/>
      </c>
      <c r="J49" s="47">
        <f>IFERROR(IF(('연간'!V56)&lt;=0,"적자",J28/('연간'!V56)),"")</f>
        <v/>
      </c>
      <c r="K49" s="47">
        <f>IFERROR(IF(('연간'!W56)&lt;=0,"적자",K28/('연간'!W56)),"")</f>
        <v/>
      </c>
      <c r="L49" s="47">
        <f>IFERROR(IF(('연간'!X56)&lt;=0,"적자",L28/('연간'!X56)),"")</f>
        <v/>
      </c>
    </row>
    <row r="50">
      <c r="A50" s="23" t="inlineStr">
        <is>
          <t>수익성</t>
        </is>
      </c>
      <c r="B50" s="23" t="n"/>
      <c r="C50" s="24" t="n"/>
      <c r="D50" s="23" t="n"/>
      <c r="E50" s="23" t="n"/>
      <c r="F50" s="23" t="n"/>
      <c r="G50" s="23" t="n"/>
      <c r="H50" s="24" t="n"/>
      <c r="I50" s="23" t="n"/>
      <c r="J50" s="23" t="n"/>
      <c r="K50" s="23" t="n"/>
      <c r="L50" s="23" t="n"/>
    </row>
    <row r="51">
      <c r="A51" s="45" t="inlineStr">
        <is>
          <t>ROE</t>
        </is>
      </c>
      <c r="B51" s="10" t="inlineStr">
        <is>
          <t>15%↑ (버핏)</t>
        </is>
      </c>
      <c r="C51" s="35">
        <f>IFERROR((IF(COUNT('연간'!G56:J56)&lt;4,"",SUM('연간'!G56:J56)))/C31,"")</f>
        <v/>
      </c>
      <c r="D51" s="36">
        <f>IFERROR((IF(COUNT('연간'!H56:K56)&lt;4,"",SUM('연간'!H56:K56)))/D31,"")</f>
        <v/>
      </c>
      <c r="E51" s="36">
        <f>IFERROR((IF(COUNT('연간'!I56:L56)&lt;4,"",SUM('연간'!I56:L56)))/E31,"")</f>
        <v/>
      </c>
      <c r="F51" s="36">
        <f>IFERROR((IF(COUNT('연간'!J56:M56)&lt;4,"",SUM('연간'!J56:M56)))/F31,"")</f>
        <v/>
      </c>
      <c r="G51" s="36">
        <f>IFERROR((IF(COUNT('연간'!K56:N56)&lt;4,"",SUM('연간'!K56:N56)))/G31,"")</f>
        <v/>
      </c>
      <c r="H51" s="35">
        <f>IFERROR(('연간'!T56)/H31,"")</f>
        <v/>
      </c>
      <c r="I51" s="36">
        <f>IFERROR(('연간'!U56)/I31,"")</f>
        <v/>
      </c>
      <c r="J51" s="36">
        <f>IFERROR(('연간'!V56)/J31,"")</f>
        <v/>
      </c>
      <c r="K51" s="36">
        <f>IFERROR(('연간'!W56)/K31,"")</f>
        <v/>
      </c>
      <c r="L51" s="36">
        <f>IFERROR(('연간'!X56)/L31,"")</f>
        <v/>
      </c>
    </row>
    <row r="52">
      <c r="A52" s="45" t="inlineStr">
        <is>
          <t>ROA</t>
        </is>
      </c>
      <c r="B52" s="10" t="inlineStr">
        <is>
          <t>5%↑</t>
        </is>
      </c>
      <c r="C52" s="35">
        <f>IFERROR((IF(COUNT('연간'!G55:J55)&lt;4,"",SUM('연간'!G55:J55)))/C16,"")</f>
        <v/>
      </c>
      <c r="D52" s="36">
        <f>IFERROR((IF(COUNT('연간'!H55:K55)&lt;4,"",SUM('연간'!H55:K55)))/D16,"")</f>
        <v/>
      </c>
      <c r="E52" s="36">
        <f>IFERROR((IF(COUNT('연간'!I55:L55)&lt;4,"",SUM('연간'!I55:L55)))/E16,"")</f>
        <v/>
      </c>
      <c r="F52" s="36">
        <f>IFERROR((IF(COUNT('연간'!J55:M55)&lt;4,"",SUM('연간'!J55:M55)))/F16,"")</f>
        <v/>
      </c>
      <c r="G52" s="36">
        <f>IFERROR((IF(COUNT('연간'!K55:N55)&lt;4,"",SUM('연간'!K55:N55)))/G16,"")</f>
        <v/>
      </c>
      <c r="H52" s="35">
        <f>IFERROR(('연간'!T55)/H16,"")</f>
        <v/>
      </c>
      <c r="I52" s="36">
        <f>IFERROR(('연간'!U55)/I16,"")</f>
        <v/>
      </c>
      <c r="J52" s="36">
        <f>IFERROR(('연간'!V55)/J16,"")</f>
        <v/>
      </c>
      <c r="K52" s="36">
        <f>IFERROR(('연간'!W55)/K16,"")</f>
        <v/>
      </c>
      <c r="L52" s="36">
        <f>IFERROR(('연간'!X55)/L16,"")</f>
        <v/>
      </c>
    </row>
    <row r="53">
      <c r="A53" s="45" t="inlineStr">
        <is>
          <t>ROIC</t>
        </is>
      </c>
      <c r="B53" s="10" t="inlineStr">
        <is>
          <t>10%↑ (세후영업이익 기준)</t>
        </is>
      </c>
      <c r="C53" s="35">
        <f>IFERROR((IF(COUNT('연간'!G28:J28)&lt;4,"",SUM('연간'!G28:J28)))*(1-0.3)/(C35+C29),"")</f>
        <v/>
      </c>
      <c r="D53" s="36">
        <f>IFERROR((IF(COUNT('연간'!H28:K28)&lt;4,"",SUM('연간'!H28:K28)))*(1-0.3)/(D35+D29),"")</f>
        <v/>
      </c>
      <c r="E53" s="36">
        <f>IFERROR((IF(COUNT('연간'!I28:L28)&lt;4,"",SUM('연간'!I28:L28)))*(1-0.3)/(E35+E29),"")</f>
        <v/>
      </c>
      <c r="F53" s="36">
        <f>IFERROR((IF(COUNT('연간'!J28:M28)&lt;4,"",SUM('연간'!J28:M28)))*(1-0.3)/(F35+F29),"")</f>
        <v/>
      </c>
      <c r="G53" s="36">
        <f>IFERROR((IF(COUNT('연간'!K28:N28)&lt;4,"",SUM('연간'!K28:N28)))*(1-0.3)/(G35+G29),"")</f>
        <v/>
      </c>
      <c r="H53" s="35">
        <f>IFERROR(('연간'!T28)*(1-0.3)/(H35+H29),"")</f>
        <v/>
      </c>
      <c r="I53" s="36">
        <f>IFERROR(('연간'!U28)*(1-0.3)/(I35+I29),"")</f>
        <v/>
      </c>
      <c r="J53" s="36">
        <f>IFERROR(('연간'!V28)*(1-0.3)/(J35+J29),"")</f>
        <v/>
      </c>
      <c r="K53" s="36">
        <f>IFERROR(('연간'!W28)*(1-0.3)/(K35+K29),"")</f>
        <v/>
      </c>
      <c r="L53" s="36">
        <f>IFERROR(('연간'!X28)*(1-0.3)/(L35+L29),"")</f>
        <v/>
      </c>
    </row>
    <row r="54">
      <c r="A54" s="45" t="inlineStr">
        <is>
          <t>매출총이익률 (GPM)</t>
        </is>
      </c>
      <c r="B54" s="10" t="inlineStr">
        <is>
          <t>40%↑ (해자 신호)</t>
        </is>
      </c>
      <c r="C54" s="35">
        <f>IFERROR((IF(COUNT('연간'!G24:J24)&lt;4,"",SUM('연간'!G24:J24)))/(IF(COUNT('연간'!G4:J4)&lt;4,"",SUM('연간'!G4:J4))),"")</f>
        <v/>
      </c>
      <c r="D54" s="36">
        <f>IFERROR((IF(COUNT('연간'!H24:K24)&lt;4,"",SUM('연간'!H24:K24)))/(IF(COUNT('연간'!H4:K4)&lt;4,"",SUM('연간'!H4:K4))),"")</f>
        <v/>
      </c>
      <c r="E54" s="36">
        <f>IFERROR((IF(COUNT('연간'!I24:L24)&lt;4,"",SUM('연간'!I24:L24)))/(IF(COUNT('연간'!I4:L4)&lt;4,"",SUM('연간'!I4:L4))),"")</f>
        <v/>
      </c>
      <c r="F54" s="36">
        <f>IFERROR((IF(COUNT('연간'!J24:M24)&lt;4,"",SUM('연간'!J24:M24)))/(IF(COUNT('연간'!J4:M4)&lt;4,"",SUM('연간'!J4:M4))),"")</f>
        <v/>
      </c>
      <c r="G54" s="36">
        <f>IFERROR((IF(COUNT('연간'!K24:N24)&lt;4,"",SUM('연간'!K24:N24)))/(IF(COUNT('연간'!K4:N4)&lt;4,"",SUM('연간'!K4:N4))),"")</f>
        <v/>
      </c>
      <c r="H54" s="35">
        <f>IFERROR(('연간'!T24)/('연간'!T4),"")</f>
        <v/>
      </c>
      <c r="I54" s="36">
        <f>IFERROR(('연간'!U24)/('연간'!U4),"")</f>
        <v/>
      </c>
      <c r="J54" s="36">
        <f>IFERROR(('연간'!V24)/('연간'!V4),"")</f>
        <v/>
      </c>
      <c r="K54" s="36">
        <f>IFERROR(('연간'!W24)/('연간'!W4),"")</f>
        <v/>
      </c>
      <c r="L54" s="36">
        <f>IFERROR(('연간'!X24)/('연간'!X4),"")</f>
        <v/>
      </c>
    </row>
    <row r="55">
      <c r="A55" s="45" t="inlineStr">
        <is>
          <t>영업이익률 (OPM)</t>
        </is>
      </c>
      <c r="B55" s="10" t="inlineStr">
        <is>
          <t>15%↑</t>
        </is>
      </c>
      <c r="C55" s="35">
        <f>IFERROR((IF(COUNT('연간'!G28:J28)&lt;4,"",SUM('연간'!G28:J28)))/(IF(COUNT('연간'!G4:J4)&lt;4,"",SUM('연간'!G4:J4))),"")</f>
        <v/>
      </c>
      <c r="D55" s="36">
        <f>IFERROR((IF(COUNT('연간'!H28:K28)&lt;4,"",SUM('연간'!H28:K28)))/(IF(COUNT('연간'!H4:K4)&lt;4,"",SUM('연간'!H4:K4))),"")</f>
        <v/>
      </c>
      <c r="E55" s="36">
        <f>IFERROR((IF(COUNT('연간'!I28:L28)&lt;4,"",SUM('연간'!I28:L28)))/(IF(COUNT('연간'!I4:L4)&lt;4,"",SUM('연간'!I4:L4))),"")</f>
        <v/>
      </c>
      <c r="F55" s="36">
        <f>IFERROR((IF(COUNT('연간'!J28:M28)&lt;4,"",SUM('연간'!J28:M28)))/(IF(COUNT('연간'!J4:M4)&lt;4,"",SUM('연간'!J4:M4))),"")</f>
        <v/>
      </c>
      <c r="G55" s="36">
        <f>IFERROR((IF(COUNT('연간'!K28:N28)&lt;4,"",SUM('연간'!K28:N28)))/(IF(COUNT('연간'!K4:N4)&lt;4,"",SUM('연간'!K4:N4))),"")</f>
        <v/>
      </c>
      <c r="H55" s="35">
        <f>IFERROR(('연간'!T28)/('연간'!T4),"")</f>
        <v/>
      </c>
      <c r="I55" s="36">
        <f>IFERROR(('연간'!U28)/('연간'!U4),"")</f>
        <v/>
      </c>
      <c r="J55" s="36">
        <f>IFERROR(('연간'!V28)/('연간'!V4),"")</f>
        <v/>
      </c>
      <c r="K55" s="36">
        <f>IFERROR(('연간'!W28)/('연간'!W4),"")</f>
        <v/>
      </c>
      <c r="L55" s="36">
        <f>IFERROR(('연간'!X28)/('연간'!X4),"")</f>
        <v/>
      </c>
    </row>
    <row r="56">
      <c r="A56" s="45" t="inlineStr">
        <is>
          <t>순이익률</t>
        </is>
      </c>
      <c r="B56" s="10" t="inlineStr">
        <is>
          <t>10%↑</t>
        </is>
      </c>
      <c r="C56" s="35">
        <f>IFERROR((IF(COUNT('연간'!G55:J55)&lt;4,"",SUM('연간'!G55:J55)))/(IF(COUNT('연간'!G4:J4)&lt;4,"",SUM('연간'!G4:J4))),"")</f>
        <v/>
      </c>
      <c r="D56" s="36">
        <f>IFERROR((IF(COUNT('연간'!H55:K55)&lt;4,"",SUM('연간'!H55:K55)))/(IF(COUNT('연간'!H4:K4)&lt;4,"",SUM('연간'!H4:K4))),"")</f>
        <v/>
      </c>
      <c r="E56" s="36">
        <f>IFERROR((IF(COUNT('연간'!I55:L55)&lt;4,"",SUM('연간'!I55:L55)))/(IF(COUNT('연간'!I4:L4)&lt;4,"",SUM('연간'!I4:L4))),"")</f>
        <v/>
      </c>
      <c r="F56" s="36">
        <f>IFERROR((IF(COUNT('연간'!J55:M55)&lt;4,"",SUM('연간'!J55:M55)))/(IF(COUNT('연간'!J4:M4)&lt;4,"",SUM('연간'!J4:M4))),"")</f>
        <v/>
      </c>
      <c r="G56" s="36">
        <f>IFERROR((IF(COUNT('연간'!K55:N55)&lt;4,"",SUM('연간'!K55:N55)))/(IF(COUNT('연간'!K4:N4)&lt;4,"",SUM('연간'!K4:N4))),"")</f>
        <v/>
      </c>
      <c r="H56" s="35">
        <f>IFERROR(('연간'!T55)/('연간'!T4),"")</f>
        <v/>
      </c>
      <c r="I56" s="36">
        <f>IFERROR(('연간'!U55)/('연간'!U4),"")</f>
        <v/>
      </c>
      <c r="J56" s="36">
        <f>IFERROR(('연간'!V55)/('연간'!V4),"")</f>
        <v/>
      </c>
      <c r="K56" s="36">
        <f>IFERROR(('연간'!W55)/('연간'!W4),"")</f>
        <v/>
      </c>
      <c r="L56" s="36">
        <f>IFERROR(('연간'!X55)/('연간'!X4),"")</f>
        <v/>
      </c>
    </row>
    <row r="57">
      <c r="A57" s="23" t="inlineStr">
        <is>
          <t>효율성 (회전율)</t>
        </is>
      </c>
      <c r="B57" s="23" t="n"/>
      <c r="C57" s="24" t="n"/>
      <c r="D57" s="23" t="n"/>
      <c r="E57" s="23" t="n"/>
      <c r="F57" s="23" t="n"/>
      <c r="G57" s="23" t="n"/>
      <c r="H57" s="24" t="n"/>
      <c r="I57" s="23" t="n"/>
      <c r="J57" s="23" t="n"/>
      <c r="K57" s="23" t="n"/>
      <c r="L57" s="23" t="n"/>
    </row>
    <row r="58">
      <c r="A58" s="45" t="inlineStr">
        <is>
          <t>총자산회전율</t>
        </is>
      </c>
      <c r="B58" s="10" t="inlineStr">
        <is>
          <t>높을수록↑</t>
        </is>
      </c>
      <c r="C58" s="30">
        <f>IFERROR((IF(COUNT('연간'!G4:J4)&lt;4,"",SUM('연간'!G4:J4)))/C16,"")</f>
        <v/>
      </c>
      <c r="D58" s="31">
        <f>IFERROR((IF(COUNT('연간'!H4:K4)&lt;4,"",SUM('연간'!H4:K4)))/D16,"")</f>
        <v/>
      </c>
      <c r="E58" s="31">
        <f>IFERROR((IF(COUNT('연간'!I4:L4)&lt;4,"",SUM('연간'!I4:L4)))/E16,"")</f>
        <v/>
      </c>
      <c r="F58" s="31">
        <f>IFERROR((IF(COUNT('연간'!J4:M4)&lt;4,"",SUM('연간'!J4:M4)))/F16,"")</f>
        <v/>
      </c>
      <c r="G58" s="31">
        <f>IFERROR((IF(COUNT('연간'!K4:N4)&lt;4,"",SUM('연간'!K4:N4)))/G16,"")</f>
        <v/>
      </c>
      <c r="H58" s="30">
        <f>IFERROR(('연간'!T4)/H16,"")</f>
        <v/>
      </c>
      <c r="I58" s="31">
        <f>IFERROR(('연간'!U4)/I16,"")</f>
        <v/>
      </c>
      <c r="J58" s="31">
        <f>IFERROR(('연간'!V4)/J16,"")</f>
        <v/>
      </c>
      <c r="K58" s="31">
        <f>IFERROR(('연간'!W4)/K16,"")</f>
        <v/>
      </c>
      <c r="L58" s="31">
        <f>IFERROR(('연간'!X4)/L16,"")</f>
        <v/>
      </c>
    </row>
    <row r="59">
      <c r="A59" s="45" t="inlineStr">
        <is>
          <t>매출채권회전일수</t>
        </is>
      </c>
      <c r="B59" s="10" t="inlineStr">
        <is>
          <t>짧을수록↑</t>
        </is>
      </c>
      <c r="C59" s="48">
        <f>IFERROR(C8/(IF(COUNT('연간'!G4:J4)&lt;4,"",SUM('연간'!G4:J4)))*365,"")</f>
        <v/>
      </c>
      <c r="D59" s="49">
        <f>IFERROR(D8/(IF(COUNT('연간'!H4:K4)&lt;4,"",SUM('연간'!H4:K4)))*365,"")</f>
        <v/>
      </c>
      <c r="E59" s="49">
        <f>IFERROR(E8/(IF(COUNT('연간'!I4:L4)&lt;4,"",SUM('연간'!I4:L4)))*365,"")</f>
        <v/>
      </c>
      <c r="F59" s="49">
        <f>IFERROR(F8/(IF(COUNT('연간'!J4:M4)&lt;4,"",SUM('연간'!J4:M4)))*365,"")</f>
        <v/>
      </c>
      <c r="G59" s="49">
        <f>IFERROR(G8/(IF(COUNT('연간'!K4:N4)&lt;4,"",SUM('연간'!K4:N4)))*365,"")</f>
        <v/>
      </c>
      <c r="H59" s="48">
        <f>IFERROR(H8/('연간'!T4)*365,"")</f>
        <v/>
      </c>
      <c r="I59" s="49">
        <f>IFERROR(I8/('연간'!U4)*365,"")</f>
        <v/>
      </c>
      <c r="J59" s="49">
        <f>IFERROR(J8/('연간'!V4)*365,"")</f>
        <v/>
      </c>
      <c r="K59" s="49">
        <f>IFERROR(K8/('연간'!W4)*365,"")</f>
        <v/>
      </c>
      <c r="L59" s="49">
        <f>IFERROR(L8/('연간'!X4)*365,"")</f>
        <v/>
      </c>
    </row>
    <row r="60">
      <c r="A60" s="45" t="inlineStr">
        <is>
          <t>재고자산회전일수</t>
        </is>
      </c>
      <c r="B60" s="10" t="inlineStr">
        <is>
          <t>짧을수록↑</t>
        </is>
      </c>
      <c r="C60" s="48">
        <f>IFERROR(C9/(IF(COUNT('연간'!G23:J23)&lt;4,"",SUM('연간'!G23:J23)))*365,"")</f>
        <v/>
      </c>
      <c r="D60" s="49">
        <f>IFERROR(D9/(IF(COUNT('연간'!H23:K23)&lt;4,"",SUM('연간'!H23:K23)))*365,"")</f>
        <v/>
      </c>
      <c r="E60" s="49">
        <f>IFERROR(E9/(IF(COUNT('연간'!I23:L23)&lt;4,"",SUM('연간'!I23:L23)))*365,"")</f>
        <v/>
      </c>
      <c r="F60" s="49">
        <f>IFERROR(F9/(IF(COUNT('연간'!J23:M23)&lt;4,"",SUM('연간'!J23:M23)))*365,"")</f>
        <v/>
      </c>
      <c r="G60" s="49">
        <f>IFERROR(G9/(IF(COUNT('연간'!K23:N23)&lt;4,"",SUM('연간'!K23:N23)))*365,"")</f>
        <v/>
      </c>
      <c r="H60" s="48">
        <f>IFERROR(H9/('연간'!T23)*365,"")</f>
        <v/>
      </c>
      <c r="I60" s="49">
        <f>IFERROR(I9/('연간'!U23)*365,"")</f>
        <v/>
      </c>
      <c r="J60" s="49">
        <f>IFERROR(J9/('연간'!V23)*365,"")</f>
        <v/>
      </c>
      <c r="K60" s="49">
        <f>IFERROR(K9/('연간'!W23)*365,"")</f>
        <v/>
      </c>
      <c r="L60" s="49">
        <f>IFERROR(L9/('연간'!X23)*365,"")</f>
        <v/>
      </c>
    </row>
    <row r="61">
      <c r="A61" s="45" t="inlineStr">
        <is>
          <t>매입채무회전일수</t>
        </is>
      </c>
      <c r="B61" s="10" t="inlineStr">
        <is>
          <t>길수록 유리</t>
        </is>
      </c>
      <c r="C61" s="48">
        <f>IFERROR(C19/(IF(COUNT('연간'!G23:J23)&lt;4,"",SUM('연간'!G23:J23)))*365,"")</f>
        <v/>
      </c>
      <c r="D61" s="49">
        <f>IFERROR(D19/(IF(COUNT('연간'!H23:K23)&lt;4,"",SUM('연간'!H23:K23)))*365,"")</f>
        <v/>
      </c>
      <c r="E61" s="49">
        <f>IFERROR(E19/(IF(COUNT('연간'!I23:L23)&lt;4,"",SUM('연간'!I23:L23)))*365,"")</f>
        <v/>
      </c>
      <c r="F61" s="49">
        <f>IFERROR(F19/(IF(COUNT('연간'!J23:M23)&lt;4,"",SUM('연간'!J23:M23)))*365,"")</f>
        <v/>
      </c>
      <c r="G61" s="49">
        <f>IFERROR(G19/(IF(COUNT('연간'!K23:N23)&lt;4,"",SUM('연간'!K23:N23)))*365,"")</f>
        <v/>
      </c>
      <c r="H61" s="48">
        <f>IFERROR(H19/('연간'!T23)*365,"")</f>
        <v/>
      </c>
      <c r="I61" s="49">
        <f>IFERROR(I19/('연간'!U23)*365,"")</f>
        <v/>
      </c>
      <c r="J61" s="49">
        <f>IFERROR(J19/('연간'!V23)*365,"")</f>
        <v/>
      </c>
      <c r="K61" s="49">
        <f>IFERROR(K19/('연간'!W23)*365,"")</f>
        <v/>
      </c>
      <c r="L61" s="49">
        <f>IFERROR(L19/('연간'!X23)*365,"")</f>
        <v/>
      </c>
    </row>
    <row r="62">
      <c r="A62" s="45" t="inlineStr">
        <is>
          <t>현금전환주기 (CCC)</t>
        </is>
      </c>
      <c r="B62" s="10" t="inlineStr">
        <is>
          <t>짧을수록↑</t>
        </is>
      </c>
      <c r="C62" s="48">
        <f>IF(OR(C59="",C60="",C61=""),"",IFERROR(C59+C60-C61,""))</f>
        <v/>
      </c>
      <c r="D62" s="49">
        <f>IF(OR(D59="",D60="",D61=""),"",IFERROR(D59+D60-D61,""))</f>
        <v/>
      </c>
      <c r="E62" s="49">
        <f>IF(OR(E59="",E60="",E61=""),"",IFERROR(E59+E60-E61,""))</f>
        <v/>
      </c>
      <c r="F62" s="49">
        <f>IF(OR(F59="",F60="",F61=""),"",IFERROR(F59+F60-F61,""))</f>
        <v/>
      </c>
      <c r="G62" s="49">
        <f>IF(OR(G59="",G60="",G61=""),"",IFERROR(G59+G60-G61,""))</f>
        <v/>
      </c>
      <c r="H62" s="48">
        <f>IF(OR(H59="",H60="",H61=""),"",IFERROR(H59+H60-H61,""))</f>
        <v/>
      </c>
      <c r="I62" s="49">
        <f>IF(OR(I59="",I60="",I61=""),"",IFERROR(I59+I60-I61,""))</f>
        <v/>
      </c>
      <c r="J62" s="49">
        <f>IF(OR(J59="",J60="",J61=""),"",IFERROR(J59+J60-J61,""))</f>
        <v/>
      </c>
      <c r="K62" s="49">
        <f>IF(OR(K59="",K60="",K61=""),"",IFERROR(K59+K60-K61,""))</f>
        <v/>
      </c>
      <c r="L62" s="49">
        <f>IF(OR(L59="",L60="",L61=""),"",IFERROR(L59+L60-L61,""))</f>
        <v/>
      </c>
    </row>
    <row r="63">
      <c r="A63" s="23" t="inlineStr">
        <is>
          <t>현금흐름</t>
        </is>
      </c>
      <c r="B63" s="23" t="n"/>
      <c r="C63" s="24" t="n"/>
      <c r="D63" s="23" t="n"/>
      <c r="E63" s="23" t="n"/>
      <c r="F63" s="23" t="n"/>
      <c r="G63" s="23" t="n"/>
      <c r="H63" s="24" t="n"/>
      <c r="I63" s="23" t="n"/>
      <c r="J63" s="23" t="n"/>
      <c r="K63" s="23" t="n"/>
      <c r="L63" s="23" t="n"/>
    </row>
    <row r="64">
      <c r="A64" s="45" t="inlineStr">
        <is>
          <t>영업현금흐름 / 순이익</t>
        </is>
      </c>
      <c r="B64" s="10" t="inlineStr">
        <is>
          <t>1x↑ (이익의 질)</t>
        </is>
      </c>
      <c r="C64" s="30">
        <f>IF(C37="","",IFERROR(C37/(IF(COUNT('연간'!G55:J55)&lt;4,"",SUM('연간'!G55:J55))),""))</f>
        <v/>
      </c>
      <c r="D64" s="31">
        <f>IF(D37="","",IFERROR(D37/(IF(COUNT('연간'!H55:K55)&lt;4,"",SUM('연간'!H55:K55))),""))</f>
        <v/>
      </c>
      <c r="E64" s="31">
        <f>IF(E37="","",IFERROR(E37/(IF(COUNT('연간'!I55:L55)&lt;4,"",SUM('연간'!I55:L55))),""))</f>
        <v/>
      </c>
      <c r="F64" s="31">
        <f>IF(F37="","",IFERROR(F37/(IF(COUNT('연간'!J55:M55)&lt;4,"",SUM('연간'!J55:M55))),""))</f>
        <v/>
      </c>
      <c r="G64" s="31">
        <f>IF(G37="","",IFERROR(G37/(IF(COUNT('연간'!K55:N55)&lt;4,"",SUM('연간'!K55:N55))),""))</f>
        <v/>
      </c>
      <c r="H64" s="30">
        <f>IF(H37="","",IFERROR(H37/('연간'!T55),""))</f>
        <v/>
      </c>
      <c r="I64" s="31">
        <f>IF(I37="","",IFERROR(I37/('연간'!U55),""))</f>
        <v/>
      </c>
      <c r="J64" s="31">
        <f>IF(J37="","",IFERROR(J37/('연간'!V55),""))</f>
        <v/>
      </c>
      <c r="K64" s="31">
        <f>IF(K37="","",IFERROR(K37/('연간'!W55),""))</f>
        <v/>
      </c>
      <c r="L64" s="31">
        <f>IF(L37="","",IFERROR(L37/('연간'!X55),""))</f>
        <v/>
      </c>
    </row>
    <row r="65">
      <c r="A65" s="45" t="inlineStr">
        <is>
          <t>FCF 마진</t>
        </is>
      </c>
      <c r="B65" s="10" t="inlineStr">
        <is>
          <t>5%↑</t>
        </is>
      </c>
      <c r="C65" s="35">
        <f>IF(C39="","",IFERROR(C39/(IF(COUNT('연간'!G4:J4)&lt;4,"",SUM('연간'!G4:J4))),""))</f>
        <v/>
      </c>
      <c r="D65" s="36">
        <f>IF(D39="","",IFERROR(D39/(IF(COUNT('연간'!H4:K4)&lt;4,"",SUM('연간'!H4:K4))),""))</f>
        <v/>
      </c>
      <c r="E65" s="36">
        <f>IF(E39="","",IFERROR(E39/(IF(COUNT('연간'!I4:L4)&lt;4,"",SUM('연간'!I4:L4))),""))</f>
        <v/>
      </c>
      <c r="F65" s="36">
        <f>IF(F39="","",IFERROR(F39/(IF(COUNT('연간'!J4:M4)&lt;4,"",SUM('연간'!J4:M4))),""))</f>
        <v/>
      </c>
      <c r="G65" s="36">
        <f>IF(G39="","",IFERROR(G39/(IF(COUNT('연간'!K4:N4)&lt;4,"",SUM('연간'!K4:N4))),""))</f>
        <v/>
      </c>
      <c r="H65" s="35">
        <f>IF(H39="","",IFERROR(H39/('연간'!T4),""))</f>
        <v/>
      </c>
      <c r="I65" s="36">
        <f>IF(I39="","",IFERROR(I39/('연간'!U4),""))</f>
        <v/>
      </c>
      <c r="J65" s="36">
        <f>IF(J39="","",IFERROR(J39/('연간'!V4),""))</f>
        <v/>
      </c>
      <c r="K65" s="36">
        <f>IF(K39="","",IFERROR(K39/('연간'!W4),""))</f>
        <v/>
      </c>
      <c r="L65" s="36">
        <f>IF(L39="","",IFERROR(L39/('연간'!X4),""))</f>
        <v/>
      </c>
    </row>
    <row r="66">
      <c r="A66" s="45" t="inlineStr">
        <is>
          <t>CAPEX / 매출</t>
        </is>
      </c>
      <c r="B66" s="10" t="inlineStr">
        <is>
          <t>낮을수록↑ (자본 가벼움)</t>
        </is>
      </c>
      <c r="C66" s="35">
        <f>IF(C38="","",IFERROR(C38/(IF(COUNT('연간'!G4:J4)&lt;4,"",SUM('연간'!G4:J4))),""))</f>
        <v/>
      </c>
      <c r="D66" s="36">
        <f>IF(D38="","",IFERROR(D38/(IF(COUNT('연간'!H4:K4)&lt;4,"",SUM('연간'!H4:K4))),""))</f>
        <v/>
      </c>
      <c r="E66" s="36">
        <f>IF(E38="","",IFERROR(E38/(IF(COUNT('연간'!I4:L4)&lt;4,"",SUM('연간'!I4:L4))),""))</f>
        <v/>
      </c>
      <c r="F66" s="36">
        <f>IF(F38="","",IFERROR(F38/(IF(COUNT('연간'!J4:M4)&lt;4,"",SUM('연간'!J4:M4))),""))</f>
        <v/>
      </c>
      <c r="G66" s="36">
        <f>IF(G38="","",IFERROR(G38/(IF(COUNT('연간'!K4:N4)&lt;4,"",SUM('연간'!K4:N4))),""))</f>
        <v/>
      </c>
      <c r="H66" s="35">
        <f>IF(H38="","",IFERROR(H38/('연간'!T4),""))</f>
        <v/>
      </c>
      <c r="I66" s="36">
        <f>IF(I38="","",IFERROR(I38/('연간'!U4),""))</f>
        <v/>
      </c>
      <c r="J66" s="36">
        <f>IF(J38="","",IFERROR(J38/('연간'!V4),""))</f>
        <v/>
      </c>
      <c r="K66" s="36">
        <f>IF(K38="","",IFERROR(K38/('연간'!W4),""))</f>
        <v/>
      </c>
      <c r="L66" s="36">
        <f>IF(L38="","",IFERROR(L38/('연간'!X4),""))</f>
        <v/>
      </c>
    </row>
    <row r="67">
      <c r="A67" s="45" t="inlineStr">
        <is>
          <t>배당성향</t>
        </is>
      </c>
      <c r="B67" s="10" t="inlineStr">
        <is>
          <t>참고</t>
        </is>
      </c>
      <c r="C67" s="35">
        <f>IF(C40="","",IFERROR(C40/(IF(COUNT('연간'!G56:J56)&lt;4,"",SUM('연간'!G56:J56))),""))</f>
        <v/>
      </c>
      <c r="D67" s="36">
        <f>IF(D40="","",IFERROR(D40/(IF(COUNT('연간'!H56:K56)&lt;4,"",SUM('연간'!H56:K56))),""))</f>
        <v/>
      </c>
      <c r="E67" s="36">
        <f>IF(E40="","",IFERROR(E40/(IF(COUNT('연간'!I56:L56)&lt;4,"",SUM('연간'!I56:L56))),""))</f>
        <v/>
      </c>
      <c r="F67" s="36">
        <f>IF(F40="","",IFERROR(F40/(IF(COUNT('연간'!J56:M56)&lt;4,"",SUM('연간'!J56:M56))),""))</f>
        <v/>
      </c>
      <c r="G67" s="36">
        <f>IF(G40="","",IFERROR(G40/(IF(COUNT('연간'!K56:N56)&lt;4,"",SUM('연간'!K56:N56))),""))</f>
        <v/>
      </c>
      <c r="H67" s="35">
        <f>IF(H40="","",IFERROR(H40/('연간'!T56),""))</f>
        <v/>
      </c>
      <c r="I67" s="36">
        <f>IF(I40="","",IFERROR(I40/('연간'!U56),""))</f>
        <v/>
      </c>
      <c r="J67" s="36">
        <f>IF(J40="","",IFERROR(J40/('연간'!V56),""))</f>
        <v/>
      </c>
      <c r="K67" s="36">
        <f>IF(K40="","",IFERROR(K40/('연간'!W56),""))</f>
        <v/>
      </c>
      <c r="L67" s="36">
        <f>IF(L40="","",IFERROR(L40/('연간'!X56),""))</f>
        <v/>
      </c>
    </row>
    <row r="69">
      <c r="A69" s="16" t="inlineStr">
        <is>
          <t>재무상태표 · 전 항목</t>
        </is>
      </c>
      <c r="B69" s="42" t="inlineStr">
        <is>
          <t>분기 말 잔액</t>
        </is>
      </c>
      <c r="C69" s="16" t="n"/>
      <c r="D69" s="16" t="n"/>
      <c r="E69" s="16" t="n"/>
      <c r="F69" s="16" t="n"/>
      <c r="G69" s="16" t="n"/>
      <c r="H69" s="16" t="n"/>
      <c r="I69" s="16" t="n"/>
      <c r="J69" s="16" t="n"/>
      <c r="K69" s="16" t="n"/>
      <c r="L69" s="16" t="n"/>
    </row>
    <row r="70">
      <c r="A70" s="5" t="inlineStr">
        <is>
          <t>항목</t>
        </is>
      </c>
      <c r="B70" s="5" t="inlineStr">
        <is>
          <t>참고</t>
        </is>
      </c>
      <c r="C70" s="5" t="inlineStr">
        <is>
          <t>2025.2Q</t>
        </is>
      </c>
      <c r="D70" s="5" t="inlineStr">
        <is>
          <t>2025.3Q</t>
        </is>
      </c>
      <c r="E70" s="5" t="inlineStr">
        <is>
          <t>2025.4Q</t>
        </is>
      </c>
      <c r="F70" s="5" t="inlineStr">
        <is>
          <t>2026.1Q</t>
        </is>
      </c>
      <c r="G70" s="5" t="inlineStr">
        <is>
          <t>2026.2Q</t>
        </is>
      </c>
      <c r="H70" s="5" t="inlineStr">
        <is>
          <t>2021</t>
        </is>
      </c>
      <c r="I70" s="5" t="inlineStr">
        <is>
          <t>2022</t>
        </is>
      </c>
      <c r="J70" s="5" t="inlineStr">
        <is>
          <t>2023</t>
        </is>
      </c>
      <c r="K70" s="5" t="inlineStr">
        <is>
          <t>2024</t>
        </is>
      </c>
      <c r="L70" s="5" t="inlineStr">
        <is>
          <t>2025</t>
        </is>
      </c>
    </row>
    <row r="71">
      <c r="A71" s="18" t="inlineStr">
        <is>
          <t>현금및현금성자산</t>
        </is>
      </c>
      <c r="C71" s="20" t="n">
        <v>18921</v>
      </c>
      <c r="D71" s="20" t="n">
        <v>25749</v>
      </c>
      <c r="E71" s="20" t="n">
        <v>26844</v>
      </c>
      <c r="F71" s="20" t="n">
        <v>15235</v>
      </c>
      <c r="G71" s="20" t="n">
        <v>14531</v>
      </c>
      <c r="H71" s="20" t="n">
        <v>31231</v>
      </c>
      <c r="I71" s="20" t="n">
        <v>21390</v>
      </c>
      <c r="J71" s="20" t="n">
        <v>36010</v>
      </c>
      <c r="K71" s="20" t="n">
        <v>21273</v>
      </c>
      <c r="L71" s="20" t="n">
        <v>26844</v>
      </c>
    </row>
    <row r="72">
      <c r="A72" s="18" t="inlineStr">
        <is>
          <t>영업채권 및 기타채권</t>
        </is>
      </c>
      <c r="C72" s="20" t="n">
        <v>55782</v>
      </c>
      <c r="D72" s="20" t="n">
        <v>60611</v>
      </c>
      <c r="E72" s="20" t="n">
        <v>60558</v>
      </c>
      <c r="F72" s="20" t="n">
        <v>54069</v>
      </c>
      <c r="G72" s="20" t="n">
        <v>58996</v>
      </c>
      <c r="H72" s="20" t="n">
        <v>41657</v>
      </c>
      <c r="I72" s="20" t="n">
        <v>45487</v>
      </c>
      <c r="J72" s="20" t="n">
        <v>48426</v>
      </c>
      <c r="K72" s="20" t="n">
        <v>59432</v>
      </c>
      <c r="L72" s="20" t="n">
        <v>60558</v>
      </c>
    </row>
    <row r="73">
      <c r="A73" s="18" t="inlineStr">
        <is>
          <t>재고자산</t>
        </is>
      </c>
      <c r="C73" s="20" t="n">
        <v>100148</v>
      </c>
      <c r="D73" s="20" t="n">
        <v>126641</v>
      </c>
      <c r="E73" s="20" t="n">
        <v>119438</v>
      </c>
      <c r="F73" s="20" t="n">
        <v>117268</v>
      </c>
      <c r="G73" s="20" t="n">
        <v>108808</v>
      </c>
      <c r="H73" s="20" t="n">
        <v>47150</v>
      </c>
      <c r="I73" s="20" t="n">
        <v>57565</v>
      </c>
      <c r="J73" s="20" t="n">
        <v>75198</v>
      </c>
      <c r="K73" s="20" t="n">
        <v>119047</v>
      </c>
      <c r="L73" s="20" t="n">
        <v>119438</v>
      </c>
    </row>
    <row r="74">
      <c r="A74" s="18" t="inlineStr">
        <is>
          <t>미수법인세</t>
        </is>
      </c>
      <c r="C74" s="20" t="n">
        <v>1848</v>
      </c>
      <c r="D74" s="20" t="n">
        <v>1734</v>
      </c>
      <c r="E74" s="20" t="n">
        <v>1598</v>
      </c>
      <c r="F74" s="20" t="n">
        <v>1009</v>
      </c>
      <c r="G74" s="20" t="n">
        <v>614</v>
      </c>
      <c r="H74" s="20" t="n">
        <v>189</v>
      </c>
      <c r="I74" s="20" t="n">
        <v>410</v>
      </c>
      <c r="J74" s="20" t="n">
        <v>206</v>
      </c>
      <c r="K74" s="20" t="n">
        <v>2506</v>
      </c>
      <c r="L74" s="20" t="n">
        <v>1598</v>
      </c>
    </row>
    <row r="75">
      <c r="A75" s="18" t="inlineStr">
        <is>
          <t>기타금융자산</t>
        </is>
      </c>
      <c r="C75" s="20" t="n">
        <v>3618</v>
      </c>
      <c r="D75" s="20" t="n">
        <v>3949</v>
      </c>
      <c r="E75" s="20" t="n">
        <v>4793</v>
      </c>
      <c r="F75" s="20" t="n">
        <v>5385</v>
      </c>
      <c r="G75" s="20" t="n">
        <v>5907</v>
      </c>
      <c r="H75" s="20" t="n">
        <v>1257</v>
      </c>
      <c r="I75" s="20" t="n">
        <v>1697</v>
      </c>
      <c r="J75" s="20" t="n">
        <v>3074</v>
      </c>
      <c r="K75" s="20" t="n">
        <v>4555</v>
      </c>
      <c r="L75" s="20" t="n">
        <v>4793</v>
      </c>
    </row>
    <row r="76">
      <c r="A76" s="18" t="inlineStr">
        <is>
          <t>기타유동자산</t>
        </is>
      </c>
      <c r="C76" s="20" t="n">
        <v>3365</v>
      </c>
      <c r="D76" s="20" t="n">
        <v>4497</v>
      </c>
      <c r="E76" s="20" t="n">
        <v>3544</v>
      </c>
      <c r="F76" s="20" t="n">
        <v>3578</v>
      </c>
      <c r="G76" s="20" t="n">
        <v>4309</v>
      </c>
      <c r="H76" s="20" t="n">
        <v>1999</v>
      </c>
      <c r="I76" s="20" t="n">
        <v>2611</v>
      </c>
      <c r="J76" s="20" t="n">
        <v>2534</v>
      </c>
      <c r="K76" s="20" t="n">
        <v>3142</v>
      </c>
      <c r="L76" s="20" t="n">
        <v>3544</v>
      </c>
    </row>
    <row r="77">
      <c r="A77" s="9" t="inlineStr">
        <is>
          <t>유동자산 합계</t>
        </is>
      </c>
      <c r="C77" s="12" t="n">
        <v>183684</v>
      </c>
      <c r="D77" s="12" t="n">
        <v>223183</v>
      </c>
      <c r="E77" s="12" t="n">
        <v>216779</v>
      </c>
      <c r="F77" s="12" t="n">
        <v>196546</v>
      </c>
      <c r="G77" s="12" t="n">
        <v>193168</v>
      </c>
      <c r="H77" s="12" t="n">
        <v>123485</v>
      </c>
      <c r="I77" s="12" t="n">
        <v>129162</v>
      </c>
      <c r="J77" s="12" t="n">
        <v>165451</v>
      </c>
      <c r="K77" s="12" t="n">
        <v>209958</v>
      </c>
      <c r="L77" s="12" t="n">
        <v>216779</v>
      </c>
    </row>
    <row r="78">
      <c r="A78" s="18" t="inlineStr">
        <is>
          <t>유형자산</t>
        </is>
      </c>
      <c r="C78" s="20" t="n">
        <v>80826</v>
      </c>
      <c r="D78" s="20" t="n">
        <v>81422</v>
      </c>
      <c r="E78" s="20" t="n">
        <v>85295</v>
      </c>
      <c r="F78" s="20" t="n">
        <v>86349</v>
      </c>
      <c r="G78" s="20" t="n">
        <v>87552</v>
      </c>
      <c r="H78" s="20" t="n">
        <v>60193</v>
      </c>
      <c r="I78" s="20" t="n">
        <v>61779</v>
      </c>
      <c r="J78" s="20" t="n">
        <v>60756</v>
      </c>
      <c r="K78" s="20" t="n">
        <v>82589</v>
      </c>
      <c r="L78" s="20" t="n">
        <v>85295</v>
      </c>
    </row>
    <row r="79">
      <c r="A79" s="18" t="inlineStr">
        <is>
          <t>영업권</t>
        </is>
      </c>
      <c r="E79" s="20" t="n">
        <v>11375</v>
      </c>
      <c r="F79" s="20" t="n">
        <v>14323</v>
      </c>
      <c r="G79" s="20" t="n">
        <v>14558</v>
      </c>
      <c r="L79" s="20" t="n">
        <v>11375</v>
      </c>
    </row>
    <row r="80">
      <c r="A80" s="18" t="inlineStr">
        <is>
          <t>무형자산</t>
        </is>
      </c>
      <c r="C80" s="20" t="n">
        <v>34362</v>
      </c>
      <c r="D80" s="20" t="n">
        <v>35031</v>
      </c>
      <c r="E80" s="20" t="n">
        <v>25101</v>
      </c>
      <c r="F80" s="20" t="n">
        <v>26893</v>
      </c>
      <c r="G80" s="20" t="n">
        <v>27004</v>
      </c>
      <c r="H80" s="20" t="n">
        <v>3351</v>
      </c>
      <c r="I80" s="20" t="n">
        <v>3220</v>
      </c>
      <c r="J80" s="20" t="n">
        <v>3023</v>
      </c>
      <c r="K80" s="20" t="n">
        <v>37817</v>
      </c>
      <c r="L80" s="20" t="n">
        <v>25101</v>
      </c>
    </row>
    <row r="81">
      <c r="A81" s="18" t="inlineStr">
        <is>
          <t>기타금융자산</t>
        </is>
      </c>
      <c r="C81" s="20" t="n">
        <v>21253</v>
      </c>
      <c r="D81" s="20" t="n">
        <v>23433</v>
      </c>
      <c r="E81" s="20" t="n">
        <v>27002</v>
      </c>
      <c r="F81" s="20" t="n">
        <v>26030</v>
      </c>
      <c r="G81" s="20" t="n">
        <v>24734</v>
      </c>
      <c r="H81" s="20" t="n">
        <v>15212</v>
      </c>
      <c r="I81" s="20" t="n">
        <v>16203</v>
      </c>
      <c r="J81" s="20" t="n">
        <v>20323</v>
      </c>
      <c r="K81" s="20" t="n">
        <v>22320</v>
      </c>
      <c r="L81" s="20" t="n">
        <v>27002</v>
      </c>
    </row>
    <row r="82">
      <c r="A82" s="18" t="inlineStr">
        <is>
          <t>지분법 투자</t>
        </is>
      </c>
      <c r="C82" s="20" t="n">
        <v>5641</v>
      </c>
      <c r="D82" s="20" t="n">
        <v>5736</v>
      </c>
      <c r="E82" s="20" t="n">
        <v>5953</v>
      </c>
      <c r="F82" s="20" t="n">
        <v>5896</v>
      </c>
      <c r="G82" s="20" t="n">
        <v>5994</v>
      </c>
      <c r="H82" s="20" t="n">
        <v>7873</v>
      </c>
      <c r="I82" s="20" t="n">
        <v>9141</v>
      </c>
      <c r="J82" s="20" t="n">
        <v>11300</v>
      </c>
      <c r="K82" s="20" t="n">
        <v>5635</v>
      </c>
      <c r="L82" s="20" t="n">
        <v>5953</v>
      </c>
    </row>
    <row r="83">
      <c r="A83" s="18" t="inlineStr">
        <is>
          <t>기타비유동자산</t>
        </is>
      </c>
      <c r="C83" s="20" t="n">
        <v>3725</v>
      </c>
      <c r="D83" s="20" t="n">
        <v>3720</v>
      </c>
      <c r="E83" s="20" t="n">
        <v>4135</v>
      </c>
      <c r="F83" s="20" t="n">
        <v>3776</v>
      </c>
      <c r="G83" s="20" t="n">
        <v>3854</v>
      </c>
      <c r="H83" s="20" t="n">
        <v>3141</v>
      </c>
      <c r="I83" s="20" t="n">
        <v>3626</v>
      </c>
      <c r="J83" s="20" t="n">
        <v>3671</v>
      </c>
      <c r="K83" s="20" t="n">
        <v>4057</v>
      </c>
      <c r="L83" s="20" t="n">
        <v>4135</v>
      </c>
    </row>
    <row r="84">
      <c r="A84" s="18" t="inlineStr">
        <is>
          <t>이연법인세자산</t>
        </is>
      </c>
      <c r="C84" s="20" t="n">
        <v>18</v>
      </c>
      <c r="D84" s="20" t="n">
        <v>17</v>
      </c>
      <c r="E84" s="20" t="n">
        <v>177</v>
      </c>
      <c r="F84" s="20" t="n">
        <v>141</v>
      </c>
      <c r="G84" s="20" t="n">
        <v>84</v>
      </c>
      <c r="H84" s="20" t="n">
        <v>1950</v>
      </c>
      <c r="I84" s="20" t="n">
        <v>2237</v>
      </c>
      <c r="J84" s="20" t="n">
        <v>1121</v>
      </c>
      <c r="K84" s="20" t="n">
        <v>36</v>
      </c>
      <c r="L84" s="20" t="n">
        <v>177</v>
      </c>
    </row>
    <row r="85">
      <c r="A85" s="18" t="inlineStr">
        <is>
          <t>비유동자산 합계</t>
        </is>
      </c>
      <c r="C85" s="20" t="n">
        <v>145827</v>
      </c>
      <c r="D85" s="20" t="n">
        <v>149362</v>
      </c>
      <c r="E85" s="20" t="n">
        <v>159040</v>
      </c>
      <c r="F85" s="20" t="n">
        <v>163411</v>
      </c>
      <c r="G85" s="20" t="n">
        <v>163782</v>
      </c>
      <c r="H85" s="20" t="n">
        <v>91723</v>
      </c>
      <c r="I85" s="20" t="n">
        <v>96209</v>
      </c>
      <c r="J85" s="20" t="n">
        <v>100197</v>
      </c>
      <c r="K85" s="20" t="n">
        <v>152456</v>
      </c>
      <c r="L85" s="20" t="n">
        <v>159040</v>
      </c>
    </row>
    <row r="86">
      <c r="A86" s="18" t="inlineStr">
        <is>
          <t>자산 합계</t>
        </is>
      </c>
      <c r="C86" s="20" t="n">
        <v>329512</v>
      </c>
      <c r="D86" s="20" t="n">
        <v>372545</v>
      </c>
      <c r="E86" s="20" t="n">
        <v>375820</v>
      </c>
      <c r="F86" s="20" t="n">
        <v>359957</v>
      </c>
      <c r="G86" s="20" t="n">
        <v>356950</v>
      </c>
      <c r="H86" s="20" t="n">
        <v>215208</v>
      </c>
      <c r="I86" s="20" t="n">
        <v>225372</v>
      </c>
      <c r="J86" s="20" t="n">
        <v>265648</v>
      </c>
      <c r="K86" s="20" t="n">
        <v>362415</v>
      </c>
      <c r="L86" s="20" t="n">
        <v>375820</v>
      </c>
    </row>
    <row r="87">
      <c r="A87" s="18" t="inlineStr">
        <is>
          <t>영업채무 및 기타채무</t>
        </is>
      </c>
      <c r="C87" s="20" t="n">
        <v>37601</v>
      </c>
      <c r="D87" s="20" t="n">
        <v>48576</v>
      </c>
      <c r="E87" s="20" t="n">
        <v>42497</v>
      </c>
      <c r="F87" s="20" t="n">
        <v>38586</v>
      </c>
      <c r="G87" s="20" t="n">
        <v>39325</v>
      </c>
      <c r="H87" s="20" t="n">
        <v>35244</v>
      </c>
      <c r="I87" s="20" t="n">
        <v>35486</v>
      </c>
      <c r="J87" s="20" t="n">
        <v>36750</v>
      </c>
      <c r="K87" s="20" t="n">
        <v>44412</v>
      </c>
      <c r="L87" s="20" t="n">
        <v>42497</v>
      </c>
    </row>
    <row r="88">
      <c r="A88" s="18" t="inlineStr">
        <is>
          <t>차입금</t>
        </is>
      </c>
      <c r="C88" s="20" t="n">
        <v>53824</v>
      </c>
      <c r="D88" s="20" t="n">
        <v>68726</v>
      </c>
      <c r="E88" s="20" t="n">
        <v>58929</v>
      </c>
      <c r="F88" s="20" t="n">
        <v>50900</v>
      </c>
      <c r="G88" s="20" t="n">
        <v>46781</v>
      </c>
      <c r="H88" s="20" t="n">
        <v>26436</v>
      </c>
      <c r="I88" s="20" t="n">
        <v>34604</v>
      </c>
      <c r="J88" s="20" t="n">
        <v>49876</v>
      </c>
      <c r="K88" s="20" t="n">
        <v>51176</v>
      </c>
      <c r="L88" s="20" t="n">
        <v>58929</v>
      </c>
    </row>
    <row r="89">
      <c r="A89" s="18" t="inlineStr">
        <is>
          <t>Current Portion Of Bonds CL</t>
        </is>
      </c>
      <c r="I89" s="20" t="n">
        <v>0</v>
      </c>
      <c r="J89" s="20" t="n">
        <v>997</v>
      </c>
      <c r="K89" s="20" t="n">
        <v>0</v>
      </c>
    </row>
    <row r="90">
      <c r="A90" s="18" t="inlineStr">
        <is>
          <t>미지급법인세</t>
        </is>
      </c>
      <c r="C90" s="20" t="n">
        <v>3042</v>
      </c>
      <c r="D90" s="20" t="n">
        <v>3226</v>
      </c>
      <c r="E90" s="20" t="n">
        <v>3254</v>
      </c>
      <c r="F90" s="20" t="n">
        <v>1436</v>
      </c>
      <c r="G90" s="20" t="n">
        <v>2373</v>
      </c>
      <c r="H90" s="20" t="n">
        <v>2530</v>
      </c>
      <c r="I90" s="20" t="n">
        <v>1923</v>
      </c>
      <c r="J90" s="20" t="n">
        <v>2783</v>
      </c>
      <c r="K90" s="20" t="n">
        <v>3003</v>
      </c>
      <c r="L90" s="20" t="n">
        <v>3254</v>
      </c>
    </row>
    <row r="91">
      <c r="A91" s="18" t="inlineStr">
        <is>
          <t>기타금융부채</t>
        </is>
      </c>
      <c r="C91" s="20" t="n">
        <v>887</v>
      </c>
      <c r="D91" s="20" t="n">
        <v>831</v>
      </c>
      <c r="E91" s="20" t="n">
        <v>938</v>
      </c>
      <c r="F91" s="20" t="n">
        <v>946</v>
      </c>
      <c r="G91" s="20" t="n">
        <v>893</v>
      </c>
      <c r="H91" s="20" t="n">
        <v>948</v>
      </c>
      <c r="I91" s="20" t="n">
        <v>849</v>
      </c>
      <c r="J91" s="20" t="n">
        <v>903</v>
      </c>
      <c r="K91" s="20" t="n">
        <v>1015</v>
      </c>
      <c r="L91" s="20" t="n">
        <v>938</v>
      </c>
    </row>
    <row r="92">
      <c r="A92" s="18" t="inlineStr">
        <is>
          <t>기타유동부채</t>
        </is>
      </c>
      <c r="C92" s="20" t="n">
        <v>8496</v>
      </c>
      <c r="D92" s="20" t="n">
        <v>11310</v>
      </c>
      <c r="E92" s="20" t="n">
        <v>10602</v>
      </c>
      <c r="F92" s="20" t="n">
        <v>8697</v>
      </c>
      <c r="G92" s="20" t="n">
        <v>8799</v>
      </c>
      <c r="H92" s="20" t="n">
        <v>7751</v>
      </c>
      <c r="I92" s="20" t="n">
        <v>7449</v>
      </c>
      <c r="J92" s="20" t="n">
        <v>9118</v>
      </c>
      <c r="K92" s="20" t="n">
        <v>9605</v>
      </c>
      <c r="L92" s="20" t="n">
        <v>10602</v>
      </c>
    </row>
    <row r="93">
      <c r="A93" s="18" t="inlineStr">
        <is>
          <t>유동부채 합계</t>
        </is>
      </c>
      <c r="C93" s="20" t="n">
        <v>103851</v>
      </c>
      <c r="D93" s="20" t="n">
        <v>132671</v>
      </c>
      <c r="E93" s="20" t="n">
        <v>116222</v>
      </c>
      <c r="F93" s="20" t="n">
        <v>100568</v>
      </c>
      <c r="G93" s="20" t="n">
        <v>98173</v>
      </c>
      <c r="H93" s="20" t="n">
        <v>72911</v>
      </c>
      <c r="I93" s="20" t="n">
        <v>80313</v>
      </c>
      <c r="J93" s="20" t="n">
        <v>100430</v>
      </c>
      <c r="K93" s="20" t="n">
        <v>109213</v>
      </c>
      <c r="L93" s="20" t="n">
        <v>116222</v>
      </c>
    </row>
    <row r="94">
      <c r="A94" s="18" t="inlineStr">
        <is>
          <t>장기차입금</t>
        </is>
      </c>
      <c r="C94" s="20" t="n">
        <v>11824</v>
      </c>
      <c r="D94" s="20" t="n">
        <v>18156</v>
      </c>
      <c r="E94" s="20" t="n">
        <v>23570</v>
      </c>
      <c r="F94" s="20" t="n">
        <v>25209</v>
      </c>
      <c r="G94" s="20" t="n">
        <v>20629</v>
      </c>
      <c r="H94" s="20" t="n">
        <v>7824</v>
      </c>
      <c r="I94" s="20" t="n">
        <v>8346</v>
      </c>
      <c r="J94" s="20" t="n">
        <v>13911</v>
      </c>
      <c r="K94" s="20" t="n">
        <v>21543</v>
      </c>
      <c r="L94" s="20" t="n">
        <v>23570</v>
      </c>
    </row>
    <row r="95">
      <c r="A95" s="18" t="inlineStr">
        <is>
          <t>기타금융부채</t>
        </is>
      </c>
      <c r="C95" s="20" t="n">
        <v>3220</v>
      </c>
      <c r="D95" s="20" t="n">
        <v>3151</v>
      </c>
      <c r="E95" s="20" t="n">
        <v>3353</v>
      </c>
      <c r="F95" s="20" t="n">
        <v>3272</v>
      </c>
      <c r="G95" s="20" t="n">
        <v>3125</v>
      </c>
      <c r="H95" s="20" t="n">
        <v>3225</v>
      </c>
      <c r="I95" s="20" t="n">
        <v>3520</v>
      </c>
      <c r="J95" s="20" t="n">
        <v>2739</v>
      </c>
      <c r="K95" s="20" t="n">
        <v>2837</v>
      </c>
      <c r="L95" s="20" t="n">
        <v>3353</v>
      </c>
    </row>
    <row r="96">
      <c r="A96" s="18" t="inlineStr">
        <is>
          <t>퇴직급여부채</t>
        </is>
      </c>
      <c r="C96" s="20" t="n">
        <v>5093</v>
      </c>
      <c r="D96" s="20" t="n">
        <v>5173</v>
      </c>
      <c r="E96" s="20" t="n">
        <v>4763</v>
      </c>
      <c r="F96" s="20" t="n">
        <v>4515</v>
      </c>
      <c r="G96" s="20" t="n">
        <v>4502</v>
      </c>
      <c r="H96" s="20" t="n">
        <v>5963</v>
      </c>
      <c r="I96" s="20" t="n">
        <v>5590</v>
      </c>
      <c r="J96" s="20" t="n">
        <v>5662</v>
      </c>
      <c r="K96" s="20" t="n">
        <v>5432</v>
      </c>
      <c r="L96" s="20" t="n">
        <v>4763</v>
      </c>
    </row>
    <row r="97">
      <c r="A97" s="18" t="inlineStr">
        <is>
          <t>충당금</t>
        </is>
      </c>
      <c r="C97" s="20" t="n">
        <v>1499</v>
      </c>
      <c r="D97" s="20" t="n">
        <v>1504</v>
      </c>
      <c r="E97" s="20" t="n">
        <v>1525</v>
      </c>
      <c r="F97" s="20" t="n">
        <v>1533</v>
      </c>
      <c r="G97" s="20" t="n">
        <v>1536</v>
      </c>
      <c r="H97" s="20" t="n">
        <v>1162</v>
      </c>
      <c r="I97" s="20" t="n">
        <v>1155</v>
      </c>
      <c r="J97" s="20" t="n">
        <v>1496</v>
      </c>
      <c r="K97" s="20" t="n">
        <v>1495</v>
      </c>
      <c r="L97" s="20" t="n">
        <v>1525</v>
      </c>
    </row>
    <row r="98">
      <c r="A98" s="18" t="inlineStr">
        <is>
          <t>기타비유동부채</t>
        </is>
      </c>
      <c r="C98" s="20" t="n">
        <v>1335</v>
      </c>
      <c r="D98" s="20" t="n">
        <v>1415</v>
      </c>
      <c r="E98" s="20" t="n">
        <v>1465</v>
      </c>
      <c r="F98" s="20" t="n">
        <v>1470</v>
      </c>
      <c r="G98" s="20" t="n">
        <v>1524</v>
      </c>
      <c r="H98" s="20" t="n">
        <v>1122</v>
      </c>
      <c r="I98" s="20" t="n">
        <v>1084</v>
      </c>
      <c r="J98" s="20" t="n">
        <v>1261</v>
      </c>
      <c r="K98" s="20" t="n">
        <v>1557</v>
      </c>
      <c r="L98" s="20" t="n">
        <v>1465</v>
      </c>
    </row>
    <row r="99">
      <c r="A99" s="18" t="inlineStr">
        <is>
          <t>이연법인세부채</t>
        </is>
      </c>
      <c r="C99" s="20" t="n">
        <v>7777</v>
      </c>
      <c r="D99" s="20" t="n">
        <v>8165</v>
      </c>
      <c r="E99" s="20" t="n">
        <v>10029</v>
      </c>
      <c r="F99" s="20" t="n">
        <v>10067</v>
      </c>
      <c r="G99" s="20" t="n">
        <v>9845</v>
      </c>
      <c r="H99" s="20" t="n">
        <v>3456</v>
      </c>
      <c r="I99" s="20" t="n">
        <v>3567</v>
      </c>
      <c r="J99" s="20" t="n">
        <v>3711</v>
      </c>
      <c r="K99" s="20" t="n">
        <v>8694</v>
      </c>
      <c r="L99" s="20" t="n">
        <v>10029</v>
      </c>
    </row>
    <row r="100">
      <c r="A100" s="18" t="inlineStr">
        <is>
          <t>비유동부채 합계</t>
        </is>
      </c>
      <c r="C100" s="20" t="n">
        <v>30750</v>
      </c>
      <c r="D100" s="20" t="n">
        <v>37567</v>
      </c>
      <c r="E100" s="20" t="n">
        <v>44707</v>
      </c>
      <c r="F100" s="20" t="n">
        <v>46069</v>
      </c>
      <c r="G100" s="20" t="n">
        <v>41163</v>
      </c>
      <c r="H100" s="20" t="n">
        <v>22754</v>
      </c>
      <c r="I100" s="20" t="n">
        <v>23266</v>
      </c>
      <c r="J100" s="20" t="n">
        <v>28783</v>
      </c>
      <c r="K100" s="20" t="n">
        <v>41560</v>
      </c>
      <c r="L100" s="20" t="n">
        <v>44707</v>
      </c>
    </row>
    <row r="101">
      <c r="A101" s="18" t="inlineStr">
        <is>
          <t>부채 합계</t>
        </is>
      </c>
      <c r="C101" s="20" t="n">
        <v>134601</v>
      </c>
      <c r="D101" s="20" t="n">
        <v>170238</v>
      </c>
      <c r="E101" s="20" t="n">
        <v>160930</v>
      </c>
      <c r="F101" s="20" t="n">
        <v>146637</v>
      </c>
      <c r="G101" s="20" t="n">
        <v>139337</v>
      </c>
      <c r="H101" s="20" t="n">
        <v>95666</v>
      </c>
      <c r="I101" s="20" t="n">
        <v>103580</v>
      </c>
      <c r="J101" s="20" t="n">
        <v>129213</v>
      </c>
      <c r="K101" s="20" t="n">
        <v>150774</v>
      </c>
      <c r="L101" s="20" t="n">
        <v>160930</v>
      </c>
    </row>
    <row r="102">
      <c r="A102" s="18" t="inlineStr">
        <is>
          <t>자본금</t>
        </is>
      </c>
      <c r="C102" s="20" t="n">
        <v>19985</v>
      </c>
      <c r="D102" s="20" t="n">
        <v>19985</v>
      </c>
      <c r="E102" s="20" t="n">
        <v>19985</v>
      </c>
      <c r="F102" s="20" t="n">
        <v>19985</v>
      </c>
      <c r="G102" s="20" t="n">
        <v>19985</v>
      </c>
      <c r="H102" s="20" t="n">
        <v>19985</v>
      </c>
      <c r="I102" s="20" t="n">
        <v>19985</v>
      </c>
      <c r="J102" s="20" t="n">
        <v>19985</v>
      </c>
      <c r="K102" s="20" t="n">
        <v>19985</v>
      </c>
      <c r="L102" s="20" t="n">
        <v>19985</v>
      </c>
    </row>
    <row r="103">
      <c r="A103" s="18" t="inlineStr">
        <is>
          <t>자본잉여금</t>
        </is>
      </c>
      <c r="C103" s="20" t="n">
        <v>23233</v>
      </c>
      <c r="D103" s="20" t="n">
        <v>23216</v>
      </c>
      <c r="E103" s="20" t="n">
        <v>21764</v>
      </c>
      <c r="F103" s="20" t="n">
        <v>22202</v>
      </c>
      <c r="G103" s="20" t="n">
        <v>22122</v>
      </c>
      <c r="H103" s="20" t="n">
        <v>22799</v>
      </c>
      <c r="I103" s="20" t="n">
        <v>22836</v>
      </c>
      <c r="J103" s="20" t="n">
        <v>22756</v>
      </c>
      <c r="K103" s="20" t="n">
        <v>23287</v>
      </c>
      <c r="L103" s="20" t="n">
        <v>21764</v>
      </c>
    </row>
    <row r="104">
      <c r="A104" s="18" t="inlineStr">
        <is>
          <t>자기주식</t>
        </is>
      </c>
      <c r="C104" s="20" t="n">
        <v>-7533</v>
      </c>
      <c r="D104" s="20" t="n">
        <v>-8778</v>
      </c>
      <c r="E104" s="20" t="n">
        <v>-787</v>
      </c>
      <c r="F104" s="20" t="n">
        <v>-2103</v>
      </c>
      <c r="G104" s="20" t="n">
        <v>-2007</v>
      </c>
      <c r="H104" s="20" t="n">
        <v>-14810</v>
      </c>
      <c r="I104" s="20" t="n">
        <v>-22543</v>
      </c>
      <c r="J104" s="20" t="n">
        <v>-22398</v>
      </c>
      <c r="K104" s="20" t="n">
        <v>-653</v>
      </c>
      <c r="L104" s="20" t="n">
        <v>-787</v>
      </c>
    </row>
    <row r="105">
      <c r="A105" s="18" t="inlineStr">
        <is>
          <t>기타자본구성요소</t>
        </is>
      </c>
      <c r="C105" s="20" t="n">
        <v>15047</v>
      </c>
      <c r="D105" s="20" t="n">
        <v>19087</v>
      </c>
      <c r="E105" s="20" t="n">
        <v>26588</v>
      </c>
      <c r="F105" s="20" t="n">
        <v>28310</v>
      </c>
      <c r="G105" s="20" t="n">
        <v>29176</v>
      </c>
      <c r="H105" s="20" t="n">
        <v>5355</v>
      </c>
      <c r="I105" s="20" t="n">
        <v>8084</v>
      </c>
      <c r="J105" s="20" t="n">
        <v>13904</v>
      </c>
      <c r="K105" s="20" t="n">
        <v>23395</v>
      </c>
      <c r="L105" s="20" t="n">
        <v>26588</v>
      </c>
    </row>
    <row r="106">
      <c r="A106" s="18" t="inlineStr">
        <is>
          <t>이익잉여금</t>
        </is>
      </c>
      <c r="C106" s="20" t="n">
        <v>120637</v>
      </c>
      <c r="D106" s="20" t="n">
        <v>125183</v>
      </c>
      <c r="E106" s="20" t="n">
        <v>123007</v>
      </c>
      <c r="F106" s="20" t="n">
        <v>120905</v>
      </c>
      <c r="G106" s="20" t="n">
        <v>123674</v>
      </c>
      <c r="H106" s="20" t="n">
        <v>84235</v>
      </c>
      <c r="I106" s="20" t="n">
        <v>90708</v>
      </c>
      <c r="J106" s="20" t="n">
        <v>98017</v>
      </c>
      <c r="K106" s="20" t="n">
        <v>119725</v>
      </c>
      <c r="L106" s="20" t="n">
        <v>123007</v>
      </c>
    </row>
    <row r="107">
      <c r="A107" s="18" t="inlineStr">
        <is>
          <t>Equity Attributable To Owners Of Parent</t>
        </is>
      </c>
      <c r="C107" s="20" t="n">
        <v>171369</v>
      </c>
      <c r="D107" s="20" t="n">
        <v>178694</v>
      </c>
      <c r="E107" s="20" t="n">
        <v>190559</v>
      </c>
      <c r="F107" s="20" t="n">
        <v>189300</v>
      </c>
      <c r="G107" s="20" t="n">
        <v>192951</v>
      </c>
      <c r="H107" s="20" t="n">
        <v>117565</v>
      </c>
      <c r="I107" s="20" t="n">
        <v>119071</v>
      </c>
      <c r="J107" s="20" t="n">
        <v>132265</v>
      </c>
      <c r="K107" s="20" t="n">
        <v>185740</v>
      </c>
      <c r="L107" s="20" t="n">
        <v>190559</v>
      </c>
    </row>
    <row r="108">
      <c r="A108" s="18" t="inlineStr">
        <is>
          <t>비지배지분</t>
        </is>
      </c>
      <c r="C108" s="20" t="n">
        <v>23540</v>
      </c>
      <c r="D108" s="20" t="n">
        <v>23612</v>
      </c>
      <c r="E108" s="20" t="n">
        <v>24331</v>
      </c>
      <c r="F108" s="20" t="n">
        <v>24019</v>
      </c>
      <c r="G108" s="20" t="n">
        <v>24661</v>
      </c>
      <c r="H108" s="20" t="n">
        <v>1977</v>
      </c>
      <c r="I108" s="20" t="n">
        <v>2720</v>
      </c>
      <c r="J108" s="20" t="n">
        <v>4170</v>
      </c>
      <c r="K108" s="20" t="n">
        <v>25900</v>
      </c>
      <c r="L108" s="20" t="n">
        <v>24331</v>
      </c>
    </row>
    <row r="109">
      <c r="A109" s="18" t="inlineStr">
        <is>
          <t>자본 합계</t>
        </is>
      </c>
      <c r="C109" s="20" t="n">
        <v>194910</v>
      </c>
      <c r="D109" s="20" t="n">
        <v>202307</v>
      </c>
      <c r="E109" s="20" t="n">
        <v>214890</v>
      </c>
      <c r="F109" s="20" t="n">
        <v>213320</v>
      </c>
      <c r="G109" s="20" t="n">
        <v>217613</v>
      </c>
      <c r="H109" s="20" t="n">
        <v>119542</v>
      </c>
      <c r="I109" s="20" t="n">
        <v>121792</v>
      </c>
      <c r="J109" s="20" t="n">
        <v>136435</v>
      </c>
      <c r="K109" s="20" t="n">
        <v>211640</v>
      </c>
      <c r="L109" s="20" t="n">
        <v>214890</v>
      </c>
    </row>
    <row r="110">
      <c r="A110" s="18" t="inlineStr">
        <is>
          <t>부채및자본 합계</t>
        </is>
      </c>
      <c r="C110" s="20" t="n">
        <v>329512</v>
      </c>
      <c r="D110" s="20" t="n">
        <v>372545</v>
      </c>
      <c r="E110" s="20" t="n">
        <v>375820</v>
      </c>
      <c r="F110" s="20" t="n">
        <v>359957</v>
      </c>
      <c r="G110" s="20" t="n">
        <v>356950</v>
      </c>
      <c r="H110" s="20" t="n">
        <v>215208</v>
      </c>
      <c r="I110" s="20" t="n">
        <v>225372</v>
      </c>
      <c r="J110" s="20" t="n">
        <v>265648</v>
      </c>
      <c r="K110" s="20" t="n">
        <v>362415</v>
      </c>
      <c r="L110" s="20" t="n">
        <v>375820</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5"/>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0" t="inlineStr">
        <is>
          <t>출처 · 쓴 결산단신</t>
        </is>
      </c>
    </row>
    <row r="3">
      <c r="A3" s="51" t="inlineStr">
        <is>
          <t>공시일</t>
        </is>
      </c>
      <c r="B3" s="51" t="inlineStr">
        <is>
          <t>문서</t>
        </is>
      </c>
      <c r="C3" s="51" t="inlineStr">
        <is>
          <t>PDF</t>
        </is>
      </c>
    </row>
    <row r="4">
      <c r="A4" t="inlineStr">
        <is>
          <t>2026-07-30</t>
        </is>
      </c>
      <c r="B4" t="inlineStr">
        <is>
          <t>2026년 12월 결산기 2분기 결산단신</t>
        </is>
      </c>
      <c r="C4" t="inlineStr">
        <is>
          <t>https://www2.jpx.co.jp/disc/28110/140120260729501971.pdf</t>
        </is>
      </c>
    </row>
    <row r="5">
      <c r="A5" t="inlineStr">
        <is>
          <t>2026-05-11</t>
        </is>
      </c>
      <c r="B5" t="inlineStr">
        <is>
          <t>2026년 12월 결산기 １분기 결산단신</t>
        </is>
      </c>
      <c r="C5" t="inlineStr">
        <is>
          <t>https://www2.jpx.co.jp/disc/28110/140120260508520809.pdf</t>
        </is>
      </c>
    </row>
    <row r="6">
      <c r="A6" t="inlineStr">
        <is>
          <t>2026-04-30</t>
        </is>
      </c>
      <c r="B6" t="inlineStr">
        <is>
          <t>2026년 12월 결산기 １분기 결산단신</t>
        </is>
      </c>
      <c r="C6" t="inlineStr">
        <is>
          <t>https://www2.jpx.co.jp/disc/28110/140120260428513403.pdf</t>
        </is>
      </c>
    </row>
    <row r="7">
      <c r="A7" t="inlineStr">
        <is>
          <t>2026-02-02</t>
        </is>
      </c>
      <c r="B7" t="inlineStr">
        <is>
          <t>2025년 12월 결산기 연간 결산단신</t>
        </is>
      </c>
      <c r="C7" t="inlineStr">
        <is>
          <t>https://www2.jpx.co.jp/disc/28110/140120260202544466.pdf</t>
        </is>
      </c>
    </row>
    <row r="8">
      <c r="A8" t="inlineStr">
        <is>
          <t>2025-11-07</t>
        </is>
      </c>
      <c r="B8" t="inlineStr">
        <is>
          <t>2025년 12월 결산기 3분기 결산단신</t>
        </is>
      </c>
      <c r="C8" t="inlineStr">
        <is>
          <t>https://www2.jpx.co.jp/disc/28110/140120251106590610.pdf</t>
        </is>
      </c>
    </row>
    <row r="9">
      <c r="A9" t="inlineStr">
        <is>
          <t>2025-07-31</t>
        </is>
      </c>
      <c r="B9" t="inlineStr">
        <is>
          <t>2025년 12월 결산기 2분기 결산단신</t>
        </is>
      </c>
      <c r="C9" t="inlineStr">
        <is>
          <t>https://www2.jpx.co.jp/disc/28110/140120250731524934.pdf</t>
        </is>
      </c>
    </row>
    <row r="10">
      <c r="A10" t="inlineStr">
        <is>
          <t>2025-05-09</t>
        </is>
      </c>
      <c r="B10" t="inlineStr">
        <is>
          <t>2025년 12월 결산기 １분기 결산단신</t>
        </is>
      </c>
      <c r="C10" t="inlineStr">
        <is>
          <t>https://www2.jpx.co.jp/disc/28110/140120250509537879.pdf</t>
        </is>
      </c>
    </row>
    <row r="11">
      <c r="A11" t="inlineStr">
        <is>
          <t>2025-04-30</t>
        </is>
      </c>
      <c r="B11" t="inlineStr">
        <is>
          <t>2025년 12월 결산기 １분기 결산단신</t>
        </is>
      </c>
      <c r="C11" t="inlineStr">
        <is>
          <t>https://www2.jpx.co.jp/disc/28110/140120250428526523.pdf</t>
        </is>
      </c>
    </row>
    <row r="12">
      <c r="A12" t="inlineStr">
        <is>
          <t>2025-02-03</t>
        </is>
      </c>
      <c r="B12" t="inlineStr">
        <is>
          <t>2024년 12월 결산기 연간 결산단신</t>
        </is>
      </c>
      <c r="C12" t="inlineStr">
        <is>
          <t>https://www2.jpx.co.jp/disc/28110/140120250203560778.pdf</t>
        </is>
      </c>
    </row>
    <row r="13">
      <c r="A13" t="inlineStr">
        <is>
          <t>2024-11-08</t>
        </is>
      </c>
      <c r="B13" t="inlineStr">
        <is>
          <t>2024년 12월 결산기 ３분기 결산단신</t>
        </is>
      </c>
      <c r="C13" t="inlineStr">
        <is>
          <t>https://www2.jpx.co.jp/disc/28110/140120241107514857.pdf</t>
        </is>
      </c>
    </row>
    <row r="14">
      <c r="A14" t="inlineStr">
        <is>
          <t>2024-10-30</t>
        </is>
      </c>
      <c r="B14" t="inlineStr">
        <is>
          <t>2024년 12월 결산기 ３분기 결산단신</t>
        </is>
      </c>
      <c r="C14" t="inlineStr">
        <is>
          <t>https://www2.jpx.co.jp/disc/28110/140120241029505107.pdf</t>
        </is>
      </c>
    </row>
    <row r="15">
      <c r="A15" t="inlineStr">
        <is>
          <t>2024-07-31</t>
        </is>
      </c>
      <c r="B15" t="inlineStr">
        <is>
          <t>2024년 12월 결산기 ２분기 결산단신</t>
        </is>
      </c>
      <c r="C15" t="inlineStr">
        <is>
          <t>https://www2.jpx.co.jp/disc/28110/140120240730558315.pdf</t>
        </is>
      </c>
    </row>
    <row r="16">
      <c r="A16" t="inlineStr">
        <is>
          <t>2024-04-26</t>
        </is>
      </c>
      <c r="B16" t="inlineStr">
        <is>
          <t>2024년 12월 결산기 １분기 결산단신</t>
        </is>
      </c>
      <c r="C16" t="inlineStr">
        <is>
          <t>https://www2.jpx.co.jp/disc/28110/140120240426578297.pdf</t>
        </is>
      </c>
    </row>
    <row r="17">
      <c r="A17" t="inlineStr">
        <is>
          <t>2024-02-01</t>
        </is>
      </c>
      <c r="B17" t="inlineStr">
        <is>
          <t>2023년 12월 결산기 연간 결산단신</t>
        </is>
      </c>
      <c r="C17" t="inlineStr">
        <is>
          <t>https://www2.jpx.co.jp/disc/28110/140120240201524038.pdf</t>
        </is>
      </c>
    </row>
    <row r="18">
      <c r="A18" t="inlineStr">
        <is>
          <t>2023-10-27</t>
        </is>
      </c>
      <c r="B18" t="inlineStr">
        <is>
          <t>2023년 12월 결산기 3분기 결산단신</t>
        </is>
      </c>
      <c r="C18" t="inlineStr">
        <is>
          <t>https://www2.jpx.co.jp/disc/28110/140120231027573021.pdf</t>
        </is>
      </c>
    </row>
    <row r="19">
      <c r="A19" t="inlineStr">
        <is>
          <t>2023-08-01</t>
        </is>
      </c>
      <c r="B19" t="inlineStr">
        <is>
          <t>2023년 12월 결산기 ２분기 결산단신</t>
        </is>
      </c>
      <c r="C19" t="inlineStr">
        <is>
          <t>https://www2.jpx.co.jp/disc/28110/140120230801531072.pdf</t>
        </is>
      </c>
    </row>
    <row r="20">
      <c r="A20" t="inlineStr">
        <is>
          <t>2023-02-02</t>
        </is>
      </c>
      <c r="B20" t="inlineStr">
        <is>
          <t>2022년 12월 결산기 연간 결산단신</t>
        </is>
      </c>
      <c r="C20" t="inlineStr">
        <is>
          <t>https://www2.jpx.co.jp/disc/28110/140120230202598943.pdf</t>
        </is>
      </c>
    </row>
    <row r="21">
      <c r="A21" t="inlineStr">
        <is>
          <t>2022-02-02</t>
        </is>
      </c>
      <c r="B21" t="inlineStr">
        <is>
          <t>2021년 12월 결산기 연간 결산단신</t>
        </is>
      </c>
      <c r="C21" t="inlineStr">
        <is>
          <t>https://www2.jpx.co.jp/disc/28110/140120220202578263.pdf</t>
        </is>
      </c>
    </row>
    <row r="22">
      <c r="A22" t="inlineStr">
        <is>
          <t>2021-02-03</t>
        </is>
      </c>
      <c r="B22" t="inlineStr">
        <is>
          <t>2020년 12월 결산기 연간 결산단신</t>
        </is>
      </c>
      <c r="C22" t="inlineStr">
        <is>
          <t>https://www2.jpx.co.jp/disc/28110/140120210203454286.pdf</t>
        </is>
      </c>
    </row>
    <row r="23">
      <c r="A23" t="inlineStr">
        <is>
          <t>2020-02-04</t>
        </is>
      </c>
      <c r="B23" t="inlineStr">
        <is>
          <t>2019년 12월 결산기 연간 결산단신</t>
        </is>
      </c>
      <c r="C23" t="inlineStr">
        <is>
          <t>https://www2.jpx.co.jp/disc/28110/140120200131454624.pdf</t>
        </is>
      </c>
    </row>
    <row r="24">
      <c r="A24" t="inlineStr">
        <is>
          <t>2019-01-31</t>
        </is>
      </c>
      <c r="B24" t="inlineStr">
        <is>
          <t>연간 결산단신</t>
        </is>
      </c>
      <c r="C24" t="inlineStr">
        <is>
          <t>https://www2.jpx.co.jp/disc/28110/140120190130466569.pdf</t>
        </is>
      </c>
    </row>
    <row r="25">
      <c r="A25" t="inlineStr">
        <is>
          <t>2018-02-01</t>
        </is>
      </c>
      <c r="B25" t="inlineStr">
        <is>
          <t>연간 결산단신</t>
        </is>
      </c>
      <c r="C25" t="inlineStr">
        <is>
          <t>https://www2.jpx.co.jp/disc/28110/140120180131460766.pdf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2026-10-26T10:53:20Z</dcterms:created>
  <dcterms:modified xmlns:dcterms="http://purl.org/dc/terms/" xmlns:xsi="http://www.w3.org/2001/XMLSchema-instance" xsi:type="dcterms:W3CDTF">2026-10-26T10:53:20Z</dcterms:modified>
</cp:coreProperties>
</file>