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329"/>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2811 Model</t>
        </is>
      </c>
    </row>
    <row r="2">
      <c r="A2" s="2" t="inlineStr">
        <is>
          <t>모를 땐 보수적으로</t>
        </is>
      </c>
      <c r="B2" s="3" t="inlineStr">
        <is>
          <t>(단위: 백만엔)</t>
        </is>
      </c>
      <c r="C2" s="3" t="inlineStr">
        <is>
          <t>12월 결산 · IFRS · 2026.2Q = 2026년 12월 결산기 2분기</t>
        </is>
      </c>
      <c r="Y2" s="4" t="inlineStr">
        <is>
          <t>(추정: 파란 글씨 = 직접 입력)</t>
        </is>
      </c>
    </row>
    <row r="3">
      <c r="A3" s="5" t="inlineStr">
        <is>
          <t>항목</t>
        </is>
      </c>
      <c r="B3" s="5" t="inlineStr">
        <is>
          <t>참고</t>
        </is>
      </c>
      <c r="C3" s="6" t="inlineStr">
        <is>
          <t>2023.3Q</t>
        </is>
      </c>
      <c r="D3" s="5" t="inlineStr">
        <is>
          <t>2023.4Q</t>
        </is>
      </c>
      <c r="E3" s="5" t="inlineStr">
        <is>
          <t>2024.1Q</t>
        </is>
      </c>
      <c r="F3" s="5" t="inlineStr">
        <is>
          <t>2024.2Q</t>
        </is>
      </c>
      <c r="G3" s="5" t="inlineStr">
        <is>
          <t>2024.3Q</t>
        </is>
      </c>
      <c r="H3" s="5" t="inlineStr">
        <is>
          <t>2024.4Q</t>
        </is>
      </c>
      <c r="I3" s="5" t="inlineStr">
        <is>
          <t>2025.1Q</t>
        </is>
      </c>
      <c r="J3" s="5" t="inlineStr">
        <is>
          <t>2025.2Q</t>
        </is>
      </c>
      <c r="K3" s="5" t="inlineStr">
        <is>
          <t>2025.3Q</t>
        </is>
      </c>
      <c r="L3" s="5" t="inlineStr">
        <is>
          <t>2025.4Q</t>
        </is>
      </c>
      <c r="M3" s="5" t="inlineStr">
        <is>
          <t>2026.1Q</t>
        </is>
      </c>
      <c r="N3" s="5" t="inlineStr">
        <is>
          <t>2026.2Q</t>
        </is>
      </c>
      <c r="O3" s="6" t="inlineStr">
        <is>
          <t>2016</t>
        </is>
      </c>
      <c r="P3" s="5" t="inlineStr">
        <is>
          <t>2017</t>
        </is>
      </c>
      <c r="Q3" s="5" t="inlineStr">
        <is>
          <t>2018</t>
        </is>
      </c>
      <c r="R3" s="5" t="inlineStr">
        <is>
          <t>2019</t>
        </is>
      </c>
      <c r="S3" s="5" t="inlineStr">
        <is>
          <t>2020</t>
        </is>
      </c>
      <c r="T3" s="5" t="inlineStr">
        <is>
          <t>2021</t>
        </is>
      </c>
      <c r="U3" s="5" t="inlineStr">
        <is>
          <t>2022</t>
        </is>
      </c>
      <c r="V3" s="5" t="inlineStr">
        <is>
          <t>2023</t>
        </is>
      </c>
      <c r="W3" s="5" t="inlineStr">
        <is>
          <t>2024</t>
        </is>
      </c>
      <c r="X3" s="5" t="inlineStr">
        <is>
          <t>2025</t>
        </is>
      </c>
      <c r="Y3" s="7" t="inlineStr">
        <is>
          <t>2026(MW)</t>
        </is>
      </c>
      <c r="Z3" s="8" t="inlineStr">
        <is>
          <t>2027(MW)</t>
        </is>
      </c>
      <c r="AA3" s="8" t="inlineStr">
        <is>
          <t>2028(MW)</t>
        </is>
      </c>
      <c r="AB3" s="8" t="inlineStr">
        <is>
          <t>2029(MW)</t>
        </is>
      </c>
      <c r="AC3" s="8" t="inlineStr">
        <is>
          <t>2030(MW)</t>
        </is>
      </c>
    </row>
    <row r="4">
      <c r="A4" s="9" t="inlineStr">
        <is>
          <t>매출액</t>
        </is>
      </c>
      <c r="B4" s="10" t="inlineStr">
        <is>
          <t>MW = 제품 합계</t>
        </is>
      </c>
      <c r="C4" s="11" t="n">
        <v>59544</v>
      </c>
      <c r="D4" s="12" t="n">
        <v>59863</v>
      </c>
      <c r="E4" s="12" t="n">
        <v>67378</v>
      </c>
      <c r="F4" s="12" t="n">
        <v>80864</v>
      </c>
      <c r="G4" s="12" t="n">
        <v>78138</v>
      </c>
      <c r="H4" s="12" t="n">
        <v>80489</v>
      </c>
      <c r="I4" s="12" t="n">
        <v>67167</v>
      </c>
      <c r="J4" s="12" t="n">
        <v>71514</v>
      </c>
      <c r="K4" s="12" t="n">
        <v>77628</v>
      </c>
      <c r="L4" s="12" t="n">
        <v>77955</v>
      </c>
      <c r="M4" s="12" t="n">
        <v>67564</v>
      </c>
      <c r="N4" s="12" t="n">
        <v>76221</v>
      </c>
      <c r="O4" s="11" t="n">
        <v>202534</v>
      </c>
      <c r="P4" s="12" t="n">
        <v>214210</v>
      </c>
      <c r="Q4" s="12" t="n">
        <v>184595</v>
      </c>
      <c r="R4" s="12" t="n">
        <v>180849</v>
      </c>
      <c r="S4" s="12" t="n">
        <v>183041</v>
      </c>
      <c r="T4" s="12" t="n">
        <v>189652</v>
      </c>
      <c r="U4" s="12" t="n">
        <v>205618</v>
      </c>
      <c r="V4" s="12" t="n">
        <v>224730</v>
      </c>
      <c r="W4" s="12" t="n">
        <v>306869</v>
      </c>
      <c r="X4" s="12" t="n">
        <v>294264</v>
      </c>
      <c r="Y4" s="11">
        <f>IF(COUNT(Y7,Y10,Y13,Y16,Y19)=0,"",SUM(Y7,Y10,Y13,Y16,Y19))</f>
        <v/>
      </c>
      <c r="Z4" s="12">
        <f>IF(COUNT(Z7,Z10,Z13,Z16,Z19)=0,"",SUM(Z7,Z10,Z13,Z16,Z19))</f>
        <v/>
      </c>
      <c r="AA4" s="12">
        <f>IF(COUNT(AA7,AA10,AA13,AA16,AA19)=0,"",SUM(AA7,AA10,AA13,AA16,AA19))</f>
        <v/>
      </c>
      <c r="AB4" s="12">
        <f>IF(COUNT(AB7,AB10,AB13,AB16,AB19)=0,"",SUM(AB7,AB10,AB13,AB16,AB19))</f>
        <v/>
      </c>
      <c r="AC4" s="12">
        <f>IF(COUNT(AC7,AC10,AC13,AC16,AC19)=0,"",SUM(AC7,AC10,AC13,AC16,AC19))</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DomesticProcessedFoodBusinessReportableSegmentMember</t>
        </is>
      </c>
      <c r="B7" s="10" t="n"/>
      <c r="C7" s="19" t="n">
        <v>38674</v>
      </c>
      <c r="D7" s="20" t="n">
        <v>37811</v>
      </c>
      <c r="E7" s="20" t="n">
        <v>32807</v>
      </c>
      <c r="F7" s="20" t="n">
        <v>39876</v>
      </c>
      <c r="G7" s="20" t="n">
        <v>42204</v>
      </c>
      <c r="H7" s="20" t="n">
        <v>40824</v>
      </c>
      <c r="I7" s="20" t="n">
        <v>33475</v>
      </c>
      <c r="J7" s="20" t="n">
        <v>39753</v>
      </c>
      <c r="K7" s="20" t="n">
        <v>42456</v>
      </c>
      <c r="L7" s="20" t="n">
        <v>41640</v>
      </c>
      <c r="M7" s="20" t="n">
        <v>33399</v>
      </c>
      <c r="N7" s="20" t="n">
        <v>39678</v>
      </c>
      <c r="O7" s="19" t="n"/>
      <c r="P7" s="20" t="n"/>
      <c r="Q7" s="20" t="n"/>
      <c r="R7" s="20" t="n"/>
      <c r="S7" s="20" t="n"/>
      <c r="T7" s="20" t="n"/>
      <c r="U7" s="20" t="n"/>
      <c r="V7" s="20" t="n">
        <v>142173</v>
      </c>
      <c r="W7" s="20" t="n">
        <v>155711</v>
      </c>
      <c r="X7" s="20" t="n">
        <v>157324</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OverseasReportableSegmentMember</t>
        </is>
      </c>
      <c r="B10" s="10" t="n"/>
      <c r="C10" s="19" t="n">
        <v>16246</v>
      </c>
      <c r="D10" s="20" t="n">
        <v>17479</v>
      </c>
      <c r="E10" s="20" t="n">
        <v>29822</v>
      </c>
      <c r="F10" s="20" t="n">
        <v>33636</v>
      </c>
      <c r="G10" s="20" t="n">
        <v>31496</v>
      </c>
      <c r="H10" s="20" t="n">
        <v>34580</v>
      </c>
      <c r="I10" s="20" t="n">
        <v>28340</v>
      </c>
      <c r="J10" s="20" t="n">
        <v>25347</v>
      </c>
      <c r="K10" s="20" t="n">
        <v>30435</v>
      </c>
      <c r="L10" s="20" t="n">
        <v>30707</v>
      </c>
      <c r="M10" s="20" t="n">
        <v>29073</v>
      </c>
      <c r="N10" s="20" t="n">
        <v>29878</v>
      </c>
      <c r="O10" s="19" t="n"/>
      <c r="P10" s="20" t="n"/>
      <c r="Q10" s="20" t="n"/>
      <c r="R10" s="20" t="n"/>
      <c r="S10" s="20" t="n"/>
      <c r="T10" s="20" t="n"/>
      <c r="U10" s="20" t="n"/>
      <c r="V10" s="20" t="n">
        <v>63110</v>
      </c>
      <c r="W10" s="20" t="n">
        <v>129534</v>
      </c>
      <c r="X10" s="20" t="n">
        <v>114829</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OtherDomesticReportableSegmentMember</t>
        </is>
      </c>
      <c r="B13" s="10" t="n"/>
      <c r="C13" s="19" t="n">
        <v>4624</v>
      </c>
      <c r="D13" s="20" t="n">
        <v>4573</v>
      </c>
      <c r="E13" s="20" t="n">
        <v>4747</v>
      </c>
      <c r="F13" s="20" t="n">
        <v>7352</v>
      </c>
      <c r="G13" s="20" t="n">
        <v>4438</v>
      </c>
      <c r="H13" s="20" t="n">
        <v>5085</v>
      </c>
      <c r="I13" s="20" t="n">
        <v>5351</v>
      </c>
      <c r="J13" s="20" t="n">
        <v>6415</v>
      </c>
      <c r="K13" s="20" t="n">
        <v>4737</v>
      </c>
      <c r="L13" s="20" t="n">
        <v>5606</v>
      </c>
      <c r="M13" s="20" t="n">
        <v>5091</v>
      </c>
      <c r="N13" s="20" t="n">
        <v>6665</v>
      </c>
      <c r="O13" s="19" t="n"/>
      <c r="P13" s="20" t="n"/>
      <c r="Q13" s="20" t="n"/>
      <c r="R13" s="20" t="n"/>
      <c r="S13" s="20" t="n"/>
      <c r="T13" s="20" t="n"/>
      <c r="U13" s="20" t="n"/>
      <c r="V13" s="20" t="n">
        <v>19446</v>
      </c>
      <c r="W13" s="20" t="n">
        <v>21622</v>
      </c>
      <c r="X13" s="20" t="n">
        <v>22109</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ReconcilingItemsDomesticReportableSegmentMember</t>
        </is>
      </c>
      <c r="B16" s="10" t="n"/>
      <c r="C16" s="19" t="n"/>
      <c r="D16" s="20" t="n"/>
      <c r="E16" s="20" t="n"/>
      <c r="F16" s="20" t="n"/>
      <c r="G16" s="20" t="n"/>
      <c r="H16" s="20" t="n"/>
      <c r="I16" s="20" t="n"/>
      <c r="J16" s="20" t="n"/>
      <c r="K16" s="20" t="n"/>
      <c r="L16" s="20" t="n"/>
      <c r="M16" s="20" t="n"/>
      <c r="N16" s="20" t="n"/>
      <c r="O16" s="19" t="n"/>
      <c r="P16" s="20" t="n"/>
      <c r="Q16" s="20" t="n"/>
      <c r="R16" s="20" t="n"/>
      <c r="S16" s="20" t="n"/>
      <c r="T16" s="20" t="n"/>
      <c r="U16" s="20" t="n"/>
      <c r="V16" s="20" t="n">
        <v>0</v>
      </c>
      <c r="W16" s="20" t="n">
        <v>0</v>
      </c>
      <c r="X16" s="20" t="n"/>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EntityTotalMember</t>
        </is>
      </c>
      <c r="B19" s="10" t="n"/>
      <c r="C19" s="19" t="n"/>
      <c r="D19" s="20" t="n"/>
      <c r="E19" s="20" t="n"/>
      <c r="F19" s="20" t="n"/>
      <c r="G19" s="20" t="n"/>
      <c r="H19" s="20" t="n"/>
      <c r="I19" s="20" t="n">
        <v>67167</v>
      </c>
      <c r="J19" s="20" t="n"/>
      <c r="K19" s="20" t="n"/>
      <c r="L19" s="20" t="n"/>
      <c r="M19" s="20" t="n">
        <v>67564</v>
      </c>
      <c r="N19" s="20" t="n"/>
      <c r="O19" s="19" t="n"/>
      <c r="P19" s="20" t="n"/>
      <c r="Q19" s="20" t="n"/>
      <c r="R19" s="20" t="n"/>
      <c r="S19" s="20" t="n"/>
      <c r="T19" s="20" t="n"/>
      <c r="U19" s="20" t="n"/>
      <c r="V19" s="20" t="n"/>
      <c r="W19" s="20" t="n"/>
      <c r="X19" s="20" t="n"/>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6" t="inlineStr">
        <is>
          <t>매출원가</t>
        </is>
      </c>
      <c r="B22" s="16" t="n"/>
      <c r="C22" s="17" t="n"/>
      <c r="D22" s="16" t="n"/>
      <c r="E22" s="16" t="n"/>
      <c r="F22" s="16" t="n"/>
      <c r="G22" s="16" t="n"/>
      <c r="H22" s="16" t="n"/>
      <c r="I22" s="16" t="n"/>
      <c r="J22" s="16" t="n"/>
      <c r="K22" s="16" t="n"/>
      <c r="L22" s="16" t="n"/>
      <c r="M22" s="16" t="n"/>
      <c r="N22" s="16" t="n"/>
      <c r="O22" s="17" t="n"/>
      <c r="P22" s="16" t="n"/>
      <c r="Q22" s="16" t="n"/>
      <c r="R22" s="16" t="n"/>
      <c r="S22" s="16" t="n"/>
      <c r="T22" s="16" t="n"/>
      <c r="U22" s="16" t="n"/>
      <c r="V22" s="16" t="n"/>
      <c r="W22" s="16" t="n"/>
      <c r="X22" s="16" t="n"/>
      <c r="Y22" s="17" t="n"/>
      <c r="Z22" s="16" t="n"/>
      <c r="AA22" s="16" t="n"/>
      <c r="AB22" s="16" t="n"/>
      <c r="AC22" s="16" t="n"/>
    </row>
    <row r="23">
      <c r="A23" s="18" t="inlineStr">
        <is>
          <t>전체 매출원가</t>
        </is>
      </c>
      <c r="B23" s="10" t="n"/>
      <c r="C23" s="19" t="n">
        <v>38021</v>
      </c>
      <c r="D23" s="20" t="n">
        <v>38632</v>
      </c>
      <c r="E23" s="20" t="n">
        <v>45315</v>
      </c>
      <c r="F23" s="20" t="n">
        <v>53531</v>
      </c>
      <c r="G23" s="20" t="n">
        <v>52111</v>
      </c>
      <c r="H23" s="20" t="n">
        <v>56180</v>
      </c>
      <c r="I23" s="20" t="n">
        <v>45581</v>
      </c>
      <c r="J23" s="20" t="n">
        <v>47329</v>
      </c>
      <c r="K23" s="20" t="n">
        <v>52426</v>
      </c>
      <c r="L23" s="20" t="n">
        <v>53517</v>
      </c>
      <c r="M23" s="20" t="n">
        <v>45860</v>
      </c>
      <c r="N23" s="20" t="n">
        <v>50978</v>
      </c>
      <c r="O23" s="19" t="n">
        <v>111607</v>
      </c>
      <c r="P23" s="20" t="n">
        <v>117738</v>
      </c>
      <c r="Q23" s="20" t="n">
        <v>118296</v>
      </c>
      <c r="R23" s="20" t="n">
        <v>115667</v>
      </c>
      <c r="S23" s="20" t="n">
        <v>115469</v>
      </c>
      <c r="T23" s="20" t="n">
        <v>120121</v>
      </c>
      <c r="U23" s="20" t="n">
        <v>134481</v>
      </c>
      <c r="V23" s="20" t="n">
        <v>144935</v>
      </c>
      <c r="W23" s="20" t="n">
        <v>207137</v>
      </c>
      <c r="X23" s="20" t="n">
        <v>198853</v>
      </c>
      <c r="Y23" s="19" t="n"/>
      <c r="Z23" s="20" t="n"/>
      <c r="AA23" s="20" t="n"/>
      <c r="AB23" s="20" t="n"/>
      <c r="AC23" s="20" t="n"/>
    </row>
    <row r="24">
      <c r="A24" s="13" t="inlineStr">
        <is>
          <t>YoY</t>
        </is>
      </c>
      <c r="B24" s="10" t="n"/>
      <c r="C24" s="14" t="n"/>
      <c r="D24" s="15" t="n"/>
      <c r="E24" s="15" t="n"/>
      <c r="F24" s="15" t="n"/>
      <c r="G24" s="15">
        <f>IF(OR(G23="",C23=""),"",IF(C23&lt;=0,"",IFERROR(G23/C23-1,"")))</f>
        <v/>
      </c>
      <c r="H24" s="15">
        <f>IF(OR(H23="",D23=""),"",IF(D23&lt;=0,"",IFERROR(H23/D23-1,"")))</f>
        <v/>
      </c>
      <c r="I24" s="15">
        <f>IF(OR(I23="",E23=""),"",IF(E23&lt;=0,"",IFERROR(I23/E23-1,"")))</f>
        <v/>
      </c>
      <c r="J24" s="15">
        <f>IF(OR(J23="",F23=""),"",IF(F23&lt;=0,"",IFERROR(J23/F23-1,"")))</f>
        <v/>
      </c>
      <c r="K24" s="15">
        <f>IF(OR(K23="",G23=""),"",IF(G23&lt;=0,"",IFERROR(K23/G23-1,"")))</f>
        <v/>
      </c>
      <c r="L24" s="15">
        <f>IF(OR(L23="",H23=""),"",IF(H23&lt;=0,"",IFERROR(L23/H23-1,"")))</f>
        <v/>
      </c>
      <c r="M24" s="15">
        <f>IF(OR(M23="",I23=""),"",IF(I23&lt;=0,"",IFERROR(M23/I23-1,"")))</f>
        <v/>
      </c>
      <c r="N24" s="15">
        <f>IF(OR(N23="",J23=""),"",IF(J23&lt;=0,"",IFERROR(N23/J23-1,"")))</f>
        <v/>
      </c>
      <c r="O24" s="14" t="n"/>
      <c r="P24" s="15">
        <f>IF(OR(P23="",O23=""),"",IF(O23&lt;=0,"",IFERROR(P23/O23-1,"")))</f>
        <v/>
      </c>
      <c r="Q24" s="15">
        <f>IF(OR(Q23="",P23=""),"",IF(P23&lt;=0,"",IFERROR(Q23/P23-1,"")))</f>
        <v/>
      </c>
      <c r="R24" s="15">
        <f>IF(OR(R23="",Q23=""),"",IF(Q23&lt;=0,"",IFERROR(R23/Q23-1,"")))</f>
        <v/>
      </c>
      <c r="S24" s="15">
        <f>IF(OR(S23="",R23=""),"",IF(R23&lt;=0,"",IFERROR(S23/R23-1,"")))</f>
        <v/>
      </c>
      <c r="T24" s="15">
        <f>IF(OR(T23="",S23=""),"",IF(S23&lt;=0,"",IFERROR(T23/S23-1,"")))</f>
        <v/>
      </c>
      <c r="U24" s="15">
        <f>IF(OR(U23="",T23=""),"",IF(T23&lt;=0,"",IFERROR(U23/T23-1,"")))</f>
        <v/>
      </c>
      <c r="V24" s="15">
        <f>IF(OR(V23="",U23=""),"",IF(U23&lt;=0,"",IFERROR(V23/U23-1,"")))</f>
        <v/>
      </c>
      <c r="W24" s="15">
        <f>IF(OR(W23="",V23=""),"",IF(V23&lt;=0,"",IFERROR(W23/V23-1,"")))</f>
        <v/>
      </c>
      <c r="X24" s="15">
        <f>IF(OR(X23="",W23=""),"",IF(W23&lt;=0,"",IFERROR(X23/W23-1,"")))</f>
        <v/>
      </c>
      <c r="Y24" s="14">
        <f>IF(OR(Y23="",X23=""),"",IF(X23&lt;=0,"",IFERROR(Y23/X23-1,"")))</f>
        <v/>
      </c>
      <c r="Z24" s="15">
        <f>IF(OR(Z23="",Y23=""),"",IF(Y23&lt;=0,"",IFERROR(Z23/Y23-1,"")))</f>
        <v/>
      </c>
      <c r="AA24" s="15">
        <f>IF(OR(AA23="",Z23=""),"",IF(Z23&lt;=0,"",IFERROR(AA23/Z23-1,"")))</f>
        <v/>
      </c>
      <c r="AB24" s="15">
        <f>IF(OR(AB23="",AA23=""),"",IF(AA23&lt;=0,"",IFERROR(AB23/AA23-1,"")))</f>
        <v/>
      </c>
      <c r="AC24" s="15">
        <f>IF(OR(AC23="",AB23=""),"",IF(AB23&lt;=0,"",IFERROR(AC23/AB23-1,"")))</f>
        <v/>
      </c>
    </row>
    <row r="25">
      <c r="A25" s="18" t="inlineStr">
        <is>
          <t>매출총이익</t>
        </is>
      </c>
      <c r="B25" s="10" t="n"/>
      <c r="C25" s="19">
        <f>IF(OR(C4="",C23=""),"",IFERROR(C4-C23,""))</f>
        <v/>
      </c>
      <c r="D25" s="20">
        <f>IF(OR(D4="",D23=""),"",IFERROR(D4-D23,""))</f>
        <v/>
      </c>
      <c r="E25" s="20">
        <f>IF(OR(E4="",E23=""),"",IFERROR(E4-E23,""))</f>
        <v/>
      </c>
      <c r="F25" s="20">
        <f>IF(OR(F4="",F23=""),"",IFERROR(F4-F23,""))</f>
        <v/>
      </c>
      <c r="G25" s="20">
        <f>IF(OR(G4="",G23=""),"",IFERROR(G4-G23,""))</f>
        <v/>
      </c>
      <c r="H25" s="20">
        <f>IF(OR(H4="",H23=""),"",IFERROR(H4-H23,""))</f>
        <v/>
      </c>
      <c r="I25" s="20">
        <f>IF(OR(I4="",I23=""),"",IFERROR(I4-I23,""))</f>
        <v/>
      </c>
      <c r="J25" s="20">
        <f>IF(OR(J4="",J23=""),"",IFERROR(J4-J23,""))</f>
        <v/>
      </c>
      <c r="K25" s="20">
        <f>IF(OR(K4="",K23=""),"",IFERROR(K4-K23,""))</f>
        <v/>
      </c>
      <c r="L25" s="20">
        <f>IF(OR(L4="",L23=""),"",IFERROR(L4-L23,""))</f>
        <v/>
      </c>
      <c r="M25" s="20">
        <f>IF(OR(M4="",M23=""),"",IFERROR(M4-M23,""))</f>
        <v/>
      </c>
      <c r="N25" s="20">
        <f>IF(OR(N4="",N23=""),"",IFERROR(N4-N23,""))</f>
        <v/>
      </c>
      <c r="O25" s="19">
        <f>IF(OR(O4="",O23=""),"",IFERROR(O4-O23,""))</f>
        <v/>
      </c>
      <c r="P25" s="20">
        <f>IF(OR(P4="",P23=""),"",IFERROR(P4-P23,""))</f>
        <v/>
      </c>
      <c r="Q25" s="20">
        <f>IF(OR(Q4="",Q23=""),"",IFERROR(Q4-Q23,""))</f>
        <v/>
      </c>
      <c r="R25" s="20">
        <f>IF(OR(R4="",R23=""),"",IFERROR(R4-R23,""))</f>
        <v/>
      </c>
      <c r="S25" s="20">
        <f>IF(OR(S4="",S23=""),"",IFERROR(S4-S23,""))</f>
        <v/>
      </c>
      <c r="T25" s="20">
        <f>IF(OR(T4="",T23=""),"",IFERROR(T4-T23,""))</f>
        <v/>
      </c>
      <c r="U25" s="20">
        <f>IF(OR(U4="",U23=""),"",IFERROR(U4-U23,""))</f>
        <v/>
      </c>
      <c r="V25" s="20">
        <f>IF(OR(V4="",V23=""),"",IFERROR(V4-V23,""))</f>
        <v/>
      </c>
      <c r="W25" s="20">
        <f>IF(OR(W4="",W23=""),"",IFERROR(W4-W23,""))</f>
        <v/>
      </c>
      <c r="X25" s="20">
        <f>IF(OR(X4="",X23=""),"",IFERROR(X4-X23,""))</f>
        <v/>
      </c>
      <c r="Y25" s="19" t="n"/>
      <c r="Z25" s="20" t="n"/>
      <c r="AA25" s="20" t="n"/>
      <c r="AB25" s="20" t="n"/>
      <c r="AC25" s="20" t="n"/>
    </row>
    <row r="26">
      <c r="A26" s="13" t="inlineStr">
        <is>
          <t>GPM</t>
        </is>
      </c>
      <c r="B26" s="10" t="n"/>
      <c r="C26" s="14">
        <f>IF(OR(C25="",C4=""),"",IFERROR(C25/C4,""))</f>
        <v/>
      </c>
      <c r="D26" s="15">
        <f>IF(OR(D25="",D4=""),"",IFERROR(D25/D4,""))</f>
        <v/>
      </c>
      <c r="E26" s="15">
        <f>IF(OR(E25="",E4=""),"",IFERROR(E25/E4,""))</f>
        <v/>
      </c>
      <c r="F26" s="15">
        <f>IF(OR(F25="",F4=""),"",IFERROR(F25/F4,""))</f>
        <v/>
      </c>
      <c r="G26" s="15">
        <f>IF(OR(G25="",G4=""),"",IFERROR(G25/G4,""))</f>
        <v/>
      </c>
      <c r="H26" s="15">
        <f>IF(OR(H25="",H4=""),"",IFERROR(H25/H4,""))</f>
        <v/>
      </c>
      <c r="I26" s="15">
        <f>IF(OR(I25="",I4=""),"",IFERROR(I25/I4,""))</f>
        <v/>
      </c>
      <c r="J26" s="15">
        <f>IF(OR(J25="",J4=""),"",IFERROR(J25/J4,""))</f>
        <v/>
      </c>
      <c r="K26" s="15">
        <f>IF(OR(K25="",K4=""),"",IFERROR(K25/K4,""))</f>
        <v/>
      </c>
      <c r="L26" s="15">
        <f>IF(OR(L25="",L4=""),"",IFERROR(L25/L4,""))</f>
        <v/>
      </c>
      <c r="M26" s="15">
        <f>IF(OR(M25="",M4=""),"",IFERROR(M25/M4,""))</f>
        <v/>
      </c>
      <c r="N26" s="15">
        <f>IF(OR(N25="",N4=""),"",IFERROR(N25/N4,""))</f>
        <v/>
      </c>
      <c r="O26" s="14">
        <f>IF(OR(O25="",O4=""),"",IFERROR(O25/O4,""))</f>
        <v/>
      </c>
      <c r="P26" s="15">
        <f>IF(OR(P25="",P4=""),"",IFERROR(P25/P4,""))</f>
        <v/>
      </c>
      <c r="Q26" s="15">
        <f>IF(OR(Q25="",Q4=""),"",IFERROR(Q25/Q4,""))</f>
        <v/>
      </c>
      <c r="R26" s="15">
        <f>IF(OR(R25="",R4=""),"",IFERROR(R25/R4,""))</f>
        <v/>
      </c>
      <c r="S26" s="15">
        <f>IF(OR(S25="",S4=""),"",IFERROR(S25/S4,""))</f>
        <v/>
      </c>
      <c r="T26" s="15">
        <f>IF(OR(T25="",T4=""),"",IFERROR(T25/T4,""))</f>
        <v/>
      </c>
      <c r="U26" s="15">
        <f>IF(OR(U25="",U4=""),"",IFERROR(U25/U4,""))</f>
        <v/>
      </c>
      <c r="V26" s="15">
        <f>IF(OR(V25="",V4=""),"",IFERROR(V25/V4,""))</f>
        <v/>
      </c>
      <c r="W26" s="15">
        <f>IF(OR(W25="",W4=""),"",IFERROR(W25/W4,""))</f>
        <v/>
      </c>
      <c r="X26" s="15">
        <f>IF(OR(X25="",X4=""),"",IFERROR(X25/X4,""))</f>
        <v/>
      </c>
      <c r="Y26" s="14">
        <f>IF(OR(Y25="",Y4=""),"",IFERROR(Y25/Y4,""))</f>
        <v/>
      </c>
      <c r="Z26" s="15">
        <f>IF(OR(Z25="",Z4=""),"",IFERROR(Z25/Z4,""))</f>
        <v/>
      </c>
      <c r="AA26" s="15">
        <f>IF(OR(AA25="",AA4=""),"",IFERROR(AA25/AA4,""))</f>
        <v/>
      </c>
      <c r="AB26" s="15">
        <f>IF(OR(AB25="",AB4=""),"",IFERROR(AB25/AB4,""))</f>
        <v/>
      </c>
      <c r="AC26" s="15">
        <f>IF(OR(AC25="",AC4=""),"",IFERROR(AC25/AC4,""))</f>
        <v/>
      </c>
    </row>
    <row r="27">
      <c r="A27" s="13" t="inlineStr">
        <is>
          <t>YoY</t>
        </is>
      </c>
      <c r="B27" s="10" t="n"/>
      <c r="C27" s="14" t="n"/>
      <c r="D27" s="15" t="n"/>
      <c r="E27" s="15" t="n"/>
      <c r="F27" s="15" t="n"/>
      <c r="G27" s="15">
        <f>IF(OR(G25="",C25=""),"",IF(C25&lt;=0,"",IFERROR(G25/C25-1,"")))</f>
        <v/>
      </c>
      <c r="H27" s="15">
        <f>IF(OR(H25="",D25=""),"",IF(D25&lt;=0,"",IFERROR(H25/D25-1,"")))</f>
        <v/>
      </c>
      <c r="I27" s="15">
        <f>IF(OR(I25="",E25=""),"",IF(E25&lt;=0,"",IFERROR(I25/E25-1,"")))</f>
        <v/>
      </c>
      <c r="J27" s="15">
        <f>IF(OR(J25="",F25=""),"",IF(F25&lt;=0,"",IFERROR(J25/F25-1,"")))</f>
        <v/>
      </c>
      <c r="K27" s="15">
        <f>IF(OR(K25="",G25=""),"",IF(G25&lt;=0,"",IFERROR(K25/G25-1,"")))</f>
        <v/>
      </c>
      <c r="L27" s="15">
        <f>IF(OR(L25="",H25=""),"",IF(H25&lt;=0,"",IFERROR(L25/H25-1,"")))</f>
        <v/>
      </c>
      <c r="M27" s="15">
        <f>IF(OR(M25="",I25=""),"",IF(I25&lt;=0,"",IFERROR(M25/I25-1,"")))</f>
        <v/>
      </c>
      <c r="N27" s="15">
        <f>IF(OR(N25="",J25=""),"",IF(J25&lt;=0,"",IFERROR(N25/J25-1,"")))</f>
        <v/>
      </c>
      <c r="O27" s="14" t="n"/>
      <c r="P27" s="15">
        <f>IF(OR(P25="",O25=""),"",IF(O25&lt;=0,"",IFERROR(P25/O25-1,"")))</f>
        <v/>
      </c>
      <c r="Q27" s="15">
        <f>IF(OR(Q25="",P25=""),"",IF(P25&lt;=0,"",IFERROR(Q25/P25-1,"")))</f>
        <v/>
      </c>
      <c r="R27" s="15">
        <f>IF(OR(R25="",Q25=""),"",IF(Q25&lt;=0,"",IFERROR(R25/Q25-1,"")))</f>
        <v/>
      </c>
      <c r="S27" s="15">
        <f>IF(OR(S25="",R25=""),"",IF(R25&lt;=0,"",IFERROR(S25/R25-1,"")))</f>
        <v/>
      </c>
      <c r="T27" s="15">
        <f>IF(OR(T25="",S25=""),"",IF(S25&lt;=0,"",IFERROR(T25/S25-1,"")))</f>
        <v/>
      </c>
      <c r="U27" s="15">
        <f>IF(OR(U25="",T25=""),"",IF(T25&lt;=0,"",IFERROR(U25/T25-1,"")))</f>
        <v/>
      </c>
      <c r="V27" s="15">
        <f>IF(OR(V25="",U25=""),"",IF(U25&lt;=0,"",IFERROR(V25/U25-1,"")))</f>
        <v/>
      </c>
      <c r="W27" s="15">
        <f>IF(OR(W25="",V25=""),"",IF(V25&lt;=0,"",IFERROR(W25/V25-1,"")))</f>
        <v/>
      </c>
      <c r="X27" s="15">
        <f>IF(OR(X25="",W25=""),"",IF(W25&lt;=0,"",IFERROR(X25/W25-1,"")))</f>
        <v/>
      </c>
      <c r="Y27" s="14">
        <f>IF(OR(Y25="",X25=""),"",IF(X25&lt;=0,"",IFERROR(Y25/X25-1,"")))</f>
        <v/>
      </c>
      <c r="Z27" s="15">
        <f>IF(OR(Z25="",Y25=""),"",IF(Y25&lt;=0,"",IFERROR(Z25/Y25-1,"")))</f>
        <v/>
      </c>
      <c r="AA27" s="15">
        <f>IF(OR(AA25="",Z25=""),"",IF(Z25&lt;=0,"",IFERROR(AA25/Z25-1,"")))</f>
        <v/>
      </c>
      <c r="AB27" s="15">
        <f>IF(OR(AB25="",AA25=""),"",IF(AA25&lt;=0,"",IFERROR(AB25/AA25-1,"")))</f>
        <v/>
      </c>
      <c r="AC27" s="15">
        <f>IF(OR(AC25="",AB25=""),"",IF(AB25&lt;=0,"",IFERROR(AC25/AB25-1,"")))</f>
        <v/>
      </c>
    </row>
    <row r="28">
      <c r="A28" s="23" t="inlineStr">
        <is>
          <t>판매관리비</t>
        </is>
      </c>
      <c r="B28" s="23" t="n"/>
      <c r="C28" s="24" t="n"/>
      <c r="D28" s="23" t="n"/>
      <c r="E28" s="23" t="n"/>
      <c r="F28" s="23" t="n"/>
      <c r="G28" s="23" t="n"/>
      <c r="H28" s="23" t="n"/>
      <c r="I28" s="23" t="n"/>
      <c r="J28" s="23" t="n"/>
      <c r="K28" s="23" t="n"/>
      <c r="L28" s="23" t="n"/>
      <c r="M28" s="23" t="n"/>
      <c r="N28" s="23" t="n"/>
      <c r="O28" s="24" t="n"/>
      <c r="P28" s="23" t="n"/>
      <c r="Q28" s="23" t="n"/>
      <c r="R28" s="23" t="n"/>
      <c r="S28" s="23" t="n"/>
      <c r="T28" s="23" t="n"/>
      <c r="U28" s="23" t="n"/>
      <c r="V28" s="23" t="n"/>
      <c r="W28" s="23" t="n"/>
      <c r="X28" s="23" t="n"/>
      <c r="Y28" s="24" t="n"/>
      <c r="Z28" s="23" t="n"/>
      <c r="AA28" s="23" t="n"/>
      <c r="AB28" s="23" t="n"/>
      <c r="AC28" s="23" t="n"/>
    </row>
    <row r="29">
      <c r="A29" s="18" t="inlineStr">
        <is>
          <t>전체 판관비</t>
        </is>
      </c>
      <c r="B29" s="10" t="n"/>
      <c r="C29" s="19" t="n">
        <v>15628</v>
      </c>
      <c r="D29" s="20" t="n">
        <v>17966</v>
      </c>
      <c r="E29" s="20" t="n">
        <v>16396</v>
      </c>
      <c r="F29" s="20" t="n">
        <v>17541</v>
      </c>
      <c r="G29" s="20" t="n">
        <v>17959</v>
      </c>
      <c r="H29" s="20" t="n">
        <v>21011</v>
      </c>
      <c r="I29" s="20" t="n">
        <v>16949</v>
      </c>
      <c r="J29" s="20" t="n">
        <v>18460</v>
      </c>
      <c r="K29" s="20" t="n">
        <v>18241</v>
      </c>
      <c r="L29" s="20" t="n">
        <v>19393</v>
      </c>
      <c r="M29" s="20" t="n">
        <v>18265</v>
      </c>
      <c r="N29" s="20" t="n">
        <v>20245</v>
      </c>
      <c r="O29" s="19" t="n">
        <v>79981</v>
      </c>
      <c r="P29" s="20" t="n">
        <v>84503</v>
      </c>
      <c r="Q29" s="20" t="n">
        <v>53901</v>
      </c>
      <c r="R29" s="20" t="n">
        <v>52986</v>
      </c>
      <c r="S29" s="20" t="n">
        <v>53059</v>
      </c>
      <c r="T29" s="20" t="n">
        <v>55809</v>
      </c>
      <c r="U29" s="20" t="n">
        <v>59232</v>
      </c>
      <c r="V29" s="20" t="n">
        <v>62536</v>
      </c>
      <c r="W29" s="20" t="n">
        <v>72907</v>
      </c>
      <c r="X29" s="20" t="n">
        <v>73043</v>
      </c>
      <c r="Y29" s="19" t="n"/>
      <c r="Z29" s="20" t="n"/>
      <c r="AA29" s="20" t="n"/>
      <c r="AB29" s="20" t="n"/>
      <c r="AC29" s="20" t="n"/>
    </row>
    <row r="30">
      <c r="A30" s="13" t="inlineStr">
        <is>
          <t>YoY</t>
        </is>
      </c>
      <c r="B30" s="10" t="n"/>
      <c r="C30" s="14" t="n"/>
      <c r="D30" s="15" t="n"/>
      <c r="E30" s="15" t="n"/>
      <c r="F30" s="15" t="n"/>
      <c r="G30" s="15">
        <f>IF(OR(G29="",C29=""),"",IF(C29&lt;=0,"",IFERROR(G29/C29-1,"")))</f>
        <v/>
      </c>
      <c r="H30" s="15">
        <f>IF(OR(H29="",D29=""),"",IF(D29&lt;=0,"",IFERROR(H29/D29-1,"")))</f>
        <v/>
      </c>
      <c r="I30" s="15">
        <f>IF(OR(I29="",E29=""),"",IF(E29&lt;=0,"",IFERROR(I29/E29-1,"")))</f>
        <v/>
      </c>
      <c r="J30" s="15">
        <f>IF(OR(J29="",F29=""),"",IF(F29&lt;=0,"",IFERROR(J29/F29-1,"")))</f>
        <v/>
      </c>
      <c r="K30" s="15">
        <f>IF(OR(K29="",G29=""),"",IF(G29&lt;=0,"",IFERROR(K29/G29-1,"")))</f>
        <v/>
      </c>
      <c r="L30" s="15">
        <f>IF(OR(L29="",H29=""),"",IF(H29&lt;=0,"",IFERROR(L29/H29-1,"")))</f>
        <v/>
      </c>
      <c r="M30" s="15">
        <f>IF(OR(M29="",I29=""),"",IF(I29&lt;=0,"",IFERROR(M29/I29-1,"")))</f>
        <v/>
      </c>
      <c r="N30" s="15">
        <f>IF(OR(N29="",J29=""),"",IF(J29&lt;=0,"",IFERROR(N29/J29-1,"")))</f>
        <v/>
      </c>
      <c r="O30" s="14" t="n"/>
      <c r="P30" s="15">
        <f>IF(OR(P29="",O29=""),"",IF(O29&lt;=0,"",IFERROR(P29/O29-1,"")))</f>
        <v/>
      </c>
      <c r="Q30" s="15">
        <f>IF(OR(Q29="",P29=""),"",IF(P29&lt;=0,"",IFERROR(Q29/P29-1,"")))</f>
        <v/>
      </c>
      <c r="R30" s="15">
        <f>IF(OR(R29="",Q29=""),"",IF(Q29&lt;=0,"",IFERROR(R29/Q29-1,"")))</f>
        <v/>
      </c>
      <c r="S30" s="15">
        <f>IF(OR(S29="",R29=""),"",IF(R29&lt;=0,"",IFERROR(S29/R29-1,"")))</f>
        <v/>
      </c>
      <c r="T30" s="15">
        <f>IF(OR(T29="",S29=""),"",IF(S29&lt;=0,"",IFERROR(T29/S29-1,"")))</f>
        <v/>
      </c>
      <c r="U30" s="15">
        <f>IF(OR(U29="",T29=""),"",IF(T29&lt;=0,"",IFERROR(U29/T29-1,"")))</f>
        <v/>
      </c>
      <c r="V30" s="15">
        <f>IF(OR(V29="",U29=""),"",IF(U29&lt;=0,"",IFERROR(V29/U29-1,"")))</f>
        <v/>
      </c>
      <c r="W30" s="15">
        <f>IF(OR(W29="",V29=""),"",IF(V29&lt;=0,"",IFERROR(W29/V29-1,"")))</f>
        <v/>
      </c>
      <c r="X30" s="15">
        <f>IF(OR(X29="",W29=""),"",IF(W29&lt;=0,"",IFERROR(X29/W29-1,"")))</f>
        <v/>
      </c>
      <c r="Y30" s="14">
        <f>IF(OR(Y29="",X29=""),"",IF(X29&lt;=0,"",IFERROR(Y29/X29-1,"")))</f>
        <v/>
      </c>
      <c r="Z30" s="15">
        <f>IF(OR(Z29="",Y29=""),"",IF(Y29&lt;=0,"",IFERROR(Z29/Y29-1,"")))</f>
        <v/>
      </c>
      <c r="AA30" s="15">
        <f>IF(OR(AA29="",Z29=""),"",IF(Z29&lt;=0,"",IFERROR(AA29/Z29-1,"")))</f>
        <v/>
      </c>
      <c r="AB30" s="15">
        <f>IF(OR(AB29="",AA29=""),"",IF(AA29&lt;=0,"",IFERROR(AB29/AA29-1,"")))</f>
        <v/>
      </c>
      <c r="AC30" s="15">
        <f>IF(OR(AC29="",AB29=""),"",IF(AB29&lt;=0,"",IFERROR(AC29/AB29-1,"")))</f>
        <v/>
      </c>
    </row>
    <row r="31">
      <c r="A31" s="9" t="inlineStr">
        <is>
          <t>영업이익</t>
        </is>
      </c>
      <c r="B31" s="10" t="inlineStr">
        <is>
          <t>MW = 매출 × OPM</t>
        </is>
      </c>
      <c r="C31" s="11" t="n">
        <v>6665</v>
      </c>
      <c r="D31" s="12" t="n">
        <v>1896</v>
      </c>
      <c r="E31" s="12" t="n">
        <v>14850</v>
      </c>
      <c r="F31" s="12" t="n">
        <v>9834</v>
      </c>
      <c r="G31" s="12" t="n">
        <v>8006</v>
      </c>
      <c r="H31" s="12" t="n">
        <v>3531</v>
      </c>
      <c r="I31" s="12" t="n">
        <v>4830</v>
      </c>
      <c r="J31" s="12" t="n">
        <v>5796</v>
      </c>
      <c r="K31" s="12" t="n">
        <v>7016</v>
      </c>
      <c r="L31" s="12" t="n">
        <v>4996</v>
      </c>
      <c r="M31" s="12" t="n">
        <v>4124</v>
      </c>
      <c r="N31" s="12" t="n">
        <v>4965</v>
      </c>
      <c r="O31" s="11" t="n">
        <v>10946</v>
      </c>
      <c r="P31" s="12" t="n">
        <v>11968</v>
      </c>
      <c r="Q31" s="12" t="n">
        <v>12228</v>
      </c>
      <c r="R31" s="12" t="n">
        <v>14079</v>
      </c>
      <c r="S31" s="12" t="n">
        <v>10682</v>
      </c>
      <c r="T31" s="12" t="n">
        <v>14010</v>
      </c>
      <c r="U31" s="12" t="n">
        <v>12757</v>
      </c>
      <c r="V31" s="12" t="n">
        <v>17472</v>
      </c>
      <c r="W31" s="12" t="n">
        <v>36221</v>
      </c>
      <c r="X31" s="12" t="n">
        <v>22638</v>
      </c>
      <c r="Y31" s="11">
        <f>IF(OR(Y4="",Y32=""),"",IFERROR(Y4*Y32,""))</f>
        <v/>
      </c>
      <c r="Z31" s="12">
        <f>IF(OR(Z4="",Z32=""),"",IFERROR(Z4*Z32,""))</f>
        <v/>
      </c>
      <c r="AA31" s="12">
        <f>IF(OR(AA4="",AA32=""),"",IFERROR(AA4*AA32,""))</f>
        <v/>
      </c>
      <c r="AB31" s="12">
        <f>IF(OR(AB4="",AB32=""),"",IFERROR(AB4*AB32,""))</f>
        <v/>
      </c>
      <c r="AC31" s="12">
        <f>IF(OR(AC4="",AC32=""),"",IFERROR(AC4*AC32,""))</f>
        <v/>
      </c>
    </row>
    <row r="32">
      <c r="A32" s="13" t="inlineStr">
        <is>
          <t>OPM</t>
        </is>
      </c>
      <c r="B32" s="10" t="inlineStr">
        <is>
          <t>MW 입력</t>
        </is>
      </c>
      <c r="C32" s="14">
        <f>IF(OR(C31="",C4=""),"",IFERROR(C31/C4,""))</f>
        <v/>
      </c>
      <c r="D32" s="15">
        <f>IF(OR(D31="",D4=""),"",IFERROR(D31/D4,""))</f>
        <v/>
      </c>
      <c r="E32" s="15">
        <f>IF(OR(E31="",E4=""),"",IFERROR(E31/E4,""))</f>
        <v/>
      </c>
      <c r="F32" s="15">
        <f>IF(OR(F31="",F4=""),"",IFERROR(F31/F4,""))</f>
        <v/>
      </c>
      <c r="G32" s="15">
        <f>IF(OR(G31="",G4=""),"",IFERROR(G31/G4,""))</f>
        <v/>
      </c>
      <c r="H32" s="15">
        <f>IF(OR(H31="",H4=""),"",IFERROR(H31/H4,""))</f>
        <v/>
      </c>
      <c r="I32" s="15">
        <f>IF(OR(I31="",I4=""),"",IFERROR(I31/I4,""))</f>
        <v/>
      </c>
      <c r="J32" s="15">
        <f>IF(OR(J31="",J4=""),"",IFERROR(J31/J4,""))</f>
        <v/>
      </c>
      <c r="K32" s="15">
        <f>IF(OR(K31="",K4=""),"",IFERROR(K31/K4,""))</f>
        <v/>
      </c>
      <c r="L32" s="15">
        <f>IF(OR(L31="",L4=""),"",IFERROR(L31/L4,""))</f>
        <v/>
      </c>
      <c r="M32" s="15">
        <f>IF(OR(M31="",M4=""),"",IFERROR(M31/M4,""))</f>
        <v/>
      </c>
      <c r="N32" s="15">
        <f>IF(OR(N31="",N4=""),"",IFERROR(N31/N4,""))</f>
        <v/>
      </c>
      <c r="O32" s="14">
        <f>IF(OR(O31="",O4=""),"",IFERROR(O31/O4,""))</f>
        <v/>
      </c>
      <c r="P32" s="15">
        <f>IF(OR(P31="",P4=""),"",IFERROR(P31/P4,""))</f>
        <v/>
      </c>
      <c r="Q32" s="15">
        <f>IF(OR(Q31="",Q4=""),"",IFERROR(Q31/Q4,""))</f>
        <v/>
      </c>
      <c r="R32" s="15">
        <f>IF(OR(R31="",R4=""),"",IFERROR(R31/R4,""))</f>
        <v/>
      </c>
      <c r="S32" s="15">
        <f>IF(OR(S31="",S4=""),"",IFERROR(S31/S4,""))</f>
        <v/>
      </c>
      <c r="T32" s="15">
        <f>IF(OR(T31="",T4=""),"",IFERROR(T31/T4,""))</f>
        <v/>
      </c>
      <c r="U32" s="15">
        <f>IF(OR(U31="",U4=""),"",IFERROR(U31/U4,""))</f>
        <v/>
      </c>
      <c r="V32" s="15">
        <f>IF(OR(V31="",V4=""),"",IFERROR(V31/V4,""))</f>
        <v/>
      </c>
      <c r="W32" s="15">
        <f>IF(OR(W31="",W4=""),"",IFERROR(W31/W4,""))</f>
        <v/>
      </c>
      <c r="X32" s="15">
        <f>IF(OR(X31="",X4=""),"",IFERROR(X31/X4,""))</f>
        <v/>
      </c>
      <c r="Y32" s="25" t="n"/>
      <c r="Z32" s="26" t="n"/>
      <c r="AA32" s="26" t="n"/>
      <c r="AB32" s="26" t="n"/>
      <c r="AC32" s="26" t="n"/>
    </row>
    <row r="33">
      <c r="A33" s="13" t="inlineStr">
        <is>
          <t>증가율</t>
        </is>
      </c>
      <c r="B33" s="10" t="n"/>
      <c r="C33" s="14" t="n"/>
      <c r="D33" s="15" t="n"/>
      <c r="E33" s="15" t="n"/>
      <c r="F33" s="15" t="n"/>
      <c r="G33" s="15">
        <f>IF(OR(G31="",C31=""),"",IFERROR(G31/C31-1,""))</f>
        <v/>
      </c>
      <c r="H33" s="15">
        <f>IF(OR(H31="",D31=""),"",IFERROR(H31/D31-1,""))</f>
        <v/>
      </c>
      <c r="I33" s="15">
        <f>IF(OR(I31="",E31=""),"",IFERROR(I31/E31-1,""))</f>
        <v/>
      </c>
      <c r="J33" s="15">
        <f>IF(OR(J31="",F31=""),"",IFERROR(J31/F31-1,""))</f>
        <v/>
      </c>
      <c r="K33" s="15">
        <f>IF(OR(K31="",G31=""),"",IFERROR(K31/G31-1,""))</f>
        <v/>
      </c>
      <c r="L33" s="15">
        <f>IF(OR(L31="",H31=""),"",IFERROR(L31/H31-1,""))</f>
        <v/>
      </c>
      <c r="M33" s="15">
        <f>IF(OR(M31="",I31=""),"",IFERROR(M31/I31-1,""))</f>
        <v/>
      </c>
      <c r="N33" s="15">
        <f>IF(OR(N31="",J31=""),"",IFERROR(N31/J31-1,""))</f>
        <v/>
      </c>
      <c r="O33" s="14" t="n"/>
      <c r="P33" s="15">
        <f>IF(OR(P31="",O31=""),"",IFERROR(P31/O31-1,""))</f>
        <v/>
      </c>
      <c r="Q33" s="15">
        <f>IF(OR(Q31="",P31=""),"",IFERROR(Q31/P31-1,""))</f>
        <v/>
      </c>
      <c r="R33" s="15">
        <f>IF(OR(R31="",Q31=""),"",IFERROR(R31/Q31-1,""))</f>
        <v/>
      </c>
      <c r="S33" s="15">
        <f>IF(OR(S31="",R31=""),"",IFERROR(S31/R31-1,""))</f>
        <v/>
      </c>
      <c r="T33" s="15">
        <f>IF(OR(T31="",S31=""),"",IFERROR(T31/S31-1,""))</f>
        <v/>
      </c>
      <c r="U33" s="15">
        <f>IF(OR(U31="",T31=""),"",IFERROR(U31/T31-1,""))</f>
        <v/>
      </c>
      <c r="V33" s="15">
        <f>IF(OR(V31="",U31=""),"",IFERROR(V31/U31-1,""))</f>
        <v/>
      </c>
      <c r="W33" s="15">
        <f>IF(OR(W31="",V31=""),"",IFERROR(W31/V31-1,""))</f>
        <v/>
      </c>
      <c r="X33" s="15">
        <f>IF(OR(X31="",W31=""),"",IFERROR(X31/W31-1,""))</f>
        <v/>
      </c>
      <c r="Y33" s="14">
        <f>IF(OR(Y31="",X31=""),"",IFERROR(Y31/X31-1,""))</f>
        <v/>
      </c>
      <c r="Z33" s="15">
        <f>IF(OR(Z31="",Y31=""),"",IFERROR(Z31/Y31-1,""))</f>
        <v/>
      </c>
      <c r="AA33" s="15">
        <f>IF(OR(AA31="",Z31=""),"",IFERROR(AA31/Z31-1,""))</f>
        <v/>
      </c>
      <c r="AB33" s="15">
        <f>IF(OR(AB31="",AA31=""),"",IFERROR(AB31/AA31-1,""))</f>
        <v/>
      </c>
      <c r="AC33" s="15">
        <f>IF(OR(AC31="",AB31=""),"",IFERROR(AC31/AB31-1,""))</f>
        <v/>
      </c>
    </row>
    <row r="34">
      <c r="A34" s="16" t="inlineStr">
        <is>
          <t>비용의 성격별 분류</t>
        </is>
      </c>
      <c r="B34" s="16" t="inlineStr">
        <is>
          <t>참고 데이터</t>
        </is>
      </c>
      <c r="C34" s="17" t="n"/>
      <c r="D34" s="16" t="n"/>
      <c r="E34" s="16" t="n"/>
      <c r="F34" s="16" t="n"/>
      <c r="G34" s="16" t="n"/>
      <c r="H34" s="16" t="n"/>
      <c r="I34" s="16" t="n"/>
      <c r="J34" s="16" t="n"/>
      <c r="K34" s="16" t="n"/>
      <c r="L34" s="16" t="n"/>
      <c r="M34" s="16" t="n"/>
      <c r="N34" s="16" t="n"/>
      <c r="O34" s="17" t="n"/>
      <c r="P34" s="16" t="n"/>
      <c r="Q34" s="16" t="n"/>
      <c r="R34" s="16" t="n"/>
      <c r="S34" s="16" t="n"/>
      <c r="T34" s="16" t="n"/>
      <c r="U34" s="16" t="n"/>
      <c r="V34" s="16" t="n"/>
      <c r="W34" s="16" t="n"/>
      <c r="X34" s="16" t="n"/>
      <c r="Y34" s="17" t="n"/>
      <c r="Z34" s="16" t="n"/>
      <c r="AA34" s="16" t="n"/>
      <c r="AB34" s="16" t="n"/>
      <c r="AC34" s="16" t="n"/>
    </row>
    <row r="35">
      <c r="A35" s="9" t="inlineStr">
        <is>
          <t>총 판관비</t>
        </is>
      </c>
      <c r="B35" s="10" t="n"/>
      <c r="C35" s="11" t="n"/>
      <c r="D35" s="12" t="n"/>
      <c r="E35" s="12" t="n"/>
      <c r="F35" s="12" t="n"/>
      <c r="G35" s="12" t="n"/>
      <c r="H35" s="12" t="n"/>
      <c r="I35" s="12" t="n"/>
      <c r="J35" s="12" t="n"/>
      <c r="K35" s="12" t="n"/>
      <c r="L35" s="12" t="n"/>
      <c r="M35" s="12" t="n"/>
      <c r="N35" s="12" t="n"/>
      <c r="O35" s="11">
        <f>IF(O29="","",O29)</f>
        <v/>
      </c>
      <c r="P35" s="12">
        <f>IF(P29="","",P29)</f>
        <v/>
      </c>
      <c r="Q35" s="12">
        <f>IF(Q29="","",Q29)</f>
        <v/>
      </c>
      <c r="R35" s="12">
        <f>IF(R29="","",R29)</f>
        <v/>
      </c>
      <c r="S35" s="12">
        <f>IF(S29="","",S29)</f>
        <v/>
      </c>
      <c r="T35" s="12">
        <f>IF(T29="","",T29)</f>
        <v/>
      </c>
      <c r="U35" s="12">
        <f>IF(U29="","",U29)</f>
        <v/>
      </c>
      <c r="V35" s="12">
        <f>IF(V29="","",V29)</f>
        <v/>
      </c>
      <c r="W35" s="12">
        <f>IF(W29="","",W29)</f>
        <v/>
      </c>
      <c r="X35" s="12">
        <f>IF(X29="","",X29)</f>
        <v/>
      </c>
      <c r="Y35" s="11" t="n"/>
      <c r="Z35" s="12" t="n"/>
      <c r="AA35" s="12" t="n"/>
      <c r="AB35" s="12" t="n"/>
      <c r="AC35" s="12" t="n"/>
    </row>
    <row r="36">
      <c r="A36" s="18" t="inlineStr">
        <is>
          <t>급여</t>
        </is>
      </c>
      <c r="B36" s="10" t="inlineStr">
        <is>
          <t>고정비</t>
        </is>
      </c>
      <c r="C36" s="19" t="n"/>
      <c r="D36" s="20" t="n"/>
      <c r="E36" s="20" t="n"/>
      <c r="F36" s="20" t="n"/>
      <c r="G36" s="20" t="n"/>
      <c r="H36" s="20" t="n"/>
      <c r="I36" s="20" t="n"/>
      <c r="J36" s="20" t="n"/>
      <c r="K36" s="20" t="n"/>
      <c r="L36" s="20" t="n"/>
      <c r="M36" s="20" t="n"/>
      <c r="N36" s="20" t="n"/>
      <c r="O36" s="19" t="n"/>
      <c r="P36" s="20" t="n"/>
      <c r="Q36" s="20" t="n"/>
      <c r="R36" s="20" t="n"/>
      <c r="S36" s="20" t="n"/>
      <c r="T36" s="20" t="n"/>
      <c r="U36" s="20" t="n"/>
      <c r="V36" s="20" t="n"/>
      <c r="W36" s="20" t="n"/>
      <c r="X36" s="20" t="n"/>
      <c r="Y36" s="19" t="n"/>
      <c r="Z36" s="20" t="n"/>
      <c r="AA36" s="20" t="n"/>
      <c r="AB36" s="20" t="n"/>
      <c r="AC36" s="20" t="n"/>
    </row>
    <row r="37">
      <c r="A37" s="13" t="inlineStr">
        <is>
          <t>% of Sales</t>
        </is>
      </c>
      <c r="B37" s="10" t="n"/>
      <c r="C37" s="14" t="n"/>
      <c r="D37" s="15" t="n"/>
      <c r="E37" s="15" t="n"/>
      <c r="F37" s="15" t="n"/>
      <c r="G37" s="15" t="n"/>
      <c r="H37" s="15" t="n"/>
      <c r="I37" s="15" t="n"/>
      <c r="J37" s="15" t="n"/>
      <c r="K37" s="15" t="n"/>
      <c r="L37" s="15" t="n"/>
      <c r="M37" s="15" t="n"/>
      <c r="N37" s="15" t="n"/>
      <c r="O37" s="14">
        <f>IF(OR(O36="",O4=""),"",IFERROR(O36/O4,""))</f>
        <v/>
      </c>
      <c r="P37" s="15">
        <f>IF(OR(P36="",P4=""),"",IFERROR(P36/P4,""))</f>
        <v/>
      </c>
      <c r="Q37" s="15">
        <f>IF(OR(Q36="",Q4=""),"",IFERROR(Q36/Q4,""))</f>
        <v/>
      </c>
      <c r="R37" s="15">
        <f>IF(OR(R36="",R4=""),"",IFERROR(R36/R4,""))</f>
        <v/>
      </c>
      <c r="S37" s="15">
        <f>IF(OR(S36="",S4=""),"",IFERROR(S36/S4,""))</f>
        <v/>
      </c>
      <c r="T37" s="15">
        <f>IF(OR(T36="",T4=""),"",IFERROR(T36/T4,""))</f>
        <v/>
      </c>
      <c r="U37" s="15">
        <f>IF(OR(U36="",U4=""),"",IFERROR(U36/U4,""))</f>
        <v/>
      </c>
      <c r="V37" s="15">
        <f>IF(OR(V36="",V4=""),"",IFERROR(V36/V4,""))</f>
        <v/>
      </c>
      <c r="W37" s="15">
        <f>IF(OR(W36="",W4=""),"",IFERROR(W36/W4,""))</f>
        <v/>
      </c>
      <c r="X37" s="15">
        <f>IF(OR(X36="",X4=""),"",IFERROR(X36/X4,""))</f>
        <v/>
      </c>
      <c r="Y37" s="14" t="n"/>
      <c r="Z37" s="15" t="n"/>
      <c r="AA37" s="15" t="n"/>
      <c r="AB37" s="15" t="n"/>
      <c r="AC37" s="15" t="n"/>
    </row>
    <row r="38">
      <c r="A38" s="18" t="inlineStr">
        <is>
          <t>감가상각비</t>
        </is>
      </c>
      <c r="B38" s="10" t="inlineStr">
        <is>
          <t>고정비</t>
        </is>
      </c>
      <c r="C38" s="19" t="n"/>
      <c r="D38" s="20" t="n"/>
      <c r="E38" s="20" t="n"/>
      <c r="F38" s="20" t="n"/>
      <c r="G38" s="20" t="n"/>
      <c r="H38" s="20" t="n"/>
      <c r="I38" s="20" t="n"/>
      <c r="J38" s="20" t="n"/>
      <c r="K38" s="20" t="n"/>
      <c r="L38" s="20" t="n"/>
      <c r="M38" s="20" t="n"/>
      <c r="N38" s="20" t="n"/>
      <c r="O38" s="19" t="n"/>
      <c r="P38" s="20" t="n"/>
      <c r="Q38" s="20" t="n"/>
      <c r="R38" s="20" t="n"/>
      <c r="S38" s="20" t="n"/>
      <c r="T38" s="20" t="n"/>
      <c r="U38" s="20" t="n"/>
      <c r="V38" s="20" t="n"/>
      <c r="W38" s="20" t="n"/>
      <c r="X38" s="20" t="n"/>
      <c r="Y38" s="19" t="n"/>
      <c r="Z38" s="20" t="n"/>
      <c r="AA38" s="20" t="n"/>
      <c r="AB38" s="20" t="n"/>
      <c r="AC38" s="20" t="n"/>
    </row>
    <row r="39">
      <c r="A39" s="13" t="inlineStr">
        <is>
          <t>% of Sales</t>
        </is>
      </c>
      <c r="B39" s="10" t="n"/>
      <c r="C39" s="14" t="n"/>
      <c r="D39" s="15" t="n"/>
      <c r="E39" s="15" t="n"/>
      <c r="F39" s="15" t="n"/>
      <c r="G39" s="15" t="n"/>
      <c r="H39" s="15" t="n"/>
      <c r="I39" s="15" t="n"/>
      <c r="J39" s="15" t="n"/>
      <c r="K39" s="15" t="n"/>
      <c r="L39" s="15" t="n"/>
      <c r="M39" s="15" t="n"/>
      <c r="N39" s="15" t="n"/>
      <c r="O39" s="14">
        <f>IF(OR(O38="",O4=""),"",IFERROR(O38/O4,""))</f>
        <v/>
      </c>
      <c r="P39" s="15">
        <f>IF(OR(P38="",P4=""),"",IFERROR(P38/P4,""))</f>
        <v/>
      </c>
      <c r="Q39" s="15">
        <f>IF(OR(Q38="",Q4=""),"",IFERROR(Q38/Q4,""))</f>
        <v/>
      </c>
      <c r="R39" s="15">
        <f>IF(OR(R38="",R4=""),"",IFERROR(R38/R4,""))</f>
        <v/>
      </c>
      <c r="S39" s="15">
        <f>IF(OR(S38="",S4=""),"",IFERROR(S38/S4,""))</f>
        <v/>
      </c>
      <c r="T39" s="15">
        <f>IF(OR(T38="",T4=""),"",IFERROR(T38/T4,""))</f>
        <v/>
      </c>
      <c r="U39" s="15">
        <f>IF(OR(U38="",U4=""),"",IFERROR(U38/U4,""))</f>
        <v/>
      </c>
      <c r="V39" s="15">
        <f>IF(OR(V38="",V4=""),"",IFERROR(V38/V4,""))</f>
        <v/>
      </c>
      <c r="W39" s="15">
        <f>IF(OR(W38="",W4=""),"",IFERROR(W38/W4,""))</f>
        <v/>
      </c>
      <c r="X39" s="15">
        <f>IF(OR(X38="",X4=""),"",IFERROR(X38/X4,""))</f>
        <v/>
      </c>
      <c r="Y39" s="14" t="n"/>
      <c r="Z39" s="15" t="n"/>
      <c r="AA39" s="15" t="n"/>
      <c r="AB39" s="15" t="n"/>
      <c r="AC39" s="15" t="n"/>
    </row>
    <row r="40">
      <c r="A40" s="18" t="inlineStr">
        <is>
          <t>지급수수료</t>
        </is>
      </c>
      <c r="B40" s="10" t="inlineStr">
        <is>
          <t>고정비</t>
        </is>
      </c>
      <c r="C40" s="19" t="n"/>
      <c r="D40" s="20" t="n"/>
      <c r="E40" s="20" t="n"/>
      <c r="F40" s="20" t="n"/>
      <c r="G40" s="20" t="n"/>
      <c r="H40" s="20" t="n"/>
      <c r="I40" s="20" t="n"/>
      <c r="J40" s="20" t="n"/>
      <c r="K40" s="20" t="n"/>
      <c r="L40" s="20" t="n"/>
      <c r="M40" s="20" t="n"/>
      <c r="N40" s="20" t="n"/>
      <c r="O40" s="19" t="n"/>
      <c r="P40" s="20" t="n"/>
      <c r="Q40" s="20" t="n"/>
      <c r="R40" s="20" t="n"/>
      <c r="S40" s="20" t="n"/>
      <c r="T40" s="20" t="n"/>
      <c r="U40" s="20" t="n"/>
      <c r="V40" s="20" t="n"/>
      <c r="W40" s="20" t="n"/>
      <c r="X40" s="20" t="n"/>
      <c r="Y40" s="19" t="n"/>
      <c r="Z40" s="20" t="n"/>
      <c r="AA40" s="20" t="n"/>
      <c r="AB40" s="20" t="n"/>
      <c r="AC40" s="20" t="n"/>
    </row>
    <row r="41">
      <c r="A41" s="13" t="inlineStr">
        <is>
          <t>% of Sales</t>
        </is>
      </c>
      <c r="B41" s="10" t="n"/>
      <c r="C41" s="14" t="n"/>
      <c r="D41" s="15" t="n"/>
      <c r="E41" s="15" t="n"/>
      <c r="F41" s="15" t="n"/>
      <c r="G41" s="15" t="n"/>
      <c r="H41" s="15" t="n"/>
      <c r="I41" s="15" t="n"/>
      <c r="J41" s="15" t="n"/>
      <c r="K41" s="15" t="n"/>
      <c r="L41" s="15" t="n"/>
      <c r="M41" s="15" t="n"/>
      <c r="N41" s="15" t="n"/>
      <c r="O41" s="14">
        <f>IF(OR(O40="",O4=""),"",IFERROR(O40/O4,""))</f>
        <v/>
      </c>
      <c r="P41" s="15">
        <f>IF(OR(P40="",P4=""),"",IFERROR(P40/P4,""))</f>
        <v/>
      </c>
      <c r="Q41" s="15">
        <f>IF(OR(Q40="",Q4=""),"",IFERROR(Q40/Q4,""))</f>
        <v/>
      </c>
      <c r="R41" s="15">
        <f>IF(OR(R40="",R4=""),"",IFERROR(R40/R4,""))</f>
        <v/>
      </c>
      <c r="S41" s="15">
        <f>IF(OR(S40="",S4=""),"",IFERROR(S40/S4,""))</f>
        <v/>
      </c>
      <c r="T41" s="15">
        <f>IF(OR(T40="",T4=""),"",IFERROR(T40/T4,""))</f>
        <v/>
      </c>
      <c r="U41" s="15">
        <f>IF(OR(U40="",U4=""),"",IFERROR(U40/U4,""))</f>
        <v/>
      </c>
      <c r="V41" s="15">
        <f>IF(OR(V40="",V4=""),"",IFERROR(V40/V4,""))</f>
        <v/>
      </c>
      <c r="W41" s="15">
        <f>IF(OR(W40="",W4=""),"",IFERROR(W40/W4,""))</f>
        <v/>
      </c>
      <c r="X41" s="15">
        <f>IF(OR(X40="",X4=""),"",IFERROR(X40/X4,""))</f>
        <v/>
      </c>
      <c r="Y41" s="14" t="n"/>
      <c r="Z41" s="15" t="n"/>
      <c r="AA41" s="15" t="n"/>
      <c r="AB41" s="15" t="n"/>
      <c r="AC41" s="15" t="n"/>
    </row>
    <row r="42">
      <c r="A42" s="18" t="inlineStr">
        <is>
          <t>연구개발비</t>
        </is>
      </c>
      <c r="B42" s="10" t="inlineStr">
        <is>
          <t>변동비</t>
        </is>
      </c>
      <c r="C42" s="19" t="n"/>
      <c r="D42" s="20" t="n"/>
      <c r="E42" s="20" t="n"/>
      <c r="F42" s="20" t="n"/>
      <c r="G42" s="20" t="n"/>
      <c r="H42" s="20" t="n"/>
      <c r="I42" s="20" t="n"/>
      <c r="J42" s="20" t="n"/>
      <c r="K42" s="20" t="n"/>
      <c r="L42" s="20" t="n"/>
      <c r="M42" s="20" t="n"/>
      <c r="N42" s="20" t="n"/>
      <c r="O42" s="19" t="n"/>
      <c r="P42" s="20" t="n"/>
      <c r="Q42" s="20" t="n"/>
      <c r="R42" s="20" t="n"/>
      <c r="S42" s="20" t="n"/>
      <c r="T42" s="20" t="n"/>
      <c r="U42" s="20" t="n"/>
      <c r="V42" s="20" t="n"/>
      <c r="W42" s="20" t="n"/>
      <c r="X42" s="20" t="n"/>
      <c r="Y42" s="19" t="n"/>
      <c r="Z42" s="20" t="n"/>
      <c r="AA42" s="20" t="n"/>
      <c r="AB42" s="20" t="n"/>
      <c r="AC42" s="20" t="n"/>
    </row>
    <row r="43">
      <c r="A43" s="13" t="inlineStr">
        <is>
          <t>% of Sales</t>
        </is>
      </c>
      <c r="B43" s="10" t="n"/>
      <c r="C43" s="14" t="n"/>
      <c r="D43" s="15" t="n"/>
      <c r="E43" s="15" t="n"/>
      <c r="F43" s="15" t="n"/>
      <c r="G43" s="15" t="n"/>
      <c r="H43" s="15" t="n"/>
      <c r="I43" s="15" t="n"/>
      <c r="J43" s="15" t="n"/>
      <c r="K43" s="15" t="n"/>
      <c r="L43" s="15" t="n"/>
      <c r="M43" s="15" t="n"/>
      <c r="N43" s="15" t="n"/>
      <c r="O43" s="14">
        <f>IF(OR(O42="",O4=""),"",IFERROR(O42/O4,""))</f>
        <v/>
      </c>
      <c r="P43" s="15">
        <f>IF(OR(P42="",P4=""),"",IFERROR(P42/P4,""))</f>
        <v/>
      </c>
      <c r="Q43" s="15">
        <f>IF(OR(Q42="",Q4=""),"",IFERROR(Q42/Q4,""))</f>
        <v/>
      </c>
      <c r="R43" s="15">
        <f>IF(OR(R42="",R4=""),"",IFERROR(R42/R4,""))</f>
        <v/>
      </c>
      <c r="S43" s="15">
        <f>IF(OR(S42="",S4=""),"",IFERROR(S42/S4,""))</f>
        <v/>
      </c>
      <c r="T43" s="15">
        <f>IF(OR(T42="",T4=""),"",IFERROR(T42/T4,""))</f>
        <v/>
      </c>
      <c r="U43" s="15">
        <f>IF(OR(U42="",U4=""),"",IFERROR(U42/U4,""))</f>
        <v/>
      </c>
      <c r="V43" s="15">
        <f>IF(OR(V42="",V4=""),"",IFERROR(V42/V4,""))</f>
        <v/>
      </c>
      <c r="W43" s="15">
        <f>IF(OR(W42="",W4=""),"",IFERROR(W42/W4,""))</f>
        <v/>
      </c>
      <c r="X43" s="15">
        <f>IF(OR(X42="",X4=""),"",IFERROR(X42/X4,""))</f>
        <v/>
      </c>
      <c r="Y43" s="14" t="n"/>
      <c r="Z43" s="15" t="n"/>
      <c r="AA43" s="15" t="n"/>
      <c r="AB43" s="15" t="n"/>
      <c r="AC43" s="15" t="n"/>
    </row>
    <row r="44">
      <c r="A44" s="18" t="inlineStr">
        <is>
          <t>기타비용</t>
        </is>
      </c>
      <c r="B44" s="10" t="inlineStr">
        <is>
          <t>변동비</t>
        </is>
      </c>
      <c r="C44" s="19" t="n"/>
      <c r="D44" s="20" t="n"/>
      <c r="E44" s="20" t="n"/>
      <c r="F44" s="20" t="n"/>
      <c r="G44" s="20" t="n"/>
      <c r="H44" s="20" t="n"/>
      <c r="I44" s="20" t="n"/>
      <c r="J44" s="20" t="n"/>
      <c r="K44" s="20" t="n"/>
      <c r="L44" s="20" t="n"/>
      <c r="M44" s="20" t="n"/>
      <c r="N44" s="20" t="n"/>
      <c r="O44" s="19">
        <f>IF(OR(O35="",O36="",O38="",O40="",O42=""),"",IFERROR(O35-O36-O38-O40-O42,""))</f>
        <v/>
      </c>
      <c r="P44" s="20">
        <f>IF(OR(P35="",P36="",P38="",P40="",P42=""),"",IFERROR(P35-P36-P38-P40-P42,""))</f>
        <v/>
      </c>
      <c r="Q44" s="20">
        <f>IF(OR(Q35="",Q36="",Q38="",Q40="",Q42=""),"",IFERROR(Q35-Q36-Q38-Q40-Q42,""))</f>
        <v/>
      </c>
      <c r="R44" s="20">
        <f>IF(OR(R35="",R36="",R38="",R40="",R42=""),"",IFERROR(R35-R36-R38-R40-R42,""))</f>
        <v/>
      </c>
      <c r="S44" s="20">
        <f>IF(OR(S35="",S36="",S38="",S40="",S42=""),"",IFERROR(S35-S36-S38-S40-S42,""))</f>
        <v/>
      </c>
      <c r="T44" s="20">
        <f>IF(OR(T35="",T36="",T38="",T40="",T42=""),"",IFERROR(T35-T36-T38-T40-T42,""))</f>
        <v/>
      </c>
      <c r="U44" s="20">
        <f>IF(OR(U35="",U36="",U38="",U40="",U42=""),"",IFERROR(U35-U36-U38-U40-U42,""))</f>
        <v/>
      </c>
      <c r="V44" s="20">
        <f>IF(OR(V35="",V36="",V38="",V40="",V42=""),"",IFERROR(V35-V36-V38-V40-V42,""))</f>
        <v/>
      </c>
      <c r="W44" s="20">
        <f>IF(OR(W35="",W36="",W38="",W40="",W42=""),"",IFERROR(W35-W36-W38-W40-W42,""))</f>
        <v/>
      </c>
      <c r="X44" s="20">
        <f>IF(OR(X35="",X36="",X38="",X40="",X42=""),"",IFERROR(X35-X36-X38-X40-X42,""))</f>
        <v/>
      </c>
      <c r="Y44" s="19" t="n"/>
      <c r="Z44" s="20" t="n"/>
      <c r="AA44" s="20" t="n"/>
      <c r="AB44" s="20" t="n"/>
      <c r="AC44" s="20" t="n"/>
    </row>
    <row r="45">
      <c r="A45" s="13" t="inlineStr">
        <is>
          <t>% of Sales</t>
        </is>
      </c>
      <c r="B45" s="10" t="n"/>
      <c r="C45" s="14" t="n"/>
      <c r="D45" s="15" t="n"/>
      <c r="E45" s="15" t="n"/>
      <c r="F45" s="15" t="n"/>
      <c r="G45" s="15" t="n"/>
      <c r="H45" s="15" t="n"/>
      <c r="I45" s="15" t="n"/>
      <c r="J45" s="15" t="n"/>
      <c r="K45" s="15" t="n"/>
      <c r="L45" s="15" t="n"/>
      <c r="M45" s="15" t="n"/>
      <c r="N45" s="15" t="n"/>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14" t="n"/>
      <c r="Z45" s="15" t="n"/>
      <c r="AA45" s="15" t="n"/>
      <c r="AB45" s="15" t="n"/>
      <c r="AC45" s="15" t="n"/>
    </row>
    <row r="46">
      <c r="A46" s="16" t="inlineStr">
        <is>
          <t>당기순이익 추정</t>
        </is>
      </c>
      <c r="B46" s="16" t="n"/>
      <c r="C46" s="17" t="n"/>
      <c r="D46" s="16" t="n"/>
      <c r="E46" s="16" t="n"/>
      <c r="F46" s="16" t="n"/>
      <c r="G46" s="16" t="n"/>
      <c r="H46" s="16" t="n"/>
      <c r="I46" s="16" t="n"/>
      <c r="J46" s="16" t="n"/>
      <c r="K46" s="16" t="n"/>
      <c r="L46" s="16" t="n"/>
      <c r="M46" s="16" t="n"/>
      <c r="N46" s="16" t="n"/>
      <c r="O46" s="17" t="n"/>
      <c r="P46" s="16" t="n"/>
      <c r="Q46" s="16" t="n"/>
      <c r="R46" s="16" t="n"/>
      <c r="S46" s="16" t="n"/>
      <c r="T46" s="16" t="n"/>
      <c r="U46" s="16" t="n"/>
      <c r="V46" s="16" t="n"/>
      <c r="W46" s="16" t="n"/>
      <c r="X46" s="16" t="n"/>
      <c r="Y46" s="17" t="n"/>
      <c r="Z46" s="16" t="n"/>
      <c r="AA46" s="16" t="n"/>
      <c r="AB46" s="16" t="n"/>
      <c r="AC46" s="16" t="n"/>
    </row>
    <row r="47">
      <c r="A47" s="18" t="inlineStr">
        <is>
          <t>기타이익</t>
        </is>
      </c>
      <c r="B47" s="10" t="n"/>
      <c r="C47" s="19" t="n">
        <v>155</v>
      </c>
      <c r="D47" s="20" t="n">
        <v>264</v>
      </c>
      <c r="E47" s="20" t="n">
        <v>9448</v>
      </c>
      <c r="F47" s="20" t="n">
        <v>68</v>
      </c>
      <c r="G47" s="20" t="n">
        <v>125</v>
      </c>
      <c r="H47" s="20" t="n">
        <v>432</v>
      </c>
      <c r="I47" s="20" t="n">
        <v>288</v>
      </c>
      <c r="J47" s="20" t="n">
        <v>41</v>
      </c>
      <c r="K47" s="20" t="n">
        <v>195</v>
      </c>
      <c r="L47" s="20" t="n">
        <v>120</v>
      </c>
      <c r="M47" s="20" t="n"/>
      <c r="N47" s="20" t="n"/>
      <c r="O47" s="19" t="n">
        <v>2233</v>
      </c>
      <c r="P47" s="20" t="n">
        <v>4590</v>
      </c>
      <c r="Q47" s="20" t="n">
        <v>1897</v>
      </c>
      <c r="R47" s="20" t="n">
        <v>2733</v>
      </c>
      <c r="S47" s="20" t="n">
        <v>1377</v>
      </c>
      <c r="T47" s="20" t="n">
        <v>675</v>
      </c>
      <c r="U47" s="20" t="n">
        <v>713</v>
      </c>
      <c r="V47" s="20" t="n">
        <v>634</v>
      </c>
      <c r="W47" s="20" t="n">
        <v>10073</v>
      </c>
      <c r="X47" s="20" t="n">
        <v>644</v>
      </c>
      <c r="Y47" s="19">
        <f>IF(OR(Y4="",Y48=""),"",IFERROR(Y4*Y48,""))</f>
        <v/>
      </c>
      <c r="Z47" s="20">
        <f>IF(OR(Z4="",Z48=""),"",IFERROR(Z4*Z48,""))</f>
        <v/>
      </c>
      <c r="AA47" s="20">
        <f>IF(OR(AA4="",AA48=""),"",IFERROR(AA4*AA48,""))</f>
        <v/>
      </c>
      <c r="AB47" s="20">
        <f>IF(OR(AB4="",AB48=""),"",IFERROR(AB4*AB48,""))</f>
        <v/>
      </c>
      <c r="AC47" s="20">
        <f>IF(OR(AC4="",AC48=""),"",IFERROR(AC4*AC48,""))</f>
        <v/>
      </c>
    </row>
    <row r="48">
      <c r="A48" s="13" t="inlineStr">
        <is>
          <t>% of Sales</t>
        </is>
      </c>
      <c r="B48" s="10" t="inlineStr">
        <is>
          <t>MW = 최근 3년 평균</t>
        </is>
      </c>
      <c r="C48" s="14">
        <f>IF(OR(C47="",C4=""),"",IFERROR(C47/C4,""))</f>
        <v/>
      </c>
      <c r="D48" s="15">
        <f>IF(OR(D47="",D4=""),"",IFERROR(D47/D4,""))</f>
        <v/>
      </c>
      <c r="E48" s="15">
        <f>IF(OR(E47="",E4=""),"",IFERROR(E47/E4,""))</f>
        <v/>
      </c>
      <c r="F48" s="15">
        <f>IF(OR(F47="",F4=""),"",IFERROR(F47/F4,""))</f>
        <v/>
      </c>
      <c r="G48" s="15">
        <f>IF(OR(G47="",G4=""),"",IFERROR(G47/G4,""))</f>
        <v/>
      </c>
      <c r="H48" s="15">
        <f>IF(OR(H47="",H4=""),"",IFERROR(H47/H4,""))</f>
        <v/>
      </c>
      <c r="I48" s="15">
        <f>IF(OR(I47="",I4=""),"",IFERROR(I47/I4,""))</f>
        <v/>
      </c>
      <c r="J48" s="15">
        <f>IF(OR(J47="",J4=""),"",IFERROR(J47/J4,""))</f>
        <v/>
      </c>
      <c r="K48" s="15">
        <f>IF(OR(K47="",K4=""),"",IFERROR(K47/K4,""))</f>
        <v/>
      </c>
      <c r="L48" s="15">
        <f>IF(OR(L47="",L4=""),"",IFERROR(L47/L4,""))</f>
        <v/>
      </c>
      <c r="M48" s="15">
        <f>IF(OR(M47="",M4=""),"",IFERROR(M47/M4,""))</f>
        <v/>
      </c>
      <c r="N48" s="15">
        <f>IF(OR(N47="",N4=""),"",IFERROR(N47/N4,""))</f>
        <v/>
      </c>
      <c r="O48" s="14">
        <f>IF(OR(O47="",O4=""),"",IFERROR(O47/O4,""))</f>
        <v/>
      </c>
      <c r="P48" s="15">
        <f>IF(OR(P47="",P4=""),"",IFERROR(P47/P4,""))</f>
        <v/>
      </c>
      <c r="Q48" s="15">
        <f>IF(OR(Q47="",Q4=""),"",IFERROR(Q47/Q4,""))</f>
        <v/>
      </c>
      <c r="R48" s="15">
        <f>IF(OR(R47="",R4=""),"",IFERROR(R47/R4,""))</f>
        <v/>
      </c>
      <c r="S48" s="15">
        <f>IF(OR(S47="",S4=""),"",IFERROR(S47/S4,""))</f>
        <v/>
      </c>
      <c r="T48" s="15">
        <f>IF(OR(T47="",T4=""),"",IFERROR(T47/T4,""))</f>
        <v/>
      </c>
      <c r="U48" s="15">
        <f>IF(OR(U47="",U4=""),"",IFERROR(U47/U4,""))</f>
        <v/>
      </c>
      <c r="V48" s="15">
        <f>IF(OR(V47="",V4=""),"",IFERROR(V47/V4,""))</f>
        <v/>
      </c>
      <c r="W48" s="15">
        <f>IF(OR(W47="",W4=""),"",IFERROR(W47/W4,""))</f>
        <v/>
      </c>
      <c r="X48" s="15">
        <f>IF(OR(X47="",X4=""),"",IFERROR(X47/X4,""))</f>
        <v/>
      </c>
      <c r="Y48" s="25">
        <f>IFERROR(AVERAGE(V48,W48,X48),"")</f>
        <v/>
      </c>
      <c r="Z48" s="26">
        <f>Y48</f>
        <v/>
      </c>
      <c r="AA48" s="26">
        <f>Z48</f>
        <v/>
      </c>
      <c r="AB48" s="26">
        <f>AA48</f>
        <v/>
      </c>
      <c r="AC48" s="26">
        <f>AB48</f>
        <v/>
      </c>
    </row>
    <row r="49">
      <c r="A49" s="18" t="inlineStr">
        <is>
          <t>기타손실</t>
        </is>
      </c>
      <c r="B49" s="10" t="n"/>
      <c r="C49" s="19" t="n">
        <v>38</v>
      </c>
      <c r="D49" s="20" t="n">
        <v>2466</v>
      </c>
      <c r="E49" s="20" t="n">
        <v>204</v>
      </c>
      <c r="F49" s="20" t="n">
        <v>77</v>
      </c>
      <c r="G49" s="20" t="n">
        <v>194</v>
      </c>
      <c r="H49" s="20" t="n">
        <v>471</v>
      </c>
      <c r="I49" s="20" t="n">
        <v>135</v>
      </c>
      <c r="J49" s="20" t="n">
        <v>31</v>
      </c>
      <c r="K49" s="20" t="n">
        <v>164</v>
      </c>
      <c r="L49" s="20" t="n">
        <v>370</v>
      </c>
      <c r="M49" s="20" t="n"/>
      <c r="N49" s="20" t="n"/>
      <c r="O49" s="19" t="n">
        <v>2279</v>
      </c>
      <c r="P49" s="20" t="n">
        <v>1598</v>
      </c>
      <c r="Q49" s="20" t="n">
        <v>-2069</v>
      </c>
      <c r="R49" s="20" t="n">
        <v>958</v>
      </c>
      <c r="S49" s="20" t="n">
        <v>4293</v>
      </c>
      <c r="T49" s="20" t="n">
        <v>802</v>
      </c>
      <c r="U49" s="20" t="n">
        <v>765</v>
      </c>
      <c r="V49" s="20" t="n">
        <v>2637</v>
      </c>
      <c r="W49" s="20" t="n">
        <v>946</v>
      </c>
      <c r="X49" s="20" t="n">
        <v>700</v>
      </c>
      <c r="Y49" s="19">
        <f>IF(OR(Y4="",Y50=""),"",IFERROR(Y4*Y50,""))</f>
        <v/>
      </c>
      <c r="Z49" s="20">
        <f>IF(OR(Z4="",Z50=""),"",IFERROR(Z4*Z50,""))</f>
        <v/>
      </c>
      <c r="AA49" s="20">
        <f>IF(OR(AA4="",AA50=""),"",IFERROR(AA4*AA50,""))</f>
        <v/>
      </c>
      <c r="AB49" s="20">
        <f>IF(OR(AB4="",AB50=""),"",IFERROR(AB4*AB50,""))</f>
        <v/>
      </c>
      <c r="AC49" s="20">
        <f>IF(OR(AC4="",AC50=""),"",IFERROR(AC4*AC50,""))</f>
        <v/>
      </c>
    </row>
    <row r="50">
      <c r="A50" s="13" t="inlineStr">
        <is>
          <t>% of Sales</t>
        </is>
      </c>
      <c r="B50" s="10" t="n"/>
      <c r="C50" s="14">
        <f>IF(OR(C49="",C4=""),"",IFERROR(C49/C4,""))</f>
        <v/>
      </c>
      <c r="D50" s="15">
        <f>IF(OR(D49="",D4=""),"",IFERROR(D49/D4,""))</f>
        <v/>
      </c>
      <c r="E50" s="15">
        <f>IF(OR(E49="",E4=""),"",IFERROR(E49/E4,""))</f>
        <v/>
      </c>
      <c r="F50" s="15">
        <f>IF(OR(F49="",F4=""),"",IFERROR(F49/F4,""))</f>
        <v/>
      </c>
      <c r="G50" s="15">
        <f>IF(OR(G49="",G4=""),"",IFERROR(G49/G4,""))</f>
        <v/>
      </c>
      <c r="H50" s="15">
        <f>IF(OR(H49="",H4=""),"",IFERROR(H49/H4,""))</f>
        <v/>
      </c>
      <c r="I50" s="15">
        <f>IF(OR(I49="",I4=""),"",IFERROR(I49/I4,""))</f>
        <v/>
      </c>
      <c r="J50" s="15">
        <f>IF(OR(J49="",J4=""),"",IFERROR(J49/J4,""))</f>
        <v/>
      </c>
      <c r="K50" s="15">
        <f>IF(OR(K49="",K4=""),"",IFERROR(K49/K4,""))</f>
        <v/>
      </c>
      <c r="L50" s="15">
        <f>IF(OR(L49="",L4=""),"",IFERROR(L49/L4,""))</f>
        <v/>
      </c>
      <c r="M50" s="15">
        <f>IF(OR(M49="",M4=""),"",IFERROR(M49/M4,""))</f>
        <v/>
      </c>
      <c r="N50" s="15">
        <f>IF(OR(N49="",N4=""),"",IFERROR(N49/N4,""))</f>
        <v/>
      </c>
      <c r="O50" s="14">
        <f>IF(OR(O49="",O4=""),"",IFERROR(O49/O4,""))</f>
        <v/>
      </c>
      <c r="P50" s="15">
        <f>IF(OR(P49="",P4=""),"",IFERROR(P49/P4,""))</f>
        <v/>
      </c>
      <c r="Q50" s="15">
        <f>IF(OR(Q49="",Q4=""),"",IFERROR(Q49/Q4,""))</f>
        <v/>
      </c>
      <c r="R50" s="15">
        <f>IF(OR(R49="",R4=""),"",IFERROR(R49/R4,""))</f>
        <v/>
      </c>
      <c r="S50" s="15">
        <f>IF(OR(S49="",S4=""),"",IFERROR(S49/S4,""))</f>
        <v/>
      </c>
      <c r="T50" s="15">
        <f>IF(OR(T49="",T4=""),"",IFERROR(T49/T4,""))</f>
        <v/>
      </c>
      <c r="U50" s="15">
        <f>IF(OR(U49="",U4=""),"",IFERROR(U49/U4,""))</f>
        <v/>
      </c>
      <c r="V50" s="15">
        <f>IF(OR(V49="",V4=""),"",IFERROR(V49/V4,""))</f>
        <v/>
      </c>
      <c r="W50" s="15">
        <f>IF(OR(W49="",W4=""),"",IFERROR(W49/W4,""))</f>
        <v/>
      </c>
      <c r="X50" s="15">
        <f>IF(OR(X49="",X4=""),"",IFERROR(X49/X4,""))</f>
        <v/>
      </c>
      <c r="Y50" s="25">
        <f>IFERROR(AVERAGE(V50,W50,X50),"")</f>
        <v/>
      </c>
      <c r="Z50" s="26">
        <f>Y50</f>
        <v/>
      </c>
      <c r="AA50" s="26">
        <f>Z50</f>
        <v/>
      </c>
      <c r="AB50" s="26">
        <f>AA50</f>
        <v/>
      </c>
      <c r="AC50" s="26">
        <f>AB50</f>
        <v/>
      </c>
    </row>
    <row r="51">
      <c r="A51" s="18" t="inlineStr">
        <is>
          <t>금융수익</t>
        </is>
      </c>
      <c r="B51" s="10" t="n"/>
      <c r="C51" s="19" t="n">
        <v>274</v>
      </c>
      <c r="D51" s="20" t="n">
        <v>20</v>
      </c>
      <c r="E51" s="20" t="n">
        <v>454</v>
      </c>
      <c r="F51" s="20" t="n">
        <v>335</v>
      </c>
      <c r="G51" s="20" t="n">
        <v>71</v>
      </c>
      <c r="H51" s="20" t="n">
        <v>235</v>
      </c>
      <c r="I51" s="20" t="n">
        <v>271</v>
      </c>
      <c r="J51" s="20" t="n">
        <v>311</v>
      </c>
      <c r="K51" s="20" t="n">
        <v>137</v>
      </c>
      <c r="L51" s="20" t="n">
        <v>373</v>
      </c>
      <c r="M51" s="20" t="n"/>
      <c r="N51" s="20" t="n"/>
      <c r="O51" s="19" t="n">
        <v>1224</v>
      </c>
      <c r="P51" s="20" t="n">
        <v>1559</v>
      </c>
      <c r="Q51" s="20" t="n">
        <v>630</v>
      </c>
      <c r="R51" s="20" t="n">
        <v>451</v>
      </c>
      <c r="S51" s="20" t="n">
        <v>523</v>
      </c>
      <c r="T51" s="20" t="n">
        <v>592</v>
      </c>
      <c r="U51" s="20" t="n">
        <v>903</v>
      </c>
      <c r="V51" s="20" t="n">
        <v>959</v>
      </c>
      <c r="W51" s="20" t="n">
        <v>1095</v>
      </c>
      <c r="X51" s="20" t="n">
        <v>1092</v>
      </c>
      <c r="Y51" s="19">
        <f>IF(OR(Y4="",Y52=""),"",IFERROR(Y4*Y52,""))</f>
        <v/>
      </c>
      <c r="Z51" s="20">
        <f>IF(OR(Z4="",Z52=""),"",IFERROR(Z4*Z52,""))</f>
        <v/>
      </c>
      <c r="AA51" s="20">
        <f>IF(OR(AA4="",AA52=""),"",IFERROR(AA4*AA52,""))</f>
        <v/>
      </c>
      <c r="AB51" s="20">
        <f>IF(OR(AB4="",AB52=""),"",IFERROR(AB4*AB52,""))</f>
        <v/>
      </c>
      <c r="AC51" s="20">
        <f>IF(OR(AC4="",AC52=""),"",IFERROR(AC4*AC52,""))</f>
        <v/>
      </c>
    </row>
    <row r="52">
      <c r="A52" s="13" t="inlineStr">
        <is>
          <t>% of Sales</t>
        </is>
      </c>
      <c r="B52" s="10" t="n"/>
      <c r="C52" s="14">
        <f>IF(OR(C51="",C4=""),"",IFERROR(C51/C4,""))</f>
        <v/>
      </c>
      <c r="D52" s="15">
        <f>IF(OR(D51="",D4=""),"",IFERROR(D51/D4,""))</f>
        <v/>
      </c>
      <c r="E52" s="15">
        <f>IF(OR(E51="",E4=""),"",IFERROR(E51/E4,""))</f>
        <v/>
      </c>
      <c r="F52" s="15">
        <f>IF(OR(F51="",F4=""),"",IFERROR(F51/F4,""))</f>
        <v/>
      </c>
      <c r="G52" s="15">
        <f>IF(OR(G51="",G4=""),"",IFERROR(G51/G4,""))</f>
        <v/>
      </c>
      <c r="H52" s="15">
        <f>IF(OR(H51="",H4=""),"",IFERROR(H51/H4,""))</f>
        <v/>
      </c>
      <c r="I52" s="15">
        <f>IF(OR(I51="",I4=""),"",IFERROR(I51/I4,""))</f>
        <v/>
      </c>
      <c r="J52" s="15">
        <f>IF(OR(J51="",J4=""),"",IFERROR(J51/J4,""))</f>
        <v/>
      </c>
      <c r="K52" s="15">
        <f>IF(OR(K51="",K4=""),"",IFERROR(K51/K4,""))</f>
        <v/>
      </c>
      <c r="L52" s="15">
        <f>IF(OR(L51="",L4=""),"",IFERROR(L51/L4,""))</f>
        <v/>
      </c>
      <c r="M52" s="15">
        <f>IF(OR(M51="",M4=""),"",IFERROR(M51/M4,""))</f>
        <v/>
      </c>
      <c r="N52" s="15">
        <f>IF(OR(N51="",N4=""),"",IFERROR(N51/N4,""))</f>
        <v/>
      </c>
      <c r="O52" s="14">
        <f>IF(OR(O51="",O4=""),"",IFERROR(O51/O4,""))</f>
        <v/>
      </c>
      <c r="P52" s="15">
        <f>IF(OR(P51="",P4=""),"",IFERROR(P51/P4,""))</f>
        <v/>
      </c>
      <c r="Q52" s="15">
        <f>IF(OR(Q51="",Q4=""),"",IFERROR(Q51/Q4,""))</f>
        <v/>
      </c>
      <c r="R52" s="15">
        <f>IF(OR(R51="",R4=""),"",IFERROR(R51/R4,""))</f>
        <v/>
      </c>
      <c r="S52" s="15">
        <f>IF(OR(S51="",S4=""),"",IFERROR(S51/S4,""))</f>
        <v/>
      </c>
      <c r="T52" s="15">
        <f>IF(OR(T51="",T4=""),"",IFERROR(T51/T4,""))</f>
        <v/>
      </c>
      <c r="U52" s="15">
        <f>IF(OR(U51="",U4=""),"",IFERROR(U51/U4,""))</f>
        <v/>
      </c>
      <c r="V52" s="15">
        <f>IF(OR(V51="",V4=""),"",IFERROR(V51/V4,""))</f>
        <v/>
      </c>
      <c r="W52" s="15">
        <f>IF(OR(W51="",W4=""),"",IFERROR(W51/W4,""))</f>
        <v/>
      </c>
      <c r="X52" s="15">
        <f>IF(OR(X51="",X4=""),"",IFERROR(X51/X4,""))</f>
        <v/>
      </c>
      <c r="Y52" s="25">
        <f>IFERROR(AVERAGE(V52,W52,X52),"")</f>
        <v/>
      </c>
      <c r="Z52" s="26">
        <f>Y52</f>
        <v/>
      </c>
      <c r="AA52" s="26">
        <f>Z52</f>
        <v/>
      </c>
      <c r="AB52" s="26">
        <f>AA52</f>
        <v/>
      </c>
      <c r="AC52" s="26">
        <f>AB52</f>
        <v/>
      </c>
    </row>
    <row r="53">
      <c r="A53" s="18" t="inlineStr">
        <is>
          <t>금융원가</t>
        </is>
      </c>
      <c r="B53" s="10" t="n"/>
      <c r="C53" s="19" t="n">
        <v>566</v>
      </c>
      <c r="D53" s="20" t="n">
        <v>479</v>
      </c>
      <c r="E53" s="20" t="n">
        <v>1209</v>
      </c>
      <c r="F53" s="20" t="n">
        <v>1133</v>
      </c>
      <c r="G53" s="20" t="n">
        <v>312</v>
      </c>
      <c r="H53" s="20" t="n">
        <v>998</v>
      </c>
      <c r="I53" s="20" t="n">
        <v>738</v>
      </c>
      <c r="J53" s="20" t="n">
        <v>426</v>
      </c>
      <c r="K53" s="20" t="n">
        <v>615</v>
      </c>
      <c r="L53" s="20" t="n">
        <v>833</v>
      </c>
      <c r="M53" s="20" t="n"/>
      <c r="N53" s="20" t="n"/>
      <c r="O53" s="19" t="n">
        <v>854</v>
      </c>
      <c r="P53" s="20" t="n">
        <v>910</v>
      </c>
      <c r="Q53" s="20" t="n">
        <v>-646</v>
      </c>
      <c r="R53" s="20" t="n">
        <v>642</v>
      </c>
      <c r="S53" s="20" t="n">
        <v>581</v>
      </c>
      <c r="T53" s="20" t="n">
        <v>722</v>
      </c>
      <c r="U53" s="20" t="n">
        <v>1103</v>
      </c>
      <c r="V53" s="20" t="n">
        <v>1942</v>
      </c>
      <c r="W53" s="20" t="n">
        <v>3652</v>
      </c>
      <c r="X53" s="20" t="n">
        <v>2612</v>
      </c>
      <c r="Y53" s="19">
        <f>IF(OR(Y4="",Y54=""),"",IFERROR(Y4*Y54,""))</f>
        <v/>
      </c>
      <c r="Z53" s="20">
        <f>IF(OR(Z4="",Z54=""),"",IFERROR(Z4*Z54,""))</f>
        <v/>
      </c>
      <c r="AA53" s="20">
        <f>IF(OR(AA4="",AA54=""),"",IFERROR(AA4*AA54,""))</f>
        <v/>
      </c>
      <c r="AB53" s="20">
        <f>IF(OR(AB4="",AB54=""),"",IFERROR(AB4*AB54,""))</f>
        <v/>
      </c>
      <c r="AC53" s="20">
        <f>IF(OR(AC4="",AC54=""),"",IFERROR(AC4*AC54,""))</f>
        <v/>
      </c>
    </row>
    <row r="54">
      <c r="A54" s="13" t="inlineStr">
        <is>
          <t>% of Sales</t>
        </is>
      </c>
      <c r="B54" s="10" t="n"/>
      <c r="C54" s="14">
        <f>IF(OR(C53="",C4=""),"",IFERROR(C53/C4,""))</f>
        <v/>
      </c>
      <c r="D54" s="15">
        <f>IF(OR(D53="",D4=""),"",IFERROR(D53/D4,""))</f>
        <v/>
      </c>
      <c r="E54" s="15">
        <f>IF(OR(E53="",E4=""),"",IFERROR(E53/E4,""))</f>
        <v/>
      </c>
      <c r="F54" s="15">
        <f>IF(OR(F53="",F4=""),"",IFERROR(F53/F4,""))</f>
        <v/>
      </c>
      <c r="G54" s="15">
        <f>IF(OR(G53="",G4=""),"",IFERROR(G53/G4,""))</f>
        <v/>
      </c>
      <c r="H54" s="15">
        <f>IF(OR(H53="",H4=""),"",IFERROR(H53/H4,""))</f>
        <v/>
      </c>
      <c r="I54" s="15">
        <f>IF(OR(I53="",I4=""),"",IFERROR(I53/I4,""))</f>
        <v/>
      </c>
      <c r="J54" s="15">
        <f>IF(OR(J53="",J4=""),"",IFERROR(J53/J4,""))</f>
        <v/>
      </c>
      <c r="K54" s="15">
        <f>IF(OR(K53="",K4=""),"",IFERROR(K53/K4,""))</f>
        <v/>
      </c>
      <c r="L54" s="15">
        <f>IF(OR(L53="",L4=""),"",IFERROR(L53/L4,""))</f>
        <v/>
      </c>
      <c r="M54" s="15">
        <f>IF(OR(M53="",M4=""),"",IFERROR(M53/M4,""))</f>
        <v/>
      </c>
      <c r="N54" s="15">
        <f>IF(OR(N53="",N4=""),"",IFERROR(N53/N4,""))</f>
        <v/>
      </c>
      <c r="O54" s="14">
        <f>IF(OR(O53="",O4=""),"",IFERROR(O53/O4,""))</f>
        <v/>
      </c>
      <c r="P54" s="15">
        <f>IF(OR(P53="",P4=""),"",IFERROR(P53/P4,""))</f>
        <v/>
      </c>
      <c r="Q54" s="15">
        <f>IF(OR(Q53="",Q4=""),"",IFERROR(Q53/Q4,""))</f>
        <v/>
      </c>
      <c r="R54" s="15">
        <f>IF(OR(R53="",R4=""),"",IFERROR(R53/R4,""))</f>
        <v/>
      </c>
      <c r="S54" s="15">
        <f>IF(OR(S53="",S4=""),"",IFERROR(S53/S4,""))</f>
        <v/>
      </c>
      <c r="T54" s="15">
        <f>IF(OR(T53="",T4=""),"",IFERROR(T53/T4,""))</f>
        <v/>
      </c>
      <c r="U54" s="15">
        <f>IF(OR(U53="",U4=""),"",IFERROR(U53/U4,""))</f>
        <v/>
      </c>
      <c r="V54" s="15">
        <f>IF(OR(V53="",V4=""),"",IFERROR(V53/V4,""))</f>
        <v/>
      </c>
      <c r="W54" s="15">
        <f>IF(OR(W53="",W4=""),"",IFERROR(W53/W4,""))</f>
        <v/>
      </c>
      <c r="X54" s="15">
        <f>IF(OR(X53="",X4=""),"",IFERROR(X53/X4,""))</f>
        <v/>
      </c>
      <c r="Y54" s="25">
        <f>IFERROR(AVERAGE(V54,W54,X54),"")</f>
        <v/>
      </c>
      <c r="Z54" s="26">
        <f>Y54</f>
        <v/>
      </c>
      <c r="AA54" s="26">
        <f>Z54</f>
        <v/>
      </c>
      <c r="AB54" s="26">
        <f>AA54</f>
        <v/>
      </c>
      <c r="AC54" s="26">
        <f>AB54</f>
        <v/>
      </c>
    </row>
    <row r="55">
      <c r="A55" s="9" t="inlineStr">
        <is>
          <t>법인세비용차감전순이익(손실)</t>
        </is>
      </c>
      <c r="B55" s="10" t="n"/>
      <c r="C55" s="11" t="n">
        <v>6374</v>
      </c>
      <c r="D55" s="12" t="n">
        <v>1436</v>
      </c>
      <c r="E55" s="12" t="n">
        <v>14096</v>
      </c>
      <c r="F55" s="12" t="n">
        <v>9035</v>
      </c>
      <c r="G55" s="12" t="n">
        <v>7764</v>
      </c>
      <c r="H55" s="12" t="n">
        <v>2770</v>
      </c>
      <c r="I55" s="12" t="n">
        <v>4275</v>
      </c>
      <c r="J55" s="12" t="n">
        <v>5706</v>
      </c>
      <c r="K55" s="12" t="n">
        <v>6600</v>
      </c>
      <c r="L55" s="12" t="n">
        <v>4537</v>
      </c>
      <c r="M55" s="12" t="n">
        <v>3594</v>
      </c>
      <c r="N55" s="12" t="n">
        <v>4655</v>
      </c>
      <c r="O55" s="11" t="n">
        <v>11269</v>
      </c>
      <c r="P55" s="12" t="n">
        <v>15610</v>
      </c>
      <c r="Q55" s="12" t="n">
        <v>12213</v>
      </c>
      <c r="R55" s="12" t="n">
        <v>13888</v>
      </c>
      <c r="S55" s="12" t="n">
        <v>10624</v>
      </c>
      <c r="T55" s="12" t="n">
        <v>13880</v>
      </c>
      <c r="U55" s="12" t="n">
        <v>12557</v>
      </c>
      <c r="V55" s="12" t="n">
        <v>16489</v>
      </c>
      <c r="W55" s="12" t="n">
        <v>33665</v>
      </c>
      <c r="X55" s="12" t="n">
        <v>21118</v>
      </c>
      <c r="Y55" s="11">
        <f>IF(OR(Y31=""),"",IFERROR(Y31+N(Y47)-N(Y49)+N(Y51)-N(Y53),""))</f>
        <v/>
      </c>
      <c r="Z55" s="12">
        <f>IF(OR(Z31=""),"",IFERROR(Z31+N(Z47)-N(Z49)+N(Z51)-N(Z53),""))</f>
        <v/>
      </c>
      <c r="AA55" s="12">
        <f>IF(OR(AA31=""),"",IFERROR(AA31+N(AA47)-N(AA49)+N(AA51)-N(AA53),""))</f>
        <v/>
      </c>
      <c r="AB55" s="12">
        <f>IF(OR(AB31=""),"",IFERROR(AB31+N(AB47)-N(AB49)+N(AB51)-N(AB53),""))</f>
        <v/>
      </c>
      <c r="AC55" s="12">
        <f>IF(OR(AC31=""),"",IFERROR(AC31+N(AC47)-N(AC49)+N(AC51)-N(AC53),""))</f>
        <v/>
      </c>
    </row>
    <row r="56">
      <c r="A56" s="13" t="inlineStr">
        <is>
          <t>YoY</t>
        </is>
      </c>
      <c r="B56" s="10" t="n"/>
      <c r="C56" s="14" t="n"/>
      <c r="D56" s="15" t="n"/>
      <c r="E56" s="15" t="n"/>
      <c r="F56" s="15" t="n"/>
      <c r="G56" s="15">
        <f>IF(OR(G55="",C55=""),"",IF(C55&lt;=0,"",IFERROR(G55/C55-1,"")))</f>
        <v/>
      </c>
      <c r="H56" s="15">
        <f>IF(OR(H55="",D55=""),"",IF(D55&lt;=0,"",IFERROR(H55/D55-1,"")))</f>
        <v/>
      </c>
      <c r="I56" s="15">
        <f>IF(OR(I55="",E55=""),"",IF(E55&lt;=0,"",IFERROR(I55/E55-1,"")))</f>
        <v/>
      </c>
      <c r="J56" s="15">
        <f>IF(OR(J55="",F55=""),"",IF(F55&lt;=0,"",IFERROR(J55/F55-1,"")))</f>
        <v/>
      </c>
      <c r="K56" s="15">
        <f>IF(OR(K55="",G55=""),"",IF(G55&lt;=0,"",IFERROR(K55/G55-1,"")))</f>
        <v/>
      </c>
      <c r="L56" s="15">
        <f>IF(OR(L55="",H55=""),"",IF(H55&lt;=0,"",IFERROR(L55/H55-1,"")))</f>
        <v/>
      </c>
      <c r="M56" s="15">
        <f>IF(OR(M55="",I55=""),"",IF(I55&lt;=0,"",IFERROR(M55/I55-1,"")))</f>
        <v/>
      </c>
      <c r="N56" s="15">
        <f>IF(OR(N55="",J55=""),"",IF(J55&lt;=0,"",IFERROR(N55/J55-1,"")))</f>
        <v/>
      </c>
      <c r="O56" s="14" t="n"/>
      <c r="P56" s="15">
        <f>IF(OR(P55="",O55=""),"",IF(O55&lt;=0,"",IFERROR(P55/O55-1,"")))</f>
        <v/>
      </c>
      <c r="Q56" s="15">
        <f>IF(OR(Q55="",P55=""),"",IF(P55&lt;=0,"",IFERROR(Q55/P55-1,"")))</f>
        <v/>
      </c>
      <c r="R56" s="15">
        <f>IF(OR(R55="",Q55=""),"",IF(Q55&lt;=0,"",IFERROR(R55/Q55-1,"")))</f>
        <v/>
      </c>
      <c r="S56" s="15">
        <f>IF(OR(S55="",R55=""),"",IF(R55&lt;=0,"",IFERROR(S55/R55-1,"")))</f>
        <v/>
      </c>
      <c r="T56" s="15">
        <f>IF(OR(T55="",S55=""),"",IF(S55&lt;=0,"",IFERROR(T55/S55-1,"")))</f>
        <v/>
      </c>
      <c r="U56" s="15">
        <f>IF(OR(U55="",T55=""),"",IF(T55&lt;=0,"",IFERROR(U55/T55-1,"")))</f>
        <v/>
      </c>
      <c r="V56" s="15">
        <f>IF(OR(V55="",U55=""),"",IF(U55&lt;=0,"",IFERROR(V55/U55-1,"")))</f>
        <v/>
      </c>
      <c r="W56" s="15">
        <f>IF(OR(W55="",V55=""),"",IF(V55&lt;=0,"",IFERROR(W55/V55-1,"")))</f>
        <v/>
      </c>
      <c r="X56" s="15">
        <f>IF(OR(X55="",W55=""),"",IF(W55&lt;=0,"",IFERROR(X55/W55-1,"")))</f>
        <v/>
      </c>
      <c r="Y56" s="14">
        <f>IF(OR(Y55="",X55=""),"",IF(X55&lt;=0,"",IFERROR(Y55/X55-1,"")))</f>
        <v/>
      </c>
      <c r="Z56" s="15">
        <f>IF(OR(Z55="",Y55=""),"",IF(Y55&lt;=0,"",IFERROR(Z55/Y55-1,"")))</f>
        <v/>
      </c>
      <c r="AA56" s="15">
        <f>IF(OR(AA55="",Z55=""),"",IF(Z55&lt;=0,"",IFERROR(AA55/Z55-1,"")))</f>
        <v/>
      </c>
      <c r="AB56" s="15">
        <f>IF(OR(AB55="",AA55=""),"",IF(AA55&lt;=0,"",IFERROR(AB55/AA55-1,"")))</f>
        <v/>
      </c>
      <c r="AC56" s="15">
        <f>IF(OR(AC55="",AB55=""),"",IF(AB55&lt;=0,"",IFERROR(AC55/AB55-1,"")))</f>
        <v/>
      </c>
    </row>
    <row r="57">
      <c r="A57" s="18" t="inlineStr">
        <is>
          <t>법인세비용(수익)</t>
        </is>
      </c>
      <c r="B57" s="10" t="n"/>
      <c r="C57" s="19" t="n">
        <v>1751</v>
      </c>
      <c r="D57" s="20" t="n">
        <v>285</v>
      </c>
      <c r="E57" s="20" t="n">
        <v>2163</v>
      </c>
      <c r="F57" s="20" t="n">
        <v>2551</v>
      </c>
      <c r="G57" s="20" t="n">
        <v>1692</v>
      </c>
      <c r="H57" s="20" t="n">
        <v>83</v>
      </c>
      <c r="I57" s="20" t="n">
        <v>1248</v>
      </c>
      <c r="J57" s="20" t="n">
        <v>1588</v>
      </c>
      <c r="K57" s="20" t="n">
        <v>1848</v>
      </c>
      <c r="L57" s="20" t="n">
        <v>378</v>
      </c>
      <c r="M57" s="20" t="n">
        <v>807</v>
      </c>
      <c r="N57" s="20" t="n">
        <v>1510</v>
      </c>
      <c r="O57" s="19" t="n">
        <v>4125</v>
      </c>
      <c r="P57" s="20" t="n">
        <v>5232</v>
      </c>
      <c r="Q57" s="20" t="n">
        <v>-3657</v>
      </c>
      <c r="R57" s="20" t="n">
        <v>3574</v>
      </c>
      <c r="S57" s="20" t="n">
        <v>4522</v>
      </c>
      <c r="T57" s="20" t="n">
        <v>3897</v>
      </c>
      <c r="U57" s="20" t="n">
        <v>2790</v>
      </c>
      <c r="V57" s="20" t="n">
        <v>4676</v>
      </c>
      <c r="W57" s="20" t="n">
        <v>6489</v>
      </c>
      <c r="X57" s="20" t="n">
        <v>5062</v>
      </c>
      <c r="Y57" s="19">
        <f>IF(OR(Y55="",Y58=""),"",IFERROR(MAX(Y55,0)*Y58,""))</f>
        <v/>
      </c>
      <c r="Z57" s="20">
        <f>IF(OR(Z55="",Z58=""),"",IFERROR(MAX(Z55,0)*Z58,""))</f>
        <v/>
      </c>
      <c r="AA57" s="20">
        <f>IF(OR(AA55="",AA58=""),"",IFERROR(MAX(AA55,0)*AA58,""))</f>
        <v/>
      </c>
      <c r="AB57" s="20">
        <f>IF(OR(AB55="",AB58=""),"",IFERROR(MAX(AB55,0)*AB58,""))</f>
        <v/>
      </c>
      <c r="AC57" s="20">
        <f>IF(OR(AC55="",AC58=""),"",IFERROR(MAX(AC55,0)*AC58,""))</f>
        <v/>
      </c>
    </row>
    <row r="58">
      <c r="A58" s="13" t="inlineStr">
        <is>
          <t>법인세율</t>
        </is>
      </c>
      <c r="B58" s="10" t="inlineStr">
        <is>
          <t>MW 기본 30%</t>
        </is>
      </c>
      <c r="C58" s="14">
        <f>IF(OR(C57="",C55=""),"",IFERROR(C57/C55,""))</f>
        <v/>
      </c>
      <c r="D58" s="15">
        <f>IF(OR(D57="",D55=""),"",IFERROR(D57/D55,""))</f>
        <v/>
      </c>
      <c r="E58" s="15">
        <f>IF(OR(E57="",E55=""),"",IFERROR(E57/E55,""))</f>
        <v/>
      </c>
      <c r="F58" s="15">
        <f>IF(OR(F57="",F55=""),"",IFERROR(F57/F55,""))</f>
        <v/>
      </c>
      <c r="G58" s="15">
        <f>IF(OR(G57="",G55=""),"",IFERROR(G57/G55,""))</f>
        <v/>
      </c>
      <c r="H58" s="15">
        <f>IF(OR(H57="",H55=""),"",IFERROR(H57/H55,""))</f>
        <v/>
      </c>
      <c r="I58" s="15">
        <f>IF(OR(I57="",I55=""),"",IFERROR(I57/I55,""))</f>
        <v/>
      </c>
      <c r="J58" s="15">
        <f>IF(OR(J57="",J55=""),"",IFERROR(J57/J55,""))</f>
        <v/>
      </c>
      <c r="K58" s="15">
        <f>IF(OR(K57="",K55=""),"",IFERROR(K57/K55,""))</f>
        <v/>
      </c>
      <c r="L58" s="15">
        <f>IF(OR(L57="",L55=""),"",IFERROR(L57/L55,""))</f>
        <v/>
      </c>
      <c r="M58" s="15">
        <f>IF(OR(M57="",M55=""),"",IFERROR(M57/M55,""))</f>
        <v/>
      </c>
      <c r="N58" s="15">
        <f>IF(OR(N57="",N55=""),"",IFERROR(N57/N55,""))</f>
        <v/>
      </c>
      <c r="O58" s="14">
        <f>IF(OR(O57="",O55=""),"",IFERROR(O57/O55,""))</f>
        <v/>
      </c>
      <c r="P58" s="15">
        <f>IF(OR(P57="",P55=""),"",IFERROR(P57/P55,""))</f>
        <v/>
      </c>
      <c r="Q58" s="15">
        <f>IF(OR(Q57="",Q55=""),"",IFERROR(Q57/Q55,""))</f>
        <v/>
      </c>
      <c r="R58" s="15">
        <f>IF(OR(R57="",R55=""),"",IFERROR(R57/R55,""))</f>
        <v/>
      </c>
      <c r="S58" s="15">
        <f>IF(OR(S57="",S55=""),"",IFERROR(S57/S55,""))</f>
        <v/>
      </c>
      <c r="T58" s="15">
        <f>IF(OR(T57="",T55=""),"",IFERROR(T57/T55,""))</f>
        <v/>
      </c>
      <c r="U58" s="15">
        <f>IF(OR(U57="",U55=""),"",IFERROR(U57/U55,""))</f>
        <v/>
      </c>
      <c r="V58" s="15">
        <f>IF(OR(V57="",V55=""),"",IFERROR(V57/V55,""))</f>
        <v/>
      </c>
      <c r="W58" s="15">
        <f>IF(OR(W57="",W55=""),"",IFERROR(W57/W55,""))</f>
        <v/>
      </c>
      <c r="X58" s="15">
        <f>IF(OR(X57="",X55=""),"",IFERROR(X57/X55,""))</f>
        <v/>
      </c>
      <c r="Y58" s="25" t="n">
        <v>0.3</v>
      </c>
      <c r="Z58" s="26" t="n">
        <v>0.3</v>
      </c>
      <c r="AA58" s="26" t="n">
        <v>0.3</v>
      </c>
      <c r="AB58" s="26" t="n">
        <v>0.3</v>
      </c>
      <c r="AC58" s="26" t="n">
        <v>0.3</v>
      </c>
    </row>
    <row r="59">
      <c r="A59" s="9" t="inlineStr">
        <is>
          <t>당기순이익(손실)</t>
        </is>
      </c>
      <c r="B59" s="10" t="n"/>
      <c r="C59" s="11" t="n">
        <v>4623</v>
      </c>
      <c r="D59" s="12" t="n">
        <v>1151</v>
      </c>
      <c r="E59" s="12" t="n">
        <v>11932</v>
      </c>
      <c r="F59" s="12" t="n">
        <v>6484</v>
      </c>
      <c r="G59" s="12" t="n">
        <v>6073</v>
      </c>
      <c r="H59" s="12" t="n">
        <v>2686</v>
      </c>
      <c r="I59" s="12" t="n">
        <v>3026</v>
      </c>
      <c r="J59" s="12" t="n">
        <v>4119</v>
      </c>
      <c r="K59" s="12" t="n">
        <v>4752</v>
      </c>
      <c r="L59" s="12" t="n">
        <v>4159</v>
      </c>
      <c r="M59" s="12" t="n">
        <v>2787</v>
      </c>
      <c r="N59" s="12" t="n">
        <v>3145</v>
      </c>
      <c r="O59" s="11" t="n">
        <v>7144</v>
      </c>
      <c r="P59" s="12" t="n">
        <v>10377</v>
      </c>
      <c r="Q59" s="12" t="n">
        <v>8555</v>
      </c>
      <c r="R59" s="12" t="n">
        <v>10314</v>
      </c>
      <c r="S59" s="12" t="n">
        <v>6102</v>
      </c>
      <c r="T59" s="12" t="n">
        <v>9983</v>
      </c>
      <c r="U59" s="12" t="n">
        <v>9766</v>
      </c>
      <c r="V59" s="12" t="n">
        <v>11812</v>
      </c>
      <c r="W59" s="12" t="n">
        <v>27175</v>
      </c>
      <c r="X59" s="12" t="n">
        <v>16056</v>
      </c>
      <c r="Y59" s="11">
        <f>IF(OR(Y55=""),"",IFERROR(Y55-Y57,""))</f>
        <v/>
      </c>
      <c r="Z59" s="12">
        <f>IF(OR(Z55=""),"",IFERROR(Z55-Z57,""))</f>
        <v/>
      </c>
      <c r="AA59" s="12">
        <f>IF(OR(AA55=""),"",IFERROR(AA55-AA57,""))</f>
        <v/>
      </c>
      <c r="AB59" s="12">
        <f>IF(OR(AB55=""),"",IFERROR(AB55-AB57,""))</f>
        <v/>
      </c>
      <c r="AC59" s="12">
        <f>IF(OR(AC55=""),"",IFERROR(AC55-AC57,""))</f>
        <v/>
      </c>
    </row>
    <row r="60">
      <c r="A60" s="13" t="inlineStr">
        <is>
          <t>YoY</t>
        </is>
      </c>
      <c r="B60" s="10" t="n"/>
      <c r="C60" s="14" t="n"/>
      <c r="D60" s="15" t="n"/>
      <c r="E60" s="15" t="n"/>
      <c r="F60" s="15" t="n"/>
      <c r="G60" s="15">
        <f>IF(OR(G59="",C59=""),"",IF(C59&lt;=0,"",IFERROR(G59/C59-1,"")))</f>
        <v/>
      </c>
      <c r="H60" s="15">
        <f>IF(OR(H59="",D59=""),"",IF(D59&lt;=0,"",IFERROR(H59/D59-1,"")))</f>
        <v/>
      </c>
      <c r="I60" s="15">
        <f>IF(OR(I59="",E59=""),"",IF(E59&lt;=0,"",IFERROR(I59/E59-1,"")))</f>
        <v/>
      </c>
      <c r="J60" s="15">
        <f>IF(OR(J59="",F59=""),"",IF(F59&lt;=0,"",IFERROR(J59/F59-1,"")))</f>
        <v/>
      </c>
      <c r="K60" s="15">
        <f>IF(OR(K59="",G59=""),"",IF(G59&lt;=0,"",IFERROR(K59/G59-1,"")))</f>
        <v/>
      </c>
      <c r="L60" s="15">
        <f>IF(OR(L59="",H59=""),"",IF(H59&lt;=0,"",IFERROR(L59/H59-1,"")))</f>
        <v/>
      </c>
      <c r="M60" s="15">
        <f>IF(OR(M59="",I59=""),"",IF(I59&lt;=0,"",IFERROR(M59/I59-1,"")))</f>
        <v/>
      </c>
      <c r="N60" s="15">
        <f>IF(OR(N59="",J59=""),"",IF(J59&lt;=0,"",IFERROR(N59/J59-1,"")))</f>
        <v/>
      </c>
      <c r="O60" s="14" t="n"/>
      <c r="P60" s="15">
        <f>IF(OR(P59="",O59=""),"",IF(O59&lt;=0,"",IFERROR(P59/O59-1,"")))</f>
        <v/>
      </c>
      <c r="Q60" s="15">
        <f>IF(OR(Q59="",P59=""),"",IF(P59&lt;=0,"",IFERROR(Q59/P59-1,"")))</f>
        <v/>
      </c>
      <c r="R60" s="15">
        <f>IF(OR(R59="",Q59=""),"",IF(Q59&lt;=0,"",IFERROR(R59/Q59-1,"")))</f>
        <v/>
      </c>
      <c r="S60" s="15">
        <f>IF(OR(S59="",R59=""),"",IF(R59&lt;=0,"",IFERROR(S59/R59-1,"")))</f>
        <v/>
      </c>
      <c r="T60" s="15">
        <f>IF(OR(T59="",S59=""),"",IF(S59&lt;=0,"",IFERROR(T59/S59-1,"")))</f>
        <v/>
      </c>
      <c r="U60" s="15">
        <f>IF(OR(U59="",T59=""),"",IF(T59&lt;=0,"",IFERROR(U59/T59-1,"")))</f>
        <v/>
      </c>
      <c r="V60" s="15">
        <f>IF(OR(V59="",U59=""),"",IF(U59&lt;=0,"",IFERROR(V59/U59-1,"")))</f>
        <v/>
      </c>
      <c r="W60" s="15">
        <f>IF(OR(W59="",V59=""),"",IF(V59&lt;=0,"",IFERROR(W59/V59-1,"")))</f>
        <v/>
      </c>
      <c r="X60" s="15">
        <f>IF(OR(X59="",W59=""),"",IF(W59&lt;=0,"",IFERROR(X59/W59-1,"")))</f>
        <v/>
      </c>
      <c r="Y60" s="14">
        <f>IF(OR(Y59="",X59=""),"",IF(X59&lt;=0,"",IFERROR(Y59/X59-1,"")))</f>
        <v/>
      </c>
      <c r="Z60" s="15">
        <f>IF(OR(Z59="",Y59=""),"",IF(Y59&lt;=0,"",IFERROR(Z59/Y59-1,"")))</f>
        <v/>
      </c>
      <c r="AA60" s="15">
        <f>IF(OR(AA59="",Z59=""),"",IF(Z59&lt;=0,"",IFERROR(AA59/Z59-1,"")))</f>
        <v/>
      </c>
      <c r="AB60" s="15">
        <f>IF(OR(AB59="",AA59=""),"",IF(AA59&lt;=0,"",IFERROR(AB59/AA59-1,"")))</f>
        <v/>
      </c>
      <c r="AC60" s="15">
        <f>IF(OR(AC59="",AB59=""),"",IF(AB59&lt;=0,"",IFERROR(AC59/AB59-1,"")))</f>
        <v/>
      </c>
    </row>
    <row r="61">
      <c r="A61" s="9" t="inlineStr">
        <is>
          <t>지배주주 순이익</t>
        </is>
      </c>
      <c r="B61" s="10" t="n"/>
      <c r="C61" s="11" t="n">
        <v>4337</v>
      </c>
      <c r="D61" s="12" t="n">
        <v>906</v>
      </c>
      <c r="E61" s="12" t="n">
        <v>11492</v>
      </c>
      <c r="F61" s="12" t="n">
        <v>5654</v>
      </c>
      <c r="G61" s="12" t="n">
        <v>5396</v>
      </c>
      <c r="H61" s="12" t="n">
        <v>2473</v>
      </c>
      <c r="I61" s="12" t="n">
        <v>2813</v>
      </c>
      <c r="J61" s="12" t="n">
        <v>3368</v>
      </c>
      <c r="K61" s="12" t="n">
        <v>4500</v>
      </c>
      <c r="L61" s="12" t="n">
        <v>4119</v>
      </c>
      <c r="M61" s="12" t="n">
        <v>2055</v>
      </c>
      <c r="N61" s="12" t="n">
        <v>2628</v>
      </c>
      <c r="O61" s="11" t="n">
        <v>6764</v>
      </c>
      <c r="P61" s="12" t="n">
        <v>10100</v>
      </c>
      <c r="Q61" s="12" t="n">
        <v>8998</v>
      </c>
      <c r="R61" s="12" t="n">
        <v>10198</v>
      </c>
      <c r="S61" s="12" t="n">
        <v>7425</v>
      </c>
      <c r="T61" s="12" t="n">
        <v>9763</v>
      </c>
      <c r="U61" s="12" t="n">
        <v>9116</v>
      </c>
      <c r="V61" s="12" t="n">
        <v>10432</v>
      </c>
      <c r="W61" s="12" t="n">
        <v>25015</v>
      </c>
      <c r="X61" s="12" t="n">
        <v>14800</v>
      </c>
      <c r="Y61" s="11">
        <f>IF(OR(Y59="",Y62=""),"",IFERROR(Y59*Y62,""))</f>
        <v/>
      </c>
      <c r="Z61" s="12">
        <f>IF(OR(Z59="",Z62=""),"",IFERROR(Z59*Z62,""))</f>
        <v/>
      </c>
      <c r="AA61" s="12">
        <f>IF(OR(AA59="",AA62=""),"",IFERROR(AA59*AA62,""))</f>
        <v/>
      </c>
      <c r="AB61" s="12">
        <f>IF(OR(AB59="",AB62=""),"",IFERROR(AB59*AB62,""))</f>
        <v/>
      </c>
      <c r="AC61" s="12">
        <f>IF(OR(AC59="",AC62=""),"",IFERROR(AC59*AC62,""))</f>
        <v/>
      </c>
    </row>
    <row r="62">
      <c r="A62" s="13" t="inlineStr">
        <is>
          <t>지배주주 순이익률</t>
        </is>
      </c>
      <c r="B62" s="10" t="inlineStr">
        <is>
          <t>MW 기본 100%</t>
        </is>
      </c>
      <c r="C62" s="14">
        <f>IF(OR(C61="",C59=""),"",IFERROR(C61/C59,""))</f>
        <v/>
      </c>
      <c r="D62" s="15">
        <f>IF(OR(D61="",D59=""),"",IFERROR(D61/D59,""))</f>
        <v/>
      </c>
      <c r="E62" s="15">
        <f>IF(OR(E61="",E59=""),"",IFERROR(E61/E59,""))</f>
        <v/>
      </c>
      <c r="F62" s="15">
        <f>IF(OR(F61="",F59=""),"",IFERROR(F61/F59,""))</f>
        <v/>
      </c>
      <c r="G62" s="15">
        <f>IF(OR(G61="",G59=""),"",IFERROR(G61/G59,""))</f>
        <v/>
      </c>
      <c r="H62" s="15">
        <f>IF(OR(H61="",H59=""),"",IFERROR(H61/H59,""))</f>
        <v/>
      </c>
      <c r="I62" s="15">
        <f>IF(OR(I61="",I59=""),"",IFERROR(I61/I59,""))</f>
        <v/>
      </c>
      <c r="J62" s="15">
        <f>IF(OR(J61="",J59=""),"",IFERROR(J61/J59,""))</f>
        <v/>
      </c>
      <c r="K62" s="15">
        <f>IF(OR(K61="",K59=""),"",IFERROR(K61/K59,""))</f>
        <v/>
      </c>
      <c r="L62" s="15">
        <f>IF(OR(L61="",L59=""),"",IFERROR(L61/L59,""))</f>
        <v/>
      </c>
      <c r="M62" s="15">
        <f>IF(OR(M61="",M59=""),"",IFERROR(M61/M59,""))</f>
        <v/>
      </c>
      <c r="N62" s="15">
        <f>IF(OR(N61="",N59=""),"",IFERROR(N61/N59,""))</f>
        <v/>
      </c>
      <c r="O62" s="14">
        <f>IF(OR(O61="",O59=""),"",IFERROR(O61/O59,""))</f>
        <v/>
      </c>
      <c r="P62" s="15">
        <f>IF(OR(P61="",P59=""),"",IFERROR(P61/P59,""))</f>
        <v/>
      </c>
      <c r="Q62" s="15">
        <f>IF(OR(Q61="",Q59=""),"",IFERROR(Q61/Q59,""))</f>
        <v/>
      </c>
      <c r="R62" s="15">
        <f>IF(OR(R61="",R59=""),"",IFERROR(R61/R59,""))</f>
        <v/>
      </c>
      <c r="S62" s="15">
        <f>IF(OR(S61="",S59=""),"",IFERROR(S61/S59,""))</f>
        <v/>
      </c>
      <c r="T62" s="15">
        <f>IF(OR(T61="",T59=""),"",IFERROR(T61/T59,""))</f>
        <v/>
      </c>
      <c r="U62" s="15">
        <f>IF(OR(U61="",U59=""),"",IFERROR(U61/U59,""))</f>
        <v/>
      </c>
      <c r="V62" s="15">
        <f>IF(OR(V61="",V59=""),"",IFERROR(V61/V59,""))</f>
        <v/>
      </c>
      <c r="W62" s="15">
        <f>IF(OR(W61="",W59=""),"",IFERROR(W61/W59,""))</f>
        <v/>
      </c>
      <c r="X62" s="15">
        <f>IF(OR(X61="",X59=""),"",IFERROR(X61/X59,""))</f>
        <v/>
      </c>
      <c r="Y62" s="25" t="n">
        <v>1</v>
      </c>
      <c r="Z62" s="26" t="n">
        <v>1</v>
      </c>
      <c r="AA62" s="26" t="n">
        <v>1</v>
      </c>
      <c r="AB62" s="26" t="n">
        <v>1</v>
      </c>
      <c r="AC62" s="26" t="n">
        <v>1</v>
      </c>
    </row>
    <row r="63">
      <c r="A63" s="13" t="inlineStr">
        <is>
          <t>지배주주 순이익 YoY</t>
        </is>
      </c>
      <c r="B63" s="10" t="n"/>
      <c r="C63" s="14" t="n"/>
      <c r="D63" s="15" t="n"/>
      <c r="E63" s="15" t="n"/>
      <c r="F63" s="15" t="n"/>
      <c r="G63" s="15">
        <f>IF(OR(G61="",C61=""),"",IF(C61&lt;=0,"",IFERROR(G61/C61-1,"")))</f>
        <v/>
      </c>
      <c r="H63" s="15">
        <f>IF(OR(H61="",D61=""),"",IF(D61&lt;=0,"",IFERROR(H61/D61-1,"")))</f>
        <v/>
      </c>
      <c r="I63" s="15">
        <f>IF(OR(I61="",E61=""),"",IF(E61&lt;=0,"",IFERROR(I61/E61-1,"")))</f>
        <v/>
      </c>
      <c r="J63" s="15">
        <f>IF(OR(J61="",F61=""),"",IF(F61&lt;=0,"",IFERROR(J61/F61-1,"")))</f>
        <v/>
      </c>
      <c r="K63" s="15">
        <f>IF(OR(K61="",G61=""),"",IF(G61&lt;=0,"",IFERROR(K61/G61-1,"")))</f>
        <v/>
      </c>
      <c r="L63" s="15">
        <f>IF(OR(L61="",H61=""),"",IF(H61&lt;=0,"",IFERROR(L61/H61-1,"")))</f>
        <v/>
      </c>
      <c r="M63" s="15">
        <f>IF(OR(M61="",I61=""),"",IF(I61&lt;=0,"",IFERROR(M61/I61-1,"")))</f>
        <v/>
      </c>
      <c r="N63" s="15">
        <f>IF(OR(N61="",J61=""),"",IF(J61&lt;=0,"",IFERROR(N61/J61-1,"")))</f>
        <v/>
      </c>
      <c r="O63" s="14" t="n"/>
      <c r="P63" s="15">
        <f>IF(OR(P61="",O61=""),"",IF(O61&lt;=0,"",IFERROR(P61/O61-1,"")))</f>
        <v/>
      </c>
      <c r="Q63" s="15">
        <f>IF(OR(Q61="",P61=""),"",IF(P61&lt;=0,"",IFERROR(Q61/P61-1,"")))</f>
        <v/>
      </c>
      <c r="R63" s="15">
        <f>IF(OR(R61="",Q61=""),"",IF(Q61&lt;=0,"",IFERROR(R61/Q61-1,"")))</f>
        <v/>
      </c>
      <c r="S63" s="15">
        <f>IF(OR(S61="",R61=""),"",IF(R61&lt;=0,"",IFERROR(S61/R61-1,"")))</f>
        <v/>
      </c>
      <c r="T63" s="15">
        <f>IF(OR(T61="",S61=""),"",IF(S61&lt;=0,"",IFERROR(T61/S61-1,"")))</f>
        <v/>
      </c>
      <c r="U63" s="15">
        <f>IF(OR(U61="",T61=""),"",IF(T61&lt;=0,"",IFERROR(U61/T61-1,"")))</f>
        <v/>
      </c>
      <c r="V63" s="15">
        <f>IF(OR(V61="",U61=""),"",IF(U61&lt;=0,"",IFERROR(V61/U61-1,"")))</f>
        <v/>
      </c>
      <c r="W63" s="15">
        <f>IF(OR(W61="",V61=""),"",IF(V61&lt;=0,"",IFERROR(W61/V61-1,"")))</f>
        <v/>
      </c>
      <c r="X63" s="15">
        <f>IF(OR(X61="",W61=""),"",IF(W61&lt;=0,"",IFERROR(X61/W61-1,"")))</f>
        <v/>
      </c>
      <c r="Y63" s="14">
        <f>IF(OR(Y61="",X61=""),"",IF(X61&lt;=0,"",IFERROR(Y61/X61-1,"")))</f>
        <v/>
      </c>
      <c r="Z63" s="15">
        <f>IF(OR(Z61="",Y61=""),"",IF(Y61&lt;=0,"",IFERROR(Z61/Y61-1,"")))</f>
        <v/>
      </c>
      <c r="AA63" s="15">
        <f>IF(OR(AA61="",Z61=""),"",IF(Z61&lt;=0,"",IFERROR(AA61/Z61-1,"")))</f>
        <v/>
      </c>
      <c r="AB63" s="15">
        <f>IF(OR(AB61="",AA61=""),"",IF(AA61&lt;=0,"",IFERROR(AB61/AA61-1,"")))</f>
        <v/>
      </c>
      <c r="AC63" s="15">
        <f>IF(OR(AC61="",AB61=""),"",IF(AB61&lt;=0,"",IFERROR(AC61/AB61-1,"")))</f>
        <v/>
      </c>
    </row>
    <row r="64">
      <c r="A64" s="16" t="inlineStr">
        <is>
          <t>목표주가 산출</t>
        </is>
      </c>
      <c r="B64" s="16" t="n"/>
      <c r="C64" s="17" t="n"/>
      <c r="D64" s="16" t="n"/>
      <c r="E64" s="16" t="n"/>
      <c r="F64" s="16" t="n"/>
      <c r="G64" s="16" t="n"/>
      <c r="H64" s="16" t="n"/>
      <c r="I64" s="16" t="n"/>
      <c r="J64" s="16" t="n"/>
      <c r="K64" s="16" t="n"/>
      <c r="L64" s="16" t="n"/>
      <c r="M64" s="16" t="n"/>
      <c r="N64" s="16" t="n"/>
      <c r="O64" s="17" t="n"/>
      <c r="P64" s="16" t="n"/>
      <c r="Q64" s="16" t="n"/>
      <c r="R64" s="16" t="n"/>
      <c r="S64" s="16" t="n"/>
      <c r="T64" s="16" t="n"/>
      <c r="U64" s="16" t="n"/>
      <c r="V64" s="16" t="n"/>
      <c r="W64" s="16" t="n"/>
      <c r="X64" s="16" t="n"/>
      <c r="Y64" s="17" t="n"/>
      <c r="Z64" s="16" t="n"/>
      <c r="AA64" s="16" t="n"/>
      <c r="AB64" s="16" t="n"/>
      <c r="AC64" s="16" t="n"/>
    </row>
    <row r="65">
      <c r="A65" s="18" t="inlineStr">
        <is>
          <t>현재 주가 (2026.10.28)</t>
        </is>
      </c>
      <c r="B65" s="27" t="n">
        <v>2687.5</v>
      </c>
      <c r="C65" s="28" t="n"/>
      <c r="D65" s="29" t="n"/>
      <c r="E65" s="29" t="n"/>
      <c r="F65" s="29" t="n"/>
      <c r="G65" s="29" t="n"/>
      <c r="H65" s="29" t="n"/>
      <c r="I65" s="29" t="n"/>
      <c r="J65" s="29" t="n"/>
      <c r="K65" s="29" t="n"/>
      <c r="L65" s="29" t="n"/>
      <c r="M65" s="29" t="n"/>
      <c r="N65" s="29" t="n"/>
      <c r="O65" s="28" t="n"/>
      <c r="P65" s="29" t="n"/>
      <c r="Q65" s="29" t="n"/>
      <c r="R65" s="29" t="n"/>
      <c r="S65" s="29" t="n"/>
      <c r="T65" s="29" t="n"/>
      <c r="U65" s="29" t="n"/>
      <c r="V65" s="29" t="n"/>
      <c r="W65" s="29" t="n"/>
      <c r="X65" s="29" t="n"/>
      <c r="Y65" s="28" t="n"/>
      <c r="Z65" s="29" t="n"/>
      <c r="AA65" s="29" t="n"/>
      <c r="AB65" s="29" t="n"/>
      <c r="AC65" s="29" t="n"/>
    </row>
    <row r="66">
      <c r="A66" s="18" t="inlineStr">
        <is>
          <t>발행주식수 (보통주)</t>
        </is>
      </c>
      <c r="B66" s="27" t="n">
        <v>91132844</v>
      </c>
      <c r="C66" s="28" t="n"/>
      <c r="D66" s="29" t="n"/>
      <c r="E66" s="29" t="n"/>
      <c r="F66" s="29" t="n"/>
      <c r="G66" s="29" t="n"/>
      <c r="H66" s="29" t="n"/>
      <c r="I66" s="29" t="n"/>
      <c r="J66" s="29" t="n"/>
      <c r="K66" s="29" t="n"/>
      <c r="L66" s="29" t="n"/>
      <c r="M66" s="29" t="n"/>
      <c r="N66" s="29" t="n"/>
      <c r="O66" s="28" t="n"/>
      <c r="P66" s="29" t="n"/>
      <c r="Q66" s="29" t="n"/>
      <c r="R66" s="29" t="n"/>
      <c r="S66" s="29" t="n"/>
      <c r="T66" s="29" t="n"/>
      <c r="U66" s="29" t="n"/>
      <c r="V66" s="29" t="n"/>
      <c r="W66" s="29" t="n"/>
      <c r="X66" s="29" t="n"/>
      <c r="Y66" s="28" t="n"/>
      <c r="Z66" s="29" t="n"/>
      <c r="AA66" s="29" t="n"/>
      <c r="AB66" s="29" t="n"/>
      <c r="AC66" s="29" t="n"/>
    </row>
    <row r="67">
      <c r="A67" s="18" t="inlineStr">
        <is>
          <t>시가총액 (백만엔)</t>
        </is>
      </c>
      <c r="B67" s="12">
        <f>IF(OR(B65="",B66=""),"",B65*B66/1000000.0)</f>
        <v/>
      </c>
      <c r="C67" s="19" t="n"/>
      <c r="D67" s="20" t="n"/>
      <c r="E67" s="20" t="n"/>
      <c r="F67" s="20" t="n"/>
      <c r="G67" s="20" t="n"/>
      <c r="H67" s="20" t="n"/>
      <c r="I67" s="20" t="n"/>
      <c r="J67" s="20" t="n"/>
      <c r="K67" s="20" t="n"/>
      <c r="L67" s="20" t="n"/>
      <c r="M67" s="20" t="n"/>
      <c r="N67" s="20" t="n"/>
      <c r="O67" s="19" t="n"/>
      <c r="P67" s="20" t="n"/>
      <c r="Q67" s="20" t="n"/>
      <c r="R67" s="20" t="n"/>
      <c r="S67" s="20" t="n"/>
      <c r="T67" s="20" t="n"/>
      <c r="U67" s="20" t="n"/>
      <c r="V67" s="20" t="n"/>
      <c r="W67" s="20" t="n"/>
      <c r="X67" s="20" t="n"/>
      <c r="Y67" s="19" t="n"/>
      <c r="Z67" s="20" t="n"/>
      <c r="AA67" s="20" t="n"/>
      <c r="AB67" s="20" t="n"/>
      <c r="AC67" s="20" t="n"/>
    </row>
    <row r="68">
      <c r="A68" s="13" t="inlineStr">
        <is>
          <t>OPM</t>
        </is>
      </c>
      <c r="B68" s="10" t="n"/>
      <c r="C68" s="14" t="n"/>
      <c r="D68" s="15" t="n"/>
      <c r="E68" s="15" t="n"/>
      <c r="F68" s="15" t="n"/>
      <c r="G68" s="15" t="n"/>
      <c r="H68" s="15" t="n"/>
      <c r="I68" s="15" t="n"/>
      <c r="J68" s="15" t="n"/>
      <c r="K68" s="15" t="n"/>
      <c r="L68" s="15" t="n"/>
      <c r="M68" s="15" t="n"/>
      <c r="N68" s="15" t="n"/>
      <c r="O68" s="14">
        <f>IF(O32="","",O32)</f>
        <v/>
      </c>
      <c r="P68" s="15">
        <f>IF(P32="","",P32)</f>
        <v/>
      </c>
      <c r="Q68" s="15">
        <f>IF(Q32="","",Q32)</f>
        <v/>
      </c>
      <c r="R68" s="15">
        <f>IF(R32="","",R32)</f>
        <v/>
      </c>
      <c r="S68" s="15">
        <f>IF(S32="","",S32)</f>
        <v/>
      </c>
      <c r="T68" s="15">
        <f>IF(T32="","",T32)</f>
        <v/>
      </c>
      <c r="U68" s="15">
        <f>IF(U32="","",U32)</f>
        <v/>
      </c>
      <c r="V68" s="15">
        <f>IF(V32="","",V32)</f>
        <v/>
      </c>
      <c r="W68" s="15">
        <f>IF(W32="","",W32)</f>
        <v/>
      </c>
      <c r="X68" s="15">
        <f>IF(X32="","",X32)</f>
        <v/>
      </c>
      <c r="Y68" s="14">
        <f>IF(Y32="","",Y32)</f>
        <v/>
      </c>
      <c r="Z68" s="15">
        <f>IF(Z32="","",Z32)</f>
        <v/>
      </c>
      <c r="AA68" s="15">
        <f>IF(AA32="","",AA32)</f>
        <v/>
      </c>
      <c r="AB68" s="15">
        <f>IF(AB32="","",AB32)</f>
        <v/>
      </c>
      <c r="AC68" s="15">
        <f>IF(AC32="","",AC32)</f>
        <v/>
      </c>
    </row>
    <row r="69">
      <c r="A69" s="13" t="inlineStr">
        <is>
          <t>지배주주 순이익 증가율</t>
        </is>
      </c>
      <c r="B69" s="10" t="n"/>
      <c r="C69" s="14" t="n"/>
      <c r="D69" s="15" t="n"/>
      <c r="E69" s="15" t="n"/>
      <c r="F69" s="15" t="n"/>
      <c r="G69" s="15" t="n"/>
      <c r="H69" s="15" t="n"/>
      <c r="I69" s="15" t="n"/>
      <c r="J69" s="15" t="n"/>
      <c r="K69" s="15" t="n"/>
      <c r="L69" s="15" t="n"/>
      <c r="M69" s="15" t="n"/>
      <c r="N69" s="15" t="n"/>
      <c r="O69" s="14" t="n"/>
      <c r="P69" s="15">
        <f>IF(OR(P61="",O61=""),"",IFERROR(P61/O61-1,""))</f>
        <v/>
      </c>
      <c r="Q69" s="15">
        <f>IF(OR(Q61="",P61=""),"",IFERROR(Q61/P61-1,""))</f>
        <v/>
      </c>
      <c r="R69" s="15">
        <f>IF(OR(R61="",Q61=""),"",IFERROR(R61/Q61-1,""))</f>
        <v/>
      </c>
      <c r="S69" s="15">
        <f>IF(OR(S61="",R61=""),"",IFERROR(S61/R61-1,""))</f>
        <v/>
      </c>
      <c r="T69" s="15">
        <f>IF(OR(T61="",S61=""),"",IFERROR(T61/S61-1,""))</f>
        <v/>
      </c>
      <c r="U69" s="15">
        <f>IF(OR(U61="",T61=""),"",IFERROR(U61/T61-1,""))</f>
        <v/>
      </c>
      <c r="V69" s="15">
        <f>IF(OR(V61="",U61=""),"",IFERROR(V61/U61-1,""))</f>
        <v/>
      </c>
      <c r="W69" s="15">
        <f>IF(OR(W61="",V61=""),"",IFERROR(W61/V61-1,""))</f>
        <v/>
      </c>
      <c r="X69" s="15">
        <f>IF(OR(X61="",W61=""),"",IFERROR(X61/W61-1,""))</f>
        <v/>
      </c>
      <c r="Y69" s="14">
        <f>IF(OR(Y61="",X61=""),"",IFERROR(Y61/X61-1,""))</f>
        <v/>
      </c>
      <c r="Z69" s="15">
        <f>IF(OR(Z61="",Y61=""),"",IFERROR(Z61/Y61-1,""))</f>
        <v/>
      </c>
      <c r="AA69" s="15">
        <f>IF(OR(AA61="",Z61=""),"",IFERROR(AA61/Z61-1,""))</f>
        <v/>
      </c>
      <c r="AB69" s="15">
        <f>IF(OR(AB61="",AA61=""),"",IFERROR(AB61/AA61-1,""))</f>
        <v/>
      </c>
      <c r="AC69" s="15">
        <f>IF(OR(AC61="",AB61=""),"",IFERROR(AC61/AB61-1,""))</f>
        <v/>
      </c>
    </row>
    <row r="70">
      <c r="A70" s="18" t="inlineStr">
        <is>
          <t>P/E (현재 주가)</t>
        </is>
      </c>
      <c r="B70" s="10" t="inlineStr">
        <is>
          <t>시총 ÷ 지배순이익</t>
        </is>
      </c>
      <c r="C70" s="30" t="n"/>
      <c r="D70" s="31" t="n"/>
      <c r="E70" s="31" t="n"/>
      <c r="F70" s="31" t="n"/>
      <c r="G70" s="31" t="n"/>
      <c r="H70" s="31" t="n"/>
      <c r="I70" s="31" t="n"/>
      <c r="J70" s="31" t="n"/>
      <c r="K70" s="31" t="n"/>
      <c r="L70" s="31" t="n"/>
      <c r="M70" s="31" t="n"/>
      <c r="N70" s="31" t="n"/>
      <c r="O70" s="30" t="n"/>
      <c r="P70" s="31" t="n"/>
      <c r="Q70" s="31" t="n"/>
      <c r="R70" s="31" t="n"/>
      <c r="S70" s="31" t="n"/>
      <c r="T70" s="31" t="n"/>
      <c r="U70" s="31" t="n"/>
      <c r="V70" s="31" t="n"/>
      <c r="W70" s="31" t="n"/>
      <c r="X70" s="31">
        <f>IF(OR($B$67="",X61=""),"",IFERROR($B$67/X61,""))</f>
        <v/>
      </c>
      <c r="Y70" s="30">
        <f>IF(OR($B$67="",Y61=""),"",IFERROR($B$67/Y61,""))</f>
        <v/>
      </c>
      <c r="Z70" s="31">
        <f>IF(OR($B$67="",Z61=""),"",IFERROR($B$67/Z61,""))</f>
        <v/>
      </c>
      <c r="AA70" s="31">
        <f>IF(OR($B$67="",AA61=""),"",IFERROR($B$67/AA61,""))</f>
        <v/>
      </c>
      <c r="AB70" s="31">
        <f>IF(OR($B$67="",AB61=""),"",IFERROR($B$67/AB61,""))</f>
        <v/>
      </c>
      <c r="AC70" s="31">
        <f>IF(OR($B$67="",AC61=""),"",IFERROR($B$67/AC61,""))</f>
        <v/>
      </c>
    </row>
    <row r="71">
      <c r="A71" s="18" t="inlineStr">
        <is>
          <t>Target P/E</t>
        </is>
      </c>
      <c r="B71" s="10" t="inlineStr">
        <is>
          <t>직접 입력</t>
        </is>
      </c>
      <c r="C71" s="30" t="n"/>
      <c r="D71" s="31" t="n"/>
      <c r="E71" s="31" t="n"/>
      <c r="F71" s="31" t="n"/>
      <c r="G71" s="31" t="n"/>
      <c r="H71" s="31" t="n"/>
      <c r="I71" s="31" t="n"/>
      <c r="J71" s="31" t="n"/>
      <c r="K71" s="31" t="n"/>
      <c r="L71" s="31" t="n"/>
      <c r="M71" s="31" t="n"/>
      <c r="N71" s="31" t="n"/>
      <c r="O71" s="30" t="n"/>
      <c r="P71" s="31" t="n"/>
      <c r="Q71" s="31" t="n"/>
      <c r="R71" s="31" t="n"/>
      <c r="S71" s="31" t="n"/>
      <c r="T71" s="31" t="n"/>
      <c r="U71" s="31" t="n"/>
      <c r="V71" s="31" t="n"/>
      <c r="W71" s="31" t="n"/>
      <c r="X71" s="31" t="n"/>
      <c r="Y71" s="32" t="n"/>
      <c r="Z71" s="33" t="n"/>
      <c r="AA71" s="33" t="n"/>
      <c r="AB71" s="33" t="n"/>
      <c r="AC71" s="33" t="n"/>
    </row>
    <row r="72">
      <c r="A72" s="18" t="inlineStr">
        <is>
          <t>EPS</t>
        </is>
      </c>
      <c r="B72" s="10" t="inlineStr">
        <is>
          <t>지배순이익 ÷ 주식수</t>
        </is>
      </c>
      <c r="C72" s="28" t="n"/>
      <c r="D72" s="29" t="n"/>
      <c r="E72" s="29" t="n"/>
      <c r="F72" s="29" t="n"/>
      <c r="G72" s="29" t="n"/>
      <c r="H72" s="29" t="n"/>
      <c r="I72" s="29" t="n"/>
      <c r="J72" s="29" t="n"/>
      <c r="K72" s="29" t="n"/>
      <c r="L72" s="29" t="n"/>
      <c r="M72" s="29" t="n"/>
      <c r="N72" s="29" t="n"/>
      <c r="O72" s="28">
        <f>IF(OR(O61="",$B$66=""),"",IFERROR(O61*1000000.0/$B$66,""))</f>
        <v/>
      </c>
      <c r="P72" s="29">
        <f>IF(OR(P61="",$B$66=""),"",IFERROR(P61*1000000.0/$B$66,""))</f>
        <v/>
      </c>
      <c r="Q72" s="29">
        <f>IF(OR(Q61="",$B$66=""),"",IFERROR(Q61*1000000.0/$B$66,""))</f>
        <v/>
      </c>
      <c r="R72" s="29">
        <f>IF(OR(R61="",$B$66=""),"",IFERROR(R61*1000000.0/$B$66,""))</f>
        <v/>
      </c>
      <c r="S72" s="29">
        <f>IF(OR(S61="",$B$66=""),"",IFERROR(S61*1000000.0/$B$66,""))</f>
        <v/>
      </c>
      <c r="T72" s="29">
        <f>IF(OR(T61="",$B$66=""),"",IFERROR(T61*1000000.0/$B$66,""))</f>
        <v/>
      </c>
      <c r="U72" s="29">
        <f>IF(OR(U61="",$B$66=""),"",IFERROR(U61*1000000.0/$B$66,""))</f>
        <v/>
      </c>
      <c r="V72" s="29">
        <f>IF(OR(V61="",$B$66=""),"",IFERROR(V61*1000000.0/$B$66,""))</f>
        <v/>
      </c>
      <c r="W72" s="29">
        <f>IF(OR(W61="",$B$66=""),"",IFERROR(W61*1000000.0/$B$66,""))</f>
        <v/>
      </c>
      <c r="X72" s="29">
        <f>IF(OR(X61="",$B$66=""),"",IFERROR(X61*1000000.0/$B$66,""))</f>
        <v/>
      </c>
      <c r="Y72" s="28">
        <f>IF(OR(Y61="",$B$66=""),"",IFERROR(Y61*1000000.0/$B$66,""))</f>
        <v/>
      </c>
      <c r="Z72" s="29">
        <f>IF(OR(Z61="",$B$66=""),"",IFERROR(Z61*1000000.0/$B$66,""))</f>
        <v/>
      </c>
      <c r="AA72" s="29">
        <f>IF(OR(AA61="",$B$66=""),"",IFERROR(AA61*1000000.0/$B$66,""))</f>
        <v/>
      </c>
      <c r="AB72" s="29">
        <f>IF(OR(AB61="",$B$66=""),"",IFERROR(AB61*1000000.0/$B$66,""))</f>
        <v/>
      </c>
      <c r="AC72" s="29">
        <f>IF(OR(AC61="",$B$66=""),"",IFERROR(AC61*1000000.0/$B$66,""))</f>
        <v/>
      </c>
    </row>
    <row r="73">
      <c r="A73" s="9" t="inlineStr">
        <is>
          <t>목표주가</t>
        </is>
      </c>
      <c r="B73" s="10" t="n"/>
      <c r="C73" s="34" t="n"/>
      <c r="D73" s="27" t="n"/>
      <c r="E73" s="27" t="n"/>
      <c r="F73" s="27" t="n"/>
      <c r="G73" s="27" t="n"/>
      <c r="H73" s="27" t="n"/>
      <c r="I73" s="27" t="n"/>
      <c r="J73" s="27" t="n"/>
      <c r="K73" s="27" t="n"/>
      <c r="L73" s="27" t="n"/>
      <c r="M73" s="27" t="n"/>
      <c r="N73" s="27" t="n"/>
      <c r="O73" s="34" t="n"/>
      <c r="P73" s="27" t="n"/>
      <c r="Q73" s="27" t="n"/>
      <c r="R73" s="27" t="n"/>
      <c r="S73" s="27" t="n"/>
      <c r="T73" s="27" t="n"/>
      <c r="U73" s="27" t="n"/>
      <c r="V73" s="27" t="n"/>
      <c r="W73" s="27" t="n"/>
      <c r="X73" s="27" t="n"/>
      <c r="Y73" s="34">
        <f>IF(OR(Y72="",Y71=""),"",IFERROR(Y72*Y71,""))</f>
        <v/>
      </c>
      <c r="Z73" s="27">
        <f>IF(OR(Z72="",Z71=""),"",IFERROR(Z72*Z71,""))</f>
        <v/>
      </c>
      <c r="AA73" s="27">
        <f>IF(OR(AA72="",AA71=""),"",IFERROR(AA72*AA71,""))</f>
        <v/>
      </c>
      <c r="AB73" s="27">
        <f>IF(OR(AB72="",AB71=""),"",IFERROR(AB72*AB71,""))</f>
        <v/>
      </c>
      <c r="AC73" s="27">
        <f>IF(OR(AC72="",AC71=""),"",IFERROR(AC72*AC71,""))</f>
        <v/>
      </c>
    </row>
    <row r="74">
      <c r="A74" s="18" t="inlineStr">
        <is>
          <t>상승여력</t>
        </is>
      </c>
      <c r="B74" s="10" t="n"/>
      <c r="C74" s="35" t="n"/>
      <c r="D74" s="36" t="n"/>
      <c r="E74" s="36" t="n"/>
      <c r="F74" s="36" t="n"/>
      <c r="G74" s="36" t="n"/>
      <c r="H74" s="36" t="n"/>
      <c r="I74" s="36" t="n"/>
      <c r="J74" s="36" t="n"/>
      <c r="K74" s="36" t="n"/>
      <c r="L74" s="36" t="n"/>
      <c r="M74" s="36" t="n"/>
      <c r="N74" s="36" t="n"/>
      <c r="O74" s="35" t="n"/>
      <c r="P74" s="36" t="n"/>
      <c r="Q74" s="36" t="n"/>
      <c r="R74" s="36" t="n"/>
      <c r="S74" s="36" t="n"/>
      <c r="T74" s="36" t="n"/>
      <c r="U74" s="36" t="n"/>
      <c r="V74" s="36" t="n"/>
      <c r="W74" s="36" t="n"/>
      <c r="X74" s="36" t="n"/>
      <c r="Y74" s="37">
        <f>IF(OR(Y73="",$B$65=""),"",IFERROR(Y73/$B$65-1,""))</f>
        <v/>
      </c>
      <c r="Z74" s="38">
        <f>IF(OR(Z73="",$B$65=""),"",IFERROR(Z73/$B$65-1,""))</f>
        <v/>
      </c>
      <c r="AA74" s="38">
        <f>IF(OR(AA73="",$B$65=""),"",IFERROR(AA73/$B$65-1,""))</f>
        <v/>
      </c>
      <c r="AB74" s="38">
        <f>IF(OR(AB73="",$B$65=""),"",IFERROR(AB73/$B$65-1,""))</f>
        <v/>
      </c>
      <c r="AC74" s="38">
        <f>IF(OR(AC73="",$B$65=""),"",IFERROR(AC73/$B$65-1,""))</f>
        <v/>
      </c>
    </row>
    <row r="75">
      <c r="A75" s="16" t="inlineStr">
        <is>
          <t>자산가치 산출</t>
        </is>
      </c>
      <c r="B75" s="16" t="inlineStr">
        <is>
          <t>최신 분기 BS</t>
        </is>
      </c>
      <c r="C75" s="17" t="n"/>
      <c r="D75" s="16" t="n"/>
      <c r="E75" s="16" t="n"/>
      <c r="F75" s="16" t="n"/>
      <c r="G75" s="16" t="n"/>
      <c r="H75" s="16" t="n"/>
      <c r="I75" s="16" t="n"/>
      <c r="J75" s="16" t="n"/>
      <c r="K75" s="16" t="n"/>
      <c r="L75" s="16" t="n"/>
      <c r="M75" s="16" t="n"/>
      <c r="N75" s="16" t="n"/>
      <c r="O75" s="17" t="n"/>
      <c r="P75" s="16" t="n"/>
      <c r="Q75" s="16" t="n"/>
      <c r="R75" s="16" t="n"/>
      <c r="S75" s="16" t="n"/>
      <c r="T75" s="16" t="n"/>
      <c r="U75" s="16" t="n"/>
      <c r="V75" s="16" t="n"/>
      <c r="W75" s="16" t="n"/>
      <c r="X75" s="16" t="n"/>
      <c r="Y75" s="17" t="n"/>
      <c r="Z75" s="16" t="n"/>
      <c r="AA75" s="16" t="n"/>
      <c r="AB75" s="16" t="n"/>
      <c r="AC75" s="16" t="n"/>
    </row>
    <row r="76">
      <c r="A76" s="18" t="inlineStr">
        <is>
          <t>현금및현금성자산</t>
        </is>
      </c>
      <c r="B76" s="10" t="n"/>
      <c r="C76" s="19" t="n"/>
      <c r="D76" s="20" t="n"/>
      <c r="E76" s="20" t="n"/>
      <c r="F76" s="20" t="n"/>
      <c r="G76" s="20" t="n"/>
      <c r="H76" s="20" t="n"/>
      <c r="I76" s="20" t="n"/>
      <c r="J76" s="20" t="n"/>
      <c r="K76" s="20" t="n"/>
      <c r="L76" s="20" t="n"/>
      <c r="M76" s="20" t="n"/>
      <c r="N76" s="20" t="n"/>
      <c r="O76" s="19" t="n"/>
      <c r="P76" s="20" t="n"/>
      <c r="Q76" s="20" t="n"/>
      <c r="R76" s="20" t="n"/>
      <c r="S76" s="20" t="n"/>
      <c r="T76" s="20" t="n"/>
      <c r="U76" s="20" t="n"/>
      <c r="V76" s="20" t="n"/>
      <c r="W76" s="20" t="n"/>
      <c r="X76" s="20">
        <f>'재무상태표'!G6</f>
        <v/>
      </c>
      <c r="Y76" s="19">
        <f>'재무상태표'!G6</f>
        <v/>
      </c>
      <c r="Z76" s="20">
        <f>'재무상태표'!G6</f>
        <v/>
      </c>
      <c r="AA76" s="20">
        <f>'재무상태표'!G6</f>
        <v/>
      </c>
      <c r="AB76" s="20">
        <f>'재무상태표'!G6</f>
        <v/>
      </c>
      <c r="AC76" s="20">
        <f>'재무상태표'!G6</f>
        <v/>
      </c>
    </row>
    <row r="77">
      <c r="A77" s="18" t="inlineStr">
        <is>
          <t>단기금융상품</t>
        </is>
      </c>
      <c r="B77" s="10" t="n"/>
      <c r="C77" s="19" t="n"/>
      <c r="D77" s="20" t="n"/>
      <c r="E77" s="20" t="n"/>
      <c r="F77" s="20" t="n"/>
      <c r="G77" s="20" t="n"/>
      <c r="H77" s="20" t="n"/>
      <c r="I77" s="20" t="n"/>
      <c r="J77" s="20" t="n"/>
      <c r="K77" s="20" t="n"/>
      <c r="L77" s="20" t="n"/>
      <c r="M77" s="20" t="n"/>
      <c r="N77" s="20" t="n"/>
      <c r="O77" s="19" t="n"/>
      <c r="P77" s="20" t="n"/>
      <c r="Q77" s="20" t="n"/>
      <c r="R77" s="20" t="n"/>
      <c r="S77" s="20" t="n"/>
      <c r="T77" s="20" t="n"/>
      <c r="U77" s="20" t="n"/>
      <c r="V77" s="20" t="n"/>
      <c r="W77" s="20" t="n"/>
      <c r="X77" s="20">
        <f>'재무상태표'!G7</f>
        <v/>
      </c>
      <c r="Y77" s="19">
        <f>'재무상태표'!G7</f>
        <v/>
      </c>
      <c r="Z77" s="20">
        <f>'재무상태표'!G7</f>
        <v/>
      </c>
      <c r="AA77" s="20">
        <f>'재무상태표'!G7</f>
        <v/>
      </c>
      <c r="AB77" s="20">
        <f>'재무상태표'!G7</f>
        <v/>
      </c>
      <c r="AC77" s="20">
        <f>'재무상태표'!G7</f>
        <v/>
      </c>
    </row>
    <row r="78">
      <c r="A78" s="18" t="inlineStr">
        <is>
          <t>투자부동산</t>
        </is>
      </c>
      <c r="B78" s="10" t="n"/>
      <c r="C78" s="19" t="n"/>
      <c r="D78" s="20" t="n"/>
      <c r="E78" s="20" t="n"/>
      <c r="F78" s="20" t="n"/>
      <c r="G78" s="20" t="n"/>
      <c r="H78" s="20" t="n"/>
      <c r="I78" s="20" t="n"/>
      <c r="J78" s="20" t="n"/>
      <c r="K78" s="20" t="n"/>
      <c r="L78" s="20" t="n"/>
      <c r="M78" s="20" t="n"/>
      <c r="N78" s="20" t="n"/>
      <c r="O78" s="19" t="n"/>
      <c r="P78" s="20" t="n"/>
      <c r="Q78" s="20" t="n"/>
      <c r="R78" s="20" t="n"/>
      <c r="S78" s="20" t="n"/>
      <c r="T78" s="20" t="n"/>
      <c r="U78" s="20" t="n"/>
      <c r="V78" s="20" t="n"/>
      <c r="W78" s="20" t="n"/>
      <c r="X78" s="20">
        <f>'재무상태표'!G14</f>
        <v/>
      </c>
      <c r="Y78" s="19">
        <f>'재무상태표'!G14</f>
        <v/>
      </c>
      <c r="Z78" s="20">
        <f>'재무상태표'!G14</f>
        <v/>
      </c>
      <c r="AA78" s="20">
        <f>'재무상태표'!G14</f>
        <v/>
      </c>
      <c r="AB78" s="20">
        <f>'재무상태표'!G14</f>
        <v/>
      </c>
      <c r="AC78" s="20">
        <f>'재무상태표'!G14</f>
        <v/>
      </c>
    </row>
    <row r="79">
      <c r="A79" s="18" t="inlineStr">
        <is>
          <t>지배자본</t>
        </is>
      </c>
      <c r="B79" s="10" t="n"/>
      <c r="C79" s="19" t="n"/>
      <c r="D79" s="20" t="n"/>
      <c r="E79" s="20" t="n"/>
      <c r="F79" s="20" t="n"/>
      <c r="G79" s="20" t="n"/>
      <c r="H79" s="20" t="n"/>
      <c r="I79" s="20" t="n"/>
      <c r="J79" s="20" t="n"/>
      <c r="K79" s="20" t="n"/>
      <c r="L79" s="20" t="n"/>
      <c r="M79" s="20" t="n"/>
      <c r="N79" s="20" t="n"/>
      <c r="O79" s="19" t="n"/>
      <c r="P79" s="20" t="n"/>
      <c r="Q79" s="20" t="n"/>
      <c r="R79" s="20" t="n"/>
      <c r="S79" s="20" t="n"/>
      <c r="T79" s="20" t="n"/>
      <c r="U79" s="20" t="n"/>
      <c r="V79" s="20" t="n"/>
      <c r="W79" s="20" t="n"/>
      <c r="X79" s="20">
        <f>'재무상태표'!G31</f>
        <v/>
      </c>
      <c r="Y79" s="19">
        <f>'재무상태표'!G31</f>
        <v/>
      </c>
      <c r="Z79" s="20">
        <f>'재무상태표'!G31</f>
        <v/>
      </c>
      <c r="AA79" s="20">
        <f>'재무상태표'!G31</f>
        <v/>
      </c>
      <c r="AB79" s="20">
        <f>'재무상태표'!G31</f>
        <v/>
      </c>
      <c r="AC79" s="20">
        <f>'재무상태표'!G31</f>
        <v/>
      </c>
    </row>
    <row r="80">
      <c r="A80" s="18" t="inlineStr">
        <is>
          <t>부채</t>
        </is>
      </c>
      <c r="B80" s="10" t="n"/>
      <c r="C80" s="19" t="n"/>
      <c r="D80" s="20" t="n"/>
      <c r="E80" s="20" t="n"/>
      <c r="F80" s="20" t="n"/>
      <c r="G80" s="20" t="n"/>
      <c r="H80" s="20" t="n"/>
      <c r="I80" s="20" t="n"/>
      <c r="J80" s="20" t="n"/>
      <c r="K80" s="20" t="n"/>
      <c r="L80" s="20" t="n"/>
      <c r="M80" s="20" t="n"/>
      <c r="N80" s="20" t="n"/>
      <c r="O80" s="19" t="n"/>
      <c r="P80" s="20" t="n"/>
      <c r="Q80" s="20" t="n"/>
      <c r="R80" s="20" t="n"/>
      <c r="S80" s="20" t="n"/>
      <c r="T80" s="20" t="n"/>
      <c r="U80" s="20" t="n"/>
      <c r="V80" s="20" t="n"/>
      <c r="W80" s="20" t="n"/>
      <c r="X80" s="20">
        <f>'재무상태표'!G27</f>
        <v/>
      </c>
      <c r="Y80" s="19">
        <f>'재무상태표'!G27</f>
        <v/>
      </c>
      <c r="Z80" s="20">
        <f>'재무상태표'!G27</f>
        <v/>
      </c>
      <c r="AA80" s="20">
        <f>'재무상태표'!G27</f>
        <v/>
      </c>
      <c r="AB80" s="20">
        <f>'재무상태표'!G27</f>
        <v/>
      </c>
      <c r="AC80" s="20">
        <f>'재무상태표'!G27</f>
        <v/>
      </c>
    </row>
    <row r="81">
      <c r="A81" s="13" t="inlineStr">
        <is>
          <t>부채비율</t>
        </is>
      </c>
      <c r="B81" s="10" t="n"/>
      <c r="C81" s="14" t="n"/>
      <c r="D81" s="15" t="n"/>
      <c r="E81" s="15" t="n"/>
      <c r="F81" s="15" t="n"/>
      <c r="G81" s="15" t="n"/>
      <c r="H81" s="15" t="n"/>
      <c r="I81" s="15" t="n"/>
      <c r="J81" s="15" t="n"/>
      <c r="K81" s="15" t="n"/>
      <c r="L81" s="15" t="n"/>
      <c r="M81" s="15" t="n"/>
      <c r="N81" s="15" t="n"/>
      <c r="O81" s="14" t="n"/>
      <c r="P81" s="15" t="n"/>
      <c r="Q81" s="15" t="n"/>
      <c r="R81" s="15" t="n"/>
      <c r="S81" s="15" t="n"/>
      <c r="T81" s="15" t="n"/>
      <c r="U81" s="15" t="n"/>
      <c r="V81" s="15" t="n"/>
      <c r="W81" s="15" t="n"/>
      <c r="X81" s="15">
        <f>IF(OR(X80="",X79=""),"",IFERROR(X80/X79,""))</f>
        <v/>
      </c>
      <c r="Y81" s="14">
        <f>IF(OR(Y80="",Y79=""),"",IFERROR(Y80/Y79,""))</f>
        <v/>
      </c>
      <c r="Z81" s="15">
        <f>IF(OR(Z80="",Z79=""),"",IFERROR(Z80/Z79,""))</f>
        <v/>
      </c>
      <c r="AA81" s="15">
        <f>IF(OR(AA80="",AA79=""),"",IFERROR(AA80/AA79,""))</f>
        <v/>
      </c>
      <c r="AB81" s="15">
        <f>IF(OR(AB80="",AB79=""),"",IFERROR(AB80/AB79,""))</f>
        <v/>
      </c>
      <c r="AC81" s="15">
        <f>IF(OR(AC80="",AC79=""),"",IFERROR(AC80/AC79,""))</f>
        <v/>
      </c>
    </row>
    <row r="82">
      <c r="A82" s="9" t="inlineStr">
        <is>
          <t>자산가치</t>
        </is>
      </c>
      <c r="B82" s="10" t="inlineStr">
        <is>
          <t>현금+단기금융+투자부동산</t>
        </is>
      </c>
      <c r="C82" s="11" t="n"/>
      <c r="D82" s="12" t="n"/>
      <c r="E82" s="12" t="n"/>
      <c r="F82" s="12" t="n"/>
      <c r="G82" s="12" t="n"/>
      <c r="H82" s="12" t="n"/>
      <c r="I82" s="12" t="n"/>
      <c r="J82" s="12" t="n"/>
      <c r="K82" s="12" t="n"/>
      <c r="L82" s="12" t="n"/>
      <c r="M82" s="12" t="n"/>
      <c r="N82" s="12" t="n"/>
      <c r="O82" s="11" t="n"/>
      <c r="P82" s="12" t="n"/>
      <c r="Q82" s="12" t="n"/>
      <c r="R82" s="12" t="n"/>
      <c r="S82" s="12" t="n"/>
      <c r="T82" s="12" t="n"/>
      <c r="U82" s="12" t="n"/>
      <c r="V82" s="12" t="n"/>
      <c r="W82" s="12" t="n"/>
      <c r="X82" s="12">
        <f>SUM(X76,X77,X78)</f>
        <v/>
      </c>
      <c r="Y82" s="11">
        <f>SUM(Y76,Y77,Y78)</f>
        <v/>
      </c>
      <c r="Z82" s="12">
        <f>SUM(Z76,Z77,Z78)</f>
        <v/>
      </c>
      <c r="AA82" s="12">
        <f>SUM(AA76,AA77,AA78)</f>
        <v/>
      </c>
      <c r="AB82" s="12">
        <f>SUM(AB76,AB77,AB78)</f>
        <v/>
      </c>
      <c r="AC82" s="12">
        <f>SUM(AC76,AC77,AC78)</f>
        <v/>
      </c>
    </row>
    <row r="83">
      <c r="A83" s="16" t="inlineStr">
        <is>
          <t>기업가치 산출</t>
        </is>
      </c>
      <c r="B83" s="16" t="n"/>
      <c r="C83" s="17" t="n"/>
      <c r="D83" s="16" t="n"/>
      <c r="E83" s="16" t="n"/>
      <c r="F83" s="16" t="n"/>
      <c r="G83" s="16" t="n"/>
      <c r="H83" s="16" t="n"/>
      <c r="I83" s="16" t="n"/>
      <c r="J83" s="16" t="n"/>
      <c r="K83" s="16" t="n"/>
      <c r="L83" s="16" t="n"/>
      <c r="M83" s="16" t="n"/>
      <c r="N83" s="16" t="n"/>
      <c r="O83" s="17" t="n"/>
      <c r="P83" s="16" t="n"/>
      <c r="Q83" s="16" t="n"/>
      <c r="R83" s="16" t="n"/>
      <c r="S83" s="16" t="n"/>
      <c r="T83" s="16" t="n"/>
      <c r="U83" s="16" t="n"/>
      <c r="V83" s="16" t="n"/>
      <c r="W83" s="16" t="n"/>
      <c r="X83" s="16" t="n"/>
      <c r="Y83" s="17" t="n"/>
      <c r="Z83" s="16" t="n"/>
      <c r="AA83" s="16" t="n"/>
      <c r="AB83" s="16" t="n"/>
      <c r="AC83" s="16" t="n"/>
    </row>
    <row r="84">
      <c r="A84" s="18" t="inlineStr">
        <is>
          <t>목표 시가총액 (P/E)</t>
        </is>
      </c>
      <c r="B84" s="10" t="inlineStr">
        <is>
          <t>지배순이익 × Target P/E</t>
        </is>
      </c>
      <c r="C84" s="19" t="n"/>
      <c r="D84" s="20" t="n"/>
      <c r="E84" s="20" t="n"/>
      <c r="F84" s="20" t="n"/>
      <c r="G84" s="20" t="n"/>
      <c r="H84" s="20" t="n"/>
      <c r="I84" s="20" t="n"/>
      <c r="J84" s="20" t="n"/>
      <c r="K84" s="20" t="n"/>
      <c r="L84" s="20" t="n"/>
      <c r="M84" s="20" t="n"/>
      <c r="N84" s="20" t="n"/>
      <c r="O84" s="19" t="n"/>
      <c r="P84" s="20" t="n"/>
      <c r="Q84" s="20" t="n"/>
      <c r="R84" s="20" t="n"/>
      <c r="S84" s="20" t="n"/>
      <c r="T84" s="20" t="n"/>
      <c r="U84" s="20" t="n"/>
      <c r="V84" s="20" t="n"/>
      <c r="W84" s="20" t="n"/>
      <c r="X84" s="20" t="n"/>
      <c r="Y84" s="19">
        <f>IF(OR(Y61="",Y71=""),"",IFERROR(Y61*Y71,""))</f>
        <v/>
      </c>
      <c r="Z84" s="20">
        <f>IF(OR(Z61="",Z71=""),"",IFERROR(Z61*Z71,""))</f>
        <v/>
      </c>
      <c r="AA84" s="20">
        <f>IF(OR(AA61="",AA71=""),"",IFERROR(AA61*AA71,""))</f>
        <v/>
      </c>
      <c r="AB84" s="20">
        <f>IF(OR(AB61="",AB71=""),"",IFERROR(AB61*AB71,""))</f>
        <v/>
      </c>
      <c r="AC84" s="20">
        <f>IF(OR(AC61="",AC71=""),"",IFERROR(AC61*AC71,""))</f>
        <v/>
      </c>
    </row>
    <row r="85">
      <c r="A85" s="9" t="inlineStr">
        <is>
          <t>기업가치</t>
        </is>
      </c>
      <c r="B85" s="10" t="inlineStr">
        <is>
          <t>목표시총 + 자산가치</t>
        </is>
      </c>
      <c r="C85" s="11" t="n"/>
      <c r="D85" s="12" t="n"/>
      <c r="E85" s="12" t="n"/>
      <c r="F85" s="12" t="n"/>
      <c r="G85" s="12" t="n"/>
      <c r="H85" s="12" t="n"/>
      <c r="I85" s="12" t="n"/>
      <c r="J85" s="12" t="n"/>
      <c r="K85" s="12" t="n"/>
      <c r="L85" s="12" t="n"/>
      <c r="M85" s="12" t="n"/>
      <c r="N85" s="12" t="n"/>
      <c r="O85" s="11" t="n"/>
      <c r="P85" s="12" t="n"/>
      <c r="Q85" s="12" t="n"/>
      <c r="R85" s="12" t="n"/>
      <c r="S85" s="12" t="n"/>
      <c r="T85" s="12" t="n"/>
      <c r="U85" s="12" t="n"/>
      <c r="V85" s="12" t="n"/>
      <c r="W85" s="12" t="n"/>
      <c r="X85" s="12" t="n"/>
      <c r="Y85" s="11">
        <f>IF(OR(Y84=""),"",IFERROR(Y84+Y82,""))</f>
        <v/>
      </c>
      <c r="Z85" s="12">
        <f>IF(OR(Z84=""),"",IFERROR(Z84+Z82,""))</f>
        <v/>
      </c>
      <c r="AA85" s="12">
        <f>IF(OR(AA84=""),"",IFERROR(AA84+AA82,""))</f>
        <v/>
      </c>
      <c r="AB85" s="12">
        <f>IF(OR(AB84=""),"",IFERROR(AB84+AB82,""))</f>
        <v/>
      </c>
      <c r="AC85" s="12">
        <f>IF(OR(AC84=""),"",IFERROR(AC84+AC82,""))</f>
        <v/>
      </c>
    </row>
    <row r="86">
      <c r="A86" s="18" t="inlineStr">
        <is>
          <t>현재 시가총액</t>
        </is>
      </c>
      <c r="B86" s="10" t="n"/>
      <c r="C86" s="19" t="n"/>
      <c r="D86" s="20" t="n"/>
      <c r="E86" s="20" t="n"/>
      <c r="F86" s="20" t="n"/>
      <c r="G86" s="20" t="n"/>
      <c r="H86" s="20" t="n"/>
      <c r="I86" s="20" t="n"/>
      <c r="J86" s="20" t="n"/>
      <c r="K86" s="20" t="n"/>
      <c r="L86" s="20" t="n"/>
      <c r="M86" s="20" t="n"/>
      <c r="N86" s="20" t="n"/>
      <c r="O86" s="19" t="n"/>
      <c r="P86" s="20" t="n"/>
      <c r="Q86" s="20" t="n"/>
      <c r="R86" s="20" t="n"/>
      <c r="S86" s="20" t="n"/>
      <c r="T86" s="20" t="n"/>
      <c r="U86" s="20" t="n"/>
      <c r="V86" s="20" t="n"/>
      <c r="W86" s="20" t="n"/>
      <c r="X86" s="20" t="n"/>
      <c r="Y86" s="19">
        <f>$B$67</f>
        <v/>
      </c>
      <c r="Z86" s="20">
        <f>$B$67</f>
        <v/>
      </c>
      <c r="AA86" s="20">
        <f>$B$67</f>
        <v/>
      </c>
      <c r="AB86" s="20">
        <f>$B$67</f>
        <v/>
      </c>
      <c r="AC86" s="20">
        <f>$B$67</f>
        <v/>
      </c>
    </row>
    <row r="87">
      <c r="A87" s="18" t="inlineStr">
        <is>
          <t>상승여력</t>
        </is>
      </c>
      <c r="B87" s="10" t="n"/>
      <c r="C87" s="35" t="n"/>
      <c r="D87" s="36" t="n"/>
      <c r="E87" s="36" t="n"/>
      <c r="F87" s="36" t="n"/>
      <c r="G87" s="36" t="n"/>
      <c r="H87" s="36" t="n"/>
      <c r="I87" s="36" t="n"/>
      <c r="J87" s="36" t="n"/>
      <c r="K87" s="36" t="n"/>
      <c r="L87" s="36" t="n"/>
      <c r="M87" s="36" t="n"/>
      <c r="N87" s="36" t="n"/>
      <c r="O87" s="35" t="n"/>
      <c r="P87" s="36" t="n"/>
      <c r="Q87" s="36" t="n"/>
      <c r="R87" s="36" t="n"/>
      <c r="S87" s="36" t="n"/>
      <c r="T87" s="36" t="n"/>
      <c r="U87" s="36" t="n"/>
      <c r="V87" s="36" t="n"/>
      <c r="W87" s="36" t="n"/>
      <c r="X87" s="36" t="n"/>
      <c r="Y87" s="37">
        <f>IF(OR(Y85="",Y86=""),"",IFERROR(Y85/Y86-1,""))</f>
        <v/>
      </c>
      <c r="Z87" s="38">
        <f>IF(OR(Z85="",Z86=""),"",IFERROR(Z85/Z86-1,""))</f>
        <v/>
      </c>
      <c r="AA87" s="38">
        <f>IF(OR(AA85="",AA86=""),"",IFERROR(AA85/AA86-1,""))</f>
        <v/>
      </c>
      <c r="AB87" s="38">
        <f>IF(OR(AB85="",AB86=""),"",IFERROR(AB85/AB86-1,""))</f>
        <v/>
      </c>
      <c r="AC87" s="38">
        <f>IF(OR(AC85="",AC86=""),"",IFERROR(AC85/AC86-1,""))</f>
        <v/>
      </c>
    </row>
    <row r="88">
      <c r="C88" s="39" t="n"/>
      <c r="O88" s="39" t="n"/>
      <c r="Y88" s="39" t="n"/>
    </row>
    <row r="89">
      <c r="A89" s="40" t="inlineStr">
        <is>
          <t>출처</t>
        </is>
      </c>
      <c r="C89" s="39" t="n"/>
      <c r="O89" s="39" t="n"/>
      <c r="Y89" s="39" t="n"/>
    </row>
    <row r="90">
      <c r="A90" s="41" t="inlineStr">
        <is>
          <t>결산단신 XBRL(TDnet·JPX 보관소) — 쓴 문서는 '출처' 시트</t>
        </is>
      </c>
      <c r="C90" s="39" t="n"/>
      <c r="O90" s="39" t="n"/>
      <c r="Y90" s="39" t="n"/>
    </row>
    <row r="91">
      <c r="A91" s="41" t="inlineStr">
        <is>
          <t>분기 = 누계에서 앞 분기를 뺀 3개월 값</t>
        </is>
      </c>
      <c r="C91" s="39" t="n"/>
      <c r="O91" s="39" t="n"/>
      <c r="Y91" s="39" t="n"/>
    </row>
    <row r="92">
      <c r="A92" s="41" t="inlineStr">
        <is>
          <t>주가: 야후 파이낸스 일봉 2026.10.28</t>
        </is>
      </c>
      <c r="C92" s="39" t="n"/>
      <c r="O92" s="39" t="n"/>
      <c r="Y92" s="39" t="n"/>
    </row>
    <row r="94">
      <c r="A94" s="16" t="inlineStr">
        <is>
          <t>손익계산서 · 전 항목</t>
        </is>
      </c>
      <c r="B94" s="42" t="inlineStr">
        <is>
          <t>분기 = 3개월 단독</t>
        </is>
      </c>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row>
    <row r="95">
      <c r="A95" s="5" t="inlineStr">
        <is>
          <t>항목</t>
        </is>
      </c>
      <c r="B95" s="5" t="inlineStr">
        <is>
          <t>참고</t>
        </is>
      </c>
      <c r="C95" s="5" t="inlineStr">
        <is>
          <t>2023.3Q</t>
        </is>
      </c>
      <c r="D95" s="5" t="inlineStr">
        <is>
          <t>2023.4Q</t>
        </is>
      </c>
      <c r="E95" s="5" t="inlineStr">
        <is>
          <t>2024.1Q</t>
        </is>
      </c>
      <c r="F95" s="5" t="inlineStr">
        <is>
          <t>2024.2Q</t>
        </is>
      </c>
      <c r="G95" s="5" t="inlineStr">
        <is>
          <t>2024.3Q</t>
        </is>
      </c>
      <c r="H95" s="5" t="inlineStr">
        <is>
          <t>2024.4Q</t>
        </is>
      </c>
      <c r="I95" s="5" t="inlineStr">
        <is>
          <t>2025.1Q</t>
        </is>
      </c>
      <c r="J95" s="5" t="inlineStr">
        <is>
          <t>2025.2Q</t>
        </is>
      </c>
      <c r="K95" s="5" t="inlineStr">
        <is>
          <t>2025.3Q</t>
        </is>
      </c>
      <c r="L95" s="5" t="inlineStr">
        <is>
          <t>2025.4Q</t>
        </is>
      </c>
      <c r="M95" s="5" t="inlineStr">
        <is>
          <t>2026.1Q</t>
        </is>
      </c>
      <c r="N95" s="5" t="inlineStr">
        <is>
          <t>2026.2Q</t>
        </is>
      </c>
      <c r="O95" s="5" t="inlineStr">
        <is>
          <t>2016</t>
        </is>
      </c>
      <c r="P95" s="5" t="inlineStr">
        <is>
          <t>2017</t>
        </is>
      </c>
      <c r="Q95" s="5" t="inlineStr">
        <is>
          <t>2018</t>
        </is>
      </c>
      <c r="R95" s="5" t="inlineStr">
        <is>
          <t>2019</t>
        </is>
      </c>
      <c r="S95" s="5" t="inlineStr">
        <is>
          <t>2020</t>
        </is>
      </c>
      <c r="T95" s="5" t="inlineStr">
        <is>
          <t>2021</t>
        </is>
      </c>
      <c r="U95" s="5" t="inlineStr">
        <is>
          <t>2022</t>
        </is>
      </c>
      <c r="V95" s="5" t="inlineStr">
        <is>
          <t>2023</t>
        </is>
      </c>
      <c r="W95" s="5" t="inlineStr">
        <is>
          <t>2024</t>
        </is>
      </c>
      <c r="X95" s="5" t="inlineStr">
        <is>
          <t>2025</t>
        </is>
      </c>
      <c r="Y95" s="5" t="inlineStr">
        <is>
          <t>2026(MW)</t>
        </is>
      </c>
      <c r="Z95" s="5" t="inlineStr">
        <is>
          <t>2027(MW)</t>
        </is>
      </c>
      <c r="AA95" s="5" t="inlineStr">
        <is>
          <t>2028(MW)</t>
        </is>
      </c>
      <c r="AB95" s="5" t="inlineStr">
        <is>
          <t>2029(MW)</t>
        </is>
      </c>
      <c r="AC95" s="5" t="inlineStr">
        <is>
          <t>2030(MW)</t>
        </is>
      </c>
    </row>
    <row r="96">
      <c r="A96" s="9" t="inlineStr">
        <is>
          <t>매출수익</t>
        </is>
      </c>
      <c r="C96" s="12" t="n">
        <v>59544</v>
      </c>
      <c r="D96" s="12" t="n">
        <v>59863</v>
      </c>
      <c r="E96" s="12" t="n">
        <v>67378</v>
      </c>
      <c r="F96" s="12" t="n">
        <v>80864</v>
      </c>
      <c r="G96" s="12" t="n">
        <v>78138</v>
      </c>
      <c r="H96" s="12" t="n">
        <v>80489</v>
      </c>
      <c r="I96" s="12" t="n">
        <v>67167</v>
      </c>
      <c r="J96" s="12" t="n">
        <v>71514</v>
      </c>
      <c r="K96" s="12" t="n">
        <v>77628</v>
      </c>
      <c r="L96" s="12" t="n">
        <v>77955</v>
      </c>
      <c r="M96" s="12" t="n">
        <v>67564</v>
      </c>
      <c r="N96" s="12" t="n">
        <v>76221</v>
      </c>
      <c r="U96" s="12" t="n">
        <v>55011</v>
      </c>
      <c r="V96" s="12" t="n">
        <v>59863</v>
      </c>
      <c r="W96" s="12" t="n">
        <v>80489</v>
      </c>
      <c r="X96" s="12" t="n">
        <v>77955</v>
      </c>
    </row>
    <row r="97">
      <c r="A97" s="43" t="inlineStr">
        <is>
          <t>YoY</t>
        </is>
      </c>
      <c r="B97" s="3" t="inlineStr">
        <is>
          <t>전년 같은 분기·전년 대비</t>
        </is>
      </c>
      <c r="G97" s="15">
        <f>IF(OR(G96="",C96=""),"",IF(C96&lt;=0,"",IFERROR(G96/C96-1,"")))</f>
        <v/>
      </c>
      <c r="H97" s="15">
        <f>IF(OR(H96="",D96=""),"",IF(D96&lt;=0,"",IFERROR(H96/D96-1,"")))</f>
        <v/>
      </c>
      <c r="I97" s="15">
        <f>IF(OR(I96="",E96=""),"",IF(E96&lt;=0,"",IFERROR(I96/E96-1,"")))</f>
        <v/>
      </c>
      <c r="J97" s="15">
        <f>IF(OR(J96="",F96=""),"",IF(F96&lt;=0,"",IFERROR(J96/F96-1,"")))</f>
        <v/>
      </c>
      <c r="K97" s="15">
        <f>IF(OR(K96="",G96=""),"",IF(G96&lt;=0,"",IFERROR(K96/G96-1,"")))</f>
        <v/>
      </c>
      <c r="L97" s="15">
        <f>IF(OR(L96="",H96=""),"",IF(H96&lt;=0,"",IFERROR(L96/H96-1,"")))</f>
        <v/>
      </c>
      <c r="M97" s="15">
        <f>IF(OR(M96="",I96=""),"",IF(I96&lt;=0,"",IFERROR(M96/I96-1,"")))</f>
        <v/>
      </c>
      <c r="N97" s="15">
        <f>IF(OR(N96="",J96=""),"",IF(J96&lt;=0,"",IFERROR(N96/J96-1,"")))</f>
        <v/>
      </c>
      <c r="U97" s="15">
        <f>IF(OR(U96="",T96=""),"",IF(T96&lt;=0,"",IFERROR(U96/T96-1,"")))</f>
        <v/>
      </c>
      <c r="V97" s="15">
        <f>IF(OR(V96="",U96=""),"",IF(U96&lt;=0,"",IFERROR(V96/U96-1,"")))</f>
        <v/>
      </c>
      <c r="W97" s="15">
        <f>IF(OR(W96="",V96=""),"",IF(V96&lt;=0,"",IFERROR(W96/V96-1,"")))</f>
        <v/>
      </c>
      <c r="X97" s="15">
        <f>IF(OR(X96="",W96=""),"",IF(W96&lt;=0,"",IFERROR(X96/W96-1,"")))</f>
        <v/>
      </c>
    </row>
    <row r="98">
      <c r="A98" s="18" t="inlineStr">
        <is>
          <t>매출원가</t>
        </is>
      </c>
      <c r="C98" s="20" t="n">
        <v>38021</v>
      </c>
      <c r="D98" s="20" t="n">
        <v>38632</v>
      </c>
      <c r="E98" s="20" t="n">
        <v>45315</v>
      </c>
      <c r="F98" s="20" t="n">
        <v>53531</v>
      </c>
      <c r="G98" s="20" t="n">
        <v>52111</v>
      </c>
      <c r="H98" s="20" t="n">
        <v>56180</v>
      </c>
      <c r="I98" s="20" t="n">
        <v>45581</v>
      </c>
      <c r="J98" s="20" t="n">
        <v>47329</v>
      </c>
      <c r="K98" s="20" t="n">
        <v>52426</v>
      </c>
      <c r="L98" s="20" t="n">
        <v>53517</v>
      </c>
      <c r="M98" s="20" t="n">
        <v>45860</v>
      </c>
      <c r="N98" s="20" t="n">
        <v>50978</v>
      </c>
      <c r="U98" s="20" t="n">
        <v>36728</v>
      </c>
      <c r="V98" s="20" t="n">
        <v>38632</v>
      </c>
      <c r="W98" s="20" t="n">
        <v>56180</v>
      </c>
      <c r="X98" s="20" t="n">
        <v>53517</v>
      </c>
    </row>
    <row r="99">
      <c r="A99" s="43" t="inlineStr">
        <is>
          <t>YoY</t>
        </is>
      </c>
      <c r="B99" s="3" t="inlineStr">
        <is>
          <t>전년 같은 분기·전년 대비</t>
        </is>
      </c>
      <c r="G99" s="15">
        <f>IF(OR(G98="",C98=""),"",IF(G98*C98&lt;=0,"",IFERROR(G98/C98-1,"")))</f>
        <v/>
      </c>
      <c r="H99" s="15">
        <f>IF(OR(H98="",D98=""),"",IF(H98*D98&lt;=0,"",IFERROR(H98/D98-1,"")))</f>
        <v/>
      </c>
      <c r="I99" s="15">
        <f>IF(OR(I98="",E98=""),"",IF(I98*E98&lt;=0,"",IFERROR(I98/E98-1,"")))</f>
        <v/>
      </c>
      <c r="J99" s="15">
        <f>IF(OR(J98="",F98=""),"",IF(J98*F98&lt;=0,"",IFERROR(J98/F98-1,"")))</f>
        <v/>
      </c>
      <c r="K99" s="15">
        <f>IF(OR(K98="",G98=""),"",IF(K98*G98&lt;=0,"",IFERROR(K98/G98-1,"")))</f>
        <v/>
      </c>
      <c r="L99" s="15">
        <f>IF(OR(L98="",H98=""),"",IF(L98*H98&lt;=0,"",IFERROR(L98/H98-1,"")))</f>
        <v/>
      </c>
      <c r="M99" s="15">
        <f>IF(OR(M98="",I98=""),"",IF(M98*I98&lt;=0,"",IFERROR(M98/I98-1,"")))</f>
        <v/>
      </c>
      <c r="N99" s="15">
        <f>IF(OR(N98="",J98=""),"",IF(N98*J98&lt;=0,"",IFERROR(N98/J98-1,"")))</f>
        <v/>
      </c>
      <c r="U99" s="15">
        <f>IF(OR(U98="",T98=""),"",IF(U98*T98&lt;=0,"",IFERROR(U98/T98-1,"")))</f>
        <v/>
      </c>
      <c r="V99" s="15">
        <f>IF(OR(V98="",U98=""),"",IF(V98*U98&lt;=0,"",IFERROR(V98/U98-1,"")))</f>
        <v/>
      </c>
      <c r="W99" s="15">
        <f>IF(OR(W98="",V98=""),"",IF(W98*V98&lt;=0,"",IFERROR(W98/V98-1,"")))</f>
        <v/>
      </c>
      <c r="X99" s="15">
        <f>IF(OR(X98="",W98=""),"",IF(X98*W98&lt;=0,"",IFERROR(X98/W98-1,"")))</f>
        <v/>
      </c>
    </row>
    <row r="100">
      <c r="A100" s="9" t="inlineStr">
        <is>
          <t>매출총이익</t>
        </is>
      </c>
      <c r="C100" s="12" t="n">
        <v>21522</v>
      </c>
      <c r="D100" s="12" t="n">
        <v>21231</v>
      </c>
      <c r="E100" s="12" t="n">
        <v>22062</v>
      </c>
      <c r="F100" s="12" t="n">
        <v>27333</v>
      </c>
      <c r="G100" s="12" t="n">
        <v>26028</v>
      </c>
      <c r="H100" s="12" t="n">
        <v>24309</v>
      </c>
      <c r="I100" s="12" t="n">
        <v>21586</v>
      </c>
      <c r="J100" s="12" t="n">
        <v>24185</v>
      </c>
      <c r="K100" s="12" t="n">
        <v>25201</v>
      </c>
      <c r="L100" s="12" t="n">
        <v>24438</v>
      </c>
      <c r="M100" s="12" t="n">
        <v>21704</v>
      </c>
      <c r="N100" s="12" t="n">
        <v>25242</v>
      </c>
      <c r="U100" s="12" t="n">
        <v>18283</v>
      </c>
      <c r="V100" s="12" t="n">
        <v>21231</v>
      </c>
      <c r="W100" s="12" t="n">
        <v>24309</v>
      </c>
      <c r="X100" s="12" t="n">
        <v>24438</v>
      </c>
    </row>
    <row r="101">
      <c r="A101" s="43" t="inlineStr">
        <is>
          <t>YoY</t>
        </is>
      </c>
      <c r="B101" s="3" t="inlineStr">
        <is>
          <t>전년 같은 분기·전년 대비</t>
        </is>
      </c>
      <c r="G101" s="15">
        <f>IF(OR(G100="",C100=""),"",IF(C100&lt;=0,"",IFERROR(G100/C100-1,"")))</f>
        <v/>
      </c>
      <c r="H101" s="15">
        <f>IF(OR(H100="",D100=""),"",IF(D100&lt;=0,"",IFERROR(H100/D100-1,"")))</f>
        <v/>
      </c>
      <c r="I101" s="15">
        <f>IF(OR(I100="",E100=""),"",IF(E100&lt;=0,"",IFERROR(I100/E100-1,"")))</f>
        <v/>
      </c>
      <c r="J101" s="15">
        <f>IF(OR(J100="",F100=""),"",IF(F100&lt;=0,"",IFERROR(J100/F100-1,"")))</f>
        <v/>
      </c>
      <c r="K101" s="15">
        <f>IF(OR(K100="",G100=""),"",IF(G100&lt;=0,"",IFERROR(K100/G100-1,"")))</f>
        <v/>
      </c>
      <c r="L101" s="15">
        <f>IF(OR(L100="",H100=""),"",IF(H100&lt;=0,"",IFERROR(L100/H100-1,"")))</f>
        <v/>
      </c>
      <c r="M101" s="15">
        <f>IF(OR(M100="",I100=""),"",IF(I100&lt;=0,"",IFERROR(M100/I100-1,"")))</f>
        <v/>
      </c>
      <c r="N101" s="15">
        <f>IF(OR(N100="",J100=""),"",IF(J100&lt;=0,"",IFERROR(N100/J100-1,"")))</f>
        <v/>
      </c>
      <c r="U101" s="15">
        <f>IF(OR(U100="",T100=""),"",IF(T100&lt;=0,"",IFERROR(U100/T100-1,"")))</f>
        <v/>
      </c>
      <c r="V101" s="15">
        <f>IF(OR(V100="",U100=""),"",IF(U100&lt;=0,"",IFERROR(V100/U100-1,"")))</f>
        <v/>
      </c>
      <c r="W101" s="15">
        <f>IF(OR(W100="",V100=""),"",IF(V100&lt;=0,"",IFERROR(W100/V100-1,"")))</f>
        <v/>
      </c>
      <c r="X101" s="15">
        <f>IF(OR(X100="",W100=""),"",IF(W100&lt;=0,"",IFERROR(X100/W100-1,"")))</f>
        <v/>
      </c>
    </row>
    <row r="102">
      <c r="A102" s="18" t="inlineStr">
        <is>
          <t>판매비와 관리비</t>
        </is>
      </c>
      <c r="C102" s="20" t="n">
        <v>15628</v>
      </c>
      <c r="D102" s="20" t="n">
        <v>17966</v>
      </c>
      <c r="E102" s="20" t="n">
        <v>16396</v>
      </c>
      <c r="F102" s="20" t="n">
        <v>17541</v>
      </c>
      <c r="G102" s="20" t="n">
        <v>17959</v>
      </c>
      <c r="H102" s="20" t="n">
        <v>21011</v>
      </c>
      <c r="I102" s="20" t="n">
        <v>16949</v>
      </c>
      <c r="J102" s="20" t="n">
        <v>18460</v>
      </c>
      <c r="K102" s="20" t="n">
        <v>18241</v>
      </c>
      <c r="L102" s="20" t="n">
        <v>19393</v>
      </c>
      <c r="M102" s="20" t="n">
        <v>18265</v>
      </c>
      <c r="N102" s="20" t="n">
        <v>20245</v>
      </c>
      <c r="U102" s="20" t="n">
        <v>15714</v>
      </c>
      <c r="V102" s="20" t="n">
        <v>17966</v>
      </c>
      <c r="W102" s="20" t="n">
        <v>21011</v>
      </c>
      <c r="X102" s="20" t="n">
        <v>19393</v>
      </c>
    </row>
    <row r="103">
      <c r="A103" s="43" t="inlineStr">
        <is>
          <t>YoY</t>
        </is>
      </c>
      <c r="B103" s="3" t="inlineStr">
        <is>
          <t>전년 같은 분기·전년 대비</t>
        </is>
      </c>
      <c r="G103" s="15">
        <f>IF(OR(G102="",C102=""),"",IF(G102*C102&lt;=0,"",IFERROR(G102/C102-1,"")))</f>
        <v/>
      </c>
      <c r="H103" s="15">
        <f>IF(OR(H102="",D102=""),"",IF(H102*D102&lt;=0,"",IFERROR(H102/D102-1,"")))</f>
        <v/>
      </c>
      <c r="I103" s="15">
        <f>IF(OR(I102="",E102=""),"",IF(I102*E102&lt;=0,"",IFERROR(I102/E102-1,"")))</f>
        <v/>
      </c>
      <c r="J103" s="15">
        <f>IF(OR(J102="",F102=""),"",IF(J102*F102&lt;=0,"",IFERROR(J102/F102-1,"")))</f>
        <v/>
      </c>
      <c r="K103" s="15">
        <f>IF(OR(K102="",G102=""),"",IF(K102*G102&lt;=0,"",IFERROR(K102/G102-1,"")))</f>
        <v/>
      </c>
      <c r="L103" s="15">
        <f>IF(OR(L102="",H102=""),"",IF(L102*H102&lt;=0,"",IFERROR(L102/H102-1,"")))</f>
        <v/>
      </c>
      <c r="M103" s="15">
        <f>IF(OR(M102="",I102=""),"",IF(M102*I102&lt;=0,"",IFERROR(M102/I102-1,"")))</f>
        <v/>
      </c>
      <c r="N103" s="15">
        <f>IF(OR(N102="",J102=""),"",IF(N102*J102&lt;=0,"",IFERROR(N102/J102-1,"")))</f>
        <v/>
      </c>
      <c r="U103" s="15">
        <f>IF(OR(U102="",T102=""),"",IF(U102*T102&lt;=0,"",IFERROR(U102/T102-1,"")))</f>
        <v/>
      </c>
      <c r="V103" s="15">
        <f>IF(OR(V102="",U102=""),"",IF(V102*U102&lt;=0,"",IFERROR(V102/U102-1,"")))</f>
        <v/>
      </c>
      <c r="W103" s="15">
        <f>IF(OR(W102="",V102=""),"",IF(W102*V102&lt;=0,"",IFERROR(W102/V102-1,"")))</f>
        <v/>
      </c>
      <c r="X103" s="15">
        <f>IF(OR(X102="",W102=""),"",IF(X102*W102&lt;=0,"",IFERROR(X102/W102-1,"")))</f>
        <v/>
      </c>
    </row>
    <row r="104">
      <c r="A104" s="18" t="inlineStr">
        <is>
          <t>Core Operating Profit Loss Operating</t>
        </is>
      </c>
      <c r="I104" s="20" t="n">
        <v>4636</v>
      </c>
      <c r="J104" s="20" t="n">
        <v>5725</v>
      </c>
      <c r="M104" s="20" t="n">
        <v>3438</v>
      </c>
      <c r="N104" s="20" t="n">
        <v>4998</v>
      </c>
    </row>
    <row r="105">
      <c r="A105" s="18" t="inlineStr">
        <is>
          <t>기타 영업수익</t>
        </is>
      </c>
      <c r="I105" s="20" t="n">
        <v>329</v>
      </c>
      <c r="M105" s="20" t="n">
        <v>899</v>
      </c>
    </row>
    <row r="106">
      <c r="A106" s="18" t="inlineStr">
        <is>
          <t>기타 영업비용</t>
        </is>
      </c>
      <c r="I106" s="20" t="n">
        <v>135</v>
      </c>
      <c r="M106" s="20" t="n">
        <v>214</v>
      </c>
    </row>
    <row r="107">
      <c r="A107" s="18" t="inlineStr">
        <is>
          <t>영업이익</t>
        </is>
      </c>
      <c r="C107" s="20" t="n">
        <v>6665</v>
      </c>
      <c r="D107" s="20" t="n">
        <v>1896</v>
      </c>
      <c r="E107" s="20" t="n">
        <v>14850</v>
      </c>
      <c r="F107" s="20" t="n">
        <v>9834</v>
      </c>
      <c r="G107" s="20" t="n">
        <v>8006</v>
      </c>
      <c r="H107" s="20" t="n">
        <v>3531</v>
      </c>
      <c r="I107" s="20" t="n">
        <v>4830</v>
      </c>
      <c r="J107" s="20" t="n">
        <v>5796</v>
      </c>
      <c r="K107" s="20" t="n">
        <v>7016</v>
      </c>
      <c r="L107" s="20" t="n">
        <v>4996</v>
      </c>
      <c r="M107" s="20" t="n">
        <v>4124</v>
      </c>
      <c r="N107" s="20" t="n">
        <v>4965</v>
      </c>
      <c r="U107" s="20" t="n">
        <v>2648</v>
      </c>
      <c r="V107" s="20" t="n">
        <v>1896</v>
      </c>
      <c r="W107" s="20" t="n">
        <v>3531</v>
      </c>
      <c r="X107" s="20" t="n">
        <v>4996</v>
      </c>
    </row>
    <row r="108">
      <c r="A108" s="43" t="inlineStr">
        <is>
          <t>OPM</t>
        </is>
      </c>
      <c r="B108" s="3" t="inlineStr">
        <is>
          <t>영업이익 ÷ 매출</t>
        </is>
      </c>
      <c r="C108" s="15">
        <f>IF(OR(C107="",C96=""),"",IF(C96&lt;=0,"",IFERROR(C107/C96,"")))</f>
        <v/>
      </c>
      <c r="D108" s="15">
        <f>IF(OR(D107="",D96=""),"",IF(D96&lt;=0,"",IFERROR(D107/D96,"")))</f>
        <v/>
      </c>
      <c r="E108" s="15">
        <f>IF(OR(E107="",E96=""),"",IF(E96&lt;=0,"",IFERROR(E107/E96,"")))</f>
        <v/>
      </c>
      <c r="F108" s="15">
        <f>IF(OR(F107="",F96=""),"",IF(F96&lt;=0,"",IFERROR(F107/F96,"")))</f>
        <v/>
      </c>
      <c r="G108" s="15">
        <f>IF(OR(G107="",G96=""),"",IF(G96&lt;=0,"",IFERROR(G107/G96,"")))</f>
        <v/>
      </c>
      <c r="H108" s="15">
        <f>IF(OR(H107="",H96=""),"",IF(H96&lt;=0,"",IFERROR(H107/H96,"")))</f>
        <v/>
      </c>
      <c r="I108" s="15">
        <f>IF(OR(I107="",I96=""),"",IF(I96&lt;=0,"",IFERROR(I107/I96,"")))</f>
        <v/>
      </c>
      <c r="J108" s="15">
        <f>IF(OR(J107="",J96=""),"",IF(J96&lt;=0,"",IFERROR(J107/J96,"")))</f>
        <v/>
      </c>
      <c r="K108" s="15">
        <f>IF(OR(K107="",K96=""),"",IF(K96&lt;=0,"",IFERROR(K107/K96,"")))</f>
        <v/>
      </c>
      <c r="L108" s="15">
        <f>IF(OR(L107="",L96=""),"",IF(L96&lt;=0,"",IFERROR(L107/L96,"")))</f>
        <v/>
      </c>
      <c r="M108" s="15">
        <f>IF(OR(M107="",M96=""),"",IF(M96&lt;=0,"",IFERROR(M107/M96,"")))</f>
        <v/>
      </c>
      <c r="N108" s="15">
        <f>IF(OR(N107="",N96=""),"",IF(N96&lt;=0,"",IFERROR(N107/N96,"")))</f>
        <v/>
      </c>
      <c r="U108" s="15">
        <f>IF(OR(U107="",U96=""),"",IF(U96&lt;=0,"",IFERROR(U107/U96,"")))</f>
        <v/>
      </c>
      <c r="V108" s="15">
        <f>IF(OR(V107="",V96=""),"",IF(V96&lt;=0,"",IFERROR(V107/V96,"")))</f>
        <v/>
      </c>
      <c r="W108" s="15">
        <f>IF(OR(W107="",W96=""),"",IF(W96&lt;=0,"",IFERROR(W107/W96,"")))</f>
        <v/>
      </c>
      <c r="X108" s="15">
        <f>IF(OR(X107="",X96=""),"",IF(X96&lt;=0,"",IFERROR(X107/X96,"")))</f>
        <v/>
      </c>
    </row>
    <row r="109">
      <c r="A109" s="43" t="inlineStr">
        <is>
          <t>YoY</t>
        </is>
      </c>
      <c r="B109" s="3" t="inlineStr">
        <is>
          <t>전년 같은 분기·전년 대비</t>
        </is>
      </c>
      <c r="G109" s="15">
        <f>IF(OR(G107="",C107=""),"",IF(C107&lt;=0,"",IFERROR(G107/C107-1,"")))</f>
        <v/>
      </c>
      <c r="H109" s="15">
        <f>IF(OR(H107="",D107=""),"",IF(D107&lt;=0,"",IFERROR(H107/D107-1,"")))</f>
        <v/>
      </c>
      <c r="I109" s="15">
        <f>IF(OR(I107="",E107=""),"",IF(E107&lt;=0,"",IFERROR(I107/E107-1,"")))</f>
        <v/>
      </c>
      <c r="J109" s="15">
        <f>IF(OR(J107="",F107=""),"",IF(F107&lt;=0,"",IFERROR(J107/F107-1,"")))</f>
        <v/>
      </c>
      <c r="K109" s="15">
        <f>IF(OR(K107="",G107=""),"",IF(G107&lt;=0,"",IFERROR(K107/G107-1,"")))</f>
        <v/>
      </c>
      <c r="L109" s="15">
        <f>IF(OR(L107="",H107=""),"",IF(H107&lt;=0,"",IFERROR(L107/H107-1,"")))</f>
        <v/>
      </c>
      <c r="M109" s="15">
        <f>IF(OR(M107="",I107=""),"",IF(I107&lt;=0,"",IFERROR(M107/I107-1,"")))</f>
        <v/>
      </c>
      <c r="N109" s="15">
        <f>IF(OR(N107="",J107=""),"",IF(J107&lt;=0,"",IFERROR(N107/J107-1,"")))</f>
        <v/>
      </c>
      <c r="U109" s="15">
        <f>IF(OR(U107="",T107=""),"",IF(T107&lt;=0,"",IFERROR(U107/T107-1,"")))</f>
        <v/>
      </c>
      <c r="V109" s="15">
        <f>IF(OR(V107="",U107=""),"",IF(U107&lt;=0,"",IFERROR(V107/U107-1,"")))</f>
        <v/>
      </c>
      <c r="W109" s="15">
        <f>IF(OR(W107="",V107=""),"",IF(V107&lt;=0,"",IFERROR(W107/V107-1,"")))</f>
        <v/>
      </c>
      <c r="X109" s="15">
        <f>IF(OR(X107="",W107=""),"",IF(W107&lt;=0,"",IFERROR(X107/W107-1,"")))</f>
        <v/>
      </c>
    </row>
    <row r="110">
      <c r="A110" s="18" t="inlineStr">
        <is>
          <t>금융수익</t>
        </is>
      </c>
      <c r="C110" s="20" t="n">
        <v>274</v>
      </c>
      <c r="D110" s="20" t="n">
        <v>20</v>
      </c>
      <c r="E110" s="20" t="n">
        <v>454</v>
      </c>
      <c r="F110" s="20" t="n">
        <v>335</v>
      </c>
      <c r="G110" s="20" t="n">
        <v>71</v>
      </c>
      <c r="H110" s="20" t="n">
        <v>235</v>
      </c>
      <c r="I110" s="20" t="n">
        <v>271</v>
      </c>
      <c r="J110" s="20" t="n">
        <v>311</v>
      </c>
      <c r="K110" s="20" t="n">
        <v>137</v>
      </c>
      <c r="L110" s="20" t="n">
        <v>373</v>
      </c>
      <c r="U110" s="20" t="n">
        <v>51</v>
      </c>
      <c r="V110" s="20" t="n">
        <v>20</v>
      </c>
      <c r="W110" s="20" t="n">
        <v>235</v>
      </c>
      <c r="X110" s="20" t="n">
        <v>373</v>
      </c>
    </row>
    <row r="111">
      <c r="A111" s="43" t="inlineStr">
        <is>
          <t>YoY</t>
        </is>
      </c>
      <c r="B111" s="3" t="inlineStr">
        <is>
          <t>전년 같은 분기·전년 대비</t>
        </is>
      </c>
      <c r="G111" s="15">
        <f>IF(OR(G110="",C110=""),"",IF(G110*C110&lt;=0,"",IFERROR(G110/C110-1,"")))</f>
        <v/>
      </c>
      <c r="H111" s="15">
        <f>IF(OR(H110="",D110=""),"",IF(H110*D110&lt;=0,"",IFERROR(H110/D110-1,"")))</f>
        <v/>
      </c>
      <c r="I111" s="15">
        <f>IF(OR(I110="",E110=""),"",IF(I110*E110&lt;=0,"",IFERROR(I110/E110-1,"")))</f>
        <v/>
      </c>
      <c r="J111" s="15">
        <f>IF(OR(J110="",F110=""),"",IF(J110*F110&lt;=0,"",IFERROR(J110/F110-1,"")))</f>
        <v/>
      </c>
      <c r="K111" s="15">
        <f>IF(OR(K110="",G110=""),"",IF(K110*G110&lt;=0,"",IFERROR(K110/G110-1,"")))</f>
        <v/>
      </c>
      <c r="L111" s="15">
        <f>IF(OR(L110="",H110=""),"",IF(L110*H110&lt;=0,"",IFERROR(L110/H110-1,"")))</f>
        <v/>
      </c>
      <c r="U111" s="15">
        <f>IF(OR(U110="",T110=""),"",IF(U110*T110&lt;=0,"",IFERROR(U110/T110-1,"")))</f>
        <v/>
      </c>
      <c r="V111" s="15">
        <f>IF(OR(V110="",U110=""),"",IF(V110*U110&lt;=0,"",IFERROR(V110/U110-1,"")))</f>
        <v/>
      </c>
      <c r="W111" s="15">
        <f>IF(OR(W110="",V110=""),"",IF(W110*V110&lt;=0,"",IFERROR(W110/V110-1,"")))</f>
        <v/>
      </c>
      <c r="X111" s="15">
        <f>IF(OR(X110="",W110=""),"",IF(X110*W110&lt;=0,"",IFERROR(X110/W110-1,"")))</f>
        <v/>
      </c>
    </row>
    <row r="112">
      <c r="A112" s="18" t="inlineStr">
        <is>
          <t>금융비용</t>
        </is>
      </c>
      <c r="C112" s="20" t="n">
        <v>566</v>
      </c>
      <c r="D112" s="20" t="n">
        <v>479</v>
      </c>
      <c r="E112" s="20" t="n">
        <v>1209</v>
      </c>
      <c r="F112" s="20" t="n">
        <v>1133</v>
      </c>
      <c r="G112" s="20" t="n">
        <v>312</v>
      </c>
      <c r="H112" s="20" t="n">
        <v>998</v>
      </c>
      <c r="I112" s="20" t="n">
        <v>738</v>
      </c>
      <c r="J112" s="20" t="n">
        <v>426</v>
      </c>
      <c r="K112" s="20" t="n">
        <v>615</v>
      </c>
      <c r="L112" s="20" t="n">
        <v>833</v>
      </c>
      <c r="U112" s="20" t="n">
        <v>4</v>
      </c>
      <c r="V112" s="20" t="n">
        <v>479</v>
      </c>
      <c r="W112" s="20" t="n">
        <v>998</v>
      </c>
      <c r="X112" s="20" t="n">
        <v>833</v>
      </c>
    </row>
    <row r="113">
      <c r="A113" s="43" t="inlineStr">
        <is>
          <t>YoY</t>
        </is>
      </c>
      <c r="B113" s="3" t="inlineStr">
        <is>
          <t>전년 같은 분기·전년 대비</t>
        </is>
      </c>
      <c r="G113" s="15">
        <f>IF(OR(G112="",C112=""),"",IF(G112*C112&lt;=0,"",IFERROR(G112/C112-1,"")))</f>
        <v/>
      </c>
      <c r="H113" s="15">
        <f>IF(OR(H112="",D112=""),"",IF(H112*D112&lt;=0,"",IFERROR(H112/D112-1,"")))</f>
        <v/>
      </c>
      <c r="I113" s="15">
        <f>IF(OR(I112="",E112=""),"",IF(I112*E112&lt;=0,"",IFERROR(I112/E112-1,"")))</f>
        <v/>
      </c>
      <c r="J113" s="15">
        <f>IF(OR(J112="",F112=""),"",IF(J112*F112&lt;=0,"",IFERROR(J112/F112-1,"")))</f>
        <v/>
      </c>
      <c r="K113" s="15">
        <f>IF(OR(K112="",G112=""),"",IF(K112*G112&lt;=0,"",IFERROR(K112/G112-1,"")))</f>
        <v/>
      </c>
      <c r="L113" s="15">
        <f>IF(OR(L112="",H112=""),"",IF(L112*H112&lt;=0,"",IFERROR(L112/H112-1,"")))</f>
        <v/>
      </c>
      <c r="U113" s="15">
        <f>IF(OR(U112="",T112=""),"",IF(U112*T112&lt;=0,"",IFERROR(U112/T112-1,"")))</f>
        <v/>
      </c>
      <c r="V113" s="15">
        <f>IF(OR(V112="",U112=""),"",IF(V112*U112&lt;=0,"",IFERROR(V112/U112-1,"")))</f>
        <v/>
      </c>
      <c r="W113" s="15">
        <f>IF(OR(W112="",V112=""),"",IF(W112*V112&lt;=0,"",IFERROR(W112/V112-1,"")))</f>
        <v/>
      </c>
      <c r="X113" s="15">
        <f>IF(OR(X112="",W112=""),"",IF(X112*W112&lt;=0,"",IFERROR(X112/W112-1,"")))</f>
        <v/>
      </c>
    </row>
    <row r="114">
      <c r="A114" s="18" t="inlineStr">
        <is>
          <t>지분법 투자손익(△ 손실)</t>
        </is>
      </c>
      <c r="C114" s="20" t="n">
        <v>655</v>
      </c>
      <c r="D114" s="20" t="n">
        <v>833</v>
      </c>
      <c r="E114" s="20" t="n">
        <v>-59</v>
      </c>
      <c r="F114" s="20" t="n">
        <v>50</v>
      </c>
      <c r="G114" s="20" t="n">
        <v>7</v>
      </c>
      <c r="H114" s="20" t="n">
        <v>272</v>
      </c>
      <c r="I114" s="20" t="n">
        <v>-45</v>
      </c>
      <c r="J114" s="20" t="n">
        <v>84</v>
      </c>
      <c r="K114" s="20" t="n">
        <v>86</v>
      </c>
      <c r="L114" s="20" t="n">
        <v>202</v>
      </c>
      <c r="M114" s="20" t="n">
        <v>-100</v>
      </c>
      <c r="N114" s="20" t="n">
        <v>81</v>
      </c>
      <c r="U114" s="20" t="n">
        <v>354</v>
      </c>
      <c r="V114" s="20" t="n">
        <v>833</v>
      </c>
      <c r="W114" s="20" t="n">
        <v>272</v>
      </c>
      <c r="X114" s="20" t="n">
        <v>202</v>
      </c>
    </row>
    <row r="115">
      <c r="A115" s="18" t="inlineStr">
        <is>
          <t>Core Operating Profit Loss</t>
        </is>
      </c>
      <c r="C115" s="20" t="n">
        <v>6549</v>
      </c>
      <c r="D115" s="20" t="n">
        <v>4099</v>
      </c>
      <c r="E115" s="20" t="n">
        <v>5607</v>
      </c>
      <c r="F115" s="20" t="n">
        <v>9841</v>
      </c>
      <c r="G115" s="20" t="n">
        <v>8076</v>
      </c>
      <c r="H115" s="20" t="n">
        <v>3570</v>
      </c>
      <c r="I115" s="20" t="n">
        <v>4590</v>
      </c>
      <c r="J115" s="20" t="n">
        <v>5810</v>
      </c>
      <c r="K115" s="20" t="n">
        <v>7047</v>
      </c>
      <c r="L115" s="20" t="n">
        <v>5247</v>
      </c>
      <c r="V115" s="20" t="n">
        <v>4099</v>
      </c>
      <c r="W115" s="20" t="n">
        <v>3570</v>
      </c>
      <c r="X115" s="20" t="n">
        <v>5247</v>
      </c>
    </row>
    <row r="116">
      <c r="A116" s="18" t="inlineStr">
        <is>
          <t>기타수익</t>
        </is>
      </c>
      <c r="C116" s="20" t="n">
        <v>155</v>
      </c>
      <c r="D116" s="20" t="n">
        <v>264</v>
      </c>
      <c r="E116" s="20" t="n">
        <v>9448</v>
      </c>
      <c r="F116" s="20" t="n">
        <v>68</v>
      </c>
      <c r="G116" s="20" t="n">
        <v>125</v>
      </c>
      <c r="H116" s="20" t="n">
        <v>432</v>
      </c>
      <c r="I116" s="20" t="n">
        <v>288</v>
      </c>
      <c r="J116" s="20" t="n">
        <v>41</v>
      </c>
      <c r="K116" s="20" t="n">
        <v>195</v>
      </c>
      <c r="L116" s="20" t="n">
        <v>120</v>
      </c>
      <c r="U116" s="20" t="n">
        <v>233</v>
      </c>
      <c r="V116" s="20" t="n">
        <v>264</v>
      </c>
      <c r="W116" s="20" t="n">
        <v>432</v>
      </c>
      <c r="X116" s="20" t="n">
        <v>120</v>
      </c>
    </row>
    <row r="117">
      <c r="A117" s="18" t="inlineStr">
        <is>
          <t>기타비용</t>
        </is>
      </c>
      <c r="C117" s="20" t="n">
        <v>38</v>
      </c>
      <c r="D117" s="20" t="n">
        <v>2466</v>
      </c>
      <c r="E117" s="20" t="n">
        <v>204</v>
      </c>
      <c r="F117" s="20" t="n">
        <v>77</v>
      </c>
      <c r="G117" s="20" t="n">
        <v>194</v>
      </c>
      <c r="H117" s="20" t="n">
        <v>471</v>
      </c>
      <c r="I117" s="20" t="n">
        <v>135</v>
      </c>
      <c r="J117" s="20" t="n">
        <v>31</v>
      </c>
      <c r="K117" s="20" t="n">
        <v>164</v>
      </c>
      <c r="L117" s="20" t="n">
        <v>370</v>
      </c>
      <c r="U117" s="20" t="n">
        <v>509</v>
      </c>
      <c r="V117" s="20" t="n">
        <v>2466</v>
      </c>
      <c r="W117" s="20" t="n">
        <v>471</v>
      </c>
      <c r="X117" s="20" t="n">
        <v>370</v>
      </c>
    </row>
    <row r="118">
      <c r="A118" s="18" t="inlineStr">
        <is>
          <t>Other Investment Income Investing</t>
        </is>
      </c>
      <c r="I118" s="20" t="n">
        <v>277</v>
      </c>
      <c r="J118" s="20" t="n">
        <v>490</v>
      </c>
      <c r="M118" s="20" t="n">
        <v>286</v>
      </c>
      <c r="N118" s="20" t="n">
        <v>288</v>
      </c>
    </row>
    <row r="119">
      <c r="A119" s="18" t="inlineStr">
        <is>
          <t>Other Investment Expenses Investing</t>
        </is>
      </c>
      <c r="I119" s="20" t="n">
        <v>205</v>
      </c>
      <c r="M119" s="20" t="n">
        <v>47</v>
      </c>
    </row>
    <row r="120">
      <c r="A120" s="18" t="inlineStr">
        <is>
          <t>Income Loss Before Finance Costs And Income Taxes</t>
        </is>
      </c>
      <c r="I120" s="20" t="n">
        <v>4856</v>
      </c>
      <c r="J120" s="20" t="n">
        <v>6576</v>
      </c>
      <c r="M120" s="20" t="n">
        <v>4263</v>
      </c>
      <c r="N120" s="20" t="n">
        <v>5381</v>
      </c>
    </row>
    <row r="121">
      <c r="A121" s="18" t="inlineStr">
        <is>
          <t>Finance Income Financing</t>
        </is>
      </c>
      <c r="I121" s="20" t="n">
        <v>142</v>
      </c>
      <c r="M121" s="20" t="n">
        <v>53</v>
      </c>
    </row>
    <row r="122">
      <c r="A122" s="18" t="inlineStr">
        <is>
          <t>Finance Costs Financing</t>
        </is>
      </c>
      <c r="I122" s="20" t="n">
        <v>723</v>
      </c>
      <c r="J122" s="20" t="n">
        <v>727</v>
      </c>
      <c r="M122" s="20" t="n">
        <v>721</v>
      </c>
      <c r="N122" s="20" t="n">
        <v>674</v>
      </c>
    </row>
    <row r="123">
      <c r="A123" s="9" t="inlineStr">
        <is>
          <t>법인세비용차감전 중간이익</t>
        </is>
      </c>
      <c r="C123" s="12" t="n">
        <v>6374</v>
      </c>
      <c r="D123" s="12" t="n">
        <v>1436</v>
      </c>
      <c r="E123" s="12" t="n">
        <v>14096</v>
      </c>
      <c r="F123" s="12" t="n">
        <v>9035</v>
      </c>
      <c r="G123" s="12" t="n">
        <v>7764</v>
      </c>
      <c r="H123" s="12" t="n">
        <v>2770</v>
      </c>
      <c r="I123" s="12" t="n">
        <v>4275</v>
      </c>
      <c r="J123" s="12" t="n">
        <v>5706</v>
      </c>
      <c r="K123" s="12" t="n">
        <v>6600</v>
      </c>
      <c r="L123" s="12" t="n">
        <v>4537</v>
      </c>
      <c r="M123" s="12" t="n">
        <v>3594</v>
      </c>
      <c r="N123" s="12" t="n">
        <v>4655</v>
      </c>
      <c r="U123" s="12" t="n">
        <v>2695</v>
      </c>
      <c r="V123" s="12" t="n">
        <v>1436</v>
      </c>
      <c r="W123" s="12" t="n">
        <v>2770</v>
      </c>
      <c r="X123" s="12" t="n">
        <v>4537</v>
      </c>
    </row>
    <row r="124">
      <c r="A124" s="18" t="inlineStr">
        <is>
          <t>법인소득세 비용</t>
        </is>
      </c>
      <c r="C124" s="20" t="n">
        <v>1751</v>
      </c>
      <c r="D124" s="20" t="n">
        <v>285</v>
      </c>
      <c r="E124" s="20" t="n">
        <v>2163</v>
      </c>
      <c r="F124" s="20" t="n">
        <v>2551</v>
      </c>
      <c r="G124" s="20" t="n">
        <v>1692</v>
      </c>
      <c r="H124" s="20" t="n">
        <v>83</v>
      </c>
      <c r="I124" s="20" t="n">
        <v>1248</v>
      </c>
      <c r="J124" s="20" t="n">
        <v>1588</v>
      </c>
      <c r="K124" s="20" t="n">
        <v>1848</v>
      </c>
      <c r="L124" s="20" t="n">
        <v>378</v>
      </c>
      <c r="M124" s="20" t="n">
        <v>807</v>
      </c>
      <c r="N124" s="20" t="n">
        <v>1510</v>
      </c>
      <c r="U124" s="20" t="n">
        <v>-170</v>
      </c>
      <c r="V124" s="20" t="n">
        <v>285</v>
      </c>
      <c r="W124" s="20" t="n">
        <v>83</v>
      </c>
      <c r="X124" s="20" t="n">
        <v>378</v>
      </c>
    </row>
    <row r="125">
      <c r="A125" s="43" t="inlineStr">
        <is>
          <t>YoY</t>
        </is>
      </c>
      <c r="B125" s="3" t="inlineStr">
        <is>
          <t>전년 같은 분기·전년 대비</t>
        </is>
      </c>
      <c r="G125" s="15">
        <f>IF(OR(G124="",C124=""),"",IF(G124*C124&lt;=0,"",IFERROR(G124/C124-1,"")))</f>
        <v/>
      </c>
      <c r="H125" s="15">
        <f>IF(OR(H124="",D124=""),"",IF(H124*D124&lt;=0,"",IFERROR(H124/D124-1,"")))</f>
        <v/>
      </c>
      <c r="I125" s="15">
        <f>IF(OR(I124="",E124=""),"",IF(I124*E124&lt;=0,"",IFERROR(I124/E124-1,"")))</f>
        <v/>
      </c>
      <c r="J125" s="15">
        <f>IF(OR(J124="",F124=""),"",IF(J124*F124&lt;=0,"",IFERROR(J124/F124-1,"")))</f>
        <v/>
      </c>
      <c r="K125" s="15">
        <f>IF(OR(K124="",G124=""),"",IF(K124*G124&lt;=0,"",IFERROR(K124/G124-1,"")))</f>
        <v/>
      </c>
      <c r="L125" s="15">
        <f>IF(OR(L124="",H124=""),"",IF(L124*H124&lt;=0,"",IFERROR(L124/H124-1,"")))</f>
        <v/>
      </c>
      <c r="M125" s="15">
        <f>IF(OR(M124="",I124=""),"",IF(M124*I124&lt;=0,"",IFERROR(M124/I124-1,"")))</f>
        <v/>
      </c>
      <c r="N125" s="15">
        <f>IF(OR(N124="",J124=""),"",IF(N124*J124&lt;=0,"",IFERROR(N124/J124-1,"")))</f>
        <v/>
      </c>
      <c r="U125" s="15">
        <f>IF(OR(U124="",T124=""),"",IF(U124*T124&lt;=0,"",IFERROR(U124/T124-1,"")))</f>
        <v/>
      </c>
      <c r="V125" s="15">
        <f>IF(OR(V124="",U124=""),"",IF(V124*U124&lt;=0,"",IFERROR(V124/U124-1,"")))</f>
        <v/>
      </c>
      <c r="W125" s="15">
        <f>IF(OR(W124="",V124=""),"",IF(W124*V124&lt;=0,"",IFERROR(W124/V124-1,"")))</f>
        <v/>
      </c>
      <c r="X125" s="15">
        <f>IF(OR(X124="",W124=""),"",IF(X124*W124&lt;=0,"",IFERROR(X124/W124-1,"")))</f>
        <v/>
      </c>
    </row>
    <row r="126">
      <c r="A126" s="9" t="inlineStr">
        <is>
          <t>중간이익</t>
        </is>
      </c>
      <c r="C126" s="12" t="n">
        <v>4623</v>
      </c>
      <c r="D126" s="12" t="n">
        <v>1151</v>
      </c>
      <c r="E126" s="12" t="n">
        <v>11932</v>
      </c>
      <c r="F126" s="12" t="n">
        <v>6484</v>
      </c>
      <c r="G126" s="12" t="n">
        <v>6073</v>
      </c>
      <c r="H126" s="12" t="n">
        <v>2686</v>
      </c>
      <c r="I126" s="12" t="n">
        <v>3026</v>
      </c>
      <c r="J126" s="12" t="n">
        <v>4119</v>
      </c>
      <c r="K126" s="12" t="n">
        <v>4752</v>
      </c>
      <c r="L126" s="12" t="n">
        <v>4159</v>
      </c>
      <c r="M126" s="12" t="n">
        <v>2787</v>
      </c>
      <c r="N126" s="12" t="n">
        <v>3145</v>
      </c>
      <c r="U126" s="12" t="n">
        <v>2864</v>
      </c>
      <c r="V126" s="12" t="n">
        <v>1151</v>
      </c>
      <c r="W126" s="12" t="n">
        <v>2686</v>
      </c>
      <c r="X126" s="12" t="n">
        <v>4159</v>
      </c>
    </row>
    <row r="127">
      <c r="A127" s="43" t="inlineStr">
        <is>
          <t>YoY</t>
        </is>
      </c>
      <c r="B127" s="3" t="inlineStr">
        <is>
          <t>전년 같은 분기·전년 대비</t>
        </is>
      </c>
      <c r="G127" s="15">
        <f>IF(OR(G126="",C126=""),"",IF(C126&lt;=0,"",IFERROR(G126/C126-1,"")))</f>
        <v/>
      </c>
      <c r="H127" s="15">
        <f>IF(OR(H126="",D126=""),"",IF(D126&lt;=0,"",IFERROR(H126/D126-1,"")))</f>
        <v/>
      </c>
      <c r="I127" s="15">
        <f>IF(OR(I126="",E126=""),"",IF(E126&lt;=0,"",IFERROR(I126/E126-1,"")))</f>
        <v/>
      </c>
      <c r="J127" s="15">
        <f>IF(OR(J126="",F126=""),"",IF(F126&lt;=0,"",IFERROR(J126/F126-1,"")))</f>
        <v/>
      </c>
      <c r="K127" s="15">
        <f>IF(OR(K126="",G126=""),"",IF(G126&lt;=0,"",IFERROR(K126/G126-1,"")))</f>
        <v/>
      </c>
      <c r="L127" s="15">
        <f>IF(OR(L126="",H126=""),"",IF(H126&lt;=0,"",IFERROR(L126/H126-1,"")))</f>
        <v/>
      </c>
      <c r="M127" s="15">
        <f>IF(OR(M126="",I126=""),"",IF(I126&lt;=0,"",IFERROR(M126/I126-1,"")))</f>
        <v/>
      </c>
      <c r="N127" s="15">
        <f>IF(OR(N126="",J126=""),"",IF(J126&lt;=0,"",IFERROR(N126/J126-1,"")))</f>
        <v/>
      </c>
      <c r="U127" s="15">
        <f>IF(OR(U126="",T126=""),"",IF(T126&lt;=0,"",IFERROR(U126/T126-1,"")))</f>
        <v/>
      </c>
      <c r="V127" s="15">
        <f>IF(OR(V126="",U126=""),"",IF(U126&lt;=0,"",IFERROR(V126/U126-1,"")))</f>
        <v/>
      </c>
      <c r="W127" s="15">
        <f>IF(OR(W126="",V126=""),"",IF(V126&lt;=0,"",IFERROR(W126/V126-1,"")))</f>
        <v/>
      </c>
      <c r="X127" s="15">
        <f>IF(OR(X126="",W126=""),"",IF(W126&lt;=0,"",IFERROR(X126/W126-1,"")))</f>
        <v/>
      </c>
    </row>
    <row r="128">
      <c r="A128" s="18" t="inlineStr">
        <is>
          <t>Basic Earnings Loss Per Share</t>
        </is>
      </c>
      <c r="C128" s="20" t="n">
        <v>5.037e-05</v>
      </c>
      <c r="D128" s="20" t="n">
        <v>1.051e-05</v>
      </c>
      <c r="E128" s="20" t="n">
        <v>0.00013345</v>
      </c>
      <c r="F128" s="20" t="n">
        <v>6.566000000000002e-05</v>
      </c>
      <c r="G128" s="20" t="n">
        <v>5.55e-05</v>
      </c>
      <c r="H128" s="20" t="n">
        <v>2.390999999999997e-05</v>
      </c>
      <c r="I128" s="20" t="n">
        <v>3.019e-05</v>
      </c>
      <c r="J128" s="20" t="n">
        <v>3.662000000000001e-05</v>
      </c>
      <c r="K128" s="20" t="n">
        <v>4.934000000000001e-05</v>
      </c>
      <c r="L128" s="20" t="n">
        <v>4.526999999999999e-05</v>
      </c>
      <c r="M128" s="20" t="n">
        <v>2.268e-05</v>
      </c>
      <c r="N128" s="20" t="n">
        <v>2.906e-05</v>
      </c>
      <c r="U128" s="20" t="n">
        <v>2.902e-05</v>
      </c>
      <c r="V128" s="20" t="n">
        <v>1.051e-05</v>
      </c>
      <c r="W128" s="20" t="n">
        <v>2.390999999999997e-05</v>
      </c>
      <c r="X128" s="20" t="n">
        <v>4.526999999999999e-05</v>
      </c>
    </row>
    <row r="129">
      <c r="A129" s="18" t="inlineStr">
        <is>
          <t>Diluted Earnings Loss Per Share</t>
        </is>
      </c>
      <c r="C129" s="20" t="n">
        <v>5.03e-05</v>
      </c>
      <c r="D129" s="20" t="n">
        <v>1.05e-05</v>
      </c>
      <c r="E129" s="20" t="n">
        <v>0.00013324</v>
      </c>
      <c r="F129" s="20" t="n">
        <v>6.557e-05</v>
      </c>
      <c r="G129" s="20" t="n">
        <v>5.543000000000001e-05</v>
      </c>
      <c r="H129" s="20" t="n">
        <v>2.394999999999999e-05</v>
      </c>
      <c r="I129" s="20" t="n">
        <v>3.015e-05</v>
      </c>
      <c r="J129" s="20" t="n">
        <v>3.658000000000001e-05</v>
      </c>
      <c r="K129" s="20" t="n">
        <v>4.928e-05</v>
      </c>
      <c r="L129" s="20" t="n">
        <v>4.521999999999998e-05</v>
      </c>
      <c r="M129" s="20" t="n">
        <v>2.265e-05</v>
      </c>
      <c r="N129" s="20" t="n">
        <v>2.903e-05</v>
      </c>
      <c r="U129" s="20" t="n">
        <v>2.895e-05</v>
      </c>
      <c r="V129" s="20" t="n">
        <v>1.05e-05</v>
      </c>
      <c r="W129" s="20" t="n">
        <v>2.394999999999999e-05</v>
      </c>
      <c r="X129" s="20" t="n">
        <v>4.521999999999998e-05</v>
      </c>
    </row>
    <row r="130">
      <c r="A130" s="9" t="inlineStr">
        <is>
          <t>Profit Loss Attributable To Owners Of Parent</t>
        </is>
      </c>
      <c r="C130" s="12" t="n">
        <v>4337</v>
      </c>
      <c r="D130" s="12" t="n">
        <v>906</v>
      </c>
      <c r="E130" s="12" t="n">
        <v>11492</v>
      </c>
      <c r="F130" s="12" t="n">
        <v>5654</v>
      </c>
      <c r="G130" s="12" t="n">
        <v>5396</v>
      </c>
      <c r="H130" s="12" t="n">
        <v>2473</v>
      </c>
      <c r="I130" s="12" t="n">
        <v>2813</v>
      </c>
      <c r="J130" s="12" t="n">
        <v>3368</v>
      </c>
      <c r="K130" s="12" t="n">
        <v>4500</v>
      </c>
      <c r="L130" s="12" t="n">
        <v>4119</v>
      </c>
      <c r="M130" s="12" t="n">
        <v>2055</v>
      </c>
      <c r="N130" s="12" t="n">
        <v>2628</v>
      </c>
      <c r="U130" s="12" t="n">
        <v>2501</v>
      </c>
      <c r="V130" s="12" t="n">
        <v>906</v>
      </c>
      <c r="W130" s="12" t="n">
        <v>2473</v>
      </c>
      <c r="X130" s="12" t="n">
        <v>4119</v>
      </c>
    </row>
    <row r="131">
      <c r="A131" s="43" t="inlineStr">
        <is>
          <t>YoY</t>
        </is>
      </c>
      <c r="B131" s="3" t="inlineStr">
        <is>
          <t>전년 같은 분기·전년 대비</t>
        </is>
      </c>
      <c r="G131" s="15">
        <f>IF(OR(G130="",C130=""),"",IF(C130&lt;=0,"",IFERROR(G130/C130-1,"")))</f>
        <v/>
      </c>
      <c r="H131" s="15">
        <f>IF(OR(H130="",D130=""),"",IF(D130&lt;=0,"",IFERROR(H130/D130-1,"")))</f>
        <v/>
      </c>
      <c r="I131" s="15">
        <f>IF(OR(I130="",E130=""),"",IF(E130&lt;=0,"",IFERROR(I130/E130-1,"")))</f>
        <v/>
      </c>
      <c r="J131" s="15">
        <f>IF(OR(J130="",F130=""),"",IF(F130&lt;=0,"",IFERROR(J130/F130-1,"")))</f>
        <v/>
      </c>
      <c r="K131" s="15">
        <f>IF(OR(K130="",G130=""),"",IF(G130&lt;=0,"",IFERROR(K130/G130-1,"")))</f>
        <v/>
      </c>
      <c r="L131" s="15">
        <f>IF(OR(L130="",H130=""),"",IF(H130&lt;=0,"",IFERROR(L130/H130-1,"")))</f>
        <v/>
      </c>
      <c r="M131" s="15">
        <f>IF(OR(M130="",I130=""),"",IF(I130&lt;=0,"",IFERROR(M130/I130-1,"")))</f>
        <v/>
      </c>
      <c r="N131" s="15">
        <f>IF(OR(N130="",J130=""),"",IF(J130&lt;=0,"",IFERROR(N130/J130-1,"")))</f>
        <v/>
      </c>
      <c r="U131" s="15">
        <f>IF(OR(U130="",T130=""),"",IF(T130&lt;=0,"",IFERROR(U130/T130-1,"")))</f>
        <v/>
      </c>
      <c r="V131" s="15">
        <f>IF(OR(V130="",U130=""),"",IF(U130&lt;=0,"",IFERROR(V130/U130-1,"")))</f>
        <v/>
      </c>
      <c r="W131" s="15">
        <f>IF(OR(W130="",V130=""),"",IF(V130&lt;=0,"",IFERROR(W130/V130-1,"")))</f>
        <v/>
      </c>
      <c r="X131" s="15">
        <f>IF(OR(X130="",W130=""),"",IF(W130&lt;=0,"",IFERROR(X130/W130-1,"")))</f>
        <v/>
      </c>
    </row>
    <row r="132">
      <c r="A132" s="9" t="inlineStr">
        <is>
          <t>비지배지분</t>
        </is>
      </c>
      <c r="C132" s="12" t="n">
        <v>286</v>
      </c>
      <c r="D132" s="12" t="n">
        <v>245</v>
      </c>
      <c r="E132" s="12" t="n">
        <v>440</v>
      </c>
      <c r="F132" s="12" t="n">
        <v>829</v>
      </c>
      <c r="G132" s="12" t="n">
        <v>677</v>
      </c>
      <c r="H132" s="12" t="n">
        <v>213</v>
      </c>
      <c r="I132" s="12" t="n">
        <v>213</v>
      </c>
      <c r="J132" s="12" t="n">
        <v>751</v>
      </c>
      <c r="K132" s="12" t="n">
        <v>251</v>
      </c>
      <c r="L132" s="12" t="n">
        <v>40</v>
      </c>
      <c r="M132" s="12" t="n">
        <v>731</v>
      </c>
      <c r="N132" s="12" t="n">
        <v>517</v>
      </c>
      <c r="U132" s="12" t="n">
        <v>364</v>
      </c>
      <c r="V132" s="12" t="n">
        <v>245</v>
      </c>
      <c r="W132" s="12" t="n">
        <v>213</v>
      </c>
      <c r="X132" s="12" t="n">
        <v>40</v>
      </c>
    </row>
    <row r="134">
      <c r="A134" s="16" t="inlineStr">
        <is>
          <t>포괄손익 · 전 항목</t>
        </is>
      </c>
      <c r="B134" s="42" t="inlineStr">
        <is>
          <t>분기 = 3개월 단독</t>
        </is>
      </c>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row>
    <row r="135">
      <c r="A135" s="5" t="inlineStr">
        <is>
          <t>항목</t>
        </is>
      </c>
      <c r="B135" s="5" t="inlineStr">
        <is>
          <t>참고</t>
        </is>
      </c>
      <c r="C135" s="5" t="inlineStr">
        <is>
          <t>2023.3Q</t>
        </is>
      </c>
      <c r="D135" s="5" t="inlineStr">
        <is>
          <t>2023.4Q</t>
        </is>
      </c>
      <c r="E135" s="5" t="inlineStr">
        <is>
          <t>2024.1Q</t>
        </is>
      </c>
      <c r="F135" s="5" t="inlineStr">
        <is>
          <t>2024.2Q</t>
        </is>
      </c>
      <c r="G135" s="5" t="inlineStr">
        <is>
          <t>2024.3Q</t>
        </is>
      </c>
      <c r="H135" s="5" t="inlineStr">
        <is>
          <t>2024.4Q</t>
        </is>
      </c>
      <c r="I135" s="5" t="inlineStr">
        <is>
          <t>2025.1Q</t>
        </is>
      </c>
      <c r="J135" s="5" t="inlineStr">
        <is>
          <t>2025.2Q</t>
        </is>
      </c>
      <c r="K135" s="5" t="inlineStr">
        <is>
          <t>2025.3Q</t>
        </is>
      </c>
      <c r="L135" s="5" t="inlineStr">
        <is>
          <t>2025.4Q</t>
        </is>
      </c>
      <c r="M135" s="5" t="inlineStr">
        <is>
          <t>2026.1Q</t>
        </is>
      </c>
      <c r="N135" s="5" t="inlineStr">
        <is>
          <t>2026.2Q</t>
        </is>
      </c>
      <c r="O135" s="5" t="inlineStr">
        <is>
          <t>2016</t>
        </is>
      </c>
      <c r="P135" s="5" t="inlineStr">
        <is>
          <t>2017</t>
        </is>
      </c>
      <c r="Q135" s="5" t="inlineStr">
        <is>
          <t>2018</t>
        </is>
      </c>
      <c r="R135" s="5" t="inlineStr">
        <is>
          <t>2019</t>
        </is>
      </c>
      <c r="S135" s="5" t="inlineStr">
        <is>
          <t>2020</t>
        </is>
      </c>
      <c r="T135" s="5" t="inlineStr">
        <is>
          <t>2021</t>
        </is>
      </c>
      <c r="U135" s="5" t="inlineStr">
        <is>
          <t>2022</t>
        </is>
      </c>
      <c r="V135" s="5" t="inlineStr">
        <is>
          <t>2023</t>
        </is>
      </c>
      <c r="W135" s="5" t="inlineStr">
        <is>
          <t>2024</t>
        </is>
      </c>
      <c r="X135" s="5" t="inlineStr">
        <is>
          <t>2025</t>
        </is>
      </c>
      <c r="Y135" s="5" t="inlineStr">
        <is>
          <t>2026(MW)</t>
        </is>
      </c>
      <c r="Z135" s="5" t="inlineStr">
        <is>
          <t>2027(MW)</t>
        </is>
      </c>
      <c r="AA135" s="5" t="inlineStr">
        <is>
          <t>2028(MW)</t>
        </is>
      </c>
      <c r="AB135" s="5" t="inlineStr">
        <is>
          <t>2029(MW)</t>
        </is>
      </c>
      <c r="AC135" s="5" t="inlineStr">
        <is>
          <t>2030(MW)</t>
        </is>
      </c>
    </row>
    <row r="136">
      <c r="A136" s="9" t="inlineStr">
        <is>
          <t>중간이익</t>
        </is>
      </c>
      <c r="C136" s="12" t="n">
        <v>4623</v>
      </c>
      <c r="D136" s="12" t="n">
        <v>1151</v>
      </c>
      <c r="E136" s="12" t="n">
        <v>11932</v>
      </c>
      <c r="F136" s="12" t="n">
        <v>6484</v>
      </c>
      <c r="G136" s="12" t="n">
        <v>6073</v>
      </c>
      <c r="H136" s="12" t="n">
        <v>2686</v>
      </c>
      <c r="I136" s="12" t="n">
        <v>3026</v>
      </c>
      <c r="J136" s="12" t="n">
        <v>4119</v>
      </c>
      <c r="K136" s="12" t="n">
        <v>4752</v>
      </c>
      <c r="L136" s="12" t="n">
        <v>4159</v>
      </c>
      <c r="M136" s="12" t="n">
        <v>2787</v>
      </c>
      <c r="N136" s="12" t="n">
        <v>3145</v>
      </c>
      <c r="U136" s="12" t="n">
        <v>2864</v>
      </c>
      <c r="V136" s="12" t="n">
        <v>1151</v>
      </c>
      <c r="W136" s="12" t="n">
        <v>2686</v>
      </c>
      <c r="X136" s="12" t="n">
        <v>4159</v>
      </c>
    </row>
    <row r="137">
      <c r="A137" s="18" t="inlineStr">
        <is>
          <t>확정급여제도 재측정</t>
        </is>
      </c>
      <c r="C137" s="20" t="n">
        <v>0</v>
      </c>
      <c r="D137" s="20" t="n">
        <v>50</v>
      </c>
      <c r="E137" s="20" t="n">
        <v>0</v>
      </c>
      <c r="F137" s="20" t="n">
        <v>0</v>
      </c>
      <c r="G137" s="20" t="n">
        <v>0</v>
      </c>
      <c r="H137" s="20" t="n">
        <v>200</v>
      </c>
      <c r="I137" s="20" t="n">
        <v>0</v>
      </c>
      <c r="J137" s="20" t="n">
        <v>0</v>
      </c>
      <c r="K137" s="20" t="n">
        <v>0</v>
      </c>
      <c r="L137" s="20" t="n">
        <v>229</v>
      </c>
      <c r="M137" s="20" t="n">
        <v>0</v>
      </c>
      <c r="N137" s="20" t="n">
        <v>0</v>
      </c>
      <c r="U137" s="20" t="n">
        <v>398</v>
      </c>
      <c r="V137" s="20" t="n">
        <v>50</v>
      </c>
      <c r="W137" s="20" t="n">
        <v>200</v>
      </c>
      <c r="X137" s="20" t="n">
        <v>229</v>
      </c>
    </row>
    <row r="138">
      <c r="A138" s="18" t="inlineStr">
        <is>
          <t>Net Change In Fair Value Of Equity Instruments Designated As Measured At Fair Value Through Other Comprehensive Income Net Of Tax Items That Will Not Be Reclassified To Profit Or Loss OCI</t>
        </is>
      </c>
      <c r="C138" s="20" t="n">
        <v>722</v>
      </c>
      <c r="D138" s="20" t="n">
        <v>-255</v>
      </c>
      <c r="E138" s="20" t="n">
        <v>251</v>
      </c>
      <c r="F138" s="20" t="n">
        <v>9</v>
      </c>
      <c r="G138" s="20" t="n">
        <v>0</v>
      </c>
      <c r="H138" s="20" t="n">
        <v>383</v>
      </c>
      <c r="I138" s="20" t="n">
        <v>82</v>
      </c>
      <c r="J138" s="20" t="n">
        <v>735</v>
      </c>
      <c r="K138" s="20" t="n">
        <v>989</v>
      </c>
      <c r="L138" s="20" t="n">
        <v>507</v>
      </c>
      <c r="M138" s="20" t="n">
        <v>129</v>
      </c>
      <c r="N138" s="20" t="n">
        <v>-424</v>
      </c>
      <c r="U138" s="20" t="n">
        <v>231</v>
      </c>
      <c r="V138" s="20" t="n">
        <v>-255</v>
      </c>
      <c r="W138" s="20" t="n">
        <v>383</v>
      </c>
      <c r="X138" s="20" t="n">
        <v>507</v>
      </c>
    </row>
    <row r="139">
      <c r="A139" s="18" t="inlineStr">
        <is>
          <t>Share Of Other Comprehensive Income Of Investments Accounted For Using Equity Method Net Of Tax Items That Will Not Be Reclassified To Profit Or Loss OCI</t>
        </is>
      </c>
      <c r="C139" s="20" t="n">
        <v>0</v>
      </c>
      <c r="D139" s="20" t="n">
        <v>0</v>
      </c>
      <c r="E139" s="20" t="n">
        <v>5</v>
      </c>
      <c r="F139" s="20" t="n">
        <v>0</v>
      </c>
      <c r="G139" s="20" t="n">
        <v>0</v>
      </c>
      <c r="H139" s="20" t="n">
        <v>0</v>
      </c>
      <c r="I139" s="20" t="n">
        <v>-8</v>
      </c>
      <c r="J139" s="20" t="n">
        <v>0</v>
      </c>
      <c r="K139" s="20" t="n">
        <v>0</v>
      </c>
      <c r="L139" s="20" t="n">
        <v>0</v>
      </c>
      <c r="M139" s="20" t="n">
        <v>43</v>
      </c>
      <c r="N139" s="20" t="n">
        <v>0</v>
      </c>
      <c r="U139" s="20" t="n">
        <v>0</v>
      </c>
      <c r="V139" s="20" t="n">
        <v>0</v>
      </c>
      <c r="W139" s="20" t="n">
        <v>0</v>
      </c>
      <c r="X139" s="20" t="n">
        <v>0</v>
      </c>
    </row>
    <row r="140">
      <c r="A140" s="18" t="inlineStr">
        <is>
          <t>합계</t>
        </is>
      </c>
      <c r="C140" s="20" t="n">
        <v>721</v>
      </c>
      <c r="D140" s="20" t="n">
        <v>-204</v>
      </c>
      <c r="E140" s="20" t="n">
        <v>256</v>
      </c>
      <c r="F140" s="20" t="n">
        <v>9</v>
      </c>
      <c r="G140" s="20" t="n">
        <v>0</v>
      </c>
      <c r="H140" s="20" t="n">
        <v>584</v>
      </c>
      <c r="I140" s="20" t="n">
        <v>73</v>
      </c>
      <c r="J140" s="20" t="n">
        <v>735</v>
      </c>
      <c r="K140" s="20" t="n">
        <v>990</v>
      </c>
      <c r="L140" s="20" t="n">
        <v>736</v>
      </c>
      <c r="M140" s="20" t="n">
        <v>173</v>
      </c>
      <c r="N140" s="20" t="n">
        <v>-425</v>
      </c>
      <c r="U140" s="20" t="n">
        <v>630</v>
      </c>
      <c r="V140" s="20" t="n">
        <v>-204</v>
      </c>
      <c r="W140" s="20" t="n">
        <v>584</v>
      </c>
      <c r="X140" s="20" t="n">
        <v>736</v>
      </c>
    </row>
    <row r="141">
      <c r="A141" s="18" t="inlineStr">
        <is>
          <t>현금흐름 위험회피</t>
        </is>
      </c>
      <c r="C141" s="20" t="n">
        <v>1115</v>
      </c>
      <c r="D141" s="20" t="n">
        <v>-1339</v>
      </c>
      <c r="E141" s="20" t="n">
        <v>2807</v>
      </c>
      <c r="F141" s="20" t="n">
        <v>3424</v>
      </c>
      <c r="G141" s="20" t="n">
        <v>-4041</v>
      </c>
      <c r="H141" s="20" t="n">
        <v>-1174</v>
      </c>
      <c r="I141" s="20" t="n">
        <v>1480</v>
      </c>
      <c r="J141" s="20" t="n">
        <v>161</v>
      </c>
      <c r="K141" s="20" t="n">
        <v>1411</v>
      </c>
      <c r="L141" s="20" t="n">
        <v>2724</v>
      </c>
      <c r="M141" s="20" t="n">
        <v>869</v>
      </c>
      <c r="N141" s="20" t="n">
        <v>984</v>
      </c>
      <c r="U141" s="20" t="n">
        <v>-2365</v>
      </c>
      <c r="V141" s="20" t="n">
        <v>-1339</v>
      </c>
      <c r="W141" s="20" t="n">
        <v>-1174</v>
      </c>
      <c r="X141" s="20" t="n">
        <v>2724</v>
      </c>
    </row>
    <row r="142">
      <c r="A142" s="18" t="inlineStr">
        <is>
          <t>Hedging Cost Net Of Tax Items That May Be Reclassified To Profit Or Loss OCI</t>
        </is>
      </c>
      <c r="C142" s="20" t="n">
        <v>234</v>
      </c>
      <c r="D142" s="20" t="n">
        <v>1166</v>
      </c>
      <c r="E142" s="20" t="n">
        <v>-46</v>
      </c>
      <c r="F142" s="20" t="n">
        <v>128</v>
      </c>
      <c r="G142" s="20" t="n">
        <v>437</v>
      </c>
      <c r="H142" s="20" t="n">
        <v>4417</v>
      </c>
      <c r="I142" s="20" t="n">
        <v>-2938</v>
      </c>
      <c r="J142" s="20" t="n">
        <v>290</v>
      </c>
      <c r="K142" s="20" t="n">
        <v>175</v>
      </c>
      <c r="L142" s="20" t="n">
        <v>79</v>
      </c>
      <c r="M142" s="20" t="n">
        <v>-183</v>
      </c>
      <c r="N142" s="20" t="n">
        <v>-139</v>
      </c>
      <c r="U142" s="20" t="n">
        <v>591</v>
      </c>
      <c r="V142" s="20" t="n">
        <v>1166</v>
      </c>
      <c r="W142" s="20" t="n">
        <v>4417</v>
      </c>
      <c r="X142" s="20" t="n">
        <v>79</v>
      </c>
    </row>
    <row r="143">
      <c r="A143" s="18" t="inlineStr">
        <is>
          <t>해외사업 환산차액</t>
        </is>
      </c>
      <c r="C143" s="20" t="n">
        <v>855</v>
      </c>
      <c r="D143" s="20" t="n">
        <v>-1606</v>
      </c>
      <c r="E143" s="20" t="n">
        <v>3716</v>
      </c>
      <c r="F143" s="20" t="n">
        <v>7183</v>
      </c>
      <c r="G143" s="20" t="n">
        <v>-13511</v>
      </c>
      <c r="H143" s="20" t="n">
        <v>10568</v>
      </c>
      <c r="I143" s="20" t="n">
        <v>-6393</v>
      </c>
      <c r="J143" s="20" t="n">
        <v>-2265</v>
      </c>
      <c r="K143" s="20" t="n">
        <v>2822</v>
      </c>
      <c r="L143" s="20" t="n">
        <v>6028</v>
      </c>
      <c r="M143" s="20" t="n">
        <v>2281</v>
      </c>
      <c r="N143" s="20" t="n">
        <v>1980</v>
      </c>
      <c r="U143" s="20" t="n">
        <v>-2372</v>
      </c>
      <c r="V143" s="20" t="n">
        <v>-1606</v>
      </c>
      <c r="W143" s="20" t="n">
        <v>10568</v>
      </c>
      <c r="X143" s="20" t="n">
        <v>6028</v>
      </c>
    </row>
    <row r="144">
      <c r="A144" s="18" t="inlineStr">
        <is>
          <t>Share Of Other Comprehensive Income Of Investments Accounted For Using Equity Method Net Of Tax Items That May Be Reclassified To Profit Or Loss OCI</t>
        </is>
      </c>
      <c r="C144" s="20" t="n">
        <v>5</v>
      </c>
      <c r="D144" s="20" t="n">
        <v>-8</v>
      </c>
      <c r="E144" s="20" t="n">
        <v>11</v>
      </c>
      <c r="F144" s="20" t="n">
        <v>14</v>
      </c>
      <c r="G144" s="20" t="n">
        <v>-50</v>
      </c>
      <c r="H144" s="20" t="n">
        <v>68</v>
      </c>
      <c r="I144" s="20" t="n">
        <v>-14</v>
      </c>
      <c r="J144" s="20" t="n">
        <v>-10</v>
      </c>
      <c r="K144" s="20" t="n">
        <v>9</v>
      </c>
      <c r="L144" s="20" t="n">
        <v>14</v>
      </c>
      <c r="M144" s="20" t="n">
        <v>4</v>
      </c>
      <c r="N144" s="20" t="n">
        <v>4</v>
      </c>
      <c r="U144" s="20" t="n">
        <v>-10</v>
      </c>
      <c r="V144" s="20" t="n">
        <v>-8</v>
      </c>
      <c r="W144" s="20" t="n">
        <v>68</v>
      </c>
      <c r="X144" s="20" t="n">
        <v>14</v>
      </c>
    </row>
    <row r="145">
      <c r="A145" s="18" t="inlineStr">
        <is>
          <t>합계</t>
        </is>
      </c>
      <c r="C145" s="20" t="n">
        <v>2210</v>
      </c>
      <c r="D145" s="20" t="n">
        <v>-1787</v>
      </c>
      <c r="E145" s="20" t="n">
        <v>6490</v>
      </c>
      <c r="F145" s="20" t="n">
        <v>10748</v>
      </c>
      <c r="G145" s="20" t="n">
        <v>-17166</v>
      </c>
      <c r="H145" s="20" t="n">
        <v>13881</v>
      </c>
      <c r="I145" s="20" t="n">
        <v>-7866</v>
      </c>
      <c r="J145" s="20" t="n">
        <v>-1823</v>
      </c>
      <c r="K145" s="20" t="n">
        <v>4416</v>
      </c>
      <c r="L145" s="20" t="n">
        <v>8845</v>
      </c>
      <c r="M145" s="20" t="n">
        <v>2972</v>
      </c>
      <c r="N145" s="20" t="n">
        <v>2829</v>
      </c>
      <c r="U145" s="20" t="n">
        <v>-4157</v>
      </c>
      <c r="V145" s="20" t="n">
        <v>-1787</v>
      </c>
      <c r="W145" s="20" t="n">
        <v>13881</v>
      </c>
      <c r="X145" s="20" t="n">
        <v>8845</v>
      </c>
    </row>
    <row r="146">
      <c r="A146" s="18" t="inlineStr">
        <is>
          <t>Other Comprehensive Income</t>
        </is>
      </c>
      <c r="C146" s="20" t="n">
        <v>2931</v>
      </c>
      <c r="D146" s="20" t="n">
        <v>-1991</v>
      </c>
      <c r="E146" s="20" t="n">
        <v>6746</v>
      </c>
      <c r="F146" s="20" t="n">
        <v>10757</v>
      </c>
      <c r="G146" s="20" t="n">
        <v>-17165</v>
      </c>
      <c r="H146" s="20" t="n">
        <v>14464</v>
      </c>
      <c r="I146" s="20" t="n">
        <v>-7793</v>
      </c>
      <c r="J146" s="20" t="n">
        <v>-1088</v>
      </c>
      <c r="K146" s="20" t="n">
        <v>5407</v>
      </c>
      <c r="L146" s="20" t="n">
        <v>9580</v>
      </c>
      <c r="M146" s="20" t="n">
        <v>3145</v>
      </c>
      <c r="N146" s="20" t="n">
        <v>2404</v>
      </c>
      <c r="U146" s="20" t="n">
        <v>-3527</v>
      </c>
      <c r="V146" s="20" t="n">
        <v>-1991</v>
      </c>
      <c r="W146" s="20" t="n">
        <v>14464</v>
      </c>
      <c r="X146" s="20" t="n">
        <v>9580</v>
      </c>
    </row>
    <row r="147">
      <c r="A147" s="9" t="inlineStr">
        <is>
          <t>포괄이익</t>
        </is>
      </c>
      <c r="C147" s="12" t="n">
        <v>7555</v>
      </c>
      <c r="D147" s="12" t="n">
        <v>-840</v>
      </c>
      <c r="E147" s="12" t="n">
        <v>18678</v>
      </c>
      <c r="F147" s="12" t="n">
        <v>17242</v>
      </c>
      <c r="G147" s="12" t="n">
        <v>-11093</v>
      </c>
      <c r="H147" s="12" t="n">
        <v>17151</v>
      </c>
      <c r="I147" s="12" t="n">
        <v>-4766</v>
      </c>
      <c r="J147" s="12" t="n">
        <v>3031</v>
      </c>
      <c r="K147" s="12" t="n">
        <v>10157</v>
      </c>
      <c r="L147" s="12" t="n">
        <v>13740</v>
      </c>
      <c r="M147" s="12" t="n">
        <v>5932</v>
      </c>
      <c r="N147" s="12" t="n">
        <v>5549</v>
      </c>
      <c r="U147" s="12" t="n">
        <v>-662</v>
      </c>
      <c r="V147" s="12" t="n">
        <v>-840</v>
      </c>
      <c r="W147" s="12" t="n">
        <v>17151</v>
      </c>
      <c r="X147" s="12" t="n">
        <v>13740</v>
      </c>
    </row>
    <row r="148">
      <c r="A148" s="9" t="inlineStr">
        <is>
          <t>Comprehensive Income Attributable To Owners Of Parent</t>
        </is>
      </c>
      <c r="C148" s="12" t="n">
        <v>7283</v>
      </c>
      <c r="D148" s="12" t="n">
        <v>-1001</v>
      </c>
      <c r="E148" s="12" t="n">
        <v>17611</v>
      </c>
      <c r="F148" s="12" t="n">
        <v>14775</v>
      </c>
      <c r="G148" s="12" t="n">
        <v>-8762</v>
      </c>
      <c r="H148" s="12" t="n">
        <v>14622</v>
      </c>
      <c r="I148" s="12" t="n">
        <v>-3524</v>
      </c>
      <c r="J148" s="12" t="n">
        <v>2540</v>
      </c>
      <c r="K148" s="12" t="n">
        <v>9395</v>
      </c>
      <c r="L148" s="12" t="n">
        <v>12560</v>
      </c>
      <c r="M148" s="12" t="n">
        <v>4788</v>
      </c>
      <c r="N148" s="12" t="n">
        <v>4668</v>
      </c>
      <c r="U148" s="12" t="n">
        <v>-932</v>
      </c>
      <c r="V148" s="12" t="n">
        <v>-1001</v>
      </c>
      <c r="W148" s="12" t="n">
        <v>14622</v>
      </c>
      <c r="X148" s="12" t="n">
        <v>12560</v>
      </c>
    </row>
    <row r="149">
      <c r="A149" s="9" t="inlineStr">
        <is>
          <t>비지배지분</t>
        </is>
      </c>
      <c r="C149" s="12" t="n">
        <v>272</v>
      </c>
      <c r="D149" s="12" t="n">
        <v>161</v>
      </c>
      <c r="E149" s="12" t="n">
        <v>1067</v>
      </c>
      <c r="F149" s="12" t="n">
        <v>2467</v>
      </c>
      <c r="G149" s="12" t="n">
        <v>-2331</v>
      </c>
      <c r="H149" s="12" t="n">
        <v>2528</v>
      </c>
      <c r="I149" s="12" t="n">
        <v>-1241</v>
      </c>
      <c r="J149" s="12" t="n">
        <v>491</v>
      </c>
      <c r="K149" s="12" t="n">
        <v>760</v>
      </c>
      <c r="L149" s="12" t="n">
        <v>1181</v>
      </c>
      <c r="M149" s="12" t="n">
        <v>1143</v>
      </c>
      <c r="N149" s="12" t="n">
        <v>882</v>
      </c>
      <c r="U149" s="12" t="n">
        <v>269</v>
      </c>
      <c r="V149" s="12" t="n">
        <v>161</v>
      </c>
      <c r="W149" s="12" t="n">
        <v>2528</v>
      </c>
      <c r="X149" s="12" t="n">
        <v>1181</v>
      </c>
    </row>
    <row r="151">
      <c r="A151" s="16" t="inlineStr">
        <is>
          <t>부문 · 전 항목</t>
        </is>
      </c>
      <c r="B151" s="42" t="inlineStr">
        <is>
          <t>부문 · 항목</t>
        </is>
      </c>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row>
    <row r="152">
      <c r="A152" s="5" t="inlineStr">
        <is>
          <t>항목</t>
        </is>
      </c>
      <c r="B152" s="5" t="inlineStr">
        <is>
          <t>참고</t>
        </is>
      </c>
      <c r="C152" s="5" t="inlineStr">
        <is>
          <t>2023.3Q</t>
        </is>
      </c>
      <c r="D152" s="5" t="inlineStr">
        <is>
          <t>2023.4Q</t>
        </is>
      </c>
      <c r="E152" s="5" t="inlineStr">
        <is>
          <t>2024.1Q</t>
        </is>
      </c>
      <c r="F152" s="5" t="inlineStr">
        <is>
          <t>2024.2Q</t>
        </is>
      </c>
      <c r="G152" s="5" t="inlineStr">
        <is>
          <t>2024.3Q</t>
        </is>
      </c>
      <c r="H152" s="5" t="inlineStr">
        <is>
          <t>2024.4Q</t>
        </is>
      </c>
      <c r="I152" s="5" t="inlineStr">
        <is>
          <t>2025.1Q</t>
        </is>
      </c>
      <c r="J152" s="5" t="inlineStr">
        <is>
          <t>2025.2Q</t>
        </is>
      </c>
      <c r="K152" s="5" t="inlineStr">
        <is>
          <t>2025.3Q</t>
        </is>
      </c>
      <c r="L152" s="5" t="inlineStr">
        <is>
          <t>2025.4Q</t>
        </is>
      </c>
      <c r="M152" s="5" t="inlineStr">
        <is>
          <t>2026.1Q</t>
        </is>
      </c>
      <c r="N152" s="5" t="inlineStr">
        <is>
          <t>2026.2Q</t>
        </is>
      </c>
      <c r="O152" s="5" t="inlineStr">
        <is>
          <t>2016</t>
        </is>
      </c>
      <c r="P152" s="5" t="inlineStr">
        <is>
          <t>2017</t>
        </is>
      </c>
      <c r="Q152" s="5" t="inlineStr">
        <is>
          <t>2018</t>
        </is>
      </c>
      <c r="R152" s="5" t="inlineStr">
        <is>
          <t>2019</t>
        </is>
      </c>
      <c r="S152" s="5" t="inlineStr">
        <is>
          <t>2020</t>
        </is>
      </c>
      <c r="T152" s="5" t="inlineStr">
        <is>
          <t>2021</t>
        </is>
      </c>
      <c r="U152" s="5" t="inlineStr">
        <is>
          <t>2022</t>
        </is>
      </c>
      <c r="V152" s="5" t="inlineStr">
        <is>
          <t>2023</t>
        </is>
      </c>
      <c r="W152" s="5" t="inlineStr">
        <is>
          <t>2024</t>
        </is>
      </c>
      <c r="X152" s="5" t="inlineStr">
        <is>
          <t>2025</t>
        </is>
      </c>
      <c r="Y152" s="5" t="inlineStr">
        <is>
          <t>2026(MW)</t>
        </is>
      </c>
      <c r="Z152" s="5" t="inlineStr">
        <is>
          <t>2027(MW)</t>
        </is>
      </c>
      <c r="AA152" s="5" t="inlineStr">
        <is>
          <t>2028(MW)</t>
        </is>
      </c>
      <c r="AB152" s="5" t="inlineStr">
        <is>
          <t>2029(MW)</t>
        </is>
      </c>
      <c r="AC152" s="5" t="inlineStr">
        <is>
          <t>2030(MW)</t>
        </is>
      </c>
    </row>
    <row r="153">
      <c r="A153" s="18" t="inlineStr">
        <is>
          <t>DomesticProcessedFoodBusinessReportableSegmentMember · Revenue From External Customers</t>
        </is>
      </c>
      <c r="C153" s="20" t="n">
        <v>38674</v>
      </c>
      <c r="D153" s="20" t="n">
        <v>37811</v>
      </c>
      <c r="E153" s="20" t="n">
        <v>32807</v>
      </c>
      <c r="F153" s="20" t="n">
        <v>39876</v>
      </c>
      <c r="G153" s="20" t="n">
        <v>42204</v>
      </c>
      <c r="H153" s="20" t="n">
        <v>40824</v>
      </c>
      <c r="I153" s="20" t="n">
        <v>33475</v>
      </c>
      <c r="J153" s="20" t="n">
        <v>39753</v>
      </c>
      <c r="K153" s="20" t="n">
        <v>42456</v>
      </c>
      <c r="L153" s="20" t="n">
        <v>41640</v>
      </c>
      <c r="M153" s="20" t="n">
        <v>33399</v>
      </c>
      <c r="N153" s="20" t="n">
        <v>39678</v>
      </c>
      <c r="V153" s="20" t="n">
        <v>37811</v>
      </c>
      <c r="W153" s="20" t="n">
        <v>40824</v>
      </c>
      <c r="X153" s="20" t="n">
        <v>41640</v>
      </c>
    </row>
    <row r="154">
      <c r="A154" s="43" t="inlineStr">
        <is>
          <t>YoY</t>
        </is>
      </c>
      <c r="B154" s="3" t="inlineStr">
        <is>
          <t>전년 같은 분기·전년 대비</t>
        </is>
      </c>
      <c r="G154" s="15">
        <f>IF(OR(G153="",C153=""),"",IF(C153&lt;=0,"",IFERROR(G153/C153-1,"")))</f>
        <v/>
      </c>
      <c r="H154" s="15">
        <f>IF(OR(H153="",D153=""),"",IF(D153&lt;=0,"",IFERROR(H153/D153-1,"")))</f>
        <v/>
      </c>
      <c r="I154" s="15">
        <f>IF(OR(I153="",E153=""),"",IF(E153&lt;=0,"",IFERROR(I153/E153-1,"")))</f>
        <v/>
      </c>
      <c r="J154" s="15">
        <f>IF(OR(J153="",F153=""),"",IF(F153&lt;=0,"",IFERROR(J153/F153-1,"")))</f>
        <v/>
      </c>
      <c r="K154" s="15">
        <f>IF(OR(K153="",G153=""),"",IF(G153&lt;=0,"",IFERROR(K153/G153-1,"")))</f>
        <v/>
      </c>
      <c r="L154" s="15">
        <f>IF(OR(L153="",H153=""),"",IF(H153&lt;=0,"",IFERROR(L153/H153-1,"")))</f>
        <v/>
      </c>
      <c r="M154" s="15">
        <f>IF(OR(M153="",I153=""),"",IF(I153&lt;=0,"",IFERROR(M153/I153-1,"")))</f>
        <v/>
      </c>
      <c r="N154" s="15">
        <f>IF(OR(N153="",J153=""),"",IF(J153&lt;=0,"",IFERROR(N153/J153-1,"")))</f>
        <v/>
      </c>
      <c r="V154" s="15">
        <f>IF(OR(V153="",U153=""),"",IF(U153&lt;=0,"",IFERROR(V153/U153-1,"")))</f>
        <v/>
      </c>
      <c r="W154" s="15">
        <f>IF(OR(W153="",V153=""),"",IF(V153&lt;=0,"",IFERROR(W153/V153-1,"")))</f>
        <v/>
      </c>
      <c r="X154" s="15">
        <f>IF(OR(X153="",W153=""),"",IF(W153&lt;=0,"",IFERROR(X153/W153-1,"")))</f>
        <v/>
      </c>
    </row>
    <row r="155">
      <c r="A155" s="18" t="inlineStr">
        <is>
          <t>OverseasReportableSegmentMember · Revenue From External Customers</t>
        </is>
      </c>
      <c r="C155" s="20" t="n">
        <v>16246</v>
      </c>
      <c r="D155" s="20" t="n">
        <v>17479</v>
      </c>
      <c r="E155" s="20" t="n">
        <v>29822</v>
      </c>
      <c r="F155" s="20" t="n">
        <v>33636</v>
      </c>
      <c r="G155" s="20" t="n">
        <v>31496</v>
      </c>
      <c r="H155" s="20" t="n">
        <v>34580</v>
      </c>
      <c r="I155" s="20" t="n">
        <v>28340</v>
      </c>
      <c r="J155" s="20" t="n">
        <v>25347</v>
      </c>
      <c r="K155" s="20" t="n">
        <v>30435</v>
      </c>
      <c r="L155" s="20" t="n">
        <v>30707</v>
      </c>
      <c r="M155" s="20" t="n">
        <v>29073</v>
      </c>
      <c r="N155" s="20" t="n">
        <v>29878</v>
      </c>
      <c r="V155" s="20" t="n">
        <v>17479</v>
      </c>
      <c r="W155" s="20" t="n">
        <v>34580</v>
      </c>
      <c r="X155" s="20" t="n">
        <v>30707</v>
      </c>
    </row>
    <row r="156">
      <c r="A156" s="43" t="inlineStr">
        <is>
          <t>YoY</t>
        </is>
      </c>
      <c r="B156" s="3" t="inlineStr">
        <is>
          <t>전년 같은 분기·전년 대비</t>
        </is>
      </c>
      <c r="G156" s="15">
        <f>IF(OR(G155="",C155=""),"",IF(C155&lt;=0,"",IFERROR(G155/C155-1,"")))</f>
        <v/>
      </c>
      <c r="H156" s="15">
        <f>IF(OR(H155="",D155=""),"",IF(D155&lt;=0,"",IFERROR(H155/D155-1,"")))</f>
        <v/>
      </c>
      <c r="I156" s="15">
        <f>IF(OR(I155="",E155=""),"",IF(E155&lt;=0,"",IFERROR(I155/E155-1,"")))</f>
        <v/>
      </c>
      <c r="J156" s="15">
        <f>IF(OR(J155="",F155=""),"",IF(F155&lt;=0,"",IFERROR(J155/F155-1,"")))</f>
        <v/>
      </c>
      <c r="K156" s="15">
        <f>IF(OR(K155="",G155=""),"",IF(G155&lt;=0,"",IFERROR(K155/G155-1,"")))</f>
        <v/>
      </c>
      <c r="L156" s="15">
        <f>IF(OR(L155="",H155=""),"",IF(H155&lt;=0,"",IFERROR(L155/H155-1,"")))</f>
        <v/>
      </c>
      <c r="M156" s="15">
        <f>IF(OR(M155="",I155=""),"",IF(I155&lt;=0,"",IFERROR(M155/I155-1,"")))</f>
        <v/>
      </c>
      <c r="N156" s="15">
        <f>IF(OR(N155="",J155=""),"",IF(J155&lt;=0,"",IFERROR(N155/J155-1,"")))</f>
        <v/>
      </c>
      <c r="V156" s="15">
        <f>IF(OR(V155="",U155=""),"",IF(U155&lt;=0,"",IFERROR(V155/U155-1,"")))</f>
        <v/>
      </c>
      <c r="W156" s="15">
        <f>IF(OR(W155="",V155=""),"",IF(V155&lt;=0,"",IFERROR(W155/V155-1,"")))</f>
        <v/>
      </c>
      <c r="X156" s="15">
        <f>IF(OR(X155="",W155=""),"",IF(W155&lt;=0,"",IFERROR(X155/W155-1,"")))</f>
        <v/>
      </c>
    </row>
    <row r="157">
      <c r="A157" s="18" t="inlineStr">
        <is>
          <t>OtherDomesticReportableSegmentMember · Revenue From External Customers</t>
        </is>
      </c>
      <c r="C157" s="20" t="n">
        <v>4624</v>
      </c>
      <c r="D157" s="20" t="n">
        <v>4573</v>
      </c>
      <c r="E157" s="20" t="n">
        <v>4747</v>
      </c>
      <c r="F157" s="20" t="n">
        <v>7352</v>
      </c>
      <c r="G157" s="20" t="n">
        <v>4438</v>
      </c>
      <c r="H157" s="20" t="n">
        <v>5085</v>
      </c>
      <c r="I157" s="20" t="n">
        <v>5351</v>
      </c>
      <c r="J157" s="20" t="n">
        <v>6415</v>
      </c>
      <c r="K157" s="20" t="n">
        <v>4737</v>
      </c>
      <c r="L157" s="20" t="n">
        <v>5606</v>
      </c>
      <c r="M157" s="20" t="n">
        <v>5091</v>
      </c>
      <c r="N157" s="20" t="n">
        <v>6665</v>
      </c>
      <c r="V157" s="20" t="n">
        <v>4573</v>
      </c>
      <c r="W157" s="20" t="n">
        <v>5085</v>
      </c>
      <c r="X157" s="20" t="n">
        <v>5606</v>
      </c>
    </row>
    <row r="158">
      <c r="A158" s="43" t="inlineStr">
        <is>
          <t>YoY</t>
        </is>
      </c>
      <c r="B158" s="3" t="inlineStr">
        <is>
          <t>전년 같은 분기·전년 대비</t>
        </is>
      </c>
      <c r="G158" s="15">
        <f>IF(OR(G157="",C157=""),"",IF(C157&lt;=0,"",IFERROR(G157/C157-1,"")))</f>
        <v/>
      </c>
      <c r="H158" s="15">
        <f>IF(OR(H157="",D157=""),"",IF(D157&lt;=0,"",IFERROR(H157/D157-1,"")))</f>
        <v/>
      </c>
      <c r="I158" s="15">
        <f>IF(OR(I157="",E157=""),"",IF(E157&lt;=0,"",IFERROR(I157/E157-1,"")))</f>
        <v/>
      </c>
      <c r="J158" s="15">
        <f>IF(OR(J157="",F157=""),"",IF(F157&lt;=0,"",IFERROR(J157/F157-1,"")))</f>
        <v/>
      </c>
      <c r="K158" s="15">
        <f>IF(OR(K157="",G157=""),"",IF(G157&lt;=0,"",IFERROR(K157/G157-1,"")))</f>
        <v/>
      </c>
      <c r="L158" s="15">
        <f>IF(OR(L157="",H157=""),"",IF(H157&lt;=0,"",IFERROR(L157/H157-1,"")))</f>
        <v/>
      </c>
      <c r="M158" s="15">
        <f>IF(OR(M157="",I157=""),"",IF(I157&lt;=0,"",IFERROR(M157/I157-1,"")))</f>
        <v/>
      </c>
      <c r="N158" s="15">
        <f>IF(OR(N157="",J157=""),"",IF(J157&lt;=0,"",IFERROR(N157/J157-1,"")))</f>
        <v/>
      </c>
      <c r="V158" s="15">
        <f>IF(OR(V157="",U157=""),"",IF(U157&lt;=0,"",IFERROR(V157/U157-1,"")))</f>
        <v/>
      </c>
      <c r="W158" s="15">
        <f>IF(OR(W157="",V157=""),"",IF(V157&lt;=0,"",IFERROR(W157/V157-1,"")))</f>
        <v/>
      </c>
      <c r="X158" s="15">
        <f>IF(OR(X157="",W157=""),"",IF(W157&lt;=0,"",IFERROR(X157/W157-1,"")))</f>
        <v/>
      </c>
    </row>
    <row r="159">
      <c r="A159" s="18" t="inlineStr">
        <is>
          <t>조정액 · Revenue From External Customers</t>
        </is>
      </c>
      <c r="C159" s="20" t="n">
        <v>0</v>
      </c>
      <c r="E159" s="20" t="n">
        <v>0</v>
      </c>
      <c r="F159" s="20" t="n">
        <v>0</v>
      </c>
      <c r="G159" s="20" t="n">
        <v>0</v>
      </c>
      <c r="H159" s="20" t="n">
        <v>0</v>
      </c>
      <c r="I159" s="20" t="n">
        <v>0</v>
      </c>
      <c r="J159" s="20" t="n">
        <v>0</v>
      </c>
      <c r="K159" s="20" t="n">
        <v>0</v>
      </c>
      <c r="L159" s="20" t="n">
        <v>0</v>
      </c>
      <c r="M159" s="20" t="n">
        <v>0</v>
      </c>
      <c r="N159" s="20" t="n">
        <v>0</v>
      </c>
      <c r="W159" s="20" t="n">
        <v>0</v>
      </c>
      <c r="X159" s="20" t="n">
        <v>0</v>
      </c>
    </row>
    <row r="160">
      <c r="A160" s="18" t="inlineStr">
        <is>
          <t>EntityTotalMember · Revenue From External Customers</t>
        </is>
      </c>
      <c r="I160" s="20" t="n">
        <v>67167</v>
      </c>
      <c r="M160" s="20" t="n">
        <v>67564</v>
      </c>
    </row>
    <row r="161">
      <c r="A161" s="9" t="inlineStr">
        <is>
          <t>Revenue From External Customers</t>
        </is>
      </c>
      <c r="C161" s="12" t="n">
        <v>59544</v>
      </c>
      <c r="D161" s="12" t="n">
        <v>59863</v>
      </c>
      <c r="E161" s="12" t="n">
        <v>67378</v>
      </c>
      <c r="F161" s="12" t="n">
        <v>80864</v>
      </c>
      <c r="G161" s="12" t="n">
        <v>78138</v>
      </c>
      <c r="H161" s="12" t="n">
        <v>80489</v>
      </c>
      <c r="I161" s="12" t="n">
        <v>67167</v>
      </c>
      <c r="J161" s="12" t="n">
        <v>71514</v>
      </c>
      <c r="K161" s="12" t="n">
        <v>77628</v>
      </c>
      <c r="L161" s="12" t="n">
        <v>77955</v>
      </c>
      <c r="V161" s="12" t="n">
        <v>59863</v>
      </c>
      <c r="W161" s="12" t="n">
        <v>80489</v>
      </c>
      <c r="X161" s="12" t="n">
        <v>77955</v>
      </c>
    </row>
    <row r="162">
      <c r="A162" s="43" t="inlineStr">
        <is>
          <t>YoY</t>
        </is>
      </c>
      <c r="B162" s="3" t="inlineStr">
        <is>
          <t>전년 같은 분기·전년 대비</t>
        </is>
      </c>
      <c r="G162" s="15">
        <f>IF(OR(G161="",C161=""),"",IF(C161&lt;=0,"",IFERROR(G161/C161-1,"")))</f>
        <v/>
      </c>
      <c r="H162" s="15">
        <f>IF(OR(H161="",D161=""),"",IF(D161&lt;=0,"",IFERROR(H161/D161-1,"")))</f>
        <v/>
      </c>
      <c r="I162" s="15">
        <f>IF(OR(I161="",E161=""),"",IF(E161&lt;=0,"",IFERROR(I161/E161-1,"")))</f>
        <v/>
      </c>
      <c r="J162" s="15">
        <f>IF(OR(J161="",F161=""),"",IF(F161&lt;=0,"",IFERROR(J161/F161-1,"")))</f>
        <v/>
      </c>
      <c r="K162" s="15">
        <f>IF(OR(K161="",G161=""),"",IF(G161&lt;=0,"",IFERROR(K161/G161-1,"")))</f>
        <v/>
      </c>
      <c r="L162" s="15">
        <f>IF(OR(L161="",H161=""),"",IF(H161&lt;=0,"",IFERROR(L161/H161-1,"")))</f>
        <v/>
      </c>
      <c r="V162" s="15">
        <f>IF(OR(V161="",U161=""),"",IF(U161&lt;=0,"",IFERROR(V161/U161-1,"")))</f>
        <v/>
      </c>
      <c r="W162" s="15">
        <f>IF(OR(W161="",V161=""),"",IF(V161&lt;=0,"",IFERROR(W161/V161-1,"")))</f>
        <v/>
      </c>
      <c r="X162" s="15">
        <f>IF(OR(X161="",W161=""),"",IF(W161&lt;=0,"",IFERROR(X161/W161-1,"")))</f>
        <v/>
      </c>
    </row>
    <row r="163">
      <c r="A163" s="18" t="inlineStr">
        <is>
          <t>DomesticProcessedFoodBusinessReportableSegmentMember · Intersegment Revenue</t>
        </is>
      </c>
      <c r="C163" s="20" t="n">
        <v>0</v>
      </c>
      <c r="D163" s="20" t="n">
        <v>0</v>
      </c>
      <c r="E163" s="20" t="n">
        <v>0</v>
      </c>
      <c r="F163" s="20" t="n">
        <v>0</v>
      </c>
      <c r="G163" s="20" t="n">
        <v>0</v>
      </c>
      <c r="H163" s="20" t="n">
        <v>0</v>
      </c>
      <c r="I163" s="20" t="n">
        <v>0</v>
      </c>
      <c r="J163" s="20" t="n">
        <v>0</v>
      </c>
      <c r="K163" s="20" t="n">
        <v>0</v>
      </c>
      <c r="L163" s="20" t="n">
        <v>0</v>
      </c>
      <c r="M163" s="20" t="n">
        <v>0</v>
      </c>
      <c r="N163" s="20" t="n">
        <v>0</v>
      </c>
      <c r="V163" s="20" t="n">
        <v>0</v>
      </c>
      <c r="W163" s="20" t="n">
        <v>0</v>
      </c>
      <c r="X163" s="20" t="n">
        <v>0</v>
      </c>
    </row>
    <row r="164">
      <c r="A164" s="18" t="inlineStr">
        <is>
          <t>OverseasReportableSegmentMember · Intersegment Revenue</t>
        </is>
      </c>
      <c r="C164" s="20" t="n">
        <v>2356</v>
      </c>
      <c r="D164" s="20" t="n">
        <v>4673</v>
      </c>
      <c r="E164" s="20" t="n">
        <v>6401</v>
      </c>
      <c r="F164" s="20" t="n">
        <v>6299</v>
      </c>
      <c r="G164" s="20" t="n">
        <v>3594</v>
      </c>
      <c r="H164" s="20" t="n">
        <v>3474</v>
      </c>
      <c r="I164" s="20" t="n">
        <v>4033</v>
      </c>
      <c r="J164" s="20" t="n">
        <v>3570</v>
      </c>
      <c r="K164" s="20" t="n">
        <v>3090</v>
      </c>
      <c r="L164" s="20" t="n">
        <v>4314</v>
      </c>
      <c r="M164" s="20" t="n">
        <v>5184</v>
      </c>
      <c r="N164" s="20" t="n">
        <v>4440</v>
      </c>
      <c r="V164" s="20" t="n">
        <v>4673</v>
      </c>
      <c r="W164" s="20" t="n">
        <v>3474</v>
      </c>
      <c r="X164" s="20" t="n">
        <v>4314</v>
      </c>
    </row>
    <row r="165">
      <c r="A165" s="18" t="inlineStr">
        <is>
          <t>OtherDomesticReportableSegmentMember · Intersegment Revenue</t>
        </is>
      </c>
      <c r="C165" s="20" t="n">
        <v>56</v>
      </c>
      <c r="D165" s="20" t="n">
        <v>-4</v>
      </c>
      <c r="E165" s="20" t="n">
        <v>0</v>
      </c>
      <c r="F165" s="20" t="n">
        <v>1</v>
      </c>
      <c r="G165" s="20" t="n">
        <v>91</v>
      </c>
      <c r="H165" s="20" t="n">
        <v>146</v>
      </c>
      <c r="I165" s="20" t="n">
        <v>52</v>
      </c>
      <c r="J165" s="20" t="n">
        <v>52</v>
      </c>
      <c r="K165" s="20" t="n">
        <v>73</v>
      </c>
      <c r="L165" s="20" t="n">
        <v>74</v>
      </c>
      <c r="M165" s="20" t="n">
        <v>41</v>
      </c>
      <c r="N165" s="20" t="n">
        <v>51</v>
      </c>
      <c r="V165" s="20" t="n">
        <v>-4</v>
      </c>
      <c r="W165" s="20" t="n">
        <v>146</v>
      </c>
      <c r="X165" s="20" t="n">
        <v>74</v>
      </c>
    </row>
    <row r="166">
      <c r="A166" s="18" t="inlineStr">
        <is>
          <t>조정액 · Intersegment Revenue</t>
        </is>
      </c>
      <c r="C166" s="20" t="n">
        <v>-2411</v>
      </c>
      <c r="E166" s="20" t="n">
        <v>-6401</v>
      </c>
      <c r="F166" s="20" t="n">
        <v>-6300</v>
      </c>
      <c r="G166" s="20" t="n">
        <v>-3686</v>
      </c>
      <c r="H166" s="20" t="n">
        <v>-3620</v>
      </c>
      <c r="I166" s="20" t="n">
        <v>-4086</v>
      </c>
      <c r="J166" s="20" t="n">
        <v>-3622</v>
      </c>
      <c r="K166" s="20" t="n">
        <v>-3162</v>
      </c>
      <c r="L166" s="20" t="n">
        <v>-4389</v>
      </c>
      <c r="M166" s="20" t="n">
        <v>-5225</v>
      </c>
      <c r="N166" s="20" t="n">
        <v>-4492</v>
      </c>
      <c r="W166" s="20" t="n">
        <v>-3620</v>
      </c>
      <c r="X166" s="20" t="n">
        <v>-4389</v>
      </c>
    </row>
    <row r="167">
      <c r="A167" s="18" t="inlineStr">
        <is>
          <t>EntityTotalMember · Intersegment Revenue</t>
        </is>
      </c>
      <c r="I167" s="20" t="n">
        <v>0</v>
      </c>
      <c r="M167" s="20" t="n">
        <v>0</v>
      </c>
    </row>
    <row r="168">
      <c r="A168" s="18" t="inlineStr">
        <is>
          <t>Intersegment Revenue</t>
        </is>
      </c>
      <c r="C168" s="20" t="n">
        <v>0</v>
      </c>
      <c r="D168" s="20" t="n">
        <v>0</v>
      </c>
      <c r="E168" s="20" t="n">
        <v>0</v>
      </c>
      <c r="F168" s="20" t="n">
        <v>0</v>
      </c>
      <c r="G168" s="20" t="n">
        <v>0</v>
      </c>
      <c r="H168" s="20" t="n">
        <v>0</v>
      </c>
      <c r="I168" s="20" t="n">
        <v>0</v>
      </c>
      <c r="J168" s="20" t="n">
        <v>0</v>
      </c>
      <c r="K168" s="20" t="n">
        <v>0</v>
      </c>
      <c r="L168" s="20" t="n">
        <v>0</v>
      </c>
      <c r="V168" s="20" t="n">
        <v>0</v>
      </c>
      <c r="W168" s="20" t="n">
        <v>0</v>
      </c>
      <c r="X168" s="20" t="n">
        <v>0</v>
      </c>
    </row>
    <row r="169">
      <c r="A169" s="18" t="inlineStr">
        <is>
          <t>DomesticProcessedFoodBusinessReportableSegmentMember · Revenue</t>
        </is>
      </c>
      <c r="C169" s="20" t="n">
        <v>38674</v>
      </c>
      <c r="D169" s="20" t="n">
        <v>37811</v>
      </c>
      <c r="E169" s="20" t="n">
        <v>32807</v>
      </c>
      <c r="F169" s="20" t="n">
        <v>39876</v>
      </c>
      <c r="G169" s="20" t="n">
        <v>42204</v>
      </c>
      <c r="H169" s="20" t="n">
        <v>40824</v>
      </c>
      <c r="I169" s="20" t="n">
        <v>33475</v>
      </c>
      <c r="J169" s="20" t="n">
        <v>39753</v>
      </c>
      <c r="K169" s="20" t="n">
        <v>42456</v>
      </c>
      <c r="L169" s="20" t="n">
        <v>41640</v>
      </c>
      <c r="M169" s="20" t="n">
        <v>33399</v>
      </c>
      <c r="N169" s="20" t="n">
        <v>39678</v>
      </c>
      <c r="V169" s="20" t="n">
        <v>37811</v>
      </c>
      <c r="W169" s="20" t="n">
        <v>40824</v>
      </c>
      <c r="X169" s="20" t="n">
        <v>41640</v>
      </c>
    </row>
    <row r="170">
      <c r="A170" s="43" t="inlineStr">
        <is>
          <t>YoY</t>
        </is>
      </c>
      <c r="B170" s="3" t="inlineStr">
        <is>
          <t>전년 같은 분기·전년 대비</t>
        </is>
      </c>
      <c r="G170" s="15">
        <f>IF(OR(G169="",C169=""),"",IF(C169&lt;=0,"",IFERROR(G169/C169-1,"")))</f>
        <v/>
      </c>
      <c r="H170" s="15">
        <f>IF(OR(H169="",D169=""),"",IF(D169&lt;=0,"",IFERROR(H169/D169-1,"")))</f>
        <v/>
      </c>
      <c r="I170" s="15">
        <f>IF(OR(I169="",E169=""),"",IF(E169&lt;=0,"",IFERROR(I169/E169-1,"")))</f>
        <v/>
      </c>
      <c r="J170" s="15">
        <f>IF(OR(J169="",F169=""),"",IF(F169&lt;=0,"",IFERROR(J169/F169-1,"")))</f>
        <v/>
      </c>
      <c r="K170" s="15">
        <f>IF(OR(K169="",G169=""),"",IF(G169&lt;=0,"",IFERROR(K169/G169-1,"")))</f>
        <v/>
      </c>
      <c r="L170" s="15">
        <f>IF(OR(L169="",H169=""),"",IF(H169&lt;=0,"",IFERROR(L169/H169-1,"")))</f>
        <v/>
      </c>
      <c r="M170" s="15">
        <f>IF(OR(M169="",I169=""),"",IF(I169&lt;=0,"",IFERROR(M169/I169-1,"")))</f>
        <v/>
      </c>
      <c r="N170" s="15">
        <f>IF(OR(N169="",J169=""),"",IF(J169&lt;=0,"",IFERROR(N169/J169-1,"")))</f>
        <v/>
      </c>
      <c r="V170" s="15">
        <f>IF(OR(V169="",U169=""),"",IF(U169&lt;=0,"",IFERROR(V169/U169-1,"")))</f>
        <v/>
      </c>
      <c r="W170" s="15">
        <f>IF(OR(W169="",V169=""),"",IF(V169&lt;=0,"",IFERROR(W169/V169-1,"")))</f>
        <v/>
      </c>
      <c r="X170" s="15">
        <f>IF(OR(X169="",W169=""),"",IF(W169&lt;=0,"",IFERROR(X169/W169-1,"")))</f>
        <v/>
      </c>
    </row>
    <row r="171">
      <c r="A171" s="18" t="inlineStr">
        <is>
          <t>OverseasReportableSegmentMember · Revenue</t>
        </is>
      </c>
      <c r="C171" s="20" t="n">
        <v>18602</v>
      </c>
      <c r="D171" s="20" t="n">
        <v>22153</v>
      </c>
      <c r="E171" s="20" t="n">
        <v>36223</v>
      </c>
      <c r="F171" s="20" t="n">
        <v>39936</v>
      </c>
      <c r="G171" s="20" t="n">
        <v>35090</v>
      </c>
      <c r="H171" s="20" t="n">
        <v>38054</v>
      </c>
      <c r="I171" s="20" t="n">
        <v>32374</v>
      </c>
      <c r="J171" s="20" t="n">
        <v>28916</v>
      </c>
      <c r="K171" s="20" t="n">
        <v>33525</v>
      </c>
      <c r="L171" s="20" t="n">
        <v>35022</v>
      </c>
      <c r="M171" s="20" t="n">
        <v>34257</v>
      </c>
      <c r="N171" s="20" t="n">
        <v>34319</v>
      </c>
      <c r="V171" s="20" t="n">
        <v>22153</v>
      </c>
      <c r="W171" s="20" t="n">
        <v>38054</v>
      </c>
      <c r="X171" s="20" t="n">
        <v>35022</v>
      </c>
    </row>
    <row r="172">
      <c r="A172" s="43" t="inlineStr">
        <is>
          <t>YoY</t>
        </is>
      </c>
      <c r="B172" s="3" t="inlineStr">
        <is>
          <t>전년 같은 분기·전년 대비</t>
        </is>
      </c>
      <c r="G172" s="15">
        <f>IF(OR(G171="",C171=""),"",IF(C171&lt;=0,"",IFERROR(G171/C171-1,"")))</f>
        <v/>
      </c>
      <c r="H172" s="15">
        <f>IF(OR(H171="",D171=""),"",IF(D171&lt;=0,"",IFERROR(H171/D171-1,"")))</f>
        <v/>
      </c>
      <c r="I172" s="15">
        <f>IF(OR(I171="",E171=""),"",IF(E171&lt;=0,"",IFERROR(I171/E171-1,"")))</f>
        <v/>
      </c>
      <c r="J172" s="15">
        <f>IF(OR(J171="",F171=""),"",IF(F171&lt;=0,"",IFERROR(J171/F171-1,"")))</f>
        <v/>
      </c>
      <c r="K172" s="15">
        <f>IF(OR(K171="",G171=""),"",IF(G171&lt;=0,"",IFERROR(K171/G171-1,"")))</f>
        <v/>
      </c>
      <c r="L172" s="15">
        <f>IF(OR(L171="",H171=""),"",IF(H171&lt;=0,"",IFERROR(L171/H171-1,"")))</f>
        <v/>
      </c>
      <c r="M172" s="15">
        <f>IF(OR(M171="",I171=""),"",IF(I171&lt;=0,"",IFERROR(M171/I171-1,"")))</f>
        <v/>
      </c>
      <c r="N172" s="15">
        <f>IF(OR(N171="",J171=""),"",IF(J171&lt;=0,"",IFERROR(N171/J171-1,"")))</f>
        <v/>
      </c>
      <c r="V172" s="15">
        <f>IF(OR(V171="",U171=""),"",IF(U171&lt;=0,"",IFERROR(V171/U171-1,"")))</f>
        <v/>
      </c>
      <c r="W172" s="15">
        <f>IF(OR(W171="",V171=""),"",IF(V171&lt;=0,"",IFERROR(W171/V171-1,"")))</f>
        <v/>
      </c>
      <c r="X172" s="15">
        <f>IF(OR(X171="",W171=""),"",IF(W171&lt;=0,"",IFERROR(X171/W171-1,"")))</f>
        <v/>
      </c>
    </row>
    <row r="173">
      <c r="A173" s="18" t="inlineStr">
        <is>
          <t>OtherDomesticReportableSegmentMember · Revenue</t>
        </is>
      </c>
      <c r="C173" s="20" t="n">
        <v>4680</v>
      </c>
      <c r="D173" s="20" t="n">
        <v>4569</v>
      </c>
      <c r="E173" s="20" t="n">
        <v>4747</v>
      </c>
      <c r="F173" s="20" t="n">
        <v>7353</v>
      </c>
      <c r="G173" s="20" t="n">
        <v>4530</v>
      </c>
      <c r="H173" s="20" t="n">
        <v>5231</v>
      </c>
      <c r="I173" s="20" t="n">
        <v>5404</v>
      </c>
      <c r="J173" s="20" t="n">
        <v>6467</v>
      </c>
      <c r="K173" s="20" t="n">
        <v>4809</v>
      </c>
      <c r="L173" s="20" t="n">
        <v>5681</v>
      </c>
      <c r="M173" s="20" t="n">
        <v>5133</v>
      </c>
      <c r="N173" s="20" t="n">
        <v>6715</v>
      </c>
      <c r="V173" s="20" t="n">
        <v>4569</v>
      </c>
      <c r="W173" s="20" t="n">
        <v>5231</v>
      </c>
      <c r="X173" s="20" t="n">
        <v>5681</v>
      </c>
    </row>
    <row r="174">
      <c r="A174" s="43" t="inlineStr">
        <is>
          <t>YoY</t>
        </is>
      </c>
      <c r="B174" s="3" t="inlineStr">
        <is>
          <t>전년 같은 분기·전년 대비</t>
        </is>
      </c>
      <c r="G174" s="15">
        <f>IF(OR(G173="",C173=""),"",IF(C173&lt;=0,"",IFERROR(G173/C173-1,"")))</f>
        <v/>
      </c>
      <c r="H174" s="15">
        <f>IF(OR(H173="",D173=""),"",IF(D173&lt;=0,"",IFERROR(H173/D173-1,"")))</f>
        <v/>
      </c>
      <c r="I174" s="15">
        <f>IF(OR(I173="",E173=""),"",IF(E173&lt;=0,"",IFERROR(I173/E173-1,"")))</f>
        <v/>
      </c>
      <c r="J174" s="15">
        <f>IF(OR(J173="",F173=""),"",IF(F173&lt;=0,"",IFERROR(J173/F173-1,"")))</f>
        <v/>
      </c>
      <c r="K174" s="15">
        <f>IF(OR(K173="",G173=""),"",IF(G173&lt;=0,"",IFERROR(K173/G173-1,"")))</f>
        <v/>
      </c>
      <c r="L174" s="15">
        <f>IF(OR(L173="",H173=""),"",IF(H173&lt;=0,"",IFERROR(L173/H173-1,"")))</f>
        <v/>
      </c>
      <c r="M174" s="15">
        <f>IF(OR(M173="",I173=""),"",IF(I173&lt;=0,"",IFERROR(M173/I173-1,"")))</f>
        <v/>
      </c>
      <c r="N174" s="15">
        <f>IF(OR(N173="",J173=""),"",IF(J173&lt;=0,"",IFERROR(N173/J173-1,"")))</f>
        <v/>
      </c>
      <c r="V174" s="15">
        <f>IF(OR(V173="",U173=""),"",IF(U173&lt;=0,"",IFERROR(V173/U173-1,"")))</f>
        <v/>
      </c>
      <c r="W174" s="15">
        <f>IF(OR(W173="",V173=""),"",IF(V173&lt;=0,"",IFERROR(W173/V173-1,"")))</f>
        <v/>
      </c>
      <c r="X174" s="15">
        <f>IF(OR(X173="",W173=""),"",IF(W173&lt;=0,"",IFERROR(X173/W173-1,"")))</f>
        <v/>
      </c>
    </row>
    <row r="175">
      <c r="A175" s="18" t="inlineStr">
        <is>
          <t>조정액 · Revenue</t>
        </is>
      </c>
      <c r="C175" s="20" t="n">
        <v>-2411</v>
      </c>
      <c r="E175" s="20" t="n">
        <v>-6401</v>
      </c>
      <c r="F175" s="20" t="n">
        <v>-6300</v>
      </c>
      <c r="G175" s="20" t="n">
        <v>-3686</v>
      </c>
      <c r="H175" s="20" t="n">
        <v>-3620</v>
      </c>
      <c r="I175" s="20" t="n">
        <v>-4086</v>
      </c>
      <c r="J175" s="20" t="n">
        <v>-3622</v>
      </c>
      <c r="K175" s="20" t="n">
        <v>-3162</v>
      </c>
      <c r="L175" s="20" t="n">
        <v>-4389</v>
      </c>
      <c r="M175" s="20" t="n">
        <v>-5225</v>
      </c>
      <c r="N175" s="20" t="n">
        <v>-4492</v>
      </c>
      <c r="W175" s="20" t="n">
        <v>-3620</v>
      </c>
      <c r="X175" s="20" t="n">
        <v>-4389</v>
      </c>
    </row>
    <row r="176">
      <c r="A176" s="18" t="inlineStr">
        <is>
          <t>EntityTotalMember · Revenue</t>
        </is>
      </c>
      <c r="I176" s="20" t="n">
        <v>67167</v>
      </c>
      <c r="M176" s="20" t="n">
        <v>67564</v>
      </c>
    </row>
    <row r="177">
      <c r="A177" s="9" t="inlineStr">
        <is>
          <t>Revenue</t>
        </is>
      </c>
      <c r="C177" s="12" t="n">
        <v>59544</v>
      </c>
      <c r="D177" s="12" t="n">
        <v>59863</v>
      </c>
      <c r="E177" s="12" t="n">
        <v>67378</v>
      </c>
      <c r="F177" s="12" t="n">
        <v>80864</v>
      </c>
      <c r="G177" s="12" t="n">
        <v>78138</v>
      </c>
      <c r="H177" s="12" t="n">
        <v>80489</v>
      </c>
      <c r="I177" s="12" t="n">
        <v>67167</v>
      </c>
      <c r="J177" s="12" t="n">
        <v>71514</v>
      </c>
      <c r="K177" s="12" t="n">
        <v>77628</v>
      </c>
      <c r="L177" s="12" t="n">
        <v>77955</v>
      </c>
      <c r="V177" s="12" t="n">
        <v>59863</v>
      </c>
      <c r="W177" s="12" t="n">
        <v>80489</v>
      </c>
      <c r="X177" s="12" t="n">
        <v>77955</v>
      </c>
    </row>
    <row r="178">
      <c r="A178" s="43" t="inlineStr">
        <is>
          <t>YoY</t>
        </is>
      </c>
      <c r="B178" s="3" t="inlineStr">
        <is>
          <t>전년 같은 분기·전년 대비</t>
        </is>
      </c>
      <c r="G178" s="15">
        <f>IF(OR(G177="",C177=""),"",IF(C177&lt;=0,"",IFERROR(G177/C177-1,"")))</f>
        <v/>
      </c>
      <c r="H178" s="15">
        <f>IF(OR(H177="",D177=""),"",IF(D177&lt;=0,"",IFERROR(H177/D177-1,"")))</f>
        <v/>
      </c>
      <c r="I178" s="15">
        <f>IF(OR(I177="",E177=""),"",IF(E177&lt;=0,"",IFERROR(I177/E177-1,"")))</f>
        <v/>
      </c>
      <c r="J178" s="15">
        <f>IF(OR(J177="",F177=""),"",IF(F177&lt;=0,"",IFERROR(J177/F177-1,"")))</f>
        <v/>
      </c>
      <c r="K178" s="15">
        <f>IF(OR(K177="",G177=""),"",IF(G177&lt;=0,"",IFERROR(K177/G177-1,"")))</f>
        <v/>
      </c>
      <c r="L178" s="15">
        <f>IF(OR(L177="",H177=""),"",IF(H177&lt;=0,"",IFERROR(L177/H177-1,"")))</f>
        <v/>
      </c>
      <c r="V178" s="15">
        <f>IF(OR(V177="",U177=""),"",IF(U177&lt;=0,"",IFERROR(V177/U177-1,"")))</f>
        <v/>
      </c>
      <c r="W178" s="15">
        <f>IF(OR(W177="",V177=""),"",IF(V177&lt;=0,"",IFERROR(W177/V177-1,"")))</f>
        <v/>
      </c>
      <c r="X178" s="15">
        <f>IF(OR(X177="",W177=""),"",IF(W177&lt;=0,"",IFERROR(X177/W177-1,"")))</f>
        <v/>
      </c>
    </row>
    <row r="179">
      <c r="A179" s="18" t="inlineStr">
        <is>
          <t>DomesticProcessedFoodBusinessReportableSegmentMember · Operating Income Loss</t>
        </is>
      </c>
      <c r="C179" s="20" t="n">
        <v>4358</v>
      </c>
      <c r="D179" s="20" t="n">
        <v>1849</v>
      </c>
      <c r="E179" s="20" t="n">
        <v>2803</v>
      </c>
      <c r="F179" s="20" t="n">
        <v>5076</v>
      </c>
      <c r="G179" s="20" t="n">
        <v>5216</v>
      </c>
      <c r="H179" s="20" t="n">
        <v>2480</v>
      </c>
      <c r="I179" s="20" t="n">
        <v>2249</v>
      </c>
      <c r="J179" s="20" t="n">
        <v>3257</v>
      </c>
      <c r="K179" s="20" t="n">
        <v>5789</v>
      </c>
      <c r="L179" s="20" t="n">
        <v>4212</v>
      </c>
      <c r="M179" s="20" t="n">
        <v>1721</v>
      </c>
      <c r="N179" s="20" t="n">
        <v>3298</v>
      </c>
      <c r="V179" s="20" t="n">
        <v>1849</v>
      </c>
      <c r="W179" s="20" t="n">
        <v>2480</v>
      </c>
      <c r="X179" s="20" t="n">
        <v>4212</v>
      </c>
    </row>
    <row r="180">
      <c r="A180" s="43" t="inlineStr">
        <is>
          <t>OPM</t>
        </is>
      </c>
      <c r="B180" s="3" t="inlineStr">
        <is>
          <t>영업이익 ÷ 매출</t>
        </is>
      </c>
      <c r="C180" s="15">
        <f>IF(OR(C179="",C169=""),"",IF(C169&lt;=0,"",IFERROR(C179/C169,"")))</f>
        <v/>
      </c>
      <c r="D180" s="15">
        <f>IF(OR(D179="",D169=""),"",IF(D169&lt;=0,"",IFERROR(D179/D169,"")))</f>
        <v/>
      </c>
      <c r="E180" s="15">
        <f>IF(OR(E179="",E169=""),"",IF(E169&lt;=0,"",IFERROR(E179/E169,"")))</f>
        <v/>
      </c>
      <c r="F180" s="15">
        <f>IF(OR(F179="",F169=""),"",IF(F169&lt;=0,"",IFERROR(F179/F169,"")))</f>
        <v/>
      </c>
      <c r="G180" s="15">
        <f>IF(OR(G179="",G169=""),"",IF(G169&lt;=0,"",IFERROR(G179/G169,"")))</f>
        <v/>
      </c>
      <c r="H180" s="15">
        <f>IF(OR(H179="",H169=""),"",IF(H169&lt;=0,"",IFERROR(H179/H169,"")))</f>
        <v/>
      </c>
      <c r="I180" s="15">
        <f>IF(OR(I179="",I169=""),"",IF(I169&lt;=0,"",IFERROR(I179/I169,"")))</f>
        <v/>
      </c>
      <c r="J180" s="15">
        <f>IF(OR(J179="",J169=""),"",IF(J169&lt;=0,"",IFERROR(J179/J169,"")))</f>
        <v/>
      </c>
      <c r="K180" s="15">
        <f>IF(OR(K179="",K169=""),"",IF(K169&lt;=0,"",IFERROR(K179/K169,"")))</f>
        <v/>
      </c>
      <c r="L180" s="15">
        <f>IF(OR(L179="",L169=""),"",IF(L169&lt;=0,"",IFERROR(L179/L169,"")))</f>
        <v/>
      </c>
      <c r="M180" s="15">
        <f>IF(OR(M179="",M169=""),"",IF(M169&lt;=0,"",IFERROR(M179/M169,"")))</f>
        <v/>
      </c>
      <c r="N180" s="15">
        <f>IF(OR(N179="",N169=""),"",IF(N169&lt;=0,"",IFERROR(N179/N169,"")))</f>
        <v/>
      </c>
      <c r="V180" s="15">
        <f>IF(OR(V179="",V169=""),"",IF(V169&lt;=0,"",IFERROR(V179/V169,"")))</f>
        <v/>
      </c>
      <c r="W180" s="15">
        <f>IF(OR(W179="",W169=""),"",IF(W169&lt;=0,"",IFERROR(W179/W169,"")))</f>
        <v/>
      </c>
      <c r="X180" s="15">
        <f>IF(OR(X179="",X169=""),"",IF(X169&lt;=0,"",IFERROR(X179/X169,"")))</f>
        <v/>
      </c>
    </row>
    <row r="181">
      <c r="A181" s="43" t="inlineStr">
        <is>
          <t>YoY</t>
        </is>
      </c>
      <c r="B181" s="3" t="inlineStr">
        <is>
          <t>전년 같은 분기·전년 대비</t>
        </is>
      </c>
      <c r="G181" s="15">
        <f>IF(OR(G179="",C179=""),"",IF(C179&lt;=0,"",IFERROR(G179/C179-1,"")))</f>
        <v/>
      </c>
      <c r="H181" s="15">
        <f>IF(OR(H179="",D179=""),"",IF(D179&lt;=0,"",IFERROR(H179/D179-1,"")))</f>
        <v/>
      </c>
      <c r="I181" s="15">
        <f>IF(OR(I179="",E179=""),"",IF(E179&lt;=0,"",IFERROR(I179/E179-1,"")))</f>
        <v/>
      </c>
      <c r="J181" s="15">
        <f>IF(OR(J179="",F179=""),"",IF(F179&lt;=0,"",IFERROR(J179/F179-1,"")))</f>
        <v/>
      </c>
      <c r="K181" s="15">
        <f>IF(OR(K179="",G179=""),"",IF(G179&lt;=0,"",IFERROR(K179/G179-1,"")))</f>
        <v/>
      </c>
      <c r="L181" s="15">
        <f>IF(OR(L179="",H179=""),"",IF(H179&lt;=0,"",IFERROR(L179/H179-1,"")))</f>
        <v/>
      </c>
      <c r="M181" s="15">
        <f>IF(OR(M179="",I179=""),"",IF(I179&lt;=0,"",IFERROR(M179/I179-1,"")))</f>
        <v/>
      </c>
      <c r="N181" s="15">
        <f>IF(OR(N179="",J179=""),"",IF(J179&lt;=0,"",IFERROR(N179/J179-1,"")))</f>
        <v/>
      </c>
      <c r="V181" s="15">
        <f>IF(OR(V179="",U179=""),"",IF(U179&lt;=0,"",IFERROR(V179/U179-1,"")))</f>
        <v/>
      </c>
      <c r="W181" s="15">
        <f>IF(OR(W179="",V179=""),"",IF(V179&lt;=0,"",IFERROR(W179/V179-1,"")))</f>
        <v/>
      </c>
      <c r="X181" s="15">
        <f>IF(OR(X179="",W179=""),"",IF(W179&lt;=0,"",IFERROR(X179/W179-1,"")))</f>
        <v/>
      </c>
    </row>
    <row r="182">
      <c r="A182" s="18" t="inlineStr">
        <is>
          <t>OverseasReportableSegmentMember · Operating Income Loss</t>
        </is>
      </c>
      <c r="C182" s="20" t="n">
        <v>2834</v>
      </c>
      <c r="D182" s="20" t="n">
        <v>3571</v>
      </c>
      <c r="E182" s="20" t="n">
        <v>3631</v>
      </c>
      <c r="F182" s="20" t="n">
        <v>4310</v>
      </c>
      <c r="G182" s="20" t="n">
        <v>3949</v>
      </c>
      <c r="H182" s="20" t="n">
        <v>2042</v>
      </c>
      <c r="I182" s="20" t="n">
        <v>3081</v>
      </c>
      <c r="J182" s="20" t="n">
        <v>2701</v>
      </c>
      <c r="K182" s="20" t="n">
        <v>1998</v>
      </c>
      <c r="L182" s="20" t="n">
        <v>1503</v>
      </c>
      <c r="M182" s="20" t="n">
        <v>2894</v>
      </c>
      <c r="N182" s="20" t="n">
        <v>2298</v>
      </c>
      <c r="V182" s="20" t="n">
        <v>3571</v>
      </c>
      <c r="W182" s="20" t="n">
        <v>2042</v>
      </c>
      <c r="X182" s="20" t="n">
        <v>1503</v>
      </c>
    </row>
    <row r="183">
      <c r="A183" s="43" t="inlineStr">
        <is>
          <t>OPM</t>
        </is>
      </c>
      <c r="B183" s="3" t="inlineStr">
        <is>
          <t>영업이익 ÷ 매출</t>
        </is>
      </c>
      <c r="C183" s="15">
        <f>IF(OR(C182="",C171=""),"",IF(C171&lt;=0,"",IFERROR(C182/C171,"")))</f>
        <v/>
      </c>
      <c r="D183" s="15">
        <f>IF(OR(D182="",D171=""),"",IF(D171&lt;=0,"",IFERROR(D182/D171,"")))</f>
        <v/>
      </c>
      <c r="E183" s="15">
        <f>IF(OR(E182="",E171=""),"",IF(E171&lt;=0,"",IFERROR(E182/E171,"")))</f>
        <v/>
      </c>
      <c r="F183" s="15">
        <f>IF(OR(F182="",F171=""),"",IF(F171&lt;=0,"",IFERROR(F182/F171,"")))</f>
        <v/>
      </c>
      <c r="G183" s="15">
        <f>IF(OR(G182="",G171=""),"",IF(G171&lt;=0,"",IFERROR(G182/G171,"")))</f>
        <v/>
      </c>
      <c r="H183" s="15">
        <f>IF(OR(H182="",H171=""),"",IF(H171&lt;=0,"",IFERROR(H182/H171,"")))</f>
        <v/>
      </c>
      <c r="I183" s="15">
        <f>IF(OR(I182="",I171=""),"",IF(I171&lt;=0,"",IFERROR(I182/I171,"")))</f>
        <v/>
      </c>
      <c r="J183" s="15">
        <f>IF(OR(J182="",J171=""),"",IF(J171&lt;=0,"",IFERROR(J182/J171,"")))</f>
        <v/>
      </c>
      <c r="K183" s="15">
        <f>IF(OR(K182="",K171=""),"",IF(K171&lt;=0,"",IFERROR(K182/K171,"")))</f>
        <v/>
      </c>
      <c r="L183" s="15">
        <f>IF(OR(L182="",L171=""),"",IF(L171&lt;=0,"",IFERROR(L182/L171,"")))</f>
        <v/>
      </c>
      <c r="M183" s="15">
        <f>IF(OR(M182="",M171=""),"",IF(M171&lt;=0,"",IFERROR(M182/M171,"")))</f>
        <v/>
      </c>
      <c r="N183" s="15">
        <f>IF(OR(N182="",N171=""),"",IF(N171&lt;=0,"",IFERROR(N182/N171,"")))</f>
        <v/>
      </c>
      <c r="V183" s="15">
        <f>IF(OR(V182="",V171=""),"",IF(V171&lt;=0,"",IFERROR(V182/V171,"")))</f>
        <v/>
      </c>
      <c r="W183" s="15">
        <f>IF(OR(W182="",W171=""),"",IF(W171&lt;=0,"",IFERROR(W182/W171,"")))</f>
        <v/>
      </c>
      <c r="X183" s="15">
        <f>IF(OR(X182="",X171=""),"",IF(X171&lt;=0,"",IFERROR(X182/X171,"")))</f>
        <v/>
      </c>
    </row>
    <row r="184">
      <c r="A184" s="43" t="inlineStr">
        <is>
          <t>YoY</t>
        </is>
      </c>
      <c r="B184" s="3" t="inlineStr">
        <is>
          <t>전년 같은 분기·전년 대비</t>
        </is>
      </c>
      <c r="G184" s="15">
        <f>IF(OR(G182="",C182=""),"",IF(C182&lt;=0,"",IFERROR(G182/C182-1,"")))</f>
        <v/>
      </c>
      <c r="H184" s="15">
        <f>IF(OR(H182="",D182=""),"",IF(D182&lt;=0,"",IFERROR(H182/D182-1,"")))</f>
        <v/>
      </c>
      <c r="I184" s="15">
        <f>IF(OR(I182="",E182=""),"",IF(E182&lt;=0,"",IFERROR(I182/E182-1,"")))</f>
        <v/>
      </c>
      <c r="J184" s="15">
        <f>IF(OR(J182="",F182=""),"",IF(F182&lt;=0,"",IFERROR(J182/F182-1,"")))</f>
        <v/>
      </c>
      <c r="K184" s="15">
        <f>IF(OR(K182="",G182=""),"",IF(G182&lt;=0,"",IFERROR(K182/G182-1,"")))</f>
        <v/>
      </c>
      <c r="L184" s="15">
        <f>IF(OR(L182="",H182=""),"",IF(H182&lt;=0,"",IFERROR(L182/H182-1,"")))</f>
        <v/>
      </c>
      <c r="M184" s="15">
        <f>IF(OR(M182="",I182=""),"",IF(I182&lt;=0,"",IFERROR(M182/I182-1,"")))</f>
        <v/>
      </c>
      <c r="N184" s="15">
        <f>IF(OR(N182="",J182=""),"",IF(J182&lt;=0,"",IFERROR(N182/J182-1,"")))</f>
        <v/>
      </c>
      <c r="V184" s="15">
        <f>IF(OR(V182="",U182=""),"",IF(U182&lt;=0,"",IFERROR(V182/U182-1,"")))</f>
        <v/>
      </c>
      <c r="W184" s="15">
        <f>IF(OR(W182="",V182=""),"",IF(V182&lt;=0,"",IFERROR(W182/V182-1,"")))</f>
        <v/>
      </c>
      <c r="X184" s="15">
        <f>IF(OR(X182="",W182=""),"",IF(W182&lt;=0,"",IFERROR(X182/W182-1,"")))</f>
        <v/>
      </c>
    </row>
    <row r="185">
      <c r="A185" s="18" t="inlineStr">
        <is>
          <t>OtherDomesticReportableSegmentMember · Operating Income Loss</t>
        </is>
      </c>
      <c r="C185" s="20" t="n">
        <v>-216</v>
      </c>
      <c r="D185" s="20" t="n">
        <v>-71</v>
      </c>
      <c r="E185" s="20" t="n">
        <v>146</v>
      </c>
      <c r="F185" s="20" t="n">
        <v>1199</v>
      </c>
      <c r="G185" s="20" t="n">
        <v>-604</v>
      </c>
      <c r="H185" s="20" t="n">
        <v>-136</v>
      </c>
      <c r="I185" s="20" t="n">
        <v>70</v>
      </c>
      <c r="J185" s="20" t="n">
        <v>317</v>
      </c>
      <c r="K185" s="20" t="n">
        <v>-319</v>
      </c>
      <c r="L185" s="20" t="n">
        <v>387</v>
      </c>
      <c r="M185" s="20" t="n">
        <v>-126</v>
      </c>
      <c r="N185" s="20" t="n">
        <v>193</v>
      </c>
      <c r="V185" s="20" t="n">
        <v>-71</v>
      </c>
      <c r="W185" s="20" t="n">
        <v>-136</v>
      </c>
      <c r="X185" s="20" t="n">
        <v>387</v>
      </c>
    </row>
    <row r="186">
      <c r="A186" s="43" t="inlineStr">
        <is>
          <t>OPM</t>
        </is>
      </c>
      <c r="B186" s="3" t="inlineStr">
        <is>
          <t>영업이익 ÷ 매출</t>
        </is>
      </c>
      <c r="C186" s="15">
        <f>IF(OR(C185="",C173=""),"",IF(C173&lt;=0,"",IFERROR(C185/C173,"")))</f>
        <v/>
      </c>
      <c r="D186" s="15">
        <f>IF(OR(D185="",D173=""),"",IF(D173&lt;=0,"",IFERROR(D185/D173,"")))</f>
        <v/>
      </c>
      <c r="E186" s="15">
        <f>IF(OR(E185="",E173=""),"",IF(E173&lt;=0,"",IFERROR(E185/E173,"")))</f>
        <v/>
      </c>
      <c r="F186" s="15">
        <f>IF(OR(F185="",F173=""),"",IF(F173&lt;=0,"",IFERROR(F185/F173,"")))</f>
        <v/>
      </c>
      <c r="G186" s="15">
        <f>IF(OR(G185="",G173=""),"",IF(G173&lt;=0,"",IFERROR(G185/G173,"")))</f>
        <v/>
      </c>
      <c r="H186" s="15">
        <f>IF(OR(H185="",H173=""),"",IF(H173&lt;=0,"",IFERROR(H185/H173,"")))</f>
        <v/>
      </c>
      <c r="I186" s="15">
        <f>IF(OR(I185="",I173=""),"",IF(I173&lt;=0,"",IFERROR(I185/I173,"")))</f>
        <v/>
      </c>
      <c r="J186" s="15">
        <f>IF(OR(J185="",J173=""),"",IF(J173&lt;=0,"",IFERROR(J185/J173,"")))</f>
        <v/>
      </c>
      <c r="K186" s="15">
        <f>IF(OR(K185="",K173=""),"",IF(K173&lt;=0,"",IFERROR(K185/K173,"")))</f>
        <v/>
      </c>
      <c r="L186" s="15">
        <f>IF(OR(L185="",L173=""),"",IF(L173&lt;=0,"",IFERROR(L185/L173,"")))</f>
        <v/>
      </c>
      <c r="M186" s="15">
        <f>IF(OR(M185="",M173=""),"",IF(M173&lt;=0,"",IFERROR(M185/M173,"")))</f>
        <v/>
      </c>
      <c r="N186" s="15">
        <f>IF(OR(N185="",N173=""),"",IF(N173&lt;=0,"",IFERROR(N185/N173,"")))</f>
        <v/>
      </c>
      <c r="V186" s="15">
        <f>IF(OR(V185="",V173=""),"",IF(V173&lt;=0,"",IFERROR(V185/V173,"")))</f>
        <v/>
      </c>
      <c r="W186" s="15">
        <f>IF(OR(W185="",W173=""),"",IF(W173&lt;=0,"",IFERROR(W185/W173,"")))</f>
        <v/>
      </c>
      <c r="X186" s="15">
        <f>IF(OR(X185="",X173=""),"",IF(X173&lt;=0,"",IFERROR(X185/X173,"")))</f>
        <v/>
      </c>
    </row>
    <row r="187">
      <c r="A187" s="43" t="inlineStr">
        <is>
          <t>YoY</t>
        </is>
      </c>
      <c r="B187" s="3" t="inlineStr">
        <is>
          <t>전년 같은 분기·전년 대비</t>
        </is>
      </c>
      <c r="G187" s="15">
        <f>IF(OR(G185="",C185=""),"",IF(C185&lt;=0,"",IFERROR(G185/C185-1,"")))</f>
        <v/>
      </c>
      <c r="H187" s="15">
        <f>IF(OR(H185="",D185=""),"",IF(D185&lt;=0,"",IFERROR(H185/D185-1,"")))</f>
        <v/>
      </c>
      <c r="I187" s="15">
        <f>IF(OR(I185="",E185=""),"",IF(E185&lt;=0,"",IFERROR(I185/E185-1,"")))</f>
        <v/>
      </c>
      <c r="J187" s="15">
        <f>IF(OR(J185="",F185=""),"",IF(F185&lt;=0,"",IFERROR(J185/F185-1,"")))</f>
        <v/>
      </c>
      <c r="K187" s="15">
        <f>IF(OR(K185="",G185=""),"",IF(G185&lt;=0,"",IFERROR(K185/G185-1,"")))</f>
        <v/>
      </c>
      <c r="L187" s="15">
        <f>IF(OR(L185="",H185=""),"",IF(H185&lt;=0,"",IFERROR(L185/H185-1,"")))</f>
        <v/>
      </c>
      <c r="M187" s="15">
        <f>IF(OR(M185="",I185=""),"",IF(I185&lt;=0,"",IFERROR(M185/I185-1,"")))</f>
        <v/>
      </c>
      <c r="N187" s="15">
        <f>IF(OR(N185="",J185=""),"",IF(J185&lt;=0,"",IFERROR(N185/J185-1,"")))</f>
        <v/>
      </c>
      <c r="V187" s="15">
        <f>IF(OR(V185="",U185=""),"",IF(U185&lt;=0,"",IFERROR(V185/U185-1,"")))</f>
        <v/>
      </c>
      <c r="W187" s="15">
        <f>IF(OR(W185="",V185=""),"",IF(V185&lt;=0,"",IFERROR(W185/V185-1,"")))</f>
        <v/>
      </c>
      <c r="X187" s="15">
        <f>IF(OR(X185="",W185=""),"",IF(W185&lt;=0,"",IFERROR(X185/W185-1,"")))</f>
        <v/>
      </c>
    </row>
    <row r="188">
      <c r="A188" s="18" t="inlineStr">
        <is>
          <t>조정액 · Operating Income Loss</t>
        </is>
      </c>
      <c r="C188" s="20" t="n">
        <v>-424</v>
      </c>
      <c r="E188" s="20" t="n">
        <v>-974</v>
      </c>
      <c r="F188" s="20" t="n">
        <v>-744</v>
      </c>
      <c r="G188" s="20" t="n">
        <v>-485</v>
      </c>
      <c r="H188" s="20" t="n">
        <v>-816</v>
      </c>
      <c r="I188" s="20" t="n">
        <v>-765</v>
      </c>
      <c r="J188" s="20" t="n">
        <v>-550</v>
      </c>
      <c r="K188" s="20" t="n">
        <v>-382</v>
      </c>
      <c r="L188" s="20" t="n">
        <v>-855</v>
      </c>
      <c r="M188" s="20" t="n">
        <v>-1050</v>
      </c>
      <c r="N188" s="20" t="n">
        <v>-793</v>
      </c>
      <c r="W188" s="20" t="n">
        <v>-816</v>
      </c>
      <c r="X188" s="20" t="n">
        <v>-855</v>
      </c>
    </row>
    <row r="189">
      <c r="A189" s="18" t="inlineStr">
        <is>
          <t>EntityTotalMember · Operating Income Loss</t>
        </is>
      </c>
      <c r="I189" s="20" t="n">
        <v>4636</v>
      </c>
      <c r="M189" s="20" t="n">
        <v>3438</v>
      </c>
    </row>
    <row r="190">
      <c r="A190" s="18" t="inlineStr">
        <is>
          <t>EntityTotalMember · 기타 영업수익</t>
        </is>
      </c>
      <c r="I190" s="20" t="n">
        <v>329</v>
      </c>
      <c r="M190" s="20" t="n">
        <v>899</v>
      </c>
    </row>
    <row r="191">
      <c r="A191" s="18" t="inlineStr">
        <is>
          <t>EntityTotalMember · 기타 영업비용</t>
        </is>
      </c>
      <c r="I191" s="20" t="n">
        <v>135</v>
      </c>
      <c r="M191" s="20" t="n">
        <v>214</v>
      </c>
    </row>
    <row r="192">
      <c r="A192" s="18" t="inlineStr">
        <is>
          <t>EntityTotalMember · 영업이익</t>
        </is>
      </c>
      <c r="I192" s="20" t="n">
        <v>4830</v>
      </c>
      <c r="M192" s="20" t="n">
        <v>4124</v>
      </c>
    </row>
    <row r="193">
      <c r="A193" s="18" t="inlineStr">
        <is>
          <t>EntityTotalMember · Share Of Profit Loss Of Investments Accounted For Using Equity Method</t>
        </is>
      </c>
      <c r="I193" s="20" t="n">
        <v>-45</v>
      </c>
      <c r="M193" s="20" t="n">
        <v>-100</v>
      </c>
    </row>
    <row r="194">
      <c r="A194" s="18" t="inlineStr">
        <is>
          <t>EntityTotalMember · Other Investment Income Investing</t>
        </is>
      </c>
      <c r="I194" s="20" t="n">
        <v>277</v>
      </c>
      <c r="M194" s="20" t="n">
        <v>286</v>
      </c>
    </row>
    <row r="195">
      <c r="A195" s="18" t="inlineStr">
        <is>
          <t>EntityTotalMember · Other Investment Expenses Investing</t>
        </is>
      </c>
      <c r="I195" s="20" t="n">
        <v>205</v>
      </c>
      <c r="M195" s="20" t="n">
        <v>47</v>
      </c>
    </row>
    <row r="196">
      <c r="A196" s="18" t="inlineStr">
        <is>
          <t>EntityTotalMember · Income Loss Before Finance Costs And Income Taxes</t>
        </is>
      </c>
      <c r="I196" s="20" t="n">
        <v>4856</v>
      </c>
      <c r="M196" s="20" t="n">
        <v>4263</v>
      </c>
    </row>
    <row r="197">
      <c r="A197" s="18" t="inlineStr">
        <is>
          <t>EntityTotalMember · Finance Income Financing</t>
        </is>
      </c>
      <c r="I197" s="20" t="n">
        <v>142</v>
      </c>
      <c r="M197" s="20" t="n">
        <v>53</v>
      </c>
    </row>
    <row r="198">
      <c r="A198" s="18" t="inlineStr">
        <is>
          <t>EntityTotalMember · Finance Costs Financing</t>
        </is>
      </c>
      <c r="I198" s="20" t="n">
        <v>723</v>
      </c>
      <c r="M198" s="20" t="n">
        <v>721</v>
      </c>
    </row>
    <row r="199">
      <c r="A199" s="18" t="inlineStr">
        <is>
          <t>EntityTotalMember · 법인세비용차감전 중간이익</t>
        </is>
      </c>
      <c r="I199" s="20" t="n">
        <v>4275</v>
      </c>
      <c r="M199" s="20" t="n">
        <v>3594</v>
      </c>
    </row>
    <row r="200">
      <c r="A200" s="9" t="inlineStr">
        <is>
          <t>Operating Income Loss</t>
        </is>
      </c>
      <c r="C200" s="12" t="n">
        <v>6549</v>
      </c>
      <c r="D200" s="12" t="n">
        <v>4099</v>
      </c>
      <c r="E200" s="12" t="n">
        <v>5607</v>
      </c>
      <c r="F200" s="12" t="n">
        <v>9841</v>
      </c>
      <c r="G200" s="12" t="n">
        <v>8076</v>
      </c>
      <c r="H200" s="12" t="n">
        <v>3570</v>
      </c>
      <c r="I200" s="12" t="n">
        <v>4590</v>
      </c>
      <c r="J200" s="12" t="n">
        <v>5771</v>
      </c>
      <c r="K200" s="12" t="n">
        <v>7086</v>
      </c>
      <c r="L200" s="12" t="n">
        <v>5247</v>
      </c>
      <c r="V200" s="12" t="n">
        <v>4099</v>
      </c>
      <c r="W200" s="12" t="n">
        <v>3570</v>
      </c>
      <c r="X200" s="12" t="n">
        <v>5247</v>
      </c>
    </row>
    <row r="201">
      <c r="A201" s="43" t="inlineStr">
        <is>
          <t>OPM</t>
        </is>
      </c>
      <c r="B201" s="3" t="inlineStr">
        <is>
          <t>영업이익 ÷ 매출</t>
        </is>
      </c>
      <c r="C201" s="15">
        <f>IF(OR(C200="",C161=""),"",IF(C161&lt;=0,"",IFERROR(C200/C161,"")))</f>
        <v/>
      </c>
      <c r="D201" s="15">
        <f>IF(OR(D200="",D161=""),"",IF(D161&lt;=0,"",IFERROR(D200/D161,"")))</f>
        <v/>
      </c>
      <c r="E201" s="15">
        <f>IF(OR(E200="",E161=""),"",IF(E161&lt;=0,"",IFERROR(E200/E161,"")))</f>
        <v/>
      </c>
      <c r="F201" s="15">
        <f>IF(OR(F200="",F161=""),"",IF(F161&lt;=0,"",IFERROR(F200/F161,"")))</f>
        <v/>
      </c>
      <c r="G201" s="15">
        <f>IF(OR(G200="",G161=""),"",IF(G161&lt;=0,"",IFERROR(G200/G161,"")))</f>
        <v/>
      </c>
      <c r="H201" s="15">
        <f>IF(OR(H200="",H161=""),"",IF(H161&lt;=0,"",IFERROR(H200/H161,"")))</f>
        <v/>
      </c>
      <c r="I201" s="15">
        <f>IF(OR(I200="",I161=""),"",IF(I161&lt;=0,"",IFERROR(I200/I161,"")))</f>
        <v/>
      </c>
      <c r="J201" s="15">
        <f>IF(OR(J200="",J161=""),"",IF(J161&lt;=0,"",IFERROR(J200/J161,"")))</f>
        <v/>
      </c>
      <c r="K201" s="15">
        <f>IF(OR(K200="",K161=""),"",IF(K161&lt;=0,"",IFERROR(K200/K161,"")))</f>
        <v/>
      </c>
      <c r="L201" s="15">
        <f>IF(OR(L200="",L161=""),"",IF(L161&lt;=0,"",IFERROR(L200/L161,"")))</f>
        <v/>
      </c>
      <c r="V201" s="15">
        <f>IF(OR(V200="",V161=""),"",IF(V161&lt;=0,"",IFERROR(V200/V161,"")))</f>
        <v/>
      </c>
      <c r="W201" s="15">
        <f>IF(OR(W200="",W161=""),"",IF(W161&lt;=0,"",IFERROR(W200/W161,"")))</f>
        <v/>
      </c>
      <c r="X201" s="15">
        <f>IF(OR(X200="",X161=""),"",IF(X161&lt;=0,"",IFERROR(X200/X161,"")))</f>
        <v/>
      </c>
    </row>
    <row r="202">
      <c r="A202" s="43" t="inlineStr">
        <is>
          <t>YoY</t>
        </is>
      </c>
      <c r="B202" s="3" t="inlineStr">
        <is>
          <t>전년 같은 분기·전년 대비</t>
        </is>
      </c>
      <c r="G202" s="15">
        <f>IF(OR(G200="",C200=""),"",IF(C200&lt;=0,"",IFERROR(G200/C200-1,"")))</f>
        <v/>
      </c>
      <c r="H202" s="15">
        <f>IF(OR(H200="",D200=""),"",IF(D200&lt;=0,"",IFERROR(H200/D200-1,"")))</f>
        <v/>
      </c>
      <c r="I202" s="15">
        <f>IF(OR(I200="",E200=""),"",IF(E200&lt;=0,"",IFERROR(I200/E200-1,"")))</f>
        <v/>
      </c>
      <c r="J202" s="15">
        <f>IF(OR(J200="",F200=""),"",IF(F200&lt;=0,"",IFERROR(J200/F200-1,"")))</f>
        <v/>
      </c>
      <c r="K202" s="15">
        <f>IF(OR(K200="",G200=""),"",IF(G200&lt;=0,"",IFERROR(K200/G200-1,"")))</f>
        <v/>
      </c>
      <c r="L202" s="15">
        <f>IF(OR(L200="",H200=""),"",IF(H200&lt;=0,"",IFERROR(L200/H200-1,"")))</f>
        <v/>
      </c>
      <c r="V202" s="15">
        <f>IF(OR(V200="",U200=""),"",IF(U200&lt;=0,"",IFERROR(V200/U200-1,"")))</f>
        <v/>
      </c>
      <c r="W202" s="15">
        <f>IF(OR(W200="",V200=""),"",IF(V200&lt;=0,"",IFERROR(W200/V200-1,"")))</f>
        <v/>
      </c>
      <c r="X202" s="15">
        <f>IF(OR(X200="",W200=""),"",IF(W200&lt;=0,"",IFERROR(X200/W200-1,"")))</f>
        <v/>
      </c>
    </row>
    <row r="203">
      <c r="A203" s="18" t="inlineStr">
        <is>
          <t>기타수익</t>
        </is>
      </c>
      <c r="C203" s="20" t="n">
        <v>155</v>
      </c>
      <c r="D203" s="20" t="n">
        <v>264</v>
      </c>
      <c r="E203" s="20" t="n">
        <v>9448</v>
      </c>
      <c r="F203" s="20" t="n">
        <v>68</v>
      </c>
      <c r="G203" s="20" t="n">
        <v>125</v>
      </c>
      <c r="H203" s="20" t="n">
        <v>432</v>
      </c>
      <c r="I203" s="20" t="n">
        <v>288</v>
      </c>
      <c r="J203" s="20" t="n">
        <v>41</v>
      </c>
      <c r="K203" s="20" t="n">
        <v>195</v>
      </c>
      <c r="L203" s="20" t="n">
        <v>120</v>
      </c>
      <c r="V203" s="20" t="n">
        <v>264</v>
      </c>
      <c r="W203" s="20" t="n">
        <v>432</v>
      </c>
      <c r="X203" s="20" t="n">
        <v>120</v>
      </c>
    </row>
    <row r="204">
      <c r="A204" s="18" t="inlineStr">
        <is>
          <t>기타비용</t>
        </is>
      </c>
      <c r="C204" s="20" t="n">
        <v>38</v>
      </c>
      <c r="D204" s="20" t="n">
        <v>2466</v>
      </c>
      <c r="E204" s="20" t="n">
        <v>204</v>
      </c>
      <c r="F204" s="20" t="n">
        <v>77</v>
      </c>
      <c r="G204" s="20" t="n">
        <v>194</v>
      </c>
      <c r="H204" s="20" t="n">
        <v>471</v>
      </c>
      <c r="I204" s="20" t="n">
        <v>135</v>
      </c>
      <c r="J204" s="20" t="n">
        <v>31</v>
      </c>
      <c r="K204" s="20" t="n">
        <v>164</v>
      </c>
      <c r="L204" s="20" t="n">
        <v>370</v>
      </c>
      <c r="V204" s="20" t="n">
        <v>2466</v>
      </c>
      <c r="W204" s="20" t="n">
        <v>471</v>
      </c>
      <c r="X204" s="20" t="n">
        <v>370</v>
      </c>
    </row>
    <row r="205">
      <c r="A205" s="18" t="inlineStr">
        <is>
          <t>영업이익</t>
        </is>
      </c>
      <c r="C205" s="20" t="n">
        <v>6665</v>
      </c>
      <c r="D205" s="20" t="n">
        <v>1896</v>
      </c>
      <c r="E205" s="20" t="n">
        <v>14850</v>
      </c>
      <c r="F205" s="20" t="n">
        <v>9834</v>
      </c>
      <c r="G205" s="20" t="n">
        <v>8006</v>
      </c>
      <c r="H205" s="20" t="n">
        <v>3531</v>
      </c>
      <c r="I205" s="20" t="n">
        <v>4743</v>
      </c>
      <c r="J205" s="20" t="n">
        <v>5883</v>
      </c>
      <c r="K205" s="20" t="n">
        <v>7016</v>
      </c>
      <c r="L205" s="20" t="n">
        <v>4996</v>
      </c>
      <c r="V205" s="20" t="n">
        <v>1896</v>
      </c>
      <c r="W205" s="20" t="n">
        <v>3531</v>
      </c>
      <c r="X205" s="20" t="n">
        <v>4996</v>
      </c>
    </row>
    <row r="206">
      <c r="A206" s="43" t="inlineStr">
        <is>
          <t>OPM</t>
        </is>
      </c>
      <c r="B206" s="3" t="inlineStr">
        <is>
          <t>영업이익 ÷ 매출</t>
        </is>
      </c>
      <c r="C206" s="15">
        <f>IF(OR(C205="",C161=""),"",IF(C161&lt;=0,"",IFERROR(C205/C161,"")))</f>
        <v/>
      </c>
      <c r="D206" s="15">
        <f>IF(OR(D205="",D161=""),"",IF(D161&lt;=0,"",IFERROR(D205/D161,"")))</f>
        <v/>
      </c>
      <c r="E206" s="15">
        <f>IF(OR(E205="",E161=""),"",IF(E161&lt;=0,"",IFERROR(E205/E161,"")))</f>
        <v/>
      </c>
      <c r="F206" s="15">
        <f>IF(OR(F205="",F161=""),"",IF(F161&lt;=0,"",IFERROR(F205/F161,"")))</f>
        <v/>
      </c>
      <c r="G206" s="15">
        <f>IF(OR(G205="",G161=""),"",IF(G161&lt;=0,"",IFERROR(G205/G161,"")))</f>
        <v/>
      </c>
      <c r="H206" s="15">
        <f>IF(OR(H205="",H161=""),"",IF(H161&lt;=0,"",IFERROR(H205/H161,"")))</f>
        <v/>
      </c>
      <c r="I206" s="15">
        <f>IF(OR(I205="",I161=""),"",IF(I161&lt;=0,"",IFERROR(I205/I161,"")))</f>
        <v/>
      </c>
      <c r="J206" s="15">
        <f>IF(OR(J205="",J161=""),"",IF(J161&lt;=0,"",IFERROR(J205/J161,"")))</f>
        <v/>
      </c>
      <c r="K206" s="15">
        <f>IF(OR(K205="",K161=""),"",IF(K161&lt;=0,"",IFERROR(K205/K161,"")))</f>
        <v/>
      </c>
      <c r="L206" s="15">
        <f>IF(OR(L205="",L161=""),"",IF(L161&lt;=0,"",IFERROR(L205/L161,"")))</f>
        <v/>
      </c>
      <c r="V206" s="15">
        <f>IF(OR(V205="",V161=""),"",IF(V161&lt;=0,"",IFERROR(V205/V161,"")))</f>
        <v/>
      </c>
      <c r="W206" s="15">
        <f>IF(OR(W205="",W161=""),"",IF(W161&lt;=0,"",IFERROR(W205/W161,"")))</f>
        <v/>
      </c>
      <c r="X206" s="15">
        <f>IF(OR(X205="",X161=""),"",IF(X161&lt;=0,"",IFERROR(X205/X161,"")))</f>
        <v/>
      </c>
    </row>
    <row r="207">
      <c r="A207" s="43" t="inlineStr">
        <is>
          <t>YoY</t>
        </is>
      </c>
      <c r="B207" s="3" t="inlineStr">
        <is>
          <t>전년 같은 분기·전년 대비</t>
        </is>
      </c>
      <c r="G207" s="15">
        <f>IF(OR(G205="",C205=""),"",IF(C205&lt;=0,"",IFERROR(G205/C205-1,"")))</f>
        <v/>
      </c>
      <c r="H207" s="15">
        <f>IF(OR(H205="",D205=""),"",IF(D205&lt;=0,"",IFERROR(H205/D205-1,"")))</f>
        <v/>
      </c>
      <c r="I207" s="15">
        <f>IF(OR(I205="",E205=""),"",IF(E205&lt;=0,"",IFERROR(I205/E205-1,"")))</f>
        <v/>
      </c>
      <c r="J207" s="15">
        <f>IF(OR(J205="",F205=""),"",IF(F205&lt;=0,"",IFERROR(J205/F205-1,"")))</f>
        <v/>
      </c>
      <c r="K207" s="15">
        <f>IF(OR(K205="",G205=""),"",IF(G205&lt;=0,"",IFERROR(K205/G205-1,"")))</f>
        <v/>
      </c>
      <c r="L207" s="15">
        <f>IF(OR(L205="",H205=""),"",IF(H205&lt;=0,"",IFERROR(L205/H205-1,"")))</f>
        <v/>
      </c>
      <c r="V207" s="15">
        <f>IF(OR(V205="",U205=""),"",IF(U205&lt;=0,"",IFERROR(V205/U205-1,"")))</f>
        <v/>
      </c>
      <c r="W207" s="15">
        <f>IF(OR(W205="",V205=""),"",IF(V205&lt;=0,"",IFERROR(W205/V205-1,"")))</f>
        <v/>
      </c>
      <c r="X207" s="15">
        <f>IF(OR(X205="",W205=""),"",IF(W205&lt;=0,"",IFERROR(X205/W205-1,"")))</f>
        <v/>
      </c>
    </row>
    <row r="208">
      <c r="A208" s="18" t="inlineStr">
        <is>
          <t>금융수익</t>
        </is>
      </c>
      <c r="C208" s="20" t="n">
        <v>274</v>
      </c>
      <c r="D208" s="20" t="n">
        <v>20</v>
      </c>
      <c r="E208" s="20" t="n">
        <v>454</v>
      </c>
      <c r="F208" s="20" t="n">
        <v>335</v>
      </c>
      <c r="G208" s="20" t="n">
        <v>71</v>
      </c>
      <c r="H208" s="20" t="n">
        <v>235</v>
      </c>
      <c r="I208" s="20" t="n">
        <v>271</v>
      </c>
      <c r="J208" s="20" t="n">
        <v>311</v>
      </c>
      <c r="K208" s="20" t="n">
        <v>137</v>
      </c>
      <c r="L208" s="20" t="n">
        <v>373</v>
      </c>
      <c r="V208" s="20" t="n">
        <v>20</v>
      </c>
      <c r="W208" s="20" t="n">
        <v>235</v>
      </c>
      <c r="X208" s="20" t="n">
        <v>373</v>
      </c>
    </row>
    <row r="209">
      <c r="A209" s="43" t="inlineStr">
        <is>
          <t>YoY</t>
        </is>
      </c>
      <c r="B209" s="3" t="inlineStr">
        <is>
          <t>전년 같은 분기·전년 대비</t>
        </is>
      </c>
      <c r="G209" s="15">
        <f>IF(OR(G208="",C208=""),"",IF(G208*C208&lt;=0,"",IFERROR(G208/C208-1,"")))</f>
        <v/>
      </c>
      <c r="H209" s="15">
        <f>IF(OR(H208="",D208=""),"",IF(H208*D208&lt;=0,"",IFERROR(H208/D208-1,"")))</f>
        <v/>
      </c>
      <c r="I209" s="15">
        <f>IF(OR(I208="",E208=""),"",IF(I208*E208&lt;=0,"",IFERROR(I208/E208-1,"")))</f>
        <v/>
      </c>
      <c r="J209" s="15">
        <f>IF(OR(J208="",F208=""),"",IF(J208*F208&lt;=0,"",IFERROR(J208/F208-1,"")))</f>
        <v/>
      </c>
      <c r="K209" s="15">
        <f>IF(OR(K208="",G208=""),"",IF(K208*G208&lt;=0,"",IFERROR(K208/G208-1,"")))</f>
        <v/>
      </c>
      <c r="L209" s="15">
        <f>IF(OR(L208="",H208=""),"",IF(L208*H208&lt;=0,"",IFERROR(L208/H208-1,"")))</f>
        <v/>
      </c>
      <c r="V209" s="15">
        <f>IF(OR(V208="",U208=""),"",IF(V208*U208&lt;=0,"",IFERROR(V208/U208-1,"")))</f>
        <v/>
      </c>
      <c r="W209" s="15">
        <f>IF(OR(W208="",V208=""),"",IF(W208*V208&lt;=0,"",IFERROR(W208/V208-1,"")))</f>
        <v/>
      </c>
      <c r="X209" s="15">
        <f>IF(OR(X208="",W208=""),"",IF(X208*W208&lt;=0,"",IFERROR(X208/W208-1,"")))</f>
        <v/>
      </c>
    </row>
    <row r="210">
      <c r="A210" s="18" t="inlineStr">
        <is>
          <t>금융비용</t>
        </is>
      </c>
      <c r="C210" s="20" t="n">
        <v>566</v>
      </c>
      <c r="D210" s="20" t="n">
        <v>479</v>
      </c>
      <c r="E210" s="20" t="n">
        <v>1209</v>
      </c>
      <c r="F210" s="20" t="n">
        <v>1133</v>
      </c>
      <c r="G210" s="20" t="n">
        <v>312</v>
      </c>
      <c r="H210" s="20" t="n">
        <v>998</v>
      </c>
      <c r="I210" s="20" t="n">
        <v>738</v>
      </c>
      <c r="J210" s="20" t="n">
        <v>426</v>
      </c>
      <c r="K210" s="20" t="n">
        <v>615</v>
      </c>
      <c r="L210" s="20" t="n">
        <v>833</v>
      </c>
      <c r="V210" s="20" t="n">
        <v>479</v>
      </c>
      <c r="W210" s="20" t="n">
        <v>998</v>
      </c>
      <c r="X210" s="20" t="n">
        <v>833</v>
      </c>
    </row>
    <row r="211">
      <c r="A211" s="43" t="inlineStr">
        <is>
          <t>YoY</t>
        </is>
      </c>
      <c r="B211" s="3" t="inlineStr">
        <is>
          <t>전년 같은 분기·전년 대비</t>
        </is>
      </c>
      <c r="G211" s="15">
        <f>IF(OR(G210="",C210=""),"",IF(G210*C210&lt;=0,"",IFERROR(G210/C210-1,"")))</f>
        <v/>
      </c>
      <c r="H211" s="15">
        <f>IF(OR(H210="",D210=""),"",IF(H210*D210&lt;=0,"",IFERROR(H210/D210-1,"")))</f>
        <v/>
      </c>
      <c r="I211" s="15">
        <f>IF(OR(I210="",E210=""),"",IF(I210*E210&lt;=0,"",IFERROR(I210/E210-1,"")))</f>
        <v/>
      </c>
      <c r="J211" s="15">
        <f>IF(OR(J210="",F210=""),"",IF(J210*F210&lt;=0,"",IFERROR(J210/F210-1,"")))</f>
        <v/>
      </c>
      <c r="K211" s="15">
        <f>IF(OR(K210="",G210=""),"",IF(K210*G210&lt;=0,"",IFERROR(K210/G210-1,"")))</f>
        <v/>
      </c>
      <c r="L211" s="15">
        <f>IF(OR(L210="",H210=""),"",IF(L210*H210&lt;=0,"",IFERROR(L210/H210-1,"")))</f>
        <v/>
      </c>
      <c r="V211" s="15">
        <f>IF(OR(V210="",U210=""),"",IF(V210*U210&lt;=0,"",IFERROR(V210/U210-1,"")))</f>
        <v/>
      </c>
      <c r="W211" s="15">
        <f>IF(OR(W210="",V210=""),"",IF(W210*V210&lt;=0,"",IFERROR(W210/V210-1,"")))</f>
        <v/>
      </c>
      <c r="X211" s="15">
        <f>IF(OR(X210="",W210=""),"",IF(X210*W210&lt;=0,"",IFERROR(X210/W210-1,"")))</f>
        <v/>
      </c>
    </row>
    <row r="212">
      <c r="A212" s="9" t="inlineStr">
        <is>
          <t>법인세비용차감전 중간이익</t>
        </is>
      </c>
      <c r="C212" s="12" t="n">
        <v>6374</v>
      </c>
      <c r="D212" s="12" t="n">
        <v>1436</v>
      </c>
      <c r="E212" s="12" t="n">
        <v>14096</v>
      </c>
      <c r="F212" s="12" t="n">
        <v>9035</v>
      </c>
      <c r="G212" s="12" t="n">
        <v>7764</v>
      </c>
      <c r="H212" s="12" t="n">
        <v>2770</v>
      </c>
      <c r="I212" s="12" t="n">
        <v>4275</v>
      </c>
      <c r="J212" s="12" t="n">
        <v>5706</v>
      </c>
      <c r="K212" s="12" t="n">
        <v>6600</v>
      </c>
      <c r="L212" s="12" t="n">
        <v>4537</v>
      </c>
      <c r="V212" s="12" t="n">
        <v>1436</v>
      </c>
      <c r="W212" s="12" t="n">
        <v>2770</v>
      </c>
      <c r="X212" s="12" t="n">
        <v>4537</v>
      </c>
    </row>
    <row r="214">
      <c r="A214" s="16" t="inlineStr">
        <is>
          <t>현금흐름표 · 전 항목</t>
        </is>
      </c>
      <c r="B214" s="42" t="inlineStr">
        <is>
          <t>분기 = 결산기 첫날부터 누계(공시 그대로)</t>
        </is>
      </c>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row>
    <row r="215">
      <c r="A215" s="5" t="inlineStr">
        <is>
          <t>항목</t>
        </is>
      </c>
      <c r="B215" s="5" t="inlineStr">
        <is>
          <t>참고</t>
        </is>
      </c>
      <c r="C215" s="5" t="inlineStr">
        <is>
          <t>2023.3Q</t>
        </is>
      </c>
      <c r="D215" s="5" t="inlineStr">
        <is>
          <t>2023.4Q</t>
        </is>
      </c>
      <c r="E215" s="5" t="inlineStr">
        <is>
          <t>2024.1Q</t>
        </is>
      </c>
      <c r="F215" s="5" t="inlineStr">
        <is>
          <t>2024.2Q</t>
        </is>
      </c>
      <c r="G215" s="5" t="inlineStr">
        <is>
          <t>2024.3Q</t>
        </is>
      </c>
      <c r="H215" s="5" t="inlineStr">
        <is>
          <t>2024.4Q</t>
        </is>
      </c>
      <c r="I215" s="5" t="inlineStr">
        <is>
          <t>2025.1Q</t>
        </is>
      </c>
      <c r="J215" s="5" t="inlineStr">
        <is>
          <t>2025.2Q</t>
        </is>
      </c>
      <c r="K215" s="5" t="inlineStr">
        <is>
          <t>2025.3Q</t>
        </is>
      </c>
      <c r="L215" s="5" t="inlineStr">
        <is>
          <t>2025.4Q</t>
        </is>
      </c>
      <c r="M215" s="5" t="inlineStr">
        <is>
          <t>2026.1Q</t>
        </is>
      </c>
      <c r="N215" s="5" t="inlineStr">
        <is>
          <t>2026.2Q</t>
        </is>
      </c>
      <c r="O215" s="5" t="inlineStr">
        <is>
          <t>2016</t>
        </is>
      </c>
      <c r="P215" s="5" t="inlineStr">
        <is>
          <t>2017</t>
        </is>
      </c>
      <c r="Q215" s="5" t="inlineStr">
        <is>
          <t>2018</t>
        </is>
      </c>
      <c r="R215" s="5" t="inlineStr">
        <is>
          <t>2019</t>
        </is>
      </c>
      <c r="S215" s="5" t="inlineStr">
        <is>
          <t>2020</t>
        </is>
      </c>
      <c r="T215" s="5" t="inlineStr">
        <is>
          <t>2021</t>
        </is>
      </c>
      <c r="U215" s="5" t="inlineStr">
        <is>
          <t>2022</t>
        </is>
      </c>
      <c r="V215" s="5" t="inlineStr">
        <is>
          <t>2023</t>
        </is>
      </c>
      <c r="W215" s="5" t="inlineStr">
        <is>
          <t>2024</t>
        </is>
      </c>
      <c r="X215" s="5" t="inlineStr">
        <is>
          <t>2025</t>
        </is>
      </c>
      <c r="Y215" s="5" t="inlineStr">
        <is>
          <t>2026(MW)</t>
        </is>
      </c>
      <c r="Z215" s="5" t="inlineStr">
        <is>
          <t>2027(MW)</t>
        </is>
      </c>
      <c r="AA215" s="5" t="inlineStr">
        <is>
          <t>2028(MW)</t>
        </is>
      </c>
      <c r="AB215" s="5" t="inlineStr">
        <is>
          <t>2029(MW)</t>
        </is>
      </c>
      <c r="AC215" s="5" t="inlineStr">
        <is>
          <t>2030(MW)</t>
        </is>
      </c>
    </row>
    <row r="216">
      <c r="A216" s="18" t="inlineStr">
        <is>
          <t>영업이익</t>
        </is>
      </c>
      <c r="I216" s="20" t="n">
        <v>4830</v>
      </c>
      <c r="J216" s="20" t="n">
        <v>10626</v>
      </c>
      <c r="M216" s="20" t="n">
        <v>4124</v>
      </c>
      <c r="N216" s="20" t="n">
        <v>9089</v>
      </c>
    </row>
    <row r="217">
      <c r="A217" s="18" t="inlineStr">
        <is>
          <t>감가상각비 및 상각비</t>
        </is>
      </c>
      <c r="C217" s="20" t="n">
        <v>6223</v>
      </c>
      <c r="D217" s="20" t="n">
        <v>8249</v>
      </c>
      <c r="F217" s="20" t="n">
        <v>6125</v>
      </c>
      <c r="G217" s="20" t="n">
        <v>8957</v>
      </c>
      <c r="H217" s="20" t="n">
        <v>12000</v>
      </c>
      <c r="I217" s="20" t="n">
        <v>2994</v>
      </c>
      <c r="J217" s="20" t="n">
        <v>5796</v>
      </c>
      <c r="K217" s="20" t="n">
        <v>8697</v>
      </c>
      <c r="L217" s="20" t="n">
        <v>11814</v>
      </c>
      <c r="M217" s="20" t="n">
        <v>3029</v>
      </c>
      <c r="N217" s="20" t="n">
        <v>6074</v>
      </c>
      <c r="Q217" s="20" t="n">
        <v>5769</v>
      </c>
      <c r="R217" s="20" t="n">
        <v>6395</v>
      </c>
      <c r="S217" s="20" t="n">
        <v>6895</v>
      </c>
      <c r="T217" s="20" t="n">
        <v>7495</v>
      </c>
      <c r="U217" s="20" t="n">
        <v>8282</v>
      </c>
      <c r="V217" s="20" t="n">
        <v>8249</v>
      </c>
      <c r="W217" s="20" t="n">
        <v>12000</v>
      </c>
      <c r="X217" s="20" t="n">
        <v>11814</v>
      </c>
    </row>
    <row r="218">
      <c r="A218" s="18" t="inlineStr">
        <is>
          <t>손상차손</t>
        </is>
      </c>
      <c r="D218" s="20" t="n">
        <v>2236</v>
      </c>
      <c r="H218" s="20" t="n">
        <v>0</v>
      </c>
      <c r="Q218" s="20" t="n">
        <v>754</v>
      </c>
      <c r="R218" s="20" t="n">
        <v>223</v>
      </c>
      <c r="S218" s="20" t="n">
        <v>3028</v>
      </c>
      <c r="T218" s="20" t="n">
        <v>0</v>
      </c>
      <c r="U218" s="20" t="n">
        <v>0</v>
      </c>
      <c r="V218" s="20" t="n">
        <v>2236</v>
      </c>
      <c r="W218" s="20" t="n">
        <v>0</v>
      </c>
    </row>
    <row r="219">
      <c r="A219" s="18" t="inlineStr">
        <is>
          <t>사업 양도 이익</t>
        </is>
      </c>
      <c r="Q219" s="20" t="n">
        <v>0</v>
      </c>
      <c r="R219" s="20" t="n">
        <v>-1692</v>
      </c>
      <c r="S219" s="20" t="n">
        <v>0</v>
      </c>
    </row>
    <row r="220">
      <c r="A220" s="18" t="inlineStr">
        <is>
          <t>이자·배당금 수익</t>
        </is>
      </c>
      <c r="C220" s="20" t="n">
        <v>-469</v>
      </c>
      <c r="D220" s="20" t="n">
        <v>-623</v>
      </c>
      <c r="F220" s="20" t="n">
        <v>-461</v>
      </c>
      <c r="G220" s="20" t="n">
        <v>-560</v>
      </c>
      <c r="H220" s="20" t="n">
        <v>-772</v>
      </c>
      <c r="J220" s="20" t="n">
        <v>-495</v>
      </c>
      <c r="K220" s="20" t="n">
        <v>-663</v>
      </c>
      <c r="L220" s="20" t="n">
        <v>-854</v>
      </c>
      <c r="Q220" s="20" t="n">
        <v>-619</v>
      </c>
      <c r="R220" s="20" t="n">
        <v>-450</v>
      </c>
      <c r="S220" s="20" t="n">
        <v>-397</v>
      </c>
      <c r="T220" s="20" t="n">
        <v>-367</v>
      </c>
      <c r="U220" s="20" t="n">
        <v>-438</v>
      </c>
      <c r="V220" s="20" t="n">
        <v>-623</v>
      </c>
      <c r="W220" s="20" t="n">
        <v>-772</v>
      </c>
      <c r="X220" s="20" t="n">
        <v>-854</v>
      </c>
    </row>
    <row r="221">
      <c r="A221" s="18" t="inlineStr">
        <is>
          <t>이자비용</t>
        </is>
      </c>
      <c r="C221" s="20" t="n">
        <v>1052</v>
      </c>
      <c r="D221" s="20" t="n">
        <v>1673</v>
      </c>
      <c r="F221" s="20" t="n">
        <v>1754</v>
      </c>
      <c r="G221" s="20" t="n">
        <v>2186</v>
      </c>
      <c r="H221" s="20" t="n">
        <v>2984</v>
      </c>
      <c r="J221" s="20" t="n">
        <v>1085</v>
      </c>
      <c r="K221" s="20" t="n">
        <v>1655</v>
      </c>
      <c r="L221" s="20" t="n">
        <v>2408</v>
      </c>
      <c r="Q221" s="20" t="n">
        <v>410</v>
      </c>
      <c r="R221" s="20" t="n">
        <v>435</v>
      </c>
      <c r="S221" s="20" t="n">
        <v>480</v>
      </c>
      <c r="T221" s="20" t="n">
        <v>332</v>
      </c>
      <c r="U221" s="20" t="n">
        <v>554</v>
      </c>
      <c r="V221" s="20" t="n">
        <v>1673</v>
      </c>
      <c r="W221" s="20" t="n">
        <v>2984</v>
      </c>
      <c r="X221" s="20" t="n">
        <v>2408</v>
      </c>
    </row>
    <row r="222">
      <c r="A222" s="18" t="inlineStr">
        <is>
          <t>단계적 취득 차익</t>
        </is>
      </c>
      <c r="F222" s="20" t="n">
        <v>-9323</v>
      </c>
      <c r="J222" s="20" t="n">
        <v>0</v>
      </c>
    </row>
    <row r="223">
      <c r="A223" s="18" t="inlineStr">
        <is>
          <t>단계적 취득 차익</t>
        </is>
      </c>
      <c r="C223" s="20" t="n">
        <v>0</v>
      </c>
      <c r="D223" s="20" t="n">
        <v>0</v>
      </c>
      <c r="G223" s="20" t="n">
        <v>-9323</v>
      </c>
      <c r="H223" s="20" t="n">
        <v>-9323</v>
      </c>
      <c r="K223" s="20" t="n">
        <v>0</v>
      </c>
      <c r="L223" s="20" t="n">
        <v>0</v>
      </c>
      <c r="V223" s="20" t="n">
        <v>0</v>
      </c>
      <c r="W223" s="20" t="n">
        <v>-9323</v>
      </c>
      <c r="X223" s="20" t="n">
        <v>0</v>
      </c>
    </row>
    <row r="224">
      <c r="A224" s="18" t="inlineStr">
        <is>
          <t>지분법이익</t>
        </is>
      </c>
      <c r="C224" s="20" t="n">
        <v>-1384</v>
      </c>
      <c r="D224" s="20" t="n">
        <v>-2217</v>
      </c>
      <c r="F224" s="20" t="n">
        <v>9</v>
      </c>
      <c r="G224" s="20" t="n">
        <v>2</v>
      </c>
      <c r="H224" s="20" t="n">
        <v>-270</v>
      </c>
      <c r="J224" s="20" t="n">
        <v>-39</v>
      </c>
      <c r="K224" s="20" t="n">
        <v>-125</v>
      </c>
      <c r="L224" s="20" t="n">
        <v>-327</v>
      </c>
      <c r="Q224" s="20" t="n">
        <v>-3</v>
      </c>
      <c r="R224" s="20" t="n">
        <v>-108</v>
      </c>
      <c r="S224" s="20" t="n">
        <v>914</v>
      </c>
      <c r="T224" s="20" t="n">
        <v>-416</v>
      </c>
      <c r="U224" s="20" t="n">
        <v>-904</v>
      </c>
      <c r="V224" s="20" t="n">
        <v>-2217</v>
      </c>
      <c r="W224" s="20" t="n">
        <v>-270</v>
      </c>
      <c r="X224" s="20" t="n">
        <v>-327</v>
      </c>
    </row>
    <row r="225">
      <c r="A225" s="18" t="inlineStr">
        <is>
          <t>Loss Gain On Sale And Retirement Of Property Plant And Equipment And Intangible Assets Ope CF</t>
        </is>
      </c>
      <c r="C225" s="20" t="n">
        <v>1</v>
      </c>
      <c r="D225" s="20" t="n">
        <v>28</v>
      </c>
      <c r="F225" s="20" t="n">
        <v>39</v>
      </c>
      <c r="G225" s="20" t="n">
        <v>86</v>
      </c>
      <c r="H225" s="20" t="n">
        <v>107</v>
      </c>
      <c r="I225" s="20" t="n">
        <v>0</v>
      </c>
      <c r="J225" s="20" t="n">
        <v>3</v>
      </c>
      <c r="K225" s="20" t="n">
        <v>83</v>
      </c>
      <c r="L225" s="20" t="n">
        <v>165</v>
      </c>
      <c r="M225" s="20" t="n">
        <v>1</v>
      </c>
      <c r="N225" s="20" t="n">
        <v>38</v>
      </c>
      <c r="Q225" s="20" t="n">
        <v>-1242</v>
      </c>
      <c r="R225" s="20" t="n">
        <v>-46</v>
      </c>
      <c r="S225" s="20" t="n">
        <v>-189</v>
      </c>
      <c r="T225" s="20" t="n">
        <v>61</v>
      </c>
      <c r="U225" s="20" t="n">
        <v>97</v>
      </c>
      <c r="V225" s="20" t="n">
        <v>28</v>
      </c>
      <c r="W225" s="20" t="n">
        <v>107</v>
      </c>
      <c r="X225" s="20" t="n">
        <v>165</v>
      </c>
    </row>
    <row r="226">
      <c r="A226" s="18" t="inlineStr">
        <is>
          <t>매출채권 및 기타채권 증감액</t>
        </is>
      </c>
      <c r="C226" s="20" t="n">
        <v>-1076</v>
      </c>
      <c r="D226" s="20" t="n">
        <v>-2127</v>
      </c>
      <c r="F226" s="20" t="n">
        <v>-4492</v>
      </c>
      <c r="G226" s="20" t="n">
        <v>-2834</v>
      </c>
      <c r="H226" s="20" t="n">
        <v>-1640</v>
      </c>
      <c r="I226" s="20" t="n">
        <v>6577</v>
      </c>
      <c r="J226" s="20" t="n">
        <v>2292</v>
      </c>
      <c r="K226" s="20" t="n">
        <v>-1904</v>
      </c>
      <c r="L226" s="20" t="n">
        <v>-645</v>
      </c>
      <c r="M226" s="20" t="n">
        <v>9568</v>
      </c>
      <c r="N226" s="20" t="n">
        <v>5055</v>
      </c>
      <c r="Q226" s="20" t="n">
        <v>-542</v>
      </c>
      <c r="R226" s="20" t="n">
        <v>823</v>
      </c>
      <c r="S226" s="20" t="n">
        <v>-270</v>
      </c>
      <c r="T226" s="20" t="n">
        <v>-968</v>
      </c>
      <c r="U226" s="20" t="n">
        <v>-2771</v>
      </c>
      <c r="V226" s="20" t="n">
        <v>-2127</v>
      </c>
      <c r="W226" s="20" t="n">
        <v>-1640</v>
      </c>
      <c r="X226" s="20" t="n">
        <v>-645</v>
      </c>
    </row>
    <row r="227">
      <c r="A227" s="18" t="inlineStr">
        <is>
          <t>재고자산 증감</t>
        </is>
      </c>
      <c r="C227" s="20" t="n">
        <v>-12722</v>
      </c>
      <c r="D227" s="20" t="n">
        <v>-14780</v>
      </c>
      <c r="F227" s="20" t="n">
        <v>24881</v>
      </c>
      <c r="G227" s="20" t="n">
        <v>-9582</v>
      </c>
      <c r="H227" s="20" t="n">
        <v>7198</v>
      </c>
      <c r="I227" s="20" t="n">
        <v>4673</v>
      </c>
      <c r="J227" s="20" t="n">
        <v>15071</v>
      </c>
      <c r="K227" s="20" t="n">
        <v>-9251</v>
      </c>
      <c r="L227" s="20" t="n">
        <v>2117</v>
      </c>
      <c r="M227" s="20" t="n">
        <v>4050</v>
      </c>
      <c r="N227" s="20" t="n">
        <v>13511</v>
      </c>
      <c r="Q227" s="20" t="n">
        <v>-767</v>
      </c>
      <c r="R227" s="20" t="n">
        <v>-1421</v>
      </c>
      <c r="S227" s="20" t="n">
        <v>746</v>
      </c>
      <c r="T227" s="20" t="n">
        <v>-3226</v>
      </c>
      <c r="U227" s="20" t="n">
        <v>-7575</v>
      </c>
      <c r="V227" s="20" t="n">
        <v>-14780</v>
      </c>
      <c r="W227" s="20" t="n">
        <v>7198</v>
      </c>
      <c r="X227" s="20" t="n">
        <v>2117</v>
      </c>
    </row>
    <row r="228">
      <c r="A228" s="18" t="inlineStr">
        <is>
          <t>매입채무 및 기타채무 증감액</t>
        </is>
      </c>
      <c r="C228" s="20" t="n">
        <v>7396</v>
      </c>
      <c r="D228" s="20" t="n">
        <v>1014</v>
      </c>
      <c r="F228" s="20" t="n">
        <v>-6440</v>
      </c>
      <c r="G228" s="20" t="n">
        <v>4309</v>
      </c>
      <c r="H228" s="20" t="n">
        <v>-973</v>
      </c>
      <c r="I228" s="20" t="n">
        <v>-5936</v>
      </c>
      <c r="J228" s="20" t="n">
        <v>-5108</v>
      </c>
      <c r="K228" s="20" t="n">
        <v>5793</v>
      </c>
      <c r="L228" s="20" t="n">
        <v>-1356</v>
      </c>
      <c r="M228" s="20" t="n">
        <v>-7868</v>
      </c>
      <c r="N228" s="20" t="n">
        <v>-6975</v>
      </c>
      <c r="Q228" s="20" t="n">
        <v>-253</v>
      </c>
      <c r="R228" s="20" t="n">
        <v>-643</v>
      </c>
      <c r="S228" s="20" t="n">
        <v>2006</v>
      </c>
      <c r="T228" s="20" t="n">
        <v>3127</v>
      </c>
      <c r="U228" s="20" t="n">
        <v>638</v>
      </c>
      <c r="V228" s="20" t="n">
        <v>1014</v>
      </c>
      <c r="W228" s="20" t="n">
        <v>-973</v>
      </c>
      <c r="X228" s="20" t="n">
        <v>-1356</v>
      </c>
    </row>
    <row r="229">
      <c r="A229" s="18" t="inlineStr">
        <is>
          <t>Decrease In Other Ope CF</t>
        </is>
      </c>
      <c r="I229" s="20" t="n">
        <v>-1942</v>
      </c>
      <c r="M229" s="20" t="n">
        <v>-1350</v>
      </c>
    </row>
    <row r="230">
      <c r="A230" s="18" t="inlineStr">
        <is>
          <t>기타</t>
        </is>
      </c>
      <c r="C230" s="20" t="n">
        <v>-436</v>
      </c>
      <c r="D230" s="20" t="n">
        <v>-680</v>
      </c>
      <c r="F230" s="20" t="n">
        <v>-2794</v>
      </c>
      <c r="G230" s="20" t="n">
        <v>962</v>
      </c>
      <c r="H230" s="20" t="n">
        <v>-321</v>
      </c>
      <c r="J230" s="20" t="n">
        <v>-1723</v>
      </c>
      <c r="K230" s="20" t="n">
        <v>-595</v>
      </c>
      <c r="L230" s="20" t="n">
        <v>-1109</v>
      </c>
      <c r="N230" s="20" t="n">
        <v>-2427</v>
      </c>
      <c r="Q230" s="20" t="n">
        <v>-754</v>
      </c>
      <c r="R230" s="20" t="n">
        <v>23</v>
      </c>
      <c r="S230" s="20" t="n">
        <v>-0</v>
      </c>
      <c r="T230" s="20" t="n">
        <v>-401</v>
      </c>
      <c r="U230" s="20" t="n">
        <v>-1462</v>
      </c>
      <c r="V230" s="20" t="n">
        <v>-680</v>
      </c>
      <c r="W230" s="20" t="n">
        <v>-321</v>
      </c>
      <c r="X230" s="20" t="n">
        <v>-1109</v>
      </c>
    </row>
    <row r="231">
      <c r="A231" s="18" t="inlineStr">
        <is>
          <t>소계</t>
        </is>
      </c>
      <c r="C231" s="20" t="n">
        <v>13638</v>
      </c>
      <c r="D231" s="20" t="n">
        <v>9261</v>
      </c>
      <c r="F231" s="20" t="n">
        <v>32427</v>
      </c>
      <c r="G231" s="20" t="n">
        <v>25098</v>
      </c>
      <c r="H231" s="20" t="n">
        <v>42653</v>
      </c>
      <c r="I231" s="20" t="n">
        <v>11197</v>
      </c>
      <c r="J231" s="20" t="n">
        <v>26958</v>
      </c>
      <c r="K231" s="20" t="n">
        <v>20270</v>
      </c>
      <c r="L231" s="20" t="n">
        <v>33330</v>
      </c>
      <c r="M231" s="20" t="n">
        <v>11555</v>
      </c>
      <c r="N231" s="20" t="n">
        <v>24366</v>
      </c>
      <c r="Q231" s="20" t="n">
        <v>14963</v>
      </c>
      <c r="R231" s="20" t="n">
        <v>17427</v>
      </c>
      <c r="S231" s="20" t="n">
        <v>23838</v>
      </c>
      <c r="T231" s="20" t="n">
        <v>19517</v>
      </c>
      <c r="U231" s="20" t="n">
        <v>8978</v>
      </c>
      <c r="V231" s="20" t="n">
        <v>9261</v>
      </c>
      <c r="W231" s="20" t="n">
        <v>42653</v>
      </c>
      <c r="X231" s="20" t="n">
        <v>33330</v>
      </c>
    </row>
    <row r="232">
      <c r="A232" s="18" t="inlineStr">
        <is>
          <t>이자·배당금 수취</t>
        </is>
      </c>
      <c r="C232" s="20" t="n">
        <v>737</v>
      </c>
      <c r="D232" s="20" t="n">
        <v>1009</v>
      </c>
      <c r="F232" s="20" t="n">
        <v>445</v>
      </c>
      <c r="G232" s="20" t="n">
        <v>506</v>
      </c>
      <c r="H232" s="20" t="n">
        <v>805</v>
      </c>
      <c r="J232" s="20" t="n">
        <v>444</v>
      </c>
      <c r="K232" s="20" t="n">
        <v>587</v>
      </c>
      <c r="L232" s="20" t="n">
        <v>753</v>
      </c>
      <c r="Q232" s="20" t="n">
        <v>555</v>
      </c>
      <c r="R232" s="20" t="n">
        <v>513</v>
      </c>
      <c r="S232" s="20" t="n">
        <v>400</v>
      </c>
      <c r="T232" s="20" t="n">
        <v>333</v>
      </c>
      <c r="U232" s="20" t="n">
        <v>446</v>
      </c>
      <c r="V232" s="20" t="n">
        <v>1009</v>
      </c>
      <c r="W232" s="20" t="n">
        <v>805</v>
      </c>
      <c r="X232" s="20" t="n">
        <v>753</v>
      </c>
    </row>
    <row r="233">
      <c r="A233" s="18" t="inlineStr">
        <is>
          <t>이자 지급</t>
        </is>
      </c>
      <c r="C233" s="20" t="n">
        <v>-781</v>
      </c>
      <c r="D233" s="20" t="n">
        <v>-1381</v>
      </c>
      <c r="F233" s="20" t="n">
        <v>-2035</v>
      </c>
      <c r="G233" s="20" t="n">
        <v>-2298</v>
      </c>
      <c r="H233" s="20" t="n">
        <v>-3080</v>
      </c>
      <c r="J233" s="20" t="n">
        <v>-1316</v>
      </c>
      <c r="K233" s="20" t="n">
        <v>-1773</v>
      </c>
      <c r="L233" s="20" t="n">
        <v>-2430</v>
      </c>
      <c r="Q233" s="20" t="n">
        <v>-404</v>
      </c>
      <c r="R233" s="20" t="n">
        <v>-442</v>
      </c>
      <c r="S233" s="20" t="n">
        <v>-327</v>
      </c>
      <c r="T233" s="20" t="n">
        <v>-508</v>
      </c>
      <c r="U233" s="20" t="n">
        <v>-529</v>
      </c>
      <c r="V233" s="20" t="n">
        <v>-1381</v>
      </c>
      <c r="W233" s="20" t="n">
        <v>-3080</v>
      </c>
      <c r="X233" s="20" t="n">
        <v>-2430</v>
      </c>
    </row>
    <row r="234">
      <c r="A234" s="18" t="inlineStr">
        <is>
          <t>Income Taxes Paid Ope CF</t>
        </is>
      </c>
      <c r="C234" s="20" t="n">
        <v>-3704</v>
      </c>
      <c r="D234" s="20" t="n">
        <v>-4271</v>
      </c>
      <c r="F234" s="20" t="n">
        <v>-4035</v>
      </c>
      <c r="G234" s="20" t="n">
        <v>-7147</v>
      </c>
      <c r="H234" s="20" t="n">
        <v>-8686</v>
      </c>
      <c r="I234" s="20" t="n">
        <v>-2086</v>
      </c>
      <c r="J234" s="20" t="n">
        <v>-2515</v>
      </c>
      <c r="K234" s="20" t="n">
        <v>-4246</v>
      </c>
      <c r="L234" s="20" t="n">
        <v>-4723</v>
      </c>
      <c r="M234" s="20" t="n">
        <v>-2404</v>
      </c>
      <c r="N234" s="20" t="n">
        <v>-2562</v>
      </c>
      <c r="Q234" s="20" t="n">
        <v>-4392</v>
      </c>
      <c r="R234" s="20" t="n">
        <v>-5274</v>
      </c>
      <c r="S234" s="20" t="n">
        <v>-3469</v>
      </c>
      <c r="T234" s="20" t="n">
        <v>-4545</v>
      </c>
      <c r="U234" s="20" t="n">
        <v>-4260</v>
      </c>
      <c r="V234" s="20" t="n">
        <v>-4271</v>
      </c>
      <c r="W234" s="20" t="n">
        <v>-8686</v>
      </c>
      <c r="X234" s="20" t="n">
        <v>-4723</v>
      </c>
    </row>
    <row r="235">
      <c r="A235" s="9" t="inlineStr">
        <is>
          <t>영업활동 현금흐름</t>
        </is>
      </c>
      <c r="C235" s="12" t="n">
        <v>9890</v>
      </c>
      <c r="D235" s="12" t="n">
        <v>4617</v>
      </c>
      <c r="F235" s="12" t="n">
        <v>26802</v>
      </c>
      <c r="G235" s="12" t="n">
        <v>16158</v>
      </c>
      <c r="H235" s="12" t="n">
        <v>31692</v>
      </c>
      <c r="I235" s="12" t="n">
        <v>9111</v>
      </c>
      <c r="J235" s="12" t="n">
        <v>24443</v>
      </c>
      <c r="K235" s="12" t="n">
        <v>14838</v>
      </c>
      <c r="L235" s="12" t="n">
        <v>26930</v>
      </c>
      <c r="M235" s="12" t="n">
        <v>9150</v>
      </c>
      <c r="N235" s="12" t="n">
        <v>21803</v>
      </c>
      <c r="Q235" s="12" t="n">
        <v>10722</v>
      </c>
      <c r="R235" s="12" t="n">
        <v>12224</v>
      </c>
      <c r="S235" s="12" t="n">
        <v>20442</v>
      </c>
      <c r="T235" s="12" t="n">
        <v>14796</v>
      </c>
      <c r="U235" s="12" t="n">
        <v>4635</v>
      </c>
      <c r="V235" s="12" t="n">
        <v>4617</v>
      </c>
      <c r="W235" s="12" t="n">
        <v>31692</v>
      </c>
      <c r="X235" s="12" t="n">
        <v>26930</v>
      </c>
    </row>
    <row r="236">
      <c r="A236" s="18" t="inlineStr">
        <is>
          <t>Purchase Of Property Plant And Equipment And Intangible Assets Inv CF</t>
        </is>
      </c>
      <c r="C236" s="20" t="n">
        <v>-4439</v>
      </c>
      <c r="D236" s="20" t="n">
        <v>-6426</v>
      </c>
      <c r="F236" s="20" t="n">
        <v>-4896</v>
      </c>
      <c r="G236" s="20" t="n">
        <v>-7950</v>
      </c>
      <c r="H236" s="20" t="n">
        <v>-10943</v>
      </c>
      <c r="I236" s="20" t="n">
        <v>-3183</v>
      </c>
      <c r="J236" s="20" t="n">
        <v>-6098</v>
      </c>
      <c r="K236" s="20" t="n">
        <v>-8325</v>
      </c>
      <c r="L236" s="20" t="n">
        <v>-11393</v>
      </c>
      <c r="M236" s="20" t="n">
        <v>-2533</v>
      </c>
      <c r="N236" s="20" t="n">
        <v>-5806</v>
      </c>
      <c r="Q236" s="20" t="n">
        <v>-10718</v>
      </c>
      <c r="R236" s="20" t="n">
        <v>-10444</v>
      </c>
      <c r="S236" s="20" t="n">
        <v>-6107</v>
      </c>
      <c r="T236" s="20" t="n">
        <v>-14823</v>
      </c>
      <c r="U236" s="20" t="n">
        <v>-9878</v>
      </c>
      <c r="V236" s="20" t="n">
        <v>-6426</v>
      </c>
      <c r="W236" s="20" t="n">
        <v>-10943</v>
      </c>
      <c r="X236" s="20" t="n">
        <v>-11393</v>
      </c>
    </row>
    <row r="237">
      <c r="A237" s="18" t="inlineStr">
        <is>
          <t>Proceeds From Sale Of Property Plant And Equipment Inv CF</t>
        </is>
      </c>
      <c r="C237" s="20" t="n">
        <v>95</v>
      </c>
      <c r="D237" s="20" t="n">
        <v>297</v>
      </c>
      <c r="F237" s="20" t="n">
        <v>89</v>
      </c>
      <c r="G237" s="20" t="n">
        <v>102</v>
      </c>
      <c r="H237" s="20" t="n">
        <v>413</v>
      </c>
      <c r="I237" s="20" t="n">
        <v>33</v>
      </c>
      <c r="J237" s="20" t="n">
        <v>53</v>
      </c>
      <c r="K237" s="20" t="n">
        <v>63</v>
      </c>
      <c r="L237" s="20" t="n">
        <v>58</v>
      </c>
      <c r="M237" s="20" t="n">
        <v>18</v>
      </c>
      <c r="N237" s="20" t="n">
        <v>38</v>
      </c>
      <c r="Q237" s="20" t="n">
        <v>2331</v>
      </c>
      <c r="R237" s="20" t="n">
        <v>198</v>
      </c>
      <c r="S237" s="20" t="n">
        <v>3346</v>
      </c>
      <c r="T237" s="20" t="n">
        <v>532</v>
      </c>
      <c r="U237" s="20" t="n">
        <v>259</v>
      </c>
      <c r="V237" s="20" t="n">
        <v>297</v>
      </c>
      <c r="W237" s="20" t="n">
        <v>413</v>
      </c>
      <c r="X237" s="20" t="n">
        <v>58</v>
      </c>
    </row>
    <row r="238">
      <c r="A238" s="18" t="inlineStr">
        <is>
          <t>Payments For Purchase Of Subsidiaries And Affiliates Securities Inv CF</t>
        </is>
      </c>
      <c r="Q238" s="20" t="n">
        <v>-121</v>
      </c>
      <c r="R238" s="20" t="n">
        <v>0</v>
      </c>
    </row>
    <row r="239">
      <c r="A239" s="18" t="inlineStr">
        <is>
          <t>사업양수 지출</t>
        </is>
      </c>
      <c r="R239" s="20" t="n">
        <v>0</v>
      </c>
      <c r="S239" s="20" t="n">
        <v>-499</v>
      </c>
      <c r="T239" s="20" t="n">
        <v>0</v>
      </c>
    </row>
    <row r="240">
      <c r="A240" s="18" t="inlineStr">
        <is>
          <t>Purchase Of Investments In Subsidiaries Inv CF</t>
        </is>
      </c>
      <c r="R240" s="20" t="n">
        <v>0</v>
      </c>
      <c r="S240" s="20" t="n">
        <v>-10</v>
      </c>
      <c r="T240" s="20" t="n">
        <v>-65</v>
      </c>
      <c r="U240" s="20" t="n">
        <v>0</v>
      </c>
    </row>
    <row r="241">
      <c r="A241" s="18" t="inlineStr">
        <is>
          <t>연결범위 변경 자회사 주식 취득</t>
        </is>
      </c>
      <c r="C241" s="20" t="n">
        <v>0</v>
      </c>
      <c r="D241" s="20" t="n">
        <v>0</v>
      </c>
      <c r="F241" s="20" t="n">
        <v>-36046</v>
      </c>
      <c r="G241" s="20" t="n">
        <v>-36046</v>
      </c>
      <c r="H241" s="20" t="n">
        <v>-36046</v>
      </c>
      <c r="I241" s="20" t="n">
        <v>0</v>
      </c>
      <c r="J241" s="20" t="n">
        <v>0</v>
      </c>
      <c r="K241" s="20" t="n">
        <v>0</v>
      </c>
      <c r="L241" s="20" t="n">
        <v>0</v>
      </c>
      <c r="M241" s="20" t="n">
        <v>-4327</v>
      </c>
      <c r="N241" s="20" t="n">
        <v>-4327</v>
      </c>
      <c r="V241" s="20" t="n">
        <v>0</v>
      </c>
      <c r="W241" s="20" t="n">
        <v>-36046</v>
      </c>
      <c r="X241" s="20" t="n">
        <v>0</v>
      </c>
    </row>
    <row r="242">
      <c r="A242" s="18" t="inlineStr">
        <is>
          <t>Purchase Of Shares Of Associates Inv CF</t>
        </is>
      </c>
      <c r="J242" s="20" t="n">
        <v>0</v>
      </c>
      <c r="N242" s="20" t="n">
        <v>-12</v>
      </c>
    </row>
    <row r="243">
      <c r="A243" s="18" t="inlineStr">
        <is>
          <t>Purchase Of Other Financial Assets Inv CF</t>
        </is>
      </c>
      <c r="C243" s="20" t="n">
        <v>-54</v>
      </c>
      <c r="D243" s="20" t="n">
        <v>-309</v>
      </c>
      <c r="F243" s="20" t="n">
        <v>-190</v>
      </c>
      <c r="G243" s="20" t="n">
        <v>-228</v>
      </c>
      <c r="H243" s="20" t="n">
        <v>-215</v>
      </c>
      <c r="I243" s="20" t="n">
        <v>-488</v>
      </c>
      <c r="J243" s="20" t="n">
        <v>-175</v>
      </c>
      <c r="K243" s="20" t="n">
        <v>-453</v>
      </c>
      <c r="L243" s="20" t="n">
        <v>-602</v>
      </c>
      <c r="M243" s="20" t="n">
        <v>-23</v>
      </c>
      <c r="N243" s="20" t="n">
        <v>-410</v>
      </c>
      <c r="Q243" s="20" t="n">
        <v>-821</v>
      </c>
      <c r="R243" s="20" t="n">
        <v>-47</v>
      </c>
      <c r="S243" s="20" t="n">
        <v>-398</v>
      </c>
      <c r="T243" s="20" t="n">
        <v>-41</v>
      </c>
      <c r="U243" s="20" t="n">
        <v>-536</v>
      </c>
      <c r="V243" s="20" t="n">
        <v>-309</v>
      </c>
      <c r="W243" s="20" t="n">
        <v>-215</v>
      </c>
      <c r="X243" s="20" t="n">
        <v>-602</v>
      </c>
    </row>
    <row r="244">
      <c r="A244" s="18" t="inlineStr">
        <is>
          <t>Proceeds From Sale And Redemption Of Other Financial Assets Inv CF</t>
        </is>
      </c>
      <c r="C244" s="20" t="n">
        <v>250</v>
      </c>
      <c r="D244" s="20" t="n">
        <v>446</v>
      </c>
      <c r="F244" s="20" t="n">
        <v>223</v>
      </c>
      <c r="G244" s="20" t="n">
        <v>216</v>
      </c>
      <c r="H244" s="20" t="n">
        <v>443</v>
      </c>
      <c r="I244" s="20" t="n">
        <v>16</v>
      </c>
      <c r="J244" s="20" t="n">
        <v>246</v>
      </c>
      <c r="K244" s="20" t="n">
        <v>439</v>
      </c>
      <c r="L244" s="20" t="n">
        <v>499</v>
      </c>
      <c r="M244" s="20" t="n">
        <v>436</v>
      </c>
      <c r="N244" s="20" t="n">
        <v>733</v>
      </c>
      <c r="Q244" s="20" t="n">
        <v>8961</v>
      </c>
      <c r="R244" s="20" t="n">
        <v>1069</v>
      </c>
      <c r="S244" s="20" t="n">
        <v>260</v>
      </c>
      <c r="T244" s="20" t="n">
        <v>260</v>
      </c>
      <c r="U244" s="20" t="n">
        <v>563</v>
      </c>
      <c r="V244" s="20" t="n">
        <v>446</v>
      </c>
      <c r="W244" s="20" t="n">
        <v>443</v>
      </c>
      <c r="X244" s="20" t="n">
        <v>499</v>
      </c>
    </row>
    <row r="245">
      <c r="A245" s="18" t="inlineStr">
        <is>
          <t>이자 수취</t>
        </is>
      </c>
      <c r="I245" s="20" t="n">
        <v>104</v>
      </c>
      <c r="J245" s="20" t="n">
        <v>202</v>
      </c>
      <c r="M245" s="20" t="n">
        <v>198</v>
      </c>
      <c r="N245" s="20" t="n">
        <v>259</v>
      </c>
    </row>
    <row r="246">
      <c r="A246" s="18" t="inlineStr">
        <is>
          <t>배당금 수취액</t>
        </is>
      </c>
      <c r="I246" s="20" t="n">
        <v>119</v>
      </c>
      <c r="J246" s="20" t="n">
        <v>241</v>
      </c>
      <c r="M246" s="20" t="n">
        <v>138</v>
      </c>
      <c r="N246" s="20" t="n">
        <v>300</v>
      </c>
    </row>
    <row r="247">
      <c r="A247" s="18" t="inlineStr">
        <is>
          <t>Proceeds From Government Grants Inv CF</t>
        </is>
      </c>
      <c r="I247" s="20" t="n">
        <v>0</v>
      </c>
      <c r="J247" s="20" t="n">
        <v>0</v>
      </c>
      <c r="M247" s="20" t="n">
        <v>120</v>
      </c>
      <c r="N247" s="20" t="n">
        <v>143</v>
      </c>
    </row>
    <row r="248">
      <c r="A248" s="18" t="inlineStr">
        <is>
          <t>기타</t>
        </is>
      </c>
      <c r="C248" s="20" t="n">
        <v>-4</v>
      </c>
      <c r="D248" s="20" t="n">
        <v>-64</v>
      </c>
      <c r="F248" s="20" t="n">
        <v>70</v>
      </c>
      <c r="G248" s="20" t="n">
        <v>62</v>
      </c>
      <c r="H248" s="20" t="n">
        <v>22</v>
      </c>
      <c r="I248" s="20" t="n">
        <v>-23</v>
      </c>
      <c r="J248" s="20" t="n">
        <v>-3</v>
      </c>
      <c r="K248" s="20" t="n">
        <v>-7</v>
      </c>
      <c r="L248" s="20" t="n">
        <v>-46</v>
      </c>
      <c r="M248" s="20" t="n">
        <v>-20</v>
      </c>
      <c r="N248" s="20" t="n">
        <v>-12</v>
      </c>
      <c r="Q248" s="20" t="n">
        <v>69</v>
      </c>
      <c r="R248" s="20" t="n">
        <v>-43</v>
      </c>
      <c r="S248" s="20" t="n">
        <v>10</v>
      </c>
      <c r="T248" s="20" t="n">
        <v>-24</v>
      </c>
      <c r="U248" s="20" t="n">
        <v>134</v>
      </c>
      <c r="V248" s="20" t="n">
        <v>-64</v>
      </c>
      <c r="W248" s="20" t="n">
        <v>22</v>
      </c>
      <c r="X248" s="20" t="n">
        <v>-46</v>
      </c>
    </row>
    <row r="249">
      <c r="A249" s="9" t="inlineStr">
        <is>
          <t>투자활동 현금흐름</t>
        </is>
      </c>
      <c r="C249" s="12" t="n">
        <v>-4151</v>
      </c>
      <c r="D249" s="12" t="n">
        <v>-6056</v>
      </c>
      <c r="F249" s="12" t="n">
        <v>-40749</v>
      </c>
      <c r="G249" s="12" t="n">
        <v>-43843</v>
      </c>
      <c r="H249" s="12" t="n">
        <v>-46325</v>
      </c>
      <c r="I249" s="12" t="n">
        <v>-3421</v>
      </c>
      <c r="J249" s="12" t="n">
        <v>-5532</v>
      </c>
      <c r="K249" s="12" t="n">
        <v>-8284</v>
      </c>
      <c r="L249" s="12" t="n">
        <v>-11485</v>
      </c>
      <c r="M249" s="12" t="n">
        <v>-5993</v>
      </c>
      <c r="N249" s="12" t="n">
        <v>-9093</v>
      </c>
      <c r="Q249" s="12" t="n">
        <v>-299</v>
      </c>
      <c r="R249" s="12" t="n">
        <v>-9267</v>
      </c>
      <c r="S249" s="12" t="n">
        <v>-3398</v>
      </c>
      <c r="T249" s="12" t="n">
        <v>-14162</v>
      </c>
      <c r="U249" s="12" t="n">
        <v>-9457</v>
      </c>
      <c r="V249" s="12" t="n">
        <v>-6056</v>
      </c>
      <c r="W249" s="12" t="n">
        <v>-46325</v>
      </c>
      <c r="X249" s="12" t="n">
        <v>-11485</v>
      </c>
    </row>
    <row r="250">
      <c r="A250" s="18" t="inlineStr">
        <is>
          <t>단기차입금 순증감</t>
        </is>
      </c>
      <c r="C250" s="20" t="n">
        <v>-4211</v>
      </c>
      <c r="D250" s="20" t="n">
        <v>9209</v>
      </c>
      <c r="F250" s="20" t="n">
        <v>12118</v>
      </c>
      <c r="G250" s="20" t="n">
        <v>22409</v>
      </c>
      <c r="H250" s="20" t="n">
        <v>-15632</v>
      </c>
      <c r="I250" s="20" t="n">
        <v>1675</v>
      </c>
      <c r="J250" s="20" t="n">
        <v>890</v>
      </c>
      <c r="K250" s="20" t="n">
        <v>14768</v>
      </c>
      <c r="L250" s="20" t="n">
        <v>2119</v>
      </c>
      <c r="M250" s="20" t="n">
        <v>-6306</v>
      </c>
      <c r="N250" s="20" t="n">
        <v>-10853</v>
      </c>
      <c r="Q250" s="20" t="n">
        <v>2301</v>
      </c>
      <c r="R250" s="20" t="n">
        <v>430</v>
      </c>
      <c r="S250" s="20" t="n">
        <v>23927</v>
      </c>
      <c r="T250" s="20" t="n">
        <v>-23145</v>
      </c>
      <c r="U250" s="20" t="n">
        <v>6319</v>
      </c>
      <c r="V250" s="20" t="n">
        <v>9209</v>
      </c>
      <c r="W250" s="20" t="n">
        <v>-15632</v>
      </c>
      <c r="X250" s="20" t="n">
        <v>2119</v>
      </c>
    </row>
    <row r="251">
      <c r="A251" s="18" t="inlineStr">
        <is>
          <t>Proceeds From Long Term Borrowings Fin CF</t>
        </is>
      </c>
      <c r="C251" s="20" t="n">
        <v>10270</v>
      </c>
      <c r="D251" s="20" t="n">
        <v>10387</v>
      </c>
      <c r="F251" s="20" t="n">
        <v>0</v>
      </c>
      <c r="G251" s="20" t="n">
        <v>7792</v>
      </c>
      <c r="H251" s="20" t="n">
        <v>8587</v>
      </c>
      <c r="I251" s="20" t="n">
        <v>4913</v>
      </c>
      <c r="J251" s="20" t="n">
        <v>6011</v>
      </c>
      <c r="K251" s="20" t="n">
        <v>12130</v>
      </c>
      <c r="L251" s="20" t="n">
        <v>10382</v>
      </c>
      <c r="M251" s="20" t="n">
        <v>7000</v>
      </c>
      <c r="N251" s="20" t="n">
        <v>7000</v>
      </c>
      <c r="Q251" s="20" t="n">
        <v>7726</v>
      </c>
      <c r="R251" s="20" t="n">
        <v>1076</v>
      </c>
      <c r="S251" s="20" t="n">
        <v>1036</v>
      </c>
      <c r="T251" s="20" t="n">
        <v>2777</v>
      </c>
      <c r="U251" s="20" t="n">
        <v>1044</v>
      </c>
      <c r="V251" s="20" t="n">
        <v>10387</v>
      </c>
      <c r="W251" s="20" t="n">
        <v>8587</v>
      </c>
      <c r="X251" s="20" t="n">
        <v>10382</v>
      </c>
    </row>
    <row r="252">
      <c r="A252" s="18" t="inlineStr">
        <is>
          <t>장기차입금 상환</t>
        </is>
      </c>
      <c r="C252" s="20" t="n">
        <v>-490</v>
      </c>
      <c r="D252" s="20" t="n">
        <v>-865</v>
      </c>
      <c r="F252" s="20" t="n">
        <v>-4960</v>
      </c>
      <c r="G252" s="20" t="n">
        <v>-5219</v>
      </c>
      <c r="H252" s="20" t="n">
        <v>-5574</v>
      </c>
      <c r="I252" s="20" t="n">
        <v>-7131</v>
      </c>
      <c r="J252" s="20" t="n">
        <v>-12238</v>
      </c>
      <c r="K252" s="20" t="n">
        <v>-12354</v>
      </c>
      <c r="L252" s="20" t="n">
        <v>-5753</v>
      </c>
      <c r="M252" s="20" t="n">
        <v>-7878</v>
      </c>
      <c r="N252" s="20" t="n">
        <v>-12632</v>
      </c>
      <c r="Q252" s="20" t="n">
        <v>-8497</v>
      </c>
      <c r="R252" s="20" t="n">
        <v>-2539</v>
      </c>
      <c r="S252" s="20" t="n">
        <v>-7888</v>
      </c>
      <c r="T252" s="20" t="n">
        <v>-673</v>
      </c>
      <c r="U252" s="20" t="n">
        <v>-1036</v>
      </c>
      <c r="V252" s="20" t="n">
        <v>-865</v>
      </c>
      <c r="W252" s="20" t="n">
        <v>-5574</v>
      </c>
      <c r="X252" s="20" t="n">
        <v>-5753</v>
      </c>
    </row>
    <row r="253">
      <c r="A253" s="18" t="inlineStr">
        <is>
          <t>사채 발행</t>
        </is>
      </c>
      <c r="C253" s="20" t="n">
        <v>984</v>
      </c>
      <c r="D253" s="20" t="n">
        <v>984</v>
      </c>
      <c r="F253" s="20" t="n">
        <v>0</v>
      </c>
      <c r="G253" s="20" t="n">
        <v>0</v>
      </c>
      <c r="H253" s="20" t="n">
        <v>0</v>
      </c>
      <c r="U253" s="20" t="n">
        <v>0</v>
      </c>
      <c r="V253" s="20" t="n">
        <v>984</v>
      </c>
      <c r="W253" s="20" t="n">
        <v>0</v>
      </c>
    </row>
    <row r="254">
      <c r="A254" s="18" t="inlineStr">
        <is>
          <t>사채 상환</t>
        </is>
      </c>
      <c r="C254" s="20" t="n">
        <v>0</v>
      </c>
      <c r="D254" s="20" t="n">
        <v>0</v>
      </c>
      <c r="F254" s="20" t="n">
        <v>-1000</v>
      </c>
      <c r="G254" s="20" t="n">
        <v>-1000</v>
      </c>
      <c r="H254" s="20" t="n">
        <v>-1000</v>
      </c>
      <c r="J254" s="20" t="n">
        <v>0</v>
      </c>
      <c r="K254" s="20" t="n">
        <v>0</v>
      </c>
      <c r="L254" s="20" t="n">
        <v>0</v>
      </c>
      <c r="V254" s="20" t="n">
        <v>0</v>
      </c>
      <c r="W254" s="20" t="n">
        <v>-1000</v>
      </c>
      <c r="X254" s="20" t="n">
        <v>0</v>
      </c>
    </row>
    <row r="255">
      <c r="A255" s="18" t="inlineStr">
        <is>
          <t>리스부채 상환 지출</t>
        </is>
      </c>
      <c r="C255" s="20" t="n">
        <v>-516</v>
      </c>
      <c r="D255" s="20" t="n">
        <v>-736</v>
      </c>
      <c r="F255" s="20" t="n">
        <v>-459</v>
      </c>
      <c r="G255" s="20" t="n">
        <v>-686</v>
      </c>
      <c r="H255" s="20" t="n">
        <v>-904</v>
      </c>
      <c r="I255" s="20" t="n">
        <v>-239</v>
      </c>
      <c r="J255" s="20" t="n">
        <v>-451</v>
      </c>
      <c r="K255" s="20" t="n">
        <v>-677</v>
      </c>
      <c r="L255" s="20" t="n">
        <v>-863</v>
      </c>
      <c r="M255" s="20" t="n">
        <v>-220</v>
      </c>
      <c r="N255" s="20" t="n">
        <v>-461</v>
      </c>
      <c r="Q255" s="20" t="n">
        <v>-711</v>
      </c>
      <c r="R255" s="20" t="n">
        <v>-774</v>
      </c>
      <c r="S255" s="20" t="n">
        <v>-662</v>
      </c>
      <c r="T255" s="20" t="n">
        <v>-812</v>
      </c>
      <c r="U255" s="20" t="n">
        <v>-743</v>
      </c>
      <c r="V255" s="20" t="n">
        <v>-736</v>
      </c>
      <c r="W255" s="20" t="n">
        <v>-904</v>
      </c>
      <c r="X255" s="20" t="n">
        <v>-863</v>
      </c>
    </row>
    <row r="256">
      <c r="A256" s="18" t="inlineStr">
        <is>
          <t>배당금 지급</t>
        </is>
      </c>
      <c r="C256" s="20" t="n">
        <v>-3273</v>
      </c>
      <c r="D256" s="20" t="n">
        <v>-3277</v>
      </c>
      <c r="F256" s="20" t="n">
        <v>-3526</v>
      </c>
      <c r="G256" s="20" t="n">
        <v>-3530</v>
      </c>
      <c r="H256" s="20" t="n">
        <v>-3533</v>
      </c>
      <c r="I256" s="20" t="n">
        <v>-5226</v>
      </c>
      <c r="J256" s="20" t="n">
        <v>-5270</v>
      </c>
      <c r="K256" s="20" t="n">
        <v>-5331</v>
      </c>
      <c r="L256" s="20" t="n">
        <v>-5335</v>
      </c>
      <c r="M256" s="20" t="n">
        <v>-4284</v>
      </c>
      <c r="N256" s="20" t="n">
        <v>-4359</v>
      </c>
      <c r="Q256" s="20" t="n">
        <v>-2668</v>
      </c>
      <c r="R256" s="20" t="n">
        <v>-3553</v>
      </c>
      <c r="S256" s="20" t="n">
        <v>-3112</v>
      </c>
      <c r="T256" s="20" t="n">
        <v>-3219</v>
      </c>
      <c r="U256" s="20" t="n">
        <v>-3278</v>
      </c>
      <c r="V256" s="20" t="n">
        <v>-3277</v>
      </c>
      <c r="W256" s="20" t="n">
        <v>-3533</v>
      </c>
      <c r="X256" s="20" t="n">
        <v>-5335</v>
      </c>
    </row>
    <row r="257">
      <c r="A257" s="18" t="inlineStr">
        <is>
          <t>비지배주주 배당금 지급</t>
        </is>
      </c>
      <c r="C257" s="20" t="n">
        <v>-72</v>
      </c>
      <c r="D257" s="20" t="n">
        <v>-72</v>
      </c>
      <c r="F257" s="20" t="n">
        <v>0</v>
      </c>
      <c r="G257" s="20" t="n">
        <v>-2467</v>
      </c>
      <c r="H257" s="20" t="n">
        <v>-4916</v>
      </c>
      <c r="I257" s="20" t="n">
        <v>-667</v>
      </c>
      <c r="J257" s="20" t="n">
        <v>-1608</v>
      </c>
      <c r="K257" s="20" t="n">
        <v>-2298</v>
      </c>
      <c r="L257" s="20" t="n">
        <v>-2761</v>
      </c>
      <c r="M257" s="20" t="n">
        <v>-141</v>
      </c>
      <c r="N257" s="20" t="n">
        <v>-380</v>
      </c>
      <c r="Q257" s="20" t="n">
        <v>-74</v>
      </c>
      <c r="R257" s="20" t="n">
        <v>-77</v>
      </c>
      <c r="S257" s="20" t="n">
        <v>-68</v>
      </c>
      <c r="T257" s="20" t="n">
        <v>-91</v>
      </c>
      <c r="U257" s="20" t="n">
        <v>-72</v>
      </c>
      <c r="V257" s="20" t="n">
        <v>-72</v>
      </c>
      <c r="W257" s="20" t="n">
        <v>-4916</v>
      </c>
      <c r="X257" s="20" t="n">
        <v>-2761</v>
      </c>
    </row>
    <row r="258">
      <c r="A258" s="18" t="inlineStr">
        <is>
          <t>기타</t>
        </is>
      </c>
      <c r="Q258" s="20" t="n">
        <v>248</v>
      </c>
      <c r="R258" s="20" t="n">
        <v>369</v>
      </c>
    </row>
    <row r="259">
      <c r="A259" s="18" t="inlineStr">
        <is>
          <t>비지배지분에 자회사 지분 매각 수입</t>
        </is>
      </c>
      <c r="S259" s="20" t="n">
        <v>0</v>
      </c>
      <c r="T259" s="20" t="n">
        <v>14</v>
      </c>
      <c r="U259" s="20" t="n">
        <v>0</v>
      </c>
    </row>
    <row r="260">
      <c r="A260" s="18" t="inlineStr">
        <is>
          <t>비지배주주 납입</t>
        </is>
      </c>
      <c r="D260" s="20" t="n">
        <v>0</v>
      </c>
      <c r="T260" s="20" t="n">
        <v>0</v>
      </c>
      <c r="U260" s="20" t="n">
        <v>100</v>
      </c>
      <c r="V260" s="20" t="n">
        <v>0</v>
      </c>
    </row>
    <row r="261">
      <c r="A261" s="18" t="inlineStr">
        <is>
          <t>비지배지분으로부터 자회사 지분 취득 지출</t>
        </is>
      </c>
      <c r="D261" s="20" t="n">
        <v>0</v>
      </c>
      <c r="T261" s="20" t="n">
        <v>0</v>
      </c>
      <c r="U261" s="20" t="n">
        <v>-58</v>
      </c>
      <c r="V261" s="20" t="n">
        <v>0</v>
      </c>
    </row>
    <row r="262">
      <c r="A262" s="18" t="inlineStr">
        <is>
          <t>Purchase Of Shares Of Subsidiaries Resulting In No Change In Scope Of Consolidation Fin CF</t>
        </is>
      </c>
      <c r="C262" s="20" t="n">
        <v>0</v>
      </c>
      <c r="D262" s="20" t="n">
        <v>0</v>
      </c>
      <c r="F262" s="20" t="n">
        <v>-1291</v>
      </c>
      <c r="G262" s="20" t="n">
        <v>-1713</v>
      </c>
      <c r="H262" s="20" t="n">
        <v>-1713</v>
      </c>
      <c r="I262" s="20" t="n">
        <v>0</v>
      </c>
      <c r="J262" s="20" t="n">
        <v>0</v>
      </c>
      <c r="K262" s="20" t="n">
        <v>0</v>
      </c>
      <c r="L262" s="20" t="n">
        <v>0</v>
      </c>
      <c r="M262" s="20" t="n">
        <v>-867</v>
      </c>
      <c r="N262" s="20" t="n">
        <v>-867</v>
      </c>
      <c r="V262" s="20" t="n">
        <v>0</v>
      </c>
      <c r="W262" s="20" t="n">
        <v>-1713</v>
      </c>
      <c r="X262" s="20" t="n">
        <v>0</v>
      </c>
    </row>
    <row r="263">
      <c r="A263" s="18" t="inlineStr">
        <is>
          <t>Net Decrease Increase In Treasury Shares Fin CF</t>
        </is>
      </c>
      <c r="C263" s="20" t="n">
        <v>-2</v>
      </c>
      <c r="D263" s="20" t="n">
        <v>-2</v>
      </c>
      <c r="F263" s="20" t="n">
        <v>-0</v>
      </c>
      <c r="G263" s="20" t="n">
        <v>23127</v>
      </c>
      <c r="H263" s="20" t="n">
        <v>23129</v>
      </c>
      <c r="I263" s="20" t="n">
        <v>-3105</v>
      </c>
      <c r="J263" s="20" t="n">
        <v>-6907</v>
      </c>
      <c r="K263" s="20" t="n">
        <v>-8184</v>
      </c>
      <c r="L263" s="20" t="n">
        <v>-8184</v>
      </c>
      <c r="M263" s="20" t="n">
        <v>-1342</v>
      </c>
      <c r="N263" s="20" t="n">
        <v>-1343</v>
      </c>
      <c r="R263" s="20" t="n">
        <v>369</v>
      </c>
      <c r="S263" s="20" t="n">
        <v>-1127</v>
      </c>
      <c r="T263" s="20" t="n">
        <v>-2500</v>
      </c>
      <c r="U263" s="20" t="n">
        <v>-7786</v>
      </c>
      <c r="V263" s="20" t="n">
        <v>-2</v>
      </c>
      <c r="W263" s="20" t="n">
        <v>23129</v>
      </c>
      <c r="X263" s="20" t="n">
        <v>-8184</v>
      </c>
    </row>
    <row r="264">
      <c r="A264" s="18" t="inlineStr">
        <is>
          <t>Income By Settlement In Derivatives Fin CF</t>
        </is>
      </c>
      <c r="C264" s="20" t="n">
        <v>0</v>
      </c>
      <c r="D264" s="20" t="n">
        <v>0</v>
      </c>
      <c r="F264" s="20" t="n">
        <v>985</v>
      </c>
      <c r="G264" s="20" t="n">
        <v>985</v>
      </c>
      <c r="H264" s="20" t="n">
        <v>985</v>
      </c>
      <c r="J264" s="20" t="n">
        <v>0</v>
      </c>
      <c r="K264" s="20" t="n">
        <v>0</v>
      </c>
      <c r="L264" s="20" t="n">
        <v>0</v>
      </c>
      <c r="V264" s="20" t="n">
        <v>0</v>
      </c>
      <c r="W264" s="20" t="n">
        <v>985</v>
      </c>
      <c r="X264" s="20" t="n">
        <v>0</v>
      </c>
    </row>
    <row r="265">
      <c r="A265" s="18" t="inlineStr">
        <is>
          <t>이자 지급</t>
        </is>
      </c>
      <c r="I265" s="20" t="n">
        <v>-928</v>
      </c>
      <c r="J265" s="20" t="n">
        <v>-1316</v>
      </c>
      <c r="M265" s="20" t="n">
        <v>-851</v>
      </c>
      <c r="N265" s="20" t="n">
        <v>-1393</v>
      </c>
    </row>
    <row r="266">
      <c r="A266" s="9" t="inlineStr">
        <is>
          <t>재무활동 현금흐름</t>
        </is>
      </c>
      <c r="C266" s="12" t="n">
        <v>2687</v>
      </c>
      <c r="D266" s="12" t="n">
        <v>15626</v>
      </c>
      <c r="F266" s="12" t="n">
        <v>1866</v>
      </c>
      <c r="G266" s="12" t="n">
        <v>39697</v>
      </c>
      <c r="H266" s="12" t="n">
        <v>-571</v>
      </c>
      <c r="I266" s="12" t="n">
        <v>-10708</v>
      </c>
      <c r="J266" s="12" t="n">
        <v>-20891</v>
      </c>
      <c r="K266" s="12" t="n">
        <v>-1947</v>
      </c>
      <c r="L266" s="12" t="n">
        <v>-10394</v>
      </c>
      <c r="M266" s="12" t="n">
        <v>-14891</v>
      </c>
      <c r="N266" s="12" t="n">
        <v>-25291</v>
      </c>
      <c r="Q266" s="12" t="n">
        <v>-1675</v>
      </c>
      <c r="R266" s="12" t="n">
        <v>-5068</v>
      </c>
      <c r="S266" s="12" t="n">
        <v>12104</v>
      </c>
      <c r="T266" s="12" t="n">
        <v>-27652</v>
      </c>
      <c r="U266" s="12" t="n">
        <v>-5512</v>
      </c>
      <c r="V266" s="12" t="n">
        <v>15626</v>
      </c>
      <c r="W266" s="12" t="n">
        <v>-571</v>
      </c>
      <c r="X266" s="12" t="n">
        <v>-10394</v>
      </c>
    </row>
    <row r="267">
      <c r="A267" s="18" t="inlineStr">
        <is>
          <t>Net Increase Decrease In Cash And Cash Equivalents Before Effect Of Exchange Rate Changes</t>
        </is>
      </c>
      <c r="C267" s="20" t="n">
        <v>8426</v>
      </c>
      <c r="D267" s="20" t="n">
        <v>14187</v>
      </c>
      <c r="F267" s="20" t="n">
        <v>-12081</v>
      </c>
      <c r="G267" s="20" t="n">
        <v>12013</v>
      </c>
      <c r="H267" s="20" t="n">
        <v>-15205</v>
      </c>
      <c r="I267" s="20" t="n">
        <v>-5019</v>
      </c>
      <c r="J267" s="20" t="n">
        <v>-1980</v>
      </c>
      <c r="K267" s="20" t="n">
        <v>4606</v>
      </c>
      <c r="L267" s="20" t="n">
        <v>5050</v>
      </c>
      <c r="M267" s="20" t="n">
        <v>-11734</v>
      </c>
      <c r="N267" s="20" t="n">
        <v>-12580</v>
      </c>
      <c r="Q267" s="20" t="n">
        <v>8748</v>
      </c>
      <c r="R267" s="20" t="n">
        <v>-2112</v>
      </c>
      <c r="S267" s="20" t="n">
        <v>29148</v>
      </c>
      <c r="T267" s="20" t="n">
        <v>-27018</v>
      </c>
      <c r="U267" s="20" t="n">
        <v>-10334</v>
      </c>
      <c r="V267" s="20" t="n">
        <v>14187</v>
      </c>
      <c r="W267" s="20" t="n">
        <v>-15205</v>
      </c>
      <c r="X267" s="20" t="n">
        <v>5050</v>
      </c>
    </row>
    <row r="268">
      <c r="A268" s="18" t="inlineStr">
        <is>
          <t>현금성자산 환율변동 효과</t>
        </is>
      </c>
      <c r="C268" s="20" t="n">
        <v>702</v>
      </c>
      <c r="D268" s="20" t="n">
        <v>433</v>
      </c>
      <c r="F268" s="20" t="n">
        <v>615</v>
      </c>
      <c r="G268" s="20" t="n">
        <v>-29</v>
      </c>
      <c r="H268" s="20" t="n">
        <v>468</v>
      </c>
      <c r="I268" s="20" t="n">
        <v>-367</v>
      </c>
      <c r="J268" s="20" t="n">
        <v>-371</v>
      </c>
      <c r="K268" s="20" t="n">
        <v>-130</v>
      </c>
      <c r="L268" s="20" t="n">
        <v>520</v>
      </c>
      <c r="M268" s="20" t="n">
        <v>126</v>
      </c>
      <c r="N268" s="20" t="n">
        <v>268</v>
      </c>
      <c r="Q268" s="20" t="n">
        <v>-185</v>
      </c>
      <c r="R268" s="20" t="n">
        <v>-35</v>
      </c>
      <c r="S268" s="20" t="n">
        <v>359</v>
      </c>
      <c r="T268" s="20" t="n">
        <v>1480</v>
      </c>
      <c r="U268" s="20" t="n">
        <v>493</v>
      </c>
      <c r="V268" s="20" t="n">
        <v>433</v>
      </c>
      <c r="W268" s="20" t="n">
        <v>468</v>
      </c>
      <c r="X268" s="20" t="n">
        <v>520</v>
      </c>
    </row>
    <row r="269">
      <c r="A269" s="18" t="inlineStr">
        <is>
          <t>Net Increase Decrease In Cash And Cash Equivalents Relating To Transfer Of Assets Held For Sale</t>
        </is>
      </c>
      <c r="Q269" s="20" t="n">
        <v>-704</v>
      </c>
      <c r="R269" s="20" t="n">
        <v>0</v>
      </c>
    </row>
    <row r="270">
      <c r="A270" s="9" t="inlineStr">
        <is>
          <t>법인세차감전 이익</t>
        </is>
      </c>
      <c r="C270" s="12" t="n">
        <v>15053</v>
      </c>
      <c r="D270" s="12" t="n">
        <v>16489</v>
      </c>
      <c r="F270" s="12" t="n">
        <v>23131</v>
      </c>
      <c r="G270" s="12" t="n">
        <v>30895</v>
      </c>
      <c r="H270" s="12" t="n">
        <v>33665</v>
      </c>
      <c r="J270" s="12" t="n">
        <v>9981</v>
      </c>
      <c r="K270" s="12" t="n">
        <v>16581</v>
      </c>
      <c r="L270" s="12" t="n">
        <v>21118</v>
      </c>
      <c r="Q270" s="12" t="n">
        <v>12213</v>
      </c>
      <c r="R270" s="12" t="n">
        <v>13888</v>
      </c>
      <c r="S270" s="12" t="n">
        <v>10624</v>
      </c>
      <c r="T270" s="12" t="n">
        <v>13880</v>
      </c>
      <c r="U270" s="12" t="n">
        <v>12557</v>
      </c>
      <c r="V270" s="12" t="n">
        <v>16489</v>
      </c>
      <c r="W270" s="12" t="n">
        <v>33665</v>
      </c>
      <c r="X270" s="12" t="n">
        <v>21118</v>
      </c>
    </row>
    <row r="271">
      <c r="A271" s="9" t="inlineStr">
        <is>
          <t>법인세차감전 순이익</t>
        </is>
      </c>
      <c r="O271" s="12" t="n">
        <v>11269</v>
      </c>
      <c r="P271" s="12" t="n">
        <v>15610</v>
      </c>
      <c r="Q271" s="12" t="n">
        <v>15928</v>
      </c>
    </row>
    <row r="272">
      <c r="A272" s="18" t="inlineStr">
        <is>
          <t>감가상각비</t>
        </is>
      </c>
      <c r="O272" s="20" t="n">
        <v>5732</v>
      </c>
      <c r="P272" s="20" t="n">
        <v>5813</v>
      </c>
      <c r="Q272" s="20" t="n">
        <v>5194</v>
      </c>
    </row>
    <row r="273">
      <c r="A273" s="18" t="inlineStr">
        <is>
          <t>손상차손</t>
        </is>
      </c>
      <c r="O273" s="20" t="n">
        <v>990</v>
      </c>
      <c r="P273" s="20" t="n">
        <v>1337</v>
      </c>
      <c r="Q273" s="20" t="n">
        <v>844</v>
      </c>
    </row>
    <row r="274">
      <c r="A274" s="18" t="inlineStr">
        <is>
          <t>영업권 상각</t>
        </is>
      </c>
      <c r="O274" s="20" t="n">
        <v>752</v>
      </c>
      <c r="P274" s="20" t="n">
        <v>722</v>
      </c>
      <c r="Q274" s="20" t="n">
        <v>419</v>
      </c>
    </row>
    <row r="275">
      <c r="A275" s="18" t="inlineStr">
        <is>
          <t>이자·배당금 수익</t>
        </is>
      </c>
      <c r="O275" s="20" t="n">
        <v>-569</v>
      </c>
      <c r="P275" s="20" t="n">
        <v>-750</v>
      </c>
      <c r="Q275" s="20" t="n">
        <v>-619</v>
      </c>
    </row>
    <row r="276">
      <c r="A276" s="18" t="inlineStr">
        <is>
          <t>이자비용</t>
        </is>
      </c>
      <c r="O276" s="20" t="n">
        <v>195</v>
      </c>
      <c r="P276" s="20" t="n">
        <v>477</v>
      </c>
      <c r="Q276" s="20" t="n">
        <v>410</v>
      </c>
    </row>
    <row r="277">
      <c r="A277" s="18" t="inlineStr">
        <is>
          <t>상여충당금 증감</t>
        </is>
      </c>
      <c r="O277" s="20" t="n">
        <v>714</v>
      </c>
      <c r="P277" s="20" t="n">
        <v>18</v>
      </c>
      <c r="Q277" s="20" t="n">
        <v>42</v>
      </c>
    </row>
    <row r="278">
      <c r="A278" s="18" t="inlineStr">
        <is>
          <t>기타 충당금 증감</t>
        </is>
      </c>
      <c r="O278" s="20" t="n">
        <v>147</v>
      </c>
      <c r="P278" s="20" t="n">
        <v>93</v>
      </c>
      <c r="Q278" s="20" t="n">
        <v>-71</v>
      </c>
    </row>
    <row r="279">
      <c r="A279" s="18" t="inlineStr">
        <is>
          <t>퇴직급여부채 증감</t>
        </is>
      </c>
      <c r="O279" s="20" t="n">
        <v>147</v>
      </c>
      <c r="P279" s="20" t="n">
        <v>242</v>
      </c>
      <c r="Q279" s="20" t="n">
        <v>218</v>
      </c>
    </row>
    <row r="280">
      <c r="A280" s="18" t="inlineStr">
        <is>
          <t>지분법손익</t>
        </is>
      </c>
      <c r="O280" s="20" t="n">
        <v>-46</v>
      </c>
      <c r="P280" s="20" t="n">
        <v>44</v>
      </c>
      <c r="Q280" s="20" t="n">
        <v>96</v>
      </c>
    </row>
    <row r="281">
      <c r="A281" s="18" t="inlineStr">
        <is>
          <t>유가증권 매각손익</t>
        </is>
      </c>
      <c r="O281" s="20" t="n">
        <v>0</v>
      </c>
      <c r="P281" s="20" t="n">
        <v>-1721</v>
      </c>
      <c r="Q281" s="20" t="n">
        <v>-4517</v>
      </c>
    </row>
    <row r="282">
      <c r="A282" s="18" t="inlineStr">
        <is>
          <t>Loss Gain On Valuation Of Securities Ope CF</t>
        </is>
      </c>
      <c r="O282" s="20" t="n">
        <v>223</v>
      </c>
      <c r="P282" s="20" t="n">
        <v>2</v>
      </c>
    </row>
    <row r="283">
      <c r="A283" s="18" t="inlineStr">
        <is>
          <t>관계회사 주식 매각손익</t>
        </is>
      </c>
      <c r="O283" s="20" t="n">
        <v>0</v>
      </c>
      <c r="P283" s="20" t="n">
        <v>-2171</v>
      </c>
      <c r="Q283" s="20" t="n">
        <v>0</v>
      </c>
    </row>
    <row r="284">
      <c r="A284" s="18" t="inlineStr">
        <is>
          <t>고정자산 제각·매각손익</t>
        </is>
      </c>
      <c r="O284" s="20" t="n">
        <v>-1521</v>
      </c>
      <c r="P284" s="20" t="n">
        <v>-158</v>
      </c>
      <c r="Q284" s="20" t="n">
        <v>-1254</v>
      </c>
    </row>
    <row r="285">
      <c r="A285" s="18" t="inlineStr">
        <is>
          <t>사업양도 손익</t>
        </is>
      </c>
      <c r="O285" s="20" t="n">
        <v>0</v>
      </c>
      <c r="P285" s="20" t="n">
        <v>-330</v>
      </c>
      <c r="Q285" s="20" t="n">
        <v>0</v>
      </c>
    </row>
    <row r="286">
      <c r="A286" s="18" t="inlineStr">
        <is>
          <t>채무면제이익</t>
        </is>
      </c>
      <c r="O286" s="20" t="n">
        <v>-307</v>
      </c>
      <c r="P286" s="20" t="n">
        <v>0</v>
      </c>
    </row>
    <row r="287">
      <c r="A287" s="18" t="inlineStr">
        <is>
          <t>Compensation Income For Expropriation Ope CF</t>
        </is>
      </c>
      <c r="O287" s="20" t="n">
        <v>-236</v>
      </c>
      <c r="P287" s="20" t="n">
        <v>-11</v>
      </c>
      <c r="Q287" s="20" t="n">
        <v>0</v>
      </c>
    </row>
    <row r="288">
      <c r="A288" s="18" t="inlineStr">
        <is>
          <t>매출채권 증감</t>
        </is>
      </c>
      <c r="O288" s="20" t="n">
        <v>-1748</v>
      </c>
      <c r="P288" s="20" t="n">
        <v>-2993</v>
      </c>
      <c r="Q288" s="20" t="n">
        <v>-192</v>
      </c>
    </row>
    <row r="289">
      <c r="A289" s="18" t="inlineStr">
        <is>
          <t>재고자산 증감</t>
        </is>
      </c>
      <c r="O289" s="20" t="n">
        <v>4041</v>
      </c>
      <c r="P289" s="20" t="n">
        <v>-1876</v>
      </c>
      <c r="Q289" s="20" t="n">
        <v>-597</v>
      </c>
    </row>
    <row r="290">
      <c r="A290" s="18" t="inlineStr">
        <is>
          <t>미수금 증감</t>
        </is>
      </c>
      <c r="O290" s="20" t="n">
        <v>164</v>
      </c>
      <c r="P290" s="20" t="n">
        <v>-974</v>
      </c>
      <c r="Q290" s="20" t="n">
        <v>-501</v>
      </c>
    </row>
    <row r="291">
      <c r="A291" s="18" t="inlineStr">
        <is>
          <t>매입채무 증감</t>
        </is>
      </c>
      <c r="O291" s="20" t="n">
        <v>-1374</v>
      </c>
      <c r="P291" s="20" t="n">
        <v>3113</v>
      </c>
      <c r="Q291" s="20" t="n">
        <v>-46</v>
      </c>
    </row>
    <row r="292">
      <c r="A292" s="18" t="inlineStr">
        <is>
          <t>미지급금 증감</t>
        </is>
      </c>
      <c r="O292" s="20" t="n">
        <v>2173</v>
      </c>
      <c r="P292" s="20" t="n">
        <v>1203</v>
      </c>
      <c r="Q292" s="20" t="n">
        <v>80</v>
      </c>
    </row>
    <row r="293">
      <c r="A293" s="18" t="inlineStr">
        <is>
          <t>Proceeds From Lease And Guarantee Deposits Received Ope CF</t>
        </is>
      </c>
      <c r="O293" s="20" t="n">
        <v>1255</v>
      </c>
      <c r="P293" s="20" t="n">
        <v>615</v>
      </c>
      <c r="Q293" s="20" t="n">
        <v>0</v>
      </c>
    </row>
    <row r="294">
      <c r="A294" s="18" t="inlineStr">
        <is>
          <t>기타 유동자산 증감</t>
        </is>
      </c>
      <c r="O294" s="20" t="n">
        <v>156</v>
      </c>
      <c r="P294" s="20" t="n">
        <v>-260</v>
      </c>
      <c r="Q294" s="20" t="n">
        <v>-269</v>
      </c>
    </row>
    <row r="295">
      <c r="A295" s="18" t="inlineStr">
        <is>
          <t>기타 유동부채 증감</t>
        </is>
      </c>
      <c r="O295" s="20" t="n">
        <v>-110</v>
      </c>
      <c r="P295" s="20" t="n">
        <v>-255</v>
      </c>
      <c r="Q295" s="20" t="n">
        <v>321</v>
      </c>
    </row>
    <row r="296">
      <c r="A296" s="18" t="inlineStr">
        <is>
          <t>Other Increase Decrease Ope CF</t>
        </is>
      </c>
      <c r="O296" s="20" t="n">
        <v>542</v>
      </c>
      <c r="P296" s="20" t="n">
        <v>-51</v>
      </c>
      <c r="Q296" s="20" t="n">
        <v>-9</v>
      </c>
    </row>
    <row r="297">
      <c r="A297" s="18" t="inlineStr">
        <is>
          <t>소계</t>
        </is>
      </c>
      <c r="O297" s="20" t="n">
        <v>22591</v>
      </c>
      <c r="P297" s="20" t="n">
        <v>17738</v>
      </c>
      <c r="Q297" s="20" t="n">
        <v>15479</v>
      </c>
    </row>
    <row r="298">
      <c r="A298" s="18" t="inlineStr">
        <is>
          <t>이자·배당금 수취</t>
        </is>
      </c>
      <c r="O298" s="20" t="n">
        <v>541</v>
      </c>
      <c r="P298" s="20" t="n">
        <v>772</v>
      </c>
      <c r="Q298" s="20" t="n">
        <v>555</v>
      </c>
    </row>
    <row r="299">
      <c r="A299" s="18" t="inlineStr">
        <is>
          <t>이자 지급</t>
        </is>
      </c>
      <c r="O299" s="20" t="n">
        <v>-196</v>
      </c>
      <c r="P299" s="20" t="n">
        <v>-449</v>
      </c>
      <c r="Q299" s="20" t="n">
        <v>-404</v>
      </c>
    </row>
    <row r="300">
      <c r="A300" s="18" t="inlineStr">
        <is>
          <t>법인세 납부</t>
        </is>
      </c>
      <c r="O300" s="20" t="n">
        <v>-4264</v>
      </c>
      <c r="P300" s="20" t="n">
        <v>-1474</v>
      </c>
      <c r="Q300" s="20" t="n">
        <v>-5500</v>
      </c>
    </row>
    <row r="301">
      <c r="A301" s="18" t="inlineStr">
        <is>
          <t>Proceeds From Compensation For Expropriation Ope CF</t>
        </is>
      </c>
      <c r="O301" s="20" t="n">
        <v>153</v>
      </c>
      <c r="P301" s="20" t="n">
        <v>11</v>
      </c>
      <c r="Q301" s="20" t="n">
        <v>0</v>
      </c>
    </row>
    <row r="302">
      <c r="A302" s="9" t="inlineStr">
        <is>
          <t>영업활동 현금흐름</t>
        </is>
      </c>
      <c r="O302" s="12" t="n">
        <v>18824</v>
      </c>
      <c r="P302" s="12" t="n">
        <v>16598</v>
      </c>
      <c r="Q302" s="12" t="n">
        <v>10130</v>
      </c>
    </row>
    <row r="303">
      <c r="A303" s="18" t="inlineStr">
        <is>
          <t>정기예금 예입</t>
        </is>
      </c>
      <c r="O303" s="20" t="n">
        <v>-10676</v>
      </c>
      <c r="P303" s="20" t="n">
        <v>-96</v>
      </c>
      <c r="Q303" s="20" t="n">
        <v>-20</v>
      </c>
    </row>
    <row r="304">
      <c r="A304" s="18" t="inlineStr">
        <is>
          <t>정기예금 인출</t>
        </is>
      </c>
      <c r="O304" s="20" t="n">
        <v>546</v>
      </c>
      <c r="P304" s="20" t="n">
        <v>10122</v>
      </c>
      <c r="Q304" s="20" t="n">
        <v>115</v>
      </c>
    </row>
    <row r="305">
      <c r="A305" s="18" t="inlineStr">
        <is>
          <t>유가증권 취득</t>
        </is>
      </c>
      <c r="O305" s="20" t="n">
        <v>-64</v>
      </c>
      <c r="P305" s="20" t="n">
        <v>-682</v>
      </c>
      <c r="Q305" s="20" t="n">
        <v>-801</v>
      </c>
    </row>
    <row r="306">
      <c r="A306" s="18" t="inlineStr">
        <is>
          <t>유가증권 매각·상환 수입</t>
        </is>
      </c>
      <c r="O306" s="20" t="n">
        <v>0</v>
      </c>
      <c r="P306" s="20" t="n">
        <v>2938</v>
      </c>
      <c r="Q306" s="20" t="n">
        <v>8962</v>
      </c>
    </row>
    <row r="307">
      <c r="A307" s="18" t="inlineStr">
        <is>
          <t>고정자산 취득</t>
        </is>
      </c>
      <c r="O307" s="20" t="n">
        <v>-6836</v>
      </c>
      <c r="P307" s="20" t="n">
        <v>-9202</v>
      </c>
      <c r="Q307" s="20" t="n">
        <v>-10718</v>
      </c>
    </row>
    <row r="308">
      <c r="A308" s="18" t="inlineStr">
        <is>
          <t>고정자산 매각</t>
        </is>
      </c>
      <c r="O308" s="20" t="n">
        <v>2210</v>
      </c>
      <c r="P308" s="20" t="n">
        <v>1830</v>
      </c>
      <c r="Q308" s="20" t="n">
        <v>2331</v>
      </c>
    </row>
    <row r="309">
      <c r="A309" s="18" t="inlineStr">
        <is>
          <t>대여금 회수</t>
        </is>
      </c>
      <c r="O309" s="20" t="n">
        <v>58</v>
      </c>
      <c r="P309" s="20" t="n">
        <v>263</v>
      </c>
      <c r="Q309" s="20" t="n">
        <v>65</v>
      </c>
    </row>
    <row r="310">
      <c r="A310" s="18" t="inlineStr">
        <is>
          <t>사업양도 수입</t>
        </is>
      </c>
      <c r="O310" s="20" t="n">
        <v>0</v>
      </c>
      <c r="P310" s="20" t="n">
        <v>868</v>
      </c>
      <c r="Q310" s="20" t="n">
        <v>0</v>
      </c>
    </row>
    <row r="311">
      <c r="A311" s="18" t="inlineStr">
        <is>
          <t>Investments In Subsidiaries Resulting In Change In Scope Of Consolidation Inv CF</t>
        </is>
      </c>
      <c r="O311" s="20" t="n">
        <v>0</v>
      </c>
      <c r="P311" s="20" t="n">
        <v>-90</v>
      </c>
      <c r="Q311" s="20" t="n">
        <v>0</v>
      </c>
    </row>
    <row r="312">
      <c r="A312" s="18" t="inlineStr">
        <is>
          <t>Payments For Purchase Of Subsidiaries And Affiliates Securities Inv CF</t>
        </is>
      </c>
      <c r="O312" s="20" t="n">
        <v>-3741</v>
      </c>
      <c r="P312" s="20" t="n">
        <v>-48</v>
      </c>
      <c r="Q312" s="20" t="n">
        <v>-121</v>
      </c>
    </row>
    <row r="313">
      <c r="A313" s="18" t="inlineStr">
        <is>
          <t>연결범위 변경 자회사 주식 매각</t>
        </is>
      </c>
      <c r="O313" s="20" t="n">
        <v>0</v>
      </c>
      <c r="P313" s="20" t="n">
        <v>11246</v>
      </c>
      <c r="Q313" s="20" t="n">
        <v>0</v>
      </c>
    </row>
    <row r="314">
      <c r="A314" s="18" t="inlineStr">
        <is>
          <t>Other Increase Decrease Inv CF</t>
        </is>
      </c>
      <c r="O314" s="20" t="n">
        <v>-74</v>
      </c>
      <c r="P314" s="20" t="n">
        <v>122</v>
      </c>
      <c r="Q314" s="20" t="n">
        <v>-112</v>
      </c>
    </row>
    <row r="315">
      <c r="A315" s="9" t="inlineStr">
        <is>
          <t>투자활동 현금흐름</t>
        </is>
      </c>
      <c r="O315" s="12" t="n">
        <v>-18576</v>
      </c>
      <c r="P315" s="12" t="n">
        <v>17271</v>
      </c>
      <c r="Q315" s="12" t="n">
        <v>-299</v>
      </c>
    </row>
    <row r="316">
      <c r="A316" s="18" t="inlineStr">
        <is>
          <t>단기차입금 순증감</t>
        </is>
      </c>
      <c r="O316" s="20" t="n">
        <v>28160</v>
      </c>
      <c r="P316" s="20" t="n">
        <v>-17918</v>
      </c>
      <c r="Q316" s="20" t="n">
        <v>2301</v>
      </c>
    </row>
    <row r="317">
      <c r="A317" s="18" t="inlineStr">
        <is>
          <t>장기차입</t>
        </is>
      </c>
      <c r="O317" s="20" t="n">
        <v>11333</v>
      </c>
      <c r="P317" s="20" t="n">
        <v>8634</v>
      </c>
      <c r="Q317" s="20" t="n">
        <v>7726</v>
      </c>
    </row>
    <row r="318">
      <c r="A318" s="18" t="inlineStr">
        <is>
          <t>장기차입금 상환</t>
        </is>
      </c>
      <c r="O318" s="20" t="n">
        <v>-904</v>
      </c>
      <c r="P318" s="20" t="n">
        <v>-29277</v>
      </c>
      <c r="Q318" s="20" t="n">
        <v>-8497</v>
      </c>
    </row>
    <row r="319">
      <c r="A319" s="18" t="inlineStr">
        <is>
          <t>금융리스부채 상환</t>
        </is>
      </c>
      <c r="O319" s="20" t="n">
        <v>-57</v>
      </c>
      <c r="P319" s="20" t="n">
        <v>-123</v>
      </c>
      <c r="Q319" s="20" t="n">
        <v>-117</v>
      </c>
    </row>
    <row r="320">
      <c r="A320" s="18" t="inlineStr">
        <is>
          <t>배당금 지급</t>
        </is>
      </c>
      <c r="O320" s="20" t="n">
        <v>-2187</v>
      </c>
      <c r="P320" s="20" t="n">
        <v>-2180</v>
      </c>
      <c r="Q320" s="20" t="n">
        <v>-2668</v>
      </c>
    </row>
    <row r="321">
      <c r="A321" s="18" t="inlineStr">
        <is>
          <t>Payments From Changes In Ownership Interests In Subsidiaries And Investment That Do Not Result In Change In Scope Of Consolidation Fin CF</t>
        </is>
      </c>
      <c r="O321" s="20" t="n">
        <v>-2715</v>
      </c>
      <c r="P321" s="20" t="n">
        <v>0</v>
      </c>
    </row>
    <row r="322">
      <c r="A322" s="18" t="inlineStr">
        <is>
          <t>비지배주주 납입</t>
        </is>
      </c>
      <c r="O322" s="20" t="n">
        <v>195</v>
      </c>
      <c r="P322" s="20" t="n">
        <v>0</v>
      </c>
      <c r="Q322" s="20" t="n">
        <v>0</v>
      </c>
    </row>
    <row r="323">
      <c r="A323" s="18" t="inlineStr">
        <is>
          <t>비지배주주 배당금 지급</t>
        </is>
      </c>
      <c r="O323" s="20" t="n">
        <v>-72</v>
      </c>
      <c r="P323" s="20" t="n">
        <v>-69</v>
      </c>
      <c r="Q323" s="20" t="n">
        <v>-74</v>
      </c>
    </row>
    <row r="324">
      <c r="A324" s="18" t="inlineStr">
        <is>
          <t>자기주식 증감액</t>
        </is>
      </c>
      <c r="O324" s="20" t="n">
        <v>-26848</v>
      </c>
      <c r="P324" s="20" t="n">
        <v>173</v>
      </c>
      <c r="Q324" s="20" t="n">
        <v>246</v>
      </c>
    </row>
    <row r="325">
      <c r="A325" s="18" t="inlineStr">
        <is>
          <t>Other Increase Decrease Fin CF</t>
        </is>
      </c>
      <c r="O325" s="20" t="n">
        <v>0</v>
      </c>
      <c r="P325" s="20" t="n">
        <v>0</v>
      </c>
      <c r="Q325" s="20" t="n">
        <v>0</v>
      </c>
    </row>
    <row r="326">
      <c r="A326" s="9" t="inlineStr">
        <is>
          <t>재무활동 현금흐름</t>
        </is>
      </c>
      <c r="O326" s="12" t="n">
        <v>6904</v>
      </c>
      <c r="P326" s="12" t="n">
        <v>-40761</v>
      </c>
      <c r="Q326" s="12" t="n">
        <v>-1083</v>
      </c>
    </row>
    <row r="327">
      <c r="A327" s="18" t="inlineStr">
        <is>
          <t>현금성자산 환산차이</t>
        </is>
      </c>
      <c r="O327" s="20" t="n">
        <v>86</v>
      </c>
      <c r="P327" s="20" t="n">
        <v>377</v>
      </c>
      <c r="Q327" s="20" t="n">
        <v>-185</v>
      </c>
    </row>
    <row r="328">
      <c r="A328" s="18" t="inlineStr">
        <is>
          <t>현금성자산 증감</t>
        </is>
      </c>
      <c r="O328" s="20" t="n">
        <v>7238</v>
      </c>
      <c r="P328" s="20" t="n">
        <v>-6513</v>
      </c>
      <c r="Q328" s="20" t="n">
        <v>8562</v>
      </c>
    </row>
    <row r="329">
      <c r="A329" s="18" t="inlineStr">
        <is>
          <t>연결범위 변경에 따른 현금성자산 증감</t>
        </is>
      </c>
      <c r="O329" s="20" t="n">
        <v>0</v>
      </c>
      <c r="P329" s="20" t="n">
        <v>-249</v>
      </c>
      <c r="Q329" s="20" t="n">
        <v>0</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0"/>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2811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2025.2Q</t>
        </is>
      </c>
      <c r="D3" s="5" t="inlineStr">
        <is>
          <t>2025.3Q</t>
        </is>
      </c>
      <c r="E3" s="5" t="inlineStr">
        <is>
          <t>2025.4Q</t>
        </is>
      </c>
      <c r="F3" s="5" t="inlineStr">
        <is>
          <t>2026.1Q</t>
        </is>
      </c>
      <c r="G3" s="5" t="inlineStr">
        <is>
          <t>2026.2Q</t>
        </is>
      </c>
      <c r="H3" s="6" t="inlineStr">
        <is>
          <t>2021</t>
        </is>
      </c>
      <c r="I3" s="5" t="inlineStr">
        <is>
          <t>2022</t>
        </is>
      </c>
      <c r="J3" s="5" t="inlineStr">
        <is>
          <t>2023</t>
        </is>
      </c>
      <c r="K3" s="5" t="inlineStr">
        <is>
          <t>2024</t>
        </is>
      </c>
      <c r="L3" s="5" t="inlineStr">
        <is>
          <t>2025</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183684</v>
      </c>
      <c r="D5" s="12" t="n">
        <v>223183</v>
      </c>
      <c r="E5" s="12" t="n">
        <v>216779</v>
      </c>
      <c r="F5" s="12" t="n">
        <v>196546</v>
      </c>
      <c r="G5" s="12" t="n">
        <v>193168</v>
      </c>
      <c r="H5" s="11" t="n">
        <v>123485</v>
      </c>
      <c r="I5" s="12" t="n">
        <v>129162</v>
      </c>
      <c r="J5" s="12" t="n">
        <v>165451</v>
      </c>
      <c r="K5" s="12" t="n">
        <v>209958</v>
      </c>
      <c r="L5" s="12" t="n">
        <v>216779</v>
      </c>
    </row>
    <row r="6">
      <c r="A6" s="18" t="inlineStr">
        <is>
          <t>현금및현금성자산</t>
        </is>
      </c>
      <c r="B6" s="10" t="n"/>
      <c r="C6" s="19" t="n">
        <v>18921</v>
      </c>
      <c r="D6" s="20" t="n">
        <v>25749</v>
      </c>
      <c r="E6" s="20" t="n">
        <v>26844</v>
      </c>
      <c r="F6" s="20" t="n">
        <v>15235</v>
      </c>
      <c r="G6" s="20" t="n">
        <v>14531</v>
      </c>
      <c r="H6" s="19" t="n">
        <v>31231</v>
      </c>
      <c r="I6" s="20" t="n">
        <v>21390</v>
      </c>
      <c r="J6" s="20" t="n">
        <v>36010</v>
      </c>
      <c r="K6" s="20" t="n">
        <v>21273</v>
      </c>
      <c r="L6" s="20" t="n">
        <v>26844</v>
      </c>
    </row>
    <row r="7">
      <c r="A7" s="18" t="inlineStr">
        <is>
          <t>단기금융상품</t>
        </is>
      </c>
      <c r="B7" s="10" t="n"/>
      <c r="C7" s="19" t="n">
        <v>3618</v>
      </c>
      <c r="D7" s="20" t="n">
        <v>3949</v>
      </c>
      <c r="E7" s="20" t="n">
        <v>4793</v>
      </c>
      <c r="F7" s="20" t="n">
        <v>5385</v>
      </c>
      <c r="G7" s="20" t="n">
        <v>5907</v>
      </c>
      <c r="H7" s="19" t="n">
        <v>1257</v>
      </c>
      <c r="I7" s="20" t="n">
        <v>1697</v>
      </c>
      <c r="J7" s="20" t="n">
        <v>3074</v>
      </c>
      <c r="K7" s="20" t="n">
        <v>4555</v>
      </c>
      <c r="L7" s="20" t="n">
        <v>4793</v>
      </c>
    </row>
    <row r="8">
      <c r="A8" s="18" t="inlineStr">
        <is>
          <t>매출채권</t>
        </is>
      </c>
      <c r="B8" s="10" t="n"/>
      <c r="C8" s="19" t="n">
        <v>55782</v>
      </c>
      <c r="D8" s="20" t="n">
        <v>60611</v>
      </c>
      <c r="E8" s="20" t="n">
        <v>60558</v>
      </c>
      <c r="F8" s="20" t="n">
        <v>54069</v>
      </c>
      <c r="G8" s="20" t="n">
        <v>58996</v>
      </c>
      <c r="H8" s="19" t="n">
        <v>41657</v>
      </c>
      <c r="I8" s="20" t="n">
        <v>45487</v>
      </c>
      <c r="J8" s="20" t="n">
        <v>48426</v>
      </c>
      <c r="K8" s="20" t="n">
        <v>59432</v>
      </c>
      <c r="L8" s="20" t="n">
        <v>60558</v>
      </c>
    </row>
    <row r="9">
      <c r="A9" s="18" t="inlineStr">
        <is>
          <t>재고자산</t>
        </is>
      </c>
      <c r="B9" s="10" t="n"/>
      <c r="C9" s="19" t="n">
        <v>100148</v>
      </c>
      <c r="D9" s="20" t="n">
        <v>126641</v>
      </c>
      <c r="E9" s="20" t="n">
        <v>119438</v>
      </c>
      <c r="F9" s="20" t="n">
        <v>117268</v>
      </c>
      <c r="G9" s="20" t="n">
        <v>108808</v>
      </c>
      <c r="H9" s="19" t="n">
        <v>47150</v>
      </c>
      <c r="I9" s="20" t="n">
        <v>57565</v>
      </c>
      <c r="J9" s="20" t="n">
        <v>75198</v>
      </c>
      <c r="K9" s="20" t="n">
        <v>119047</v>
      </c>
      <c r="L9" s="20" t="n">
        <v>119438</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145827</v>
      </c>
      <c r="D11" s="12" t="n">
        <v>149362</v>
      </c>
      <c r="E11" s="12" t="n">
        <v>159040</v>
      </c>
      <c r="F11" s="12" t="n">
        <v>163411</v>
      </c>
      <c r="G11" s="12" t="n">
        <v>163782</v>
      </c>
      <c r="H11" s="11" t="n">
        <v>91723</v>
      </c>
      <c r="I11" s="12" t="n">
        <v>96209</v>
      </c>
      <c r="J11" s="12" t="n">
        <v>100197</v>
      </c>
      <c r="K11" s="12" t="n">
        <v>152456</v>
      </c>
      <c r="L11" s="12" t="n">
        <v>159040</v>
      </c>
    </row>
    <row r="12">
      <c r="A12" s="18" t="inlineStr">
        <is>
          <t>유형자산</t>
        </is>
      </c>
      <c r="B12" s="10" t="n"/>
      <c r="C12" s="19" t="n">
        <v>80826</v>
      </c>
      <c r="D12" s="20" t="n">
        <v>81422</v>
      </c>
      <c r="E12" s="20" t="n">
        <v>85295</v>
      </c>
      <c r="F12" s="20" t="n">
        <v>86349</v>
      </c>
      <c r="G12" s="20" t="n">
        <v>87552</v>
      </c>
      <c r="H12" s="19" t="n">
        <v>60193</v>
      </c>
      <c r="I12" s="20" t="n">
        <v>61779</v>
      </c>
      <c r="J12" s="20" t="n">
        <v>60756</v>
      </c>
      <c r="K12" s="20" t="n">
        <v>82589</v>
      </c>
      <c r="L12" s="20" t="n">
        <v>85295</v>
      </c>
    </row>
    <row r="13">
      <c r="A13" s="18" t="inlineStr">
        <is>
          <t>무형자산</t>
        </is>
      </c>
      <c r="B13" s="10" t="n"/>
      <c r="C13" s="19" t="n">
        <v>34362</v>
      </c>
      <c r="D13" s="20" t="n">
        <v>35031</v>
      </c>
      <c r="E13" s="20" t="n">
        <v>25101</v>
      </c>
      <c r="F13" s="20" t="n">
        <v>26893</v>
      </c>
      <c r="G13" s="20" t="n">
        <v>27004</v>
      </c>
      <c r="H13" s="19" t="n">
        <v>3351</v>
      </c>
      <c r="I13" s="20" t="n">
        <v>3220</v>
      </c>
      <c r="J13" s="20" t="n">
        <v>3023</v>
      </c>
      <c r="K13" s="20" t="n">
        <v>37817</v>
      </c>
      <c r="L13" s="20" t="n">
        <v>25101</v>
      </c>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329512</v>
      </c>
      <c r="D16" s="12" t="n">
        <v>372545</v>
      </c>
      <c r="E16" s="12" t="n">
        <v>375820</v>
      </c>
      <c r="F16" s="12" t="n">
        <v>359957</v>
      </c>
      <c r="G16" s="12" t="n">
        <v>356950</v>
      </c>
      <c r="H16" s="11" t="n">
        <v>215208</v>
      </c>
      <c r="I16" s="12" t="n">
        <v>225372</v>
      </c>
      <c r="J16" s="12" t="n">
        <v>265648</v>
      </c>
      <c r="K16" s="12" t="n">
        <v>362415</v>
      </c>
      <c r="L16" s="12" t="n">
        <v>375820</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103851</v>
      </c>
      <c r="D18" s="12" t="n">
        <v>132671</v>
      </c>
      <c r="E18" s="12" t="n">
        <v>116222</v>
      </c>
      <c r="F18" s="12" t="n">
        <v>100568</v>
      </c>
      <c r="G18" s="12" t="n">
        <v>98173</v>
      </c>
      <c r="H18" s="11" t="n">
        <v>72911</v>
      </c>
      <c r="I18" s="12" t="n">
        <v>80313</v>
      </c>
      <c r="J18" s="12" t="n">
        <v>100430</v>
      </c>
      <c r="K18" s="12" t="n">
        <v>109213</v>
      </c>
      <c r="L18" s="12" t="n">
        <v>116222</v>
      </c>
    </row>
    <row r="19">
      <c r="A19" s="18" t="inlineStr">
        <is>
          <t>매입채무</t>
        </is>
      </c>
      <c r="B19" s="10" t="n"/>
      <c r="C19" s="19" t="n">
        <v>37601</v>
      </c>
      <c r="D19" s="20" t="n">
        <v>48576</v>
      </c>
      <c r="E19" s="20" t="n">
        <v>42497</v>
      </c>
      <c r="F19" s="20" t="n">
        <v>38586</v>
      </c>
      <c r="G19" s="20" t="n">
        <v>39325</v>
      </c>
      <c r="H19" s="19" t="n">
        <v>35244</v>
      </c>
      <c r="I19" s="20" t="n">
        <v>35486</v>
      </c>
      <c r="J19" s="20" t="n">
        <v>36750</v>
      </c>
      <c r="K19" s="20" t="n">
        <v>44412</v>
      </c>
      <c r="L19" s="20" t="n">
        <v>42497</v>
      </c>
    </row>
    <row r="20">
      <c r="A20" s="18" t="inlineStr">
        <is>
          <t>단기차입금</t>
        </is>
      </c>
      <c r="B20" s="10" t="n"/>
      <c r="C20" s="19" t="n">
        <v>53824</v>
      </c>
      <c r="D20" s="20" t="n">
        <v>68726</v>
      </c>
      <c r="E20" s="20" t="n">
        <v>58929</v>
      </c>
      <c r="F20" s="20" t="n">
        <v>50900</v>
      </c>
      <c r="G20" s="20" t="n">
        <v>46781</v>
      </c>
      <c r="H20" s="19" t="n">
        <v>26436</v>
      </c>
      <c r="I20" s="20" t="n">
        <v>34604</v>
      </c>
      <c r="J20" s="20" t="n">
        <v>49876</v>
      </c>
      <c r="K20" s="20" t="n">
        <v>51176</v>
      </c>
      <c r="L20" s="20" t="n">
        <v>58929</v>
      </c>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30750</v>
      </c>
      <c r="D23" s="12" t="n">
        <v>37567</v>
      </c>
      <c r="E23" s="12" t="n">
        <v>44707</v>
      </c>
      <c r="F23" s="12" t="n">
        <v>46069</v>
      </c>
      <c r="G23" s="12" t="n">
        <v>41163</v>
      </c>
      <c r="H23" s="11" t="n">
        <v>22754</v>
      </c>
      <c r="I23" s="12" t="n">
        <v>23266</v>
      </c>
      <c r="J23" s="12" t="n">
        <v>28783</v>
      </c>
      <c r="K23" s="12" t="n">
        <v>41560</v>
      </c>
      <c r="L23" s="12" t="n">
        <v>44707</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c r="D25" s="20" t="n"/>
      <c r="E25" s="20" t="n"/>
      <c r="F25" s="20" t="n"/>
      <c r="G25" s="20" t="n"/>
      <c r="H25" s="19" t="n"/>
      <c r="I25" s="20" t="n"/>
      <c r="J25" s="20" t="n"/>
      <c r="K25" s="20" t="n"/>
      <c r="L25" s="20" t="n"/>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134601</v>
      </c>
      <c r="D27" s="12" t="n">
        <v>170238</v>
      </c>
      <c r="E27" s="12" t="n">
        <v>160930</v>
      </c>
      <c r="F27" s="12" t="n">
        <v>146637</v>
      </c>
      <c r="G27" s="12" t="n">
        <v>139337</v>
      </c>
      <c r="H27" s="11" t="n">
        <v>95666</v>
      </c>
      <c r="I27" s="12" t="n">
        <v>103580</v>
      </c>
      <c r="J27" s="12" t="n">
        <v>129213</v>
      </c>
      <c r="K27" s="12" t="n">
        <v>150774</v>
      </c>
      <c r="L27" s="12" t="n">
        <v>160930</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171369</v>
      </c>
      <c r="D31" s="12" t="n">
        <v>178694</v>
      </c>
      <c r="E31" s="12" t="n">
        <v>190559</v>
      </c>
      <c r="F31" s="12" t="n">
        <v>189300</v>
      </c>
      <c r="G31" s="12" t="n">
        <v>192951</v>
      </c>
      <c r="H31" s="11" t="n">
        <v>117565</v>
      </c>
      <c r="I31" s="12" t="n">
        <v>119071</v>
      </c>
      <c r="J31" s="12" t="n">
        <v>132265</v>
      </c>
      <c r="K31" s="12" t="n">
        <v>185740</v>
      </c>
      <c r="L31" s="12" t="n">
        <v>190559</v>
      </c>
    </row>
    <row r="32">
      <c r="A32" s="18" t="inlineStr">
        <is>
          <t>자본금</t>
        </is>
      </c>
      <c r="B32" s="10" t="n"/>
      <c r="C32" s="19" t="n">
        <v>19985</v>
      </c>
      <c r="D32" s="20" t="n">
        <v>19985</v>
      </c>
      <c r="E32" s="20" t="n">
        <v>19985</v>
      </c>
      <c r="F32" s="20" t="n">
        <v>19985</v>
      </c>
      <c r="G32" s="20" t="n">
        <v>19985</v>
      </c>
      <c r="H32" s="19" t="n">
        <v>19985</v>
      </c>
      <c r="I32" s="20" t="n">
        <v>19985</v>
      </c>
      <c r="J32" s="20" t="n">
        <v>19985</v>
      </c>
      <c r="K32" s="20" t="n">
        <v>19985</v>
      </c>
      <c r="L32" s="20" t="n">
        <v>19985</v>
      </c>
    </row>
    <row r="33">
      <c r="A33" s="18" t="inlineStr">
        <is>
          <t>이익잉여금</t>
        </is>
      </c>
      <c r="B33" s="10" t="n"/>
      <c r="C33" s="19" t="n">
        <v>120637</v>
      </c>
      <c r="D33" s="20" t="n">
        <v>125183</v>
      </c>
      <c r="E33" s="20" t="n">
        <v>123007</v>
      </c>
      <c r="F33" s="20" t="n">
        <v>120905</v>
      </c>
      <c r="G33" s="20" t="n">
        <v>123674</v>
      </c>
      <c r="H33" s="19" t="n">
        <v>84235</v>
      </c>
      <c r="I33" s="20" t="n">
        <v>90708</v>
      </c>
      <c r="J33" s="20" t="n">
        <v>98017</v>
      </c>
      <c r="K33" s="20" t="n">
        <v>119725</v>
      </c>
      <c r="L33" s="20" t="n">
        <v>123007</v>
      </c>
    </row>
    <row r="34">
      <c r="A34" s="18" t="inlineStr">
        <is>
          <t>비지배지분</t>
        </is>
      </c>
      <c r="B34" s="10" t="n"/>
      <c r="C34" s="19" t="n">
        <v>23540</v>
      </c>
      <c r="D34" s="20" t="n">
        <v>23612</v>
      </c>
      <c r="E34" s="20" t="n">
        <v>24331</v>
      </c>
      <c r="F34" s="20" t="n">
        <v>24019</v>
      </c>
      <c r="G34" s="20" t="n">
        <v>24661</v>
      </c>
      <c r="H34" s="19" t="n">
        <v>1977</v>
      </c>
      <c r="I34" s="20" t="n">
        <v>2720</v>
      </c>
      <c r="J34" s="20" t="n">
        <v>4170</v>
      </c>
      <c r="K34" s="20" t="n">
        <v>25900</v>
      </c>
      <c r="L34" s="20" t="n">
        <v>24331</v>
      </c>
    </row>
    <row r="35">
      <c r="A35" s="9" t="inlineStr">
        <is>
          <t>자본총계</t>
        </is>
      </c>
      <c r="B35" s="10" t="n"/>
      <c r="C35" s="11" t="n">
        <v>194910</v>
      </c>
      <c r="D35" s="12" t="n">
        <v>202307</v>
      </c>
      <c r="E35" s="12" t="n">
        <v>214890</v>
      </c>
      <c r="F35" s="12" t="n">
        <v>213320</v>
      </c>
      <c r="G35" s="12" t="n">
        <v>217613</v>
      </c>
      <c r="H35" s="11" t="n">
        <v>119542</v>
      </c>
      <c r="I35" s="12" t="n">
        <v>121792</v>
      </c>
      <c r="J35" s="12" t="n">
        <v>136435</v>
      </c>
      <c r="K35" s="12" t="n">
        <v>211640</v>
      </c>
      <c r="L35" s="12" t="n">
        <v>214890</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29333</v>
      </c>
      <c r="D37" s="12" t="n">
        <v>30372</v>
      </c>
      <c r="E37" s="12" t="n">
        <v>26930</v>
      </c>
      <c r="F37" s="12" t="n">
        <v>26969</v>
      </c>
      <c r="G37" s="12" t="n">
        <v>24290</v>
      </c>
      <c r="H37" s="11" t="n">
        <v>14796</v>
      </c>
      <c r="I37" s="12" t="n">
        <v>4635</v>
      </c>
      <c r="J37" s="12" t="n">
        <v>4617</v>
      </c>
      <c r="K37" s="12" t="n">
        <v>31692</v>
      </c>
      <c r="L37" s="12" t="n">
        <v>26930</v>
      </c>
    </row>
    <row r="38">
      <c r="A38" s="18" t="inlineStr">
        <is>
          <t>CAPEX (유·무형 취득)</t>
        </is>
      </c>
      <c r="B38" s="10" t="inlineStr">
        <is>
          <t>양수로 입력</t>
        </is>
      </c>
      <c r="C38" s="19" t="n"/>
      <c r="D38" s="20" t="n"/>
      <c r="E38" s="20" t="n"/>
      <c r="F38" s="20" t="n"/>
      <c r="G38" s="20" t="n"/>
      <c r="H38" s="19" t="n"/>
      <c r="I38" s="20" t="n"/>
      <c r="J38" s="20" t="n"/>
      <c r="K38" s="20" t="n"/>
      <c r="L38" s="20" t="n"/>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5277</v>
      </c>
      <c r="D40" s="20" t="n">
        <v>5334</v>
      </c>
      <c r="E40" s="20" t="n">
        <v>5335</v>
      </c>
      <c r="F40" s="20" t="n">
        <v>4393</v>
      </c>
      <c r="G40" s="20" t="n">
        <v>4424</v>
      </c>
      <c r="H40" s="19" t="n">
        <v>3219</v>
      </c>
      <c r="I40" s="20" t="n">
        <v>3278</v>
      </c>
      <c r="J40" s="20" t="n">
        <v>3277</v>
      </c>
      <c r="K40" s="20" t="n">
        <v>3533</v>
      </c>
      <c r="L40" s="20" t="n">
        <v>5335</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IFERROR((IF(COUNT('연간'!G31:J31)&lt;4,"",SUM('연간'!G31:J31)))/(IF(COUNT('연간'!G53:J53)&lt;4,"",SUM('연간'!G53:J53))),"")</f>
        <v/>
      </c>
      <c r="D48" s="31">
        <f>IFERROR((IF(COUNT('연간'!H31:K31)&lt;4,"",SUM('연간'!H31:K31)))/(IF(COUNT('연간'!H53:K53)&lt;4,"",SUM('연간'!H53:K53))),"")</f>
        <v/>
      </c>
      <c r="E48" s="31">
        <f>IFERROR((IF(COUNT('연간'!I31:L31)&lt;4,"",SUM('연간'!I31:L31)))/(IF(COUNT('연간'!I53:L53)&lt;4,"",SUM('연간'!I53:L53))),"")</f>
        <v/>
      </c>
      <c r="F48" s="31">
        <f>IFERROR((IF(COUNT('연간'!J31:M31)&lt;4,"",SUM('연간'!J31:M31)))/(IF(COUNT('연간'!J53:M53)&lt;4,"",SUM('연간'!J53:M53))),"")</f>
        <v/>
      </c>
      <c r="G48" s="31">
        <f>IFERROR((IF(COUNT('연간'!K31:N31)&lt;4,"",SUM('연간'!K31:N31)))/(IF(COUNT('연간'!K53:N53)&lt;4,"",SUM('연간'!K53:N53))),"")</f>
        <v/>
      </c>
      <c r="H48" s="30">
        <f>IFERROR(('연간'!T31)/('연간'!T53),"")</f>
        <v/>
      </c>
      <c r="I48" s="31">
        <f>IFERROR(('연간'!U31)/('연간'!U53),"")</f>
        <v/>
      </c>
      <c r="J48" s="31">
        <f>IFERROR(('연간'!V31)/('연간'!V53),"")</f>
        <v/>
      </c>
      <c r="K48" s="31">
        <f>IFERROR(('연간'!W31)/('연간'!W53),"")</f>
        <v/>
      </c>
      <c r="L48" s="31">
        <f>IFERROR(('연간'!X31)/('연간'!X53),"")</f>
        <v/>
      </c>
    </row>
    <row r="49">
      <c r="A49" s="45" t="inlineStr">
        <is>
          <t>차입금 상환연수</t>
        </is>
      </c>
      <c r="B49" s="10" t="inlineStr">
        <is>
          <t>4년↓ (버핏)</t>
        </is>
      </c>
      <c r="C49" s="46">
        <f>IFERROR(IF((IF(COUNT('연간'!G61:J61)&lt;4,"",SUM('연간'!G61:J61)))&lt;=0,"적자",C28/(IF(COUNT('연간'!G61:J61)&lt;4,"",SUM('연간'!G61:J61)))),"")</f>
        <v/>
      </c>
      <c r="D49" s="47">
        <f>IFERROR(IF((IF(COUNT('연간'!H61:K61)&lt;4,"",SUM('연간'!H61:K61)))&lt;=0,"적자",D28/(IF(COUNT('연간'!H61:K61)&lt;4,"",SUM('연간'!H61:K61)))),"")</f>
        <v/>
      </c>
      <c r="E49" s="47">
        <f>IFERROR(IF((IF(COUNT('연간'!I61:L61)&lt;4,"",SUM('연간'!I61:L61)))&lt;=0,"적자",E28/(IF(COUNT('연간'!I61:L61)&lt;4,"",SUM('연간'!I61:L61)))),"")</f>
        <v/>
      </c>
      <c r="F49" s="47">
        <f>IFERROR(IF((IF(COUNT('연간'!J61:M61)&lt;4,"",SUM('연간'!J61:M61)))&lt;=0,"적자",F28/(IF(COUNT('연간'!J61:M61)&lt;4,"",SUM('연간'!J61:M61)))),"")</f>
        <v/>
      </c>
      <c r="G49" s="47">
        <f>IFERROR(IF((IF(COUNT('연간'!K61:N61)&lt;4,"",SUM('연간'!K61:N61)))&lt;=0,"적자",G28/(IF(COUNT('연간'!K61:N61)&lt;4,"",SUM('연간'!K61:N61)))),"")</f>
        <v/>
      </c>
      <c r="H49" s="46">
        <f>IFERROR(IF(('연간'!T61)&lt;=0,"적자",H28/('연간'!T61)),"")</f>
        <v/>
      </c>
      <c r="I49" s="47">
        <f>IFERROR(IF(('연간'!U61)&lt;=0,"적자",I28/('연간'!U61)),"")</f>
        <v/>
      </c>
      <c r="J49" s="47">
        <f>IFERROR(IF(('연간'!V61)&lt;=0,"적자",J28/('연간'!V61)),"")</f>
        <v/>
      </c>
      <c r="K49" s="47">
        <f>IFERROR(IF(('연간'!W61)&lt;=0,"적자",K28/('연간'!W61)),"")</f>
        <v/>
      </c>
      <c r="L49" s="47">
        <f>IFERROR(IF(('연간'!X61)&lt;=0,"적자",L28/('연간'!X61)),"")</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IFERROR((IF(COUNT('연간'!G61:J61)&lt;4,"",SUM('연간'!G61:J61)))/C31,"")</f>
        <v/>
      </c>
      <c r="D51" s="36">
        <f>IFERROR((IF(COUNT('연간'!H61:K61)&lt;4,"",SUM('연간'!H61:K61)))/D31,"")</f>
        <v/>
      </c>
      <c r="E51" s="36">
        <f>IFERROR((IF(COUNT('연간'!I61:L61)&lt;4,"",SUM('연간'!I61:L61)))/E31,"")</f>
        <v/>
      </c>
      <c r="F51" s="36">
        <f>IFERROR((IF(COUNT('연간'!J61:M61)&lt;4,"",SUM('연간'!J61:M61)))/F31,"")</f>
        <v/>
      </c>
      <c r="G51" s="36">
        <f>IFERROR((IF(COUNT('연간'!K61:N61)&lt;4,"",SUM('연간'!K61:N61)))/G31,"")</f>
        <v/>
      </c>
      <c r="H51" s="35">
        <f>IFERROR(('연간'!T61)/H31,"")</f>
        <v/>
      </c>
      <c r="I51" s="36">
        <f>IFERROR(('연간'!U61)/I31,"")</f>
        <v/>
      </c>
      <c r="J51" s="36">
        <f>IFERROR(('연간'!V61)/J31,"")</f>
        <v/>
      </c>
      <c r="K51" s="36">
        <f>IFERROR(('연간'!W61)/K31,"")</f>
        <v/>
      </c>
      <c r="L51" s="36">
        <f>IFERROR(('연간'!X61)/L31,"")</f>
        <v/>
      </c>
    </row>
    <row r="52">
      <c r="A52" s="45" t="inlineStr">
        <is>
          <t>ROA</t>
        </is>
      </c>
      <c r="B52" s="10" t="inlineStr">
        <is>
          <t>5%↑</t>
        </is>
      </c>
      <c r="C52" s="35">
        <f>IFERROR((IF(COUNT('연간'!G59:J59)&lt;4,"",SUM('연간'!G59:J59)))/C16,"")</f>
        <v/>
      </c>
      <c r="D52" s="36">
        <f>IFERROR((IF(COUNT('연간'!H59:K59)&lt;4,"",SUM('연간'!H59:K59)))/D16,"")</f>
        <v/>
      </c>
      <c r="E52" s="36">
        <f>IFERROR((IF(COUNT('연간'!I59:L59)&lt;4,"",SUM('연간'!I59:L59)))/E16,"")</f>
        <v/>
      </c>
      <c r="F52" s="36">
        <f>IFERROR((IF(COUNT('연간'!J59:M59)&lt;4,"",SUM('연간'!J59:M59)))/F16,"")</f>
        <v/>
      </c>
      <c r="G52" s="36">
        <f>IFERROR((IF(COUNT('연간'!K59:N59)&lt;4,"",SUM('연간'!K59:N59)))/G16,"")</f>
        <v/>
      </c>
      <c r="H52" s="35">
        <f>IFERROR(('연간'!T59)/H16,"")</f>
        <v/>
      </c>
      <c r="I52" s="36">
        <f>IFERROR(('연간'!U59)/I16,"")</f>
        <v/>
      </c>
      <c r="J52" s="36">
        <f>IFERROR(('연간'!V59)/J16,"")</f>
        <v/>
      </c>
      <c r="K52" s="36">
        <f>IFERROR(('연간'!W59)/K16,"")</f>
        <v/>
      </c>
      <c r="L52" s="36">
        <f>IFERROR(('연간'!X59)/L16,"")</f>
        <v/>
      </c>
    </row>
    <row r="53">
      <c r="A53" s="45" t="inlineStr">
        <is>
          <t>ROIC</t>
        </is>
      </c>
      <c r="B53" s="10" t="inlineStr">
        <is>
          <t>10%↑ (세후영업이익 기준)</t>
        </is>
      </c>
      <c r="C53" s="35">
        <f>IFERROR((IF(COUNT('연간'!G31:J31)&lt;4,"",SUM('연간'!G31:J31)))*(1-0.3)/(C35+C29),"")</f>
        <v/>
      </c>
      <c r="D53" s="36">
        <f>IFERROR((IF(COUNT('연간'!H31:K31)&lt;4,"",SUM('연간'!H31:K31)))*(1-0.3)/(D35+D29),"")</f>
        <v/>
      </c>
      <c r="E53" s="36">
        <f>IFERROR((IF(COUNT('연간'!I31:L31)&lt;4,"",SUM('연간'!I31:L31)))*(1-0.3)/(E35+E29),"")</f>
        <v/>
      </c>
      <c r="F53" s="36">
        <f>IFERROR((IF(COUNT('연간'!J31:M31)&lt;4,"",SUM('연간'!J31:M31)))*(1-0.3)/(F35+F29),"")</f>
        <v/>
      </c>
      <c r="G53" s="36">
        <f>IFERROR((IF(COUNT('연간'!K31:N31)&lt;4,"",SUM('연간'!K31:N31)))*(1-0.3)/(G35+G29),"")</f>
        <v/>
      </c>
      <c r="H53" s="35">
        <f>IFERROR(('연간'!T31)*(1-0.3)/(H35+H29),"")</f>
        <v/>
      </c>
      <c r="I53" s="36">
        <f>IFERROR(('연간'!U31)*(1-0.3)/(I35+I29),"")</f>
        <v/>
      </c>
      <c r="J53" s="36">
        <f>IFERROR(('연간'!V31)*(1-0.3)/(J35+J29),"")</f>
        <v/>
      </c>
      <c r="K53" s="36">
        <f>IFERROR(('연간'!W31)*(1-0.3)/(K35+K29),"")</f>
        <v/>
      </c>
      <c r="L53" s="36">
        <f>IFERROR(('연간'!X31)*(1-0.3)/(L35+L29),"")</f>
        <v/>
      </c>
    </row>
    <row r="54">
      <c r="A54" s="45" t="inlineStr">
        <is>
          <t>매출총이익률 (GPM)</t>
        </is>
      </c>
      <c r="B54" s="10" t="inlineStr">
        <is>
          <t>40%↑ (해자 신호)</t>
        </is>
      </c>
      <c r="C54" s="35">
        <f>IFERROR((IF(COUNT('연간'!G25:J25)&lt;4,"",SUM('연간'!G25:J25)))/(IF(COUNT('연간'!G4:J4)&lt;4,"",SUM('연간'!G4:J4))),"")</f>
        <v/>
      </c>
      <c r="D54" s="36">
        <f>IFERROR((IF(COUNT('연간'!H25:K25)&lt;4,"",SUM('연간'!H25:K25)))/(IF(COUNT('연간'!H4:K4)&lt;4,"",SUM('연간'!H4:K4))),"")</f>
        <v/>
      </c>
      <c r="E54" s="36">
        <f>IFERROR((IF(COUNT('연간'!I25:L25)&lt;4,"",SUM('연간'!I25:L25)))/(IF(COUNT('연간'!I4:L4)&lt;4,"",SUM('연간'!I4:L4))),"")</f>
        <v/>
      </c>
      <c r="F54" s="36">
        <f>IFERROR((IF(COUNT('연간'!J25:M25)&lt;4,"",SUM('연간'!J25:M25)))/(IF(COUNT('연간'!J4:M4)&lt;4,"",SUM('연간'!J4:M4))),"")</f>
        <v/>
      </c>
      <c r="G54" s="36">
        <f>IFERROR((IF(COUNT('연간'!K25:N25)&lt;4,"",SUM('연간'!K25:N25)))/(IF(COUNT('연간'!K4:N4)&lt;4,"",SUM('연간'!K4:N4))),"")</f>
        <v/>
      </c>
      <c r="H54" s="35">
        <f>IFERROR(('연간'!T25)/('연간'!T4),"")</f>
        <v/>
      </c>
      <c r="I54" s="36">
        <f>IFERROR(('연간'!U25)/('연간'!U4),"")</f>
        <v/>
      </c>
      <c r="J54" s="36">
        <f>IFERROR(('연간'!V25)/('연간'!V4),"")</f>
        <v/>
      </c>
      <c r="K54" s="36">
        <f>IFERROR(('연간'!W25)/('연간'!W4),"")</f>
        <v/>
      </c>
      <c r="L54" s="36">
        <f>IFERROR(('연간'!X25)/('연간'!X4),"")</f>
        <v/>
      </c>
    </row>
    <row r="55">
      <c r="A55" s="45" t="inlineStr">
        <is>
          <t>영업이익률 (OPM)</t>
        </is>
      </c>
      <c r="B55" s="10" t="inlineStr">
        <is>
          <t>15%↑</t>
        </is>
      </c>
      <c r="C55" s="35">
        <f>IFERROR((IF(COUNT('연간'!G31:J31)&lt;4,"",SUM('연간'!G31:J31)))/(IF(COUNT('연간'!G4:J4)&lt;4,"",SUM('연간'!G4:J4))),"")</f>
        <v/>
      </c>
      <c r="D55" s="36">
        <f>IFERROR((IF(COUNT('연간'!H31:K31)&lt;4,"",SUM('연간'!H31:K31)))/(IF(COUNT('연간'!H4:K4)&lt;4,"",SUM('연간'!H4:K4))),"")</f>
        <v/>
      </c>
      <c r="E55" s="36">
        <f>IFERROR((IF(COUNT('연간'!I31:L31)&lt;4,"",SUM('연간'!I31:L31)))/(IF(COUNT('연간'!I4:L4)&lt;4,"",SUM('연간'!I4:L4))),"")</f>
        <v/>
      </c>
      <c r="F55" s="36">
        <f>IFERROR((IF(COUNT('연간'!J31:M31)&lt;4,"",SUM('연간'!J31:M31)))/(IF(COUNT('연간'!J4:M4)&lt;4,"",SUM('연간'!J4:M4))),"")</f>
        <v/>
      </c>
      <c r="G55" s="36">
        <f>IFERROR((IF(COUNT('연간'!K31:N31)&lt;4,"",SUM('연간'!K31:N31)))/(IF(COUNT('연간'!K4:N4)&lt;4,"",SUM('연간'!K4:N4))),"")</f>
        <v/>
      </c>
      <c r="H55" s="35">
        <f>IFERROR(('연간'!T31)/('연간'!T4),"")</f>
        <v/>
      </c>
      <c r="I55" s="36">
        <f>IFERROR(('연간'!U31)/('연간'!U4),"")</f>
        <v/>
      </c>
      <c r="J55" s="36">
        <f>IFERROR(('연간'!V31)/('연간'!V4),"")</f>
        <v/>
      </c>
      <c r="K55" s="36">
        <f>IFERROR(('연간'!W31)/('연간'!W4),"")</f>
        <v/>
      </c>
      <c r="L55" s="36">
        <f>IFERROR(('연간'!X31)/('연간'!X4),"")</f>
        <v/>
      </c>
    </row>
    <row r="56">
      <c r="A56" s="45" t="inlineStr">
        <is>
          <t>순이익률</t>
        </is>
      </c>
      <c r="B56" s="10" t="inlineStr">
        <is>
          <t>10%↑</t>
        </is>
      </c>
      <c r="C56" s="35">
        <f>IFERROR((IF(COUNT('연간'!G59:J59)&lt;4,"",SUM('연간'!G59:J59)))/(IF(COUNT('연간'!G4:J4)&lt;4,"",SUM('연간'!G4:J4))),"")</f>
        <v/>
      </c>
      <c r="D56" s="36">
        <f>IFERROR((IF(COUNT('연간'!H59:K59)&lt;4,"",SUM('연간'!H59:K59)))/(IF(COUNT('연간'!H4:K4)&lt;4,"",SUM('연간'!H4:K4))),"")</f>
        <v/>
      </c>
      <c r="E56" s="36">
        <f>IFERROR((IF(COUNT('연간'!I59:L59)&lt;4,"",SUM('연간'!I59:L59)))/(IF(COUNT('연간'!I4:L4)&lt;4,"",SUM('연간'!I4:L4))),"")</f>
        <v/>
      </c>
      <c r="F56" s="36">
        <f>IFERROR((IF(COUNT('연간'!J59:M59)&lt;4,"",SUM('연간'!J59:M59)))/(IF(COUNT('연간'!J4:M4)&lt;4,"",SUM('연간'!J4:M4))),"")</f>
        <v/>
      </c>
      <c r="G56" s="36">
        <f>IFERROR((IF(COUNT('연간'!K59:N59)&lt;4,"",SUM('연간'!K59:N59)))/(IF(COUNT('연간'!K4:N4)&lt;4,"",SUM('연간'!K4:N4))),"")</f>
        <v/>
      </c>
      <c r="H56" s="35">
        <f>IFERROR(('연간'!T59)/('연간'!T4),"")</f>
        <v/>
      </c>
      <c r="I56" s="36">
        <f>IFERROR(('연간'!U59)/('연간'!U4),"")</f>
        <v/>
      </c>
      <c r="J56" s="36">
        <f>IFERROR(('연간'!V59)/('연간'!V4),"")</f>
        <v/>
      </c>
      <c r="K56" s="36">
        <f>IFERROR(('연간'!W59)/('연간'!W4),"")</f>
        <v/>
      </c>
      <c r="L56" s="36">
        <f>IFERROR(('연간'!X59)/('연간'!X4),"")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IFERROR(C9/(IF(COUNT('연간'!G23:J23)&lt;4,"",SUM('연간'!G23:J23)))*365,"")</f>
        <v/>
      </c>
      <c r="D60" s="49">
        <f>IFERROR(D9/(IF(COUNT('연간'!H23:K23)&lt;4,"",SUM('연간'!H23:K23)))*365,"")</f>
        <v/>
      </c>
      <c r="E60" s="49">
        <f>IFERROR(E9/(IF(COUNT('연간'!I23:L23)&lt;4,"",SUM('연간'!I23:L23)))*365,"")</f>
        <v/>
      </c>
      <c r="F60" s="49">
        <f>IFERROR(F9/(IF(COUNT('연간'!J23:M23)&lt;4,"",SUM('연간'!J23:M23)))*365,"")</f>
        <v/>
      </c>
      <c r="G60" s="49">
        <f>IFERROR(G9/(IF(COUNT('연간'!K23:N23)&lt;4,"",SUM('연간'!K23:N23)))*365,"")</f>
        <v/>
      </c>
      <c r="H60" s="48">
        <f>IFERROR(H9/('연간'!T23)*365,"")</f>
        <v/>
      </c>
      <c r="I60" s="49">
        <f>IFERROR(I9/('연간'!U23)*365,"")</f>
        <v/>
      </c>
      <c r="J60" s="49">
        <f>IFERROR(J9/('연간'!V23)*365,"")</f>
        <v/>
      </c>
      <c r="K60" s="49">
        <f>IFERROR(K9/('연간'!W23)*365,"")</f>
        <v/>
      </c>
      <c r="L60" s="49">
        <f>IFERROR(L9/('연간'!X23)*365,"")</f>
        <v/>
      </c>
    </row>
    <row r="61">
      <c r="A61" s="45" t="inlineStr">
        <is>
          <t>매입채무회전일수</t>
        </is>
      </c>
      <c r="B61" s="10" t="inlineStr">
        <is>
          <t>길수록 유리</t>
        </is>
      </c>
      <c r="C61" s="48">
        <f>IFERROR(C19/(IF(COUNT('연간'!G23:J23)&lt;4,"",SUM('연간'!G23:J23)))*365,"")</f>
        <v/>
      </c>
      <c r="D61" s="49">
        <f>IFERROR(D19/(IF(COUNT('연간'!H23:K23)&lt;4,"",SUM('연간'!H23:K23)))*365,"")</f>
        <v/>
      </c>
      <c r="E61" s="49">
        <f>IFERROR(E19/(IF(COUNT('연간'!I23:L23)&lt;4,"",SUM('연간'!I23:L23)))*365,"")</f>
        <v/>
      </c>
      <c r="F61" s="49">
        <f>IFERROR(F19/(IF(COUNT('연간'!J23:M23)&lt;4,"",SUM('연간'!J23:M23)))*365,"")</f>
        <v/>
      </c>
      <c r="G61" s="49">
        <f>IFERROR(G19/(IF(COUNT('연간'!K23:N23)&lt;4,"",SUM('연간'!K23:N23)))*365,"")</f>
        <v/>
      </c>
      <c r="H61" s="48">
        <f>IFERROR(H19/('연간'!T23)*365,"")</f>
        <v/>
      </c>
      <c r="I61" s="49">
        <f>IFERROR(I19/('연간'!U23)*365,"")</f>
        <v/>
      </c>
      <c r="J61" s="49">
        <f>IFERROR(J19/('연간'!V23)*365,"")</f>
        <v/>
      </c>
      <c r="K61" s="49">
        <f>IFERROR(K19/('연간'!W23)*365,"")</f>
        <v/>
      </c>
      <c r="L61" s="49">
        <f>IFERROR(L19/('연간'!X23)*365,"")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IF(C37="","",IFERROR(C37/(IF(COUNT('연간'!G59:J59)&lt;4,"",SUM('연간'!G59:J59))),""))</f>
        <v/>
      </c>
      <c r="D64" s="31">
        <f>IF(D37="","",IFERROR(D37/(IF(COUNT('연간'!H59:K59)&lt;4,"",SUM('연간'!H59:K59))),""))</f>
        <v/>
      </c>
      <c r="E64" s="31">
        <f>IF(E37="","",IFERROR(E37/(IF(COUNT('연간'!I59:L59)&lt;4,"",SUM('연간'!I59:L59))),""))</f>
        <v/>
      </c>
      <c r="F64" s="31">
        <f>IF(F37="","",IFERROR(F37/(IF(COUNT('연간'!J59:M59)&lt;4,"",SUM('연간'!J59:M59))),""))</f>
        <v/>
      </c>
      <c r="G64" s="31">
        <f>IF(G37="","",IFERROR(G37/(IF(COUNT('연간'!K59:N59)&lt;4,"",SUM('연간'!K59:N59))),""))</f>
        <v/>
      </c>
      <c r="H64" s="30">
        <f>IF(H37="","",IFERROR(H37/('연간'!T59),""))</f>
        <v/>
      </c>
      <c r="I64" s="31">
        <f>IF(I37="","",IFERROR(I37/('연간'!U59),""))</f>
        <v/>
      </c>
      <c r="J64" s="31">
        <f>IF(J37="","",IFERROR(J37/('연간'!V59),""))</f>
        <v/>
      </c>
      <c r="K64" s="31">
        <f>IF(K37="","",IFERROR(K37/('연간'!W59),""))</f>
        <v/>
      </c>
      <c r="L64" s="31">
        <f>IF(L37="","",IFERROR(L37/('연간'!X59),""))</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IF(C40="","",IFERROR(C40/(IF(COUNT('연간'!G61:J61)&lt;4,"",SUM('연간'!G61:J61))),""))</f>
        <v/>
      </c>
      <c r="D67" s="36">
        <f>IF(D40="","",IFERROR(D40/(IF(COUNT('연간'!H61:K61)&lt;4,"",SUM('연간'!H61:K61))),""))</f>
        <v/>
      </c>
      <c r="E67" s="36">
        <f>IF(E40="","",IFERROR(E40/(IF(COUNT('연간'!I61:L61)&lt;4,"",SUM('연간'!I61:L61))),""))</f>
        <v/>
      </c>
      <c r="F67" s="36">
        <f>IF(F40="","",IFERROR(F40/(IF(COUNT('연간'!J61:M61)&lt;4,"",SUM('연간'!J61:M61))),""))</f>
        <v/>
      </c>
      <c r="G67" s="36">
        <f>IF(G40="","",IFERROR(G40/(IF(COUNT('연간'!K61:N61)&lt;4,"",SUM('연간'!K61:N61))),""))</f>
        <v/>
      </c>
      <c r="H67" s="35">
        <f>IF(H40="","",IFERROR(H40/('연간'!T61),""))</f>
        <v/>
      </c>
      <c r="I67" s="36">
        <f>IF(I40="","",IFERROR(I40/('연간'!U61),""))</f>
        <v/>
      </c>
      <c r="J67" s="36">
        <f>IF(J40="","",IFERROR(J40/('연간'!V61),""))</f>
        <v/>
      </c>
      <c r="K67" s="36">
        <f>IF(K40="","",IFERROR(K40/('연간'!W61),""))</f>
        <v/>
      </c>
      <c r="L67" s="36">
        <f>IF(L40="","",IFERROR(L40/('연간'!X61),""))</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2025.2Q</t>
        </is>
      </c>
      <c r="D70" s="5" t="inlineStr">
        <is>
          <t>2025.3Q</t>
        </is>
      </c>
      <c r="E70" s="5" t="inlineStr">
        <is>
          <t>2025.4Q</t>
        </is>
      </c>
      <c r="F70" s="5" t="inlineStr">
        <is>
          <t>2026.1Q</t>
        </is>
      </c>
      <c r="G70" s="5" t="inlineStr">
        <is>
          <t>2026.2Q</t>
        </is>
      </c>
      <c r="H70" s="5" t="inlineStr">
        <is>
          <t>2021</t>
        </is>
      </c>
      <c r="I70" s="5" t="inlineStr">
        <is>
          <t>2022</t>
        </is>
      </c>
      <c r="J70" s="5" t="inlineStr">
        <is>
          <t>2023</t>
        </is>
      </c>
      <c r="K70" s="5" t="inlineStr">
        <is>
          <t>2024</t>
        </is>
      </c>
      <c r="L70" s="5" t="inlineStr">
        <is>
          <t>2025</t>
        </is>
      </c>
    </row>
    <row r="71">
      <c r="A71" s="18" t="inlineStr">
        <is>
          <t>현금및현금성자산</t>
        </is>
      </c>
      <c r="C71" s="20" t="n">
        <v>18921</v>
      </c>
      <c r="D71" s="20" t="n">
        <v>25749</v>
      </c>
      <c r="E71" s="20" t="n">
        <v>26844</v>
      </c>
      <c r="F71" s="20" t="n">
        <v>15235</v>
      </c>
      <c r="G71" s="20" t="n">
        <v>14531</v>
      </c>
      <c r="H71" s="20" t="n">
        <v>31231</v>
      </c>
      <c r="I71" s="20" t="n">
        <v>21390</v>
      </c>
      <c r="J71" s="20" t="n">
        <v>36010</v>
      </c>
      <c r="K71" s="20" t="n">
        <v>21273</v>
      </c>
      <c r="L71" s="20" t="n">
        <v>26844</v>
      </c>
    </row>
    <row r="72">
      <c r="A72" s="18" t="inlineStr">
        <is>
          <t>영업채권 및 기타채권</t>
        </is>
      </c>
      <c r="C72" s="20" t="n">
        <v>55782</v>
      </c>
      <c r="D72" s="20" t="n">
        <v>60611</v>
      </c>
      <c r="E72" s="20" t="n">
        <v>60558</v>
      </c>
      <c r="F72" s="20" t="n">
        <v>54069</v>
      </c>
      <c r="G72" s="20" t="n">
        <v>58996</v>
      </c>
      <c r="H72" s="20" t="n">
        <v>41657</v>
      </c>
      <c r="I72" s="20" t="n">
        <v>45487</v>
      </c>
      <c r="J72" s="20" t="n">
        <v>48426</v>
      </c>
      <c r="K72" s="20" t="n">
        <v>59432</v>
      </c>
      <c r="L72" s="20" t="n">
        <v>60558</v>
      </c>
    </row>
    <row r="73">
      <c r="A73" s="18" t="inlineStr">
        <is>
          <t>재고자산</t>
        </is>
      </c>
      <c r="C73" s="20" t="n">
        <v>100148</v>
      </c>
      <c r="D73" s="20" t="n">
        <v>126641</v>
      </c>
      <c r="E73" s="20" t="n">
        <v>119438</v>
      </c>
      <c r="F73" s="20" t="n">
        <v>117268</v>
      </c>
      <c r="G73" s="20" t="n">
        <v>108808</v>
      </c>
      <c r="H73" s="20" t="n">
        <v>47150</v>
      </c>
      <c r="I73" s="20" t="n">
        <v>57565</v>
      </c>
      <c r="J73" s="20" t="n">
        <v>75198</v>
      </c>
      <c r="K73" s="20" t="n">
        <v>119047</v>
      </c>
      <c r="L73" s="20" t="n">
        <v>119438</v>
      </c>
    </row>
    <row r="74">
      <c r="A74" s="18" t="inlineStr">
        <is>
          <t>미수법인세</t>
        </is>
      </c>
      <c r="C74" s="20" t="n">
        <v>1848</v>
      </c>
      <c r="D74" s="20" t="n">
        <v>1734</v>
      </c>
      <c r="E74" s="20" t="n">
        <v>1598</v>
      </c>
      <c r="F74" s="20" t="n">
        <v>1009</v>
      </c>
      <c r="G74" s="20" t="n">
        <v>614</v>
      </c>
      <c r="H74" s="20" t="n">
        <v>189</v>
      </c>
      <c r="I74" s="20" t="n">
        <v>410</v>
      </c>
      <c r="J74" s="20" t="n">
        <v>206</v>
      </c>
      <c r="K74" s="20" t="n">
        <v>2506</v>
      </c>
      <c r="L74" s="20" t="n">
        <v>1598</v>
      </c>
    </row>
    <row r="75">
      <c r="A75" s="18" t="inlineStr">
        <is>
          <t>기타금융자산</t>
        </is>
      </c>
      <c r="C75" s="20" t="n">
        <v>3618</v>
      </c>
      <c r="D75" s="20" t="n">
        <v>3949</v>
      </c>
      <c r="E75" s="20" t="n">
        <v>4793</v>
      </c>
      <c r="F75" s="20" t="n">
        <v>5385</v>
      </c>
      <c r="G75" s="20" t="n">
        <v>5907</v>
      </c>
      <c r="H75" s="20" t="n">
        <v>1257</v>
      </c>
      <c r="I75" s="20" t="n">
        <v>1697</v>
      </c>
      <c r="J75" s="20" t="n">
        <v>3074</v>
      </c>
      <c r="K75" s="20" t="n">
        <v>4555</v>
      </c>
      <c r="L75" s="20" t="n">
        <v>4793</v>
      </c>
    </row>
    <row r="76">
      <c r="A76" s="18" t="inlineStr">
        <is>
          <t>기타유동자산</t>
        </is>
      </c>
      <c r="C76" s="20" t="n">
        <v>3365</v>
      </c>
      <c r="D76" s="20" t="n">
        <v>4497</v>
      </c>
      <c r="E76" s="20" t="n">
        <v>3544</v>
      </c>
      <c r="F76" s="20" t="n">
        <v>3578</v>
      </c>
      <c r="G76" s="20" t="n">
        <v>4309</v>
      </c>
      <c r="H76" s="20" t="n">
        <v>1999</v>
      </c>
      <c r="I76" s="20" t="n">
        <v>2611</v>
      </c>
      <c r="J76" s="20" t="n">
        <v>2534</v>
      </c>
      <c r="K76" s="20" t="n">
        <v>3142</v>
      </c>
      <c r="L76" s="20" t="n">
        <v>3544</v>
      </c>
    </row>
    <row r="77">
      <c r="A77" s="9" t="inlineStr">
        <is>
          <t>유동자산 합계</t>
        </is>
      </c>
      <c r="C77" s="12" t="n">
        <v>183684</v>
      </c>
      <c r="D77" s="12" t="n">
        <v>223183</v>
      </c>
      <c r="E77" s="12" t="n">
        <v>216779</v>
      </c>
      <c r="F77" s="12" t="n">
        <v>196546</v>
      </c>
      <c r="G77" s="12" t="n">
        <v>193168</v>
      </c>
      <c r="H77" s="12" t="n">
        <v>123485</v>
      </c>
      <c r="I77" s="12" t="n">
        <v>129162</v>
      </c>
      <c r="J77" s="12" t="n">
        <v>165451</v>
      </c>
      <c r="K77" s="12" t="n">
        <v>209958</v>
      </c>
      <c r="L77" s="12" t="n">
        <v>216779</v>
      </c>
    </row>
    <row r="78">
      <c r="A78" s="18" t="inlineStr">
        <is>
          <t>유형자산</t>
        </is>
      </c>
      <c r="C78" s="20" t="n">
        <v>80826</v>
      </c>
      <c r="D78" s="20" t="n">
        <v>81422</v>
      </c>
      <c r="E78" s="20" t="n">
        <v>85295</v>
      </c>
      <c r="F78" s="20" t="n">
        <v>86349</v>
      </c>
      <c r="G78" s="20" t="n">
        <v>87552</v>
      </c>
      <c r="H78" s="20" t="n">
        <v>60193</v>
      </c>
      <c r="I78" s="20" t="n">
        <v>61779</v>
      </c>
      <c r="J78" s="20" t="n">
        <v>60756</v>
      </c>
      <c r="K78" s="20" t="n">
        <v>82589</v>
      </c>
      <c r="L78" s="20" t="n">
        <v>85295</v>
      </c>
    </row>
    <row r="79">
      <c r="A79" s="18" t="inlineStr">
        <is>
          <t>영업권</t>
        </is>
      </c>
      <c r="E79" s="20" t="n">
        <v>11375</v>
      </c>
      <c r="F79" s="20" t="n">
        <v>14323</v>
      </c>
      <c r="G79" s="20" t="n">
        <v>14558</v>
      </c>
      <c r="L79" s="20" t="n">
        <v>11375</v>
      </c>
    </row>
    <row r="80">
      <c r="A80" s="18" t="inlineStr">
        <is>
          <t>무형자산</t>
        </is>
      </c>
      <c r="C80" s="20" t="n">
        <v>34362</v>
      </c>
      <c r="D80" s="20" t="n">
        <v>35031</v>
      </c>
      <c r="E80" s="20" t="n">
        <v>25101</v>
      </c>
      <c r="F80" s="20" t="n">
        <v>26893</v>
      </c>
      <c r="G80" s="20" t="n">
        <v>27004</v>
      </c>
      <c r="H80" s="20" t="n">
        <v>3351</v>
      </c>
      <c r="I80" s="20" t="n">
        <v>3220</v>
      </c>
      <c r="J80" s="20" t="n">
        <v>3023</v>
      </c>
      <c r="K80" s="20" t="n">
        <v>37817</v>
      </c>
      <c r="L80" s="20" t="n">
        <v>25101</v>
      </c>
    </row>
    <row r="81">
      <c r="A81" s="18" t="inlineStr">
        <is>
          <t>기타금융자산</t>
        </is>
      </c>
      <c r="C81" s="20" t="n">
        <v>21253</v>
      </c>
      <c r="D81" s="20" t="n">
        <v>23433</v>
      </c>
      <c r="E81" s="20" t="n">
        <v>27002</v>
      </c>
      <c r="F81" s="20" t="n">
        <v>26030</v>
      </c>
      <c r="G81" s="20" t="n">
        <v>24734</v>
      </c>
      <c r="H81" s="20" t="n">
        <v>15212</v>
      </c>
      <c r="I81" s="20" t="n">
        <v>16203</v>
      </c>
      <c r="J81" s="20" t="n">
        <v>20323</v>
      </c>
      <c r="K81" s="20" t="n">
        <v>22320</v>
      </c>
      <c r="L81" s="20" t="n">
        <v>27002</v>
      </c>
    </row>
    <row r="82">
      <c r="A82" s="18" t="inlineStr">
        <is>
          <t>지분법 투자</t>
        </is>
      </c>
      <c r="C82" s="20" t="n">
        <v>5641</v>
      </c>
      <c r="D82" s="20" t="n">
        <v>5736</v>
      </c>
      <c r="E82" s="20" t="n">
        <v>5953</v>
      </c>
      <c r="F82" s="20" t="n">
        <v>5896</v>
      </c>
      <c r="G82" s="20" t="n">
        <v>5994</v>
      </c>
      <c r="H82" s="20" t="n">
        <v>7873</v>
      </c>
      <c r="I82" s="20" t="n">
        <v>9141</v>
      </c>
      <c r="J82" s="20" t="n">
        <v>11300</v>
      </c>
      <c r="K82" s="20" t="n">
        <v>5635</v>
      </c>
      <c r="L82" s="20" t="n">
        <v>5953</v>
      </c>
    </row>
    <row r="83">
      <c r="A83" s="18" t="inlineStr">
        <is>
          <t>기타비유동자산</t>
        </is>
      </c>
      <c r="C83" s="20" t="n">
        <v>3725</v>
      </c>
      <c r="D83" s="20" t="n">
        <v>3720</v>
      </c>
      <c r="E83" s="20" t="n">
        <v>4135</v>
      </c>
      <c r="F83" s="20" t="n">
        <v>3776</v>
      </c>
      <c r="G83" s="20" t="n">
        <v>3854</v>
      </c>
      <c r="H83" s="20" t="n">
        <v>3141</v>
      </c>
      <c r="I83" s="20" t="n">
        <v>3626</v>
      </c>
      <c r="J83" s="20" t="n">
        <v>3671</v>
      </c>
      <c r="K83" s="20" t="n">
        <v>4057</v>
      </c>
      <c r="L83" s="20" t="n">
        <v>4135</v>
      </c>
    </row>
    <row r="84">
      <c r="A84" s="18" t="inlineStr">
        <is>
          <t>이연법인세자산</t>
        </is>
      </c>
      <c r="C84" s="20" t="n">
        <v>18</v>
      </c>
      <c r="D84" s="20" t="n">
        <v>17</v>
      </c>
      <c r="E84" s="20" t="n">
        <v>177</v>
      </c>
      <c r="F84" s="20" t="n">
        <v>141</v>
      </c>
      <c r="G84" s="20" t="n">
        <v>84</v>
      </c>
      <c r="H84" s="20" t="n">
        <v>1950</v>
      </c>
      <c r="I84" s="20" t="n">
        <v>2237</v>
      </c>
      <c r="J84" s="20" t="n">
        <v>1121</v>
      </c>
      <c r="K84" s="20" t="n">
        <v>36</v>
      </c>
      <c r="L84" s="20" t="n">
        <v>177</v>
      </c>
    </row>
    <row r="85">
      <c r="A85" s="18" t="inlineStr">
        <is>
          <t>비유동자산 합계</t>
        </is>
      </c>
      <c r="C85" s="20" t="n">
        <v>145827</v>
      </c>
      <c r="D85" s="20" t="n">
        <v>149362</v>
      </c>
      <c r="E85" s="20" t="n">
        <v>159040</v>
      </c>
      <c r="F85" s="20" t="n">
        <v>163411</v>
      </c>
      <c r="G85" s="20" t="n">
        <v>163782</v>
      </c>
      <c r="H85" s="20" t="n">
        <v>91723</v>
      </c>
      <c r="I85" s="20" t="n">
        <v>96209</v>
      </c>
      <c r="J85" s="20" t="n">
        <v>100197</v>
      </c>
      <c r="K85" s="20" t="n">
        <v>152456</v>
      </c>
      <c r="L85" s="20" t="n">
        <v>159040</v>
      </c>
    </row>
    <row r="86">
      <c r="A86" s="18" t="inlineStr">
        <is>
          <t>자산 합계</t>
        </is>
      </c>
      <c r="C86" s="20" t="n">
        <v>329512</v>
      </c>
      <c r="D86" s="20" t="n">
        <v>372545</v>
      </c>
      <c r="E86" s="20" t="n">
        <v>375820</v>
      </c>
      <c r="F86" s="20" t="n">
        <v>359957</v>
      </c>
      <c r="G86" s="20" t="n">
        <v>356950</v>
      </c>
      <c r="H86" s="20" t="n">
        <v>215208</v>
      </c>
      <c r="I86" s="20" t="n">
        <v>225372</v>
      </c>
      <c r="J86" s="20" t="n">
        <v>265648</v>
      </c>
      <c r="K86" s="20" t="n">
        <v>362415</v>
      </c>
      <c r="L86" s="20" t="n">
        <v>375820</v>
      </c>
    </row>
    <row r="87">
      <c r="A87" s="18" t="inlineStr">
        <is>
          <t>영업채무 및 기타채무</t>
        </is>
      </c>
      <c r="C87" s="20" t="n">
        <v>37601</v>
      </c>
      <c r="D87" s="20" t="n">
        <v>48576</v>
      </c>
      <c r="E87" s="20" t="n">
        <v>42497</v>
      </c>
      <c r="F87" s="20" t="n">
        <v>38586</v>
      </c>
      <c r="G87" s="20" t="n">
        <v>39325</v>
      </c>
      <c r="H87" s="20" t="n">
        <v>35244</v>
      </c>
      <c r="I87" s="20" t="n">
        <v>35486</v>
      </c>
      <c r="J87" s="20" t="n">
        <v>36750</v>
      </c>
      <c r="K87" s="20" t="n">
        <v>44412</v>
      </c>
      <c r="L87" s="20" t="n">
        <v>42497</v>
      </c>
    </row>
    <row r="88">
      <c r="A88" s="18" t="inlineStr">
        <is>
          <t>차입금</t>
        </is>
      </c>
      <c r="C88" s="20" t="n">
        <v>53824</v>
      </c>
      <c r="D88" s="20" t="n">
        <v>68726</v>
      </c>
      <c r="E88" s="20" t="n">
        <v>58929</v>
      </c>
      <c r="F88" s="20" t="n">
        <v>50900</v>
      </c>
      <c r="G88" s="20" t="n">
        <v>46781</v>
      </c>
      <c r="H88" s="20" t="n">
        <v>26436</v>
      </c>
      <c r="I88" s="20" t="n">
        <v>34604</v>
      </c>
      <c r="J88" s="20" t="n">
        <v>49876</v>
      </c>
      <c r="K88" s="20" t="n">
        <v>51176</v>
      </c>
      <c r="L88" s="20" t="n">
        <v>58929</v>
      </c>
    </row>
    <row r="89">
      <c r="A89" s="18" t="inlineStr">
        <is>
          <t>Current Portion Of Bonds CL</t>
        </is>
      </c>
      <c r="I89" s="20" t="n">
        <v>0</v>
      </c>
      <c r="J89" s="20" t="n">
        <v>997</v>
      </c>
      <c r="K89" s="20" t="n">
        <v>0</v>
      </c>
    </row>
    <row r="90">
      <c r="A90" s="18" t="inlineStr">
        <is>
          <t>미지급법인세</t>
        </is>
      </c>
      <c r="C90" s="20" t="n">
        <v>3042</v>
      </c>
      <c r="D90" s="20" t="n">
        <v>3226</v>
      </c>
      <c r="E90" s="20" t="n">
        <v>3254</v>
      </c>
      <c r="F90" s="20" t="n">
        <v>1436</v>
      </c>
      <c r="G90" s="20" t="n">
        <v>2373</v>
      </c>
      <c r="H90" s="20" t="n">
        <v>2530</v>
      </c>
      <c r="I90" s="20" t="n">
        <v>1923</v>
      </c>
      <c r="J90" s="20" t="n">
        <v>2783</v>
      </c>
      <c r="K90" s="20" t="n">
        <v>3003</v>
      </c>
      <c r="L90" s="20" t="n">
        <v>3254</v>
      </c>
    </row>
    <row r="91">
      <c r="A91" s="18" t="inlineStr">
        <is>
          <t>기타금융부채</t>
        </is>
      </c>
      <c r="C91" s="20" t="n">
        <v>887</v>
      </c>
      <c r="D91" s="20" t="n">
        <v>831</v>
      </c>
      <c r="E91" s="20" t="n">
        <v>938</v>
      </c>
      <c r="F91" s="20" t="n">
        <v>946</v>
      </c>
      <c r="G91" s="20" t="n">
        <v>893</v>
      </c>
      <c r="H91" s="20" t="n">
        <v>948</v>
      </c>
      <c r="I91" s="20" t="n">
        <v>849</v>
      </c>
      <c r="J91" s="20" t="n">
        <v>903</v>
      </c>
      <c r="K91" s="20" t="n">
        <v>1015</v>
      </c>
      <c r="L91" s="20" t="n">
        <v>938</v>
      </c>
    </row>
    <row r="92">
      <c r="A92" s="18" t="inlineStr">
        <is>
          <t>기타유동부채</t>
        </is>
      </c>
      <c r="C92" s="20" t="n">
        <v>8496</v>
      </c>
      <c r="D92" s="20" t="n">
        <v>11310</v>
      </c>
      <c r="E92" s="20" t="n">
        <v>10602</v>
      </c>
      <c r="F92" s="20" t="n">
        <v>8697</v>
      </c>
      <c r="G92" s="20" t="n">
        <v>8799</v>
      </c>
      <c r="H92" s="20" t="n">
        <v>7751</v>
      </c>
      <c r="I92" s="20" t="n">
        <v>7449</v>
      </c>
      <c r="J92" s="20" t="n">
        <v>9118</v>
      </c>
      <c r="K92" s="20" t="n">
        <v>9605</v>
      </c>
      <c r="L92" s="20" t="n">
        <v>10602</v>
      </c>
    </row>
    <row r="93">
      <c r="A93" s="18" t="inlineStr">
        <is>
          <t>유동부채 합계</t>
        </is>
      </c>
      <c r="C93" s="20" t="n">
        <v>103851</v>
      </c>
      <c r="D93" s="20" t="n">
        <v>132671</v>
      </c>
      <c r="E93" s="20" t="n">
        <v>116222</v>
      </c>
      <c r="F93" s="20" t="n">
        <v>100568</v>
      </c>
      <c r="G93" s="20" t="n">
        <v>98173</v>
      </c>
      <c r="H93" s="20" t="n">
        <v>72911</v>
      </c>
      <c r="I93" s="20" t="n">
        <v>80313</v>
      </c>
      <c r="J93" s="20" t="n">
        <v>100430</v>
      </c>
      <c r="K93" s="20" t="n">
        <v>109213</v>
      </c>
      <c r="L93" s="20" t="n">
        <v>116222</v>
      </c>
    </row>
    <row r="94">
      <c r="A94" s="18" t="inlineStr">
        <is>
          <t>장기차입금</t>
        </is>
      </c>
      <c r="C94" s="20" t="n">
        <v>11824</v>
      </c>
      <c r="D94" s="20" t="n">
        <v>18156</v>
      </c>
      <c r="E94" s="20" t="n">
        <v>23570</v>
      </c>
      <c r="F94" s="20" t="n">
        <v>25209</v>
      </c>
      <c r="G94" s="20" t="n">
        <v>20629</v>
      </c>
      <c r="H94" s="20" t="n">
        <v>7824</v>
      </c>
      <c r="I94" s="20" t="n">
        <v>8346</v>
      </c>
      <c r="J94" s="20" t="n">
        <v>13911</v>
      </c>
      <c r="K94" s="20" t="n">
        <v>21543</v>
      </c>
      <c r="L94" s="20" t="n">
        <v>23570</v>
      </c>
    </row>
    <row r="95">
      <c r="A95" s="18" t="inlineStr">
        <is>
          <t>기타금융부채</t>
        </is>
      </c>
      <c r="C95" s="20" t="n">
        <v>3220</v>
      </c>
      <c r="D95" s="20" t="n">
        <v>3151</v>
      </c>
      <c r="E95" s="20" t="n">
        <v>3353</v>
      </c>
      <c r="F95" s="20" t="n">
        <v>3272</v>
      </c>
      <c r="G95" s="20" t="n">
        <v>3125</v>
      </c>
      <c r="H95" s="20" t="n">
        <v>3225</v>
      </c>
      <c r="I95" s="20" t="n">
        <v>3520</v>
      </c>
      <c r="J95" s="20" t="n">
        <v>2739</v>
      </c>
      <c r="K95" s="20" t="n">
        <v>2837</v>
      </c>
      <c r="L95" s="20" t="n">
        <v>3353</v>
      </c>
    </row>
    <row r="96">
      <c r="A96" s="18" t="inlineStr">
        <is>
          <t>퇴직급여부채</t>
        </is>
      </c>
      <c r="C96" s="20" t="n">
        <v>5093</v>
      </c>
      <c r="D96" s="20" t="n">
        <v>5173</v>
      </c>
      <c r="E96" s="20" t="n">
        <v>4763</v>
      </c>
      <c r="F96" s="20" t="n">
        <v>4515</v>
      </c>
      <c r="G96" s="20" t="n">
        <v>4502</v>
      </c>
      <c r="H96" s="20" t="n">
        <v>5963</v>
      </c>
      <c r="I96" s="20" t="n">
        <v>5590</v>
      </c>
      <c r="J96" s="20" t="n">
        <v>5662</v>
      </c>
      <c r="K96" s="20" t="n">
        <v>5432</v>
      </c>
      <c r="L96" s="20" t="n">
        <v>4763</v>
      </c>
    </row>
    <row r="97">
      <c r="A97" s="18" t="inlineStr">
        <is>
          <t>충당금</t>
        </is>
      </c>
      <c r="C97" s="20" t="n">
        <v>1499</v>
      </c>
      <c r="D97" s="20" t="n">
        <v>1504</v>
      </c>
      <c r="E97" s="20" t="n">
        <v>1525</v>
      </c>
      <c r="F97" s="20" t="n">
        <v>1533</v>
      </c>
      <c r="G97" s="20" t="n">
        <v>1536</v>
      </c>
      <c r="H97" s="20" t="n">
        <v>1162</v>
      </c>
      <c r="I97" s="20" t="n">
        <v>1155</v>
      </c>
      <c r="J97" s="20" t="n">
        <v>1496</v>
      </c>
      <c r="K97" s="20" t="n">
        <v>1495</v>
      </c>
      <c r="L97" s="20" t="n">
        <v>1525</v>
      </c>
    </row>
    <row r="98">
      <c r="A98" s="18" t="inlineStr">
        <is>
          <t>기타비유동부채</t>
        </is>
      </c>
      <c r="C98" s="20" t="n">
        <v>1335</v>
      </c>
      <c r="D98" s="20" t="n">
        <v>1415</v>
      </c>
      <c r="E98" s="20" t="n">
        <v>1465</v>
      </c>
      <c r="F98" s="20" t="n">
        <v>1470</v>
      </c>
      <c r="G98" s="20" t="n">
        <v>1524</v>
      </c>
      <c r="H98" s="20" t="n">
        <v>1122</v>
      </c>
      <c r="I98" s="20" t="n">
        <v>1084</v>
      </c>
      <c r="J98" s="20" t="n">
        <v>1261</v>
      </c>
      <c r="K98" s="20" t="n">
        <v>1557</v>
      </c>
      <c r="L98" s="20" t="n">
        <v>1465</v>
      </c>
    </row>
    <row r="99">
      <c r="A99" s="18" t="inlineStr">
        <is>
          <t>이연법인세부채</t>
        </is>
      </c>
      <c r="C99" s="20" t="n">
        <v>7777</v>
      </c>
      <c r="D99" s="20" t="n">
        <v>8165</v>
      </c>
      <c r="E99" s="20" t="n">
        <v>10029</v>
      </c>
      <c r="F99" s="20" t="n">
        <v>10067</v>
      </c>
      <c r="G99" s="20" t="n">
        <v>9845</v>
      </c>
      <c r="H99" s="20" t="n">
        <v>3456</v>
      </c>
      <c r="I99" s="20" t="n">
        <v>3567</v>
      </c>
      <c r="J99" s="20" t="n">
        <v>3711</v>
      </c>
      <c r="K99" s="20" t="n">
        <v>8694</v>
      </c>
      <c r="L99" s="20" t="n">
        <v>10029</v>
      </c>
    </row>
    <row r="100">
      <c r="A100" s="18" t="inlineStr">
        <is>
          <t>비유동부채 합계</t>
        </is>
      </c>
      <c r="C100" s="20" t="n">
        <v>30750</v>
      </c>
      <c r="D100" s="20" t="n">
        <v>37567</v>
      </c>
      <c r="E100" s="20" t="n">
        <v>44707</v>
      </c>
      <c r="F100" s="20" t="n">
        <v>46069</v>
      </c>
      <c r="G100" s="20" t="n">
        <v>41163</v>
      </c>
      <c r="H100" s="20" t="n">
        <v>22754</v>
      </c>
      <c r="I100" s="20" t="n">
        <v>23266</v>
      </c>
      <c r="J100" s="20" t="n">
        <v>28783</v>
      </c>
      <c r="K100" s="20" t="n">
        <v>41560</v>
      </c>
      <c r="L100" s="20" t="n">
        <v>44707</v>
      </c>
    </row>
    <row r="101">
      <c r="A101" s="18" t="inlineStr">
        <is>
          <t>부채 합계</t>
        </is>
      </c>
      <c r="C101" s="20" t="n">
        <v>134601</v>
      </c>
      <c r="D101" s="20" t="n">
        <v>170238</v>
      </c>
      <c r="E101" s="20" t="n">
        <v>160930</v>
      </c>
      <c r="F101" s="20" t="n">
        <v>146637</v>
      </c>
      <c r="G101" s="20" t="n">
        <v>139337</v>
      </c>
      <c r="H101" s="20" t="n">
        <v>95666</v>
      </c>
      <c r="I101" s="20" t="n">
        <v>103580</v>
      </c>
      <c r="J101" s="20" t="n">
        <v>129213</v>
      </c>
      <c r="K101" s="20" t="n">
        <v>150774</v>
      </c>
      <c r="L101" s="20" t="n">
        <v>160930</v>
      </c>
    </row>
    <row r="102">
      <c r="A102" s="18" t="inlineStr">
        <is>
          <t>자본금</t>
        </is>
      </c>
      <c r="C102" s="20" t="n">
        <v>19985</v>
      </c>
      <c r="D102" s="20" t="n">
        <v>19985</v>
      </c>
      <c r="E102" s="20" t="n">
        <v>19985</v>
      </c>
      <c r="F102" s="20" t="n">
        <v>19985</v>
      </c>
      <c r="G102" s="20" t="n">
        <v>19985</v>
      </c>
      <c r="H102" s="20" t="n">
        <v>19985</v>
      </c>
      <c r="I102" s="20" t="n">
        <v>19985</v>
      </c>
      <c r="J102" s="20" t="n">
        <v>19985</v>
      </c>
      <c r="K102" s="20" t="n">
        <v>19985</v>
      </c>
      <c r="L102" s="20" t="n">
        <v>19985</v>
      </c>
    </row>
    <row r="103">
      <c r="A103" s="18" t="inlineStr">
        <is>
          <t>자본잉여금</t>
        </is>
      </c>
      <c r="C103" s="20" t="n">
        <v>23233</v>
      </c>
      <c r="D103" s="20" t="n">
        <v>23216</v>
      </c>
      <c r="E103" s="20" t="n">
        <v>21764</v>
      </c>
      <c r="F103" s="20" t="n">
        <v>22202</v>
      </c>
      <c r="G103" s="20" t="n">
        <v>22122</v>
      </c>
      <c r="H103" s="20" t="n">
        <v>22799</v>
      </c>
      <c r="I103" s="20" t="n">
        <v>22836</v>
      </c>
      <c r="J103" s="20" t="n">
        <v>22756</v>
      </c>
      <c r="K103" s="20" t="n">
        <v>23287</v>
      </c>
      <c r="L103" s="20" t="n">
        <v>21764</v>
      </c>
    </row>
    <row r="104">
      <c r="A104" s="18" t="inlineStr">
        <is>
          <t>자기주식</t>
        </is>
      </c>
      <c r="C104" s="20" t="n">
        <v>-7533</v>
      </c>
      <c r="D104" s="20" t="n">
        <v>-8778</v>
      </c>
      <c r="E104" s="20" t="n">
        <v>-787</v>
      </c>
      <c r="F104" s="20" t="n">
        <v>-2103</v>
      </c>
      <c r="G104" s="20" t="n">
        <v>-2007</v>
      </c>
      <c r="H104" s="20" t="n">
        <v>-14810</v>
      </c>
      <c r="I104" s="20" t="n">
        <v>-22543</v>
      </c>
      <c r="J104" s="20" t="n">
        <v>-22398</v>
      </c>
      <c r="K104" s="20" t="n">
        <v>-653</v>
      </c>
      <c r="L104" s="20" t="n">
        <v>-787</v>
      </c>
    </row>
    <row r="105">
      <c r="A105" s="18" t="inlineStr">
        <is>
          <t>기타자본구성요소</t>
        </is>
      </c>
      <c r="C105" s="20" t="n">
        <v>15047</v>
      </c>
      <c r="D105" s="20" t="n">
        <v>19087</v>
      </c>
      <c r="E105" s="20" t="n">
        <v>26588</v>
      </c>
      <c r="F105" s="20" t="n">
        <v>28310</v>
      </c>
      <c r="G105" s="20" t="n">
        <v>29176</v>
      </c>
      <c r="H105" s="20" t="n">
        <v>5355</v>
      </c>
      <c r="I105" s="20" t="n">
        <v>8084</v>
      </c>
      <c r="J105" s="20" t="n">
        <v>13904</v>
      </c>
      <c r="K105" s="20" t="n">
        <v>23395</v>
      </c>
      <c r="L105" s="20" t="n">
        <v>26588</v>
      </c>
    </row>
    <row r="106">
      <c r="A106" s="18" t="inlineStr">
        <is>
          <t>이익잉여금</t>
        </is>
      </c>
      <c r="C106" s="20" t="n">
        <v>120637</v>
      </c>
      <c r="D106" s="20" t="n">
        <v>125183</v>
      </c>
      <c r="E106" s="20" t="n">
        <v>123007</v>
      </c>
      <c r="F106" s="20" t="n">
        <v>120905</v>
      </c>
      <c r="G106" s="20" t="n">
        <v>123674</v>
      </c>
      <c r="H106" s="20" t="n">
        <v>84235</v>
      </c>
      <c r="I106" s="20" t="n">
        <v>90708</v>
      </c>
      <c r="J106" s="20" t="n">
        <v>98017</v>
      </c>
      <c r="K106" s="20" t="n">
        <v>119725</v>
      </c>
      <c r="L106" s="20" t="n">
        <v>123007</v>
      </c>
    </row>
    <row r="107">
      <c r="A107" s="18" t="inlineStr">
        <is>
          <t>Equity Attributable To Owners Of Parent</t>
        </is>
      </c>
      <c r="C107" s="20" t="n">
        <v>171369</v>
      </c>
      <c r="D107" s="20" t="n">
        <v>178694</v>
      </c>
      <c r="E107" s="20" t="n">
        <v>190559</v>
      </c>
      <c r="F107" s="20" t="n">
        <v>189300</v>
      </c>
      <c r="G107" s="20" t="n">
        <v>192951</v>
      </c>
      <c r="H107" s="20" t="n">
        <v>117565</v>
      </c>
      <c r="I107" s="20" t="n">
        <v>119071</v>
      </c>
      <c r="J107" s="20" t="n">
        <v>132265</v>
      </c>
      <c r="K107" s="20" t="n">
        <v>185740</v>
      </c>
      <c r="L107" s="20" t="n">
        <v>190559</v>
      </c>
    </row>
    <row r="108">
      <c r="A108" s="18" t="inlineStr">
        <is>
          <t>비지배지분</t>
        </is>
      </c>
      <c r="C108" s="20" t="n">
        <v>23540</v>
      </c>
      <c r="D108" s="20" t="n">
        <v>23612</v>
      </c>
      <c r="E108" s="20" t="n">
        <v>24331</v>
      </c>
      <c r="F108" s="20" t="n">
        <v>24019</v>
      </c>
      <c r="G108" s="20" t="n">
        <v>24661</v>
      </c>
      <c r="H108" s="20" t="n">
        <v>1977</v>
      </c>
      <c r="I108" s="20" t="n">
        <v>2720</v>
      </c>
      <c r="J108" s="20" t="n">
        <v>4170</v>
      </c>
      <c r="K108" s="20" t="n">
        <v>25900</v>
      </c>
      <c r="L108" s="20" t="n">
        <v>24331</v>
      </c>
    </row>
    <row r="109">
      <c r="A109" s="18" t="inlineStr">
        <is>
          <t>자본 합계</t>
        </is>
      </c>
      <c r="C109" s="20" t="n">
        <v>194910</v>
      </c>
      <c r="D109" s="20" t="n">
        <v>202307</v>
      </c>
      <c r="E109" s="20" t="n">
        <v>214890</v>
      </c>
      <c r="F109" s="20" t="n">
        <v>213320</v>
      </c>
      <c r="G109" s="20" t="n">
        <v>217613</v>
      </c>
      <c r="H109" s="20" t="n">
        <v>119542</v>
      </c>
      <c r="I109" s="20" t="n">
        <v>121792</v>
      </c>
      <c r="J109" s="20" t="n">
        <v>136435</v>
      </c>
      <c r="K109" s="20" t="n">
        <v>211640</v>
      </c>
      <c r="L109" s="20" t="n">
        <v>214890</v>
      </c>
    </row>
    <row r="110">
      <c r="A110" s="18" t="inlineStr">
        <is>
          <t>부채및자본 합계</t>
        </is>
      </c>
      <c r="C110" s="20" t="n">
        <v>329512</v>
      </c>
      <c r="D110" s="20" t="n">
        <v>372545</v>
      </c>
      <c r="E110" s="20" t="n">
        <v>375820</v>
      </c>
      <c r="F110" s="20" t="n">
        <v>359957</v>
      </c>
      <c r="G110" s="20" t="n">
        <v>356950</v>
      </c>
      <c r="H110" s="20" t="n">
        <v>215208</v>
      </c>
      <c r="I110" s="20" t="n">
        <v>225372</v>
      </c>
      <c r="J110" s="20" t="n">
        <v>265648</v>
      </c>
      <c r="K110" s="20" t="n">
        <v>362415</v>
      </c>
      <c r="L110" s="20" t="n">
        <v>375820</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2026-07-30</t>
        </is>
      </c>
      <c r="B4" t="inlineStr">
        <is>
          <t>2026년 12월 결산기 2분기 결산단신</t>
        </is>
      </c>
      <c r="C4" t="inlineStr">
        <is>
          <t>https://www2.jpx.co.jp/disc/28110/140120260729501971.pdf</t>
        </is>
      </c>
    </row>
    <row r="5">
      <c r="A5" t="inlineStr">
        <is>
          <t>2026-05-11</t>
        </is>
      </c>
      <c r="B5" t="inlineStr">
        <is>
          <t>2026년 12월 결산기 １분기 결산단신</t>
        </is>
      </c>
      <c r="C5" t="inlineStr">
        <is>
          <t>https://www2.jpx.co.jp/disc/28110/140120260508520809.pdf</t>
        </is>
      </c>
    </row>
    <row r="6">
      <c r="A6" t="inlineStr">
        <is>
          <t>2026-04-30</t>
        </is>
      </c>
      <c r="B6" t="inlineStr">
        <is>
          <t>2026년 12월 결산기 １분기 결산단신</t>
        </is>
      </c>
      <c r="C6" t="inlineStr">
        <is>
          <t>https://www2.jpx.co.jp/disc/28110/140120260428513403.pdf</t>
        </is>
      </c>
    </row>
    <row r="7">
      <c r="A7" t="inlineStr">
        <is>
          <t>2026-02-02</t>
        </is>
      </c>
      <c r="B7" t="inlineStr">
        <is>
          <t>2025년 12월 결산기 연간 결산단신</t>
        </is>
      </c>
      <c r="C7" t="inlineStr">
        <is>
          <t>https://www2.jpx.co.jp/disc/28110/140120260202544466.pdf</t>
        </is>
      </c>
    </row>
    <row r="8">
      <c r="A8" t="inlineStr">
        <is>
          <t>2025-11-07</t>
        </is>
      </c>
      <c r="B8" t="inlineStr">
        <is>
          <t>2025년 12월 결산기 3분기 결산단신</t>
        </is>
      </c>
      <c r="C8" t="inlineStr">
        <is>
          <t>https://www2.jpx.co.jp/disc/28110/140120251106590610.pdf</t>
        </is>
      </c>
    </row>
    <row r="9">
      <c r="A9" t="inlineStr">
        <is>
          <t>2025-07-31</t>
        </is>
      </c>
      <c r="B9" t="inlineStr">
        <is>
          <t>2025년 12월 결산기 2분기 결산단신</t>
        </is>
      </c>
      <c r="C9" t="inlineStr">
        <is>
          <t>https://www2.jpx.co.jp/disc/28110/140120250731524934.pdf</t>
        </is>
      </c>
    </row>
    <row r="10">
      <c r="A10" t="inlineStr">
        <is>
          <t>2025-05-09</t>
        </is>
      </c>
      <c r="B10" t="inlineStr">
        <is>
          <t>2025년 12월 결산기 １분기 결산단신</t>
        </is>
      </c>
      <c r="C10" t="inlineStr">
        <is>
          <t>https://www2.jpx.co.jp/disc/28110/140120250509537879.pdf</t>
        </is>
      </c>
    </row>
    <row r="11">
      <c r="A11" t="inlineStr">
        <is>
          <t>2025-04-30</t>
        </is>
      </c>
      <c r="B11" t="inlineStr">
        <is>
          <t>2025년 12월 결산기 １분기 결산단신</t>
        </is>
      </c>
      <c r="C11" t="inlineStr">
        <is>
          <t>https://www2.jpx.co.jp/disc/28110/140120250428526523.pdf</t>
        </is>
      </c>
    </row>
    <row r="12">
      <c r="A12" t="inlineStr">
        <is>
          <t>2025-02-03</t>
        </is>
      </c>
      <c r="B12" t="inlineStr">
        <is>
          <t>2024년 12월 결산기 연간 결산단신</t>
        </is>
      </c>
      <c r="C12" t="inlineStr">
        <is>
          <t>https://www2.jpx.co.jp/disc/28110/140120250203560778.pdf</t>
        </is>
      </c>
    </row>
    <row r="13">
      <c r="A13" t="inlineStr">
        <is>
          <t>2024-11-08</t>
        </is>
      </c>
      <c r="B13" t="inlineStr">
        <is>
          <t>2024년 12월 결산기 ３분기 결산단신</t>
        </is>
      </c>
      <c r="C13" t="inlineStr">
        <is>
          <t>https://www2.jpx.co.jp/disc/28110/140120241107514857.pdf</t>
        </is>
      </c>
    </row>
    <row r="14">
      <c r="A14" t="inlineStr">
        <is>
          <t>2024-10-30</t>
        </is>
      </c>
      <c r="B14" t="inlineStr">
        <is>
          <t>2024년 12월 결산기 ３분기 결산단신</t>
        </is>
      </c>
      <c r="C14" t="inlineStr">
        <is>
          <t>https://www2.jpx.co.jp/disc/28110/140120241029505107.pdf</t>
        </is>
      </c>
    </row>
    <row r="15">
      <c r="A15" t="inlineStr">
        <is>
          <t>2024-07-31</t>
        </is>
      </c>
      <c r="B15" t="inlineStr">
        <is>
          <t>2024년 12월 결산기 ２분기 결산단신</t>
        </is>
      </c>
      <c r="C15" t="inlineStr">
        <is>
          <t>https://www2.jpx.co.jp/disc/28110/140120240730558315.pdf</t>
        </is>
      </c>
    </row>
    <row r="16">
      <c r="A16" t="inlineStr">
        <is>
          <t>2024-04-26</t>
        </is>
      </c>
      <c r="B16" t="inlineStr">
        <is>
          <t>2024년 12월 결산기 １분기 결산단신</t>
        </is>
      </c>
      <c r="C16" t="inlineStr">
        <is>
          <t>https://www2.jpx.co.jp/disc/28110/140120240426578297.pdf</t>
        </is>
      </c>
    </row>
    <row r="17">
      <c r="A17" t="inlineStr">
        <is>
          <t>2024-02-01</t>
        </is>
      </c>
      <c r="B17" t="inlineStr">
        <is>
          <t>2023년 12월 결산기 연간 결산단신</t>
        </is>
      </c>
      <c r="C17" t="inlineStr">
        <is>
          <t>https://www2.jpx.co.jp/disc/28110/140120240201524038.pdf</t>
        </is>
      </c>
    </row>
    <row r="18">
      <c r="A18" t="inlineStr">
        <is>
          <t>2023-10-27</t>
        </is>
      </c>
      <c r="B18" t="inlineStr">
        <is>
          <t>2023년 12월 결산기 3분기 결산단신</t>
        </is>
      </c>
      <c r="C18" t="inlineStr">
        <is>
          <t>https://www2.jpx.co.jp/disc/28110/140120231027573021.pdf</t>
        </is>
      </c>
    </row>
    <row r="19">
      <c r="A19" t="inlineStr">
        <is>
          <t>2023-08-01</t>
        </is>
      </c>
      <c r="B19" t="inlineStr">
        <is>
          <t>2023년 12월 결산기 ２분기 결산단신</t>
        </is>
      </c>
      <c r="C19" t="inlineStr">
        <is>
          <t>https://www2.jpx.co.jp/disc/28110/140120230801531072.pdf</t>
        </is>
      </c>
    </row>
    <row r="20">
      <c r="A20" t="inlineStr">
        <is>
          <t>2023-02-02</t>
        </is>
      </c>
      <c r="B20" t="inlineStr">
        <is>
          <t>2022년 12월 결산기 연간 결산단신</t>
        </is>
      </c>
      <c r="C20" t="inlineStr">
        <is>
          <t>https://www2.jpx.co.jp/disc/28110/140120230202598943.pdf</t>
        </is>
      </c>
    </row>
    <row r="21">
      <c r="A21" t="inlineStr">
        <is>
          <t>2022-02-02</t>
        </is>
      </c>
      <c r="B21" t="inlineStr">
        <is>
          <t>2021년 12월 결산기 연간 결산단신</t>
        </is>
      </c>
      <c r="C21" t="inlineStr">
        <is>
          <t>https://www2.jpx.co.jp/disc/28110/140120220202578263.pdf</t>
        </is>
      </c>
    </row>
    <row r="22">
      <c r="A22" t="inlineStr">
        <is>
          <t>2021-02-03</t>
        </is>
      </c>
      <c r="B22" t="inlineStr">
        <is>
          <t>2020년 12월 결산기 연간 결산단신</t>
        </is>
      </c>
      <c r="C22" t="inlineStr">
        <is>
          <t>https://www2.jpx.co.jp/disc/28110/140120210203454286.pdf</t>
        </is>
      </c>
    </row>
    <row r="23">
      <c r="A23" t="inlineStr">
        <is>
          <t>2020-02-04</t>
        </is>
      </c>
      <c r="B23" t="inlineStr">
        <is>
          <t>2019년 12월 결산기 연간 결산단신</t>
        </is>
      </c>
      <c r="C23" t="inlineStr">
        <is>
          <t>https://www2.jpx.co.jp/disc/28110/140120200131454624.pdf</t>
        </is>
      </c>
    </row>
    <row r="24">
      <c r="A24" t="inlineStr">
        <is>
          <t>2019-01-31</t>
        </is>
      </c>
      <c r="B24" t="inlineStr">
        <is>
          <t>연간 결산단신</t>
        </is>
      </c>
      <c r="C24" t="inlineStr">
        <is>
          <t>https://www2.jpx.co.jp/disc/28110/140120190130466569.pdf</t>
        </is>
      </c>
    </row>
    <row r="25">
      <c r="A25" t="inlineStr">
        <is>
          <t>2018-02-01</t>
        </is>
      </c>
      <c r="B25" t="inlineStr">
        <is>
          <t>연간 결산단신</t>
        </is>
      </c>
      <c r="C25" t="inlineStr">
        <is>
          <t>https://www2.jpx.co.jp/disc/28110/140120180131460766.pdf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2026-10-28T07:01:53Z</dcterms:created>
  <dcterms:modified xmlns:dcterms="http://purl.org/dc/terms/" xmlns:xsi="http://www.w3.org/2001/XMLSchema-instance" xsi:type="dcterms:W3CDTF">2026-10-28T07:01:53Z</dcterms:modified>
</cp:coreProperties>
</file>