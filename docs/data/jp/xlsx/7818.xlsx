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트랜잭션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6624.888</v>
      </c>
      <c r="D4" s="12" t="n">
        <v>6134.146</v>
      </c>
      <c r="E4" s="12" t="n">
        <v>6143.619</v>
      </c>
      <c r="F4" s="12" t="n">
        <v>6144.493</v>
      </c>
      <c r="G4" s="12" t="n">
        <v>7106.203</v>
      </c>
      <c r="H4" s="12" t="n">
        <v>6403.019</v>
      </c>
      <c r="I4" s="12" t="n">
        <v>7263.883</v>
      </c>
      <c r="J4" s="12" t="n">
        <v>6680.347</v>
      </c>
      <c r="K4" s="12" t="n">
        <v>7966.742</v>
      </c>
      <c r="L4" s="12" t="n">
        <v>6879.204</v>
      </c>
      <c r="M4" s="12" t="n">
        <v>8298.700000000001</v>
      </c>
      <c r="N4" s="12" t="n">
        <v>8374.195</v>
      </c>
      <c r="O4" s="11" t="n">
        <v>13485.326</v>
      </c>
      <c r="P4" s="12" t="n">
        <v>15442.408</v>
      </c>
      <c r="Q4" s="12" t="n">
        <v>16451.047</v>
      </c>
      <c r="R4" s="12" t="n">
        <v>18472.523</v>
      </c>
      <c r="S4" s="12" t="n">
        <v>17139.147</v>
      </c>
      <c r="T4" s="12" t="n">
        <v>18273.354</v>
      </c>
      <c r="U4" s="12" t="n">
        <v>22958.375</v>
      </c>
      <c r="V4" s="12" t="n">
        <v>25047.146</v>
      </c>
      <c r="W4" s="12" t="n">
        <v>27453.452</v>
      </c>
      <c r="X4" s="12" t="n">
        <v>31518.841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4022.344</v>
      </c>
      <c r="D11" s="22" t="n">
        <v>3805.977</v>
      </c>
      <c r="E11" s="22" t="n">
        <v>3714.658</v>
      </c>
      <c r="F11" s="22" t="n">
        <v>3694.529</v>
      </c>
      <c r="G11" s="22" t="n">
        <v>4302.417</v>
      </c>
      <c r="H11" s="22" t="n">
        <v>3977.959</v>
      </c>
      <c r="I11" s="22" t="n">
        <v>4447.591</v>
      </c>
      <c r="J11" s="22" t="n">
        <v>3932.837</v>
      </c>
      <c r="K11" s="22" t="n">
        <v>4784.638</v>
      </c>
      <c r="L11" s="22" t="n">
        <v>4166.713</v>
      </c>
      <c r="M11" s="22" t="n">
        <v>5072.93</v>
      </c>
      <c r="N11" s="22" t="n">
        <v>5224.89</v>
      </c>
      <c r="O11" s="21" t="n">
        <v>8713.712</v>
      </c>
      <c r="P11" s="22" t="n">
        <v>9770.825000000001</v>
      </c>
      <c r="Q11" s="22" t="n">
        <v>10345.879</v>
      </c>
      <c r="R11" s="22" t="n">
        <v>11345.226</v>
      </c>
      <c r="S11" s="22" t="n">
        <v>10489.097</v>
      </c>
      <c r="T11" s="22" t="n">
        <v>11115.818</v>
      </c>
      <c r="U11" s="22" t="n">
        <v>13914.395</v>
      </c>
      <c r="V11" s="22" t="n">
        <v>15237.508</v>
      </c>
      <c r="W11" s="22" t="n">
        <v>16660.804</v>
      </c>
      <c r="X11" s="22" t="n">
        <v>19249.171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1114.607</v>
      </c>
      <c r="D17" s="22" t="n">
        <v>1128.908</v>
      </c>
      <c r="E17" s="22" t="n">
        <v>1132.038</v>
      </c>
      <c r="F17" s="22" t="n">
        <v>1200.907</v>
      </c>
      <c r="G17" s="22" t="n">
        <v>1259.139</v>
      </c>
      <c r="H17" s="22" t="n">
        <v>1245.017</v>
      </c>
      <c r="I17" s="22" t="n">
        <v>1259.631</v>
      </c>
      <c r="J17" s="22" t="n">
        <v>1322.478</v>
      </c>
      <c r="K17" s="22" t="n">
        <v>1355.307</v>
      </c>
      <c r="L17" s="22" t="n">
        <v>1372.32</v>
      </c>
      <c r="M17" s="22" t="n">
        <v>1491.682</v>
      </c>
      <c r="N17" s="22" t="n">
        <v>1651.069</v>
      </c>
      <c r="O17" s="21" t="n">
        <v>3332.29</v>
      </c>
      <c r="P17" s="22" t="n">
        <v>3971.322</v>
      </c>
      <c r="Q17" s="22" t="n">
        <v>4058.819</v>
      </c>
      <c r="R17" s="22" t="n">
        <v>4325.113</v>
      </c>
      <c r="S17" s="22" t="n">
        <v>3829.265</v>
      </c>
      <c r="T17" s="22" t="n">
        <v>3925.636</v>
      </c>
      <c r="U17" s="22" t="n">
        <v>4385.394</v>
      </c>
      <c r="V17" s="22" t="n">
        <v>4576.46</v>
      </c>
      <c r="W17" s="22" t="n">
        <v>5086.265</v>
      </c>
      <c r="X17" s="22" t="n">
        <v>5870.378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1487.935</v>
      </c>
      <c r="D19" s="12" t="n">
        <v>1199.262</v>
      </c>
      <c r="E19" s="12" t="n">
        <v>1296.923</v>
      </c>
      <c r="F19" s="12" t="n">
        <v>1249.057</v>
      </c>
      <c r="G19" s="12" t="n">
        <v>1544.647</v>
      </c>
      <c r="H19" s="12" t="n">
        <v>1180.042</v>
      </c>
      <c r="I19" s="12" t="n">
        <v>1556.66</v>
      </c>
      <c r="J19" s="12" t="n">
        <v>1425.034</v>
      </c>
      <c r="K19" s="12" t="n">
        <v>1826.797</v>
      </c>
      <c r="L19" s="12" t="n">
        <v>1340.17</v>
      </c>
      <c r="M19" s="12" t="n">
        <v>1734.089</v>
      </c>
      <c r="N19" s="12" t="n">
        <v>1498.235</v>
      </c>
      <c r="O19" s="11" t="n">
        <v>1439.323</v>
      </c>
      <c r="P19" s="12" t="n">
        <v>1700.26</v>
      </c>
      <c r="Q19" s="12" t="n">
        <v>2046.348</v>
      </c>
      <c r="R19" s="12" t="n">
        <v>2802.183</v>
      </c>
      <c r="S19" s="12" t="n">
        <v>2820.784</v>
      </c>
      <c r="T19" s="12" t="n">
        <v>3231.899</v>
      </c>
      <c r="U19" s="12" t="n">
        <v>4658.584</v>
      </c>
      <c r="V19" s="12" t="n">
        <v>5233.177</v>
      </c>
      <c r="W19" s="12" t="n">
        <v>5706.383</v>
      </c>
      <c r="X19" s="12" t="n">
        <v>6399.291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>
        <v>0</v>
      </c>
      <c r="D35" s="22" t="n">
        <v>0</v>
      </c>
      <c r="E35" s="22" t="n">
        <v>0</v>
      </c>
      <c r="F35" s="22" t="n">
        <v>3.201</v>
      </c>
      <c r="G35" s="22" t="n">
        <v>26.997</v>
      </c>
      <c r="H35" s="22" t="n">
        <v>45.391</v>
      </c>
      <c r="I35" s="22" t="n">
        <v>0</v>
      </c>
      <c r="J35" s="22" t="n">
        <v>26.885</v>
      </c>
      <c r="K35" s="22" t="n">
        <v>4.026</v>
      </c>
      <c r="L35" s="22" t="n">
        <v>0.539</v>
      </c>
      <c r="M35" s="22" t="n">
        <v>124.444</v>
      </c>
      <c r="N35" s="22" t="n">
        <v>18.049</v>
      </c>
      <c r="O35" s="21" t="n">
        <v>2.798</v>
      </c>
      <c r="P35" s="22" t="n">
        <v>0.002</v>
      </c>
      <c r="Q35" s="22" t="n">
        <v>1.5</v>
      </c>
      <c r="R35" s="22" t="n">
        <v>0.782</v>
      </c>
      <c r="S35" s="22" t="n">
        <v>0</v>
      </c>
      <c r="T35" s="22" t="n">
        <v>15.943</v>
      </c>
      <c r="U35" s="22" t="n">
        <v>52.367</v>
      </c>
      <c r="V35" s="22" t="n">
        <v>3.201</v>
      </c>
      <c r="W35" s="22" t="n">
        <v>99.273</v>
      </c>
      <c r="X35" s="22" t="n">
        <v>147.058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0</v>
      </c>
      <c r="D37" s="22" t="n">
        <v>0.018</v>
      </c>
      <c r="E37" s="22" t="n">
        <v>0</v>
      </c>
      <c r="F37" s="22" t="n">
        <v>0</v>
      </c>
      <c r="G37" s="22" t="n">
        <v>0.354</v>
      </c>
      <c r="H37" s="22" t="n">
        <v>0</v>
      </c>
      <c r="I37" s="22" t="n">
        <v>0.356</v>
      </c>
      <c r="J37" s="22" t="n">
        <v>0</v>
      </c>
      <c r="K37" s="22" t="n">
        <v>2.126</v>
      </c>
      <c r="L37" s="22" t="n">
        <v>30.51</v>
      </c>
      <c r="M37" s="22" t="n">
        <v>0</v>
      </c>
      <c r="N37" s="22" t="n">
        <v>21.834</v>
      </c>
      <c r="O37" s="21" t="n">
        <v>1.911</v>
      </c>
      <c r="P37" s="22" t="n">
        <v>0.171</v>
      </c>
      <c r="Q37" s="22" t="n">
        <v>158.683</v>
      </c>
      <c r="R37" s="22" t="n">
        <v>293.152</v>
      </c>
      <c r="S37" s="22" t="n">
        <v>13.606</v>
      </c>
      <c r="T37" s="22" t="n">
        <v>14.773</v>
      </c>
      <c r="U37" s="22" t="n">
        <v>38.562</v>
      </c>
      <c r="V37" s="22" t="n">
        <v>0.018</v>
      </c>
      <c r="W37" s="22" t="n">
        <v>0.71</v>
      </c>
      <c r="X37" s="22" t="n">
        <v>54.47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35.673</v>
      </c>
      <c r="D39" s="22" t="n">
        <v>136.299</v>
      </c>
      <c r="E39" s="22" t="n">
        <v>24.198</v>
      </c>
      <c r="F39" s="22" t="n">
        <v>210.98</v>
      </c>
      <c r="G39" s="22" t="n">
        <v>48.199</v>
      </c>
      <c r="H39" s="22" t="n">
        <v>147.349</v>
      </c>
      <c r="I39" s="22" t="n">
        <v>66.19</v>
      </c>
      <c r="J39" s="22" t="n">
        <v>47.012</v>
      </c>
      <c r="K39" s="22" t="n">
        <v>54.167</v>
      </c>
      <c r="L39" s="22" t="n">
        <v>61.027</v>
      </c>
      <c r="M39" s="22" t="n">
        <v>57.884</v>
      </c>
      <c r="N39" s="22" t="n">
        <v>64.447</v>
      </c>
      <c r="O39" s="21" t="n">
        <v>12.464</v>
      </c>
      <c r="P39" s="22" t="n">
        <v>27.958</v>
      </c>
      <c r="Q39" s="22" t="n">
        <v>36.003</v>
      </c>
      <c r="R39" s="22" t="n">
        <v>57.82</v>
      </c>
      <c r="S39" s="22" t="n">
        <v>90.131</v>
      </c>
      <c r="T39" s="22" t="n">
        <v>74.47799999999999</v>
      </c>
      <c r="U39" s="22" t="n">
        <v>130.563</v>
      </c>
      <c r="V39" s="22" t="n">
        <v>407.15</v>
      </c>
      <c r="W39" s="22" t="n">
        <v>308.75</v>
      </c>
      <c r="X39" s="22" t="n">
        <v>237.525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5.278</v>
      </c>
      <c r="D41" s="22" t="n">
        <v>-3.864</v>
      </c>
      <c r="E41" s="22" t="n">
        <v>11.733</v>
      </c>
      <c r="F41" s="22" t="n">
        <v>1.817</v>
      </c>
      <c r="G41" s="22" t="n">
        <v>25.394</v>
      </c>
      <c r="H41" s="22" t="n">
        <v>-23.868</v>
      </c>
      <c r="I41" s="22" t="n">
        <v>0.701</v>
      </c>
      <c r="J41" s="22" t="n">
        <v>1.071</v>
      </c>
      <c r="K41" s="22" t="n">
        <v>20.964</v>
      </c>
      <c r="L41" s="22" t="n">
        <v>11.98</v>
      </c>
      <c r="M41" s="22" t="n">
        <v>5.731</v>
      </c>
      <c r="N41" s="22" t="n">
        <v>8.035</v>
      </c>
      <c r="O41" s="21" t="n">
        <v>49.629</v>
      </c>
      <c r="P41" s="22" t="n">
        <v>16.842</v>
      </c>
      <c r="Q41" s="22" t="n">
        <v>9.449</v>
      </c>
      <c r="R41" s="22" t="n">
        <v>3.181</v>
      </c>
      <c r="S41" s="22" t="n">
        <v>34.554</v>
      </c>
      <c r="T41" s="22" t="n">
        <v>2.265</v>
      </c>
      <c r="U41" s="22" t="n">
        <v>2.152</v>
      </c>
      <c r="V41" s="22" t="n">
        <v>14.964</v>
      </c>
      <c r="W41" s="22" t="n">
        <v>3.298</v>
      </c>
      <c r="X41" s="22" t="n">
        <v>46.71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1518.33</v>
      </c>
      <c r="D43" s="12" t="n">
        <v>1339.407</v>
      </c>
      <c r="E43" s="12" t="n">
        <v>1309.388</v>
      </c>
      <c r="F43" s="12" t="n">
        <v>1461.421</v>
      </c>
      <c r="G43" s="12" t="n">
        <v>1594.094</v>
      </c>
      <c r="H43" s="12" t="n">
        <v>1396.65</v>
      </c>
      <c r="I43" s="12" t="n">
        <v>1621.794</v>
      </c>
      <c r="J43" s="12" t="n">
        <v>1497.86</v>
      </c>
      <c r="K43" s="12" t="n">
        <v>1861.899</v>
      </c>
      <c r="L43" s="12" t="n">
        <v>1359.247</v>
      </c>
      <c r="M43" s="12" t="n">
        <v>1910.686</v>
      </c>
      <c r="N43" s="12" t="n">
        <v>1550.863</v>
      </c>
      <c r="O43" s="11" t="n">
        <v>1403.045</v>
      </c>
      <c r="P43" s="12" t="n">
        <v>1711.207</v>
      </c>
      <c r="Q43" s="12" t="n">
        <v>1915.719</v>
      </c>
      <c r="R43" s="12" t="n">
        <v>2564.453</v>
      </c>
      <c r="S43" s="12" t="n">
        <v>2862.754</v>
      </c>
      <c r="T43" s="12" t="n">
        <v>3305.282</v>
      </c>
      <c r="U43" s="12" t="n">
        <v>4800.8</v>
      </c>
      <c r="V43" s="12" t="n">
        <v>5628.546</v>
      </c>
      <c r="W43" s="12" t="n">
        <v>6110.398</v>
      </c>
      <c r="X43" s="12" t="n">
        <v>6682.695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515.479</v>
      </c>
      <c r="D45" s="22" t="n">
        <v>449.912</v>
      </c>
      <c r="E45" s="22" t="n">
        <v>450.481</v>
      </c>
      <c r="F45" s="22" t="n">
        <v>449.072</v>
      </c>
      <c r="G45" s="22" t="n">
        <v>548.626</v>
      </c>
      <c r="H45" s="22" t="n">
        <v>475.481</v>
      </c>
      <c r="I45" s="22" t="n">
        <v>547.046</v>
      </c>
      <c r="J45" s="22" t="n">
        <v>460.842</v>
      </c>
      <c r="K45" s="22" t="n">
        <v>639.04</v>
      </c>
      <c r="L45" s="22" t="n">
        <v>464.67</v>
      </c>
      <c r="M45" s="22" t="n">
        <v>650.178</v>
      </c>
      <c r="N45" s="22" t="n">
        <v>398.948</v>
      </c>
      <c r="O45" s="21" t="n">
        <v>469.544</v>
      </c>
      <c r="P45" s="22" t="n">
        <v>585.761</v>
      </c>
      <c r="Q45" s="22" t="n">
        <v>628.383</v>
      </c>
      <c r="R45" s="22" t="n">
        <v>912.199</v>
      </c>
      <c r="S45" s="22" t="n">
        <v>802.897</v>
      </c>
      <c r="T45" s="22" t="n">
        <v>1109.996</v>
      </c>
      <c r="U45" s="22" t="n">
        <v>1495.569</v>
      </c>
      <c r="V45" s="22" t="n">
        <v>1864.944</v>
      </c>
      <c r="W45" s="22" t="n">
        <v>2031.995</v>
      </c>
      <c r="X45" s="22" t="n">
        <v>2152.836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1002.851</v>
      </c>
      <c r="D47" s="12" t="n">
        <v>889.495</v>
      </c>
      <c r="E47" s="12" t="n">
        <v>858.9059999999999</v>
      </c>
      <c r="F47" s="12" t="n">
        <v>1012.349</v>
      </c>
      <c r="G47" s="12" t="n">
        <v>1045.467</v>
      </c>
      <c r="H47" s="12" t="n">
        <v>921.169</v>
      </c>
      <c r="I47" s="12" t="n">
        <v>1074.749</v>
      </c>
      <c r="J47" s="12" t="n">
        <v>1037.017</v>
      </c>
      <c r="K47" s="12" t="n">
        <v>1222.859</v>
      </c>
      <c r="L47" s="12" t="n">
        <v>894.576</v>
      </c>
      <c r="M47" s="12" t="n">
        <v>1260.508</v>
      </c>
      <c r="N47" s="12" t="n">
        <v>1151.915</v>
      </c>
      <c r="O47" s="11" t="n">
        <v>933.501</v>
      </c>
      <c r="P47" s="12" t="n">
        <v>1125.446</v>
      </c>
      <c r="Q47" s="12" t="n">
        <v>1287.335</v>
      </c>
      <c r="R47" s="12" t="n">
        <v>1652.253</v>
      </c>
      <c r="S47" s="12" t="n">
        <v>2059.857</v>
      </c>
      <c r="T47" s="12" t="n">
        <v>2195.285</v>
      </c>
      <c r="U47" s="12" t="n">
        <v>3305.231</v>
      </c>
      <c r="V47" s="12" t="n">
        <v>3763.601</v>
      </c>
      <c r="W47" s="12" t="n">
        <v>4078.402</v>
      </c>
      <c r="X47" s="12" t="n">
        <v>4529.858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1002.851</v>
      </c>
      <c r="D49" s="12" t="n">
        <v>889.495</v>
      </c>
      <c r="E49" s="12" t="n">
        <v>858.9059999999999</v>
      </c>
      <c r="F49" s="12" t="n">
        <v>1012.349</v>
      </c>
      <c r="G49" s="12" t="n">
        <v>1045.467</v>
      </c>
      <c r="H49" s="12" t="n">
        <v>921.169</v>
      </c>
      <c r="I49" s="12" t="n">
        <v>1074.749</v>
      </c>
      <c r="J49" s="12" t="n">
        <v>1037.017</v>
      </c>
      <c r="K49" s="12" t="n">
        <v>1222.859</v>
      </c>
      <c r="L49" s="12" t="n">
        <v>894.576</v>
      </c>
      <c r="M49" s="12" t="n">
        <v>1260.508</v>
      </c>
      <c r="N49" s="12" t="n">
        <v>1151.915</v>
      </c>
      <c r="O49" s="11" t="n">
        <v>933.501</v>
      </c>
      <c r="P49" s="12" t="n">
        <v>1125.446</v>
      </c>
      <c r="Q49" s="12" t="n">
        <v>1287.335</v>
      </c>
      <c r="R49" s="12" t="n">
        <v>1652.253</v>
      </c>
      <c r="S49" s="12" t="n">
        <v>2059.857</v>
      </c>
      <c r="T49" s="12" t="n">
        <v>2195.285</v>
      </c>
      <c r="U49" s="12" t="n">
        <v>3305.231</v>
      </c>
      <c r="V49" s="12" t="n">
        <v>3763.601</v>
      </c>
      <c r="W49" s="12" t="n">
        <v>4078.402</v>
      </c>
      <c r="X49" s="12" t="n">
        <v>4529.858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2024.1Q</t>
        </is>
      </c>
      <c r="D83" s="5" t="inlineStr">
        <is>
          <t>2024.2Q</t>
        </is>
      </c>
      <c r="E83" s="5" t="inlineStr">
        <is>
          <t>2024.3Q</t>
        </is>
      </c>
      <c r="F83" s="5" t="inlineStr">
        <is>
          <t>2024.4Q</t>
        </is>
      </c>
      <c r="G83" s="5" t="inlineStr">
        <is>
          <t>2025.1Q</t>
        </is>
      </c>
      <c r="H83" s="5" t="inlineStr">
        <is>
          <t>2025.2Q</t>
        </is>
      </c>
      <c r="I83" s="5" t="inlineStr">
        <is>
          <t>2025.3Q</t>
        </is>
      </c>
      <c r="J83" s="5" t="inlineStr">
        <is>
          <t>2025.4Q</t>
        </is>
      </c>
      <c r="K83" s="5" t="inlineStr">
        <is>
          <t>2026.1Q</t>
        </is>
      </c>
      <c r="L83" s="5" t="inlineStr">
        <is>
          <t>2026.2Q</t>
        </is>
      </c>
      <c r="M83" s="5" t="inlineStr">
        <is>
          <t>2026.3Q</t>
        </is>
      </c>
      <c r="N83" s="5" t="inlineStr">
        <is>
          <t>2026.4Q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6624.888</v>
      </c>
      <c r="D84" s="12" t="n">
        <v>6134.146</v>
      </c>
      <c r="E84" s="12" t="n">
        <v>6143.619</v>
      </c>
      <c r="F84" s="12" t="n">
        <v>6144.493</v>
      </c>
      <c r="G84" s="12" t="n">
        <v>7106.203</v>
      </c>
      <c r="H84" s="12" t="n">
        <v>6403.019</v>
      </c>
      <c r="I84" s="12" t="n">
        <v>7263.883</v>
      </c>
      <c r="J84" s="12" t="n">
        <v>6680.347</v>
      </c>
      <c r="K84" s="12" t="n">
        <v>7966.742</v>
      </c>
      <c r="L84" s="12" t="n">
        <v>6879.204</v>
      </c>
      <c r="M84" s="12" t="n">
        <v>8298.700000000001</v>
      </c>
      <c r="N84" s="12" t="n">
        <v>8374.195</v>
      </c>
      <c r="T84" s="12" t="n">
        <v>4746.968</v>
      </c>
      <c r="U84" s="12" t="n">
        <v>5425.707</v>
      </c>
      <c r="V84" s="12" t="n">
        <v>6144.493</v>
      </c>
      <c r="W84" s="12" t="n">
        <v>6680.347</v>
      </c>
      <c r="X84" s="12" t="n">
        <v>8374.195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4022.344</v>
      </c>
      <c r="D86" s="22" t="n">
        <v>3805.977</v>
      </c>
      <c r="E86" s="22" t="n">
        <v>3714.658</v>
      </c>
      <c r="F86" s="22" t="n">
        <v>3694.529</v>
      </c>
      <c r="G86" s="22" t="n">
        <v>4302.417</v>
      </c>
      <c r="H86" s="22" t="n">
        <v>3977.959</v>
      </c>
      <c r="I86" s="22" t="n">
        <v>4447.591</v>
      </c>
      <c r="J86" s="22" t="n">
        <v>3932.837</v>
      </c>
      <c r="K86" s="22" t="n">
        <v>4784.638</v>
      </c>
      <c r="L86" s="22" t="n">
        <v>4166.713</v>
      </c>
      <c r="M86" s="22" t="n">
        <v>5072.93</v>
      </c>
      <c r="N86" s="22" t="n">
        <v>5224.89</v>
      </c>
      <c r="T86" s="22" t="n">
        <v>2934.724</v>
      </c>
      <c r="U86" s="22" t="n">
        <v>3249.908</v>
      </c>
      <c r="V86" s="22" t="n">
        <v>3694.529</v>
      </c>
      <c r="W86" s="22" t="n">
        <v>3932.837</v>
      </c>
      <c r="X86" s="22" t="n">
        <v>5224.89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2602.543</v>
      </c>
      <c r="D88" s="12" t="n">
        <v>2328.169</v>
      </c>
      <c r="E88" s="12" t="n">
        <v>2428.962</v>
      </c>
      <c r="F88" s="12" t="n">
        <v>2449.963</v>
      </c>
      <c r="G88" s="12" t="n">
        <v>2803.786</v>
      </c>
      <c r="H88" s="12" t="n">
        <v>2425.059</v>
      </c>
      <c r="I88" s="12" t="n">
        <v>2816.292</v>
      </c>
      <c r="J88" s="12" t="n">
        <v>2747.511</v>
      </c>
      <c r="K88" s="12" t="n">
        <v>3182.104</v>
      </c>
      <c r="L88" s="12" t="n">
        <v>2712.491</v>
      </c>
      <c r="M88" s="12" t="n">
        <v>3225.77</v>
      </c>
      <c r="N88" s="12" t="n">
        <v>3149.305</v>
      </c>
      <c r="T88" s="12" t="n">
        <v>1812.243</v>
      </c>
      <c r="U88" s="12" t="n">
        <v>2175.799</v>
      </c>
      <c r="V88" s="12" t="n">
        <v>2449.963</v>
      </c>
      <c r="W88" s="12" t="n">
        <v>2747.511</v>
      </c>
      <c r="X88" s="12" t="n">
        <v>3149.305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급여·수당</t>
        </is>
      </c>
      <c r="C90" s="22" t="n">
        <v>341.688</v>
      </c>
      <c r="D90" s="22" t="n">
        <v>337.451</v>
      </c>
      <c r="E90" s="22" t="n">
        <v>351.181</v>
      </c>
      <c r="G90" s="22" t="n">
        <v>374.874</v>
      </c>
      <c r="H90" s="22" t="n">
        <v>366.037</v>
      </c>
      <c r="I90" s="22" t="n">
        <v>383.539</v>
      </c>
      <c r="K90" s="22" t="n">
        <v>413.795</v>
      </c>
      <c r="L90" s="22" t="n">
        <v>421.02</v>
      </c>
      <c r="M90" s="22" t="n">
        <v>444.274</v>
      </c>
    </row>
    <row r="91">
      <c r="A91" s="20" t="inlineStr">
        <is>
          <t>상여충당금 전입</t>
        </is>
      </c>
      <c r="C91" s="22" t="n">
        <v>83.245</v>
      </c>
      <c r="D91" s="22" t="n">
        <v>72.33499999999999</v>
      </c>
      <c r="E91" s="22" t="n">
        <v>-64.712</v>
      </c>
      <c r="G91" s="22" t="n">
        <v>92.274</v>
      </c>
      <c r="H91" s="22" t="n">
        <v>75.40900000000001</v>
      </c>
      <c r="I91" s="22" t="n">
        <v>-69.91800000000001</v>
      </c>
      <c r="K91" s="22" t="n">
        <v>88.328</v>
      </c>
      <c r="L91" s="22" t="n">
        <v>67.039</v>
      </c>
      <c r="M91" s="22" t="n">
        <v>-59.507</v>
      </c>
    </row>
    <row r="92">
      <c r="A92" s="20" t="inlineStr">
        <is>
          <t>퇴직급여비용</t>
        </is>
      </c>
      <c r="C92" s="22" t="n">
        <v>6.996</v>
      </c>
      <c r="D92" s="22" t="n">
        <v>7.179</v>
      </c>
      <c r="E92" s="22" t="n">
        <v>7.443</v>
      </c>
      <c r="G92" s="22" t="n">
        <v>8.222</v>
      </c>
      <c r="H92" s="22" t="n">
        <v>8.07</v>
      </c>
      <c r="I92" s="22" t="n">
        <v>7.897</v>
      </c>
      <c r="K92" s="22" t="n">
        <v>11.213</v>
      </c>
      <c r="L92" s="22" t="n">
        <v>11.376</v>
      </c>
      <c r="M92" s="22" t="n">
        <v>11.699</v>
      </c>
    </row>
    <row r="93">
      <c r="A93" s="20" t="inlineStr">
        <is>
          <t>대손충당금 전입</t>
        </is>
      </c>
      <c r="C93" s="22" t="n">
        <v>-0.057</v>
      </c>
      <c r="D93" s="22" t="n">
        <v>0.003</v>
      </c>
      <c r="E93" s="22" t="n">
        <v>-7.544</v>
      </c>
      <c r="G93" s="22" t="n">
        <v>-0</v>
      </c>
      <c r="H93" s="22" t="n">
        <v>0.001</v>
      </c>
      <c r="I93" s="22" t="n">
        <v>0</v>
      </c>
      <c r="K93" s="22" t="n">
        <v>0.025</v>
      </c>
      <c r="L93" s="22" t="n">
        <v>-0.006</v>
      </c>
      <c r="M93" s="22" t="n">
        <v>-0.002</v>
      </c>
    </row>
    <row r="94">
      <c r="A94" s="20" t="inlineStr">
        <is>
          <t>기타</t>
        </is>
      </c>
      <c r="C94" s="22" t="n">
        <v>682.734</v>
      </c>
      <c r="D94" s="22" t="n">
        <v>704.489</v>
      </c>
      <c r="E94" s="22" t="n">
        <v>853.121</v>
      </c>
      <c r="G94" s="22" t="n">
        <v>783.7670000000001</v>
      </c>
      <c r="H94" s="22" t="n">
        <v>790.056</v>
      </c>
      <c r="I94" s="22" t="n">
        <v>943.558</v>
      </c>
      <c r="K94" s="22" t="n">
        <v>841.944</v>
      </c>
      <c r="L94" s="22" t="n">
        <v>863.774</v>
      </c>
      <c r="M94" s="22" t="n">
        <v>1104.335</v>
      </c>
    </row>
    <row r="95">
      <c r="A95" s="20" t="inlineStr">
        <is>
          <t>판매비와 관리비</t>
        </is>
      </c>
      <c r="C95" s="22" t="n">
        <v>1114.607</v>
      </c>
      <c r="D95" s="22" t="n">
        <v>1128.908</v>
      </c>
      <c r="E95" s="22" t="n">
        <v>1132.038</v>
      </c>
      <c r="F95" s="22" t="n">
        <v>1200.907</v>
      </c>
      <c r="G95" s="22" t="n">
        <v>1259.139</v>
      </c>
      <c r="H95" s="22" t="n">
        <v>1245.017</v>
      </c>
      <c r="I95" s="22" t="n">
        <v>1259.631</v>
      </c>
      <c r="J95" s="22" t="n">
        <v>1322.478</v>
      </c>
      <c r="K95" s="22" t="n">
        <v>1355.307</v>
      </c>
      <c r="L95" s="22" t="n">
        <v>1372.32</v>
      </c>
      <c r="M95" s="22" t="n">
        <v>1491.682</v>
      </c>
      <c r="N95" s="22" t="n">
        <v>1651.069</v>
      </c>
      <c r="T95" s="22" t="n">
        <v>1050.462</v>
      </c>
      <c r="U95" s="22" t="n">
        <v>1212.38</v>
      </c>
      <c r="V95" s="22" t="n">
        <v>1200.907</v>
      </c>
      <c r="W95" s="22" t="n">
        <v>1322.478</v>
      </c>
      <c r="X95" s="22" t="n">
        <v>1651.069</v>
      </c>
    </row>
    <row r="96">
      <c r="A96" s="45" t="inlineStr">
        <is>
          <t>YoY</t>
        </is>
      </c>
      <c r="B96" s="3" t="inlineStr">
        <is>
          <t>전년 같은 분기·전년 대비</t>
        </is>
      </c>
      <c r="G96" s="17">
        <f>IF(OR(G95="",C95=""),"",IF(G95*C95&lt;=0,"",IFERROR(G95/C95-1,"")))</f>
        <v/>
      </c>
      <c r="H96" s="17">
        <f>IF(OR(H95="",D95=""),"",IF(H95*D95&lt;=0,"",IFERROR(H95/D95-1,"")))</f>
        <v/>
      </c>
      <c r="I96" s="17">
        <f>IF(OR(I95="",E95=""),"",IF(I95*E95&lt;=0,"",IFERROR(I95/E95-1,"")))</f>
        <v/>
      </c>
      <c r="J96" s="17">
        <f>IF(OR(J95="",F95=""),"",IF(J95*F95&lt;=0,"",IFERROR(J95/F95-1,"")))</f>
        <v/>
      </c>
      <c r="K96" s="17">
        <f>IF(OR(K95="",G95=""),"",IF(K95*G95&lt;=0,"",IFERROR(K95/G95-1,"")))</f>
        <v/>
      </c>
      <c r="L96" s="17">
        <f>IF(OR(L95="",H95=""),"",IF(L95*H95&lt;=0,"",IFERROR(L95/H95-1,"")))</f>
        <v/>
      </c>
      <c r="M96" s="17">
        <f>IF(OR(M95="",I95=""),"",IF(M95*I95&lt;=0,"",IFERROR(M95/I95-1,"")))</f>
        <v/>
      </c>
      <c r="N96" s="17">
        <f>IF(OR(N95="",J95=""),"",IF(N95*J95&lt;=0,"",IFERROR(N95/J95-1,"")))</f>
        <v/>
      </c>
      <c r="T96" s="17">
        <f>IF(OR(T95="",S95=""),"",IF(T95*S95&lt;=0,"",IFERROR(T95/S95-1,"")))</f>
        <v/>
      </c>
      <c r="U96" s="17">
        <f>IF(OR(U95="",T95=""),"",IF(U95*T95&lt;=0,"",IFERROR(U95/T95-1,"")))</f>
        <v/>
      </c>
      <c r="V96" s="17">
        <f>IF(OR(V95="",U95=""),"",IF(V95*U95&lt;=0,"",IFERROR(V95/U95-1,"")))</f>
        <v/>
      </c>
      <c r="W96" s="17">
        <f>IF(OR(W95="",V95=""),"",IF(W95*V95&lt;=0,"",IFERROR(W95/V95-1,"")))</f>
        <v/>
      </c>
      <c r="X96" s="17">
        <f>IF(OR(X95="",W95=""),"",IF(X95*W95&lt;=0,"",IFERROR(X95/W95-1,"")))</f>
        <v/>
      </c>
    </row>
    <row r="97">
      <c r="A97" s="9" t="inlineStr">
        <is>
          <t>영업이익</t>
        </is>
      </c>
      <c r="C97" s="12" t="n">
        <v>1487.935</v>
      </c>
      <c r="D97" s="12" t="n">
        <v>1199.262</v>
      </c>
      <c r="E97" s="12" t="n">
        <v>1296.923</v>
      </c>
      <c r="F97" s="12" t="n">
        <v>1249.057</v>
      </c>
      <c r="G97" s="12" t="n">
        <v>1544.647</v>
      </c>
      <c r="H97" s="12" t="n">
        <v>1180.042</v>
      </c>
      <c r="I97" s="12" t="n">
        <v>1556.66</v>
      </c>
      <c r="J97" s="12" t="n">
        <v>1425.034</v>
      </c>
      <c r="K97" s="12" t="n">
        <v>1826.797</v>
      </c>
      <c r="L97" s="12" t="n">
        <v>1340.17</v>
      </c>
      <c r="M97" s="12" t="n">
        <v>1734.089</v>
      </c>
      <c r="N97" s="12" t="n">
        <v>1498.235</v>
      </c>
      <c r="T97" s="12" t="n">
        <v>761.782</v>
      </c>
      <c r="U97" s="12" t="n">
        <v>963.418</v>
      </c>
      <c r="V97" s="12" t="n">
        <v>1249.057</v>
      </c>
      <c r="W97" s="12" t="n">
        <v>1425.034</v>
      </c>
      <c r="X97" s="12" t="n">
        <v>1498.235</v>
      </c>
    </row>
    <row r="98">
      <c r="A98" s="45" t="inlineStr">
        <is>
          <t>OPM</t>
        </is>
      </c>
      <c r="B98" s="3" t="inlineStr">
        <is>
          <t>영업이익 ÷ 매출</t>
        </is>
      </c>
      <c r="C98" s="17">
        <f>IF(OR(C97="",C84=""),"",IF(C84&lt;=0,"",IFERROR(C97/C84,"")))</f>
        <v/>
      </c>
      <c r="D98" s="17">
        <f>IF(OR(D97="",D84=""),"",IF(D84&lt;=0,"",IFERROR(D97/D84,"")))</f>
        <v/>
      </c>
      <c r="E98" s="17">
        <f>IF(OR(E97="",E84=""),"",IF(E84&lt;=0,"",IFERROR(E97/E84,"")))</f>
        <v/>
      </c>
      <c r="F98" s="17">
        <f>IF(OR(F97="",F84=""),"",IF(F84&lt;=0,"",IFERROR(F97/F84,"")))</f>
        <v/>
      </c>
      <c r="G98" s="17">
        <f>IF(OR(G97="",G84=""),"",IF(G84&lt;=0,"",IFERROR(G97/G84,"")))</f>
        <v/>
      </c>
      <c r="H98" s="17">
        <f>IF(OR(H97="",H84=""),"",IF(H84&lt;=0,"",IFERROR(H97/H84,"")))</f>
        <v/>
      </c>
      <c r="I98" s="17">
        <f>IF(OR(I97="",I84=""),"",IF(I84&lt;=0,"",IFERROR(I97/I84,"")))</f>
        <v/>
      </c>
      <c r="J98" s="17">
        <f>IF(OR(J97="",J84=""),"",IF(J84&lt;=0,"",IFERROR(J97/J84,"")))</f>
        <v/>
      </c>
      <c r="K98" s="17">
        <f>IF(OR(K97="",K84=""),"",IF(K84&lt;=0,"",IFERROR(K97/K84,"")))</f>
        <v/>
      </c>
      <c r="L98" s="17">
        <f>IF(OR(L97="",L84=""),"",IF(L84&lt;=0,"",IFERROR(L97/L84,"")))</f>
        <v/>
      </c>
      <c r="M98" s="17">
        <f>IF(OR(M97="",M84=""),"",IF(M84&lt;=0,"",IFERROR(M97/M84,"")))</f>
        <v/>
      </c>
      <c r="N98" s="17">
        <f>IF(OR(N97="",N84=""),"",IF(N84&lt;=0,"",IFERROR(N97/N84,"")))</f>
        <v/>
      </c>
      <c r="T98" s="17">
        <f>IF(OR(T97="",T84=""),"",IF(T84&lt;=0,"",IFERROR(T97/T84,"")))</f>
        <v/>
      </c>
      <c r="U98" s="17">
        <f>IF(OR(U97="",U84=""),"",IF(U84&lt;=0,"",IFERROR(U97/U84,"")))</f>
        <v/>
      </c>
      <c r="V98" s="17">
        <f>IF(OR(V97="",V84=""),"",IF(V84&lt;=0,"",IFERROR(V97/V84,"")))</f>
        <v/>
      </c>
      <c r="W98" s="17">
        <f>IF(OR(W97="",W84=""),"",IF(W84&lt;=0,"",IFERROR(W97/W84,"")))</f>
        <v/>
      </c>
      <c r="X98" s="17">
        <f>IF(OR(X97="",X84=""),"",IF(X84&lt;=0,"",IFERROR(X97/X84,"")))</f>
        <v/>
      </c>
    </row>
    <row r="99">
      <c r="A99" s="45" t="inlineStr">
        <is>
          <t>YoY</t>
        </is>
      </c>
      <c r="B99" s="3" t="inlineStr">
        <is>
          <t>전년 같은 분기·전년 대비</t>
        </is>
      </c>
      <c r="G99" s="17">
        <f>IF(OR(G97="",C97=""),"",IF(C97&lt;=0,"",IFERROR(G97/C97-1,"")))</f>
        <v/>
      </c>
      <c r="H99" s="17">
        <f>IF(OR(H97="",D97=""),"",IF(D97&lt;=0,"",IFERROR(H97/D97-1,"")))</f>
        <v/>
      </c>
      <c r="I99" s="17">
        <f>IF(OR(I97="",E97=""),"",IF(E97&lt;=0,"",IFERROR(I97/E97-1,"")))</f>
        <v/>
      </c>
      <c r="J99" s="17">
        <f>IF(OR(J97="",F97=""),"",IF(F97&lt;=0,"",IFERROR(J97/F97-1,"")))</f>
        <v/>
      </c>
      <c r="K99" s="17">
        <f>IF(OR(K97="",G97=""),"",IF(G97&lt;=0,"",IFERROR(K97/G97-1,"")))</f>
        <v/>
      </c>
      <c r="L99" s="17">
        <f>IF(OR(L97="",H97=""),"",IF(H97&lt;=0,"",IFERROR(L97/H97-1,"")))</f>
        <v/>
      </c>
      <c r="M99" s="17">
        <f>IF(OR(M97="",I97=""),"",IF(I97&lt;=0,"",IFERROR(M97/I97-1,"")))</f>
        <v/>
      </c>
      <c r="N99" s="17">
        <f>IF(OR(N97="",J97=""),"",IF(J97&lt;=0,"",IFERROR(N97/J97-1,"")))</f>
        <v/>
      </c>
      <c r="T99" s="17">
        <f>IF(OR(T97="",S97=""),"",IF(S97&lt;=0,"",IFERROR(T97/S97-1,"")))</f>
        <v/>
      </c>
      <c r="U99" s="17">
        <f>IF(OR(U97="",T97=""),"",IF(T97&lt;=0,"",IFERROR(U97/T97-1,"")))</f>
        <v/>
      </c>
      <c r="V99" s="17">
        <f>IF(OR(V97="",U97=""),"",IF(U97&lt;=0,"",IFERROR(V97/U97-1,"")))</f>
        <v/>
      </c>
      <c r="W99" s="17">
        <f>IF(OR(W97="",V97=""),"",IF(V97&lt;=0,"",IFERROR(W97/V97-1,"")))</f>
        <v/>
      </c>
      <c r="X99" s="17">
        <f>IF(OR(X97="",W97=""),"",IF(W97&lt;=0,"",IFERROR(X97/W97-1,"")))</f>
        <v/>
      </c>
    </row>
    <row r="100">
      <c r="A100" s="20" t="inlineStr">
        <is>
          <t>이자수익</t>
        </is>
      </c>
      <c r="C100" s="22" t="n">
        <v>0.098</v>
      </c>
      <c r="D100" s="22" t="n">
        <v>1.495</v>
      </c>
      <c r="E100" s="22" t="n">
        <v>0.111</v>
      </c>
      <c r="F100" s="22" t="n">
        <v>1.268</v>
      </c>
      <c r="G100" s="22" t="n">
        <v>0.058</v>
      </c>
      <c r="H100" s="22" t="n">
        <v>3.239</v>
      </c>
      <c r="I100" s="22" t="n">
        <v>0.018</v>
      </c>
      <c r="J100" s="22" t="n">
        <v>6.161</v>
      </c>
      <c r="K100" s="22" t="n">
        <v>0.024</v>
      </c>
      <c r="L100" s="22" t="n">
        <v>6.133</v>
      </c>
      <c r="M100" s="22" t="n">
        <v>0.019</v>
      </c>
      <c r="N100" s="22" t="n">
        <v>7.738</v>
      </c>
      <c r="T100" s="22" t="n">
        <v>0.096</v>
      </c>
      <c r="U100" s="22" t="n">
        <v>0.886</v>
      </c>
      <c r="V100" s="22" t="n">
        <v>1.268</v>
      </c>
      <c r="W100" s="22" t="n">
        <v>6.161</v>
      </c>
      <c r="X100" s="22" t="n">
        <v>7.738</v>
      </c>
    </row>
    <row r="101">
      <c r="A101" s="20" t="inlineStr">
        <is>
          <t>유가증권 이자</t>
        </is>
      </c>
      <c r="C101" s="22" t="n">
        <v>35.434</v>
      </c>
      <c r="D101" s="22" t="n">
        <v>40.901</v>
      </c>
      <c r="E101" s="22" t="n">
        <v>46.087</v>
      </c>
      <c r="F101" s="22" t="n">
        <v>44.867</v>
      </c>
      <c r="G101" s="22" t="n">
        <v>47.434</v>
      </c>
      <c r="H101" s="22" t="n">
        <v>48.98</v>
      </c>
      <c r="I101" s="22" t="n">
        <v>48.569</v>
      </c>
      <c r="J101" s="22" t="n">
        <v>51.285</v>
      </c>
      <c r="K101" s="22" t="n">
        <v>53.548</v>
      </c>
      <c r="L101" s="22" t="n">
        <v>51.81</v>
      </c>
      <c r="M101" s="22" t="n">
        <v>55.886</v>
      </c>
      <c r="N101" s="22" t="n">
        <v>56.607</v>
      </c>
      <c r="T101" s="22" t="n">
        <v>11.101</v>
      </c>
      <c r="U101" s="22" t="n">
        <v>29.253</v>
      </c>
      <c r="V101" s="22" t="n">
        <v>44.867</v>
      </c>
      <c r="W101" s="22" t="n">
        <v>51.285</v>
      </c>
      <c r="X101" s="22" t="n">
        <v>56.607</v>
      </c>
    </row>
    <row r="102">
      <c r="A102" s="20" t="inlineStr">
        <is>
          <t>배당금수익</t>
        </is>
      </c>
      <c r="I102" s="22" t="n">
        <v>0</v>
      </c>
      <c r="M102" s="22" t="n">
        <v>0</v>
      </c>
    </row>
    <row r="103">
      <c r="A103" s="20" t="inlineStr">
        <is>
          <t>외환차익</t>
        </is>
      </c>
      <c r="E103" s="22" t="n">
        <v>-23.122</v>
      </c>
      <c r="F103" s="22" t="n">
        <v>162.181</v>
      </c>
      <c r="I103" s="22" t="n">
        <v>16.209</v>
      </c>
      <c r="J103" s="22" t="n">
        <v>-10.608</v>
      </c>
      <c r="M103" s="22" t="n">
        <v>0</v>
      </c>
      <c r="N103" s="22" t="n">
        <v>0</v>
      </c>
      <c r="T103" s="22" t="n">
        <v>28.177</v>
      </c>
      <c r="U103" s="22" t="n">
        <v>-6.769</v>
      </c>
      <c r="V103" s="22" t="n">
        <v>162.181</v>
      </c>
      <c r="W103" s="22" t="n">
        <v>-10.608</v>
      </c>
      <c r="X103" s="22" t="n">
        <v>0</v>
      </c>
    </row>
    <row r="104">
      <c r="A104" s="20" t="inlineStr">
        <is>
          <t>기타</t>
        </is>
      </c>
      <c r="C104" s="22" t="n">
        <v>0.14</v>
      </c>
      <c r="D104" s="22" t="n">
        <v>1.684</v>
      </c>
      <c r="E104" s="22" t="n">
        <v>1.121</v>
      </c>
      <c r="F104" s="22" t="n">
        <v>2.511</v>
      </c>
      <c r="G104" s="22" t="n">
        <v>0.706</v>
      </c>
      <c r="H104" s="22" t="n">
        <v>0.216</v>
      </c>
      <c r="I104" s="22" t="n">
        <v>1.395</v>
      </c>
      <c r="J104" s="22" t="n">
        <v>2.573</v>
      </c>
      <c r="K104" s="22" t="n">
        <v>0.594</v>
      </c>
      <c r="L104" s="22" t="n">
        <v>0.523</v>
      </c>
      <c r="M104" s="22" t="n">
        <v>1.979</v>
      </c>
      <c r="N104" s="22" t="n">
        <v>2.29</v>
      </c>
      <c r="T104" s="22" t="n">
        <v>-11.697</v>
      </c>
      <c r="U104" s="22" t="n">
        <v>-1.021</v>
      </c>
      <c r="V104" s="22" t="n">
        <v>2.511</v>
      </c>
      <c r="W104" s="22" t="n">
        <v>2.573</v>
      </c>
      <c r="X104" s="22" t="n">
        <v>2.29</v>
      </c>
    </row>
    <row r="105">
      <c r="A105" s="20" t="inlineStr">
        <is>
          <t>영업외수익 합계</t>
        </is>
      </c>
      <c r="C105" s="22" t="n">
        <v>35.673</v>
      </c>
      <c r="D105" s="22" t="n">
        <v>136.299</v>
      </c>
      <c r="E105" s="22" t="n">
        <v>24.198</v>
      </c>
      <c r="F105" s="22" t="n">
        <v>210.98</v>
      </c>
      <c r="G105" s="22" t="n">
        <v>48.199</v>
      </c>
      <c r="H105" s="22" t="n">
        <v>147.349</v>
      </c>
      <c r="I105" s="22" t="n">
        <v>66.19</v>
      </c>
      <c r="J105" s="22" t="n">
        <v>47.012</v>
      </c>
      <c r="K105" s="22" t="n">
        <v>54.167</v>
      </c>
      <c r="L105" s="22" t="n">
        <v>61.027</v>
      </c>
      <c r="M105" s="22" t="n">
        <v>57.884</v>
      </c>
      <c r="N105" s="22" t="n">
        <v>64.447</v>
      </c>
      <c r="T105" s="22" t="n">
        <v>41.2</v>
      </c>
      <c r="U105" s="22" t="n">
        <v>23.399</v>
      </c>
      <c r="V105" s="22" t="n">
        <v>210.98</v>
      </c>
      <c r="W105" s="22" t="n">
        <v>47.012</v>
      </c>
      <c r="X105" s="22" t="n">
        <v>64.447</v>
      </c>
    </row>
    <row r="106">
      <c r="A106" s="45" t="inlineStr">
        <is>
          <t>YoY</t>
        </is>
      </c>
      <c r="B106" s="3" t="inlineStr">
        <is>
          <t>전년 같은 분기·전년 대비</t>
        </is>
      </c>
      <c r="G106" s="17">
        <f>IF(OR(G105="",C105=""),"",IF(G105*C105&lt;=0,"",IFERROR(G105/C105-1,"")))</f>
        <v/>
      </c>
      <c r="H106" s="17">
        <f>IF(OR(H105="",D105=""),"",IF(H105*D105&lt;=0,"",IFERROR(H105/D105-1,"")))</f>
        <v/>
      </c>
      <c r="I106" s="17">
        <f>IF(OR(I105="",E105=""),"",IF(I105*E105&lt;=0,"",IFERROR(I105/E105-1,"")))</f>
        <v/>
      </c>
      <c r="J106" s="17">
        <f>IF(OR(J105="",F105=""),"",IF(J105*F105&lt;=0,"",IFERROR(J105/F105-1,"")))</f>
        <v/>
      </c>
      <c r="K106" s="17">
        <f>IF(OR(K105="",G105=""),"",IF(K105*G105&lt;=0,"",IFERROR(K105/G105-1,"")))</f>
        <v/>
      </c>
      <c r="L106" s="17">
        <f>IF(OR(L105="",H105=""),"",IF(L105*H105&lt;=0,"",IFERROR(L105/H105-1,"")))</f>
        <v/>
      </c>
      <c r="M106" s="17">
        <f>IF(OR(M105="",I105=""),"",IF(M105*I105&lt;=0,"",IFERROR(M105/I105-1,"")))</f>
        <v/>
      </c>
      <c r="N106" s="17">
        <f>IF(OR(N105="",J105=""),"",IF(N105*J105&lt;=0,"",IFERROR(N105/J105-1,"")))</f>
        <v/>
      </c>
      <c r="T106" s="17">
        <f>IF(OR(T105="",S105=""),"",IF(T105*S105&lt;=0,"",IFERROR(T105/S105-1,"")))</f>
        <v/>
      </c>
      <c r="U106" s="17">
        <f>IF(OR(U105="",T105=""),"",IF(U105*T105&lt;=0,"",IFERROR(U105/T105-1,"")))</f>
        <v/>
      </c>
      <c r="V106" s="17">
        <f>IF(OR(V105="",U105=""),"",IF(V105*U105&lt;=0,"",IFERROR(V105/U105-1,"")))</f>
        <v/>
      </c>
      <c r="W106" s="17">
        <f>IF(OR(W105="",V105=""),"",IF(W105*V105&lt;=0,"",IFERROR(W105/V105-1,"")))</f>
        <v/>
      </c>
      <c r="X106" s="17">
        <f>IF(OR(X105="",W105=""),"",IF(X105*W105&lt;=0,"",IFERROR(X105/W105-1,"")))</f>
        <v/>
      </c>
    </row>
    <row r="107">
      <c r="A107" s="20" t="inlineStr">
        <is>
          <t>이자비용</t>
        </is>
      </c>
      <c r="C107" s="22" t="n">
        <v>0.763</v>
      </c>
      <c r="D107" s="22" t="n">
        <v>0.646</v>
      </c>
      <c r="E107" s="22" t="n">
        <v>0.9340000000000001</v>
      </c>
      <c r="F107" s="22" t="n">
        <v>0.663</v>
      </c>
      <c r="G107" s="22" t="n">
        <v>0.756</v>
      </c>
      <c r="H107" s="22" t="n">
        <v>0.509</v>
      </c>
      <c r="I107" s="22" t="n">
        <v>0.611</v>
      </c>
      <c r="J107" s="22" t="n">
        <v>0.42</v>
      </c>
      <c r="K107" s="22" t="n">
        <v>0.5590000000000001</v>
      </c>
      <c r="L107" s="22" t="n">
        <v>0.984</v>
      </c>
      <c r="M107" s="22" t="n">
        <v>1.006</v>
      </c>
      <c r="N107" s="22" t="n">
        <v>2.876</v>
      </c>
      <c r="T107" s="22" t="n">
        <v>0.47</v>
      </c>
      <c r="U107" s="22" t="n">
        <v>0.5600000000000001</v>
      </c>
      <c r="V107" s="22" t="n">
        <v>0.663</v>
      </c>
      <c r="W107" s="22" t="n">
        <v>0.42</v>
      </c>
      <c r="X107" s="22" t="n">
        <v>2.876</v>
      </c>
    </row>
    <row r="108">
      <c r="A108" s="20" t="inlineStr">
        <is>
          <t>소송 관련 비용</t>
        </is>
      </c>
      <c r="F108" s="22" t="n">
        <v>0</v>
      </c>
      <c r="U108" s="22" t="n">
        <v>0</v>
      </c>
      <c r="V108" s="22" t="n">
        <v>0</v>
      </c>
    </row>
    <row r="109">
      <c r="A109" s="20" t="inlineStr">
        <is>
          <t>외환차손</t>
        </is>
      </c>
      <c r="C109" s="22" t="n">
        <v>4.463</v>
      </c>
      <c r="G109" s="22" t="n">
        <v>24.436</v>
      </c>
      <c r="H109" s="22" t="n">
        <v>-24.436</v>
      </c>
      <c r="I109" s="22" t="n">
        <v>0</v>
      </c>
      <c r="J109" s="22" t="n">
        <v>0</v>
      </c>
      <c r="K109" s="22" t="n">
        <v>20.396</v>
      </c>
      <c r="L109" s="22" t="n">
        <v>2.38</v>
      </c>
      <c r="M109" s="22" t="n">
        <v>4.489</v>
      </c>
      <c r="N109" s="22" t="n">
        <v>-2.16</v>
      </c>
      <c r="T109" s="22" t="n">
        <v>-45.489</v>
      </c>
      <c r="W109" s="22" t="n">
        <v>0</v>
      </c>
      <c r="X109" s="22" t="n">
        <v>-2.16</v>
      </c>
    </row>
    <row r="110">
      <c r="A110" s="20" t="inlineStr">
        <is>
          <t>익명조합 투자손실</t>
        </is>
      </c>
      <c r="I110" s="22" t="n">
        <v>0</v>
      </c>
      <c r="J110" s="22" t="n">
        <v>0</v>
      </c>
      <c r="M110" s="22" t="n">
        <v>0</v>
      </c>
      <c r="N110" s="22" t="n">
        <v>0</v>
      </c>
      <c r="W110" s="22" t="n">
        <v>0</v>
      </c>
      <c r="X110" s="22" t="n">
        <v>0</v>
      </c>
    </row>
    <row r="111">
      <c r="A111" s="20" t="inlineStr">
        <is>
          <t>기타</t>
        </is>
      </c>
      <c r="C111" s="22" t="n">
        <v>0.051</v>
      </c>
      <c r="D111" s="22" t="n">
        <v>-0.046</v>
      </c>
      <c r="E111" s="22" t="n">
        <v>0</v>
      </c>
      <c r="F111" s="22" t="n">
        <v>0</v>
      </c>
      <c r="G111" s="22" t="n">
        <v>0.201</v>
      </c>
      <c r="H111" s="22" t="n">
        <v>0.06</v>
      </c>
      <c r="I111" s="22" t="n">
        <v>0.089</v>
      </c>
      <c r="J111" s="22" t="n">
        <v>-0.18</v>
      </c>
      <c r="K111" s="22" t="n">
        <v>0.008999999999999999</v>
      </c>
      <c r="L111" s="22" t="n">
        <v>0.58</v>
      </c>
      <c r="M111" s="22" t="n">
        <v>0.236</v>
      </c>
      <c r="N111" s="22" t="n">
        <v>7.318</v>
      </c>
      <c r="T111" s="22" t="n">
        <v>-0.014</v>
      </c>
      <c r="U111" s="22" t="n">
        <v>0.035</v>
      </c>
      <c r="V111" s="22" t="n">
        <v>0</v>
      </c>
      <c r="W111" s="22" t="n">
        <v>-0.18</v>
      </c>
      <c r="X111" s="22" t="n">
        <v>7.318</v>
      </c>
    </row>
    <row r="112">
      <c r="A112" s="20" t="inlineStr">
        <is>
          <t>영업외비용 합계</t>
        </is>
      </c>
      <c r="C112" s="22" t="n">
        <v>5.278</v>
      </c>
      <c r="D112" s="22" t="n">
        <v>-3.864</v>
      </c>
      <c r="E112" s="22" t="n">
        <v>11.733</v>
      </c>
      <c r="F112" s="22" t="n">
        <v>1.817</v>
      </c>
      <c r="G112" s="22" t="n">
        <v>25.394</v>
      </c>
      <c r="H112" s="22" t="n">
        <v>-23.868</v>
      </c>
      <c r="I112" s="22" t="n">
        <v>0.701</v>
      </c>
      <c r="J112" s="22" t="n">
        <v>1.071</v>
      </c>
      <c r="K112" s="22" t="n">
        <v>20.964</v>
      </c>
      <c r="L112" s="22" t="n">
        <v>11.98</v>
      </c>
      <c r="M112" s="22" t="n">
        <v>5.731</v>
      </c>
      <c r="N112" s="22" t="n">
        <v>8.035</v>
      </c>
      <c r="T112" s="22" t="n">
        <v>-45.033</v>
      </c>
      <c r="U112" s="22" t="n">
        <v>0.595</v>
      </c>
      <c r="V112" s="22" t="n">
        <v>1.817</v>
      </c>
      <c r="W112" s="22" t="n">
        <v>1.071</v>
      </c>
      <c r="X112" s="22" t="n">
        <v>8.035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G113" s="17">
        <f>IF(OR(G112="",C112=""),"",IF(G112*C112&lt;=0,"",IFERROR(G112/C112-1,"")))</f>
        <v/>
      </c>
      <c r="H113" s="17">
        <f>IF(OR(H112="",D112=""),"",IF(H112*D112&lt;=0,"",IFERROR(H112/D112-1,"")))</f>
        <v/>
      </c>
      <c r="I113" s="17">
        <f>IF(OR(I112="",E112=""),"",IF(I112*E112&lt;=0,"",IFERROR(I112/E112-1,"")))</f>
        <v/>
      </c>
      <c r="J113" s="17">
        <f>IF(OR(J112="",F112=""),"",IF(J112*F112&lt;=0,"",IFERROR(J112/F112-1,"")))</f>
        <v/>
      </c>
      <c r="K113" s="17">
        <f>IF(OR(K112="",G112=""),"",IF(K112*G112&lt;=0,"",IFERROR(K112/G112-1,"")))</f>
        <v/>
      </c>
      <c r="L113" s="17">
        <f>IF(OR(L112="",H112=""),"",IF(L112*H112&lt;=0,"",IFERROR(L112/H112-1,"")))</f>
        <v/>
      </c>
      <c r="M113" s="17">
        <f>IF(OR(M112="",I112=""),"",IF(M112*I112&lt;=0,"",IFERROR(M112/I112-1,"")))</f>
        <v/>
      </c>
      <c r="N113" s="17">
        <f>IF(OR(N112="",J112=""),"",IF(N112*J112&lt;=0,"",IFERROR(N112/J112-1,"")))</f>
        <v/>
      </c>
      <c r="T113" s="17">
        <f>IF(OR(T112="",S112=""),"",IF(T112*S112&lt;=0,"",IFERROR(T112/S112-1,"")))</f>
        <v/>
      </c>
      <c r="U113" s="17">
        <f>IF(OR(U112="",T112=""),"",IF(U112*T112&lt;=0,"",IFERROR(U112/T112-1,"")))</f>
        <v/>
      </c>
      <c r="V113" s="17">
        <f>IF(OR(V112="",U112=""),"",IF(V112*U112&lt;=0,"",IFERROR(V112/U112-1,"")))</f>
        <v/>
      </c>
      <c r="W113" s="17">
        <f>IF(OR(W112="",V112=""),"",IF(W112*V112&lt;=0,"",IFERROR(W112/V112-1,"")))</f>
        <v/>
      </c>
      <c r="X113" s="17">
        <f>IF(OR(X112="",W112=""),"",IF(X112*W112&lt;=0,"",IFERROR(X112/W112-1,"")))</f>
        <v/>
      </c>
    </row>
    <row r="114">
      <c r="A114" s="9" t="inlineStr">
        <is>
          <t>경상이익</t>
        </is>
      </c>
      <c r="C114" s="12" t="n">
        <v>1518.33</v>
      </c>
      <c r="D114" s="12" t="n">
        <v>1339.425</v>
      </c>
      <c r="E114" s="12" t="n">
        <v>1309.388</v>
      </c>
      <c r="F114" s="12" t="n">
        <v>1458.22</v>
      </c>
      <c r="G114" s="12" t="n">
        <v>1567.451</v>
      </c>
      <c r="H114" s="12" t="n">
        <v>1351.259</v>
      </c>
      <c r="I114" s="12" t="n">
        <v>1622.15</v>
      </c>
      <c r="J114" s="12" t="n">
        <v>1470.975</v>
      </c>
      <c r="K114" s="12" t="n">
        <v>1859.999</v>
      </c>
      <c r="L114" s="12" t="n">
        <v>1389.217</v>
      </c>
      <c r="M114" s="12" t="n">
        <v>1786.242</v>
      </c>
      <c r="N114" s="12" t="n">
        <v>1554.648</v>
      </c>
      <c r="T114" s="12" t="n">
        <v>848.016</v>
      </c>
      <c r="U114" s="12" t="n">
        <v>986.222</v>
      </c>
      <c r="V114" s="12" t="n">
        <v>1458.22</v>
      </c>
      <c r="W114" s="12" t="n">
        <v>1470.975</v>
      </c>
      <c r="X114" s="12" t="n">
        <v>1554.648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G115" s="17">
        <f>IF(OR(G114="",C114=""),"",IF(C114&lt;=0,"",IFERROR(G114/C114-1,"")))</f>
        <v/>
      </c>
      <c r="H115" s="17">
        <f>IF(OR(H114="",D114=""),"",IF(D114&lt;=0,"",IFERROR(H114/D114-1,"")))</f>
        <v/>
      </c>
      <c r="I115" s="17">
        <f>IF(OR(I114="",E114=""),"",IF(E114&lt;=0,"",IFERROR(I114/E114-1,"")))</f>
        <v/>
      </c>
      <c r="J115" s="17">
        <f>IF(OR(J114="",F114=""),"",IF(F114&lt;=0,"",IFERROR(J114/F114-1,"")))</f>
        <v/>
      </c>
      <c r="K115" s="17">
        <f>IF(OR(K114="",G114=""),"",IF(G114&lt;=0,"",IFERROR(K114/G114-1,"")))</f>
        <v/>
      </c>
      <c r="L115" s="17">
        <f>IF(OR(L114="",H114=""),"",IF(H114&lt;=0,"",IFERROR(L114/H114-1,"")))</f>
        <v/>
      </c>
      <c r="M115" s="17">
        <f>IF(OR(M114="",I114=""),"",IF(I114&lt;=0,"",IFERROR(M114/I114-1,"")))</f>
        <v/>
      </c>
      <c r="N115" s="17">
        <f>IF(OR(N114="",J114=""),"",IF(J114&lt;=0,"",IFERROR(N114/J114-1,"")))</f>
        <v/>
      </c>
      <c r="T115" s="17">
        <f>IF(OR(T114="",S114=""),"",IF(S114&lt;=0,"",IFERROR(T114/S114-1,"")))</f>
        <v/>
      </c>
      <c r="U115" s="17">
        <f>IF(OR(U114="",T114=""),"",IF(T114&lt;=0,"",IFERROR(U114/T114-1,"")))</f>
        <v/>
      </c>
      <c r="V115" s="17">
        <f>IF(OR(V114="",U114=""),"",IF(U114&lt;=0,"",IFERROR(V114/U114-1,"")))</f>
        <v/>
      </c>
      <c r="W115" s="17">
        <f>IF(OR(W114="",V114=""),"",IF(V114&lt;=0,"",IFERROR(W114/V114-1,"")))</f>
        <v/>
      </c>
      <c r="X115" s="17">
        <f>IF(OR(X114="",W114=""),"",IF(W114&lt;=0,"",IFERROR(X114/W114-1,"")))</f>
        <v/>
      </c>
    </row>
    <row r="116">
      <c r="A116" s="20" t="inlineStr">
        <is>
          <t>고정자산 매각이익</t>
        </is>
      </c>
      <c r="E116" s="22" t="n">
        <v>0</v>
      </c>
      <c r="F116" s="22" t="n">
        <v>2.615</v>
      </c>
      <c r="T116" s="22" t="n">
        <v>0</v>
      </c>
      <c r="U116" s="22" t="n">
        <v>0</v>
      </c>
      <c r="V116" s="22" t="n">
        <v>2.615</v>
      </c>
    </row>
    <row r="117">
      <c r="A117" s="20" t="inlineStr">
        <is>
          <t>보험금 수익</t>
        </is>
      </c>
      <c r="G117" s="22" t="n">
        <v>0</v>
      </c>
      <c r="H117" s="22" t="n">
        <v>0</v>
      </c>
      <c r="I117" s="22" t="n">
        <v>0</v>
      </c>
      <c r="J117" s="22" t="n">
        <v>0</v>
      </c>
      <c r="K117" s="22" t="n">
        <v>4.026</v>
      </c>
      <c r="L117" s="22" t="n">
        <v>0.539</v>
      </c>
      <c r="M117" s="22" t="n">
        <v>33.513</v>
      </c>
      <c r="N117" s="22" t="n">
        <v>0.605</v>
      </c>
      <c r="T117" s="22" t="n">
        <v>0</v>
      </c>
      <c r="U117" s="22" t="n">
        <v>0</v>
      </c>
      <c r="W117" s="22" t="n">
        <v>0</v>
      </c>
      <c r="X117" s="22" t="n">
        <v>0.605</v>
      </c>
    </row>
    <row r="118">
      <c r="A118" s="20" t="inlineStr">
        <is>
          <t>고정자산 수증이익</t>
        </is>
      </c>
      <c r="C118" s="22" t="n">
        <v>0</v>
      </c>
      <c r="D118" s="22" t="n">
        <v>0</v>
      </c>
      <c r="G118" s="22" t="n">
        <v>26.997</v>
      </c>
      <c r="H118" s="22" t="n">
        <v>0</v>
      </c>
      <c r="I118" s="22" t="n">
        <v>0</v>
      </c>
      <c r="J118" s="22" t="n">
        <v>0</v>
      </c>
      <c r="K118" s="22" t="n">
        <v>0</v>
      </c>
      <c r="L118" s="22" t="n">
        <v>0</v>
      </c>
      <c r="M118" s="22" t="n">
        <v>0</v>
      </c>
      <c r="N118" s="22" t="n">
        <v>0</v>
      </c>
      <c r="W118" s="22" t="n">
        <v>0</v>
      </c>
      <c r="X118" s="22" t="n">
        <v>0</v>
      </c>
    </row>
    <row r="119">
      <c r="A119" s="20" t="inlineStr">
        <is>
          <t>투자유가증권 매각이익</t>
        </is>
      </c>
      <c r="I119" s="22" t="n">
        <v>0</v>
      </c>
      <c r="J119" s="22" t="n">
        <v>26.885</v>
      </c>
      <c r="M119" s="22" t="n">
        <v>90.931</v>
      </c>
      <c r="N119" s="22" t="n">
        <v>0</v>
      </c>
      <c r="W119" s="22" t="n">
        <v>26.885</v>
      </c>
      <c r="X119" s="22" t="n">
        <v>0</v>
      </c>
    </row>
    <row r="120">
      <c r="A120" s="20" t="inlineStr">
        <is>
          <t>특별이익 합계</t>
        </is>
      </c>
      <c r="C120" s="22" t="n">
        <v>0</v>
      </c>
      <c r="D120" s="22" t="n">
        <v>0</v>
      </c>
      <c r="E120" s="22" t="n">
        <v>0</v>
      </c>
      <c r="F120" s="22" t="n">
        <v>3.201</v>
      </c>
      <c r="G120" s="22" t="n">
        <v>26.997</v>
      </c>
      <c r="H120" s="22" t="n">
        <v>45.391</v>
      </c>
      <c r="I120" s="22" t="n">
        <v>0</v>
      </c>
      <c r="J120" s="22" t="n">
        <v>26.885</v>
      </c>
      <c r="K120" s="22" t="n">
        <v>4.026</v>
      </c>
      <c r="L120" s="22" t="n">
        <v>0.539</v>
      </c>
      <c r="M120" s="22" t="n">
        <v>124.444</v>
      </c>
      <c r="N120" s="22" t="n">
        <v>18.049</v>
      </c>
      <c r="T120" s="22" t="n">
        <v>0</v>
      </c>
      <c r="U120" s="22" t="n">
        <v>0</v>
      </c>
      <c r="V120" s="22" t="n">
        <v>3.201</v>
      </c>
      <c r="W120" s="22" t="n">
        <v>26.885</v>
      </c>
      <c r="X120" s="22" t="n">
        <v>18.049</v>
      </c>
    </row>
    <row r="121">
      <c r="A121" s="45" t="inlineStr">
        <is>
          <t>YoY</t>
        </is>
      </c>
      <c r="B121" s="3" t="inlineStr">
        <is>
          <t>전년 같은 분기·전년 대비</t>
        </is>
      </c>
      <c r="G121" s="17">
        <f>IF(OR(G120="",C120=""),"",IF(G120*C120&lt;=0,"",IFERROR(G120/C120-1,"")))</f>
        <v/>
      </c>
      <c r="H121" s="17">
        <f>IF(OR(H120="",D120=""),"",IF(H120*D120&lt;=0,"",IFERROR(H120/D120-1,"")))</f>
        <v/>
      </c>
      <c r="I121" s="17">
        <f>IF(OR(I120="",E120=""),"",IF(I120*E120&lt;=0,"",IFERROR(I120/E120-1,"")))</f>
        <v/>
      </c>
      <c r="J121" s="17">
        <f>IF(OR(J120="",F120=""),"",IF(J120*F120&lt;=0,"",IFERROR(J120/F120-1,"")))</f>
        <v/>
      </c>
      <c r="K121" s="17">
        <f>IF(OR(K120="",G120=""),"",IF(K120*G120&lt;=0,"",IFERROR(K120/G120-1,"")))</f>
        <v/>
      </c>
      <c r="L121" s="17">
        <f>IF(OR(L120="",H120=""),"",IF(L120*H120&lt;=0,"",IFERROR(L120/H120-1,"")))</f>
        <v/>
      </c>
      <c r="M121" s="17">
        <f>IF(OR(M120="",I120=""),"",IF(M120*I120&lt;=0,"",IFERROR(M120/I120-1,"")))</f>
        <v/>
      </c>
      <c r="N121" s="17">
        <f>IF(OR(N120="",J120=""),"",IF(N120*J120&lt;=0,"",IFERROR(N120/J120-1,"")))</f>
        <v/>
      </c>
      <c r="T121" s="17">
        <f>IF(OR(T120="",S120=""),"",IF(T120*S120&lt;=0,"",IFERROR(T120/S120-1,"")))</f>
        <v/>
      </c>
      <c r="U121" s="17">
        <f>IF(OR(U120="",T120=""),"",IF(U120*T120&lt;=0,"",IFERROR(U120/T120-1,"")))</f>
        <v/>
      </c>
      <c r="V121" s="17">
        <f>IF(OR(V120="",U120=""),"",IF(V120*U120&lt;=0,"",IFERROR(V120/U120-1,"")))</f>
        <v/>
      </c>
      <c r="W121" s="17">
        <f>IF(OR(W120="",V120=""),"",IF(W120*V120&lt;=0,"",IFERROR(W120/V120-1,"")))</f>
        <v/>
      </c>
      <c r="X121" s="17">
        <f>IF(OR(X120="",W120=""),"",IF(X120*W120&lt;=0,"",IFERROR(X120/W120-1,"")))</f>
        <v/>
      </c>
    </row>
    <row r="122">
      <c r="A122" s="20" t="inlineStr">
        <is>
          <t>고정자산 매각손실</t>
        </is>
      </c>
      <c r="F122" s="22" t="n">
        <v>0</v>
      </c>
      <c r="T122" s="22" t="n">
        <v>0</v>
      </c>
      <c r="U122" s="22" t="n">
        <v>0.058</v>
      </c>
      <c r="V122" s="22" t="n">
        <v>0</v>
      </c>
    </row>
    <row r="123">
      <c r="A123" s="20" t="inlineStr">
        <is>
          <t>고정자산 제각손실</t>
        </is>
      </c>
      <c r="C123" s="22" t="n">
        <v>0</v>
      </c>
      <c r="D123" s="22" t="n">
        <v>0.018</v>
      </c>
      <c r="E123" s="22" t="n">
        <v>0</v>
      </c>
      <c r="F123" s="22" t="n">
        <v>0</v>
      </c>
      <c r="G123" s="22" t="n">
        <v>0.354</v>
      </c>
      <c r="H123" s="22" t="n">
        <v>0</v>
      </c>
      <c r="I123" s="22" t="n">
        <v>0.356</v>
      </c>
      <c r="J123" s="22" t="n">
        <v>0</v>
      </c>
      <c r="K123" s="22" t="n">
        <v>2.126</v>
      </c>
      <c r="L123" s="22" t="n">
        <v>0</v>
      </c>
      <c r="M123" s="22" t="n">
        <v>0</v>
      </c>
      <c r="N123" s="22" t="n">
        <v>1.148</v>
      </c>
      <c r="T123" s="22" t="n">
        <v>0</v>
      </c>
      <c r="U123" s="22" t="n">
        <v>0.051</v>
      </c>
      <c r="V123" s="22" t="n">
        <v>0</v>
      </c>
      <c r="W123" s="22" t="n">
        <v>0</v>
      </c>
      <c r="X123" s="22" t="n">
        <v>1.148</v>
      </c>
    </row>
    <row r="124">
      <c r="A124" s="20" t="inlineStr">
        <is>
          <t>재고자산 폐기손실</t>
        </is>
      </c>
      <c r="F124" s="22" t="n">
        <v>0</v>
      </c>
      <c r="I124" s="22" t="n">
        <v>0</v>
      </c>
      <c r="J124" s="22" t="n">
        <v>0</v>
      </c>
      <c r="M124" s="22" t="n">
        <v>0</v>
      </c>
      <c r="N124" s="22" t="n">
        <v>0</v>
      </c>
      <c r="T124" s="22" t="n">
        <v>0</v>
      </c>
      <c r="U124" s="22" t="n">
        <v>0</v>
      </c>
      <c r="V124" s="22" t="n">
        <v>0</v>
      </c>
      <c r="W124" s="22" t="n">
        <v>0</v>
      </c>
      <c r="X124" s="22" t="n">
        <v>0</v>
      </c>
    </row>
    <row r="125">
      <c r="A125" s="20" t="inlineStr">
        <is>
          <t>특별손실 합계</t>
        </is>
      </c>
      <c r="C125" s="22" t="n">
        <v>0</v>
      </c>
      <c r="D125" s="22" t="n">
        <v>0.018</v>
      </c>
      <c r="E125" s="22" t="n">
        <v>0</v>
      </c>
      <c r="F125" s="22" t="n">
        <v>0</v>
      </c>
      <c r="G125" s="22" t="n">
        <v>0.354</v>
      </c>
      <c r="H125" s="22" t="n">
        <v>0</v>
      </c>
      <c r="I125" s="22" t="n">
        <v>0.356</v>
      </c>
      <c r="J125" s="22" t="n">
        <v>0</v>
      </c>
      <c r="K125" s="22" t="n">
        <v>2.126</v>
      </c>
      <c r="L125" s="22" t="n">
        <v>30.51</v>
      </c>
      <c r="M125" s="22" t="n">
        <v>0</v>
      </c>
      <c r="N125" s="22" t="n">
        <v>21.834</v>
      </c>
      <c r="T125" s="22" t="n">
        <v>0</v>
      </c>
      <c r="U125" s="22" t="n">
        <v>0.11</v>
      </c>
      <c r="V125" s="22" t="n">
        <v>0</v>
      </c>
      <c r="W125" s="22" t="n">
        <v>0</v>
      </c>
      <c r="X125" s="22" t="n">
        <v>21.834</v>
      </c>
    </row>
    <row r="126">
      <c r="A126" s="45" t="inlineStr">
        <is>
          <t>YoY</t>
        </is>
      </c>
      <c r="B126" s="3" t="inlineStr">
        <is>
          <t>전년 같은 분기·전년 대비</t>
        </is>
      </c>
      <c r="G126" s="17">
        <f>IF(OR(G125="",C125=""),"",IF(G125*C125&lt;=0,"",IFERROR(G125/C125-1,"")))</f>
        <v/>
      </c>
      <c r="H126" s="17">
        <f>IF(OR(H125="",D125=""),"",IF(H125*D125&lt;=0,"",IFERROR(H125/D125-1,"")))</f>
        <v/>
      </c>
      <c r="I126" s="17">
        <f>IF(OR(I125="",E125=""),"",IF(I125*E125&lt;=0,"",IFERROR(I125/E125-1,"")))</f>
        <v/>
      </c>
      <c r="J126" s="17">
        <f>IF(OR(J125="",F125=""),"",IF(J125*F125&lt;=0,"",IFERROR(J125/F125-1,"")))</f>
        <v/>
      </c>
      <c r="K126" s="17">
        <f>IF(OR(K125="",G125=""),"",IF(K125*G125&lt;=0,"",IFERROR(K125/G125-1,"")))</f>
        <v/>
      </c>
      <c r="L126" s="17">
        <f>IF(OR(L125="",H125=""),"",IF(L125*H125&lt;=0,"",IFERROR(L125/H125-1,"")))</f>
        <v/>
      </c>
      <c r="M126" s="17">
        <f>IF(OR(M125="",I125=""),"",IF(M125*I125&lt;=0,"",IFERROR(M125/I125-1,"")))</f>
        <v/>
      </c>
      <c r="N126" s="17">
        <f>IF(OR(N125="",J125=""),"",IF(N125*J125&lt;=0,"",IFERROR(N125/J125-1,"")))</f>
        <v/>
      </c>
      <c r="T126" s="17">
        <f>IF(OR(T125="",S125=""),"",IF(T125*S125&lt;=0,"",IFERROR(T125/S125-1,"")))</f>
        <v/>
      </c>
      <c r="U126" s="17">
        <f>IF(OR(U125="",T125=""),"",IF(U125*T125&lt;=0,"",IFERROR(U125/T125-1,"")))</f>
        <v/>
      </c>
      <c r="V126" s="17">
        <f>IF(OR(V125="",U125=""),"",IF(V125*U125&lt;=0,"",IFERROR(V125/U125-1,"")))</f>
        <v/>
      </c>
      <c r="W126" s="17">
        <f>IF(OR(W125="",V125=""),"",IF(W125*V125&lt;=0,"",IFERROR(W125/V125-1,"")))</f>
        <v/>
      </c>
      <c r="X126" s="17">
        <f>IF(OR(X125="",W125=""),"",IF(X125*W125&lt;=0,"",IFERROR(X125/W125-1,"")))</f>
        <v/>
      </c>
    </row>
    <row r="127">
      <c r="A127" s="9" t="inlineStr">
        <is>
          <t>법인세차감전 순이익</t>
        </is>
      </c>
      <c r="C127" s="12" t="n">
        <v>1518.33</v>
      </c>
      <c r="D127" s="12" t="n">
        <v>1339.407</v>
      </c>
      <c r="E127" s="12" t="n">
        <v>1309.388</v>
      </c>
      <c r="F127" s="12" t="n">
        <v>1461.421</v>
      </c>
      <c r="G127" s="12" t="n">
        <v>1594.094</v>
      </c>
      <c r="H127" s="12" t="n">
        <v>1396.65</v>
      </c>
      <c r="I127" s="12" t="n">
        <v>1621.794</v>
      </c>
      <c r="J127" s="12" t="n">
        <v>1497.86</v>
      </c>
      <c r="K127" s="12" t="n">
        <v>1861.899</v>
      </c>
      <c r="L127" s="12" t="n">
        <v>1359.247</v>
      </c>
      <c r="M127" s="12" t="n">
        <v>1910.686</v>
      </c>
      <c r="N127" s="12" t="n">
        <v>1550.863</v>
      </c>
      <c r="T127" s="12" t="n">
        <v>848.016</v>
      </c>
      <c r="U127" s="12" t="n">
        <v>986.112</v>
      </c>
      <c r="V127" s="12" t="n">
        <v>1461.421</v>
      </c>
      <c r="W127" s="12" t="n">
        <v>1497.86</v>
      </c>
      <c r="X127" s="12" t="n">
        <v>1550.863</v>
      </c>
    </row>
    <row r="128">
      <c r="A128" s="45" t="inlineStr">
        <is>
          <t>YoY</t>
        </is>
      </c>
      <c r="B128" s="3" t="inlineStr">
        <is>
          <t>전년 같은 분기·전년 대비</t>
        </is>
      </c>
      <c r="G128" s="17">
        <f>IF(OR(G127="",C127=""),"",IF(C127&lt;=0,"",IFERROR(G127/C127-1,"")))</f>
        <v/>
      </c>
      <c r="H128" s="17">
        <f>IF(OR(H127="",D127=""),"",IF(D127&lt;=0,"",IFERROR(H127/D127-1,"")))</f>
        <v/>
      </c>
      <c r="I128" s="17">
        <f>IF(OR(I127="",E127=""),"",IF(E127&lt;=0,"",IFERROR(I127/E127-1,"")))</f>
        <v/>
      </c>
      <c r="J128" s="17">
        <f>IF(OR(J127="",F127=""),"",IF(F127&lt;=0,"",IFERROR(J127/F127-1,"")))</f>
        <v/>
      </c>
      <c r="K128" s="17">
        <f>IF(OR(K127="",G127=""),"",IF(G127&lt;=0,"",IFERROR(K127/G127-1,"")))</f>
        <v/>
      </c>
      <c r="L128" s="17">
        <f>IF(OR(L127="",H127=""),"",IF(H127&lt;=0,"",IFERROR(L127/H127-1,"")))</f>
        <v/>
      </c>
      <c r="M128" s="17">
        <f>IF(OR(M127="",I127=""),"",IF(I127&lt;=0,"",IFERROR(M127/I127-1,"")))</f>
        <v/>
      </c>
      <c r="N128" s="17">
        <f>IF(OR(N127="",J127=""),"",IF(J127&lt;=0,"",IFERROR(N127/J127-1,"")))</f>
        <v/>
      </c>
      <c r="T128" s="17">
        <f>IF(OR(T127="",S127=""),"",IF(S127&lt;=0,"",IFERROR(T127/S127-1,"")))</f>
        <v/>
      </c>
      <c r="U128" s="17">
        <f>IF(OR(U127="",T127=""),"",IF(T127&lt;=0,"",IFERROR(U127/T127-1,"")))</f>
        <v/>
      </c>
      <c r="V128" s="17">
        <f>IF(OR(V127="",U127=""),"",IF(U127&lt;=0,"",IFERROR(V127/U127-1,"")))</f>
        <v/>
      </c>
      <c r="W128" s="17">
        <f>IF(OR(W127="",V127=""),"",IF(V127&lt;=0,"",IFERROR(W127/V127-1,"")))</f>
        <v/>
      </c>
      <c r="X128" s="17">
        <f>IF(OR(X127="",W127=""),"",IF(W127&lt;=0,"",IFERROR(X127/W127-1,"")))</f>
        <v/>
      </c>
    </row>
    <row r="129">
      <c r="A129" s="20" t="inlineStr">
        <is>
          <t>법인세·주민세·사업세</t>
        </is>
      </c>
      <c r="C129" s="22" t="n">
        <v>396.482</v>
      </c>
      <c r="D129" s="22" t="n">
        <v>535.51</v>
      </c>
      <c r="E129" s="22" t="n">
        <v>374.07</v>
      </c>
      <c r="F129" s="22" t="n">
        <v>527.836</v>
      </c>
      <c r="G129" s="22" t="n">
        <v>462.153</v>
      </c>
      <c r="H129" s="22" t="n">
        <v>526.401</v>
      </c>
      <c r="I129" s="22" t="n">
        <v>474.217</v>
      </c>
      <c r="J129" s="22" t="n">
        <v>546.769</v>
      </c>
      <c r="K129" s="22" t="n">
        <v>548.019</v>
      </c>
      <c r="L129" s="22" t="n">
        <v>550.893</v>
      </c>
      <c r="M129" s="22" t="n">
        <v>571.753</v>
      </c>
      <c r="N129" s="22" t="n">
        <v>504.535</v>
      </c>
      <c r="T129" s="22" t="n">
        <v>355.547</v>
      </c>
      <c r="U129" s="22" t="n">
        <v>340.264</v>
      </c>
      <c r="V129" s="22" t="n">
        <v>527.836</v>
      </c>
      <c r="W129" s="22" t="n">
        <v>546.769</v>
      </c>
      <c r="X129" s="22" t="n">
        <v>504.535</v>
      </c>
    </row>
    <row r="130">
      <c r="A130" s="20" t="inlineStr">
        <is>
          <t>법인세 조정액</t>
        </is>
      </c>
      <c r="C130" s="22" t="n">
        <v>118.996</v>
      </c>
      <c r="D130" s="22" t="n">
        <v>-85.598</v>
      </c>
      <c r="E130" s="22" t="n">
        <v>76.41200000000001</v>
      </c>
      <c r="F130" s="22" t="n">
        <v>-78.764</v>
      </c>
      <c r="G130" s="22" t="n">
        <v>86.473</v>
      </c>
      <c r="H130" s="22" t="n">
        <v>-50.92</v>
      </c>
      <c r="I130" s="22" t="n">
        <v>72.82899999999999</v>
      </c>
      <c r="J130" s="22" t="n">
        <v>-85.92700000000001</v>
      </c>
      <c r="K130" s="22" t="n">
        <v>91.021</v>
      </c>
      <c r="L130" s="22" t="n">
        <v>-86.223</v>
      </c>
      <c r="M130" s="22" t="n">
        <v>78.425</v>
      </c>
      <c r="N130" s="22" t="n">
        <v>-105.586</v>
      </c>
      <c r="T130" s="22" t="n">
        <v>-78.50700000000001</v>
      </c>
      <c r="U130" s="22" t="n">
        <v>-136.67</v>
      </c>
      <c r="V130" s="22" t="n">
        <v>-78.764</v>
      </c>
      <c r="W130" s="22" t="n">
        <v>-85.92700000000001</v>
      </c>
      <c r="X130" s="22" t="n">
        <v>-105.586</v>
      </c>
    </row>
    <row r="131">
      <c r="A131" s="20" t="inlineStr">
        <is>
          <t>법인세 등 합계</t>
        </is>
      </c>
      <c r="C131" s="22" t="n">
        <v>515.479</v>
      </c>
      <c r="D131" s="22" t="n">
        <v>449.912</v>
      </c>
      <c r="E131" s="22" t="n">
        <v>450.481</v>
      </c>
      <c r="F131" s="22" t="n">
        <v>449.072</v>
      </c>
      <c r="G131" s="22" t="n">
        <v>548.626</v>
      </c>
      <c r="H131" s="22" t="n">
        <v>475.481</v>
      </c>
      <c r="I131" s="22" t="n">
        <v>547.046</v>
      </c>
      <c r="J131" s="22" t="n">
        <v>460.842</v>
      </c>
      <c r="K131" s="22" t="n">
        <v>639.04</v>
      </c>
      <c r="L131" s="22" t="n">
        <v>464.67</v>
      </c>
      <c r="M131" s="22" t="n">
        <v>650.178</v>
      </c>
      <c r="N131" s="22" t="n">
        <v>398.948</v>
      </c>
      <c r="T131" s="22" t="n">
        <v>277.038</v>
      </c>
      <c r="U131" s="22" t="n">
        <v>203.595</v>
      </c>
      <c r="V131" s="22" t="n">
        <v>449.072</v>
      </c>
      <c r="W131" s="22" t="n">
        <v>460.842</v>
      </c>
      <c r="X131" s="22" t="n">
        <v>398.948</v>
      </c>
    </row>
    <row r="132">
      <c r="A132" s="45" t="inlineStr">
        <is>
          <t>YoY</t>
        </is>
      </c>
      <c r="B132" s="3" t="inlineStr">
        <is>
          <t>전년 같은 분기·전년 대비</t>
        </is>
      </c>
      <c r="G132" s="17">
        <f>IF(OR(G131="",C131=""),"",IF(G131*C131&lt;=0,"",IFERROR(G131/C131-1,"")))</f>
        <v/>
      </c>
      <c r="H132" s="17">
        <f>IF(OR(H131="",D131=""),"",IF(H131*D131&lt;=0,"",IFERROR(H131/D131-1,"")))</f>
        <v/>
      </c>
      <c r="I132" s="17">
        <f>IF(OR(I131="",E131=""),"",IF(I131*E131&lt;=0,"",IFERROR(I131/E131-1,"")))</f>
        <v/>
      </c>
      <c r="J132" s="17">
        <f>IF(OR(J131="",F131=""),"",IF(J131*F131&lt;=0,"",IFERROR(J131/F131-1,"")))</f>
        <v/>
      </c>
      <c r="K132" s="17">
        <f>IF(OR(K131="",G131=""),"",IF(K131*G131&lt;=0,"",IFERROR(K131/G131-1,"")))</f>
        <v/>
      </c>
      <c r="L132" s="17">
        <f>IF(OR(L131="",H131=""),"",IF(L131*H131&lt;=0,"",IFERROR(L131/H131-1,"")))</f>
        <v/>
      </c>
      <c r="M132" s="17">
        <f>IF(OR(M131="",I131=""),"",IF(M131*I131&lt;=0,"",IFERROR(M131/I131-1,"")))</f>
        <v/>
      </c>
      <c r="N132" s="17">
        <f>IF(OR(N131="",J131=""),"",IF(N131*J131&lt;=0,"",IFERROR(N131/J131-1,"")))</f>
        <v/>
      </c>
      <c r="T132" s="17">
        <f>IF(OR(T131="",S131=""),"",IF(T131*S131&lt;=0,"",IFERROR(T131/S131-1,"")))</f>
        <v/>
      </c>
      <c r="U132" s="17">
        <f>IF(OR(U131="",T131=""),"",IF(U131*T131&lt;=0,"",IFERROR(U131/T131-1,"")))</f>
        <v/>
      </c>
      <c r="V132" s="17">
        <f>IF(OR(V131="",U131=""),"",IF(V131*U131&lt;=0,"",IFERROR(V131/U131-1,"")))</f>
        <v/>
      </c>
      <c r="W132" s="17">
        <f>IF(OR(W131="",V131=""),"",IF(W131*V131&lt;=0,"",IFERROR(W131/V131-1,"")))</f>
        <v/>
      </c>
      <c r="X132" s="17">
        <f>IF(OR(X131="",W131=""),"",IF(X131*W131&lt;=0,"",IFERROR(X131/W131-1,"")))</f>
        <v/>
      </c>
    </row>
    <row r="133">
      <c r="A133" s="9" t="inlineStr">
        <is>
          <t>순이익</t>
        </is>
      </c>
      <c r="C133" s="12" t="n">
        <v>1002.851</v>
      </c>
      <c r="D133" s="12" t="n">
        <v>889.495</v>
      </c>
      <c r="E133" s="12" t="n">
        <v>858.9059999999999</v>
      </c>
      <c r="F133" s="12" t="n">
        <v>1012.349</v>
      </c>
      <c r="G133" s="12" t="n">
        <v>1045.467</v>
      </c>
      <c r="H133" s="12" t="n">
        <v>921.169</v>
      </c>
      <c r="I133" s="12" t="n">
        <v>1074.749</v>
      </c>
      <c r="J133" s="12" t="n">
        <v>1037.017</v>
      </c>
      <c r="K133" s="12" t="n">
        <v>1222.859</v>
      </c>
      <c r="L133" s="12" t="n">
        <v>894.576</v>
      </c>
      <c r="M133" s="12" t="n">
        <v>1260.508</v>
      </c>
      <c r="N133" s="12" t="n">
        <v>1151.915</v>
      </c>
      <c r="T133" s="12" t="n">
        <v>570.977</v>
      </c>
      <c r="U133" s="12" t="n">
        <v>782.5170000000001</v>
      </c>
      <c r="V133" s="12" t="n">
        <v>1012.349</v>
      </c>
      <c r="W133" s="12" t="n">
        <v>1037.017</v>
      </c>
      <c r="X133" s="12" t="n">
        <v>1151.915</v>
      </c>
    </row>
    <row r="134">
      <c r="A134" s="45" t="inlineStr">
        <is>
          <t>YoY</t>
        </is>
      </c>
      <c r="B134" s="3" t="inlineStr">
        <is>
          <t>전년 같은 분기·전년 대비</t>
        </is>
      </c>
      <c r="G134" s="17">
        <f>IF(OR(G133="",C133=""),"",IF(C133&lt;=0,"",IFERROR(G133/C133-1,"")))</f>
        <v/>
      </c>
      <c r="H134" s="17">
        <f>IF(OR(H133="",D133=""),"",IF(D133&lt;=0,"",IFERROR(H133/D133-1,"")))</f>
        <v/>
      </c>
      <c r="I134" s="17">
        <f>IF(OR(I133="",E133=""),"",IF(E133&lt;=0,"",IFERROR(I133/E133-1,"")))</f>
        <v/>
      </c>
      <c r="J134" s="17">
        <f>IF(OR(J133="",F133=""),"",IF(F133&lt;=0,"",IFERROR(J133/F133-1,"")))</f>
        <v/>
      </c>
      <c r="K134" s="17">
        <f>IF(OR(K133="",G133=""),"",IF(G133&lt;=0,"",IFERROR(K133/G133-1,"")))</f>
        <v/>
      </c>
      <c r="L134" s="17">
        <f>IF(OR(L133="",H133=""),"",IF(H133&lt;=0,"",IFERROR(L133/H133-1,"")))</f>
        <v/>
      </c>
      <c r="M134" s="17">
        <f>IF(OR(M133="",I133=""),"",IF(I133&lt;=0,"",IFERROR(M133/I133-1,"")))</f>
        <v/>
      </c>
      <c r="N134" s="17">
        <f>IF(OR(N133="",J133=""),"",IF(J133&lt;=0,"",IFERROR(N133/J133-1,"")))</f>
        <v/>
      </c>
      <c r="T134" s="17">
        <f>IF(OR(T133="",S133=""),"",IF(S133&lt;=0,"",IFERROR(T133/S133-1,"")))</f>
        <v/>
      </c>
      <c r="U134" s="17">
        <f>IF(OR(U133="",T133=""),"",IF(T133&lt;=0,"",IFERROR(U133/T133-1,"")))</f>
        <v/>
      </c>
      <c r="V134" s="17">
        <f>IF(OR(V133="",U133=""),"",IF(U133&lt;=0,"",IFERROR(V133/U133-1,"")))</f>
        <v/>
      </c>
      <c r="W134" s="17">
        <f>IF(OR(W133="",V133=""),"",IF(V133&lt;=0,"",IFERROR(W133/V133-1,"")))</f>
        <v/>
      </c>
      <c r="X134" s="17">
        <f>IF(OR(X133="",W133=""),"",IF(W133&lt;=0,"",IFERROR(X133/W133-1,"")))</f>
        <v/>
      </c>
    </row>
    <row r="135">
      <c r="A135" s="9" t="inlineStr">
        <is>
          <t>지배주주 순이익</t>
        </is>
      </c>
      <c r="C135" s="12" t="n">
        <v>1002.851</v>
      </c>
      <c r="D135" s="12" t="n">
        <v>889.495</v>
      </c>
      <c r="E135" s="12" t="n">
        <v>858.9059999999999</v>
      </c>
      <c r="F135" s="12" t="n">
        <v>1012.349</v>
      </c>
      <c r="G135" s="12" t="n">
        <v>1045.467</v>
      </c>
      <c r="H135" s="12" t="n">
        <v>921.169</v>
      </c>
      <c r="I135" s="12" t="n">
        <v>1074.749</v>
      </c>
      <c r="J135" s="12" t="n">
        <v>1037.017</v>
      </c>
      <c r="K135" s="12" t="n">
        <v>1222.859</v>
      </c>
      <c r="L135" s="12" t="n">
        <v>894.576</v>
      </c>
      <c r="M135" s="12" t="n">
        <v>1260.508</v>
      </c>
      <c r="N135" s="12" t="n">
        <v>1151.915</v>
      </c>
      <c r="T135" s="12" t="n">
        <v>570.977</v>
      </c>
      <c r="U135" s="12" t="n">
        <v>782.5170000000001</v>
      </c>
      <c r="V135" s="12" t="n">
        <v>1012.349</v>
      </c>
      <c r="W135" s="12" t="n">
        <v>1037.017</v>
      </c>
      <c r="X135" s="12" t="n">
        <v>1151.915</v>
      </c>
    </row>
    <row r="136">
      <c r="A136" s="45" t="inlineStr">
        <is>
          <t>YoY</t>
        </is>
      </c>
      <c r="B136" s="3" t="inlineStr">
        <is>
          <t>전년 같은 분기·전년 대비</t>
        </is>
      </c>
      <c r="G136" s="17">
        <f>IF(OR(G135="",C135=""),"",IF(C135&lt;=0,"",IFERROR(G135/C135-1,"")))</f>
        <v/>
      </c>
      <c r="H136" s="17">
        <f>IF(OR(H135="",D135=""),"",IF(D135&lt;=0,"",IFERROR(H135/D135-1,"")))</f>
        <v/>
      </c>
      <c r="I136" s="17">
        <f>IF(OR(I135="",E135=""),"",IF(E135&lt;=0,"",IFERROR(I135/E135-1,"")))</f>
        <v/>
      </c>
      <c r="J136" s="17">
        <f>IF(OR(J135="",F135=""),"",IF(F135&lt;=0,"",IFERROR(J135/F135-1,"")))</f>
        <v/>
      </c>
      <c r="K136" s="17">
        <f>IF(OR(K135="",G135=""),"",IF(G135&lt;=0,"",IFERROR(K135/G135-1,"")))</f>
        <v/>
      </c>
      <c r="L136" s="17">
        <f>IF(OR(L135="",H135=""),"",IF(H135&lt;=0,"",IFERROR(L135/H135-1,"")))</f>
        <v/>
      </c>
      <c r="M136" s="17">
        <f>IF(OR(M135="",I135=""),"",IF(I135&lt;=0,"",IFERROR(M135/I135-1,"")))</f>
        <v/>
      </c>
      <c r="N136" s="17">
        <f>IF(OR(N135="",J135=""),"",IF(J135&lt;=0,"",IFERROR(N135/J135-1,"")))</f>
        <v/>
      </c>
      <c r="T136" s="17">
        <f>IF(OR(T135="",S135=""),"",IF(S135&lt;=0,"",IFERROR(T135/S135-1,"")))</f>
        <v/>
      </c>
      <c r="U136" s="17">
        <f>IF(OR(U135="",T135=""),"",IF(T135&lt;=0,"",IFERROR(U135/T135-1,"")))</f>
        <v/>
      </c>
      <c r="V136" s="17">
        <f>IF(OR(V135="",U135=""),"",IF(U135&lt;=0,"",IFERROR(V135/U135-1,"")))</f>
        <v/>
      </c>
      <c r="W136" s="17">
        <f>IF(OR(W135="",V135=""),"",IF(V135&lt;=0,"",IFERROR(W135/V135-1,"")))</f>
        <v/>
      </c>
      <c r="X136" s="17">
        <f>IF(OR(X135="",W135=""),"",IF(W135&lt;=0,"",IFERROR(X135/W135-1,"")))</f>
        <v/>
      </c>
    </row>
    <row r="138">
      <c r="A138" s="18" t="inlineStr">
        <is>
          <t>포괄손익 · 전 항목</t>
        </is>
      </c>
      <c r="B138" s="44" t="inlineStr">
        <is>
          <t>분기 = 3개월 단독</t>
        </is>
      </c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</row>
    <row r="139">
      <c r="A139" s="5" t="inlineStr">
        <is>
          <t>항목</t>
        </is>
      </c>
      <c r="B139" s="5" t="inlineStr">
        <is>
          <t>참고</t>
        </is>
      </c>
      <c r="C139" s="5" t="inlineStr">
        <is>
          <t>2024.1Q</t>
        </is>
      </c>
      <c r="D139" s="5" t="inlineStr">
        <is>
          <t>2024.2Q</t>
        </is>
      </c>
      <c r="E139" s="5" t="inlineStr">
        <is>
          <t>2024.3Q</t>
        </is>
      </c>
      <c r="F139" s="5" t="inlineStr">
        <is>
          <t>2024.4Q</t>
        </is>
      </c>
      <c r="G139" s="5" t="inlineStr">
        <is>
          <t>2025.1Q</t>
        </is>
      </c>
      <c r="H139" s="5" t="inlineStr">
        <is>
          <t>2025.2Q</t>
        </is>
      </c>
      <c r="I139" s="5" t="inlineStr">
        <is>
          <t>2025.3Q</t>
        </is>
      </c>
      <c r="J139" s="5" t="inlineStr">
        <is>
          <t>2025.4Q</t>
        </is>
      </c>
      <c r="K139" s="5" t="inlineStr">
        <is>
          <t>2026.1Q</t>
        </is>
      </c>
      <c r="L139" s="5" t="inlineStr">
        <is>
          <t>2026.2Q</t>
        </is>
      </c>
      <c r="M139" s="5" t="inlineStr">
        <is>
          <t>2026.3Q</t>
        </is>
      </c>
      <c r="N139" s="5" t="inlineStr">
        <is>
          <t>2026.4Q</t>
        </is>
      </c>
      <c r="O139" s="5" t="inlineStr">
        <is>
          <t>2017</t>
        </is>
      </c>
      <c r="P139" s="5" t="inlineStr">
        <is>
          <t>2018</t>
        </is>
      </c>
      <c r="Q139" s="5" t="inlineStr">
        <is>
          <t>2019</t>
        </is>
      </c>
      <c r="R139" s="5" t="inlineStr">
        <is>
          <t>2020</t>
        </is>
      </c>
      <c r="S139" s="5" t="inlineStr">
        <is>
          <t>2021</t>
        </is>
      </c>
      <c r="T139" s="5" t="inlineStr">
        <is>
          <t>2022</t>
        </is>
      </c>
      <c r="U139" s="5" t="inlineStr">
        <is>
          <t>2023</t>
        </is>
      </c>
      <c r="V139" s="5" t="inlineStr">
        <is>
          <t>2024</t>
        </is>
      </c>
      <c r="W139" s="5" t="inlineStr">
        <is>
          <t>2025</t>
        </is>
      </c>
      <c r="X139" s="5" t="inlineStr">
        <is>
          <t>2026</t>
        </is>
      </c>
      <c r="Y139" s="5" t="inlineStr">
        <is>
          <t>2027(MW)</t>
        </is>
      </c>
      <c r="Z139" s="5" t="inlineStr">
        <is>
          <t>2028(MW)</t>
        </is>
      </c>
      <c r="AA139" s="5" t="inlineStr">
        <is>
          <t>2029(MW)</t>
        </is>
      </c>
      <c r="AB139" s="5" t="inlineStr">
        <is>
          <t>2030(MW)</t>
        </is>
      </c>
      <c r="AC139" s="5" t="inlineStr">
        <is>
          <t>2031(MW)</t>
        </is>
      </c>
    </row>
    <row r="140">
      <c r="A140" s="9" t="inlineStr">
        <is>
          <t>순이익</t>
        </is>
      </c>
      <c r="C140" s="12" t="n">
        <v>1002.851</v>
      </c>
      <c r="D140" s="12" t="n">
        <v>889.495</v>
      </c>
      <c r="E140" s="12" t="n">
        <v>858.9059999999999</v>
      </c>
      <c r="F140" s="12" t="n">
        <v>1012.349</v>
      </c>
      <c r="G140" s="12" t="n">
        <v>1045.467</v>
      </c>
      <c r="H140" s="12" t="n">
        <v>921.169</v>
      </c>
      <c r="I140" s="12" t="n">
        <v>1074.749</v>
      </c>
      <c r="J140" s="12" t="n">
        <v>1037.017</v>
      </c>
      <c r="K140" s="12" t="n">
        <v>1222.859</v>
      </c>
      <c r="L140" s="12" t="n">
        <v>894.576</v>
      </c>
      <c r="M140" s="12" t="n">
        <v>1260.508</v>
      </c>
      <c r="N140" s="12" t="n">
        <v>1151.915</v>
      </c>
      <c r="T140" s="12" t="n">
        <v>570.977</v>
      </c>
      <c r="U140" s="12" t="n">
        <v>782.5170000000001</v>
      </c>
      <c r="V140" s="12" t="n">
        <v>1012.349</v>
      </c>
      <c r="W140" s="12" t="n">
        <v>1037.017</v>
      </c>
      <c r="X140" s="12" t="n">
        <v>1151.915</v>
      </c>
    </row>
    <row r="141">
      <c r="A141" s="20" t="inlineStr">
        <is>
          <t>기타유가증권 평가차액</t>
        </is>
      </c>
      <c r="C141" s="22" t="n">
        <v>-37.555</v>
      </c>
      <c r="D141" s="22" t="n">
        <v>100.898</v>
      </c>
      <c r="E141" s="22" t="n">
        <v>5.895</v>
      </c>
      <c r="F141" s="22" t="n">
        <v>-237.047</v>
      </c>
      <c r="G141" s="22" t="n">
        <v>44.102</v>
      </c>
      <c r="H141" s="22" t="n">
        <v>-77.375</v>
      </c>
      <c r="I141" s="22" t="n">
        <v>-154.616</v>
      </c>
      <c r="J141" s="22" t="n">
        <v>210.848</v>
      </c>
      <c r="K141" s="22" t="n">
        <v>125.7</v>
      </c>
      <c r="L141" s="22" t="n">
        <v>-4.149</v>
      </c>
      <c r="M141" s="22" t="n">
        <v>-64.88500000000001</v>
      </c>
      <c r="N141" s="22" t="n">
        <v>-32.967</v>
      </c>
      <c r="T141" s="22" t="n">
        <v>-42.618</v>
      </c>
      <c r="U141" s="22" t="n">
        <v>368.5</v>
      </c>
      <c r="V141" s="22" t="n">
        <v>-237.047</v>
      </c>
      <c r="W141" s="22" t="n">
        <v>210.848</v>
      </c>
      <c r="X141" s="22" t="n">
        <v>-32.967</v>
      </c>
    </row>
    <row r="142">
      <c r="A142" s="20" t="inlineStr">
        <is>
          <t>이연헤지손익</t>
        </is>
      </c>
      <c r="C142" s="22" t="n">
        <v>-38.629</v>
      </c>
      <c r="D142" s="22" t="n">
        <v>-8.638</v>
      </c>
      <c r="E142" s="22" t="n">
        <v>-25.66</v>
      </c>
      <c r="F142" s="22" t="n">
        <v>-81.56100000000001</v>
      </c>
      <c r="G142" s="22" t="n">
        <v>91.273</v>
      </c>
      <c r="H142" s="22" t="n">
        <v>2.085</v>
      </c>
      <c r="I142" s="22" t="n">
        <v>-54.262</v>
      </c>
      <c r="J142" s="22" t="n">
        <v>50.08</v>
      </c>
      <c r="K142" s="22" t="n">
        <v>108.199</v>
      </c>
      <c r="L142" s="22" t="n">
        <v>-22.782</v>
      </c>
      <c r="M142" s="22" t="n">
        <v>7.928</v>
      </c>
      <c r="N142" s="22" t="n">
        <v>-24.751</v>
      </c>
      <c r="T142" s="22" t="n">
        <v>42.746</v>
      </c>
      <c r="U142" s="22" t="n">
        <v>3.99</v>
      </c>
      <c r="V142" s="22" t="n">
        <v>-81.56100000000001</v>
      </c>
      <c r="W142" s="22" t="n">
        <v>50.08</v>
      </c>
      <c r="X142" s="22" t="n">
        <v>-24.751</v>
      </c>
    </row>
    <row r="143">
      <c r="A143" s="20" t="inlineStr">
        <is>
          <t>해외사업환산조정</t>
        </is>
      </c>
      <c r="C143" s="22" t="n">
        <v>9.087999999999999</v>
      </c>
      <c r="D143" s="22" t="n">
        <v>13.8</v>
      </c>
      <c r="E143" s="22" t="n">
        <v>25.674</v>
      </c>
      <c r="F143" s="22" t="n">
        <v>-53.015</v>
      </c>
      <c r="G143" s="22" t="n">
        <v>30.733</v>
      </c>
      <c r="H143" s="22" t="n">
        <v>-64.869</v>
      </c>
      <c r="I143" s="22" t="n">
        <v>-16.71</v>
      </c>
      <c r="J143" s="22" t="n">
        <v>11.782</v>
      </c>
      <c r="K143" s="22" t="n">
        <v>36.339</v>
      </c>
      <c r="L143" s="22" t="n">
        <v>1.404</v>
      </c>
      <c r="M143" s="22" t="n">
        <v>11.032</v>
      </c>
      <c r="N143" s="22" t="n">
        <v>4.609</v>
      </c>
      <c r="T143" s="22" t="n">
        <v>43.447</v>
      </c>
      <c r="U143" s="22" t="n">
        <v>26.185</v>
      </c>
      <c r="V143" s="22" t="n">
        <v>-53.015</v>
      </c>
      <c r="W143" s="22" t="n">
        <v>11.782</v>
      </c>
      <c r="X143" s="22" t="n">
        <v>4.609</v>
      </c>
    </row>
    <row r="144">
      <c r="A144" s="20" t="inlineStr">
        <is>
          <t>퇴직급여 조정액</t>
        </is>
      </c>
      <c r="C144" s="22" t="n">
        <v>-2.456</v>
      </c>
      <c r="D144" s="22" t="n">
        <v>-2.457</v>
      </c>
      <c r="E144" s="22" t="n">
        <v>-2.457</v>
      </c>
      <c r="F144" s="22" t="n">
        <v>1.963</v>
      </c>
      <c r="G144" s="22" t="n">
        <v>-2.082</v>
      </c>
      <c r="H144" s="22" t="n">
        <v>-2.082</v>
      </c>
      <c r="I144" s="22" t="n">
        <v>-2.082</v>
      </c>
      <c r="J144" s="22" t="n">
        <v>-18.91</v>
      </c>
      <c r="K144" s="22" t="n">
        <v>-0.744</v>
      </c>
      <c r="L144" s="22" t="n">
        <v>-0.744</v>
      </c>
      <c r="M144" s="22" t="n">
        <v>-0.744</v>
      </c>
      <c r="N144" s="22" t="n">
        <v>39.303</v>
      </c>
      <c r="T144" s="22" t="n">
        <v>48.972</v>
      </c>
      <c r="U144" s="22" t="n">
        <v>2.334</v>
      </c>
      <c r="V144" s="22" t="n">
        <v>1.963</v>
      </c>
      <c r="W144" s="22" t="n">
        <v>-18.91</v>
      </c>
      <c r="X144" s="22" t="n">
        <v>39.303</v>
      </c>
    </row>
    <row r="145">
      <c r="A145" s="20" t="inlineStr">
        <is>
          <t>기타포괄손익 합계</t>
        </is>
      </c>
      <c r="C145" s="22" t="n">
        <v>-69.55200000000001</v>
      </c>
      <c r="D145" s="22" t="n">
        <v>103.602</v>
      </c>
      <c r="E145" s="22" t="n">
        <v>3.451</v>
      </c>
      <c r="F145" s="22" t="n">
        <v>-369.66</v>
      </c>
      <c r="G145" s="22" t="n">
        <v>164.026</v>
      </c>
      <c r="H145" s="22" t="n">
        <v>-142.243</v>
      </c>
      <c r="I145" s="22" t="n">
        <v>-227.669</v>
      </c>
      <c r="J145" s="22" t="n">
        <v>253.8</v>
      </c>
      <c r="K145" s="22" t="n">
        <v>269.495</v>
      </c>
      <c r="L145" s="22" t="n">
        <v>-26.27</v>
      </c>
      <c r="M145" s="22" t="n">
        <v>-46.671</v>
      </c>
      <c r="N145" s="22" t="n">
        <v>-13.804</v>
      </c>
      <c r="T145" s="22" t="n">
        <v>92.54900000000001</v>
      </c>
      <c r="U145" s="22" t="n">
        <v>401.009</v>
      </c>
      <c r="V145" s="22" t="n">
        <v>-369.66</v>
      </c>
      <c r="W145" s="22" t="n">
        <v>253.8</v>
      </c>
      <c r="X145" s="22" t="n">
        <v>-13.804</v>
      </c>
    </row>
    <row r="146">
      <c r="A146" s="9" t="inlineStr">
        <is>
          <t>포괄이익</t>
        </is>
      </c>
      <c r="C146" s="12" t="n">
        <v>933.298</v>
      </c>
      <c r="D146" s="12" t="n">
        <v>993.098</v>
      </c>
      <c r="E146" s="12" t="n">
        <v>862.3579999999999</v>
      </c>
      <c r="F146" s="12" t="n">
        <v>642.687</v>
      </c>
      <c r="G146" s="12" t="n">
        <v>1209.494</v>
      </c>
      <c r="H146" s="12" t="n">
        <v>778.926</v>
      </c>
      <c r="I146" s="12" t="n">
        <v>847.078</v>
      </c>
      <c r="J146" s="12" t="n">
        <v>1290.819</v>
      </c>
      <c r="K146" s="12" t="n">
        <v>1492.354</v>
      </c>
      <c r="L146" s="12" t="n">
        <v>868.307</v>
      </c>
      <c r="M146" s="12" t="n">
        <v>1213.837</v>
      </c>
      <c r="N146" s="12" t="n">
        <v>1138.111</v>
      </c>
      <c r="T146" s="12" t="n">
        <v>663.526</v>
      </c>
      <c r="U146" s="12" t="n">
        <v>1183.528</v>
      </c>
      <c r="V146" s="12" t="n">
        <v>642.687</v>
      </c>
      <c r="W146" s="12" t="n">
        <v>1290.819</v>
      </c>
      <c r="X146" s="12" t="n">
        <v>1138.111</v>
      </c>
    </row>
    <row r="147">
      <c r="A147" s="9" t="inlineStr">
        <is>
          <t>지배주주 포괄이익</t>
        </is>
      </c>
      <c r="C147" s="12" t="n">
        <v>933.298</v>
      </c>
      <c r="D147" s="12" t="n">
        <v>993.098</v>
      </c>
      <c r="E147" s="12" t="n">
        <v>862.3579999999999</v>
      </c>
      <c r="F147" s="12" t="n">
        <v>642.687</v>
      </c>
      <c r="G147" s="12" t="n">
        <v>1209.494</v>
      </c>
      <c r="H147" s="12" t="n">
        <v>778.926</v>
      </c>
      <c r="I147" s="12" t="n">
        <v>847.078</v>
      </c>
      <c r="J147" s="12" t="n">
        <v>1290.819</v>
      </c>
      <c r="K147" s="12" t="n">
        <v>1492.354</v>
      </c>
      <c r="L147" s="12" t="n">
        <v>868.307</v>
      </c>
      <c r="M147" s="12" t="n">
        <v>1213.837</v>
      </c>
      <c r="N147" s="12" t="n">
        <v>1138.111</v>
      </c>
      <c r="T147" s="12" t="n">
        <v>663.526</v>
      </c>
      <c r="U147" s="12" t="n">
        <v>1183.528</v>
      </c>
      <c r="V147" s="12" t="n">
        <v>642.687</v>
      </c>
      <c r="W147" s="12" t="n">
        <v>1290.819</v>
      </c>
      <c r="X147" s="12" t="n">
        <v>1138.111</v>
      </c>
    </row>
    <row r="148">
      <c r="A148" s="9" t="inlineStr">
        <is>
          <t>비지배주주 포괄이익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</row>
    <row r="150">
      <c r="A150" s="18" t="inlineStr">
        <is>
          <t>현금흐름표 · 전 항목</t>
        </is>
      </c>
      <c r="B150" s="44" t="inlineStr">
        <is>
          <t>분기 = 결산기 첫날부터 누계(공시 그대로)</t>
        </is>
      </c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</row>
    <row r="151">
      <c r="A151" s="5" t="inlineStr">
        <is>
          <t>항목</t>
        </is>
      </c>
      <c r="B151" s="5" t="inlineStr">
        <is>
          <t>참고</t>
        </is>
      </c>
      <c r="C151" s="5" t="inlineStr">
        <is>
          <t>2024.1Q</t>
        </is>
      </c>
      <c r="D151" s="5" t="inlineStr">
        <is>
          <t>2024.2Q</t>
        </is>
      </c>
      <c r="E151" s="5" t="inlineStr">
        <is>
          <t>2024.3Q</t>
        </is>
      </c>
      <c r="F151" s="5" t="inlineStr">
        <is>
          <t>2024.4Q</t>
        </is>
      </c>
      <c r="G151" s="5" t="inlineStr">
        <is>
          <t>2025.1Q</t>
        </is>
      </c>
      <c r="H151" s="5" t="inlineStr">
        <is>
          <t>2025.2Q</t>
        </is>
      </c>
      <c r="I151" s="5" t="inlineStr">
        <is>
          <t>2025.3Q</t>
        </is>
      </c>
      <c r="J151" s="5" t="inlineStr">
        <is>
          <t>2025.4Q</t>
        </is>
      </c>
      <c r="K151" s="5" t="inlineStr">
        <is>
          <t>2026.1Q</t>
        </is>
      </c>
      <c r="L151" s="5" t="inlineStr">
        <is>
          <t>2026.2Q</t>
        </is>
      </c>
      <c r="M151" s="5" t="inlineStr">
        <is>
          <t>2026.3Q</t>
        </is>
      </c>
      <c r="N151" s="5" t="inlineStr">
        <is>
          <t>2026.4Q</t>
        </is>
      </c>
      <c r="O151" s="5" t="inlineStr">
        <is>
          <t>2017</t>
        </is>
      </c>
      <c r="P151" s="5" t="inlineStr">
        <is>
          <t>2018</t>
        </is>
      </c>
      <c r="Q151" s="5" t="inlineStr">
        <is>
          <t>2019</t>
        </is>
      </c>
      <c r="R151" s="5" t="inlineStr">
        <is>
          <t>2020</t>
        </is>
      </c>
      <c r="S151" s="5" t="inlineStr">
        <is>
          <t>2021</t>
        </is>
      </c>
      <c r="T151" s="5" t="inlineStr">
        <is>
          <t>2022</t>
        </is>
      </c>
      <c r="U151" s="5" t="inlineStr">
        <is>
          <t>2023</t>
        </is>
      </c>
      <c r="V151" s="5" t="inlineStr">
        <is>
          <t>2024</t>
        </is>
      </c>
      <c r="W151" s="5" t="inlineStr">
        <is>
          <t>2025</t>
        </is>
      </c>
      <c r="X151" s="5" t="inlineStr">
        <is>
          <t>2026</t>
        </is>
      </c>
      <c r="Y151" s="5" t="inlineStr">
        <is>
          <t>2027(MW)</t>
        </is>
      </c>
      <c r="Z151" s="5" t="inlineStr">
        <is>
          <t>2028(MW)</t>
        </is>
      </c>
      <c r="AA151" s="5" t="inlineStr">
        <is>
          <t>2029(MW)</t>
        </is>
      </c>
      <c r="AB151" s="5" t="inlineStr">
        <is>
          <t>2030(MW)</t>
        </is>
      </c>
      <c r="AC151" s="5" t="inlineStr">
        <is>
          <t>2031(MW)</t>
        </is>
      </c>
    </row>
    <row r="152">
      <c r="A152" s="9" t="inlineStr">
        <is>
          <t>법인세차감전 순이익</t>
        </is>
      </c>
      <c r="D152" s="12" t="n">
        <v>2857.737</v>
      </c>
      <c r="F152" s="12" t="n">
        <v>5628.546</v>
      </c>
      <c r="H152" s="12" t="n">
        <v>2990.744</v>
      </c>
      <c r="J152" s="12" t="n">
        <v>6110.398</v>
      </c>
      <c r="L152" s="12" t="n">
        <v>3221.146</v>
      </c>
      <c r="N152" s="12" t="n">
        <v>6682.695</v>
      </c>
      <c r="O152" s="12" t="n">
        <v>1403.045</v>
      </c>
      <c r="P152" s="12" t="n">
        <v>1711.207</v>
      </c>
      <c r="Q152" s="12" t="n">
        <v>1915.719</v>
      </c>
      <c r="R152" s="12" t="n">
        <v>2564.453</v>
      </c>
      <c r="S152" s="12" t="n">
        <v>2862.754</v>
      </c>
      <c r="T152" s="12" t="n">
        <v>3305.282</v>
      </c>
      <c r="U152" s="12" t="n">
        <v>4800.8</v>
      </c>
      <c r="V152" s="12" t="n">
        <v>5628.546</v>
      </c>
      <c r="W152" s="12" t="n">
        <v>6110.398</v>
      </c>
      <c r="X152" s="12" t="n">
        <v>6682.695</v>
      </c>
    </row>
    <row r="153">
      <c r="A153" s="20" t="inlineStr">
        <is>
          <t>감가상각비</t>
        </is>
      </c>
      <c r="D153" s="22" t="n">
        <v>76.92</v>
      </c>
      <c r="F153" s="22" t="n">
        <v>177.705</v>
      </c>
      <c r="H153" s="22" t="n">
        <v>108.996</v>
      </c>
      <c r="J153" s="22" t="n">
        <v>237.895</v>
      </c>
      <c r="L153" s="22" t="n">
        <v>114.602</v>
      </c>
      <c r="N153" s="22" t="n">
        <v>273.574</v>
      </c>
      <c r="O153" s="22" t="n">
        <v>81.578</v>
      </c>
      <c r="P153" s="22" t="n">
        <v>105.216</v>
      </c>
      <c r="Q153" s="22" t="n">
        <v>122.127</v>
      </c>
      <c r="R153" s="22" t="n">
        <v>126.155</v>
      </c>
      <c r="S153" s="22" t="n">
        <v>114.702</v>
      </c>
      <c r="T153" s="22" t="n">
        <v>118.294</v>
      </c>
      <c r="U153" s="22" t="n">
        <v>135.183</v>
      </c>
      <c r="V153" s="22" t="n">
        <v>177.705</v>
      </c>
      <c r="W153" s="22" t="n">
        <v>237.895</v>
      </c>
      <c r="X153" s="22" t="n">
        <v>273.574</v>
      </c>
    </row>
    <row r="154">
      <c r="A154" s="20" t="inlineStr">
        <is>
          <t>손상차손</t>
        </is>
      </c>
      <c r="P154" s="22" t="n">
        <v>0</v>
      </c>
      <c r="Q154" s="22" t="n">
        <v>152.774</v>
      </c>
      <c r="R154" s="22" t="n">
        <v>28.021</v>
      </c>
      <c r="S154" s="22" t="n">
        <v>0</v>
      </c>
    </row>
    <row r="155">
      <c r="A155" s="20" t="inlineStr">
        <is>
          <t>영업권 상각</t>
        </is>
      </c>
      <c r="J155" s="22" t="n">
        <v>0</v>
      </c>
      <c r="N155" s="22" t="n">
        <v>12.064</v>
      </c>
      <c r="W155" s="22" t="n">
        <v>0</v>
      </c>
      <c r="X155" s="22" t="n">
        <v>12.064</v>
      </c>
    </row>
    <row r="156">
      <c r="A156" s="20" t="inlineStr">
        <is>
          <t>대손충당금 증감</t>
        </is>
      </c>
      <c r="D156" s="22" t="n">
        <v>-0.378</v>
      </c>
      <c r="F156" s="22" t="n">
        <v>-7.825</v>
      </c>
      <c r="H156" s="22" t="n">
        <v>0.001</v>
      </c>
      <c r="J156" s="22" t="n">
        <v>0</v>
      </c>
      <c r="L156" s="22" t="n">
        <v>-0.077</v>
      </c>
      <c r="N156" s="22" t="n">
        <v>-0.077</v>
      </c>
      <c r="O156" s="22" t="n">
        <v>-3.255</v>
      </c>
      <c r="P156" s="22" t="n">
        <v>-5.824</v>
      </c>
      <c r="Q156" s="22" t="n">
        <v>-2.147</v>
      </c>
      <c r="R156" s="22" t="n">
        <v>9.621</v>
      </c>
      <c r="S156" s="22" t="n">
        <v>-5.012</v>
      </c>
      <c r="T156" s="22" t="n">
        <v>-1.444</v>
      </c>
      <c r="U156" s="22" t="n">
        <v>-0.625</v>
      </c>
      <c r="V156" s="22" t="n">
        <v>-7.825</v>
      </c>
      <c r="W156" s="22" t="n">
        <v>0</v>
      </c>
      <c r="X156" s="22" t="n">
        <v>-0.077</v>
      </c>
    </row>
    <row r="157">
      <c r="A157" s="20" t="inlineStr">
        <is>
          <t>상여충당금 증감</t>
        </is>
      </c>
      <c r="D157" s="22" t="n">
        <v>-33.56</v>
      </c>
      <c r="F157" s="22" t="n">
        <v>-14.1</v>
      </c>
      <c r="H157" s="22" t="n">
        <v>-6.892</v>
      </c>
      <c r="J157" s="22" t="n">
        <v>17.536</v>
      </c>
      <c r="L157" s="22" t="n">
        <v>-42.081</v>
      </c>
      <c r="N157" s="22" t="n">
        <v>-15.223</v>
      </c>
      <c r="O157" s="22" t="n">
        <v>63.971</v>
      </c>
      <c r="P157" s="22" t="n">
        <v>-14.277</v>
      </c>
      <c r="Q157" s="22" t="n">
        <v>4.732</v>
      </c>
      <c r="R157" s="22" t="n">
        <v>69.262</v>
      </c>
      <c r="S157" s="22" t="n">
        <v>-59.819</v>
      </c>
      <c r="T157" s="22" t="n">
        <v>8.115</v>
      </c>
      <c r="U157" s="22" t="n">
        <v>53.478</v>
      </c>
      <c r="V157" s="22" t="n">
        <v>-14.1</v>
      </c>
      <c r="W157" s="22" t="n">
        <v>17.536</v>
      </c>
      <c r="X157" s="22" t="n">
        <v>-15.223</v>
      </c>
    </row>
    <row r="158">
      <c r="A158" s="20" t="inlineStr">
        <is>
          <t>퇴직급여부채 증감</t>
        </is>
      </c>
      <c r="D158" s="22" t="n">
        <v>1.378</v>
      </c>
      <c r="F158" s="22" t="n">
        <v>-2.644</v>
      </c>
      <c r="H158" s="22" t="n">
        <v>-2.881</v>
      </c>
      <c r="J158" s="22" t="n">
        <v>11.028</v>
      </c>
      <c r="L158" s="22" t="n">
        <v>11.477</v>
      </c>
      <c r="N158" s="22" t="n">
        <v>3.776</v>
      </c>
      <c r="O158" s="22" t="n">
        <v>38.301</v>
      </c>
      <c r="P158" s="22" t="n">
        <v>29.497</v>
      </c>
      <c r="Q158" s="22" t="n">
        <v>33.513</v>
      </c>
      <c r="R158" s="22" t="n">
        <v>30.123</v>
      </c>
      <c r="S158" s="22" t="n">
        <v>28.735</v>
      </c>
      <c r="T158" s="22" t="n">
        <v>-18.062</v>
      </c>
      <c r="U158" s="22" t="n">
        <v>-4.286</v>
      </c>
      <c r="V158" s="22" t="n">
        <v>-2.644</v>
      </c>
      <c r="W158" s="22" t="n">
        <v>11.028</v>
      </c>
      <c r="X158" s="22" t="n">
        <v>3.776</v>
      </c>
    </row>
    <row r="159">
      <c r="A159" s="20" t="inlineStr">
        <is>
          <t>주주우대 충당금 증감</t>
        </is>
      </c>
      <c r="D159" s="22" t="n">
        <v>0.113</v>
      </c>
      <c r="F159" s="22" t="n">
        <v>-0.386</v>
      </c>
      <c r="H159" s="22" t="n">
        <v>-1.506</v>
      </c>
      <c r="J159" s="22" t="n">
        <v>1.36</v>
      </c>
      <c r="L159" s="22" t="n">
        <v>0.806</v>
      </c>
      <c r="N159" s="22" t="n">
        <v>2.331</v>
      </c>
      <c r="O159" s="22" t="n">
        <v>8.128</v>
      </c>
      <c r="P159" s="22" t="n">
        <v>1.05</v>
      </c>
      <c r="Q159" s="22" t="n">
        <v>1.299</v>
      </c>
      <c r="R159" s="22" t="n">
        <v>46.425</v>
      </c>
      <c r="S159" s="22" t="n">
        <v>-56.257</v>
      </c>
      <c r="T159" s="22" t="n">
        <v>1.004</v>
      </c>
      <c r="U159" s="22" t="n">
        <v>0.428</v>
      </c>
      <c r="V159" s="22" t="n">
        <v>-0.386</v>
      </c>
      <c r="W159" s="22" t="n">
        <v>1.36</v>
      </c>
      <c r="X159" s="22" t="n">
        <v>2.331</v>
      </c>
    </row>
    <row r="160">
      <c r="A160" s="20" t="inlineStr">
        <is>
          <t>포인트 충당금 증감</t>
        </is>
      </c>
      <c r="O160" s="22" t="n">
        <v>6.02</v>
      </c>
      <c r="P160" s="22" t="n">
        <v>2.165</v>
      </c>
      <c r="Q160" s="22" t="n">
        <v>-1.207</v>
      </c>
      <c r="R160" s="22" t="n">
        <v>0.736</v>
      </c>
      <c r="S160" s="22" t="n">
        <v>-2.653</v>
      </c>
      <c r="T160" s="22" t="n">
        <v>-6.592</v>
      </c>
      <c r="U160" s="22" t="n">
        <v>0</v>
      </c>
    </row>
    <row r="161">
      <c r="A161" s="20" t="inlineStr">
        <is>
          <t>투자유가증권 평가손익</t>
        </is>
      </c>
      <c r="Q161" s="22" t="n">
        <v>0</v>
      </c>
      <c r="R161" s="22" t="n">
        <v>254.028</v>
      </c>
      <c r="S161" s="22" t="n">
        <v>0</v>
      </c>
    </row>
    <row r="162">
      <c r="A162" s="20" t="inlineStr">
        <is>
          <t>투자유가증권 상환손익</t>
        </is>
      </c>
      <c r="O162" s="22" t="n">
        <v>0</v>
      </c>
      <c r="P162" s="22" t="n">
        <v>1.405</v>
      </c>
      <c r="Q162" s="22" t="n">
        <v>-1.927</v>
      </c>
      <c r="R162" s="22" t="n">
        <v>0</v>
      </c>
    </row>
    <row r="163">
      <c r="A163" s="20" t="inlineStr">
        <is>
          <t>외환차손익</t>
        </is>
      </c>
      <c r="D163" s="22" t="n">
        <v>-113.524</v>
      </c>
      <c r="F163" s="22" t="n">
        <v>-260.263</v>
      </c>
      <c r="H163" s="22" t="n">
        <v>-105.467</v>
      </c>
      <c r="J163" s="22" t="n">
        <v>-105.451</v>
      </c>
      <c r="L163" s="22" t="n">
        <v>0</v>
      </c>
      <c r="N163" s="22" t="n">
        <v>0</v>
      </c>
      <c r="R163" s="22" t="n">
        <v>0</v>
      </c>
      <c r="S163" s="22" t="n">
        <v>14.742</v>
      </c>
      <c r="T163" s="22" t="n">
        <v>-107.177</v>
      </c>
      <c r="U163" s="22" t="n">
        <v>11.151</v>
      </c>
      <c r="V163" s="22" t="n">
        <v>-260.263</v>
      </c>
      <c r="W163" s="22" t="n">
        <v>-105.451</v>
      </c>
      <c r="X163" s="22" t="n">
        <v>0</v>
      </c>
    </row>
    <row r="164">
      <c r="A164" s="20" t="inlineStr">
        <is>
          <t>이자·배당금 수익</t>
        </is>
      </c>
      <c r="D164" s="22" t="n">
        <v>-77.928</v>
      </c>
      <c r="F164" s="22" t="n">
        <v>-170.262</v>
      </c>
      <c r="H164" s="22" t="n">
        <v>-102.111</v>
      </c>
      <c r="J164" s="22" t="n">
        <v>-208.145</v>
      </c>
      <c r="L164" s="22" t="n">
        <v>-114.076</v>
      </c>
      <c r="N164" s="22" t="n">
        <v>-234.326</v>
      </c>
      <c r="O164" s="22" t="n">
        <v>-3.347</v>
      </c>
      <c r="P164" s="22" t="n">
        <v>-15.638</v>
      </c>
      <c r="Q164" s="22" t="n">
        <v>-25.826</v>
      </c>
      <c r="R164" s="22" t="n">
        <v>-25.775</v>
      </c>
      <c r="S164" s="22" t="n">
        <v>-19.54</v>
      </c>
      <c r="T164" s="22" t="n">
        <v>-27.697</v>
      </c>
      <c r="U164" s="22" t="n">
        <v>-83.733</v>
      </c>
      <c r="V164" s="22" t="n">
        <v>-170.262</v>
      </c>
      <c r="W164" s="22" t="n">
        <v>-208.145</v>
      </c>
      <c r="X164" s="22" t="n">
        <v>-234.326</v>
      </c>
    </row>
    <row r="165">
      <c r="A165" s="20" t="inlineStr">
        <is>
          <t>이자비용</t>
        </is>
      </c>
      <c r="D165" s="22" t="n">
        <v>1.409</v>
      </c>
      <c r="F165" s="22" t="n">
        <v>3.006</v>
      </c>
      <c r="H165" s="22" t="n">
        <v>1.265</v>
      </c>
      <c r="J165" s="22" t="n">
        <v>2.296</v>
      </c>
      <c r="L165" s="22" t="n">
        <v>1.543</v>
      </c>
      <c r="N165" s="22" t="n">
        <v>5.425</v>
      </c>
      <c r="O165" s="22" t="n">
        <v>3.196</v>
      </c>
      <c r="P165" s="22" t="n">
        <v>3.047</v>
      </c>
      <c r="Q165" s="22" t="n">
        <v>2.691</v>
      </c>
      <c r="R165" s="22" t="n">
        <v>2.814</v>
      </c>
      <c r="S165" s="22" t="n">
        <v>3.101</v>
      </c>
      <c r="T165" s="22" t="n">
        <v>2.2</v>
      </c>
      <c r="U165" s="22" t="n">
        <v>2.059</v>
      </c>
      <c r="V165" s="22" t="n">
        <v>3.006</v>
      </c>
      <c r="W165" s="22" t="n">
        <v>2.296</v>
      </c>
      <c r="X165" s="22" t="n">
        <v>5.425</v>
      </c>
    </row>
    <row r="166">
      <c r="A166" s="20" t="inlineStr">
        <is>
          <t>신주 발행비</t>
        </is>
      </c>
      <c r="O166" s="22" t="n">
        <v>21.247</v>
      </c>
      <c r="P166" s="22" t="n">
        <v>0</v>
      </c>
    </row>
    <row r="167">
      <c r="A167" s="20" t="inlineStr">
        <is>
          <t>고정자산 매각손익</t>
        </is>
      </c>
      <c r="O167" s="22" t="n">
        <v>-2.641</v>
      </c>
      <c r="P167" s="22" t="n">
        <v>0.168</v>
      </c>
      <c r="Q167" s="22" t="n">
        <v>1.217</v>
      </c>
      <c r="R167" s="22" t="n">
        <v>-0.217</v>
      </c>
      <c r="S167" s="22" t="n">
        <v>0</v>
      </c>
    </row>
    <row r="168">
      <c r="A168" s="20" t="inlineStr">
        <is>
          <t>투자유가증권 매각손익</t>
        </is>
      </c>
      <c r="D168" s="22" t="n">
        <v>0</v>
      </c>
      <c r="F168" s="22" t="n">
        <v>0</v>
      </c>
      <c r="H168" s="22" t="n">
        <v>-45.391</v>
      </c>
      <c r="J168" s="22" t="n">
        <v>-72.276</v>
      </c>
      <c r="L168" s="22" t="n">
        <v>0</v>
      </c>
      <c r="N168" s="22" t="n">
        <v>-90.931</v>
      </c>
      <c r="V168" s="22" t="n">
        <v>0</v>
      </c>
      <c r="W168" s="22" t="n">
        <v>-72.276</v>
      </c>
      <c r="X168" s="22" t="n">
        <v>-90.931</v>
      </c>
    </row>
    <row r="169">
      <c r="A169" s="20" t="inlineStr">
        <is>
          <t>보험금 수익</t>
        </is>
      </c>
      <c r="F169" s="22" t="n">
        <v>-0.585</v>
      </c>
      <c r="H169" s="22" t="n">
        <v>0</v>
      </c>
      <c r="J169" s="22" t="n">
        <v>0</v>
      </c>
      <c r="L169" s="22" t="n">
        <v>-4.565</v>
      </c>
      <c r="N169" s="22" t="n">
        <v>-38.683</v>
      </c>
      <c r="S169" s="22" t="n">
        <v>0</v>
      </c>
      <c r="T169" s="22" t="n">
        <v>-15.943</v>
      </c>
      <c r="U169" s="22" t="n">
        <v>0</v>
      </c>
      <c r="V169" s="22" t="n">
        <v>-0.585</v>
      </c>
      <c r="W169" s="22" t="n">
        <v>0</v>
      </c>
      <c r="X169" s="22" t="n">
        <v>-38.683</v>
      </c>
    </row>
    <row r="170">
      <c r="A170" s="20" t="inlineStr">
        <is>
          <t>고정자산 제각손실</t>
        </is>
      </c>
      <c r="O170" s="22" t="n">
        <v>1.76</v>
      </c>
      <c r="P170" s="22" t="n">
        <v>0.003</v>
      </c>
      <c r="Q170" s="22" t="n">
        <v>4.508</v>
      </c>
      <c r="R170" s="22" t="n">
        <v>10.69</v>
      </c>
      <c r="S170" s="22" t="n">
        <v>13.606</v>
      </c>
      <c r="T170" s="22" t="n">
        <v>0.6929999999999999</v>
      </c>
    </row>
    <row r="171">
      <c r="A171" s="20" t="inlineStr">
        <is>
          <t>매출채권 증감</t>
        </is>
      </c>
      <c r="O171" s="22" t="n">
        <v>-255.096</v>
      </c>
      <c r="P171" s="22" t="n">
        <v>-100.361</v>
      </c>
      <c r="Q171" s="22" t="n">
        <v>-208.986</v>
      </c>
      <c r="R171" s="22" t="n">
        <v>-66.858</v>
      </c>
      <c r="S171" s="22" t="n">
        <v>168.065</v>
      </c>
      <c r="T171" s="22" t="n">
        <v>0</v>
      </c>
    </row>
    <row r="172">
      <c r="A172" s="20" t="inlineStr">
        <is>
          <t>고정자산 제각·매각손익</t>
        </is>
      </c>
      <c r="D172" s="22" t="n">
        <v>0.018</v>
      </c>
      <c r="F172" s="22" t="n">
        <v>-2.597</v>
      </c>
      <c r="H172" s="22" t="n">
        <v>0.354</v>
      </c>
      <c r="J172" s="22" t="n">
        <v>0.71</v>
      </c>
      <c r="L172" s="22" t="n">
        <v>2.126</v>
      </c>
      <c r="N172" s="22" t="n">
        <v>3.182</v>
      </c>
      <c r="T172" s="22" t="n">
        <v>0.6929999999999999</v>
      </c>
      <c r="U172" s="22" t="n">
        <v>-39.859</v>
      </c>
      <c r="V172" s="22" t="n">
        <v>-2.597</v>
      </c>
      <c r="W172" s="22" t="n">
        <v>0.71</v>
      </c>
      <c r="X172" s="22" t="n">
        <v>3.182</v>
      </c>
    </row>
    <row r="173">
      <c r="A173" s="20" t="inlineStr">
        <is>
          <t>매출채권·계약자산 증감</t>
        </is>
      </c>
      <c r="D173" s="22" t="n">
        <v>-448.851</v>
      </c>
      <c r="S173" s="22" t="n">
        <v>0</v>
      </c>
      <c r="T173" s="22" t="n">
        <v>-519.048</v>
      </c>
      <c r="U173" s="22" t="n">
        <v>-53.381</v>
      </c>
    </row>
    <row r="174">
      <c r="A174" s="20" t="inlineStr">
        <is>
          <t>익명조합 투자손익</t>
        </is>
      </c>
      <c r="H174" s="22" t="n">
        <v>0</v>
      </c>
      <c r="J174" s="22" t="n">
        <v>0</v>
      </c>
      <c r="L174" s="22" t="n">
        <v>8.035</v>
      </c>
      <c r="N174" s="22" t="n">
        <v>8.035</v>
      </c>
      <c r="W174" s="22" t="n">
        <v>0</v>
      </c>
      <c r="X174" s="22" t="n">
        <v>8.035</v>
      </c>
    </row>
    <row r="175">
      <c r="A175" s="20" t="inlineStr">
        <is>
          <t>재고자산 폐기손실</t>
        </is>
      </c>
      <c r="H175" s="22" t="n">
        <v>0</v>
      </c>
      <c r="J175" s="22" t="n">
        <v>0</v>
      </c>
      <c r="L175" s="22" t="n">
        <v>30.509</v>
      </c>
      <c r="N175" s="22" t="n">
        <v>30.509</v>
      </c>
      <c r="W175" s="22" t="n">
        <v>0</v>
      </c>
      <c r="X175" s="22" t="n">
        <v>30.509</v>
      </c>
    </row>
    <row r="176">
      <c r="A176" s="20" t="inlineStr">
        <is>
          <t>고정자산 수증이익</t>
        </is>
      </c>
      <c r="D176" s="22" t="n">
        <v>0</v>
      </c>
      <c r="F176" s="22" t="n">
        <v>0</v>
      </c>
      <c r="H176" s="22" t="n">
        <v>-26.997</v>
      </c>
      <c r="J176" s="22" t="n">
        <v>-26.997</v>
      </c>
      <c r="L176" s="22" t="n">
        <v>0</v>
      </c>
      <c r="N176" s="22" t="n">
        <v>0</v>
      </c>
      <c r="V176" s="22" t="n">
        <v>0</v>
      </c>
      <c r="W176" s="22" t="n">
        <v>-26.997</v>
      </c>
      <c r="X176" s="22" t="n">
        <v>0</v>
      </c>
    </row>
    <row r="177">
      <c r="A177" s="20" t="inlineStr">
        <is>
          <t>소송 관련 손실</t>
        </is>
      </c>
      <c r="F177" s="22" t="n">
        <v>10.798</v>
      </c>
      <c r="J177" s="22" t="n">
        <v>0</v>
      </c>
      <c r="U177" s="22" t="n">
        <v>0</v>
      </c>
      <c r="V177" s="22" t="n">
        <v>10.798</v>
      </c>
      <c r="W177" s="22" t="n">
        <v>0</v>
      </c>
    </row>
    <row r="178">
      <c r="A178" s="20" t="inlineStr">
        <is>
          <t>매출채권·계약자산 증감</t>
        </is>
      </c>
      <c r="D178" s="22" t="n">
        <v>-448.851</v>
      </c>
      <c r="F178" s="22" t="n">
        <v>-396.502</v>
      </c>
      <c r="H178" s="22" t="n">
        <v>277.801</v>
      </c>
      <c r="J178" s="22" t="n">
        <v>-202.851</v>
      </c>
      <c r="L178" s="22" t="n">
        <v>-19.649</v>
      </c>
      <c r="N178" s="22" t="n">
        <v>-394.872</v>
      </c>
      <c r="U178" s="22" t="n">
        <v>-53.381</v>
      </c>
      <c r="V178" s="22" t="n">
        <v>-396.502</v>
      </c>
      <c r="W178" s="22" t="n">
        <v>-202.851</v>
      </c>
      <c r="X178" s="22" t="n">
        <v>-394.872</v>
      </c>
    </row>
    <row r="179">
      <c r="A179" s="20" t="inlineStr">
        <is>
          <t>재고자산 증감</t>
        </is>
      </c>
      <c r="D179" s="22" t="n">
        <v>-233.777</v>
      </c>
      <c r="F179" s="22" t="n">
        <v>-306.468</v>
      </c>
      <c r="H179" s="22" t="n">
        <v>115.268</v>
      </c>
      <c r="J179" s="22" t="n">
        <v>-64.87</v>
      </c>
      <c r="L179" s="22" t="n">
        <v>-464.816</v>
      </c>
      <c r="N179" s="22" t="n">
        <v>-1033.973</v>
      </c>
      <c r="O179" s="22" t="n">
        <v>-132.426</v>
      </c>
      <c r="P179" s="22" t="n">
        <v>-281.434</v>
      </c>
      <c r="Q179" s="22" t="n">
        <v>-425.83</v>
      </c>
      <c r="R179" s="22" t="n">
        <v>-532.837</v>
      </c>
      <c r="S179" s="22" t="n">
        <v>221.141</v>
      </c>
      <c r="T179" s="22" t="n">
        <v>-1627.017</v>
      </c>
      <c r="U179" s="22" t="n">
        <v>-302.735</v>
      </c>
      <c r="V179" s="22" t="n">
        <v>-306.468</v>
      </c>
      <c r="W179" s="22" t="n">
        <v>-64.87</v>
      </c>
      <c r="X179" s="22" t="n">
        <v>-1033.973</v>
      </c>
    </row>
    <row r="180">
      <c r="A180" s="20" t="inlineStr">
        <is>
          <t>매입채무 증감</t>
        </is>
      </c>
      <c r="D180" s="22" t="n">
        <v>-19.99</v>
      </c>
      <c r="F180" s="22" t="n">
        <v>-4.534</v>
      </c>
      <c r="H180" s="22" t="n">
        <v>59.565</v>
      </c>
      <c r="J180" s="22" t="n">
        <v>154.699</v>
      </c>
      <c r="L180" s="22" t="n">
        <v>-67.55</v>
      </c>
      <c r="N180" s="22" t="n">
        <v>548.0599999999999</v>
      </c>
      <c r="O180" s="22" t="n">
        <v>28.568</v>
      </c>
      <c r="P180" s="22" t="n">
        <v>123.581</v>
      </c>
      <c r="Q180" s="22" t="n">
        <v>82.491</v>
      </c>
      <c r="R180" s="22" t="n">
        <v>-233.147</v>
      </c>
      <c r="S180" s="22" t="n">
        <v>109.496</v>
      </c>
      <c r="T180" s="22" t="n">
        <v>222.022</v>
      </c>
      <c r="U180" s="22" t="n">
        <v>-78.88800000000001</v>
      </c>
      <c r="V180" s="22" t="n">
        <v>-4.534</v>
      </c>
      <c r="W180" s="22" t="n">
        <v>154.699</v>
      </c>
      <c r="X180" s="22" t="n">
        <v>548.0599999999999</v>
      </c>
    </row>
    <row r="181">
      <c r="A181" s="20" t="inlineStr">
        <is>
          <t>선급금 증감</t>
        </is>
      </c>
      <c r="D181" s="22" t="n">
        <v>-38.044</v>
      </c>
      <c r="F181" s="22" t="n">
        <v>-6.341</v>
      </c>
      <c r="H181" s="22" t="n">
        <v>-58.604</v>
      </c>
      <c r="J181" s="22" t="n">
        <v>19.713</v>
      </c>
      <c r="L181" s="22" t="n">
        <v>77.179</v>
      </c>
      <c r="N181" s="22" t="n">
        <v>-321.465</v>
      </c>
      <c r="O181" s="22" t="n">
        <v>-19.063</v>
      </c>
      <c r="P181" s="22" t="n">
        <v>15.093</v>
      </c>
      <c r="Q181" s="22" t="n">
        <v>-59.712</v>
      </c>
      <c r="R181" s="22" t="n">
        <v>41.881</v>
      </c>
      <c r="S181" s="22" t="n">
        <v>-50.863</v>
      </c>
      <c r="T181" s="22" t="n">
        <v>-81.52</v>
      </c>
      <c r="U181" s="22" t="n">
        <v>-83.374</v>
      </c>
      <c r="V181" s="22" t="n">
        <v>-6.341</v>
      </c>
      <c r="W181" s="22" t="n">
        <v>19.713</v>
      </c>
      <c r="X181" s="22" t="n">
        <v>-321.465</v>
      </c>
    </row>
    <row r="182">
      <c r="A182" s="20" t="inlineStr">
        <is>
          <t>기타</t>
        </is>
      </c>
      <c r="D182" s="22" t="n">
        <v>-182.776</v>
      </c>
      <c r="F182" s="22" t="n">
        <v>88.94799999999999</v>
      </c>
      <c r="H182" s="22" t="n">
        <v>-236.823</v>
      </c>
      <c r="J182" s="22" t="n">
        <v>190.292</v>
      </c>
      <c r="L182" s="22" t="n">
        <v>-324.386</v>
      </c>
      <c r="N182" s="22" t="n">
        <v>-56.766</v>
      </c>
      <c r="O182" s="22" t="n">
        <v>47.725</v>
      </c>
      <c r="P182" s="22" t="n">
        <v>88.94799999999999</v>
      </c>
      <c r="Q182" s="22" t="n">
        <v>-84.794</v>
      </c>
      <c r="R182" s="22" t="n">
        <v>181.137</v>
      </c>
      <c r="S182" s="22" t="n">
        <v>-140.156</v>
      </c>
      <c r="T182" s="22" t="n">
        <v>-98.91</v>
      </c>
      <c r="U182" s="22" t="n">
        <v>539.97</v>
      </c>
      <c r="V182" s="22" t="n">
        <v>88.94799999999999</v>
      </c>
      <c r="W182" s="22" t="n">
        <v>190.292</v>
      </c>
      <c r="X182" s="22" t="n">
        <v>-56.766</v>
      </c>
    </row>
    <row r="183">
      <c r="A183" s="20" t="inlineStr">
        <is>
          <t>소계</t>
        </is>
      </c>
      <c r="D183" s="22" t="n">
        <v>1788.745</v>
      </c>
      <c r="F183" s="22" t="n">
        <v>4736.494</v>
      </c>
      <c r="H183" s="22" t="n">
        <v>2967.32</v>
      </c>
      <c r="J183" s="22" t="n">
        <v>6065.338</v>
      </c>
      <c r="L183" s="22" t="n">
        <v>2430.222</v>
      </c>
      <c r="N183" s="22" t="n">
        <v>5383.336</v>
      </c>
      <c r="O183" s="22" t="n">
        <v>1287.712</v>
      </c>
      <c r="P183" s="22" t="n">
        <v>1663.85</v>
      </c>
      <c r="Q183" s="22" t="n">
        <v>1510.641</v>
      </c>
      <c r="R183" s="22" t="n">
        <v>2506.517</v>
      </c>
      <c r="S183" s="22" t="n">
        <v>3202.043</v>
      </c>
      <c r="T183" s="22" t="n">
        <v>1154.198</v>
      </c>
      <c r="U183" s="22" t="n">
        <v>4896.187</v>
      </c>
      <c r="V183" s="22" t="n">
        <v>4736.494</v>
      </c>
      <c r="W183" s="22" t="n">
        <v>6065.338</v>
      </c>
      <c r="X183" s="22" t="n">
        <v>5383.336</v>
      </c>
    </row>
    <row r="184">
      <c r="A184" s="20" t="inlineStr">
        <is>
          <t>이자·배당금 수취</t>
        </is>
      </c>
      <c r="D184" s="22" t="n">
        <v>48.073</v>
      </c>
      <c r="F184" s="22" t="n">
        <v>104.053</v>
      </c>
      <c r="H184" s="22" t="n">
        <v>61.983</v>
      </c>
      <c r="J184" s="22" t="n">
        <v>133.176</v>
      </c>
      <c r="L184" s="22" t="n">
        <v>74.79900000000001</v>
      </c>
      <c r="N184" s="22" t="n">
        <v>133.103</v>
      </c>
      <c r="O184" s="22" t="n">
        <v>1.374</v>
      </c>
      <c r="P184" s="22" t="n">
        <v>14.817</v>
      </c>
      <c r="Q184" s="22" t="n">
        <v>24.608</v>
      </c>
      <c r="R184" s="22" t="n">
        <v>27.769</v>
      </c>
      <c r="S184" s="22" t="n">
        <v>26.924</v>
      </c>
      <c r="T184" s="22" t="n">
        <v>36.842</v>
      </c>
      <c r="U184" s="22" t="n">
        <v>67.241</v>
      </c>
      <c r="V184" s="22" t="n">
        <v>104.053</v>
      </c>
      <c r="W184" s="22" t="n">
        <v>133.176</v>
      </c>
      <c r="X184" s="22" t="n">
        <v>133.103</v>
      </c>
    </row>
    <row r="185">
      <c r="A185" s="20" t="inlineStr">
        <is>
          <t>이자 지급</t>
        </is>
      </c>
      <c r="D185" s="22" t="n">
        <v>-1.59</v>
      </c>
      <c r="F185" s="22" t="n">
        <v>-3.188</v>
      </c>
      <c r="H185" s="22" t="n">
        <v>-1.422</v>
      </c>
      <c r="J185" s="22" t="n">
        <v>-2.318</v>
      </c>
      <c r="L185" s="22" t="n">
        <v>-1.356</v>
      </c>
      <c r="N185" s="22" t="n">
        <v>-5.239</v>
      </c>
      <c r="O185" s="22" t="n">
        <v>-3.418</v>
      </c>
      <c r="P185" s="22" t="n">
        <v>-2.929</v>
      </c>
      <c r="Q185" s="22" t="n">
        <v>-3.059</v>
      </c>
      <c r="R185" s="22" t="n">
        <v>-2.824</v>
      </c>
      <c r="S185" s="22" t="n">
        <v>-2.946</v>
      </c>
      <c r="T185" s="22" t="n">
        <v>-2.456</v>
      </c>
      <c r="U185" s="22" t="n">
        <v>-2.345</v>
      </c>
      <c r="V185" s="22" t="n">
        <v>-3.188</v>
      </c>
      <c r="W185" s="22" t="n">
        <v>-2.318</v>
      </c>
      <c r="X185" s="22" t="n">
        <v>-5.239</v>
      </c>
    </row>
    <row r="186">
      <c r="A186" s="20" t="inlineStr">
        <is>
          <t>소송 관련 손실 지급액</t>
        </is>
      </c>
      <c r="F186" s="22" t="n">
        <v>-10.798</v>
      </c>
      <c r="J186" s="22" t="n">
        <v>0</v>
      </c>
      <c r="U186" s="22" t="n">
        <v>0</v>
      </c>
      <c r="V186" s="22" t="n">
        <v>-10.798</v>
      </c>
      <c r="W186" s="22" t="n">
        <v>0</v>
      </c>
    </row>
    <row r="187">
      <c r="A187" s="20" t="inlineStr">
        <is>
          <t>법인세 환급</t>
        </is>
      </c>
      <c r="D187" s="22" t="n">
        <v>99.28700000000001</v>
      </c>
      <c r="F187" s="22" t="n">
        <v>100.408</v>
      </c>
      <c r="H187" s="22" t="n">
        <v>0</v>
      </c>
      <c r="J187" s="22" t="n">
        <v>0.143</v>
      </c>
      <c r="L187" s="22" t="n">
        <v>0.73</v>
      </c>
      <c r="N187" s="22" t="n">
        <v>9.909000000000001</v>
      </c>
      <c r="O187" s="22" t="n">
        <v>46.065</v>
      </c>
      <c r="P187" s="22" t="n">
        <v>25.053</v>
      </c>
      <c r="Q187" s="22" t="n">
        <v>47.715</v>
      </c>
      <c r="R187" s="22" t="n">
        <v>33.046</v>
      </c>
      <c r="S187" s="22" t="n">
        <v>143.046</v>
      </c>
      <c r="T187" s="22" t="n">
        <v>143.786</v>
      </c>
      <c r="U187" s="22" t="n">
        <v>96.163</v>
      </c>
      <c r="V187" s="22" t="n">
        <v>100.408</v>
      </c>
      <c r="W187" s="22" t="n">
        <v>0.143</v>
      </c>
      <c r="X187" s="22" t="n">
        <v>9.909000000000001</v>
      </c>
    </row>
    <row r="188">
      <c r="A188" s="20" t="inlineStr">
        <is>
          <t>법인세 납부</t>
        </is>
      </c>
      <c r="D188" s="22" t="n">
        <v>-1124.8</v>
      </c>
      <c r="F188" s="22" t="n">
        <v>-1904.893</v>
      </c>
      <c r="H188" s="22" t="n">
        <v>-1041.748</v>
      </c>
      <c r="J188" s="22" t="n">
        <v>-1948.922</v>
      </c>
      <c r="L188" s="22" t="n">
        <v>-1097.915</v>
      </c>
      <c r="N188" s="22" t="n">
        <v>-2091.844</v>
      </c>
      <c r="O188" s="22" t="n">
        <v>-501.258</v>
      </c>
      <c r="P188" s="22" t="n">
        <v>-635.544</v>
      </c>
      <c r="Q188" s="22" t="n">
        <v>-545.3099999999999</v>
      </c>
      <c r="R188" s="22" t="n">
        <v>-951.4640000000001</v>
      </c>
      <c r="S188" s="22" t="n">
        <v>-1062.839</v>
      </c>
      <c r="T188" s="22" t="n">
        <v>-1108.735</v>
      </c>
      <c r="U188" s="22" t="n">
        <v>-1289.604</v>
      </c>
      <c r="V188" s="22" t="n">
        <v>-1904.893</v>
      </c>
      <c r="W188" s="22" t="n">
        <v>-1948.922</v>
      </c>
      <c r="X188" s="22" t="n">
        <v>-2091.844</v>
      </c>
    </row>
    <row r="189">
      <c r="A189" s="20" t="inlineStr">
        <is>
          <t>보험금 수취</t>
        </is>
      </c>
      <c r="S189" s="22" t="n">
        <v>0</v>
      </c>
      <c r="T189" s="22" t="n">
        <v>15.943</v>
      </c>
      <c r="U189" s="22" t="n">
        <v>0</v>
      </c>
    </row>
    <row r="190">
      <c r="A190" s="9" t="inlineStr">
        <is>
          <t>영업활동 현금흐름</t>
        </is>
      </c>
      <c r="D190" s="12" t="n">
        <v>809.715</v>
      </c>
      <c r="F190" s="12" t="n">
        <v>3022.077</v>
      </c>
      <c r="H190" s="12" t="n">
        <v>1986.133</v>
      </c>
      <c r="J190" s="12" t="n">
        <v>4247.416</v>
      </c>
      <c r="L190" s="12" t="n">
        <v>1406.48</v>
      </c>
      <c r="N190" s="12" t="n">
        <v>3429.266</v>
      </c>
      <c r="O190" s="12" t="n">
        <v>830.475</v>
      </c>
      <c r="P190" s="12" t="n">
        <v>1065.247</v>
      </c>
      <c r="Q190" s="12" t="n">
        <v>1034.595</v>
      </c>
      <c r="R190" s="12" t="n">
        <v>1613.043</v>
      </c>
      <c r="S190" s="12" t="n">
        <v>2306.228</v>
      </c>
      <c r="T190" s="12" t="n">
        <v>239.579</v>
      </c>
      <c r="U190" s="12" t="n">
        <v>3767.642</v>
      </c>
      <c r="V190" s="12" t="n">
        <v>3022.077</v>
      </c>
      <c r="W190" s="12" t="n">
        <v>4247.416</v>
      </c>
      <c r="X190" s="12" t="n">
        <v>3429.266</v>
      </c>
    </row>
    <row r="191">
      <c r="A191" s="20" t="inlineStr">
        <is>
          <t>유가증권 취득</t>
        </is>
      </c>
      <c r="O191" s="22" t="n">
        <v>-0.611</v>
      </c>
      <c r="P191" s="22" t="n">
        <v>-19.388</v>
      </c>
      <c r="Q191" s="22" t="n">
        <v>-34.164</v>
      </c>
      <c r="R191" s="22" t="n">
        <v>0</v>
      </c>
    </row>
    <row r="192">
      <c r="A192" s="20" t="inlineStr">
        <is>
          <t>유형자산 취득(설비투자)</t>
        </is>
      </c>
      <c r="D192" s="22" t="n">
        <v>-201.921</v>
      </c>
      <c r="F192" s="22" t="n">
        <v>-713.749</v>
      </c>
      <c r="H192" s="22" t="n">
        <v>-70.563</v>
      </c>
      <c r="J192" s="22" t="n">
        <v>-235.569</v>
      </c>
      <c r="L192" s="22" t="n">
        <v>-67.155</v>
      </c>
      <c r="N192" s="22" t="n">
        <v>-110.179</v>
      </c>
      <c r="O192" s="22" t="n">
        <v>-169.247</v>
      </c>
      <c r="P192" s="22" t="n">
        <v>-508.972</v>
      </c>
      <c r="Q192" s="22" t="n">
        <v>-630.3200000000001</v>
      </c>
      <c r="R192" s="22" t="n">
        <v>-97.479</v>
      </c>
      <c r="S192" s="22" t="n">
        <v>-31.088</v>
      </c>
      <c r="T192" s="22" t="n">
        <v>-49.137</v>
      </c>
      <c r="U192" s="22" t="n">
        <v>-185.677</v>
      </c>
      <c r="V192" s="22" t="n">
        <v>-713.749</v>
      </c>
      <c r="W192" s="22" t="n">
        <v>-235.569</v>
      </c>
      <c r="X192" s="22" t="n">
        <v>-110.179</v>
      </c>
    </row>
    <row r="193">
      <c r="A193" s="20" t="inlineStr">
        <is>
          <t>무형자산 취득</t>
        </is>
      </c>
      <c r="D193" s="22" t="n">
        <v>-55.144</v>
      </c>
      <c r="F193" s="22" t="n">
        <v>-84.83499999999999</v>
      </c>
      <c r="H193" s="22" t="n">
        <v>-33.686</v>
      </c>
      <c r="J193" s="22" t="n">
        <v>-66.631</v>
      </c>
      <c r="L193" s="22" t="n">
        <v>-141.024</v>
      </c>
      <c r="N193" s="22" t="n">
        <v>-231.907</v>
      </c>
      <c r="O193" s="22" t="n">
        <v>-37.95</v>
      </c>
      <c r="P193" s="22" t="n">
        <v>-23.693</v>
      </c>
      <c r="Q193" s="22" t="n">
        <v>-2.842</v>
      </c>
      <c r="R193" s="22" t="n">
        <v>-123.948</v>
      </c>
      <c r="S193" s="22" t="n">
        <v>-37.23</v>
      </c>
      <c r="T193" s="22" t="n">
        <v>-29.824</v>
      </c>
      <c r="U193" s="22" t="n">
        <v>-56.537</v>
      </c>
      <c r="V193" s="22" t="n">
        <v>-84.83499999999999</v>
      </c>
      <c r="W193" s="22" t="n">
        <v>-66.631</v>
      </c>
      <c r="X193" s="22" t="n">
        <v>-231.907</v>
      </c>
    </row>
    <row r="194">
      <c r="A194" s="20" t="inlineStr">
        <is>
          <t>정기예금 예입</t>
        </is>
      </c>
      <c r="P194" s="22" t="n">
        <v>0</v>
      </c>
      <c r="Q194" s="22" t="n">
        <v>-55.255</v>
      </c>
      <c r="R194" s="22" t="n">
        <v>-53.97</v>
      </c>
      <c r="S194" s="22" t="n">
        <v>0</v>
      </c>
    </row>
    <row r="195">
      <c r="A195" s="20" t="inlineStr">
        <is>
          <t>정기예금 인출</t>
        </is>
      </c>
      <c r="R195" s="22" t="n">
        <v>0</v>
      </c>
      <c r="S195" s="22" t="n">
        <v>107.32</v>
      </c>
      <c r="T195" s="22" t="n">
        <v>0</v>
      </c>
    </row>
    <row r="196">
      <c r="A196" s="20" t="inlineStr">
        <is>
          <t>투자유가증권 취득</t>
        </is>
      </c>
      <c r="D196" s="22" t="n">
        <v>-949.478</v>
      </c>
      <c r="F196" s="22" t="n">
        <v>-1416.138</v>
      </c>
      <c r="H196" s="22" t="n">
        <v>-210.38</v>
      </c>
      <c r="J196" s="22" t="n">
        <v>-354.158</v>
      </c>
      <c r="L196" s="22" t="n">
        <v>-123.572</v>
      </c>
      <c r="N196" s="22" t="n">
        <v>-134.853</v>
      </c>
      <c r="O196" s="22" t="n">
        <v>-279.486</v>
      </c>
      <c r="P196" s="22" t="n">
        <v>-628.092</v>
      </c>
      <c r="Q196" s="22" t="n">
        <v>-472.678</v>
      </c>
      <c r="R196" s="22" t="n">
        <v>-568.4160000000001</v>
      </c>
      <c r="S196" s="22" t="n">
        <v>-800.559</v>
      </c>
      <c r="T196" s="22" t="n">
        <v>-545.4160000000001</v>
      </c>
      <c r="U196" s="22" t="n">
        <v>-1487.256</v>
      </c>
      <c r="V196" s="22" t="n">
        <v>-1416.138</v>
      </c>
      <c r="W196" s="22" t="n">
        <v>-354.158</v>
      </c>
      <c r="X196" s="22" t="n">
        <v>-134.853</v>
      </c>
    </row>
    <row r="197">
      <c r="A197" s="20" t="inlineStr">
        <is>
          <t>유가증권·투자유가증권 매각·상환 수입</t>
        </is>
      </c>
      <c r="D197" s="22" t="n">
        <v>348.667</v>
      </c>
      <c r="F197" s="22" t="n">
        <v>611.272</v>
      </c>
      <c r="H197" s="22" t="n">
        <v>152.02</v>
      </c>
      <c r="J197" s="22" t="n">
        <v>180.47</v>
      </c>
      <c r="L197" s="22" t="n">
        <v>0</v>
      </c>
      <c r="N197" s="22" t="n">
        <v>100.181</v>
      </c>
      <c r="O197" s="22" t="n">
        <v>0</v>
      </c>
      <c r="P197" s="22" t="n">
        <v>100.302</v>
      </c>
      <c r="Q197" s="22" t="n">
        <v>191.199</v>
      </c>
      <c r="R197" s="22" t="n">
        <v>529.78</v>
      </c>
      <c r="S197" s="22" t="n">
        <v>319.253</v>
      </c>
      <c r="T197" s="22" t="n">
        <v>449.79</v>
      </c>
      <c r="U197" s="22" t="n">
        <v>206.18</v>
      </c>
      <c r="V197" s="22" t="n">
        <v>611.272</v>
      </c>
      <c r="W197" s="22" t="n">
        <v>180.47</v>
      </c>
      <c r="X197" s="22" t="n">
        <v>100.181</v>
      </c>
    </row>
    <row r="198">
      <c r="A198" s="20" t="inlineStr">
        <is>
          <t>고정자산 매각</t>
        </is>
      </c>
      <c r="J198" s="22" t="n">
        <v>0</v>
      </c>
      <c r="N198" s="22" t="n">
        <v>0.091</v>
      </c>
      <c r="W198" s="22" t="n">
        <v>0</v>
      </c>
      <c r="X198" s="22" t="n">
        <v>0.091</v>
      </c>
    </row>
    <row r="199">
      <c r="A199" s="20" t="inlineStr">
        <is>
          <t>임차보증금·보증금 납입</t>
        </is>
      </c>
      <c r="D199" s="22" t="n">
        <v>-0.59</v>
      </c>
      <c r="F199" s="22" t="n">
        <v>-68.628</v>
      </c>
      <c r="H199" s="22" t="n">
        <v>-19.816</v>
      </c>
      <c r="J199" s="22" t="n">
        <v>-24.086</v>
      </c>
      <c r="L199" s="22" t="n">
        <v>0</v>
      </c>
      <c r="N199" s="22" t="n">
        <v>0</v>
      </c>
      <c r="O199" s="22" t="n">
        <v>-139.447</v>
      </c>
      <c r="P199" s="22" t="n">
        <v>-78.063</v>
      </c>
      <c r="Q199" s="22" t="n">
        <v>-24.568</v>
      </c>
      <c r="R199" s="22" t="n">
        <v>-1.022</v>
      </c>
      <c r="S199" s="22" t="n">
        <v>-23.43</v>
      </c>
      <c r="T199" s="22" t="n">
        <v>0</v>
      </c>
      <c r="U199" s="22" t="n">
        <v>-27.479</v>
      </c>
      <c r="V199" s="22" t="n">
        <v>-68.628</v>
      </c>
      <c r="W199" s="22" t="n">
        <v>-24.086</v>
      </c>
      <c r="X199" s="22" t="n">
        <v>0</v>
      </c>
    </row>
    <row r="200">
      <c r="A200" s="20" t="inlineStr">
        <is>
          <t>임차보증금·보증금 회수</t>
        </is>
      </c>
      <c r="D200" s="22" t="n">
        <v>0.36</v>
      </c>
      <c r="F200" s="22" t="n">
        <v>0.578</v>
      </c>
      <c r="H200" s="22" t="n">
        <v>0</v>
      </c>
      <c r="J200" s="22" t="n">
        <v>1.754</v>
      </c>
      <c r="N200" s="22" t="n">
        <v>0.353</v>
      </c>
      <c r="O200" s="22" t="n">
        <v>3.666</v>
      </c>
      <c r="P200" s="22" t="n">
        <v>7.211</v>
      </c>
      <c r="Q200" s="22" t="n">
        <v>39.459</v>
      </c>
      <c r="R200" s="22" t="n">
        <v>47.41</v>
      </c>
      <c r="S200" s="22" t="n">
        <v>86.809</v>
      </c>
      <c r="T200" s="22" t="n">
        <v>9.834</v>
      </c>
      <c r="U200" s="22" t="n">
        <v>0</v>
      </c>
      <c r="V200" s="22" t="n">
        <v>0.578</v>
      </c>
      <c r="W200" s="22" t="n">
        <v>1.754</v>
      </c>
      <c r="X200" s="22" t="n">
        <v>0.353</v>
      </c>
    </row>
    <row r="201">
      <c r="A201" s="20" t="inlineStr">
        <is>
          <t>연결범위 변경 자회사 주식 취득</t>
        </is>
      </c>
      <c r="J201" s="22" t="n">
        <v>0</v>
      </c>
      <c r="N201" s="22" t="n">
        <v>-626.439</v>
      </c>
      <c r="W201" s="22" t="n">
        <v>0</v>
      </c>
      <c r="X201" s="22" t="n">
        <v>-626.439</v>
      </c>
    </row>
    <row r="202">
      <c r="A202" s="20" t="inlineStr">
        <is>
          <t>보험적립금 적립</t>
        </is>
      </c>
      <c r="D202" s="22" t="n">
        <v>-48.999</v>
      </c>
      <c r="F202" s="22" t="n">
        <v>-48.999</v>
      </c>
      <c r="H202" s="22" t="n">
        <v>-48.999</v>
      </c>
      <c r="J202" s="22" t="n">
        <v>-48.999</v>
      </c>
      <c r="L202" s="22" t="n">
        <v>-48.999</v>
      </c>
      <c r="N202" s="22" t="n">
        <v>-48.999</v>
      </c>
      <c r="O202" s="22" t="n">
        <v>-82.497</v>
      </c>
      <c r="P202" s="22" t="n">
        <v>-82.497</v>
      </c>
      <c r="Q202" s="22" t="n">
        <v>-82.497</v>
      </c>
      <c r="R202" s="22" t="n">
        <v>-82.497</v>
      </c>
      <c r="S202" s="22" t="n">
        <v>-82.497</v>
      </c>
      <c r="T202" s="22" t="n">
        <v>-48.999</v>
      </c>
      <c r="U202" s="22" t="n">
        <v>-48.999</v>
      </c>
      <c r="V202" s="22" t="n">
        <v>-48.999</v>
      </c>
      <c r="W202" s="22" t="n">
        <v>-48.999</v>
      </c>
      <c r="X202" s="22" t="n">
        <v>-48.999</v>
      </c>
    </row>
    <row r="203">
      <c r="A203" s="20" t="inlineStr">
        <is>
          <t>기타</t>
        </is>
      </c>
      <c r="D203" s="22" t="n">
        <v>0</v>
      </c>
      <c r="F203" s="22" t="n">
        <v>4.537</v>
      </c>
      <c r="H203" s="22" t="n">
        <v>0</v>
      </c>
      <c r="J203" s="22" t="n">
        <v>0</v>
      </c>
      <c r="L203" s="22" t="n">
        <v>-101.033</v>
      </c>
      <c r="N203" s="22" t="n">
        <v>-100</v>
      </c>
      <c r="O203" s="22" t="n">
        <v>4.96</v>
      </c>
      <c r="P203" s="22" t="n">
        <v>0.035</v>
      </c>
      <c r="Q203" s="22" t="n">
        <v>-1.246</v>
      </c>
      <c r="R203" s="22" t="n">
        <v>-2.621</v>
      </c>
      <c r="S203" s="22" t="n">
        <v>-3.933</v>
      </c>
      <c r="T203" s="22" t="n">
        <v>0</v>
      </c>
      <c r="U203" s="22" t="n">
        <v>118.744</v>
      </c>
      <c r="V203" s="22" t="n">
        <v>4.537</v>
      </c>
      <c r="W203" s="22" t="n">
        <v>0</v>
      </c>
      <c r="X203" s="22" t="n">
        <v>-100</v>
      </c>
    </row>
    <row r="204">
      <c r="A204" s="9" t="inlineStr">
        <is>
          <t>투자활동 현금흐름</t>
        </is>
      </c>
      <c r="D204" s="12" t="n">
        <v>-907.107</v>
      </c>
      <c r="F204" s="12" t="n">
        <v>-1715.964</v>
      </c>
      <c r="H204" s="12" t="n">
        <v>-231.425</v>
      </c>
      <c r="J204" s="12" t="n">
        <v>-547.2190000000001</v>
      </c>
      <c r="L204" s="12" t="n">
        <v>-481.784</v>
      </c>
      <c r="N204" s="12" t="n">
        <v>-1151.752</v>
      </c>
      <c r="O204" s="12" t="n">
        <v>-700.614</v>
      </c>
      <c r="P204" s="12" t="n">
        <v>-1233.158</v>
      </c>
      <c r="Q204" s="12" t="n">
        <v>-1072.916</v>
      </c>
      <c r="R204" s="12" t="n">
        <v>-352.765</v>
      </c>
      <c r="S204" s="12" t="n">
        <v>-465.356</v>
      </c>
      <c r="T204" s="12" t="n">
        <v>-213.754</v>
      </c>
      <c r="U204" s="12" t="n">
        <v>-1481.026</v>
      </c>
      <c r="V204" s="12" t="n">
        <v>-1715.964</v>
      </c>
      <c r="W204" s="12" t="n">
        <v>-547.2190000000001</v>
      </c>
      <c r="X204" s="12" t="n">
        <v>-1151.752</v>
      </c>
    </row>
    <row r="205">
      <c r="A205" s="20" t="inlineStr">
        <is>
          <t>장기차입</t>
        </is>
      </c>
      <c r="D205" s="22" t="n">
        <v>400</v>
      </c>
      <c r="F205" s="22" t="n">
        <v>400</v>
      </c>
      <c r="H205" s="22" t="n">
        <v>0</v>
      </c>
      <c r="J205" s="22" t="n">
        <v>0</v>
      </c>
      <c r="L205" s="22" t="n">
        <v>200</v>
      </c>
      <c r="N205" s="22" t="n">
        <v>200</v>
      </c>
      <c r="O205" s="22" t="n">
        <v>300</v>
      </c>
      <c r="P205" s="22" t="n">
        <v>300</v>
      </c>
      <c r="Q205" s="22" t="n">
        <v>300</v>
      </c>
      <c r="R205" s="22" t="n">
        <v>600</v>
      </c>
      <c r="S205" s="22" t="n">
        <v>300</v>
      </c>
      <c r="T205" s="22" t="n">
        <v>200</v>
      </c>
      <c r="U205" s="22" t="n">
        <v>600</v>
      </c>
      <c r="V205" s="22" t="n">
        <v>400</v>
      </c>
      <c r="W205" s="22" t="n">
        <v>0</v>
      </c>
      <c r="X205" s="22" t="n">
        <v>200</v>
      </c>
    </row>
    <row r="206">
      <c r="A206" s="20" t="inlineStr">
        <is>
          <t>장기차입금 상환</t>
        </is>
      </c>
      <c r="D206" s="22" t="n">
        <v>-215.247</v>
      </c>
      <c r="F206" s="22" t="n">
        <v>-395.513</v>
      </c>
      <c r="H206" s="22" t="n">
        <v>-167.766</v>
      </c>
      <c r="J206" s="22" t="n">
        <v>-333.532</v>
      </c>
      <c r="L206" s="22" t="n">
        <v>-157.09</v>
      </c>
      <c r="N206" s="22" t="n">
        <v>-383.93</v>
      </c>
      <c r="O206" s="22" t="n">
        <v>-288.688</v>
      </c>
      <c r="P206" s="22" t="n">
        <v>-302.087</v>
      </c>
      <c r="Q206" s="22" t="n">
        <v>-293.209</v>
      </c>
      <c r="R206" s="22" t="n">
        <v>-325.725</v>
      </c>
      <c r="S206" s="22" t="n">
        <v>-390.534</v>
      </c>
      <c r="T206" s="22" t="n">
        <v>-379.577</v>
      </c>
      <c r="U206" s="22" t="n">
        <v>-458.796</v>
      </c>
      <c r="V206" s="22" t="n">
        <v>-395.513</v>
      </c>
      <c r="W206" s="22" t="n">
        <v>-333.532</v>
      </c>
      <c r="X206" s="22" t="n">
        <v>-383.93</v>
      </c>
    </row>
    <row r="207">
      <c r="A207" s="20" t="inlineStr">
        <is>
          <t>주식 발행</t>
        </is>
      </c>
      <c r="O207" s="22" t="n">
        <v>2374.865</v>
      </c>
      <c r="P207" s="22" t="n">
        <v>68.072</v>
      </c>
    </row>
    <row r="208">
      <c r="A208" s="20" t="inlineStr">
        <is>
          <t>신주예약권 행사에 따른 주식 발행</t>
        </is>
      </c>
      <c r="P208" s="22" t="n">
        <v>68.072</v>
      </c>
      <c r="Q208" s="22" t="n">
        <v>66.325</v>
      </c>
      <c r="R208" s="22" t="n">
        <v>0</v>
      </c>
    </row>
    <row r="209">
      <c r="A209" s="20" t="inlineStr">
        <is>
          <t>자기주식 매각</t>
        </is>
      </c>
      <c r="O209" s="22" t="n">
        <v>9.141</v>
      </c>
      <c r="P209" s="22" t="n">
        <v>9.407999999999999</v>
      </c>
      <c r="Q209" s="22" t="n">
        <v>11.855</v>
      </c>
      <c r="R209" s="22" t="n">
        <v>97.93600000000001</v>
      </c>
      <c r="S209" s="22" t="n">
        <v>0</v>
      </c>
    </row>
    <row r="210">
      <c r="A210" s="20" t="inlineStr">
        <is>
          <t>자기주식 처분</t>
        </is>
      </c>
      <c r="D210" s="22" t="n">
        <v>0</v>
      </c>
      <c r="F210" s="22" t="n">
        <v>0</v>
      </c>
      <c r="H210" s="22" t="n">
        <v>0</v>
      </c>
      <c r="L210" s="22" t="n">
        <v>62.176</v>
      </c>
      <c r="T210" s="22" t="n">
        <v>0</v>
      </c>
      <c r="U210" s="22" t="n">
        <v>30.432</v>
      </c>
      <c r="V210" s="22" t="n">
        <v>0</v>
      </c>
    </row>
    <row r="211">
      <c r="A211" s="20" t="inlineStr">
        <is>
          <t>자기주식 취득</t>
        </is>
      </c>
      <c r="F211" s="22" t="n">
        <v>-501.179</v>
      </c>
      <c r="J211" s="22" t="n">
        <v>-1487.631</v>
      </c>
      <c r="N211" s="22" t="n">
        <v>0</v>
      </c>
      <c r="O211" s="22" t="n">
        <v>-0.049</v>
      </c>
      <c r="P211" s="22" t="n">
        <v>0</v>
      </c>
      <c r="Q211" s="22" t="n">
        <v>-148.54</v>
      </c>
      <c r="R211" s="22" t="n">
        <v>0</v>
      </c>
      <c r="S211" s="22" t="n">
        <v>-94.03400000000001</v>
      </c>
      <c r="T211" s="22" t="n">
        <v>0</v>
      </c>
      <c r="U211" s="22" t="n">
        <v>0</v>
      </c>
      <c r="V211" s="22" t="n">
        <v>-501.179</v>
      </c>
      <c r="W211" s="22" t="n">
        <v>-1487.631</v>
      </c>
      <c r="X211" s="22" t="n">
        <v>0</v>
      </c>
    </row>
    <row r="212">
      <c r="A212" s="20" t="inlineStr">
        <is>
          <t>배당금 지급</t>
        </is>
      </c>
      <c r="D212" s="22" t="n">
        <v>-1019.235</v>
      </c>
      <c r="F212" s="22" t="n">
        <v>-1019.5</v>
      </c>
      <c r="H212" s="22" t="n">
        <v>-1124.812</v>
      </c>
      <c r="J212" s="22" t="n">
        <v>-1124.955</v>
      </c>
      <c r="L212" s="22" t="n">
        <v>-1608.306</v>
      </c>
      <c r="N212" s="22" t="n">
        <v>-1608.516</v>
      </c>
      <c r="O212" s="22" t="n">
        <v>-181.142</v>
      </c>
      <c r="P212" s="22" t="n">
        <v>-288.609</v>
      </c>
      <c r="Q212" s="22" t="n">
        <v>-378.539</v>
      </c>
      <c r="R212" s="22" t="n">
        <v>-466.437</v>
      </c>
      <c r="S212" s="22" t="n">
        <v>-525.2670000000001</v>
      </c>
      <c r="T212" s="22" t="n">
        <v>-639.725</v>
      </c>
      <c r="U212" s="22" t="n">
        <v>-727.333</v>
      </c>
      <c r="V212" s="22" t="n">
        <v>-1019.5</v>
      </c>
      <c r="W212" s="22" t="n">
        <v>-1124.955</v>
      </c>
      <c r="X212" s="22" t="n">
        <v>-1608.516</v>
      </c>
    </row>
    <row r="213">
      <c r="A213" s="20" t="inlineStr">
        <is>
          <t>단기차입금 순증감</t>
        </is>
      </c>
      <c r="J213" s="22" t="n">
        <v>0</v>
      </c>
      <c r="N213" s="22" t="n">
        <v>-50</v>
      </c>
      <c r="O213" s="22" t="n">
        <v>-115</v>
      </c>
      <c r="P213" s="22" t="n">
        <v>0</v>
      </c>
      <c r="W213" s="22" t="n">
        <v>0</v>
      </c>
      <c r="X213" s="22" t="n">
        <v>-50</v>
      </c>
    </row>
    <row r="214">
      <c r="A214" s="9" t="inlineStr">
        <is>
          <t>재무활동 현금흐름</t>
        </is>
      </c>
      <c r="D214" s="12" t="n">
        <v>-834.482</v>
      </c>
      <c r="F214" s="12" t="n">
        <v>-1516.192</v>
      </c>
      <c r="H214" s="12" t="n">
        <v>-1292.578</v>
      </c>
      <c r="J214" s="12" t="n">
        <v>-2946.118</v>
      </c>
      <c r="L214" s="12" t="n">
        <v>-1503.219</v>
      </c>
      <c r="N214" s="12" t="n">
        <v>-1842.446</v>
      </c>
      <c r="O214" s="12" t="n">
        <v>2099.126</v>
      </c>
      <c r="P214" s="12" t="n">
        <v>-213.215</v>
      </c>
      <c r="Q214" s="12" t="n">
        <v>-442.108</v>
      </c>
      <c r="R214" s="12" t="n">
        <v>-94.226</v>
      </c>
      <c r="S214" s="12" t="n">
        <v>-709.836</v>
      </c>
      <c r="T214" s="12" t="n">
        <v>-819.302</v>
      </c>
      <c r="U214" s="12" t="n">
        <v>-555.697</v>
      </c>
      <c r="V214" s="12" t="n">
        <v>-1516.192</v>
      </c>
      <c r="W214" s="12" t="n">
        <v>-2946.118</v>
      </c>
      <c r="X214" s="12" t="n">
        <v>-1842.446</v>
      </c>
    </row>
    <row r="215">
      <c r="A215" s="20" t="inlineStr">
        <is>
          <t>현금성자산 환산차이</t>
        </is>
      </c>
      <c r="D215" s="22" t="n">
        <v>14.127</v>
      </c>
      <c r="F215" s="22" t="n">
        <v>-3.512</v>
      </c>
      <c r="H215" s="22" t="n">
        <v>19.738</v>
      </c>
      <c r="J215" s="22" t="n">
        <v>10.155</v>
      </c>
      <c r="L215" s="22" t="n">
        <v>32.916</v>
      </c>
      <c r="N215" s="22" t="n">
        <v>46.218</v>
      </c>
      <c r="O215" s="22" t="n">
        <v>14.456</v>
      </c>
      <c r="P215" s="22" t="n">
        <v>-3.231</v>
      </c>
      <c r="Q215" s="22" t="n">
        <v>-16.47</v>
      </c>
      <c r="R215" s="22" t="n">
        <v>-0.61</v>
      </c>
      <c r="S215" s="22" t="n">
        <v>10.581</v>
      </c>
      <c r="T215" s="22" t="n">
        <v>62.398</v>
      </c>
      <c r="U215" s="22" t="n">
        <v>-22.51</v>
      </c>
      <c r="V215" s="22" t="n">
        <v>-3.512</v>
      </c>
      <c r="W215" s="22" t="n">
        <v>10.155</v>
      </c>
      <c r="X215" s="22" t="n">
        <v>46.218</v>
      </c>
    </row>
    <row r="216">
      <c r="A216" s="20" t="inlineStr">
        <is>
          <t>현금성자산 증감</t>
        </is>
      </c>
      <c r="D216" s="22" t="n">
        <v>-917.746</v>
      </c>
      <c r="F216" s="22" t="n">
        <v>-213.592</v>
      </c>
      <c r="H216" s="22" t="n">
        <v>481.867</v>
      </c>
      <c r="J216" s="22" t="n">
        <v>764.2329999999999</v>
      </c>
      <c r="L216" s="22" t="n">
        <v>-545.606</v>
      </c>
      <c r="N216" s="22" t="n">
        <v>481.286</v>
      </c>
      <c r="O216" s="22" t="n">
        <v>2243.444</v>
      </c>
      <c r="P216" s="22" t="n">
        <v>-384.357</v>
      </c>
      <c r="Q216" s="22" t="n">
        <v>-496.899</v>
      </c>
      <c r="R216" s="22" t="n">
        <v>1165.44</v>
      </c>
      <c r="S216" s="22" t="n">
        <v>1141.616</v>
      </c>
      <c r="T216" s="22" t="n">
        <v>-731.078</v>
      </c>
      <c r="U216" s="22" t="n">
        <v>1708.409</v>
      </c>
      <c r="V216" s="22" t="n">
        <v>-213.592</v>
      </c>
      <c r="W216" s="22" t="n">
        <v>764.2329999999999</v>
      </c>
      <c r="X216" s="22" t="n">
        <v>481.286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트랜잭션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15731.915</v>
      </c>
      <c r="D5" s="12" t="n">
        <v>15386.88</v>
      </c>
      <c r="E5" s="12" t="n">
        <v>16004.955</v>
      </c>
      <c r="F5" s="12" t="n">
        <v>17264.7</v>
      </c>
      <c r="G5" s="12" t="n">
        <v>19099.355</v>
      </c>
      <c r="H5" s="11" t="n">
        <v>12810.71</v>
      </c>
      <c r="I5" s="12" t="n">
        <v>15190.385</v>
      </c>
      <c r="J5" s="12" t="n">
        <v>14801.28</v>
      </c>
      <c r="K5" s="12" t="n">
        <v>15731.915</v>
      </c>
      <c r="L5" s="12" t="n">
        <v>19099.355</v>
      </c>
    </row>
    <row r="6">
      <c r="A6" s="20" t="inlineStr">
        <is>
          <t>현금및현금성자산</t>
        </is>
      </c>
      <c r="B6" s="10" t="n"/>
      <c r="C6" s="21" t="n">
        <v>6558.981</v>
      </c>
      <c r="D6" s="22" t="n">
        <v>4387.134</v>
      </c>
      <c r="E6" s="22" t="n">
        <v>5891.219</v>
      </c>
      <c r="F6" s="22" t="n">
        <v>5368.005</v>
      </c>
      <c r="G6" s="22" t="n">
        <v>6852.399</v>
      </c>
      <c r="H6" s="21" t="n">
        <v>4335.232</v>
      </c>
      <c r="I6" s="22" t="n">
        <v>6006.583</v>
      </c>
      <c r="J6" s="22" t="n">
        <v>5818.864</v>
      </c>
      <c r="K6" s="22" t="n">
        <v>6558.981</v>
      </c>
      <c r="L6" s="22" t="n">
        <v>6852.399</v>
      </c>
    </row>
    <row r="7">
      <c r="A7" s="20" t="inlineStr">
        <is>
          <t>단기금융상품</t>
        </is>
      </c>
      <c r="B7" s="10" t="n"/>
      <c r="C7" s="21" t="n">
        <v>52.032</v>
      </c>
      <c r="D7" s="22" t="n">
        <v>320.443</v>
      </c>
      <c r="E7" s="22" t="n">
        <v>431.065</v>
      </c>
      <c r="F7" s="22" t="n">
        <v>452.99</v>
      </c>
      <c r="G7" s="22" t="n">
        <v>507.455</v>
      </c>
      <c r="H7" s="21" t="n">
        <v>291.9</v>
      </c>
      <c r="I7" s="22" t="n">
        <v>859.361</v>
      </c>
      <c r="J7" s="22" t="n">
        <v>171.143</v>
      </c>
      <c r="K7" s="22" t="n">
        <v>52.032</v>
      </c>
      <c r="L7" s="22" t="n">
        <v>507.455</v>
      </c>
    </row>
    <row r="8">
      <c r="A8" s="20" t="inlineStr">
        <is>
          <t>매출채권</t>
        </is>
      </c>
      <c r="B8" s="10" t="n"/>
      <c r="C8" s="21" t="n">
        <v>3333.702</v>
      </c>
      <c r="D8" s="22" t="n">
        <v>4530.667</v>
      </c>
      <c r="E8" s="22" t="n">
        <v>3365.762</v>
      </c>
      <c r="F8" s="22" t="n">
        <v>4582.356</v>
      </c>
      <c r="G8" s="22" t="n">
        <v>4048.643</v>
      </c>
      <c r="H8" s="21" t="n">
        <v>2679.941</v>
      </c>
      <c r="I8" s="22" t="n">
        <v>2734.278</v>
      </c>
      <c r="J8" s="22" t="n">
        <v>3130.367</v>
      </c>
      <c r="K8" s="22" t="n">
        <v>3333.702</v>
      </c>
      <c r="L8" s="22" t="n">
        <v>4048.643</v>
      </c>
    </row>
    <row r="9">
      <c r="A9" s="20" t="inlineStr">
        <is>
          <t>재고자산</t>
        </is>
      </c>
      <c r="B9" s="10" t="n"/>
      <c r="C9" s="21" t="n">
        <v>5140.926</v>
      </c>
      <c r="D9" s="22" t="n">
        <v>5274.255</v>
      </c>
      <c r="E9" s="22" t="n">
        <v>5548.367</v>
      </c>
      <c r="F9" s="22" t="n">
        <v>5841.361</v>
      </c>
      <c r="G9" s="22" t="n">
        <v>6488.547</v>
      </c>
      <c r="H9" s="21" t="n">
        <v>4464.63</v>
      </c>
      <c r="I9" s="22" t="n">
        <v>4769.649</v>
      </c>
      <c r="J9" s="22" t="n">
        <v>5076.263</v>
      </c>
      <c r="K9" s="22" t="n">
        <v>5140.926</v>
      </c>
      <c r="L9" s="22" t="n">
        <v>6488.547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8066.255</v>
      </c>
      <c r="D11" s="12" t="n">
        <v>8199.968999999999</v>
      </c>
      <c r="E11" s="12" t="n">
        <v>8385.096</v>
      </c>
      <c r="F11" s="12" t="n">
        <v>9240.778</v>
      </c>
      <c r="G11" s="12" t="n">
        <v>9266.700000000001</v>
      </c>
      <c r="H11" s="11" t="n">
        <v>3839.494</v>
      </c>
      <c r="I11" s="12" t="n">
        <v>5408.927</v>
      </c>
      <c r="J11" s="12" t="n">
        <v>7519.37</v>
      </c>
      <c r="K11" s="12" t="n">
        <v>8066.255</v>
      </c>
      <c r="L11" s="12" t="n">
        <v>9266.700000000001</v>
      </c>
    </row>
    <row r="12">
      <c r="A12" s="20" t="inlineStr">
        <is>
          <t>유형자산</t>
        </is>
      </c>
      <c r="B12" s="10" t="n"/>
      <c r="C12" s="21" t="n">
        <v>1767.846</v>
      </c>
      <c r="D12" s="22" t="n">
        <v>1761.845</v>
      </c>
      <c r="E12" s="22" t="n">
        <v>1735.83</v>
      </c>
      <c r="F12" s="22" t="n">
        <v>1729.608</v>
      </c>
      <c r="G12" s="22" t="n">
        <v>1693.656</v>
      </c>
      <c r="H12" s="21" t="n">
        <v>1067.821</v>
      </c>
      <c r="I12" s="22" t="n">
        <v>1114.551</v>
      </c>
      <c r="J12" s="22" t="n">
        <v>1775.57</v>
      </c>
      <c r="K12" s="22" t="n">
        <v>1767.846</v>
      </c>
      <c r="L12" s="22" t="n">
        <v>1693.656</v>
      </c>
    </row>
    <row r="13">
      <c r="A13" s="20" t="inlineStr">
        <is>
          <t>무형자산</t>
        </is>
      </c>
      <c r="B13" s="10" t="n"/>
      <c r="C13" s="21" t="n">
        <v>221.35</v>
      </c>
      <c r="D13" s="22" t="n">
        <v>302.863</v>
      </c>
      <c r="E13" s="22" t="n">
        <v>346.914</v>
      </c>
      <c r="F13" s="22" t="n">
        <v>1100.267</v>
      </c>
      <c r="G13" s="22" t="n">
        <v>1113.27</v>
      </c>
      <c r="H13" s="21" t="n">
        <v>126.671</v>
      </c>
      <c r="I13" s="22" t="n">
        <v>165.194</v>
      </c>
      <c r="J13" s="22" t="n">
        <v>200.648</v>
      </c>
      <c r="K13" s="22" t="n">
        <v>221.35</v>
      </c>
      <c r="L13" s="22" t="n">
        <v>1113.27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23798.171</v>
      </c>
      <c r="D16" s="12" t="n">
        <v>23586.849</v>
      </c>
      <c r="E16" s="12" t="n">
        <v>24390.052</v>
      </c>
      <c r="F16" s="12" t="n">
        <v>26505.479</v>
      </c>
      <c r="G16" s="12" t="n">
        <v>28366.055</v>
      </c>
      <c r="H16" s="11" t="n">
        <v>16650.205</v>
      </c>
      <c r="I16" s="12" t="n">
        <v>20599.312</v>
      </c>
      <c r="J16" s="12" t="n">
        <v>22320.651</v>
      </c>
      <c r="K16" s="12" t="n">
        <v>23798.171</v>
      </c>
      <c r="L16" s="12" t="n">
        <v>28366.055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3475.403</v>
      </c>
      <c r="D18" s="12" t="n">
        <v>3183.718</v>
      </c>
      <c r="E18" s="12" t="n">
        <v>3127.879</v>
      </c>
      <c r="F18" s="12" t="n">
        <v>3406.672</v>
      </c>
      <c r="G18" s="12" t="n">
        <v>4447.537</v>
      </c>
      <c r="H18" s="11" t="n">
        <v>2653.814</v>
      </c>
      <c r="I18" s="12" t="n">
        <v>3425.816</v>
      </c>
      <c r="J18" s="12" t="n">
        <v>3334.225</v>
      </c>
      <c r="K18" s="12" t="n">
        <v>3475.403</v>
      </c>
      <c r="L18" s="12" t="n">
        <v>4447.537</v>
      </c>
    </row>
    <row r="19">
      <c r="A19" s="20" t="inlineStr">
        <is>
          <t>매입채무</t>
        </is>
      </c>
      <c r="B19" s="10" t="n"/>
      <c r="C19" s="21" t="n">
        <v>1111.409</v>
      </c>
      <c r="D19" s="22" t="n">
        <v>1517.88</v>
      </c>
      <c r="E19" s="22" t="n">
        <v>1051.119</v>
      </c>
      <c r="F19" s="22" t="n">
        <v>1580.131</v>
      </c>
      <c r="G19" s="22" t="n">
        <v>2042.037</v>
      </c>
      <c r="H19" s="21" t="n">
        <v>1035.921</v>
      </c>
      <c r="I19" s="22" t="n">
        <v>959.141</v>
      </c>
      <c r="J19" s="22" t="n">
        <v>956.043</v>
      </c>
      <c r="K19" s="22" t="n">
        <v>1111.409</v>
      </c>
      <c r="L19" s="22" t="n">
        <v>2042.037</v>
      </c>
    </row>
    <row r="20">
      <c r="A20" s="20" t="inlineStr">
        <is>
          <t>단기차입금</t>
        </is>
      </c>
      <c r="B20" s="10" t="n"/>
      <c r="C20" s="21" t="n">
        <v>0</v>
      </c>
      <c r="D20" s="22" t="n"/>
      <c r="E20" s="22" t="n"/>
      <c r="F20" s="22" t="n">
        <v>50</v>
      </c>
      <c r="G20" s="22" t="n"/>
      <c r="H20" s="21" t="n"/>
      <c r="I20" s="22" t="n"/>
      <c r="J20" s="22" t="n"/>
      <c r="K20" s="22" t="n">
        <v>0</v>
      </c>
      <c r="L20" s="22" t="n"/>
    </row>
    <row r="21">
      <c r="A21" s="20" t="inlineStr">
        <is>
          <t>유동성장기부채</t>
        </is>
      </c>
      <c r="B21" s="10" t="n"/>
      <c r="C21" s="21" t="n">
        <v>262.106</v>
      </c>
      <c r="D21" s="22" t="n">
        <v>272.919</v>
      </c>
      <c r="E21" s="22" t="n">
        <v>260.344</v>
      </c>
      <c r="F21" s="22" t="n">
        <v>218.345</v>
      </c>
      <c r="G21" s="22" t="n">
        <v>290.772</v>
      </c>
      <c r="H21" s="21" t="n">
        <v>387.628</v>
      </c>
      <c r="I21" s="22" t="n">
        <v>332.513</v>
      </c>
      <c r="J21" s="22" t="n">
        <v>333.532</v>
      </c>
      <c r="K21" s="22" t="n">
        <v>262.106</v>
      </c>
      <c r="L21" s="22" t="n">
        <v>290.772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659.413</v>
      </c>
      <c r="D23" s="12" t="n">
        <v>857.064</v>
      </c>
      <c r="E23" s="12" t="n">
        <v>779.299</v>
      </c>
      <c r="F23" s="12" t="n">
        <v>1183.006</v>
      </c>
      <c r="G23" s="12" t="n">
        <v>864.606</v>
      </c>
      <c r="H23" s="11" t="n">
        <v>642.035</v>
      </c>
      <c r="I23" s="12" t="n">
        <v>936.84</v>
      </c>
      <c r="J23" s="12" t="n">
        <v>837.852</v>
      </c>
      <c r="K23" s="12" t="n">
        <v>659.413</v>
      </c>
      <c r="L23" s="12" t="n">
        <v>864.606</v>
      </c>
    </row>
    <row r="24">
      <c r="A24" s="20" t="inlineStr">
        <is>
          <t>장기차입금</t>
        </is>
      </c>
      <c r="B24" s="10" t="n"/>
      <c r="C24" s="21" t="n">
        <v>172.5</v>
      </c>
      <c r="D24" s="22" t="n">
        <v>290.921</v>
      </c>
      <c r="E24" s="22" t="n">
        <v>217.172</v>
      </c>
      <c r="F24" s="22" t="n">
        <v>583.75</v>
      </c>
      <c r="G24" s="22" t="n">
        <v>351.481</v>
      </c>
      <c r="H24" s="21" t="n">
        <v>234.819</v>
      </c>
      <c r="I24" s="22" t="n">
        <v>431.138</v>
      </c>
      <c r="J24" s="22" t="n">
        <v>434.606</v>
      </c>
      <c r="K24" s="22" t="n">
        <v>172.5</v>
      </c>
      <c r="L24" s="22" t="n">
        <v>351.481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4134.816</v>
      </c>
      <c r="D27" s="12" t="n">
        <v>4040.782</v>
      </c>
      <c r="E27" s="12" t="n">
        <v>3907.179</v>
      </c>
      <c r="F27" s="12" t="n">
        <v>4589.679</v>
      </c>
      <c r="G27" s="12" t="n">
        <v>5312.144</v>
      </c>
      <c r="H27" s="11" t="n">
        <v>3295.85</v>
      </c>
      <c r="I27" s="12" t="n">
        <v>4362.657</v>
      </c>
      <c r="J27" s="12" t="n">
        <v>4172.078</v>
      </c>
      <c r="K27" s="12" t="n">
        <v>4134.816</v>
      </c>
      <c r="L27" s="12" t="n">
        <v>5312.144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19663.355</v>
      </c>
      <c r="D31" s="12" t="n">
        <v>19546.066</v>
      </c>
      <c r="E31" s="12" t="n">
        <v>20482.872</v>
      </c>
      <c r="F31" s="12" t="n">
        <v>21915.8</v>
      </c>
      <c r="G31" s="12" t="n">
        <v>23053.911</v>
      </c>
      <c r="H31" s="11" t="n">
        <v>13354.354</v>
      </c>
      <c r="I31" s="12" t="n">
        <v>16236.655</v>
      </c>
      <c r="J31" s="12" t="n">
        <v>18148.572</v>
      </c>
      <c r="K31" s="12" t="n">
        <v>19663.355</v>
      </c>
      <c r="L31" s="12" t="n">
        <v>23053.911</v>
      </c>
    </row>
    <row r="32">
      <c r="A32" s="20" t="inlineStr">
        <is>
          <t>자본금</t>
        </is>
      </c>
      <c r="B32" s="10" t="n"/>
      <c r="C32" s="21" t="n">
        <v>93.22199999999999</v>
      </c>
      <c r="D32" s="22" t="n">
        <v>93.22199999999999</v>
      </c>
      <c r="E32" s="22" t="n">
        <v>93.22199999999999</v>
      </c>
      <c r="F32" s="22" t="n">
        <v>93.22199999999999</v>
      </c>
      <c r="G32" s="22" t="n">
        <v>93.22199999999999</v>
      </c>
      <c r="H32" s="21" t="n">
        <v>93.22199999999999</v>
      </c>
      <c r="I32" s="22" t="n">
        <v>93.22199999999999</v>
      </c>
      <c r="J32" s="22" t="n">
        <v>93.22199999999999</v>
      </c>
      <c r="K32" s="22" t="n">
        <v>93.22199999999999</v>
      </c>
      <c r="L32" s="22" t="n">
        <v>93.22199999999999</v>
      </c>
    </row>
    <row r="33">
      <c r="A33" s="20" t="inlineStr">
        <is>
          <t>이익잉여금</t>
        </is>
      </c>
      <c r="B33" s="10" t="n"/>
      <c r="C33" s="21" t="n">
        <v>17842.687</v>
      </c>
      <c r="D33" s="22" t="n">
        <v>17455.904</v>
      </c>
      <c r="E33" s="22" t="n">
        <v>18350.481</v>
      </c>
      <c r="F33" s="22" t="n">
        <v>19610.988</v>
      </c>
      <c r="G33" s="22" t="n">
        <v>20762.903</v>
      </c>
      <c r="H33" s="21" t="n">
        <v>9567.299000000001</v>
      </c>
      <c r="I33" s="22" t="n">
        <v>12144.917</v>
      </c>
      <c r="J33" s="22" t="n">
        <v>14889.019</v>
      </c>
      <c r="K33" s="22" t="n">
        <v>17842.687</v>
      </c>
      <c r="L33" s="22" t="n">
        <v>20762.903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19663.355</v>
      </c>
      <c r="D35" s="12" t="n">
        <v>19546.066</v>
      </c>
      <c r="E35" s="12" t="n">
        <v>20482.872</v>
      </c>
      <c r="F35" s="12" t="n">
        <v>21915.8</v>
      </c>
      <c r="G35" s="12" t="n">
        <v>23053.911</v>
      </c>
      <c r="H35" s="11" t="n">
        <v>13354.354</v>
      </c>
      <c r="I35" s="12" t="n">
        <v>16236.655</v>
      </c>
      <c r="J35" s="12" t="n">
        <v>18148.572</v>
      </c>
      <c r="K35" s="12" t="n">
        <v>19663.355</v>
      </c>
      <c r="L35" s="12" t="n">
        <v>23053.911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4247.416</v>
      </c>
      <c r="D37" s="12" t="n"/>
      <c r="E37" s="12" t="n">
        <v>3667.763</v>
      </c>
      <c r="F37" s="12" t="n"/>
      <c r="G37" s="12" t="n">
        <v>3429.266</v>
      </c>
      <c r="H37" s="11" t="n">
        <v>239.579</v>
      </c>
      <c r="I37" s="12" t="n">
        <v>3767.642</v>
      </c>
      <c r="J37" s="12" t="n">
        <v>3022.077</v>
      </c>
      <c r="K37" s="12" t="n">
        <v>4247.416</v>
      </c>
      <c r="L37" s="12" t="n">
        <v>3429.266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302.2</v>
      </c>
      <c r="D38" s="22" t="n"/>
      <c r="E38" s="22" t="n">
        <v>406.13</v>
      </c>
      <c r="F38" s="22" t="n"/>
      <c r="G38" s="22" t="n">
        <v>342.086</v>
      </c>
      <c r="H38" s="21" t="n">
        <v>78.961</v>
      </c>
      <c r="I38" s="22" t="n">
        <v>242.214</v>
      </c>
      <c r="J38" s="22" t="n">
        <v>798.5839999999999</v>
      </c>
      <c r="K38" s="22" t="n">
        <v>302.2</v>
      </c>
      <c r="L38" s="22" t="n">
        <v>342.086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1124.955</v>
      </c>
      <c r="D40" s="22" t="n"/>
      <c r="E40" s="22" t="n">
        <v>1608.449</v>
      </c>
      <c r="F40" s="22" t="n"/>
      <c r="G40" s="22" t="n">
        <v>1608.516</v>
      </c>
      <c r="H40" s="21" t="n">
        <v>639.725</v>
      </c>
      <c r="I40" s="22" t="n">
        <v>727.333</v>
      </c>
      <c r="J40" s="22" t="n">
        <v>1019.5</v>
      </c>
      <c r="K40" s="22" t="n">
        <v>1124.955</v>
      </c>
      <c r="L40" s="22" t="n">
        <v>1608.516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6558.981</v>
      </c>
      <c r="D71" s="22" t="n">
        <v>4387.134</v>
      </c>
      <c r="E71" s="22" t="n">
        <v>5891.219</v>
      </c>
      <c r="F71" s="22" t="n">
        <v>5368.005</v>
      </c>
      <c r="G71" s="22" t="n">
        <v>6852.399</v>
      </c>
      <c r="H71" s="22" t="n">
        <v>4335.232</v>
      </c>
      <c r="I71" s="22" t="n">
        <v>6006.583</v>
      </c>
      <c r="J71" s="22" t="n">
        <v>5818.864</v>
      </c>
      <c r="K71" s="22" t="n">
        <v>6558.981</v>
      </c>
      <c r="L71" s="22" t="n">
        <v>6852.399</v>
      </c>
    </row>
    <row r="72">
      <c r="A72" s="20" t="inlineStr">
        <is>
          <t>받을어음·매출채권</t>
        </is>
      </c>
      <c r="H72" s="22" t="n">
        <v>0</v>
      </c>
    </row>
    <row r="73">
      <c r="A73" s="20" t="inlineStr">
        <is>
          <t>받을어음·매출채권·계약자산</t>
        </is>
      </c>
      <c r="C73" s="22" t="n">
        <v>3333.702</v>
      </c>
      <c r="D73" s="22" t="n">
        <v>4530.667</v>
      </c>
      <c r="E73" s="22" t="n">
        <v>3365.762</v>
      </c>
      <c r="F73" s="22" t="n">
        <v>4582.356</v>
      </c>
      <c r="G73" s="22" t="n">
        <v>4048.643</v>
      </c>
      <c r="H73" s="22" t="n">
        <v>2679.941</v>
      </c>
      <c r="I73" s="22" t="n">
        <v>2734.278</v>
      </c>
      <c r="J73" s="22" t="n">
        <v>3130.367</v>
      </c>
      <c r="K73" s="22" t="n">
        <v>3333.702</v>
      </c>
      <c r="L73" s="22" t="n">
        <v>4048.643</v>
      </c>
    </row>
    <row r="74">
      <c r="A74" s="20" t="inlineStr">
        <is>
          <t>유가증권</t>
        </is>
      </c>
      <c r="C74" s="22" t="n">
        <v>52.032</v>
      </c>
      <c r="D74" s="22" t="n">
        <v>320.443</v>
      </c>
      <c r="E74" s="22" t="n">
        <v>431.065</v>
      </c>
      <c r="F74" s="22" t="n">
        <v>452.99</v>
      </c>
      <c r="G74" s="22" t="n">
        <v>507.455</v>
      </c>
      <c r="H74" s="22" t="n">
        <v>291.9</v>
      </c>
      <c r="I74" s="22" t="n">
        <v>859.361</v>
      </c>
      <c r="J74" s="22" t="n">
        <v>171.143</v>
      </c>
      <c r="K74" s="22" t="n">
        <v>52.032</v>
      </c>
      <c r="L74" s="22" t="n">
        <v>507.455</v>
      </c>
    </row>
    <row r="75">
      <c r="A75" s="20" t="inlineStr">
        <is>
          <t>제품</t>
        </is>
      </c>
      <c r="C75" s="22" t="n">
        <v>5079.853</v>
      </c>
      <c r="D75" s="22" t="n">
        <v>5274.255</v>
      </c>
      <c r="E75" s="22" t="n">
        <v>5548.367</v>
      </c>
      <c r="F75" s="22" t="n">
        <v>5841.361</v>
      </c>
      <c r="G75" s="22" t="n">
        <v>6436.941</v>
      </c>
      <c r="H75" s="22" t="n">
        <v>4443.094</v>
      </c>
      <c r="I75" s="22" t="n">
        <v>4746.607</v>
      </c>
      <c r="J75" s="22" t="n">
        <v>5049.611</v>
      </c>
      <c r="K75" s="22" t="n">
        <v>5079.853</v>
      </c>
      <c r="L75" s="22" t="n">
        <v>6436.941</v>
      </c>
    </row>
    <row r="76">
      <c r="A76" s="20" t="inlineStr">
        <is>
          <t>저장품</t>
        </is>
      </c>
      <c r="C76" s="22" t="n">
        <v>61.073</v>
      </c>
      <c r="G76" s="22" t="n">
        <v>51.606</v>
      </c>
      <c r="H76" s="22" t="n">
        <v>21.536</v>
      </c>
      <c r="I76" s="22" t="n">
        <v>23.042</v>
      </c>
      <c r="J76" s="22" t="n">
        <v>26.652</v>
      </c>
      <c r="K76" s="22" t="n">
        <v>61.073</v>
      </c>
      <c r="L76" s="22" t="n">
        <v>51.606</v>
      </c>
    </row>
    <row r="77">
      <c r="A77" s="20" t="inlineStr">
        <is>
          <t>미수금</t>
        </is>
      </c>
      <c r="C77" s="22" t="n">
        <v>51.527</v>
      </c>
      <c r="G77" s="22" t="n">
        <v>59.71</v>
      </c>
      <c r="H77" s="22" t="n">
        <v>67.262</v>
      </c>
      <c r="I77" s="22" t="n">
        <v>62.146</v>
      </c>
      <c r="J77" s="22" t="n">
        <v>58.539</v>
      </c>
      <c r="K77" s="22" t="n">
        <v>51.527</v>
      </c>
      <c r="L77" s="22" t="n">
        <v>59.71</v>
      </c>
    </row>
    <row r="78">
      <c r="A78" s="20" t="inlineStr">
        <is>
          <t>기타</t>
        </is>
      </c>
      <c r="C78" s="22" t="n">
        <v>594.861</v>
      </c>
      <c r="D78" s="22" t="n">
        <v>874.423</v>
      </c>
      <c r="E78" s="22" t="n">
        <v>768.578</v>
      </c>
      <c r="F78" s="22" t="n">
        <v>1020.024</v>
      </c>
      <c r="G78" s="22" t="n">
        <v>1142.637</v>
      </c>
      <c r="H78" s="22" t="n">
        <v>979.9299999999999</v>
      </c>
      <c r="I78" s="22" t="n">
        <v>765.927</v>
      </c>
      <c r="J78" s="22" t="n">
        <v>546.217</v>
      </c>
      <c r="K78" s="22" t="n">
        <v>594.861</v>
      </c>
      <c r="L78" s="22" t="n">
        <v>1142.637</v>
      </c>
    </row>
    <row r="79">
      <c r="A79" s="20" t="inlineStr">
        <is>
          <t>대손충당금</t>
        </is>
      </c>
      <c r="C79" s="22" t="n">
        <v>-0.117</v>
      </c>
      <c r="D79" s="22" t="n">
        <v>-0.044</v>
      </c>
      <c r="E79" s="22" t="n">
        <v>-0.039</v>
      </c>
      <c r="F79" s="22" t="n">
        <v>-0.037</v>
      </c>
      <c r="G79" s="22" t="n">
        <v>-0.039</v>
      </c>
      <c r="H79" s="22" t="n">
        <v>-8.186999999999999</v>
      </c>
      <c r="I79" s="22" t="n">
        <v>-7.562</v>
      </c>
      <c r="J79" s="22" t="n">
        <v>-0.116</v>
      </c>
      <c r="K79" s="22" t="n">
        <v>-0.117</v>
      </c>
      <c r="L79" s="22" t="n">
        <v>-0.039</v>
      </c>
    </row>
    <row r="80">
      <c r="A80" s="9" t="inlineStr">
        <is>
          <t>유동자산 합계</t>
        </is>
      </c>
      <c r="C80" s="12" t="n">
        <v>15731.915</v>
      </c>
      <c r="D80" s="12" t="n">
        <v>15386.88</v>
      </c>
      <c r="E80" s="12" t="n">
        <v>16004.955</v>
      </c>
      <c r="F80" s="12" t="n">
        <v>17264.7</v>
      </c>
      <c r="G80" s="12" t="n">
        <v>19099.355</v>
      </c>
      <c r="H80" s="12" t="n">
        <v>12810.71</v>
      </c>
      <c r="I80" s="12" t="n">
        <v>15190.385</v>
      </c>
      <c r="J80" s="12" t="n">
        <v>14801.28</v>
      </c>
      <c r="K80" s="12" t="n">
        <v>15731.915</v>
      </c>
      <c r="L80" s="12" t="n">
        <v>19099.355</v>
      </c>
    </row>
    <row r="81">
      <c r="A81" s="20" t="inlineStr">
        <is>
          <t>건물·구축물</t>
        </is>
      </c>
      <c r="C81" s="22" t="n">
        <v>1248.323</v>
      </c>
      <c r="G81" s="22" t="n">
        <v>1270.927</v>
      </c>
      <c r="H81" s="22" t="n">
        <v>600.571</v>
      </c>
      <c r="I81" s="22" t="n">
        <v>632.9589999999999</v>
      </c>
      <c r="J81" s="22" t="n">
        <v>1159.365</v>
      </c>
      <c r="K81" s="22" t="n">
        <v>1248.323</v>
      </c>
      <c r="L81" s="22" t="n">
        <v>1270.927</v>
      </c>
    </row>
    <row r="82">
      <c r="A82" s="20" t="inlineStr">
        <is>
          <t>감가상각누계액</t>
        </is>
      </c>
      <c r="C82" s="22" t="n">
        <v>-282.083</v>
      </c>
      <c r="G82" s="22" t="n">
        <v>-354.821</v>
      </c>
      <c r="H82" s="22" t="n">
        <v>-152.091</v>
      </c>
      <c r="I82" s="22" t="n">
        <v>-179.612</v>
      </c>
      <c r="J82" s="22" t="n">
        <v>-216.992</v>
      </c>
      <c r="K82" s="22" t="n">
        <v>-282.083</v>
      </c>
      <c r="L82" s="22" t="n">
        <v>-354.821</v>
      </c>
    </row>
    <row r="83">
      <c r="A83" s="20" t="inlineStr">
        <is>
          <t>건물·구축물(순액)</t>
        </is>
      </c>
      <c r="C83" s="22" t="n">
        <v>966.239</v>
      </c>
      <c r="G83" s="22" t="n">
        <v>916.106</v>
      </c>
      <c r="H83" s="22" t="n">
        <v>448.479</v>
      </c>
      <c r="I83" s="22" t="n">
        <v>453.347</v>
      </c>
      <c r="J83" s="22" t="n">
        <v>942.372</v>
      </c>
      <c r="K83" s="22" t="n">
        <v>966.239</v>
      </c>
      <c r="L83" s="22" t="n">
        <v>916.106</v>
      </c>
    </row>
    <row r="84">
      <c r="A84" s="20" t="inlineStr">
        <is>
          <t>기계장치·운반구</t>
        </is>
      </c>
      <c r="C84" s="22" t="n">
        <v>493.604</v>
      </c>
      <c r="G84" s="22" t="n">
        <v>502.941</v>
      </c>
      <c r="H84" s="22" t="n">
        <v>165.416</v>
      </c>
      <c r="I84" s="22" t="n">
        <v>274.127</v>
      </c>
      <c r="J84" s="22" t="n">
        <v>470.392</v>
      </c>
      <c r="K84" s="22" t="n">
        <v>493.604</v>
      </c>
      <c r="L84" s="22" t="n">
        <v>502.941</v>
      </c>
    </row>
    <row r="85">
      <c r="A85" s="20" t="inlineStr">
        <is>
          <t>감가상각누계액</t>
        </is>
      </c>
      <c r="C85" s="22" t="n">
        <v>-227.078</v>
      </c>
      <c r="G85" s="22" t="n">
        <v>-260.754</v>
      </c>
      <c r="H85" s="22" t="n">
        <v>-103.599</v>
      </c>
      <c r="I85" s="22" t="n">
        <v>-124.783</v>
      </c>
      <c r="J85" s="22" t="n">
        <v>-156.687</v>
      </c>
      <c r="K85" s="22" t="n">
        <v>-227.078</v>
      </c>
      <c r="L85" s="22" t="n">
        <v>-260.754</v>
      </c>
    </row>
    <row r="86">
      <c r="A86" s="20" t="inlineStr">
        <is>
          <t>기계장치·운반구(순액)</t>
        </is>
      </c>
      <c r="C86" s="22" t="n">
        <v>266.525</v>
      </c>
      <c r="G86" s="22" t="n">
        <v>242.186</v>
      </c>
      <c r="H86" s="22" t="n">
        <v>61.817</v>
      </c>
      <c r="I86" s="22" t="n">
        <v>149.343</v>
      </c>
      <c r="J86" s="22" t="n">
        <v>313.704</v>
      </c>
      <c r="K86" s="22" t="n">
        <v>266.525</v>
      </c>
      <c r="L86" s="22" t="n">
        <v>242.186</v>
      </c>
    </row>
    <row r="87">
      <c r="A87" s="20" t="inlineStr">
        <is>
          <t>토지</t>
        </is>
      </c>
      <c r="C87" s="22" t="n">
        <v>452.259</v>
      </c>
      <c r="G87" s="22" t="n">
        <v>452.259</v>
      </c>
      <c r="H87" s="22" t="n">
        <v>518.259</v>
      </c>
      <c r="I87" s="22" t="n">
        <v>452.259</v>
      </c>
      <c r="J87" s="22" t="n">
        <v>452.259</v>
      </c>
      <c r="K87" s="22" t="n">
        <v>452.259</v>
      </c>
      <c r="L87" s="22" t="n">
        <v>452.259</v>
      </c>
    </row>
    <row r="88">
      <c r="A88" s="20" t="inlineStr">
        <is>
          <t>기타</t>
        </is>
      </c>
      <c r="C88" s="22" t="n">
        <v>444.422</v>
      </c>
      <c r="G88" s="22" t="n">
        <v>518.301</v>
      </c>
      <c r="H88" s="22" t="n">
        <v>340.787</v>
      </c>
      <c r="I88" s="22" t="n">
        <v>396.612</v>
      </c>
      <c r="J88" s="22" t="n">
        <v>402.617</v>
      </c>
      <c r="K88" s="22" t="n">
        <v>444.422</v>
      </c>
      <c r="L88" s="22" t="n">
        <v>518.301</v>
      </c>
    </row>
    <row r="89">
      <c r="A89" s="20" t="inlineStr">
        <is>
          <t>감가상각누계액</t>
        </is>
      </c>
      <c r="C89" s="22" t="n">
        <v>-361.601</v>
      </c>
      <c r="G89" s="22" t="n">
        <v>-435.197</v>
      </c>
      <c r="H89" s="22" t="n">
        <v>-301.522</v>
      </c>
      <c r="I89" s="22" t="n">
        <v>-337.011</v>
      </c>
      <c r="J89" s="22" t="n">
        <v>-335.382</v>
      </c>
      <c r="K89" s="22" t="n">
        <v>-361.601</v>
      </c>
      <c r="L89" s="22" t="n">
        <v>-435.197</v>
      </c>
    </row>
    <row r="90">
      <c r="A90" s="20" t="inlineStr">
        <is>
          <t>기타(순액)</t>
        </is>
      </c>
      <c r="C90" s="22" t="n">
        <v>82.821</v>
      </c>
      <c r="G90" s="22" t="n">
        <v>83.104</v>
      </c>
      <c r="H90" s="22" t="n">
        <v>39.265</v>
      </c>
      <c r="I90" s="22" t="n">
        <v>59.6</v>
      </c>
      <c r="J90" s="22" t="n">
        <v>67.23399999999999</v>
      </c>
      <c r="K90" s="22" t="n">
        <v>82.821</v>
      </c>
      <c r="L90" s="22" t="n">
        <v>83.104</v>
      </c>
    </row>
    <row r="91">
      <c r="A91" s="20" t="inlineStr">
        <is>
          <t>유형자산 합계</t>
        </is>
      </c>
      <c r="C91" s="22" t="n">
        <v>1767.846</v>
      </c>
      <c r="D91" s="22" t="n">
        <v>1761.845</v>
      </c>
      <c r="E91" s="22" t="n">
        <v>1735.83</v>
      </c>
      <c r="F91" s="22" t="n">
        <v>1729.608</v>
      </c>
      <c r="G91" s="22" t="n">
        <v>1693.656</v>
      </c>
      <c r="H91" s="22" t="n">
        <v>1067.821</v>
      </c>
      <c r="I91" s="22" t="n">
        <v>1114.551</v>
      </c>
      <c r="J91" s="22" t="n">
        <v>1775.57</v>
      </c>
      <c r="K91" s="22" t="n">
        <v>1767.846</v>
      </c>
      <c r="L91" s="22" t="n">
        <v>1693.656</v>
      </c>
    </row>
    <row r="92">
      <c r="A92" s="20" t="inlineStr">
        <is>
          <t>영업권</t>
        </is>
      </c>
      <c r="C92" s="22" t="n">
        <v>0</v>
      </c>
      <c r="F92" s="22" t="n">
        <v>723.871</v>
      </c>
      <c r="G92" s="22" t="n">
        <v>711.806</v>
      </c>
      <c r="K92" s="22" t="n">
        <v>0</v>
      </c>
      <c r="L92" s="22" t="n">
        <v>711.806</v>
      </c>
    </row>
    <row r="93">
      <c r="A93" s="20" t="inlineStr">
        <is>
          <t>기타</t>
        </is>
      </c>
      <c r="C93" s="22" t="n">
        <v>221.35</v>
      </c>
      <c r="D93" s="22" t="n">
        <v>302.863</v>
      </c>
      <c r="E93" s="22" t="n">
        <v>346.914</v>
      </c>
      <c r="F93" s="22" t="n">
        <v>376.396</v>
      </c>
      <c r="G93" s="22" t="n">
        <v>401.463</v>
      </c>
      <c r="H93" s="22" t="n">
        <v>126.671</v>
      </c>
      <c r="I93" s="22" t="n">
        <v>165.194</v>
      </c>
      <c r="J93" s="22" t="n">
        <v>200.648</v>
      </c>
      <c r="K93" s="22" t="n">
        <v>221.35</v>
      </c>
      <c r="L93" s="22" t="n">
        <v>401.463</v>
      </c>
    </row>
    <row r="94">
      <c r="A94" s="20" t="inlineStr">
        <is>
          <t>무형자산 합계</t>
        </is>
      </c>
      <c r="C94" s="22" t="n">
        <v>221.35</v>
      </c>
      <c r="D94" s="22" t="n">
        <v>302.863</v>
      </c>
      <c r="E94" s="22" t="n">
        <v>346.914</v>
      </c>
      <c r="F94" s="22" t="n">
        <v>1100.267</v>
      </c>
      <c r="G94" s="22" t="n">
        <v>1113.27</v>
      </c>
      <c r="H94" s="22" t="n">
        <v>126.671</v>
      </c>
      <c r="I94" s="22" t="n">
        <v>165.194</v>
      </c>
      <c r="J94" s="22" t="n">
        <v>200.648</v>
      </c>
      <c r="K94" s="22" t="n">
        <v>221.35</v>
      </c>
      <c r="L94" s="22" t="n">
        <v>1113.27</v>
      </c>
    </row>
    <row r="95">
      <c r="A95" s="20" t="inlineStr">
        <is>
          <t>투자유가증권</t>
        </is>
      </c>
      <c r="C95" s="22" t="n">
        <v>4652.6</v>
      </c>
      <c r="D95" s="22" t="n">
        <v>4727.532</v>
      </c>
      <c r="E95" s="22" t="n">
        <v>4728.505</v>
      </c>
      <c r="F95" s="22" t="n">
        <v>4627.697</v>
      </c>
      <c r="G95" s="22" t="n">
        <v>4612.74</v>
      </c>
      <c r="H95" s="22" t="n">
        <v>1578.124</v>
      </c>
      <c r="I95" s="22" t="n">
        <v>2880.031</v>
      </c>
      <c r="J95" s="22" t="n">
        <v>4150.574</v>
      </c>
      <c r="K95" s="22" t="n">
        <v>4652.6</v>
      </c>
      <c r="L95" s="22" t="n">
        <v>4612.74</v>
      </c>
    </row>
    <row r="96">
      <c r="A96" s="20" t="inlineStr">
        <is>
          <t>출자금</t>
        </is>
      </c>
      <c r="C96" s="22" t="n">
        <v>0</v>
      </c>
      <c r="G96" s="22" t="n">
        <v>100.03</v>
      </c>
      <c r="K96" s="22" t="n">
        <v>0</v>
      </c>
      <c r="L96" s="22" t="n">
        <v>100.03</v>
      </c>
    </row>
    <row r="97">
      <c r="A97" s="20" t="inlineStr">
        <is>
          <t>이연법인세자산</t>
        </is>
      </c>
      <c r="C97" s="22" t="n">
        <v>302.419</v>
      </c>
      <c r="G97" s="22" t="n">
        <v>385.215</v>
      </c>
      <c r="H97" s="22" t="n">
        <v>188.809</v>
      </c>
      <c r="I97" s="22" t="n">
        <v>294.71</v>
      </c>
      <c r="J97" s="22" t="n">
        <v>331.763</v>
      </c>
      <c r="K97" s="22" t="n">
        <v>302.419</v>
      </c>
      <c r="L97" s="22" t="n">
        <v>385.215</v>
      </c>
    </row>
    <row r="98">
      <c r="A98" s="20" t="inlineStr">
        <is>
          <t>임차보증금·보증금</t>
        </is>
      </c>
      <c r="C98" s="22" t="n">
        <v>401.764</v>
      </c>
      <c r="G98" s="22" t="n">
        <v>423.156</v>
      </c>
      <c r="H98" s="22" t="n">
        <v>303.4</v>
      </c>
      <c r="I98" s="22" t="n">
        <v>311.194</v>
      </c>
      <c r="J98" s="22" t="n">
        <v>379.286</v>
      </c>
      <c r="K98" s="22" t="n">
        <v>401.764</v>
      </c>
      <c r="L98" s="22" t="n">
        <v>423.156</v>
      </c>
    </row>
    <row r="99">
      <c r="A99" s="20" t="inlineStr">
        <is>
          <t>기타</t>
        </is>
      </c>
      <c r="C99" s="22" t="n">
        <v>720.274</v>
      </c>
      <c r="D99" s="22" t="n">
        <v>1407.727</v>
      </c>
      <c r="E99" s="22" t="n">
        <v>1573.846</v>
      </c>
      <c r="F99" s="22" t="n">
        <v>1783.205</v>
      </c>
      <c r="G99" s="22" t="n">
        <v>938.631</v>
      </c>
      <c r="H99" s="22" t="n">
        <v>575.047</v>
      </c>
      <c r="I99" s="22" t="n">
        <v>643.625</v>
      </c>
      <c r="J99" s="22" t="n">
        <v>681.528</v>
      </c>
      <c r="K99" s="22" t="n">
        <v>720.274</v>
      </c>
      <c r="L99" s="22" t="n">
        <v>938.631</v>
      </c>
    </row>
    <row r="100">
      <c r="A100" s="20" t="inlineStr">
        <is>
          <t>대손충당금</t>
        </is>
      </c>
      <c r="H100" s="22" t="n">
        <v>-0.38</v>
      </c>
      <c r="I100" s="22" t="n">
        <v>-0.38</v>
      </c>
      <c r="J100" s="22" t="n">
        <v>0</v>
      </c>
    </row>
    <row r="101">
      <c r="A101" s="20" t="inlineStr">
        <is>
          <t>투자 및 기타자산 합계</t>
        </is>
      </c>
      <c r="C101" s="22" t="n">
        <v>6077.059</v>
      </c>
      <c r="D101" s="22" t="n">
        <v>6135.26</v>
      </c>
      <c r="E101" s="22" t="n">
        <v>6302.352</v>
      </c>
      <c r="F101" s="22" t="n">
        <v>6410.902</v>
      </c>
      <c r="G101" s="22" t="n">
        <v>6459.773</v>
      </c>
      <c r="H101" s="22" t="n">
        <v>2645.001</v>
      </c>
      <c r="I101" s="22" t="n">
        <v>4129.182</v>
      </c>
      <c r="J101" s="22" t="n">
        <v>5543.152</v>
      </c>
      <c r="K101" s="22" t="n">
        <v>6077.059</v>
      </c>
      <c r="L101" s="22" t="n">
        <v>6459.773</v>
      </c>
    </row>
    <row r="102">
      <c r="A102" s="9" t="inlineStr">
        <is>
          <t>비유동자산 합계</t>
        </is>
      </c>
      <c r="C102" s="12" t="n">
        <v>8066.255</v>
      </c>
      <c r="D102" s="12" t="n">
        <v>8199.968999999999</v>
      </c>
      <c r="E102" s="12" t="n">
        <v>8385.096</v>
      </c>
      <c r="F102" s="12" t="n">
        <v>9240.778</v>
      </c>
      <c r="G102" s="12" t="n">
        <v>9266.700000000001</v>
      </c>
      <c r="H102" s="12" t="n">
        <v>3839.494</v>
      </c>
      <c r="I102" s="12" t="n">
        <v>5408.927</v>
      </c>
      <c r="J102" s="12" t="n">
        <v>7519.37</v>
      </c>
      <c r="K102" s="12" t="n">
        <v>8066.255</v>
      </c>
      <c r="L102" s="12" t="n">
        <v>9266.700000000001</v>
      </c>
    </row>
    <row r="103">
      <c r="A103" s="9" t="inlineStr">
        <is>
          <t>자산 합계</t>
        </is>
      </c>
      <c r="C103" s="12" t="n">
        <v>23798.171</v>
      </c>
      <c r="D103" s="12" t="n">
        <v>23586.849</v>
      </c>
      <c r="E103" s="12" t="n">
        <v>24390.052</v>
      </c>
      <c r="F103" s="12" t="n">
        <v>26505.479</v>
      </c>
      <c r="G103" s="12" t="n">
        <v>28366.055</v>
      </c>
      <c r="H103" s="12" t="n">
        <v>16650.205</v>
      </c>
      <c r="I103" s="12" t="n">
        <v>20599.312</v>
      </c>
      <c r="J103" s="12" t="n">
        <v>22320.651</v>
      </c>
      <c r="K103" s="12" t="n">
        <v>23798.171</v>
      </c>
      <c r="L103" s="12" t="n">
        <v>28366.055</v>
      </c>
    </row>
    <row r="104">
      <c r="A104" s="20" t="inlineStr">
        <is>
          <t>매입채무</t>
        </is>
      </c>
      <c r="C104" s="22" t="n">
        <v>1111.409</v>
      </c>
      <c r="D104" s="22" t="n">
        <v>1517.88</v>
      </c>
      <c r="E104" s="22" t="n">
        <v>1051.119</v>
      </c>
      <c r="F104" s="22" t="n">
        <v>1580.131</v>
      </c>
      <c r="G104" s="22" t="n">
        <v>2042.037</v>
      </c>
      <c r="H104" s="22" t="n">
        <v>1035.921</v>
      </c>
      <c r="I104" s="22" t="n">
        <v>959.141</v>
      </c>
      <c r="J104" s="22" t="n">
        <v>956.043</v>
      </c>
      <c r="K104" s="22" t="n">
        <v>1111.409</v>
      </c>
      <c r="L104" s="22" t="n">
        <v>2042.037</v>
      </c>
    </row>
    <row r="105">
      <c r="A105" s="20" t="inlineStr">
        <is>
          <t>1년 내 상환 장기차입금</t>
        </is>
      </c>
      <c r="C105" s="22" t="n">
        <v>262.106</v>
      </c>
      <c r="D105" s="22" t="n">
        <v>272.919</v>
      </c>
      <c r="E105" s="22" t="n">
        <v>260.344</v>
      </c>
      <c r="F105" s="22" t="n">
        <v>218.345</v>
      </c>
      <c r="G105" s="22" t="n">
        <v>290.772</v>
      </c>
      <c r="H105" s="22" t="n">
        <v>387.628</v>
      </c>
      <c r="I105" s="22" t="n">
        <v>332.513</v>
      </c>
      <c r="J105" s="22" t="n">
        <v>333.532</v>
      </c>
      <c r="K105" s="22" t="n">
        <v>262.106</v>
      </c>
      <c r="L105" s="22" t="n">
        <v>290.772</v>
      </c>
    </row>
    <row r="106">
      <c r="A106" s="20" t="inlineStr">
        <is>
          <t>미지급법인세</t>
        </is>
      </c>
      <c r="C106" s="22" t="n">
        <v>1092.858</v>
      </c>
      <c r="D106" s="22" t="n">
        <v>552.229</v>
      </c>
      <c r="E106" s="22" t="n">
        <v>1093.542</v>
      </c>
      <c r="F106" s="22" t="n">
        <v>705.568</v>
      </c>
      <c r="G106" s="22" t="n">
        <v>1177.506</v>
      </c>
      <c r="H106" s="22" t="n">
        <v>647.298</v>
      </c>
      <c r="I106" s="22" t="n">
        <v>1087.987</v>
      </c>
      <c r="J106" s="22" t="n">
        <v>1032.588</v>
      </c>
      <c r="K106" s="22" t="n">
        <v>1092.858</v>
      </c>
      <c r="L106" s="22" t="n">
        <v>1177.506</v>
      </c>
    </row>
    <row r="107">
      <c r="A107" s="20" t="inlineStr">
        <is>
          <t>상여충당금</t>
        </is>
      </c>
      <c r="C107" s="22" t="n">
        <v>227.488</v>
      </c>
      <c r="D107" s="22" t="n">
        <v>126.671</v>
      </c>
      <c r="E107" s="22" t="n">
        <v>187.013</v>
      </c>
      <c r="F107" s="22" t="n">
        <v>118.546</v>
      </c>
      <c r="G107" s="22" t="n">
        <v>219.393</v>
      </c>
      <c r="H107" s="22" t="n">
        <v>169.848</v>
      </c>
      <c r="I107" s="22" t="n">
        <v>223.496</v>
      </c>
      <c r="J107" s="22" t="n">
        <v>209.726</v>
      </c>
      <c r="K107" s="22" t="n">
        <v>227.488</v>
      </c>
      <c r="L107" s="22" t="n">
        <v>219.393</v>
      </c>
    </row>
    <row r="108">
      <c r="A108" s="20" t="inlineStr">
        <is>
          <t>주주우대 충당금</t>
        </is>
      </c>
      <c r="C108" s="22" t="n">
        <v>8.311</v>
      </c>
      <c r="D108" s="22" t="n">
        <v>0</v>
      </c>
      <c r="E108" s="22" t="n">
        <v>9.117000000000001</v>
      </c>
      <c r="F108" s="22" t="n">
        <v>0</v>
      </c>
      <c r="G108" s="22" t="n">
        <v>10.642</v>
      </c>
      <c r="H108" s="22" t="n">
        <v>6.909</v>
      </c>
      <c r="I108" s="22" t="n">
        <v>7.337</v>
      </c>
      <c r="J108" s="22" t="n">
        <v>6.951</v>
      </c>
      <c r="K108" s="22" t="n">
        <v>8.311</v>
      </c>
      <c r="L108" s="22" t="n">
        <v>10.642</v>
      </c>
    </row>
    <row r="109">
      <c r="A109" s="20" t="inlineStr">
        <is>
          <t>포인트 충당금</t>
        </is>
      </c>
      <c r="H109" s="22" t="n">
        <v>0</v>
      </c>
    </row>
    <row r="110">
      <c r="A110" s="20" t="inlineStr">
        <is>
          <t>단기차입금</t>
        </is>
      </c>
      <c r="C110" s="22" t="n">
        <v>0</v>
      </c>
      <c r="F110" s="22" t="n">
        <v>50</v>
      </c>
      <c r="K110" s="22" t="n">
        <v>0</v>
      </c>
    </row>
    <row r="111">
      <c r="A111" s="20" t="inlineStr">
        <is>
          <t>기타</t>
        </is>
      </c>
      <c r="C111" s="22" t="n">
        <v>773.228</v>
      </c>
      <c r="D111" s="22" t="n">
        <v>714.0170000000001</v>
      </c>
      <c r="E111" s="22" t="n">
        <v>526.7430000000001</v>
      </c>
      <c r="F111" s="22" t="n">
        <v>734.08</v>
      </c>
      <c r="G111" s="22" t="n">
        <v>707.184</v>
      </c>
      <c r="H111" s="22" t="n">
        <v>406.209</v>
      </c>
      <c r="I111" s="22" t="n">
        <v>815.34</v>
      </c>
      <c r="J111" s="22" t="n">
        <v>795.385</v>
      </c>
      <c r="K111" s="22" t="n">
        <v>773.228</v>
      </c>
      <c r="L111" s="22" t="n">
        <v>707.184</v>
      </c>
    </row>
    <row r="112">
      <c r="A112" s="9" t="inlineStr">
        <is>
          <t>유동부채 합계</t>
        </is>
      </c>
      <c r="C112" s="12" t="n">
        <v>3475.403</v>
      </c>
      <c r="D112" s="12" t="n">
        <v>3183.718</v>
      </c>
      <c r="E112" s="12" t="n">
        <v>3127.879</v>
      </c>
      <c r="F112" s="12" t="n">
        <v>3406.672</v>
      </c>
      <c r="G112" s="12" t="n">
        <v>4447.537</v>
      </c>
      <c r="H112" s="12" t="n">
        <v>2653.814</v>
      </c>
      <c r="I112" s="12" t="n">
        <v>3425.816</v>
      </c>
      <c r="J112" s="12" t="n">
        <v>3334.225</v>
      </c>
      <c r="K112" s="12" t="n">
        <v>3475.403</v>
      </c>
      <c r="L112" s="12" t="n">
        <v>4447.537</v>
      </c>
    </row>
    <row r="113">
      <c r="A113" s="20" t="inlineStr">
        <is>
          <t>장기차입금</t>
        </is>
      </c>
      <c r="C113" s="22" t="n">
        <v>172.5</v>
      </c>
      <c r="D113" s="22" t="n">
        <v>290.921</v>
      </c>
      <c r="E113" s="22" t="n">
        <v>217.172</v>
      </c>
      <c r="F113" s="22" t="n">
        <v>583.75</v>
      </c>
      <c r="G113" s="22" t="n">
        <v>351.481</v>
      </c>
      <c r="H113" s="22" t="n">
        <v>234.819</v>
      </c>
      <c r="I113" s="22" t="n">
        <v>431.138</v>
      </c>
      <c r="J113" s="22" t="n">
        <v>434.606</v>
      </c>
      <c r="K113" s="22" t="n">
        <v>172.5</v>
      </c>
      <c r="L113" s="22" t="n">
        <v>351.481</v>
      </c>
    </row>
    <row r="114">
      <c r="A114" s="20" t="inlineStr">
        <is>
          <t>퇴직급여부채</t>
        </is>
      </c>
      <c r="C114" s="22" t="n">
        <v>353.694</v>
      </c>
      <c r="D114" s="22" t="n">
        <v>359.139</v>
      </c>
      <c r="E114" s="22" t="n">
        <v>366.66</v>
      </c>
      <c r="F114" s="22" t="n">
        <v>374.444</v>
      </c>
      <c r="G114" s="22" t="n">
        <v>320.399</v>
      </c>
      <c r="H114" s="22" t="n">
        <v>315.035</v>
      </c>
      <c r="I114" s="22" t="n">
        <v>314.745</v>
      </c>
      <c r="J114" s="22" t="n">
        <v>317.509</v>
      </c>
      <c r="K114" s="22" t="n">
        <v>353.694</v>
      </c>
      <c r="L114" s="22" t="n">
        <v>320.399</v>
      </c>
    </row>
    <row r="115">
      <c r="A115" s="20" t="inlineStr">
        <is>
          <t>자산복구부채</t>
        </is>
      </c>
      <c r="C115" s="22" t="n">
        <v>45.765</v>
      </c>
      <c r="D115" s="22" t="n">
        <v>45.83</v>
      </c>
      <c r="E115" s="22" t="n">
        <v>45.833</v>
      </c>
      <c r="F115" s="22" t="n">
        <v>45.866</v>
      </c>
      <c r="G115" s="22" t="n">
        <v>45.9</v>
      </c>
      <c r="H115" s="22" t="n">
        <v>36.791</v>
      </c>
      <c r="I115" s="22" t="n">
        <v>37.221</v>
      </c>
      <c r="J115" s="22" t="n">
        <v>37.229</v>
      </c>
      <c r="K115" s="22" t="n">
        <v>45.765</v>
      </c>
      <c r="L115" s="22" t="n">
        <v>45.9</v>
      </c>
    </row>
    <row r="116">
      <c r="A116" s="20" t="inlineStr">
        <is>
          <t>이연법인세부채</t>
        </is>
      </c>
      <c r="C116" s="22" t="n">
        <v>87.452</v>
      </c>
      <c r="G116" s="22" t="n">
        <v>126.825</v>
      </c>
      <c r="H116" s="22" t="n">
        <v>55.39</v>
      </c>
      <c r="I116" s="22" t="n">
        <v>153.735</v>
      </c>
      <c r="J116" s="22" t="n">
        <v>48.507</v>
      </c>
      <c r="K116" s="22" t="n">
        <v>87.452</v>
      </c>
      <c r="L116" s="22" t="n">
        <v>126.825</v>
      </c>
    </row>
    <row r="117">
      <c r="A117" s="20" t="inlineStr">
        <is>
          <t>기타</t>
        </is>
      </c>
      <c r="C117" s="22" t="n">
        <v>0</v>
      </c>
      <c r="D117" s="22" t="n">
        <v>161.174</v>
      </c>
      <c r="E117" s="22" t="n">
        <v>149.634</v>
      </c>
      <c r="F117" s="22" t="n">
        <v>178.946</v>
      </c>
      <c r="G117" s="22" t="n">
        <v>20</v>
      </c>
      <c r="H117" s="22" t="n">
        <v>55.39</v>
      </c>
      <c r="I117" s="22" t="n">
        <v>153.735</v>
      </c>
      <c r="J117" s="22" t="n">
        <v>48.507</v>
      </c>
      <c r="K117" s="22" t="n">
        <v>0</v>
      </c>
      <c r="L117" s="22" t="n">
        <v>20</v>
      </c>
    </row>
    <row r="118">
      <c r="A118" s="9" t="inlineStr">
        <is>
          <t>비유동부채 합계</t>
        </is>
      </c>
      <c r="C118" s="12" t="n">
        <v>659.413</v>
      </c>
      <c r="D118" s="12" t="n">
        <v>857.064</v>
      </c>
      <c r="E118" s="12" t="n">
        <v>779.299</v>
      </c>
      <c r="F118" s="12" t="n">
        <v>1183.006</v>
      </c>
      <c r="G118" s="12" t="n">
        <v>864.606</v>
      </c>
      <c r="H118" s="12" t="n">
        <v>642.035</v>
      </c>
      <c r="I118" s="12" t="n">
        <v>936.84</v>
      </c>
      <c r="J118" s="12" t="n">
        <v>837.852</v>
      </c>
      <c r="K118" s="12" t="n">
        <v>659.413</v>
      </c>
      <c r="L118" s="12" t="n">
        <v>864.606</v>
      </c>
    </row>
    <row r="119">
      <c r="A119" s="9" t="inlineStr">
        <is>
          <t>부채 합계</t>
        </is>
      </c>
      <c r="C119" s="12" t="n">
        <v>4134.816</v>
      </c>
      <c r="D119" s="12" t="n">
        <v>4040.782</v>
      </c>
      <c r="E119" s="12" t="n">
        <v>3907.179</v>
      </c>
      <c r="F119" s="12" t="n">
        <v>4589.679</v>
      </c>
      <c r="G119" s="12" t="n">
        <v>5312.144</v>
      </c>
      <c r="H119" s="12" t="n">
        <v>3295.85</v>
      </c>
      <c r="I119" s="12" t="n">
        <v>4362.657</v>
      </c>
      <c r="J119" s="12" t="n">
        <v>4172.078</v>
      </c>
      <c r="K119" s="12" t="n">
        <v>4134.816</v>
      </c>
      <c r="L119" s="12" t="n">
        <v>5312.144</v>
      </c>
    </row>
    <row r="120">
      <c r="A120" s="20" t="inlineStr">
        <is>
          <t>자본금</t>
        </is>
      </c>
      <c r="C120" s="22" t="n">
        <v>93.22199999999999</v>
      </c>
      <c r="D120" s="22" t="n">
        <v>93.22199999999999</v>
      </c>
      <c r="E120" s="22" t="n">
        <v>93.22199999999999</v>
      </c>
      <c r="F120" s="22" t="n">
        <v>93.22199999999999</v>
      </c>
      <c r="G120" s="22" t="n">
        <v>93.22199999999999</v>
      </c>
      <c r="H120" s="22" t="n">
        <v>93.22199999999999</v>
      </c>
      <c r="I120" s="22" t="n">
        <v>93.22199999999999</v>
      </c>
      <c r="J120" s="22" t="n">
        <v>93.22199999999999</v>
      </c>
      <c r="K120" s="22" t="n">
        <v>93.22199999999999</v>
      </c>
      <c r="L120" s="22" t="n">
        <v>93.22199999999999</v>
      </c>
    </row>
    <row r="121">
      <c r="A121" s="20" t="inlineStr">
        <is>
          <t>자본잉여금</t>
        </is>
      </c>
      <c r="C121" s="22" t="n">
        <v>2148.628</v>
      </c>
      <c r="D121" s="22" t="n">
        <v>2148.628</v>
      </c>
      <c r="E121" s="22" t="n">
        <v>2154.95</v>
      </c>
      <c r="F121" s="22" t="n">
        <v>2175.172</v>
      </c>
      <c r="G121" s="22" t="n">
        <v>2175.172</v>
      </c>
      <c r="H121" s="22" t="n">
        <v>3294.777</v>
      </c>
      <c r="I121" s="22" t="n">
        <v>3305.428</v>
      </c>
      <c r="J121" s="22" t="n">
        <v>3305.428</v>
      </c>
      <c r="K121" s="22" t="n">
        <v>2148.628</v>
      </c>
      <c r="L121" s="22" t="n">
        <v>2175.172</v>
      </c>
    </row>
    <row r="122">
      <c r="A122" s="20" t="inlineStr">
        <is>
          <t>이익잉여금</t>
        </is>
      </c>
      <c r="C122" s="22" t="n">
        <v>17842.687</v>
      </c>
      <c r="D122" s="22" t="n">
        <v>17455.904</v>
      </c>
      <c r="E122" s="22" t="n">
        <v>18350.481</v>
      </c>
      <c r="F122" s="22" t="n">
        <v>19610.988</v>
      </c>
      <c r="G122" s="22" t="n">
        <v>20762.903</v>
      </c>
      <c r="H122" s="22" t="n">
        <v>9567.299000000001</v>
      </c>
      <c r="I122" s="22" t="n">
        <v>12144.917</v>
      </c>
      <c r="J122" s="22" t="n">
        <v>14889.019</v>
      </c>
      <c r="K122" s="22" t="n">
        <v>17842.687</v>
      </c>
      <c r="L122" s="22" t="n">
        <v>20762.903</v>
      </c>
    </row>
    <row r="123">
      <c r="A123" s="20" t="inlineStr">
        <is>
          <t>자기주식</t>
        </is>
      </c>
      <c r="C123" s="22" t="n">
        <v>-1033.497</v>
      </c>
      <c r="D123" s="22" t="n">
        <v>-1033.497</v>
      </c>
      <c r="E123" s="22" t="n">
        <v>-971.3200000000001</v>
      </c>
      <c r="F123" s="22" t="n">
        <v>-772.451</v>
      </c>
      <c r="G123" s="22" t="n">
        <v>-772.451</v>
      </c>
      <c r="H123" s="22" t="n">
        <v>-223.253</v>
      </c>
      <c r="I123" s="22" t="n">
        <v>-203.471</v>
      </c>
      <c r="J123" s="22" t="n">
        <v>-703.497</v>
      </c>
      <c r="K123" s="22" t="n">
        <v>-1033.497</v>
      </c>
      <c r="L123" s="22" t="n">
        <v>-772.451</v>
      </c>
    </row>
    <row r="124">
      <c r="A124" s="9" t="inlineStr">
        <is>
          <t>주주자본 합계</t>
        </is>
      </c>
      <c r="C124" s="12" t="n">
        <v>19051.041</v>
      </c>
      <c r="D124" s="12" t="n">
        <v>18664.257</v>
      </c>
      <c r="E124" s="12" t="n">
        <v>19627.333</v>
      </c>
      <c r="F124" s="12" t="n">
        <v>21106.931</v>
      </c>
      <c r="G124" s="12" t="n">
        <v>22258.846</v>
      </c>
      <c r="H124" s="12" t="n">
        <v>12732.046</v>
      </c>
      <c r="I124" s="12" t="n">
        <v>15340.096</v>
      </c>
      <c r="J124" s="12" t="n">
        <v>17584.173</v>
      </c>
      <c r="K124" s="12" t="n">
        <v>19051.041</v>
      </c>
      <c r="L124" s="12" t="n">
        <v>22258.846</v>
      </c>
    </row>
    <row r="125">
      <c r="A125" s="20" t="inlineStr">
        <is>
          <t>기타유가증권 평가차액</t>
        </is>
      </c>
      <c r="C125" s="22" t="n">
        <v>396.041</v>
      </c>
      <c r="D125" s="22" t="n">
        <v>521.742</v>
      </c>
      <c r="E125" s="22" t="n">
        <v>517.593</v>
      </c>
      <c r="F125" s="22" t="n">
        <v>452.707</v>
      </c>
      <c r="G125" s="22" t="n">
        <v>419.741</v>
      </c>
      <c r="H125" s="22" t="n">
        <v>180.323</v>
      </c>
      <c r="I125" s="22" t="n">
        <v>540.891</v>
      </c>
      <c r="J125" s="22" t="n">
        <v>373.082</v>
      </c>
      <c r="K125" s="22" t="n">
        <v>396.041</v>
      </c>
      <c r="L125" s="22" t="n">
        <v>419.741</v>
      </c>
    </row>
    <row r="126">
      <c r="A126" s="20" t="inlineStr">
        <is>
          <t>이연헤지손익</t>
        </is>
      </c>
      <c r="C126" s="22" t="n">
        <v>62.539</v>
      </c>
      <c r="D126" s="22" t="n">
        <v>170.738</v>
      </c>
      <c r="E126" s="22" t="n">
        <v>147.957</v>
      </c>
      <c r="F126" s="22" t="n">
        <v>155.884</v>
      </c>
      <c r="G126" s="22" t="n">
        <v>131.133</v>
      </c>
      <c r="H126" s="22" t="n">
        <v>239.913</v>
      </c>
      <c r="I126" s="22" t="n">
        <v>127.851</v>
      </c>
      <c r="J126" s="22" t="n">
        <v>-26.637</v>
      </c>
      <c r="K126" s="22" t="n">
        <v>62.539</v>
      </c>
      <c r="L126" s="22" t="n">
        <v>131.133</v>
      </c>
    </row>
    <row r="127">
      <c r="A127" s="20" t="inlineStr">
        <is>
          <t>해외사업환산조정</t>
        </is>
      </c>
      <c r="C127" s="22" t="n">
        <v>146.255</v>
      </c>
      <c r="D127" s="22" t="n">
        <v>182.595</v>
      </c>
      <c r="E127" s="22" t="n">
        <v>183.999</v>
      </c>
      <c r="F127" s="22" t="n">
        <v>195.031</v>
      </c>
      <c r="G127" s="22" t="n">
        <v>199.64</v>
      </c>
      <c r="H127" s="22" t="n">
        <v>160.031</v>
      </c>
      <c r="I127" s="22" t="n">
        <v>189.773</v>
      </c>
      <c r="J127" s="22" t="n">
        <v>185.32</v>
      </c>
      <c r="K127" s="22" t="n">
        <v>146.255</v>
      </c>
      <c r="L127" s="22" t="n">
        <v>199.64</v>
      </c>
    </row>
    <row r="128">
      <c r="A128" s="20" t="inlineStr">
        <is>
          <t>퇴직급여 조정누계액</t>
        </is>
      </c>
      <c r="C128" s="22" t="n">
        <v>7.477</v>
      </c>
      <c r="D128" s="22" t="n">
        <v>6.733</v>
      </c>
      <c r="E128" s="22" t="n">
        <v>5.989</v>
      </c>
      <c r="F128" s="22" t="n">
        <v>5.245</v>
      </c>
      <c r="G128" s="22" t="n">
        <v>44.548</v>
      </c>
      <c r="H128" s="22" t="n">
        <v>42.039</v>
      </c>
      <c r="I128" s="22" t="n">
        <v>38.041</v>
      </c>
      <c r="J128" s="22" t="n">
        <v>32.634</v>
      </c>
      <c r="K128" s="22" t="n">
        <v>7.477</v>
      </c>
      <c r="L128" s="22" t="n">
        <v>44.548</v>
      </c>
    </row>
    <row r="129">
      <c r="A129" s="20" t="inlineStr">
        <is>
          <t>기타포괄손익누계액 합계</t>
        </is>
      </c>
      <c r="C129" s="22" t="n">
        <v>612.314</v>
      </c>
      <c r="D129" s="22" t="n">
        <v>881.809</v>
      </c>
      <c r="E129" s="22" t="n">
        <v>855.539</v>
      </c>
      <c r="F129" s="22" t="n">
        <v>808.8680000000001</v>
      </c>
      <c r="G129" s="22" t="n">
        <v>795.064</v>
      </c>
      <c r="H129" s="22" t="n">
        <v>622.307</v>
      </c>
      <c r="I129" s="22" t="n">
        <v>896.558</v>
      </c>
      <c r="J129" s="22" t="n">
        <v>564.399</v>
      </c>
      <c r="K129" s="22" t="n">
        <v>612.314</v>
      </c>
      <c r="L129" s="22" t="n">
        <v>795.064</v>
      </c>
    </row>
    <row r="130">
      <c r="A130" s="9" t="inlineStr">
        <is>
          <t>순자산 합계</t>
        </is>
      </c>
      <c r="C130" s="12" t="n">
        <v>19663.355</v>
      </c>
      <c r="D130" s="12" t="n">
        <v>19546.066</v>
      </c>
      <c r="E130" s="12" t="n">
        <v>20482.872</v>
      </c>
      <c r="F130" s="12" t="n">
        <v>21915.8</v>
      </c>
      <c r="G130" s="12" t="n">
        <v>23053.911</v>
      </c>
      <c r="H130" s="12" t="n">
        <v>13354.354</v>
      </c>
      <c r="I130" s="12" t="n">
        <v>16236.655</v>
      </c>
      <c r="J130" s="12" t="n">
        <v>18148.572</v>
      </c>
      <c r="K130" s="12" t="n">
        <v>19663.355</v>
      </c>
      <c r="L130" s="12" t="n">
        <v>23053.911</v>
      </c>
    </row>
    <row r="131">
      <c r="A131" s="9" t="inlineStr">
        <is>
          <t>부채·순자산 합계</t>
        </is>
      </c>
      <c r="C131" s="12" t="n">
        <v>23798.171</v>
      </c>
      <c r="D131" s="12" t="n">
        <v>23586.849</v>
      </c>
      <c r="E131" s="12" t="n">
        <v>24390.052</v>
      </c>
      <c r="F131" s="12" t="n">
        <v>26505.479</v>
      </c>
      <c r="G131" s="12" t="n">
        <v>28366.055</v>
      </c>
      <c r="H131" s="12" t="n">
        <v>16650.205</v>
      </c>
      <c r="I131" s="12" t="n">
        <v>20599.312</v>
      </c>
      <c r="J131" s="12" t="n">
        <v>22320.651</v>
      </c>
      <c r="K131" s="12" t="n">
        <v>23798.171</v>
      </c>
      <c r="L131" s="12" t="n">
        <v>28366.055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44" customWidth="1" min="8" max="8"/>
  </cols>
  <sheetData>
    <row r="1">
      <c r="A1" s="52" t="inlineStr">
        <is>
          <t>트랜잭션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results · 4Q 26 6 8</t>
        </is>
      </c>
      <c r="B4" s="54" t="n"/>
      <c r="C4" s="54" t="n"/>
      <c r="D4" s="54" t="n"/>
      <c r="E4" s="54" t="n"/>
      <c r="F4" s="54" t="n"/>
      <c r="G4" s="54" t="n"/>
      <c r="H4" s="54" t="n"/>
    </row>
    <row r="5">
      <c r="A5" s="55" t="inlineStr">
        <is>
          <t>항목</t>
        </is>
      </c>
      <c r="B5" s="55" t="inlineStr">
        <is>
          <t>값</t>
        </is>
      </c>
      <c r="H5" s="55" t="inlineStr">
        <is>
          <t>출처</t>
        </is>
      </c>
    </row>
    <row r="6">
      <c r="A6" s="56" t="inlineStr">
        <is>
          <t>매출</t>
        </is>
      </c>
      <c r="B6" s="57" t="n">
        <v>83.7</v>
      </c>
      <c r="H6" s="58" t="inlineStr">
        <is>
          <t>2단계 보고서 자료(회사 설명회 자료·공시)</t>
        </is>
      </c>
    </row>
    <row r="7">
      <c r="A7" s="56" t="inlineStr">
        <is>
          <t>매출 YoY %</t>
        </is>
      </c>
      <c r="B7" s="57" t="n">
        <v>25.4</v>
      </c>
    </row>
    <row r="8">
      <c r="A8" s="56" t="inlineStr">
        <is>
          <t>gp</t>
        </is>
      </c>
      <c r="B8" s="57" t="n">
        <v>31.5</v>
      </c>
    </row>
    <row r="9">
      <c r="A9" s="56" t="inlineStr">
        <is>
          <t>sga</t>
        </is>
      </c>
      <c r="B9" s="57" t="n">
        <v>16.5</v>
      </c>
    </row>
    <row r="10">
      <c r="A10" s="56" t="inlineStr">
        <is>
          <t>영업이익</t>
        </is>
      </c>
      <c r="B10" s="57" t="n">
        <v>15</v>
      </c>
    </row>
    <row r="11">
      <c r="A11" s="56" t="inlineStr">
        <is>
          <t>영업이익 YoY %</t>
        </is>
      </c>
      <c r="B11" s="57" t="n">
        <v>5.1</v>
      </c>
    </row>
    <row r="12">
      <c r="A12" s="56" t="inlineStr">
        <is>
          <t>영업이익률</t>
        </is>
      </c>
      <c r="B12" s="57" t="n">
        <v>17.9</v>
      </c>
    </row>
    <row r="13">
      <c r="A13" s="56" t="inlineStr">
        <is>
          <t>영업이익률 ex ma</t>
        </is>
      </c>
      <c r="B13" s="57" t="n">
        <v>20</v>
      </c>
    </row>
    <row r="14">
      <c r="A14" s="56" t="inlineStr">
        <is>
          <t>순이익</t>
        </is>
      </c>
      <c r="B14" s="57" t="n">
        <v>11.5</v>
      </c>
    </row>
    <row r="15">
      <c r="A15" s="56" t="inlineStr">
        <is>
          <t>순이익 YoY %</t>
        </is>
      </c>
      <c r="B15" s="57" t="n">
        <v>10.8</v>
      </c>
    </row>
    <row r="17">
      <c r="A17" s="54" t="inlineStr">
        <is>
          <t>this results · fy26</t>
        </is>
      </c>
      <c r="B17" s="54" t="n"/>
      <c r="C17" s="54" t="n"/>
      <c r="D17" s="54" t="n"/>
      <c r="E17" s="54" t="n"/>
      <c r="F17" s="54" t="n"/>
      <c r="G17" s="54" t="n"/>
      <c r="H17" s="54" t="n"/>
    </row>
    <row r="18">
      <c r="A18" s="55" t="inlineStr">
        <is>
          <t>항목</t>
        </is>
      </c>
      <c r="B18" s="55" t="inlineStr">
        <is>
          <t>값</t>
        </is>
      </c>
      <c r="H18" s="55" t="inlineStr">
        <is>
          <t>출처</t>
        </is>
      </c>
    </row>
    <row r="19">
      <c r="A19" s="56" t="inlineStr">
        <is>
          <t>매출</t>
        </is>
      </c>
      <c r="B19" s="57" t="n">
        <v>315.2</v>
      </c>
      <c r="H19" s="58" t="inlineStr">
        <is>
          <t>2단계 보고서 자료(회사 설명회 자료·공시)</t>
        </is>
      </c>
    </row>
    <row r="20">
      <c r="A20" s="56" t="inlineStr">
        <is>
          <t>매출 YoY</t>
        </is>
      </c>
      <c r="B20" s="57" t="n">
        <v>14.8</v>
      </c>
    </row>
    <row r="21">
      <c r="A21" s="56" t="inlineStr">
        <is>
          <t>gp</t>
        </is>
      </c>
      <c r="B21" s="57" t="n">
        <v>122.7</v>
      </c>
    </row>
    <row r="22">
      <c r="A22" s="56" t="inlineStr">
        <is>
          <t>매출총이익률</t>
        </is>
      </c>
      <c r="B22" s="57" t="n">
        <v>38.9</v>
      </c>
    </row>
    <row r="23">
      <c r="A23" s="56" t="inlineStr">
        <is>
          <t>매출총이익률 ex ma</t>
        </is>
      </c>
      <c r="B23" s="57" t="n">
        <v>39.7</v>
      </c>
    </row>
    <row r="24">
      <c r="A24" s="56" t="inlineStr">
        <is>
          <t>sga</t>
        </is>
      </c>
      <c r="B24" s="57" t="n">
        <v>58.7</v>
      </c>
    </row>
    <row r="25">
      <c r="A25" s="56" t="inlineStr">
        <is>
          <t>영업이익</t>
        </is>
      </c>
      <c r="B25" s="57" t="n">
        <v>64</v>
      </c>
    </row>
    <row r="26">
      <c r="A26" s="56" t="inlineStr">
        <is>
          <t>영업이익 YoY</t>
        </is>
      </c>
      <c r="B26" s="57" t="n">
        <v>12.1</v>
      </c>
    </row>
    <row r="27">
      <c r="A27" s="56" t="inlineStr">
        <is>
          <t>영업이익률</t>
        </is>
      </c>
      <c r="B27" s="57" t="n">
        <v>20.3</v>
      </c>
    </row>
    <row r="28">
      <c r="A28" s="56" t="inlineStr">
        <is>
          <t>영업이익률 ex ma</t>
        </is>
      </c>
      <c r="B28" s="57" t="n">
        <v>20.9</v>
      </c>
    </row>
    <row r="29">
      <c r="A29" s="56" t="inlineStr">
        <is>
          <t>ordinary</t>
        </is>
      </c>
      <c r="B29" s="57" t="n">
        <v>65.90000000000001</v>
      </c>
    </row>
    <row r="30">
      <c r="A30" s="56" t="inlineStr">
        <is>
          <t>순이익</t>
        </is>
      </c>
      <c r="B30" s="57" t="n">
        <v>45.3</v>
      </c>
    </row>
    <row r="31">
      <c r="A31" s="56" t="inlineStr">
        <is>
          <t>순이익 YoY</t>
        </is>
      </c>
      <c r="B31" s="57" t="n">
        <v>11.1</v>
      </c>
    </row>
    <row r="32">
      <c r="A32" s="56" t="inlineStr">
        <is>
          <t>EPS</t>
        </is>
      </c>
      <c r="B32" s="57" t="n">
        <v>80.04000000000001</v>
      </c>
    </row>
    <row r="33">
      <c r="A33" s="56" t="inlineStr">
        <is>
          <t>dps</t>
        </is>
      </c>
      <c r="B33" s="57" t="n">
        <v>32.5</v>
      </c>
    </row>
    <row r="34">
      <c r="A34" s="56" t="inlineStr">
        <is>
          <t>payout</t>
        </is>
      </c>
      <c r="B34" s="57" t="n">
        <v>40.6</v>
      </c>
    </row>
    <row r="35">
      <c r="A35" s="56" t="inlineStr">
        <is>
          <t>ROE</t>
        </is>
      </c>
      <c r="B35" s="57" t="n">
        <v>21.2</v>
      </c>
    </row>
    <row r="37">
      <c r="A37" s="54" t="inlineStr">
        <is>
          <t>this results · fy27 가이던스</t>
        </is>
      </c>
      <c r="B37" s="54" t="n"/>
      <c r="C37" s="54" t="n"/>
      <c r="D37" s="54" t="n"/>
      <c r="E37" s="54" t="n"/>
      <c r="F37" s="54" t="n"/>
      <c r="G37" s="54" t="n"/>
      <c r="H37" s="54" t="n"/>
    </row>
    <row r="38">
      <c r="A38" s="55" t="inlineStr">
        <is>
          <t>항목</t>
        </is>
      </c>
      <c r="B38" s="55" t="inlineStr">
        <is>
          <t>값</t>
        </is>
      </c>
      <c r="H38" s="55" t="inlineStr">
        <is>
          <t>출처</t>
        </is>
      </c>
    </row>
    <row r="39">
      <c r="A39" s="56" t="inlineStr">
        <is>
          <t>매출</t>
        </is>
      </c>
      <c r="B39" s="57" t="n">
        <v>370</v>
      </c>
      <c r="H39" s="58" t="inlineStr">
        <is>
          <t>2단계 보고서 자료(회사 설명회 자료·공시)</t>
        </is>
      </c>
    </row>
    <row r="40">
      <c r="A40" s="56" t="inlineStr">
        <is>
          <t>매출 YoY</t>
        </is>
      </c>
      <c r="B40" s="57" t="n">
        <v>17.4</v>
      </c>
    </row>
    <row r="41">
      <c r="A41" s="56" t="inlineStr">
        <is>
          <t>gp</t>
        </is>
      </c>
      <c r="B41" s="57" t="n">
        <v>142.2</v>
      </c>
    </row>
    <row r="42">
      <c r="A42" s="56" t="inlineStr">
        <is>
          <t>매출총이익률</t>
        </is>
      </c>
      <c r="B42" s="57" t="n">
        <v>38.4</v>
      </c>
    </row>
    <row r="43">
      <c r="A43" s="56" t="inlineStr">
        <is>
          <t>sga</t>
        </is>
      </c>
      <c r="B43" s="57" t="n">
        <v>70.5</v>
      </c>
    </row>
    <row r="44">
      <c r="A44" s="56" t="inlineStr">
        <is>
          <t>sga YoY</t>
        </is>
      </c>
      <c r="B44" s="57" t="n">
        <v>20.1</v>
      </c>
    </row>
    <row r="45">
      <c r="A45" s="56" t="inlineStr">
        <is>
          <t>영업이익</t>
        </is>
      </c>
      <c r="B45" s="57" t="n">
        <v>71.7</v>
      </c>
    </row>
    <row r="46">
      <c r="A46" s="56" t="inlineStr">
        <is>
          <t>영업이익 YoY</t>
        </is>
      </c>
      <c r="B46" s="57" t="n">
        <v>12</v>
      </c>
    </row>
    <row r="47">
      <c r="A47" s="56" t="inlineStr">
        <is>
          <t>영업이익률</t>
        </is>
      </c>
      <c r="B47" s="57" t="n">
        <v>19.4</v>
      </c>
    </row>
    <row r="48">
      <c r="A48" s="56" t="inlineStr">
        <is>
          <t>ordinary</t>
        </is>
      </c>
      <c r="B48" s="57" t="n">
        <v>73.84999999999999</v>
      </c>
    </row>
    <row r="49">
      <c r="A49" s="56" t="inlineStr">
        <is>
          <t>순이익</t>
        </is>
      </c>
      <c r="B49" s="57" t="n">
        <v>49.5</v>
      </c>
    </row>
    <row r="50">
      <c r="A50" s="56" t="inlineStr">
        <is>
          <t>순이익 YoY</t>
        </is>
      </c>
      <c r="B50" s="57" t="n">
        <v>9.300000000000001</v>
      </c>
    </row>
    <row r="51">
      <c r="A51" s="56" t="inlineStr">
        <is>
          <t>EPS</t>
        </is>
      </c>
      <c r="B51" s="57" t="n">
        <v>87.25</v>
      </c>
    </row>
    <row r="52">
      <c r="A52" s="56" t="inlineStr">
        <is>
          <t>dps</t>
        </is>
      </c>
      <c r="B52" s="57" t="n">
        <v>35</v>
      </c>
    </row>
    <row r="53">
      <c r="A53" s="56" t="inlineStr">
        <is>
          <t>상반기 매출</t>
        </is>
      </c>
      <c r="B53" s="57" t="n">
        <v>179.63</v>
      </c>
    </row>
    <row r="54">
      <c r="A54" s="56" t="inlineStr">
        <is>
          <t>상반기 매출 YoY</t>
        </is>
      </c>
      <c r="B54" s="57" t="n">
        <v>21</v>
      </c>
    </row>
    <row r="55">
      <c r="A55" s="56" t="inlineStr">
        <is>
          <t>상반기 영업이익</t>
        </is>
      </c>
      <c r="B55" s="57" t="n">
        <v>32.89</v>
      </c>
    </row>
    <row r="56">
      <c r="A56" s="56" t="inlineStr">
        <is>
          <t>상반기 영업이익 YoY</t>
        </is>
      </c>
      <c r="B56" s="57" t="n">
        <v>3.9</v>
      </c>
    </row>
    <row r="57">
      <c r="A57" s="56" t="inlineStr">
        <is>
          <t>상반기 순이익</t>
        </is>
      </c>
      <c r="B57" s="57" t="n">
        <v>22.85</v>
      </c>
    </row>
    <row r="58">
      <c r="A58" s="56" t="inlineStr">
        <is>
          <t>상반기 EPS</t>
        </is>
      </c>
      <c r="B58" s="57" t="n">
        <v>40.28</v>
      </c>
    </row>
    <row r="59">
      <c r="A59" s="56" t="inlineStr">
        <is>
          <t>implied 하반기 매출</t>
        </is>
      </c>
      <c r="B59" s="57" t="n">
        <v>190.4</v>
      </c>
    </row>
    <row r="60">
      <c r="A60" s="56" t="inlineStr">
        <is>
          <t>implied 하반기 영업이익</t>
        </is>
      </c>
      <c r="B60" s="57" t="n">
        <v>38.8</v>
      </c>
    </row>
    <row r="62">
      <c r="A62" s="54" t="inlineStr">
        <is>
          <t>this results · 컨센서스 fy27</t>
        </is>
      </c>
      <c r="B62" s="54" t="n"/>
      <c r="C62" s="54" t="n"/>
      <c r="D62" s="54" t="n"/>
      <c r="E62" s="54" t="n"/>
      <c r="F62" s="54" t="n"/>
      <c r="G62" s="54" t="n"/>
      <c r="H62" s="54" t="n"/>
    </row>
    <row r="63">
      <c r="A63" s="55" t="inlineStr">
        <is>
          <t>항목</t>
        </is>
      </c>
      <c r="B63" s="55" t="inlineStr">
        <is>
          <t>값</t>
        </is>
      </c>
      <c r="H63" s="55" t="inlineStr">
        <is>
          <t>출처</t>
        </is>
      </c>
    </row>
    <row r="64">
      <c r="A64" s="56" t="inlineStr">
        <is>
          <t>EPS avg</t>
        </is>
      </c>
      <c r="B64" s="57" t="n">
        <v>85.90000000000001</v>
      </c>
      <c r="H64" s="58" t="inlineStr">
        <is>
          <t>2단계 보고서 자료(회사 설명회 자료·공시)</t>
        </is>
      </c>
    </row>
    <row r="65">
      <c r="A65" s="56" t="inlineStr">
        <is>
          <t>EPS 최저</t>
        </is>
      </c>
      <c r="B65" s="57" t="n">
        <v>85.5</v>
      </c>
    </row>
    <row r="66">
      <c r="A66" s="56" t="inlineStr">
        <is>
          <t>EPS 최고</t>
        </is>
      </c>
      <c r="B66" s="57" t="n">
        <v>86.3</v>
      </c>
    </row>
    <row r="67">
      <c r="A67" s="56" t="inlineStr">
        <is>
          <t>매출 avg</t>
        </is>
      </c>
      <c r="B67" s="57" t="n">
        <v>345</v>
      </c>
    </row>
    <row r="68">
      <c r="A68" s="56" t="inlineStr">
        <is>
          <t>애널리스트 수</t>
        </is>
      </c>
      <c r="B68" s="59" t="n">
        <v>2</v>
      </c>
    </row>
    <row r="69">
      <c r="A69" s="56" t="inlineStr">
        <is>
          <t>fy28 EPS</t>
        </is>
      </c>
      <c r="B69" s="57" t="n">
        <v>95.2</v>
      </c>
    </row>
    <row r="70">
      <c r="A70" s="56" t="inlineStr">
        <is>
          <t>fy28 매출</t>
        </is>
      </c>
      <c r="B70" s="57" t="n">
        <v>382</v>
      </c>
    </row>
    <row r="71">
      <c r="A71" s="56" t="inlineStr">
        <is>
          <t>fy28 애널리스트 수</t>
        </is>
      </c>
      <c r="B71" s="59" t="n">
        <v>1</v>
      </c>
    </row>
    <row r="73">
      <c r="A73" s="54" t="inlineStr">
        <is>
          <t>this results · ma</t>
        </is>
      </c>
      <c r="B73" s="54" t="n"/>
      <c r="C73" s="54" t="n"/>
      <c r="D73" s="54" t="n"/>
      <c r="E73" s="54" t="n"/>
      <c r="F73" s="54" t="n"/>
      <c r="G73" s="54" t="n"/>
      <c r="H73" s="54" t="n"/>
    </row>
    <row r="74">
      <c r="A74" s="55" t="inlineStr">
        <is>
          <t>항목</t>
        </is>
      </c>
      <c r="B74" s="55" t="inlineStr">
        <is>
          <t>값</t>
        </is>
      </c>
      <c r="H74" s="55" t="inlineStr">
        <is>
          <t>출처</t>
        </is>
      </c>
    </row>
    <row r="75">
      <c r="A75" s="56" t="inlineStr">
        <is>
          <t>가격</t>
        </is>
      </c>
      <c r="B75" s="57" t="n">
        <v>9.199999999999999</v>
      </c>
      <c r="H75" s="58" t="inlineStr">
        <is>
          <t>2단계 보고서 자료(회사 설명회 자료·공시)</t>
        </is>
      </c>
    </row>
    <row r="76">
      <c r="A76" s="56" t="inlineStr">
        <is>
          <t>goodwill</t>
        </is>
      </c>
      <c r="B76" s="57" t="n">
        <v>7.24</v>
      </c>
    </row>
    <row r="77">
      <c r="A77" s="56" t="inlineStr">
        <is>
          <t>goodwill years</t>
        </is>
      </c>
      <c r="B77" s="59" t="n">
        <v>15</v>
      </c>
    </row>
    <row r="78">
      <c r="A78" s="56" t="inlineStr">
        <is>
          <t>FY proforma 매출</t>
        </is>
      </c>
      <c r="B78" s="57" t="n">
        <v>15.2</v>
      </c>
    </row>
    <row r="79">
      <c r="A79" s="56" t="inlineStr">
        <is>
          <t>FY proforma 영업이익</t>
        </is>
      </c>
      <c r="B79" s="57" t="n">
        <v>0.5600000000000001</v>
      </c>
    </row>
    <row r="81">
      <c r="A81" s="54" t="inlineStr">
        <is>
          <t>annual 가이던스 path</t>
        </is>
      </c>
      <c r="B81" s="54" t="n"/>
      <c r="C81" s="54" t="n"/>
      <c r="D81" s="54" t="n"/>
      <c r="E81" s="54" t="n"/>
      <c r="F81" s="54" t="n"/>
      <c r="G81" s="54" t="n"/>
      <c r="H81" s="54" t="n"/>
    </row>
    <row r="82">
      <c r="A82" s="55" t="inlineStr">
        <is>
          <t>항목</t>
        </is>
      </c>
      <c r="B82" s="55" t="inlineStr">
        <is>
          <t>FY22</t>
        </is>
      </c>
      <c r="C82" s="55" t="inlineStr">
        <is>
          <t>FY23</t>
        </is>
      </c>
      <c r="D82" s="55" t="inlineStr">
        <is>
          <t>FY24</t>
        </is>
      </c>
      <c r="E82" s="55" t="inlineStr">
        <is>
          <t>FY25</t>
        </is>
      </c>
      <c r="F82" s="55" t="inlineStr">
        <is>
          <t>FY26</t>
        </is>
      </c>
      <c r="G82" s="55" t="inlineStr">
        <is>
          <t>FY27</t>
        </is>
      </c>
      <c r="H82" s="55" t="inlineStr">
        <is>
          <t>출처</t>
        </is>
      </c>
    </row>
    <row r="83">
      <c r="A83" s="56" t="inlineStr">
        <is>
          <t>initial 매출</t>
        </is>
      </c>
      <c r="B83" s="57" t="n">
        <v>190</v>
      </c>
      <c r="C83" s="57" t="n">
        <v>206</v>
      </c>
      <c r="D83" s="57" t="n">
        <v>251.6</v>
      </c>
      <c r="E83" s="57" t="n">
        <v>279</v>
      </c>
      <c r="F83" s="57" t="n">
        <v>295</v>
      </c>
      <c r="G83" s="57" t="n">
        <v>370</v>
      </c>
      <c r="H83" s="58" t="inlineStr">
        <is>
          <t>2단계 보고서 자료(회사 설명회 자료·공시)</t>
        </is>
      </c>
    </row>
    <row r="84">
      <c r="A84" s="56" t="inlineStr">
        <is>
          <t>실적 매출</t>
        </is>
      </c>
      <c r="B84" s="57" t="n">
        <v>182.7</v>
      </c>
      <c r="C84" s="57" t="n">
        <v>229.6</v>
      </c>
      <c r="D84" s="57" t="n">
        <v>250.5</v>
      </c>
      <c r="E84" s="57" t="n">
        <v>274.5</v>
      </c>
      <c r="F84" s="57" t="n">
        <v>315.2</v>
      </c>
      <c r="G84" s="60" t="n"/>
    </row>
    <row r="85">
      <c r="A85" s="56" t="inlineStr">
        <is>
          <t>initial 영업이익</t>
        </is>
      </c>
      <c r="B85" s="57" t="n">
        <v>31.3</v>
      </c>
      <c r="C85" s="57" t="n">
        <v>35.6</v>
      </c>
      <c r="D85" s="57" t="n">
        <v>52.2</v>
      </c>
      <c r="E85" s="57" t="n">
        <v>58.5</v>
      </c>
      <c r="F85" s="57" t="n">
        <v>61</v>
      </c>
      <c r="G85" s="57" t="n">
        <v>71.7</v>
      </c>
    </row>
    <row r="86">
      <c r="A86" s="56" t="inlineStr">
        <is>
          <t>실적 영업이익</t>
        </is>
      </c>
      <c r="B86" s="57" t="n">
        <v>32.3</v>
      </c>
      <c r="C86" s="57" t="n">
        <v>46.6</v>
      </c>
      <c r="D86" s="57" t="n">
        <v>52.3</v>
      </c>
      <c r="E86" s="57" t="n">
        <v>57.1</v>
      </c>
      <c r="F86" s="57" t="n">
        <v>64</v>
      </c>
      <c r="G86" s="60" t="n"/>
    </row>
    <row r="88">
      <c r="A88" s="54" t="inlineStr">
        <is>
          <t>bs annual</t>
        </is>
      </c>
      <c r="B88" s="54" t="n"/>
      <c r="C88" s="54" t="n"/>
      <c r="D88" s="54" t="n"/>
      <c r="E88" s="54" t="n"/>
      <c r="F88" s="54" t="n"/>
      <c r="G88" s="54" t="n"/>
      <c r="H88" s="54" t="n"/>
    </row>
    <row r="89">
      <c r="A89" s="55" t="inlineStr">
        <is>
          <t>항목</t>
        </is>
      </c>
      <c r="B89" s="55" t="inlineStr">
        <is>
          <t>2022</t>
        </is>
      </c>
      <c r="C89" s="55" t="inlineStr">
        <is>
          <t>2023</t>
        </is>
      </c>
      <c r="D89" s="55" t="inlineStr">
        <is>
          <t>2024</t>
        </is>
      </c>
      <c r="E89" s="55" t="inlineStr">
        <is>
          <t>2025</t>
        </is>
      </c>
      <c r="F89" s="55" t="inlineStr">
        <is>
          <t>2026</t>
        </is>
      </c>
      <c r="H89" s="55" t="inlineStr">
        <is>
          <t>출처</t>
        </is>
      </c>
    </row>
    <row r="90">
      <c r="A90" s="56" t="inlineStr">
        <is>
          <t>labels</t>
        </is>
      </c>
      <c r="B90" s="59" t="n">
        <v>2022</v>
      </c>
      <c r="C90" s="59" t="n">
        <v>2023</v>
      </c>
      <c r="D90" s="59" t="n">
        <v>2024</v>
      </c>
      <c r="E90" s="59" t="n">
        <v>2025</v>
      </c>
      <c r="F90" s="59" t="n">
        <v>2026</v>
      </c>
      <c r="H90" s="58" t="inlineStr">
        <is>
          <t>2단계 보고서 자료(회사 설명회 자료·공시)</t>
        </is>
      </c>
    </row>
    <row r="91">
      <c r="A91" s="56" t="inlineStr">
        <is>
          <t>current assets</t>
        </is>
      </c>
      <c r="B91" s="57" t="n">
        <v>128.1</v>
      </c>
      <c r="C91" s="57" t="n">
        <v>151.9</v>
      </c>
      <c r="D91" s="57" t="n">
        <v>148</v>
      </c>
      <c r="E91" s="57" t="n">
        <v>157.3</v>
      </c>
      <c r="F91" s="57" t="n">
        <v>191</v>
      </c>
    </row>
    <row r="92">
      <c r="A92" s="56" t="inlineStr">
        <is>
          <t>cash</t>
        </is>
      </c>
      <c r="B92" s="57" t="n">
        <v>43.4</v>
      </c>
      <c r="C92" s="57" t="n">
        <v>60.1</v>
      </c>
      <c r="D92" s="57" t="n">
        <v>58.2</v>
      </c>
      <c r="E92" s="57" t="n">
        <v>65.59999999999999</v>
      </c>
      <c r="F92" s="57" t="n">
        <v>68.5</v>
      </c>
    </row>
    <row r="93">
      <c r="A93" s="56" t="inlineStr">
        <is>
          <t>st fin</t>
        </is>
      </c>
      <c r="B93" s="57" t="n">
        <v>2.9</v>
      </c>
      <c r="C93" s="57" t="n">
        <v>8.6</v>
      </c>
      <c r="D93" s="57" t="n">
        <v>1.7</v>
      </c>
      <c r="E93" s="57" t="n">
        <v>0.5</v>
      </c>
      <c r="F93" s="57" t="n">
        <v>5.1</v>
      </c>
    </row>
    <row r="94">
      <c r="A94" s="56" t="inlineStr">
        <is>
          <t>receivables</t>
        </is>
      </c>
      <c r="B94" s="57" t="n">
        <v>26.8</v>
      </c>
      <c r="C94" s="57" t="n">
        <v>27.3</v>
      </c>
      <c r="D94" s="57" t="n">
        <v>31.3</v>
      </c>
      <c r="E94" s="57" t="n">
        <v>33.3</v>
      </c>
      <c r="F94" s="57" t="n">
        <v>40.5</v>
      </c>
    </row>
    <row r="95">
      <c r="A95" s="56" t="inlineStr">
        <is>
          <t>inventory</t>
        </is>
      </c>
      <c r="B95" s="57" t="n">
        <v>44.6</v>
      </c>
      <c r="C95" s="57" t="n">
        <v>47.7</v>
      </c>
      <c r="D95" s="57" t="n">
        <v>50.8</v>
      </c>
      <c r="E95" s="57" t="n">
        <v>51.4</v>
      </c>
      <c r="F95" s="57" t="n">
        <v>64.90000000000001</v>
      </c>
    </row>
    <row r="96">
      <c r="A96" s="56" t="inlineStr">
        <is>
          <t>noncurrent assets</t>
        </is>
      </c>
      <c r="B96" s="57" t="n">
        <v>38.4</v>
      </c>
      <c r="C96" s="57" t="n">
        <v>54.1</v>
      </c>
      <c r="D96" s="57" t="n">
        <v>75.2</v>
      </c>
      <c r="E96" s="57" t="n">
        <v>80.7</v>
      </c>
      <c r="F96" s="57" t="n">
        <v>92.7</v>
      </c>
    </row>
    <row r="97">
      <c r="A97" s="56" t="inlineStr">
        <is>
          <t>ppe</t>
        </is>
      </c>
      <c r="B97" s="57" t="n">
        <v>10.7</v>
      </c>
      <c r="C97" s="57" t="n">
        <v>11.1</v>
      </c>
      <c r="D97" s="57" t="n">
        <v>17.8</v>
      </c>
      <c r="E97" s="57" t="n">
        <v>17.7</v>
      </c>
      <c r="F97" s="57" t="n">
        <v>16.9</v>
      </c>
    </row>
    <row r="98">
      <c r="A98" s="56" t="inlineStr">
        <is>
          <t>intangibles</t>
        </is>
      </c>
      <c r="B98" s="57" t="n">
        <v>1.3</v>
      </c>
      <c r="C98" s="57" t="n">
        <v>1.7</v>
      </c>
      <c r="D98" s="57" t="n">
        <v>2</v>
      </c>
      <c r="E98" s="57" t="n">
        <v>2.2</v>
      </c>
      <c r="F98" s="57" t="n">
        <v>11.1</v>
      </c>
    </row>
    <row r="99">
      <c r="A99" s="56" t="inlineStr">
        <is>
          <t>inv property</t>
        </is>
      </c>
      <c r="B99" s="60" t="n"/>
      <c r="C99" s="60" t="n"/>
      <c r="D99" s="60" t="n"/>
      <c r="E99" s="60" t="n"/>
      <c r="F99" s="60" t="n"/>
    </row>
    <row r="100">
      <c r="A100" s="56" t="inlineStr">
        <is>
          <t>합계 assets</t>
        </is>
      </c>
      <c r="B100" s="57" t="n">
        <v>166.5</v>
      </c>
      <c r="C100" s="57" t="n">
        <v>206</v>
      </c>
      <c r="D100" s="57" t="n">
        <v>223.2</v>
      </c>
      <c r="E100" s="57" t="n">
        <v>238</v>
      </c>
      <c r="F100" s="57" t="n">
        <v>283.7</v>
      </c>
    </row>
    <row r="101">
      <c r="A101" s="56" t="inlineStr">
        <is>
          <t>current liab</t>
        </is>
      </c>
      <c r="B101" s="57" t="n">
        <v>26.5</v>
      </c>
      <c r="C101" s="57" t="n">
        <v>34.3</v>
      </c>
      <c r="D101" s="57" t="n">
        <v>33.3</v>
      </c>
      <c r="E101" s="57" t="n">
        <v>34.8</v>
      </c>
      <c r="F101" s="57" t="n">
        <v>44.5</v>
      </c>
    </row>
    <row r="102">
      <c r="A102" s="56" t="inlineStr">
        <is>
          <t>payables</t>
        </is>
      </c>
      <c r="B102" s="57" t="n">
        <v>10.4</v>
      </c>
      <c r="C102" s="57" t="n">
        <v>9.6</v>
      </c>
      <c r="D102" s="57" t="n">
        <v>9.6</v>
      </c>
      <c r="E102" s="57" t="n">
        <v>11.1</v>
      </c>
      <c r="F102" s="57" t="n">
        <v>20.4</v>
      </c>
    </row>
    <row r="103">
      <c r="A103" s="56" t="inlineStr">
        <is>
          <t>st debt</t>
        </is>
      </c>
      <c r="B103" s="60" t="n"/>
      <c r="C103" s="60" t="n"/>
      <c r="D103" s="60" t="n"/>
      <c r="E103" s="57" t="n">
        <v>0</v>
      </c>
      <c r="F103" s="60" t="n"/>
    </row>
    <row r="104">
      <c r="A104" s="56" t="inlineStr">
        <is>
          <t>noncurrent liab</t>
        </is>
      </c>
      <c r="B104" s="57" t="n">
        <v>6.4</v>
      </c>
      <c r="C104" s="57" t="n">
        <v>9.4</v>
      </c>
      <c r="D104" s="57" t="n">
        <v>8.4</v>
      </c>
      <c r="E104" s="57" t="n">
        <v>6.6</v>
      </c>
      <c r="F104" s="57" t="n">
        <v>8.6</v>
      </c>
    </row>
    <row r="105">
      <c r="A105" s="56" t="inlineStr">
        <is>
          <t>lt debt</t>
        </is>
      </c>
      <c r="B105" s="57" t="n">
        <v>2.3</v>
      </c>
      <c r="C105" s="57" t="n">
        <v>4.3</v>
      </c>
      <c r="D105" s="57" t="n">
        <v>4.3</v>
      </c>
      <c r="E105" s="57" t="n">
        <v>1.7</v>
      </c>
      <c r="F105" s="57" t="n">
        <v>3.5</v>
      </c>
    </row>
    <row r="106">
      <c r="A106" s="56" t="inlineStr">
        <is>
          <t>bonds</t>
        </is>
      </c>
      <c r="B106" s="60" t="n"/>
      <c r="C106" s="60" t="n"/>
      <c r="D106" s="60" t="n"/>
      <c r="E106" s="60" t="n"/>
      <c r="F106" s="60" t="n"/>
    </row>
    <row r="107">
      <c r="A107" s="56" t="inlineStr">
        <is>
          <t>합계 liab</t>
        </is>
      </c>
      <c r="B107" s="57" t="n">
        <v>33</v>
      </c>
      <c r="C107" s="57" t="n">
        <v>43.6</v>
      </c>
      <c r="D107" s="57" t="n">
        <v>41.7</v>
      </c>
      <c r="E107" s="57" t="n">
        <v>41.3</v>
      </c>
      <c r="F107" s="57" t="n">
        <v>53.1</v>
      </c>
    </row>
    <row r="108">
      <c r="A108" s="56" t="inlineStr">
        <is>
          <t>capital stock</t>
        </is>
      </c>
      <c r="B108" s="57" t="n">
        <v>0.9</v>
      </c>
      <c r="C108" s="57" t="n">
        <v>0.9</v>
      </c>
      <c r="D108" s="57" t="n">
        <v>0.9</v>
      </c>
      <c r="E108" s="57" t="n">
        <v>0.9</v>
      </c>
      <c r="F108" s="57" t="n">
        <v>0.9</v>
      </c>
    </row>
    <row r="109">
      <c r="A109" s="56" t="inlineStr">
        <is>
          <t>retained</t>
        </is>
      </c>
      <c r="B109" s="57" t="n">
        <v>95.7</v>
      </c>
      <c r="C109" s="57" t="n">
        <v>121.4</v>
      </c>
      <c r="D109" s="57" t="n">
        <v>148.9</v>
      </c>
      <c r="E109" s="57" t="n">
        <v>178.4</v>
      </c>
      <c r="F109" s="57" t="n">
        <v>207.6</v>
      </c>
    </row>
    <row r="110">
      <c r="A110" s="56" t="inlineStr">
        <is>
          <t>nci</t>
        </is>
      </c>
      <c r="B110" s="60" t="n"/>
      <c r="C110" s="60" t="n"/>
      <c r="D110" s="60" t="n"/>
      <c r="E110" s="60" t="n"/>
      <c r="F110" s="60" t="n"/>
    </row>
    <row r="111">
      <c r="A111" s="56" t="inlineStr">
        <is>
          <t>합계 equity</t>
        </is>
      </c>
      <c r="B111" s="57" t="n">
        <v>133.5</v>
      </c>
      <c r="C111" s="57" t="n">
        <v>162.4</v>
      </c>
      <c r="D111" s="57" t="n">
        <v>181.5</v>
      </c>
      <c r="E111" s="57" t="n">
        <v>196.6</v>
      </c>
      <c r="F111" s="57" t="n">
        <v>230.5</v>
      </c>
    </row>
    <row r="112">
      <c r="A112" s="56" t="inlineStr">
        <is>
          <t>current ltd</t>
        </is>
      </c>
      <c r="B112" s="57" t="n">
        <v>3.9</v>
      </c>
      <c r="C112" s="57" t="n">
        <v>3.3</v>
      </c>
      <c r="D112" s="57" t="n">
        <v>3.3</v>
      </c>
      <c r="E112" s="57" t="n">
        <v>2.6</v>
      </c>
      <c r="F112" s="57" t="n">
        <v>2.9</v>
      </c>
    </row>
    <row r="113">
      <c r="A113" s="56" t="inlineStr">
        <is>
          <t>equity owner</t>
        </is>
      </c>
      <c r="B113" s="57" t="n">
        <v>133.5</v>
      </c>
      <c r="C113" s="57" t="n">
        <v>162.4</v>
      </c>
      <c r="D113" s="57" t="n">
        <v>181.5</v>
      </c>
      <c r="E113" s="57" t="n">
        <v>196.6</v>
      </c>
      <c r="F113" s="57" t="n">
        <v>230.5</v>
      </c>
    </row>
    <row r="115">
      <c r="A115" s="54" t="inlineStr">
        <is>
          <t>cf annual</t>
        </is>
      </c>
      <c r="B115" s="54" t="n"/>
      <c r="C115" s="54" t="n"/>
      <c r="D115" s="54" t="n"/>
      <c r="E115" s="54" t="n"/>
      <c r="F115" s="54" t="n"/>
      <c r="G115" s="54" t="n"/>
      <c r="H115" s="54" t="n"/>
    </row>
    <row r="116">
      <c r="A116" s="55" t="inlineStr">
        <is>
          <t>항목</t>
        </is>
      </c>
      <c r="B116" s="55" t="inlineStr">
        <is>
          <t>2022</t>
        </is>
      </c>
      <c r="C116" s="55" t="inlineStr">
        <is>
          <t>2023</t>
        </is>
      </c>
      <c r="D116" s="55" t="inlineStr">
        <is>
          <t>2024</t>
        </is>
      </c>
      <c r="E116" s="55" t="inlineStr">
        <is>
          <t>2025</t>
        </is>
      </c>
      <c r="F116" s="55" t="inlineStr">
        <is>
          <t>2026</t>
        </is>
      </c>
      <c r="H116" s="55" t="inlineStr">
        <is>
          <t>출처</t>
        </is>
      </c>
    </row>
    <row r="117">
      <c r="A117" s="56" t="inlineStr">
        <is>
          <t>labels</t>
        </is>
      </c>
      <c r="B117" s="59" t="n">
        <v>2022</v>
      </c>
      <c r="C117" s="59" t="n">
        <v>2023</v>
      </c>
      <c r="D117" s="59" t="n">
        <v>2024</v>
      </c>
      <c r="E117" s="59" t="n">
        <v>2025</v>
      </c>
      <c r="F117" s="59" t="n">
        <v>2026</v>
      </c>
      <c r="H117" s="58" t="inlineStr">
        <is>
          <t>2단계 보고서 자료(회사 설명회 자료·공시)</t>
        </is>
      </c>
    </row>
    <row r="118">
      <c r="A118" s="56" t="inlineStr">
        <is>
          <t>ocf</t>
        </is>
      </c>
      <c r="B118" s="57" t="n">
        <v>2.4</v>
      </c>
      <c r="C118" s="57" t="n">
        <v>37.7</v>
      </c>
      <c r="D118" s="57" t="n">
        <v>30.2</v>
      </c>
      <c r="E118" s="57" t="n">
        <v>42.5</v>
      </c>
      <c r="F118" s="57" t="n">
        <v>34.3</v>
      </c>
    </row>
    <row r="119">
      <c r="A119" s="56" t="inlineStr">
        <is>
          <t>설비투자</t>
        </is>
      </c>
      <c r="B119" s="57" t="n">
        <v>0.8</v>
      </c>
      <c r="C119" s="57" t="n">
        <v>2.4</v>
      </c>
      <c r="D119" s="57" t="n">
        <v>8</v>
      </c>
      <c r="E119" s="57" t="n">
        <v>3</v>
      </c>
      <c r="F119" s="57" t="n">
        <v>3.4</v>
      </c>
    </row>
    <row r="120">
      <c r="A120" s="56" t="inlineStr">
        <is>
          <t>dividends</t>
        </is>
      </c>
      <c r="B120" s="57" t="n">
        <v>6.4</v>
      </c>
      <c r="C120" s="57" t="n">
        <v>7.3</v>
      </c>
      <c r="D120" s="57" t="n">
        <v>10.2</v>
      </c>
      <c r="E120" s="57" t="n">
        <v>11.2</v>
      </c>
      <c r="F120" s="57" t="n">
        <v>16.1</v>
      </c>
    </row>
    <row r="122">
      <c r="A122" s="54" t="inlineStr">
        <is>
          <t>reactions next day %</t>
        </is>
      </c>
      <c r="B122" s="54" t="n"/>
      <c r="C122" s="54" t="n"/>
      <c r="D122" s="54" t="n"/>
      <c r="E122" s="54" t="n"/>
      <c r="F122" s="54" t="n"/>
      <c r="G122" s="54" t="n"/>
      <c r="H122" s="54" t="n"/>
    </row>
    <row r="123">
      <c r="A123" s="55" t="inlineStr">
        <is>
          <t>항목</t>
        </is>
      </c>
      <c r="B123" s="55" t="inlineStr">
        <is>
          <t>기준일</t>
        </is>
      </c>
      <c r="C123" s="55" t="inlineStr">
        <is>
          <t>다음날</t>
        </is>
      </c>
      <c r="D123" s="55" t="inlineStr">
        <is>
          <t>등락%</t>
        </is>
      </c>
      <c r="H123" s="55" t="inlineStr">
        <is>
          <t>출처</t>
        </is>
      </c>
    </row>
    <row r="124">
      <c r="A124" s="56" t="inlineStr">
        <is>
          <t>2025-01-14</t>
        </is>
      </c>
      <c r="B124" s="60" t="inlineStr">
        <is>
          <t>2025-01-14</t>
        </is>
      </c>
      <c r="C124" s="60" t="inlineStr">
        <is>
          <t>2025-01-15</t>
        </is>
      </c>
      <c r="D124" s="57" t="n">
        <v>-2.1</v>
      </c>
      <c r="H124" s="58" t="inlineStr">
        <is>
          <t>2단계 보고서 자료(회사 설명회 자료·공시)</t>
        </is>
      </c>
    </row>
    <row r="125">
      <c r="A125" s="56" t="inlineStr">
        <is>
          <t>2025-04-14</t>
        </is>
      </c>
      <c r="B125" s="60" t="inlineStr">
        <is>
          <t>2025-04-14</t>
        </is>
      </c>
      <c r="C125" s="60" t="inlineStr">
        <is>
          <t>2025-04-15</t>
        </is>
      </c>
      <c r="D125" s="57" t="n">
        <v>-1.9</v>
      </c>
    </row>
    <row r="126">
      <c r="A126" s="56" t="inlineStr">
        <is>
          <t>2025-10-15</t>
        </is>
      </c>
      <c r="B126" s="60" t="inlineStr">
        <is>
          <t>2025-10-15</t>
        </is>
      </c>
      <c r="C126" s="60" t="inlineStr">
        <is>
          <t>2025-10-16</t>
        </is>
      </c>
      <c r="D126" s="57" t="n">
        <v>-7.7</v>
      </c>
    </row>
    <row r="127">
      <c r="A127" s="56" t="inlineStr">
        <is>
          <t>2026-01-14</t>
        </is>
      </c>
      <c r="B127" s="60" t="inlineStr">
        <is>
          <t>2026-01-14</t>
        </is>
      </c>
      <c r="C127" s="60" t="inlineStr">
        <is>
          <t>2026-01-15</t>
        </is>
      </c>
      <c r="D127" s="57" t="n">
        <v>4.2</v>
      </c>
    </row>
    <row r="128">
      <c r="A128" s="56" t="inlineStr">
        <is>
          <t>2026-04-14</t>
        </is>
      </c>
      <c r="B128" s="60" t="inlineStr">
        <is>
          <t>2026-04-14</t>
        </is>
      </c>
      <c r="C128" s="60" t="inlineStr">
        <is>
          <t>2026-04-15</t>
        </is>
      </c>
      <c r="D128" s="57" t="n">
        <v>3.3</v>
      </c>
    </row>
    <row r="129">
      <c r="A129" s="56" t="inlineStr">
        <is>
          <t>2026-07-15</t>
        </is>
      </c>
      <c r="B129" s="60" t="inlineStr">
        <is>
          <t>2026-07-15</t>
        </is>
      </c>
      <c r="C129" s="60" t="inlineStr">
        <is>
          <t>2026-07-16</t>
        </is>
      </c>
      <c r="D129" s="57" t="n">
        <v>-9</v>
      </c>
    </row>
    <row r="130">
      <c r="A130" s="56" t="inlineStr">
        <is>
          <t>2026-10-15</t>
        </is>
      </c>
      <c r="B130" s="60" t="inlineStr">
        <is>
          <t>2026-10-15</t>
        </is>
      </c>
      <c r="C130" s="60" t="inlineStr">
        <is>
          <t>2026-10-16</t>
        </is>
      </c>
      <c r="D130" s="57" t="n">
        <v>8.9</v>
      </c>
    </row>
    <row r="132">
      <c r="A132" s="54" t="inlineStr">
        <is>
          <t>filings</t>
        </is>
      </c>
      <c r="B132" s="54" t="n"/>
      <c r="C132" s="54" t="n"/>
      <c r="D132" s="54" t="n"/>
      <c r="E132" s="54" t="n"/>
      <c r="F132" s="54" t="n"/>
      <c r="G132" s="54" t="n"/>
      <c r="H132" s="54" t="n"/>
    </row>
    <row r="133">
      <c r="A133" s="55" t="inlineStr">
        <is>
          <t>항목</t>
        </is>
      </c>
      <c r="B133" s="55" t="inlineStr">
        <is>
          <t>title</t>
        </is>
      </c>
      <c r="C133" s="55" t="inlineStr">
        <is>
          <t>doc</t>
        </is>
      </c>
      <c r="H133" s="55" t="inlineStr">
        <is>
          <t>출처</t>
        </is>
      </c>
    </row>
    <row r="134">
      <c r="A134" s="56" t="inlineStr">
        <is>
          <t>2026-10-15</t>
        </is>
      </c>
      <c r="B134" s="60" t="inlineStr">
        <is>
          <t>2026年８月期決算短信〔日本基準〕(連結)</t>
        </is>
      </c>
      <c r="C134" s="60" t="inlineStr">
        <is>
          <t>140120261015551350</t>
        </is>
      </c>
      <c r="H134" s="58" t="inlineStr">
        <is>
          <t>2단계 보고서 자료(회사 설명회 자료·공시)</t>
        </is>
      </c>
    </row>
    <row r="135">
      <c r="A135" s="56" t="inlineStr">
        <is>
          <t>2026-07-15</t>
        </is>
      </c>
      <c r="B135" s="60" t="inlineStr">
        <is>
          <t>2026年８月期第３四半期決算短信〔日本基準〕(連結)</t>
        </is>
      </c>
      <c r="C135" s="60" t="inlineStr">
        <is>
          <t>140120260714593638</t>
        </is>
      </c>
    </row>
    <row r="136">
      <c r="A136" s="56" t="inlineStr">
        <is>
          <t>2026-04-14</t>
        </is>
      </c>
      <c r="B136" s="60" t="inlineStr">
        <is>
          <t>2026年8月期 第2四半期（中間期）決算短信〔日本基準〕（連結）</t>
        </is>
      </c>
      <c r="C136" s="60" t="inlineStr">
        <is>
          <t>140120260413502336</t>
        </is>
      </c>
    </row>
    <row r="137">
      <c r="A137" s="56" t="inlineStr">
        <is>
          <t>2026-01-14</t>
        </is>
      </c>
      <c r="B137" s="60" t="inlineStr">
        <is>
          <t>2026年８月期 第１四半期決算短信〔日本基準〕（連結）</t>
        </is>
      </c>
      <c r="C137" s="60" t="inlineStr">
        <is>
          <t>140120260113532704</t>
        </is>
      </c>
    </row>
    <row r="138">
      <c r="A138" s="56" t="inlineStr">
        <is>
          <t>2025-10-15</t>
        </is>
      </c>
      <c r="B138" s="60" t="inlineStr">
        <is>
          <t>2025年８月期 決算短信〔日本基準〕（連結）</t>
        </is>
      </c>
      <c r="C138" s="60" t="inlineStr">
        <is>
          <t>140120251015573683</t>
        </is>
      </c>
    </row>
    <row r="139">
      <c r="A139" s="56" t="inlineStr">
        <is>
          <t>2025-04-14</t>
        </is>
      </c>
      <c r="B139" s="60" t="inlineStr">
        <is>
          <t>2025年８月期 第２四半期（中間期）決算短信〔日本基準〕（連結）</t>
        </is>
      </c>
      <c r="C139" s="60" t="inlineStr">
        <is>
          <t>140120250411514213</t>
        </is>
      </c>
    </row>
    <row r="140">
      <c r="A140" s="56" t="inlineStr">
        <is>
          <t>2025-01-14</t>
        </is>
      </c>
      <c r="B140" s="60" t="inlineStr">
        <is>
          <t>2025年８月期 第１四半期決算短信〔日本基準〕（連結）</t>
        </is>
      </c>
      <c r="C140" s="60" t="inlineStr">
        <is>
          <t>140120250114550116</t>
        </is>
      </c>
    </row>
    <row r="141">
      <c r="A141" s="56" t="inlineStr">
        <is>
          <t>2024-10-15</t>
        </is>
      </c>
      <c r="B141" s="60" t="inlineStr">
        <is>
          <t>2024年８月期 決算短信〔日本基準〕（連結）</t>
        </is>
      </c>
      <c r="C141" s="60" t="inlineStr">
        <is>
          <t>140120241015598256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2026-10-15</t>
        </is>
      </c>
      <c r="B4" t="inlineStr">
        <is>
          <t>2026년 8월 결산기 연간 결산단신</t>
        </is>
      </c>
      <c r="C4" t="inlineStr">
        <is>
          <t>https://www2.jpx.co.jp/disc/78180/140120261015551350.pdf</t>
        </is>
      </c>
    </row>
    <row r="5">
      <c r="A5" t="inlineStr">
        <is>
          <t>2026-07-15</t>
        </is>
      </c>
      <c r="B5" t="inlineStr">
        <is>
          <t>2026년 8월 결산기 ３분기 결산단신</t>
        </is>
      </c>
      <c r="C5" t="inlineStr">
        <is>
          <t>https://www2.jpx.co.jp/disc/78180/140120260714593638.pdf</t>
        </is>
      </c>
    </row>
    <row r="6">
      <c r="A6" t="inlineStr">
        <is>
          <t>2026-04-14</t>
        </is>
      </c>
      <c r="B6" t="inlineStr">
        <is>
          <t>2026년 8월 결산기 2분기 결산단신</t>
        </is>
      </c>
      <c r="C6" t="inlineStr">
        <is>
          <t>https://www2.jpx.co.jp/disc/78180/140120260413502336.pdf</t>
        </is>
      </c>
    </row>
    <row r="7">
      <c r="A7" t="inlineStr">
        <is>
          <t>2026-01-14</t>
        </is>
      </c>
      <c r="B7" t="inlineStr">
        <is>
          <t>2026년 8월 결산기 １분기 결산단신</t>
        </is>
      </c>
      <c r="C7" t="inlineStr">
        <is>
          <t>https://www2.jpx.co.jp/disc/78180/140120260113532704.pdf</t>
        </is>
      </c>
    </row>
    <row r="8">
      <c r="A8" t="inlineStr">
        <is>
          <t>2025-10-15</t>
        </is>
      </c>
      <c r="B8" t="inlineStr">
        <is>
          <t>2025년 8월 결산기 연간 결산단신</t>
        </is>
      </c>
      <c r="C8" t="inlineStr">
        <is>
          <t>https://www2.jpx.co.jp/disc/78180/140120251015573683.pdf</t>
        </is>
      </c>
    </row>
    <row r="9">
      <c r="A9" t="inlineStr">
        <is>
          <t>2025-04-14</t>
        </is>
      </c>
      <c r="B9" t="inlineStr">
        <is>
          <t>2025년 8월 결산기 ２분기 결산단신</t>
        </is>
      </c>
      <c r="C9" t="inlineStr">
        <is>
          <t>https://www2.jpx.co.jp/disc/78180/140120250411514213.pdf</t>
        </is>
      </c>
    </row>
    <row r="10">
      <c r="A10" t="inlineStr">
        <is>
          <t>2025-01-14</t>
        </is>
      </c>
      <c r="B10" t="inlineStr">
        <is>
          <t>2025년 8월 결산기 １분기 결산단신</t>
        </is>
      </c>
      <c r="C10" t="inlineStr">
        <is>
          <t>https://www2.jpx.co.jp/disc/78180/140120250114550116.pdf</t>
        </is>
      </c>
    </row>
    <row r="11">
      <c r="A11" t="inlineStr">
        <is>
          <t>2024-10-15</t>
        </is>
      </c>
      <c r="B11" t="inlineStr">
        <is>
          <t>2024년 8월 결산기 연간 결산단신</t>
        </is>
      </c>
      <c r="C11" t="inlineStr">
        <is>
          <t>https://www2.jpx.co.jp/disc/78180/140120241015598256.pdf</t>
        </is>
      </c>
    </row>
    <row r="12">
      <c r="A12" t="inlineStr">
        <is>
          <t>2024-07-11</t>
        </is>
      </c>
      <c r="B12" t="inlineStr">
        <is>
          <t>2024년 8월 결산기 ３분기 결산단신</t>
        </is>
      </c>
      <c r="C12" t="inlineStr">
        <is>
          <t>https://www2.jpx.co.jp/disc/78180/140120240711547497.pdf</t>
        </is>
      </c>
    </row>
    <row r="13">
      <c r="A13" t="inlineStr">
        <is>
          <t>2024-04-12</t>
        </is>
      </c>
      <c r="B13" t="inlineStr">
        <is>
          <t>2024년 8월 결산기 ２분기 결산단신</t>
        </is>
      </c>
      <c r="C13" t="inlineStr">
        <is>
          <t>https://www2.jpx.co.jp/disc/78180/140120240412569880.pdf</t>
        </is>
      </c>
    </row>
    <row r="14">
      <c r="A14" t="inlineStr">
        <is>
          <t>2024-01-11</t>
        </is>
      </c>
      <c r="B14" t="inlineStr">
        <is>
          <t>2024년 8월 결산기 １분기 결산단신</t>
        </is>
      </c>
      <c r="C14" t="inlineStr">
        <is>
          <t>https://www2.jpx.co.jp/disc/78180/140120240111513316.pdf</t>
        </is>
      </c>
    </row>
    <row r="15">
      <c r="A15" t="inlineStr">
        <is>
          <t>2023-10-12</t>
        </is>
      </c>
      <c r="B15" t="inlineStr">
        <is>
          <t>2023년 8월 결산기 연간 결산단신</t>
        </is>
      </c>
      <c r="C15" t="inlineStr">
        <is>
          <t>https://www2.jpx.co.jp/disc/78180/140120231012565591.pdf</t>
        </is>
      </c>
    </row>
    <row r="16">
      <c r="A16" t="inlineStr">
        <is>
          <t>2023-07-12</t>
        </is>
      </c>
      <c r="B16" t="inlineStr">
        <is>
          <t>2023년 8월 결산기 ３분기 결산단신</t>
        </is>
      </c>
      <c r="C16" t="inlineStr">
        <is>
          <t>https://www2.jpx.co.jp/disc/78180/140120230712520960.pdf</t>
        </is>
      </c>
    </row>
    <row r="17">
      <c r="A17" t="inlineStr">
        <is>
          <t>2023-04-12</t>
        </is>
      </c>
      <c r="B17" t="inlineStr">
        <is>
          <t>2023년 8월 결산기 ２분기 결산단신</t>
        </is>
      </c>
      <c r="C17" t="inlineStr">
        <is>
          <t>https://www2.jpx.co.jp/disc/78180/140120230412545766.pdf</t>
        </is>
      </c>
    </row>
    <row r="18">
      <c r="A18" t="inlineStr">
        <is>
          <t>2023-01-12</t>
        </is>
      </c>
      <c r="B18" t="inlineStr">
        <is>
          <t>2023년 8월 결산기 １분기 결산단신</t>
        </is>
      </c>
      <c r="C18" t="inlineStr">
        <is>
          <t>https://www2.jpx.co.jp/disc/78180/140120230112588093.pdf</t>
        </is>
      </c>
    </row>
    <row r="19">
      <c r="A19" t="inlineStr">
        <is>
          <t>2022-10-13</t>
        </is>
      </c>
      <c r="B19" t="inlineStr">
        <is>
          <t>2022년 8월 결산기 연간 결산단신</t>
        </is>
      </c>
      <c r="C19" t="inlineStr">
        <is>
          <t>https://www2.jpx.co.jp/disc/78180/140120221013543844.pdf</t>
        </is>
      </c>
    </row>
    <row r="20">
      <c r="A20" t="inlineStr">
        <is>
          <t>2021-10-14</t>
        </is>
      </c>
      <c r="B20" t="inlineStr">
        <is>
          <t>2021년 8월 결산기 연간 결산단신</t>
        </is>
      </c>
      <c r="C20" t="inlineStr">
        <is>
          <t>https://www2.jpx.co.jp/disc/78180/140120211014411100.pdf</t>
        </is>
      </c>
    </row>
    <row r="21">
      <c r="A21" t="inlineStr">
        <is>
          <t>2020-10-14</t>
        </is>
      </c>
      <c r="B21" t="inlineStr">
        <is>
          <t>2020년 8월 결산기 연간 결산단신</t>
        </is>
      </c>
      <c r="C21" t="inlineStr">
        <is>
          <t>https://www2.jpx.co.jp/disc/78180/140120201014403314.pdf</t>
        </is>
      </c>
    </row>
    <row r="22">
      <c r="A22" t="inlineStr">
        <is>
          <t>2019-10-10</t>
        </is>
      </c>
      <c r="B22" t="inlineStr">
        <is>
          <t>2019년 8월 결산기 연간 결산단신</t>
        </is>
      </c>
      <c r="C22" t="inlineStr">
        <is>
          <t>https://www2.jpx.co.jp/disc/78180/140120191010406961.pdf</t>
        </is>
      </c>
    </row>
    <row r="23">
      <c r="A23" t="inlineStr">
        <is>
          <t>2018-10-12</t>
        </is>
      </c>
      <c r="B23" t="inlineStr">
        <is>
          <t>연간 결산단신</t>
        </is>
      </c>
      <c r="C23" t="inlineStr">
        <is>
          <t>https://www2.jpx.co.jp/disc/78180/140120181011416840.pdf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2026-10-28T09:20:02Z</dcterms:created>
  <dcterms:modified xmlns:dcterms="http://purl.org/dc/terms/" xmlns:xsi="http://www.w3.org/2001/XMLSchema-instance" xsi:type="dcterms:W3CDTF">2026-10-28T09:20:02Z</dcterms:modified>
</cp:coreProperties>
</file>