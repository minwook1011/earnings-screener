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9532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483082</v>
      </c>
      <c r="D4" s="12" t="n">
        <v>514454</v>
      </c>
      <c r="E4" s="12" t="n">
        <v>572903</v>
      </c>
      <c r="F4" s="12" t="n">
        <v>470928</v>
      </c>
      <c r="G4" s="12" t="n">
        <v>479182</v>
      </c>
      <c r="H4" s="12" t="n">
        <v>494021</v>
      </c>
      <c r="I4" s="12" t="n">
        <v>624888</v>
      </c>
      <c r="J4" s="12" t="n">
        <v>470993</v>
      </c>
      <c r="K4" s="12" t="n">
        <v>488174</v>
      </c>
      <c r="L4" s="12" t="n">
        <v>479663</v>
      </c>
      <c r="M4" s="12" t="n">
        <v>591472</v>
      </c>
      <c r="N4" s="12" t="n">
        <v>478007</v>
      </c>
      <c r="O4" s="11" t="n">
        <v>1183846</v>
      </c>
      <c r="P4" s="12" t="n">
        <v>1296238</v>
      </c>
      <c r="Q4" s="12" t="n">
        <v>1371863</v>
      </c>
      <c r="R4" s="12" t="n">
        <v>1368689</v>
      </c>
      <c r="S4" s="12" t="n">
        <v>1364106</v>
      </c>
      <c r="T4" s="12" t="n">
        <v>1591120</v>
      </c>
      <c r="U4" s="12" t="n">
        <v>2275113</v>
      </c>
      <c r="V4" s="12" t="n">
        <v>2083050</v>
      </c>
      <c r="W4" s="12" t="n">
        <v>2069019</v>
      </c>
      <c r="X4" s="12" t="n">
        <v>2030302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DomesticEnergyReportableSegmentMember</t>
        </is>
      </c>
      <c r="B7" s="10" t="n"/>
      <c r="C7" s="19" t="n">
        <v>401604</v>
      </c>
      <c r="D7" s="20" t="n">
        <v>436718</v>
      </c>
      <c r="E7" s="20" t="n">
        <v>487662</v>
      </c>
      <c r="F7" s="20" t="n">
        <v>395705</v>
      </c>
      <c r="G7" s="20" t="n">
        <v>392611</v>
      </c>
      <c r="H7" s="20" t="n">
        <v>417746</v>
      </c>
      <c r="I7" s="20" t="n">
        <v>531843</v>
      </c>
      <c r="J7" s="20" t="n">
        <v>382189</v>
      </c>
      <c r="K7" s="20" t="n">
        <v>393682</v>
      </c>
      <c r="L7" s="20" t="n">
        <v>391630</v>
      </c>
      <c r="M7" s="20" t="n">
        <v>475905</v>
      </c>
      <c r="N7" s="20" t="n">
        <v>379734</v>
      </c>
      <c r="O7" s="19" t="n"/>
      <c r="P7" s="20" t="n"/>
      <c r="Q7" s="20" t="n"/>
      <c r="R7" s="20" t="n"/>
      <c r="S7" s="20" t="n"/>
      <c r="T7" s="20" t="n"/>
      <c r="U7" s="20" t="n"/>
      <c r="V7" s="20" t="n">
        <v>1770666</v>
      </c>
      <c r="W7" s="20" t="n">
        <v>1737905</v>
      </c>
      <c r="X7" s="20" t="n">
        <v>1643406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InternationalEnergyReportableSegmentsMember</t>
        </is>
      </c>
      <c r="B10" s="10" t="n"/>
      <c r="C10" s="19" t="n">
        <v>27056</v>
      </c>
      <c r="D10" s="20" t="n">
        <v>30625</v>
      </c>
      <c r="E10" s="20" t="n">
        <v>36711</v>
      </c>
      <c r="F10" s="20" t="n">
        <v>25535</v>
      </c>
      <c r="G10" s="20" t="n">
        <v>33565</v>
      </c>
      <c r="H10" s="20" t="n">
        <v>32592</v>
      </c>
      <c r="I10" s="20" t="n">
        <v>36459</v>
      </c>
      <c r="J10" s="20" t="n">
        <v>34115</v>
      </c>
      <c r="K10" s="20" t="n">
        <v>35403</v>
      </c>
      <c r="L10" s="20" t="n">
        <v>35980</v>
      </c>
      <c r="M10" s="20" t="n">
        <v>38292</v>
      </c>
      <c r="N10" s="20" t="n">
        <v>34308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116448</v>
      </c>
      <c r="W10" s="20" t="n">
        <v>128151</v>
      </c>
      <c r="X10" s="20" t="n">
        <v>143790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LifeAndBusinessSolutionsReportableSegmentsMember</t>
        </is>
      </c>
      <c r="B13" s="10" t="n"/>
      <c r="C13" s="19" t="n">
        <v>74114</v>
      </c>
      <c r="D13" s="20" t="n">
        <v>67233</v>
      </c>
      <c r="E13" s="20" t="n">
        <v>73617</v>
      </c>
      <c r="F13" s="20" t="n">
        <v>63032</v>
      </c>
      <c r="G13" s="20" t="n">
        <v>73570</v>
      </c>
      <c r="H13" s="20" t="n">
        <v>63487</v>
      </c>
      <c r="I13" s="20" t="n">
        <v>82377</v>
      </c>
      <c r="J13" s="20" t="n">
        <v>67282</v>
      </c>
      <c r="K13" s="20" t="n">
        <v>79092</v>
      </c>
      <c r="L13" s="20" t="n">
        <v>71241</v>
      </c>
      <c r="M13" s="20" t="n">
        <v>102224</v>
      </c>
      <c r="N13" s="20" t="n">
        <v>76326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274026</v>
      </c>
      <c r="W13" s="20" t="n">
        <v>282466</v>
      </c>
      <c r="X13" s="20" t="n">
        <v>319839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EntityTotalMember</t>
        </is>
      </c>
      <c r="B16" s="10" t="n"/>
      <c r="C16" s="19" t="n"/>
      <c r="D16" s="20" t="n"/>
      <c r="E16" s="20" t="n"/>
      <c r="F16" s="20" t="n">
        <v>470928</v>
      </c>
      <c r="G16" s="20" t="n"/>
      <c r="H16" s="20" t="n"/>
      <c r="I16" s="20" t="n"/>
      <c r="J16" s="20" t="n">
        <v>470993</v>
      </c>
      <c r="K16" s="20" t="n"/>
      <c r="L16" s="20" t="n"/>
      <c r="M16" s="20" t="n"/>
      <c r="N16" s="20" t="n">
        <v>478007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406449</v>
      </c>
      <c r="D20" s="20" t="n">
        <v>414073</v>
      </c>
      <c r="E20" s="20" t="n">
        <v>466969</v>
      </c>
      <c r="F20" s="20" t="n">
        <v>386680</v>
      </c>
      <c r="G20" s="20" t="n">
        <v>395088</v>
      </c>
      <c r="H20" s="20" t="n">
        <v>391106</v>
      </c>
      <c r="I20" s="20" t="n">
        <v>490567</v>
      </c>
      <c r="J20" s="20" t="n">
        <v>364617</v>
      </c>
      <c r="K20" s="20" t="n">
        <v>387686</v>
      </c>
      <c r="L20" s="20" t="n">
        <v>372230</v>
      </c>
      <c r="M20" s="20" t="n">
        <v>468252</v>
      </c>
      <c r="N20" s="20" t="n">
        <v>387057</v>
      </c>
      <c r="O20" s="19" t="n">
        <v>308842</v>
      </c>
      <c r="P20" s="20" t="n">
        <v>366752</v>
      </c>
      <c r="Q20" s="20" t="n">
        <v>981086</v>
      </c>
      <c r="R20" s="20" t="n">
        <v>961983</v>
      </c>
      <c r="S20" s="20" t="n">
        <v>921777</v>
      </c>
      <c r="T20" s="20" t="n">
        <v>1276354</v>
      </c>
      <c r="U20" s="20" t="n">
        <v>1992892</v>
      </c>
      <c r="V20" s="20" t="n">
        <v>1672681</v>
      </c>
      <c r="W20" s="20" t="n">
        <v>1663441</v>
      </c>
      <c r="X20" s="20" t="n">
        <v>1592785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53565</v>
      </c>
      <c r="D24" s="20" t="n">
        <v>56420</v>
      </c>
      <c r="E24" s="20" t="n">
        <v>74072</v>
      </c>
      <c r="F24" s="20" t="n">
        <v>55498</v>
      </c>
      <c r="G24" s="20" t="n">
        <v>57903</v>
      </c>
      <c r="H24" s="20" t="n">
        <v>58348</v>
      </c>
      <c r="I24" s="20" t="n">
        <v>73097</v>
      </c>
      <c r="J24" s="20" t="n">
        <v>58696</v>
      </c>
      <c r="K24" s="20" t="n">
        <v>58498</v>
      </c>
      <c r="L24" s="20" t="n">
        <v>63354</v>
      </c>
      <c r="M24" s="20" t="n">
        <v>82158</v>
      </c>
      <c r="N24" s="20" t="n">
        <v>59640</v>
      </c>
      <c r="O24" s="19" t="n"/>
      <c r="P24" s="20" t="n"/>
      <c r="Q24" s="20" t="n"/>
      <c r="R24" s="20" t="n"/>
      <c r="S24" s="20" t="n"/>
      <c r="T24" s="20" t="n">
        <v>215564</v>
      </c>
      <c r="U24" s="20" t="n">
        <v>222219</v>
      </c>
      <c r="V24" s="20" t="n">
        <v>237814</v>
      </c>
      <c r="W24" s="20" t="n">
        <v>244846</v>
      </c>
      <c r="X24" s="20" t="n">
        <v>262706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23067</v>
      </c>
      <c r="D25" s="12" t="n">
        <v>43961</v>
      </c>
      <c r="E25" s="12" t="n">
        <v>31861</v>
      </c>
      <c r="F25" s="12" t="n">
        <v>28750</v>
      </c>
      <c r="G25" s="12" t="n">
        <v>26189</v>
      </c>
      <c r="H25" s="12" t="n">
        <v>44568</v>
      </c>
      <c r="I25" s="12" t="n">
        <v>61224</v>
      </c>
      <c r="J25" s="12" t="n">
        <v>47679</v>
      </c>
      <c r="K25" s="12" t="n">
        <v>41990</v>
      </c>
      <c r="L25" s="12" t="n">
        <v>44078</v>
      </c>
      <c r="M25" s="12" t="n">
        <v>41062</v>
      </c>
      <c r="N25" s="12" t="n">
        <v>31309</v>
      </c>
      <c r="O25" s="11" t="n">
        <v>55345</v>
      </c>
      <c r="P25" s="12" t="n">
        <v>47722</v>
      </c>
      <c r="Q25" s="12" t="n">
        <v>67977</v>
      </c>
      <c r="R25" s="12" t="n">
        <v>83792</v>
      </c>
      <c r="S25" s="12" t="n">
        <v>112491</v>
      </c>
      <c r="T25" s="12" t="n">
        <v>99201</v>
      </c>
      <c r="U25" s="12" t="n">
        <v>60001</v>
      </c>
      <c r="V25" s="12" t="n">
        <v>172553</v>
      </c>
      <c r="W25" s="12" t="n">
        <v>160731</v>
      </c>
      <c r="X25" s="12" t="n">
        <v>174809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/>
      <c r="D41" s="20" t="n"/>
      <c r="E41" s="20" t="n">
        <v>0</v>
      </c>
      <c r="F41" s="20" t="n">
        <v>0</v>
      </c>
      <c r="G41" s="20" t="n">
        <v>0</v>
      </c>
      <c r="H41" s="20" t="n">
        <v>0</v>
      </c>
      <c r="I41" s="20" t="n">
        <v>25406</v>
      </c>
      <c r="J41" s="20" t="n">
        <v>6790</v>
      </c>
      <c r="K41" s="20" t="n">
        <v>12152</v>
      </c>
      <c r="L41" s="20" t="n">
        <v>2508</v>
      </c>
      <c r="M41" s="20" t="n">
        <v>316</v>
      </c>
      <c r="N41" s="20" t="n">
        <v>0</v>
      </c>
      <c r="O41" s="19" t="n"/>
      <c r="P41" s="20" t="n">
        <v>0</v>
      </c>
      <c r="Q41" s="20" t="n">
        <v>6999</v>
      </c>
      <c r="R41" s="20" t="n">
        <v>0</v>
      </c>
      <c r="S41" s="20" t="n">
        <v>0</v>
      </c>
      <c r="T41" s="20" t="n">
        <v>23825</v>
      </c>
      <c r="U41" s="20" t="n">
        <v>17418</v>
      </c>
      <c r="V41" s="20" t="n">
        <v>0</v>
      </c>
      <c r="W41" s="20" t="n">
        <v>25406</v>
      </c>
      <c r="X41" s="20" t="n">
        <v>21766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/>
      <c r="D43" s="20" t="n">
        <v>0</v>
      </c>
      <c r="E43" s="20" t="n">
        <v>30546</v>
      </c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>
        <v>4680</v>
      </c>
      <c r="P43" s="20" t="n">
        <v>0</v>
      </c>
      <c r="Q43" s="20" t="n">
        <v>11038</v>
      </c>
      <c r="R43" s="20" t="n">
        <v>15568</v>
      </c>
      <c r="S43" s="20" t="n">
        <v>19016</v>
      </c>
      <c r="T43" s="20" t="n">
        <v>18349</v>
      </c>
      <c r="U43" s="20" t="n">
        <v>9357</v>
      </c>
      <c r="V43" s="20" t="n">
        <v>30546</v>
      </c>
      <c r="W43" s="20" t="n">
        <v>25803</v>
      </c>
      <c r="X43" s="20" t="n">
        <v>23396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21296</v>
      </c>
      <c r="D45" s="20" t="n">
        <v>12282</v>
      </c>
      <c r="E45" s="20" t="n">
        <v>28953</v>
      </c>
      <c r="F45" s="20" t="n">
        <v>19678</v>
      </c>
      <c r="G45" s="20" t="n">
        <v>8768</v>
      </c>
      <c r="H45" s="20" t="n">
        <v>16682</v>
      </c>
      <c r="I45" s="20" t="n">
        <v>9149</v>
      </c>
      <c r="J45" s="20" t="n">
        <v>19375</v>
      </c>
      <c r="K45" s="20" t="n">
        <v>9244</v>
      </c>
      <c r="L45" s="20" t="n">
        <v>17608</v>
      </c>
      <c r="M45" s="20" t="n">
        <v>8408</v>
      </c>
      <c r="N45" s="20" t="n">
        <v>25355</v>
      </c>
      <c r="O45" s="19" t="n">
        <v>25489</v>
      </c>
      <c r="P45" s="20" t="n">
        <v>19227</v>
      </c>
      <c r="Q45" s="20" t="n">
        <v>14600</v>
      </c>
      <c r="R45" s="20" t="n">
        <v>24746</v>
      </c>
      <c r="S45" s="20" t="n">
        <v>32941</v>
      </c>
      <c r="T45" s="20" t="n">
        <v>32767</v>
      </c>
      <c r="U45" s="20" t="n">
        <v>38950</v>
      </c>
      <c r="V45" s="20" t="n">
        <v>78305</v>
      </c>
      <c r="W45" s="20" t="n">
        <v>54277</v>
      </c>
      <c r="X45" s="20" t="n">
        <v>54635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3184</v>
      </c>
      <c r="D47" s="20" t="n">
        <v>5523</v>
      </c>
      <c r="E47" s="20" t="n">
        <v>8822</v>
      </c>
      <c r="F47" s="20" t="n">
        <v>4755</v>
      </c>
      <c r="G47" s="20" t="n">
        <v>6762</v>
      </c>
      <c r="H47" s="20" t="n">
        <v>7592</v>
      </c>
      <c r="I47" s="20" t="n">
        <v>6252</v>
      </c>
      <c r="J47" s="20" t="n">
        <v>7713</v>
      </c>
      <c r="K47" s="20" t="n">
        <v>5114</v>
      </c>
      <c r="L47" s="20" t="n">
        <v>3995</v>
      </c>
      <c r="M47" s="20" t="n">
        <v>8100</v>
      </c>
      <c r="N47" s="20" t="n">
        <v>6415</v>
      </c>
      <c r="O47" s="19" t="n">
        <v>10561</v>
      </c>
      <c r="P47" s="20" t="n">
        <v>8749</v>
      </c>
      <c r="Q47" s="20" t="n">
        <v>19474</v>
      </c>
      <c r="R47" s="20" t="n">
        <v>22520</v>
      </c>
      <c r="S47" s="20" t="n">
        <v>17680</v>
      </c>
      <c r="T47" s="20" t="n">
        <v>18443</v>
      </c>
      <c r="U47" s="20" t="n">
        <v>23302</v>
      </c>
      <c r="V47" s="20" t="n">
        <v>24295</v>
      </c>
      <c r="W47" s="20" t="n">
        <v>25361</v>
      </c>
      <c r="X47" s="20" t="n">
        <v>24922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41179</v>
      </c>
      <c r="D49" s="12" t="n">
        <v>50720</v>
      </c>
      <c r="E49" s="12" t="n">
        <v>21446</v>
      </c>
      <c r="F49" s="12" t="n">
        <v>43673</v>
      </c>
      <c r="G49" s="12" t="n">
        <v>28196</v>
      </c>
      <c r="H49" s="12" t="n">
        <v>53657</v>
      </c>
      <c r="I49" s="12" t="n">
        <v>63724</v>
      </c>
      <c r="J49" s="12" t="n">
        <v>66131</v>
      </c>
      <c r="K49" s="12" t="n">
        <v>58272</v>
      </c>
      <c r="L49" s="12" t="n">
        <v>60199</v>
      </c>
      <c r="M49" s="12" t="n">
        <v>18290</v>
      </c>
      <c r="N49" s="12" t="n">
        <v>50248</v>
      </c>
      <c r="O49" s="11" t="n">
        <v>70273</v>
      </c>
      <c r="P49" s="12" t="n">
        <v>58200</v>
      </c>
      <c r="Q49" s="12" t="n">
        <v>52064</v>
      </c>
      <c r="R49" s="12" t="n">
        <v>70449</v>
      </c>
      <c r="S49" s="12" t="n">
        <v>108735</v>
      </c>
      <c r="T49" s="12" t="n">
        <v>119002</v>
      </c>
      <c r="U49" s="12" t="n">
        <v>83710</v>
      </c>
      <c r="V49" s="12" t="n">
        <v>196017</v>
      </c>
      <c r="W49" s="12" t="n">
        <v>189250</v>
      </c>
      <c r="X49" s="12" t="n">
        <v>202892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11988</v>
      </c>
      <c r="D50" s="20" t="n">
        <v>13209</v>
      </c>
      <c r="E50" s="20" t="n">
        <v>14502</v>
      </c>
      <c r="F50" s="20" t="n">
        <v>12379</v>
      </c>
      <c r="G50" s="20" t="n">
        <v>8396</v>
      </c>
      <c r="H50" s="20" t="n">
        <v>13965</v>
      </c>
      <c r="I50" s="20" t="n">
        <v>19456</v>
      </c>
      <c r="J50" s="20" t="n">
        <v>17776</v>
      </c>
      <c r="K50" s="20" t="n">
        <v>12175</v>
      </c>
      <c r="L50" s="20" t="n">
        <v>14501</v>
      </c>
      <c r="M50" s="20" t="n">
        <v>5710</v>
      </c>
      <c r="N50" s="20" t="n">
        <v>14218</v>
      </c>
      <c r="O50" s="19" t="n">
        <v>15613</v>
      </c>
      <c r="P50" s="20" t="n">
        <v>14171</v>
      </c>
      <c r="Q50" s="20" t="n">
        <v>15522</v>
      </c>
      <c r="R50" s="20" t="n">
        <v>27507</v>
      </c>
      <c r="S50" s="20" t="n">
        <v>24891</v>
      </c>
      <c r="T50" s="20" t="n">
        <v>-16832</v>
      </c>
      <c r="U50" s="20" t="n">
        <v>25151</v>
      </c>
      <c r="V50" s="20" t="n">
        <v>61889</v>
      </c>
      <c r="W50" s="20" t="n">
        <v>54196</v>
      </c>
      <c r="X50" s="20" t="n">
        <v>50162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29190</v>
      </c>
      <c r="D52" s="12" t="n">
        <v>37511</v>
      </c>
      <c r="E52" s="12" t="n">
        <v>6944</v>
      </c>
      <c r="F52" s="12" t="n">
        <v>31293</v>
      </c>
      <c r="G52" s="12" t="n">
        <v>19800</v>
      </c>
      <c r="H52" s="12" t="n">
        <v>39692</v>
      </c>
      <c r="I52" s="12" t="n">
        <v>44269</v>
      </c>
      <c r="J52" s="12" t="n">
        <v>48355</v>
      </c>
      <c r="K52" s="12" t="n">
        <v>46096</v>
      </c>
      <c r="L52" s="12" t="n">
        <v>45698</v>
      </c>
      <c r="M52" s="12" t="n">
        <v>12580</v>
      </c>
      <c r="N52" s="12" t="n">
        <v>36030</v>
      </c>
      <c r="O52" s="11" t="n">
        <v>54659</v>
      </c>
      <c r="P52" s="12" t="n">
        <v>44028</v>
      </c>
      <c r="Q52" s="12" t="n">
        <v>36542</v>
      </c>
      <c r="R52" s="12" t="n">
        <v>42942</v>
      </c>
      <c r="S52" s="12" t="n">
        <v>83844</v>
      </c>
      <c r="T52" s="12" t="n">
        <v>135834</v>
      </c>
      <c r="U52" s="12" t="n">
        <v>58558</v>
      </c>
      <c r="V52" s="12" t="n">
        <v>134127</v>
      </c>
      <c r="W52" s="12" t="n">
        <v>135054</v>
      </c>
      <c r="X52" s="12" t="n">
        <v>152729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28791</v>
      </c>
      <c r="D53" s="12" t="n">
        <v>37054</v>
      </c>
      <c r="E53" s="12" t="n">
        <v>6274</v>
      </c>
      <c r="F53" s="12" t="n">
        <v>30789</v>
      </c>
      <c r="G53" s="12" t="n">
        <v>20008</v>
      </c>
      <c r="H53" s="12" t="n">
        <v>40085</v>
      </c>
      <c r="I53" s="12" t="n">
        <v>43532</v>
      </c>
      <c r="J53" s="12" t="n">
        <v>48521</v>
      </c>
      <c r="K53" s="12" t="n">
        <v>46334</v>
      </c>
      <c r="L53" s="12" t="n">
        <v>45544</v>
      </c>
      <c r="M53" s="12" t="n">
        <v>12352</v>
      </c>
      <c r="N53" s="12" t="n">
        <v>35680</v>
      </c>
      <c r="O53" s="11" t="n">
        <v>61271</v>
      </c>
      <c r="P53" s="12" t="n">
        <v>37724</v>
      </c>
      <c r="Q53" s="12" t="n">
        <v>33601</v>
      </c>
      <c r="R53" s="12" t="n">
        <v>41788</v>
      </c>
      <c r="S53" s="12" t="n">
        <v>80857</v>
      </c>
      <c r="T53" s="12" t="n">
        <v>130421</v>
      </c>
      <c r="U53" s="12" t="n">
        <v>57110</v>
      </c>
      <c r="V53" s="12" t="n">
        <v>132679</v>
      </c>
      <c r="W53" s="12" t="n">
        <v>134414</v>
      </c>
      <c r="X53" s="12" t="n">
        <v>152751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(2026.10.26)</t>
        </is>
      </c>
      <c r="B56" s="27" t="n">
        <v>5962</v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>
        <v>383176500</v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 2026.10.26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2024.2Q</t>
        </is>
      </c>
      <c r="D86" s="5" t="inlineStr">
        <is>
          <t>2024.3Q</t>
        </is>
      </c>
      <c r="E86" s="5" t="inlineStr">
        <is>
          <t>2024.4Q</t>
        </is>
      </c>
      <c r="F86" s="5" t="inlineStr">
        <is>
          <t>2025.1Q</t>
        </is>
      </c>
      <c r="G86" s="5" t="inlineStr">
        <is>
          <t>2025.2Q</t>
        </is>
      </c>
      <c r="H86" s="5" t="inlineStr">
        <is>
          <t>2025.3Q</t>
        </is>
      </c>
      <c r="I86" s="5" t="inlineStr">
        <is>
          <t>2025.4Q</t>
        </is>
      </c>
      <c r="J86" s="5" t="inlineStr">
        <is>
          <t>2026.1Q</t>
        </is>
      </c>
      <c r="K86" s="5" t="inlineStr">
        <is>
          <t>2026.2Q</t>
        </is>
      </c>
      <c r="L86" s="5" t="inlineStr">
        <is>
          <t>2026.3Q</t>
        </is>
      </c>
      <c r="M86" s="5" t="inlineStr">
        <is>
          <t>2026.4Q</t>
        </is>
      </c>
      <c r="N86" s="5" t="inlineStr">
        <is>
          <t>2027.1Q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483082</v>
      </c>
      <c r="D87" s="12" t="n">
        <v>514454</v>
      </c>
      <c r="E87" s="12" t="n">
        <v>572903</v>
      </c>
      <c r="F87" s="12" t="n">
        <v>470928</v>
      </c>
      <c r="G87" s="12" t="n">
        <v>479182</v>
      </c>
      <c r="H87" s="12" t="n">
        <v>494021</v>
      </c>
      <c r="I87" s="12" t="n">
        <v>624888</v>
      </c>
      <c r="J87" s="12" t="n">
        <v>470993</v>
      </c>
      <c r="K87" s="12" t="n">
        <v>488174</v>
      </c>
      <c r="L87" s="12" t="n">
        <v>479663</v>
      </c>
      <c r="M87" s="12" t="n">
        <v>591472</v>
      </c>
      <c r="N87" s="12" t="n">
        <v>478007</v>
      </c>
      <c r="T87" s="12" t="n">
        <v>532053</v>
      </c>
      <c r="U87" s="12" t="n">
        <v>678588</v>
      </c>
      <c r="V87" s="12" t="n">
        <v>572903</v>
      </c>
      <c r="W87" s="12" t="n">
        <v>624888</v>
      </c>
      <c r="X87" s="12" t="n">
        <v>591472</v>
      </c>
    </row>
    <row r="88">
      <c r="A88" s="43" t="inlineStr">
        <is>
          <t>YoY</t>
        </is>
      </c>
      <c r="B88" s="3" t="inlineStr">
        <is>
          <t>전년 같은 분기·전년 대비</t>
        </is>
      </c>
      <c r="G88" s="15">
        <f>IF(OR(G87="",C87=""),"",IF(C87&lt;=0,"",IFERROR(G87/C87-1,"")))</f>
        <v/>
      </c>
      <c r="H88" s="15">
        <f>IF(OR(H87="",D87=""),"",IF(D87&lt;=0,"",IFERROR(H87/D87-1,"")))</f>
        <v/>
      </c>
      <c r="I88" s="15">
        <f>IF(OR(I87="",E87=""),"",IF(E87&lt;=0,"",IFERROR(I87/E87-1,"")))</f>
        <v/>
      </c>
      <c r="J88" s="15">
        <f>IF(OR(J87="",F87=""),"",IF(F87&lt;=0,"",IFERROR(J87/F87-1,"")))</f>
        <v/>
      </c>
      <c r="K88" s="15">
        <f>IF(OR(K87="",G87=""),"",IF(G87&lt;=0,"",IFERROR(K87/G87-1,"")))</f>
        <v/>
      </c>
      <c r="L88" s="15">
        <f>IF(OR(L87="",H87=""),"",IF(H87&lt;=0,"",IFERROR(L87/H87-1,"")))</f>
        <v/>
      </c>
      <c r="M88" s="15">
        <f>IF(OR(M87="",I87=""),"",IF(I87&lt;=0,"",IFERROR(M87/I87-1,"")))</f>
        <v/>
      </c>
      <c r="N88" s="15">
        <f>IF(OR(N87="",J87=""),"",IF(J87&lt;=0,"",IFERROR(N87/J87-1,"")))</f>
        <v/>
      </c>
      <c r="T88" s="15">
        <f>IF(OR(T87="",S87=""),"",IF(S87&lt;=0,"",IFERROR(T87/S87-1,"")))</f>
        <v/>
      </c>
      <c r="U88" s="15">
        <f>IF(OR(U87="",T87=""),"",IF(T87&lt;=0,"",IFERROR(U87/T87-1,"")))</f>
        <v/>
      </c>
      <c r="V88" s="15">
        <f>IF(OR(V87="",U87=""),"",IF(U87&lt;=0,"",IFERROR(V87/U87-1,"")))</f>
        <v/>
      </c>
      <c r="W88" s="15">
        <f>IF(OR(W87="",V87=""),"",IF(V87&lt;=0,"",IFERROR(W87/V87-1,"")))</f>
        <v/>
      </c>
      <c r="X88" s="15">
        <f>IF(OR(X87="",W87=""),"",IF(W87&lt;=0,"",IFERROR(X87/W87-1,"")))</f>
        <v/>
      </c>
    </row>
    <row r="89">
      <c r="A89" s="18" t="inlineStr">
        <is>
          <t>매출원가</t>
        </is>
      </c>
      <c r="C89" s="20" t="n">
        <v>406449</v>
      </c>
      <c r="D89" s="20" t="n">
        <v>414073</v>
      </c>
      <c r="E89" s="20" t="n">
        <v>466969</v>
      </c>
      <c r="F89" s="20" t="n">
        <v>386680</v>
      </c>
      <c r="G89" s="20" t="n">
        <v>395088</v>
      </c>
      <c r="H89" s="20" t="n">
        <v>391106</v>
      </c>
      <c r="I89" s="20" t="n">
        <v>490567</v>
      </c>
      <c r="J89" s="20" t="n">
        <v>364617</v>
      </c>
      <c r="K89" s="20" t="n">
        <v>387686</v>
      </c>
      <c r="L89" s="20" t="n">
        <v>372230</v>
      </c>
      <c r="M89" s="20" t="n">
        <v>468252</v>
      </c>
      <c r="N89" s="20" t="n">
        <v>387057</v>
      </c>
      <c r="T89" s="20" t="n">
        <v>418006</v>
      </c>
      <c r="U89" s="20" t="n">
        <v>524009</v>
      </c>
      <c r="V89" s="20" t="n">
        <v>466969</v>
      </c>
      <c r="W89" s="20" t="n">
        <v>490567</v>
      </c>
      <c r="X89" s="20" t="n">
        <v>468252</v>
      </c>
    </row>
    <row r="90">
      <c r="A90" s="9" t="inlineStr">
        <is>
          <t>매출총이익</t>
        </is>
      </c>
      <c r="C90" s="12" t="n">
        <v>76632</v>
      </c>
      <c r="D90" s="12" t="n">
        <v>100381</v>
      </c>
      <c r="E90" s="12" t="n">
        <v>105934</v>
      </c>
      <c r="F90" s="12" t="n">
        <v>84248</v>
      </c>
      <c r="G90" s="12" t="n">
        <v>84093</v>
      </c>
      <c r="H90" s="12" t="n">
        <v>102915</v>
      </c>
      <c r="I90" s="12" t="n">
        <v>134321</v>
      </c>
      <c r="J90" s="12" t="n">
        <v>106376</v>
      </c>
      <c r="K90" s="12" t="n">
        <v>100487</v>
      </c>
      <c r="L90" s="12" t="n">
        <v>107433</v>
      </c>
      <c r="M90" s="12" t="n">
        <v>123220</v>
      </c>
      <c r="N90" s="12" t="n">
        <v>90949</v>
      </c>
      <c r="T90" s="12" t="n">
        <v>114048</v>
      </c>
      <c r="U90" s="12" t="n">
        <v>154579</v>
      </c>
      <c r="V90" s="12" t="n">
        <v>105934</v>
      </c>
      <c r="W90" s="12" t="n">
        <v>134321</v>
      </c>
      <c r="X90" s="12" t="n">
        <v>123220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판매비와 관리비</t>
        </is>
      </c>
      <c r="C92" s="20" t="n">
        <v>53565</v>
      </c>
      <c r="D92" s="20" t="n">
        <v>56420</v>
      </c>
      <c r="E92" s="20" t="n">
        <v>74072</v>
      </c>
      <c r="F92" s="20" t="n">
        <v>55498</v>
      </c>
      <c r="G92" s="20" t="n">
        <v>57903</v>
      </c>
      <c r="H92" s="20" t="n">
        <v>58348</v>
      </c>
      <c r="I92" s="20" t="n">
        <v>73097</v>
      </c>
      <c r="J92" s="20" t="n">
        <v>58696</v>
      </c>
      <c r="K92" s="20" t="n">
        <v>58498</v>
      </c>
      <c r="L92" s="20" t="n">
        <v>63354</v>
      </c>
      <c r="M92" s="20" t="n">
        <v>82158</v>
      </c>
      <c r="N92" s="20" t="n">
        <v>59640</v>
      </c>
      <c r="T92" s="20" t="n">
        <v>72862</v>
      </c>
      <c r="U92" s="20" t="n">
        <v>79650</v>
      </c>
      <c r="V92" s="20" t="n">
        <v>74072</v>
      </c>
      <c r="W92" s="20" t="n">
        <v>73097</v>
      </c>
      <c r="X92" s="20" t="n">
        <v>82158</v>
      </c>
    </row>
    <row r="93">
      <c r="A93" s="9" t="inlineStr">
        <is>
          <t>영업이익</t>
        </is>
      </c>
      <c r="C93" s="12" t="n">
        <v>23067</v>
      </c>
      <c r="D93" s="12" t="n">
        <v>43961</v>
      </c>
      <c r="E93" s="12" t="n">
        <v>31861</v>
      </c>
      <c r="F93" s="12" t="n">
        <v>28750</v>
      </c>
      <c r="G93" s="12" t="n">
        <v>26189</v>
      </c>
      <c r="H93" s="12" t="n">
        <v>44568</v>
      </c>
      <c r="I93" s="12" t="n">
        <v>61224</v>
      </c>
      <c r="J93" s="12" t="n">
        <v>47679</v>
      </c>
      <c r="K93" s="12" t="n">
        <v>41990</v>
      </c>
      <c r="L93" s="12" t="n">
        <v>44078</v>
      </c>
      <c r="M93" s="12" t="n">
        <v>41062</v>
      </c>
      <c r="N93" s="12" t="n">
        <v>31309</v>
      </c>
      <c r="T93" s="12" t="n">
        <v>41185</v>
      </c>
      <c r="U93" s="12" t="n">
        <v>74927</v>
      </c>
      <c r="V93" s="12" t="n">
        <v>31861</v>
      </c>
      <c r="W93" s="12" t="n">
        <v>61224</v>
      </c>
      <c r="X93" s="12" t="n">
        <v>41062</v>
      </c>
    </row>
    <row r="94">
      <c r="A94" s="43" t="inlineStr">
        <is>
          <t>OPM</t>
        </is>
      </c>
      <c r="B94" s="3" t="inlineStr">
        <is>
          <t>영업이익 ÷ 매출</t>
        </is>
      </c>
      <c r="C94" s="15">
        <f>IF(OR(C93="",C87=""),"",IF(C87&lt;=0,"",IFERROR(C93/C87,"")))</f>
        <v/>
      </c>
      <c r="D94" s="15">
        <f>IF(OR(D93="",D87=""),"",IF(D87&lt;=0,"",IFERROR(D93/D87,"")))</f>
        <v/>
      </c>
      <c r="E94" s="15">
        <f>IF(OR(E93="",E87=""),"",IF(E87&lt;=0,"",IFERROR(E93/E87,"")))</f>
        <v/>
      </c>
      <c r="F94" s="15">
        <f>IF(OR(F93="",F87=""),"",IF(F87&lt;=0,"",IFERROR(F93/F87,"")))</f>
        <v/>
      </c>
      <c r="G94" s="15">
        <f>IF(OR(G93="",G87=""),"",IF(G87&lt;=0,"",IFERROR(G93/G87,"")))</f>
        <v/>
      </c>
      <c r="H94" s="15">
        <f>IF(OR(H93="",H87=""),"",IF(H87&lt;=0,"",IFERROR(H93/H87,"")))</f>
        <v/>
      </c>
      <c r="I94" s="15">
        <f>IF(OR(I93="",I87=""),"",IF(I87&lt;=0,"",IFERROR(I93/I87,"")))</f>
        <v/>
      </c>
      <c r="J94" s="15">
        <f>IF(OR(J93="",J87=""),"",IF(J87&lt;=0,"",IFERROR(J93/J87,"")))</f>
        <v/>
      </c>
      <c r="K94" s="15">
        <f>IF(OR(K93="",K87=""),"",IF(K87&lt;=0,"",IFERROR(K93/K87,"")))</f>
        <v/>
      </c>
      <c r="L94" s="15">
        <f>IF(OR(L93="",L87=""),"",IF(L87&lt;=0,"",IFERROR(L93/L87,"")))</f>
        <v/>
      </c>
      <c r="M94" s="15">
        <f>IF(OR(M93="",M87=""),"",IF(M87&lt;=0,"",IFERROR(M93/M87,"")))</f>
        <v/>
      </c>
      <c r="N94" s="15">
        <f>IF(OR(N93="",N87=""),"",IF(N87&lt;=0,"",IFERROR(N93/N87,"")))</f>
        <v/>
      </c>
      <c r="T94" s="15">
        <f>IF(OR(T93="",T87=""),"",IF(T87&lt;=0,"",IFERROR(T93/T87,"")))</f>
        <v/>
      </c>
      <c r="U94" s="15">
        <f>IF(OR(U93="",U87=""),"",IF(U87&lt;=0,"",IFERROR(U93/U87,"")))</f>
        <v/>
      </c>
      <c r="V94" s="15">
        <f>IF(OR(V93="",V87=""),"",IF(V87&lt;=0,"",IFERROR(V93/V87,"")))</f>
        <v/>
      </c>
      <c r="W94" s="15">
        <f>IF(OR(W93="",W87=""),"",IF(W87&lt;=0,"",IFERROR(W93/W87,"")))</f>
        <v/>
      </c>
      <c r="X94" s="15">
        <f>IF(OR(X93="",X87=""),"",IF(X87&lt;=0,"",IFERROR(X93/X87,"")))</f>
        <v/>
      </c>
    </row>
    <row r="95">
      <c r="A95" s="43" t="inlineStr">
        <is>
          <t>YoY</t>
        </is>
      </c>
      <c r="B95" s="3" t="inlineStr">
        <is>
          <t>전년 같은 분기·전년 대비</t>
        </is>
      </c>
      <c r="G95" s="15">
        <f>IF(OR(G93="",C93=""),"",IF(C93&lt;=0,"",IFERROR(G93/C93-1,"")))</f>
        <v/>
      </c>
      <c r="H95" s="15">
        <f>IF(OR(H93="",D93=""),"",IF(D93&lt;=0,"",IFERROR(H93/D93-1,"")))</f>
        <v/>
      </c>
      <c r="I95" s="15">
        <f>IF(OR(I93="",E93=""),"",IF(E93&lt;=0,"",IFERROR(I93/E93-1,"")))</f>
        <v/>
      </c>
      <c r="J95" s="15">
        <f>IF(OR(J93="",F93=""),"",IF(F93&lt;=0,"",IFERROR(J93/F93-1,"")))</f>
        <v/>
      </c>
      <c r="K95" s="15">
        <f>IF(OR(K93="",G93=""),"",IF(G93&lt;=0,"",IFERROR(K93/G93-1,"")))</f>
        <v/>
      </c>
      <c r="L95" s="15">
        <f>IF(OR(L93="",H93=""),"",IF(H93&lt;=0,"",IFERROR(L93/H93-1,"")))</f>
        <v/>
      </c>
      <c r="M95" s="15">
        <f>IF(OR(M93="",I93=""),"",IF(I93&lt;=0,"",IFERROR(M93/I93-1,"")))</f>
        <v/>
      </c>
      <c r="N95" s="15">
        <f>IF(OR(N93="",J93=""),"",IF(J93&lt;=0,"",IFERROR(N93/J93-1,"")))</f>
        <v/>
      </c>
      <c r="T95" s="15">
        <f>IF(OR(T93="",S93=""),"",IF(S93&lt;=0,"",IFERROR(T93/S93-1,"")))</f>
        <v/>
      </c>
      <c r="U95" s="15">
        <f>IF(OR(U93="",T93=""),"",IF(T93&lt;=0,"",IFERROR(U93/T93-1,"")))</f>
        <v/>
      </c>
      <c r="V95" s="15">
        <f>IF(OR(V93="",U93=""),"",IF(U93&lt;=0,"",IFERROR(V93/U93-1,"")))</f>
        <v/>
      </c>
      <c r="W95" s="15">
        <f>IF(OR(W93="",V93=""),"",IF(V93&lt;=0,"",IFERROR(W93/V93-1,"")))</f>
        <v/>
      </c>
      <c r="X95" s="15">
        <f>IF(OR(X93="",W93=""),"",IF(W93&lt;=0,"",IFERROR(X93/W93-1,"")))</f>
        <v/>
      </c>
    </row>
    <row r="96">
      <c r="A96" s="18" t="inlineStr">
        <is>
          <t>이자수익</t>
        </is>
      </c>
      <c r="C96" s="20" t="n">
        <v>3904</v>
      </c>
      <c r="D96" s="20" t="n">
        <v>2030</v>
      </c>
      <c r="E96" s="20" t="n">
        <v>2965</v>
      </c>
      <c r="F96" s="20" t="n">
        <v>2177</v>
      </c>
      <c r="G96" s="20" t="n">
        <v>3325</v>
      </c>
      <c r="H96" s="20" t="n">
        <v>2928</v>
      </c>
      <c r="I96" s="20" t="n">
        <v>3590</v>
      </c>
      <c r="J96" s="20" t="n">
        <v>2929</v>
      </c>
      <c r="K96" s="20" t="n">
        <v>3268</v>
      </c>
      <c r="L96" s="20" t="n">
        <v>3303</v>
      </c>
      <c r="M96" s="20" t="n">
        <v>3339</v>
      </c>
      <c r="N96" s="20" t="n">
        <v>3093</v>
      </c>
      <c r="T96" s="20" t="n">
        <v>523</v>
      </c>
      <c r="U96" s="20" t="n">
        <v>1874</v>
      </c>
      <c r="V96" s="20" t="n">
        <v>2965</v>
      </c>
      <c r="W96" s="20" t="n">
        <v>3590</v>
      </c>
      <c r="X96" s="20" t="n">
        <v>3339</v>
      </c>
    </row>
    <row r="97">
      <c r="A97" s="18" t="inlineStr">
        <is>
          <t>배당금수익</t>
        </is>
      </c>
      <c r="C97" s="20" t="n">
        <v>1186</v>
      </c>
      <c r="D97" s="20" t="n">
        <v>999</v>
      </c>
      <c r="E97" s="20" t="n">
        <v>518</v>
      </c>
      <c r="F97" s="20" t="n">
        <v>1744</v>
      </c>
      <c r="G97" s="20" t="n">
        <v>2809</v>
      </c>
      <c r="H97" s="20" t="n">
        <v>2056</v>
      </c>
      <c r="I97" s="20" t="n">
        <v>107</v>
      </c>
      <c r="J97" s="20" t="n">
        <v>2028</v>
      </c>
      <c r="K97" s="20" t="n">
        <v>1013</v>
      </c>
      <c r="L97" s="20" t="n">
        <v>1582</v>
      </c>
      <c r="M97" s="20" t="n">
        <v>320</v>
      </c>
      <c r="N97" s="20" t="n">
        <v>2748</v>
      </c>
      <c r="T97" s="20" t="n">
        <v>347</v>
      </c>
      <c r="U97" s="20" t="n">
        <v>247</v>
      </c>
      <c r="V97" s="20" t="n">
        <v>518</v>
      </c>
      <c r="W97" s="20" t="n">
        <v>107</v>
      </c>
      <c r="X97" s="20" t="n">
        <v>320</v>
      </c>
    </row>
    <row r="98">
      <c r="A98" s="18" t="inlineStr">
        <is>
          <t>지분법이익</t>
        </is>
      </c>
      <c r="C98" s="20" t="n">
        <v>6429</v>
      </c>
      <c r="D98" s="20" t="n">
        <v>9646</v>
      </c>
      <c r="E98" s="20" t="n">
        <v>11429</v>
      </c>
      <c r="F98" s="20" t="n">
        <v>9333</v>
      </c>
      <c r="G98" s="20" t="n">
        <v>3604</v>
      </c>
      <c r="H98" s="20" t="n">
        <v>6325</v>
      </c>
      <c r="I98" s="20" t="n">
        <v>1391</v>
      </c>
      <c r="J98" s="20" t="n">
        <v>11300</v>
      </c>
      <c r="K98" s="20" t="n">
        <v>3097</v>
      </c>
      <c r="L98" s="20" t="n">
        <v>11305</v>
      </c>
      <c r="M98" s="20" t="n">
        <v>-1764</v>
      </c>
      <c r="N98" s="20" t="n">
        <v>9845</v>
      </c>
      <c r="T98" s="20" t="n">
        <v>-886</v>
      </c>
      <c r="U98" s="20" t="n">
        <v>4453</v>
      </c>
      <c r="V98" s="20" t="n">
        <v>11429</v>
      </c>
      <c r="W98" s="20" t="n">
        <v>1391</v>
      </c>
      <c r="X98" s="20" t="n">
        <v>-1764</v>
      </c>
    </row>
    <row r="99">
      <c r="A99" s="18" t="inlineStr">
        <is>
          <t>잡이익</t>
        </is>
      </c>
      <c r="T99" s="20" t="n">
        <v>7980</v>
      </c>
    </row>
    <row r="100">
      <c r="A100" s="18" t="inlineStr">
        <is>
          <t>기타</t>
        </is>
      </c>
      <c r="C100" s="20" t="n">
        <v>9777</v>
      </c>
      <c r="D100" s="20" t="n">
        <v>-392</v>
      </c>
      <c r="E100" s="20" t="n">
        <v>14041</v>
      </c>
      <c r="F100" s="20" t="n">
        <v>6423</v>
      </c>
      <c r="G100" s="20" t="n">
        <v>-970</v>
      </c>
      <c r="H100" s="20" t="n">
        <v>5372</v>
      </c>
      <c r="I100" s="20" t="n">
        <v>4061</v>
      </c>
      <c r="J100" s="20" t="n">
        <v>3117</v>
      </c>
      <c r="K100" s="20" t="n">
        <v>1865</v>
      </c>
      <c r="L100" s="20" t="n">
        <v>1418</v>
      </c>
      <c r="M100" s="20" t="n">
        <v>6514</v>
      </c>
      <c r="N100" s="20" t="n">
        <v>9667</v>
      </c>
      <c r="U100" s="20" t="n">
        <v>8167</v>
      </c>
      <c r="V100" s="20" t="n">
        <v>14041</v>
      </c>
      <c r="W100" s="20" t="n">
        <v>4061</v>
      </c>
      <c r="X100" s="20" t="n">
        <v>6514</v>
      </c>
    </row>
    <row r="101">
      <c r="A101" s="18" t="inlineStr">
        <is>
          <t>영업외수익 합계</t>
        </is>
      </c>
      <c r="C101" s="20" t="n">
        <v>21296</v>
      </c>
      <c r="D101" s="20" t="n">
        <v>12282</v>
      </c>
      <c r="E101" s="20" t="n">
        <v>28953</v>
      </c>
      <c r="F101" s="20" t="n">
        <v>19678</v>
      </c>
      <c r="G101" s="20" t="n">
        <v>8768</v>
      </c>
      <c r="H101" s="20" t="n">
        <v>16682</v>
      </c>
      <c r="I101" s="20" t="n">
        <v>9149</v>
      </c>
      <c r="J101" s="20" t="n">
        <v>19375</v>
      </c>
      <c r="K101" s="20" t="n">
        <v>9244</v>
      </c>
      <c r="L101" s="20" t="n">
        <v>17608</v>
      </c>
      <c r="M101" s="20" t="n">
        <v>8408</v>
      </c>
      <c r="N101" s="20" t="n">
        <v>25355</v>
      </c>
      <c r="T101" s="20" t="n">
        <v>6730</v>
      </c>
      <c r="U101" s="20" t="n">
        <v>14742</v>
      </c>
      <c r="V101" s="20" t="n">
        <v>28953</v>
      </c>
      <c r="W101" s="20" t="n">
        <v>9149</v>
      </c>
      <c r="X101" s="20" t="n">
        <v>8408</v>
      </c>
    </row>
    <row r="102">
      <c r="A102" s="18" t="inlineStr">
        <is>
          <t>이자비용</t>
        </is>
      </c>
      <c r="C102" s="20" t="n">
        <v>3649</v>
      </c>
      <c r="D102" s="20" t="n">
        <v>3599</v>
      </c>
      <c r="E102" s="20" t="n">
        <v>3745</v>
      </c>
      <c r="F102" s="20" t="n">
        <v>3394</v>
      </c>
      <c r="G102" s="20" t="n">
        <v>4047</v>
      </c>
      <c r="H102" s="20" t="n">
        <v>4004</v>
      </c>
      <c r="I102" s="20" t="n">
        <v>3887</v>
      </c>
      <c r="J102" s="20" t="n">
        <v>3632</v>
      </c>
      <c r="K102" s="20" t="n">
        <v>3714</v>
      </c>
      <c r="L102" s="20" t="n">
        <v>3271</v>
      </c>
      <c r="M102" s="20" t="n">
        <v>3164</v>
      </c>
      <c r="N102" s="20" t="n">
        <v>3230</v>
      </c>
      <c r="T102" s="20" t="n">
        <v>2651</v>
      </c>
      <c r="U102" s="20" t="n">
        <v>3877</v>
      </c>
      <c r="V102" s="20" t="n">
        <v>3745</v>
      </c>
      <c r="W102" s="20" t="n">
        <v>3887</v>
      </c>
      <c r="X102" s="20" t="n">
        <v>3164</v>
      </c>
    </row>
    <row r="103">
      <c r="A103" s="18" t="inlineStr">
        <is>
          <t>잡손실</t>
        </is>
      </c>
      <c r="T103" s="20" t="n">
        <v>953</v>
      </c>
    </row>
    <row r="104">
      <c r="A104" s="18" t="inlineStr">
        <is>
          <t>외환차손</t>
        </is>
      </c>
      <c r="F104" s="20" t="n">
        <v>0</v>
      </c>
      <c r="G104" s="20" t="n">
        <v>1227</v>
      </c>
      <c r="J104" s="20" t="n">
        <v>2566</v>
      </c>
      <c r="K104" s="20" t="n">
        <v>186</v>
      </c>
    </row>
    <row r="105">
      <c r="A105" s="18" t="inlineStr">
        <is>
          <t>고정자산 압축손실</t>
        </is>
      </c>
      <c r="J105" s="20" t="n">
        <v>0</v>
      </c>
      <c r="N105" s="20" t="n">
        <v>1543</v>
      </c>
    </row>
    <row r="106">
      <c r="A106" s="18" t="inlineStr">
        <is>
          <t>기타</t>
        </is>
      </c>
      <c r="C106" s="20" t="n">
        <v>-464</v>
      </c>
      <c r="D106" s="20" t="n">
        <v>1923</v>
      </c>
      <c r="E106" s="20" t="n">
        <v>5078</v>
      </c>
      <c r="F106" s="20" t="n">
        <v>1360</v>
      </c>
      <c r="G106" s="20" t="n">
        <v>1487</v>
      </c>
      <c r="H106" s="20" t="n">
        <v>4816</v>
      </c>
      <c r="I106" s="20" t="n">
        <v>2365</v>
      </c>
      <c r="J106" s="20" t="n">
        <v>4081</v>
      </c>
      <c r="K106" s="20" t="n">
        <v>-1353</v>
      </c>
      <c r="L106" s="20" t="n">
        <v>3476</v>
      </c>
      <c r="M106" s="20" t="n">
        <v>4937</v>
      </c>
      <c r="N106" s="20" t="n">
        <v>1641</v>
      </c>
      <c r="U106" s="20" t="n">
        <v>3323</v>
      </c>
      <c r="V106" s="20" t="n">
        <v>5078</v>
      </c>
      <c r="W106" s="20" t="n">
        <v>2365</v>
      </c>
      <c r="X106" s="20" t="n">
        <v>4937</v>
      </c>
    </row>
    <row r="107">
      <c r="A107" s="18" t="inlineStr">
        <is>
          <t>영업외비용 합계</t>
        </is>
      </c>
      <c r="C107" s="20" t="n">
        <v>3184</v>
      </c>
      <c r="D107" s="20" t="n">
        <v>5523</v>
      </c>
      <c r="E107" s="20" t="n">
        <v>8822</v>
      </c>
      <c r="F107" s="20" t="n">
        <v>4755</v>
      </c>
      <c r="G107" s="20" t="n">
        <v>6762</v>
      </c>
      <c r="H107" s="20" t="n">
        <v>7592</v>
      </c>
      <c r="I107" s="20" t="n">
        <v>6252</v>
      </c>
      <c r="J107" s="20" t="n">
        <v>7713</v>
      </c>
      <c r="K107" s="20" t="n">
        <v>5114</v>
      </c>
      <c r="L107" s="20" t="n">
        <v>3995</v>
      </c>
      <c r="M107" s="20" t="n">
        <v>8100</v>
      </c>
      <c r="N107" s="20" t="n">
        <v>6415</v>
      </c>
      <c r="T107" s="20" t="n">
        <v>6088</v>
      </c>
      <c r="U107" s="20" t="n">
        <v>7201</v>
      </c>
      <c r="V107" s="20" t="n">
        <v>8822</v>
      </c>
      <c r="W107" s="20" t="n">
        <v>6252</v>
      </c>
      <c r="X107" s="20" t="n">
        <v>8100</v>
      </c>
    </row>
    <row r="108">
      <c r="A108" s="9" t="inlineStr">
        <is>
          <t>경상이익</t>
        </is>
      </c>
      <c r="C108" s="12" t="n">
        <v>41179</v>
      </c>
      <c r="D108" s="12" t="n">
        <v>50720</v>
      </c>
      <c r="E108" s="12" t="n">
        <v>51992</v>
      </c>
      <c r="F108" s="12" t="n">
        <v>43673</v>
      </c>
      <c r="G108" s="12" t="n">
        <v>28196</v>
      </c>
      <c r="H108" s="12" t="n">
        <v>53657</v>
      </c>
      <c r="I108" s="12" t="n">
        <v>64121</v>
      </c>
      <c r="J108" s="12" t="n">
        <v>59341</v>
      </c>
      <c r="K108" s="12" t="n">
        <v>46120</v>
      </c>
      <c r="L108" s="12" t="n">
        <v>57690</v>
      </c>
      <c r="M108" s="12" t="n">
        <v>41371</v>
      </c>
      <c r="N108" s="12" t="n">
        <v>50248</v>
      </c>
      <c r="T108" s="12" t="n">
        <v>41827</v>
      </c>
      <c r="U108" s="12" t="n">
        <v>82469</v>
      </c>
      <c r="V108" s="12" t="n">
        <v>51992</v>
      </c>
      <c r="W108" s="12" t="n">
        <v>64121</v>
      </c>
      <c r="X108" s="12" t="n">
        <v>41371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IF(OR(G108="",C108=""),"",IF(C108&lt;=0,"",IFERROR(G108/C108-1,"")))</f>
        <v/>
      </c>
      <c r="H109" s="15">
        <f>IF(OR(H108="",D108=""),"",IF(D108&lt;=0,"",IFERROR(H108/D108-1,"")))</f>
        <v/>
      </c>
      <c r="I109" s="15">
        <f>IF(OR(I108="",E108=""),"",IF(E108&lt;=0,"",IFERROR(I108/E108-1,"")))</f>
        <v/>
      </c>
      <c r="J109" s="15">
        <f>IF(OR(J108="",F108=""),"",IF(F108&lt;=0,"",IFERROR(J108/F108-1,"")))</f>
        <v/>
      </c>
      <c r="K109" s="15">
        <f>IF(OR(K108="",G108=""),"",IF(G108&lt;=0,"",IFERROR(K108/G108-1,"")))</f>
        <v/>
      </c>
      <c r="L109" s="15">
        <f>IF(OR(L108="",H108=""),"",IF(H108&lt;=0,"",IFERROR(L108/H108-1,"")))</f>
        <v/>
      </c>
      <c r="M109" s="15">
        <f>IF(OR(M108="",I108=""),"",IF(I108&lt;=0,"",IFERROR(M108/I108-1,"")))</f>
        <v/>
      </c>
      <c r="N109" s="15">
        <f>IF(OR(N108="",J108=""),"",IF(J108&lt;=0,"",IFERROR(N108/J108-1,"")))</f>
        <v/>
      </c>
      <c r="T109" s="15">
        <f>IF(OR(T108="",S108=""),"",IF(S108&lt;=0,"",IFERROR(T108/S108-1,"")))</f>
        <v/>
      </c>
      <c r="U109" s="15">
        <f>IF(OR(U108="",T108=""),"",IF(T108&lt;=0,"",IFERROR(U108/T108-1,"")))</f>
        <v/>
      </c>
      <c r="V109" s="15">
        <f>IF(OR(V108="",U108=""),"",IF(U108&lt;=0,"",IFERROR(V108/U108-1,"")))</f>
        <v/>
      </c>
      <c r="W109" s="15">
        <f>IF(OR(W108="",V108=""),"",IF(V108&lt;=0,"",IFERROR(W108/V108-1,"")))</f>
        <v/>
      </c>
      <c r="X109" s="15">
        <f>IF(OR(X108="",W108=""),"",IF(W108&lt;=0,"",IFERROR(X108/W108-1,"")))</f>
        <v/>
      </c>
    </row>
    <row r="110">
      <c r="A110" s="18" t="inlineStr">
        <is>
          <t>고정자산 매각이익</t>
        </is>
      </c>
      <c r="I110" s="20" t="n">
        <v>0</v>
      </c>
      <c r="M110" s="20" t="n">
        <v>207</v>
      </c>
      <c r="W110" s="20" t="n">
        <v>0</v>
      </c>
      <c r="X110" s="20" t="n">
        <v>207</v>
      </c>
    </row>
    <row r="111">
      <c r="A111" s="18" t="inlineStr">
        <is>
          <t>투자유가증권 매각이익</t>
        </is>
      </c>
      <c r="E111" s="20" t="n">
        <v>0</v>
      </c>
      <c r="T111" s="20" t="n">
        <v>0</v>
      </c>
      <c r="U111" s="20" t="n">
        <v>6937</v>
      </c>
      <c r="V111" s="20" t="n">
        <v>0</v>
      </c>
    </row>
    <row r="112">
      <c r="A112" s="18" t="inlineStr">
        <is>
          <t>관계회사 주식 매각이익</t>
        </is>
      </c>
      <c r="H112" s="20" t="n">
        <v>0</v>
      </c>
      <c r="I112" s="20" t="n">
        <v>0</v>
      </c>
      <c r="L112" s="20" t="n">
        <v>520</v>
      </c>
      <c r="M112" s="20" t="n">
        <v>-327</v>
      </c>
      <c r="W112" s="20" t="n">
        <v>0</v>
      </c>
      <c r="X112" s="20" t="n">
        <v>-327</v>
      </c>
    </row>
    <row r="113">
      <c r="A113" s="18" t="inlineStr">
        <is>
          <t>보험금 수익</t>
        </is>
      </c>
      <c r="F113" s="20" t="n">
        <v>0</v>
      </c>
      <c r="G113" s="20" t="n">
        <v>0</v>
      </c>
      <c r="H113" s="20" t="n">
        <v>0</v>
      </c>
      <c r="I113" s="20" t="n">
        <v>0</v>
      </c>
      <c r="J113" s="20" t="n">
        <v>6790</v>
      </c>
      <c r="K113" s="20" t="n">
        <v>16</v>
      </c>
      <c r="L113" s="20" t="n">
        <v>24</v>
      </c>
      <c r="M113" s="20" t="n">
        <v>436</v>
      </c>
      <c r="N113" s="20" t="n">
        <v>0</v>
      </c>
      <c r="W113" s="20" t="n">
        <v>0</v>
      </c>
      <c r="X113" s="20" t="n">
        <v>436</v>
      </c>
    </row>
    <row r="114">
      <c r="A114" s="18" t="inlineStr">
        <is>
          <t>특별이익 합계</t>
        </is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25406</v>
      </c>
      <c r="J114" s="20" t="n">
        <v>6790</v>
      </c>
      <c r="K114" s="20" t="n">
        <v>12152</v>
      </c>
      <c r="L114" s="20" t="n">
        <v>2508</v>
      </c>
      <c r="M114" s="20" t="n">
        <v>316</v>
      </c>
      <c r="N114" s="20" t="n">
        <v>0</v>
      </c>
      <c r="T114" s="20" t="n">
        <v>23825</v>
      </c>
      <c r="U114" s="20" t="n">
        <v>6937</v>
      </c>
      <c r="V114" s="20" t="n">
        <v>0</v>
      </c>
      <c r="W114" s="20" t="n">
        <v>25406</v>
      </c>
      <c r="X114" s="20" t="n">
        <v>316</v>
      </c>
    </row>
    <row r="115">
      <c r="A115" s="18" t="inlineStr">
        <is>
          <t>손상차손</t>
        </is>
      </c>
      <c r="D115" s="20" t="n">
        <v>0</v>
      </c>
      <c r="E115" s="20" t="n">
        <v>20194</v>
      </c>
      <c r="T115" s="20" t="n">
        <v>16013</v>
      </c>
      <c r="U115" s="20" t="n">
        <v>522</v>
      </c>
      <c r="V115" s="20" t="n">
        <v>20194</v>
      </c>
    </row>
    <row r="116">
      <c r="A116" s="18" t="inlineStr">
        <is>
          <t>특별손실 합계</t>
        </is>
      </c>
      <c r="D116" s="20" t="n">
        <v>0</v>
      </c>
      <c r="E116" s="20" t="n">
        <v>30546</v>
      </c>
      <c r="T116" s="20" t="n">
        <v>18349</v>
      </c>
      <c r="U116" s="20" t="n">
        <v>5409</v>
      </c>
      <c r="V116" s="20" t="n">
        <v>30546</v>
      </c>
    </row>
    <row r="117">
      <c r="A117" s="9" t="inlineStr">
        <is>
          <t>법인세차감전 순이익</t>
        </is>
      </c>
      <c r="C117" s="12" t="n">
        <v>41179</v>
      </c>
      <c r="D117" s="12" t="n">
        <v>50720</v>
      </c>
      <c r="E117" s="12" t="n">
        <v>21446</v>
      </c>
      <c r="F117" s="12" t="n">
        <v>43673</v>
      </c>
      <c r="G117" s="12" t="n">
        <v>28196</v>
      </c>
      <c r="H117" s="12" t="n">
        <v>53657</v>
      </c>
      <c r="I117" s="12" t="n">
        <v>63724</v>
      </c>
      <c r="J117" s="12" t="n">
        <v>66131</v>
      </c>
      <c r="K117" s="12" t="n">
        <v>58272</v>
      </c>
      <c r="L117" s="12" t="n">
        <v>60199</v>
      </c>
      <c r="M117" s="12" t="n">
        <v>18290</v>
      </c>
      <c r="N117" s="12" t="n">
        <v>50248</v>
      </c>
      <c r="T117" s="12" t="n">
        <v>47304</v>
      </c>
      <c r="U117" s="12" t="n">
        <v>83997</v>
      </c>
      <c r="V117" s="12" t="n">
        <v>21446</v>
      </c>
      <c r="W117" s="12" t="n">
        <v>63724</v>
      </c>
      <c r="X117" s="12" t="n">
        <v>18290</v>
      </c>
    </row>
    <row r="118">
      <c r="A118" s="18" t="inlineStr">
        <is>
          <t>법인세 등</t>
        </is>
      </c>
      <c r="C118" s="20" t="n">
        <v>11988</v>
      </c>
      <c r="D118" s="20" t="n">
        <v>13209</v>
      </c>
      <c r="E118" s="20" t="n">
        <v>14502</v>
      </c>
      <c r="F118" s="20" t="n">
        <v>12379</v>
      </c>
      <c r="G118" s="20" t="n">
        <v>8396</v>
      </c>
      <c r="H118" s="20" t="n">
        <v>13965</v>
      </c>
      <c r="I118" s="20" t="n">
        <v>19456</v>
      </c>
      <c r="J118" s="20" t="n">
        <v>17776</v>
      </c>
      <c r="K118" s="20" t="n">
        <v>12175</v>
      </c>
      <c r="L118" s="20" t="n">
        <v>14501</v>
      </c>
      <c r="M118" s="20" t="n">
        <v>5710</v>
      </c>
      <c r="N118" s="20" t="n">
        <v>14218</v>
      </c>
      <c r="T118" s="20" t="n">
        <v>-30602</v>
      </c>
      <c r="U118" s="20" t="n">
        <v>25090</v>
      </c>
      <c r="V118" s="20" t="n">
        <v>14502</v>
      </c>
      <c r="W118" s="20" t="n">
        <v>19456</v>
      </c>
      <c r="X118" s="20" t="n">
        <v>5710</v>
      </c>
    </row>
    <row r="119">
      <c r="A119" s="9" t="inlineStr">
        <is>
          <t>순이익</t>
        </is>
      </c>
      <c r="C119" s="12" t="n">
        <v>29190</v>
      </c>
      <c r="D119" s="12" t="n">
        <v>37511</v>
      </c>
      <c r="E119" s="12" t="n">
        <v>6944</v>
      </c>
      <c r="F119" s="12" t="n">
        <v>31293</v>
      </c>
      <c r="G119" s="12" t="n">
        <v>19800</v>
      </c>
      <c r="H119" s="12" t="n">
        <v>39692</v>
      </c>
      <c r="I119" s="12" t="n">
        <v>44269</v>
      </c>
      <c r="J119" s="12" t="n">
        <v>48355</v>
      </c>
      <c r="K119" s="12" t="n">
        <v>46096</v>
      </c>
      <c r="L119" s="12" t="n">
        <v>45698</v>
      </c>
      <c r="M119" s="12" t="n">
        <v>12580</v>
      </c>
      <c r="N119" s="12" t="n">
        <v>36030</v>
      </c>
      <c r="T119" s="12" t="n">
        <v>77906</v>
      </c>
      <c r="U119" s="12" t="n">
        <v>58907</v>
      </c>
      <c r="V119" s="12" t="n">
        <v>6944</v>
      </c>
      <c r="W119" s="12" t="n">
        <v>44269</v>
      </c>
      <c r="X119" s="12" t="n">
        <v>12580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IF(OR(G119="",C119=""),"",IF(C119&lt;=0,"",IFERROR(G119/C119-1,"")))</f>
        <v/>
      </c>
      <c r="H120" s="15">
        <f>IF(OR(H119="",D119=""),"",IF(D119&lt;=0,"",IFERROR(H119/D119-1,"")))</f>
        <v/>
      </c>
      <c r="I120" s="15">
        <f>IF(OR(I119="",E119=""),"",IF(E119&lt;=0,"",IFERROR(I119/E119-1,"")))</f>
        <v/>
      </c>
      <c r="J120" s="15">
        <f>IF(OR(J119="",F119=""),"",IF(F119&lt;=0,"",IFERROR(J119/F119-1,"")))</f>
        <v/>
      </c>
      <c r="K120" s="15">
        <f>IF(OR(K119="",G119=""),"",IF(G119&lt;=0,"",IFERROR(K119/G119-1,"")))</f>
        <v/>
      </c>
      <c r="L120" s="15">
        <f>IF(OR(L119="",H119=""),"",IF(H119&lt;=0,"",IFERROR(L119/H119-1,"")))</f>
        <v/>
      </c>
      <c r="M120" s="15">
        <f>IF(OR(M119="",I119=""),"",IF(I119&lt;=0,"",IFERROR(M119/I119-1,"")))</f>
        <v/>
      </c>
      <c r="N120" s="15">
        <f>IF(OR(N119="",J119=""),"",IF(J119&lt;=0,"",IFERROR(N119/J119-1,"")))</f>
        <v/>
      </c>
      <c r="T120" s="15">
        <f>IF(OR(T119="",S119=""),"",IF(S119&lt;=0,"",IFERROR(T119/S119-1,"")))</f>
        <v/>
      </c>
      <c r="U120" s="15">
        <f>IF(OR(U119="",T119=""),"",IF(T119&lt;=0,"",IFERROR(U119/T119-1,"")))</f>
        <v/>
      </c>
      <c r="V120" s="15">
        <f>IF(OR(V119="",U119=""),"",IF(U119&lt;=0,"",IFERROR(V119/U119-1,"")))</f>
        <v/>
      </c>
      <c r="W120" s="15">
        <f>IF(OR(W119="",V119=""),"",IF(V119&lt;=0,"",IFERROR(W119/V119-1,"")))</f>
        <v/>
      </c>
      <c r="X120" s="15">
        <f>IF(OR(X119="",W119=""),"",IF(W119&lt;=0,"",IFERROR(X119/W119-1,"")))</f>
        <v/>
      </c>
    </row>
    <row r="121">
      <c r="A121" s="9" t="inlineStr">
        <is>
          <t>비지배주주 순손익</t>
        </is>
      </c>
      <c r="C121" s="12" t="n">
        <v>398</v>
      </c>
      <c r="D121" s="12" t="n">
        <v>457</v>
      </c>
      <c r="E121" s="12" t="n">
        <v>671</v>
      </c>
      <c r="F121" s="12" t="n">
        <v>503</v>
      </c>
      <c r="G121" s="12" t="n">
        <v>-208</v>
      </c>
      <c r="H121" s="12" t="n">
        <v>-392</v>
      </c>
      <c r="I121" s="12" t="n">
        <v>737</v>
      </c>
      <c r="J121" s="12" t="n">
        <v>-165</v>
      </c>
      <c r="K121" s="12" t="n">
        <v>-238</v>
      </c>
      <c r="L121" s="12" t="n">
        <v>153</v>
      </c>
      <c r="M121" s="12" t="n">
        <v>229</v>
      </c>
      <c r="N121" s="12" t="n">
        <v>350</v>
      </c>
      <c r="T121" s="12" t="n">
        <v>2645</v>
      </c>
      <c r="U121" s="12" t="n">
        <v>401</v>
      </c>
      <c r="V121" s="12" t="n">
        <v>671</v>
      </c>
      <c r="W121" s="12" t="n">
        <v>737</v>
      </c>
      <c r="X121" s="12" t="n">
        <v>229</v>
      </c>
    </row>
    <row r="122">
      <c r="A122" s="9" t="inlineStr">
        <is>
          <t>지배주주 순이익</t>
        </is>
      </c>
      <c r="C122" s="12" t="n">
        <v>28791</v>
      </c>
      <c r="D122" s="12" t="n">
        <v>37054</v>
      </c>
      <c r="E122" s="12" t="n">
        <v>6274</v>
      </c>
      <c r="F122" s="12" t="n">
        <v>30789</v>
      </c>
      <c r="G122" s="12" t="n">
        <v>20008</v>
      </c>
      <c r="H122" s="12" t="n">
        <v>40085</v>
      </c>
      <c r="I122" s="12" t="n">
        <v>43532</v>
      </c>
      <c r="J122" s="12" t="n">
        <v>48521</v>
      </c>
      <c r="K122" s="12" t="n">
        <v>46334</v>
      </c>
      <c r="L122" s="12" t="n">
        <v>45544</v>
      </c>
      <c r="M122" s="12" t="n">
        <v>12352</v>
      </c>
      <c r="N122" s="12" t="n">
        <v>35680</v>
      </c>
      <c r="T122" s="12" t="n">
        <v>75262</v>
      </c>
      <c r="U122" s="12" t="n">
        <v>58506</v>
      </c>
      <c r="V122" s="12" t="n">
        <v>6274</v>
      </c>
      <c r="W122" s="12" t="n">
        <v>43532</v>
      </c>
      <c r="X122" s="12" t="n">
        <v>12352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IF(OR(G122="",C122=""),"",IF(C122&lt;=0,"",IFERROR(G122/C122-1,"")))</f>
        <v/>
      </c>
      <c r="H123" s="15">
        <f>IF(OR(H122="",D122=""),"",IF(D122&lt;=0,"",IFERROR(H122/D122-1,"")))</f>
        <v/>
      </c>
      <c r="I123" s="15">
        <f>IF(OR(I122="",E122=""),"",IF(E122&lt;=0,"",IFERROR(I122/E122-1,"")))</f>
        <v/>
      </c>
      <c r="J123" s="15">
        <f>IF(OR(J122="",F122=""),"",IF(F122&lt;=0,"",IFERROR(J122/F122-1,"")))</f>
        <v/>
      </c>
      <c r="K123" s="15">
        <f>IF(OR(K122="",G122=""),"",IF(G122&lt;=0,"",IFERROR(K122/G122-1,"")))</f>
        <v/>
      </c>
      <c r="L123" s="15">
        <f>IF(OR(L122="",H122=""),"",IF(H122&lt;=0,"",IFERROR(L122/H122-1,"")))</f>
        <v/>
      </c>
      <c r="M123" s="15">
        <f>IF(OR(M122="",I122=""),"",IF(I122&lt;=0,"",IFERROR(M122/I122-1,"")))</f>
        <v/>
      </c>
      <c r="N123" s="15">
        <f>IF(OR(N122="",J122=""),"",IF(J122&lt;=0,"",IFERROR(N122/J122-1,"")))</f>
        <v/>
      </c>
      <c r="T123" s="15">
        <f>IF(OR(T122="",S122=""),"",IF(S122&lt;=0,"",IFERROR(T122/S122-1,"")))</f>
        <v/>
      </c>
      <c r="U123" s="15">
        <f>IF(OR(U122="",T122=""),"",IF(T122&lt;=0,"",IFERROR(U122/T122-1,"")))</f>
        <v/>
      </c>
      <c r="V123" s="15">
        <f>IF(OR(V122="",U122=""),"",IF(U122&lt;=0,"",IFERROR(V122/U122-1,"")))</f>
        <v/>
      </c>
      <c r="W123" s="15">
        <f>IF(OR(W122="",V122=""),"",IF(V122&lt;=0,"",IFERROR(W122/V122-1,"")))</f>
        <v/>
      </c>
      <c r="X123" s="15">
        <f>IF(OR(X122="",W122=""),"",IF(W122&lt;=0,"",IFERROR(X122/W122-1,"")))</f>
        <v/>
      </c>
    </row>
    <row r="125">
      <c r="A125" s="16" t="inlineStr">
        <is>
          <t>포괄손익 · 전 항목</t>
        </is>
      </c>
      <c r="B125" s="42" t="inlineStr">
        <is>
          <t>분기 = 3개월 단독</t>
        </is>
      </c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</row>
    <row r="126">
      <c r="A126" s="5" t="inlineStr">
        <is>
          <t>항목</t>
        </is>
      </c>
      <c r="B126" s="5" t="inlineStr">
        <is>
          <t>참고</t>
        </is>
      </c>
      <c r="C126" s="5" t="inlineStr">
        <is>
          <t>2024.2Q</t>
        </is>
      </c>
      <c r="D126" s="5" t="inlineStr">
        <is>
          <t>2024.3Q</t>
        </is>
      </c>
      <c r="E126" s="5" t="inlineStr">
        <is>
          <t>2024.4Q</t>
        </is>
      </c>
      <c r="F126" s="5" t="inlineStr">
        <is>
          <t>2025.1Q</t>
        </is>
      </c>
      <c r="G126" s="5" t="inlineStr">
        <is>
          <t>2025.2Q</t>
        </is>
      </c>
      <c r="H126" s="5" t="inlineStr">
        <is>
          <t>2025.3Q</t>
        </is>
      </c>
      <c r="I126" s="5" t="inlineStr">
        <is>
          <t>2025.4Q</t>
        </is>
      </c>
      <c r="J126" s="5" t="inlineStr">
        <is>
          <t>2026.1Q</t>
        </is>
      </c>
      <c r="K126" s="5" t="inlineStr">
        <is>
          <t>2026.2Q</t>
        </is>
      </c>
      <c r="L126" s="5" t="inlineStr">
        <is>
          <t>2026.3Q</t>
        </is>
      </c>
      <c r="M126" s="5" t="inlineStr">
        <is>
          <t>2026.4Q</t>
        </is>
      </c>
      <c r="N126" s="5" t="inlineStr">
        <is>
          <t>2027.1Q</t>
        </is>
      </c>
      <c r="O126" s="5" t="inlineStr">
        <is>
          <t>2017</t>
        </is>
      </c>
      <c r="P126" s="5" t="inlineStr">
        <is>
          <t>2018</t>
        </is>
      </c>
      <c r="Q126" s="5" t="inlineStr">
        <is>
          <t>2019</t>
        </is>
      </c>
      <c r="R126" s="5" t="inlineStr">
        <is>
          <t>2020</t>
        </is>
      </c>
      <c r="S126" s="5" t="inlineStr">
        <is>
          <t>2021</t>
        </is>
      </c>
      <c r="T126" s="5" t="inlineStr">
        <is>
          <t>2022</t>
        </is>
      </c>
      <c r="U126" s="5" t="inlineStr">
        <is>
          <t>2023</t>
        </is>
      </c>
      <c r="V126" s="5" t="inlineStr">
        <is>
          <t>2024</t>
        </is>
      </c>
      <c r="W126" s="5" t="inlineStr">
        <is>
          <t>2025</t>
        </is>
      </c>
      <c r="X126" s="5" t="inlineStr">
        <is>
          <t>2026</t>
        </is>
      </c>
      <c r="Y126" s="5" t="inlineStr">
        <is>
          <t>2027(MW)</t>
        </is>
      </c>
      <c r="Z126" s="5" t="inlineStr">
        <is>
          <t>2028(MW)</t>
        </is>
      </c>
      <c r="AA126" s="5" t="inlineStr">
        <is>
          <t>2029(MW)</t>
        </is>
      </c>
      <c r="AB126" s="5" t="inlineStr">
        <is>
          <t>2030(MW)</t>
        </is>
      </c>
      <c r="AC126" s="5" t="inlineStr">
        <is>
          <t>2031(MW)</t>
        </is>
      </c>
    </row>
    <row r="127">
      <c r="A127" s="9" t="inlineStr">
        <is>
          <t>순이익</t>
        </is>
      </c>
      <c r="C127" s="12" t="n">
        <v>29190</v>
      </c>
      <c r="D127" s="12" t="n">
        <v>37511</v>
      </c>
      <c r="E127" s="12" t="n">
        <v>6944</v>
      </c>
      <c r="F127" s="12" t="n">
        <v>31293</v>
      </c>
      <c r="G127" s="12" t="n">
        <v>19800</v>
      </c>
      <c r="H127" s="12" t="n">
        <v>39692</v>
      </c>
      <c r="I127" s="12" t="n">
        <v>44269</v>
      </c>
      <c r="J127" s="12" t="n">
        <v>48355</v>
      </c>
      <c r="K127" s="12" t="n">
        <v>46096</v>
      </c>
      <c r="L127" s="12" t="n">
        <v>45698</v>
      </c>
      <c r="M127" s="12" t="n">
        <v>12580</v>
      </c>
      <c r="N127" s="12" t="n">
        <v>36030</v>
      </c>
      <c r="T127" s="12" t="n">
        <v>77906</v>
      </c>
      <c r="U127" s="12" t="n">
        <v>58907</v>
      </c>
      <c r="V127" s="12" t="n">
        <v>6944</v>
      </c>
      <c r="W127" s="12" t="n">
        <v>44269</v>
      </c>
      <c r="X127" s="12" t="n">
        <v>12580</v>
      </c>
    </row>
    <row r="128">
      <c r="A128" s="18" t="inlineStr">
        <is>
          <t>기타유가증권 평가차액</t>
        </is>
      </c>
      <c r="C128" s="20" t="n">
        <v>-936</v>
      </c>
      <c r="D128" s="20" t="n">
        <v>-1880</v>
      </c>
      <c r="E128" s="20" t="n">
        <v>12087</v>
      </c>
      <c r="F128" s="20" t="n">
        <v>4121</v>
      </c>
      <c r="G128" s="20" t="n">
        <v>-19424</v>
      </c>
      <c r="H128" s="20" t="n">
        <v>4076</v>
      </c>
      <c r="I128" s="20" t="n">
        <v>-20540</v>
      </c>
      <c r="J128" s="20" t="n">
        <v>1332</v>
      </c>
      <c r="K128" s="20" t="n">
        <v>9878</v>
      </c>
      <c r="L128" s="20" t="n">
        <v>4138</v>
      </c>
      <c r="M128" s="20" t="n">
        <v>963</v>
      </c>
      <c r="N128" s="20" t="n">
        <v>6413</v>
      </c>
      <c r="T128" s="20" t="n">
        <v>-1242</v>
      </c>
      <c r="U128" s="20" t="n">
        <v>5051</v>
      </c>
      <c r="V128" s="20" t="n">
        <v>12087</v>
      </c>
      <c r="W128" s="20" t="n">
        <v>-20540</v>
      </c>
      <c r="X128" s="20" t="n">
        <v>963</v>
      </c>
    </row>
    <row r="129">
      <c r="A129" s="18" t="inlineStr">
        <is>
          <t>이연헤지손익</t>
        </is>
      </c>
      <c r="C129" s="20" t="n">
        <v>2299</v>
      </c>
      <c r="D129" s="20" t="n">
        <v>8560</v>
      </c>
      <c r="E129" s="20" t="n">
        <v>3507</v>
      </c>
      <c r="F129" s="20" t="n">
        <v>21948</v>
      </c>
      <c r="G129" s="20" t="n">
        <v>-17588</v>
      </c>
      <c r="H129" s="20" t="n">
        <v>1078</v>
      </c>
      <c r="I129" s="20" t="n">
        <v>-3335</v>
      </c>
      <c r="J129" s="20" t="n">
        <v>-24447</v>
      </c>
      <c r="K129" s="20" t="n">
        <v>19821</v>
      </c>
      <c r="L129" s="20" t="n">
        <v>25376</v>
      </c>
      <c r="M129" s="20" t="n">
        <v>9248</v>
      </c>
      <c r="N129" s="20" t="n">
        <v>3408</v>
      </c>
      <c r="T129" s="20" t="n">
        <v>24729</v>
      </c>
      <c r="U129" s="20" t="n">
        <v>16171</v>
      </c>
      <c r="V129" s="20" t="n">
        <v>3507</v>
      </c>
      <c r="W129" s="20" t="n">
        <v>-3335</v>
      </c>
      <c r="X129" s="20" t="n">
        <v>9248</v>
      </c>
    </row>
    <row r="130">
      <c r="A130" s="18" t="inlineStr">
        <is>
          <t>토지재평가차액금</t>
        </is>
      </c>
      <c r="F130" s="20" t="n">
        <v>0</v>
      </c>
      <c r="G130" s="20" t="n">
        <v>0</v>
      </c>
      <c r="H130" s="20" t="n">
        <v>0</v>
      </c>
      <c r="I130" s="20" t="n">
        <v>0</v>
      </c>
      <c r="J130" s="20" t="n">
        <v>-28</v>
      </c>
      <c r="K130" s="20" t="n">
        <v>0</v>
      </c>
      <c r="L130" s="20" t="n">
        <v>0</v>
      </c>
      <c r="M130" s="20" t="n">
        <v>0</v>
      </c>
      <c r="N130" s="20" t="n">
        <v>0</v>
      </c>
      <c r="W130" s="20" t="n">
        <v>0</v>
      </c>
      <c r="X130" s="20" t="n">
        <v>0</v>
      </c>
    </row>
    <row r="131">
      <c r="A131" s="18" t="inlineStr">
        <is>
          <t>해외사업환산조정</t>
        </is>
      </c>
      <c r="C131" s="20" t="n">
        <v>47051</v>
      </c>
      <c r="D131" s="20" t="n">
        <v>18581</v>
      </c>
      <c r="E131" s="20" t="n">
        <v>-30691</v>
      </c>
      <c r="F131" s="20" t="n">
        <v>41038</v>
      </c>
      <c r="G131" s="20" t="n">
        <v>50688</v>
      </c>
      <c r="H131" s="20" t="n">
        <v>-95137</v>
      </c>
      <c r="I131" s="20" t="n">
        <v>79380</v>
      </c>
      <c r="J131" s="20" t="n">
        <v>-46361</v>
      </c>
      <c r="K131" s="20" t="n">
        <v>-23320</v>
      </c>
      <c r="L131" s="20" t="n">
        <v>23130</v>
      </c>
      <c r="M131" s="20" t="n">
        <v>48612</v>
      </c>
      <c r="N131" s="20" t="n">
        <v>19661</v>
      </c>
      <c r="T131" s="20" t="n">
        <v>8813</v>
      </c>
      <c r="U131" s="20" t="n">
        <v>-44007</v>
      </c>
      <c r="V131" s="20" t="n">
        <v>-30691</v>
      </c>
      <c r="W131" s="20" t="n">
        <v>79380</v>
      </c>
      <c r="X131" s="20" t="n">
        <v>48612</v>
      </c>
    </row>
    <row r="132">
      <c r="A132" s="18" t="inlineStr">
        <is>
          <t>퇴직급여 조정액</t>
        </is>
      </c>
      <c r="C132" s="20" t="n">
        <v>-1736</v>
      </c>
      <c r="D132" s="20" t="n">
        <v>-1743</v>
      </c>
      <c r="E132" s="20" t="n">
        <v>5530</v>
      </c>
      <c r="F132" s="20" t="n">
        <v>-1448</v>
      </c>
      <c r="G132" s="20" t="n">
        <v>-1453</v>
      </c>
      <c r="H132" s="20" t="n">
        <v>-1388</v>
      </c>
      <c r="I132" s="20" t="n">
        <v>6507</v>
      </c>
      <c r="J132" s="20" t="n">
        <v>-1377</v>
      </c>
      <c r="K132" s="20" t="n">
        <v>-1360</v>
      </c>
      <c r="L132" s="20" t="n">
        <v>-1374</v>
      </c>
      <c r="M132" s="20" t="n">
        <v>21263</v>
      </c>
      <c r="N132" s="20" t="n">
        <v>-2538</v>
      </c>
      <c r="T132" s="20" t="n">
        <v>23172</v>
      </c>
      <c r="U132" s="20" t="n">
        <v>-5028</v>
      </c>
      <c r="V132" s="20" t="n">
        <v>5530</v>
      </c>
      <c r="W132" s="20" t="n">
        <v>6507</v>
      </c>
      <c r="X132" s="20" t="n">
        <v>21263</v>
      </c>
    </row>
    <row r="133">
      <c r="A133" s="18" t="inlineStr">
        <is>
          <t>지분법 적용회사 지분 해당액</t>
        </is>
      </c>
      <c r="C133" s="20" t="n">
        <v>4998</v>
      </c>
      <c r="D133" s="20" t="n">
        <v>6174</v>
      </c>
      <c r="E133" s="20" t="n">
        <v>-1575</v>
      </c>
      <c r="F133" s="20" t="n">
        <v>2343</v>
      </c>
      <c r="G133" s="20" t="n">
        <v>-1817</v>
      </c>
      <c r="H133" s="20" t="n">
        <v>1550</v>
      </c>
      <c r="I133" s="20" t="n">
        <v>5445</v>
      </c>
      <c r="J133" s="20" t="n">
        <v>-6749</v>
      </c>
      <c r="K133" s="20" t="n">
        <v>3752</v>
      </c>
      <c r="L133" s="20" t="n">
        <v>4739</v>
      </c>
      <c r="M133" s="20" t="n">
        <v>1306</v>
      </c>
      <c r="N133" s="20" t="n">
        <v>3529</v>
      </c>
      <c r="T133" s="20" t="n">
        <v>7920</v>
      </c>
      <c r="U133" s="20" t="n">
        <v>87</v>
      </c>
      <c r="V133" s="20" t="n">
        <v>-1575</v>
      </c>
      <c r="W133" s="20" t="n">
        <v>5445</v>
      </c>
      <c r="X133" s="20" t="n">
        <v>1306</v>
      </c>
    </row>
    <row r="134">
      <c r="A134" s="18" t="inlineStr">
        <is>
          <t>기타포괄손익 합계</t>
        </is>
      </c>
      <c r="C134" s="20" t="n">
        <v>51675</v>
      </c>
      <c r="D134" s="20" t="n">
        <v>29692</v>
      </c>
      <c r="E134" s="20" t="n">
        <v>-11140</v>
      </c>
      <c r="F134" s="20" t="n">
        <v>68003</v>
      </c>
      <c r="G134" s="20" t="n">
        <v>10404</v>
      </c>
      <c r="H134" s="20" t="n">
        <v>-89821</v>
      </c>
      <c r="I134" s="20" t="n">
        <v>67459</v>
      </c>
      <c r="J134" s="20" t="n">
        <v>-77631</v>
      </c>
      <c r="K134" s="20" t="n">
        <v>8771</v>
      </c>
      <c r="L134" s="20" t="n">
        <v>56009</v>
      </c>
      <c r="M134" s="20" t="n">
        <v>81395</v>
      </c>
      <c r="N134" s="20" t="n">
        <v>30473</v>
      </c>
      <c r="T134" s="20" t="n">
        <v>63394</v>
      </c>
      <c r="U134" s="20" t="n">
        <v>-28936</v>
      </c>
      <c r="V134" s="20" t="n">
        <v>-11140</v>
      </c>
      <c r="W134" s="20" t="n">
        <v>67459</v>
      </c>
      <c r="X134" s="20" t="n">
        <v>81395</v>
      </c>
    </row>
    <row r="135">
      <c r="A135" s="9" t="inlineStr">
        <is>
          <t>포괄이익</t>
        </is>
      </c>
      <c r="C135" s="12" t="n">
        <v>80865</v>
      </c>
      <c r="D135" s="12" t="n">
        <v>67203</v>
      </c>
      <c r="E135" s="12" t="n">
        <v>-4195</v>
      </c>
      <c r="F135" s="12" t="n">
        <v>99297</v>
      </c>
      <c r="G135" s="12" t="n">
        <v>30204</v>
      </c>
      <c r="H135" s="12" t="n">
        <v>-50130</v>
      </c>
      <c r="I135" s="12" t="n">
        <v>111728</v>
      </c>
      <c r="J135" s="12" t="n">
        <v>-29275</v>
      </c>
      <c r="K135" s="12" t="n">
        <v>54866</v>
      </c>
      <c r="L135" s="12" t="n">
        <v>101707</v>
      </c>
      <c r="M135" s="12" t="n">
        <v>93976</v>
      </c>
      <c r="N135" s="12" t="n">
        <v>66504</v>
      </c>
      <c r="T135" s="12" t="n">
        <v>141300</v>
      </c>
      <c r="U135" s="12" t="n">
        <v>29972</v>
      </c>
      <c r="V135" s="12" t="n">
        <v>-4195</v>
      </c>
      <c r="W135" s="12" t="n">
        <v>111728</v>
      </c>
      <c r="X135" s="12" t="n">
        <v>93976</v>
      </c>
    </row>
    <row r="136">
      <c r="A136" s="9" t="inlineStr">
        <is>
          <t>지배주주 포괄이익</t>
        </is>
      </c>
      <c r="C136" s="12" t="n">
        <v>80497</v>
      </c>
      <c r="D136" s="12" t="n">
        <v>66694</v>
      </c>
      <c r="E136" s="12" t="n">
        <v>-5119</v>
      </c>
      <c r="F136" s="12" t="n">
        <v>98848</v>
      </c>
      <c r="G136" s="12" t="n">
        <v>29564</v>
      </c>
      <c r="H136" s="12" t="n">
        <v>-47243</v>
      </c>
      <c r="I136" s="12" t="n">
        <v>108832</v>
      </c>
      <c r="J136" s="12" t="n">
        <v>-27498</v>
      </c>
      <c r="K136" s="12" t="n">
        <v>55287</v>
      </c>
      <c r="L136" s="12" t="n">
        <v>100891</v>
      </c>
      <c r="M136" s="12" t="n">
        <v>92565</v>
      </c>
      <c r="N136" s="12" t="n">
        <v>65571</v>
      </c>
      <c r="T136" s="12" t="n">
        <v>138531</v>
      </c>
      <c r="U136" s="12" t="n">
        <v>29551</v>
      </c>
      <c r="V136" s="12" t="n">
        <v>-5119</v>
      </c>
      <c r="W136" s="12" t="n">
        <v>108832</v>
      </c>
      <c r="X136" s="12" t="n">
        <v>92565</v>
      </c>
    </row>
    <row r="137">
      <c r="A137" s="9" t="inlineStr">
        <is>
          <t>비지배주주 포괄이익</t>
        </is>
      </c>
      <c r="C137" s="12" t="n">
        <v>368</v>
      </c>
      <c r="D137" s="12" t="n">
        <v>510</v>
      </c>
      <c r="E137" s="12" t="n">
        <v>923</v>
      </c>
      <c r="F137" s="12" t="n">
        <v>449</v>
      </c>
      <c r="G137" s="12" t="n">
        <v>640</v>
      </c>
      <c r="H137" s="12" t="n">
        <v>-2887</v>
      </c>
      <c r="I137" s="12" t="n">
        <v>2896</v>
      </c>
      <c r="J137" s="12" t="n">
        <v>-1776</v>
      </c>
      <c r="K137" s="12" t="n">
        <v>-422</v>
      </c>
      <c r="L137" s="12" t="n">
        <v>816</v>
      </c>
      <c r="M137" s="12" t="n">
        <v>1411</v>
      </c>
      <c r="N137" s="12" t="n">
        <v>933</v>
      </c>
      <c r="T137" s="12" t="n">
        <v>2769</v>
      </c>
      <c r="U137" s="12" t="n">
        <v>422</v>
      </c>
      <c r="V137" s="12" t="n">
        <v>923</v>
      </c>
      <c r="W137" s="12" t="n">
        <v>2896</v>
      </c>
      <c r="X137" s="12" t="n">
        <v>1411</v>
      </c>
    </row>
    <row r="139">
      <c r="A139" s="16" t="inlineStr">
        <is>
          <t>부문 · 전 항목</t>
        </is>
      </c>
      <c r="B139" s="42" t="inlineStr">
        <is>
          <t>부문 · 항목</t>
        </is>
      </c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</row>
    <row r="140">
      <c r="A140" s="5" t="inlineStr">
        <is>
          <t>항목</t>
        </is>
      </c>
      <c r="B140" s="5" t="inlineStr">
        <is>
          <t>참고</t>
        </is>
      </c>
      <c r="C140" s="5" t="inlineStr">
        <is>
          <t>2024.2Q</t>
        </is>
      </c>
      <c r="D140" s="5" t="inlineStr">
        <is>
          <t>2024.3Q</t>
        </is>
      </c>
      <c r="E140" s="5" t="inlineStr">
        <is>
          <t>2024.4Q</t>
        </is>
      </c>
      <c r="F140" s="5" t="inlineStr">
        <is>
          <t>2025.1Q</t>
        </is>
      </c>
      <c r="G140" s="5" t="inlineStr">
        <is>
          <t>2025.2Q</t>
        </is>
      </c>
      <c r="H140" s="5" t="inlineStr">
        <is>
          <t>2025.3Q</t>
        </is>
      </c>
      <c r="I140" s="5" t="inlineStr">
        <is>
          <t>2025.4Q</t>
        </is>
      </c>
      <c r="J140" s="5" t="inlineStr">
        <is>
          <t>2026.1Q</t>
        </is>
      </c>
      <c r="K140" s="5" t="inlineStr">
        <is>
          <t>2026.2Q</t>
        </is>
      </c>
      <c r="L140" s="5" t="inlineStr">
        <is>
          <t>2026.3Q</t>
        </is>
      </c>
      <c r="M140" s="5" t="inlineStr">
        <is>
          <t>2026.4Q</t>
        </is>
      </c>
      <c r="N140" s="5" t="inlineStr">
        <is>
          <t>2027.1Q</t>
        </is>
      </c>
      <c r="O140" s="5" t="inlineStr">
        <is>
          <t>2017</t>
        </is>
      </c>
      <c r="P140" s="5" t="inlineStr">
        <is>
          <t>2018</t>
        </is>
      </c>
      <c r="Q140" s="5" t="inlineStr">
        <is>
          <t>2019</t>
        </is>
      </c>
      <c r="R140" s="5" t="inlineStr">
        <is>
          <t>2020</t>
        </is>
      </c>
      <c r="S140" s="5" t="inlineStr">
        <is>
          <t>2021</t>
        </is>
      </c>
      <c r="T140" s="5" t="inlineStr">
        <is>
          <t>2022</t>
        </is>
      </c>
      <c r="U140" s="5" t="inlineStr">
        <is>
          <t>2023</t>
        </is>
      </c>
      <c r="V140" s="5" t="inlineStr">
        <is>
          <t>2024</t>
        </is>
      </c>
      <c r="W140" s="5" t="inlineStr">
        <is>
          <t>2025</t>
        </is>
      </c>
      <c r="X140" s="5" t="inlineStr">
        <is>
          <t>2026</t>
        </is>
      </c>
      <c r="Y140" s="5" t="inlineStr">
        <is>
          <t>2027(MW)</t>
        </is>
      </c>
      <c r="Z140" s="5" t="inlineStr">
        <is>
          <t>2028(MW)</t>
        </is>
      </c>
      <c r="AA140" s="5" t="inlineStr">
        <is>
          <t>2029(MW)</t>
        </is>
      </c>
      <c r="AB140" s="5" t="inlineStr">
        <is>
          <t>2030(MW)</t>
        </is>
      </c>
      <c r="AC140" s="5" t="inlineStr">
        <is>
          <t>2031(MW)</t>
        </is>
      </c>
    </row>
    <row r="141">
      <c r="A141" s="18" t="inlineStr">
        <is>
          <t>DomesticEnergyReportableSegmentMember · 매출액</t>
        </is>
      </c>
      <c r="C141" s="20" t="n">
        <v>401604</v>
      </c>
      <c r="D141" s="20" t="n">
        <v>436718</v>
      </c>
      <c r="E141" s="20" t="n">
        <v>487662</v>
      </c>
      <c r="F141" s="20" t="n">
        <v>395705</v>
      </c>
      <c r="G141" s="20" t="n">
        <v>392611</v>
      </c>
      <c r="H141" s="20" t="n">
        <v>417746</v>
      </c>
      <c r="I141" s="20" t="n">
        <v>531843</v>
      </c>
      <c r="J141" s="20" t="n">
        <v>382189</v>
      </c>
      <c r="K141" s="20" t="n">
        <v>393682</v>
      </c>
      <c r="L141" s="20" t="n">
        <v>391630</v>
      </c>
      <c r="M141" s="20" t="n">
        <v>475905</v>
      </c>
      <c r="N141" s="20" t="n">
        <v>379734</v>
      </c>
      <c r="V141" s="20" t="n">
        <v>487662</v>
      </c>
      <c r="W141" s="20" t="n">
        <v>531843</v>
      </c>
      <c r="X141" s="20" t="n">
        <v>475905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18" t="inlineStr">
        <is>
          <t>InternationalEnergyReportableSegmentsMember · 매출액</t>
        </is>
      </c>
      <c r="C143" s="20" t="n">
        <v>27056</v>
      </c>
      <c r="D143" s="20" t="n">
        <v>30625</v>
      </c>
      <c r="E143" s="20" t="n">
        <v>36711</v>
      </c>
      <c r="F143" s="20" t="n">
        <v>25535</v>
      </c>
      <c r="G143" s="20" t="n">
        <v>33565</v>
      </c>
      <c r="H143" s="20" t="n">
        <v>32592</v>
      </c>
      <c r="I143" s="20" t="n">
        <v>36459</v>
      </c>
      <c r="J143" s="20" t="n">
        <v>34115</v>
      </c>
      <c r="K143" s="20" t="n">
        <v>35403</v>
      </c>
      <c r="L143" s="20" t="n">
        <v>35980</v>
      </c>
      <c r="M143" s="20" t="n">
        <v>38292</v>
      </c>
      <c r="N143" s="20" t="n">
        <v>34308</v>
      </c>
      <c r="V143" s="20" t="n">
        <v>36711</v>
      </c>
      <c r="W143" s="20" t="n">
        <v>36459</v>
      </c>
      <c r="X143" s="20" t="n">
        <v>38292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18" t="inlineStr">
        <is>
          <t>LifeAndBusinessSolutionsReportableSegmentsMember · 매출액</t>
        </is>
      </c>
      <c r="C145" s="20" t="n">
        <v>74114</v>
      </c>
      <c r="D145" s="20" t="n">
        <v>67233</v>
      </c>
      <c r="E145" s="20" t="n">
        <v>73617</v>
      </c>
      <c r="F145" s="20" t="n">
        <v>63032</v>
      </c>
      <c r="G145" s="20" t="n">
        <v>73570</v>
      </c>
      <c r="H145" s="20" t="n">
        <v>63487</v>
      </c>
      <c r="I145" s="20" t="n">
        <v>82377</v>
      </c>
      <c r="J145" s="20" t="n">
        <v>67282</v>
      </c>
      <c r="K145" s="20" t="n">
        <v>79092</v>
      </c>
      <c r="L145" s="20" t="n">
        <v>71241</v>
      </c>
      <c r="M145" s="20" t="n">
        <v>102224</v>
      </c>
      <c r="N145" s="20" t="n">
        <v>76326</v>
      </c>
      <c r="V145" s="20" t="n">
        <v>73617</v>
      </c>
      <c r="W145" s="20" t="n">
        <v>82377</v>
      </c>
      <c r="X145" s="20" t="n">
        <v>102224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18" t="inlineStr">
        <is>
          <t>합계 · 매출액</t>
        </is>
      </c>
      <c r="C147" s="20" t="n">
        <v>502774</v>
      </c>
      <c r="D147" s="20" t="n">
        <v>534576</v>
      </c>
      <c r="E147" s="20" t="n">
        <v>597990</v>
      </c>
      <c r="F147" s="20" t="n">
        <v>484273</v>
      </c>
      <c r="G147" s="20" t="n">
        <v>499746</v>
      </c>
      <c r="H147" s="20" t="n">
        <v>513825</v>
      </c>
      <c r="I147" s="20" t="n">
        <v>650679</v>
      </c>
      <c r="J147" s="20" t="n">
        <v>483587</v>
      </c>
      <c r="K147" s="20" t="n">
        <v>508177</v>
      </c>
      <c r="L147" s="20" t="n">
        <v>498851</v>
      </c>
      <c r="M147" s="20" t="n">
        <v>616421</v>
      </c>
      <c r="N147" s="20" t="n">
        <v>490369</v>
      </c>
      <c r="V147" s="20" t="n">
        <v>597990</v>
      </c>
      <c r="W147" s="20" t="n">
        <v>650679</v>
      </c>
      <c r="X147" s="20" t="n">
        <v>616421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49">
      <c r="A149" s="18" t="inlineStr">
        <is>
          <t>조정액 · 매출액</t>
        </is>
      </c>
      <c r="C149" s="20" t="n">
        <v>-19693</v>
      </c>
      <c r="D149" s="20" t="n">
        <v>-20121</v>
      </c>
      <c r="E149" s="20" t="n">
        <v>-25088</v>
      </c>
      <c r="F149" s="20" t="n">
        <v>-13345</v>
      </c>
      <c r="G149" s="20" t="n">
        <v>-20564</v>
      </c>
      <c r="H149" s="20" t="n">
        <v>-19804</v>
      </c>
      <c r="I149" s="20" t="n">
        <v>-25790</v>
      </c>
      <c r="J149" s="20" t="n">
        <v>-12593</v>
      </c>
      <c r="K149" s="20" t="n">
        <v>-20003</v>
      </c>
      <c r="L149" s="20" t="n">
        <v>-19189</v>
      </c>
      <c r="M149" s="20" t="n">
        <v>-24949</v>
      </c>
      <c r="N149" s="20" t="n">
        <v>-12361</v>
      </c>
      <c r="V149" s="20" t="n">
        <v>-25088</v>
      </c>
      <c r="W149" s="20" t="n">
        <v>-25790</v>
      </c>
      <c r="X149" s="20" t="n">
        <v>-24949</v>
      </c>
    </row>
    <row r="150">
      <c r="A150" s="9" t="inlineStr">
        <is>
          <t>계</t>
        </is>
      </c>
      <c r="C150" s="12" t="n">
        <v>483082</v>
      </c>
      <c r="D150" s="12" t="n">
        <v>514454</v>
      </c>
      <c r="E150" s="12" t="n">
        <v>572903</v>
      </c>
      <c r="F150" s="12" t="n">
        <v>470928</v>
      </c>
      <c r="G150" s="12" t="n">
        <v>479182</v>
      </c>
      <c r="H150" s="12" t="n">
        <v>494021</v>
      </c>
      <c r="I150" s="12" t="n">
        <v>624888</v>
      </c>
      <c r="V150" s="12" t="n">
        <v>572903</v>
      </c>
      <c r="W150" s="12" t="n">
        <v>624888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</row>
    <row r="152">
      <c r="A152" s="18" t="inlineStr">
        <is>
          <t>EntityTotalMember · 매출액</t>
        </is>
      </c>
      <c r="F152" s="20" t="n">
        <v>470928</v>
      </c>
      <c r="J152" s="20" t="n">
        <v>470993</v>
      </c>
      <c r="N152" s="20" t="n">
        <v>478007</v>
      </c>
    </row>
    <row r="153">
      <c r="A153" s="18" t="inlineStr">
        <is>
          <t>DomesticEnergyReportableSegmentMember · 영업이익</t>
        </is>
      </c>
      <c r="C153" s="20" t="n">
        <v>-1116</v>
      </c>
      <c r="D153" s="20" t="n">
        <v>19981</v>
      </c>
      <c r="E153" s="20" t="n">
        <v>11404</v>
      </c>
      <c r="F153" s="20" t="n">
        <v>11452</v>
      </c>
      <c r="G153" s="20" t="n">
        <v>-970</v>
      </c>
      <c r="H153" s="20" t="n">
        <v>26307</v>
      </c>
      <c r="I153" s="20" t="n">
        <v>38093</v>
      </c>
      <c r="J153" s="20" t="n">
        <v>25644</v>
      </c>
      <c r="K153" s="20" t="n">
        <v>13013</v>
      </c>
      <c r="L153" s="20" t="n">
        <v>22437</v>
      </c>
      <c r="M153" s="20" t="n">
        <v>7655</v>
      </c>
      <c r="N153" s="20" t="n">
        <v>4571</v>
      </c>
      <c r="V153" s="20" t="n">
        <v>11404</v>
      </c>
      <c r="W153" s="20" t="n">
        <v>38093</v>
      </c>
      <c r="X153" s="20" t="n">
        <v>7655</v>
      </c>
    </row>
    <row r="154">
      <c r="A154" s="43" t="inlineStr">
        <is>
          <t>OPM</t>
        </is>
      </c>
      <c r="B154" s="3" t="inlineStr">
        <is>
          <t>영업이익 ÷ 매출</t>
        </is>
      </c>
      <c r="C154" s="15">
        <f>IF(OR(C153="",C141=""),"",IF(C141&lt;=0,"",IFERROR(C153/C141,"")))</f>
        <v/>
      </c>
      <c r="D154" s="15">
        <f>IF(OR(D153="",D141=""),"",IF(D141&lt;=0,"",IFERROR(D153/D141,"")))</f>
        <v/>
      </c>
      <c r="E154" s="15">
        <f>IF(OR(E153="",E141=""),"",IF(E141&lt;=0,"",IFERROR(E153/E141,"")))</f>
        <v/>
      </c>
      <c r="F154" s="15">
        <f>IF(OR(F153="",F141=""),"",IF(F141&lt;=0,"",IFERROR(F153/F141,"")))</f>
        <v/>
      </c>
      <c r="G154" s="15">
        <f>IF(OR(G153="",G141=""),"",IF(G141&lt;=0,"",IFERROR(G153/G141,"")))</f>
        <v/>
      </c>
      <c r="H154" s="15">
        <f>IF(OR(H153="",H141=""),"",IF(H141&lt;=0,"",IFERROR(H153/H141,"")))</f>
        <v/>
      </c>
      <c r="I154" s="15">
        <f>IF(OR(I153="",I141=""),"",IF(I141&lt;=0,"",IFERROR(I153/I141,"")))</f>
        <v/>
      </c>
      <c r="J154" s="15">
        <f>IF(OR(J153="",J141=""),"",IF(J141&lt;=0,"",IFERROR(J153/J141,"")))</f>
        <v/>
      </c>
      <c r="K154" s="15">
        <f>IF(OR(K153="",K141=""),"",IF(K141&lt;=0,"",IFERROR(K153/K141,"")))</f>
        <v/>
      </c>
      <c r="L154" s="15">
        <f>IF(OR(L153="",L141=""),"",IF(L141&lt;=0,"",IFERROR(L153/L141,"")))</f>
        <v/>
      </c>
      <c r="M154" s="15">
        <f>IF(OR(M153="",M141=""),"",IF(M141&lt;=0,"",IFERROR(M153/M141,"")))</f>
        <v/>
      </c>
      <c r="N154" s="15">
        <f>IF(OR(N153="",N141=""),"",IF(N141&lt;=0,"",IFERROR(N153/N141,"")))</f>
        <v/>
      </c>
      <c r="V154" s="15">
        <f>IF(OR(V153="",V141=""),"",IF(V141&lt;=0,"",IFERROR(V153/V141,"")))</f>
        <v/>
      </c>
      <c r="W154" s="15">
        <f>IF(OR(W153="",W141=""),"",IF(W141&lt;=0,"",IFERROR(W153/W141,"")))</f>
        <v/>
      </c>
      <c r="X154" s="15">
        <f>IF(OR(X153="",X141=""),"",IF(X141&lt;=0,"",IFERROR(X153/X141,"")))</f>
        <v/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IF(OR(G153="",C153=""),"",IF(C153&lt;=0,"",IFERROR(G153/C153-1,"")))</f>
        <v/>
      </c>
      <c r="H155" s="15">
        <f>IF(OR(H153="",D153=""),"",IF(D153&lt;=0,"",IFERROR(H153/D153-1,"")))</f>
        <v/>
      </c>
      <c r="I155" s="15">
        <f>IF(OR(I153="",E153=""),"",IF(E153&lt;=0,"",IFERROR(I153/E153-1,"")))</f>
        <v/>
      </c>
      <c r="J155" s="15">
        <f>IF(OR(J153="",F153=""),"",IF(F153&lt;=0,"",IFERROR(J153/F153-1,"")))</f>
        <v/>
      </c>
      <c r="K155" s="15">
        <f>IF(OR(K153="",G153=""),"",IF(G153&lt;=0,"",IFERROR(K153/G153-1,"")))</f>
        <v/>
      </c>
      <c r="L155" s="15">
        <f>IF(OR(L153="",H153=""),"",IF(H153&lt;=0,"",IFERROR(L153/H153-1,"")))</f>
        <v/>
      </c>
      <c r="M155" s="15">
        <f>IF(OR(M153="",I153=""),"",IF(I153&lt;=0,"",IFERROR(M153/I153-1,"")))</f>
        <v/>
      </c>
      <c r="N155" s="15">
        <f>IF(OR(N153="",J153=""),"",IF(J153&lt;=0,"",IFERROR(N153/J153-1,"")))</f>
        <v/>
      </c>
      <c r="V155" s="15">
        <f>IF(OR(V153="",U153=""),"",IF(U153&lt;=0,"",IFERROR(V153/U153-1,"")))</f>
        <v/>
      </c>
      <c r="W155" s="15">
        <f>IF(OR(W153="",V153=""),"",IF(V153&lt;=0,"",IFERROR(W153/V153-1,"")))</f>
        <v/>
      </c>
      <c r="X155" s="15">
        <f>IF(OR(X153="",W153=""),"",IF(W153&lt;=0,"",IFERROR(X153/W153-1,"")))</f>
        <v/>
      </c>
    </row>
    <row r="156">
      <c r="A156" s="18" t="inlineStr">
        <is>
          <t>InternationalEnergyReportableSegmentsMember · 영업이익</t>
        </is>
      </c>
      <c r="C156" s="20" t="n">
        <v>12058</v>
      </c>
      <c r="D156" s="20" t="n">
        <v>16013</v>
      </c>
      <c r="E156" s="20" t="n">
        <v>14062</v>
      </c>
      <c r="F156" s="20" t="n">
        <v>9780</v>
      </c>
      <c r="G156" s="20" t="n">
        <v>14019</v>
      </c>
      <c r="H156" s="20" t="n">
        <v>13251</v>
      </c>
      <c r="I156" s="20" t="n">
        <v>16901</v>
      </c>
      <c r="J156" s="20" t="n">
        <v>16185</v>
      </c>
      <c r="K156" s="20" t="n">
        <v>15972</v>
      </c>
      <c r="L156" s="20" t="n">
        <v>15457</v>
      </c>
      <c r="M156" s="20" t="n">
        <v>20036</v>
      </c>
      <c r="N156" s="20" t="n">
        <v>16349</v>
      </c>
      <c r="V156" s="20" t="n">
        <v>14062</v>
      </c>
      <c r="W156" s="20" t="n">
        <v>16901</v>
      </c>
      <c r="X156" s="20" t="n">
        <v>20036</v>
      </c>
    </row>
    <row r="157">
      <c r="A157" s="43" t="inlineStr">
        <is>
          <t>OPM</t>
        </is>
      </c>
      <c r="B157" s="3" t="inlineStr">
        <is>
          <t>영업이익 ÷ 매출</t>
        </is>
      </c>
      <c r="C157" s="15">
        <f>IF(OR(C156="",C143=""),"",IF(C143&lt;=0,"",IFERROR(C156/C143,"")))</f>
        <v/>
      </c>
      <c r="D157" s="15">
        <f>IF(OR(D156="",D143=""),"",IF(D143&lt;=0,"",IFERROR(D156/D143,"")))</f>
        <v/>
      </c>
      <c r="E157" s="15">
        <f>IF(OR(E156="",E143=""),"",IF(E143&lt;=0,"",IFERROR(E156/E143,"")))</f>
        <v/>
      </c>
      <c r="F157" s="15">
        <f>IF(OR(F156="",F143=""),"",IF(F143&lt;=0,"",IFERROR(F156/F143,"")))</f>
        <v/>
      </c>
      <c r="G157" s="15">
        <f>IF(OR(G156="",G143=""),"",IF(G143&lt;=0,"",IFERROR(G156/G143,"")))</f>
        <v/>
      </c>
      <c r="H157" s="15">
        <f>IF(OR(H156="",H143=""),"",IF(H143&lt;=0,"",IFERROR(H156/H143,"")))</f>
        <v/>
      </c>
      <c r="I157" s="15">
        <f>IF(OR(I156="",I143=""),"",IF(I143&lt;=0,"",IFERROR(I156/I143,"")))</f>
        <v/>
      </c>
      <c r="J157" s="15">
        <f>IF(OR(J156="",J143=""),"",IF(J143&lt;=0,"",IFERROR(J156/J143,"")))</f>
        <v/>
      </c>
      <c r="K157" s="15">
        <f>IF(OR(K156="",K143=""),"",IF(K143&lt;=0,"",IFERROR(K156/K143,"")))</f>
        <v/>
      </c>
      <c r="L157" s="15">
        <f>IF(OR(L156="",L143=""),"",IF(L143&lt;=0,"",IFERROR(L156/L143,"")))</f>
        <v/>
      </c>
      <c r="M157" s="15">
        <f>IF(OR(M156="",M143=""),"",IF(M143&lt;=0,"",IFERROR(M156/M143,"")))</f>
        <v/>
      </c>
      <c r="N157" s="15">
        <f>IF(OR(N156="",N143=""),"",IF(N143&lt;=0,"",IFERROR(N156/N143,"")))</f>
        <v/>
      </c>
      <c r="V157" s="15">
        <f>IF(OR(V156="",V143=""),"",IF(V143&lt;=0,"",IFERROR(V156/V143,"")))</f>
        <v/>
      </c>
      <c r="W157" s="15">
        <f>IF(OR(W156="",W143=""),"",IF(W143&lt;=0,"",IFERROR(W156/W143,"")))</f>
        <v/>
      </c>
      <c r="X157" s="15">
        <f>IF(OR(X156="",X143=""),"",IF(X143&lt;=0,"",IFERROR(X156/X143,"")))</f>
        <v/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IF(OR(G156="",C156=""),"",IF(C156&lt;=0,"",IFERROR(G156/C156-1,"")))</f>
        <v/>
      </c>
      <c r="H158" s="15">
        <f>IF(OR(H156="",D156=""),"",IF(D156&lt;=0,"",IFERROR(H156/D156-1,"")))</f>
        <v/>
      </c>
      <c r="I158" s="15">
        <f>IF(OR(I156="",E156=""),"",IF(E156&lt;=0,"",IFERROR(I156/E156-1,"")))</f>
        <v/>
      </c>
      <c r="J158" s="15">
        <f>IF(OR(J156="",F156=""),"",IF(F156&lt;=0,"",IFERROR(J156/F156-1,"")))</f>
        <v/>
      </c>
      <c r="K158" s="15">
        <f>IF(OR(K156="",G156=""),"",IF(G156&lt;=0,"",IFERROR(K156/G156-1,"")))</f>
        <v/>
      </c>
      <c r="L158" s="15">
        <f>IF(OR(L156="",H156=""),"",IF(H156&lt;=0,"",IFERROR(L156/H156-1,"")))</f>
        <v/>
      </c>
      <c r="M158" s="15">
        <f>IF(OR(M156="",I156=""),"",IF(I156&lt;=0,"",IFERROR(M156/I156-1,"")))</f>
        <v/>
      </c>
      <c r="N158" s="15">
        <f>IF(OR(N156="",J156=""),"",IF(J156&lt;=0,"",IFERROR(N156/J156-1,"")))</f>
        <v/>
      </c>
      <c r="V158" s="15">
        <f>IF(OR(V156="",U156=""),"",IF(U156&lt;=0,"",IFERROR(V156/U156-1,"")))</f>
        <v/>
      </c>
      <c r="W158" s="15">
        <f>IF(OR(W156="",V156=""),"",IF(V156&lt;=0,"",IFERROR(W156/V156-1,"")))</f>
        <v/>
      </c>
      <c r="X158" s="15">
        <f>IF(OR(X156="",W156=""),"",IF(W156&lt;=0,"",IFERROR(X156/W156-1,"")))</f>
        <v/>
      </c>
    </row>
    <row r="159">
      <c r="A159" s="18" t="inlineStr">
        <is>
          <t>LifeAndBusinessSolutionsReportableSegmentsMember · 영업이익</t>
        </is>
      </c>
      <c r="C159" s="20" t="n">
        <v>11899</v>
      </c>
      <c r="D159" s="20" t="n">
        <v>7285</v>
      </c>
      <c r="E159" s="20" t="n">
        <v>6933</v>
      </c>
      <c r="F159" s="20" t="n">
        <v>5163</v>
      </c>
      <c r="G159" s="20" t="n">
        <v>12343</v>
      </c>
      <c r="H159" s="20" t="n">
        <v>4096</v>
      </c>
      <c r="I159" s="20" t="n">
        <v>7165</v>
      </c>
      <c r="J159" s="20" t="n">
        <v>4571</v>
      </c>
      <c r="K159" s="20" t="n">
        <v>12036</v>
      </c>
      <c r="L159" s="20" t="n">
        <v>5577</v>
      </c>
      <c r="M159" s="20" t="n">
        <v>15263</v>
      </c>
      <c r="N159" s="20" t="n">
        <v>6124</v>
      </c>
      <c r="V159" s="20" t="n">
        <v>6933</v>
      </c>
      <c r="W159" s="20" t="n">
        <v>7165</v>
      </c>
      <c r="X159" s="20" t="n">
        <v>15263</v>
      </c>
    </row>
    <row r="160">
      <c r="A160" s="43" t="inlineStr">
        <is>
          <t>OPM</t>
        </is>
      </c>
      <c r="B160" s="3" t="inlineStr">
        <is>
          <t>영업이익 ÷ 매출</t>
        </is>
      </c>
      <c r="C160" s="15">
        <f>IF(OR(C159="",C145=""),"",IF(C145&lt;=0,"",IFERROR(C159/C145,"")))</f>
        <v/>
      </c>
      <c r="D160" s="15">
        <f>IF(OR(D159="",D145=""),"",IF(D145&lt;=0,"",IFERROR(D159/D145,"")))</f>
        <v/>
      </c>
      <c r="E160" s="15">
        <f>IF(OR(E159="",E145=""),"",IF(E145&lt;=0,"",IFERROR(E159/E145,"")))</f>
        <v/>
      </c>
      <c r="F160" s="15">
        <f>IF(OR(F159="",F145=""),"",IF(F145&lt;=0,"",IFERROR(F159/F145,"")))</f>
        <v/>
      </c>
      <c r="G160" s="15">
        <f>IF(OR(G159="",G145=""),"",IF(G145&lt;=0,"",IFERROR(G159/G145,"")))</f>
        <v/>
      </c>
      <c r="H160" s="15">
        <f>IF(OR(H159="",H145=""),"",IF(H145&lt;=0,"",IFERROR(H159/H145,"")))</f>
        <v/>
      </c>
      <c r="I160" s="15">
        <f>IF(OR(I159="",I145=""),"",IF(I145&lt;=0,"",IFERROR(I159/I145,"")))</f>
        <v/>
      </c>
      <c r="J160" s="15">
        <f>IF(OR(J159="",J145=""),"",IF(J145&lt;=0,"",IFERROR(J159/J145,"")))</f>
        <v/>
      </c>
      <c r="K160" s="15">
        <f>IF(OR(K159="",K145=""),"",IF(K145&lt;=0,"",IFERROR(K159/K145,"")))</f>
        <v/>
      </c>
      <c r="L160" s="15">
        <f>IF(OR(L159="",L145=""),"",IF(L145&lt;=0,"",IFERROR(L159/L145,"")))</f>
        <v/>
      </c>
      <c r="M160" s="15">
        <f>IF(OR(M159="",M145=""),"",IF(M145&lt;=0,"",IFERROR(M159/M145,"")))</f>
        <v/>
      </c>
      <c r="N160" s="15">
        <f>IF(OR(N159="",N145=""),"",IF(N145&lt;=0,"",IFERROR(N159/N145,"")))</f>
        <v/>
      </c>
      <c r="V160" s="15">
        <f>IF(OR(V159="",V145=""),"",IF(V145&lt;=0,"",IFERROR(V159/V145,"")))</f>
        <v/>
      </c>
      <c r="W160" s="15">
        <f>IF(OR(W159="",W145=""),"",IF(W145&lt;=0,"",IFERROR(W159/W145,"")))</f>
        <v/>
      </c>
      <c r="X160" s="15">
        <f>IF(OR(X159="",X145=""),"",IF(X145&lt;=0,"",IFERROR(X159/X145,"")))</f>
        <v/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IF(OR(G159="",C159=""),"",IF(C159&lt;=0,"",IFERROR(G159/C159-1,"")))</f>
        <v/>
      </c>
      <c r="H161" s="15">
        <f>IF(OR(H159="",D159=""),"",IF(D159&lt;=0,"",IFERROR(H159/D159-1,"")))</f>
        <v/>
      </c>
      <c r="I161" s="15">
        <f>IF(OR(I159="",E159=""),"",IF(E159&lt;=0,"",IFERROR(I159/E159-1,"")))</f>
        <v/>
      </c>
      <c r="J161" s="15">
        <f>IF(OR(J159="",F159=""),"",IF(F159&lt;=0,"",IFERROR(J159/F159-1,"")))</f>
        <v/>
      </c>
      <c r="K161" s="15">
        <f>IF(OR(K159="",G159=""),"",IF(G159&lt;=0,"",IFERROR(K159/G159-1,"")))</f>
        <v/>
      </c>
      <c r="L161" s="15">
        <f>IF(OR(L159="",H159=""),"",IF(H159&lt;=0,"",IFERROR(L159/H159-1,"")))</f>
        <v/>
      </c>
      <c r="M161" s="15">
        <f>IF(OR(M159="",I159=""),"",IF(I159&lt;=0,"",IFERROR(M159/I159-1,"")))</f>
        <v/>
      </c>
      <c r="N161" s="15">
        <f>IF(OR(N159="",J159=""),"",IF(J159&lt;=0,"",IFERROR(N159/J159-1,"")))</f>
        <v/>
      </c>
      <c r="V161" s="15">
        <f>IF(OR(V159="",U159=""),"",IF(U159&lt;=0,"",IFERROR(V159/U159-1,"")))</f>
        <v/>
      </c>
      <c r="W161" s="15">
        <f>IF(OR(W159="",V159=""),"",IF(V159&lt;=0,"",IFERROR(W159/V159-1,"")))</f>
        <v/>
      </c>
      <c r="X161" s="15">
        <f>IF(OR(X159="",W159=""),"",IF(W159&lt;=0,"",IFERROR(X159/W159-1,"")))</f>
        <v/>
      </c>
    </row>
    <row r="162">
      <c r="A162" s="18" t="inlineStr">
        <is>
          <t>합계 · 영업이익</t>
        </is>
      </c>
      <c r="C162" s="20" t="n">
        <v>22840</v>
      </c>
      <c r="D162" s="20" t="n">
        <v>43279</v>
      </c>
      <c r="E162" s="20" t="n">
        <v>32400</v>
      </c>
      <c r="F162" s="20" t="n">
        <v>26396</v>
      </c>
      <c r="G162" s="20" t="n">
        <v>25392</v>
      </c>
      <c r="H162" s="20" t="n">
        <v>43654</v>
      </c>
      <c r="I162" s="20" t="n">
        <v>62159</v>
      </c>
      <c r="J162" s="20" t="n">
        <v>46400</v>
      </c>
      <c r="K162" s="20" t="n">
        <v>41022</v>
      </c>
      <c r="L162" s="20" t="n">
        <v>43471</v>
      </c>
      <c r="M162" s="20" t="n">
        <v>42953</v>
      </c>
      <c r="N162" s="20" t="n">
        <v>27046</v>
      </c>
      <c r="V162" s="20" t="n">
        <v>32400</v>
      </c>
      <c r="W162" s="20" t="n">
        <v>62159</v>
      </c>
      <c r="X162" s="20" t="n">
        <v>42953</v>
      </c>
    </row>
    <row r="163">
      <c r="A163" s="43" t="inlineStr">
        <is>
          <t>OPM</t>
        </is>
      </c>
      <c r="B163" s="3" t="inlineStr">
        <is>
          <t>영업이익 ÷ 매출</t>
        </is>
      </c>
      <c r="C163" s="15">
        <f>IF(OR(C162="",C147=""),"",IF(C147&lt;=0,"",IFERROR(C162/C147,"")))</f>
        <v/>
      </c>
      <c r="D163" s="15">
        <f>IF(OR(D162="",D147=""),"",IF(D147&lt;=0,"",IFERROR(D162/D147,"")))</f>
        <v/>
      </c>
      <c r="E163" s="15">
        <f>IF(OR(E162="",E147=""),"",IF(E147&lt;=0,"",IFERROR(E162/E147,"")))</f>
        <v/>
      </c>
      <c r="F163" s="15">
        <f>IF(OR(F162="",F147=""),"",IF(F147&lt;=0,"",IFERROR(F162/F147,"")))</f>
        <v/>
      </c>
      <c r="G163" s="15">
        <f>IF(OR(G162="",G147=""),"",IF(G147&lt;=0,"",IFERROR(G162/G147,"")))</f>
        <v/>
      </c>
      <c r="H163" s="15">
        <f>IF(OR(H162="",H147=""),"",IF(H147&lt;=0,"",IFERROR(H162/H147,"")))</f>
        <v/>
      </c>
      <c r="I163" s="15">
        <f>IF(OR(I162="",I147=""),"",IF(I147&lt;=0,"",IFERROR(I162/I147,"")))</f>
        <v/>
      </c>
      <c r="J163" s="15">
        <f>IF(OR(J162="",J147=""),"",IF(J147&lt;=0,"",IFERROR(J162/J147,"")))</f>
        <v/>
      </c>
      <c r="K163" s="15">
        <f>IF(OR(K162="",K147=""),"",IF(K147&lt;=0,"",IFERROR(K162/K147,"")))</f>
        <v/>
      </c>
      <c r="L163" s="15">
        <f>IF(OR(L162="",L147=""),"",IF(L147&lt;=0,"",IFERROR(L162/L147,"")))</f>
        <v/>
      </c>
      <c r="M163" s="15">
        <f>IF(OR(M162="",M147=""),"",IF(M147&lt;=0,"",IFERROR(M162/M147,"")))</f>
        <v/>
      </c>
      <c r="N163" s="15">
        <f>IF(OR(N162="",N147=""),"",IF(N147&lt;=0,"",IFERROR(N162/N147,"")))</f>
        <v/>
      </c>
      <c r="V163" s="15">
        <f>IF(OR(V162="",V147=""),"",IF(V147&lt;=0,"",IFERROR(V162/V147,"")))</f>
        <v/>
      </c>
      <c r="W163" s="15">
        <f>IF(OR(W162="",W147=""),"",IF(W147&lt;=0,"",IFERROR(W162/W147,"")))</f>
        <v/>
      </c>
      <c r="X163" s="15">
        <f>IF(OR(X162="",X147=""),"",IF(X147&lt;=0,"",IFERROR(X162/X147,"")))</f>
        <v/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IF(OR(G162="",C162=""),"",IF(C162&lt;=0,"",IFERROR(G162/C162-1,"")))</f>
        <v/>
      </c>
      <c r="H164" s="15">
        <f>IF(OR(H162="",D162=""),"",IF(D162&lt;=0,"",IFERROR(H162/D162-1,"")))</f>
        <v/>
      </c>
      <c r="I164" s="15">
        <f>IF(OR(I162="",E162=""),"",IF(E162&lt;=0,"",IFERROR(I162/E162-1,"")))</f>
        <v/>
      </c>
      <c r="J164" s="15">
        <f>IF(OR(J162="",F162=""),"",IF(F162&lt;=0,"",IFERROR(J162/F162-1,"")))</f>
        <v/>
      </c>
      <c r="K164" s="15">
        <f>IF(OR(K162="",G162=""),"",IF(G162&lt;=0,"",IFERROR(K162/G162-1,"")))</f>
        <v/>
      </c>
      <c r="L164" s="15">
        <f>IF(OR(L162="",H162=""),"",IF(H162&lt;=0,"",IFERROR(L162/H162-1,"")))</f>
        <v/>
      </c>
      <c r="M164" s="15">
        <f>IF(OR(M162="",I162=""),"",IF(I162&lt;=0,"",IFERROR(M162/I162-1,"")))</f>
        <v/>
      </c>
      <c r="N164" s="15">
        <f>IF(OR(N162="",J162=""),"",IF(J162&lt;=0,"",IFERROR(N162/J162-1,"")))</f>
        <v/>
      </c>
      <c r="V164" s="15">
        <f>IF(OR(V162="",U162=""),"",IF(U162&lt;=0,"",IFERROR(V162/U162-1,"")))</f>
        <v/>
      </c>
      <c r="W164" s="15">
        <f>IF(OR(W162="",V162=""),"",IF(V162&lt;=0,"",IFERROR(W162/V162-1,"")))</f>
        <v/>
      </c>
      <c r="X164" s="15">
        <f>IF(OR(X162="",W162=""),"",IF(W162&lt;=0,"",IFERROR(X162/W162-1,"")))</f>
        <v/>
      </c>
    </row>
    <row r="165">
      <c r="A165" s="18" t="inlineStr">
        <is>
          <t>조정액 · 영업이익</t>
        </is>
      </c>
      <c r="C165" s="20" t="n">
        <v>226</v>
      </c>
      <c r="D165" s="20" t="n">
        <v>682</v>
      </c>
      <c r="E165" s="20" t="n">
        <v>-538</v>
      </c>
      <c r="F165" s="20" t="n">
        <v>2353</v>
      </c>
      <c r="G165" s="20" t="n">
        <v>798</v>
      </c>
      <c r="H165" s="20" t="n">
        <v>913</v>
      </c>
      <c r="I165" s="20" t="n">
        <v>-935</v>
      </c>
      <c r="J165" s="20" t="n">
        <v>1279</v>
      </c>
      <c r="K165" s="20" t="n">
        <v>967</v>
      </c>
      <c r="L165" s="20" t="n">
        <v>607</v>
      </c>
      <c r="M165" s="20" t="n">
        <v>-1890</v>
      </c>
      <c r="N165" s="20" t="n">
        <v>4263</v>
      </c>
      <c r="V165" s="20" t="n">
        <v>-538</v>
      </c>
      <c r="W165" s="20" t="n">
        <v>-935</v>
      </c>
      <c r="X165" s="20" t="n">
        <v>-1890</v>
      </c>
    </row>
    <row r="166">
      <c r="A166" s="9" t="inlineStr">
        <is>
          <t>영업이익</t>
        </is>
      </c>
      <c r="C166" s="12" t="n">
        <v>23067</v>
      </c>
      <c r="D166" s="12" t="n">
        <v>43961</v>
      </c>
      <c r="E166" s="12" t="n">
        <v>31861</v>
      </c>
      <c r="F166" s="12" t="n">
        <v>28750</v>
      </c>
      <c r="G166" s="12" t="n">
        <v>26189</v>
      </c>
      <c r="H166" s="12" t="n">
        <v>44568</v>
      </c>
      <c r="I166" s="12" t="n">
        <v>61224</v>
      </c>
      <c r="V166" s="12" t="n">
        <v>31861</v>
      </c>
      <c r="W166" s="12" t="n">
        <v>61224</v>
      </c>
    </row>
    <row r="167">
      <c r="A167" s="43" t="inlineStr">
        <is>
          <t>OPM</t>
        </is>
      </c>
      <c r="B167" s="3" t="inlineStr">
        <is>
          <t>영업이익 ÷ 매출</t>
        </is>
      </c>
      <c r="C167" s="15">
        <f>IF(OR(C166="",C150=""),"",IF(C150&lt;=0,"",IFERROR(C166/C150,"")))</f>
        <v/>
      </c>
      <c r="D167" s="15">
        <f>IF(OR(D166="",D150=""),"",IF(D150&lt;=0,"",IFERROR(D166/D150,"")))</f>
        <v/>
      </c>
      <c r="E167" s="15">
        <f>IF(OR(E166="",E150=""),"",IF(E150&lt;=0,"",IFERROR(E166/E150,"")))</f>
        <v/>
      </c>
      <c r="F167" s="15">
        <f>IF(OR(F166="",F150=""),"",IF(F150&lt;=0,"",IFERROR(F166/F150,"")))</f>
        <v/>
      </c>
      <c r="G167" s="15">
        <f>IF(OR(G166="",G150=""),"",IF(G150&lt;=0,"",IFERROR(G166/G150,"")))</f>
        <v/>
      </c>
      <c r="H167" s="15">
        <f>IF(OR(H166="",H150=""),"",IF(H150&lt;=0,"",IFERROR(H166/H150,"")))</f>
        <v/>
      </c>
      <c r="I167" s="15">
        <f>IF(OR(I166="",I150=""),"",IF(I150&lt;=0,"",IFERROR(I166/I150,"")))</f>
        <v/>
      </c>
      <c r="V167" s="15">
        <f>IF(OR(V166="",V150=""),"",IF(V150&lt;=0,"",IFERROR(V166/V150,"")))</f>
        <v/>
      </c>
      <c r="W167" s="15">
        <f>IF(OR(W166="",W150=""),"",IF(W150&lt;=0,"",IFERROR(W166/W150,"")))</f>
        <v/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IF(OR(G166="",C166=""),"",IF(C166&lt;=0,"",IFERROR(G166/C166-1,"")))</f>
        <v/>
      </c>
      <c r="H168" s="15">
        <f>IF(OR(H166="",D166=""),"",IF(D166&lt;=0,"",IFERROR(H166/D166-1,"")))</f>
        <v/>
      </c>
      <c r="I168" s="15">
        <f>IF(OR(I166="",E166=""),"",IF(E166&lt;=0,"",IFERROR(I166/E166-1,"")))</f>
        <v/>
      </c>
      <c r="V168" s="15">
        <f>IF(OR(V166="",U166=""),"",IF(U166&lt;=0,"",IFERROR(V166/U166-1,"")))</f>
        <v/>
      </c>
      <c r="W168" s="15">
        <f>IF(OR(W166="",V166=""),"",IF(V166&lt;=0,"",IFERROR(W166/V166-1,"")))</f>
        <v/>
      </c>
    </row>
    <row r="169">
      <c r="A169" s="18" t="inlineStr">
        <is>
          <t>EntityTotalMember · 영업이익</t>
        </is>
      </c>
      <c r="F169" s="20" t="n">
        <v>28750</v>
      </c>
      <c r="J169" s="20" t="n">
        <v>47679</v>
      </c>
      <c r="N169" s="20" t="n">
        <v>31309</v>
      </c>
    </row>
    <row r="170">
      <c r="A170" s="18" t="inlineStr">
        <is>
          <t>DomesticEnergyReportableSegmentMember · 지분법이익</t>
        </is>
      </c>
      <c r="C170" s="20" t="n">
        <v>948</v>
      </c>
      <c r="D170" s="20" t="n">
        <v>2096</v>
      </c>
      <c r="E170" s="20" t="n">
        <v>838</v>
      </c>
      <c r="F170" s="20" t="n">
        <v>1532</v>
      </c>
      <c r="G170" s="20" t="n">
        <v>-255</v>
      </c>
      <c r="H170" s="20" t="n">
        <v>2</v>
      </c>
      <c r="I170" s="20" t="n">
        <v>1392</v>
      </c>
      <c r="J170" s="20" t="n">
        <v>955</v>
      </c>
      <c r="K170" s="20" t="n">
        <v>444</v>
      </c>
      <c r="L170" s="20" t="n">
        <v>630</v>
      </c>
      <c r="M170" s="20" t="n">
        <v>1162</v>
      </c>
      <c r="N170" s="20" t="n">
        <v>-586</v>
      </c>
      <c r="V170" s="20" t="n">
        <v>838</v>
      </c>
      <c r="W170" s="20" t="n">
        <v>1392</v>
      </c>
      <c r="X170" s="20" t="n">
        <v>1162</v>
      </c>
    </row>
    <row r="171">
      <c r="A171" s="18" t="inlineStr">
        <is>
          <t>InternationalEnergyReportableSegmentsMember · 지분법이익</t>
        </is>
      </c>
      <c r="C171" s="20" t="n">
        <v>5480</v>
      </c>
      <c r="D171" s="20" t="n">
        <v>7549</v>
      </c>
      <c r="E171" s="20" t="n">
        <v>10592</v>
      </c>
      <c r="F171" s="20" t="n">
        <v>7800</v>
      </c>
      <c r="G171" s="20" t="n">
        <v>3859</v>
      </c>
      <c r="H171" s="20" t="n">
        <v>6323</v>
      </c>
      <c r="I171" s="20" t="n">
        <v>-1</v>
      </c>
      <c r="J171" s="20" t="n">
        <v>10344</v>
      </c>
      <c r="K171" s="20" t="n">
        <v>2653</v>
      </c>
      <c r="L171" s="20" t="n">
        <v>10676</v>
      </c>
      <c r="M171" s="20" t="n">
        <v>-2927</v>
      </c>
      <c r="N171" s="20" t="n">
        <v>10431</v>
      </c>
      <c r="V171" s="20" t="n">
        <v>10592</v>
      </c>
      <c r="W171" s="20" t="n">
        <v>-1</v>
      </c>
      <c r="X171" s="20" t="n">
        <v>-2927</v>
      </c>
    </row>
    <row r="172">
      <c r="A172" s="18" t="inlineStr">
        <is>
          <t>LifeAndBusinessSolutionsReportableSegmentsMember · 지분법이익</t>
        </is>
      </c>
      <c r="C172" s="20" t="n">
        <v>0</v>
      </c>
      <c r="D172" s="20" t="n">
        <v>0</v>
      </c>
      <c r="E172" s="20" t="n">
        <v>0</v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0</v>
      </c>
      <c r="K172" s="20" t="n">
        <v>0</v>
      </c>
      <c r="L172" s="20" t="n">
        <v>0</v>
      </c>
      <c r="M172" s="20" t="n">
        <v>0</v>
      </c>
      <c r="N172" s="20" t="n">
        <v>0</v>
      </c>
      <c r="V172" s="20" t="n">
        <v>0</v>
      </c>
      <c r="W172" s="20" t="n">
        <v>0</v>
      </c>
      <c r="X172" s="20" t="n">
        <v>0</v>
      </c>
    </row>
    <row r="173">
      <c r="A173" s="18" t="inlineStr">
        <is>
          <t>합계 · 지분법이익</t>
        </is>
      </c>
      <c r="C173" s="20" t="n">
        <v>6429</v>
      </c>
      <c r="D173" s="20" t="n">
        <v>9646</v>
      </c>
      <c r="E173" s="20" t="n">
        <v>11429</v>
      </c>
      <c r="F173" s="20" t="n">
        <v>9333</v>
      </c>
      <c r="G173" s="20" t="n">
        <v>3604</v>
      </c>
      <c r="H173" s="20" t="n">
        <v>6325</v>
      </c>
      <c r="I173" s="20" t="n">
        <v>1391</v>
      </c>
      <c r="J173" s="20" t="n">
        <v>11300</v>
      </c>
      <c r="K173" s="20" t="n">
        <v>3097</v>
      </c>
      <c r="L173" s="20" t="n">
        <v>11305</v>
      </c>
      <c r="M173" s="20" t="n">
        <v>-1764</v>
      </c>
      <c r="N173" s="20" t="n">
        <v>9845</v>
      </c>
      <c r="V173" s="20" t="n">
        <v>11429</v>
      </c>
      <c r="W173" s="20" t="n">
        <v>1391</v>
      </c>
      <c r="X173" s="20" t="n">
        <v>-1764</v>
      </c>
    </row>
    <row r="174">
      <c r="A174" s="18" t="inlineStr">
        <is>
          <t>조정액 · 지분법이익</t>
        </is>
      </c>
      <c r="C174" s="20" t="n">
        <v>0</v>
      </c>
      <c r="D174" s="20" t="n">
        <v>0</v>
      </c>
      <c r="E174" s="20" t="n">
        <v>0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0</v>
      </c>
      <c r="K174" s="20" t="n">
        <v>0</v>
      </c>
      <c r="L174" s="20" t="n">
        <v>0</v>
      </c>
      <c r="M174" s="20" t="n">
        <v>0</v>
      </c>
      <c r="N174" s="20" t="n">
        <v>0</v>
      </c>
      <c r="V174" s="20" t="n">
        <v>0</v>
      </c>
      <c r="W174" s="20" t="n">
        <v>0</v>
      </c>
      <c r="X174" s="20" t="n">
        <v>0</v>
      </c>
    </row>
    <row r="175">
      <c r="A175" s="18" t="inlineStr">
        <is>
          <t>지분법이익</t>
        </is>
      </c>
      <c r="C175" s="20" t="n">
        <v>6429</v>
      </c>
      <c r="D175" s="20" t="n">
        <v>9646</v>
      </c>
      <c r="E175" s="20" t="n">
        <v>11429</v>
      </c>
      <c r="F175" s="20" t="n">
        <v>9333</v>
      </c>
      <c r="G175" s="20" t="n">
        <v>3604</v>
      </c>
      <c r="H175" s="20" t="n">
        <v>6325</v>
      </c>
      <c r="I175" s="20" t="n">
        <v>1391</v>
      </c>
      <c r="V175" s="20" t="n">
        <v>11429</v>
      </c>
      <c r="W175" s="20" t="n">
        <v>1391</v>
      </c>
    </row>
    <row r="176">
      <c r="A176" s="18" t="inlineStr">
        <is>
          <t>EntityTotalMember · 지분법이익</t>
        </is>
      </c>
      <c r="F176" s="20" t="n">
        <v>9333</v>
      </c>
      <c r="J176" s="20" t="n">
        <v>11300</v>
      </c>
      <c r="N176" s="20" t="n">
        <v>9845</v>
      </c>
    </row>
    <row r="177">
      <c r="A177" s="18" t="inlineStr">
        <is>
          <t>DomesticEnergyReportableSegmentMember · 계</t>
        </is>
      </c>
      <c r="D177" s="20" t="n">
        <v>22078</v>
      </c>
      <c r="H177" s="20" t="n">
        <v>26309</v>
      </c>
      <c r="L177" s="20" t="n">
        <v>23066</v>
      </c>
    </row>
    <row r="178">
      <c r="A178" s="43" t="inlineStr">
        <is>
          <t>OPM</t>
        </is>
      </c>
      <c r="B178" s="3" t="inlineStr">
        <is>
          <t>영업이익 ÷ 매출</t>
        </is>
      </c>
      <c r="D178" s="15">
        <f>IF(OR(D177="",D141=""),"",IF(D141&lt;=0,"",IFERROR(D177/D141,"")))</f>
        <v/>
      </c>
      <c r="H178" s="15">
        <f>IF(OR(H177="",H141=""),"",IF(H141&lt;=0,"",IFERROR(H177/H141,"")))</f>
        <v/>
      </c>
      <c r="L178" s="15">
        <f>IF(OR(L177="",L141=""),"",IF(L141&lt;=0,"",IFERROR(L177/L141,"")))</f>
        <v/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H179" s="15">
        <f>IF(OR(H177="",D177=""),"",IF(D177&lt;=0,"",IFERROR(H177/D177-1,"")))</f>
        <v/>
      </c>
      <c r="L179" s="15">
        <f>IF(OR(L177="",H177=""),"",IF(H177&lt;=0,"",IFERROR(L177/H177-1,"")))</f>
        <v/>
      </c>
    </row>
    <row r="180">
      <c r="A180" s="18" t="inlineStr">
        <is>
          <t>InternationalEnergyReportableSegmentsMember · 계</t>
        </is>
      </c>
      <c r="D180" s="20" t="n">
        <v>23562</v>
      </c>
      <c r="H180" s="20" t="n">
        <v>19574</v>
      </c>
      <c r="L180" s="20" t="n">
        <v>26132</v>
      </c>
    </row>
    <row r="181">
      <c r="A181" s="43" t="inlineStr">
        <is>
          <t>OPM</t>
        </is>
      </c>
      <c r="B181" s="3" t="inlineStr">
        <is>
          <t>영업이익 ÷ 매출</t>
        </is>
      </c>
      <c r="D181" s="15">
        <f>IF(OR(D180="",D143=""),"",IF(D143&lt;=0,"",IFERROR(D180/D143,"")))</f>
        <v/>
      </c>
      <c r="H181" s="15">
        <f>IF(OR(H180="",H143=""),"",IF(H143&lt;=0,"",IFERROR(H180/H143,"")))</f>
        <v/>
      </c>
      <c r="L181" s="15">
        <f>IF(OR(L180="",L143=""),"",IF(L143&lt;=0,"",IFERROR(L180/L143,"")))</f>
        <v/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H182" s="15">
        <f>IF(OR(H180="",D180=""),"",IF(D180&lt;=0,"",IFERROR(H180/D180-1,"")))</f>
        <v/>
      </c>
      <c r="L182" s="15">
        <f>IF(OR(L180="",H180=""),"",IF(H180&lt;=0,"",IFERROR(L180/H180-1,"")))</f>
        <v/>
      </c>
    </row>
    <row r="183">
      <c r="A183" s="18" t="inlineStr">
        <is>
          <t>LifeAndBusinessSolutionsReportableSegmentsMember · 계</t>
        </is>
      </c>
      <c r="D183" s="20" t="n">
        <v>7285</v>
      </c>
      <c r="H183" s="20" t="n">
        <v>4096</v>
      </c>
      <c r="L183" s="20" t="n">
        <v>5577</v>
      </c>
    </row>
    <row r="184">
      <c r="A184" s="43" t="inlineStr">
        <is>
          <t>OPM</t>
        </is>
      </c>
      <c r="B184" s="3" t="inlineStr">
        <is>
          <t>영업이익 ÷ 매출</t>
        </is>
      </c>
      <c r="D184" s="15">
        <f>IF(OR(D183="",D145=""),"",IF(D145&lt;=0,"",IFERROR(D183/D145,"")))</f>
        <v/>
      </c>
      <c r="H184" s="15">
        <f>IF(OR(H183="",H145=""),"",IF(H145&lt;=0,"",IFERROR(H183/H145,"")))</f>
        <v/>
      </c>
      <c r="L184" s="15">
        <f>IF(OR(L183="",L145=""),"",IF(L145&lt;=0,"",IFERROR(L183/L145,"")))</f>
        <v/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H185" s="15">
        <f>IF(OR(H183="",D183=""),"",IF(D183&lt;=0,"",IFERROR(H183/D183-1,"")))</f>
        <v/>
      </c>
      <c r="L185" s="15">
        <f>IF(OR(L183="",H183=""),"",IF(H183&lt;=0,"",IFERROR(L183/H183-1,"")))</f>
        <v/>
      </c>
    </row>
    <row r="186">
      <c r="A186" s="18" t="inlineStr">
        <is>
          <t>합계 · 계</t>
        </is>
      </c>
      <c r="D186" s="20" t="n">
        <v>52925</v>
      </c>
      <c r="H186" s="20" t="n">
        <v>49979</v>
      </c>
      <c r="L186" s="20" t="n">
        <v>54776</v>
      </c>
    </row>
    <row r="187">
      <c r="A187" s="43" t="inlineStr">
        <is>
          <t>OPM</t>
        </is>
      </c>
      <c r="B187" s="3" t="inlineStr">
        <is>
          <t>영업이익 ÷ 매출</t>
        </is>
      </c>
      <c r="D187" s="15">
        <f>IF(OR(D186="",D147=""),"",IF(D147&lt;=0,"",IFERROR(D186/D147,"")))</f>
        <v/>
      </c>
      <c r="H187" s="15">
        <f>IF(OR(H186="",H147=""),"",IF(H147&lt;=0,"",IFERROR(H186/H147,"")))</f>
        <v/>
      </c>
      <c r="L187" s="15">
        <f>IF(OR(L186="",L147=""),"",IF(L147&lt;=0,"",IFERROR(L186/L147,"")))</f>
        <v/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H188" s="15">
        <f>IF(OR(H186="",D186=""),"",IF(D186&lt;=0,"",IFERROR(H186/D186-1,"")))</f>
        <v/>
      </c>
      <c r="L188" s="15">
        <f>IF(OR(L186="",H186=""),"",IF(H186&lt;=0,"",IFERROR(L186/H186-1,"")))</f>
        <v/>
      </c>
    </row>
    <row r="189">
      <c r="A189" s="18" t="inlineStr">
        <is>
          <t>조정액 · 계</t>
        </is>
      </c>
      <c r="D189" s="20" t="n">
        <v>682</v>
      </c>
      <c r="H189" s="20" t="n">
        <v>913</v>
      </c>
      <c r="L189" s="20" t="n">
        <v>607</v>
      </c>
    </row>
    <row r="190">
      <c r="A190" s="18" t="inlineStr">
        <is>
          <t>계</t>
        </is>
      </c>
      <c r="D190" s="20" t="n">
        <v>53607</v>
      </c>
      <c r="H190" s="20" t="n">
        <v>50892</v>
      </c>
    </row>
    <row r="191">
      <c r="A191" s="18" t="inlineStr">
        <is>
          <t>DomesticEnergyReportableSegmentMember · 계</t>
        </is>
      </c>
      <c r="F191" s="20" t="n">
        <v>12985</v>
      </c>
      <c r="J191" s="20" t="n">
        <v>26600</v>
      </c>
      <c r="N191" s="20" t="n">
        <v>3985</v>
      </c>
    </row>
    <row r="192">
      <c r="A192" s="43" t="inlineStr">
        <is>
          <t>OPM</t>
        </is>
      </c>
      <c r="B192" s="3" t="inlineStr">
        <is>
          <t>영업이익 ÷ 매출</t>
        </is>
      </c>
      <c r="F192" s="15">
        <f>IF(OR(F191="",F141=""),"",IF(F141&lt;=0,"",IFERROR(F191/F141,"")))</f>
        <v/>
      </c>
      <c r="J192" s="15">
        <f>IF(OR(J191="",J141=""),"",IF(J141&lt;=0,"",IFERROR(J191/J141,"")))</f>
        <v/>
      </c>
      <c r="N192" s="15">
        <f>IF(OR(N191="",N141=""),"",IF(N141&lt;=0,"",IFERROR(N191/N141,"")))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J193" s="15">
        <f>IF(OR(J191="",F191=""),"",IF(F191&lt;=0,"",IFERROR(J191/F191-1,"")))</f>
        <v/>
      </c>
      <c r="N193" s="15">
        <f>IF(OR(N191="",J191=""),"",IF(J191&lt;=0,"",IFERROR(N191/J191-1,"")))</f>
        <v/>
      </c>
    </row>
    <row r="194">
      <c r="A194" s="18" t="inlineStr">
        <is>
          <t>InternationalEnergyReportableSegmentsMember · 계</t>
        </is>
      </c>
      <c r="F194" s="20" t="n">
        <v>17580</v>
      </c>
      <c r="J194" s="20" t="n">
        <v>26529</v>
      </c>
      <c r="N194" s="20" t="n">
        <v>26781</v>
      </c>
    </row>
    <row r="195">
      <c r="A195" s="43" t="inlineStr">
        <is>
          <t>OPM</t>
        </is>
      </c>
      <c r="B195" s="3" t="inlineStr">
        <is>
          <t>영업이익 ÷ 매출</t>
        </is>
      </c>
      <c r="F195" s="15">
        <f>IF(OR(F194="",F143=""),"",IF(F143&lt;=0,"",IFERROR(F194/F143,"")))</f>
        <v/>
      </c>
      <c r="J195" s="15">
        <f>IF(OR(J194="",J143=""),"",IF(J143&lt;=0,"",IFERROR(J194/J143,"")))</f>
        <v/>
      </c>
      <c r="N195" s="15">
        <f>IF(OR(N194="",N143=""),"",IF(N143&lt;=0,"",IFERROR(N194/N143,"")))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J196" s="15">
        <f>IF(OR(J194="",F194=""),"",IF(F194&lt;=0,"",IFERROR(J194/F194-1,"")))</f>
        <v/>
      </c>
      <c r="N196" s="15">
        <f>IF(OR(N194="",J194=""),"",IF(J194&lt;=0,"",IFERROR(N194/J194-1,"")))</f>
        <v/>
      </c>
    </row>
    <row r="197">
      <c r="A197" s="18" t="inlineStr">
        <is>
          <t>LifeAndBusinessSolutionsReportableSegmentsMember · 계</t>
        </is>
      </c>
      <c r="F197" s="20" t="n">
        <v>5163</v>
      </c>
      <c r="J197" s="20" t="n">
        <v>4571</v>
      </c>
      <c r="N197" s="20" t="n">
        <v>6124</v>
      </c>
    </row>
    <row r="198">
      <c r="A198" s="43" t="inlineStr">
        <is>
          <t>OPM</t>
        </is>
      </c>
      <c r="B198" s="3" t="inlineStr">
        <is>
          <t>영업이익 ÷ 매출</t>
        </is>
      </c>
      <c r="F198" s="15">
        <f>IF(OR(F197="",F145=""),"",IF(F145&lt;=0,"",IFERROR(F197/F145,"")))</f>
        <v/>
      </c>
      <c r="J198" s="15">
        <f>IF(OR(J197="",J145=""),"",IF(J145&lt;=0,"",IFERROR(J197/J145,"")))</f>
        <v/>
      </c>
      <c r="N198" s="15">
        <f>IF(OR(N197="",N145=""),"",IF(N145&lt;=0,"",IFERROR(N197/N145,"")))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J199" s="15">
        <f>IF(OR(J197="",F197=""),"",IF(F197&lt;=0,"",IFERROR(J197/F197-1,"")))</f>
        <v/>
      </c>
      <c r="N199" s="15">
        <f>IF(OR(N197="",J197=""),"",IF(J197&lt;=0,"",IFERROR(N197/J197-1,"")))</f>
        <v/>
      </c>
    </row>
    <row r="200">
      <c r="A200" s="18" t="inlineStr">
        <is>
          <t>합계 · 계</t>
        </is>
      </c>
      <c r="F200" s="20" t="n">
        <v>35729</v>
      </c>
      <c r="J200" s="20" t="n">
        <v>57700</v>
      </c>
      <c r="N200" s="20" t="n">
        <v>36891</v>
      </c>
    </row>
    <row r="201">
      <c r="A201" s="43" t="inlineStr">
        <is>
          <t>OPM</t>
        </is>
      </c>
      <c r="B201" s="3" t="inlineStr">
        <is>
          <t>영업이익 ÷ 매출</t>
        </is>
      </c>
      <c r="F201" s="15">
        <f>IF(OR(F200="",F147=""),"",IF(F147&lt;=0,"",IFERROR(F200/F147,"")))</f>
        <v/>
      </c>
      <c r="J201" s="15">
        <f>IF(OR(J200="",J147=""),"",IF(J147&lt;=0,"",IFERROR(J200/J147,"")))</f>
        <v/>
      </c>
      <c r="N201" s="15">
        <f>IF(OR(N200="",N147=""),"",IF(N147&lt;=0,"",IFERROR(N200/N147,"")))</f>
        <v/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J202" s="15">
        <f>IF(OR(J200="",F200=""),"",IF(F200&lt;=0,"",IFERROR(J200/F200-1,"")))</f>
        <v/>
      </c>
      <c r="N202" s="15">
        <f>IF(OR(N200="",J200=""),"",IF(J200&lt;=0,"",IFERROR(N200/J200-1,"")))</f>
        <v/>
      </c>
    </row>
    <row r="203">
      <c r="A203" s="18" t="inlineStr">
        <is>
          <t>조정액 · 계</t>
        </is>
      </c>
      <c r="F203" s="20" t="n">
        <v>2353</v>
      </c>
      <c r="J203" s="20" t="n">
        <v>1279</v>
      </c>
      <c r="N203" s="20" t="n">
        <v>4263</v>
      </c>
    </row>
    <row r="204">
      <c r="A204" s="18" t="inlineStr">
        <is>
          <t>계</t>
        </is>
      </c>
      <c r="F204" s="20" t="n">
        <v>38083</v>
      </c>
    </row>
    <row r="205">
      <c r="A205" s="18" t="inlineStr">
        <is>
          <t>EntityTotalMember · 계</t>
        </is>
      </c>
      <c r="F205" s="20" t="n">
        <v>38083</v>
      </c>
      <c r="J205" s="20" t="n">
        <v>58980</v>
      </c>
      <c r="N205" s="20" t="n">
        <v>41154</v>
      </c>
    </row>
    <row r="207">
      <c r="A207" s="16" t="inlineStr">
        <is>
          <t>현금흐름표 · 전 항목</t>
        </is>
      </c>
      <c r="B207" s="42" t="inlineStr">
        <is>
          <t>분기 = 결산기 첫날부터 누계(공시 그대로)</t>
        </is>
      </c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</row>
    <row r="208">
      <c r="A208" s="5" t="inlineStr">
        <is>
          <t>항목</t>
        </is>
      </c>
      <c r="B208" s="5" t="inlineStr">
        <is>
          <t>참고</t>
        </is>
      </c>
      <c r="C208" s="5" t="inlineStr">
        <is>
          <t>2024.2Q</t>
        </is>
      </c>
      <c r="D208" s="5" t="inlineStr">
        <is>
          <t>2024.3Q</t>
        </is>
      </c>
      <c r="E208" s="5" t="inlineStr">
        <is>
          <t>2024.4Q</t>
        </is>
      </c>
      <c r="F208" s="5" t="inlineStr">
        <is>
          <t>2025.1Q</t>
        </is>
      </c>
      <c r="G208" s="5" t="inlineStr">
        <is>
          <t>2025.2Q</t>
        </is>
      </c>
      <c r="H208" s="5" t="inlineStr">
        <is>
          <t>2025.3Q</t>
        </is>
      </c>
      <c r="I208" s="5" t="inlineStr">
        <is>
          <t>2025.4Q</t>
        </is>
      </c>
      <c r="J208" s="5" t="inlineStr">
        <is>
          <t>2026.1Q</t>
        </is>
      </c>
      <c r="K208" s="5" t="inlineStr">
        <is>
          <t>2026.2Q</t>
        </is>
      </c>
      <c r="L208" s="5" t="inlineStr">
        <is>
          <t>2026.3Q</t>
        </is>
      </c>
      <c r="M208" s="5" t="inlineStr">
        <is>
          <t>2026.4Q</t>
        </is>
      </c>
      <c r="N208" s="5" t="inlineStr">
        <is>
          <t>2027.1Q</t>
        </is>
      </c>
      <c r="O208" s="5" t="inlineStr">
        <is>
          <t>2017</t>
        </is>
      </c>
      <c r="P208" s="5" t="inlineStr">
        <is>
          <t>2018</t>
        </is>
      </c>
      <c r="Q208" s="5" t="inlineStr">
        <is>
          <t>2019</t>
        </is>
      </c>
      <c r="R208" s="5" t="inlineStr">
        <is>
          <t>2020</t>
        </is>
      </c>
      <c r="S208" s="5" t="inlineStr">
        <is>
          <t>2021</t>
        </is>
      </c>
      <c r="T208" s="5" t="inlineStr">
        <is>
          <t>2022</t>
        </is>
      </c>
      <c r="U208" s="5" t="inlineStr">
        <is>
          <t>2023</t>
        </is>
      </c>
      <c r="V208" s="5" t="inlineStr">
        <is>
          <t>2024</t>
        </is>
      </c>
      <c r="W208" s="5" t="inlineStr">
        <is>
          <t>2025</t>
        </is>
      </c>
      <c r="X208" s="5" t="inlineStr">
        <is>
          <t>2026</t>
        </is>
      </c>
      <c r="Y208" s="5" t="inlineStr">
        <is>
          <t>2027(MW)</t>
        </is>
      </c>
      <c r="Z208" s="5" t="inlineStr">
        <is>
          <t>2028(MW)</t>
        </is>
      </c>
      <c r="AA208" s="5" t="inlineStr">
        <is>
          <t>2029(MW)</t>
        </is>
      </c>
      <c r="AB208" s="5" t="inlineStr">
        <is>
          <t>2030(MW)</t>
        </is>
      </c>
      <c r="AC208" s="5" t="inlineStr">
        <is>
          <t>2031(MW)</t>
        </is>
      </c>
    </row>
    <row r="209">
      <c r="A209" s="9" t="inlineStr">
        <is>
          <t>법인세차감전 순이익</t>
        </is>
      </c>
      <c r="E209" s="12" t="n">
        <v>196017</v>
      </c>
      <c r="I209" s="12" t="n">
        <v>189250</v>
      </c>
      <c r="M209" s="12" t="n">
        <v>202892</v>
      </c>
      <c r="O209" s="12" t="n">
        <v>91596</v>
      </c>
      <c r="P209" s="12" t="n">
        <v>65837</v>
      </c>
      <c r="Q209" s="12" t="n">
        <v>52064</v>
      </c>
      <c r="R209" s="12" t="n">
        <v>70449</v>
      </c>
      <c r="S209" s="12" t="n">
        <v>108735</v>
      </c>
      <c r="T209" s="12" t="n">
        <v>119002</v>
      </c>
      <c r="U209" s="12" t="n">
        <v>83710</v>
      </c>
      <c r="V209" s="12" t="n">
        <v>196017</v>
      </c>
      <c r="W209" s="12" t="n">
        <v>189250</v>
      </c>
      <c r="X209" s="12" t="n">
        <v>202892</v>
      </c>
    </row>
    <row r="210">
      <c r="A210" s="18" t="inlineStr">
        <is>
          <t>감가상각비</t>
        </is>
      </c>
      <c r="E210" s="20" t="n">
        <v>123565</v>
      </c>
      <c r="I210" s="20" t="n">
        <v>127549</v>
      </c>
      <c r="M210" s="20" t="n">
        <v>135138</v>
      </c>
      <c r="O210" s="20" t="n">
        <v>86206</v>
      </c>
      <c r="P210" s="20" t="n">
        <v>86378</v>
      </c>
      <c r="Q210" s="20" t="n">
        <v>99745</v>
      </c>
      <c r="R210" s="20" t="n">
        <v>91925</v>
      </c>
      <c r="S210" s="20" t="n">
        <v>101444</v>
      </c>
      <c r="T210" s="20" t="n">
        <v>108902</v>
      </c>
      <c r="U210" s="20" t="n">
        <v>119823</v>
      </c>
      <c r="V210" s="20" t="n">
        <v>123565</v>
      </c>
      <c r="W210" s="20" t="n">
        <v>127549</v>
      </c>
      <c r="X210" s="20" t="n">
        <v>135138</v>
      </c>
    </row>
    <row r="211">
      <c r="A211" s="18" t="inlineStr">
        <is>
          <t>영업권 상각</t>
        </is>
      </c>
      <c r="P211" s="20" t="n">
        <v>2344</v>
      </c>
      <c r="Q211" s="20" t="n">
        <v>11381</v>
      </c>
    </row>
    <row r="212">
      <c r="A212" s="18" t="inlineStr">
        <is>
          <t>장기선급비용 상각액</t>
        </is>
      </c>
      <c r="E212" s="20" t="n">
        <v>6437</v>
      </c>
      <c r="I212" s="20" t="n">
        <v>6329</v>
      </c>
      <c r="M212" s="20" t="n">
        <v>6211</v>
      </c>
      <c r="O212" s="20" t="n">
        <v>5389</v>
      </c>
      <c r="P212" s="20" t="n">
        <v>5207</v>
      </c>
      <c r="Q212" s="20" t="n">
        <v>5000</v>
      </c>
      <c r="R212" s="20" t="n">
        <v>5159</v>
      </c>
      <c r="S212" s="20" t="n">
        <v>5106</v>
      </c>
      <c r="T212" s="20" t="n">
        <v>5431</v>
      </c>
      <c r="U212" s="20" t="n">
        <v>5687</v>
      </c>
      <c r="V212" s="20" t="n">
        <v>6437</v>
      </c>
      <c r="W212" s="20" t="n">
        <v>6329</v>
      </c>
      <c r="X212" s="20" t="n">
        <v>6211</v>
      </c>
    </row>
    <row r="213">
      <c r="A213" s="18" t="inlineStr">
        <is>
          <t>자회사 주식 매각손실</t>
        </is>
      </c>
      <c r="O213" s="20" t="n">
        <v>0</v>
      </c>
      <c r="P213" s="20" t="n">
        <v>2227</v>
      </c>
      <c r="Q213" s="20" t="n">
        <v>0</v>
      </c>
    </row>
    <row r="214">
      <c r="A214" s="18" t="inlineStr">
        <is>
          <t>손상차손</t>
        </is>
      </c>
      <c r="E214" s="20" t="n">
        <v>20194</v>
      </c>
      <c r="I214" s="20" t="n">
        <v>14397</v>
      </c>
      <c r="M214" s="20" t="n">
        <v>23396</v>
      </c>
      <c r="O214" s="20" t="n">
        <v>1744</v>
      </c>
      <c r="P214" s="20" t="n">
        <v>11249</v>
      </c>
      <c r="Q214" s="20" t="n">
        <v>0</v>
      </c>
      <c r="R214" s="20" t="n">
        <v>15568</v>
      </c>
      <c r="S214" s="20" t="n">
        <v>19016</v>
      </c>
      <c r="T214" s="20" t="n">
        <v>16013</v>
      </c>
      <c r="U214" s="20" t="n">
        <v>4470</v>
      </c>
      <c r="V214" s="20" t="n">
        <v>20194</v>
      </c>
      <c r="W214" s="20" t="n">
        <v>14397</v>
      </c>
      <c r="X214" s="20" t="n">
        <v>23396</v>
      </c>
    </row>
    <row r="215">
      <c r="A215" s="18" t="inlineStr">
        <is>
          <t>사업구조개선비용</t>
        </is>
      </c>
      <c r="O215" s="20" t="n">
        <v>2935</v>
      </c>
      <c r="P215" s="20" t="n">
        <v>0</v>
      </c>
    </row>
    <row r="216">
      <c r="A216" s="18" t="inlineStr">
        <is>
          <t>재해 손실</t>
        </is>
      </c>
      <c r="E216" s="20" t="n">
        <v>4835</v>
      </c>
      <c r="I216" s="20" t="n">
        <v>0</v>
      </c>
      <c r="U216" s="20" t="n">
        <v>0</v>
      </c>
      <c r="V216" s="20" t="n">
        <v>4835</v>
      </c>
      <c r="W216" s="20" t="n">
        <v>0</v>
      </c>
    </row>
    <row r="217">
      <c r="A217" s="18" t="inlineStr">
        <is>
          <t>관계회사 주식 매각손익</t>
        </is>
      </c>
      <c r="E217" s="20" t="n">
        <v>5515</v>
      </c>
      <c r="I217" s="20" t="n">
        <v>0</v>
      </c>
      <c r="M217" s="20" t="n">
        <v>-12328</v>
      </c>
      <c r="U217" s="20" t="n">
        <v>0</v>
      </c>
      <c r="V217" s="20" t="n">
        <v>5515</v>
      </c>
      <c r="W217" s="20" t="n">
        <v>0</v>
      </c>
      <c r="X217" s="20" t="n">
        <v>-12328</v>
      </c>
    </row>
    <row r="218">
      <c r="A218" s="18" t="inlineStr">
        <is>
          <t>투자유가증권 매각손익</t>
        </is>
      </c>
      <c r="E218" s="20" t="n">
        <v>-3028</v>
      </c>
      <c r="I218" s="20" t="n">
        <v>-25406</v>
      </c>
      <c r="M218" s="20" t="n">
        <v>0</v>
      </c>
      <c r="T218" s="20" t="n">
        <v>-3319</v>
      </c>
      <c r="U218" s="20" t="n">
        <v>-17418</v>
      </c>
      <c r="V218" s="20" t="n">
        <v>-3028</v>
      </c>
      <c r="W218" s="20" t="n">
        <v>-25406</v>
      </c>
      <c r="X218" s="20" t="n">
        <v>0</v>
      </c>
    </row>
    <row r="219">
      <c r="A219" s="18" t="inlineStr">
        <is>
          <t>고정자산 압축손실</t>
        </is>
      </c>
      <c r="S219" s="20" t="n">
        <v>0</v>
      </c>
      <c r="T219" s="20" t="n">
        <v>2335</v>
      </c>
      <c r="U219" s="20" t="n">
        <v>0</v>
      </c>
    </row>
    <row r="220">
      <c r="A220" s="18" t="inlineStr">
        <is>
          <t>투자유가증권 평가손익</t>
        </is>
      </c>
      <c r="E220" s="20" t="n">
        <v>2311</v>
      </c>
      <c r="I220" s="20" t="n">
        <v>11406</v>
      </c>
      <c r="S220" s="20" t="n">
        <v>0</v>
      </c>
      <c r="T220" s="20" t="n">
        <v>2484</v>
      </c>
      <c r="V220" s="20" t="n">
        <v>2311</v>
      </c>
      <c r="W220" s="20" t="n">
        <v>11406</v>
      </c>
    </row>
    <row r="221">
      <c r="A221" s="18" t="inlineStr">
        <is>
          <t>퇴직급여자산 증감</t>
        </is>
      </c>
      <c r="E221" s="20" t="n">
        <v>-10890</v>
      </c>
      <c r="I221" s="20" t="n">
        <v>-14240</v>
      </c>
      <c r="M221" s="20" t="n">
        <v>-8373</v>
      </c>
      <c r="O221" s="20" t="n">
        <v>8221</v>
      </c>
      <c r="P221" s="20" t="n">
        <v>8828</v>
      </c>
      <c r="Q221" s="20" t="n">
        <v>3057</v>
      </c>
      <c r="R221" s="20" t="n">
        <v>-3511</v>
      </c>
      <c r="S221" s="20" t="n">
        <v>-3366</v>
      </c>
      <c r="T221" s="20" t="n">
        <v>-8502</v>
      </c>
      <c r="U221" s="20" t="n">
        <v>-11608</v>
      </c>
      <c r="V221" s="20" t="n">
        <v>-10890</v>
      </c>
      <c r="W221" s="20" t="n">
        <v>-14240</v>
      </c>
      <c r="X221" s="20" t="n">
        <v>-8373</v>
      </c>
    </row>
    <row r="222">
      <c r="A222" s="18" t="inlineStr">
        <is>
          <t>이자·배당금 수익</t>
        </is>
      </c>
      <c r="E222" s="20" t="n">
        <v>-14298</v>
      </c>
      <c r="I222" s="20" t="n">
        <v>-18737</v>
      </c>
      <c r="M222" s="20" t="n">
        <v>-17782</v>
      </c>
      <c r="O222" s="20" t="n">
        <v>-3550</v>
      </c>
      <c r="P222" s="20" t="n">
        <v>-4605</v>
      </c>
      <c r="Q222" s="20" t="n">
        <v>-5049</v>
      </c>
      <c r="R222" s="20" t="n">
        <v>-11332</v>
      </c>
      <c r="S222" s="20" t="n">
        <v>-5726</v>
      </c>
      <c r="T222" s="20" t="n">
        <v>-5196</v>
      </c>
      <c r="U222" s="20" t="n">
        <v>-8203</v>
      </c>
      <c r="V222" s="20" t="n">
        <v>-14298</v>
      </c>
      <c r="W222" s="20" t="n">
        <v>-18737</v>
      </c>
      <c r="X222" s="20" t="n">
        <v>-17782</v>
      </c>
    </row>
    <row r="223">
      <c r="A223" s="18" t="inlineStr">
        <is>
          <t>이자비용</t>
        </is>
      </c>
      <c r="E223" s="20" t="n">
        <v>14436</v>
      </c>
      <c r="I223" s="20" t="n">
        <v>15332</v>
      </c>
      <c r="M223" s="20" t="n">
        <v>13781</v>
      </c>
      <c r="O223" s="20" t="n">
        <v>9612</v>
      </c>
      <c r="P223" s="20" t="n">
        <v>9505</v>
      </c>
      <c r="Q223" s="20" t="n">
        <v>10126</v>
      </c>
      <c r="R223" s="20" t="n">
        <v>12192</v>
      </c>
      <c r="S223" s="20" t="n">
        <v>11087</v>
      </c>
      <c r="T223" s="20" t="n">
        <v>10400</v>
      </c>
      <c r="U223" s="20" t="n">
        <v>13167</v>
      </c>
      <c r="V223" s="20" t="n">
        <v>14436</v>
      </c>
      <c r="W223" s="20" t="n">
        <v>15332</v>
      </c>
      <c r="X223" s="20" t="n">
        <v>13781</v>
      </c>
    </row>
    <row r="224">
      <c r="A224" s="18" t="inlineStr">
        <is>
          <t>지분법손익</t>
        </is>
      </c>
      <c r="E224" s="20" t="n">
        <v>-31982</v>
      </c>
      <c r="I224" s="20" t="n">
        <v>-20653</v>
      </c>
      <c r="M224" s="20" t="n">
        <v>-23938</v>
      </c>
      <c r="Q224" s="20" t="n">
        <v>-1096</v>
      </c>
      <c r="R224" s="20" t="n">
        <v>-5225</v>
      </c>
      <c r="S224" s="20" t="n">
        <v>-13618</v>
      </c>
      <c r="T224" s="20" t="n">
        <v>-12841</v>
      </c>
      <c r="U224" s="20" t="n">
        <v>-12929</v>
      </c>
      <c r="V224" s="20" t="n">
        <v>-31982</v>
      </c>
      <c r="W224" s="20" t="n">
        <v>-20653</v>
      </c>
      <c r="X224" s="20" t="n">
        <v>-23938</v>
      </c>
    </row>
    <row r="225">
      <c r="A225" s="18" t="inlineStr">
        <is>
          <t>Loss Gain On Sales Of Investment Securities In Subsidiaries And Associates Ope CF</t>
        </is>
      </c>
      <c r="R225" s="20" t="n">
        <v>411</v>
      </c>
      <c r="S225" s="20" t="n">
        <v>-3694</v>
      </c>
      <c r="T225" s="20" t="n">
        <v>-17773</v>
      </c>
    </row>
    <row r="226">
      <c r="A226" s="18" t="inlineStr">
        <is>
          <t>고정자산 매각손익</t>
        </is>
      </c>
      <c r="I226" s="20" t="n">
        <v>0</v>
      </c>
      <c r="M226" s="20" t="n">
        <v>-2171</v>
      </c>
      <c r="W226" s="20" t="n">
        <v>0</v>
      </c>
      <c r="X226" s="20" t="n">
        <v>-2171</v>
      </c>
    </row>
    <row r="227">
      <c r="A227" s="18" t="inlineStr">
        <is>
          <t>매출채권 증감</t>
        </is>
      </c>
      <c r="E227" s="20" t="n">
        <v>13158</v>
      </c>
      <c r="I227" s="20" t="n">
        <v>-42741</v>
      </c>
      <c r="M227" s="20" t="n">
        <v>21069</v>
      </c>
      <c r="O227" s="20" t="n">
        <v>-11151</v>
      </c>
      <c r="P227" s="20" t="n">
        <v>-15519</v>
      </c>
      <c r="Q227" s="20" t="n">
        <v>-27714</v>
      </c>
      <c r="R227" s="20" t="n">
        <v>12239</v>
      </c>
      <c r="S227" s="20" t="n">
        <v>-1203</v>
      </c>
      <c r="T227" s="20" t="n">
        <v>-51737</v>
      </c>
      <c r="U227" s="20" t="n">
        <v>-47671</v>
      </c>
      <c r="V227" s="20" t="n">
        <v>13158</v>
      </c>
      <c r="W227" s="20" t="n">
        <v>-42741</v>
      </c>
      <c r="X227" s="20" t="n">
        <v>21069</v>
      </c>
    </row>
    <row r="228">
      <c r="A228" s="18" t="inlineStr">
        <is>
          <t>재고자산 증감</t>
        </is>
      </c>
      <c r="E228" s="20" t="n">
        <v>19647</v>
      </c>
      <c r="I228" s="20" t="n">
        <v>10033</v>
      </c>
      <c r="M228" s="20" t="n">
        <v>4816</v>
      </c>
      <c r="O228" s="20" t="n">
        <v>9166</v>
      </c>
      <c r="P228" s="20" t="n">
        <v>-8136</v>
      </c>
      <c r="Q228" s="20" t="n">
        <v>-35078</v>
      </c>
      <c r="R228" s="20" t="n">
        <v>4014</v>
      </c>
      <c r="S228" s="20" t="n">
        <v>26113</v>
      </c>
      <c r="T228" s="20" t="n">
        <v>-47701</v>
      </c>
      <c r="U228" s="20" t="n">
        <v>-65358</v>
      </c>
      <c r="V228" s="20" t="n">
        <v>19647</v>
      </c>
      <c r="W228" s="20" t="n">
        <v>10033</v>
      </c>
      <c r="X228" s="20" t="n">
        <v>4816</v>
      </c>
    </row>
    <row r="229">
      <c r="A229" s="18" t="inlineStr">
        <is>
          <t>매입채무 증감</t>
        </is>
      </c>
      <c r="E229" s="20" t="n">
        <v>12056</v>
      </c>
      <c r="I229" s="20" t="n">
        <v>17263</v>
      </c>
      <c r="M229" s="20" t="n">
        <v>-6709</v>
      </c>
      <c r="O229" s="20" t="n">
        <v>-3428</v>
      </c>
      <c r="P229" s="20" t="n">
        <v>10380</v>
      </c>
      <c r="Q229" s="20" t="n">
        <v>6895</v>
      </c>
      <c r="R229" s="20" t="n">
        <v>664</v>
      </c>
      <c r="S229" s="20" t="n">
        <v>1200</v>
      </c>
      <c r="T229" s="20" t="n">
        <v>41607</v>
      </c>
      <c r="U229" s="20" t="n">
        <v>-40794</v>
      </c>
      <c r="V229" s="20" t="n">
        <v>12056</v>
      </c>
      <c r="W229" s="20" t="n">
        <v>17263</v>
      </c>
      <c r="X229" s="20" t="n">
        <v>-6709</v>
      </c>
    </row>
    <row r="230">
      <c r="A230" s="18" t="inlineStr">
        <is>
          <t>미지급비용 증감</t>
        </is>
      </c>
      <c r="E230" s="20" t="n">
        <v>-6168</v>
      </c>
      <c r="I230" s="20" t="n">
        <v>766</v>
      </c>
      <c r="M230" s="20" t="n">
        <v>4209</v>
      </c>
      <c r="O230" s="20" t="n">
        <v>-968</v>
      </c>
      <c r="P230" s="20" t="n">
        <v>2276</v>
      </c>
      <c r="Q230" s="20" t="n">
        <v>6068</v>
      </c>
      <c r="R230" s="20" t="n">
        <v>3316</v>
      </c>
      <c r="S230" s="20" t="n">
        <v>-124</v>
      </c>
      <c r="T230" s="20" t="n">
        <v>11109</v>
      </c>
      <c r="U230" s="20" t="n">
        <v>11936</v>
      </c>
      <c r="V230" s="20" t="n">
        <v>-6168</v>
      </c>
      <c r="W230" s="20" t="n">
        <v>766</v>
      </c>
      <c r="X230" s="20" t="n">
        <v>4209</v>
      </c>
    </row>
    <row r="231">
      <c r="A231" s="18" t="inlineStr">
        <is>
          <t>미지급 소비세 증감</t>
        </is>
      </c>
      <c r="E231" s="20" t="n">
        <v>-9895</v>
      </c>
      <c r="I231" s="20" t="n">
        <v>6335</v>
      </c>
      <c r="M231" s="20" t="n">
        <v>-17036</v>
      </c>
      <c r="O231" s="20" t="n">
        <v>-11776</v>
      </c>
      <c r="P231" s="20" t="n">
        <v>4854</v>
      </c>
      <c r="Q231" s="20" t="n">
        <v>-4085</v>
      </c>
      <c r="R231" s="20" t="n">
        <v>4568</v>
      </c>
      <c r="U231" s="20" t="n">
        <v>-2858</v>
      </c>
      <c r="V231" s="20" t="n">
        <v>-9895</v>
      </c>
      <c r="W231" s="20" t="n">
        <v>6335</v>
      </c>
      <c r="X231" s="20" t="n">
        <v>-17036</v>
      </c>
    </row>
    <row r="232">
      <c r="A232" s="18" t="inlineStr">
        <is>
          <t>기타</t>
        </is>
      </c>
      <c r="E232" s="20" t="n">
        <v>11008</v>
      </c>
      <c r="I232" s="20" t="n">
        <v>-1775</v>
      </c>
      <c r="M232" s="20" t="n">
        <v>-9077</v>
      </c>
      <c r="O232" s="20" t="n">
        <v>9277</v>
      </c>
      <c r="P232" s="20" t="n">
        <v>24148</v>
      </c>
      <c r="Q232" s="20" t="n">
        <v>-19156</v>
      </c>
      <c r="R232" s="20" t="n">
        <v>512</v>
      </c>
      <c r="S232" s="20" t="n">
        <v>-5335</v>
      </c>
      <c r="T232" s="20" t="n">
        <v>-40738</v>
      </c>
      <c r="U232" s="20" t="n">
        <v>-678</v>
      </c>
      <c r="V232" s="20" t="n">
        <v>11008</v>
      </c>
      <c r="W232" s="20" t="n">
        <v>-1775</v>
      </c>
      <c r="X232" s="20" t="n">
        <v>-9077</v>
      </c>
    </row>
    <row r="233">
      <c r="A233" s="18" t="inlineStr">
        <is>
          <t>소계</t>
        </is>
      </c>
      <c r="E233" s="20" t="n">
        <v>352920</v>
      </c>
      <c r="I233" s="20" t="n">
        <v>263703</v>
      </c>
      <c r="M233" s="20" t="n">
        <v>314097</v>
      </c>
      <c r="O233" s="20" t="n">
        <v>193274</v>
      </c>
      <c r="P233" s="20" t="n">
        <v>193729</v>
      </c>
      <c r="Q233" s="20" t="n">
        <v>90776</v>
      </c>
      <c r="R233" s="20" t="n">
        <v>196384</v>
      </c>
      <c r="S233" s="20" t="n">
        <v>239635</v>
      </c>
      <c r="T233" s="20" t="n">
        <v>144768</v>
      </c>
      <c r="U233" s="20" t="n">
        <v>48692</v>
      </c>
      <c r="V233" s="20" t="n">
        <v>352920</v>
      </c>
      <c r="W233" s="20" t="n">
        <v>263703</v>
      </c>
      <c r="X233" s="20" t="n">
        <v>314097</v>
      </c>
    </row>
    <row r="234">
      <c r="A234" s="18" t="inlineStr">
        <is>
          <t>이자·배당금 수취</t>
        </is>
      </c>
      <c r="E234" s="20" t="n">
        <v>19659</v>
      </c>
      <c r="I234" s="20" t="n">
        <v>58398</v>
      </c>
      <c r="M234" s="20" t="n">
        <v>76038</v>
      </c>
      <c r="O234" s="20" t="n">
        <v>7700</v>
      </c>
      <c r="P234" s="20" t="n">
        <v>10815</v>
      </c>
      <c r="Q234" s="20" t="n">
        <v>13523</v>
      </c>
      <c r="R234" s="20" t="n">
        <v>21844</v>
      </c>
      <c r="S234" s="20" t="n">
        <v>15461</v>
      </c>
      <c r="T234" s="20" t="n">
        <v>50615</v>
      </c>
      <c r="U234" s="20" t="n">
        <v>14972</v>
      </c>
      <c r="V234" s="20" t="n">
        <v>19659</v>
      </c>
      <c r="W234" s="20" t="n">
        <v>58398</v>
      </c>
      <c r="X234" s="20" t="n">
        <v>76038</v>
      </c>
    </row>
    <row r="235">
      <c r="A235" s="18" t="inlineStr">
        <is>
          <t>이자 지급</t>
        </is>
      </c>
      <c r="E235" s="20" t="n">
        <v>-14331</v>
      </c>
      <c r="I235" s="20" t="n">
        <v>-15392</v>
      </c>
      <c r="M235" s="20" t="n">
        <v>-13751</v>
      </c>
      <c r="O235" s="20" t="n">
        <v>-9657</v>
      </c>
      <c r="P235" s="20" t="n">
        <v>-9315</v>
      </c>
      <c r="Q235" s="20" t="n">
        <v>-10186</v>
      </c>
      <c r="R235" s="20" t="n">
        <v>-12280</v>
      </c>
      <c r="S235" s="20" t="n">
        <v>-11375</v>
      </c>
      <c r="T235" s="20" t="n">
        <v>-10559</v>
      </c>
      <c r="U235" s="20" t="n">
        <v>-12367</v>
      </c>
      <c r="V235" s="20" t="n">
        <v>-14331</v>
      </c>
      <c r="W235" s="20" t="n">
        <v>-15392</v>
      </c>
      <c r="X235" s="20" t="n">
        <v>-13751</v>
      </c>
    </row>
    <row r="236">
      <c r="A236" s="18" t="inlineStr">
        <is>
          <t>법인세 납부</t>
        </is>
      </c>
      <c r="E236" s="20" t="n">
        <v>-45638</v>
      </c>
      <c r="I236" s="20" t="n">
        <v>-23027</v>
      </c>
      <c r="M236" s="20" t="n">
        <v>-35643</v>
      </c>
      <c r="O236" s="20" t="n">
        <v>-42516</v>
      </c>
      <c r="P236" s="20" t="n">
        <v>-26498</v>
      </c>
      <c r="Q236" s="20" t="n">
        <v>-28997</v>
      </c>
      <c r="R236" s="20" t="n">
        <v>-23056</v>
      </c>
      <c r="S236" s="20" t="n">
        <v>-23924</v>
      </c>
      <c r="T236" s="20" t="n">
        <v>-39474</v>
      </c>
      <c r="U236" s="20" t="n">
        <v>-17723</v>
      </c>
      <c r="V236" s="20" t="n">
        <v>-45638</v>
      </c>
      <c r="W236" s="20" t="n">
        <v>-23027</v>
      </c>
      <c r="X236" s="20" t="n">
        <v>-35643</v>
      </c>
    </row>
    <row r="237">
      <c r="A237" s="9" t="inlineStr">
        <is>
          <t>영업활동 현금흐름</t>
        </is>
      </c>
      <c r="E237" s="12" t="n">
        <v>312609</v>
      </c>
      <c r="I237" s="12" t="n">
        <v>283681</v>
      </c>
      <c r="M237" s="12" t="n">
        <v>340740</v>
      </c>
      <c r="O237" s="12" t="n">
        <v>148801</v>
      </c>
      <c r="P237" s="12" t="n">
        <v>168731</v>
      </c>
      <c r="Q237" s="12" t="n">
        <v>65116</v>
      </c>
      <c r="R237" s="12" t="n">
        <v>182892</v>
      </c>
      <c r="S237" s="12" t="n">
        <v>219797</v>
      </c>
      <c r="T237" s="12" t="n">
        <v>145350</v>
      </c>
      <c r="U237" s="12" t="n">
        <v>33572</v>
      </c>
      <c r="V237" s="12" t="n">
        <v>312609</v>
      </c>
      <c r="W237" s="12" t="n">
        <v>283681</v>
      </c>
      <c r="X237" s="12" t="n">
        <v>340740</v>
      </c>
    </row>
    <row r="238">
      <c r="A238" s="18" t="inlineStr">
        <is>
          <t>유형자산 취득(설비투자)</t>
        </is>
      </c>
      <c r="E238" s="20" t="n">
        <v>-174646</v>
      </c>
      <c r="I238" s="20" t="n">
        <v>-210850</v>
      </c>
      <c r="M238" s="20" t="n">
        <v>-238540</v>
      </c>
      <c r="O238" s="20" t="n">
        <v>-83435</v>
      </c>
      <c r="P238" s="20" t="n">
        <v>-73082</v>
      </c>
      <c r="Q238" s="20" t="n">
        <v>-80099</v>
      </c>
      <c r="R238" s="20" t="n">
        <v>-117574</v>
      </c>
      <c r="S238" s="20" t="n">
        <v>-169607</v>
      </c>
      <c r="T238" s="20" t="n">
        <v>-173450</v>
      </c>
      <c r="U238" s="20" t="n">
        <v>-172079</v>
      </c>
      <c r="V238" s="20" t="n">
        <v>-174646</v>
      </c>
      <c r="W238" s="20" t="n">
        <v>-210850</v>
      </c>
      <c r="X238" s="20" t="n">
        <v>-238540</v>
      </c>
    </row>
    <row r="239">
      <c r="A239" s="18" t="inlineStr">
        <is>
          <t>유형자산 매각</t>
        </is>
      </c>
      <c r="E239" s="20" t="n">
        <v>2506</v>
      </c>
      <c r="I239" s="20" t="n">
        <v>6041</v>
      </c>
      <c r="M239" s="20" t="n">
        <v>4251</v>
      </c>
      <c r="T239" s="20" t="n">
        <v>1096</v>
      </c>
      <c r="U239" s="20" t="n">
        <v>3616</v>
      </c>
      <c r="V239" s="20" t="n">
        <v>2506</v>
      </c>
      <c r="W239" s="20" t="n">
        <v>6041</v>
      </c>
      <c r="X239" s="20" t="n">
        <v>4251</v>
      </c>
    </row>
    <row r="240">
      <c r="A240" s="18" t="inlineStr">
        <is>
          <t>무형자산 취득</t>
        </is>
      </c>
      <c r="E240" s="20" t="n">
        <v>-12720</v>
      </c>
      <c r="I240" s="20" t="n">
        <v>-11561</v>
      </c>
      <c r="M240" s="20" t="n">
        <v>-12577</v>
      </c>
      <c r="O240" s="20" t="n">
        <v>-9286</v>
      </c>
      <c r="P240" s="20" t="n">
        <v>-5977</v>
      </c>
      <c r="Q240" s="20" t="n">
        <v>-21943</v>
      </c>
      <c r="R240" s="20" t="n">
        <v>-9173</v>
      </c>
      <c r="S240" s="20" t="n">
        <v>-13148</v>
      </c>
      <c r="T240" s="20" t="n">
        <v>-14547</v>
      </c>
      <c r="U240" s="20" t="n">
        <v>-22069</v>
      </c>
      <c r="V240" s="20" t="n">
        <v>-12720</v>
      </c>
      <c r="W240" s="20" t="n">
        <v>-11561</v>
      </c>
      <c r="X240" s="20" t="n">
        <v>-12577</v>
      </c>
    </row>
    <row r="241">
      <c r="A241" s="18" t="inlineStr">
        <is>
          <t>장기선급비용 지출</t>
        </is>
      </c>
      <c r="E241" s="20" t="n">
        <v>-6326</v>
      </c>
      <c r="I241" s="20" t="n">
        <v>-7830</v>
      </c>
      <c r="M241" s="20" t="n">
        <v>-8438</v>
      </c>
      <c r="O241" s="20" t="n">
        <v>-6463</v>
      </c>
      <c r="P241" s="20" t="n">
        <v>-5799</v>
      </c>
      <c r="Q241" s="20" t="n">
        <v>-6150</v>
      </c>
      <c r="R241" s="20" t="n">
        <v>-9045</v>
      </c>
      <c r="S241" s="20" t="n">
        <v>-6320</v>
      </c>
      <c r="T241" s="20" t="n">
        <v>-8396</v>
      </c>
      <c r="U241" s="20" t="n">
        <v>-7141</v>
      </c>
      <c r="V241" s="20" t="n">
        <v>-6326</v>
      </c>
      <c r="W241" s="20" t="n">
        <v>-7830</v>
      </c>
      <c r="X241" s="20" t="n">
        <v>-8438</v>
      </c>
    </row>
    <row r="242">
      <c r="A242" s="18" t="inlineStr">
        <is>
          <t>투자유가증권 취득</t>
        </is>
      </c>
      <c r="E242" s="20" t="n">
        <v>-5544</v>
      </c>
      <c r="I242" s="20" t="n">
        <v>-10166</v>
      </c>
      <c r="M242" s="20" t="n">
        <v>-3893</v>
      </c>
      <c r="P242" s="20" t="n">
        <v>-2770</v>
      </c>
      <c r="Q242" s="20" t="n">
        <v>-4680</v>
      </c>
      <c r="R242" s="20" t="n">
        <v>-7997</v>
      </c>
      <c r="S242" s="20" t="n">
        <v>-7088</v>
      </c>
      <c r="T242" s="20" t="n">
        <v>-5304</v>
      </c>
      <c r="U242" s="20" t="n">
        <v>-8995</v>
      </c>
      <c r="V242" s="20" t="n">
        <v>-5544</v>
      </c>
      <c r="W242" s="20" t="n">
        <v>-10166</v>
      </c>
      <c r="X242" s="20" t="n">
        <v>-3893</v>
      </c>
    </row>
    <row r="243">
      <c r="A243" s="18" t="inlineStr">
        <is>
          <t>투자유가증권 매각</t>
        </is>
      </c>
      <c r="E243" s="20" t="n">
        <v>3292</v>
      </c>
      <c r="I243" s="20" t="n">
        <v>28318</v>
      </c>
      <c r="M243" s="20" t="n">
        <v>6530</v>
      </c>
      <c r="S243" s="20" t="n">
        <v>987</v>
      </c>
      <c r="T243" s="20" t="n">
        <v>4136</v>
      </c>
      <c r="U243" s="20" t="n">
        <v>21086</v>
      </c>
      <c r="V243" s="20" t="n">
        <v>3292</v>
      </c>
      <c r="W243" s="20" t="n">
        <v>28318</v>
      </c>
      <c r="X243" s="20" t="n">
        <v>6530</v>
      </c>
    </row>
    <row r="244">
      <c r="A244" s="18" t="inlineStr">
        <is>
          <t>관계회사 주식 취득</t>
        </is>
      </c>
      <c r="E244" s="20" t="n">
        <v>-33770</v>
      </c>
      <c r="I244" s="20" t="n">
        <v>-68824</v>
      </c>
      <c r="M244" s="20" t="n">
        <v>-14569</v>
      </c>
      <c r="O244" s="20" t="n">
        <v>-32810</v>
      </c>
      <c r="P244" s="20" t="n">
        <v>-15385</v>
      </c>
      <c r="Q244" s="20" t="n">
        <v>-68760</v>
      </c>
      <c r="R244" s="20" t="n">
        <v>-22965</v>
      </c>
      <c r="S244" s="20" t="n">
        <v>-6309</v>
      </c>
      <c r="T244" s="20" t="n">
        <v>-9784</v>
      </c>
      <c r="U244" s="20" t="n">
        <v>-27816</v>
      </c>
      <c r="V244" s="20" t="n">
        <v>-33770</v>
      </c>
      <c r="W244" s="20" t="n">
        <v>-68824</v>
      </c>
      <c r="X244" s="20" t="n">
        <v>-14569</v>
      </c>
    </row>
    <row r="245">
      <c r="A245" s="18" t="inlineStr">
        <is>
          <t>관계회사 주식 매각</t>
        </is>
      </c>
      <c r="E245" s="20" t="n">
        <v>7843</v>
      </c>
      <c r="I245" s="20" t="n">
        <v>3789</v>
      </c>
      <c r="M245" s="20" t="n">
        <v>5111</v>
      </c>
      <c r="S245" s="20" t="n">
        <v>115</v>
      </c>
      <c r="T245" s="20" t="n">
        <v>52302</v>
      </c>
      <c r="U245" s="20" t="n">
        <v>4414</v>
      </c>
      <c r="V245" s="20" t="n">
        <v>7843</v>
      </c>
      <c r="W245" s="20" t="n">
        <v>3789</v>
      </c>
      <c r="X245" s="20" t="n">
        <v>5111</v>
      </c>
    </row>
    <row r="246">
      <c r="A246" s="18" t="inlineStr">
        <is>
          <t>Proceeds From Paid Capital Reduction Of Subsidiaries And Associates Inv CF</t>
        </is>
      </c>
      <c r="E246" s="20" t="n">
        <v>393</v>
      </c>
      <c r="I246" s="20" t="n">
        <v>15360</v>
      </c>
      <c r="M246" s="20" t="n">
        <v>8094</v>
      </c>
      <c r="V246" s="20" t="n">
        <v>393</v>
      </c>
      <c r="W246" s="20" t="n">
        <v>15360</v>
      </c>
      <c r="X246" s="20" t="n">
        <v>8094</v>
      </c>
    </row>
    <row r="247">
      <c r="A247" s="18" t="inlineStr">
        <is>
          <t>연결범위 변경 자회사 주식 취득</t>
        </is>
      </c>
      <c r="E247" s="20" t="n">
        <v>-3078</v>
      </c>
      <c r="I247" s="20" t="n">
        <v>0</v>
      </c>
      <c r="M247" s="20" t="n">
        <v>-4811</v>
      </c>
      <c r="O247" s="20" t="n">
        <v>-0</v>
      </c>
      <c r="P247" s="20" t="n">
        <v>-6602</v>
      </c>
      <c r="Q247" s="20" t="n">
        <v>-22811</v>
      </c>
      <c r="R247" s="20" t="n">
        <v>-63350</v>
      </c>
      <c r="S247" s="20" t="n">
        <v>-5914</v>
      </c>
      <c r="T247" s="20" t="n">
        <v>0</v>
      </c>
      <c r="U247" s="20" t="n">
        <v>-564</v>
      </c>
      <c r="V247" s="20" t="n">
        <v>-3078</v>
      </c>
      <c r="W247" s="20" t="n">
        <v>0</v>
      </c>
      <c r="X247" s="20" t="n">
        <v>-4811</v>
      </c>
    </row>
    <row r="248">
      <c r="A248" s="18" t="inlineStr">
        <is>
          <t>연결범위 변경 자회사 주식 취득(수입)</t>
        </is>
      </c>
      <c r="P248" s="20" t="n">
        <v>0</v>
      </c>
      <c r="Q248" s="20" t="n">
        <v>2</v>
      </c>
      <c r="R248" s="20" t="n">
        <v>0</v>
      </c>
    </row>
    <row r="249">
      <c r="A249" s="18" t="inlineStr">
        <is>
          <t>연결범위 변경 자회사 주식 매각</t>
        </is>
      </c>
      <c r="E249" s="20" t="n">
        <v>1890</v>
      </c>
      <c r="I249" s="20" t="n">
        <v>884</v>
      </c>
      <c r="M249" s="20" t="n">
        <v>21481</v>
      </c>
      <c r="O249" s="20" t="n">
        <v>618</v>
      </c>
      <c r="P249" s="20" t="n">
        <v>2485</v>
      </c>
      <c r="Q249" s="20" t="n">
        <v>0</v>
      </c>
      <c r="R249" s="20" t="n">
        <v>558</v>
      </c>
      <c r="S249" s="20" t="n">
        <v>9096</v>
      </c>
      <c r="T249" s="20" t="n">
        <v>0</v>
      </c>
      <c r="U249" s="20" t="n">
        <v>3649</v>
      </c>
      <c r="V249" s="20" t="n">
        <v>1890</v>
      </c>
      <c r="W249" s="20" t="n">
        <v>884</v>
      </c>
      <c r="X249" s="20" t="n">
        <v>21481</v>
      </c>
    </row>
    <row r="250">
      <c r="A250" s="18" t="inlineStr">
        <is>
          <t>장기대여금 회수</t>
        </is>
      </c>
      <c r="E250" s="20" t="n">
        <v>3457</v>
      </c>
      <c r="S250" s="20" t="n">
        <v>1450</v>
      </c>
      <c r="T250" s="20" t="n">
        <v>4800</v>
      </c>
      <c r="U250" s="20" t="n">
        <v>3544</v>
      </c>
      <c r="V250" s="20" t="n">
        <v>3457</v>
      </c>
    </row>
    <row r="251">
      <c r="A251" s="18" t="inlineStr">
        <is>
          <t>연결범위 변경 자회사 주식 매각(지출)</t>
        </is>
      </c>
      <c r="I251" s="20" t="n">
        <v>0</v>
      </c>
      <c r="M251" s="20" t="n">
        <v>-399</v>
      </c>
      <c r="O251" s="20" t="n">
        <v>-41</v>
      </c>
      <c r="P251" s="20" t="n">
        <v>0</v>
      </c>
      <c r="R251" s="20" t="n">
        <v>0</v>
      </c>
      <c r="S251" s="20" t="n">
        <v>-373</v>
      </c>
      <c r="T251" s="20" t="n">
        <v>0</v>
      </c>
      <c r="W251" s="20" t="n">
        <v>0</v>
      </c>
      <c r="X251" s="20" t="n">
        <v>-399</v>
      </c>
    </row>
    <row r="252">
      <c r="A252" s="18" t="inlineStr">
        <is>
          <t>장기대여</t>
        </is>
      </c>
      <c r="O252" s="20" t="n">
        <v>-5117</v>
      </c>
      <c r="P252" s="20" t="n">
        <v>-3000</v>
      </c>
      <c r="Q252" s="20" t="n">
        <v>-5133</v>
      </c>
      <c r="R252" s="20" t="n">
        <v>-5443</v>
      </c>
      <c r="S252" s="20" t="n">
        <v>-2681</v>
      </c>
      <c r="T252" s="20" t="n">
        <v>-4307</v>
      </c>
    </row>
    <row r="253">
      <c r="A253" s="18" t="inlineStr">
        <is>
          <t>기타</t>
        </is>
      </c>
      <c r="E253" s="20" t="n">
        <v>4216</v>
      </c>
      <c r="I253" s="20" t="n">
        <v>-785</v>
      </c>
      <c r="M253" s="20" t="n">
        <v>-4091</v>
      </c>
      <c r="O253" s="20" t="n">
        <v>-991</v>
      </c>
      <c r="P253" s="20" t="n">
        <v>-323</v>
      </c>
      <c r="Q253" s="20" t="n">
        <v>5382</v>
      </c>
      <c r="R253" s="20" t="n">
        <v>-2719</v>
      </c>
      <c r="S253" s="20" t="n">
        <v>1439</v>
      </c>
      <c r="T253" s="20" t="n">
        <v>-3016</v>
      </c>
      <c r="U253" s="20" t="n">
        <v>2035</v>
      </c>
      <c r="V253" s="20" t="n">
        <v>4216</v>
      </c>
      <c r="W253" s="20" t="n">
        <v>-785</v>
      </c>
      <c r="X253" s="20" t="n">
        <v>-4091</v>
      </c>
    </row>
    <row r="254">
      <c r="A254" s="9" t="inlineStr">
        <is>
          <t>투자활동 현금흐름</t>
        </is>
      </c>
      <c r="E254" s="12" t="n">
        <v>-215944</v>
      </c>
      <c r="I254" s="12" t="n">
        <v>-255626</v>
      </c>
      <c r="M254" s="12" t="n">
        <v>-241852</v>
      </c>
      <c r="O254" s="12" t="n">
        <v>-137527</v>
      </c>
      <c r="P254" s="12" t="n">
        <v>-110456</v>
      </c>
      <c r="Q254" s="12" t="n">
        <v>-204192</v>
      </c>
      <c r="R254" s="12" t="n">
        <v>-232266</v>
      </c>
      <c r="S254" s="12" t="n">
        <v>-198354</v>
      </c>
      <c r="T254" s="12" t="n">
        <v>-152163</v>
      </c>
      <c r="U254" s="12" t="n">
        <v>-203938</v>
      </c>
      <c r="V254" s="12" t="n">
        <v>-215944</v>
      </c>
      <c r="W254" s="12" t="n">
        <v>-255626</v>
      </c>
      <c r="X254" s="12" t="n">
        <v>-241852</v>
      </c>
    </row>
    <row r="255">
      <c r="A255" s="18" t="inlineStr">
        <is>
          <t>단기차입금 순증감</t>
        </is>
      </c>
      <c r="E255" s="20" t="n">
        <v>-3581</v>
      </c>
      <c r="I255" s="20" t="n">
        <v>2065</v>
      </c>
      <c r="M255" s="20" t="n">
        <v>13961</v>
      </c>
      <c r="R255" s="20" t="n">
        <v>-2579</v>
      </c>
      <c r="S255" s="20" t="n">
        <v>-14659</v>
      </c>
      <c r="U255" s="20" t="n">
        <v>-2099</v>
      </c>
      <c r="V255" s="20" t="n">
        <v>-3581</v>
      </c>
      <c r="W255" s="20" t="n">
        <v>2065</v>
      </c>
      <c r="X255" s="20" t="n">
        <v>13961</v>
      </c>
    </row>
    <row r="256">
      <c r="A256" s="18" t="inlineStr">
        <is>
          <t>기업어음(CP) 순증감액</t>
        </is>
      </c>
      <c r="E256" s="20" t="n">
        <v>-45005</v>
      </c>
      <c r="I256" s="20" t="n">
        <v>-23994</v>
      </c>
      <c r="M256" s="20" t="n">
        <v>39893</v>
      </c>
      <c r="P256" s="20" t="n">
        <v>0</v>
      </c>
      <c r="Q256" s="20" t="n">
        <v>46000</v>
      </c>
      <c r="R256" s="20" t="n">
        <v>-46000</v>
      </c>
      <c r="S256" s="20" t="n">
        <v>0</v>
      </c>
      <c r="T256" s="20" t="n">
        <v>0</v>
      </c>
      <c r="U256" s="20" t="n">
        <v>68999</v>
      </c>
      <c r="V256" s="20" t="n">
        <v>-45005</v>
      </c>
      <c r="W256" s="20" t="n">
        <v>-23994</v>
      </c>
      <c r="X256" s="20" t="n">
        <v>39893</v>
      </c>
    </row>
    <row r="257">
      <c r="A257" s="18" t="inlineStr">
        <is>
          <t>장기차입</t>
        </is>
      </c>
      <c r="E257" s="20" t="n">
        <v>26876</v>
      </c>
      <c r="I257" s="20" t="n">
        <v>59551</v>
      </c>
      <c r="O257" s="20" t="n">
        <v>19248</v>
      </c>
      <c r="P257" s="20" t="n">
        <v>18719</v>
      </c>
      <c r="Q257" s="20" t="n">
        <v>129306</v>
      </c>
      <c r="R257" s="20" t="n">
        <v>44170</v>
      </c>
      <c r="S257" s="20" t="n">
        <v>35946</v>
      </c>
      <c r="T257" s="20" t="n">
        <v>42844</v>
      </c>
      <c r="U257" s="20" t="n">
        <v>80069</v>
      </c>
      <c r="V257" s="20" t="n">
        <v>26876</v>
      </c>
      <c r="W257" s="20" t="n">
        <v>59551</v>
      </c>
    </row>
    <row r="258">
      <c r="A258" s="18" t="inlineStr">
        <is>
          <t>장기차입금 상환</t>
        </is>
      </c>
      <c r="E258" s="20" t="n">
        <v>-63933</v>
      </c>
      <c r="I258" s="20" t="n">
        <v>-51910</v>
      </c>
      <c r="M258" s="20" t="n">
        <v>-72003</v>
      </c>
      <c r="O258" s="20" t="n">
        <v>-18763</v>
      </c>
      <c r="P258" s="20" t="n">
        <v>-48399</v>
      </c>
      <c r="Q258" s="20" t="n">
        <v>-37759</v>
      </c>
      <c r="R258" s="20" t="n">
        <v>-47418</v>
      </c>
      <c r="S258" s="20" t="n">
        <v>-44572</v>
      </c>
      <c r="T258" s="20" t="n">
        <v>-60388</v>
      </c>
      <c r="U258" s="20" t="n">
        <v>-39566</v>
      </c>
      <c r="V258" s="20" t="n">
        <v>-63933</v>
      </c>
      <c r="W258" s="20" t="n">
        <v>-51910</v>
      </c>
      <c r="X258" s="20" t="n">
        <v>-72003</v>
      </c>
    </row>
    <row r="259">
      <c r="A259" s="18" t="inlineStr">
        <is>
          <t>사채 발행</t>
        </is>
      </c>
      <c r="E259" s="20" t="n">
        <v>35000</v>
      </c>
      <c r="I259" s="20" t="n">
        <v>41000</v>
      </c>
      <c r="M259" s="20" t="n">
        <v>0</v>
      </c>
      <c r="O259" s="20" t="n">
        <v>10000</v>
      </c>
      <c r="P259" s="20" t="n">
        <v>0</v>
      </c>
      <c r="Q259" s="20" t="n">
        <v>0</v>
      </c>
      <c r="R259" s="20" t="n">
        <v>175000</v>
      </c>
      <c r="S259" s="20" t="n">
        <v>75000</v>
      </c>
      <c r="T259" s="20" t="n">
        <v>40000</v>
      </c>
      <c r="U259" s="20" t="n">
        <v>70000</v>
      </c>
      <c r="V259" s="20" t="n">
        <v>35000</v>
      </c>
      <c r="W259" s="20" t="n">
        <v>41000</v>
      </c>
      <c r="X259" s="20" t="n">
        <v>0</v>
      </c>
    </row>
    <row r="260">
      <c r="A260" s="18" t="inlineStr">
        <is>
          <t>사채 상환</t>
        </is>
      </c>
      <c r="E260" s="20" t="n">
        <v>-10020</v>
      </c>
      <c r="O260" s="20" t="n">
        <v>-35700</v>
      </c>
      <c r="P260" s="20" t="n">
        <v>0</v>
      </c>
      <c r="Q260" s="20" t="n">
        <v>-30000</v>
      </c>
      <c r="R260" s="20" t="n">
        <v>-20000</v>
      </c>
      <c r="S260" s="20" t="n">
        <v>-30000</v>
      </c>
      <c r="T260" s="20" t="n">
        <v>-10000</v>
      </c>
      <c r="U260" s="20" t="n">
        <v>-30000</v>
      </c>
      <c r="V260" s="20" t="n">
        <v>-10020</v>
      </c>
    </row>
    <row r="261">
      <c r="A261" s="18" t="inlineStr">
        <is>
          <t>금융리스부채 상환</t>
        </is>
      </c>
      <c r="E261" s="20" t="n">
        <v>-3394</v>
      </c>
      <c r="I261" s="20" t="n">
        <v>-3925</v>
      </c>
      <c r="M261" s="20" t="n">
        <v>-3877</v>
      </c>
      <c r="U261" s="20" t="n">
        <v>-2729</v>
      </c>
      <c r="V261" s="20" t="n">
        <v>-3394</v>
      </c>
      <c r="W261" s="20" t="n">
        <v>-3925</v>
      </c>
      <c r="X261" s="20" t="n">
        <v>-3877</v>
      </c>
    </row>
    <row r="262">
      <c r="A262" s="18" t="inlineStr">
        <is>
          <t>비지배주주 납입</t>
        </is>
      </c>
      <c r="E262" s="20" t="n">
        <v>385</v>
      </c>
      <c r="I262" s="20" t="n">
        <v>21876</v>
      </c>
      <c r="M262" s="20" t="n">
        <v>226</v>
      </c>
      <c r="O262" s="20" t="n">
        <v>133</v>
      </c>
      <c r="P262" s="20" t="n">
        <v>400</v>
      </c>
      <c r="Q262" s="20" t="n">
        <v>195</v>
      </c>
      <c r="R262" s="20" t="n">
        <v>240</v>
      </c>
      <c r="S262" s="20" t="n">
        <v>206</v>
      </c>
      <c r="T262" s="20" t="n">
        <v>402</v>
      </c>
      <c r="U262" s="20" t="n">
        <v>340</v>
      </c>
      <c r="V262" s="20" t="n">
        <v>385</v>
      </c>
      <c r="W262" s="20" t="n">
        <v>21876</v>
      </c>
      <c r="X262" s="20" t="n">
        <v>226</v>
      </c>
    </row>
    <row r="263">
      <c r="A263" s="18" t="inlineStr">
        <is>
          <t>자기주식 취득</t>
        </is>
      </c>
      <c r="E263" s="20" t="n">
        <v>-20056</v>
      </c>
      <c r="I263" s="20" t="n">
        <v>-40060</v>
      </c>
      <c r="M263" s="20" t="n">
        <v>-63531</v>
      </c>
      <c r="U263" s="20" t="n">
        <v>-38</v>
      </c>
      <c r="V263" s="20" t="n">
        <v>-20056</v>
      </c>
      <c r="W263" s="20" t="n">
        <v>-40060</v>
      </c>
      <c r="X263" s="20" t="n">
        <v>-63531</v>
      </c>
    </row>
    <row r="264">
      <c r="A264" s="18" t="inlineStr">
        <is>
          <t>배당금 지급</t>
        </is>
      </c>
      <c r="E264" s="20" t="n">
        <v>-25962</v>
      </c>
      <c r="I264" s="20" t="n">
        <v>-39546</v>
      </c>
      <c r="M264" s="20" t="n">
        <v>-42223</v>
      </c>
      <c r="O264" s="20" t="n">
        <v>-20803</v>
      </c>
      <c r="P264" s="20" t="n">
        <v>-20800</v>
      </c>
      <c r="Q264" s="20" t="n">
        <v>-20801</v>
      </c>
      <c r="R264" s="20" t="n">
        <v>-20799</v>
      </c>
      <c r="S264" s="20" t="n">
        <v>-20793</v>
      </c>
      <c r="T264" s="20" t="n">
        <v>-22857</v>
      </c>
      <c r="U264" s="20" t="n">
        <v>-24929</v>
      </c>
      <c r="V264" s="20" t="n">
        <v>-25962</v>
      </c>
      <c r="W264" s="20" t="n">
        <v>-39546</v>
      </c>
      <c r="X264" s="20" t="n">
        <v>-42223</v>
      </c>
    </row>
    <row r="265">
      <c r="A265" s="18" t="inlineStr">
        <is>
          <t>비지배주주 배당금 지급</t>
        </is>
      </c>
      <c r="E265" s="20" t="n">
        <v>-625</v>
      </c>
      <c r="I265" s="20" t="n">
        <v>-598</v>
      </c>
      <c r="M265" s="20" t="n">
        <v>-1270</v>
      </c>
      <c r="O265" s="20" t="n">
        <v>-948</v>
      </c>
      <c r="P265" s="20" t="n">
        <v>-1218</v>
      </c>
      <c r="Q265" s="20" t="n">
        <v>-980</v>
      </c>
      <c r="R265" s="20" t="n">
        <v>-1165</v>
      </c>
      <c r="S265" s="20" t="n">
        <v>-749</v>
      </c>
      <c r="T265" s="20" t="n">
        <v>-7859</v>
      </c>
      <c r="U265" s="20" t="n">
        <v>-778</v>
      </c>
      <c r="V265" s="20" t="n">
        <v>-625</v>
      </c>
      <c r="W265" s="20" t="n">
        <v>-598</v>
      </c>
      <c r="X265" s="20" t="n">
        <v>-1270</v>
      </c>
    </row>
    <row r="266">
      <c r="A266" s="18" t="inlineStr">
        <is>
          <t>비지배주주 환급</t>
        </is>
      </c>
      <c r="S266" s="20" t="n">
        <v>0</v>
      </c>
      <c r="T266" s="20" t="n">
        <v>-9700</v>
      </c>
      <c r="U266" s="20" t="n">
        <v>-37</v>
      </c>
    </row>
    <row r="267">
      <c r="A267" s="18" t="inlineStr">
        <is>
          <t>기타</t>
        </is>
      </c>
      <c r="E267" s="20" t="n">
        <v>-13407</v>
      </c>
      <c r="I267" s="20" t="n">
        <v>61008</v>
      </c>
      <c r="M267" s="20" t="n">
        <v>-353</v>
      </c>
      <c r="O267" s="20" t="n">
        <v>-3696</v>
      </c>
      <c r="P267" s="20" t="n">
        <v>-292</v>
      </c>
      <c r="Q267" s="20" t="n">
        <v>-698</v>
      </c>
      <c r="R267" s="20" t="n">
        <v>-2174</v>
      </c>
      <c r="S267" s="20" t="n">
        <v>-16673</v>
      </c>
      <c r="T267" s="20" t="n">
        <v>-2920</v>
      </c>
      <c r="U267" s="20" t="n">
        <v>349</v>
      </c>
      <c r="V267" s="20" t="n">
        <v>-13407</v>
      </c>
      <c r="W267" s="20" t="n">
        <v>61008</v>
      </c>
      <c r="X267" s="20" t="n">
        <v>-353</v>
      </c>
    </row>
    <row r="268">
      <c r="A268" s="9" t="inlineStr">
        <is>
          <t>재무활동 현금흐름</t>
        </is>
      </c>
      <c r="E268" s="12" t="n">
        <v>-110123</v>
      </c>
      <c r="I268" s="12" t="n">
        <v>-34085</v>
      </c>
      <c r="M268" s="12" t="n">
        <v>-129177</v>
      </c>
      <c r="O268" s="12" t="n">
        <v>-50530</v>
      </c>
      <c r="P268" s="12" t="n">
        <v>-51591</v>
      </c>
      <c r="Q268" s="12" t="n">
        <v>85262</v>
      </c>
      <c r="R268" s="12" t="n">
        <v>79272</v>
      </c>
      <c r="S268" s="12" t="n">
        <v>-1636</v>
      </c>
      <c r="T268" s="12" t="n">
        <v>-30479</v>
      </c>
      <c r="U268" s="12" t="n">
        <v>119617</v>
      </c>
      <c r="V268" s="12" t="n">
        <v>-110123</v>
      </c>
      <c r="W268" s="12" t="n">
        <v>-34085</v>
      </c>
      <c r="X268" s="12" t="n">
        <v>-129177</v>
      </c>
    </row>
    <row r="269">
      <c r="A269" s="18" t="inlineStr">
        <is>
          <t>현금성자산 환산차이</t>
        </is>
      </c>
      <c r="E269" s="20" t="n">
        <v>5893</v>
      </c>
      <c r="I269" s="20" t="n">
        <v>11110</v>
      </c>
      <c r="M269" s="20" t="n">
        <v>6472</v>
      </c>
      <c r="O269" s="20" t="n">
        <v>-3197</v>
      </c>
      <c r="P269" s="20" t="n">
        <v>666</v>
      </c>
      <c r="Q269" s="20" t="n">
        <v>-1478</v>
      </c>
      <c r="R269" s="20" t="n">
        <v>1145</v>
      </c>
      <c r="S269" s="20" t="n">
        <v>838</v>
      </c>
      <c r="T269" s="20" t="n">
        <v>1299</v>
      </c>
      <c r="U269" s="20" t="n">
        <v>4772</v>
      </c>
      <c r="V269" s="20" t="n">
        <v>5893</v>
      </c>
      <c r="W269" s="20" t="n">
        <v>11110</v>
      </c>
      <c r="X269" s="20" t="n">
        <v>6472</v>
      </c>
    </row>
    <row r="270">
      <c r="A270" s="18" t="inlineStr">
        <is>
          <t>현금성자산 증감</t>
        </is>
      </c>
      <c r="E270" s="20" t="n">
        <v>-7564</v>
      </c>
      <c r="I270" s="20" t="n">
        <v>5080</v>
      </c>
      <c r="M270" s="20" t="n">
        <v>-23816</v>
      </c>
      <c r="O270" s="20" t="n">
        <v>-42454</v>
      </c>
      <c r="P270" s="20" t="n">
        <v>7349</v>
      </c>
      <c r="Q270" s="20" t="n">
        <v>-55292</v>
      </c>
      <c r="R270" s="20" t="n">
        <v>31043</v>
      </c>
      <c r="S270" s="20" t="n">
        <v>20644</v>
      </c>
      <c r="T270" s="20" t="n">
        <v>-35993</v>
      </c>
      <c r="U270" s="20" t="n">
        <v>-45975</v>
      </c>
      <c r="V270" s="20" t="n">
        <v>-7564</v>
      </c>
      <c r="W270" s="20" t="n">
        <v>5080</v>
      </c>
      <c r="X270" s="20" t="n">
        <v>-23816</v>
      </c>
    </row>
    <row r="271">
      <c r="A271" s="18" t="inlineStr">
        <is>
          <t>연결 제외 현금성자산 감소</t>
        </is>
      </c>
      <c r="O271" s="20" t="n">
        <v>0</v>
      </c>
      <c r="P271" s="20" t="n">
        <v>-3200</v>
      </c>
      <c r="Q271" s="20" t="n">
        <v>0</v>
      </c>
      <c r="R271" s="20" t="n">
        <v>0</v>
      </c>
      <c r="S271" s="20" t="n">
        <v>-695</v>
      </c>
      <c r="T271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9532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847022</v>
      </c>
      <c r="D5" s="12" t="n">
        <v>837144</v>
      </c>
      <c r="E5" s="12" t="n">
        <v>895541</v>
      </c>
      <c r="F5" s="12" t="n">
        <v>828882</v>
      </c>
      <c r="G5" s="12" t="n">
        <v>935545</v>
      </c>
      <c r="H5" s="11" t="n">
        <v>707651</v>
      </c>
      <c r="I5" s="12" t="n">
        <v>780936</v>
      </c>
      <c r="J5" s="12" t="n">
        <v>762479</v>
      </c>
      <c r="K5" s="12" t="n">
        <v>812779</v>
      </c>
      <c r="L5" s="12" t="n">
        <v>828882</v>
      </c>
    </row>
    <row r="6">
      <c r="A6" s="18" t="inlineStr">
        <is>
          <t>현금및현금성자산</t>
        </is>
      </c>
      <c r="B6" s="10" t="n"/>
      <c r="C6" s="19" t="n">
        <v>155980</v>
      </c>
      <c r="D6" s="20" t="n">
        <v>177412</v>
      </c>
      <c r="E6" s="20" t="n">
        <v>135276</v>
      </c>
      <c r="F6" s="20" t="n">
        <v>58981</v>
      </c>
      <c r="G6" s="20" t="n">
        <v>178637</v>
      </c>
      <c r="H6" s="19" t="n">
        <v>131089</v>
      </c>
      <c r="I6" s="20" t="n">
        <v>85087</v>
      </c>
      <c r="J6" s="20" t="n">
        <v>77668</v>
      </c>
      <c r="K6" s="20" t="n">
        <v>82810</v>
      </c>
      <c r="L6" s="20" t="n">
        <v>58981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241247</v>
      </c>
      <c r="D8" s="20" t="n">
        <v>242617</v>
      </c>
      <c r="E8" s="20" t="n">
        <v>262836</v>
      </c>
      <c r="F8" s="20" t="n">
        <v>296723</v>
      </c>
      <c r="G8" s="20" t="n">
        <v>233484</v>
      </c>
      <c r="H8" s="19" t="n">
        <v>227118</v>
      </c>
      <c r="I8" s="20" t="n">
        <v>279602</v>
      </c>
      <c r="J8" s="20" t="n">
        <v>270527</v>
      </c>
      <c r="K8" s="20" t="n">
        <v>317852</v>
      </c>
      <c r="L8" s="20" t="n">
        <v>296723</v>
      </c>
    </row>
    <row r="9">
      <c r="A9" s="18" t="inlineStr">
        <is>
          <t>재고자산</t>
        </is>
      </c>
      <c r="B9" s="10" t="n"/>
      <c r="C9" s="19" t="n">
        <v>241985</v>
      </c>
      <c r="D9" s="20" t="n">
        <v>203076</v>
      </c>
      <c r="E9" s="20" t="n">
        <v>262116</v>
      </c>
      <c r="F9" s="20" t="n">
        <v>222683</v>
      </c>
      <c r="G9" s="20" t="n">
        <v>254376</v>
      </c>
      <c r="H9" s="19" t="n">
        <v>145445</v>
      </c>
      <c r="I9" s="20" t="n">
        <v>219380</v>
      </c>
      <c r="J9" s="20" t="n">
        <v>211828</v>
      </c>
      <c r="K9" s="20" t="n">
        <v>204987</v>
      </c>
      <c r="L9" s="20" t="n">
        <v>222683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2338756</v>
      </c>
      <c r="D11" s="12" t="n">
        <v>2358852</v>
      </c>
      <c r="E11" s="12" t="n">
        <v>2431161</v>
      </c>
      <c r="F11" s="12" t="n">
        <v>2492522</v>
      </c>
      <c r="G11" s="12" t="n">
        <v>2549900</v>
      </c>
      <c r="H11" s="11" t="n">
        <v>1880434</v>
      </c>
      <c r="I11" s="12" t="n">
        <v>2038652</v>
      </c>
      <c r="J11" s="12" t="n">
        <v>2217647</v>
      </c>
      <c r="K11" s="12" t="n">
        <v>2387746</v>
      </c>
      <c r="L11" s="12" t="n">
        <v>2492522</v>
      </c>
    </row>
    <row r="12">
      <c r="A12" s="18" t="inlineStr">
        <is>
          <t>유형자산</t>
        </is>
      </c>
      <c r="B12" s="10" t="n"/>
      <c r="C12" s="19" t="n">
        <v>1413501</v>
      </c>
      <c r="D12" s="20" t="n">
        <v>1442299</v>
      </c>
      <c r="E12" s="20" t="n">
        <v>1462326</v>
      </c>
      <c r="F12" s="20" t="n">
        <v>1494750</v>
      </c>
      <c r="G12" s="20" t="n">
        <v>1520207</v>
      </c>
      <c r="H12" s="19" t="n">
        <v>1156281</v>
      </c>
      <c r="I12" s="20" t="n">
        <v>1243788</v>
      </c>
      <c r="J12" s="20" t="n">
        <v>1304945</v>
      </c>
      <c r="K12" s="20" t="n">
        <v>1427677</v>
      </c>
      <c r="L12" s="20" t="n">
        <v>1494750</v>
      </c>
    </row>
    <row r="13">
      <c r="A13" s="18" t="inlineStr">
        <is>
          <t>무형자산</t>
        </is>
      </c>
      <c r="B13" s="10" t="n"/>
      <c r="C13" s="19" t="n">
        <v>90142</v>
      </c>
      <c r="D13" s="20" t="n">
        <v>71875</v>
      </c>
      <c r="E13" s="20" t="n">
        <v>75344</v>
      </c>
      <c r="F13" s="20" t="n">
        <v>79093</v>
      </c>
      <c r="G13" s="20" t="n">
        <v>78787</v>
      </c>
      <c r="H13" s="19" t="n">
        <v>95251</v>
      </c>
      <c r="I13" s="20" t="n">
        <v>105120</v>
      </c>
      <c r="J13" s="20" t="n">
        <v>109243</v>
      </c>
      <c r="K13" s="20" t="n">
        <v>92377</v>
      </c>
      <c r="L13" s="20" t="n">
        <v>79093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3185778</v>
      </c>
      <c r="D16" s="12" t="n">
        <v>3195996</v>
      </c>
      <c r="E16" s="12" t="n">
        <v>3326702</v>
      </c>
      <c r="F16" s="12" t="n">
        <v>3321405</v>
      </c>
      <c r="G16" s="12" t="n">
        <v>3485446</v>
      </c>
      <c r="H16" s="11" t="n">
        <v>2588086</v>
      </c>
      <c r="I16" s="12" t="n">
        <v>2819589</v>
      </c>
      <c r="J16" s="12" t="n">
        <v>2980127</v>
      </c>
      <c r="K16" s="12" t="n">
        <v>3200525</v>
      </c>
      <c r="L16" s="12" t="n">
        <v>3321405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490552</v>
      </c>
      <c r="D18" s="12" t="n">
        <v>478710</v>
      </c>
      <c r="E18" s="12" t="n">
        <v>540949</v>
      </c>
      <c r="F18" s="12" t="n">
        <v>450212</v>
      </c>
      <c r="G18" s="12" t="n">
        <v>586861</v>
      </c>
      <c r="H18" s="11" t="n">
        <v>400190</v>
      </c>
      <c r="I18" s="12" t="n">
        <v>459798</v>
      </c>
      <c r="J18" s="12" t="n">
        <v>393936</v>
      </c>
      <c r="K18" s="12" t="n">
        <v>409785</v>
      </c>
      <c r="L18" s="12" t="n">
        <v>450212</v>
      </c>
    </row>
    <row r="19">
      <c r="A19" s="18" t="inlineStr">
        <is>
          <t>매입채무</t>
        </is>
      </c>
      <c r="B19" s="10" t="n"/>
      <c r="C19" s="19" t="n">
        <v>83013</v>
      </c>
      <c r="D19" s="20" t="n">
        <v>80713</v>
      </c>
      <c r="E19" s="20" t="n">
        <v>100592</v>
      </c>
      <c r="F19" s="20" t="n">
        <v>94528</v>
      </c>
      <c r="G19" s="20" t="n">
        <v>93226</v>
      </c>
      <c r="H19" s="19" t="n">
        <v>104935</v>
      </c>
      <c r="I19" s="20" t="n">
        <v>69142</v>
      </c>
      <c r="J19" s="20" t="n">
        <v>82907</v>
      </c>
      <c r="K19" s="20" t="n">
        <v>103690</v>
      </c>
      <c r="L19" s="20" t="n">
        <v>94528</v>
      </c>
    </row>
    <row r="20">
      <c r="A20" s="18" t="inlineStr">
        <is>
          <t>단기차입금</t>
        </is>
      </c>
      <c r="B20" s="10" t="n"/>
      <c r="C20" s="19" t="n"/>
      <c r="D20" s="20" t="n">
        <v>50431</v>
      </c>
      <c r="E20" s="20" t="n"/>
      <c r="F20" s="20" t="n"/>
      <c r="G20" s="20" t="n"/>
      <c r="H20" s="19" t="n"/>
      <c r="I20" s="20" t="n"/>
      <c r="J20" s="20" t="n">
        <v>7612</v>
      </c>
      <c r="K20" s="20" t="n">
        <v>8971</v>
      </c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1017002</v>
      </c>
      <c r="D23" s="12" t="n">
        <v>998922</v>
      </c>
      <c r="E23" s="12" t="n">
        <v>1005949</v>
      </c>
      <c r="F23" s="12" t="n">
        <v>1017164</v>
      </c>
      <c r="G23" s="12" t="n">
        <v>1022686</v>
      </c>
      <c r="H23" s="11" t="n">
        <v>891806</v>
      </c>
      <c r="I23" s="12" t="n">
        <v>942611</v>
      </c>
      <c r="J23" s="12" t="n">
        <v>981198</v>
      </c>
      <c r="K23" s="12" t="n">
        <v>1051448</v>
      </c>
      <c r="L23" s="12" t="n">
        <v>1017164</v>
      </c>
    </row>
    <row r="24">
      <c r="A24" s="18" t="inlineStr">
        <is>
          <t>장기차입금</t>
        </is>
      </c>
      <c r="B24" s="10" t="n"/>
      <c r="C24" s="19" t="n">
        <v>344106</v>
      </c>
      <c r="D24" s="20" t="n">
        <v>314102</v>
      </c>
      <c r="E24" s="20" t="n">
        <v>312029</v>
      </c>
      <c r="F24" s="20" t="n">
        <v>303203</v>
      </c>
      <c r="G24" s="20" t="n">
        <v>304475</v>
      </c>
      <c r="H24" s="19" t="n">
        <v>350502</v>
      </c>
      <c r="I24" s="20" t="n">
        <v>386516</v>
      </c>
      <c r="J24" s="20" t="n">
        <v>354588</v>
      </c>
      <c r="K24" s="20" t="n">
        <v>363939</v>
      </c>
      <c r="L24" s="20" t="n">
        <v>303203</v>
      </c>
    </row>
    <row r="25">
      <c r="A25" s="18" t="inlineStr">
        <is>
          <t>사채</t>
        </is>
      </c>
      <c r="B25" s="10" t="n"/>
      <c r="C25" s="19" t="n">
        <v>491030</v>
      </c>
      <c r="D25" s="20" t="n">
        <v>491023</v>
      </c>
      <c r="E25" s="20" t="n">
        <v>491016</v>
      </c>
      <c r="F25" s="20" t="n">
        <v>491016</v>
      </c>
      <c r="G25" s="20" t="n">
        <v>491009</v>
      </c>
      <c r="H25" s="19" t="n">
        <v>364998</v>
      </c>
      <c r="I25" s="20" t="n">
        <v>425018</v>
      </c>
      <c r="J25" s="20" t="n">
        <v>459999</v>
      </c>
      <c r="K25" s="20" t="n">
        <v>500999</v>
      </c>
      <c r="L25" s="20" t="n">
        <v>491016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1507555</v>
      </c>
      <c r="D27" s="12" t="n">
        <v>1477632</v>
      </c>
      <c r="E27" s="12" t="n">
        <v>1546898</v>
      </c>
      <c r="F27" s="12" t="n">
        <v>1467377</v>
      </c>
      <c r="G27" s="12" t="n">
        <v>1609547</v>
      </c>
      <c r="H27" s="11" t="n">
        <v>1291996</v>
      </c>
      <c r="I27" s="12" t="n">
        <v>1402410</v>
      </c>
      <c r="J27" s="12" t="n">
        <v>1375135</v>
      </c>
      <c r="K27" s="12" t="n">
        <v>1461234</v>
      </c>
      <c r="L27" s="12" t="n">
        <v>1467377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1631372</v>
      </c>
      <c r="D31" s="12" t="n">
        <v>1671934</v>
      </c>
      <c r="E31" s="12" t="n">
        <v>1732556</v>
      </c>
      <c r="F31" s="12" t="n">
        <v>1806043</v>
      </c>
      <c r="G31" s="12" t="n">
        <v>1827960</v>
      </c>
      <c r="H31" s="11" t="n">
        <v>1271617</v>
      </c>
      <c r="I31" s="12" t="n">
        <v>1391421</v>
      </c>
      <c r="J31" s="12" t="n">
        <v>1577513</v>
      </c>
      <c r="K31" s="12" t="n">
        <v>1688794</v>
      </c>
      <c r="L31" s="12" t="n">
        <v>1806043</v>
      </c>
    </row>
    <row r="32">
      <c r="A32" s="18" t="inlineStr">
        <is>
          <t>자본금</t>
        </is>
      </c>
      <c r="B32" s="10" t="n"/>
      <c r="C32" s="19" t="n">
        <v>132166</v>
      </c>
      <c r="D32" s="20" t="n">
        <v>132166</v>
      </c>
      <c r="E32" s="20" t="n">
        <v>132166</v>
      </c>
      <c r="F32" s="20" t="n">
        <v>132166</v>
      </c>
      <c r="G32" s="20" t="n">
        <v>132166</v>
      </c>
      <c r="H32" s="19" t="n">
        <v>132166</v>
      </c>
      <c r="I32" s="20" t="n">
        <v>132166</v>
      </c>
      <c r="J32" s="20" t="n">
        <v>132166</v>
      </c>
      <c r="K32" s="20" t="n">
        <v>132166</v>
      </c>
      <c r="L32" s="20" t="n">
        <v>132166</v>
      </c>
    </row>
    <row r="33">
      <c r="A33" s="18" t="inlineStr">
        <is>
          <t>이익잉여금</t>
        </is>
      </c>
      <c r="B33" s="10" t="n"/>
      <c r="C33" s="19" t="n">
        <v>1182422</v>
      </c>
      <c r="D33" s="20" t="n">
        <v>1228591</v>
      </c>
      <c r="E33" s="20" t="n">
        <v>1250451</v>
      </c>
      <c r="F33" s="20" t="n">
        <v>1262276</v>
      </c>
      <c r="G33" s="20" t="n">
        <v>1204464</v>
      </c>
      <c r="H33" s="19" t="n">
        <v>977907</v>
      </c>
      <c r="I33" s="20" t="n">
        <v>1010078</v>
      </c>
      <c r="J33" s="20" t="n">
        <v>1097883</v>
      </c>
      <c r="K33" s="20" t="n">
        <v>1173020</v>
      </c>
      <c r="L33" s="20" t="n">
        <v>1262276</v>
      </c>
    </row>
    <row r="34">
      <c r="A34" s="18" t="inlineStr">
        <is>
          <t>비지배지분</t>
        </is>
      </c>
      <c r="B34" s="10" t="n"/>
      <c r="C34" s="19" t="n">
        <v>46851</v>
      </c>
      <c r="D34" s="20" t="n">
        <v>46430</v>
      </c>
      <c r="E34" s="20" t="n">
        <v>47247</v>
      </c>
      <c r="F34" s="20" t="n">
        <v>47985</v>
      </c>
      <c r="G34" s="20" t="n">
        <v>47938</v>
      </c>
      <c r="H34" s="19" t="n">
        <v>24472</v>
      </c>
      <c r="I34" s="20" t="n">
        <v>25757</v>
      </c>
      <c r="J34" s="20" t="n">
        <v>27479</v>
      </c>
      <c r="K34" s="20" t="n">
        <v>50497</v>
      </c>
      <c r="L34" s="20" t="n">
        <v>47985</v>
      </c>
    </row>
    <row r="35">
      <c r="A35" s="9" t="inlineStr">
        <is>
          <t>자본총계</t>
        </is>
      </c>
      <c r="B35" s="10" t="n"/>
      <c r="C35" s="11" t="n">
        <v>1678223</v>
      </c>
      <c r="D35" s="12" t="n">
        <v>1718364</v>
      </c>
      <c r="E35" s="12" t="n">
        <v>1779803</v>
      </c>
      <c r="F35" s="12" t="n">
        <v>1854028</v>
      </c>
      <c r="G35" s="12" t="n">
        <v>1875898</v>
      </c>
      <c r="H35" s="11" t="n">
        <v>1296089</v>
      </c>
      <c r="I35" s="12" t="n">
        <v>1417178</v>
      </c>
      <c r="J35" s="12" t="n">
        <v>1604992</v>
      </c>
      <c r="K35" s="12" t="n">
        <v>1739291</v>
      </c>
      <c r="L35" s="12" t="n">
        <v>1854028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340740</v>
      </c>
      <c r="G37" s="12" t="n"/>
      <c r="H37" s="11" t="n">
        <v>145350</v>
      </c>
      <c r="I37" s="12" t="n">
        <v>33572</v>
      </c>
      <c r="J37" s="12" t="n">
        <v>312609</v>
      </c>
      <c r="K37" s="12" t="n">
        <v>283681</v>
      </c>
      <c r="L37" s="12" t="n">
        <v>340740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251117</v>
      </c>
      <c r="G38" s="20" t="n"/>
      <c r="H38" s="19" t="n">
        <v>187997</v>
      </c>
      <c r="I38" s="20" t="n">
        <v>194148</v>
      </c>
      <c r="J38" s="20" t="n">
        <v>187366</v>
      </c>
      <c r="K38" s="20" t="n">
        <v>222411</v>
      </c>
      <c r="L38" s="20" t="n">
        <v>251117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42223</v>
      </c>
      <c r="G40" s="20" t="n"/>
      <c r="H40" s="19" t="n">
        <v>22857</v>
      </c>
      <c r="I40" s="20" t="n">
        <v>24929</v>
      </c>
      <c r="J40" s="20" t="n">
        <v>25962</v>
      </c>
      <c r="K40" s="20" t="n">
        <v>39546</v>
      </c>
      <c r="L40" s="20" t="n">
        <v>42223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IFERROR(IF((IF(COUNT('연간'!G53:J53)&lt;4,"",SUM('연간'!G53:J53)))&lt;=0,"적자",C28/(IF(COUNT('연간'!G53:J53)&lt;4,"",SUM('연간'!G53:J53)))),"")</f>
        <v/>
      </c>
      <c r="D49" s="47">
        <f>IFERROR(IF((IF(COUNT('연간'!H53:K53)&lt;4,"",SUM('연간'!H53:K53)))&lt;=0,"적자",D28/(IF(COUNT('연간'!H53:K53)&lt;4,"",SUM('연간'!H53:K53)))),"")</f>
        <v/>
      </c>
      <c r="E49" s="47">
        <f>IFERROR(IF((IF(COUNT('연간'!I53:L53)&lt;4,"",SUM('연간'!I53:L53)))&lt;=0,"적자",E28/(IF(COUNT('연간'!I53:L53)&lt;4,"",SUM('연간'!I53:L53)))),"")</f>
        <v/>
      </c>
      <c r="F49" s="47">
        <f>IFERROR(IF((IF(COUNT('연간'!J53:M53)&lt;4,"",SUM('연간'!J53:M53)))&lt;=0,"적자",F28/(IF(COUNT('연간'!J53:M53)&lt;4,"",SUM('연간'!J53:M53)))),"")</f>
        <v/>
      </c>
      <c r="G49" s="47">
        <f>IFERROR(IF((IF(COUNT('연간'!K53:N53)&lt;4,"",SUM('연간'!K53:N53)))&lt;=0,"적자",G28/(IF(COUNT('연간'!K53:N53)&lt;4,"",SUM('연간'!K53:N53)))),"")</f>
        <v/>
      </c>
      <c r="H49" s="46">
        <f>IFERROR(IF(('연간'!T53)&lt;=0,"적자",H28/('연간'!T53)),"")</f>
        <v/>
      </c>
      <c r="I49" s="47">
        <f>IFERROR(IF(('연간'!U53)&lt;=0,"적자",I28/('연간'!U53)),"")</f>
        <v/>
      </c>
      <c r="J49" s="47">
        <f>IFERROR(IF(('연간'!V53)&lt;=0,"적자",J28/('연간'!V53)),"")</f>
        <v/>
      </c>
      <c r="K49" s="47">
        <f>IFERROR(IF(('연간'!W53)&lt;=0,"적자",K28/('연간'!W53)),"")</f>
        <v/>
      </c>
      <c r="L49" s="47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155980</v>
      </c>
      <c r="D71" s="20" t="n">
        <v>177412</v>
      </c>
      <c r="E71" s="20" t="n">
        <v>135276</v>
      </c>
      <c r="F71" s="20" t="n">
        <v>58981</v>
      </c>
      <c r="G71" s="20" t="n">
        <v>178637</v>
      </c>
      <c r="H71" s="20" t="n">
        <v>131089</v>
      </c>
      <c r="I71" s="20" t="n">
        <v>85087</v>
      </c>
      <c r="J71" s="20" t="n">
        <v>77668</v>
      </c>
      <c r="K71" s="20" t="n">
        <v>82810</v>
      </c>
      <c r="L71" s="20" t="n">
        <v>58981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</t>
        </is>
      </c>
      <c r="H73" s="20" t="n">
        <v>234</v>
      </c>
    </row>
    <row r="74">
      <c r="A74" s="18" t="inlineStr">
        <is>
          <t>매출채권</t>
        </is>
      </c>
      <c r="H74" s="20" t="n">
        <v>126581</v>
      </c>
    </row>
    <row r="75">
      <c r="A75" s="18" t="inlineStr">
        <is>
          <t>Accounts Receivable From Subsidiaries And Affiliates Trade CAGAS</t>
        </is>
      </c>
      <c r="H75" s="20" t="n">
        <v>19696</v>
      </c>
    </row>
    <row r="76">
      <c r="A76" s="18" t="inlineStr">
        <is>
          <t>미수금</t>
        </is>
      </c>
      <c r="H76" s="20" t="n">
        <v>11681</v>
      </c>
    </row>
    <row r="77">
      <c r="A77" s="18" t="inlineStr">
        <is>
          <t>제품</t>
        </is>
      </c>
      <c r="H77" s="20" t="n">
        <v>61</v>
      </c>
    </row>
    <row r="78">
      <c r="A78" s="18" t="inlineStr">
        <is>
          <t>Raw Materials CAGAS</t>
        </is>
      </c>
      <c r="H78" s="20" t="n">
        <v>52432</v>
      </c>
    </row>
    <row r="79">
      <c r="A79" s="18" t="inlineStr">
        <is>
          <t>저장품</t>
        </is>
      </c>
      <c r="H79" s="20" t="n">
        <v>14060</v>
      </c>
    </row>
    <row r="80">
      <c r="A80" s="18" t="inlineStr">
        <is>
          <t>Advance Payments CAGAS</t>
        </is>
      </c>
      <c r="H80" s="20" t="n">
        <v>2097</v>
      </c>
    </row>
    <row r="81">
      <c r="A81" s="18" t="inlineStr">
        <is>
          <t>Short Term Receivables From Subsidiaries And Affiliates CAGAS</t>
        </is>
      </c>
      <c r="H81" s="20" t="n">
        <v>89309</v>
      </c>
    </row>
    <row r="82">
      <c r="A82" s="18" t="inlineStr">
        <is>
          <t>받을어음·매출채권·계약자산</t>
        </is>
      </c>
      <c r="C82" s="20" t="n">
        <v>241247</v>
      </c>
      <c r="D82" s="20" t="n">
        <v>242617</v>
      </c>
      <c r="E82" s="20" t="n">
        <v>262836</v>
      </c>
      <c r="F82" s="20" t="n">
        <v>296723</v>
      </c>
      <c r="G82" s="20" t="n">
        <v>233484</v>
      </c>
      <c r="H82" s="20" t="n">
        <v>227118</v>
      </c>
      <c r="I82" s="20" t="n">
        <v>279602</v>
      </c>
      <c r="J82" s="20" t="n">
        <v>270527</v>
      </c>
      <c r="K82" s="20" t="n">
        <v>317852</v>
      </c>
      <c r="L82" s="20" t="n">
        <v>296723</v>
      </c>
    </row>
    <row r="83">
      <c r="A83" s="18" t="inlineStr">
        <is>
          <t>Lease Receivables And Investment Assets CA</t>
        </is>
      </c>
      <c r="F83" s="20" t="n">
        <v>66619</v>
      </c>
      <c r="H83" s="20" t="n">
        <v>59047</v>
      </c>
      <c r="I83" s="20" t="n">
        <v>58732</v>
      </c>
      <c r="J83" s="20" t="n">
        <v>61502</v>
      </c>
      <c r="K83" s="20" t="n">
        <v>63931</v>
      </c>
      <c r="L83" s="20" t="n">
        <v>66619</v>
      </c>
    </row>
    <row r="84">
      <c r="A84" s="18" t="inlineStr">
        <is>
          <t>재고자산</t>
        </is>
      </c>
      <c r="C84" s="20" t="n">
        <v>241985</v>
      </c>
      <c r="D84" s="20" t="n">
        <v>203076</v>
      </c>
      <c r="E84" s="20" t="n">
        <v>262116</v>
      </c>
      <c r="F84" s="20" t="n">
        <v>222683</v>
      </c>
      <c r="G84" s="20" t="n">
        <v>254376</v>
      </c>
      <c r="H84" s="20" t="n">
        <v>145445</v>
      </c>
      <c r="I84" s="20" t="n">
        <v>219380</v>
      </c>
      <c r="J84" s="20" t="n">
        <v>211828</v>
      </c>
      <c r="K84" s="20" t="n">
        <v>204987</v>
      </c>
      <c r="L84" s="20" t="n">
        <v>222683</v>
      </c>
    </row>
    <row r="85">
      <c r="A85" s="18" t="inlineStr">
        <is>
          <t>기타</t>
        </is>
      </c>
      <c r="C85" s="20" t="n">
        <v>209266</v>
      </c>
      <c r="D85" s="20" t="n">
        <v>215417</v>
      </c>
      <c r="E85" s="20" t="n">
        <v>236737</v>
      </c>
      <c r="F85" s="20" t="n">
        <v>251769</v>
      </c>
      <c r="G85" s="20" t="n">
        <v>270308</v>
      </c>
      <c r="H85" s="20" t="n">
        <v>145589</v>
      </c>
      <c r="I85" s="20" t="n">
        <v>139265</v>
      </c>
      <c r="J85" s="20" t="n">
        <v>142101</v>
      </c>
      <c r="K85" s="20" t="n">
        <v>144836</v>
      </c>
      <c r="L85" s="20" t="n">
        <v>251769</v>
      </c>
    </row>
    <row r="86">
      <c r="A86" s="18" t="inlineStr">
        <is>
          <t>대손충당금</t>
        </is>
      </c>
      <c r="C86" s="20" t="n">
        <v>-1457</v>
      </c>
      <c r="D86" s="20" t="n">
        <v>-1379</v>
      </c>
      <c r="E86" s="20" t="n">
        <v>-1425</v>
      </c>
      <c r="F86" s="20" t="n">
        <v>-1275</v>
      </c>
      <c r="G86" s="20" t="n">
        <v>-1260</v>
      </c>
      <c r="H86" s="20" t="n">
        <v>-639</v>
      </c>
      <c r="I86" s="20" t="n">
        <v>-1132</v>
      </c>
      <c r="J86" s="20" t="n">
        <v>-1148</v>
      </c>
      <c r="K86" s="20" t="n">
        <v>-1639</v>
      </c>
      <c r="L86" s="20" t="n">
        <v>-1275</v>
      </c>
    </row>
    <row r="87">
      <c r="A87" s="9" t="inlineStr">
        <is>
          <t>유동자산 합계</t>
        </is>
      </c>
      <c r="C87" s="12" t="n">
        <v>847022</v>
      </c>
      <c r="D87" s="12" t="n">
        <v>837144</v>
      </c>
      <c r="E87" s="12" t="n">
        <v>895541</v>
      </c>
      <c r="F87" s="12" t="n">
        <v>828882</v>
      </c>
      <c r="G87" s="12" t="n">
        <v>935545</v>
      </c>
      <c r="H87" s="12" t="n">
        <v>707651</v>
      </c>
      <c r="I87" s="12" t="n">
        <v>780936</v>
      </c>
      <c r="J87" s="12" t="n">
        <v>762479</v>
      </c>
      <c r="K87" s="12" t="n">
        <v>812779</v>
      </c>
      <c r="L87" s="12" t="n">
        <v>828882</v>
      </c>
    </row>
    <row r="88">
      <c r="A88" s="18" t="inlineStr">
        <is>
          <t>건물·구축물(순액)</t>
        </is>
      </c>
      <c r="C88" s="20" t="n">
        <v>204816</v>
      </c>
      <c r="D88" s="20" t="n">
        <v>231016</v>
      </c>
      <c r="E88" s="20" t="n">
        <v>242173</v>
      </c>
      <c r="F88" s="20" t="n">
        <v>252252</v>
      </c>
      <c r="G88" s="20" t="n">
        <v>261455</v>
      </c>
      <c r="H88" s="20" t="n">
        <v>188637</v>
      </c>
      <c r="I88" s="20" t="n">
        <v>187685</v>
      </c>
      <c r="J88" s="20" t="n">
        <v>195216</v>
      </c>
      <c r="K88" s="20" t="n">
        <v>207431</v>
      </c>
      <c r="L88" s="20" t="n">
        <v>252252</v>
      </c>
    </row>
    <row r="89">
      <c r="A89" s="18" t="inlineStr">
        <is>
          <t>기계장치·운반구(순액)</t>
        </is>
      </c>
      <c r="C89" s="20" t="n">
        <v>688813</v>
      </c>
      <c r="D89" s="20" t="n">
        <v>717069</v>
      </c>
      <c r="E89" s="20" t="n">
        <v>771481</v>
      </c>
      <c r="F89" s="20" t="n">
        <v>807394</v>
      </c>
      <c r="G89" s="20" t="n">
        <v>856910</v>
      </c>
      <c r="H89" s="20" t="n">
        <v>580547</v>
      </c>
      <c r="I89" s="20" t="n">
        <v>616247</v>
      </c>
      <c r="J89" s="20" t="n">
        <v>660691</v>
      </c>
      <c r="K89" s="20" t="n">
        <v>708617</v>
      </c>
      <c r="L89" s="20" t="n">
        <v>807394</v>
      </c>
    </row>
    <row r="90">
      <c r="A90" s="18" t="inlineStr">
        <is>
          <t>토지</t>
        </is>
      </c>
      <c r="C90" s="20" t="n">
        <v>268584</v>
      </c>
      <c r="D90" s="20" t="n">
        <v>271679</v>
      </c>
      <c r="E90" s="20" t="n">
        <v>268386</v>
      </c>
      <c r="F90" s="20" t="n">
        <v>270434</v>
      </c>
      <c r="G90" s="20" t="n">
        <v>275476</v>
      </c>
      <c r="H90" s="20" t="n">
        <v>222350</v>
      </c>
      <c r="I90" s="20" t="n">
        <v>231327</v>
      </c>
      <c r="J90" s="20" t="n">
        <v>242068</v>
      </c>
      <c r="K90" s="20" t="n">
        <v>269815</v>
      </c>
      <c r="L90" s="20" t="n">
        <v>270434</v>
      </c>
    </row>
    <row r="91">
      <c r="A91" s="18" t="inlineStr">
        <is>
          <t>리스자산(순액)</t>
        </is>
      </c>
      <c r="H91" s="20" t="n">
        <v>10609</v>
      </c>
    </row>
    <row r="92">
      <c r="A92" s="18" t="inlineStr">
        <is>
          <t>건설중인자산</t>
        </is>
      </c>
      <c r="C92" s="20" t="n">
        <v>222397</v>
      </c>
      <c r="D92" s="20" t="n">
        <v>192693</v>
      </c>
      <c r="E92" s="20" t="n">
        <v>142825</v>
      </c>
      <c r="F92" s="20" t="n">
        <v>124971</v>
      </c>
      <c r="G92" s="20" t="n">
        <v>88866</v>
      </c>
      <c r="H92" s="20" t="n">
        <v>138915</v>
      </c>
      <c r="I92" s="20" t="n">
        <v>182611</v>
      </c>
      <c r="J92" s="20" t="n">
        <v>179896</v>
      </c>
      <c r="K92" s="20" t="n">
        <v>212405</v>
      </c>
      <c r="L92" s="20" t="n">
        <v>124971</v>
      </c>
    </row>
    <row r="93">
      <c r="A93" s="18" t="inlineStr">
        <is>
          <t>기타(순액)</t>
        </is>
      </c>
      <c r="C93" s="20" t="n">
        <v>28889</v>
      </c>
      <c r="D93" s="20" t="n">
        <v>29840</v>
      </c>
      <c r="E93" s="20" t="n">
        <v>37459</v>
      </c>
      <c r="F93" s="20" t="n">
        <v>39697</v>
      </c>
      <c r="G93" s="20" t="n">
        <v>37498</v>
      </c>
      <c r="H93" s="20" t="n">
        <v>25831</v>
      </c>
      <c r="I93" s="20" t="n">
        <v>25917</v>
      </c>
      <c r="J93" s="20" t="n">
        <v>27071</v>
      </c>
      <c r="K93" s="20" t="n">
        <v>29408</v>
      </c>
      <c r="L93" s="20" t="n">
        <v>39697</v>
      </c>
    </row>
    <row r="94">
      <c r="A94" s="18" t="inlineStr">
        <is>
          <t>유형자산 합계</t>
        </is>
      </c>
      <c r="C94" s="20" t="n">
        <v>1413501</v>
      </c>
      <c r="D94" s="20" t="n">
        <v>1442299</v>
      </c>
      <c r="E94" s="20" t="n">
        <v>1462326</v>
      </c>
      <c r="F94" s="20" t="n">
        <v>1494750</v>
      </c>
      <c r="G94" s="20" t="n">
        <v>1520207</v>
      </c>
      <c r="H94" s="20" t="n">
        <v>1156281</v>
      </c>
      <c r="I94" s="20" t="n">
        <v>1243788</v>
      </c>
      <c r="J94" s="20" t="n">
        <v>1304945</v>
      </c>
      <c r="K94" s="20" t="n">
        <v>1427677</v>
      </c>
      <c r="L94" s="20" t="n">
        <v>1494750</v>
      </c>
    </row>
    <row r="95">
      <c r="A95" s="18" t="inlineStr">
        <is>
          <t>Patent Right</t>
        </is>
      </c>
      <c r="H95" s="20" t="n">
        <v>1</v>
      </c>
    </row>
    <row r="96">
      <c r="A96" s="18" t="inlineStr">
        <is>
          <t>차지권</t>
        </is>
      </c>
      <c r="H96" s="20" t="n">
        <v>3075</v>
      </c>
    </row>
    <row r="97">
      <c r="A97" s="18" t="inlineStr">
        <is>
          <t>Other IA</t>
        </is>
      </c>
      <c r="H97" s="20" t="n">
        <v>41715</v>
      </c>
    </row>
    <row r="98">
      <c r="A98" s="18" t="inlineStr">
        <is>
          <t>무형자산</t>
        </is>
      </c>
      <c r="C98" s="20" t="n">
        <v>90142</v>
      </c>
      <c r="D98" s="20" t="n">
        <v>71875</v>
      </c>
      <c r="E98" s="20" t="n">
        <v>75344</v>
      </c>
      <c r="F98" s="20" t="n">
        <v>79093</v>
      </c>
      <c r="G98" s="20" t="n">
        <v>78787</v>
      </c>
      <c r="H98" s="20" t="n">
        <v>95251</v>
      </c>
      <c r="I98" s="20" t="n">
        <v>105120</v>
      </c>
      <c r="J98" s="20" t="n">
        <v>109243</v>
      </c>
      <c r="K98" s="20" t="n">
        <v>92377</v>
      </c>
      <c r="L98" s="20" t="n">
        <v>79093</v>
      </c>
    </row>
    <row r="99">
      <c r="A99" s="18" t="inlineStr">
        <is>
          <t>투자유가증권</t>
        </is>
      </c>
      <c r="C99" s="20" t="n">
        <v>543059</v>
      </c>
      <c r="D99" s="20" t="n">
        <v>537800</v>
      </c>
      <c r="E99" s="20" t="n">
        <v>561781</v>
      </c>
      <c r="F99" s="20" t="n">
        <v>548433</v>
      </c>
      <c r="G99" s="20" t="n">
        <v>566131</v>
      </c>
      <c r="H99" s="20" t="n">
        <v>359225</v>
      </c>
      <c r="I99" s="20" t="n">
        <v>440911</v>
      </c>
      <c r="J99" s="20" t="n">
        <v>538803</v>
      </c>
      <c r="K99" s="20" t="n">
        <v>569252</v>
      </c>
      <c r="L99" s="20" t="n">
        <v>548433</v>
      </c>
    </row>
    <row r="100">
      <c r="A100" s="18" t="inlineStr">
        <is>
          <t>Investments In Subsidiaries And Affiliates IOAGAS</t>
        </is>
      </c>
      <c r="H100" s="20" t="n">
        <v>535924</v>
      </c>
    </row>
    <row r="101">
      <c r="A101" s="18" t="inlineStr">
        <is>
          <t>관계회사 장기대여금</t>
        </is>
      </c>
      <c r="H101" s="20" t="n">
        <v>207278</v>
      </c>
    </row>
    <row r="102">
      <c r="A102" s="18" t="inlineStr">
        <is>
          <t>출자금</t>
        </is>
      </c>
      <c r="H102" s="20" t="n">
        <v>21</v>
      </c>
    </row>
    <row r="103">
      <c r="A103" s="18" t="inlineStr">
        <is>
          <t>장기선급비용</t>
        </is>
      </c>
      <c r="H103" s="20" t="n">
        <v>6646</v>
      </c>
    </row>
    <row r="104">
      <c r="A104" s="18" t="inlineStr">
        <is>
          <t>선급연금비용</t>
        </is>
      </c>
      <c r="H104" s="20" t="n">
        <v>43542</v>
      </c>
    </row>
    <row r="105">
      <c r="A105" s="18" t="inlineStr">
        <is>
          <t>장기대여금</t>
        </is>
      </c>
      <c r="F105" s="20" t="n">
        <v>37107</v>
      </c>
      <c r="H105" s="20" t="n">
        <v>27698</v>
      </c>
      <c r="J105" s="20" t="n">
        <v>28279</v>
      </c>
      <c r="K105" s="20" t="n">
        <v>34897</v>
      </c>
      <c r="L105" s="20" t="n">
        <v>37107</v>
      </c>
    </row>
    <row r="106">
      <c r="A106" s="18" t="inlineStr">
        <is>
          <t>퇴직급여자산</t>
        </is>
      </c>
      <c r="F106" s="20" t="n">
        <v>176471</v>
      </c>
      <c r="H106" s="20" t="n">
        <v>118693</v>
      </c>
      <c r="I106" s="20" t="n">
        <v>116038</v>
      </c>
      <c r="J106" s="20" t="n">
        <v>126854</v>
      </c>
      <c r="K106" s="20" t="n">
        <v>144544</v>
      </c>
      <c r="L106" s="20" t="n">
        <v>176471</v>
      </c>
    </row>
    <row r="107">
      <c r="A107" s="18" t="inlineStr">
        <is>
          <t>이연법인세자산</t>
        </is>
      </c>
      <c r="H107" s="20" t="n">
        <v>64481</v>
      </c>
      <c r="I107" s="20" t="n">
        <v>35148</v>
      </c>
    </row>
    <row r="108">
      <c r="A108" s="18" t="inlineStr">
        <is>
          <t>기타</t>
        </is>
      </c>
      <c r="C108" s="20" t="n">
        <v>292878</v>
      </c>
      <c r="D108" s="20" t="n">
        <v>307687</v>
      </c>
      <c r="E108" s="20" t="n">
        <v>332512</v>
      </c>
      <c r="F108" s="20" t="n">
        <v>370800</v>
      </c>
      <c r="G108" s="20" t="n">
        <v>385408</v>
      </c>
      <c r="H108" s="20" t="n">
        <v>87232</v>
      </c>
      <c r="I108" s="20" t="n">
        <v>133492</v>
      </c>
      <c r="J108" s="20" t="n">
        <v>110332</v>
      </c>
      <c r="K108" s="20" t="n">
        <v>119729</v>
      </c>
      <c r="L108" s="20" t="n">
        <v>370800</v>
      </c>
    </row>
    <row r="109">
      <c r="A109" s="18" t="inlineStr">
        <is>
          <t>대손충당금</t>
        </is>
      </c>
      <c r="C109" s="20" t="n">
        <v>-825</v>
      </c>
      <c r="D109" s="20" t="n">
        <v>-809</v>
      </c>
      <c r="E109" s="20" t="n">
        <v>-803</v>
      </c>
      <c r="F109" s="20" t="n">
        <v>-554</v>
      </c>
      <c r="G109" s="20" t="n">
        <v>-634</v>
      </c>
      <c r="H109" s="20" t="n">
        <v>-731</v>
      </c>
      <c r="I109" s="20" t="n">
        <v>-699</v>
      </c>
      <c r="J109" s="20" t="n">
        <v>-811</v>
      </c>
      <c r="K109" s="20" t="n">
        <v>-730</v>
      </c>
      <c r="L109" s="20" t="n">
        <v>-554</v>
      </c>
    </row>
    <row r="110">
      <c r="A110" s="18" t="inlineStr">
        <is>
          <t>투자 및 기타자산 합계</t>
        </is>
      </c>
      <c r="C110" s="20" t="n">
        <v>835112</v>
      </c>
      <c r="D110" s="20" t="n">
        <v>844678</v>
      </c>
      <c r="E110" s="20" t="n">
        <v>893490</v>
      </c>
      <c r="F110" s="20" t="n">
        <v>918678</v>
      </c>
      <c r="G110" s="20" t="n">
        <v>950905</v>
      </c>
      <c r="H110" s="20" t="n">
        <v>628901</v>
      </c>
      <c r="I110" s="20" t="n">
        <v>689743</v>
      </c>
      <c r="J110" s="20" t="n">
        <v>803458</v>
      </c>
      <c r="K110" s="20" t="n">
        <v>867691</v>
      </c>
      <c r="L110" s="20" t="n">
        <v>918678</v>
      </c>
    </row>
    <row r="111">
      <c r="A111" s="9" t="inlineStr">
        <is>
          <t>비유동자산 합계</t>
        </is>
      </c>
      <c r="C111" s="12" t="n">
        <v>2338756</v>
      </c>
      <c r="D111" s="12" t="n">
        <v>2358852</v>
      </c>
      <c r="E111" s="12" t="n">
        <v>2431161</v>
      </c>
      <c r="F111" s="12" t="n">
        <v>2492522</v>
      </c>
      <c r="G111" s="12" t="n">
        <v>2549900</v>
      </c>
      <c r="H111" s="12" t="n">
        <v>1880434</v>
      </c>
      <c r="I111" s="12" t="n">
        <v>2038652</v>
      </c>
      <c r="J111" s="12" t="n">
        <v>2217647</v>
      </c>
      <c r="K111" s="12" t="n">
        <v>2387746</v>
      </c>
      <c r="L111" s="12" t="n">
        <v>2492522</v>
      </c>
    </row>
    <row r="112">
      <c r="A112" s="9" t="inlineStr">
        <is>
          <t>자산 합계</t>
        </is>
      </c>
      <c r="C112" s="12" t="n">
        <v>3185778</v>
      </c>
      <c r="D112" s="12" t="n">
        <v>3195996</v>
      </c>
      <c r="E112" s="12" t="n">
        <v>3326702</v>
      </c>
      <c r="F112" s="12" t="n">
        <v>3321405</v>
      </c>
      <c r="G112" s="12" t="n">
        <v>3485446</v>
      </c>
      <c r="H112" s="12" t="n">
        <v>2588086</v>
      </c>
      <c r="I112" s="12" t="n">
        <v>2819589</v>
      </c>
      <c r="J112" s="12" t="n">
        <v>2980127</v>
      </c>
      <c r="K112" s="12" t="n">
        <v>3200525</v>
      </c>
      <c r="L112" s="12" t="n">
        <v>3321405</v>
      </c>
    </row>
    <row r="113">
      <c r="A113" s="18" t="inlineStr">
        <is>
          <t>지급어음·매입채무</t>
        </is>
      </c>
      <c r="C113" s="20" t="n">
        <v>83013</v>
      </c>
      <c r="D113" s="20" t="n">
        <v>80713</v>
      </c>
      <c r="E113" s="20" t="n">
        <v>100592</v>
      </c>
      <c r="F113" s="20" t="n">
        <v>94528</v>
      </c>
      <c r="G113" s="20" t="n">
        <v>93226</v>
      </c>
      <c r="H113" s="20" t="n">
        <v>104935</v>
      </c>
      <c r="I113" s="20" t="n">
        <v>69142</v>
      </c>
      <c r="J113" s="20" t="n">
        <v>82907</v>
      </c>
      <c r="K113" s="20" t="n">
        <v>103690</v>
      </c>
      <c r="L113" s="20" t="n">
        <v>94528</v>
      </c>
    </row>
    <row r="114">
      <c r="A114" s="18" t="inlineStr">
        <is>
          <t>미지급법인세</t>
        </is>
      </c>
      <c r="H114" s="20" t="n">
        <v>6472</v>
      </c>
      <c r="I114" s="20" t="n">
        <v>26586</v>
      </c>
    </row>
    <row r="115">
      <c r="A115" s="18" t="inlineStr">
        <is>
          <t>선수금</t>
        </is>
      </c>
      <c r="H115" s="20" t="n">
        <v>9007</v>
      </c>
    </row>
    <row r="116">
      <c r="A116" s="18" t="inlineStr">
        <is>
          <t>예수금</t>
        </is>
      </c>
      <c r="H116" s="20" t="n">
        <v>5725</v>
      </c>
    </row>
    <row r="117">
      <c r="A117" s="18" t="inlineStr">
        <is>
          <t>Short Term Debt To Subsidiaries And Affiliates CLGAS</t>
        </is>
      </c>
      <c r="H117" s="20" t="n">
        <v>109666</v>
      </c>
    </row>
    <row r="118">
      <c r="A118" s="18" t="inlineStr">
        <is>
          <t>단기차입금</t>
        </is>
      </c>
      <c r="D118" s="20" t="n">
        <v>50431</v>
      </c>
      <c r="J118" s="20" t="n">
        <v>7612</v>
      </c>
      <c r="K118" s="20" t="n">
        <v>8971</v>
      </c>
    </row>
    <row r="119">
      <c r="A119" s="18" t="inlineStr">
        <is>
          <t>기타</t>
        </is>
      </c>
      <c r="C119" s="20" t="n">
        <v>407539</v>
      </c>
      <c r="D119" s="20" t="n">
        <v>347564</v>
      </c>
      <c r="E119" s="20" t="n">
        <v>440357</v>
      </c>
      <c r="F119" s="20" t="n">
        <v>355683</v>
      </c>
      <c r="G119" s="20" t="n">
        <v>493634</v>
      </c>
      <c r="H119" s="20" t="n">
        <v>295254</v>
      </c>
      <c r="I119" s="20" t="n">
        <v>390656</v>
      </c>
      <c r="J119" s="20" t="n">
        <v>311029</v>
      </c>
      <c r="K119" s="20" t="n">
        <v>306094</v>
      </c>
      <c r="L119" s="20" t="n">
        <v>355683</v>
      </c>
    </row>
    <row r="120">
      <c r="A120" s="9" t="inlineStr">
        <is>
          <t>유동부채 합계</t>
        </is>
      </c>
      <c r="C120" s="12" t="n">
        <v>490552</v>
      </c>
      <c r="D120" s="12" t="n">
        <v>478710</v>
      </c>
      <c r="E120" s="12" t="n">
        <v>540949</v>
      </c>
      <c r="F120" s="12" t="n">
        <v>450212</v>
      </c>
      <c r="G120" s="12" t="n">
        <v>586861</v>
      </c>
      <c r="H120" s="12" t="n">
        <v>400190</v>
      </c>
      <c r="I120" s="12" t="n">
        <v>459798</v>
      </c>
      <c r="J120" s="12" t="n">
        <v>393936</v>
      </c>
      <c r="K120" s="12" t="n">
        <v>409785</v>
      </c>
      <c r="L120" s="12" t="n">
        <v>450212</v>
      </c>
    </row>
    <row r="121">
      <c r="A121" s="18" t="inlineStr">
        <is>
          <t>사채</t>
        </is>
      </c>
      <c r="C121" s="20" t="n">
        <v>491030</v>
      </c>
      <c r="D121" s="20" t="n">
        <v>491023</v>
      </c>
      <c r="E121" s="20" t="n">
        <v>491016</v>
      </c>
      <c r="F121" s="20" t="n">
        <v>491016</v>
      </c>
      <c r="G121" s="20" t="n">
        <v>491009</v>
      </c>
      <c r="H121" s="20" t="n">
        <v>364998</v>
      </c>
      <c r="I121" s="20" t="n">
        <v>425018</v>
      </c>
      <c r="J121" s="20" t="n">
        <v>459999</v>
      </c>
      <c r="K121" s="20" t="n">
        <v>500999</v>
      </c>
      <c r="L121" s="20" t="n">
        <v>491016</v>
      </c>
    </row>
    <row r="122">
      <c r="A122" s="18" t="inlineStr">
        <is>
          <t>장기차입금</t>
        </is>
      </c>
      <c r="C122" s="20" t="n">
        <v>344106</v>
      </c>
      <c r="D122" s="20" t="n">
        <v>314102</v>
      </c>
      <c r="E122" s="20" t="n">
        <v>312029</v>
      </c>
      <c r="F122" s="20" t="n">
        <v>303203</v>
      </c>
      <c r="G122" s="20" t="n">
        <v>304475</v>
      </c>
      <c r="H122" s="20" t="n">
        <v>350502</v>
      </c>
      <c r="I122" s="20" t="n">
        <v>386516</v>
      </c>
      <c r="J122" s="20" t="n">
        <v>354588</v>
      </c>
      <c r="K122" s="20" t="n">
        <v>363939</v>
      </c>
      <c r="L122" s="20" t="n">
        <v>303203</v>
      </c>
    </row>
    <row r="123">
      <c r="A123" s="18" t="inlineStr">
        <is>
          <t>Long Term Debt To Subsidiaries And Affiliates NCLGAS</t>
        </is>
      </c>
      <c r="H123" s="20" t="n">
        <v>6338</v>
      </c>
    </row>
    <row r="124">
      <c r="A124" s="18" t="inlineStr">
        <is>
          <t>이연법인세부채</t>
        </is>
      </c>
      <c r="F124" s="20" t="n">
        <v>109337</v>
      </c>
      <c r="H124" s="20" t="n">
        <v>5098</v>
      </c>
      <c r="I124" s="20" t="n">
        <v>19210</v>
      </c>
      <c r="J124" s="20" t="n">
        <v>54754</v>
      </c>
      <c r="K124" s="20" t="n">
        <v>75371</v>
      </c>
      <c r="L124" s="20" t="n">
        <v>109337</v>
      </c>
    </row>
    <row r="125">
      <c r="A125" s="18" t="inlineStr">
        <is>
          <t>퇴직급여충당금</t>
        </is>
      </c>
      <c r="H125" s="20" t="n">
        <v>2053</v>
      </c>
    </row>
    <row r="126">
      <c r="A126" s="18" t="inlineStr">
        <is>
          <t>Provision For Gas Holder Repairs GAS</t>
        </is>
      </c>
      <c r="H126" s="20" t="n">
        <v>1127</v>
      </c>
    </row>
    <row r="127">
      <c r="A127" s="18" t="inlineStr">
        <is>
          <t>Provision For Safety Measures GAS</t>
        </is>
      </c>
      <c r="H127" s="20" t="n">
        <v>6651</v>
      </c>
    </row>
    <row r="128">
      <c r="A128" s="18" t="inlineStr">
        <is>
          <t>Provision For Gas Appliance Warranties NCL</t>
        </is>
      </c>
      <c r="H128" s="20" t="n">
        <v>4983</v>
      </c>
    </row>
    <row r="129">
      <c r="A129" s="18" t="inlineStr">
        <is>
          <t>퇴직급여부채</t>
        </is>
      </c>
      <c r="C129" s="20" t="n">
        <v>17477</v>
      </c>
      <c r="D129" s="20" t="n">
        <v>17566</v>
      </c>
      <c r="E129" s="20" t="n">
        <v>17594</v>
      </c>
      <c r="F129" s="20" t="n">
        <v>16805</v>
      </c>
      <c r="G129" s="20" t="n">
        <v>16975</v>
      </c>
      <c r="H129" s="20" t="n">
        <v>18853</v>
      </c>
      <c r="I129" s="20" t="n">
        <v>19703</v>
      </c>
      <c r="J129" s="20" t="n">
        <v>19611</v>
      </c>
      <c r="K129" s="20" t="n">
        <v>17394</v>
      </c>
      <c r="L129" s="20" t="n">
        <v>16805</v>
      </c>
    </row>
    <row r="130">
      <c r="A130" s="18" t="inlineStr">
        <is>
          <t>기타</t>
        </is>
      </c>
      <c r="C130" s="20" t="n">
        <v>164389</v>
      </c>
      <c r="D130" s="20" t="n">
        <v>176229</v>
      </c>
      <c r="E130" s="20" t="n">
        <v>185309</v>
      </c>
      <c r="F130" s="20" t="n">
        <v>206139</v>
      </c>
      <c r="G130" s="20" t="n">
        <v>210226</v>
      </c>
      <c r="H130" s="20" t="n">
        <v>157452</v>
      </c>
      <c r="I130" s="20" t="n">
        <v>92162</v>
      </c>
      <c r="J130" s="20" t="n">
        <v>92245</v>
      </c>
      <c r="K130" s="20" t="n">
        <v>93743</v>
      </c>
      <c r="L130" s="20" t="n">
        <v>206139</v>
      </c>
    </row>
    <row r="131">
      <c r="A131" s="9" t="inlineStr">
        <is>
          <t>비유동부채 합계</t>
        </is>
      </c>
      <c r="C131" s="12" t="n">
        <v>1017002</v>
      </c>
      <c r="D131" s="12" t="n">
        <v>998922</v>
      </c>
      <c r="E131" s="12" t="n">
        <v>1005949</v>
      </c>
      <c r="F131" s="12" t="n">
        <v>1017164</v>
      </c>
      <c r="G131" s="12" t="n">
        <v>1022686</v>
      </c>
      <c r="H131" s="12" t="n">
        <v>891806</v>
      </c>
      <c r="I131" s="12" t="n">
        <v>942611</v>
      </c>
      <c r="J131" s="12" t="n">
        <v>981198</v>
      </c>
      <c r="K131" s="12" t="n">
        <v>1051448</v>
      </c>
      <c r="L131" s="12" t="n">
        <v>1017164</v>
      </c>
    </row>
    <row r="132">
      <c r="A132" s="18" t="inlineStr">
        <is>
          <t>Current Portion Of Noncurrent Liabilities CLGAS</t>
        </is>
      </c>
      <c r="H132" s="20" t="n">
        <v>57938</v>
      </c>
    </row>
    <row r="133">
      <c r="A133" s="18" t="inlineStr">
        <is>
          <t>매입채무</t>
        </is>
      </c>
      <c r="H133" s="20" t="n">
        <v>46132</v>
      </c>
    </row>
    <row r="134">
      <c r="A134" s="18" t="inlineStr">
        <is>
          <t>미지급금</t>
        </is>
      </c>
      <c r="H134" s="20" t="n">
        <v>21283</v>
      </c>
    </row>
    <row r="135">
      <c r="A135" s="18" t="inlineStr">
        <is>
          <t>미지급비용</t>
        </is>
      </c>
      <c r="H135" s="20" t="n">
        <v>46688</v>
      </c>
    </row>
    <row r="136">
      <c r="A136" s="9" t="inlineStr">
        <is>
          <t>부채 합계</t>
        </is>
      </c>
      <c r="C136" s="12" t="n">
        <v>1507555</v>
      </c>
      <c r="D136" s="12" t="n">
        <v>1477632</v>
      </c>
      <c r="E136" s="12" t="n">
        <v>1546898</v>
      </c>
      <c r="F136" s="12" t="n">
        <v>1467377</v>
      </c>
      <c r="G136" s="12" t="n">
        <v>1609547</v>
      </c>
      <c r="H136" s="12" t="n">
        <v>1291996</v>
      </c>
      <c r="I136" s="12" t="n">
        <v>1402410</v>
      </c>
      <c r="J136" s="12" t="n">
        <v>1375135</v>
      </c>
      <c r="K136" s="12" t="n">
        <v>1461234</v>
      </c>
      <c r="L136" s="12" t="n">
        <v>1467377</v>
      </c>
    </row>
    <row r="137">
      <c r="A137" s="18" t="inlineStr">
        <is>
          <t>자본금</t>
        </is>
      </c>
      <c r="C137" s="20" t="n">
        <v>132166</v>
      </c>
      <c r="D137" s="20" t="n">
        <v>132166</v>
      </c>
      <c r="E137" s="20" t="n">
        <v>132166</v>
      </c>
      <c r="F137" s="20" t="n">
        <v>132166</v>
      </c>
      <c r="G137" s="20" t="n">
        <v>132166</v>
      </c>
      <c r="H137" s="20" t="n">
        <v>132166</v>
      </c>
      <c r="I137" s="20" t="n">
        <v>132166</v>
      </c>
      <c r="J137" s="20" t="n">
        <v>132166</v>
      </c>
      <c r="K137" s="20" t="n">
        <v>132166</v>
      </c>
      <c r="L137" s="20" t="n">
        <v>132166</v>
      </c>
    </row>
    <row r="138">
      <c r="A138" s="18" t="inlineStr">
        <is>
          <t>자본준비금</t>
        </is>
      </c>
      <c r="H138" s="20" t="n">
        <v>19482</v>
      </c>
    </row>
    <row r="139">
      <c r="A139" s="18" t="inlineStr">
        <is>
          <t>기타자본잉여금</t>
        </is>
      </c>
      <c r="H139" s="20" t="n">
        <v>14</v>
      </c>
    </row>
    <row r="140">
      <c r="A140" s="18" t="inlineStr">
        <is>
          <t>자본잉여금</t>
        </is>
      </c>
      <c r="C140" s="20" t="n">
        <v>19759</v>
      </c>
      <c r="D140" s="20" t="n">
        <v>19759</v>
      </c>
      <c r="E140" s="20" t="n">
        <v>19759</v>
      </c>
      <c r="F140" s="20" t="n">
        <v>20167</v>
      </c>
      <c r="G140" s="20" t="n">
        <v>20117</v>
      </c>
      <c r="H140" s="20" t="n">
        <v>19071</v>
      </c>
      <c r="I140" s="20" t="n">
        <v>19096</v>
      </c>
      <c r="J140" s="20" t="n">
        <v>19056</v>
      </c>
      <c r="K140" s="20" t="n">
        <v>19902</v>
      </c>
      <c r="L140" s="20" t="n">
        <v>20167</v>
      </c>
    </row>
    <row r="141">
      <c r="A141" s="18" t="inlineStr">
        <is>
          <t>이익준비금</t>
        </is>
      </c>
      <c r="H141" s="20" t="n">
        <v>33041</v>
      </c>
    </row>
    <row r="142">
      <c r="A142" s="18" t="inlineStr">
        <is>
          <t>Reserve For Reduction Entry Of Specified Replaced Properties GAS</t>
        </is>
      </c>
      <c r="H142" s="20" t="n">
        <v>241</v>
      </c>
    </row>
    <row r="143">
      <c r="A143" s="18" t="inlineStr">
        <is>
          <t>Reserve For Overseas Investment Loss</t>
        </is>
      </c>
      <c r="H143" s="20" t="n">
        <v>9738</v>
      </c>
    </row>
    <row r="144">
      <c r="A144" s="18" t="inlineStr">
        <is>
          <t>Reserve For Investment Promotion Taxation ORE</t>
        </is>
      </c>
      <c r="H144" s="20" t="n">
        <v>217</v>
      </c>
    </row>
    <row r="145">
      <c r="A145" s="18" t="inlineStr">
        <is>
          <t>Reserve For Adjustment Of Cost Fluctuations GAS</t>
        </is>
      </c>
      <c r="H145" s="20" t="n">
        <v>89000</v>
      </c>
    </row>
    <row r="146">
      <c r="A146" s="18" t="inlineStr">
        <is>
          <t>별도적립금</t>
        </is>
      </c>
      <c r="H146" s="20" t="n">
        <v>62000</v>
      </c>
    </row>
    <row r="147">
      <c r="A147" s="18" t="inlineStr">
        <is>
          <t>이월이익잉여금</t>
        </is>
      </c>
      <c r="H147" s="20" t="n">
        <v>476503</v>
      </c>
    </row>
    <row r="148">
      <c r="A148" s="18" t="inlineStr">
        <is>
          <t>이익잉여금</t>
        </is>
      </c>
      <c r="C148" s="20" t="n">
        <v>1182422</v>
      </c>
      <c r="D148" s="20" t="n">
        <v>1228591</v>
      </c>
      <c r="E148" s="20" t="n">
        <v>1250451</v>
      </c>
      <c r="F148" s="20" t="n">
        <v>1262276</v>
      </c>
      <c r="G148" s="20" t="n">
        <v>1204464</v>
      </c>
      <c r="H148" s="20" t="n">
        <v>977907</v>
      </c>
      <c r="I148" s="20" t="n">
        <v>1010078</v>
      </c>
      <c r="J148" s="20" t="n">
        <v>1097883</v>
      </c>
      <c r="K148" s="20" t="n">
        <v>1173020</v>
      </c>
      <c r="L148" s="20" t="n">
        <v>1262276</v>
      </c>
    </row>
    <row r="149">
      <c r="A149" s="18" t="inlineStr">
        <is>
          <t>자기주식</t>
        </is>
      </c>
      <c r="C149" s="20" t="n">
        <v>-13696</v>
      </c>
      <c r="D149" s="20" t="n">
        <v>-28257</v>
      </c>
      <c r="E149" s="20" t="n">
        <v>-44841</v>
      </c>
      <c r="F149" s="20" t="n">
        <v>-63801</v>
      </c>
      <c r="G149" s="20" t="n">
        <v>-13913</v>
      </c>
      <c r="H149" s="20" t="n">
        <v>-2115</v>
      </c>
      <c r="I149" s="20" t="n">
        <v>-2045</v>
      </c>
      <c r="J149" s="20" t="n">
        <v>-2746</v>
      </c>
      <c r="K149" s="20" t="n">
        <v>-23034</v>
      </c>
      <c r="L149" s="20" t="n">
        <v>-63801</v>
      </c>
    </row>
    <row r="150">
      <c r="A150" s="9" t="inlineStr">
        <is>
          <t>주주자본 합계</t>
        </is>
      </c>
      <c r="C150" s="12" t="n">
        <v>1320652</v>
      </c>
      <c r="D150" s="12" t="n">
        <v>1352260</v>
      </c>
      <c r="E150" s="12" t="n">
        <v>1357535</v>
      </c>
      <c r="F150" s="12" t="n">
        <v>1350808</v>
      </c>
      <c r="G150" s="12" t="n">
        <v>1342835</v>
      </c>
      <c r="H150" s="12" t="n">
        <v>1127030</v>
      </c>
      <c r="I150" s="12" t="n">
        <v>1159295</v>
      </c>
      <c r="J150" s="12" t="n">
        <v>1246360</v>
      </c>
      <c r="K150" s="12" t="n">
        <v>1302054</v>
      </c>
      <c r="L150" s="12" t="n">
        <v>1350808</v>
      </c>
    </row>
    <row r="151">
      <c r="A151" s="18" t="inlineStr">
        <is>
          <t>기타유가증권 평가차액</t>
        </is>
      </c>
      <c r="C151" s="20" t="n">
        <v>57497</v>
      </c>
      <c r="D151" s="20" t="n">
        <v>67455</v>
      </c>
      <c r="E151" s="20" t="n">
        <v>71622</v>
      </c>
      <c r="F151" s="20" t="n">
        <v>72755</v>
      </c>
      <c r="G151" s="20" t="n">
        <v>79291</v>
      </c>
      <c r="H151" s="20" t="n">
        <v>67905</v>
      </c>
      <c r="I151" s="20" t="n">
        <v>68085</v>
      </c>
      <c r="J151" s="20" t="n">
        <v>87899</v>
      </c>
      <c r="K151" s="20" t="n">
        <v>56187</v>
      </c>
      <c r="L151" s="20" t="n">
        <v>72755</v>
      </c>
    </row>
    <row r="152">
      <c r="A152" s="18" t="inlineStr">
        <is>
          <t>이연헤지손익</t>
        </is>
      </c>
      <c r="C152" s="20" t="n">
        <v>40472</v>
      </c>
      <c r="D152" s="20" t="n">
        <v>64141</v>
      </c>
      <c r="E152" s="20" t="n">
        <v>94155</v>
      </c>
      <c r="F152" s="20" t="n">
        <v>104160</v>
      </c>
      <c r="G152" s="20" t="n">
        <v>110720</v>
      </c>
      <c r="H152" s="20" t="n">
        <v>-15313</v>
      </c>
      <c r="I152" s="20" t="n">
        <v>25268</v>
      </c>
      <c r="J152" s="20" t="n">
        <v>61656</v>
      </c>
      <c r="K152" s="20" t="n">
        <v>70747</v>
      </c>
      <c r="L152" s="20" t="n">
        <v>104160</v>
      </c>
    </row>
    <row r="153">
      <c r="A153" s="18" t="inlineStr">
        <is>
          <t>토지재평가차액금</t>
        </is>
      </c>
      <c r="C153" s="20" t="n">
        <v>-2423</v>
      </c>
      <c r="D153" s="20" t="n">
        <v>-2423</v>
      </c>
      <c r="E153" s="20" t="n">
        <v>-2423</v>
      </c>
      <c r="F153" s="20" t="n">
        <v>-2423</v>
      </c>
      <c r="G153" s="20" t="n">
        <v>-2423</v>
      </c>
      <c r="H153" s="20" t="n">
        <v>-737</v>
      </c>
      <c r="I153" s="20" t="n">
        <v>-1947</v>
      </c>
      <c r="J153" s="20" t="n">
        <v>-2395</v>
      </c>
      <c r="K153" s="20" t="n">
        <v>-2395</v>
      </c>
      <c r="L153" s="20" t="n">
        <v>-2423</v>
      </c>
    </row>
    <row r="154">
      <c r="A154" s="18" t="inlineStr">
        <is>
          <t>해외사업환산조정</t>
        </is>
      </c>
      <c r="C154" s="20" t="n">
        <v>170990</v>
      </c>
      <c r="D154" s="20" t="n">
        <v>147675</v>
      </c>
      <c r="E154" s="20" t="n">
        <v>170205</v>
      </c>
      <c r="F154" s="20" t="n">
        <v>218115</v>
      </c>
      <c r="G154" s="20" t="n">
        <v>237435</v>
      </c>
      <c r="H154" s="20" t="n">
        <v>39108</v>
      </c>
      <c r="I154" s="20" t="n">
        <v>97838</v>
      </c>
      <c r="J154" s="20" t="n">
        <v>140583</v>
      </c>
      <c r="K154" s="20" t="n">
        <v>216648</v>
      </c>
      <c r="L154" s="20" t="n">
        <v>218115</v>
      </c>
    </row>
    <row r="155">
      <c r="A155" s="18" t="inlineStr">
        <is>
          <t>퇴직급여 조정누계액</t>
        </is>
      </c>
      <c r="C155" s="20" t="n">
        <v>44182</v>
      </c>
      <c r="D155" s="20" t="n">
        <v>42825</v>
      </c>
      <c r="E155" s="20" t="n">
        <v>41461</v>
      </c>
      <c r="F155" s="20" t="n">
        <v>62626</v>
      </c>
      <c r="G155" s="20" t="n">
        <v>60102</v>
      </c>
      <c r="H155" s="20" t="n">
        <v>53624</v>
      </c>
      <c r="I155" s="20" t="n">
        <v>42881</v>
      </c>
      <c r="J155" s="20" t="n">
        <v>43407</v>
      </c>
      <c r="K155" s="20" t="n">
        <v>45552</v>
      </c>
      <c r="L155" s="20" t="n">
        <v>62626</v>
      </c>
    </row>
    <row r="156">
      <c r="A156" s="18" t="inlineStr">
        <is>
          <t>기타포괄손익누계액 합계</t>
        </is>
      </c>
      <c r="C156" s="20" t="n">
        <v>310719</v>
      </c>
      <c r="D156" s="20" t="n">
        <v>319673</v>
      </c>
      <c r="E156" s="20" t="n">
        <v>375020</v>
      </c>
      <c r="F156" s="20" t="n">
        <v>455234</v>
      </c>
      <c r="G156" s="20" t="n">
        <v>485125</v>
      </c>
      <c r="H156" s="20" t="n">
        <v>144586</v>
      </c>
      <c r="I156" s="20" t="n">
        <v>232125</v>
      </c>
      <c r="J156" s="20" t="n">
        <v>331152</v>
      </c>
      <c r="K156" s="20" t="n">
        <v>386739</v>
      </c>
      <c r="L156" s="20" t="n">
        <v>455234</v>
      </c>
    </row>
    <row r="157">
      <c r="A157" s="18" t="inlineStr">
        <is>
          <t>비지배지분</t>
        </is>
      </c>
      <c r="C157" s="20" t="n">
        <v>46851</v>
      </c>
      <c r="D157" s="20" t="n">
        <v>46430</v>
      </c>
      <c r="E157" s="20" t="n">
        <v>47247</v>
      </c>
      <c r="F157" s="20" t="n">
        <v>47985</v>
      </c>
      <c r="G157" s="20" t="n">
        <v>47938</v>
      </c>
      <c r="H157" s="20" t="n">
        <v>24472</v>
      </c>
      <c r="I157" s="20" t="n">
        <v>25757</v>
      </c>
      <c r="J157" s="20" t="n">
        <v>27479</v>
      </c>
      <c r="K157" s="20" t="n">
        <v>50497</v>
      </c>
      <c r="L157" s="20" t="n">
        <v>47985</v>
      </c>
    </row>
    <row r="158">
      <c r="A158" s="9" t="inlineStr">
        <is>
          <t>순자산 합계</t>
        </is>
      </c>
      <c r="C158" s="12" t="n">
        <v>1678223</v>
      </c>
      <c r="D158" s="12" t="n">
        <v>1718364</v>
      </c>
      <c r="E158" s="12" t="n">
        <v>1779803</v>
      </c>
      <c r="F158" s="12" t="n">
        <v>1854028</v>
      </c>
      <c r="G158" s="12" t="n">
        <v>1875898</v>
      </c>
      <c r="H158" s="12" t="n">
        <v>1296089</v>
      </c>
      <c r="I158" s="12" t="n">
        <v>1417178</v>
      </c>
      <c r="J158" s="12" t="n">
        <v>1604992</v>
      </c>
      <c r="K158" s="12" t="n">
        <v>1739291</v>
      </c>
      <c r="L158" s="12" t="n">
        <v>1854028</v>
      </c>
    </row>
    <row r="159">
      <c r="A159" s="9" t="inlineStr">
        <is>
          <t>부채·순자산 합계</t>
        </is>
      </c>
      <c r="C159" s="12" t="n">
        <v>3185778</v>
      </c>
      <c r="D159" s="12" t="n">
        <v>3195996</v>
      </c>
      <c r="E159" s="12" t="n">
        <v>3326702</v>
      </c>
      <c r="F159" s="12" t="n">
        <v>3321405</v>
      </c>
      <c r="G159" s="12" t="n">
        <v>3485446</v>
      </c>
      <c r="H159" s="12" t="n">
        <v>2588086</v>
      </c>
      <c r="I159" s="12" t="n">
        <v>2819589</v>
      </c>
      <c r="J159" s="12" t="n">
        <v>2980127</v>
      </c>
      <c r="K159" s="12" t="n">
        <v>3200525</v>
      </c>
      <c r="L159" s="12" t="n">
        <v>3321405</v>
      </c>
    </row>
    <row r="160">
      <c r="A160" s="18" t="inlineStr">
        <is>
          <t>Production Facilities PPEGAS</t>
        </is>
      </c>
      <c r="H160" s="20" t="n">
        <v>90338</v>
      </c>
    </row>
    <row r="161">
      <c r="A161" s="18" t="inlineStr">
        <is>
          <t>Distribution Facilities PPEGAS</t>
        </is>
      </c>
      <c r="H161" s="20" t="n">
        <v>275313</v>
      </c>
    </row>
    <row r="162">
      <c r="A162" s="18" t="inlineStr">
        <is>
          <t>Service And Maintenance Facilities PPEGAS</t>
        </is>
      </c>
      <c r="H162" s="20" t="n">
        <v>45299</v>
      </c>
    </row>
    <row r="163">
      <c r="A163" s="18" t="inlineStr">
        <is>
          <t>Other Facilities PPEGAS</t>
        </is>
      </c>
      <c r="H163" s="20" t="n">
        <v>605057</v>
      </c>
    </row>
    <row r="164">
      <c r="A164" s="18" t="inlineStr">
        <is>
          <t>Facilities For Incidental Businesses PPEGAS</t>
        </is>
      </c>
      <c r="H164" s="20" t="n">
        <v>4653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1분기 결산단신</t>
        </is>
      </c>
      <c r="C4" t="inlineStr">
        <is>
          <t>https://www2.jpx.co.jp/disc/95320/140120260713592021.pdf</t>
        </is>
      </c>
    </row>
    <row r="5">
      <c r="A5" t="inlineStr">
        <is>
          <t>2026-05-08</t>
        </is>
      </c>
      <c r="B5" t="inlineStr">
        <is>
          <t>2026년 3월 결산기 연간 결산단신</t>
        </is>
      </c>
      <c r="C5" t="inlineStr">
        <is>
          <t>https://www2.jpx.co.jp/disc/95320/140120260401596715.pdf</t>
        </is>
      </c>
    </row>
    <row r="6">
      <c r="A6" t="inlineStr">
        <is>
          <t>2026-02-02</t>
        </is>
      </c>
      <c r="B6" t="inlineStr">
        <is>
          <t>2026년 3월 결산기 3분기 결산단신</t>
        </is>
      </c>
      <c r="C6" t="inlineStr">
        <is>
          <t>https://www2.jpx.co.jp/disc/95320/140120260127539272.pdf</t>
        </is>
      </c>
    </row>
    <row r="7">
      <c r="A7" t="inlineStr">
        <is>
          <t>2025-10-30</t>
        </is>
      </c>
      <c r="B7" t="inlineStr">
        <is>
          <t>2026년 3월 결산기 2분기 결산단신</t>
        </is>
      </c>
      <c r="C7" t="inlineStr">
        <is>
          <t>https://www2.jpx.co.jp/disc/95320/140120251015573627.pdf</t>
        </is>
      </c>
    </row>
    <row r="8">
      <c r="A8" t="inlineStr">
        <is>
          <t>2025-07-31</t>
        </is>
      </c>
      <c r="B8" t="inlineStr">
        <is>
          <t>2026년 3월 결산기 1분기 결산단신</t>
        </is>
      </c>
      <c r="C8" t="inlineStr">
        <is>
          <t>https://www2.jpx.co.jp/disc/95320/140120250728521106.pdf</t>
        </is>
      </c>
    </row>
    <row r="9">
      <c r="A9" t="inlineStr">
        <is>
          <t>2025-05-08</t>
        </is>
      </c>
      <c r="B9" t="inlineStr">
        <is>
          <t>2025년 3월 결산기 연간 결산단신</t>
        </is>
      </c>
      <c r="C9" t="inlineStr">
        <is>
          <t>https://www2.jpx.co.jp/disc/95320/140120250430528127.pdf</t>
        </is>
      </c>
    </row>
    <row r="10">
      <c r="A10" t="inlineStr">
        <is>
          <t>2025-02-03</t>
        </is>
      </c>
      <c r="B10" t="inlineStr">
        <is>
          <t>2025년 3월 결산기 3분기 결산단신</t>
        </is>
      </c>
      <c r="C10" t="inlineStr">
        <is>
          <t>https://www2.jpx.co.jp/disc/95320/140120250131559145.pdf</t>
        </is>
      </c>
    </row>
    <row r="11">
      <c r="A11" t="inlineStr">
        <is>
          <t>2024-10-31</t>
        </is>
      </c>
      <c r="B11" t="inlineStr">
        <is>
          <t>2025년 3월 결산기 2분기 결산단신</t>
        </is>
      </c>
      <c r="C11" t="inlineStr">
        <is>
          <t>https://www2.jpx.co.jp/disc/95320/140120241029504995.pdf</t>
        </is>
      </c>
    </row>
    <row r="12">
      <c r="A12" t="inlineStr">
        <is>
          <t>2024-07-29</t>
        </is>
      </c>
      <c r="B12" t="inlineStr">
        <is>
          <t>2025년 3월 결산기 1분기 결산단신</t>
        </is>
      </c>
      <c r="C12" t="inlineStr">
        <is>
          <t>https://www2.jpx.co.jp/disc/95320/140120240726555636.pdf</t>
        </is>
      </c>
    </row>
    <row r="13">
      <c r="A13" t="inlineStr">
        <is>
          <t>2024-05-08</t>
        </is>
      </c>
      <c r="B13" t="inlineStr">
        <is>
          <t>2024년 3월 결산기 연간 결산단신</t>
        </is>
      </c>
      <c r="C13" t="inlineStr">
        <is>
          <t>https://www2.jpx.co.jp/disc/95320/140120240507582771.pdf</t>
        </is>
      </c>
    </row>
    <row r="14">
      <c r="A14" t="inlineStr">
        <is>
          <t>2024-01-30</t>
        </is>
      </c>
      <c r="B14" t="inlineStr">
        <is>
          <t>2024년 3월 결산기 3분기 결산단신</t>
        </is>
      </c>
      <c r="C14" t="inlineStr">
        <is>
          <t>https://www2.jpx.co.jp/disc/95320/140120240126520140.pdf</t>
        </is>
      </c>
    </row>
    <row r="15">
      <c r="A15" t="inlineStr">
        <is>
          <t>2023-10-27</t>
        </is>
      </c>
      <c r="B15" t="inlineStr">
        <is>
          <t>2024년 3월 결산기 2분기 결산단신</t>
        </is>
      </c>
      <c r="C15" t="inlineStr">
        <is>
          <t>https://www2.jpx.co.jp/disc/95320/140120231025570913.pdf</t>
        </is>
      </c>
    </row>
    <row r="16">
      <c r="A16" t="inlineStr">
        <is>
          <t>2023-07-31</t>
        </is>
      </c>
      <c r="B16" t="inlineStr">
        <is>
          <t>2024년 3월 결산기 1분기 결산단신</t>
        </is>
      </c>
      <c r="C16" t="inlineStr">
        <is>
          <t>https://www2.jpx.co.jp/disc/95320/140120230731530308.pdf</t>
        </is>
      </c>
    </row>
    <row r="17">
      <c r="A17" t="inlineStr">
        <is>
          <t>2023-05-08</t>
        </is>
      </c>
      <c r="B17" t="inlineStr">
        <is>
          <t>2023년 3월 결산기 연간 결산단신</t>
        </is>
      </c>
      <c r="C17" t="inlineStr">
        <is>
          <t>https://www2.jpx.co.jp/disc/95320/140120230501557347.pdf</t>
        </is>
      </c>
    </row>
    <row r="18">
      <c r="A18" t="inlineStr">
        <is>
          <t>2023-02-06</t>
        </is>
      </c>
      <c r="B18" t="inlineStr">
        <is>
          <t>2023년 3월 결산기 3분기 결산단신</t>
        </is>
      </c>
      <c r="C18" t="inlineStr">
        <is>
          <t>https://www2.jpx.co.jp/disc/95320/140120230203500329.pdf</t>
        </is>
      </c>
    </row>
    <row r="19">
      <c r="A19" t="inlineStr">
        <is>
          <t>2022-10-31</t>
        </is>
      </c>
      <c r="B19" t="inlineStr">
        <is>
          <t>2023년 2월 결산기 2분기 결산단신</t>
        </is>
      </c>
      <c r="C19" t="inlineStr">
        <is>
          <t>https://www2.jpx.co.jp/disc/95320/140120221028552213.pdf</t>
        </is>
      </c>
    </row>
    <row r="20">
      <c r="A20" t="inlineStr">
        <is>
          <t>2022-04-26</t>
        </is>
      </c>
      <c r="B20" t="inlineStr">
        <is>
          <t>2022년 3월 결산기 연간 결산단신</t>
        </is>
      </c>
      <c r="C20" t="inlineStr">
        <is>
          <t>https://www2.jpx.co.jp/disc/95320/140120220425527309.pdf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https://www2.jpx.co.jp/disc/95320/140120210426400031.pdf</t>
        </is>
      </c>
    </row>
    <row r="22">
      <c r="A22" t="inlineStr">
        <is>
          <t>2020-05-11</t>
        </is>
      </c>
      <c r="B22" t="inlineStr">
        <is>
          <t>2020년 3월 결산기 연간 결산단신</t>
        </is>
      </c>
      <c r="C22" t="inlineStr">
        <is>
          <t>https://www2.jpx.co.jp/disc/95320/140120200508406638.pdf</t>
        </is>
      </c>
    </row>
    <row r="23">
      <c r="A23" t="inlineStr">
        <is>
          <t>2019-04-24</t>
        </is>
      </c>
      <c r="B23" t="inlineStr">
        <is>
          <t>2019년 3월 결산기 연간 결산단신</t>
        </is>
      </c>
      <c r="C23" t="inlineStr">
        <is>
          <t>https://www2.jpx.co.jp/disc/95320/140120190423408984.pdf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https://www2.jpx.co.jp/disc/95320/140120180425419706.pdf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2026-10-26T10:59:40Z</dcterms:created>
  <dcterms:modified xmlns:dcterms="http://purl.org/dc/terms/" xmlns:xsi="http://www.w3.org/2001/XMLSchema-instance" xsi:type="dcterms:W3CDTF">2026-10-26T10:59:40Z</dcterms:modified>
</cp:coreProperties>
</file>