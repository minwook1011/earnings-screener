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8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9532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483082</v>
      </c>
      <c r="D4" s="12" t="n">
        <v>514454</v>
      </c>
      <c r="E4" s="12" t="n">
        <v>572903</v>
      </c>
      <c r="F4" s="12" t="n">
        <v>470928</v>
      </c>
      <c r="G4" s="12" t="n">
        <v>479182</v>
      </c>
      <c r="H4" s="12" t="n">
        <v>494021</v>
      </c>
      <c r="I4" s="12" t="n">
        <v>624888</v>
      </c>
      <c r="J4" s="12" t="n">
        <v>470993</v>
      </c>
      <c r="K4" s="12" t="n">
        <v>488174</v>
      </c>
      <c r="L4" s="12" t="n">
        <v>479663</v>
      </c>
      <c r="M4" s="12" t="n">
        <v>591472</v>
      </c>
      <c r="N4" s="12" t="n">
        <v>478007</v>
      </c>
      <c r="O4" s="11" t="n">
        <v>1183846</v>
      </c>
      <c r="P4" s="12" t="n">
        <v>1296238</v>
      </c>
      <c r="Q4" s="12" t="n">
        <v>1371863</v>
      </c>
      <c r="R4" s="12" t="n">
        <v>1368689</v>
      </c>
      <c r="S4" s="12" t="n">
        <v>1364106</v>
      </c>
      <c r="T4" s="12" t="n">
        <v>1591120</v>
      </c>
      <c r="U4" s="12" t="n">
        <v>2275113</v>
      </c>
      <c r="V4" s="12" t="n">
        <v>2083050</v>
      </c>
      <c r="W4" s="12" t="n">
        <v>2069019</v>
      </c>
      <c r="X4" s="12" t="n">
        <v>2030302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DomesticEnergyReportableSegmentMember</t>
        </is>
      </c>
      <c r="B7" s="10" t="n"/>
      <c r="C7" s="19" t="n">
        <v>401604</v>
      </c>
      <c r="D7" s="20" t="n">
        <v>436718</v>
      </c>
      <c r="E7" s="20" t="n">
        <v>487662</v>
      </c>
      <c r="F7" s="20" t="n">
        <v>395705</v>
      </c>
      <c r="G7" s="20" t="n">
        <v>392611</v>
      </c>
      <c r="H7" s="20" t="n">
        <v>417746</v>
      </c>
      <c r="I7" s="20" t="n">
        <v>531843</v>
      </c>
      <c r="J7" s="20" t="n">
        <v>382189</v>
      </c>
      <c r="K7" s="20" t="n">
        <v>393682</v>
      </c>
      <c r="L7" s="20" t="n">
        <v>391630</v>
      </c>
      <c r="M7" s="20" t="n">
        <v>475905</v>
      </c>
      <c r="N7" s="20" t="n">
        <v>379734</v>
      </c>
      <c r="O7" s="19" t="n"/>
      <c r="P7" s="20" t="n"/>
      <c r="Q7" s="20" t="n"/>
      <c r="R7" s="20" t="n"/>
      <c r="S7" s="20" t="n"/>
      <c r="T7" s="20" t="n"/>
      <c r="U7" s="20" t="n"/>
      <c r="V7" s="20" t="n">
        <v>1770666</v>
      </c>
      <c r="W7" s="20" t="n">
        <v>1737905</v>
      </c>
      <c r="X7" s="20" t="n">
        <v>1643406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InternationalEnergyReportableSegmentsMember</t>
        </is>
      </c>
      <c r="B10" s="10" t="n"/>
      <c r="C10" s="19" t="n">
        <v>27056</v>
      </c>
      <c r="D10" s="20" t="n">
        <v>30625</v>
      </c>
      <c r="E10" s="20" t="n">
        <v>36711</v>
      </c>
      <c r="F10" s="20" t="n">
        <v>25535</v>
      </c>
      <c r="G10" s="20" t="n">
        <v>33565</v>
      </c>
      <c r="H10" s="20" t="n">
        <v>32592</v>
      </c>
      <c r="I10" s="20" t="n">
        <v>36459</v>
      </c>
      <c r="J10" s="20" t="n">
        <v>34115</v>
      </c>
      <c r="K10" s="20" t="n">
        <v>35403</v>
      </c>
      <c r="L10" s="20" t="n">
        <v>35980</v>
      </c>
      <c r="M10" s="20" t="n">
        <v>38292</v>
      </c>
      <c r="N10" s="20" t="n">
        <v>34308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116448</v>
      </c>
      <c r="W10" s="20" t="n">
        <v>128151</v>
      </c>
      <c r="X10" s="20" t="n">
        <v>143790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LifeAndBusinessSolutionsReportableSegmentsMember</t>
        </is>
      </c>
      <c r="B13" s="10" t="n"/>
      <c r="C13" s="19" t="n">
        <v>74114</v>
      </c>
      <c r="D13" s="20" t="n">
        <v>67233</v>
      </c>
      <c r="E13" s="20" t="n">
        <v>73617</v>
      </c>
      <c r="F13" s="20" t="n">
        <v>63032</v>
      </c>
      <c r="G13" s="20" t="n">
        <v>73570</v>
      </c>
      <c r="H13" s="20" t="n">
        <v>63487</v>
      </c>
      <c r="I13" s="20" t="n">
        <v>82377</v>
      </c>
      <c r="J13" s="20" t="n">
        <v>67282</v>
      </c>
      <c r="K13" s="20" t="n">
        <v>79092</v>
      </c>
      <c r="L13" s="20" t="n">
        <v>71241</v>
      </c>
      <c r="M13" s="20" t="n">
        <v>102224</v>
      </c>
      <c r="N13" s="20" t="n">
        <v>76326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274026</v>
      </c>
      <c r="W13" s="20" t="n">
        <v>282466</v>
      </c>
      <c r="X13" s="20" t="n">
        <v>319839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EntityTotalMember</t>
        </is>
      </c>
      <c r="B16" s="10" t="n"/>
      <c r="C16" s="19" t="n"/>
      <c r="D16" s="20" t="n"/>
      <c r="E16" s="20" t="n"/>
      <c r="F16" s="20" t="n">
        <v>470928</v>
      </c>
      <c r="G16" s="20" t="n"/>
      <c r="H16" s="20" t="n"/>
      <c r="I16" s="20" t="n"/>
      <c r="J16" s="20" t="n">
        <v>470993</v>
      </c>
      <c r="K16" s="20" t="n"/>
      <c r="L16" s="20" t="n"/>
      <c r="M16" s="20" t="n"/>
      <c r="N16" s="20" t="n">
        <v>478007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406449</v>
      </c>
      <c r="D20" s="20" t="n">
        <v>414073</v>
      </c>
      <c r="E20" s="20" t="n">
        <v>466969</v>
      </c>
      <c r="F20" s="20" t="n">
        <v>386680</v>
      </c>
      <c r="G20" s="20" t="n">
        <v>395088</v>
      </c>
      <c r="H20" s="20" t="n">
        <v>391106</v>
      </c>
      <c r="I20" s="20" t="n">
        <v>490567</v>
      </c>
      <c r="J20" s="20" t="n">
        <v>364617</v>
      </c>
      <c r="K20" s="20" t="n">
        <v>387686</v>
      </c>
      <c r="L20" s="20" t="n">
        <v>372230</v>
      </c>
      <c r="M20" s="20" t="n">
        <v>468252</v>
      </c>
      <c r="N20" s="20" t="n">
        <v>387057</v>
      </c>
      <c r="O20" s="19" t="n">
        <v>308842</v>
      </c>
      <c r="P20" s="20" t="n">
        <v>366752</v>
      </c>
      <c r="Q20" s="20" t="n">
        <v>981086</v>
      </c>
      <c r="R20" s="20" t="n">
        <v>961983</v>
      </c>
      <c r="S20" s="20" t="n">
        <v>921777</v>
      </c>
      <c r="T20" s="20" t="n">
        <v>1276354</v>
      </c>
      <c r="U20" s="20" t="n">
        <v>1992892</v>
      </c>
      <c r="V20" s="20" t="n">
        <v>1672681</v>
      </c>
      <c r="W20" s="20" t="n">
        <v>1663441</v>
      </c>
      <c r="X20" s="20" t="n">
        <v>1592785</v>
      </c>
      <c r="Y20" s="19" t="n"/>
      <c r="Z20" s="20" t="n"/>
      <c r="AA20" s="20" t="n"/>
      <c r="AB20" s="20" t="n"/>
      <c r="AC20" s="20" t="n"/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IF(OR(G20="",C20=""),"",IF(C20&lt;=0,"",IFERROR(G20/C20-1,"")))</f>
        <v/>
      </c>
      <c r="H21" s="15">
        <f>IF(OR(H20="",D20=""),"",IF(D20&lt;=0,"",IFERROR(H20/D20-1,"")))</f>
        <v/>
      </c>
      <c r="I21" s="15">
        <f>IF(OR(I20="",E20=""),"",IF(E20&lt;=0,"",IFERROR(I20/E20-1,"")))</f>
        <v/>
      </c>
      <c r="J21" s="15">
        <f>IF(OR(J20="",F20=""),"",IF(F20&lt;=0,"",IFERROR(J20/F20-1,"")))</f>
        <v/>
      </c>
      <c r="K21" s="15">
        <f>IF(OR(K20="",G20=""),"",IF(G20&lt;=0,"",IFERROR(K20/G20-1,"")))</f>
        <v/>
      </c>
      <c r="L21" s="15">
        <f>IF(OR(L20="",H20=""),"",IF(H20&lt;=0,"",IFERROR(L20/H20-1,"")))</f>
        <v/>
      </c>
      <c r="M21" s="15">
        <f>IF(OR(M20="",I20=""),"",IF(I20&lt;=0,"",IFERROR(M20/I20-1,"")))</f>
        <v/>
      </c>
      <c r="N21" s="15">
        <f>IF(OR(N20="",J20=""),"",IF(J20&lt;=0,"",IFERROR(N20/J20-1,"")))</f>
        <v/>
      </c>
      <c r="O21" s="14" t="n"/>
      <c r="P21" s="15">
        <f>IF(OR(P20="",O20=""),"",IF(O20&lt;=0,"",IFERROR(P20/O20-1,"")))</f>
        <v/>
      </c>
      <c r="Q21" s="15">
        <f>IF(OR(Q20="",P20=""),"",IF(P20&lt;=0,"",IFERROR(Q20/P20-1,"")))</f>
        <v/>
      </c>
      <c r="R21" s="15">
        <f>IF(OR(R20="",Q20=""),"",IF(Q20&lt;=0,"",IFERROR(R20/Q20-1,"")))</f>
        <v/>
      </c>
      <c r="S21" s="15">
        <f>IF(OR(S20="",R20=""),"",IF(R20&lt;=0,"",IFERROR(S20/R20-1,"")))</f>
        <v/>
      </c>
      <c r="T21" s="15">
        <f>IF(OR(T20="",S20=""),"",IF(S20&lt;=0,"",IFERROR(T20/S20-1,"")))</f>
        <v/>
      </c>
      <c r="U21" s="15">
        <f>IF(OR(U20="",T20=""),"",IF(T20&lt;=0,"",IFERROR(U20/T20-1,"")))</f>
        <v/>
      </c>
      <c r="V21" s="15">
        <f>IF(OR(V20="",U20=""),"",IF(U20&lt;=0,"",IFERROR(V20/U20-1,"")))</f>
        <v/>
      </c>
      <c r="W21" s="15">
        <f>IF(OR(W20="",V20=""),"",IF(V20&lt;=0,"",IFERROR(W20/V20-1,"")))</f>
        <v/>
      </c>
      <c r="X21" s="15">
        <f>IF(OR(X20="",W20=""),"",IF(W20&lt;=0,"",IFERROR(X20/W20-1,"")))</f>
        <v/>
      </c>
      <c r="Y21" s="14">
        <f>IF(OR(Y20="",X20=""),"",IF(X20&lt;=0,"",IFERROR(Y20/X20-1,"")))</f>
        <v/>
      </c>
      <c r="Z21" s="15">
        <f>IF(OR(Z20="",Y20=""),"",IF(Y20&lt;=0,"",IFERROR(Z20/Y20-1,"")))</f>
        <v/>
      </c>
      <c r="AA21" s="15">
        <f>IF(OR(AA20="",Z20=""),"",IF(Z20&lt;=0,"",IFERROR(AA20/Z20-1,"")))</f>
        <v/>
      </c>
      <c r="AB21" s="15">
        <f>IF(OR(AB20="",AA20=""),"",IF(AA20&lt;=0,"",IFERROR(AB20/AA20-1,"")))</f>
        <v/>
      </c>
      <c r="AC21" s="15">
        <f>IF(OR(AC20="",AB20=""),"",IF(AB20&lt;=0,"",IFERROR(AC20/AB20-1,"")))</f>
        <v/>
      </c>
    </row>
    <row r="22">
      <c r="A22" s="18" t="inlineStr">
        <is>
          <t>매출총이익</t>
        </is>
      </c>
      <c r="B22" s="10" t="n"/>
      <c r="C22" s="19">
        <f>IF(OR(C4="",C20=""),"",IFERROR(C4-C20,""))</f>
        <v/>
      </c>
      <c r="D22" s="20">
        <f>IF(OR(D4="",D20=""),"",IFERROR(D4-D20,""))</f>
        <v/>
      </c>
      <c r="E22" s="20">
        <f>IF(OR(E4="",E20=""),"",IFERROR(E4-E20,""))</f>
        <v/>
      </c>
      <c r="F22" s="20">
        <f>IF(OR(F4="",F20=""),"",IFERROR(F4-F20,""))</f>
        <v/>
      </c>
      <c r="G22" s="20">
        <f>IF(OR(G4="",G20=""),"",IFERROR(G4-G20,""))</f>
        <v/>
      </c>
      <c r="H22" s="20">
        <f>IF(OR(H4="",H20=""),"",IFERROR(H4-H20,""))</f>
        <v/>
      </c>
      <c r="I22" s="20">
        <f>IF(OR(I4="",I20=""),"",IFERROR(I4-I20,""))</f>
        <v/>
      </c>
      <c r="J22" s="20">
        <f>IF(OR(J4="",J20=""),"",IFERROR(J4-J20,""))</f>
        <v/>
      </c>
      <c r="K22" s="20">
        <f>IF(OR(K4="",K20=""),"",IFERROR(K4-K20,""))</f>
        <v/>
      </c>
      <c r="L22" s="20">
        <f>IF(OR(L4="",L20=""),"",IFERROR(L4-L20,""))</f>
        <v/>
      </c>
      <c r="M22" s="20">
        <f>IF(OR(M4="",M20=""),"",IFERROR(M4-M20,""))</f>
        <v/>
      </c>
      <c r="N22" s="20">
        <f>IF(OR(N4="",N20=""),"",IFERROR(N4-N20,""))</f>
        <v/>
      </c>
      <c r="O22" s="19">
        <f>IF(OR(O4="",O20=""),"",IFERROR(O4-O20,""))</f>
        <v/>
      </c>
      <c r="P22" s="20">
        <f>IF(OR(P4="",P20=""),"",IFERROR(P4-P20,""))</f>
        <v/>
      </c>
      <c r="Q22" s="20">
        <f>IF(OR(Q4="",Q20=""),"",IFERROR(Q4-Q20,""))</f>
        <v/>
      </c>
      <c r="R22" s="20">
        <f>IF(OR(R4="",R20=""),"",IFERROR(R4-R20,""))</f>
        <v/>
      </c>
      <c r="S22" s="20">
        <f>IF(OR(S4="",S20=""),"",IFERROR(S4-S20,""))</f>
        <v/>
      </c>
      <c r="T22" s="20">
        <f>IF(OR(T4="",T20=""),"",IFERROR(T4-T20,""))</f>
        <v/>
      </c>
      <c r="U22" s="20">
        <f>IF(OR(U4="",U20=""),"",IFERROR(U4-U20,""))</f>
        <v/>
      </c>
      <c r="V22" s="20">
        <f>IF(OR(V4="",V20=""),"",IFERROR(V4-V20,""))</f>
        <v/>
      </c>
      <c r="W22" s="20">
        <f>IF(OR(W4="",W20=""),"",IFERROR(W4-W20,""))</f>
        <v/>
      </c>
      <c r="X22" s="20">
        <f>IF(OR(X4="",X20=""),"",IFERROR(X4-X20,""))</f>
        <v/>
      </c>
      <c r="Y22" s="19" t="n"/>
      <c r="Z22" s="20" t="n"/>
      <c r="AA22" s="20" t="n"/>
      <c r="AB22" s="20" t="n"/>
      <c r="AC22" s="20" t="n"/>
    </row>
    <row r="23">
      <c r="A23" s="13" t="inlineStr">
        <is>
          <t>GPM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IF(OR(G22="",C22=""),"",IF(C22&lt;=0,"",IFERROR(G22/C22-1,"")))</f>
        <v/>
      </c>
      <c r="H24" s="15">
        <f>IF(OR(H22="",D22=""),"",IF(D22&lt;=0,"",IFERROR(H22/D22-1,"")))</f>
        <v/>
      </c>
      <c r="I24" s="15">
        <f>IF(OR(I22="",E22=""),"",IF(E22&lt;=0,"",IFERROR(I22/E22-1,"")))</f>
        <v/>
      </c>
      <c r="J24" s="15">
        <f>IF(OR(J22="",F22=""),"",IF(F22&lt;=0,"",IFERROR(J22/F22-1,"")))</f>
        <v/>
      </c>
      <c r="K24" s="15">
        <f>IF(OR(K22="",G22=""),"",IF(G22&lt;=0,"",IFERROR(K22/G22-1,"")))</f>
        <v/>
      </c>
      <c r="L24" s="15">
        <f>IF(OR(L22="",H22=""),"",IF(H22&lt;=0,"",IFERROR(L22/H22-1,"")))</f>
        <v/>
      </c>
      <c r="M24" s="15">
        <f>IF(OR(M22="",I22=""),"",IF(I22&lt;=0,"",IFERROR(M22/I22-1,"")))</f>
        <v/>
      </c>
      <c r="N24" s="15">
        <f>IF(OR(N22="",J22=""),"",IF(J22&lt;=0,"",IFERROR(N22/J22-1,"")))</f>
        <v/>
      </c>
      <c r="O24" s="14" t="n"/>
      <c r="P24" s="15">
        <f>IF(OR(P22="",O22=""),"",IF(O22&lt;=0,"",IFERROR(P22/O22-1,"")))</f>
        <v/>
      </c>
      <c r="Q24" s="15">
        <f>IF(OR(Q22="",P22=""),"",IF(P22&lt;=0,"",IFERROR(Q22/P22-1,"")))</f>
        <v/>
      </c>
      <c r="R24" s="15">
        <f>IF(OR(R22="",Q22=""),"",IF(Q22&lt;=0,"",IFERROR(R22/Q22-1,"")))</f>
        <v/>
      </c>
      <c r="S24" s="15">
        <f>IF(OR(S22="",R22=""),"",IF(R22&lt;=0,"",IFERROR(S22/R22-1,"")))</f>
        <v/>
      </c>
      <c r="T24" s="15">
        <f>IF(OR(T22="",S22=""),"",IF(S22&lt;=0,"",IFERROR(T22/S22-1,"")))</f>
        <v/>
      </c>
      <c r="U24" s="15">
        <f>IF(OR(U22="",T22=""),"",IF(T22&lt;=0,"",IFERROR(U22/T22-1,"")))</f>
        <v/>
      </c>
      <c r="V24" s="15">
        <f>IF(OR(V22="",U22=""),"",IF(U22&lt;=0,"",IFERROR(V22/U22-1,"")))</f>
        <v/>
      </c>
      <c r="W24" s="15">
        <f>IF(OR(W22="",V22=""),"",IF(V22&lt;=0,"",IFERROR(W22/V22-1,"")))</f>
        <v/>
      </c>
      <c r="X24" s="15">
        <f>IF(OR(X22="",W22=""),"",IF(W22&lt;=0,"",IFERROR(X22/W22-1,"")))</f>
        <v/>
      </c>
      <c r="Y24" s="14">
        <f>IF(OR(Y22="",X22=""),"",IF(X22&lt;=0,"",IFERROR(Y22/X22-1,"")))</f>
        <v/>
      </c>
      <c r="Z24" s="15">
        <f>IF(OR(Z22="",Y22=""),"",IF(Y22&lt;=0,"",IFERROR(Z22/Y22-1,"")))</f>
        <v/>
      </c>
      <c r="AA24" s="15">
        <f>IF(OR(AA22="",Z22=""),"",IF(Z22&lt;=0,"",IFERROR(AA22/Z22-1,"")))</f>
        <v/>
      </c>
      <c r="AB24" s="15">
        <f>IF(OR(AB22="",AA22=""),"",IF(AA22&lt;=0,"",IFERROR(AB22/AA22-1,"")))</f>
        <v/>
      </c>
      <c r="AC24" s="15">
        <f>IF(OR(AC22="",AB22=""),"",IF(AB22&lt;=0,"",IFERROR(AC22/AB22-1,"")))</f>
        <v/>
      </c>
    </row>
    <row r="25">
      <c r="A25" s="23" t="inlineStr">
        <is>
          <t>판매관리비</t>
        </is>
      </c>
      <c r="B25" s="23" t="n"/>
      <c r="C25" s="24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4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4" t="n"/>
      <c r="Z25" s="23" t="n"/>
      <c r="AA25" s="23" t="n"/>
      <c r="AB25" s="23" t="n"/>
      <c r="AC25" s="23" t="n"/>
    </row>
    <row r="26">
      <c r="A26" s="18" t="inlineStr">
        <is>
          <t>전체 판관비</t>
        </is>
      </c>
      <c r="B26" s="10" t="n"/>
      <c r="C26" s="19" t="n">
        <v>53565</v>
      </c>
      <c r="D26" s="20" t="n">
        <v>56420</v>
      </c>
      <c r="E26" s="20" t="n">
        <v>74072</v>
      </c>
      <c r="F26" s="20" t="n">
        <v>55498</v>
      </c>
      <c r="G26" s="20" t="n">
        <v>57903</v>
      </c>
      <c r="H26" s="20" t="n">
        <v>58348</v>
      </c>
      <c r="I26" s="20" t="n">
        <v>73097</v>
      </c>
      <c r="J26" s="20" t="n">
        <v>58696</v>
      </c>
      <c r="K26" s="20" t="n">
        <v>58498</v>
      </c>
      <c r="L26" s="20" t="n">
        <v>63354</v>
      </c>
      <c r="M26" s="20" t="n">
        <v>82158</v>
      </c>
      <c r="N26" s="20" t="n">
        <v>59640</v>
      </c>
      <c r="O26" s="19" t="n"/>
      <c r="P26" s="20" t="n"/>
      <c r="Q26" s="20" t="n"/>
      <c r="R26" s="20" t="n"/>
      <c r="S26" s="20" t="n"/>
      <c r="T26" s="20" t="n">
        <v>215564</v>
      </c>
      <c r="U26" s="20" t="n">
        <v>222219</v>
      </c>
      <c r="V26" s="20" t="n">
        <v>237814</v>
      </c>
      <c r="W26" s="20" t="n">
        <v>244846</v>
      </c>
      <c r="X26" s="20" t="n">
        <v>262706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23067</v>
      </c>
      <c r="D28" s="12" t="n">
        <v>43961</v>
      </c>
      <c r="E28" s="12" t="n">
        <v>31861</v>
      </c>
      <c r="F28" s="12" t="n">
        <v>28750</v>
      </c>
      <c r="G28" s="12" t="n">
        <v>26189</v>
      </c>
      <c r="H28" s="12" t="n">
        <v>44568</v>
      </c>
      <c r="I28" s="12" t="n">
        <v>61224</v>
      </c>
      <c r="J28" s="12" t="n">
        <v>47679</v>
      </c>
      <c r="K28" s="12" t="n">
        <v>41990</v>
      </c>
      <c r="L28" s="12" t="n">
        <v>44078</v>
      </c>
      <c r="M28" s="12" t="n">
        <v>41062</v>
      </c>
      <c r="N28" s="12" t="n">
        <v>31309</v>
      </c>
      <c r="O28" s="11" t="n">
        <v>55345</v>
      </c>
      <c r="P28" s="12" t="n">
        <v>47722</v>
      </c>
      <c r="Q28" s="12" t="n">
        <v>67977</v>
      </c>
      <c r="R28" s="12" t="n">
        <v>83792</v>
      </c>
      <c r="S28" s="12" t="n">
        <v>112491</v>
      </c>
      <c r="T28" s="12" t="n">
        <v>99201</v>
      </c>
      <c r="U28" s="12" t="n">
        <v>60001</v>
      </c>
      <c r="V28" s="12" t="n">
        <v>172553</v>
      </c>
      <c r="W28" s="12" t="n">
        <v>160731</v>
      </c>
      <c r="X28" s="12" t="n">
        <v>174809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IF(O26="","",O26)</f>
        <v/>
      </c>
      <c r="P32" s="12">
        <f>IF(P26="","",P26)</f>
        <v/>
      </c>
      <c r="Q32" s="12">
        <f>IF(Q26="","",Q26)</f>
        <v/>
      </c>
      <c r="R32" s="12">
        <f>IF(R26="","",R26)</f>
        <v/>
      </c>
      <c r="S32" s="12">
        <f>IF(S26="","",S26)</f>
        <v/>
      </c>
      <c r="T32" s="12">
        <f>IF(T26="","",T26)</f>
        <v/>
      </c>
      <c r="U32" s="12">
        <f>IF(U26="","",U26)</f>
        <v/>
      </c>
      <c r="V32" s="12">
        <f>IF(V26="","",V26)</f>
        <v/>
      </c>
      <c r="W32" s="12">
        <f>IF(W26="","",W26)</f>
        <v/>
      </c>
      <c r="X32" s="12">
        <f>IF(X26="","",X26)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/>
      <c r="D44" s="20" t="n"/>
      <c r="E44" s="20" t="n">
        <v>0</v>
      </c>
      <c r="F44" s="20" t="n">
        <v>0</v>
      </c>
      <c r="G44" s="20" t="n">
        <v>0</v>
      </c>
      <c r="H44" s="20" t="n">
        <v>0</v>
      </c>
      <c r="I44" s="20" t="n">
        <v>25406</v>
      </c>
      <c r="J44" s="20" t="n">
        <v>6790</v>
      </c>
      <c r="K44" s="20" t="n">
        <v>12152</v>
      </c>
      <c r="L44" s="20" t="n">
        <v>2508</v>
      </c>
      <c r="M44" s="20" t="n">
        <v>316</v>
      </c>
      <c r="N44" s="20" t="n">
        <v>0</v>
      </c>
      <c r="O44" s="19" t="n"/>
      <c r="P44" s="20" t="n">
        <v>0</v>
      </c>
      <c r="Q44" s="20" t="n">
        <v>6999</v>
      </c>
      <c r="R44" s="20" t="n">
        <v>0</v>
      </c>
      <c r="S44" s="20" t="n">
        <v>0</v>
      </c>
      <c r="T44" s="20" t="n">
        <v>23825</v>
      </c>
      <c r="U44" s="20" t="n">
        <v>17418</v>
      </c>
      <c r="V44" s="20" t="n">
        <v>0</v>
      </c>
      <c r="W44" s="20" t="n">
        <v>25406</v>
      </c>
      <c r="X44" s="20" t="n">
        <v>21766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/>
      <c r="D46" s="20" t="n">
        <v>0</v>
      </c>
      <c r="E46" s="20" t="n">
        <v>30546</v>
      </c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19" t="n">
        <v>4680</v>
      </c>
      <c r="P46" s="20" t="n">
        <v>0</v>
      </c>
      <c r="Q46" s="20" t="n">
        <v>11038</v>
      </c>
      <c r="R46" s="20" t="n">
        <v>15568</v>
      </c>
      <c r="S46" s="20" t="n">
        <v>19016</v>
      </c>
      <c r="T46" s="20" t="n">
        <v>18349</v>
      </c>
      <c r="U46" s="20" t="n">
        <v>9357</v>
      </c>
      <c r="V46" s="20" t="n">
        <v>30546</v>
      </c>
      <c r="W46" s="20" t="n">
        <v>25803</v>
      </c>
      <c r="X46" s="20" t="n">
        <v>23396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21296</v>
      </c>
      <c r="D48" s="20" t="n">
        <v>12282</v>
      </c>
      <c r="E48" s="20" t="n">
        <v>28953</v>
      </c>
      <c r="F48" s="20" t="n">
        <v>19678</v>
      </c>
      <c r="G48" s="20" t="n">
        <v>8768</v>
      </c>
      <c r="H48" s="20" t="n">
        <v>16682</v>
      </c>
      <c r="I48" s="20" t="n">
        <v>9149</v>
      </c>
      <c r="J48" s="20" t="n">
        <v>19375</v>
      </c>
      <c r="K48" s="20" t="n">
        <v>9244</v>
      </c>
      <c r="L48" s="20" t="n">
        <v>17608</v>
      </c>
      <c r="M48" s="20" t="n">
        <v>8408</v>
      </c>
      <c r="N48" s="20" t="n">
        <v>25355</v>
      </c>
      <c r="O48" s="19" t="n">
        <v>25489</v>
      </c>
      <c r="P48" s="20" t="n">
        <v>19227</v>
      </c>
      <c r="Q48" s="20" t="n">
        <v>14600</v>
      </c>
      <c r="R48" s="20" t="n">
        <v>24746</v>
      </c>
      <c r="S48" s="20" t="n">
        <v>32941</v>
      </c>
      <c r="T48" s="20" t="n">
        <v>32767</v>
      </c>
      <c r="U48" s="20" t="n">
        <v>38950</v>
      </c>
      <c r="V48" s="20" t="n">
        <v>78305</v>
      </c>
      <c r="W48" s="20" t="n">
        <v>54277</v>
      </c>
      <c r="X48" s="20" t="n">
        <v>54635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3184</v>
      </c>
      <c r="D50" s="20" t="n">
        <v>5523</v>
      </c>
      <c r="E50" s="20" t="n">
        <v>8822</v>
      </c>
      <c r="F50" s="20" t="n">
        <v>4755</v>
      </c>
      <c r="G50" s="20" t="n">
        <v>6762</v>
      </c>
      <c r="H50" s="20" t="n">
        <v>7592</v>
      </c>
      <c r="I50" s="20" t="n">
        <v>6252</v>
      </c>
      <c r="J50" s="20" t="n">
        <v>7713</v>
      </c>
      <c r="K50" s="20" t="n">
        <v>5114</v>
      </c>
      <c r="L50" s="20" t="n">
        <v>3995</v>
      </c>
      <c r="M50" s="20" t="n">
        <v>8100</v>
      </c>
      <c r="N50" s="20" t="n">
        <v>6415</v>
      </c>
      <c r="O50" s="19" t="n">
        <v>10561</v>
      </c>
      <c r="P50" s="20" t="n">
        <v>8749</v>
      </c>
      <c r="Q50" s="20" t="n">
        <v>19474</v>
      </c>
      <c r="R50" s="20" t="n">
        <v>22520</v>
      </c>
      <c r="S50" s="20" t="n">
        <v>17680</v>
      </c>
      <c r="T50" s="20" t="n">
        <v>18443</v>
      </c>
      <c r="U50" s="20" t="n">
        <v>23302</v>
      </c>
      <c r="V50" s="20" t="n">
        <v>24295</v>
      </c>
      <c r="W50" s="20" t="n">
        <v>25361</v>
      </c>
      <c r="X50" s="20" t="n">
        <v>24922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41179</v>
      </c>
      <c r="D52" s="12" t="n">
        <v>50720</v>
      </c>
      <c r="E52" s="12" t="n">
        <v>21446</v>
      </c>
      <c r="F52" s="12" t="n">
        <v>43673</v>
      </c>
      <c r="G52" s="12" t="n">
        <v>28196</v>
      </c>
      <c r="H52" s="12" t="n">
        <v>53657</v>
      </c>
      <c r="I52" s="12" t="n">
        <v>63724</v>
      </c>
      <c r="J52" s="12" t="n">
        <v>66131</v>
      </c>
      <c r="K52" s="12" t="n">
        <v>58272</v>
      </c>
      <c r="L52" s="12" t="n">
        <v>60199</v>
      </c>
      <c r="M52" s="12" t="n">
        <v>18290</v>
      </c>
      <c r="N52" s="12" t="n">
        <v>50248</v>
      </c>
      <c r="O52" s="11" t="n">
        <v>70273</v>
      </c>
      <c r="P52" s="12" t="n">
        <v>58200</v>
      </c>
      <c r="Q52" s="12" t="n">
        <v>52064</v>
      </c>
      <c r="R52" s="12" t="n">
        <v>70449</v>
      </c>
      <c r="S52" s="12" t="n">
        <v>108735</v>
      </c>
      <c r="T52" s="12" t="n">
        <v>119002</v>
      </c>
      <c r="U52" s="12" t="n">
        <v>83710</v>
      </c>
      <c r="V52" s="12" t="n">
        <v>196017</v>
      </c>
      <c r="W52" s="12" t="n">
        <v>189250</v>
      </c>
      <c r="X52" s="12" t="n">
        <v>202892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3" t="inlineStr">
        <is>
          <t>YoY</t>
        </is>
      </c>
      <c r="B53" s="10" t="n"/>
      <c r="C53" s="14" t="n"/>
      <c r="D53" s="15" t="n"/>
      <c r="E53" s="15" t="n"/>
      <c r="F53" s="15" t="n"/>
      <c r="G53" s="15">
        <f>IF(OR(G52="",C52=""),"",IF(C52&lt;=0,"",IFERROR(G52/C52-1,"")))</f>
        <v/>
      </c>
      <c r="H53" s="15">
        <f>IF(OR(H52="",D52=""),"",IF(D52&lt;=0,"",IFERROR(H52/D52-1,"")))</f>
        <v/>
      </c>
      <c r="I53" s="15">
        <f>IF(OR(I52="",E52=""),"",IF(E52&lt;=0,"",IFERROR(I52/E52-1,"")))</f>
        <v/>
      </c>
      <c r="J53" s="15">
        <f>IF(OR(J52="",F52=""),"",IF(F52&lt;=0,"",IFERROR(J52/F52-1,"")))</f>
        <v/>
      </c>
      <c r="K53" s="15">
        <f>IF(OR(K52="",G52=""),"",IF(G52&lt;=0,"",IFERROR(K52/G52-1,"")))</f>
        <v/>
      </c>
      <c r="L53" s="15">
        <f>IF(OR(L52="",H52=""),"",IF(H52&lt;=0,"",IFERROR(L52/H52-1,"")))</f>
        <v/>
      </c>
      <c r="M53" s="15">
        <f>IF(OR(M52="",I52=""),"",IF(I52&lt;=0,"",IFERROR(M52/I52-1,"")))</f>
        <v/>
      </c>
      <c r="N53" s="15">
        <f>IF(OR(N52="",J52=""),"",IF(J52&lt;=0,"",IFERROR(N52/J52-1,"")))</f>
        <v/>
      </c>
      <c r="O53" s="14" t="n"/>
      <c r="P53" s="15">
        <f>IF(OR(P52="",O52=""),"",IF(O52&lt;=0,"",IFERROR(P52/O52-1,"")))</f>
        <v/>
      </c>
      <c r="Q53" s="15">
        <f>IF(OR(Q52="",P52=""),"",IF(P52&lt;=0,"",IFERROR(Q52/P52-1,"")))</f>
        <v/>
      </c>
      <c r="R53" s="15">
        <f>IF(OR(R52="",Q52=""),"",IF(Q52&lt;=0,"",IFERROR(R52/Q52-1,"")))</f>
        <v/>
      </c>
      <c r="S53" s="15">
        <f>IF(OR(S52="",R52=""),"",IF(R52&lt;=0,"",IFERROR(S52/R52-1,"")))</f>
        <v/>
      </c>
      <c r="T53" s="15">
        <f>IF(OR(T52="",S52=""),"",IF(S52&lt;=0,"",IFERROR(T52/S52-1,"")))</f>
        <v/>
      </c>
      <c r="U53" s="15">
        <f>IF(OR(U52="",T52=""),"",IF(T52&lt;=0,"",IFERROR(U52/T52-1,"")))</f>
        <v/>
      </c>
      <c r="V53" s="15">
        <f>IF(OR(V52="",U52=""),"",IF(U52&lt;=0,"",IFERROR(V52/U52-1,"")))</f>
        <v/>
      </c>
      <c r="W53" s="15">
        <f>IF(OR(W52="",V52=""),"",IF(V52&lt;=0,"",IFERROR(W52/V52-1,"")))</f>
        <v/>
      </c>
      <c r="X53" s="15">
        <f>IF(OR(X52="",W52=""),"",IF(W52&lt;=0,"",IFERROR(X52/W52-1,"")))</f>
        <v/>
      </c>
      <c r="Y53" s="14">
        <f>IF(OR(Y52="",X52=""),"",IF(X52&lt;=0,"",IFERROR(Y52/X52-1,"")))</f>
        <v/>
      </c>
      <c r="Z53" s="15">
        <f>IF(OR(Z52="",Y52=""),"",IF(Y52&lt;=0,"",IFERROR(Z52/Y52-1,"")))</f>
        <v/>
      </c>
      <c r="AA53" s="15">
        <f>IF(OR(AA52="",Z52=""),"",IF(Z52&lt;=0,"",IFERROR(AA52/Z52-1,"")))</f>
        <v/>
      </c>
      <c r="AB53" s="15">
        <f>IF(OR(AB52="",AA52=""),"",IF(AA52&lt;=0,"",IFERROR(AB52/AA52-1,"")))</f>
        <v/>
      </c>
      <c r="AC53" s="15">
        <f>IF(OR(AC52="",AB52=""),"",IF(AB52&lt;=0,"",IFERROR(AC52/AB52-1,"")))</f>
        <v/>
      </c>
    </row>
    <row r="54">
      <c r="A54" s="18" t="inlineStr">
        <is>
          <t>법인세비용(수익)</t>
        </is>
      </c>
      <c r="B54" s="10" t="n"/>
      <c r="C54" s="19" t="n">
        <v>11988</v>
      </c>
      <c r="D54" s="20" t="n">
        <v>13209</v>
      </c>
      <c r="E54" s="20" t="n">
        <v>14502</v>
      </c>
      <c r="F54" s="20" t="n">
        <v>12379</v>
      </c>
      <c r="G54" s="20" t="n">
        <v>8396</v>
      </c>
      <c r="H54" s="20" t="n">
        <v>13965</v>
      </c>
      <c r="I54" s="20" t="n">
        <v>19456</v>
      </c>
      <c r="J54" s="20" t="n">
        <v>17776</v>
      </c>
      <c r="K54" s="20" t="n">
        <v>12175</v>
      </c>
      <c r="L54" s="20" t="n">
        <v>14501</v>
      </c>
      <c r="M54" s="20" t="n">
        <v>5710</v>
      </c>
      <c r="N54" s="20" t="n">
        <v>14218</v>
      </c>
      <c r="O54" s="19" t="n">
        <v>15613</v>
      </c>
      <c r="P54" s="20" t="n">
        <v>14171</v>
      </c>
      <c r="Q54" s="20" t="n">
        <v>15522</v>
      </c>
      <c r="R54" s="20" t="n">
        <v>27507</v>
      </c>
      <c r="S54" s="20" t="n">
        <v>24891</v>
      </c>
      <c r="T54" s="20" t="n">
        <v>-16832</v>
      </c>
      <c r="U54" s="20" t="n">
        <v>25151</v>
      </c>
      <c r="V54" s="20" t="n">
        <v>61889</v>
      </c>
      <c r="W54" s="20" t="n">
        <v>54196</v>
      </c>
      <c r="X54" s="20" t="n">
        <v>50162</v>
      </c>
      <c r="Y54" s="19">
        <f>IF(OR(Y52="",Y55=""),"",IFERROR(MAX(Y52,0)*Y55,""))</f>
        <v/>
      </c>
      <c r="Z54" s="20">
        <f>IF(OR(Z52="",Z55=""),"",IFERROR(MAX(Z52,0)*Z55,""))</f>
        <v/>
      </c>
      <c r="AA54" s="20">
        <f>IF(OR(AA52="",AA55=""),"",IFERROR(MAX(AA52,0)*AA55,""))</f>
        <v/>
      </c>
      <c r="AB54" s="20">
        <f>IF(OR(AB52="",AB55=""),"",IFERROR(MAX(AB52,0)*AB55,""))</f>
        <v/>
      </c>
      <c r="AC54" s="20">
        <f>IF(OR(AC52="",AC55=""),"",IFERROR(MAX(AC52,0)*AC55,""))</f>
        <v/>
      </c>
    </row>
    <row r="55">
      <c r="A55" s="13" t="inlineStr">
        <is>
          <t>법인세율</t>
        </is>
      </c>
      <c r="B55" s="10" t="inlineStr">
        <is>
          <t>MW 기본 30%</t>
        </is>
      </c>
      <c r="C55" s="14">
        <f>IF(OR(C54="",C52=""),"",IFERROR(C54/C52,""))</f>
        <v/>
      </c>
      <c r="D55" s="15">
        <f>IF(OR(D54="",D52=""),"",IFERROR(D54/D52,""))</f>
        <v/>
      </c>
      <c r="E55" s="15">
        <f>IF(OR(E54="",E52=""),"",IFERROR(E54/E52,""))</f>
        <v/>
      </c>
      <c r="F55" s="15">
        <f>IF(OR(F54="",F52=""),"",IFERROR(F54/F52,""))</f>
        <v/>
      </c>
      <c r="G55" s="15">
        <f>IF(OR(G54="",G52=""),"",IFERROR(G54/G52,""))</f>
        <v/>
      </c>
      <c r="H55" s="15">
        <f>IF(OR(H54="",H52=""),"",IFERROR(H54/H52,""))</f>
        <v/>
      </c>
      <c r="I55" s="15">
        <f>IF(OR(I54="",I52=""),"",IFERROR(I54/I52,""))</f>
        <v/>
      </c>
      <c r="J55" s="15">
        <f>IF(OR(J54="",J52=""),"",IFERROR(J54/J52,""))</f>
        <v/>
      </c>
      <c r="K55" s="15">
        <f>IF(OR(K54="",K52=""),"",IFERROR(K54/K52,""))</f>
        <v/>
      </c>
      <c r="L55" s="15">
        <f>IF(OR(L54="",L52=""),"",IFERROR(L54/L52,""))</f>
        <v/>
      </c>
      <c r="M55" s="15">
        <f>IF(OR(M54="",M52=""),"",IFERROR(M54/M52,""))</f>
        <v/>
      </c>
      <c r="N55" s="15">
        <f>IF(OR(N54="",N52=""),"",IFERROR(N54/N52,""))</f>
        <v/>
      </c>
      <c r="O55" s="14">
        <f>IF(OR(O54="",O52=""),"",IFERROR(O54/O52,""))</f>
        <v/>
      </c>
      <c r="P55" s="15">
        <f>IF(OR(P54="",P52=""),"",IFERROR(P54/P52,""))</f>
        <v/>
      </c>
      <c r="Q55" s="15">
        <f>IF(OR(Q54="",Q52=""),"",IFERROR(Q54/Q52,""))</f>
        <v/>
      </c>
      <c r="R55" s="15">
        <f>IF(OR(R54="",R52=""),"",IFERROR(R54/R52,""))</f>
        <v/>
      </c>
      <c r="S55" s="15">
        <f>IF(OR(S54="",S52=""),"",IFERROR(S54/S52,""))</f>
        <v/>
      </c>
      <c r="T55" s="15">
        <f>IF(OR(T54="",T52=""),"",IFERROR(T54/T52,""))</f>
        <v/>
      </c>
      <c r="U55" s="15">
        <f>IF(OR(U54="",U52=""),"",IFERROR(U54/U52,""))</f>
        <v/>
      </c>
      <c r="V55" s="15">
        <f>IF(OR(V54="",V52=""),"",IFERROR(V54/V52,""))</f>
        <v/>
      </c>
      <c r="W55" s="15">
        <f>IF(OR(W54="",W52=""),"",IFERROR(W54/W52,""))</f>
        <v/>
      </c>
      <c r="X55" s="15">
        <f>IF(OR(X54="",X52=""),"",IFERROR(X54/X52,""))</f>
        <v/>
      </c>
      <c r="Y55" s="25" t="n">
        <v>0.3</v>
      </c>
      <c r="Z55" s="26" t="n">
        <v>0.3</v>
      </c>
      <c r="AA55" s="26" t="n">
        <v>0.3</v>
      </c>
      <c r="AB55" s="26" t="n">
        <v>0.3</v>
      </c>
      <c r="AC55" s="26" t="n">
        <v>0.3</v>
      </c>
    </row>
    <row r="56">
      <c r="A56" s="9" t="inlineStr">
        <is>
          <t>당기순이익(손실)</t>
        </is>
      </c>
      <c r="B56" s="10" t="n"/>
      <c r="C56" s="11" t="n">
        <v>29190</v>
      </c>
      <c r="D56" s="12" t="n">
        <v>37511</v>
      </c>
      <c r="E56" s="12" t="n">
        <v>6944</v>
      </c>
      <c r="F56" s="12" t="n">
        <v>31293</v>
      </c>
      <c r="G56" s="12" t="n">
        <v>19800</v>
      </c>
      <c r="H56" s="12" t="n">
        <v>39692</v>
      </c>
      <c r="I56" s="12" t="n">
        <v>44269</v>
      </c>
      <c r="J56" s="12" t="n">
        <v>48355</v>
      </c>
      <c r="K56" s="12" t="n">
        <v>46096</v>
      </c>
      <c r="L56" s="12" t="n">
        <v>45698</v>
      </c>
      <c r="M56" s="12" t="n">
        <v>12580</v>
      </c>
      <c r="N56" s="12" t="n">
        <v>36030</v>
      </c>
      <c r="O56" s="11" t="n">
        <v>54659</v>
      </c>
      <c r="P56" s="12" t="n">
        <v>44028</v>
      </c>
      <c r="Q56" s="12" t="n">
        <v>36542</v>
      </c>
      <c r="R56" s="12" t="n">
        <v>42942</v>
      </c>
      <c r="S56" s="12" t="n">
        <v>83844</v>
      </c>
      <c r="T56" s="12" t="n">
        <v>135834</v>
      </c>
      <c r="U56" s="12" t="n">
        <v>58558</v>
      </c>
      <c r="V56" s="12" t="n">
        <v>134127</v>
      </c>
      <c r="W56" s="12" t="n">
        <v>135054</v>
      </c>
      <c r="X56" s="12" t="n">
        <v>152729</v>
      </c>
      <c r="Y56" s="11">
        <f>IF(OR(Y52=""),"",IFERROR(Y52-Y54,""))</f>
        <v/>
      </c>
      <c r="Z56" s="12">
        <f>IF(OR(Z52=""),"",IFERROR(Z52-Z54,""))</f>
        <v/>
      </c>
      <c r="AA56" s="12">
        <f>IF(OR(AA52=""),"",IFERROR(AA52-AA54,""))</f>
        <v/>
      </c>
      <c r="AB56" s="12">
        <f>IF(OR(AB52=""),"",IFERROR(AB52-AB54,""))</f>
        <v/>
      </c>
      <c r="AC56" s="12">
        <f>IF(OR(AC52=""),"",IFERROR(AC52-AC54,""))</f>
        <v/>
      </c>
    </row>
    <row r="57">
      <c r="A57" s="13" t="inlineStr">
        <is>
          <t>YoY</t>
        </is>
      </c>
      <c r="B57" s="10" t="n"/>
      <c r="C57" s="14" t="n"/>
      <c r="D57" s="15" t="n"/>
      <c r="E57" s="15" t="n"/>
      <c r="F57" s="15" t="n"/>
      <c r="G57" s="15">
        <f>IF(OR(G56="",C56=""),"",IF(C56&lt;=0,"",IFERROR(G56/C56-1,"")))</f>
        <v/>
      </c>
      <c r="H57" s="15">
        <f>IF(OR(H56="",D56=""),"",IF(D56&lt;=0,"",IFERROR(H56/D56-1,"")))</f>
        <v/>
      </c>
      <c r="I57" s="15">
        <f>IF(OR(I56="",E56=""),"",IF(E56&lt;=0,"",IFERROR(I56/E56-1,"")))</f>
        <v/>
      </c>
      <c r="J57" s="15">
        <f>IF(OR(J56="",F56=""),"",IF(F56&lt;=0,"",IFERROR(J56/F56-1,"")))</f>
        <v/>
      </c>
      <c r="K57" s="15">
        <f>IF(OR(K56="",G56=""),"",IF(G56&lt;=0,"",IFERROR(K56/G56-1,"")))</f>
        <v/>
      </c>
      <c r="L57" s="15">
        <f>IF(OR(L56="",H56=""),"",IF(H56&lt;=0,"",IFERROR(L56/H56-1,"")))</f>
        <v/>
      </c>
      <c r="M57" s="15">
        <f>IF(OR(M56="",I56=""),"",IF(I56&lt;=0,"",IFERROR(M56/I56-1,"")))</f>
        <v/>
      </c>
      <c r="N57" s="15">
        <f>IF(OR(N56="",J56=""),"",IF(J56&lt;=0,"",IFERROR(N56/J56-1,"")))</f>
        <v/>
      </c>
      <c r="O57" s="14" t="n"/>
      <c r="P57" s="15">
        <f>IF(OR(P56="",O56=""),"",IF(O56&lt;=0,"",IFERROR(P56/O56-1,"")))</f>
        <v/>
      </c>
      <c r="Q57" s="15">
        <f>IF(OR(Q56="",P56=""),"",IF(P56&lt;=0,"",IFERROR(Q56/P56-1,"")))</f>
        <v/>
      </c>
      <c r="R57" s="15">
        <f>IF(OR(R56="",Q56=""),"",IF(Q56&lt;=0,"",IFERROR(R56/Q56-1,"")))</f>
        <v/>
      </c>
      <c r="S57" s="15">
        <f>IF(OR(S56="",R56=""),"",IF(R56&lt;=0,"",IFERROR(S56/R56-1,"")))</f>
        <v/>
      </c>
      <c r="T57" s="15">
        <f>IF(OR(T56="",S56=""),"",IF(S56&lt;=0,"",IFERROR(T56/S56-1,"")))</f>
        <v/>
      </c>
      <c r="U57" s="15">
        <f>IF(OR(U56="",T56=""),"",IF(T56&lt;=0,"",IFERROR(U56/T56-1,"")))</f>
        <v/>
      </c>
      <c r="V57" s="15">
        <f>IF(OR(V56="",U56=""),"",IF(U56&lt;=0,"",IFERROR(V56/U56-1,"")))</f>
        <v/>
      </c>
      <c r="W57" s="15">
        <f>IF(OR(W56="",V56=""),"",IF(V56&lt;=0,"",IFERROR(W56/V56-1,"")))</f>
        <v/>
      </c>
      <c r="X57" s="15">
        <f>IF(OR(X56="",W56=""),"",IF(W56&lt;=0,"",IFERROR(X56/W56-1,"")))</f>
        <v/>
      </c>
      <c r="Y57" s="14">
        <f>IF(OR(Y56="",X56=""),"",IF(X56&lt;=0,"",IFERROR(Y56/X56-1,"")))</f>
        <v/>
      </c>
      <c r="Z57" s="15">
        <f>IF(OR(Z56="",Y56=""),"",IF(Y56&lt;=0,"",IFERROR(Z56/Y56-1,"")))</f>
        <v/>
      </c>
      <c r="AA57" s="15">
        <f>IF(OR(AA56="",Z56=""),"",IF(Z56&lt;=0,"",IFERROR(AA56/Z56-1,"")))</f>
        <v/>
      </c>
      <c r="AB57" s="15">
        <f>IF(OR(AB56="",AA56=""),"",IF(AA56&lt;=0,"",IFERROR(AB56/AA56-1,"")))</f>
        <v/>
      </c>
      <c r="AC57" s="15">
        <f>IF(OR(AC56="",AB56=""),"",IF(AB56&lt;=0,"",IFERROR(AC56/AB56-1,"")))</f>
        <v/>
      </c>
    </row>
    <row r="58">
      <c r="A58" s="9" t="inlineStr">
        <is>
          <t>지배주주 순이익</t>
        </is>
      </c>
      <c r="B58" s="10" t="n"/>
      <c r="C58" s="11" t="n">
        <v>28791</v>
      </c>
      <c r="D58" s="12" t="n">
        <v>37054</v>
      </c>
      <c r="E58" s="12" t="n">
        <v>6274</v>
      </c>
      <c r="F58" s="12" t="n">
        <v>30789</v>
      </c>
      <c r="G58" s="12" t="n">
        <v>20008</v>
      </c>
      <c r="H58" s="12" t="n">
        <v>40085</v>
      </c>
      <c r="I58" s="12" t="n">
        <v>43532</v>
      </c>
      <c r="J58" s="12" t="n">
        <v>48521</v>
      </c>
      <c r="K58" s="12" t="n">
        <v>46334</v>
      </c>
      <c r="L58" s="12" t="n">
        <v>45544</v>
      </c>
      <c r="M58" s="12" t="n">
        <v>12352</v>
      </c>
      <c r="N58" s="12" t="n">
        <v>35680</v>
      </c>
      <c r="O58" s="11" t="n">
        <v>61271</v>
      </c>
      <c r="P58" s="12" t="n">
        <v>37724</v>
      </c>
      <c r="Q58" s="12" t="n">
        <v>33601</v>
      </c>
      <c r="R58" s="12" t="n">
        <v>41788</v>
      </c>
      <c r="S58" s="12" t="n">
        <v>80857</v>
      </c>
      <c r="T58" s="12" t="n">
        <v>130421</v>
      </c>
      <c r="U58" s="12" t="n">
        <v>57110</v>
      </c>
      <c r="V58" s="12" t="n">
        <v>132679</v>
      </c>
      <c r="W58" s="12" t="n">
        <v>134414</v>
      </c>
      <c r="X58" s="12" t="n">
        <v>152751</v>
      </c>
      <c r="Y58" s="11">
        <f>IF(OR(Y56="",Y59=""),"",IFERROR(Y56*Y59,""))</f>
        <v/>
      </c>
      <c r="Z58" s="12">
        <f>IF(OR(Z56="",Z59=""),"",IFERROR(Z56*Z59,""))</f>
        <v/>
      </c>
      <c r="AA58" s="12">
        <f>IF(OR(AA56="",AA59=""),"",IFERROR(AA56*AA59,""))</f>
        <v/>
      </c>
      <c r="AB58" s="12">
        <f>IF(OR(AB56="",AB59=""),"",IFERROR(AB56*AB59,""))</f>
        <v/>
      </c>
      <c r="AC58" s="12">
        <f>IF(OR(AC56="",AC59=""),"",IFERROR(AC56*AC59,""))</f>
        <v/>
      </c>
    </row>
    <row r="59">
      <c r="A59" s="13" t="inlineStr">
        <is>
          <t>지배주주 순이익률</t>
        </is>
      </c>
      <c r="B59" s="10" t="inlineStr">
        <is>
          <t>MW 기본 100%</t>
        </is>
      </c>
      <c r="C59" s="14">
        <f>IF(OR(C58="",C56=""),"",IFERROR(C58/C56,""))</f>
        <v/>
      </c>
      <c r="D59" s="15">
        <f>IF(OR(D58="",D56=""),"",IFERROR(D58/D56,""))</f>
        <v/>
      </c>
      <c r="E59" s="15">
        <f>IF(OR(E58="",E56=""),"",IFERROR(E58/E56,""))</f>
        <v/>
      </c>
      <c r="F59" s="15">
        <f>IF(OR(F58="",F56=""),"",IFERROR(F58/F56,""))</f>
        <v/>
      </c>
      <c r="G59" s="15">
        <f>IF(OR(G58="",G56=""),"",IFERROR(G58/G56,""))</f>
        <v/>
      </c>
      <c r="H59" s="15">
        <f>IF(OR(H58="",H56=""),"",IFERROR(H58/H56,""))</f>
        <v/>
      </c>
      <c r="I59" s="15">
        <f>IF(OR(I58="",I56=""),"",IFERROR(I58/I56,""))</f>
        <v/>
      </c>
      <c r="J59" s="15">
        <f>IF(OR(J58="",J56=""),"",IFERROR(J58/J56,""))</f>
        <v/>
      </c>
      <c r="K59" s="15">
        <f>IF(OR(K58="",K56=""),"",IFERROR(K58/K56,""))</f>
        <v/>
      </c>
      <c r="L59" s="15">
        <f>IF(OR(L58="",L56=""),"",IFERROR(L58/L56,""))</f>
        <v/>
      </c>
      <c r="M59" s="15">
        <f>IF(OR(M58="",M56=""),"",IFERROR(M58/M56,""))</f>
        <v/>
      </c>
      <c r="N59" s="15">
        <f>IF(OR(N58="",N56=""),"",IFERROR(N58/N56,""))</f>
        <v/>
      </c>
      <c r="O59" s="14">
        <f>IF(OR(O58="",O56=""),"",IFERROR(O58/O56,""))</f>
        <v/>
      </c>
      <c r="P59" s="15">
        <f>IF(OR(P58="",P56=""),"",IFERROR(P58/P56,""))</f>
        <v/>
      </c>
      <c r="Q59" s="15">
        <f>IF(OR(Q58="",Q56=""),"",IFERROR(Q58/Q56,""))</f>
        <v/>
      </c>
      <c r="R59" s="15">
        <f>IF(OR(R58="",R56=""),"",IFERROR(R58/R56,""))</f>
        <v/>
      </c>
      <c r="S59" s="15">
        <f>IF(OR(S58="",S56=""),"",IFERROR(S58/S56,""))</f>
        <v/>
      </c>
      <c r="T59" s="15">
        <f>IF(OR(T58="",T56=""),"",IFERROR(T58/T56,""))</f>
        <v/>
      </c>
      <c r="U59" s="15">
        <f>IF(OR(U58="",U56=""),"",IFERROR(U58/U56,""))</f>
        <v/>
      </c>
      <c r="V59" s="15">
        <f>IF(OR(V58="",V56=""),"",IFERROR(V58/V56,""))</f>
        <v/>
      </c>
      <c r="W59" s="15">
        <f>IF(OR(W58="",W56=""),"",IFERROR(W58/W56,""))</f>
        <v/>
      </c>
      <c r="X59" s="15">
        <f>IF(OR(X58="",X56=""),"",IFERROR(X58/X56,""))</f>
        <v/>
      </c>
      <c r="Y59" s="25" t="n">
        <v>1</v>
      </c>
      <c r="Z59" s="26" t="n">
        <v>1</v>
      </c>
      <c r="AA59" s="26" t="n">
        <v>1</v>
      </c>
      <c r="AB59" s="26" t="n">
        <v>1</v>
      </c>
      <c r="AC59" s="26" t="n">
        <v>1</v>
      </c>
    </row>
    <row r="60">
      <c r="A60" s="13" t="inlineStr">
        <is>
          <t>지배주주 순이익 YoY</t>
        </is>
      </c>
      <c r="B60" s="10" t="n"/>
      <c r="C60" s="14" t="n"/>
      <c r="D60" s="15" t="n"/>
      <c r="E60" s="15" t="n"/>
      <c r="F60" s="15" t="n"/>
      <c r="G60" s="15">
        <f>IF(OR(G58="",C58=""),"",IF(C58&lt;=0,"",IFERROR(G58/C58-1,"")))</f>
        <v/>
      </c>
      <c r="H60" s="15">
        <f>IF(OR(H58="",D58=""),"",IF(D58&lt;=0,"",IFERROR(H58/D58-1,"")))</f>
        <v/>
      </c>
      <c r="I60" s="15">
        <f>IF(OR(I58="",E58=""),"",IF(E58&lt;=0,"",IFERROR(I58/E58-1,"")))</f>
        <v/>
      </c>
      <c r="J60" s="15">
        <f>IF(OR(J58="",F58=""),"",IF(F58&lt;=0,"",IFERROR(J58/F58-1,"")))</f>
        <v/>
      </c>
      <c r="K60" s="15">
        <f>IF(OR(K58="",G58=""),"",IF(G58&lt;=0,"",IFERROR(K58/G58-1,"")))</f>
        <v/>
      </c>
      <c r="L60" s="15">
        <f>IF(OR(L58="",H58=""),"",IF(H58&lt;=0,"",IFERROR(L58/H58-1,"")))</f>
        <v/>
      </c>
      <c r="M60" s="15">
        <f>IF(OR(M58="",I58=""),"",IF(I58&lt;=0,"",IFERROR(M58/I58-1,"")))</f>
        <v/>
      </c>
      <c r="N60" s="15">
        <f>IF(OR(N58="",J58=""),"",IF(J58&lt;=0,"",IFERROR(N58/J58-1,"")))</f>
        <v/>
      </c>
      <c r="O60" s="14" t="n"/>
      <c r="P60" s="15">
        <f>IF(OR(P58="",O58=""),"",IF(O58&lt;=0,"",IFERROR(P58/O58-1,"")))</f>
        <v/>
      </c>
      <c r="Q60" s="15">
        <f>IF(OR(Q58="",P58=""),"",IF(P58&lt;=0,"",IFERROR(Q58/P58-1,"")))</f>
        <v/>
      </c>
      <c r="R60" s="15">
        <f>IF(OR(R58="",Q58=""),"",IF(Q58&lt;=0,"",IFERROR(R58/Q58-1,"")))</f>
        <v/>
      </c>
      <c r="S60" s="15">
        <f>IF(OR(S58="",R58=""),"",IF(R58&lt;=0,"",IFERROR(S58/R58-1,"")))</f>
        <v/>
      </c>
      <c r="T60" s="15">
        <f>IF(OR(T58="",S58=""),"",IF(S58&lt;=0,"",IFERROR(T58/S58-1,"")))</f>
        <v/>
      </c>
      <c r="U60" s="15">
        <f>IF(OR(U58="",T58=""),"",IF(T58&lt;=0,"",IFERROR(U58/T58-1,"")))</f>
        <v/>
      </c>
      <c r="V60" s="15">
        <f>IF(OR(V58="",U58=""),"",IF(U58&lt;=0,"",IFERROR(V58/U58-1,"")))</f>
        <v/>
      </c>
      <c r="W60" s="15">
        <f>IF(OR(W58="",V58=""),"",IF(V58&lt;=0,"",IFERROR(W58/V58-1,"")))</f>
        <v/>
      </c>
      <c r="X60" s="15">
        <f>IF(OR(X58="",W58=""),"",IF(W58&lt;=0,"",IFERROR(X58/W58-1,"")))</f>
        <v/>
      </c>
      <c r="Y60" s="14">
        <f>IF(OR(Y58="",X58=""),"",IF(X58&lt;=0,"",IFERROR(Y58/X58-1,"")))</f>
        <v/>
      </c>
      <c r="Z60" s="15">
        <f>IF(OR(Z58="",Y58=""),"",IF(Y58&lt;=0,"",IFERROR(Z58/Y58-1,"")))</f>
        <v/>
      </c>
      <c r="AA60" s="15">
        <f>IF(OR(AA58="",Z58=""),"",IF(Z58&lt;=0,"",IFERROR(AA58/Z58-1,"")))</f>
        <v/>
      </c>
      <c r="AB60" s="15">
        <f>IF(OR(AB58="",AA58=""),"",IF(AA58&lt;=0,"",IFERROR(AB58/AA58-1,"")))</f>
        <v/>
      </c>
      <c r="AC60" s="15">
        <f>IF(OR(AC58="",AB58=""),"",IF(AB58&lt;=0,"",IFERROR(AC58/AB58-1,"")))</f>
        <v/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(2026.10.28)</t>
        </is>
      </c>
      <c r="B62" s="27" t="n">
        <v>5821</v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>
        <v>383176500</v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IF(O29="","",O29)</f>
        <v/>
      </c>
      <c r="P65" s="15">
        <f>IF(P29="","",P29)</f>
        <v/>
      </c>
      <c r="Q65" s="15">
        <f>IF(Q29="","",Q29)</f>
        <v/>
      </c>
      <c r="R65" s="15">
        <f>IF(R29="","",R29)</f>
        <v/>
      </c>
      <c r="S65" s="15">
        <f>IF(S29="","",S29)</f>
        <v/>
      </c>
      <c r="T65" s="15">
        <f>IF(T29="","",T29)</f>
        <v/>
      </c>
      <c r="U65" s="15">
        <f>IF(U29="","",U29)</f>
        <v/>
      </c>
      <c r="V65" s="15">
        <f>IF(V29="","",V29)</f>
        <v/>
      </c>
      <c r="W65" s="15">
        <f>IF(W29="","",W29)</f>
        <v/>
      </c>
      <c r="X65" s="15">
        <f>IF(X29="","",X29)</f>
        <v/>
      </c>
      <c r="Y65" s="14">
        <f>IF(Y29="","",Y29)</f>
        <v/>
      </c>
      <c r="Z65" s="15">
        <f>IF(Z29="","",Z29)</f>
        <v/>
      </c>
      <c r="AA65" s="15">
        <f>IF(AA29="","",AA29)</f>
        <v/>
      </c>
      <c r="AB65" s="15">
        <f>IF(AB29="","",AB29)</f>
        <v/>
      </c>
      <c r="AC65" s="15">
        <f>IF(AC29="","",AC29)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IF(OR(P58="",O58=""),"",IFERROR(P58/O58-1,""))</f>
        <v/>
      </c>
      <c r="Q66" s="15">
        <f>IF(OR(Q58="",P58=""),"",IFERROR(Q58/P58-1,""))</f>
        <v/>
      </c>
      <c r="R66" s="15">
        <f>IF(OR(R58="",Q58=""),"",IFERROR(R58/Q58-1,""))</f>
        <v/>
      </c>
      <c r="S66" s="15">
        <f>IF(OR(S58="",R58=""),"",IFERROR(S58/R58-1,""))</f>
        <v/>
      </c>
      <c r="T66" s="15">
        <f>IF(OR(T58="",S58=""),"",IFERROR(T58/S58-1,""))</f>
        <v/>
      </c>
      <c r="U66" s="15">
        <f>IF(OR(U58="",T58=""),"",IFERROR(U58/T58-1,""))</f>
        <v/>
      </c>
      <c r="V66" s="15">
        <f>IF(OR(V58="",U58=""),"",IFERROR(V58/U58-1,""))</f>
        <v/>
      </c>
      <c r="W66" s="15">
        <f>IF(OR(W58="",V58=""),"",IFERROR(W58/V58-1,""))</f>
        <v/>
      </c>
      <c r="X66" s="15">
        <f>IF(OR(X58="",W58=""),"",IFERROR(X58/W58-1,""))</f>
        <v/>
      </c>
      <c r="Y66" s="14">
        <f>IF(OR(Y58="",X58=""),"",IFERROR(Y58/X58-1,""))</f>
        <v/>
      </c>
      <c r="Z66" s="15">
        <f>IF(OR(Z58="",Y58=""),"",IFERROR(Z58/Y58-1,""))</f>
        <v/>
      </c>
      <c r="AA66" s="15">
        <f>IF(OR(AA58="",Z58=""),"",IFERROR(AA58/Z58-1,""))</f>
        <v/>
      </c>
      <c r="AB66" s="15">
        <f>IF(OR(AB58="",AA58=""),"",IFERROR(AB58/AA58-1,""))</f>
        <v/>
      </c>
      <c r="AC66" s="15">
        <f>IF(OR(AC58="",AB58=""),"",IFERROR(AC58/AB58-1,""))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IF(OR($B$64="",X58=""),"",IFERROR($B$64/X58,""))</f>
        <v/>
      </c>
      <c r="Y67" s="30">
        <f>IF(OR($B$64="",Y58=""),"",IFERROR($B$64/Y58,""))</f>
        <v/>
      </c>
      <c r="Z67" s="31">
        <f>IF(OR($B$64="",Z58=""),"",IFERROR($B$64/Z58,""))</f>
        <v/>
      </c>
      <c r="AA67" s="31">
        <f>IF(OR($B$64="",AA58=""),"",IFERROR($B$64/AA58,""))</f>
        <v/>
      </c>
      <c r="AB67" s="31">
        <f>IF(OR($B$64="",AB58=""),"",IFERROR($B$64/AB58,""))</f>
        <v/>
      </c>
      <c r="AC67" s="31">
        <f>IF(OR($B$64="",AC58=""),"",IFERROR($B$64/AC58,""))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IF(OR(O58="",$B$63=""),"",IFERROR(O58*1000000.0/$B$63,""))</f>
        <v/>
      </c>
      <c r="P69" s="29">
        <f>IF(OR(P58="",$B$63=""),"",IFERROR(P58*1000000.0/$B$63,""))</f>
        <v/>
      </c>
      <c r="Q69" s="29">
        <f>IF(OR(Q58="",$B$63=""),"",IFERROR(Q58*1000000.0/$B$63,""))</f>
        <v/>
      </c>
      <c r="R69" s="29">
        <f>IF(OR(R58="",$B$63=""),"",IFERROR(R58*1000000.0/$B$63,""))</f>
        <v/>
      </c>
      <c r="S69" s="29">
        <f>IF(OR(S58="",$B$63=""),"",IFERROR(S58*1000000.0/$B$63,""))</f>
        <v/>
      </c>
      <c r="T69" s="29">
        <f>IF(OR(T58="",$B$63=""),"",IFERROR(T58*1000000.0/$B$63,""))</f>
        <v/>
      </c>
      <c r="U69" s="29">
        <f>IF(OR(U58="",$B$63=""),"",IFERROR(U58*1000000.0/$B$63,""))</f>
        <v/>
      </c>
      <c r="V69" s="29">
        <f>IF(OR(V58="",$B$63=""),"",IFERROR(V58*1000000.0/$B$63,""))</f>
        <v/>
      </c>
      <c r="W69" s="29">
        <f>IF(OR(W58="",$B$63=""),"",IFERROR(W58*1000000.0/$B$63,""))</f>
        <v/>
      </c>
      <c r="X69" s="29">
        <f>IF(OR(X58="",$B$63=""),"",IFERROR(X58*1000000.0/$B$63,""))</f>
        <v/>
      </c>
      <c r="Y69" s="28">
        <f>IF(OR(Y58="",$B$63=""),"",IFERROR(Y58*1000000.0/$B$63,""))</f>
        <v/>
      </c>
      <c r="Z69" s="29">
        <f>IF(OR(Z58="",$B$63=""),"",IFERROR(Z58*1000000.0/$B$63,""))</f>
        <v/>
      </c>
      <c r="AA69" s="29">
        <f>IF(OR(AA58="",$B$63=""),"",IFERROR(AA58*1000000.0/$B$63,""))</f>
        <v/>
      </c>
      <c r="AB69" s="29">
        <f>IF(OR(AB58="",$B$63=""),"",IFERROR(AB58*1000000.0/$B$63,""))</f>
        <v/>
      </c>
      <c r="AC69" s="29">
        <f>IF(OR(AC58="",$B$63=""),"",IFERROR(AC58*1000000.0/$B$63,""))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IF(OR(Y58="",Y68=""),"",IFERROR(Y58*Y68,""))</f>
        <v/>
      </c>
      <c r="Z81" s="20">
        <f>IF(OR(Z58="",Z68=""),"",IFERROR(Z58*Z68,""))</f>
        <v/>
      </c>
      <c r="AA81" s="20">
        <f>IF(OR(AA58="",AA68=""),"",IFERROR(AA58*AA68,""))</f>
        <v/>
      </c>
      <c r="AB81" s="20">
        <f>IF(OR(AB58="",AB68=""),"",IFERROR(AB58*AB68,""))</f>
        <v/>
      </c>
      <c r="AC81" s="20">
        <f>IF(OR(AC58="",AC68=""),"",IFERROR(AC58*AC68,""))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 2026.10.28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2024.2Q</t>
        </is>
      </c>
      <c r="D92" s="5" t="inlineStr">
        <is>
          <t>2024.3Q</t>
        </is>
      </c>
      <c r="E92" s="5" t="inlineStr">
        <is>
          <t>2024.4Q</t>
        </is>
      </c>
      <c r="F92" s="5" t="inlineStr">
        <is>
          <t>2025.1Q</t>
        </is>
      </c>
      <c r="G92" s="5" t="inlineStr">
        <is>
          <t>2025.2Q</t>
        </is>
      </c>
      <c r="H92" s="5" t="inlineStr">
        <is>
          <t>2025.3Q</t>
        </is>
      </c>
      <c r="I92" s="5" t="inlineStr">
        <is>
          <t>2025.4Q</t>
        </is>
      </c>
      <c r="J92" s="5" t="inlineStr">
        <is>
          <t>2026.1Q</t>
        </is>
      </c>
      <c r="K92" s="5" t="inlineStr">
        <is>
          <t>2026.2Q</t>
        </is>
      </c>
      <c r="L92" s="5" t="inlineStr">
        <is>
          <t>2026.3Q</t>
        </is>
      </c>
      <c r="M92" s="5" t="inlineStr">
        <is>
          <t>2026.4Q</t>
        </is>
      </c>
      <c r="N92" s="5" t="inlineStr">
        <is>
          <t>2027.1Q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매출액</t>
        </is>
      </c>
      <c r="C93" s="12" t="n">
        <v>483082</v>
      </c>
      <c r="D93" s="12" t="n">
        <v>514454</v>
      </c>
      <c r="E93" s="12" t="n">
        <v>572903</v>
      </c>
      <c r="F93" s="12" t="n">
        <v>470928</v>
      </c>
      <c r="G93" s="12" t="n">
        <v>479182</v>
      </c>
      <c r="H93" s="12" t="n">
        <v>494021</v>
      </c>
      <c r="I93" s="12" t="n">
        <v>624888</v>
      </c>
      <c r="J93" s="12" t="n">
        <v>470993</v>
      </c>
      <c r="K93" s="12" t="n">
        <v>488174</v>
      </c>
      <c r="L93" s="12" t="n">
        <v>479663</v>
      </c>
      <c r="M93" s="12" t="n">
        <v>591472</v>
      </c>
      <c r="N93" s="12" t="n">
        <v>478007</v>
      </c>
      <c r="T93" s="12" t="n">
        <v>532053</v>
      </c>
      <c r="U93" s="12" t="n">
        <v>678588</v>
      </c>
      <c r="V93" s="12" t="n">
        <v>572903</v>
      </c>
      <c r="W93" s="12" t="n">
        <v>624888</v>
      </c>
      <c r="X93" s="12" t="n">
        <v>591472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매출원가</t>
        </is>
      </c>
      <c r="C95" s="20" t="n">
        <v>406449</v>
      </c>
      <c r="D95" s="20" t="n">
        <v>414073</v>
      </c>
      <c r="E95" s="20" t="n">
        <v>466969</v>
      </c>
      <c r="F95" s="20" t="n">
        <v>386680</v>
      </c>
      <c r="G95" s="20" t="n">
        <v>395088</v>
      </c>
      <c r="H95" s="20" t="n">
        <v>391106</v>
      </c>
      <c r="I95" s="20" t="n">
        <v>490567</v>
      </c>
      <c r="J95" s="20" t="n">
        <v>364617</v>
      </c>
      <c r="K95" s="20" t="n">
        <v>387686</v>
      </c>
      <c r="L95" s="20" t="n">
        <v>372230</v>
      </c>
      <c r="M95" s="20" t="n">
        <v>468252</v>
      </c>
      <c r="N95" s="20" t="n">
        <v>387057</v>
      </c>
      <c r="T95" s="20" t="n">
        <v>418006</v>
      </c>
      <c r="U95" s="20" t="n">
        <v>524009</v>
      </c>
      <c r="V95" s="20" t="n">
        <v>466969</v>
      </c>
      <c r="W95" s="20" t="n">
        <v>490567</v>
      </c>
      <c r="X95" s="20" t="n">
        <v>468252</v>
      </c>
    </row>
    <row r="96">
      <c r="A96" s="43" t="inlineStr">
        <is>
          <t>YoY</t>
        </is>
      </c>
      <c r="B96" s="3" t="inlineStr">
        <is>
          <t>전년 같은 분기·전년 대비</t>
        </is>
      </c>
      <c r="G96" s="15">
        <f>IF(OR(G95="",C95=""),"",IF(G95*C95&lt;=0,"",IFERROR(G95/C95-1,"")))</f>
        <v/>
      </c>
      <c r="H96" s="15">
        <f>IF(OR(H95="",D95=""),"",IF(H95*D95&lt;=0,"",IFERROR(H95/D95-1,"")))</f>
        <v/>
      </c>
      <c r="I96" s="15">
        <f>IF(OR(I95="",E95=""),"",IF(I95*E95&lt;=0,"",IFERROR(I95/E95-1,"")))</f>
        <v/>
      </c>
      <c r="J96" s="15">
        <f>IF(OR(J95="",F95=""),"",IF(J95*F95&lt;=0,"",IFERROR(J95/F95-1,"")))</f>
        <v/>
      </c>
      <c r="K96" s="15">
        <f>IF(OR(K95="",G95=""),"",IF(K95*G95&lt;=0,"",IFERROR(K95/G95-1,"")))</f>
        <v/>
      </c>
      <c r="L96" s="15">
        <f>IF(OR(L95="",H95=""),"",IF(L95*H95&lt;=0,"",IFERROR(L95/H95-1,"")))</f>
        <v/>
      </c>
      <c r="M96" s="15">
        <f>IF(OR(M95="",I95=""),"",IF(M95*I95&lt;=0,"",IFERROR(M95/I95-1,"")))</f>
        <v/>
      </c>
      <c r="N96" s="15">
        <f>IF(OR(N95="",J95=""),"",IF(N95*J95&lt;=0,"",IFERROR(N95/J95-1,"")))</f>
        <v/>
      </c>
      <c r="T96" s="15">
        <f>IF(OR(T95="",S95=""),"",IF(T95*S95&lt;=0,"",IFERROR(T95/S95-1,"")))</f>
        <v/>
      </c>
      <c r="U96" s="15">
        <f>IF(OR(U95="",T95=""),"",IF(U95*T95&lt;=0,"",IFERROR(U95/T95-1,"")))</f>
        <v/>
      </c>
      <c r="V96" s="15">
        <f>IF(OR(V95="",U95=""),"",IF(V95*U95&lt;=0,"",IFERROR(V95/U95-1,"")))</f>
        <v/>
      </c>
      <c r="W96" s="15">
        <f>IF(OR(W95="",V95=""),"",IF(W95*V95&lt;=0,"",IFERROR(W95/V95-1,"")))</f>
        <v/>
      </c>
      <c r="X96" s="15">
        <f>IF(OR(X95="",W95=""),"",IF(X95*W95&lt;=0,"",IFERROR(X95/W95-1,"")))</f>
        <v/>
      </c>
    </row>
    <row r="97">
      <c r="A97" s="9" t="inlineStr">
        <is>
          <t>매출총이익</t>
        </is>
      </c>
      <c r="C97" s="12" t="n">
        <v>76632</v>
      </c>
      <c r="D97" s="12" t="n">
        <v>100381</v>
      </c>
      <c r="E97" s="12" t="n">
        <v>105934</v>
      </c>
      <c r="F97" s="12" t="n">
        <v>84248</v>
      </c>
      <c r="G97" s="12" t="n">
        <v>84093</v>
      </c>
      <c r="H97" s="12" t="n">
        <v>102915</v>
      </c>
      <c r="I97" s="12" t="n">
        <v>134321</v>
      </c>
      <c r="J97" s="12" t="n">
        <v>106376</v>
      </c>
      <c r="K97" s="12" t="n">
        <v>100487</v>
      </c>
      <c r="L97" s="12" t="n">
        <v>107433</v>
      </c>
      <c r="M97" s="12" t="n">
        <v>123220</v>
      </c>
      <c r="N97" s="12" t="n">
        <v>90949</v>
      </c>
      <c r="T97" s="12" t="n">
        <v>114048</v>
      </c>
      <c r="U97" s="12" t="n">
        <v>154579</v>
      </c>
      <c r="V97" s="12" t="n">
        <v>105934</v>
      </c>
      <c r="W97" s="12" t="n">
        <v>134321</v>
      </c>
      <c r="X97" s="12" t="n">
        <v>123220</v>
      </c>
    </row>
    <row r="98">
      <c r="A98" s="43" t="inlineStr">
        <is>
          <t>YoY</t>
        </is>
      </c>
      <c r="B98" s="3" t="inlineStr">
        <is>
          <t>전년 같은 분기·전년 대비</t>
        </is>
      </c>
      <c r="G98" s="15">
        <f>IF(OR(G97="",C97=""),"",IF(C97&lt;=0,"",IFERROR(G97/C97-1,"")))</f>
        <v/>
      </c>
      <c r="H98" s="15">
        <f>IF(OR(H97="",D97=""),"",IF(D97&lt;=0,"",IFERROR(H97/D97-1,"")))</f>
        <v/>
      </c>
      <c r="I98" s="15">
        <f>IF(OR(I97="",E97=""),"",IF(E97&lt;=0,"",IFERROR(I97/E97-1,"")))</f>
        <v/>
      </c>
      <c r="J98" s="15">
        <f>IF(OR(J97="",F97=""),"",IF(F97&lt;=0,"",IFERROR(J97/F97-1,"")))</f>
        <v/>
      </c>
      <c r="K98" s="15">
        <f>IF(OR(K97="",G97=""),"",IF(G97&lt;=0,"",IFERROR(K97/G97-1,"")))</f>
        <v/>
      </c>
      <c r="L98" s="15">
        <f>IF(OR(L97="",H97=""),"",IF(H97&lt;=0,"",IFERROR(L97/H97-1,"")))</f>
        <v/>
      </c>
      <c r="M98" s="15">
        <f>IF(OR(M97="",I97=""),"",IF(I97&lt;=0,"",IFERROR(M97/I97-1,"")))</f>
        <v/>
      </c>
      <c r="N98" s="15">
        <f>IF(OR(N97="",J97=""),"",IF(J97&lt;=0,"",IFERROR(N97/J97-1,"")))</f>
        <v/>
      </c>
      <c r="T98" s="15">
        <f>IF(OR(T97="",S97=""),"",IF(S97&lt;=0,"",IFERROR(T97/S97-1,"")))</f>
        <v/>
      </c>
      <c r="U98" s="15">
        <f>IF(OR(U97="",T97=""),"",IF(T97&lt;=0,"",IFERROR(U97/T97-1,"")))</f>
        <v/>
      </c>
      <c r="V98" s="15">
        <f>IF(OR(V97="",U97=""),"",IF(U97&lt;=0,"",IFERROR(V97/U97-1,"")))</f>
        <v/>
      </c>
      <c r="W98" s="15">
        <f>IF(OR(W97="",V97=""),"",IF(V97&lt;=0,"",IFERROR(W97/V97-1,"")))</f>
        <v/>
      </c>
      <c r="X98" s="15">
        <f>IF(OR(X97="",W97=""),"",IF(W97&lt;=0,"",IFERROR(X97/W97-1,"")))</f>
        <v/>
      </c>
    </row>
    <row r="99">
      <c r="A99" s="18" t="inlineStr">
        <is>
          <t>판매비와 관리비</t>
        </is>
      </c>
      <c r="C99" s="20" t="n">
        <v>53565</v>
      </c>
      <c r="D99" s="20" t="n">
        <v>56420</v>
      </c>
      <c r="E99" s="20" t="n">
        <v>74072</v>
      </c>
      <c r="F99" s="20" t="n">
        <v>55498</v>
      </c>
      <c r="G99" s="20" t="n">
        <v>57903</v>
      </c>
      <c r="H99" s="20" t="n">
        <v>58348</v>
      </c>
      <c r="I99" s="20" t="n">
        <v>73097</v>
      </c>
      <c r="J99" s="20" t="n">
        <v>58696</v>
      </c>
      <c r="K99" s="20" t="n">
        <v>58498</v>
      </c>
      <c r="L99" s="20" t="n">
        <v>63354</v>
      </c>
      <c r="M99" s="20" t="n">
        <v>82158</v>
      </c>
      <c r="N99" s="20" t="n">
        <v>59640</v>
      </c>
      <c r="T99" s="20" t="n">
        <v>72862</v>
      </c>
      <c r="U99" s="20" t="n">
        <v>79650</v>
      </c>
      <c r="V99" s="20" t="n">
        <v>74072</v>
      </c>
      <c r="W99" s="20" t="n">
        <v>73097</v>
      </c>
      <c r="X99" s="20" t="n">
        <v>82158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IF(OR(G99="",C99=""),"",IF(G99*C99&lt;=0,"",IFERROR(G99/C99-1,"")))</f>
        <v/>
      </c>
      <c r="H100" s="15">
        <f>IF(OR(H99="",D99=""),"",IF(H99*D99&lt;=0,"",IFERROR(H99/D99-1,"")))</f>
        <v/>
      </c>
      <c r="I100" s="15">
        <f>IF(OR(I99="",E99=""),"",IF(I99*E99&lt;=0,"",IFERROR(I99/E99-1,"")))</f>
        <v/>
      </c>
      <c r="J100" s="15">
        <f>IF(OR(J99="",F99=""),"",IF(J99*F99&lt;=0,"",IFERROR(J99/F99-1,"")))</f>
        <v/>
      </c>
      <c r="K100" s="15">
        <f>IF(OR(K99="",G99=""),"",IF(K99*G99&lt;=0,"",IFERROR(K99/G99-1,"")))</f>
        <v/>
      </c>
      <c r="L100" s="15">
        <f>IF(OR(L99="",H99=""),"",IF(L99*H99&lt;=0,"",IFERROR(L99/H99-1,"")))</f>
        <v/>
      </c>
      <c r="M100" s="15">
        <f>IF(OR(M99="",I99=""),"",IF(M99*I99&lt;=0,"",IFERROR(M99/I99-1,"")))</f>
        <v/>
      </c>
      <c r="N100" s="15">
        <f>IF(OR(N99="",J99=""),"",IF(N99*J99&lt;=0,"",IFERROR(N99/J99-1,"")))</f>
        <v/>
      </c>
      <c r="T100" s="15">
        <f>IF(OR(T99="",S99=""),"",IF(T99*S99&lt;=0,"",IFERROR(T99/S99-1,"")))</f>
        <v/>
      </c>
      <c r="U100" s="15">
        <f>IF(OR(U99="",T99=""),"",IF(U99*T99&lt;=0,"",IFERROR(U99/T99-1,"")))</f>
        <v/>
      </c>
      <c r="V100" s="15">
        <f>IF(OR(V99="",U99=""),"",IF(V99*U99&lt;=0,"",IFERROR(V99/U99-1,"")))</f>
        <v/>
      </c>
      <c r="W100" s="15">
        <f>IF(OR(W99="",V99=""),"",IF(W99*V99&lt;=0,"",IFERROR(W99/V99-1,"")))</f>
        <v/>
      </c>
      <c r="X100" s="15">
        <f>IF(OR(X99="",W99=""),"",IF(X99*W99&lt;=0,"",IFERROR(X99/W99-1,"")))</f>
        <v/>
      </c>
    </row>
    <row r="101">
      <c r="A101" s="9" t="inlineStr">
        <is>
          <t>영업이익</t>
        </is>
      </c>
      <c r="C101" s="12" t="n">
        <v>23067</v>
      </c>
      <c r="D101" s="12" t="n">
        <v>43961</v>
      </c>
      <c r="E101" s="12" t="n">
        <v>31861</v>
      </c>
      <c r="F101" s="12" t="n">
        <v>28750</v>
      </c>
      <c r="G101" s="12" t="n">
        <v>26189</v>
      </c>
      <c r="H101" s="12" t="n">
        <v>44568</v>
      </c>
      <c r="I101" s="12" t="n">
        <v>61224</v>
      </c>
      <c r="J101" s="12" t="n">
        <v>47679</v>
      </c>
      <c r="K101" s="12" t="n">
        <v>41990</v>
      </c>
      <c r="L101" s="12" t="n">
        <v>44078</v>
      </c>
      <c r="M101" s="12" t="n">
        <v>41062</v>
      </c>
      <c r="N101" s="12" t="n">
        <v>31309</v>
      </c>
      <c r="T101" s="12" t="n">
        <v>41185</v>
      </c>
      <c r="U101" s="12" t="n">
        <v>74927</v>
      </c>
      <c r="V101" s="12" t="n">
        <v>31861</v>
      </c>
      <c r="W101" s="12" t="n">
        <v>61224</v>
      </c>
      <c r="X101" s="12" t="n">
        <v>41062</v>
      </c>
    </row>
    <row r="102">
      <c r="A102" s="43" t="inlineStr">
        <is>
          <t>OPM</t>
        </is>
      </c>
      <c r="B102" s="3" t="inlineStr">
        <is>
          <t>영업이익 ÷ 매출</t>
        </is>
      </c>
      <c r="C102" s="15">
        <f>IF(OR(C101="",C93=""),"",IF(C93&lt;=0,"",IFERROR(C101/C93,"")))</f>
        <v/>
      </c>
      <c r="D102" s="15">
        <f>IF(OR(D101="",D93=""),"",IF(D93&lt;=0,"",IFERROR(D101/D93,"")))</f>
        <v/>
      </c>
      <c r="E102" s="15">
        <f>IF(OR(E101="",E93=""),"",IF(E93&lt;=0,"",IFERROR(E101/E93,"")))</f>
        <v/>
      </c>
      <c r="F102" s="15">
        <f>IF(OR(F101="",F93=""),"",IF(F93&lt;=0,"",IFERROR(F101/F93,"")))</f>
        <v/>
      </c>
      <c r="G102" s="15">
        <f>IF(OR(G101="",G93=""),"",IF(G93&lt;=0,"",IFERROR(G101/G93,"")))</f>
        <v/>
      </c>
      <c r="H102" s="15">
        <f>IF(OR(H101="",H93=""),"",IF(H93&lt;=0,"",IFERROR(H101/H93,"")))</f>
        <v/>
      </c>
      <c r="I102" s="15">
        <f>IF(OR(I101="",I93=""),"",IF(I93&lt;=0,"",IFERROR(I101/I93,"")))</f>
        <v/>
      </c>
      <c r="J102" s="15">
        <f>IF(OR(J101="",J93=""),"",IF(J93&lt;=0,"",IFERROR(J101/J93,"")))</f>
        <v/>
      </c>
      <c r="K102" s="15">
        <f>IF(OR(K101="",K93=""),"",IF(K93&lt;=0,"",IFERROR(K101/K93,"")))</f>
        <v/>
      </c>
      <c r="L102" s="15">
        <f>IF(OR(L101="",L93=""),"",IF(L93&lt;=0,"",IFERROR(L101/L93,"")))</f>
        <v/>
      </c>
      <c r="M102" s="15">
        <f>IF(OR(M101="",M93=""),"",IF(M93&lt;=0,"",IFERROR(M101/M93,"")))</f>
        <v/>
      </c>
      <c r="N102" s="15">
        <f>IF(OR(N101="",N93=""),"",IF(N93&lt;=0,"",IFERROR(N101/N93,"")))</f>
        <v/>
      </c>
      <c r="T102" s="15">
        <f>IF(OR(T101="",T93=""),"",IF(T93&lt;=0,"",IFERROR(T101/T93,"")))</f>
        <v/>
      </c>
      <c r="U102" s="15">
        <f>IF(OR(U101="",U93=""),"",IF(U93&lt;=0,"",IFERROR(U101/U93,"")))</f>
        <v/>
      </c>
      <c r="V102" s="15">
        <f>IF(OR(V101="",V93=""),"",IF(V93&lt;=0,"",IFERROR(V101/V93,"")))</f>
        <v/>
      </c>
      <c r="W102" s="15">
        <f>IF(OR(W101="",W93=""),"",IF(W93&lt;=0,"",IFERROR(W101/W93,"")))</f>
        <v/>
      </c>
      <c r="X102" s="15">
        <f>IF(OR(X101="",X93=""),"",IF(X93&lt;=0,"",IFERROR(X101/X93,"")))</f>
        <v/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IF(OR(G101="",C101=""),"",IF(C101&lt;=0,"",IFERROR(G101/C101-1,"")))</f>
        <v/>
      </c>
      <c r="H103" s="15">
        <f>IF(OR(H101="",D101=""),"",IF(D101&lt;=0,"",IFERROR(H101/D101-1,"")))</f>
        <v/>
      </c>
      <c r="I103" s="15">
        <f>IF(OR(I101="",E101=""),"",IF(E101&lt;=0,"",IFERROR(I101/E101-1,"")))</f>
        <v/>
      </c>
      <c r="J103" s="15">
        <f>IF(OR(J101="",F101=""),"",IF(F101&lt;=0,"",IFERROR(J101/F101-1,"")))</f>
        <v/>
      </c>
      <c r="K103" s="15">
        <f>IF(OR(K101="",G101=""),"",IF(G101&lt;=0,"",IFERROR(K101/G101-1,"")))</f>
        <v/>
      </c>
      <c r="L103" s="15">
        <f>IF(OR(L101="",H101=""),"",IF(H101&lt;=0,"",IFERROR(L101/H101-1,"")))</f>
        <v/>
      </c>
      <c r="M103" s="15">
        <f>IF(OR(M101="",I101=""),"",IF(I101&lt;=0,"",IFERROR(M101/I101-1,"")))</f>
        <v/>
      </c>
      <c r="N103" s="15">
        <f>IF(OR(N101="",J101=""),"",IF(J101&lt;=0,"",IFERROR(N101/J101-1,"")))</f>
        <v/>
      </c>
      <c r="T103" s="15">
        <f>IF(OR(T101="",S101=""),"",IF(S101&lt;=0,"",IFERROR(T101/S101-1,"")))</f>
        <v/>
      </c>
      <c r="U103" s="15">
        <f>IF(OR(U101="",T101=""),"",IF(T101&lt;=0,"",IFERROR(U101/T101-1,"")))</f>
        <v/>
      </c>
      <c r="V103" s="15">
        <f>IF(OR(V101="",U101=""),"",IF(U101&lt;=0,"",IFERROR(V101/U101-1,"")))</f>
        <v/>
      </c>
      <c r="W103" s="15">
        <f>IF(OR(W101="",V101=""),"",IF(V101&lt;=0,"",IFERROR(W101/V101-1,"")))</f>
        <v/>
      </c>
      <c r="X103" s="15">
        <f>IF(OR(X101="",W101=""),"",IF(W101&lt;=0,"",IFERROR(X101/W101-1,"")))</f>
        <v/>
      </c>
    </row>
    <row r="104">
      <c r="A104" s="18" t="inlineStr">
        <is>
          <t>이자수익</t>
        </is>
      </c>
      <c r="C104" s="20" t="n">
        <v>3904</v>
      </c>
      <c r="D104" s="20" t="n">
        <v>2030</v>
      </c>
      <c r="E104" s="20" t="n">
        <v>2965</v>
      </c>
      <c r="F104" s="20" t="n">
        <v>2177</v>
      </c>
      <c r="G104" s="20" t="n">
        <v>3325</v>
      </c>
      <c r="H104" s="20" t="n">
        <v>2928</v>
      </c>
      <c r="I104" s="20" t="n">
        <v>3590</v>
      </c>
      <c r="J104" s="20" t="n">
        <v>2929</v>
      </c>
      <c r="K104" s="20" t="n">
        <v>3268</v>
      </c>
      <c r="L104" s="20" t="n">
        <v>3303</v>
      </c>
      <c r="M104" s="20" t="n">
        <v>3339</v>
      </c>
      <c r="N104" s="20" t="n">
        <v>3093</v>
      </c>
      <c r="T104" s="20" t="n">
        <v>523</v>
      </c>
      <c r="U104" s="20" t="n">
        <v>1874</v>
      </c>
      <c r="V104" s="20" t="n">
        <v>2965</v>
      </c>
      <c r="W104" s="20" t="n">
        <v>3590</v>
      </c>
      <c r="X104" s="20" t="n">
        <v>3339</v>
      </c>
    </row>
    <row r="105">
      <c r="A105" s="18" t="inlineStr">
        <is>
          <t>배당금수익</t>
        </is>
      </c>
      <c r="C105" s="20" t="n">
        <v>1186</v>
      </c>
      <c r="D105" s="20" t="n">
        <v>999</v>
      </c>
      <c r="E105" s="20" t="n">
        <v>518</v>
      </c>
      <c r="F105" s="20" t="n">
        <v>1744</v>
      </c>
      <c r="G105" s="20" t="n">
        <v>2809</v>
      </c>
      <c r="H105" s="20" t="n">
        <v>2056</v>
      </c>
      <c r="I105" s="20" t="n">
        <v>107</v>
      </c>
      <c r="J105" s="20" t="n">
        <v>2028</v>
      </c>
      <c r="K105" s="20" t="n">
        <v>1013</v>
      </c>
      <c r="L105" s="20" t="n">
        <v>1582</v>
      </c>
      <c r="M105" s="20" t="n">
        <v>320</v>
      </c>
      <c r="N105" s="20" t="n">
        <v>2748</v>
      </c>
      <c r="T105" s="20" t="n">
        <v>347</v>
      </c>
      <c r="U105" s="20" t="n">
        <v>247</v>
      </c>
      <c r="V105" s="20" t="n">
        <v>518</v>
      </c>
      <c r="W105" s="20" t="n">
        <v>107</v>
      </c>
      <c r="X105" s="20" t="n">
        <v>320</v>
      </c>
    </row>
    <row r="106">
      <c r="A106" s="18" t="inlineStr">
        <is>
          <t>지분법이익</t>
        </is>
      </c>
      <c r="C106" s="20" t="n">
        <v>6429</v>
      </c>
      <c r="D106" s="20" t="n">
        <v>9646</v>
      </c>
      <c r="E106" s="20" t="n">
        <v>11429</v>
      </c>
      <c r="F106" s="20" t="n">
        <v>9333</v>
      </c>
      <c r="G106" s="20" t="n">
        <v>3604</v>
      </c>
      <c r="H106" s="20" t="n">
        <v>6325</v>
      </c>
      <c r="I106" s="20" t="n">
        <v>1391</v>
      </c>
      <c r="J106" s="20" t="n">
        <v>11300</v>
      </c>
      <c r="K106" s="20" t="n">
        <v>3097</v>
      </c>
      <c r="L106" s="20" t="n">
        <v>11305</v>
      </c>
      <c r="M106" s="20" t="n">
        <v>-1764</v>
      </c>
      <c r="N106" s="20" t="n">
        <v>9845</v>
      </c>
      <c r="T106" s="20" t="n">
        <v>-886</v>
      </c>
      <c r="U106" s="20" t="n">
        <v>4453</v>
      </c>
      <c r="V106" s="20" t="n">
        <v>11429</v>
      </c>
      <c r="W106" s="20" t="n">
        <v>1391</v>
      </c>
      <c r="X106" s="20" t="n">
        <v>-1764</v>
      </c>
    </row>
    <row r="107">
      <c r="A107" s="18" t="inlineStr">
        <is>
          <t>잡이익</t>
        </is>
      </c>
      <c r="T107" s="20" t="n">
        <v>7980</v>
      </c>
    </row>
    <row r="108">
      <c r="A108" s="18" t="inlineStr">
        <is>
          <t>기타</t>
        </is>
      </c>
      <c r="C108" s="20" t="n">
        <v>9777</v>
      </c>
      <c r="D108" s="20" t="n">
        <v>-392</v>
      </c>
      <c r="E108" s="20" t="n">
        <v>14041</v>
      </c>
      <c r="F108" s="20" t="n">
        <v>6423</v>
      </c>
      <c r="G108" s="20" t="n">
        <v>-970</v>
      </c>
      <c r="H108" s="20" t="n">
        <v>5372</v>
      </c>
      <c r="I108" s="20" t="n">
        <v>4061</v>
      </c>
      <c r="J108" s="20" t="n">
        <v>3117</v>
      </c>
      <c r="K108" s="20" t="n">
        <v>1865</v>
      </c>
      <c r="L108" s="20" t="n">
        <v>1418</v>
      </c>
      <c r="M108" s="20" t="n">
        <v>6514</v>
      </c>
      <c r="N108" s="20" t="n">
        <v>9667</v>
      </c>
      <c r="U108" s="20" t="n">
        <v>8167</v>
      </c>
      <c r="V108" s="20" t="n">
        <v>14041</v>
      </c>
      <c r="W108" s="20" t="n">
        <v>4061</v>
      </c>
      <c r="X108" s="20" t="n">
        <v>6514</v>
      </c>
    </row>
    <row r="109">
      <c r="A109" s="18" t="inlineStr">
        <is>
          <t>영업외수익 합계</t>
        </is>
      </c>
      <c r="C109" s="20" t="n">
        <v>21296</v>
      </c>
      <c r="D109" s="20" t="n">
        <v>12282</v>
      </c>
      <c r="E109" s="20" t="n">
        <v>28953</v>
      </c>
      <c r="F109" s="20" t="n">
        <v>19678</v>
      </c>
      <c r="G109" s="20" t="n">
        <v>8768</v>
      </c>
      <c r="H109" s="20" t="n">
        <v>16682</v>
      </c>
      <c r="I109" s="20" t="n">
        <v>9149</v>
      </c>
      <c r="J109" s="20" t="n">
        <v>19375</v>
      </c>
      <c r="K109" s="20" t="n">
        <v>9244</v>
      </c>
      <c r="L109" s="20" t="n">
        <v>17608</v>
      </c>
      <c r="M109" s="20" t="n">
        <v>8408</v>
      </c>
      <c r="N109" s="20" t="n">
        <v>25355</v>
      </c>
      <c r="T109" s="20" t="n">
        <v>6730</v>
      </c>
      <c r="U109" s="20" t="n">
        <v>14742</v>
      </c>
      <c r="V109" s="20" t="n">
        <v>28953</v>
      </c>
      <c r="W109" s="20" t="n">
        <v>9149</v>
      </c>
      <c r="X109" s="20" t="n">
        <v>8408</v>
      </c>
    </row>
    <row r="110">
      <c r="A110" s="43" t="inlineStr">
        <is>
          <t>YoY</t>
        </is>
      </c>
      <c r="B110" s="3" t="inlineStr">
        <is>
          <t>전년 같은 분기·전년 대비</t>
        </is>
      </c>
      <c r="G110" s="15">
        <f>IF(OR(G109="",C109=""),"",IF(G109*C109&lt;=0,"",IFERROR(G109/C109-1,"")))</f>
        <v/>
      </c>
      <c r="H110" s="15">
        <f>IF(OR(H109="",D109=""),"",IF(H109*D109&lt;=0,"",IFERROR(H109/D109-1,"")))</f>
        <v/>
      </c>
      <c r="I110" s="15">
        <f>IF(OR(I109="",E109=""),"",IF(I109*E109&lt;=0,"",IFERROR(I109/E109-1,"")))</f>
        <v/>
      </c>
      <c r="J110" s="15">
        <f>IF(OR(J109="",F109=""),"",IF(J109*F109&lt;=0,"",IFERROR(J109/F109-1,"")))</f>
        <v/>
      </c>
      <c r="K110" s="15">
        <f>IF(OR(K109="",G109=""),"",IF(K109*G109&lt;=0,"",IFERROR(K109/G109-1,"")))</f>
        <v/>
      </c>
      <c r="L110" s="15">
        <f>IF(OR(L109="",H109=""),"",IF(L109*H109&lt;=0,"",IFERROR(L109/H109-1,"")))</f>
        <v/>
      </c>
      <c r="M110" s="15">
        <f>IF(OR(M109="",I109=""),"",IF(M109*I109&lt;=0,"",IFERROR(M109/I109-1,"")))</f>
        <v/>
      </c>
      <c r="N110" s="15">
        <f>IF(OR(N109="",J109=""),"",IF(N109*J109&lt;=0,"",IFERROR(N109/J109-1,"")))</f>
        <v/>
      </c>
      <c r="T110" s="15">
        <f>IF(OR(T109="",S109=""),"",IF(T109*S109&lt;=0,"",IFERROR(T109/S109-1,"")))</f>
        <v/>
      </c>
      <c r="U110" s="15">
        <f>IF(OR(U109="",T109=""),"",IF(U109*T109&lt;=0,"",IFERROR(U109/T109-1,"")))</f>
        <v/>
      </c>
      <c r="V110" s="15">
        <f>IF(OR(V109="",U109=""),"",IF(V109*U109&lt;=0,"",IFERROR(V109/U109-1,"")))</f>
        <v/>
      </c>
      <c r="W110" s="15">
        <f>IF(OR(W109="",V109=""),"",IF(W109*V109&lt;=0,"",IFERROR(W109/V109-1,"")))</f>
        <v/>
      </c>
      <c r="X110" s="15">
        <f>IF(OR(X109="",W109=""),"",IF(X109*W109&lt;=0,"",IFERROR(X109/W109-1,"")))</f>
        <v/>
      </c>
    </row>
    <row r="111">
      <c r="A111" s="18" t="inlineStr">
        <is>
          <t>이자비용</t>
        </is>
      </c>
      <c r="C111" s="20" t="n">
        <v>3649</v>
      </c>
      <c r="D111" s="20" t="n">
        <v>3599</v>
      </c>
      <c r="E111" s="20" t="n">
        <v>3745</v>
      </c>
      <c r="F111" s="20" t="n">
        <v>3394</v>
      </c>
      <c r="G111" s="20" t="n">
        <v>4047</v>
      </c>
      <c r="H111" s="20" t="n">
        <v>4004</v>
      </c>
      <c r="I111" s="20" t="n">
        <v>3887</v>
      </c>
      <c r="J111" s="20" t="n">
        <v>3632</v>
      </c>
      <c r="K111" s="20" t="n">
        <v>3714</v>
      </c>
      <c r="L111" s="20" t="n">
        <v>3271</v>
      </c>
      <c r="M111" s="20" t="n">
        <v>3164</v>
      </c>
      <c r="N111" s="20" t="n">
        <v>3230</v>
      </c>
      <c r="T111" s="20" t="n">
        <v>2651</v>
      </c>
      <c r="U111" s="20" t="n">
        <v>3877</v>
      </c>
      <c r="V111" s="20" t="n">
        <v>3745</v>
      </c>
      <c r="W111" s="20" t="n">
        <v>3887</v>
      </c>
      <c r="X111" s="20" t="n">
        <v>3164</v>
      </c>
    </row>
    <row r="112">
      <c r="A112" s="18" t="inlineStr">
        <is>
          <t>잡손실</t>
        </is>
      </c>
      <c r="T112" s="20" t="n">
        <v>953</v>
      </c>
    </row>
    <row r="113">
      <c r="A113" s="18" t="inlineStr">
        <is>
          <t>외환차손</t>
        </is>
      </c>
      <c r="F113" s="20" t="n">
        <v>0</v>
      </c>
      <c r="G113" s="20" t="n">
        <v>1227</v>
      </c>
      <c r="J113" s="20" t="n">
        <v>2566</v>
      </c>
      <c r="K113" s="20" t="n">
        <v>186</v>
      </c>
    </row>
    <row r="114">
      <c r="A114" s="18" t="inlineStr">
        <is>
          <t>고정자산 압축손실</t>
        </is>
      </c>
      <c r="J114" s="20" t="n">
        <v>0</v>
      </c>
      <c r="N114" s="20" t="n">
        <v>1543</v>
      </c>
    </row>
    <row r="115">
      <c r="A115" s="18" t="inlineStr">
        <is>
          <t>기타</t>
        </is>
      </c>
      <c r="C115" s="20" t="n">
        <v>-464</v>
      </c>
      <c r="D115" s="20" t="n">
        <v>1923</v>
      </c>
      <c r="E115" s="20" t="n">
        <v>5078</v>
      </c>
      <c r="F115" s="20" t="n">
        <v>1360</v>
      </c>
      <c r="G115" s="20" t="n">
        <v>1487</v>
      </c>
      <c r="H115" s="20" t="n">
        <v>4816</v>
      </c>
      <c r="I115" s="20" t="n">
        <v>2365</v>
      </c>
      <c r="J115" s="20" t="n">
        <v>4081</v>
      </c>
      <c r="K115" s="20" t="n">
        <v>-1353</v>
      </c>
      <c r="L115" s="20" t="n">
        <v>3476</v>
      </c>
      <c r="M115" s="20" t="n">
        <v>4937</v>
      </c>
      <c r="N115" s="20" t="n">
        <v>1641</v>
      </c>
      <c r="U115" s="20" t="n">
        <v>3323</v>
      </c>
      <c r="V115" s="20" t="n">
        <v>5078</v>
      </c>
      <c r="W115" s="20" t="n">
        <v>2365</v>
      </c>
      <c r="X115" s="20" t="n">
        <v>4937</v>
      </c>
    </row>
    <row r="116">
      <c r="A116" s="18" t="inlineStr">
        <is>
          <t>영업외비용 합계</t>
        </is>
      </c>
      <c r="C116" s="20" t="n">
        <v>3184</v>
      </c>
      <c r="D116" s="20" t="n">
        <v>5523</v>
      </c>
      <c r="E116" s="20" t="n">
        <v>8822</v>
      </c>
      <c r="F116" s="20" t="n">
        <v>4755</v>
      </c>
      <c r="G116" s="20" t="n">
        <v>6762</v>
      </c>
      <c r="H116" s="20" t="n">
        <v>7592</v>
      </c>
      <c r="I116" s="20" t="n">
        <v>6252</v>
      </c>
      <c r="J116" s="20" t="n">
        <v>7713</v>
      </c>
      <c r="K116" s="20" t="n">
        <v>5114</v>
      </c>
      <c r="L116" s="20" t="n">
        <v>3995</v>
      </c>
      <c r="M116" s="20" t="n">
        <v>8100</v>
      </c>
      <c r="N116" s="20" t="n">
        <v>6415</v>
      </c>
      <c r="T116" s="20" t="n">
        <v>6088</v>
      </c>
      <c r="U116" s="20" t="n">
        <v>7201</v>
      </c>
      <c r="V116" s="20" t="n">
        <v>8822</v>
      </c>
      <c r="W116" s="20" t="n">
        <v>6252</v>
      </c>
      <c r="X116" s="20" t="n">
        <v>8100</v>
      </c>
    </row>
    <row r="117">
      <c r="A117" s="43" t="inlineStr">
        <is>
          <t>YoY</t>
        </is>
      </c>
      <c r="B117" s="3" t="inlineStr">
        <is>
          <t>전년 같은 분기·전년 대비</t>
        </is>
      </c>
      <c r="G117" s="15">
        <f>IF(OR(G116="",C116=""),"",IF(G116*C116&lt;=0,"",IFERROR(G116/C116-1,"")))</f>
        <v/>
      </c>
      <c r="H117" s="15">
        <f>IF(OR(H116="",D116=""),"",IF(H116*D116&lt;=0,"",IFERROR(H116/D116-1,"")))</f>
        <v/>
      </c>
      <c r="I117" s="15">
        <f>IF(OR(I116="",E116=""),"",IF(I116*E116&lt;=0,"",IFERROR(I116/E116-1,"")))</f>
        <v/>
      </c>
      <c r="J117" s="15">
        <f>IF(OR(J116="",F116=""),"",IF(J116*F116&lt;=0,"",IFERROR(J116/F116-1,"")))</f>
        <v/>
      </c>
      <c r="K117" s="15">
        <f>IF(OR(K116="",G116=""),"",IF(K116*G116&lt;=0,"",IFERROR(K116/G116-1,"")))</f>
        <v/>
      </c>
      <c r="L117" s="15">
        <f>IF(OR(L116="",H116=""),"",IF(L116*H116&lt;=0,"",IFERROR(L116/H116-1,"")))</f>
        <v/>
      </c>
      <c r="M117" s="15">
        <f>IF(OR(M116="",I116=""),"",IF(M116*I116&lt;=0,"",IFERROR(M116/I116-1,"")))</f>
        <v/>
      </c>
      <c r="N117" s="15">
        <f>IF(OR(N116="",J116=""),"",IF(N116*J116&lt;=0,"",IFERROR(N116/J116-1,"")))</f>
        <v/>
      </c>
      <c r="T117" s="15">
        <f>IF(OR(T116="",S116=""),"",IF(T116*S116&lt;=0,"",IFERROR(T116/S116-1,"")))</f>
        <v/>
      </c>
      <c r="U117" s="15">
        <f>IF(OR(U116="",T116=""),"",IF(U116*T116&lt;=0,"",IFERROR(U116/T116-1,"")))</f>
        <v/>
      </c>
      <c r="V117" s="15">
        <f>IF(OR(V116="",U116=""),"",IF(V116*U116&lt;=0,"",IFERROR(V116/U116-1,"")))</f>
        <v/>
      </c>
      <c r="W117" s="15">
        <f>IF(OR(W116="",V116=""),"",IF(W116*V116&lt;=0,"",IFERROR(W116/V116-1,"")))</f>
        <v/>
      </c>
      <c r="X117" s="15">
        <f>IF(OR(X116="",W116=""),"",IF(X116*W116&lt;=0,"",IFERROR(X116/W116-1,"")))</f>
        <v/>
      </c>
    </row>
    <row r="118">
      <c r="A118" s="9" t="inlineStr">
        <is>
          <t>경상이익</t>
        </is>
      </c>
      <c r="C118" s="12" t="n">
        <v>41179</v>
      </c>
      <c r="D118" s="12" t="n">
        <v>50720</v>
      </c>
      <c r="E118" s="12" t="n">
        <v>51992</v>
      </c>
      <c r="F118" s="12" t="n">
        <v>43673</v>
      </c>
      <c r="G118" s="12" t="n">
        <v>28196</v>
      </c>
      <c r="H118" s="12" t="n">
        <v>53657</v>
      </c>
      <c r="I118" s="12" t="n">
        <v>64121</v>
      </c>
      <c r="J118" s="12" t="n">
        <v>59341</v>
      </c>
      <c r="K118" s="12" t="n">
        <v>46120</v>
      </c>
      <c r="L118" s="12" t="n">
        <v>57690</v>
      </c>
      <c r="M118" s="12" t="n">
        <v>41371</v>
      </c>
      <c r="N118" s="12" t="n">
        <v>50248</v>
      </c>
      <c r="T118" s="12" t="n">
        <v>41827</v>
      </c>
      <c r="U118" s="12" t="n">
        <v>82469</v>
      </c>
      <c r="V118" s="12" t="n">
        <v>51992</v>
      </c>
      <c r="W118" s="12" t="n">
        <v>64121</v>
      </c>
      <c r="X118" s="12" t="n">
        <v>41371</v>
      </c>
    </row>
    <row r="119">
      <c r="A119" s="43" t="inlineStr">
        <is>
          <t>YoY</t>
        </is>
      </c>
      <c r="B119" s="3" t="inlineStr">
        <is>
          <t>전년 같은 분기·전년 대비</t>
        </is>
      </c>
      <c r="G119" s="15">
        <f>IF(OR(G118="",C118=""),"",IF(C118&lt;=0,"",IFERROR(G118/C118-1,"")))</f>
        <v/>
      </c>
      <c r="H119" s="15">
        <f>IF(OR(H118="",D118=""),"",IF(D118&lt;=0,"",IFERROR(H118/D118-1,"")))</f>
        <v/>
      </c>
      <c r="I119" s="15">
        <f>IF(OR(I118="",E118=""),"",IF(E118&lt;=0,"",IFERROR(I118/E118-1,"")))</f>
        <v/>
      </c>
      <c r="J119" s="15">
        <f>IF(OR(J118="",F118=""),"",IF(F118&lt;=0,"",IFERROR(J118/F118-1,"")))</f>
        <v/>
      </c>
      <c r="K119" s="15">
        <f>IF(OR(K118="",G118=""),"",IF(G118&lt;=0,"",IFERROR(K118/G118-1,"")))</f>
        <v/>
      </c>
      <c r="L119" s="15">
        <f>IF(OR(L118="",H118=""),"",IF(H118&lt;=0,"",IFERROR(L118/H118-1,"")))</f>
        <v/>
      </c>
      <c r="M119" s="15">
        <f>IF(OR(M118="",I118=""),"",IF(I118&lt;=0,"",IFERROR(M118/I118-1,"")))</f>
        <v/>
      </c>
      <c r="N119" s="15">
        <f>IF(OR(N118="",J118=""),"",IF(J118&lt;=0,"",IFERROR(N118/J118-1,"")))</f>
        <v/>
      </c>
      <c r="T119" s="15">
        <f>IF(OR(T118="",S118=""),"",IF(S118&lt;=0,"",IFERROR(T118/S118-1,"")))</f>
        <v/>
      </c>
      <c r="U119" s="15">
        <f>IF(OR(U118="",T118=""),"",IF(T118&lt;=0,"",IFERROR(U118/T118-1,"")))</f>
        <v/>
      </c>
      <c r="V119" s="15">
        <f>IF(OR(V118="",U118=""),"",IF(U118&lt;=0,"",IFERROR(V118/U118-1,"")))</f>
        <v/>
      </c>
      <c r="W119" s="15">
        <f>IF(OR(W118="",V118=""),"",IF(V118&lt;=0,"",IFERROR(W118/V118-1,"")))</f>
        <v/>
      </c>
      <c r="X119" s="15">
        <f>IF(OR(X118="",W118=""),"",IF(W118&lt;=0,"",IFERROR(X118/W118-1,"")))</f>
        <v/>
      </c>
    </row>
    <row r="120">
      <c r="A120" s="18" t="inlineStr">
        <is>
          <t>고정자산 매각이익</t>
        </is>
      </c>
      <c r="I120" s="20" t="n">
        <v>0</v>
      </c>
      <c r="M120" s="20" t="n">
        <v>207</v>
      </c>
      <c r="W120" s="20" t="n">
        <v>0</v>
      </c>
      <c r="X120" s="20" t="n">
        <v>207</v>
      </c>
    </row>
    <row r="121">
      <c r="A121" s="18" t="inlineStr">
        <is>
          <t>투자유가증권 매각이익</t>
        </is>
      </c>
      <c r="E121" s="20" t="n">
        <v>0</v>
      </c>
      <c r="T121" s="20" t="n">
        <v>0</v>
      </c>
      <c r="U121" s="20" t="n">
        <v>6937</v>
      </c>
      <c r="V121" s="20" t="n">
        <v>0</v>
      </c>
    </row>
    <row r="122">
      <c r="A122" s="18" t="inlineStr">
        <is>
          <t>관계회사 주식 매각이익</t>
        </is>
      </c>
      <c r="H122" s="20" t="n">
        <v>0</v>
      </c>
      <c r="I122" s="20" t="n">
        <v>0</v>
      </c>
      <c r="L122" s="20" t="n">
        <v>520</v>
      </c>
      <c r="M122" s="20" t="n">
        <v>-327</v>
      </c>
      <c r="W122" s="20" t="n">
        <v>0</v>
      </c>
      <c r="X122" s="20" t="n">
        <v>-327</v>
      </c>
    </row>
    <row r="123">
      <c r="A123" s="18" t="inlineStr">
        <is>
          <t>보험금 수익</t>
        </is>
      </c>
      <c r="F123" s="20" t="n">
        <v>0</v>
      </c>
      <c r="G123" s="20" t="n">
        <v>0</v>
      </c>
      <c r="H123" s="20" t="n">
        <v>0</v>
      </c>
      <c r="I123" s="20" t="n">
        <v>0</v>
      </c>
      <c r="J123" s="20" t="n">
        <v>6790</v>
      </c>
      <c r="K123" s="20" t="n">
        <v>16</v>
      </c>
      <c r="L123" s="20" t="n">
        <v>24</v>
      </c>
      <c r="M123" s="20" t="n">
        <v>436</v>
      </c>
      <c r="N123" s="20" t="n">
        <v>0</v>
      </c>
      <c r="W123" s="20" t="n">
        <v>0</v>
      </c>
      <c r="X123" s="20" t="n">
        <v>436</v>
      </c>
    </row>
    <row r="124">
      <c r="A124" s="18" t="inlineStr">
        <is>
          <t>특별이익 합계</t>
        </is>
      </c>
      <c r="E124" s="20" t="n">
        <v>0</v>
      </c>
      <c r="F124" s="20" t="n">
        <v>0</v>
      </c>
      <c r="G124" s="20" t="n">
        <v>0</v>
      </c>
      <c r="H124" s="20" t="n">
        <v>0</v>
      </c>
      <c r="I124" s="20" t="n">
        <v>25406</v>
      </c>
      <c r="J124" s="20" t="n">
        <v>6790</v>
      </c>
      <c r="K124" s="20" t="n">
        <v>12152</v>
      </c>
      <c r="L124" s="20" t="n">
        <v>2508</v>
      </c>
      <c r="M124" s="20" t="n">
        <v>316</v>
      </c>
      <c r="N124" s="20" t="n">
        <v>0</v>
      </c>
      <c r="T124" s="20" t="n">
        <v>23825</v>
      </c>
      <c r="U124" s="20" t="n">
        <v>6937</v>
      </c>
      <c r="V124" s="20" t="n">
        <v>0</v>
      </c>
      <c r="W124" s="20" t="n">
        <v>25406</v>
      </c>
      <c r="X124" s="20" t="n">
        <v>316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IF(OR(G124="",C124=""),"",IF(G124*C124&lt;=0,"",IFERROR(G124/C124-1,"")))</f>
        <v/>
      </c>
      <c r="H125" s="15">
        <f>IF(OR(H124="",D124=""),"",IF(H124*D124&lt;=0,"",IFERROR(H124/D124-1,"")))</f>
        <v/>
      </c>
      <c r="I125" s="15">
        <f>IF(OR(I124="",E124=""),"",IF(I124*E124&lt;=0,"",IFERROR(I124/E124-1,"")))</f>
        <v/>
      </c>
      <c r="J125" s="15">
        <f>IF(OR(J124="",F124=""),"",IF(J124*F124&lt;=0,"",IFERROR(J124/F124-1,"")))</f>
        <v/>
      </c>
      <c r="K125" s="15">
        <f>IF(OR(K124="",G124=""),"",IF(K124*G124&lt;=0,"",IFERROR(K124/G124-1,"")))</f>
        <v/>
      </c>
      <c r="L125" s="15">
        <f>IF(OR(L124="",H124=""),"",IF(L124*H124&lt;=0,"",IFERROR(L124/H124-1,"")))</f>
        <v/>
      </c>
      <c r="M125" s="15">
        <f>IF(OR(M124="",I124=""),"",IF(M124*I124&lt;=0,"",IFERROR(M124/I124-1,"")))</f>
        <v/>
      </c>
      <c r="N125" s="15">
        <f>IF(OR(N124="",J124=""),"",IF(N124*J124&lt;=0,"",IFERROR(N124/J124-1,"")))</f>
        <v/>
      </c>
      <c r="T125" s="15">
        <f>IF(OR(T124="",S124=""),"",IF(T124*S124&lt;=0,"",IFERROR(T124/S124-1,"")))</f>
        <v/>
      </c>
      <c r="U125" s="15">
        <f>IF(OR(U124="",T124=""),"",IF(U124*T124&lt;=0,"",IFERROR(U124/T124-1,"")))</f>
        <v/>
      </c>
      <c r="V125" s="15">
        <f>IF(OR(V124="",U124=""),"",IF(V124*U124&lt;=0,"",IFERROR(V124/U124-1,"")))</f>
        <v/>
      </c>
      <c r="W125" s="15">
        <f>IF(OR(W124="",V124=""),"",IF(W124*V124&lt;=0,"",IFERROR(W124/V124-1,"")))</f>
        <v/>
      </c>
      <c r="X125" s="15">
        <f>IF(OR(X124="",W124=""),"",IF(X124*W124&lt;=0,"",IFERROR(X124/W124-1,"")))</f>
        <v/>
      </c>
    </row>
    <row r="126">
      <c r="A126" s="18" t="inlineStr">
        <is>
          <t>손상차손</t>
        </is>
      </c>
      <c r="D126" s="20" t="n">
        <v>0</v>
      </c>
      <c r="E126" s="20" t="n">
        <v>20194</v>
      </c>
      <c r="T126" s="20" t="n">
        <v>16013</v>
      </c>
      <c r="U126" s="20" t="n">
        <v>522</v>
      </c>
      <c r="V126" s="20" t="n">
        <v>20194</v>
      </c>
    </row>
    <row r="127">
      <c r="A127" s="18" t="inlineStr">
        <is>
          <t>특별손실 합계</t>
        </is>
      </c>
      <c r="D127" s="20" t="n">
        <v>0</v>
      </c>
      <c r="E127" s="20" t="n">
        <v>30546</v>
      </c>
      <c r="T127" s="20" t="n">
        <v>18349</v>
      </c>
      <c r="U127" s="20" t="n">
        <v>5409</v>
      </c>
      <c r="V127" s="20" t="n">
        <v>30546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T128" s="15">
        <f>IF(OR(T127="",S127=""),"",IF(T127*S127&lt;=0,"",IFERROR(T127/S127-1,"")))</f>
        <v/>
      </c>
      <c r="U128" s="15">
        <f>IF(OR(U127="",T127=""),"",IF(U127*T127&lt;=0,"",IFERROR(U127/T127-1,"")))</f>
        <v/>
      </c>
      <c r="V128" s="15">
        <f>IF(OR(V127="",U127=""),"",IF(V127*U127&lt;=0,"",IFERROR(V127/U127-1,"")))</f>
        <v/>
      </c>
    </row>
    <row r="129">
      <c r="A129" s="9" t="inlineStr">
        <is>
          <t>법인세차감전 순이익</t>
        </is>
      </c>
      <c r="C129" s="12" t="n">
        <v>41179</v>
      </c>
      <c r="D129" s="12" t="n">
        <v>50720</v>
      </c>
      <c r="E129" s="12" t="n">
        <v>21446</v>
      </c>
      <c r="F129" s="12" t="n">
        <v>43673</v>
      </c>
      <c r="G129" s="12" t="n">
        <v>28196</v>
      </c>
      <c r="H129" s="12" t="n">
        <v>53657</v>
      </c>
      <c r="I129" s="12" t="n">
        <v>63724</v>
      </c>
      <c r="J129" s="12" t="n">
        <v>66131</v>
      </c>
      <c r="K129" s="12" t="n">
        <v>58272</v>
      </c>
      <c r="L129" s="12" t="n">
        <v>60199</v>
      </c>
      <c r="M129" s="12" t="n">
        <v>18290</v>
      </c>
      <c r="N129" s="12" t="n">
        <v>50248</v>
      </c>
      <c r="T129" s="12" t="n">
        <v>47304</v>
      </c>
      <c r="U129" s="12" t="n">
        <v>83997</v>
      </c>
      <c r="V129" s="12" t="n">
        <v>21446</v>
      </c>
      <c r="W129" s="12" t="n">
        <v>63724</v>
      </c>
      <c r="X129" s="12" t="n">
        <v>18290</v>
      </c>
    </row>
    <row r="130">
      <c r="A130" s="43" t="inlineStr">
        <is>
          <t>YoY</t>
        </is>
      </c>
      <c r="B130" s="3" t="inlineStr">
        <is>
          <t>전년 같은 분기·전년 대비</t>
        </is>
      </c>
      <c r="G130" s="15">
        <f>IF(OR(G129="",C129=""),"",IF(C129&lt;=0,"",IFERROR(G129/C129-1,"")))</f>
        <v/>
      </c>
      <c r="H130" s="15">
        <f>IF(OR(H129="",D129=""),"",IF(D129&lt;=0,"",IFERROR(H129/D129-1,"")))</f>
        <v/>
      </c>
      <c r="I130" s="15">
        <f>IF(OR(I129="",E129=""),"",IF(E129&lt;=0,"",IFERROR(I129/E129-1,"")))</f>
        <v/>
      </c>
      <c r="J130" s="15">
        <f>IF(OR(J129="",F129=""),"",IF(F129&lt;=0,"",IFERROR(J129/F129-1,"")))</f>
        <v/>
      </c>
      <c r="K130" s="15">
        <f>IF(OR(K129="",G129=""),"",IF(G129&lt;=0,"",IFERROR(K129/G129-1,"")))</f>
        <v/>
      </c>
      <c r="L130" s="15">
        <f>IF(OR(L129="",H129=""),"",IF(H129&lt;=0,"",IFERROR(L129/H129-1,"")))</f>
        <v/>
      </c>
      <c r="M130" s="15">
        <f>IF(OR(M129="",I129=""),"",IF(I129&lt;=0,"",IFERROR(M129/I129-1,"")))</f>
        <v/>
      </c>
      <c r="N130" s="15">
        <f>IF(OR(N129="",J129=""),"",IF(J129&lt;=0,"",IFERROR(N129/J129-1,"")))</f>
        <v/>
      </c>
      <c r="T130" s="15">
        <f>IF(OR(T129="",S129=""),"",IF(S129&lt;=0,"",IFERROR(T129/S129-1,"")))</f>
        <v/>
      </c>
      <c r="U130" s="15">
        <f>IF(OR(U129="",T129=""),"",IF(T129&lt;=0,"",IFERROR(U129/T129-1,"")))</f>
        <v/>
      </c>
      <c r="V130" s="15">
        <f>IF(OR(V129="",U129=""),"",IF(U129&lt;=0,"",IFERROR(V129/U129-1,"")))</f>
        <v/>
      </c>
      <c r="W130" s="15">
        <f>IF(OR(W129="",V129=""),"",IF(V129&lt;=0,"",IFERROR(W129/V129-1,"")))</f>
        <v/>
      </c>
      <c r="X130" s="15">
        <f>IF(OR(X129="",W129=""),"",IF(W129&lt;=0,"",IFERROR(X129/W129-1,"")))</f>
        <v/>
      </c>
    </row>
    <row r="131">
      <c r="A131" s="18" t="inlineStr">
        <is>
          <t>법인세 등</t>
        </is>
      </c>
      <c r="C131" s="20" t="n">
        <v>11988</v>
      </c>
      <c r="D131" s="20" t="n">
        <v>13209</v>
      </c>
      <c r="E131" s="20" t="n">
        <v>14502</v>
      </c>
      <c r="F131" s="20" t="n">
        <v>12379</v>
      </c>
      <c r="G131" s="20" t="n">
        <v>8396</v>
      </c>
      <c r="H131" s="20" t="n">
        <v>13965</v>
      </c>
      <c r="I131" s="20" t="n">
        <v>19456</v>
      </c>
      <c r="J131" s="20" t="n">
        <v>17776</v>
      </c>
      <c r="K131" s="20" t="n">
        <v>12175</v>
      </c>
      <c r="L131" s="20" t="n">
        <v>14501</v>
      </c>
      <c r="M131" s="20" t="n">
        <v>5710</v>
      </c>
      <c r="N131" s="20" t="n">
        <v>14218</v>
      </c>
      <c r="T131" s="20" t="n">
        <v>-30602</v>
      </c>
      <c r="U131" s="20" t="n">
        <v>25090</v>
      </c>
      <c r="V131" s="20" t="n">
        <v>14502</v>
      </c>
      <c r="W131" s="20" t="n">
        <v>19456</v>
      </c>
      <c r="X131" s="20" t="n">
        <v>5710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IF(OR(G131="",C131=""),"",IF(G131*C131&lt;=0,"",IFERROR(G131/C131-1,"")))</f>
        <v/>
      </c>
      <c r="H132" s="15">
        <f>IF(OR(H131="",D131=""),"",IF(H131*D131&lt;=0,"",IFERROR(H131/D131-1,"")))</f>
        <v/>
      </c>
      <c r="I132" s="15">
        <f>IF(OR(I131="",E131=""),"",IF(I131*E131&lt;=0,"",IFERROR(I131/E131-1,"")))</f>
        <v/>
      </c>
      <c r="J132" s="15">
        <f>IF(OR(J131="",F131=""),"",IF(J131*F131&lt;=0,"",IFERROR(J131/F131-1,"")))</f>
        <v/>
      </c>
      <c r="K132" s="15">
        <f>IF(OR(K131="",G131=""),"",IF(K131*G131&lt;=0,"",IFERROR(K131/G131-1,"")))</f>
        <v/>
      </c>
      <c r="L132" s="15">
        <f>IF(OR(L131="",H131=""),"",IF(L131*H131&lt;=0,"",IFERROR(L131/H131-1,"")))</f>
        <v/>
      </c>
      <c r="M132" s="15">
        <f>IF(OR(M131="",I131=""),"",IF(M131*I131&lt;=0,"",IFERROR(M131/I131-1,"")))</f>
        <v/>
      </c>
      <c r="N132" s="15">
        <f>IF(OR(N131="",J131=""),"",IF(N131*J131&lt;=0,"",IFERROR(N131/J131-1,"")))</f>
        <v/>
      </c>
      <c r="T132" s="15">
        <f>IF(OR(T131="",S131=""),"",IF(T131*S131&lt;=0,"",IFERROR(T131/S131-1,"")))</f>
        <v/>
      </c>
      <c r="U132" s="15">
        <f>IF(OR(U131="",T131=""),"",IF(U131*T131&lt;=0,"",IFERROR(U131/T131-1,"")))</f>
        <v/>
      </c>
      <c r="V132" s="15">
        <f>IF(OR(V131="",U131=""),"",IF(V131*U131&lt;=0,"",IFERROR(V131/U131-1,"")))</f>
        <v/>
      </c>
      <c r="W132" s="15">
        <f>IF(OR(W131="",V131=""),"",IF(W131*V131&lt;=0,"",IFERROR(W131/V131-1,"")))</f>
        <v/>
      </c>
      <c r="X132" s="15">
        <f>IF(OR(X131="",W131=""),"",IF(X131*W131&lt;=0,"",IFERROR(X131/W131-1,"")))</f>
        <v/>
      </c>
    </row>
    <row r="133">
      <c r="A133" s="9" t="inlineStr">
        <is>
          <t>순이익</t>
        </is>
      </c>
      <c r="C133" s="12" t="n">
        <v>29190</v>
      </c>
      <c r="D133" s="12" t="n">
        <v>37511</v>
      </c>
      <c r="E133" s="12" t="n">
        <v>6944</v>
      </c>
      <c r="F133" s="12" t="n">
        <v>31293</v>
      </c>
      <c r="G133" s="12" t="n">
        <v>19800</v>
      </c>
      <c r="H133" s="12" t="n">
        <v>39692</v>
      </c>
      <c r="I133" s="12" t="n">
        <v>44269</v>
      </c>
      <c r="J133" s="12" t="n">
        <v>48355</v>
      </c>
      <c r="K133" s="12" t="n">
        <v>46096</v>
      </c>
      <c r="L133" s="12" t="n">
        <v>45698</v>
      </c>
      <c r="M133" s="12" t="n">
        <v>12580</v>
      </c>
      <c r="N133" s="12" t="n">
        <v>36030</v>
      </c>
      <c r="T133" s="12" t="n">
        <v>77906</v>
      </c>
      <c r="U133" s="12" t="n">
        <v>58907</v>
      </c>
      <c r="V133" s="12" t="n">
        <v>6944</v>
      </c>
      <c r="W133" s="12" t="n">
        <v>44269</v>
      </c>
      <c r="X133" s="12" t="n">
        <v>12580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T134" s="15">
        <f>IF(OR(T133="",S133=""),"",IF(S133&lt;=0,"",IFERROR(T133/S133-1,"")))</f>
        <v/>
      </c>
      <c r="U134" s="15">
        <f>IF(OR(U133="",T133=""),"",IF(T133&lt;=0,"",IFERROR(U133/T133-1,"")))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5">
      <c r="A135" s="9" t="inlineStr">
        <is>
          <t>비지배주주 순손익</t>
        </is>
      </c>
      <c r="C135" s="12" t="n">
        <v>398</v>
      </c>
      <c r="D135" s="12" t="n">
        <v>457</v>
      </c>
      <c r="E135" s="12" t="n">
        <v>671</v>
      </c>
      <c r="F135" s="12" t="n">
        <v>503</v>
      </c>
      <c r="G135" s="12" t="n">
        <v>-208</v>
      </c>
      <c r="H135" s="12" t="n">
        <v>-392</v>
      </c>
      <c r="I135" s="12" t="n">
        <v>737</v>
      </c>
      <c r="J135" s="12" t="n">
        <v>-165</v>
      </c>
      <c r="K135" s="12" t="n">
        <v>-238</v>
      </c>
      <c r="L135" s="12" t="n">
        <v>153</v>
      </c>
      <c r="M135" s="12" t="n">
        <v>229</v>
      </c>
      <c r="N135" s="12" t="n">
        <v>350</v>
      </c>
      <c r="T135" s="12" t="n">
        <v>2645</v>
      </c>
      <c r="U135" s="12" t="n">
        <v>401</v>
      </c>
      <c r="V135" s="12" t="n">
        <v>671</v>
      </c>
      <c r="W135" s="12" t="n">
        <v>737</v>
      </c>
      <c r="X135" s="12" t="n">
        <v>229</v>
      </c>
    </row>
    <row r="136">
      <c r="A136" s="9" t="inlineStr">
        <is>
          <t>지배주주 순이익</t>
        </is>
      </c>
      <c r="C136" s="12" t="n">
        <v>28791</v>
      </c>
      <c r="D136" s="12" t="n">
        <v>37054</v>
      </c>
      <c r="E136" s="12" t="n">
        <v>6274</v>
      </c>
      <c r="F136" s="12" t="n">
        <v>30789</v>
      </c>
      <c r="G136" s="12" t="n">
        <v>20008</v>
      </c>
      <c r="H136" s="12" t="n">
        <v>40085</v>
      </c>
      <c r="I136" s="12" t="n">
        <v>43532</v>
      </c>
      <c r="J136" s="12" t="n">
        <v>48521</v>
      </c>
      <c r="K136" s="12" t="n">
        <v>46334</v>
      </c>
      <c r="L136" s="12" t="n">
        <v>45544</v>
      </c>
      <c r="M136" s="12" t="n">
        <v>12352</v>
      </c>
      <c r="N136" s="12" t="n">
        <v>35680</v>
      </c>
      <c r="T136" s="12" t="n">
        <v>75262</v>
      </c>
      <c r="U136" s="12" t="n">
        <v>58506</v>
      </c>
      <c r="V136" s="12" t="n">
        <v>6274</v>
      </c>
      <c r="W136" s="12" t="n">
        <v>43532</v>
      </c>
      <c r="X136" s="12" t="n">
        <v>12352</v>
      </c>
    </row>
    <row r="137">
      <c r="A137" s="43" t="inlineStr">
        <is>
          <t>YoY</t>
        </is>
      </c>
      <c r="B137" s="3" t="inlineStr">
        <is>
          <t>전년 같은 분기·전년 대비</t>
        </is>
      </c>
      <c r="G137" s="15">
        <f>IF(OR(G136="",C136=""),"",IF(C136&lt;=0,"",IFERROR(G136/C136-1,"")))</f>
        <v/>
      </c>
      <c r="H137" s="15">
        <f>IF(OR(H136="",D136=""),"",IF(D136&lt;=0,"",IFERROR(H136/D136-1,"")))</f>
        <v/>
      </c>
      <c r="I137" s="15">
        <f>IF(OR(I136="",E136=""),"",IF(E136&lt;=0,"",IFERROR(I136/E136-1,"")))</f>
        <v/>
      </c>
      <c r="J137" s="15">
        <f>IF(OR(J136="",F136=""),"",IF(F136&lt;=0,"",IFERROR(J136/F136-1,"")))</f>
        <v/>
      </c>
      <c r="K137" s="15">
        <f>IF(OR(K136="",G136=""),"",IF(G136&lt;=0,"",IFERROR(K136/G136-1,"")))</f>
        <v/>
      </c>
      <c r="L137" s="15">
        <f>IF(OR(L136="",H136=""),"",IF(H136&lt;=0,"",IFERROR(L136/H136-1,"")))</f>
        <v/>
      </c>
      <c r="M137" s="15">
        <f>IF(OR(M136="",I136=""),"",IF(I136&lt;=0,"",IFERROR(M136/I136-1,"")))</f>
        <v/>
      </c>
      <c r="N137" s="15">
        <f>IF(OR(N136="",J136=""),"",IF(J136&lt;=0,"",IFERROR(N136/J136-1,"")))</f>
        <v/>
      </c>
      <c r="T137" s="15">
        <f>IF(OR(T136="",S136=""),"",IF(S136&lt;=0,"",IFERROR(T136/S136-1,"")))</f>
        <v/>
      </c>
      <c r="U137" s="15">
        <f>IF(OR(U136="",T136=""),"",IF(T136&lt;=0,"",IFERROR(U136/T136-1,"")))</f>
        <v/>
      </c>
      <c r="V137" s="15">
        <f>IF(OR(V136="",U136=""),"",IF(U136&lt;=0,"",IFERROR(V136/U136-1,"")))</f>
        <v/>
      </c>
      <c r="W137" s="15">
        <f>IF(OR(W136="",V136=""),"",IF(V136&lt;=0,"",IFERROR(W136/V136-1,"")))</f>
        <v/>
      </c>
      <c r="X137" s="15">
        <f>IF(OR(X136="",W136=""),"",IF(W136&lt;=0,"",IFERROR(X136/W136-1,"")))</f>
        <v/>
      </c>
    </row>
    <row r="139">
      <c r="A139" s="16" t="inlineStr">
        <is>
          <t>포괄손익 · 전 항목</t>
        </is>
      </c>
      <c r="B139" s="42" t="inlineStr">
        <is>
          <t>분기 = 3개월 단독</t>
        </is>
      </c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</row>
    <row r="140">
      <c r="A140" s="5" t="inlineStr">
        <is>
          <t>항목</t>
        </is>
      </c>
      <c r="B140" s="5" t="inlineStr">
        <is>
          <t>참고</t>
        </is>
      </c>
      <c r="C140" s="5" t="inlineStr">
        <is>
          <t>2024.2Q</t>
        </is>
      </c>
      <c r="D140" s="5" t="inlineStr">
        <is>
          <t>2024.3Q</t>
        </is>
      </c>
      <c r="E140" s="5" t="inlineStr">
        <is>
          <t>2024.4Q</t>
        </is>
      </c>
      <c r="F140" s="5" t="inlineStr">
        <is>
          <t>2025.1Q</t>
        </is>
      </c>
      <c r="G140" s="5" t="inlineStr">
        <is>
          <t>2025.2Q</t>
        </is>
      </c>
      <c r="H140" s="5" t="inlineStr">
        <is>
          <t>2025.3Q</t>
        </is>
      </c>
      <c r="I140" s="5" t="inlineStr">
        <is>
          <t>2025.4Q</t>
        </is>
      </c>
      <c r="J140" s="5" t="inlineStr">
        <is>
          <t>2026.1Q</t>
        </is>
      </c>
      <c r="K140" s="5" t="inlineStr">
        <is>
          <t>2026.2Q</t>
        </is>
      </c>
      <c r="L140" s="5" t="inlineStr">
        <is>
          <t>2026.3Q</t>
        </is>
      </c>
      <c r="M140" s="5" t="inlineStr">
        <is>
          <t>2026.4Q</t>
        </is>
      </c>
      <c r="N140" s="5" t="inlineStr">
        <is>
          <t>2027.1Q</t>
        </is>
      </c>
      <c r="O140" s="5" t="inlineStr">
        <is>
          <t>2017</t>
        </is>
      </c>
      <c r="P140" s="5" t="inlineStr">
        <is>
          <t>2018</t>
        </is>
      </c>
      <c r="Q140" s="5" t="inlineStr">
        <is>
          <t>2019</t>
        </is>
      </c>
      <c r="R140" s="5" t="inlineStr">
        <is>
          <t>2020</t>
        </is>
      </c>
      <c r="S140" s="5" t="inlineStr">
        <is>
          <t>2021</t>
        </is>
      </c>
      <c r="T140" s="5" t="inlineStr">
        <is>
          <t>2022</t>
        </is>
      </c>
      <c r="U140" s="5" t="inlineStr">
        <is>
          <t>2023</t>
        </is>
      </c>
      <c r="V140" s="5" t="inlineStr">
        <is>
          <t>2024</t>
        </is>
      </c>
      <c r="W140" s="5" t="inlineStr">
        <is>
          <t>2025</t>
        </is>
      </c>
      <c r="X140" s="5" t="inlineStr">
        <is>
          <t>2026</t>
        </is>
      </c>
      <c r="Y140" s="5" t="inlineStr">
        <is>
          <t>2027(MW)</t>
        </is>
      </c>
      <c r="Z140" s="5" t="inlineStr">
        <is>
          <t>2028(MW)</t>
        </is>
      </c>
      <c r="AA140" s="5" t="inlineStr">
        <is>
          <t>2029(MW)</t>
        </is>
      </c>
      <c r="AB140" s="5" t="inlineStr">
        <is>
          <t>2030(MW)</t>
        </is>
      </c>
      <c r="AC140" s="5" t="inlineStr">
        <is>
          <t>2031(MW)</t>
        </is>
      </c>
    </row>
    <row r="141">
      <c r="A141" s="9" t="inlineStr">
        <is>
          <t>순이익</t>
        </is>
      </c>
      <c r="C141" s="12" t="n">
        <v>29190</v>
      </c>
      <c r="D141" s="12" t="n">
        <v>37511</v>
      </c>
      <c r="E141" s="12" t="n">
        <v>6944</v>
      </c>
      <c r="F141" s="12" t="n">
        <v>31293</v>
      </c>
      <c r="G141" s="12" t="n">
        <v>19800</v>
      </c>
      <c r="H141" s="12" t="n">
        <v>39692</v>
      </c>
      <c r="I141" s="12" t="n">
        <v>44269</v>
      </c>
      <c r="J141" s="12" t="n">
        <v>48355</v>
      </c>
      <c r="K141" s="12" t="n">
        <v>46096</v>
      </c>
      <c r="L141" s="12" t="n">
        <v>45698</v>
      </c>
      <c r="M141" s="12" t="n">
        <v>12580</v>
      </c>
      <c r="N141" s="12" t="n">
        <v>36030</v>
      </c>
      <c r="T141" s="12" t="n">
        <v>77906</v>
      </c>
      <c r="U141" s="12" t="n">
        <v>58907</v>
      </c>
      <c r="V141" s="12" t="n">
        <v>6944</v>
      </c>
      <c r="W141" s="12" t="n">
        <v>44269</v>
      </c>
      <c r="X141" s="12" t="n">
        <v>12580</v>
      </c>
    </row>
    <row r="142">
      <c r="A142" s="18" t="inlineStr">
        <is>
          <t>기타유가증권 평가차액</t>
        </is>
      </c>
      <c r="C142" s="20" t="n">
        <v>-936</v>
      </c>
      <c r="D142" s="20" t="n">
        <v>-1880</v>
      </c>
      <c r="E142" s="20" t="n">
        <v>12087</v>
      </c>
      <c r="F142" s="20" t="n">
        <v>4121</v>
      </c>
      <c r="G142" s="20" t="n">
        <v>-19424</v>
      </c>
      <c r="H142" s="20" t="n">
        <v>4076</v>
      </c>
      <c r="I142" s="20" t="n">
        <v>-20540</v>
      </c>
      <c r="J142" s="20" t="n">
        <v>1332</v>
      </c>
      <c r="K142" s="20" t="n">
        <v>9878</v>
      </c>
      <c r="L142" s="20" t="n">
        <v>4138</v>
      </c>
      <c r="M142" s="20" t="n">
        <v>963</v>
      </c>
      <c r="N142" s="20" t="n">
        <v>6413</v>
      </c>
      <c r="T142" s="20" t="n">
        <v>-1242</v>
      </c>
      <c r="U142" s="20" t="n">
        <v>5051</v>
      </c>
      <c r="V142" s="20" t="n">
        <v>12087</v>
      </c>
      <c r="W142" s="20" t="n">
        <v>-20540</v>
      </c>
      <c r="X142" s="20" t="n">
        <v>963</v>
      </c>
    </row>
    <row r="143">
      <c r="A143" s="18" t="inlineStr">
        <is>
          <t>이연헤지손익</t>
        </is>
      </c>
      <c r="C143" s="20" t="n">
        <v>2299</v>
      </c>
      <c r="D143" s="20" t="n">
        <v>8560</v>
      </c>
      <c r="E143" s="20" t="n">
        <v>3507</v>
      </c>
      <c r="F143" s="20" t="n">
        <v>21948</v>
      </c>
      <c r="G143" s="20" t="n">
        <v>-17588</v>
      </c>
      <c r="H143" s="20" t="n">
        <v>1078</v>
      </c>
      <c r="I143" s="20" t="n">
        <v>-3335</v>
      </c>
      <c r="J143" s="20" t="n">
        <v>-24447</v>
      </c>
      <c r="K143" s="20" t="n">
        <v>19821</v>
      </c>
      <c r="L143" s="20" t="n">
        <v>25376</v>
      </c>
      <c r="M143" s="20" t="n">
        <v>9248</v>
      </c>
      <c r="N143" s="20" t="n">
        <v>3408</v>
      </c>
      <c r="T143" s="20" t="n">
        <v>24729</v>
      </c>
      <c r="U143" s="20" t="n">
        <v>16171</v>
      </c>
      <c r="V143" s="20" t="n">
        <v>3507</v>
      </c>
      <c r="W143" s="20" t="n">
        <v>-3335</v>
      </c>
      <c r="X143" s="20" t="n">
        <v>9248</v>
      </c>
    </row>
    <row r="144">
      <c r="A144" s="18" t="inlineStr">
        <is>
          <t>토지재평가차액금</t>
        </is>
      </c>
      <c r="F144" s="20" t="n">
        <v>0</v>
      </c>
      <c r="G144" s="20" t="n">
        <v>0</v>
      </c>
      <c r="H144" s="20" t="n">
        <v>0</v>
      </c>
      <c r="I144" s="20" t="n">
        <v>0</v>
      </c>
      <c r="J144" s="20" t="n">
        <v>-28</v>
      </c>
      <c r="K144" s="20" t="n">
        <v>0</v>
      </c>
      <c r="L144" s="20" t="n">
        <v>0</v>
      </c>
      <c r="M144" s="20" t="n">
        <v>0</v>
      </c>
      <c r="N144" s="20" t="n">
        <v>0</v>
      </c>
      <c r="W144" s="20" t="n">
        <v>0</v>
      </c>
      <c r="X144" s="20" t="n">
        <v>0</v>
      </c>
    </row>
    <row r="145">
      <c r="A145" s="18" t="inlineStr">
        <is>
          <t>해외사업환산조정</t>
        </is>
      </c>
      <c r="C145" s="20" t="n">
        <v>47051</v>
      </c>
      <c r="D145" s="20" t="n">
        <v>18581</v>
      </c>
      <c r="E145" s="20" t="n">
        <v>-30691</v>
      </c>
      <c r="F145" s="20" t="n">
        <v>41038</v>
      </c>
      <c r="G145" s="20" t="n">
        <v>50688</v>
      </c>
      <c r="H145" s="20" t="n">
        <v>-95137</v>
      </c>
      <c r="I145" s="20" t="n">
        <v>79380</v>
      </c>
      <c r="J145" s="20" t="n">
        <v>-46361</v>
      </c>
      <c r="K145" s="20" t="n">
        <v>-23320</v>
      </c>
      <c r="L145" s="20" t="n">
        <v>23130</v>
      </c>
      <c r="M145" s="20" t="n">
        <v>48612</v>
      </c>
      <c r="N145" s="20" t="n">
        <v>19661</v>
      </c>
      <c r="T145" s="20" t="n">
        <v>8813</v>
      </c>
      <c r="U145" s="20" t="n">
        <v>-44007</v>
      </c>
      <c r="V145" s="20" t="n">
        <v>-30691</v>
      </c>
      <c r="W145" s="20" t="n">
        <v>79380</v>
      </c>
      <c r="X145" s="20" t="n">
        <v>48612</v>
      </c>
    </row>
    <row r="146">
      <c r="A146" s="18" t="inlineStr">
        <is>
          <t>퇴직급여 조정액</t>
        </is>
      </c>
      <c r="C146" s="20" t="n">
        <v>-1736</v>
      </c>
      <c r="D146" s="20" t="n">
        <v>-1743</v>
      </c>
      <c r="E146" s="20" t="n">
        <v>5530</v>
      </c>
      <c r="F146" s="20" t="n">
        <v>-1448</v>
      </c>
      <c r="G146" s="20" t="n">
        <v>-1453</v>
      </c>
      <c r="H146" s="20" t="n">
        <v>-1388</v>
      </c>
      <c r="I146" s="20" t="n">
        <v>6507</v>
      </c>
      <c r="J146" s="20" t="n">
        <v>-1377</v>
      </c>
      <c r="K146" s="20" t="n">
        <v>-1360</v>
      </c>
      <c r="L146" s="20" t="n">
        <v>-1374</v>
      </c>
      <c r="M146" s="20" t="n">
        <v>21263</v>
      </c>
      <c r="N146" s="20" t="n">
        <v>-2538</v>
      </c>
      <c r="T146" s="20" t="n">
        <v>23172</v>
      </c>
      <c r="U146" s="20" t="n">
        <v>-5028</v>
      </c>
      <c r="V146" s="20" t="n">
        <v>5530</v>
      </c>
      <c r="W146" s="20" t="n">
        <v>6507</v>
      </c>
      <c r="X146" s="20" t="n">
        <v>21263</v>
      </c>
    </row>
    <row r="147">
      <c r="A147" s="18" t="inlineStr">
        <is>
          <t>지분법 적용회사 지분 해당액</t>
        </is>
      </c>
      <c r="C147" s="20" t="n">
        <v>4998</v>
      </c>
      <c r="D147" s="20" t="n">
        <v>6174</v>
      </c>
      <c r="E147" s="20" t="n">
        <v>-1575</v>
      </c>
      <c r="F147" s="20" t="n">
        <v>2343</v>
      </c>
      <c r="G147" s="20" t="n">
        <v>-1817</v>
      </c>
      <c r="H147" s="20" t="n">
        <v>1550</v>
      </c>
      <c r="I147" s="20" t="n">
        <v>5445</v>
      </c>
      <c r="J147" s="20" t="n">
        <v>-6749</v>
      </c>
      <c r="K147" s="20" t="n">
        <v>3752</v>
      </c>
      <c r="L147" s="20" t="n">
        <v>4739</v>
      </c>
      <c r="M147" s="20" t="n">
        <v>1306</v>
      </c>
      <c r="N147" s="20" t="n">
        <v>3529</v>
      </c>
      <c r="T147" s="20" t="n">
        <v>7920</v>
      </c>
      <c r="U147" s="20" t="n">
        <v>87</v>
      </c>
      <c r="V147" s="20" t="n">
        <v>-1575</v>
      </c>
      <c r="W147" s="20" t="n">
        <v>5445</v>
      </c>
      <c r="X147" s="20" t="n">
        <v>1306</v>
      </c>
    </row>
    <row r="148">
      <c r="A148" s="18" t="inlineStr">
        <is>
          <t>기타포괄손익 합계</t>
        </is>
      </c>
      <c r="C148" s="20" t="n">
        <v>51675</v>
      </c>
      <c r="D148" s="20" t="n">
        <v>29692</v>
      </c>
      <c r="E148" s="20" t="n">
        <v>-11140</v>
      </c>
      <c r="F148" s="20" t="n">
        <v>68003</v>
      </c>
      <c r="G148" s="20" t="n">
        <v>10404</v>
      </c>
      <c r="H148" s="20" t="n">
        <v>-89821</v>
      </c>
      <c r="I148" s="20" t="n">
        <v>67459</v>
      </c>
      <c r="J148" s="20" t="n">
        <v>-77631</v>
      </c>
      <c r="K148" s="20" t="n">
        <v>8771</v>
      </c>
      <c r="L148" s="20" t="n">
        <v>56009</v>
      </c>
      <c r="M148" s="20" t="n">
        <v>81395</v>
      </c>
      <c r="N148" s="20" t="n">
        <v>30473</v>
      </c>
      <c r="T148" s="20" t="n">
        <v>63394</v>
      </c>
      <c r="U148" s="20" t="n">
        <v>-28936</v>
      </c>
      <c r="V148" s="20" t="n">
        <v>-11140</v>
      </c>
      <c r="W148" s="20" t="n">
        <v>67459</v>
      </c>
      <c r="X148" s="20" t="n">
        <v>81395</v>
      </c>
    </row>
    <row r="149">
      <c r="A149" s="9" t="inlineStr">
        <is>
          <t>포괄이익</t>
        </is>
      </c>
      <c r="C149" s="12" t="n">
        <v>80865</v>
      </c>
      <c r="D149" s="12" t="n">
        <v>67203</v>
      </c>
      <c r="E149" s="12" t="n">
        <v>-4195</v>
      </c>
      <c r="F149" s="12" t="n">
        <v>99297</v>
      </c>
      <c r="G149" s="12" t="n">
        <v>30204</v>
      </c>
      <c r="H149" s="12" t="n">
        <v>-50130</v>
      </c>
      <c r="I149" s="12" t="n">
        <v>111728</v>
      </c>
      <c r="J149" s="12" t="n">
        <v>-29275</v>
      </c>
      <c r="K149" s="12" t="n">
        <v>54866</v>
      </c>
      <c r="L149" s="12" t="n">
        <v>101707</v>
      </c>
      <c r="M149" s="12" t="n">
        <v>93976</v>
      </c>
      <c r="N149" s="12" t="n">
        <v>66504</v>
      </c>
      <c r="T149" s="12" t="n">
        <v>141300</v>
      </c>
      <c r="U149" s="12" t="n">
        <v>29972</v>
      </c>
      <c r="V149" s="12" t="n">
        <v>-4195</v>
      </c>
      <c r="W149" s="12" t="n">
        <v>111728</v>
      </c>
      <c r="X149" s="12" t="n">
        <v>93976</v>
      </c>
    </row>
    <row r="150">
      <c r="A150" s="9" t="inlineStr">
        <is>
          <t>지배주주 포괄이익</t>
        </is>
      </c>
      <c r="C150" s="12" t="n">
        <v>80497</v>
      </c>
      <c r="D150" s="12" t="n">
        <v>66694</v>
      </c>
      <c r="E150" s="12" t="n">
        <v>-5119</v>
      </c>
      <c r="F150" s="12" t="n">
        <v>98848</v>
      </c>
      <c r="G150" s="12" t="n">
        <v>29564</v>
      </c>
      <c r="H150" s="12" t="n">
        <v>-47243</v>
      </c>
      <c r="I150" s="12" t="n">
        <v>108832</v>
      </c>
      <c r="J150" s="12" t="n">
        <v>-27498</v>
      </c>
      <c r="K150" s="12" t="n">
        <v>55287</v>
      </c>
      <c r="L150" s="12" t="n">
        <v>100891</v>
      </c>
      <c r="M150" s="12" t="n">
        <v>92565</v>
      </c>
      <c r="N150" s="12" t="n">
        <v>65571</v>
      </c>
      <c r="T150" s="12" t="n">
        <v>138531</v>
      </c>
      <c r="U150" s="12" t="n">
        <v>29551</v>
      </c>
      <c r="V150" s="12" t="n">
        <v>-5119</v>
      </c>
      <c r="W150" s="12" t="n">
        <v>108832</v>
      </c>
      <c r="X150" s="12" t="n">
        <v>92565</v>
      </c>
    </row>
    <row r="151">
      <c r="A151" s="9" t="inlineStr">
        <is>
          <t>비지배주주 포괄이익</t>
        </is>
      </c>
      <c r="C151" s="12" t="n">
        <v>368</v>
      </c>
      <c r="D151" s="12" t="n">
        <v>510</v>
      </c>
      <c r="E151" s="12" t="n">
        <v>923</v>
      </c>
      <c r="F151" s="12" t="n">
        <v>449</v>
      </c>
      <c r="G151" s="12" t="n">
        <v>640</v>
      </c>
      <c r="H151" s="12" t="n">
        <v>-2887</v>
      </c>
      <c r="I151" s="12" t="n">
        <v>2896</v>
      </c>
      <c r="J151" s="12" t="n">
        <v>-1776</v>
      </c>
      <c r="K151" s="12" t="n">
        <v>-422</v>
      </c>
      <c r="L151" s="12" t="n">
        <v>816</v>
      </c>
      <c r="M151" s="12" t="n">
        <v>1411</v>
      </c>
      <c r="N151" s="12" t="n">
        <v>933</v>
      </c>
      <c r="T151" s="12" t="n">
        <v>2769</v>
      </c>
      <c r="U151" s="12" t="n">
        <v>422</v>
      </c>
      <c r="V151" s="12" t="n">
        <v>923</v>
      </c>
      <c r="W151" s="12" t="n">
        <v>2896</v>
      </c>
      <c r="X151" s="12" t="n">
        <v>1411</v>
      </c>
    </row>
    <row r="153">
      <c r="A153" s="16" t="inlineStr">
        <is>
          <t>부문 · 전 항목</t>
        </is>
      </c>
      <c r="B153" s="42" t="inlineStr">
        <is>
          <t>부문 · 항목</t>
        </is>
      </c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  <c r="AA153" s="16" t="n"/>
      <c r="AB153" s="16" t="n"/>
      <c r="AC153" s="16" t="n"/>
    </row>
    <row r="154">
      <c r="A154" s="5" t="inlineStr">
        <is>
          <t>항목</t>
        </is>
      </c>
      <c r="B154" s="5" t="inlineStr">
        <is>
          <t>참고</t>
        </is>
      </c>
      <c r="C154" s="5" t="inlineStr">
        <is>
          <t>2024.2Q</t>
        </is>
      </c>
      <c r="D154" s="5" t="inlineStr">
        <is>
          <t>2024.3Q</t>
        </is>
      </c>
      <c r="E154" s="5" t="inlineStr">
        <is>
          <t>2024.4Q</t>
        </is>
      </c>
      <c r="F154" s="5" t="inlineStr">
        <is>
          <t>2025.1Q</t>
        </is>
      </c>
      <c r="G154" s="5" t="inlineStr">
        <is>
          <t>2025.2Q</t>
        </is>
      </c>
      <c r="H154" s="5" t="inlineStr">
        <is>
          <t>2025.3Q</t>
        </is>
      </c>
      <c r="I154" s="5" t="inlineStr">
        <is>
          <t>2025.4Q</t>
        </is>
      </c>
      <c r="J154" s="5" t="inlineStr">
        <is>
          <t>2026.1Q</t>
        </is>
      </c>
      <c r="K154" s="5" t="inlineStr">
        <is>
          <t>2026.2Q</t>
        </is>
      </c>
      <c r="L154" s="5" t="inlineStr">
        <is>
          <t>2026.3Q</t>
        </is>
      </c>
      <c r="M154" s="5" t="inlineStr">
        <is>
          <t>2026.4Q</t>
        </is>
      </c>
      <c r="N154" s="5" t="inlineStr">
        <is>
          <t>2027.1Q</t>
        </is>
      </c>
      <c r="O154" s="5" t="inlineStr">
        <is>
          <t>2017</t>
        </is>
      </c>
      <c r="P154" s="5" t="inlineStr">
        <is>
          <t>2018</t>
        </is>
      </c>
      <c r="Q154" s="5" t="inlineStr">
        <is>
          <t>2019</t>
        </is>
      </c>
      <c r="R154" s="5" t="inlineStr">
        <is>
          <t>2020</t>
        </is>
      </c>
      <c r="S154" s="5" t="inlineStr">
        <is>
          <t>2021</t>
        </is>
      </c>
      <c r="T154" s="5" t="inlineStr">
        <is>
          <t>2022</t>
        </is>
      </c>
      <c r="U154" s="5" t="inlineStr">
        <is>
          <t>2023</t>
        </is>
      </c>
      <c r="V154" s="5" t="inlineStr">
        <is>
          <t>2024</t>
        </is>
      </c>
      <c r="W154" s="5" t="inlineStr">
        <is>
          <t>2025</t>
        </is>
      </c>
      <c r="X154" s="5" t="inlineStr">
        <is>
          <t>2026</t>
        </is>
      </c>
      <c r="Y154" s="5" t="inlineStr">
        <is>
          <t>2027(MW)</t>
        </is>
      </c>
      <c r="Z154" s="5" t="inlineStr">
        <is>
          <t>2028(MW)</t>
        </is>
      </c>
      <c r="AA154" s="5" t="inlineStr">
        <is>
          <t>2029(MW)</t>
        </is>
      </c>
      <c r="AB154" s="5" t="inlineStr">
        <is>
          <t>2030(MW)</t>
        </is>
      </c>
      <c r="AC154" s="5" t="inlineStr">
        <is>
          <t>2031(MW)</t>
        </is>
      </c>
    </row>
    <row r="155">
      <c r="A155" s="18" t="inlineStr">
        <is>
          <t>DomesticEnergyReportableSegmentMember · 매출액</t>
        </is>
      </c>
      <c r="C155" s="20" t="n">
        <v>401604</v>
      </c>
      <c r="D155" s="20" t="n">
        <v>436718</v>
      </c>
      <c r="E155" s="20" t="n">
        <v>487662</v>
      </c>
      <c r="F155" s="20" t="n">
        <v>395705</v>
      </c>
      <c r="G155" s="20" t="n">
        <v>392611</v>
      </c>
      <c r="H155" s="20" t="n">
        <v>417746</v>
      </c>
      <c r="I155" s="20" t="n">
        <v>531843</v>
      </c>
      <c r="J155" s="20" t="n">
        <v>382189</v>
      </c>
      <c r="K155" s="20" t="n">
        <v>393682</v>
      </c>
      <c r="L155" s="20" t="n">
        <v>391630</v>
      </c>
      <c r="M155" s="20" t="n">
        <v>475905</v>
      </c>
      <c r="N155" s="20" t="n">
        <v>379734</v>
      </c>
      <c r="V155" s="20" t="n">
        <v>487662</v>
      </c>
      <c r="W155" s="20" t="n">
        <v>531843</v>
      </c>
      <c r="X155" s="20" t="n">
        <v>475905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N156" s="15">
        <f>IF(OR(N155="",J155=""),"",IF(J155&lt;=0,"",IFERROR(N155/J155-1,"")))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InternationalEnergyReportableSegmentsMember · 매출액</t>
        </is>
      </c>
      <c r="C157" s="20" t="n">
        <v>27056</v>
      </c>
      <c r="D157" s="20" t="n">
        <v>30625</v>
      </c>
      <c r="E157" s="20" t="n">
        <v>36711</v>
      </c>
      <c r="F157" s="20" t="n">
        <v>25535</v>
      </c>
      <c r="G157" s="20" t="n">
        <v>33565</v>
      </c>
      <c r="H157" s="20" t="n">
        <v>32592</v>
      </c>
      <c r="I157" s="20" t="n">
        <v>36459</v>
      </c>
      <c r="J157" s="20" t="n">
        <v>34115</v>
      </c>
      <c r="K157" s="20" t="n">
        <v>35403</v>
      </c>
      <c r="L157" s="20" t="n">
        <v>35980</v>
      </c>
      <c r="M157" s="20" t="n">
        <v>38292</v>
      </c>
      <c r="N157" s="20" t="n">
        <v>34308</v>
      </c>
      <c r="V157" s="20" t="n">
        <v>36711</v>
      </c>
      <c r="W157" s="20" t="n">
        <v>36459</v>
      </c>
      <c r="X157" s="20" t="n">
        <v>38292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IF(OR(G157="",C157=""),"",IF(C157&lt;=0,"",IFERROR(G157/C157-1,"")))</f>
        <v/>
      </c>
      <c r="H158" s="15">
        <f>IF(OR(H157="",D157=""),"",IF(D157&lt;=0,"",IFERROR(H157/D157-1,"")))</f>
        <v/>
      </c>
      <c r="I158" s="15">
        <f>IF(OR(I157="",E157=""),"",IF(E157&lt;=0,"",IFERROR(I157/E157-1,"")))</f>
        <v/>
      </c>
      <c r="J158" s="15">
        <f>IF(OR(J157="",F157=""),"",IF(F157&lt;=0,"",IFERROR(J157/F157-1,"")))</f>
        <v/>
      </c>
      <c r="K158" s="15">
        <f>IF(OR(K157="",G157=""),"",IF(G157&lt;=0,"",IFERROR(K157/G157-1,"")))</f>
        <v/>
      </c>
      <c r="L158" s="15">
        <f>IF(OR(L157="",H157=""),"",IF(H157&lt;=0,"",IFERROR(L157/H157-1,"")))</f>
        <v/>
      </c>
      <c r="M158" s="15">
        <f>IF(OR(M157="",I157=""),"",IF(I157&lt;=0,"",IFERROR(M157/I157-1,"")))</f>
        <v/>
      </c>
      <c r="N158" s="15">
        <f>IF(OR(N157="",J157=""),"",IF(J157&lt;=0,"",IFERROR(N157/J157-1,"")))</f>
        <v/>
      </c>
      <c r="V158" s="15">
        <f>IF(OR(V157="",U157=""),"",IF(U157&lt;=0,"",IFERROR(V157/U157-1,"")))</f>
        <v/>
      </c>
      <c r="W158" s="15">
        <f>IF(OR(W157="",V157=""),"",IF(V157&lt;=0,"",IFERROR(W157/V157-1,"")))</f>
        <v/>
      </c>
      <c r="X158" s="15">
        <f>IF(OR(X157="",W157=""),"",IF(W157&lt;=0,"",IFERROR(X157/W157-1,"")))</f>
        <v/>
      </c>
    </row>
    <row r="159">
      <c r="A159" s="18" t="inlineStr">
        <is>
          <t>LifeAndBusinessSolutionsReportableSegmentsMember · 매출액</t>
        </is>
      </c>
      <c r="C159" s="20" t="n">
        <v>74114</v>
      </c>
      <c r="D159" s="20" t="n">
        <v>67233</v>
      </c>
      <c r="E159" s="20" t="n">
        <v>73617</v>
      </c>
      <c r="F159" s="20" t="n">
        <v>63032</v>
      </c>
      <c r="G159" s="20" t="n">
        <v>73570</v>
      </c>
      <c r="H159" s="20" t="n">
        <v>63487</v>
      </c>
      <c r="I159" s="20" t="n">
        <v>82377</v>
      </c>
      <c r="J159" s="20" t="n">
        <v>67282</v>
      </c>
      <c r="K159" s="20" t="n">
        <v>79092</v>
      </c>
      <c r="L159" s="20" t="n">
        <v>71241</v>
      </c>
      <c r="M159" s="20" t="n">
        <v>102224</v>
      </c>
      <c r="N159" s="20" t="n">
        <v>76326</v>
      </c>
      <c r="V159" s="20" t="n">
        <v>73617</v>
      </c>
      <c r="W159" s="20" t="n">
        <v>82377</v>
      </c>
      <c r="X159" s="20" t="n">
        <v>102224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합계 · 매출액</t>
        </is>
      </c>
      <c r="C161" s="20" t="n">
        <v>502774</v>
      </c>
      <c r="D161" s="20" t="n">
        <v>534576</v>
      </c>
      <c r="E161" s="20" t="n">
        <v>597990</v>
      </c>
      <c r="F161" s="20" t="n">
        <v>484273</v>
      </c>
      <c r="G161" s="20" t="n">
        <v>499746</v>
      </c>
      <c r="H161" s="20" t="n">
        <v>513825</v>
      </c>
      <c r="I161" s="20" t="n">
        <v>650679</v>
      </c>
      <c r="J161" s="20" t="n">
        <v>483587</v>
      </c>
      <c r="K161" s="20" t="n">
        <v>508177</v>
      </c>
      <c r="L161" s="20" t="n">
        <v>498851</v>
      </c>
      <c r="M161" s="20" t="n">
        <v>616421</v>
      </c>
      <c r="N161" s="20" t="n">
        <v>490369</v>
      </c>
      <c r="V161" s="20" t="n">
        <v>597990</v>
      </c>
      <c r="W161" s="20" t="n">
        <v>650679</v>
      </c>
      <c r="X161" s="20" t="n">
        <v>616421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조정액 · 매출액</t>
        </is>
      </c>
      <c r="C163" s="20" t="n">
        <v>-19693</v>
      </c>
      <c r="D163" s="20" t="n">
        <v>-20121</v>
      </c>
      <c r="E163" s="20" t="n">
        <v>-25088</v>
      </c>
      <c r="F163" s="20" t="n">
        <v>-13345</v>
      </c>
      <c r="G163" s="20" t="n">
        <v>-20564</v>
      </c>
      <c r="H163" s="20" t="n">
        <v>-19804</v>
      </c>
      <c r="I163" s="20" t="n">
        <v>-25790</v>
      </c>
      <c r="J163" s="20" t="n">
        <v>-12593</v>
      </c>
      <c r="K163" s="20" t="n">
        <v>-20003</v>
      </c>
      <c r="L163" s="20" t="n">
        <v>-19189</v>
      </c>
      <c r="M163" s="20" t="n">
        <v>-24949</v>
      </c>
      <c r="N163" s="20" t="n">
        <v>-12361</v>
      </c>
      <c r="V163" s="20" t="n">
        <v>-25088</v>
      </c>
      <c r="W163" s="20" t="n">
        <v>-25790</v>
      </c>
      <c r="X163" s="20" t="n">
        <v>-24949</v>
      </c>
    </row>
    <row r="164">
      <c r="A164" s="9" t="inlineStr">
        <is>
          <t>계</t>
        </is>
      </c>
      <c r="C164" s="12" t="n">
        <v>483082</v>
      </c>
      <c r="D164" s="12" t="n">
        <v>514454</v>
      </c>
      <c r="E164" s="12" t="n">
        <v>572903</v>
      </c>
      <c r="F164" s="12" t="n">
        <v>470928</v>
      </c>
      <c r="G164" s="12" t="n">
        <v>479182</v>
      </c>
      <c r="H164" s="12" t="n">
        <v>494021</v>
      </c>
      <c r="I164" s="12" t="n">
        <v>624888</v>
      </c>
      <c r="V164" s="12" t="n">
        <v>572903</v>
      </c>
      <c r="W164" s="12" t="n">
        <v>624888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</row>
    <row r="166">
      <c r="A166" s="18" t="inlineStr">
        <is>
          <t>EntityTotalMember · 매출액</t>
        </is>
      </c>
      <c r="F166" s="20" t="n">
        <v>470928</v>
      </c>
      <c r="J166" s="20" t="n">
        <v>470993</v>
      </c>
      <c r="N166" s="20" t="n">
        <v>478007</v>
      </c>
    </row>
    <row r="167">
      <c r="A167" s="18" t="inlineStr">
        <is>
          <t>DomesticEnergyReportableSegmentMember · 영업이익</t>
        </is>
      </c>
      <c r="C167" s="20" t="n">
        <v>-1116</v>
      </c>
      <c r="D167" s="20" t="n">
        <v>19981</v>
      </c>
      <c r="E167" s="20" t="n">
        <v>11404</v>
      </c>
      <c r="F167" s="20" t="n">
        <v>11452</v>
      </c>
      <c r="G167" s="20" t="n">
        <v>-970</v>
      </c>
      <c r="H167" s="20" t="n">
        <v>26307</v>
      </c>
      <c r="I167" s="20" t="n">
        <v>38093</v>
      </c>
      <c r="J167" s="20" t="n">
        <v>25644</v>
      </c>
      <c r="K167" s="20" t="n">
        <v>13013</v>
      </c>
      <c r="L167" s="20" t="n">
        <v>22437</v>
      </c>
      <c r="M167" s="20" t="n">
        <v>7655</v>
      </c>
      <c r="N167" s="20" t="n">
        <v>4571</v>
      </c>
      <c r="V167" s="20" t="n">
        <v>11404</v>
      </c>
      <c r="W167" s="20" t="n">
        <v>38093</v>
      </c>
      <c r="X167" s="20" t="n">
        <v>7655</v>
      </c>
    </row>
    <row r="168">
      <c r="A168" s="43" t="inlineStr">
        <is>
          <t>OPM</t>
        </is>
      </c>
      <c r="B168" s="3" t="inlineStr">
        <is>
          <t>영업이익 ÷ 매출</t>
        </is>
      </c>
      <c r="C168" s="15">
        <f>IF(OR(C167="",C155=""),"",IF(C155&lt;=0,"",IFERROR(C167/C155,"")))</f>
        <v/>
      </c>
      <c r="D168" s="15">
        <f>IF(OR(D167="",D155=""),"",IF(D155&lt;=0,"",IFERROR(D167/D155,"")))</f>
        <v/>
      </c>
      <c r="E168" s="15">
        <f>IF(OR(E167="",E155=""),"",IF(E155&lt;=0,"",IFERROR(E167/E155,"")))</f>
        <v/>
      </c>
      <c r="F168" s="15">
        <f>IF(OR(F167="",F155=""),"",IF(F155&lt;=0,"",IFERROR(F167/F155,"")))</f>
        <v/>
      </c>
      <c r="G168" s="15">
        <f>IF(OR(G167="",G155=""),"",IF(G155&lt;=0,"",IFERROR(G167/G155,"")))</f>
        <v/>
      </c>
      <c r="H168" s="15">
        <f>IF(OR(H167="",H155=""),"",IF(H155&lt;=0,"",IFERROR(H167/H155,"")))</f>
        <v/>
      </c>
      <c r="I168" s="15">
        <f>IF(OR(I167="",I155=""),"",IF(I155&lt;=0,"",IFERROR(I167/I155,"")))</f>
        <v/>
      </c>
      <c r="J168" s="15">
        <f>IF(OR(J167="",J155=""),"",IF(J155&lt;=0,"",IFERROR(J167/J155,"")))</f>
        <v/>
      </c>
      <c r="K168" s="15">
        <f>IF(OR(K167="",K155=""),"",IF(K155&lt;=0,"",IFERROR(K167/K155,"")))</f>
        <v/>
      </c>
      <c r="L168" s="15">
        <f>IF(OR(L167="",L155=""),"",IF(L155&lt;=0,"",IFERROR(L167/L155,"")))</f>
        <v/>
      </c>
      <c r="M168" s="15">
        <f>IF(OR(M167="",M155=""),"",IF(M155&lt;=0,"",IFERROR(M167/M155,"")))</f>
        <v/>
      </c>
      <c r="N168" s="15">
        <f>IF(OR(N167="",N155=""),"",IF(N155&lt;=0,"",IFERROR(N167/N155,"")))</f>
        <v/>
      </c>
      <c r="V168" s="15">
        <f>IF(OR(V167="",V155=""),"",IF(V155&lt;=0,"",IFERROR(V167/V155,"")))</f>
        <v/>
      </c>
      <c r="W168" s="15">
        <f>IF(OR(W167="",W155=""),"",IF(W155&lt;=0,"",IFERROR(W167/W155,"")))</f>
        <v/>
      </c>
      <c r="X168" s="15">
        <f>IF(OR(X167="",X155=""),"",IF(X155&lt;=0,"",IFERROR(X167/X155,"")))</f>
        <v/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IF(OR(G167="",C167=""),"",IF(C167&lt;=0,"",IFERROR(G167/C167-1,"")))</f>
        <v/>
      </c>
      <c r="H169" s="15">
        <f>IF(OR(H167="",D167=""),"",IF(D167&lt;=0,"",IFERROR(H167/D167-1,"")))</f>
        <v/>
      </c>
      <c r="I169" s="15">
        <f>IF(OR(I167="",E167=""),"",IF(E167&lt;=0,"",IFERROR(I167/E167-1,"")))</f>
        <v/>
      </c>
      <c r="J169" s="15">
        <f>IF(OR(J167="",F167=""),"",IF(F167&lt;=0,"",IFERROR(J167/F167-1,"")))</f>
        <v/>
      </c>
      <c r="K169" s="15">
        <f>IF(OR(K167="",G167=""),"",IF(G167&lt;=0,"",IFERROR(K167/G167-1,"")))</f>
        <v/>
      </c>
      <c r="L169" s="15">
        <f>IF(OR(L167="",H167=""),"",IF(H167&lt;=0,"",IFERROR(L167/H167-1,"")))</f>
        <v/>
      </c>
      <c r="M169" s="15">
        <f>IF(OR(M167="",I167=""),"",IF(I167&lt;=0,"",IFERROR(M167/I167-1,"")))</f>
        <v/>
      </c>
      <c r="N169" s="15">
        <f>IF(OR(N167="",J167=""),"",IF(J167&lt;=0,"",IFERROR(N167/J167-1,"")))</f>
        <v/>
      </c>
      <c r="V169" s="15">
        <f>IF(OR(V167="",U167=""),"",IF(U167&lt;=0,"",IFERROR(V167/U167-1,"")))</f>
        <v/>
      </c>
      <c r="W169" s="15">
        <f>IF(OR(W167="",V167=""),"",IF(V167&lt;=0,"",IFERROR(W167/V167-1,"")))</f>
        <v/>
      </c>
      <c r="X169" s="15">
        <f>IF(OR(X167="",W167=""),"",IF(W167&lt;=0,"",IFERROR(X167/W167-1,"")))</f>
        <v/>
      </c>
    </row>
    <row r="170">
      <c r="A170" s="18" t="inlineStr">
        <is>
          <t>InternationalEnergyReportableSegmentsMember · 영업이익</t>
        </is>
      </c>
      <c r="C170" s="20" t="n">
        <v>12058</v>
      </c>
      <c r="D170" s="20" t="n">
        <v>16013</v>
      </c>
      <c r="E170" s="20" t="n">
        <v>14062</v>
      </c>
      <c r="F170" s="20" t="n">
        <v>9780</v>
      </c>
      <c r="G170" s="20" t="n">
        <v>14019</v>
      </c>
      <c r="H170" s="20" t="n">
        <v>13251</v>
      </c>
      <c r="I170" s="20" t="n">
        <v>16901</v>
      </c>
      <c r="J170" s="20" t="n">
        <v>16185</v>
      </c>
      <c r="K170" s="20" t="n">
        <v>15972</v>
      </c>
      <c r="L170" s="20" t="n">
        <v>15457</v>
      </c>
      <c r="M170" s="20" t="n">
        <v>20036</v>
      </c>
      <c r="N170" s="20" t="n">
        <v>16349</v>
      </c>
      <c r="V170" s="20" t="n">
        <v>14062</v>
      </c>
      <c r="W170" s="20" t="n">
        <v>16901</v>
      </c>
      <c r="X170" s="20" t="n">
        <v>20036</v>
      </c>
    </row>
    <row r="171">
      <c r="A171" s="43" t="inlineStr">
        <is>
          <t>OPM</t>
        </is>
      </c>
      <c r="B171" s="3" t="inlineStr">
        <is>
          <t>영업이익 ÷ 매출</t>
        </is>
      </c>
      <c r="C171" s="15">
        <f>IF(OR(C170="",C157=""),"",IF(C157&lt;=0,"",IFERROR(C170/C157,"")))</f>
        <v/>
      </c>
      <c r="D171" s="15">
        <f>IF(OR(D170="",D157=""),"",IF(D157&lt;=0,"",IFERROR(D170/D157,"")))</f>
        <v/>
      </c>
      <c r="E171" s="15">
        <f>IF(OR(E170="",E157=""),"",IF(E157&lt;=0,"",IFERROR(E170/E157,"")))</f>
        <v/>
      </c>
      <c r="F171" s="15">
        <f>IF(OR(F170="",F157=""),"",IF(F157&lt;=0,"",IFERROR(F170/F157,"")))</f>
        <v/>
      </c>
      <c r="G171" s="15">
        <f>IF(OR(G170="",G157=""),"",IF(G157&lt;=0,"",IFERROR(G170/G157,"")))</f>
        <v/>
      </c>
      <c r="H171" s="15">
        <f>IF(OR(H170="",H157=""),"",IF(H157&lt;=0,"",IFERROR(H170/H157,"")))</f>
        <v/>
      </c>
      <c r="I171" s="15">
        <f>IF(OR(I170="",I157=""),"",IF(I157&lt;=0,"",IFERROR(I170/I157,"")))</f>
        <v/>
      </c>
      <c r="J171" s="15">
        <f>IF(OR(J170="",J157=""),"",IF(J157&lt;=0,"",IFERROR(J170/J157,"")))</f>
        <v/>
      </c>
      <c r="K171" s="15">
        <f>IF(OR(K170="",K157=""),"",IF(K157&lt;=0,"",IFERROR(K170/K157,"")))</f>
        <v/>
      </c>
      <c r="L171" s="15">
        <f>IF(OR(L170="",L157=""),"",IF(L157&lt;=0,"",IFERROR(L170/L157,"")))</f>
        <v/>
      </c>
      <c r="M171" s="15">
        <f>IF(OR(M170="",M157=""),"",IF(M157&lt;=0,"",IFERROR(M170/M157,"")))</f>
        <v/>
      </c>
      <c r="N171" s="15">
        <f>IF(OR(N170="",N157=""),"",IF(N157&lt;=0,"",IFERROR(N170/N157,"")))</f>
        <v/>
      </c>
      <c r="V171" s="15">
        <f>IF(OR(V170="",V157=""),"",IF(V157&lt;=0,"",IFERROR(V170/V157,"")))</f>
        <v/>
      </c>
      <c r="W171" s="15">
        <f>IF(OR(W170="",W157=""),"",IF(W157&lt;=0,"",IFERROR(W170/W157,"")))</f>
        <v/>
      </c>
      <c r="X171" s="15">
        <f>IF(OR(X170="",X157=""),"",IF(X157&lt;=0,"",IFERROR(X170/X157,"")))</f>
        <v/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IF(OR(G170="",C170=""),"",IF(C170&lt;=0,"",IFERROR(G170/C170-1,"")))</f>
        <v/>
      </c>
      <c r="H172" s="15">
        <f>IF(OR(H170="",D170=""),"",IF(D170&lt;=0,"",IFERROR(H170/D170-1,"")))</f>
        <v/>
      </c>
      <c r="I172" s="15">
        <f>IF(OR(I170="",E170=""),"",IF(E170&lt;=0,"",IFERROR(I170/E170-1,"")))</f>
        <v/>
      </c>
      <c r="J172" s="15">
        <f>IF(OR(J170="",F170=""),"",IF(F170&lt;=0,"",IFERROR(J170/F170-1,"")))</f>
        <v/>
      </c>
      <c r="K172" s="15">
        <f>IF(OR(K170="",G170=""),"",IF(G170&lt;=0,"",IFERROR(K170/G170-1,"")))</f>
        <v/>
      </c>
      <c r="L172" s="15">
        <f>IF(OR(L170="",H170=""),"",IF(H170&lt;=0,"",IFERROR(L170/H170-1,"")))</f>
        <v/>
      </c>
      <c r="M172" s="15">
        <f>IF(OR(M170="",I170=""),"",IF(I170&lt;=0,"",IFERROR(M170/I170-1,"")))</f>
        <v/>
      </c>
      <c r="N172" s="15">
        <f>IF(OR(N170="",J170=""),"",IF(J170&lt;=0,"",IFERROR(N170/J170-1,"")))</f>
        <v/>
      </c>
      <c r="V172" s="15">
        <f>IF(OR(V170="",U170=""),"",IF(U170&lt;=0,"",IFERROR(V170/U170-1,"")))</f>
        <v/>
      </c>
      <c r="W172" s="15">
        <f>IF(OR(W170="",V170=""),"",IF(V170&lt;=0,"",IFERROR(W170/V170-1,"")))</f>
        <v/>
      </c>
      <c r="X172" s="15">
        <f>IF(OR(X170="",W170=""),"",IF(W170&lt;=0,"",IFERROR(X170/W170-1,"")))</f>
        <v/>
      </c>
    </row>
    <row r="173">
      <c r="A173" s="18" t="inlineStr">
        <is>
          <t>LifeAndBusinessSolutionsReportableSegmentsMember · 영업이익</t>
        </is>
      </c>
      <c r="C173" s="20" t="n">
        <v>11899</v>
      </c>
      <c r="D173" s="20" t="n">
        <v>7285</v>
      </c>
      <c r="E173" s="20" t="n">
        <v>6933</v>
      </c>
      <c r="F173" s="20" t="n">
        <v>5163</v>
      </c>
      <c r="G173" s="20" t="n">
        <v>12343</v>
      </c>
      <c r="H173" s="20" t="n">
        <v>4096</v>
      </c>
      <c r="I173" s="20" t="n">
        <v>7165</v>
      </c>
      <c r="J173" s="20" t="n">
        <v>4571</v>
      </c>
      <c r="K173" s="20" t="n">
        <v>12036</v>
      </c>
      <c r="L173" s="20" t="n">
        <v>5577</v>
      </c>
      <c r="M173" s="20" t="n">
        <v>15263</v>
      </c>
      <c r="N173" s="20" t="n">
        <v>6124</v>
      </c>
      <c r="V173" s="20" t="n">
        <v>6933</v>
      </c>
      <c r="W173" s="20" t="n">
        <v>7165</v>
      </c>
      <c r="X173" s="20" t="n">
        <v>15263</v>
      </c>
    </row>
    <row r="174">
      <c r="A174" s="43" t="inlineStr">
        <is>
          <t>OPM</t>
        </is>
      </c>
      <c r="B174" s="3" t="inlineStr">
        <is>
          <t>영업이익 ÷ 매출</t>
        </is>
      </c>
      <c r="C174" s="15">
        <f>IF(OR(C173="",C159=""),"",IF(C159&lt;=0,"",IFERROR(C173/C159,"")))</f>
        <v/>
      </c>
      <c r="D174" s="15">
        <f>IF(OR(D173="",D159=""),"",IF(D159&lt;=0,"",IFERROR(D173/D159,"")))</f>
        <v/>
      </c>
      <c r="E174" s="15">
        <f>IF(OR(E173="",E159=""),"",IF(E159&lt;=0,"",IFERROR(E173/E159,"")))</f>
        <v/>
      </c>
      <c r="F174" s="15">
        <f>IF(OR(F173="",F159=""),"",IF(F159&lt;=0,"",IFERROR(F173/F159,"")))</f>
        <v/>
      </c>
      <c r="G174" s="15">
        <f>IF(OR(G173="",G159=""),"",IF(G159&lt;=0,"",IFERROR(G173/G159,"")))</f>
        <v/>
      </c>
      <c r="H174" s="15">
        <f>IF(OR(H173="",H159=""),"",IF(H159&lt;=0,"",IFERROR(H173/H159,"")))</f>
        <v/>
      </c>
      <c r="I174" s="15">
        <f>IF(OR(I173="",I159=""),"",IF(I159&lt;=0,"",IFERROR(I173/I159,"")))</f>
        <v/>
      </c>
      <c r="J174" s="15">
        <f>IF(OR(J173="",J159=""),"",IF(J159&lt;=0,"",IFERROR(J173/J159,"")))</f>
        <v/>
      </c>
      <c r="K174" s="15">
        <f>IF(OR(K173="",K159=""),"",IF(K159&lt;=0,"",IFERROR(K173/K159,"")))</f>
        <v/>
      </c>
      <c r="L174" s="15">
        <f>IF(OR(L173="",L159=""),"",IF(L159&lt;=0,"",IFERROR(L173/L159,"")))</f>
        <v/>
      </c>
      <c r="M174" s="15">
        <f>IF(OR(M173="",M159=""),"",IF(M159&lt;=0,"",IFERROR(M173/M159,"")))</f>
        <v/>
      </c>
      <c r="N174" s="15">
        <f>IF(OR(N173="",N159=""),"",IF(N159&lt;=0,"",IFERROR(N173/N159,"")))</f>
        <v/>
      </c>
      <c r="V174" s="15">
        <f>IF(OR(V173="",V159=""),"",IF(V159&lt;=0,"",IFERROR(V173/V159,"")))</f>
        <v/>
      </c>
      <c r="W174" s="15">
        <f>IF(OR(W173="",W159=""),"",IF(W159&lt;=0,"",IFERROR(W173/W159,"")))</f>
        <v/>
      </c>
      <c r="X174" s="15">
        <f>IF(OR(X173="",X159=""),"",IF(X159&lt;=0,"",IFERROR(X173/X159,"")))</f>
        <v/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IF(OR(G173="",C173=""),"",IF(C173&lt;=0,"",IFERROR(G173/C173-1,"")))</f>
        <v/>
      </c>
      <c r="H175" s="15">
        <f>IF(OR(H173="",D173=""),"",IF(D173&lt;=0,"",IFERROR(H173/D173-1,"")))</f>
        <v/>
      </c>
      <c r="I175" s="15">
        <f>IF(OR(I173="",E173=""),"",IF(E173&lt;=0,"",IFERROR(I173/E173-1,"")))</f>
        <v/>
      </c>
      <c r="J175" s="15">
        <f>IF(OR(J173="",F173=""),"",IF(F173&lt;=0,"",IFERROR(J173/F173-1,"")))</f>
        <v/>
      </c>
      <c r="K175" s="15">
        <f>IF(OR(K173="",G173=""),"",IF(G173&lt;=0,"",IFERROR(K173/G173-1,"")))</f>
        <v/>
      </c>
      <c r="L175" s="15">
        <f>IF(OR(L173="",H173=""),"",IF(H173&lt;=0,"",IFERROR(L173/H173-1,"")))</f>
        <v/>
      </c>
      <c r="M175" s="15">
        <f>IF(OR(M173="",I173=""),"",IF(I173&lt;=0,"",IFERROR(M173/I173-1,"")))</f>
        <v/>
      </c>
      <c r="N175" s="15">
        <f>IF(OR(N173="",J173=""),"",IF(J173&lt;=0,"",IFERROR(N173/J173-1,"")))</f>
        <v/>
      </c>
      <c r="V175" s="15">
        <f>IF(OR(V173="",U173=""),"",IF(U173&lt;=0,"",IFERROR(V173/U173-1,"")))</f>
        <v/>
      </c>
      <c r="W175" s="15">
        <f>IF(OR(W173="",V173=""),"",IF(V173&lt;=0,"",IFERROR(W173/V173-1,"")))</f>
        <v/>
      </c>
      <c r="X175" s="15">
        <f>IF(OR(X173="",W173=""),"",IF(W173&lt;=0,"",IFERROR(X173/W173-1,"")))</f>
        <v/>
      </c>
    </row>
    <row r="176">
      <c r="A176" s="18" t="inlineStr">
        <is>
          <t>합계 · 영업이익</t>
        </is>
      </c>
      <c r="C176" s="20" t="n">
        <v>22840</v>
      </c>
      <c r="D176" s="20" t="n">
        <v>43279</v>
      </c>
      <c r="E176" s="20" t="n">
        <v>32400</v>
      </c>
      <c r="F176" s="20" t="n">
        <v>26396</v>
      </c>
      <c r="G176" s="20" t="n">
        <v>25392</v>
      </c>
      <c r="H176" s="20" t="n">
        <v>43654</v>
      </c>
      <c r="I176" s="20" t="n">
        <v>62159</v>
      </c>
      <c r="J176" s="20" t="n">
        <v>46400</v>
      </c>
      <c r="K176" s="20" t="n">
        <v>41022</v>
      </c>
      <c r="L176" s="20" t="n">
        <v>43471</v>
      </c>
      <c r="M176" s="20" t="n">
        <v>42953</v>
      </c>
      <c r="N176" s="20" t="n">
        <v>27046</v>
      </c>
      <c r="V176" s="20" t="n">
        <v>32400</v>
      </c>
      <c r="W176" s="20" t="n">
        <v>62159</v>
      </c>
      <c r="X176" s="20" t="n">
        <v>42953</v>
      </c>
    </row>
    <row r="177">
      <c r="A177" s="43" t="inlineStr">
        <is>
          <t>OPM</t>
        </is>
      </c>
      <c r="B177" s="3" t="inlineStr">
        <is>
          <t>영업이익 ÷ 매출</t>
        </is>
      </c>
      <c r="C177" s="15">
        <f>IF(OR(C176="",C161=""),"",IF(C161&lt;=0,"",IFERROR(C176/C161,"")))</f>
        <v/>
      </c>
      <c r="D177" s="15">
        <f>IF(OR(D176="",D161=""),"",IF(D161&lt;=0,"",IFERROR(D176/D161,"")))</f>
        <v/>
      </c>
      <c r="E177" s="15">
        <f>IF(OR(E176="",E161=""),"",IF(E161&lt;=0,"",IFERROR(E176/E161,"")))</f>
        <v/>
      </c>
      <c r="F177" s="15">
        <f>IF(OR(F176="",F161=""),"",IF(F161&lt;=0,"",IFERROR(F176/F161,"")))</f>
        <v/>
      </c>
      <c r="G177" s="15">
        <f>IF(OR(G176="",G161=""),"",IF(G161&lt;=0,"",IFERROR(G176/G161,"")))</f>
        <v/>
      </c>
      <c r="H177" s="15">
        <f>IF(OR(H176="",H161=""),"",IF(H161&lt;=0,"",IFERROR(H176/H161,"")))</f>
        <v/>
      </c>
      <c r="I177" s="15">
        <f>IF(OR(I176="",I161=""),"",IF(I161&lt;=0,"",IFERROR(I176/I161,"")))</f>
        <v/>
      </c>
      <c r="J177" s="15">
        <f>IF(OR(J176="",J161=""),"",IF(J161&lt;=0,"",IFERROR(J176/J161,"")))</f>
        <v/>
      </c>
      <c r="K177" s="15">
        <f>IF(OR(K176="",K161=""),"",IF(K161&lt;=0,"",IFERROR(K176/K161,"")))</f>
        <v/>
      </c>
      <c r="L177" s="15">
        <f>IF(OR(L176="",L161=""),"",IF(L161&lt;=0,"",IFERROR(L176/L161,"")))</f>
        <v/>
      </c>
      <c r="M177" s="15">
        <f>IF(OR(M176="",M161=""),"",IF(M161&lt;=0,"",IFERROR(M176/M161,"")))</f>
        <v/>
      </c>
      <c r="N177" s="15">
        <f>IF(OR(N176="",N161=""),"",IF(N161&lt;=0,"",IFERROR(N176/N161,"")))</f>
        <v/>
      </c>
      <c r="V177" s="15">
        <f>IF(OR(V176="",V161=""),"",IF(V161&lt;=0,"",IFERROR(V176/V161,"")))</f>
        <v/>
      </c>
      <c r="W177" s="15">
        <f>IF(OR(W176="",W161=""),"",IF(W161&lt;=0,"",IFERROR(W176/W161,"")))</f>
        <v/>
      </c>
      <c r="X177" s="15">
        <f>IF(OR(X176="",X161=""),"",IF(X161&lt;=0,"",IFERROR(X176/X161,"")))</f>
        <v/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IF(OR(G176="",C176=""),"",IF(C176&lt;=0,"",IFERROR(G176/C176-1,"")))</f>
        <v/>
      </c>
      <c r="H178" s="15">
        <f>IF(OR(H176="",D176=""),"",IF(D176&lt;=0,"",IFERROR(H176/D176-1,"")))</f>
        <v/>
      </c>
      <c r="I178" s="15">
        <f>IF(OR(I176="",E176=""),"",IF(E176&lt;=0,"",IFERROR(I176/E176-1,"")))</f>
        <v/>
      </c>
      <c r="J178" s="15">
        <f>IF(OR(J176="",F176=""),"",IF(F176&lt;=0,"",IFERROR(J176/F176-1,"")))</f>
        <v/>
      </c>
      <c r="K178" s="15">
        <f>IF(OR(K176="",G176=""),"",IF(G176&lt;=0,"",IFERROR(K176/G176-1,"")))</f>
        <v/>
      </c>
      <c r="L178" s="15">
        <f>IF(OR(L176="",H176=""),"",IF(H176&lt;=0,"",IFERROR(L176/H176-1,"")))</f>
        <v/>
      </c>
      <c r="M178" s="15">
        <f>IF(OR(M176="",I176=""),"",IF(I176&lt;=0,"",IFERROR(M176/I176-1,"")))</f>
        <v/>
      </c>
      <c r="N178" s="15">
        <f>IF(OR(N176="",J176=""),"",IF(J176&lt;=0,"",IFERROR(N176/J176-1,"")))</f>
        <v/>
      </c>
      <c r="V178" s="15">
        <f>IF(OR(V176="",U176=""),"",IF(U176&lt;=0,"",IFERROR(V176/U176-1,"")))</f>
        <v/>
      </c>
      <c r="W178" s="15">
        <f>IF(OR(W176="",V176=""),"",IF(V176&lt;=0,"",IFERROR(W176/V176-1,"")))</f>
        <v/>
      </c>
      <c r="X178" s="15">
        <f>IF(OR(X176="",W176=""),"",IF(W176&lt;=0,"",IFERROR(X176/W176-1,"")))</f>
        <v/>
      </c>
    </row>
    <row r="179">
      <c r="A179" s="18" t="inlineStr">
        <is>
          <t>조정액 · 영업이익</t>
        </is>
      </c>
      <c r="C179" s="20" t="n">
        <v>226</v>
      </c>
      <c r="D179" s="20" t="n">
        <v>682</v>
      </c>
      <c r="E179" s="20" t="n">
        <v>-538</v>
      </c>
      <c r="F179" s="20" t="n">
        <v>2353</v>
      </c>
      <c r="G179" s="20" t="n">
        <v>798</v>
      </c>
      <c r="H179" s="20" t="n">
        <v>913</v>
      </c>
      <c r="I179" s="20" t="n">
        <v>-935</v>
      </c>
      <c r="J179" s="20" t="n">
        <v>1279</v>
      </c>
      <c r="K179" s="20" t="n">
        <v>967</v>
      </c>
      <c r="L179" s="20" t="n">
        <v>607</v>
      </c>
      <c r="M179" s="20" t="n">
        <v>-1890</v>
      </c>
      <c r="N179" s="20" t="n">
        <v>4263</v>
      </c>
      <c r="V179" s="20" t="n">
        <v>-538</v>
      </c>
      <c r="W179" s="20" t="n">
        <v>-935</v>
      </c>
      <c r="X179" s="20" t="n">
        <v>-1890</v>
      </c>
    </row>
    <row r="180">
      <c r="A180" s="9" t="inlineStr">
        <is>
          <t>영업이익</t>
        </is>
      </c>
      <c r="C180" s="12" t="n">
        <v>23067</v>
      </c>
      <c r="D180" s="12" t="n">
        <v>43961</v>
      </c>
      <c r="E180" s="12" t="n">
        <v>31861</v>
      </c>
      <c r="F180" s="12" t="n">
        <v>28750</v>
      </c>
      <c r="G180" s="12" t="n">
        <v>26189</v>
      </c>
      <c r="H180" s="12" t="n">
        <v>44568</v>
      </c>
      <c r="I180" s="12" t="n">
        <v>61224</v>
      </c>
      <c r="V180" s="12" t="n">
        <v>31861</v>
      </c>
      <c r="W180" s="12" t="n">
        <v>61224</v>
      </c>
    </row>
    <row r="181">
      <c r="A181" s="43" t="inlineStr">
        <is>
          <t>OPM</t>
        </is>
      </c>
      <c r="B181" s="3" t="inlineStr">
        <is>
          <t>영업이익 ÷ 매출</t>
        </is>
      </c>
      <c r="C181" s="15">
        <f>IF(OR(C180="",C164=""),"",IF(C164&lt;=0,"",IFERROR(C180/C164,"")))</f>
        <v/>
      </c>
      <c r="D181" s="15">
        <f>IF(OR(D180="",D164=""),"",IF(D164&lt;=0,"",IFERROR(D180/D164,"")))</f>
        <v/>
      </c>
      <c r="E181" s="15">
        <f>IF(OR(E180="",E164=""),"",IF(E164&lt;=0,"",IFERROR(E180/E164,"")))</f>
        <v/>
      </c>
      <c r="F181" s="15">
        <f>IF(OR(F180="",F164=""),"",IF(F164&lt;=0,"",IFERROR(F180/F164,"")))</f>
        <v/>
      </c>
      <c r="G181" s="15">
        <f>IF(OR(G180="",G164=""),"",IF(G164&lt;=0,"",IFERROR(G180/G164,"")))</f>
        <v/>
      </c>
      <c r="H181" s="15">
        <f>IF(OR(H180="",H164=""),"",IF(H164&lt;=0,"",IFERROR(H180/H164,"")))</f>
        <v/>
      </c>
      <c r="I181" s="15">
        <f>IF(OR(I180="",I164=""),"",IF(I164&lt;=0,"",IFERROR(I180/I164,"")))</f>
        <v/>
      </c>
      <c r="V181" s="15">
        <f>IF(OR(V180="",V164=""),"",IF(V164&lt;=0,"",IFERROR(V180/V164,"")))</f>
        <v/>
      </c>
      <c r="W181" s="15">
        <f>IF(OR(W180="",W164=""),"",IF(W164&lt;=0,"",IFERROR(W180/W164,"")))</f>
        <v/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IF(OR(G180="",C180=""),"",IF(C180&lt;=0,"",IFERROR(G180/C180-1,"")))</f>
        <v/>
      </c>
      <c r="H182" s="15">
        <f>IF(OR(H180="",D180=""),"",IF(D180&lt;=0,"",IFERROR(H180/D180-1,"")))</f>
        <v/>
      </c>
      <c r="I182" s="15">
        <f>IF(OR(I180="",E180=""),"",IF(E180&lt;=0,"",IFERROR(I180/E180-1,"")))</f>
        <v/>
      </c>
      <c r="V182" s="15">
        <f>IF(OR(V180="",U180=""),"",IF(U180&lt;=0,"",IFERROR(V180/U180-1,"")))</f>
        <v/>
      </c>
      <c r="W182" s="15">
        <f>IF(OR(W180="",V180=""),"",IF(V180&lt;=0,"",IFERROR(W180/V180-1,"")))</f>
        <v/>
      </c>
    </row>
    <row r="183">
      <c r="A183" s="18" t="inlineStr">
        <is>
          <t>EntityTotalMember · 영업이익</t>
        </is>
      </c>
      <c r="F183" s="20" t="n">
        <v>28750</v>
      </c>
      <c r="J183" s="20" t="n">
        <v>47679</v>
      </c>
      <c r="N183" s="20" t="n">
        <v>31309</v>
      </c>
    </row>
    <row r="184">
      <c r="A184" s="18" t="inlineStr">
        <is>
          <t>DomesticEnergyReportableSegmentMember · 지분법이익</t>
        </is>
      </c>
      <c r="C184" s="20" t="n">
        <v>948</v>
      </c>
      <c r="D184" s="20" t="n">
        <v>2096</v>
      </c>
      <c r="E184" s="20" t="n">
        <v>838</v>
      </c>
      <c r="F184" s="20" t="n">
        <v>1532</v>
      </c>
      <c r="G184" s="20" t="n">
        <v>-255</v>
      </c>
      <c r="H184" s="20" t="n">
        <v>2</v>
      </c>
      <c r="I184" s="20" t="n">
        <v>1392</v>
      </c>
      <c r="J184" s="20" t="n">
        <v>955</v>
      </c>
      <c r="K184" s="20" t="n">
        <v>444</v>
      </c>
      <c r="L184" s="20" t="n">
        <v>630</v>
      </c>
      <c r="M184" s="20" t="n">
        <v>1162</v>
      </c>
      <c r="N184" s="20" t="n">
        <v>-586</v>
      </c>
      <c r="V184" s="20" t="n">
        <v>838</v>
      </c>
      <c r="W184" s="20" t="n">
        <v>1392</v>
      </c>
      <c r="X184" s="20" t="n">
        <v>1162</v>
      </c>
    </row>
    <row r="185">
      <c r="A185" s="18" t="inlineStr">
        <is>
          <t>InternationalEnergyReportableSegmentsMember · 지분법이익</t>
        </is>
      </c>
      <c r="C185" s="20" t="n">
        <v>5480</v>
      </c>
      <c r="D185" s="20" t="n">
        <v>7549</v>
      </c>
      <c r="E185" s="20" t="n">
        <v>10592</v>
      </c>
      <c r="F185" s="20" t="n">
        <v>7800</v>
      </c>
      <c r="G185" s="20" t="n">
        <v>3859</v>
      </c>
      <c r="H185" s="20" t="n">
        <v>6323</v>
      </c>
      <c r="I185" s="20" t="n">
        <v>-1</v>
      </c>
      <c r="J185" s="20" t="n">
        <v>10344</v>
      </c>
      <c r="K185" s="20" t="n">
        <v>2653</v>
      </c>
      <c r="L185" s="20" t="n">
        <v>10676</v>
      </c>
      <c r="M185" s="20" t="n">
        <v>-2927</v>
      </c>
      <c r="N185" s="20" t="n">
        <v>10431</v>
      </c>
      <c r="V185" s="20" t="n">
        <v>10592</v>
      </c>
      <c r="W185" s="20" t="n">
        <v>-1</v>
      </c>
      <c r="X185" s="20" t="n">
        <v>-2927</v>
      </c>
    </row>
    <row r="186">
      <c r="A186" s="18" t="inlineStr">
        <is>
          <t>LifeAndBusinessSolutionsReportableSegmentsMember · 지분법이익</t>
        </is>
      </c>
      <c r="C186" s="20" t="n">
        <v>0</v>
      </c>
      <c r="D186" s="20" t="n">
        <v>0</v>
      </c>
      <c r="E186" s="20" t="n">
        <v>0</v>
      </c>
      <c r="F186" s="20" t="n">
        <v>0</v>
      </c>
      <c r="G186" s="20" t="n">
        <v>0</v>
      </c>
      <c r="H186" s="20" t="n">
        <v>0</v>
      </c>
      <c r="I186" s="20" t="n">
        <v>0</v>
      </c>
      <c r="J186" s="20" t="n">
        <v>0</v>
      </c>
      <c r="K186" s="20" t="n">
        <v>0</v>
      </c>
      <c r="L186" s="20" t="n">
        <v>0</v>
      </c>
      <c r="M186" s="20" t="n">
        <v>0</v>
      </c>
      <c r="N186" s="20" t="n">
        <v>0</v>
      </c>
      <c r="V186" s="20" t="n">
        <v>0</v>
      </c>
      <c r="W186" s="20" t="n">
        <v>0</v>
      </c>
      <c r="X186" s="20" t="n">
        <v>0</v>
      </c>
    </row>
    <row r="187">
      <c r="A187" s="18" t="inlineStr">
        <is>
          <t>합계 · 지분법이익</t>
        </is>
      </c>
      <c r="C187" s="20" t="n">
        <v>6429</v>
      </c>
      <c r="D187" s="20" t="n">
        <v>9646</v>
      </c>
      <c r="E187" s="20" t="n">
        <v>11429</v>
      </c>
      <c r="F187" s="20" t="n">
        <v>9333</v>
      </c>
      <c r="G187" s="20" t="n">
        <v>3604</v>
      </c>
      <c r="H187" s="20" t="n">
        <v>6325</v>
      </c>
      <c r="I187" s="20" t="n">
        <v>1391</v>
      </c>
      <c r="J187" s="20" t="n">
        <v>11300</v>
      </c>
      <c r="K187" s="20" t="n">
        <v>3097</v>
      </c>
      <c r="L187" s="20" t="n">
        <v>11305</v>
      </c>
      <c r="M187" s="20" t="n">
        <v>-1764</v>
      </c>
      <c r="N187" s="20" t="n">
        <v>9845</v>
      </c>
      <c r="V187" s="20" t="n">
        <v>11429</v>
      </c>
      <c r="W187" s="20" t="n">
        <v>1391</v>
      </c>
      <c r="X187" s="20" t="n">
        <v>-1764</v>
      </c>
    </row>
    <row r="188">
      <c r="A188" s="18" t="inlineStr">
        <is>
          <t>조정액 · 지분법이익</t>
        </is>
      </c>
      <c r="C188" s="20" t="n">
        <v>0</v>
      </c>
      <c r="D188" s="20" t="n">
        <v>0</v>
      </c>
      <c r="E188" s="20" t="n">
        <v>0</v>
      </c>
      <c r="F188" s="20" t="n">
        <v>0</v>
      </c>
      <c r="G188" s="20" t="n">
        <v>0</v>
      </c>
      <c r="H188" s="20" t="n">
        <v>0</v>
      </c>
      <c r="I188" s="20" t="n">
        <v>0</v>
      </c>
      <c r="J188" s="20" t="n">
        <v>0</v>
      </c>
      <c r="K188" s="20" t="n">
        <v>0</v>
      </c>
      <c r="L188" s="20" t="n">
        <v>0</v>
      </c>
      <c r="M188" s="20" t="n">
        <v>0</v>
      </c>
      <c r="N188" s="20" t="n">
        <v>0</v>
      </c>
      <c r="V188" s="20" t="n">
        <v>0</v>
      </c>
      <c r="W188" s="20" t="n">
        <v>0</v>
      </c>
      <c r="X188" s="20" t="n">
        <v>0</v>
      </c>
    </row>
    <row r="189">
      <c r="A189" s="18" t="inlineStr">
        <is>
          <t>지분법이익</t>
        </is>
      </c>
      <c r="C189" s="20" t="n">
        <v>6429</v>
      </c>
      <c r="D189" s="20" t="n">
        <v>9646</v>
      </c>
      <c r="E189" s="20" t="n">
        <v>11429</v>
      </c>
      <c r="F189" s="20" t="n">
        <v>9333</v>
      </c>
      <c r="G189" s="20" t="n">
        <v>3604</v>
      </c>
      <c r="H189" s="20" t="n">
        <v>6325</v>
      </c>
      <c r="I189" s="20" t="n">
        <v>1391</v>
      </c>
      <c r="V189" s="20" t="n">
        <v>11429</v>
      </c>
      <c r="W189" s="20" t="n">
        <v>1391</v>
      </c>
    </row>
    <row r="190">
      <c r="A190" s="18" t="inlineStr">
        <is>
          <t>EntityTotalMember · 지분법이익</t>
        </is>
      </c>
      <c r="F190" s="20" t="n">
        <v>9333</v>
      </c>
      <c r="J190" s="20" t="n">
        <v>11300</v>
      </c>
      <c r="N190" s="20" t="n">
        <v>9845</v>
      </c>
    </row>
    <row r="191">
      <c r="A191" s="18" t="inlineStr">
        <is>
          <t>DomesticEnergyReportableSegmentMember · 계</t>
        </is>
      </c>
      <c r="D191" s="20" t="n">
        <v>22078</v>
      </c>
      <c r="H191" s="20" t="n">
        <v>26309</v>
      </c>
      <c r="L191" s="20" t="n">
        <v>23066</v>
      </c>
    </row>
    <row r="192">
      <c r="A192" s="43" t="inlineStr">
        <is>
          <t>OPM</t>
        </is>
      </c>
      <c r="B192" s="3" t="inlineStr">
        <is>
          <t>영업이익 ÷ 매출</t>
        </is>
      </c>
      <c r="D192" s="15">
        <f>IF(OR(D191="",D155=""),"",IF(D155&lt;=0,"",IFERROR(D191/D155,"")))</f>
        <v/>
      </c>
      <c r="H192" s="15">
        <f>IF(OR(H191="",H155=""),"",IF(H155&lt;=0,"",IFERROR(H191/H155,"")))</f>
        <v/>
      </c>
      <c r="L192" s="15">
        <f>IF(OR(L191="",L155=""),"",IF(L155&lt;=0,"",IFERROR(L191/L155,"")))</f>
        <v/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H193" s="15">
        <f>IF(OR(H191="",D191=""),"",IF(D191&lt;=0,"",IFERROR(H191/D191-1,"")))</f>
        <v/>
      </c>
      <c r="L193" s="15">
        <f>IF(OR(L191="",H191=""),"",IF(H191&lt;=0,"",IFERROR(L191/H191-1,"")))</f>
        <v/>
      </c>
    </row>
    <row r="194">
      <c r="A194" s="18" t="inlineStr">
        <is>
          <t>InternationalEnergyReportableSegmentsMember · 계</t>
        </is>
      </c>
      <c r="D194" s="20" t="n">
        <v>23562</v>
      </c>
      <c r="H194" s="20" t="n">
        <v>19574</v>
      </c>
      <c r="L194" s="20" t="n">
        <v>26132</v>
      </c>
    </row>
    <row r="195">
      <c r="A195" s="43" t="inlineStr">
        <is>
          <t>OPM</t>
        </is>
      </c>
      <c r="B195" s="3" t="inlineStr">
        <is>
          <t>영업이익 ÷ 매출</t>
        </is>
      </c>
      <c r="D195" s="15">
        <f>IF(OR(D194="",D157=""),"",IF(D157&lt;=0,"",IFERROR(D194/D157,"")))</f>
        <v/>
      </c>
      <c r="H195" s="15">
        <f>IF(OR(H194="",H157=""),"",IF(H157&lt;=0,"",IFERROR(H194/H157,"")))</f>
        <v/>
      </c>
      <c r="L195" s="15">
        <f>IF(OR(L194="",L157=""),"",IF(L157&lt;=0,"",IFERROR(L194/L157,"")))</f>
        <v/>
      </c>
    </row>
    <row r="196">
      <c r="A196" s="43" t="inlineStr">
        <is>
          <t>YoY</t>
        </is>
      </c>
      <c r="B196" s="3" t="inlineStr">
        <is>
          <t>전년 같은 분기·전년 대비</t>
        </is>
      </c>
      <c r="H196" s="15">
        <f>IF(OR(H194="",D194=""),"",IF(D194&lt;=0,"",IFERROR(H194/D194-1,"")))</f>
        <v/>
      </c>
      <c r="L196" s="15">
        <f>IF(OR(L194="",H194=""),"",IF(H194&lt;=0,"",IFERROR(L194/H194-1,"")))</f>
        <v/>
      </c>
    </row>
    <row r="197">
      <c r="A197" s="18" t="inlineStr">
        <is>
          <t>LifeAndBusinessSolutionsReportableSegmentsMember · 계</t>
        </is>
      </c>
      <c r="D197" s="20" t="n">
        <v>7285</v>
      </c>
      <c r="H197" s="20" t="n">
        <v>4096</v>
      </c>
      <c r="L197" s="20" t="n">
        <v>5577</v>
      </c>
    </row>
    <row r="198">
      <c r="A198" s="43" t="inlineStr">
        <is>
          <t>OPM</t>
        </is>
      </c>
      <c r="B198" s="3" t="inlineStr">
        <is>
          <t>영업이익 ÷ 매출</t>
        </is>
      </c>
      <c r="D198" s="15">
        <f>IF(OR(D197="",D159=""),"",IF(D159&lt;=0,"",IFERROR(D197/D159,"")))</f>
        <v/>
      </c>
      <c r="H198" s="15">
        <f>IF(OR(H197="",H159=""),"",IF(H159&lt;=0,"",IFERROR(H197/H159,"")))</f>
        <v/>
      </c>
      <c r="L198" s="15">
        <f>IF(OR(L197="",L159=""),"",IF(L159&lt;=0,"",IFERROR(L197/L159,"")))</f>
        <v/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H199" s="15">
        <f>IF(OR(H197="",D197=""),"",IF(D197&lt;=0,"",IFERROR(H197/D197-1,"")))</f>
        <v/>
      </c>
      <c r="L199" s="15">
        <f>IF(OR(L197="",H197=""),"",IF(H197&lt;=0,"",IFERROR(L197/H197-1,"")))</f>
        <v/>
      </c>
    </row>
    <row r="200">
      <c r="A200" s="18" t="inlineStr">
        <is>
          <t>합계 · 계</t>
        </is>
      </c>
      <c r="D200" s="20" t="n">
        <v>52925</v>
      </c>
      <c r="H200" s="20" t="n">
        <v>49979</v>
      </c>
      <c r="L200" s="20" t="n">
        <v>54776</v>
      </c>
    </row>
    <row r="201">
      <c r="A201" s="43" t="inlineStr">
        <is>
          <t>OPM</t>
        </is>
      </c>
      <c r="B201" s="3" t="inlineStr">
        <is>
          <t>영업이익 ÷ 매출</t>
        </is>
      </c>
      <c r="D201" s="15">
        <f>IF(OR(D200="",D161=""),"",IF(D161&lt;=0,"",IFERROR(D200/D161,"")))</f>
        <v/>
      </c>
      <c r="H201" s="15">
        <f>IF(OR(H200="",H161=""),"",IF(H161&lt;=0,"",IFERROR(H200/H161,"")))</f>
        <v/>
      </c>
      <c r="L201" s="15">
        <f>IF(OR(L200="",L161=""),"",IF(L161&lt;=0,"",IFERROR(L200/L161,"")))</f>
        <v/>
      </c>
    </row>
    <row r="202">
      <c r="A202" s="43" t="inlineStr">
        <is>
          <t>YoY</t>
        </is>
      </c>
      <c r="B202" s="3" t="inlineStr">
        <is>
          <t>전년 같은 분기·전년 대비</t>
        </is>
      </c>
      <c r="H202" s="15">
        <f>IF(OR(H200="",D200=""),"",IF(D200&lt;=0,"",IFERROR(H200/D200-1,"")))</f>
        <v/>
      </c>
      <c r="L202" s="15">
        <f>IF(OR(L200="",H200=""),"",IF(H200&lt;=0,"",IFERROR(L200/H200-1,"")))</f>
        <v/>
      </c>
    </row>
    <row r="203">
      <c r="A203" s="18" t="inlineStr">
        <is>
          <t>조정액 · 계</t>
        </is>
      </c>
      <c r="D203" s="20" t="n">
        <v>682</v>
      </c>
      <c r="H203" s="20" t="n">
        <v>913</v>
      </c>
      <c r="L203" s="20" t="n">
        <v>607</v>
      </c>
    </row>
    <row r="204">
      <c r="A204" s="18" t="inlineStr">
        <is>
          <t>계</t>
        </is>
      </c>
      <c r="D204" s="20" t="n">
        <v>53607</v>
      </c>
      <c r="H204" s="20" t="n">
        <v>50892</v>
      </c>
    </row>
    <row r="205">
      <c r="A205" s="18" t="inlineStr">
        <is>
          <t>DomesticEnergyReportableSegmentMember · 계</t>
        </is>
      </c>
      <c r="F205" s="20" t="n">
        <v>12985</v>
      </c>
      <c r="J205" s="20" t="n">
        <v>26600</v>
      </c>
      <c r="N205" s="20" t="n">
        <v>3985</v>
      </c>
    </row>
    <row r="206">
      <c r="A206" s="43" t="inlineStr">
        <is>
          <t>OPM</t>
        </is>
      </c>
      <c r="B206" s="3" t="inlineStr">
        <is>
          <t>영업이익 ÷ 매출</t>
        </is>
      </c>
      <c r="F206" s="15">
        <f>IF(OR(F205="",F155=""),"",IF(F155&lt;=0,"",IFERROR(F205/F155,"")))</f>
        <v/>
      </c>
      <c r="J206" s="15">
        <f>IF(OR(J205="",J155=""),"",IF(J155&lt;=0,"",IFERROR(J205/J155,"")))</f>
        <v/>
      </c>
      <c r="N206" s="15">
        <f>IF(OR(N205="",N155=""),"",IF(N155&lt;=0,"",IFERROR(N205/N155,"")))</f>
        <v/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J207" s="15">
        <f>IF(OR(J205="",F205=""),"",IF(F205&lt;=0,"",IFERROR(J205/F205-1,"")))</f>
        <v/>
      </c>
      <c r="N207" s="15">
        <f>IF(OR(N205="",J205=""),"",IF(J205&lt;=0,"",IFERROR(N205/J205-1,"")))</f>
        <v/>
      </c>
    </row>
    <row r="208">
      <c r="A208" s="18" t="inlineStr">
        <is>
          <t>InternationalEnergyReportableSegmentsMember · 계</t>
        </is>
      </c>
      <c r="F208" s="20" t="n">
        <v>17580</v>
      </c>
      <c r="J208" s="20" t="n">
        <v>26529</v>
      </c>
      <c r="N208" s="20" t="n">
        <v>26781</v>
      </c>
    </row>
    <row r="209">
      <c r="A209" s="43" t="inlineStr">
        <is>
          <t>OPM</t>
        </is>
      </c>
      <c r="B209" s="3" t="inlineStr">
        <is>
          <t>영업이익 ÷ 매출</t>
        </is>
      </c>
      <c r="F209" s="15">
        <f>IF(OR(F208="",F157=""),"",IF(F157&lt;=0,"",IFERROR(F208/F157,"")))</f>
        <v/>
      </c>
      <c r="J209" s="15">
        <f>IF(OR(J208="",J157=""),"",IF(J157&lt;=0,"",IFERROR(J208/J157,"")))</f>
        <v/>
      </c>
      <c r="N209" s="15">
        <f>IF(OR(N208="",N157=""),"",IF(N157&lt;=0,"",IFERROR(N208/N157,"")))</f>
        <v/>
      </c>
    </row>
    <row r="210">
      <c r="A210" s="43" t="inlineStr">
        <is>
          <t>YoY</t>
        </is>
      </c>
      <c r="B210" s="3" t="inlineStr">
        <is>
          <t>전년 같은 분기·전년 대비</t>
        </is>
      </c>
      <c r="J210" s="15">
        <f>IF(OR(J208="",F208=""),"",IF(F208&lt;=0,"",IFERROR(J208/F208-1,"")))</f>
        <v/>
      </c>
      <c r="N210" s="15">
        <f>IF(OR(N208="",J208=""),"",IF(J208&lt;=0,"",IFERROR(N208/J208-1,"")))</f>
        <v/>
      </c>
    </row>
    <row r="211">
      <c r="A211" s="18" t="inlineStr">
        <is>
          <t>LifeAndBusinessSolutionsReportableSegmentsMember · 계</t>
        </is>
      </c>
      <c r="F211" s="20" t="n">
        <v>5163</v>
      </c>
      <c r="J211" s="20" t="n">
        <v>4571</v>
      </c>
      <c r="N211" s="20" t="n">
        <v>6124</v>
      </c>
    </row>
    <row r="212">
      <c r="A212" s="43" t="inlineStr">
        <is>
          <t>OPM</t>
        </is>
      </c>
      <c r="B212" s="3" t="inlineStr">
        <is>
          <t>영업이익 ÷ 매출</t>
        </is>
      </c>
      <c r="F212" s="15">
        <f>IF(OR(F211="",F159=""),"",IF(F159&lt;=0,"",IFERROR(F211/F159,"")))</f>
        <v/>
      </c>
      <c r="J212" s="15">
        <f>IF(OR(J211="",J159=""),"",IF(J159&lt;=0,"",IFERROR(J211/J159,"")))</f>
        <v/>
      </c>
      <c r="N212" s="15">
        <f>IF(OR(N211="",N159=""),"",IF(N159&lt;=0,"",IFERROR(N211/N159,"")))</f>
        <v/>
      </c>
    </row>
    <row r="213">
      <c r="A213" s="43" t="inlineStr">
        <is>
          <t>YoY</t>
        </is>
      </c>
      <c r="B213" s="3" t="inlineStr">
        <is>
          <t>전년 같은 분기·전년 대비</t>
        </is>
      </c>
      <c r="J213" s="15">
        <f>IF(OR(J211="",F211=""),"",IF(F211&lt;=0,"",IFERROR(J211/F211-1,"")))</f>
        <v/>
      </c>
      <c r="N213" s="15">
        <f>IF(OR(N211="",J211=""),"",IF(J211&lt;=0,"",IFERROR(N211/J211-1,"")))</f>
        <v/>
      </c>
    </row>
    <row r="214">
      <c r="A214" s="18" t="inlineStr">
        <is>
          <t>합계 · 계</t>
        </is>
      </c>
      <c r="F214" s="20" t="n">
        <v>35729</v>
      </c>
      <c r="J214" s="20" t="n">
        <v>57700</v>
      </c>
      <c r="N214" s="20" t="n">
        <v>36891</v>
      </c>
    </row>
    <row r="215">
      <c r="A215" s="43" t="inlineStr">
        <is>
          <t>OPM</t>
        </is>
      </c>
      <c r="B215" s="3" t="inlineStr">
        <is>
          <t>영업이익 ÷ 매출</t>
        </is>
      </c>
      <c r="F215" s="15">
        <f>IF(OR(F214="",F161=""),"",IF(F161&lt;=0,"",IFERROR(F214/F161,"")))</f>
        <v/>
      </c>
      <c r="J215" s="15">
        <f>IF(OR(J214="",J161=""),"",IF(J161&lt;=0,"",IFERROR(J214/J161,"")))</f>
        <v/>
      </c>
      <c r="N215" s="15">
        <f>IF(OR(N214="",N161=""),"",IF(N161&lt;=0,"",IFERROR(N214/N161,"")))</f>
        <v/>
      </c>
    </row>
    <row r="216">
      <c r="A216" s="43" t="inlineStr">
        <is>
          <t>YoY</t>
        </is>
      </c>
      <c r="B216" s="3" t="inlineStr">
        <is>
          <t>전년 같은 분기·전년 대비</t>
        </is>
      </c>
      <c r="J216" s="15">
        <f>IF(OR(J214="",F214=""),"",IF(F214&lt;=0,"",IFERROR(J214/F214-1,"")))</f>
        <v/>
      </c>
      <c r="N216" s="15">
        <f>IF(OR(N214="",J214=""),"",IF(J214&lt;=0,"",IFERROR(N214/J214-1,"")))</f>
        <v/>
      </c>
    </row>
    <row r="217">
      <c r="A217" s="18" t="inlineStr">
        <is>
          <t>조정액 · 계</t>
        </is>
      </c>
      <c r="F217" s="20" t="n">
        <v>2353</v>
      </c>
      <c r="J217" s="20" t="n">
        <v>1279</v>
      </c>
      <c r="N217" s="20" t="n">
        <v>4263</v>
      </c>
    </row>
    <row r="218">
      <c r="A218" s="18" t="inlineStr">
        <is>
          <t>계</t>
        </is>
      </c>
      <c r="F218" s="20" t="n">
        <v>38083</v>
      </c>
    </row>
    <row r="219">
      <c r="A219" s="18" t="inlineStr">
        <is>
          <t>EntityTotalMember · 계</t>
        </is>
      </c>
      <c r="F219" s="20" t="n">
        <v>38083</v>
      </c>
      <c r="J219" s="20" t="n">
        <v>58980</v>
      </c>
      <c r="N219" s="20" t="n">
        <v>41154</v>
      </c>
    </row>
    <row r="221">
      <c r="A221" s="16" t="inlineStr">
        <is>
          <t>현금흐름표 · 전 항목</t>
        </is>
      </c>
      <c r="B221" s="42" t="inlineStr">
        <is>
          <t>분기 = 결산기 첫날부터 누계(공시 그대로)</t>
        </is>
      </c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  <c r="AA221" s="16" t="n"/>
      <c r="AB221" s="16" t="n"/>
      <c r="AC221" s="16" t="n"/>
    </row>
    <row r="222">
      <c r="A222" s="5" t="inlineStr">
        <is>
          <t>항목</t>
        </is>
      </c>
      <c r="B222" s="5" t="inlineStr">
        <is>
          <t>참고</t>
        </is>
      </c>
      <c r="C222" s="5" t="inlineStr">
        <is>
          <t>2024.2Q</t>
        </is>
      </c>
      <c r="D222" s="5" t="inlineStr">
        <is>
          <t>2024.3Q</t>
        </is>
      </c>
      <c r="E222" s="5" t="inlineStr">
        <is>
          <t>2024.4Q</t>
        </is>
      </c>
      <c r="F222" s="5" t="inlineStr">
        <is>
          <t>2025.1Q</t>
        </is>
      </c>
      <c r="G222" s="5" t="inlineStr">
        <is>
          <t>2025.2Q</t>
        </is>
      </c>
      <c r="H222" s="5" t="inlineStr">
        <is>
          <t>2025.3Q</t>
        </is>
      </c>
      <c r="I222" s="5" t="inlineStr">
        <is>
          <t>2025.4Q</t>
        </is>
      </c>
      <c r="J222" s="5" t="inlineStr">
        <is>
          <t>2026.1Q</t>
        </is>
      </c>
      <c r="K222" s="5" t="inlineStr">
        <is>
          <t>2026.2Q</t>
        </is>
      </c>
      <c r="L222" s="5" t="inlineStr">
        <is>
          <t>2026.3Q</t>
        </is>
      </c>
      <c r="M222" s="5" t="inlineStr">
        <is>
          <t>2026.4Q</t>
        </is>
      </c>
      <c r="N222" s="5" t="inlineStr">
        <is>
          <t>2027.1Q</t>
        </is>
      </c>
      <c r="O222" s="5" t="inlineStr">
        <is>
          <t>2017</t>
        </is>
      </c>
      <c r="P222" s="5" t="inlineStr">
        <is>
          <t>2018</t>
        </is>
      </c>
      <c r="Q222" s="5" t="inlineStr">
        <is>
          <t>2019</t>
        </is>
      </c>
      <c r="R222" s="5" t="inlineStr">
        <is>
          <t>2020</t>
        </is>
      </c>
      <c r="S222" s="5" t="inlineStr">
        <is>
          <t>2021</t>
        </is>
      </c>
      <c r="T222" s="5" t="inlineStr">
        <is>
          <t>2022</t>
        </is>
      </c>
      <c r="U222" s="5" t="inlineStr">
        <is>
          <t>2023</t>
        </is>
      </c>
      <c r="V222" s="5" t="inlineStr">
        <is>
          <t>2024</t>
        </is>
      </c>
      <c r="W222" s="5" t="inlineStr">
        <is>
          <t>2025</t>
        </is>
      </c>
      <c r="X222" s="5" t="inlineStr">
        <is>
          <t>2026</t>
        </is>
      </c>
      <c r="Y222" s="5" t="inlineStr">
        <is>
          <t>2027(MW)</t>
        </is>
      </c>
      <c r="Z222" s="5" t="inlineStr">
        <is>
          <t>2028(MW)</t>
        </is>
      </c>
      <c r="AA222" s="5" t="inlineStr">
        <is>
          <t>2029(MW)</t>
        </is>
      </c>
      <c r="AB222" s="5" t="inlineStr">
        <is>
          <t>2030(MW)</t>
        </is>
      </c>
      <c r="AC222" s="5" t="inlineStr">
        <is>
          <t>2031(MW)</t>
        </is>
      </c>
    </row>
    <row r="223">
      <c r="A223" s="9" t="inlineStr">
        <is>
          <t>법인세차감전 순이익</t>
        </is>
      </c>
      <c r="E223" s="12" t="n">
        <v>196017</v>
      </c>
      <c r="I223" s="12" t="n">
        <v>189250</v>
      </c>
      <c r="M223" s="12" t="n">
        <v>202892</v>
      </c>
      <c r="O223" s="12" t="n">
        <v>91596</v>
      </c>
      <c r="P223" s="12" t="n">
        <v>65837</v>
      </c>
      <c r="Q223" s="12" t="n">
        <v>52064</v>
      </c>
      <c r="R223" s="12" t="n">
        <v>70449</v>
      </c>
      <c r="S223" s="12" t="n">
        <v>108735</v>
      </c>
      <c r="T223" s="12" t="n">
        <v>119002</v>
      </c>
      <c r="U223" s="12" t="n">
        <v>83710</v>
      </c>
      <c r="V223" s="12" t="n">
        <v>196017</v>
      </c>
      <c r="W223" s="12" t="n">
        <v>189250</v>
      </c>
      <c r="X223" s="12" t="n">
        <v>202892</v>
      </c>
    </row>
    <row r="224">
      <c r="A224" s="18" t="inlineStr">
        <is>
          <t>감가상각비</t>
        </is>
      </c>
      <c r="E224" s="20" t="n">
        <v>123565</v>
      </c>
      <c r="I224" s="20" t="n">
        <v>127549</v>
      </c>
      <c r="M224" s="20" t="n">
        <v>135138</v>
      </c>
      <c r="O224" s="20" t="n">
        <v>86206</v>
      </c>
      <c r="P224" s="20" t="n">
        <v>86378</v>
      </c>
      <c r="Q224" s="20" t="n">
        <v>99745</v>
      </c>
      <c r="R224" s="20" t="n">
        <v>91925</v>
      </c>
      <c r="S224" s="20" t="n">
        <v>101444</v>
      </c>
      <c r="T224" s="20" t="n">
        <v>108902</v>
      </c>
      <c r="U224" s="20" t="n">
        <v>119823</v>
      </c>
      <c r="V224" s="20" t="n">
        <v>123565</v>
      </c>
      <c r="W224" s="20" t="n">
        <v>127549</v>
      </c>
      <c r="X224" s="20" t="n">
        <v>135138</v>
      </c>
    </row>
    <row r="225">
      <c r="A225" s="18" t="inlineStr">
        <is>
          <t>영업권 상각</t>
        </is>
      </c>
      <c r="P225" s="20" t="n">
        <v>2344</v>
      </c>
      <c r="Q225" s="20" t="n">
        <v>11381</v>
      </c>
    </row>
    <row r="226">
      <c r="A226" s="18" t="inlineStr">
        <is>
          <t>장기선급비용 상각액</t>
        </is>
      </c>
      <c r="E226" s="20" t="n">
        <v>6437</v>
      </c>
      <c r="I226" s="20" t="n">
        <v>6329</v>
      </c>
      <c r="M226" s="20" t="n">
        <v>6211</v>
      </c>
      <c r="O226" s="20" t="n">
        <v>5389</v>
      </c>
      <c r="P226" s="20" t="n">
        <v>5207</v>
      </c>
      <c r="Q226" s="20" t="n">
        <v>5000</v>
      </c>
      <c r="R226" s="20" t="n">
        <v>5159</v>
      </c>
      <c r="S226" s="20" t="n">
        <v>5106</v>
      </c>
      <c r="T226" s="20" t="n">
        <v>5431</v>
      </c>
      <c r="U226" s="20" t="n">
        <v>5687</v>
      </c>
      <c r="V226" s="20" t="n">
        <v>6437</v>
      </c>
      <c r="W226" s="20" t="n">
        <v>6329</v>
      </c>
      <c r="X226" s="20" t="n">
        <v>6211</v>
      </c>
    </row>
    <row r="227">
      <c r="A227" s="18" t="inlineStr">
        <is>
          <t>자회사 주식 매각손실</t>
        </is>
      </c>
      <c r="O227" s="20" t="n">
        <v>0</v>
      </c>
      <c r="P227" s="20" t="n">
        <v>2227</v>
      </c>
      <c r="Q227" s="20" t="n">
        <v>0</v>
      </c>
    </row>
    <row r="228">
      <c r="A228" s="18" t="inlineStr">
        <is>
          <t>손상차손</t>
        </is>
      </c>
      <c r="E228" s="20" t="n">
        <v>20194</v>
      </c>
      <c r="I228" s="20" t="n">
        <v>14397</v>
      </c>
      <c r="M228" s="20" t="n">
        <v>23396</v>
      </c>
      <c r="O228" s="20" t="n">
        <v>1744</v>
      </c>
      <c r="P228" s="20" t="n">
        <v>11249</v>
      </c>
      <c r="Q228" s="20" t="n">
        <v>0</v>
      </c>
      <c r="R228" s="20" t="n">
        <v>15568</v>
      </c>
      <c r="S228" s="20" t="n">
        <v>19016</v>
      </c>
      <c r="T228" s="20" t="n">
        <v>16013</v>
      </c>
      <c r="U228" s="20" t="n">
        <v>4470</v>
      </c>
      <c r="V228" s="20" t="n">
        <v>20194</v>
      </c>
      <c r="W228" s="20" t="n">
        <v>14397</v>
      </c>
      <c r="X228" s="20" t="n">
        <v>23396</v>
      </c>
    </row>
    <row r="229">
      <c r="A229" s="18" t="inlineStr">
        <is>
          <t>사업구조개선비용</t>
        </is>
      </c>
      <c r="O229" s="20" t="n">
        <v>2935</v>
      </c>
      <c r="P229" s="20" t="n">
        <v>0</v>
      </c>
    </row>
    <row r="230">
      <c r="A230" s="18" t="inlineStr">
        <is>
          <t>재해 손실</t>
        </is>
      </c>
      <c r="E230" s="20" t="n">
        <v>4835</v>
      </c>
      <c r="I230" s="20" t="n">
        <v>0</v>
      </c>
      <c r="U230" s="20" t="n">
        <v>0</v>
      </c>
      <c r="V230" s="20" t="n">
        <v>4835</v>
      </c>
      <c r="W230" s="20" t="n">
        <v>0</v>
      </c>
    </row>
    <row r="231">
      <c r="A231" s="18" t="inlineStr">
        <is>
          <t>관계회사 주식 매각손익</t>
        </is>
      </c>
      <c r="E231" s="20" t="n">
        <v>5515</v>
      </c>
      <c r="I231" s="20" t="n">
        <v>0</v>
      </c>
      <c r="M231" s="20" t="n">
        <v>-12328</v>
      </c>
      <c r="U231" s="20" t="n">
        <v>0</v>
      </c>
      <c r="V231" s="20" t="n">
        <v>5515</v>
      </c>
      <c r="W231" s="20" t="n">
        <v>0</v>
      </c>
      <c r="X231" s="20" t="n">
        <v>-12328</v>
      </c>
    </row>
    <row r="232">
      <c r="A232" s="18" t="inlineStr">
        <is>
          <t>투자유가증권 매각손익</t>
        </is>
      </c>
      <c r="E232" s="20" t="n">
        <v>-3028</v>
      </c>
      <c r="I232" s="20" t="n">
        <v>-25406</v>
      </c>
      <c r="M232" s="20" t="n">
        <v>0</v>
      </c>
      <c r="T232" s="20" t="n">
        <v>-3319</v>
      </c>
      <c r="U232" s="20" t="n">
        <v>-17418</v>
      </c>
      <c r="V232" s="20" t="n">
        <v>-3028</v>
      </c>
      <c r="W232" s="20" t="n">
        <v>-25406</v>
      </c>
      <c r="X232" s="20" t="n">
        <v>0</v>
      </c>
    </row>
    <row r="233">
      <c r="A233" s="18" t="inlineStr">
        <is>
          <t>고정자산 압축손실</t>
        </is>
      </c>
      <c r="S233" s="20" t="n">
        <v>0</v>
      </c>
      <c r="T233" s="20" t="n">
        <v>2335</v>
      </c>
      <c r="U233" s="20" t="n">
        <v>0</v>
      </c>
    </row>
    <row r="234">
      <c r="A234" s="18" t="inlineStr">
        <is>
          <t>투자유가증권 평가손익</t>
        </is>
      </c>
      <c r="E234" s="20" t="n">
        <v>2311</v>
      </c>
      <c r="I234" s="20" t="n">
        <v>11406</v>
      </c>
      <c r="S234" s="20" t="n">
        <v>0</v>
      </c>
      <c r="T234" s="20" t="n">
        <v>2484</v>
      </c>
      <c r="V234" s="20" t="n">
        <v>2311</v>
      </c>
      <c r="W234" s="20" t="n">
        <v>11406</v>
      </c>
    </row>
    <row r="235">
      <c r="A235" s="18" t="inlineStr">
        <is>
          <t>퇴직급여자산 증감</t>
        </is>
      </c>
      <c r="E235" s="20" t="n">
        <v>-10890</v>
      </c>
      <c r="I235" s="20" t="n">
        <v>-14240</v>
      </c>
      <c r="M235" s="20" t="n">
        <v>-8373</v>
      </c>
      <c r="O235" s="20" t="n">
        <v>8221</v>
      </c>
      <c r="P235" s="20" t="n">
        <v>8828</v>
      </c>
      <c r="Q235" s="20" t="n">
        <v>3057</v>
      </c>
      <c r="R235" s="20" t="n">
        <v>-3511</v>
      </c>
      <c r="S235" s="20" t="n">
        <v>-3366</v>
      </c>
      <c r="T235" s="20" t="n">
        <v>-8502</v>
      </c>
      <c r="U235" s="20" t="n">
        <v>-11608</v>
      </c>
      <c r="V235" s="20" t="n">
        <v>-10890</v>
      </c>
      <c r="W235" s="20" t="n">
        <v>-14240</v>
      </c>
      <c r="X235" s="20" t="n">
        <v>-8373</v>
      </c>
    </row>
    <row r="236">
      <c r="A236" s="18" t="inlineStr">
        <is>
          <t>이자·배당금 수익</t>
        </is>
      </c>
      <c r="E236" s="20" t="n">
        <v>-14298</v>
      </c>
      <c r="I236" s="20" t="n">
        <v>-18737</v>
      </c>
      <c r="M236" s="20" t="n">
        <v>-17782</v>
      </c>
      <c r="O236" s="20" t="n">
        <v>-3550</v>
      </c>
      <c r="P236" s="20" t="n">
        <v>-4605</v>
      </c>
      <c r="Q236" s="20" t="n">
        <v>-5049</v>
      </c>
      <c r="R236" s="20" t="n">
        <v>-11332</v>
      </c>
      <c r="S236" s="20" t="n">
        <v>-5726</v>
      </c>
      <c r="T236" s="20" t="n">
        <v>-5196</v>
      </c>
      <c r="U236" s="20" t="n">
        <v>-8203</v>
      </c>
      <c r="V236" s="20" t="n">
        <v>-14298</v>
      </c>
      <c r="W236" s="20" t="n">
        <v>-18737</v>
      </c>
      <c r="X236" s="20" t="n">
        <v>-17782</v>
      </c>
    </row>
    <row r="237">
      <c r="A237" s="18" t="inlineStr">
        <is>
          <t>이자비용</t>
        </is>
      </c>
      <c r="E237" s="20" t="n">
        <v>14436</v>
      </c>
      <c r="I237" s="20" t="n">
        <v>15332</v>
      </c>
      <c r="M237" s="20" t="n">
        <v>13781</v>
      </c>
      <c r="O237" s="20" t="n">
        <v>9612</v>
      </c>
      <c r="P237" s="20" t="n">
        <v>9505</v>
      </c>
      <c r="Q237" s="20" t="n">
        <v>10126</v>
      </c>
      <c r="R237" s="20" t="n">
        <v>12192</v>
      </c>
      <c r="S237" s="20" t="n">
        <v>11087</v>
      </c>
      <c r="T237" s="20" t="n">
        <v>10400</v>
      </c>
      <c r="U237" s="20" t="n">
        <v>13167</v>
      </c>
      <c r="V237" s="20" t="n">
        <v>14436</v>
      </c>
      <c r="W237" s="20" t="n">
        <v>15332</v>
      </c>
      <c r="X237" s="20" t="n">
        <v>13781</v>
      </c>
    </row>
    <row r="238">
      <c r="A238" s="18" t="inlineStr">
        <is>
          <t>지분법손익</t>
        </is>
      </c>
      <c r="E238" s="20" t="n">
        <v>-31982</v>
      </c>
      <c r="I238" s="20" t="n">
        <v>-20653</v>
      </c>
      <c r="M238" s="20" t="n">
        <v>-23938</v>
      </c>
      <c r="Q238" s="20" t="n">
        <v>-1096</v>
      </c>
      <c r="R238" s="20" t="n">
        <v>-5225</v>
      </c>
      <c r="S238" s="20" t="n">
        <v>-13618</v>
      </c>
      <c r="T238" s="20" t="n">
        <v>-12841</v>
      </c>
      <c r="U238" s="20" t="n">
        <v>-12929</v>
      </c>
      <c r="V238" s="20" t="n">
        <v>-31982</v>
      </c>
      <c r="W238" s="20" t="n">
        <v>-20653</v>
      </c>
      <c r="X238" s="20" t="n">
        <v>-23938</v>
      </c>
    </row>
    <row r="239">
      <c r="A239" s="18" t="inlineStr">
        <is>
          <t>Loss Gain On Sales Of Investment Securities In Subsidiaries And Associates Ope CF</t>
        </is>
      </c>
      <c r="R239" s="20" t="n">
        <v>411</v>
      </c>
      <c r="S239" s="20" t="n">
        <v>-3694</v>
      </c>
      <c r="T239" s="20" t="n">
        <v>-17773</v>
      </c>
    </row>
    <row r="240">
      <c r="A240" s="18" t="inlineStr">
        <is>
          <t>고정자산 매각손익</t>
        </is>
      </c>
      <c r="I240" s="20" t="n">
        <v>0</v>
      </c>
      <c r="M240" s="20" t="n">
        <v>-2171</v>
      </c>
      <c r="W240" s="20" t="n">
        <v>0</v>
      </c>
      <c r="X240" s="20" t="n">
        <v>-2171</v>
      </c>
    </row>
    <row r="241">
      <c r="A241" s="18" t="inlineStr">
        <is>
          <t>매출채권 증감</t>
        </is>
      </c>
      <c r="E241" s="20" t="n">
        <v>13158</v>
      </c>
      <c r="I241" s="20" t="n">
        <v>-42741</v>
      </c>
      <c r="M241" s="20" t="n">
        <v>21069</v>
      </c>
      <c r="O241" s="20" t="n">
        <v>-11151</v>
      </c>
      <c r="P241" s="20" t="n">
        <v>-15519</v>
      </c>
      <c r="Q241" s="20" t="n">
        <v>-27714</v>
      </c>
      <c r="R241" s="20" t="n">
        <v>12239</v>
      </c>
      <c r="S241" s="20" t="n">
        <v>-1203</v>
      </c>
      <c r="T241" s="20" t="n">
        <v>-51737</v>
      </c>
      <c r="U241" s="20" t="n">
        <v>-47671</v>
      </c>
      <c r="V241" s="20" t="n">
        <v>13158</v>
      </c>
      <c r="W241" s="20" t="n">
        <v>-42741</v>
      </c>
      <c r="X241" s="20" t="n">
        <v>21069</v>
      </c>
    </row>
    <row r="242">
      <c r="A242" s="18" t="inlineStr">
        <is>
          <t>재고자산 증감</t>
        </is>
      </c>
      <c r="E242" s="20" t="n">
        <v>19647</v>
      </c>
      <c r="I242" s="20" t="n">
        <v>10033</v>
      </c>
      <c r="M242" s="20" t="n">
        <v>4816</v>
      </c>
      <c r="O242" s="20" t="n">
        <v>9166</v>
      </c>
      <c r="P242" s="20" t="n">
        <v>-8136</v>
      </c>
      <c r="Q242" s="20" t="n">
        <v>-35078</v>
      </c>
      <c r="R242" s="20" t="n">
        <v>4014</v>
      </c>
      <c r="S242" s="20" t="n">
        <v>26113</v>
      </c>
      <c r="T242" s="20" t="n">
        <v>-47701</v>
      </c>
      <c r="U242" s="20" t="n">
        <v>-65358</v>
      </c>
      <c r="V242" s="20" t="n">
        <v>19647</v>
      </c>
      <c r="W242" s="20" t="n">
        <v>10033</v>
      </c>
      <c r="X242" s="20" t="n">
        <v>4816</v>
      </c>
    </row>
    <row r="243">
      <c r="A243" s="18" t="inlineStr">
        <is>
          <t>매입채무 증감</t>
        </is>
      </c>
      <c r="E243" s="20" t="n">
        <v>12056</v>
      </c>
      <c r="I243" s="20" t="n">
        <v>17263</v>
      </c>
      <c r="M243" s="20" t="n">
        <v>-6709</v>
      </c>
      <c r="O243" s="20" t="n">
        <v>-3428</v>
      </c>
      <c r="P243" s="20" t="n">
        <v>10380</v>
      </c>
      <c r="Q243" s="20" t="n">
        <v>6895</v>
      </c>
      <c r="R243" s="20" t="n">
        <v>664</v>
      </c>
      <c r="S243" s="20" t="n">
        <v>1200</v>
      </c>
      <c r="T243" s="20" t="n">
        <v>41607</v>
      </c>
      <c r="U243" s="20" t="n">
        <v>-40794</v>
      </c>
      <c r="V243" s="20" t="n">
        <v>12056</v>
      </c>
      <c r="W243" s="20" t="n">
        <v>17263</v>
      </c>
      <c r="X243" s="20" t="n">
        <v>-6709</v>
      </c>
    </row>
    <row r="244">
      <c r="A244" s="18" t="inlineStr">
        <is>
          <t>미지급비용 증감</t>
        </is>
      </c>
      <c r="E244" s="20" t="n">
        <v>-6168</v>
      </c>
      <c r="I244" s="20" t="n">
        <v>766</v>
      </c>
      <c r="M244" s="20" t="n">
        <v>4209</v>
      </c>
      <c r="O244" s="20" t="n">
        <v>-968</v>
      </c>
      <c r="P244" s="20" t="n">
        <v>2276</v>
      </c>
      <c r="Q244" s="20" t="n">
        <v>6068</v>
      </c>
      <c r="R244" s="20" t="n">
        <v>3316</v>
      </c>
      <c r="S244" s="20" t="n">
        <v>-124</v>
      </c>
      <c r="T244" s="20" t="n">
        <v>11109</v>
      </c>
      <c r="U244" s="20" t="n">
        <v>11936</v>
      </c>
      <c r="V244" s="20" t="n">
        <v>-6168</v>
      </c>
      <c r="W244" s="20" t="n">
        <v>766</v>
      </c>
      <c r="X244" s="20" t="n">
        <v>4209</v>
      </c>
    </row>
    <row r="245">
      <c r="A245" s="18" t="inlineStr">
        <is>
          <t>미지급 소비세 증감</t>
        </is>
      </c>
      <c r="E245" s="20" t="n">
        <v>-9895</v>
      </c>
      <c r="I245" s="20" t="n">
        <v>6335</v>
      </c>
      <c r="M245" s="20" t="n">
        <v>-17036</v>
      </c>
      <c r="O245" s="20" t="n">
        <v>-11776</v>
      </c>
      <c r="P245" s="20" t="n">
        <v>4854</v>
      </c>
      <c r="Q245" s="20" t="n">
        <v>-4085</v>
      </c>
      <c r="R245" s="20" t="n">
        <v>4568</v>
      </c>
      <c r="U245" s="20" t="n">
        <v>-2858</v>
      </c>
      <c r="V245" s="20" t="n">
        <v>-9895</v>
      </c>
      <c r="W245" s="20" t="n">
        <v>6335</v>
      </c>
      <c r="X245" s="20" t="n">
        <v>-17036</v>
      </c>
    </row>
    <row r="246">
      <c r="A246" s="18" t="inlineStr">
        <is>
          <t>기타</t>
        </is>
      </c>
      <c r="E246" s="20" t="n">
        <v>11008</v>
      </c>
      <c r="I246" s="20" t="n">
        <v>-1775</v>
      </c>
      <c r="M246" s="20" t="n">
        <v>-9077</v>
      </c>
      <c r="O246" s="20" t="n">
        <v>9277</v>
      </c>
      <c r="P246" s="20" t="n">
        <v>24148</v>
      </c>
      <c r="Q246" s="20" t="n">
        <v>-19156</v>
      </c>
      <c r="R246" s="20" t="n">
        <v>512</v>
      </c>
      <c r="S246" s="20" t="n">
        <v>-5335</v>
      </c>
      <c r="T246" s="20" t="n">
        <v>-40738</v>
      </c>
      <c r="U246" s="20" t="n">
        <v>-678</v>
      </c>
      <c r="V246" s="20" t="n">
        <v>11008</v>
      </c>
      <c r="W246" s="20" t="n">
        <v>-1775</v>
      </c>
      <c r="X246" s="20" t="n">
        <v>-9077</v>
      </c>
    </row>
    <row r="247">
      <c r="A247" s="18" t="inlineStr">
        <is>
          <t>소계</t>
        </is>
      </c>
      <c r="E247" s="20" t="n">
        <v>352920</v>
      </c>
      <c r="I247" s="20" t="n">
        <v>263703</v>
      </c>
      <c r="M247" s="20" t="n">
        <v>314097</v>
      </c>
      <c r="O247" s="20" t="n">
        <v>193274</v>
      </c>
      <c r="P247" s="20" t="n">
        <v>193729</v>
      </c>
      <c r="Q247" s="20" t="n">
        <v>90776</v>
      </c>
      <c r="R247" s="20" t="n">
        <v>196384</v>
      </c>
      <c r="S247" s="20" t="n">
        <v>239635</v>
      </c>
      <c r="T247" s="20" t="n">
        <v>144768</v>
      </c>
      <c r="U247" s="20" t="n">
        <v>48692</v>
      </c>
      <c r="V247" s="20" t="n">
        <v>352920</v>
      </c>
      <c r="W247" s="20" t="n">
        <v>263703</v>
      </c>
      <c r="X247" s="20" t="n">
        <v>314097</v>
      </c>
    </row>
    <row r="248">
      <c r="A248" s="18" t="inlineStr">
        <is>
          <t>이자·배당금 수취</t>
        </is>
      </c>
      <c r="E248" s="20" t="n">
        <v>19659</v>
      </c>
      <c r="I248" s="20" t="n">
        <v>58398</v>
      </c>
      <c r="M248" s="20" t="n">
        <v>76038</v>
      </c>
      <c r="O248" s="20" t="n">
        <v>7700</v>
      </c>
      <c r="P248" s="20" t="n">
        <v>10815</v>
      </c>
      <c r="Q248" s="20" t="n">
        <v>13523</v>
      </c>
      <c r="R248" s="20" t="n">
        <v>21844</v>
      </c>
      <c r="S248" s="20" t="n">
        <v>15461</v>
      </c>
      <c r="T248" s="20" t="n">
        <v>50615</v>
      </c>
      <c r="U248" s="20" t="n">
        <v>14972</v>
      </c>
      <c r="V248" s="20" t="n">
        <v>19659</v>
      </c>
      <c r="W248" s="20" t="n">
        <v>58398</v>
      </c>
      <c r="X248" s="20" t="n">
        <v>76038</v>
      </c>
    </row>
    <row r="249">
      <c r="A249" s="18" t="inlineStr">
        <is>
          <t>이자 지급</t>
        </is>
      </c>
      <c r="E249" s="20" t="n">
        <v>-14331</v>
      </c>
      <c r="I249" s="20" t="n">
        <v>-15392</v>
      </c>
      <c r="M249" s="20" t="n">
        <v>-13751</v>
      </c>
      <c r="O249" s="20" t="n">
        <v>-9657</v>
      </c>
      <c r="P249" s="20" t="n">
        <v>-9315</v>
      </c>
      <c r="Q249" s="20" t="n">
        <v>-10186</v>
      </c>
      <c r="R249" s="20" t="n">
        <v>-12280</v>
      </c>
      <c r="S249" s="20" t="n">
        <v>-11375</v>
      </c>
      <c r="T249" s="20" t="n">
        <v>-10559</v>
      </c>
      <c r="U249" s="20" t="n">
        <v>-12367</v>
      </c>
      <c r="V249" s="20" t="n">
        <v>-14331</v>
      </c>
      <c r="W249" s="20" t="n">
        <v>-15392</v>
      </c>
      <c r="X249" s="20" t="n">
        <v>-13751</v>
      </c>
    </row>
    <row r="250">
      <c r="A250" s="18" t="inlineStr">
        <is>
          <t>법인세 납부</t>
        </is>
      </c>
      <c r="E250" s="20" t="n">
        <v>-45638</v>
      </c>
      <c r="I250" s="20" t="n">
        <v>-23027</v>
      </c>
      <c r="M250" s="20" t="n">
        <v>-35643</v>
      </c>
      <c r="O250" s="20" t="n">
        <v>-42516</v>
      </c>
      <c r="P250" s="20" t="n">
        <v>-26498</v>
      </c>
      <c r="Q250" s="20" t="n">
        <v>-28997</v>
      </c>
      <c r="R250" s="20" t="n">
        <v>-23056</v>
      </c>
      <c r="S250" s="20" t="n">
        <v>-23924</v>
      </c>
      <c r="T250" s="20" t="n">
        <v>-39474</v>
      </c>
      <c r="U250" s="20" t="n">
        <v>-17723</v>
      </c>
      <c r="V250" s="20" t="n">
        <v>-45638</v>
      </c>
      <c r="W250" s="20" t="n">
        <v>-23027</v>
      </c>
      <c r="X250" s="20" t="n">
        <v>-35643</v>
      </c>
    </row>
    <row r="251">
      <c r="A251" s="9" t="inlineStr">
        <is>
          <t>영업활동 현금흐름</t>
        </is>
      </c>
      <c r="E251" s="12" t="n">
        <v>312609</v>
      </c>
      <c r="I251" s="12" t="n">
        <v>283681</v>
      </c>
      <c r="M251" s="12" t="n">
        <v>340740</v>
      </c>
      <c r="O251" s="12" t="n">
        <v>148801</v>
      </c>
      <c r="P251" s="12" t="n">
        <v>168731</v>
      </c>
      <c r="Q251" s="12" t="n">
        <v>65116</v>
      </c>
      <c r="R251" s="12" t="n">
        <v>182892</v>
      </c>
      <c r="S251" s="12" t="n">
        <v>219797</v>
      </c>
      <c r="T251" s="12" t="n">
        <v>145350</v>
      </c>
      <c r="U251" s="12" t="n">
        <v>33572</v>
      </c>
      <c r="V251" s="12" t="n">
        <v>312609</v>
      </c>
      <c r="W251" s="12" t="n">
        <v>283681</v>
      </c>
      <c r="X251" s="12" t="n">
        <v>340740</v>
      </c>
    </row>
    <row r="252">
      <c r="A252" s="18" t="inlineStr">
        <is>
          <t>유형자산 취득(설비투자)</t>
        </is>
      </c>
      <c r="E252" s="20" t="n">
        <v>-174646</v>
      </c>
      <c r="I252" s="20" t="n">
        <v>-210850</v>
      </c>
      <c r="M252" s="20" t="n">
        <v>-238540</v>
      </c>
      <c r="O252" s="20" t="n">
        <v>-83435</v>
      </c>
      <c r="P252" s="20" t="n">
        <v>-73082</v>
      </c>
      <c r="Q252" s="20" t="n">
        <v>-80099</v>
      </c>
      <c r="R252" s="20" t="n">
        <v>-117574</v>
      </c>
      <c r="S252" s="20" t="n">
        <v>-169607</v>
      </c>
      <c r="T252" s="20" t="n">
        <v>-173450</v>
      </c>
      <c r="U252" s="20" t="n">
        <v>-172079</v>
      </c>
      <c r="V252" s="20" t="n">
        <v>-174646</v>
      </c>
      <c r="W252" s="20" t="n">
        <v>-210850</v>
      </c>
      <c r="X252" s="20" t="n">
        <v>-238540</v>
      </c>
    </row>
    <row r="253">
      <c r="A253" s="18" t="inlineStr">
        <is>
          <t>유형자산 매각</t>
        </is>
      </c>
      <c r="E253" s="20" t="n">
        <v>2506</v>
      </c>
      <c r="I253" s="20" t="n">
        <v>6041</v>
      </c>
      <c r="M253" s="20" t="n">
        <v>4251</v>
      </c>
      <c r="T253" s="20" t="n">
        <v>1096</v>
      </c>
      <c r="U253" s="20" t="n">
        <v>3616</v>
      </c>
      <c r="V253" s="20" t="n">
        <v>2506</v>
      </c>
      <c r="W253" s="20" t="n">
        <v>6041</v>
      </c>
      <c r="X253" s="20" t="n">
        <v>4251</v>
      </c>
    </row>
    <row r="254">
      <c r="A254" s="18" t="inlineStr">
        <is>
          <t>무형자산 취득</t>
        </is>
      </c>
      <c r="E254" s="20" t="n">
        <v>-12720</v>
      </c>
      <c r="I254" s="20" t="n">
        <v>-11561</v>
      </c>
      <c r="M254" s="20" t="n">
        <v>-12577</v>
      </c>
      <c r="O254" s="20" t="n">
        <v>-9286</v>
      </c>
      <c r="P254" s="20" t="n">
        <v>-5977</v>
      </c>
      <c r="Q254" s="20" t="n">
        <v>-21943</v>
      </c>
      <c r="R254" s="20" t="n">
        <v>-9173</v>
      </c>
      <c r="S254" s="20" t="n">
        <v>-13148</v>
      </c>
      <c r="T254" s="20" t="n">
        <v>-14547</v>
      </c>
      <c r="U254" s="20" t="n">
        <v>-22069</v>
      </c>
      <c r="V254" s="20" t="n">
        <v>-12720</v>
      </c>
      <c r="W254" s="20" t="n">
        <v>-11561</v>
      </c>
      <c r="X254" s="20" t="n">
        <v>-12577</v>
      </c>
    </row>
    <row r="255">
      <c r="A255" s="18" t="inlineStr">
        <is>
          <t>장기선급비용 지출</t>
        </is>
      </c>
      <c r="E255" s="20" t="n">
        <v>-6326</v>
      </c>
      <c r="I255" s="20" t="n">
        <v>-7830</v>
      </c>
      <c r="M255" s="20" t="n">
        <v>-8438</v>
      </c>
      <c r="O255" s="20" t="n">
        <v>-6463</v>
      </c>
      <c r="P255" s="20" t="n">
        <v>-5799</v>
      </c>
      <c r="Q255" s="20" t="n">
        <v>-6150</v>
      </c>
      <c r="R255" s="20" t="n">
        <v>-9045</v>
      </c>
      <c r="S255" s="20" t="n">
        <v>-6320</v>
      </c>
      <c r="T255" s="20" t="n">
        <v>-8396</v>
      </c>
      <c r="U255" s="20" t="n">
        <v>-7141</v>
      </c>
      <c r="V255" s="20" t="n">
        <v>-6326</v>
      </c>
      <c r="W255" s="20" t="n">
        <v>-7830</v>
      </c>
      <c r="X255" s="20" t="n">
        <v>-8438</v>
      </c>
    </row>
    <row r="256">
      <c r="A256" s="18" t="inlineStr">
        <is>
          <t>투자유가증권 취득</t>
        </is>
      </c>
      <c r="E256" s="20" t="n">
        <v>-5544</v>
      </c>
      <c r="I256" s="20" t="n">
        <v>-10166</v>
      </c>
      <c r="M256" s="20" t="n">
        <v>-3893</v>
      </c>
      <c r="P256" s="20" t="n">
        <v>-2770</v>
      </c>
      <c r="Q256" s="20" t="n">
        <v>-4680</v>
      </c>
      <c r="R256" s="20" t="n">
        <v>-7997</v>
      </c>
      <c r="S256" s="20" t="n">
        <v>-7088</v>
      </c>
      <c r="T256" s="20" t="n">
        <v>-5304</v>
      </c>
      <c r="U256" s="20" t="n">
        <v>-8995</v>
      </c>
      <c r="V256" s="20" t="n">
        <v>-5544</v>
      </c>
      <c r="W256" s="20" t="n">
        <v>-10166</v>
      </c>
      <c r="X256" s="20" t="n">
        <v>-3893</v>
      </c>
    </row>
    <row r="257">
      <c r="A257" s="18" t="inlineStr">
        <is>
          <t>투자유가증권 매각</t>
        </is>
      </c>
      <c r="E257" s="20" t="n">
        <v>3292</v>
      </c>
      <c r="I257" s="20" t="n">
        <v>28318</v>
      </c>
      <c r="M257" s="20" t="n">
        <v>6530</v>
      </c>
      <c r="S257" s="20" t="n">
        <v>987</v>
      </c>
      <c r="T257" s="20" t="n">
        <v>4136</v>
      </c>
      <c r="U257" s="20" t="n">
        <v>21086</v>
      </c>
      <c r="V257" s="20" t="n">
        <v>3292</v>
      </c>
      <c r="W257" s="20" t="n">
        <v>28318</v>
      </c>
      <c r="X257" s="20" t="n">
        <v>6530</v>
      </c>
    </row>
    <row r="258">
      <c r="A258" s="18" t="inlineStr">
        <is>
          <t>관계회사 주식 취득</t>
        </is>
      </c>
      <c r="E258" s="20" t="n">
        <v>-33770</v>
      </c>
      <c r="I258" s="20" t="n">
        <v>-68824</v>
      </c>
      <c r="M258" s="20" t="n">
        <v>-14569</v>
      </c>
      <c r="O258" s="20" t="n">
        <v>-32810</v>
      </c>
      <c r="P258" s="20" t="n">
        <v>-15385</v>
      </c>
      <c r="Q258" s="20" t="n">
        <v>-68760</v>
      </c>
      <c r="R258" s="20" t="n">
        <v>-22965</v>
      </c>
      <c r="S258" s="20" t="n">
        <v>-6309</v>
      </c>
      <c r="T258" s="20" t="n">
        <v>-9784</v>
      </c>
      <c r="U258" s="20" t="n">
        <v>-27816</v>
      </c>
      <c r="V258" s="20" t="n">
        <v>-33770</v>
      </c>
      <c r="W258" s="20" t="n">
        <v>-68824</v>
      </c>
      <c r="X258" s="20" t="n">
        <v>-14569</v>
      </c>
    </row>
    <row r="259">
      <c r="A259" s="18" t="inlineStr">
        <is>
          <t>관계회사 주식 매각</t>
        </is>
      </c>
      <c r="E259" s="20" t="n">
        <v>7843</v>
      </c>
      <c r="I259" s="20" t="n">
        <v>3789</v>
      </c>
      <c r="M259" s="20" t="n">
        <v>5111</v>
      </c>
      <c r="S259" s="20" t="n">
        <v>115</v>
      </c>
      <c r="T259" s="20" t="n">
        <v>52302</v>
      </c>
      <c r="U259" s="20" t="n">
        <v>4414</v>
      </c>
      <c r="V259" s="20" t="n">
        <v>7843</v>
      </c>
      <c r="W259" s="20" t="n">
        <v>3789</v>
      </c>
      <c r="X259" s="20" t="n">
        <v>5111</v>
      </c>
    </row>
    <row r="260">
      <c r="A260" s="18" t="inlineStr">
        <is>
          <t>Proceeds From Paid Capital Reduction Of Subsidiaries And Associates Inv CF</t>
        </is>
      </c>
      <c r="E260" s="20" t="n">
        <v>393</v>
      </c>
      <c r="I260" s="20" t="n">
        <v>15360</v>
      </c>
      <c r="M260" s="20" t="n">
        <v>8094</v>
      </c>
      <c r="V260" s="20" t="n">
        <v>393</v>
      </c>
      <c r="W260" s="20" t="n">
        <v>15360</v>
      </c>
      <c r="X260" s="20" t="n">
        <v>8094</v>
      </c>
    </row>
    <row r="261">
      <c r="A261" s="18" t="inlineStr">
        <is>
          <t>연결범위 변경 자회사 주식 취득</t>
        </is>
      </c>
      <c r="E261" s="20" t="n">
        <v>-3078</v>
      </c>
      <c r="I261" s="20" t="n">
        <v>0</v>
      </c>
      <c r="M261" s="20" t="n">
        <v>-4811</v>
      </c>
      <c r="O261" s="20" t="n">
        <v>-0</v>
      </c>
      <c r="P261" s="20" t="n">
        <v>-6602</v>
      </c>
      <c r="Q261" s="20" t="n">
        <v>-22811</v>
      </c>
      <c r="R261" s="20" t="n">
        <v>-63350</v>
      </c>
      <c r="S261" s="20" t="n">
        <v>-5914</v>
      </c>
      <c r="T261" s="20" t="n">
        <v>0</v>
      </c>
      <c r="U261" s="20" t="n">
        <v>-564</v>
      </c>
      <c r="V261" s="20" t="n">
        <v>-3078</v>
      </c>
      <c r="W261" s="20" t="n">
        <v>0</v>
      </c>
      <c r="X261" s="20" t="n">
        <v>-4811</v>
      </c>
    </row>
    <row r="262">
      <c r="A262" s="18" t="inlineStr">
        <is>
          <t>연결범위 변경 자회사 주식 취득(수입)</t>
        </is>
      </c>
      <c r="P262" s="20" t="n">
        <v>0</v>
      </c>
      <c r="Q262" s="20" t="n">
        <v>2</v>
      </c>
      <c r="R262" s="20" t="n">
        <v>0</v>
      </c>
    </row>
    <row r="263">
      <c r="A263" s="18" t="inlineStr">
        <is>
          <t>연결범위 변경 자회사 주식 매각</t>
        </is>
      </c>
      <c r="E263" s="20" t="n">
        <v>1890</v>
      </c>
      <c r="I263" s="20" t="n">
        <v>884</v>
      </c>
      <c r="M263" s="20" t="n">
        <v>21481</v>
      </c>
      <c r="O263" s="20" t="n">
        <v>618</v>
      </c>
      <c r="P263" s="20" t="n">
        <v>2485</v>
      </c>
      <c r="Q263" s="20" t="n">
        <v>0</v>
      </c>
      <c r="R263" s="20" t="n">
        <v>558</v>
      </c>
      <c r="S263" s="20" t="n">
        <v>9096</v>
      </c>
      <c r="T263" s="20" t="n">
        <v>0</v>
      </c>
      <c r="U263" s="20" t="n">
        <v>3649</v>
      </c>
      <c r="V263" s="20" t="n">
        <v>1890</v>
      </c>
      <c r="W263" s="20" t="n">
        <v>884</v>
      </c>
      <c r="X263" s="20" t="n">
        <v>21481</v>
      </c>
    </row>
    <row r="264">
      <c r="A264" s="18" t="inlineStr">
        <is>
          <t>장기대여금 회수</t>
        </is>
      </c>
      <c r="E264" s="20" t="n">
        <v>3457</v>
      </c>
      <c r="S264" s="20" t="n">
        <v>1450</v>
      </c>
      <c r="T264" s="20" t="n">
        <v>4800</v>
      </c>
      <c r="U264" s="20" t="n">
        <v>3544</v>
      </c>
      <c r="V264" s="20" t="n">
        <v>3457</v>
      </c>
    </row>
    <row r="265">
      <c r="A265" s="18" t="inlineStr">
        <is>
          <t>연결범위 변경 자회사 주식 매각(지출)</t>
        </is>
      </c>
      <c r="I265" s="20" t="n">
        <v>0</v>
      </c>
      <c r="M265" s="20" t="n">
        <v>-399</v>
      </c>
      <c r="O265" s="20" t="n">
        <v>-41</v>
      </c>
      <c r="P265" s="20" t="n">
        <v>0</v>
      </c>
      <c r="R265" s="20" t="n">
        <v>0</v>
      </c>
      <c r="S265" s="20" t="n">
        <v>-373</v>
      </c>
      <c r="T265" s="20" t="n">
        <v>0</v>
      </c>
      <c r="W265" s="20" t="n">
        <v>0</v>
      </c>
      <c r="X265" s="20" t="n">
        <v>-399</v>
      </c>
    </row>
    <row r="266">
      <c r="A266" s="18" t="inlineStr">
        <is>
          <t>장기대여</t>
        </is>
      </c>
      <c r="O266" s="20" t="n">
        <v>-5117</v>
      </c>
      <c r="P266" s="20" t="n">
        <v>-3000</v>
      </c>
      <c r="Q266" s="20" t="n">
        <v>-5133</v>
      </c>
      <c r="R266" s="20" t="n">
        <v>-5443</v>
      </c>
      <c r="S266" s="20" t="n">
        <v>-2681</v>
      </c>
      <c r="T266" s="20" t="n">
        <v>-4307</v>
      </c>
    </row>
    <row r="267">
      <c r="A267" s="18" t="inlineStr">
        <is>
          <t>기타</t>
        </is>
      </c>
      <c r="E267" s="20" t="n">
        <v>4216</v>
      </c>
      <c r="I267" s="20" t="n">
        <v>-785</v>
      </c>
      <c r="M267" s="20" t="n">
        <v>-4091</v>
      </c>
      <c r="O267" s="20" t="n">
        <v>-991</v>
      </c>
      <c r="P267" s="20" t="n">
        <v>-323</v>
      </c>
      <c r="Q267" s="20" t="n">
        <v>5382</v>
      </c>
      <c r="R267" s="20" t="n">
        <v>-2719</v>
      </c>
      <c r="S267" s="20" t="n">
        <v>1439</v>
      </c>
      <c r="T267" s="20" t="n">
        <v>-3016</v>
      </c>
      <c r="U267" s="20" t="n">
        <v>2035</v>
      </c>
      <c r="V267" s="20" t="n">
        <v>4216</v>
      </c>
      <c r="W267" s="20" t="n">
        <v>-785</v>
      </c>
      <c r="X267" s="20" t="n">
        <v>-4091</v>
      </c>
    </row>
    <row r="268">
      <c r="A268" s="9" t="inlineStr">
        <is>
          <t>투자활동 현금흐름</t>
        </is>
      </c>
      <c r="E268" s="12" t="n">
        <v>-215944</v>
      </c>
      <c r="I268" s="12" t="n">
        <v>-255626</v>
      </c>
      <c r="M268" s="12" t="n">
        <v>-241852</v>
      </c>
      <c r="O268" s="12" t="n">
        <v>-137527</v>
      </c>
      <c r="P268" s="12" t="n">
        <v>-110456</v>
      </c>
      <c r="Q268" s="12" t="n">
        <v>-204192</v>
      </c>
      <c r="R268" s="12" t="n">
        <v>-232266</v>
      </c>
      <c r="S268" s="12" t="n">
        <v>-198354</v>
      </c>
      <c r="T268" s="12" t="n">
        <v>-152163</v>
      </c>
      <c r="U268" s="12" t="n">
        <v>-203938</v>
      </c>
      <c r="V268" s="12" t="n">
        <v>-215944</v>
      </c>
      <c r="W268" s="12" t="n">
        <v>-255626</v>
      </c>
      <c r="X268" s="12" t="n">
        <v>-241852</v>
      </c>
    </row>
    <row r="269">
      <c r="A269" s="18" t="inlineStr">
        <is>
          <t>단기차입금 순증감</t>
        </is>
      </c>
      <c r="E269" s="20" t="n">
        <v>-3581</v>
      </c>
      <c r="I269" s="20" t="n">
        <v>2065</v>
      </c>
      <c r="M269" s="20" t="n">
        <v>13961</v>
      </c>
      <c r="R269" s="20" t="n">
        <v>-2579</v>
      </c>
      <c r="S269" s="20" t="n">
        <v>-14659</v>
      </c>
      <c r="U269" s="20" t="n">
        <v>-2099</v>
      </c>
      <c r="V269" s="20" t="n">
        <v>-3581</v>
      </c>
      <c r="W269" s="20" t="n">
        <v>2065</v>
      </c>
      <c r="X269" s="20" t="n">
        <v>13961</v>
      </c>
    </row>
    <row r="270">
      <c r="A270" s="18" t="inlineStr">
        <is>
          <t>기업어음(CP) 순증감액</t>
        </is>
      </c>
      <c r="E270" s="20" t="n">
        <v>-45005</v>
      </c>
      <c r="I270" s="20" t="n">
        <v>-23994</v>
      </c>
      <c r="M270" s="20" t="n">
        <v>39893</v>
      </c>
      <c r="P270" s="20" t="n">
        <v>0</v>
      </c>
      <c r="Q270" s="20" t="n">
        <v>46000</v>
      </c>
      <c r="R270" s="20" t="n">
        <v>-46000</v>
      </c>
      <c r="S270" s="20" t="n">
        <v>0</v>
      </c>
      <c r="T270" s="20" t="n">
        <v>0</v>
      </c>
      <c r="U270" s="20" t="n">
        <v>68999</v>
      </c>
      <c r="V270" s="20" t="n">
        <v>-45005</v>
      </c>
      <c r="W270" s="20" t="n">
        <v>-23994</v>
      </c>
      <c r="X270" s="20" t="n">
        <v>39893</v>
      </c>
    </row>
    <row r="271">
      <c r="A271" s="18" t="inlineStr">
        <is>
          <t>장기차입</t>
        </is>
      </c>
      <c r="E271" s="20" t="n">
        <v>26876</v>
      </c>
      <c r="I271" s="20" t="n">
        <v>59551</v>
      </c>
      <c r="O271" s="20" t="n">
        <v>19248</v>
      </c>
      <c r="P271" s="20" t="n">
        <v>18719</v>
      </c>
      <c r="Q271" s="20" t="n">
        <v>129306</v>
      </c>
      <c r="R271" s="20" t="n">
        <v>44170</v>
      </c>
      <c r="S271" s="20" t="n">
        <v>35946</v>
      </c>
      <c r="T271" s="20" t="n">
        <v>42844</v>
      </c>
      <c r="U271" s="20" t="n">
        <v>80069</v>
      </c>
      <c r="V271" s="20" t="n">
        <v>26876</v>
      </c>
      <c r="W271" s="20" t="n">
        <v>59551</v>
      </c>
    </row>
    <row r="272">
      <c r="A272" s="18" t="inlineStr">
        <is>
          <t>장기차입금 상환</t>
        </is>
      </c>
      <c r="E272" s="20" t="n">
        <v>-63933</v>
      </c>
      <c r="I272" s="20" t="n">
        <v>-51910</v>
      </c>
      <c r="M272" s="20" t="n">
        <v>-72003</v>
      </c>
      <c r="O272" s="20" t="n">
        <v>-18763</v>
      </c>
      <c r="P272" s="20" t="n">
        <v>-48399</v>
      </c>
      <c r="Q272" s="20" t="n">
        <v>-37759</v>
      </c>
      <c r="R272" s="20" t="n">
        <v>-47418</v>
      </c>
      <c r="S272" s="20" t="n">
        <v>-44572</v>
      </c>
      <c r="T272" s="20" t="n">
        <v>-60388</v>
      </c>
      <c r="U272" s="20" t="n">
        <v>-39566</v>
      </c>
      <c r="V272" s="20" t="n">
        <v>-63933</v>
      </c>
      <c r="W272" s="20" t="n">
        <v>-51910</v>
      </c>
      <c r="X272" s="20" t="n">
        <v>-72003</v>
      </c>
    </row>
    <row r="273">
      <c r="A273" s="18" t="inlineStr">
        <is>
          <t>사채 발행</t>
        </is>
      </c>
      <c r="E273" s="20" t="n">
        <v>35000</v>
      </c>
      <c r="I273" s="20" t="n">
        <v>41000</v>
      </c>
      <c r="M273" s="20" t="n">
        <v>0</v>
      </c>
      <c r="O273" s="20" t="n">
        <v>10000</v>
      </c>
      <c r="P273" s="20" t="n">
        <v>0</v>
      </c>
      <c r="Q273" s="20" t="n">
        <v>0</v>
      </c>
      <c r="R273" s="20" t="n">
        <v>175000</v>
      </c>
      <c r="S273" s="20" t="n">
        <v>75000</v>
      </c>
      <c r="T273" s="20" t="n">
        <v>40000</v>
      </c>
      <c r="U273" s="20" t="n">
        <v>70000</v>
      </c>
      <c r="V273" s="20" t="n">
        <v>35000</v>
      </c>
      <c r="W273" s="20" t="n">
        <v>41000</v>
      </c>
      <c r="X273" s="20" t="n">
        <v>0</v>
      </c>
    </row>
    <row r="274">
      <c r="A274" s="18" t="inlineStr">
        <is>
          <t>사채 상환</t>
        </is>
      </c>
      <c r="E274" s="20" t="n">
        <v>-10020</v>
      </c>
      <c r="O274" s="20" t="n">
        <v>-35700</v>
      </c>
      <c r="P274" s="20" t="n">
        <v>0</v>
      </c>
      <c r="Q274" s="20" t="n">
        <v>-30000</v>
      </c>
      <c r="R274" s="20" t="n">
        <v>-20000</v>
      </c>
      <c r="S274" s="20" t="n">
        <v>-30000</v>
      </c>
      <c r="T274" s="20" t="n">
        <v>-10000</v>
      </c>
      <c r="U274" s="20" t="n">
        <v>-30000</v>
      </c>
      <c r="V274" s="20" t="n">
        <v>-10020</v>
      </c>
    </row>
    <row r="275">
      <c r="A275" s="18" t="inlineStr">
        <is>
          <t>금융리스부채 상환</t>
        </is>
      </c>
      <c r="E275" s="20" t="n">
        <v>-3394</v>
      </c>
      <c r="I275" s="20" t="n">
        <v>-3925</v>
      </c>
      <c r="M275" s="20" t="n">
        <v>-3877</v>
      </c>
      <c r="U275" s="20" t="n">
        <v>-2729</v>
      </c>
      <c r="V275" s="20" t="n">
        <v>-3394</v>
      </c>
      <c r="W275" s="20" t="n">
        <v>-3925</v>
      </c>
      <c r="X275" s="20" t="n">
        <v>-3877</v>
      </c>
    </row>
    <row r="276">
      <c r="A276" s="18" t="inlineStr">
        <is>
          <t>비지배주주 납입</t>
        </is>
      </c>
      <c r="E276" s="20" t="n">
        <v>385</v>
      </c>
      <c r="I276" s="20" t="n">
        <v>21876</v>
      </c>
      <c r="M276" s="20" t="n">
        <v>226</v>
      </c>
      <c r="O276" s="20" t="n">
        <v>133</v>
      </c>
      <c r="P276" s="20" t="n">
        <v>400</v>
      </c>
      <c r="Q276" s="20" t="n">
        <v>195</v>
      </c>
      <c r="R276" s="20" t="n">
        <v>240</v>
      </c>
      <c r="S276" s="20" t="n">
        <v>206</v>
      </c>
      <c r="T276" s="20" t="n">
        <v>402</v>
      </c>
      <c r="U276" s="20" t="n">
        <v>340</v>
      </c>
      <c r="V276" s="20" t="n">
        <v>385</v>
      </c>
      <c r="W276" s="20" t="n">
        <v>21876</v>
      </c>
      <c r="X276" s="20" t="n">
        <v>226</v>
      </c>
    </row>
    <row r="277">
      <c r="A277" s="18" t="inlineStr">
        <is>
          <t>자기주식 취득</t>
        </is>
      </c>
      <c r="E277" s="20" t="n">
        <v>-20056</v>
      </c>
      <c r="I277" s="20" t="n">
        <v>-40060</v>
      </c>
      <c r="M277" s="20" t="n">
        <v>-63531</v>
      </c>
      <c r="U277" s="20" t="n">
        <v>-38</v>
      </c>
      <c r="V277" s="20" t="n">
        <v>-20056</v>
      </c>
      <c r="W277" s="20" t="n">
        <v>-40060</v>
      </c>
      <c r="X277" s="20" t="n">
        <v>-63531</v>
      </c>
    </row>
    <row r="278">
      <c r="A278" s="18" t="inlineStr">
        <is>
          <t>배당금 지급</t>
        </is>
      </c>
      <c r="E278" s="20" t="n">
        <v>-25962</v>
      </c>
      <c r="I278" s="20" t="n">
        <v>-39546</v>
      </c>
      <c r="M278" s="20" t="n">
        <v>-42223</v>
      </c>
      <c r="O278" s="20" t="n">
        <v>-20803</v>
      </c>
      <c r="P278" s="20" t="n">
        <v>-20800</v>
      </c>
      <c r="Q278" s="20" t="n">
        <v>-20801</v>
      </c>
      <c r="R278" s="20" t="n">
        <v>-20799</v>
      </c>
      <c r="S278" s="20" t="n">
        <v>-20793</v>
      </c>
      <c r="T278" s="20" t="n">
        <v>-22857</v>
      </c>
      <c r="U278" s="20" t="n">
        <v>-24929</v>
      </c>
      <c r="V278" s="20" t="n">
        <v>-25962</v>
      </c>
      <c r="W278" s="20" t="n">
        <v>-39546</v>
      </c>
      <c r="X278" s="20" t="n">
        <v>-42223</v>
      </c>
    </row>
    <row r="279">
      <c r="A279" s="18" t="inlineStr">
        <is>
          <t>비지배주주 배당금 지급</t>
        </is>
      </c>
      <c r="E279" s="20" t="n">
        <v>-625</v>
      </c>
      <c r="I279" s="20" t="n">
        <v>-598</v>
      </c>
      <c r="M279" s="20" t="n">
        <v>-1270</v>
      </c>
      <c r="O279" s="20" t="n">
        <v>-948</v>
      </c>
      <c r="P279" s="20" t="n">
        <v>-1218</v>
      </c>
      <c r="Q279" s="20" t="n">
        <v>-980</v>
      </c>
      <c r="R279" s="20" t="n">
        <v>-1165</v>
      </c>
      <c r="S279" s="20" t="n">
        <v>-749</v>
      </c>
      <c r="T279" s="20" t="n">
        <v>-7859</v>
      </c>
      <c r="U279" s="20" t="n">
        <v>-778</v>
      </c>
      <c r="V279" s="20" t="n">
        <v>-625</v>
      </c>
      <c r="W279" s="20" t="n">
        <v>-598</v>
      </c>
      <c r="X279" s="20" t="n">
        <v>-1270</v>
      </c>
    </row>
    <row r="280">
      <c r="A280" s="18" t="inlineStr">
        <is>
          <t>비지배주주 환급</t>
        </is>
      </c>
      <c r="S280" s="20" t="n">
        <v>0</v>
      </c>
      <c r="T280" s="20" t="n">
        <v>-9700</v>
      </c>
      <c r="U280" s="20" t="n">
        <v>-37</v>
      </c>
    </row>
    <row r="281">
      <c r="A281" s="18" t="inlineStr">
        <is>
          <t>기타</t>
        </is>
      </c>
      <c r="E281" s="20" t="n">
        <v>-13407</v>
      </c>
      <c r="I281" s="20" t="n">
        <v>61008</v>
      </c>
      <c r="M281" s="20" t="n">
        <v>-353</v>
      </c>
      <c r="O281" s="20" t="n">
        <v>-3696</v>
      </c>
      <c r="P281" s="20" t="n">
        <v>-292</v>
      </c>
      <c r="Q281" s="20" t="n">
        <v>-698</v>
      </c>
      <c r="R281" s="20" t="n">
        <v>-2174</v>
      </c>
      <c r="S281" s="20" t="n">
        <v>-16673</v>
      </c>
      <c r="T281" s="20" t="n">
        <v>-2920</v>
      </c>
      <c r="U281" s="20" t="n">
        <v>349</v>
      </c>
      <c r="V281" s="20" t="n">
        <v>-13407</v>
      </c>
      <c r="W281" s="20" t="n">
        <v>61008</v>
      </c>
      <c r="X281" s="20" t="n">
        <v>-353</v>
      </c>
    </row>
    <row r="282">
      <c r="A282" s="9" t="inlineStr">
        <is>
          <t>재무활동 현금흐름</t>
        </is>
      </c>
      <c r="E282" s="12" t="n">
        <v>-110123</v>
      </c>
      <c r="I282" s="12" t="n">
        <v>-34085</v>
      </c>
      <c r="M282" s="12" t="n">
        <v>-129177</v>
      </c>
      <c r="O282" s="12" t="n">
        <v>-50530</v>
      </c>
      <c r="P282" s="12" t="n">
        <v>-51591</v>
      </c>
      <c r="Q282" s="12" t="n">
        <v>85262</v>
      </c>
      <c r="R282" s="12" t="n">
        <v>79272</v>
      </c>
      <c r="S282" s="12" t="n">
        <v>-1636</v>
      </c>
      <c r="T282" s="12" t="n">
        <v>-30479</v>
      </c>
      <c r="U282" s="12" t="n">
        <v>119617</v>
      </c>
      <c r="V282" s="12" t="n">
        <v>-110123</v>
      </c>
      <c r="W282" s="12" t="n">
        <v>-34085</v>
      </c>
      <c r="X282" s="12" t="n">
        <v>-129177</v>
      </c>
    </row>
    <row r="283">
      <c r="A283" s="18" t="inlineStr">
        <is>
          <t>현금성자산 환산차이</t>
        </is>
      </c>
      <c r="E283" s="20" t="n">
        <v>5893</v>
      </c>
      <c r="I283" s="20" t="n">
        <v>11110</v>
      </c>
      <c r="M283" s="20" t="n">
        <v>6472</v>
      </c>
      <c r="O283" s="20" t="n">
        <v>-3197</v>
      </c>
      <c r="P283" s="20" t="n">
        <v>666</v>
      </c>
      <c r="Q283" s="20" t="n">
        <v>-1478</v>
      </c>
      <c r="R283" s="20" t="n">
        <v>1145</v>
      </c>
      <c r="S283" s="20" t="n">
        <v>838</v>
      </c>
      <c r="T283" s="20" t="n">
        <v>1299</v>
      </c>
      <c r="U283" s="20" t="n">
        <v>4772</v>
      </c>
      <c r="V283" s="20" t="n">
        <v>5893</v>
      </c>
      <c r="W283" s="20" t="n">
        <v>11110</v>
      </c>
      <c r="X283" s="20" t="n">
        <v>6472</v>
      </c>
    </row>
    <row r="284">
      <c r="A284" s="18" t="inlineStr">
        <is>
          <t>현금성자산 증감</t>
        </is>
      </c>
      <c r="E284" s="20" t="n">
        <v>-7564</v>
      </c>
      <c r="I284" s="20" t="n">
        <v>5080</v>
      </c>
      <c r="M284" s="20" t="n">
        <v>-23816</v>
      </c>
      <c r="O284" s="20" t="n">
        <v>-42454</v>
      </c>
      <c r="P284" s="20" t="n">
        <v>7349</v>
      </c>
      <c r="Q284" s="20" t="n">
        <v>-55292</v>
      </c>
      <c r="R284" s="20" t="n">
        <v>31043</v>
      </c>
      <c r="S284" s="20" t="n">
        <v>20644</v>
      </c>
      <c r="T284" s="20" t="n">
        <v>-35993</v>
      </c>
      <c r="U284" s="20" t="n">
        <v>-45975</v>
      </c>
      <c r="V284" s="20" t="n">
        <v>-7564</v>
      </c>
      <c r="W284" s="20" t="n">
        <v>5080</v>
      </c>
      <c r="X284" s="20" t="n">
        <v>-23816</v>
      </c>
    </row>
    <row r="285">
      <c r="A285" s="18" t="inlineStr">
        <is>
          <t>연결 제외 현금성자산 감소</t>
        </is>
      </c>
      <c r="O285" s="20" t="n">
        <v>0</v>
      </c>
      <c r="P285" s="20" t="n">
        <v>-3200</v>
      </c>
      <c r="Q285" s="20" t="n">
        <v>0</v>
      </c>
      <c r="R285" s="20" t="n">
        <v>0</v>
      </c>
      <c r="S285" s="20" t="n">
        <v>-695</v>
      </c>
      <c r="T285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6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9532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847022</v>
      </c>
      <c r="D5" s="12" t="n">
        <v>837144</v>
      </c>
      <c r="E5" s="12" t="n">
        <v>895541</v>
      </c>
      <c r="F5" s="12" t="n">
        <v>828882</v>
      </c>
      <c r="G5" s="12" t="n">
        <v>935545</v>
      </c>
      <c r="H5" s="11" t="n">
        <v>707651</v>
      </c>
      <c r="I5" s="12" t="n">
        <v>780936</v>
      </c>
      <c r="J5" s="12" t="n">
        <v>762479</v>
      </c>
      <c r="K5" s="12" t="n">
        <v>812779</v>
      </c>
      <c r="L5" s="12" t="n">
        <v>828882</v>
      </c>
    </row>
    <row r="6">
      <c r="A6" s="18" t="inlineStr">
        <is>
          <t>현금및현금성자산</t>
        </is>
      </c>
      <c r="B6" s="10" t="n"/>
      <c r="C6" s="19" t="n">
        <v>155980</v>
      </c>
      <c r="D6" s="20" t="n">
        <v>177412</v>
      </c>
      <c r="E6" s="20" t="n">
        <v>135276</v>
      </c>
      <c r="F6" s="20" t="n">
        <v>58981</v>
      </c>
      <c r="G6" s="20" t="n">
        <v>178637</v>
      </c>
      <c r="H6" s="19" t="n">
        <v>131089</v>
      </c>
      <c r="I6" s="20" t="n">
        <v>85087</v>
      </c>
      <c r="J6" s="20" t="n">
        <v>77668</v>
      </c>
      <c r="K6" s="20" t="n">
        <v>82810</v>
      </c>
      <c r="L6" s="20" t="n">
        <v>58981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241247</v>
      </c>
      <c r="D8" s="20" t="n">
        <v>242617</v>
      </c>
      <c r="E8" s="20" t="n">
        <v>262836</v>
      </c>
      <c r="F8" s="20" t="n">
        <v>296723</v>
      </c>
      <c r="G8" s="20" t="n">
        <v>233484</v>
      </c>
      <c r="H8" s="19" t="n">
        <v>227118</v>
      </c>
      <c r="I8" s="20" t="n">
        <v>279602</v>
      </c>
      <c r="J8" s="20" t="n">
        <v>270527</v>
      </c>
      <c r="K8" s="20" t="n">
        <v>317852</v>
      </c>
      <c r="L8" s="20" t="n">
        <v>296723</v>
      </c>
    </row>
    <row r="9">
      <c r="A9" s="18" t="inlineStr">
        <is>
          <t>재고자산</t>
        </is>
      </c>
      <c r="B9" s="10" t="n"/>
      <c r="C9" s="19" t="n">
        <v>241985</v>
      </c>
      <c r="D9" s="20" t="n">
        <v>203076</v>
      </c>
      <c r="E9" s="20" t="n">
        <v>262116</v>
      </c>
      <c r="F9" s="20" t="n">
        <v>222683</v>
      </c>
      <c r="G9" s="20" t="n">
        <v>254376</v>
      </c>
      <c r="H9" s="19" t="n">
        <v>145445</v>
      </c>
      <c r="I9" s="20" t="n">
        <v>219380</v>
      </c>
      <c r="J9" s="20" t="n">
        <v>211828</v>
      </c>
      <c r="K9" s="20" t="n">
        <v>204987</v>
      </c>
      <c r="L9" s="20" t="n">
        <v>222683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2338756</v>
      </c>
      <c r="D11" s="12" t="n">
        <v>2358852</v>
      </c>
      <c r="E11" s="12" t="n">
        <v>2431161</v>
      </c>
      <c r="F11" s="12" t="n">
        <v>2492522</v>
      </c>
      <c r="G11" s="12" t="n">
        <v>2549900</v>
      </c>
      <c r="H11" s="11" t="n">
        <v>1880434</v>
      </c>
      <c r="I11" s="12" t="n">
        <v>2038652</v>
      </c>
      <c r="J11" s="12" t="n">
        <v>2217647</v>
      </c>
      <c r="K11" s="12" t="n">
        <v>2387746</v>
      </c>
      <c r="L11" s="12" t="n">
        <v>2492522</v>
      </c>
    </row>
    <row r="12">
      <c r="A12" s="18" t="inlineStr">
        <is>
          <t>유형자산</t>
        </is>
      </c>
      <c r="B12" s="10" t="n"/>
      <c r="C12" s="19" t="n">
        <v>1413501</v>
      </c>
      <c r="D12" s="20" t="n">
        <v>1442299</v>
      </c>
      <c r="E12" s="20" t="n">
        <v>1462326</v>
      </c>
      <c r="F12" s="20" t="n">
        <v>1494750</v>
      </c>
      <c r="G12" s="20" t="n">
        <v>1520207</v>
      </c>
      <c r="H12" s="19" t="n">
        <v>1156281</v>
      </c>
      <c r="I12" s="20" t="n">
        <v>1243788</v>
      </c>
      <c r="J12" s="20" t="n">
        <v>1304945</v>
      </c>
      <c r="K12" s="20" t="n">
        <v>1427677</v>
      </c>
      <c r="L12" s="20" t="n">
        <v>1494750</v>
      </c>
    </row>
    <row r="13">
      <c r="A13" s="18" t="inlineStr">
        <is>
          <t>무형자산</t>
        </is>
      </c>
      <c r="B13" s="10" t="n"/>
      <c r="C13" s="19" t="n">
        <v>90142</v>
      </c>
      <c r="D13" s="20" t="n">
        <v>71875</v>
      </c>
      <c r="E13" s="20" t="n">
        <v>75344</v>
      </c>
      <c r="F13" s="20" t="n">
        <v>79093</v>
      </c>
      <c r="G13" s="20" t="n">
        <v>78787</v>
      </c>
      <c r="H13" s="19" t="n">
        <v>95251</v>
      </c>
      <c r="I13" s="20" t="n">
        <v>105120</v>
      </c>
      <c r="J13" s="20" t="n">
        <v>109243</v>
      </c>
      <c r="K13" s="20" t="n">
        <v>92377</v>
      </c>
      <c r="L13" s="20" t="n">
        <v>79093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3185778</v>
      </c>
      <c r="D16" s="12" t="n">
        <v>3195996</v>
      </c>
      <c r="E16" s="12" t="n">
        <v>3326702</v>
      </c>
      <c r="F16" s="12" t="n">
        <v>3321405</v>
      </c>
      <c r="G16" s="12" t="n">
        <v>3485446</v>
      </c>
      <c r="H16" s="11" t="n">
        <v>2588086</v>
      </c>
      <c r="I16" s="12" t="n">
        <v>2819589</v>
      </c>
      <c r="J16" s="12" t="n">
        <v>2980127</v>
      </c>
      <c r="K16" s="12" t="n">
        <v>3200525</v>
      </c>
      <c r="L16" s="12" t="n">
        <v>3321405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490552</v>
      </c>
      <c r="D18" s="12" t="n">
        <v>478710</v>
      </c>
      <c r="E18" s="12" t="n">
        <v>540949</v>
      </c>
      <c r="F18" s="12" t="n">
        <v>450212</v>
      </c>
      <c r="G18" s="12" t="n">
        <v>586861</v>
      </c>
      <c r="H18" s="11" t="n">
        <v>400190</v>
      </c>
      <c r="I18" s="12" t="n">
        <v>459798</v>
      </c>
      <c r="J18" s="12" t="n">
        <v>393936</v>
      </c>
      <c r="K18" s="12" t="n">
        <v>409785</v>
      </c>
      <c r="L18" s="12" t="n">
        <v>450212</v>
      </c>
    </row>
    <row r="19">
      <c r="A19" s="18" t="inlineStr">
        <is>
          <t>매입채무</t>
        </is>
      </c>
      <c r="B19" s="10" t="n"/>
      <c r="C19" s="19" t="n">
        <v>83013</v>
      </c>
      <c r="D19" s="20" t="n">
        <v>80713</v>
      </c>
      <c r="E19" s="20" t="n">
        <v>100592</v>
      </c>
      <c r="F19" s="20" t="n">
        <v>94528</v>
      </c>
      <c r="G19" s="20" t="n">
        <v>93226</v>
      </c>
      <c r="H19" s="19" t="n">
        <v>104935</v>
      </c>
      <c r="I19" s="20" t="n">
        <v>69142</v>
      </c>
      <c r="J19" s="20" t="n">
        <v>82907</v>
      </c>
      <c r="K19" s="20" t="n">
        <v>103690</v>
      </c>
      <c r="L19" s="20" t="n">
        <v>94528</v>
      </c>
    </row>
    <row r="20">
      <c r="A20" s="18" t="inlineStr">
        <is>
          <t>단기차입금</t>
        </is>
      </c>
      <c r="B20" s="10" t="n"/>
      <c r="C20" s="19" t="n"/>
      <c r="D20" s="20" t="n">
        <v>50431</v>
      </c>
      <c r="E20" s="20" t="n"/>
      <c r="F20" s="20" t="n"/>
      <c r="G20" s="20" t="n"/>
      <c r="H20" s="19" t="n"/>
      <c r="I20" s="20" t="n"/>
      <c r="J20" s="20" t="n">
        <v>7612</v>
      </c>
      <c r="K20" s="20" t="n">
        <v>8971</v>
      </c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1017002</v>
      </c>
      <c r="D23" s="12" t="n">
        <v>998922</v>
      </c>
      <c r="E23" s="12" t="n">
        <v>1005949</v>
      </c>
      <c r="F23" s="12" t="n">
        <v>1017164</v>
      </c>
      <c r="G23" s="12" t="n">
        <v>1022686</v>
      </c>
      <c r="H23" s="11" t="n">
        <v>891806</v>
      </c>
      <c r="I23" s="12" t="n">
        <v>942611</v>
      </c>
      <c r="J23" s="12" t="n">
        <v>981198</v>
      </c>
      <c r="K23" s="12" t="n">
        <v>1051448</v>
      </c>
      <c r="L23" s="12" t="n">
        <v>1017164</v>
      </c>
    </row>
    <row r="24">
      <c r="A24" s="18" t="inlineStr">
        <is>
          <t>장기차입금</t>
        </is>
      </c>
      <c r="B24" s="10" t="n"/>
      <c r="C24" s="19" t="n">
        <v>344106</v>
      </c>
      <c r="D24" s="20" t="n">
        <v>314102</v>
      </c>
      <c r="E24" s="20" t="n">
        <v>312029</v>
      </c>
      <c r="F24" s="20" t="n">
        <v>303203</v>
      </c>
      <c r="G24" s="20" t="n">
        <v>304475</v>
      </c>
      <c r="H24" s="19" t="n">
        <v>350502</v>
      </c>
      <c r="I24" s="20" t="n">
        <v>386516</v>
      </c>
      <c r="J24" s="20" t="n">
        <v>354588</v>
      </c>
      <c r="K24" s="20" t="n">
        <v>363939</v>
      </c>
      <c r="L24" s="20" t="n">
        <v>303203</v>
      </c>
    </row>
    <row r="25">
      <c r="A25" s="18" t="inlineStr">
        <is>
          <t>사채</t>
        </is>
      </c>
      <c r="B25" s="10" t="n"/>
      <c r="C25" s="19" t="n">
        <v>491030</v>
      </c>
      <c r="D25" s="20" t="n">
        <v>491023</v>
      </c>
      <c r="E25" s="20" t="n">
        <v>491016</v>
      </c>
      <c r="F25" s="20" t="n">
        <v>491016</v>
      </c>
      <c r="G25" s="20" t="n">
        <v>491009</v>
      </c>
      <c r="H25" s="19" t="n">
        <v>364998</v>
      </c>
      <c r="I25" s="20" t="n">
        <v>425018</v>
      </c>
      <c r="J25" s="20" t="n">
        <v>459999</v>
      </c>
      <c r="K25" s="20" t="n">
        <v>500999</v>
      </c>
      <c r="L25" s="20" t="n">
        <v>491016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1507555</v>
      </c>
      <c r="D27" s="12" t="n">
        <v>1477632</v>
      </c>
      <c r="E27" s="12" t="n">
        <v>1546898</v>
      </c>
      <c r="F27" s="12" t="n">
        <v>1467377</v>
      </c>
      <c r="G27" s="12" t="n">
        <v>1609547</v>
      </c>
      <c r="H27" s="11" t="n">
        <v>1291996</v>
      </c>
      <c r="I27" s="12" t="n">
        <v>1402410</v>
      </c>
      <c r="J27" s="12" t="n">
        <v>1375135</v>
      </c>
      <c r="K27" s="12" t="n">
        <v>1461234</v>
      </c>
      <c r="L27" s="12" t="n">
        <v>1467377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1631372</v>
      </c>
      <c r="D31" s="12" t="n">
        <v>1671934</v>
      </c>
      <c r="E31" s="12" t="n">
        <v>1732556</v>
      </c>
      <c r="F31" s="12" t="n">
        <v>1806043</v>
      </c>
      <c r="G31" s="12" t="n">
        <v>1827960</v>
      </c>
      <c r="H31" s="11" t="n">
        <v>1271617</v>
      </c>
      <c r="I31" s="12" t="n">
        <v>1391421</v>
      </c>
      <c r="J31" s="12" t="n">
        <v>1577513</v>
      </c>
      <c r="K31" s="12" t="n">
        <v>1688794</v>
      </c>
      <c r="L31" s="12" t="n">
        <v>1806043</v>
      </c>
    </row>
    <row r="32">
      <c r="A32" s="18" t="inlineStr">
        <is>
          <t>자본금</t>
        </is>
      </c>
      <c r="B32" s="10" t="n"/>
      <c r="C32" s="19" t="n">
        <v>132166</v>
      </c>
      <c r="D32" s="20" t="n">
        <v>132166</v>
      </c>
      <c r="E32" s="20" t="n">
        <v>132166</v>
      </c>
      <c r="F32" s="20" t="n">
        <v>132166</v>
      </c>
      <c r="G32" s="20" t="n">
        <v>132166</v>
      </c>
      <c r="H32" s="19" t="n">
        <v>132166</v>
      </c>
      <c r="I32" s="20" t="n">
        <v>132166</v>
      </c>
      <c r="J32" s="20" t="n">
        <v>132166</v>
      </c>
      <c r="K32" s="20" t="n">
        <v>132166</v>
      </c>
      <c r="L32" s="20" t="n">
        <v>132166</v>
      </c>
    </row>
    <row r="33">
      <c r="A33" s="18" t="inlineStr">
        <is>
          <t>이익잉여금</t>
        </is>
      </c>
      <c r="B33" s="10" t="n"/>
      <c r="C33" s="19" t="n">
        <v>1182422</v>
      </c>
      <c r="D33" s="20" t="n">
        <v>1228591</v>
      </c>
      <c r="E33" s="20" t="n">
        <v>1250451</v>
      </c>
      <c r="F33" s="20" t="n">
        <v>1262276</v>
      </c>
      <c r="G33" s="20" t="n">
        <v>1204464</v>
      </c>
      <c r="H33" s="19" t="n">
        <v>977907</v>
      </c>
      <c r="I33" s="20" t="n">
        <v>1010078</v>
      </c>
      <c r="J33" s="20" t="n">
        <v>1097883</v>
      </c>
      <c r="K33" s="20" t="n">
        <v>1173020</v>
      </c>
      <c r="L33" s="20" t="n">
        <v>1262276</v>
      </c>
    </row>
    <row r="34">
      <c r="A34" s="18" t="inlineStr">
        <is>
          <t>비지배지분</t>
        </is>
      </c>
      <c r="B34" s="10" t="n"/>
      <c r="C34" s="19" t="n">
        <v>46851</v>
      </c>
      <c r="D34" s="20" t="n">
        <v>46430</v>
      </c>
      <c r="E34" s="20" t="n">
        <v>47247</v>
      </c>
      <c r="F34" s="20" t="n">
        <v>47985</v>
      </c>
      <c r="G34" s="20" t="n">
        <v>47938</v>
      </c>
      <c r="H34" s="19" t="n">
        <v>24472</v>
      </c>
      <c r="I34" s="20" t="n">
        <v>25757</v>
      </c>
      <c r="J34" s="20" t="n">
        <v>27479</v>
      </c>
      <c r="K34" s="20" t="n">
        <v>50497</v>
      </c>
      <c r="L34" s="20" t="n">
        <v>47985</v>
      </c>
    </row>
    <row r="35">
      <c r="A35" s="9" t="inlineStr">
        <is>
          <t>자본총계</t>
        </is>
      </c>
      <c r="B35" s="10" t="n"/>
      <c r="C35" s="11" t="n">
        <v>1678223</v>
      </c>
      <c r="D35" s="12" t="n">
        <v>1718364</v>
      </c>
      <c r="E35" s="12" t="n">
        <v>1779803</v>
      </c>
      <c r="F35" s="12" t="n">
        <v>1854028</v>
      </c>
      <c r="G35" s="12" t="n">
        <v>1875898</v>
      </c>
      <c r="H35" s="11" t="n">
        <v>1296089</v>
      </c>
      <c r="I35" s="12" t="n">
        <v>1417178</v>
      </c>
      <c r="J35" s="12" t="n">
        <v>1604992</v>
      </c>
      <c r="K35" s="12" t="n">
        <v>1739291</v>
      </c>
      <c r="L35" s="12" t="n">
        <v>1854028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340740</v>
      </c>
      <c r="G37" s="12" t="n"/>
      <c r="H37" s="11" t="n">
        <v>145350</v>
      </c>
      <c r="I37" s="12" t="n">
        <v>33572</v>
      </c>
      <c r="J37" s="12" t="n">
        <v>312609</v>
      </c>
      <c r="K37" s="12" t="n">
        <v>283681</v>
      </c>
      <c r="L37" s="12" t="n">
        <v>340740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251117</v>
      </c>
      <c r="G38" s="20" t="n"/>
      <c r="H38" s="19" t="n">
        <v>187997</v>
      </c>
      <c r="I38" s="20" t="n">
        <v>194148</v>
      </c>
      <c r="J38" s="20" t="n">
        <v>187366</v>
      </c>
      <c r="K38" s="20" t="n">
        <v>222411</v>
      </c>
      <c r="L38" s="20" t="n">
        <v>251117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42223</v>
      </c>
      <c r="G40" s="20" t="n"/>
      <c r="H40" s="19" t="n">
        <v>22857</v>
      </c>
      <c r="I40" s="20" t="n">
        <v>24929</v>
      </c>
      <c r="J40" s="20" t="n">
        <v>25962</v>
      </c>
      <c r="K40" s="20" t="n">
        <v>39546</v>
      </c>
      <c r="L40" s="20" t="n">
        <v>42223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IFERROR(IF((IF(COUNT('연간'!G58:J58)&lt;4,"",SUM('연간'!G58:J58)))&lt;=0,"적자",C28/(IF(COUNT('연간'!G58:J58)&lt;4,"",SUM('연간'!G58:J58)))),"")</f>
        <v/>
      </c>
      <c r="D49" s="47">
        <f>IFERROR(IF((IF(COUNT('연간'!H58:K58)&lt;4,"",SUM('연간'!H58:K58)))&lt;=0,"적자",D28/(IF(COUNT('연간'!H58:K58)&lt;4,"",SUM('연간'!H58:K58)))),"")</f>
        <v/>
      </c>
      <c r="E49" s="47">
        <f>IFERROR(IF((IF(COUNT('연간'!I58:L58)&lt;4,"",SUM('연간'!I58:L58)))&lt;=0,"적자",E28/(IF(COUNT('연간'!I58:L58)&lt;4,"",SUM('연간'!I58:L58)))),"")</f>
        <v/>
      </c>
      <c r="F49" s="47">
        <f>IFERROR(IF((IF(COUNT('연간'!J58:M58)&lt;4,"",SUM('연간'!J58:M58)))&lt;=0,"적자",F28/(IF(COUNT('연간'!J58:M58)&lt;4,"",SUM('연간'!J58:M58)))),"")</f>
        <v/>
      </c>
      <c r="G49" s="47">
        <f>IFERROR(IF((IF(COUNT('연간'!K58:N58)&lt;4,"",SUM('연간'!K58:N58)))&lt;=0,"적자",G28/(IF(COUNT('연간'!K58:N58)&lt;4,"",SUM('연간'!K58:N58)))),"")</f>
        <v/>
      </c>
      <c r="H49" s="46">
        <f>IFERROR(IF(('연간'!T58)&lt;=0,"적자",H28/('연간'!T58)),"")</f>
        <v/>
      </c>
      <c r="I49" s="47">
        <f>IFERROR(IF(('연간'!U58)&lt;=0,"적자",I28/('연간'!U58)),"")</f>
        <v/>
      </c>
      <c r="J49" s="47">
        <f>IFERROR(IF(('연간'!V58)&lt;=0,"적자",J28/('연간'!V58)),"")</f>
        <v/>
      </c>
      <c r="K49" s="47">
        <f>IFERROR(IF(('연간'!W58)&lt;=0,"적자",K28/('연간'!W58)),"")</f>
        <v/>
      </c>
      <c r="L49" s="47">
        <f>IFERROR(IF(('연간'!X58)&lt;=0,"적자",L28/('연간'!X58)),"")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IFERROR((IF(COUNT('연간'!G58:J58)&lt;4,"",SUM('연간'!G58:J58)))/C31,"")</f>
        <v/>
      </c>
      <c r="D51" s="36">
        <f>IFERROR((IF(COUNT('연간'!H58:K58)&lt;4,"",SUM('연간'!H58:K58)))/D31,"")</f>
        <v/>
      </c>
      <c r="E51" s="36">
        <f>IFERROR((IF(COUNT('연간'!I58:L58)&lt;4,"",SUM('연간'!I58:L58)))/E31,"")</f>
        <v/>
      </c>
      <c r="F51" s="36">
        <f>IFERROR((IF(COUNT('연간'!J58:M58)&lt;4,"",SUM('연간'!J58:M58)))/F31,"")</f>
        <v/>
      </c>
      <c r="G51" s="36">
        <f>IFERROR((IF(COUNT('연간'!K58:N58)&lt;4,"",SUM('연간'!K58:N58)))/G31,"")</f>
        <v/>
      </c>
      <c r="H51" s="35">
        <f>IFERROR(('연간'!T58)/H31,"")</f>
        <v/>
      </c>
      <c r="I51" s="36">
        <f>IFERROR(('연간'!U58)/I31,"")</f>
        <v/>
      </c>
      <c r="J51" s="36">
        <f>IFERROR(('연간'!V58)/J31,"")</f>
        <v/>
      </c>
      <c r="K51" s="36">
        <f>IFERROR(('연간'!W58)/K31,"")</f>
        <v/>
      </c>
      <c r="L51" s="36">
        <f>IFERROR(('연간'!X58)/L31,"")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IFERROR((IF(COUNT('연간'!G56:J56)&lt;4,"",SUM('연간'!G56:J56)))/C16,"")</f>
        <v/>
      </c>
      <c r="D52" s="36">
        <f>IFERROR((IF(COUNT('연간'!H56:K56)&lt;4,"",SUM('연간'!H56:K56)))/D16,"")</f>
        <v/>
      </c>
      <c r="E52" s="36">
        <f>IFERROR((IF(COUNT('연간'!I56:L56)&lt;4,"",SUM('연간'!I56:L56)))/E16,"")</f>
        <v/>
      </c>
      <c r="F52" s="36">
        <f>IFERROR((IF(COUNT('연간'!J56:M56)&lt;4,"",SUM('연간'!J56:M56)))/F16,"")</f>
        <v/>
      </c>
      <c r="G52" s="36">
        <f>IFERROR((IF(COUNT('연간'!K56:N56)&lt;4,"",SUM('연간'!K56:N56)))/G16,"")</f>
        <v/>
      </c>
      <c r="H52" s="35">
        <f>IFERROR(('연간'!T56)/H16,"")</f>
        <v/>
      </c>
      <c r="I52" s="36">
        <f>IFERROR(('연간'!U56)/I16,"")</f>
        <v/>
      </c>
      <c r="J52" s="36">
        <f>IFERROR(('연간'!V56)/J16,"")</f>
        <v/>
      </c>
      <c r="K52" s="36">
        <f>IFERROR(('연간'!W56)/K16,"")</f>
        <v/>
      </c>
      <c r="L52" s="36">
        <f>IFERROR(('연간'!X56)/L16,"")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IFERROR((IF(COUNT('연간'!G22:J22)&lt;4,"",SUM('연간'!G22:J22)))/(IF(COUNT('연간'!G4:J4)&lt;4,"",SUM('연간'!G4:J4))),"")</f>
        <v/>
      </c>
      <c r="D54" s="36">
        <f>IFERROR((IF(COUNT('연간'!H22:K22)&lt;4,"",SUM('연간'!H22:K22)))/(IF(COUNT('연간'!H4:K4)&lt;4,"",SUM('연간'!H4:K4))),"")</f>
        <v/>
      </c>
      <c r="E54" s="36">
        <f>IFERROR((IF(COUNT('연간'!I22:L22)&lt;4,"",SUM('연간'!I22:L22)))/(IF(COUNT('연간'!I4:L4)&lt;4,"",SUM('연간'!I4:L4))),"")</f>
        <v/>
      </c>
      <c r="F54" s="36">
        <f>IFERROR((IF(COUNT('연간'!J22:M22)&lt;4,"",SUM('연간'!J22:M22)))/(IF(COUNT('연간'!J4:M4)&lt;4,"",SUM('연간'!J4:M4))),"")</f>
        <v/>
      </c>
      <c r="G54" s="36">
        <f>IFERROR((IF(COUNT('연간'!K22:N22)&lt;4,"",SUM('연간'!K22:N22)))/(IF(COUNT('연간'!K4:N4)&lt;4,"",SUM('연간'!K4:N4))),"")</f>
        <v/>
      </c>
      <c r="H54" s="35">
        <f>IFERROR(('연간'!T22)/('연간'!T4),"")</f>
        <v/>
      </c>
      <c r="I54" s="36">
        <f>IFERROR(('연간'!U22)/('연간'!U4),"")</f>
        <v/>
      </c>
      <c r="J54" s="36">
        <f>IFERROR(('연간'!V22)/('연간'!V4),"")</f>
        <v/>
      </c>
      <c r="K54" s="36">
        <f>IFERROR(('연간'!W22)/('연간'!W4),"")</f>
        <v/>
      </c>
      <c r="L54" s="36">
        <f>IFERROR(('연간'!X22)/('연간'!X4),"")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IFERROR((IF(COUNT('연간'!G56:J56)&lt;4,"",SUM('연간'!G56:J56)))/(IF(COUNT('연간'!G4:J4)&lt;4,"",SUM('연간'!G4:J4))),"")</f>
        <v/>
      </c>
      <c r="D56" s="36">
        <f>IFERROR((IF(COUNT('연간'!H56:K56)&lt;4,"",SUM('연간'!H56:K56)))/(IF(COUNT('연간'!H4:K4)&lt;4,"",SUM('연간'!H4:K4))),"")</f>
        <v/>
      </c>
      <c r="E56" s="36">
        <f>IFERROR((IF(COUNT('연간'!I56:L56)&lt;4,"",SUM('연간'!I56:L56)))/(IF(COUNT('연간'!I4:L4)&lt;4,"",SUM('연간'!I4:L4))),"")</f>
        <v/>
      </c>
      <c r="F56" s="36">
        <f>IFERROR((IF(COUNT('연간'!J56:M56)&lt;4,"",SUM('연간'!J56:M56)))/(IF(COUNT('연간'!J4:M4)&lt;4,"",SUM('연간'!J4:M4))),"")</f>
        <v/>
      </c>
      <c r="G56" s="36">
        <f>IFERROR((IF(COUNT('연간'!K56:N56)&lt;4,"",SUM('연간'!K56:N56)))/(IF(COUNT('연간'!K4:N4)&lt;4,"",SUM('연간'!K4:N4))),"")</f>
        <v/>
      </c>
      <c r="H56" s="35">
        <f>IFERROR(('연간'!T56)/('연간'!T4),"")</f>
        <v/>
      </c>
      <c r="I56" s="36">
        <f>IFERROR(('연간'!U56)/('연간'!U4),"")</f>
        <v/>
      </c>
      <c r="J56" s="36">
        <f>IFERROR(('연간'!V56)/('연간'!V4),"")</f>
        <v/>
      </c>
      <c r="K56" s="36">
        <f>IFERROR(('연간'!W56)/('연간'!W4),"")</f>
        <v/>
      </c>
      <c r="L56" s="36">
        <f>IFERROR(('연간'!X56)/('연간'!X4),"")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IF(C37="","",IFERROR(C37/(IF(COUNT('연간'!G56:J56)&lt;4,"",SUM('연간'!G56:J56))),""))</f>
        <v/>
      </c>
      <c r="D64" s="31">
        <f>IF(D37="","",IFERROR(D37/(IF(COUNT('연간'!H56:K56)&lt;4,"",SUM('연간'!H56:K56))),""))</f>
        <v/>
      </c>
      <c r="E64" s="31">
        <f>IF(E37="","",IFERROR(E37/(IF(COUNT('연간'!I56:L56)&lt;4,"",SUM('연간'!I56:L56))),""))</f>
        <v/>
      </c>
      <c r="F64" s="31">
        <f>IF(F37="","",IFERROR(F37/(IF(COUNT('연간'!J56:M56)&lt;4,"",SUM('연간'!J56:M56))),""))</f>
        <v/>
      </c>
      <c r="G64" s="31">
        <f>IF(G37="","",IFERROR(G37/(IF(COUNT('연간'!K56:N56)&lt;4,"",SUM('연간'!K56:N56))),""))</f>
        <v/>
      </c>
      <c r="H64" s="30">
        <f>IF(H37="","",IFERROR(H37/('연간'!T56),""))</f>
        <v/>
      </c>
      <c r="I64" s="31">
        <f>IF(I37="","",IFERROR(I37/('연간'!U56),""))</f>
        <v/>
      </c>
      <c r="J64" s="31">
        <f>IF(J37="","",IFERROR(J37/('연간'!V56),""))</f>
        <v/>
      </c>
      <c r="K64" s="31">
        <f>IF(K37="","",IFERROR(K37/('연간'!W56),""))</f>
        <v/>
      </c>
      <c r="L64" s="31">
        <f>IF(L37="","",IFERROR(L37/('연간'!X56),""))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IF(C40="","",IFERROR(C40/(IF(COUNT('연간'!G58:J58)&lt;4,"",SUM('연간'!G58:J58))),""))</f>
        <v/>
      </c>
      <c r="D67" s="36">
        <f>IF(D40="","",IFERROR(D40/(IF(COUNT('연간'!H58:K58)&lt;4,"",SUM('연간'!H58:K58))),""))</f>
        <v/>
      </c>
      <c r="E67" s="36">
        <f>IF(E40="","",IFERROR(E40/(IF(COUNT('연간'!I58:L58)&lt;4,"",SUM('연간'!I58:L58))),""))</f>
        <v/>
      </c>
      <c r="F67" s="36">
        <f>IF(F40="","",IFERROR(F40/(IF(COUNT('연간'!J58:M58)&lt;4,"",SUM('연간'!J58:M58))),""))</f>
        <v/>
      </c>
      <c r="G67" s="36">
        <f>IF(G40="","",IFERROR(G40/(IF(COUNT('연간'!K58:N58)&lt;4,"",SUM('연간'!K58:N58))),""))</f>
        <v/>
      </c>
      <c r="H67" s="35">
        <f>IF(H40="","",IFERROR(H40/('연간'!T58),""))</f>
        <v/>
      </c>
      <c r="I67" s="36">
        <f>IF(I40="","",IFERROR(I40/('연간'!U58),""))</f>
        <v/>
      </c>
      <c r="J67" s="36">
        <f>IF(J40="","",IFERROR(J40/('연간'!V58),""))</f>
        <v/>
      </c>
      <c r="K67" s="36">
        <f>IF(K40="","",IFERROR(K40/('연간'!W58),""))</f>
        <v/>
      </c>
      <c r="L67" s="36">
        <f>IF(L40="","",IFERROR(L40/('연간'!X58),""))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155980</v>
      </c>
      <c r="D71" s="20" t="n">
        <v>177412</v>
      </c>
      <c r="E71" s="20" t="n">
        <v>135276</v>
      </c>
      <c r="F71" s="20" t="n">
        <v>58981</v>
      </c>
      <c r="G71" s="20" t="n">
        <v>178637</v>
      </c>
      <c r="H71" s="20" t="n">
        <v>131089</v>
      </c>
      <c r="I71" s="20" t="n">
        <v>85087</v>
      </c>
      <c r="J71" s="20" t="n">
        <v>77668</v>
      </c>
      <c r="K71" s="20" t="n">
        <v>82810</v>
      </c>
      <c r="L71" s="20" t="n">
        <v>58981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</t>
        </is>
      </c>
      <c r="H73" s="20" t="n">
        <v>234</v>
      </c>
    </row>
    <row r="74">
      <c r="A74" s="18" t="inlineStr">
        <is>
          <t>매출채권</t>
        </is>
      </c>
      <c r="H74" s="20" t="n">
        <v>126581</v>
      </c>
    </row>
    <row r="75">
      <c r="A75" s="18" t="inlineStr">
        <is>
          <t>Accounts Receivable From Subsidiaries And Affiliates Trade CAGAS</t>
        </is>
      </c>
      <c r="H75" s="20" t="n">
        <v>19696</v>
      </c>
    </row>
    <row r="76">
      <c r="A76" s="18" t="inlineStr">
        <is>
          <t>미수금</t>
        </is>
      </c>
      <c r="H76" s="20" t="n">
        <v>11681</v>
      </c>
    </row>
    <row r="77">
      <c r="A77" s="18" t="inlineStr">
        <is>
          <t>제품</t>
        </is>
      </c>
      <c r="H77" s="20" t="n">
        <v>61</v>
      </c>
    </row>
    <row r="78">
      <c r="A78" s="18" t="inlineStr">
        <is>
          <t>Raw Materials CAGAS</t>
        </is>
      </c>
      <c r="H78" s="20" t="n">
        <v>52432</v>
      </c>
    </row>
    <row r="79">
      <c r="A79" s="18" t="inlineStr">
        <is>
          <t>저장품</t>
        </is>
      </c>
      <c r="H79" s="20" t="n">
        <v>14060</v>
      </c>
    </row>
    <row r="80">
      <c r="A80" s="18" t="inlineStr">
        <is>
          <t>Advance Payments CAGAS</t>
        </is>
      </c>
      <c r="H80" s="20" t="n">
        <v>2097</v>
      </c>
    </row>
    <row r="81">
      <c r="A81" s="18" t="inlineStr">
        <is>
          <t>Short Term Receivables From Subsidiaries And Affiliates CAGAS</t>
        </is>
      </c>
      <c r="H81" s="20" t="n">
        <v>89309</v>
      </c>
    </row>
    <row r="82">
      <c r="A82" s="18" t="inlineStr">
        <is>
          <t>받을어음·매출채권·계약자산</t>
        </is>
      </c>
      <c r="C82" s="20" t="n">
        <v>241247</v>
      </c>
      <c r="D82" s="20" t="n">
        <v>242617</v>
      </c>
      <c r="E82" s="20" t="n">
        <v>262836</v>
      </c>
      <c r="F82" s="20" t="n">
        <v>296723</v>
      </c>
      <c r="G82" s="20" t="n">
        <v>233484</v>
      </c>
      <c r="H82" s="20" t="n">
        <v>227118</v>
      </c>
      <c r="I82" s="20" t="n">
        <v>279602</v>
      </c>
      <c r="J82" s="20" t="n">
        <v>270527</v>
      </c>
      <c r="K82" s="20" t="n">
        <v>317852</v>
      </c>
      <c r="L82" s="20" t="n">
        <v>296723</v>
      </c>
    </row>
    <row r="83">
      <c r="A83" s="18" t="inlineStr">
        <is>
          <t>Lease Receivables And Investment Assets CA</t>
        </is>
      </c>
      <c r="F83" s="20" t="n">
        <v>66619</v>
      </c>
      <c r="H83" s="20" t="n">
        <v>59047</v>
      </c>
      <c r="I83" s="20" t="n">
        <v>58732</v>
      </c>
      <c r="J83" s="20" t="n">
        <v>61502</v>
      </c>
      <c r="K83" s="20" t="n">
        <v>63931</v>
      </c>
      <c r="L83" s="20" t="n">
        <v>66619</v>
      </c>
    </row>
    <row r="84">
      <c r="A84" s="18" t="inlineStr">
        <is>
          <t>재고자산</t>
        </is>
      </c>
      <c r="C84" s="20" t="n">
        <v>241985</v>
      </c>
      <c r="D84" s="20" t="n">
        <v>203076</v>
      </c>
      <c r="E84" s="20" t="n">
        <v>262116</v>
      </c>
      <c r="F84" s="20" t="n">
        <v>222683</v>
      </c>
      <c r="G84" s="20" t="n">
        <v>254376</v>
      </c>
      <c r="H84" s="20" t="n">
        <v>145445</v>
      </c>
      <c r="I84" s="20" t="n">
        <v>219380</v>
      </c>
      <c r="J84" s="20" t="n">
        <v>211828</v>
      </c>
      <c r="K84" s="20" t="n">
        <v>204987</v>
      </c>
      <c r="L84" s="20" t="n">
        <v>222683</v>
      </c>
    </row>
    <row r="85">
      <c r="A85" s="18" t="inlineStr">
        <is>
          <t>기타</t>
        </is>
      </c>
      <c r="C85" s="20" t="n">
        <v>209266</v>
      </c>
      <c r="D85" s="20" t="n">
        <v>215417</v>
      </c>
      <c r="E85" s="20" t="n">
        <v>236737</v>
      </c>
      <c r="F85" s="20" t="n">
        <v>251769</v>
      </c>
      <c r="G85" s="20" t="n">
        <v>270308</v>
      </c>
      <c r="H85" s="20" t="n">
        <v>145589</v>
      </c>
      <c r="I85" s="20" t="n">
        <v>139265</v>
      </c>
      <c r="J85" s="20" t="n">
        <v>142101</v>
      </c>
      <c r="K85" s="20" t="n">
        <v>144836</v>
      </c>
      <c r="L85" s="20" t="n">
        <v>251769</v>
      </c>
    </row>
    <row r="86">
      <c r="A86" s="18" t="inlineStr">
        <is>
          <t>대손충당금</t>
        </is>
      </c>
      <c r="C86" s="20" t="n">
        <v>-1457</v>
      </c>
      <c r="D86" s="20" t="n">
        <v>-1379</v>
      </c>
      <c r="E86" s="20" t="n">
        <v>-1425</v>
      </c>
      <c r="F86" s="20" t="n">
        <v>-1275</v>
      </c>
      <c r="G86" s="20" t="n">
        <v>-1260</v>
      </c>
      <c r="H86" s="20" t="n">
        <v>-639</v>
      </c>
      <c r="I86" s="20" t="n">
        <v>-1132</v>
      </c>
      <c r="J86" s="20" t="n">
        <v>-1148</v>
      </c>
      <c r="K86" s="20" t="n">
        <v>-1639</v>
      </c>
      <c r="L86" s="20" t="n">
        <v>-1275</v>
      </c>
    </row>
    <row r="87">
      <c r="A87" s="9" t="inlineStr">
        <is>
          <t>유동자산 합계</t>
        </is>
      </c>
      <c r="C87" s="12" t="n">
        <v>847022</v>
      </c>
      <c r="D87" s="12" t="n">
        <v>837144</v>
      </c>
      <c r="E87" s="12" t="n">
        <v>895541</v>
      </c>
      <c r="F87" s="12" t="n">
        <v>828882</v>
      </c>
      <c r="G87" s="12" t="n">
        <v>935545</v>
      </c>
      <c r="H87" s="12" t="n">
        <v>707651</v>
      </c>
      <c r="I87" s="12" t="n">
        <v>780936</v>
      </c>
      <c r="J87" s="12" t="n">
        <v>762479</v>
      </c>
      <c r="K87" s="12" t="n">
        <v>812779</v>
      </c>
      <c r="L87" s="12" t="n">
        <v>828882</v>
      </c>
    </row>
    <row r="88">
      <c r="A88" s="18" t="inlineStr">
        <is>
          <t>건물·구축물(순액)</t>
        </is>
      </c>
      <c r="C88" s="20" t="n">
        <v>204816</v>
      </c>
      <c r="D88" s="20" t="n">
        <v>231016</v>
      </c>
      <c r="E88" s="20" t="n">
        <v>242173</v>
      </c>
      <c r="F88" s="20" t="n">
        <v>252252</v>
      </c>
      <c r="G88" s="20" t="n">
        <v>261455</v>
      </c>
      <c r="H88" s="20" t="n">
        <v>188637</v>
      </c>
      <c r="I88" s="20" t="n">
        <v>187685</v>
      </c>
      <c r="J88" s="20" t="n">
        <v>195216</v>
      </c>
      <c r="K88" s="20" t="n">
        <v>207431</v>
      </c>
      <c r="L88" s="20" t="n">
        <v>252252</v>
      </c>
    </row>
    <row r="89">
      <c r="A89" s="18" t="inlineStr">
        <is>
          <t>기계장치·운반구(순액)</t>
        </is>
      </c>
      <c r="C89" s="20" t="n">
        <v>688813</v>
      </c>
      <c r="D89" s="20" t="n">
        <v>717069</v>
      </c>
      <c r="E89" s="20" t="n">
        <v>771481</v>
      </c>
      <c r="F89" s="20" t="n">
        <v>807394</v>
      </c>
      <c r="G89" s="20" t="n">
        <v>856910</v>
      </c>
      <c r="H89" s="20" t="n">
        <v>580547</v>
      </c>
      <c r="I89" s="20" t="n">
        <v>616247</v>
      </c>
      <c r="J89" s="20" t="n">
        <v>660691</v>
      </c>
      <c r="K89" s="20" t="n">
        <v>708617</v>
      </c>
      <c r="L89" s="20" t="n">
        <v>807394</v>
      </c>
    </row>
    <row r="90">
      <c r="A90" s="18" t="inlineStr">
        <is>
          <t>토지</t>
        </is>
      </c>
      <c r="C90" s="20" t="n">
        <v>268584</v>
      </c>
      <c r="D90" s="20" t="n">
        <v>271679</v>
      </c>
      <c r="E90" s="20" t="n">
        <v>268386</v>
      </c>
      <c r="F90" s="20" t="n">
        <v>270434</v>
      </c>
      <c r="G90" s="20" t="n">
        <v>275476</v>
      </c>
      <c r="H90" s="20" t="n">
        <v>222350</v>
      </c>
      <c r="I90" s="20" t="n">
        <v>231327</v>
      </c>
      <c r="J90" s="20" t="n">
        <v>242068</v>
      </c>
      <c r="K90" s="20" t="n">
        <v>269815</v>
      </c>
      <c r="L90" s="20" t="n">
        <v>270434</v>
      </c>
    </row>
    <row r="91">
      <c r="A91" s="18" t="inlineStr">
        <is>
          <t>리스자산(순액)</t>
        </is>
      </c>
      <c r="H91" s="20" t="n">
        <v>10609</v>
      </c>
    </row>
    <row r="92">
      <c r="A92" s="18" t="inlineStr">
        <is>
          <t>건설중인자산</t>
        </is>
      </c>
      <c r="C92" s="20" t="n">
        <v>222397</v>
      </c>
      <c r="D92" s="20" t="n">
        <v>192693</v>
      </c>
      <c r="E92" s="20" t="n">
        <v>142825</v>
      </c>
      <c r="F92" s="20" t="n">
        <v>124971</v>
      </c>
      <c r="G92" s="20" t="n">
        <v>88866</v>
      </c>
      <c r="H92" s="20" t="n">
        <v>138915</v>
      </c>
      <c r="I92" s="20" t="n">
        <v>182611</v>
      </c>
      <c r="J92" s="20" t="n">
        <v>179896</v>
      </c>
      <c r="K92" s="20" t="n">
        <v>212405</v>
      </c>
      <c r="L92" s="20" t="n">
        <v>124971</v>
      </c>
    </row>
    <row r="93">
      <c r="A93" s="18" t="inlineStr">
        <is>
          <t>기타(순액)</t>
        </is>
      </c>
      <c r="C93" s="20" t="n">
        <v>28889</v>
      </c>
      <c r="D93" s="20" t="n">
        <v>29840</v>
      </c>
      <c r="E93" s="20" t="n">
        <v>37459</v>
      </c>
      <c r="F93" s="20" t="n">
        <v>39697</v>
      </c>
      <c r="G93" s="20" t="n">
        <v>37498</v>
      </c>
      <c r="H93" s="20" t="n">
        <v>25831</v>
      </c>
      <c r="I93" s="20" t="n">
        <v>25917</v>
      </c>
      <c r="J93" s="20" t="n">
        <v>27071</v>
      </c>
      <c r="K93" s="20" t="n">
        <v>29408</v>
      </c>
      <c r="L93" s="20" t="n">
        <v>39697</v>
      </c>
    </row>
    <row r="94">
      <c r="A94" s="18" t="inlineStr">
        <is>
          <t>유형자산 합계</t>
        </is>
      </c>
      <c r="C94" s="20" t="n">
        <v>1413501</v>
      </c>
      <c r="D94" s="20" t="n">
        <v>1442299</v>
      </c>
      <c r="E94" s="20" t="n">
        <v>1462326</v>
      </c>
      <c r="F94" s="20" t="n">
        <v>1494750</v>
      </c>
      <c r="G94" s="20" t="n">
        <v>1520207</v>
      </c>
      <c r="H94" s="20" t="n">
        <v>1156281</v>
      </c>
      <c r="I94" s="20" t="n">
        <v>1243788</v>
      </c>
      <c r="J94" s="20" t="n">
        <v>1304945</v>
      </c>
      <c r="K94" s="20" t="n">
        <v>1427677</v>
      </c>
      <c r="L94" s="20" t="n">
        <v>1494750</v>
      </c>
    </row>
    <row r="95">
      <c r="A95" s="18" t="inlineStr">
        <is>
          <t>특허권</t>
        </is>
      </c>
      <c r="H95" s="20" t="n">
        <v>1</v>
      </c>
    </row>
    <row r="96">
      <c r="A96" s="18" t="inlineStr">
        <is>
          <t>차지권</t>
        </is>
      </c>
      <c r="H96" s="20" t="n">
        <v>3075</v>
      </c>
    </row>
    <row r="97">
      <c r="A97" s="18" t="inlineStr">
        <is>
          <t>Other IA</t>
        </is>
      </c>
      <c r="H97" s="20" t="n">
        <v>41715</v>
      </c>
    </row>
    <row r="98">
      <c r="A98" s="18" t="inlineStr">
        <is>
          <t>무형자산</t>
        </is>
      </c>
      <c r="C98" s="20" t="n">
        <v>90142</v>
      </c>
      <c r="D98" s="20" t="n">
        <v>71875</v>
      </c>
      <c r="E98" s="20" t="n">
        <v>75344</v>
      </c>
      <c r="F98" s="20" t="n">
        <v>79093</v>
      </c>
      <c r="G98" s="20" t="n">
        <v>78787</v>
      </c>
      <c r="H98" s="20" t="n">
        <v>95251</v>
      </c>
      <c r="I98" s="20" t="n">
        <v>105120</v>
      </c>
      <c r="J98" s="20" t="n">
        <v>109243</v>
      </c>
      <c r="K98" s="20" t="n">
        <v>92377</v>
      </c>
      <c r="L98" s="20" t="n">
        <v>79093</v>
      </c>
    </row>
    <row r="99">
      <c r="A99" s="18" t="inlineStr">
        <is>
          <t>투자유가증권</t>
        </is>
      </c>
      <c r="C99" s="20" t="n">
        <v>543059</v>
      </c>
      <c r="D99" s="20" t="n">
        <v>537800</v>
      </c>
      <c r="E99" s="20" t="n">
        <v>561781</v>
      </c>
      <c r="F99" s="20" t="n">
        <v>548433</v>
      </c>
      <c r="G99" s="20" t="n">
        <v>566131</v>
      </c>
      <c r="H99" s="20" t="n">
        <v>359225</v>
      </c>
      <c r="I99" s="20" t="n">
        <v>440911</v>
      </c>
      <c r="J99" s="20" t="n">
        <v>538803</v>
      </c>
      <c r="K99" s="20" t="n">
        <v>569252</v>
      </c>
      <c r="L99" s="20" t="n">
        <v>548433</v>
      </c>
    </row>
    <row r="100">
      <c r="A100" s="18" t="inlineStr">
        <is>
          <t>Investments In Subsidiaries And Affiliates IOAGAS</t>
        </is>
      </c>
      <c r="H100" s="20" t="n">
        <v>535924</v>
      </c>
    </row>
    <row r="101">
      <c r="A101" s="18" t="inlineStr">
        <is>
          <t>관계회사 장기대여금</t>
        </is>
      </c>
      <c r="H101" s="20" t="n">
        <v>207278</v>
      </c>
    </row>
    <row r="102">
      <c r="A102" s="18" t="inlineStr">
        <is>
          <t>출자금</t>
        </is>
      </c>
      <c r="H102" s="20" t="n">
        <v>21</v>
      </c>
    </row>
    <row r="103">
      <c r="A103" s="18" t="inlineStr">
        <is>
          <t>장기선급비용</t>
        </is>
      </c>
      <c r="H103" s="20" t="n">
        <v>6646</v>
      </c>
    </row>
    <row r="104">
      <c r="A104" s="18" t="inlineStr">
        <is>
          <t>선급연금비용</t>
        </is>
      </c>
      <c r="H104" s="20" t="n">
        <v>43542</v>
      </c>
    </row>
    <row r="105">
      <c r="A105" s="18" t="inlineStr">
        <is>
          <t>장기대여금</t>
        </is>
      </c>
      <c r="F105" s="20" t="n">
        <v>37107</v>
      </c>
      <c r="H105" s="20" t="n">
        <v>27698</v>
      </c>
      <c r="J105" s="20" t="n">
        <v>28279</v>
      </c>
      <c r="K105" s="20" t="n">
        <v>34897</v>
      </c>
      <c r="L105" s="20" t="n">
        <v>37107</v>
      </c>
    </row>
    <row r="106">
      <c r="A106" s="18" t="inlineStr">
        <is>
          <t>퇴직급여자산</t>
        </is>
      </c>
      <c r="F106" s="20" t="n">
        <v>176471</v>
      </c>
      <c r="H106" s="20" t="n">
        <v>118693</v>
      </c>
      <c r="I106" s="20" t="n">
        <v>116038</v>
      </c>
      <c r="J106" s="20" t="n">
        <v>126854</v>
      </c>
      <c r="K106" s="20" t="n">
        <v>144544</v>
      </c>
      <c r="L106" s="20" t="n">
        <v>176471</v>
      </c>
    </row>
    <row r="107">
      <c r="A107" s="18" t="inlineStr">
        <is>
          <t>이연법인세자산</t>
        </is>
      </c>
      <c r="H107" s="20" t="n">
        <v>64481</v>
      </c>
      <c r="I107" s="20" t="n">
        <v>35148</v>
      </c>
    </row>
    <row r="108">
      <c r="A108" s="18" t="inlineStr">
        <is>
          <t>기타</t>
        </is>
      </c>
      <c r="C108" s="20" t="n">
        <v>292878</v>
      </c>
      <c r="D108" s="20" t="n">
        <v>307687</v>
      </c>
      <c r="E108" s="20" t="n">
        <v>332512</v>
      </c>
      <c r="F108" s="20" t="n">
        <v>370800</v>
      </c>
      <c r="G108" s="20" t="n">
        <v>385408</v>
      </c>
      <c r="H108" s="20" t="n">
        <v>87232</v>
      </c>
      <c r="I108" s="20" t="n">
        <v>133492</v>
      </c>
      <c r="J108" s="20" t="n">
        <v>110332</v>
      </c>
      <c r="K108" s="20" t="n">
        <v>119729</v>
      </c>
      <c r="L108" s="20" t="n">
        <v>370800</v>
      </c>
    </row>
    <row r="109">
      <c r="A109" s="18" t="inlineStr">
        <is>
          <t>대손충당금</t>
        </is>
      </c>
      <c r="C109" s="20" t="n">
        <v>-825</v>
      </c>
      <c r="D109" s="20" t="n">
        <v>-809</v>
      </c>
      <c r="E109" s="20" t="n">
        <v>-803</v>
      </c>
      <c r="F109" s="20" t="n">
        <v>-554</v>
      </c>
      <c r="G109" s="20" t="n">
        <v>-634</v>
      </c>
      <c r="H109" s="20" t="n">
        <v>-731</v>
      </c>
      <c r="I109" s="20" t="n">
        <v>-699</v>
      </c>
      <c r="J109" s="20" t="n">
        <v>-811</v>
      </c>
      <c r="K109" s="20" t="n">
        <v>-730</v>
      </c>
      <c r="L109" s="20" t="n">
        <v>-554</v>
      </c>
    </row>
    <row r="110">
      <c r="A110" s="18" t="inlineStr">
        <is>
          <t>투자 및 기타자산 합계</t>
        </is>
      </c>
      <c r="C110" s="20" t="n">
        <v>835112</v>
      </c>
      <c r="D110" s="20" t="n">
        <v>844678</v>
      </c>
      <c r="E110" s="20" t="n">
        <v>893490</v>
      </c>
      <c r="F110" s="20" t="n">
        <v>918678</v>
      </c>
      <c r="G110" s="20" t="n">
        <v>950905</v>
      </c>
      <c r="H110" s="20" t="n">
        <v>628901</v>
      </c>
      <c r="I110" s="20" t="n">
        <v>689743</v>
      </c>
      <c r="J110" s="20" t="n">
        <v>803458</v>
      </c>
      <c r="K110" s="20" t="n">
        <v>867691</v>
      </c>
      <c r="L110" s="20" t="n">
        <v>918678</v>
      </c>
    </row>
    <row r="111">
      <c r="A111" s="9" t="inlineStr">
        <is>
          <t>비유동자산 합계</t>
        </is>
      </c>
      <c r="C111" s="12" t="n">
        <v>2338756</v>
      </c>
      <c r="D111" s="12" t="n">
        <v>2358852</v>
      </c>
      <c r="E111" s="12" t="n">
        <v>2431161</v>
      </c>
      <c r="F111" s="12" t="n">
        <v>2492522</v>
      </c>
      <c r="G111" s="12" t="n">
        <v>2549900</v>
      </c>
      <c r="H111" s="12" t="n">
        <v>1880434</v>
      </c>
      <c r="I111" s="12" t="n">
        <v>2038652</v>
      </c>
      <c r="J111" s="12" t="n">
        <v>2217647</v>
      </c>
      <c r="K111" s="12" t="n">
        <v>2387746</v>
      </c>
      <c r="L111" s="12" t="n">
        <v>2492522</v>
      </c>
    </row>
    <row r="112">
      <c r="A112" s="9" t="inlineStr">
        <is>
          <t>자산 합계</t>
        </is>
      </c>
      <c r="C112" s="12" t="n">
        <v>3185778</v>
      </c>
      <c r="D112" s="12" t="n">
        <v>3195996</v>
      </c>
      <c r="E112" s="12" t="n">
        <v>3326702</v>
      </c>
      <c r="F112" s="12" t="n">
        <v>3321405</v>
      </c>
      <c r="G112" s="12" t="n">
        <v>3485446</v>
      </c>
      <c r="H112" s="12" t="n">
        <v>2588086</v>
      </c>
      <c r="I112" s="12" t="n">
        <v>2819589</v>
      </c>
      <c r="J112" s="12" t="n">
        <v>2980127</v>
      </c>
      <c r="K112" s="12" t="n">
        <v>3200525</v>
      </c>
      <c r="L112" s="12" t="n">
        <v>3321405</v>
      </c>
    </row>
    <row r="113">
      <c r="A113" s="18" t="inlineStr">
        <is>
          <t>지급어음·매입채무</t>
        </is>
      </c>
      <c r="C113" s="20" t="n">
        <v>83013</v>
      </c>
      <c r="D113" s="20" t="n">
        <v>80713</v>
      </c>
      <c r="E113" s="20" t="n">
        <v>100592</v>
      </c>
      <c r="F113" s="20" t="n">
        <v>94528</v>
      </c>
      <c r="G113" s="20" t="n">
        <v>93226</v>
      </c>
      <c r="H113" s="20" t="n">
        <v>104935</v>
      </c>
      <c r="I113" s="20" t="n">
        <v>69142</v>
      </c>
      <c r="J113" s="20" t="n">
        <v>82907</v>
      </c>
      <c r="K113" s="20" t="n">
        <v>103690</v>
      </c>
      <c r="L113" s="20" t="n">
        <v>94528</v>
      </c>
    </row>
    <row r="114">
      <c r="A114" s="18" t="inlineStr">
        <is>
          <t>미지급법인세</t>
        </is>
      </c>
      <c r="H114" s="20" t="n">
        <v>6472</v>
      </c>
      <c r="I114" s="20" t="n">
        <v>26586</v>
      </c>
    </row>
    <row r="115">
      <c r="A115" s="18" t="inlineStr">
        <is>
          <t>선수금</t>
        </is>
      </c>
      <c r="H115" s="20" t="n">
        <v>9007</v>
      </c>
    </row>
    <row r="116">
      <c r="A116" s="18" t="inlineStr">
        <is>
          <t>예수금</t>
        </is>
      </c>
      <c r="H116" s="20" t="n">
        <v>5725</v>
      </c>
    </row>
    <row r="117">
      <c r="A117" s="18" t="inlineStr">
        <is>
          <t>Short Term Debt To Subsidiaries And Affiliates CLGAS</t>
        </is>
      </c>
      <c r="H117" s="20" t="n">
        <v>109666</v>
      </c>
    </row>
    <row r="118">
      <c r="A118" s="18" t="inlineStr">
        <is>
          <t>단기차입금</t>
        </is>
      </c>
      <c r="D118" s="20" t="n">
        <v>50431</v>
      </c>
      <c r="J118" s="20" t="n">
        <v>7612</v>
      </c>
      <c r="K118" s="20" t="n">
        <v>8971</v>
      </c>
    </row>
    <row r="119">
      <c r="A119" s="18" t="inlineStr">
        <is>
          <t>기타</t>
        </is>
      </c>
      <c r="C119" s="20" t="n">
        <v>407539</v>
      </c>
      <c r="D119" s="20" t="n">
        <v>347564</v>
      </c>
      <c r="E119" s="20" t="n">
        <v>440357</v>
      </c>
      <c r="F119" s="20" t="n">
        <v>355683</v>
      </c>
      <c r="G119" s="20" t="n">
        <v>493634</v>
      </c>
      <c r="H119" s="20" t="n">
        <v>295254</v>
      </c>
      <c r="I119" s="20" t="n">
        <v>390656</v>
      </c>
      <c r="J119" s="20" t="n">
        <v>311029</v>
      </c>
      <c r="K119" s="20" t="n">
        <v>306094</v>
      </c>
      <c r="L119" s="20" t="n">
        <v>355683</v>
      </c>
    </row>
    <row r="120">
      <c r="A120" s="9" t="inlineStr">
        <is>
          <t>유동부채 합계</t>
        </is>
      </c>
      <c r="C120" s="12" t="n">
        <v>490552</v>
      </c>
      <c r="D120" s="12" t="n">
        <v>478710</v>
      </c>
      <c r="E120" s="12" t="n">
        <v>540949</v>
      </c>
      <c r="F120" s="12" t="n">
        <v>450212</v>
      </c>
      <c r="G120" s="12" t="n">
        <v>586861</v>
      </c>
      <c r="H120" s="12" t="n">
        <v>400190</v>
      </c>
      <c r="I120" s="12" t="n">
        <v>459798</v>
      </c>
      <c r="J120" s="12" t="n">
        <v>393936</v>
      </c>
      <c r="K120" s="12" t="n">
        <v>409785</v>
      </c>
      <c r="L120" s="12" t="n">
        <v>450212</v>
      </c>
    </row>
    <row r="121">
      <c r="A121" s="18" t="inlineStr">
        <is>
          <t>사채</t>
        </is>
      </c>
      <c r="C121" s="20" t="n">
        <v>491030</v>
      </c>
      <c r="D121" s="20" t="n">
        <v>491023</v>
      </c>
      <c r="E121" s="20" t="n">
        <v>491016</v>
      </c>
      <c r="F121" s="20" t="n">
        <v>491016</v>
      </c>
      <c r="G121" s="20" t="n">
        <v>491009</v>
      </c>
      <c r="H121" s="20" t="n">
        <v>364998</v>
      </c>
      <c r="I121" s="20" t="n">
        <v>425018</v>
      </c>
      <c r="J121" s="20" t="n">
        <v>459999</v>
      </c>
      <c r="K121" s="20" t="n">
        <v>500999</v>
      </c>
      <c r="L121" s="20" t="n">
        <v>491016</v>
      </c>
    </row>
    <row r="122">
      <c r="A122" s="18" t="inlineStr">
        <is>
          <t>장기차입금</t>
        </is>
      </c>
      <c r="C122" s="20" t="n">
        <v>344106</v>
      </c>
      <c r="D122" s="20" t="n">
        <v>314102</v>
      </c>
      <c r="E122" s="20" t="n">
        <v>312029</v>
      </c>
      <c r="F122" s="20" t="n">
        <v>303203</v>
      </c>
      <c r="G122" s="20" t="n">
        <v>304475</v>
      </c>
      <c r="H122" s="20" t="n">
        <v>350502</v>
      </c>
      <c r="I122" s="20" t="n">
        <v>386516</v>
      </c>
      <c r="J122" s="20" t="n">
        <v>354588</v>
      </c>
      <c r="K122" s="20" t="n">
        <v>363939</v>
      </c>
      <c r="L122" s="20" t="n">
        <v>303203</v>
      </c>
    </row>
    <row r="123">
      <c r="A123" s="18" t="inlineStr">
        <is>
          <t>Long Term Debt To Subsidiaries And Affiliates NCLGAS</t>
        </is>
      </c>
      <c r="H123" s="20" t="n">
        <v>6338</v>
      </c>
    </row>
    <row r="124">
      <c r="A124" s="18" t="inlineStr">
        <is>
          <t>이연법인세부채</t>
        </is>
      </c>
      <c r="F124" s="20" t="n">
        <v>109337</v>
      </c>
      <c r="H124" s="20" t="n">
        <v>5098</v>
      </c>
      <c r="I124" s="20" t="n">
        <v>19210</v>
      </c>
      <c r="J124" s="20" t="n">
        <v>54754</v>
      </c>
      <c r="K124" s="20" t="n">
        <v>75371</v>
      </c>
      <c r="L124" s="20" t="n">
        <v>109337</v>
      </c>
    </row>
    <row r="125">
      <c r="A125" s="18" t="inlineStr">
        <is>
          <t>퇴직급여충당금</t>
        </is>
      </c>
      <c r="H125" s="20" t="n">
        <v>2053</v>
      </c>
    </row>
    <row r="126">
      <c r="A126" s="18" t="inlineStr">
        <is>
          <t>Provision For Gas Holder Repairs GAS</t>
        </is>
      </c>
      <c r="H126" s="20" t="n">
        <v>1127</v>
      </c>
    </row>
    <row r="127">
      <c r="A127" s="18" t="inlineStr">
        <is>
          <t>Provision For Safety Measures GAS</t>
        </is>
      </c>
      <c r="H127" s="20" t="n">
        <v>6651</v>
      </c>
    </row>
    <row r="128">
      <c r="A128" s="18" t="inlineStr">
        <is>
          <t>Provision For Gas Appliance Warranties NCL</t>
        </is>
      </c>
      <c r="H128" s="20" t="n">
        <v>4983</v>
      </c>
    </row>
    <row r="129">
      <c r="A129" s="18" t="inlineStr">
        <is>
          <t>퇴직급여부채</t>
        </is>
      </c>
      <c r="C129" s="20" t="n">
        <v>17477</v>
      </c>
      <c r="D129" s="20" t="n">
        <v>17566</v>
      </c>
      <c r="E129" s="20" t="n">
        <v>17594</v>
      </c>
      <c r="F129" s="20" t="n">
        <v>16805</v>
      </c>
      <c r="G129" s="20" t="n">
        <v>16975</v>
      </c>
      <c r="H129" s="20" t="n">
        <v>18853</v>
      </c>
      <c r="I129" s="20" t="n">
        <v>19703</v>
      </c>
      <c r="J129" s="20" t="n">
        <v>19611</v>
      </c>
      <c r="K129" s="20" t="n">
        <v>17394</v>
      </c>
      <c r="L129" s="20" t="n">
        <v>16805</v>
      </c>
    </row>
    <row r="130">
      <c r="A130" s="18" t="inlineStr">
        <is>
          <t>기타</t>
        </is>
      </c>
      <c r="C130" s="20" t="n">
        <v>164389</v>
      </c>
      <c r="D130" s="20" t="n">
        <v>176229</v>
      </c>
      <c r="E130" s="20" t="n">
        <v>185309</v>
      </c>
      <c r="F130" s="20" t="n">
        <v>206139</v>
      </c>
      <c r="G130" s="20" t="n">
        <v>210226</v>
      </c>
      <c r="H130" s="20" t="n">
        <v>157452</v>
      </c>
      <c r="I130" s="20" t="n">
        <v>92162</v>
      </c>
      <c r="J130" s="20" t="n">
        <v>92245</v>
      </c>
      <c r="K130" s="20" t="n">
        <v>93743</v>
      </c>
      <c r="L130" s="20" t="n">
        <v>206139</v>
      </c>
    </row>
    <row r="131">
      <c r="A131" s="9" t="inlineStr">
        <is>
          <t>비유동부채 합계</t>
        </is>
      </c>
      <c r="C131" s="12" t="n">
        <v>1017002</v>
      </c>
      <c r="D131" s="12" t="n">
        <v>998922</v>
      </c>
      <c r="E131" s="12" t="n">
        <v>1005949</v>
      </c>
      <c r="F131" s="12" t="n">
        <v>1017164</v>
      </c>
      <c r="G131" s="12" t="n">
        <v>1022686</v>
      </c>
      <c r="H131" s="12" t="n">
        <v>891806</v>
      </c>
      <c r="I131" s="12" t="n">
        <v>942611</v>
      </c>
      <c r="J131" s="12" t="n">
        <v>981198</v>
      </c>
      <c r="K131" s="12" t="n">
        <v>1051448</v>
      </c>
      <c r="L131" s="12" t="n">
        <v>1017164</v>
      </c>
    </row>
    <row r="132">
      <c r="A132" s="18" t="inlineStr">
        <is>
          <t>Current Portion Of Noncurrent Liabilities CLGAS</t>
        </is>
      </c>
      <c r="H132" s="20" t="n">
        <v>57938</v>
      </c>
    </row>
    <row r="133">
      <c r="A133" s="18" t="inlineStr">
        <is>
          <t>매입채무</t>
        </is>
      </c>
      <c r="H133" s="20" t="n">
        <v>46132</v>
      </c>
    </row>
    <row r="134">
      <c r="A134" s="18" t="inlineStr">
        <is>
          <t>미지급금</t>
        </is>
      </c>
      <c r="H134" s="20" t="n">
        <v>21283</v>
      </c>
    </row>
    <row r="135">
      <c r="A135" s="18" t="inlineStr">
        <is>
          <t>미지급비용</t>
        </is>
      </c>
      <c r="H135" s="20" t="n">
        <v>46688</v>
      </c>
    </row>
    <row r="136">
      <c r="A136" s="9" t="inlineStr">
        <is>
          <t>부채 합계</t>
        </is>
      </c>
      <c r="C136" s="12" t="n">
        <v>1507555</v>
      </c>
      <c r="D136" s="12" t="n">
        <v>1477632</v>
      </c>
      <c r="E136" s="12" t="n">
        <v>1546898</v>
      </c>
      <c r="F136" s="12" t="n">
        <v>1467377</v>
      </c>
      <c r="G136" s="12" t="n">
        <v>1609547</v>
      </c>
      <c r="H136" s="12" t="n">
        <v>1291996</v>
      </c>
      <c r="I136" s="12" t="n">
        <v>1402410</v>
      </c>
      <c r="J136" s="12" t="n">
        <v>1375135</v>
      </c>
      <c r="K136" s="12" t="n">
        <v>1461234</v>
      </c>
      <c r="L136" s="12" t="n">
        <v>1467377</v>
      </c>
    </row>
    <row r="137">
      <c r="A137" s="18" t="inlineStr">
        <is>
          <t>자본금</t>
        </is>
      </c>
      <c r="C137" s="20" t="n">
        <v>132166</v>
      </c>
      <c r="D137" s="20" t="n">
        <v>132166</v>
      </c>
      <c r="E137" s="20" t="n">
        <v>132166</v>
      </c>
      <c r="F137" s="20" t="n">
        <v>132166</v>
      </c>
      <c r="G137" s="20" t="n">
        <v>132166</v>
      </c>
      <c r="H137" s="20" t="n">
        <v>132166</v>
      </c>
      <c r="I137" s="20" t="n">
        <v>132166</v>
      </c>
      <c r="J137" s="20" t="n">
        <v>132166</v>
      </c>
      <c r="K137" s="20" t="n">
        <v>132166</v>
      </c>
      <c r="L137" s="20" t="n">
        <v>132166</v>
      </c>
    </row>
    <row r="138">
      <c r="A138" s="18" t="inlineStr">
        <is>
          <t>자본준비금</t>
        </is>
      </c>
      <c r="H138" s="20" t="n">
        <v>19482</v>
      </c>
    </row>
    <row r="139">
      <c r="A139" s="18" t="inlineStr">
        <is>
          <t>기타자본잉여금</t>
        </is>
      </c>
      <c r="H139" s="20" t="n">
        <v>14</v>
      </c>
    </row>
    <row r="140">
      <c r="A140" s="18" t="inlineStr">
        <is>
          <t>자본잉여금</t>
        </is>
      </c>
      <c r="C140" s="20" t="n">
        <v>19759</v>
      </c>
      <c r="D140" s="20" t="n">
        <v>19759</v>
      </c>
      <c r="E140" s="20" t="n">
        <v>19759</v>
      </c>
      <c r="F140" s="20" t="n">
        <v>20167</v>
      </c>
      <c r="G140" s="20" t="n">
        <v>20117</v>
      </c>
      <c r="H140" s="20" t="n">
        <v>19071</v>
      </c>
      <c r="I140" s="20" t="n">
        <v>19096</v>
      </c>
      <c r="J140" s="20" t="n">
        <v>19056</v>
      </c>
      <c r="K140" s="20" t="n">
        <v>19902</v>
      </c>
      <c r="L140" s="20" t="n">
        <v>20167</v>
      </c>
    </row>
    <row r="141">
      <c r="A141" s="18" t="inlineStr">
        <is>
          <t>이익준비금</t>
        </is>
      </c>
      <c r="H141" s="20" t="n">
        <v>33041</v>
      </c>
    </row>
    <row r="142">
      <c r="A142" s="18" t="inlineStr">
        <is>
          <t>Reserve For Reduction Entry Of Specified Replaced Properties GAS</t>
        </is>
      </c>
      <c r="H142" s="20" t="n">
        <v>241</v>
      </c>
    </row>
    <row r="143">
      <c r="A143" s="18" t="inlineStr">
        <is>
          <t>Reserve For Overseas Investment Loss</t>
        </is>
      </c>
      <c r="H143" s="20" t="n">
        <v>9738</v>
      </c>
    </row>
    <row r="144">
      <c r="A144" s="18" t="inlineStr">
        <is>
          <t>Reserve For Investment Promotion Taxation ORE</t>
        </is>
      </c>
      <c r="H144" s="20" t="n">
        <v>217</v>
      </c>
    </row>
    <row r="145">
      <c r="A145" s="18" t="inlineStr">
        <is>
          <t>Reserve For Adjustment Of Cost Fluctuations GAS</t>
        </is>
      </c>
      <c r="H145" s="20" t="n">
        <v>89000</v>
      </c>
    </row>
    <row r="146">
      <c r="A146" s="18" t="inlineStr">
        <is>
          <t>별도적립금</t>
        </is>
      </c>
      <c r="H146" s="20" t="n">
        <v>62000</v>
      </c>
    </row>
    <row r="147">
      <c r="A147" s="18" t="inlineStr">
        <is>
          <t>이월이익잉여금</t>
        </is>
      </c>
      <c r="H147" s="20" t="n">
        <v>476503</v>
      </c>
    </row>
    <row r="148">
      <c r="A148" s="18" t="inlineStr">
        <is>
          <t>이익잉여금</t>
        </is>
      </c>
      <c r="C148" s="20" t="n">
        <v>1182422</v>
      </c>
      <c r="D148" s="20" t="n">
        <v>1228591</v>
      </c>
      <c r="E148" s="20" t="n">
        <v>1250451</v>
      </c>
      <c r="F148" s="20" t="n">
        <v>1262276</v>
      </c>
      <c r="G148" s="20" t="n">
        <v>1204464</v>
      </c>
      <c r="H148" s="20" t="n">
        <v>977907</v>
      </c>
      <c r="I148" s="20" t="n">
        <v>1010078</v>
      </c>
      <c r="J148" s="20" t="n">
        <v>1097883</v>
      </c>
      <c r="K148" s="20" t="n">
        <v>1173020</v>
      </c>
      <c r="L148" s="20" t="n">
        <v>1262276</v>
      </c>
    </row>
    <row r="149">
      <c r="A149" s="18" t="inlineStr">
        <is>
          <t>자기주식</t>
        </is>
      </c>
      <c r="C149" s="20" t="n">
        <v>-13696</v>
      </c>
      <c r="D149" s="20" t="n">
        <v>-28257</v>
      </c>
      <c r="E149" s="20" t="n">
        <v>-44841</v>
      </c>
      <c r="F149" s="20" t="n">
        <v>-63801</v>
      </c>
      <c r="G149" s="20" t="n">
        <v>-13913</v>
      </c>
      <c r="H149" s="20" t="n">
        <v>-2115</v>
      </c>
      <c r="I149" s="20" t="n">
        <v>-2045</v>
      </c>
      <c r="J149" s="20" t="n">
        <v>-2746</v>
      </c>
      <c r="K149" s="20" t="n">
        <v>-23034</v>
      </c>
      <c r="L149" s="20" t="n">
        <v>-63801</v>
      </c>
    </row>
    <row r="150">
      <c r="A150" s="9" t="inlineStr">
        <is>
          <t>주주자본 합계</t>
        </is>
      </c>
      <c r="C150" s="12" t="n">
        <v>1320652</v>
      </c>
      <c r="D150" s="12" t="n">
        <v>1352260</v>
      </c>
      <c r="E150" s="12" t="n">
        <v>1357535</v>
      </c>
      <c r="F150" s="12" t="n">
        <v>1350808</v>
      </c>
      <c r="G150" s="12" t="n">
        <v>1342835</v>
      </c>
      <c r="H150" s="12" t="n">
        <v>1127030</v>
      </c>
      <c r="I150" s="12" t="n">
        <v>1159295</v>
      </c>
      <c r="J150" s="12" t="n">
        <v>1246360</v>
      </c>
      <c r="K150" s="12" t="n">
        <v>1302054</v>
      </c>
      <c r="L150" s="12" t="n">
        <v>1350808</v>
      </c>
    </row>
    <row r="151">
      <c r="A151" s="18" t="inlineStr">
        <is>
          <t>기타유가증권 평가차액</t>
        </is>
      </c>
      <c r="C151" s="20" t="n">
        <v>57497</v>
      </c>
      <c r="D151" s="20" t="n">
        <v>67455</v>
      </c>
      <c r="E151" s="20" t="n">
        <v>71622</v>
      </c>
      <c r="F151" s="20" t="n">
        <v>72755</v>
      </c>
      <c r="G151" s="20" t="n">
        <v>79291</v>
      </c>
      <c r="H151" s="20" t="n">
        <v>67905</v>
      </c>
      <c r="I151" s="20" t="n">
        <v>68085</v>
      </c>
      <c r="J151" s="20" t="n">
        <v>87899</v>
      </c>
      <c r="K151" s="20" t="n">
        <v>56187</v>
      </c>
      <c r="L151" s="20" t="n">
        <v>72755</v>
      </c>
    </row>
    <row r="152">
      <c r="A152" s="18" t="inlineStr">
        <is>
          <t>이연헤지손익</t>
        </is>
      </c>
      <c r="C152" s="20" t="n">
        <v>40472</v>
      </c>
      <c r="D152" s="20" t="n">
        <v>64141</v>
      </c>
      <c r="E152" s="20" t="n">
        <v>94155</v>
      </c>
      <c r="F152" s="20" t="n">
        <v>104160</v>
      </c>
      <c r="G152" s="20" t="n">
        <v>110720</v>
      </c>
      <c r="H152" s="20" t="n">
        <v>-15313</v>
      </c>
      <c r="I152" s="20" t="n">
        <v>25268</v>
      </c>
      <c r="J152" s="20" t="n">
        <v>61656</v>
      </c>
      <c r="K152" s="20" t="n">
        <v>70747</v>
      </c>
      <c r="L152" s="20" t="n">
        <v>104160</v>
      </c>
    </row>
    <row r="153">
      <c r="A153" s="18" t="inlineStr">
        <is>
          <t>토지재평가차액금</t>
        </is>
      </c>
      <c r="C153" s="20" t="n">
        <v>-2423</v>
      </c>
      <c r="D153" s="20" t="n">
        <v>-2423</v>
      </c>
      <c r="E153" s="20" t="n">
        <v>-2423</v>
      </c>
      <c r="F153" s="20" t="n">
        <v>-2423</v>
      </c>
      <c r="G153" s="20" t="n">
        <v>-2423</v>
      </c>
      <c r="H153" s="20" t="n">
        <v>-737</v>
      </c>
      <c r="I153" s="20" t="n">
        <v>-1947</v>
      </c>
      <c r="J153" s="20" t="n">
        <v>-2395</v>
      </c>
      <c r="K153" s="20" t="n">
        <v>-2395</v>
      </c>
      <c r="L153" s="20" t="n">
        <v>-2423</v>
      </c>
    </row>
    <row r="154">
      <c r="A154" s="18" t="inlineStr">
        <is>
          <t>해외사업환산조정</t>
        </is>
      </c>
      <c r="C154" s="20" t="n">
        <v>170990</v>
      </c>
      <c r="D154" s="20" t="n">
        <v>147675</v>
      </c>
      <c r="E154" s="20" t="n">
        <v>170205</v>
      </c>
      <c r="F154" s="20" t="n">
        <v>218115</v>
      </c>
      <c r="G154" s="20" t="n">
        <v>237435</v>
      </c>
      <c r="H154" s="20" t="n">
        <v>39108</v>
      </c>
      <c r="I154" s="20" t="n">
        <v>97838</v>
      </c>
      <c r="J154" s="20" t="n">
        <v>140583</v>
      </c>
      <c r="K154" s="20" t="n">
        <v>216648</v>
      </c>
      <c r="L154" s="20" t="n">
        <v>218115</v>
      </c>
    </row>
    <row r="155">
      <c r="A155" s="18" t="inlineStr">
        <is>
          <t>퇴직급여 조정누계액</t>
        </is>
      </c>
      <c r="C155" s="20" t="n">
        <v>44182</v>
      </c>
      <c r="D155" s="20" t="n">
        <v>42825</v>
      </c>
      <c r="E155" s="20" t="n">
        <v>41461</v>
      </c>
      <c r="F155" s="20" t="n">
        <v>62626</v>
      </c>
      <c r="G155" s="20" t="n">
        <v>60102</v>
      </c>
      <c r="H155" s="20" t="n">
        <v>53624</v>
      </c>
      <c r="I155" s="20" t="n">
        <v>42881</v>
      </c>
      <c r="J155" s="20" t="n">
        <v>43407</v>
      </c>
      <c r="K155" s="20" t="n">
        <v>45552</v>
      </c>
      <c r="L155" s="20" t="n">
        <v>62626</v>
      </c>
    </row>
    <row r="156">
      <c r="A156" s="18" t="inlineStr">
        <is>
          <t>기타포괄손익누계액 합계</t>
        </is>
      </c>
      <c r="C156" s="20" t="n">
        <v>310719</v>
      </c>
      <c r="D156" s="20" t="n">
        <v>319673</v>
      </c>
      <c r="E156" s="20" t="n">
        <v>375020</v>
      </c>
      <c r="F156" s="20" t="n">
        <v>455234</v>
      </c>
      <c r="G156" s="20" t="n">
        <v>485125</v>
      </c>
      <c r="H156" s="20" t="n">
        <v>144586</v>
      </c>
      <c r="I156" s="20" t="n">
        <v>232125</v>
      </c>
      <c r="J156" s="20" t="n">
        <v>331152</v>
      </c>
      <c r="K156" s="20" t="n">
        <v>386739</v>
      </c>
      <c r="L156" s="20" t="n">
        <v>455234</v>
      </c>
    </row>
    <row r="157">
      <c r="A157" s="18" t="inlineStr">
        <is>
          <t>비지배지분</t>
        </is>
      </c>
      <c r="C157" s="20" t="n">
        <v>46851</v>
      </c>
      <c r="D157" s="20" t="n">
        <v>46430</v>
      </c>
      <c r="E157" s="20" t="n">
        <v>47247</v>
      </c>
      <c r="F157" s="20" t="n">
        <v>47985</v>
      </c>
      <c r="G157" s="20" t="n">
        <v>47938</v>
      </c>
      <c r="H157" s="20" t="n">
        <v>24472</v>
      </c>
      <c r="I157" s="20" t="n">
        <v>25757</v>
      </c>
      <c r="J157" s="20" t="n">
        <v>27479</v>
      </c>
      <c r="K157" s="20" t="n">
        <v>50497</v>
      </c>
      <c r="L157" s="20" t="n">
        <v>47985</v>
      </c>
    </row>
    <row r="158">
      <c r="A158" s="9" t="inlineStr">
        <is>
          <t>순자산 합계</t>
        </is>
      </c>
      <c r="C158" s="12" t="n">
        <v>1678223</v>
      </c>
      <c r="D158" s="12" t="n">
        <v>1718364</v>
      </c>
      <c r="E158" s="12" t="n">
        <v>1779803</v>
      </c>
      <c r="F158" s="12" t="n">
        <v>1854028</v>
      </c>
      <c r="G158" s="12" t="n">
        <v>1875898</v>
      </c>
      <c r="H158" s="12" t="n">
        <v>1296089</v>
      </c>
      <c r="I158" s="12" t="n">
        <v>1417178</v>
      </c>
      <c r="J158" s="12" t="n">
        <v>1604992</v>
      </c>
      <c r="K158" s="12" t="n">
        <v>1739291</v>
      </c>
      <c r="L158" s="12" t="n">
        <v>1854028</v>
      </c>
    </row>
    <row r="159">
      <c r="A159" s="9" t="inlineStr">
        <is>
          <t>부채·순자산 합계</t>
        </is>
      </c>
      <c r="C159" s="12" t="n">
        <v>3185778</v>
      </c>
      <c r="D159" s="12" t="n">
        <v>3195996</v>
      </c>
      <c r="E159" s="12" t="n">
        <v>3326702</v>
      </c>
      <c r="F159" s="12" t="n">
        <v>3321405</v>
      </c>
      <c r="G159" s="12" t="n">
        <v>3485446</v>
      </c>
      <c r="H159" s="12" t="n">
        <v>2588086</v>
      </c>
      <c r="I159" s="12" t="n">
        <v>2819589</v>
      </c>
      <c r="J159" s="12" t="n">
        <v>2980127</v>
      </c>
      <c r="K159" s="12" t="n">
        <v>3200525</v>
      </c>
      <c r="L159" s="12" t="n">
        <v>3321405</v>
      </c>
    </row>
    <row r="160">
      <c r="A160" s="18" t="inlineStr">
        <is>
          <t>Production Facilities PPEGAS</t>
        </is>
      </c>
      <c r="H160" s="20" t="n">
        <v>90338</v>
      </c>
    </row>
    <row r="161">
      <c r="A161" s="18" t="inlineStr">
        <is>
          <t>Distribution Facilities PPEGAS</t>
        </is>
      </c>
      <c r="H161" s="20" t="n">
        <v>275313</v>
      </c>
    </row>
    <row r="162">
      <c r="A162" s="18" t="inlineStr">
        <is>
          <t>Service And Maintenance Facilities PPEGAS</t>
        </is>
      </c>
      <c r="H162" s="20" t="n">
        <v>45299</v>
      </c>
    </row>
    <row r="163">
      <c r="A163" s="18" t="inlineStr">
        <is>
          <t>Other Facilities PPEGAS</t>
        </is>
      </c>
      <c r="H163" s="20" t="n">
        <v>605057</v>
      </c>
    </row>
    <row r="164">
      <c r="A164" s="18" t="inlineStr">
        <is>
          <t>Facilities For Incidental Businesses PPEGAS</t>
        </is>
      </c>
      <c r="H164" s="20" t="n">
        <v>4653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1분기 결산단신</t>
        </is>
      </c>
      <c r="C4" t="inlineStr">
        <is>
          <t>https://www2.jpx.co.jp/disc/95320/140120260713592021.pdf</t>
        </is>
      </c>
    </row>
    <row r="5">
      <c r="A5" t="inlineStr">
        <is>
          <t>2026-05-08</t>
        </is>
      </c>
      <c r="B5" t="inlineStr">
        <is>
          <t>2026년 3월 결산기 연간 결산단신</t>
        </is>
      </c>
      <c r="C5" t="inlineStr">
        <is>
          <t>https://www2.jpx.co.jp/disc/95320/140120260401596715.pdf</t>
        </is>
      </c>
    </row>
    <row r="6">
      <c r="A6" t="inlineStr">
        <is>
          <t>2026-02-02</t>
        </is>
      </c>
      <c r="B6" t="inlineStr">
        <is>
          <t>2026년 3월 결산기 3분기 결산단신</t>
        </is>
      </c>
      <c r="C6" t="inlineStr">
        <is>
          <t>https://www2.jpx.co.jp/disc/95320/140120260127539272.pdf</t>
        </is>
      </c>
    </row>
    <row r="7">
      <c r="A7" t="inlineStr">
        <is>
          <t>2025-10-30</t>
        </is>
      </c>
      <c r="B7" t="inlineStr">
        <is>
          <t>2026년 3월 결산기 2분기 결산단신</t>
        </is>
      </c>
      <c r="C7" t="inlineStr">
        <is>
          <t>https://www2.jpx.co.jp/disc/95320/140120251015573627.pdf</t>
        </is>
      </c>
    </row>
    <row r="8">
      <c r="A8" t="inlineStr">
        <is>
          <t>2025-07-31</t>
        </is>
      </c>
      <c r="B8" t="inlineStr">
        <is>
          <t>2026년 3월 결산기 1분기 결산단신</t>
        </is>
      </c>
      <c r="C8" t="inlineStr">
        <is>
          <t>https://www2.jpx.co.jp/disc/95320/140120250728521106.pdf</t>
        </is>
      </c>
    </row>
    <row r="9">
      <c r="A9" t="inlineStr">
        <is>
          <t>2025-05-08</t>
        </is>
      </c>
      <c r="B9" t="inlineStr">
        <is>
          <t>2025년 3월 결산기 연간 결산단신</t>
        </is>
      </c>
      <c r="C9" t="inlineStr">
        <is>
          <t>https://www2.jpx.co.jp/disc/95320/140120250430528127.pdf</t>
        </is>
      </c>
    </row>
    <row r="10">
      <c r="A10" t="inlineStr">
        <is>
          <t>2025-02-03</t>
        </is>
      </c>
      <c r="B10" t="inlineStr">
        <is>
          <t>2025년 3월 결산기 3분기 결산단신</t>
        </is>
      </c>
      <c r="C10" t="inlineStr">
        <is>
          <t>https://www2.jpx.co.jp/disc/95320/140120250131559145.pdf</t>
        </is>
      </c>
    </row>
    <row r="11">
      <c r="A11" t="inlineStr">
        <is>
          <t>2024-10-31</t>
        </is>
      </c>
      <c r="B11" t="inlineStr">
        <is>
          <t>2025년 3월 결산기 2분기 결산단신</t>
        </is>
      </c>
      <c r="C11" t="inlineStr">
        <is>
          <t>https://www2.jpx.co.jp/disc/95320/140120241029504995.pdf</t>
        </is>
      </c>
    </row>
    <row r="12">
      <c r="A12" t="inlineStr">
        <is>
          <t>2024-07-29</t>
        </is>
      </c>
      <c r="B12" t="inlineStr">
        <is>
          <t>2025년 3월 결산기 1분기 결산단신</t>
        </is>
      </c>
      <c r="C12" t="inlineStr">
        <is>
          <t>https://www2.jpx.co.jp/disc/95320/140120240726555636.pdf</t>
        </is>
      </c>
    </row>
    <row r="13">
      <c r="A13" t="inlineStr">
        <is>
          <t>2024-05-08</t>
        </is>
      </c>
      <c r="B13" t="inlineStr">
        <is>
          <t>2024년 3월 결산기 연간 결산단신</t>
        </is>
      </c>
      <c r="C13" t="inlineStr">
        <is>
          <t>https://www2.jpx.co.jp/disc/95320/140120240507582771.pdf</t>
        </is>
      </c>
    </row>
    <row r="14">
      <c r="A14" t="inlineStr">
        <is>
          <t>2024-01-30</t>
        </is>
      </c>
      <c r="B14" t="inlineStr">
        <is>
          <t>2024년 3월 결산기 3분기 결산단신</t>
        </is>
      </c>
      <c r="C14" t="inlineStr">
        <is>
          <t>https://www2.jpx.co.jp/disc/95320/140120240126520140.pdf</t>
        </is>
      </c>
    </row>
    <row r="15">
      <c r="A15" t="inlineStr">
        <is>
          <t>2023-10-27</t>
        </is>
      </c>
      <c r="B15" t="inlineStr">
        <is>
          <t>2024년 3월 결산기 2분기 결산단신</t>
        </is>
      </c>
      <c r="C15" t="inlineStr">
        <is>
          <t>https://www2.jpx.co.jp/disc/95320/140120231025570913.pdf</t>
        </is>
      </c>
    </row>
    <row r="16">
      <c r="A16" t="inlineStr">
        <is>
          <t>2023-07-31</t>
        </is>
      </c>
      <c r="B16" t="inlineStr">
        <is>
          <t>2024년 3월 결산기 1분기 결산단신</t>
        </is>
      </c>
      <c r="C16" t="inlineStr">
        <is>
          <t>https://www2.jpx.co.jp/disc/95320/140120230731530308.pdf</t>
        </is>
      </c>
    </row>
    <row r="17">
      <c r="A17" t="inlineStr">
        <is>
          <t>2023-05-08</t>
        </is>
      </c>
      <c r="B17" t="inlineStr">
        <is>
          <t>2023년 3월 결산기 연간 결산단신</t>
        </is>
      </c>
      <c r="C17" t="inlineStr">
        <is>
          <t>https://www2.jpx.co.jp/disc/95320/140120230501557347.pdf</t>
        </is>
      </c>
    </row>
    <row r="18">
      <c r="A18" t="inlineStr">
        <is>
          <t>2023-02-06</t>
        </is>
      </c>
      <c r="B18" t="inlineStr">
        <is>
          <t>2023년 3월 결산기 3분기 결산단신</t>
        </is>
      </c>
      <c r="C18" t="inlineStr">
        <is>
          <t>https://www2.jpx.co.jp/disc/95320/140120230203500329.pdf</t>
        </is>
      </c>
    </row>
    <row r="19">
      <c r="A19" t="inlineStr">
        <is>
          <t>2022-10-31</t>
        </is>
      </c>
      <c r="B19" t="inlineStr">
        <is>
          <t>2023년 2월 결산기 2분기 결산단신</t>
        </is>
      </c>
      <c r="C19" t="inlineStr">
        <is>
          <t>https://www2.jpx.co.jp/disc/95320/140120221028552213.pdf</t>
        </is>
      </c>
    </row>
    <row r="20">
      <c r="A20" t="inlineStr">
        <is>
          <t>2022-04-26</t>
        </is>
      </c>
      <c r="B20" t="inlineStr">
        <is>
          <t>2022년 3월 결산기 연간 결산단신</t>
        </is>
      </c>
      <c r="C20" t="inlineStr">
        <is>
          <t>https://www2.jpx.co.jp/disc/95320/140120220425527309.pdf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https://www2.jpx.co.jp/disc/95320/140120210426400031.pdf</t>
        </is>
      </c>
    </row>
    <row r="22">
      <c r="A22" t="inlineStr">
        <is>
          <t>2020-05-11</t>
        </is>
      </c>
      <c r="B22" t="inlineStr">
        <is>
          <t>2020년 3월 결산기 연간 결산단신</t>
        </is>
      </c>
      <c r="C22" t="inlineStr">
        <is>
          <t>https://www2.jpx.co.jp/disc/95320/140120200508406638.pdf</t>
        </is>
      </c>
    </row>
    <row r="23">
      <c r="A23" t="inlineStr">
        <is>
          <t>2019-04-24</t>
        </is>
      </c>
      <c r="B23" t="inlineStr">
        <is>
          <t>2019년 3월 결산기 연간 결산단신</t>
        </is>
      </c>
      <c r="C23" t="inlineStr">
        <is>
          <t>https://www2.jpx.co.jp/disc/95320/140120190423408984.pdf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https://www2.jpx.co.jp/disc/95320/140120180425419706.pdf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2026-10-28T07:01:04Z</dcterms:created>
  <dcterms:modified xmlns:dcterms="http://purl.org/dc/terms/" xmlns:xsi="http://www.w3.org/2001/XMLSchema-instance" xsi:type="dcterms:W3CDTF">2026-10-28T07:01:04Z</dcterms:modified>
</cp:coreProperties>
</file>