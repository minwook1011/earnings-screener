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2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5819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2026.2Q = 2026년 12월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2023.3Q</t>
        </is>
      </c>
      <c r="D3" s="5" t="inlineStr">
        <is>
          <t>2023.4Q</t>
        </is>
      </c>
      <c r="E3" s="5" t="inlineStr">
        <is>
          <t>2024.1Q</t>
        </is>
      </c>
      <c r="F3" s="5" t="inlineStr">
        <is>
          <t>2024.2Q</t>
        </is>
      </c>
      <c r="G3" s="5" t="inlineStr">
        <is>
          <t>2024.3Q</t>
        </is>
      </c>
      <c r="H3" s="5" t="inlineStr">
        <is>
          <t>2024.4Q</t>
        </is>
      </c>
      <c r="I3" s="5" t="inlineStr">
        <is>
          <t>2025.1Q</t>
        </is>
      </c>
      <c r="J3" s="5" t="inlineStr">
        <is>
          <t>2025.2Q</t>
        </is>
      </c>
      <c r="K3" s="5" t="inlineStr">
        <is>
          <t>2025.3Q</t>
        </is>
      </c>
      <c r="L3" s="5" t="inlineStr">
        <is>
          <t>2025.4Q</t>
        </is>
      </c>
      <c r="M3" s="5" t="inlineStr">
        <is>
          <t>2026.1Q</t>
        </is>
      </c>
      <c r="N3" s="5" t="inlineStr">
        <is>
          <t>2026.2Q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3155.434</v>
      </c>
      <c r="D4" s="12" t="n">
        <v>3831.97</v>
      </c>
      <c r="E4" s="12" t="n">
        <v>3172.377</v>
      </c>
      <c r="F4" s="12" t="n">
        <v>2855.8</v>
      </c>
      <c r="G4" s="12" t="n">
        <v>2928.325</v>
      </c>
      <c r="H4" s="12" t="n">
        <v>3426.607</v>
      </c>
      <c r="I4" s="12" t="n">
        <v>3339.623</v>
      </c>
      <c r="J4" s="12" t="n">
        <v>3112.445</v>
      </c>
      <c r="K4" s="12" t="n">
        <v>3348.469</v>
      </c>
      <c r="L4" s="12" t="n">
        <v>3314.455</v>
      </c>
      <c r="M4" s="12" t="n">
        <v>3218.112</v>
      </c>
      <c r="N4" s="12" t="n">
        <v>3420.551</v>
      </c>
      <c r="O4" s="11" t="n">
        <v>10655.679</v>
      </c>
      <c r="P4" s="12" t="n">
        <v>10456.648</v>
      </c>
      <c r="Q4" s="12" t="n">
        <v>11371.59</v>
      </c>
      <c r="R4" s="12" t="n">
        <v>11429.152</v>
      </c>
      <c r="S4" s="12" t="n">
        <v>9697.799999999999</v>
      </c>
      <c r="T4" s="12" t="n">
        <v>10034.069</v>
      </c>
      <c r="U4" s="12" t="n">
        <v>11167.637</v>
      </c>
      <c r="V4" s="12" t="n">
        <v>12872.437</v>
      </c>
      <c r="W4" s="12" t="n">
        <v>12383.109</v>
      </c>
      <c r="X4" s="12" t="n">
        <v>13114.992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일본</t>
        </is>
      </c>
      <c r="B7" s="10" t="n"/>
      <c r="C7" s="19" t="n">
        <v>1609.137</v>
      </c>
      <c r="D7" s="20" t="n">
        <v>1667.75</v>
      </c>
      <c r="E7" s="20" t="n">
        <v>1682.365</v>
      </c>
      <c r="F7" s="20" t="n">
        <v>1420.155</v>
      </c>
      <c r="G7" s="20" t="n">
        <v>1408.494</v>
      </c>
      <c r="H7" s="20" t="n">
        <v>1709.841</v>
      </c>
      <c r="I7" s="20" t="n">
        <v>1917.265</v>
      </c>
      <c r="J7" s="20" t="n">
        <v>1439.107</v>
      </c>
      <c r="K7" s="20" t="n">
        <v>1572.535</v>
      </c>
      <c r="L7" s="20" t="n">
        <v>1546.986</v>
      </c>
      <c r="M7" s="20" t="n">
        <v>1610.933</v>
      </c>
      <c r="N7" s="20" t="n">
        <v>1610.293</v>
      </c>
      <c r="O7" s="19" t="n"/>
      <c r="P7" s="20" t="n"/>
      <c r="Q7" s="20" t="n"/>
      <c r="R7" s="20" t="n"/>
      <c r="S7" s="20" t="n"/>
      <c r="T7" s="20" t="n"/>
      <c r="U7" s="20" t="n"/>
      <c r="V7" s="20" t="n">
        <v>6354.08</v>
      </c>
      <c r="W7" s="20" t="n">
        <v>6220.855</v>
      </c>
      <c r="X7" s="20" t="n">
        <v>6475.893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부문</t>
        </is>
      </c>
      <c r="B10" s="10" t="n"/>
      <c r="C10" s="19" t="n">
        <v>439.781</v>
      </c>
      <c r="D10" s="20" t="n">
        <v>376.742</v>
      </c>
      <c r="E10" s="20" t="n">
        <v>400.71</v>
      </c>
      <c r="F10" s="20" t="n">
        <v>383.423</v>
      </c>
      <c r="G10" s="20" t="n">
        <v>427.036</v>
      </c>
      <c r="H10" s="20" t="n">
        <v>358.696</v>
      </c>
      <c r="I10" s="20" t="n">
        <v>409.849</v>
      </c>
      <c r="J10" s="20" t="n">
        <v>426.911</v>
      </c>
      <c r="K10" s="20" t="n">
        <v>452.129</v>
      </c>
      <c r="L10" s="20" t="n">
        <v>375.755</v>
      </c>
      <c r="M10" s="20" t="n">
        <v>423.141</v>
      </c>
      <c r="N10" s="20" t="n">
        <v>554.846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1591.643</v>
      </c>
      <c r="W10" s="20" t="n">
        <v>1569.865</v>
      </c>
      <c r="X10" s="20" t="n">
        <v>1664.644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부문</t>
        </is>
      </c>
      <c r="B13" s="10" t="n"/>
      <c r="C13" s="19" t="n">
        <v>258.683</v>
      </c>
      <c r="D13" s="20" t="n">
        <v>237.808</v>
      </c>
      <c r="E13" s="20" t="n">
        <v>264.256</v>
      </c>
      <c r="F13" s="20" t="n">
        <v>259.358</v>
      </c>
      <c r="G13" s="20" t="n">
        <v>253.141</v>
      </c>
      <c r="H13" s="20" t="n">
        <v>277.772</v>
      </c>
      <c r="I13" s="20" t="n">
        <v>208.896</v>
      </c>
      <c r="J13" s="20" t="n">
        <v>276.852</v>
      </c>
      <c r="K13" s="20" t="n">
        <v>302.21</v>
      </c>
      <c r="L13" s="20" t="n">
        <v>271.892</v>
      </c>
      <c r="M13" s="20" t="n">
        <v>241.231</v>
      </c>
      <c r="N13" s="20" t="n">
        <v>337.924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1039.083</v>
      </c>
      <c r="W13" s="20" t="n">
        <v>1054.527</v>
      </c>
      <c r="X13" s="20" t="n">
        <v>1059.85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부문</t>
        </is>
      </c>
      <c r="B16" s="10" t="n"/>
      <c r="C16" s="19" t="n">
        <v>429.12</v>
      </c>
      <c r="D16" s="20" t="n">
        <v>534.831</v>
      </c>
      <c r="E16" s="20" t="n">
        <v>234.9</v>
      </c>
      <c r="F16" s="20" t="n">
        <v>290.98</v>
      </c>
      <c r="G16" s="20" t="n">
        <v>277.653</v>
      </c>
      <c r="H16" s="20" t="n">
        <v>504.566</v>
      </c>
      <c r="I16" s="20" t="n">
        <v>258.008</v>
      </c>
      <c r="J16" s="20" t="n">
        <v>375.522</v>
      </c>
      <c r="K16" s="20" t="n">
        <v>391.96</v>
      </c>
      <c r="L16" s="20" t="n">
        <v>436.536</v>
      </c>
      <c r="M16" s="20" t="n">
        <v>316.828</v>
      </c>
      <c r="N16" s="20" t="n">
        <v>285.502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1565.074</v>
      </c>
      <c r="W16" s="20" t="n">
        <v>1308.099</v>
      </c>
      <c r="X16" s="20" t="n">
        <v>1462.026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부문</t>
        </is>
      </c>
      <c r="B19" s="10" t="n"/>
      <c r="C19" s="19" t="n">
        <v>22.657</v>
      </c>
      <c r="D19" s="20" t="n">
        <v>603.09</v>
      </c>
      <c r="E19" s="20" t="n">
        <v>25.423</v>
      </c>
      <c r="F19" s="20" t="n">
        <v>40.94</v>
      </c>
      <c r="G19" s="20" t="n">
        <v>47.55</v>
      </c>
      <c r="H19" s="20" t="n">
        <v>32.234</v>
      </c>
      <c r="I19" s="20" t="n">
        <v>27.288</v>
      </c>
      <c r="J19" s="20" t="n">
        <v>32.88</v>
      </c>
      <c r="K19" s="20" t="n">
        <v>22.339</v>
      </c>
      <c r="L19" s="20" t="n">
        <v>33.237</v>
      </c>
      <c r="M19" s="20" t="n">
        <v>32.155</v>
      </c>
      <c r="N19" s="20" t="n">
        <v>33.478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681.7430000000001</v>
      </c>
      <c r="W19" s="20" t="n">
        <v>146.147</v>
      </c>
      <c r="X19" s="20" t="n">
        <v>115.744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부문</t>
        </is>
      </c>
      <c r="B22" s="10" t="n"/>
      <c r="C22" s="19" t="n">
        <v>146.236</v>
      </c>
      <c r="D22" s="20" t="n">
        <v>152.449</v>
      </c>
      <c r="E22" s="20" t="n">
        <v>153.195</v>
      </c>
      <c r="F22" s="20" t="n">
        <v>128.419</v>
      </c>
      <c r="G22" s="20" t="n">
        <v>167.977</v>
      </c>
      <c r="H22" s="20" t="n">
        <v>159.622</v>
      </c>
      <c r="I22" s="20" t="n">
        <v>129.41</v>
      </c>
      <c r="J22" s="20" t="n">
        <v>138.753</v>
      </c>
      <c r="K22" s="20" t="n">
        <v>140.76</v>
      </c>
      <c r="L22" s="20" t="n">
        <v>164.444</v>
      </c>
      <c r="M22" s="20" t="n">
        <v>138.409</v>
      </c>
      <c r="N22" s="20" t="n">
        <v>172.714</v>
      </c>
      <c r="O22" s="19" t="n"/>
      <c r="P22" s="20" t="n"/>
      <c r="Q22" s="20" t="n"/>
      <c r="R22" s="20" t="n"/>
      <c r="S22" s="20" t="n"/>
      <c r="T22" s="20" t="n"/>
      <c r="U22" s="20" t="n"/>
      <c r="V22" s="20" t="n">
        <v>574.048</v>
      </c>
      <c r="W22" s="20" t="n">
        <v>609.213</v>
      </c>
      <c r="X22" s="20" t="n">
        <v>573.367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기타</t>
        </is>
      </c>
      <c r="B25" s="10" t="n"/>
      <c r="C25" s="19" t="n">
        <v>249.818</v>
      </c>
      <c r="D25" s="20" t="n">
        <v>259.302</v>
      </c>
      <c r="E25" s="20" t="n">
        <v>411.525</v>
      </c>
      <c r="F25" s="20" t="n">
        <v>332.526</v>
      </c>
      <c r="G25" s="20" t="n">
        <v>346.474</v>
      </c>
      <c r="H25" s="20" t="n">
        <v>383.874</v>
      </c>
      <c r="I25" s="20" t="n">
        <v>388.904</v>
      </c>
      <c r="J25" s="20" t="n">
        <v>422.42</v>
      </c>
      <c r="K25" s="20" t="n">
        <v>466.535</v>
      </c>
      <c r="L25" s="20" t="n">
        <v>485.606</v>
      </c>
      <c r="M25" s="20" t="n">
        <v>455.412</v>
      </c>
      <c r="N25" s="20" t="n">
        <v>425.796</v>
      </c>
      <c r="O25" s="19" t="n"/>
      <c r="P25" s="20" t="n"/>
      <c r="Q25" s="20" t="n"/>
      <c r="R25" s="20" t="n"/>
      <c r="S25" s="20" t="n"/>
      <c r="T25" s="20" t="n"/>
      <c r="U25" s="20" t="n"/>
      <c r="V25" s="20" t="n">
        <v>1066.764</v>
      </c>
      <c r="W25" s="20" t="n">
        <v>1474.399</v>
      </c>
      <c r="X25" s="20" t="n">
        <v>1763.465</v>
      </c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1783.206</v>
      </c>
      <c r="D29" s="20" t="n">
        <v>2212.19</v>
      </c>
      <c r="E29" s="20" t="n">
        <v>1867.324</v>
      </c>
      <c r="F29" s="20" t="n">
        <v>1641.42</v>
      </c>
      <c r="G29" s="20" t="n">
        <v>1586.707</v>
      </c>
      <c r="H29" s="20" t="n">
        <v>2082.79</v>
      </c>
      <c r="I29" s="20" t="n">
        <v>1894.1</v>
      </c>
      <c r="J29" s="20" t="n">
        <v>1745.005</v>
      </c>
      <c r="K29" s="20" t="n">
        <v>1914.129</v>
      </c>
      <c r="L29" s="20" t="n">
        <v>2002.592</v>
      </c>
      <c r="M29" s="20" t="n">
        <v>1881.411</v>
      </c>
      <c r="N29" s="20" t="n">
        <v>1928.984</v>
      </c>
      <c r="O29" s="19" t="n">
        <v>6063.81</v>
      </c>
      <c r="P29" s="20" t="n">
        <v>6073.072</v>
      </c>
      <c r="Q29" s="20" t="n">
        <v>6685.172</v>
      </c>
      <c r="R29" s="20" t="n">
        <v>6835.294</v>
      </c>
      <c r="S29" s="20" t="n">
        <v>5788.615</v>
      </c>
      <c r="T29" s="20" t="n">
        <v>6097.603</v>
      </c>
      <c r="U29" s="20" t="n">
        <v>6735.509</v>
      </c>
      <c r="V29" s="20" t="n">
        <v>7460.815</v>
      </c>
      <c r="W29" s="20" t="n">
        <v>7178.241</v>
      </c>
      <c r="X29" s="20" t="n">
        <v>7555.826</v>
      </c>
      <c r="Y29" s="19" t="n"/>
      <c r="Z29" s="20" t="n"/>
      <c r="AA29" s="20" t="n"/>
      <c r="AB29" s="20" t="n"/>
      <c r="AC29" s="20" t="n"/>
    </row>
    <row r="30">
      <c r="A30" s="18" t="inlineStr">
        <is>
          <t>매출총이익</t>
        </is>
      </c>
      <c r="B30" s="10" t="n"/>
      <c r="C30" s="19">
        <f>IF(OR(C4="",C29=""),"",IFERROR(C4-C29,""))</f>
        <v/>
      </c>
      <c r="D30" s="20">
        <f>IF(OR(D4="",D29=""),"",IFERROR(D4-D29,""))</f>
        <v/>
      </c>
      <c r="E30" s="20">
        <f>IF(OR(E4="",E29=""),"",IFERROR(E4-E29,""))</f>
        <v/>
      </c>
      <c r="F30" s="20">
        <f>IF(OR(F4="",F29=""),"",IFERROR(F4-F29,""))</f>
        <v/>
      </c>
      <c r="G30" s="20">
        <f>IF(OR(G4="",G29=""),"",IFERROR(G4-G29,""))</f>
        <v/>
      </c>
      <c r="H30" s="20">
        <f>IF(OR(H4="",H29=""),"",IFERROR(H4-H29,""))</f>
        <v/>
      </c>
      <c r="I30" s="20">
        <f>IF(OR(I4="",I29=""),"",IFERROR(I4-I29,""))</f>
        <v/>
      </c>
      <c r="J30" s="20">
        <f>IF(OR(J4="",J29=""),"",IFERROR(J4-J29,""))</f>
        <v/>
      </c>
      <c r="K30" s="20">
        <f>IF(OR(K4="",K29=""),"",IFERROR(K4-K29,""))</f>
        <v/>
      </c>
      <c r="L30" s="20">
        <f>IF(OR(L4="",L29=""),"",IFERROR(L4-L29,""))</f>
        <v/>
      </c>
      <c r="M30" s="20">
        <f>IF(OR(M4="",M29=""),"",IFERROR(M4-M29,""))</f>
        <v/>
      </c>
      <c r="N30" s="20">
        <f>IF(OR(N4="",N29=""),"",IFERROR(N4-N29,""))</f>
        <v/>
      </c>
      <c r="O30" s="19">
        <f>IF(OR(O4="",O29=""),"",IFERROR(O4-O29,""))</f>
        <v/>
      </c>
      <c r="P30" s="20">
        <f>IF(OR(P4="",P29=""),"",IFERROR(P4-P29,""))</f>
        <v/>
      </c>
      <c r="Q30" s="20">
        <f>IF(OR(Q4="",Q29=""),"",IFERROR(Q4-Q29,""))</f>
        <v/>
      </c>
      <c r="R30" s="20">
        <f>IF(OR(R4="",R29=""),"",IFERROR(R4-R29,""))</f>
        <v/>
      </c>
      <c r="S30" s="20">
        <f>IF(OR(S4="",S29=""),"",IFERROR(S4-S29,""))</f>
        <v/>
      </c>
      <c r="T30" s="20">
        <f>IF(OR(T4="",T29=""),"",IFERROR(T4-T29,""))</f>
        <v/>
      </c>
      <c r="U30" s="20">
        <f>IF(OR(U4="",U29=""),"",IFERROR(U4-U29,""))</f>
        <v/>
      </c>
      <c r="V30" s="20">
        <f>IF(OR(V4="",V29=""),"",IFERROR(V4-V29,""))</f>
        <v/>
      </c>
      <c r="W30" s="20">
        <f>IF(OR(W4="",W29=""),"",IFERROR(W4-W29,""))</f>
        <v/>
      </c>
      <c r="X30" s="20">
        <f>IF(OR(X4="",X29=""),"",IFERROR(X4-X29,""))</f>
        <v/>
      </c>
      <c r="Y30" s="19" t="n"/>
      <c r="Z30" s="20" t="n"/>
      <c r="AA30" s="20" t="n"/>
      <c r="AB30" s="20" t="n"/>
      <c r="AC30" s="20" t="n"/>
    </row>
    <row r="31">
      <c r="A31" s="13" t="inlineStr">
        <is>
          <t>GPM</t>
        </is>
      </c>
      <c r="B31" s="10" t="n"/>
      <c r="C31" s="14">
        <f>IF(OR(C30="",C4=""),"",IFERROR(C30/C4,""))</f>
        <v/>
      </c>
      <c r="D31" s="15">
        <f>IF(OR(D30="",D4=""),"",IFERROR(D30/D4,""))</f>
        <v/>
      </c>
      <c r="E31" s="15">
        <f>IF(OR(E30="",E4=""),"",IFERROR(E30/E4,""))</f>
        <v/>
      </c>
      <c r="F31" s="15">
        <f>IF(OR(F30="",F4=""),"",IFERROR(F30/F4,""))</f>
        <v/>
      </c>
      <c r="G31" s="15">
        <f>IF(OR(G30="",G4=""),"",IFERROR(G30/G4,""))</f>
        <v/>
      </c>
      <c r="H31" s="15">
        <f>IF(OR(H30="",H4=""),"",IFERROR(H30/H4,""))</f>
        <v/>
      </c>
      <c r="I31" s="15">
        <f>IF(OR(I30="",I4=""),"",IFERROR(I30/I4,""))</f>
        <v/>
      </c>
      <c r="J31" s="15">
        <f>IF(OR(J30="",J4=""),"",IFERROR(J30/J4,""))</f>
        <v/>
      </c>
      <c r="K31" s="15">
        <f>IF(OR(K30="",K4=""),"",IFERROR(K30/K4,""))</f>
        <v/>
      </c>
      <c r="L31" s="15">
        <f>IF(OR(L30="",L4=""),"",IFERROR(L30/L4,""))</f>
        <v/>
      </c>
      <c r="M31" s="15">
        <f>IF(OR(M30="",M4=""),"",IFERROR(M30/M4,""))</f>
        <v/>
      </c>
      <c r="N31" s="15">
        <f>IF(OR(N30="",N4=""),"",IFERROR(N30/N4,""))</f>
        <v/>
      </c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>
        <f>IF(OR(Y30="",Y4=""),"",IFERROR(Y30/Y4,""))</f>
        <v/>
      </c>
      <c r="Z31" s="15">
        <f>IF(OR(Z30="",Z4=""),"",IFERROR(Z30/Z4,""))</f>
        <v/>
      </c>
      <c r="AA31" s="15">
        <f>IF(OR(AA30="",AA4=""),"",IFERROR(AA30/AA4,""))</f>
        <v/>
      </c>
      <c r="AB31" s="15">
        <f>IF(OR(AB30="",AB4=""),"",IFERROR(AB30/AB4,""))</f>
        <v/>
      </c>
      <c r="AC31" s="15">
        <f>IF(OR(AC30="",AC4=""),"",IFERROR(AC30/AC4,""))</f>
        <v/>
      </c>
    </row>
    <row r="32">
      <c r="A32" s="23" t="inlineStr">
        <is>
          <t>판매관리비</t>
        </is>
      </c>
      <c r="B32" s="23" t="n"/>
      <c r="C32" s="24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4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4" t="n"/>
      <c r="Z32" s="23" t="n"/>
      <c r="AA32" s="23" t="n"/>
      <c r="AB32" s="23" t="n"/>
      <c r="AC32" s="23" t="n"/>
    </row>
    <row r="33">
      <c r="A33" s="18" t="inlineStr">
        <is>
          <t>전체 판관비</t>
        </is>
      </c>
      <c r="B33" s="10" t="n"/>
      <c r="C33" s="19" t="n">
        <v>915.806</v>
      </c>
      <c r="D33" s="20" t="n">
        <v>1071.336</v>
      </c>
      <c r="E33" s="20" t="n">
        <v>910.417</v>
      </c>
      <c r="F33" s="20" t="n">
        <v>966.668</v>
      </c>
      <c r="G33" s="20" t="n">
        <v>949.869</v>
      </c>
      <c r="H33" s="20" t="n">
        <v>988.672</v>
      </c>
      <c r="I33" s="20" t="n">
        <v>937.383</v>
      </c>
      <c r="J33" s="20" t="n">
        <v>982.053</v>
      </c>
      <c r="K33" s="20" t="n">
        <v>974.788</v>
      </c>
      <c r="L33" s="20" t="n">
        <v>1082.138</v>
      </c>
      <c r="M33" s="20" t="n">
        <v>955.8049999999999</v>
      </c>
      <c r="N33" s="20" t="n">
        <v>982.533</v>
      </c>
      <c r="O33" s="19" t="n">
        <v>2795.528</v>
      </c>
      <c r="P33" s="20" t="n">
        <v>2926.002</v>
      </c>
      <c r="Q33" s="20" t="n">
        <v>3223.815</v>
      </c>
      <c r="R33" s="20" t="n">
        <v>3431.443</v>
      </c>
      <c r="S33" s="20" t="n">
        <v>2992.475</v>
      </c>
      <c r="T33" s="20" t="n">
        <v>2926.064</v>
      </c>
      <c r="U33" s="20" t="n">
        <v>3254.395</v>
      </c>
      <c r="V33" s="20" t="n">
        <v>3743.234</v>
      </c>
      <c r="W33" s="20" t="n">
        <v>3815.626</v>
      </c>
      <c r="X33" s="20" t="n">
        <v>3976.362</v>
      </c>
      <c r="Y33" s="19" t="n"/>
      <c r="Z33" s="20" t="n"/>
      <c r="AA33" s="20" t="n"/>
      <c r="AB33" s="20" t="n"/>
      <c r="AC33" s="20" t="n"/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456.423</v>
      </c>
      <c r="D34" s="12" t="n">
        <v>548.443</v>
      </c>
      <c r="E34" s="12" t="n">
        <v>394.635</v>
      </c>
      <c r="F34" s="12" t="n">
        <v>247.712</v>
      </c>
      <c r="G34" s="12" t="n">
        <v>391.749</v>
      </c>
      <c r="H34" s="12" t="n">
        <v>355.146</v>
      </c>
      <c r="I34" s="12" t="n">
        <v>508.139</v>
      </c>
      <c r="J34" s="12" t="n">
        <v>385.388</v>
      </c>
      <c r="K34" s="12" t="n">
        <v>459.552</v>
      </c>
      <c r="L34" s="12" t="n">
        <v>229.723</v>
      </c>
      <c r="M34" s="12" t="n">
        <v>380.895</v>
      </c>
      <c r="N34" s="12" t="n">
        <v>509.034</v>
      </c>
      <c r="O34" s="11" t="n">
        <v>1796.34</v>
      </c>
      <c r="P34" s="12" t="n">
        <v>1457.573</v>
      </c>
      <c r="Q34" s="12" t="n">
        <v>1462.602</v>
      </c>
      <c r="R34" s="12" t="n">
        <v>1162.413</v>
      </c>
      <c r="S34" s="12" t="n">
        <v>916.7089999999999</v>
      </c>
      <c r="T34" s="12" t="n">
        <v>1010.402</v>
      </c>
      <c r="U34" s="12" t="n">
        <v>1177.731</v>
      </c>
      <c r="V34" s="12" t="n">
        <v>1668.387</v>
      </c>
      <c r="W34" s="12" t="n">
        <v>1389.242</v>
      </c>
      <c r="X34" s="12" t="n">
        <v>1582.802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IF(O33="","",O33)</f>
        <v/>
      </c>
      <c r="P38" s="12">
        <f>IF(P33="","",P33)</f>
        <v/>
      </c>
      <c r="Q38" s="12">
        <f>IF(Q33="","",Q33)</f>
        <v/>
      </c>
      <c r="R38" s="12">
        <f>IF(R33="","",R33)</f>
        <v/>
      </c>
      <c r="S38" s="12">
        <f>IF(S33="","",S33)</f>
        <v/>
      </c>
      <c r="T38" s="12">
        <f>IF(T33="","",T33)</f>
        <v/>
      </c>
      <c r="U38" s="12">
        <f>IF(U33="","",U33)</f>
        <v/>
      </c>
      <c r="V38" s="12">
        <f>IF(V33="","",V33)</f>
        <v/>
      </c>
      <c r="W38" s="12">
        <f>IF(W33="","",W33)</f>
        <v/>
      </c>
      <c r="X38" s="12">
        <f>IF(X33="","",X33)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0</v>
      </c>
      <c r="D50" s="20" t="n">
        <v>8.699999999999999</v>
      </c>
      <c r="E50" s="20" t="n">
        <v>88.63500000000001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/>
      <c r="N50" s="20" t="n"/>
      <c r="O50" s="19" t="n">
        <v>30.221</v>
      </c>
      <c r="P50" s="20" t="n">
        <v>85.182</v>
      </c>
      <c r="Q50" s="20" t="n">
        <v>0</v>
      </c>
      <c r="R50" s="20" t="n">
        <v>2.592</v>
      </c>
      <c r="S50" s="20" t="n">
        <v>0</v>
      </c>
      <c r="T50" s="20" t="n"/>
      <c r="U50" s="20" t="n">
        <v>0</v>
      </c>
      <c r="V50" s="20" t="n">
        <v>8.699999999999999</v>
      </c>
      <c r="W50" s="20" t="n">
        <v>88.63500000000001</v>
      </c>
      <c r="X50" s="20" t="n">
        <v>0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/>
      <c r="D52" s="20" t="n"/>
      <c r="E52" s="20" t="n"/>
      <c r="F52" s="20" t="n"/>
      <c r="G52" s="20" t="n">
        <v>0</v>
      </c>
      <c r="H52" s="20" t="n">
        <v>10.475</v>
      </c>
      <c r="I52" s="20" t="n"/>
      <c r="J52" s="20" t="n"/>
      <c r="K52" s="20" t="n">
        <v>0.073</v>
      </c>
      <c r="L52" s="20" t="n">
        <v>0.5610000000000001</v>
      </c>
      <c r="M52" s="20" t="n"/>
      <c r="N52" s="20" t="n"/>
      <c r="O52" s="19" t="n"/>
      <c r="P52" s="20" t="n"/>
      <c r="Q52" s="20" t="n">
        <v>0</v>
      </c>
      <c r="R52" s="20" t="n">
        <v>82.27</v>
      </c>
      <c r="S52" s="20" t="n">
        <v>0</v>
      </c>
      <c r="T52" s="20" t="n"/>
      <c r="U52" s="20" t="n"/>
      <c r="V52" s="20" t="n">
        <v>0</v>
      </c>
      <c r="W52" s="20" t="n">
        <v>10.475</v>
      </c>
      <c r="X52" s="20" t="n">
        <v>37.68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2.838</v>
      </c>
      <c r="D54" s="20" t="n">
        <v>19.245</v>
      </c>
      <c r="E54" s="20" t="n">
        <v>32.874</v>
      </c>
      <c r="F54" s="20" t="n">
        <v>47.665</v>
      </c>
      <c r="G54" s="20" t="n">
        <v>-22.153</v>
      </c>
      <c r="H54" s="20" t="n">
        <v>15.661</v>
      </c>
      <c r="I54" s="20" t="n">
        <v>22.53</v>
      </c>
      <c r="J54" s="20" t="n">
        <v>35.72</v>
      </c>
      <c r="K54" s="20" t="n">
        <v>24.832</v>
      </c>
      <c r="L54" s="20" t="n">
        <v>30.387</v>
      </c>
      <c r="M54" s="20" t="n">
        <v>29.351</v>
      </c>
      <c r="N54" s="20" t="n">
        <v>37.955</v>
      </c>
      <c r="O54" s="19" t="n">
        <v>64.17</v>
      </c>
      <c r="P54" s="20" t="n">
        <v>61.188</v>
      </c>
      <c r="Q54" s="20" t="n">
        <v>48.035</v>
      </c>
      <c r="R54" s="20" t="n">
        <v>41.848</v>
      </c>
      <c r="S54" s="20" t="n">
        <v>87.16800000000001</v>
      </c>
      <c r="T54" s="20" t="n">
        <v>68.77500000000001</v>
      </c>
      <c r="U54" s="20" t="n">
        <v>95.229</v>
      </c>
      <c r="V54" s="20" t="n">
        <v>89.974</v>
      </c>
      <c r="W54" s="20" t="n">
        <v>74.047</v>
      </c>
      <c r="X54" s="20" t="n">
        <v>113.469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8.475</v>
      </c>
      <c r="D56" s="20" t="n">
        <v>-1.235</v>
      </c>
      <c r="E56" s="20" t="n">
        <v>2.205</v>
      </c>
      <c r="F56" s="20" t="n">
        <v>0.88</v>
      </c>
      <c r="G56" s="20" t="n">
        <v>15.934</v>
      </c>
      <c r="H56" s="20" t="n">
        <v>-3.508</v>
      </c>
      <c r="I56" s="20" t="n">
        <v>16.589</v>
      </c>
      <c r="J56" s="20" t="n">
        <v>1.47</v>
      </c>
      <c r="K56" s="20" t="n">
        <v>-1.514</v>
      </c>
      <c r="L56" s="20" t="n">
        <v>2.044</v>
      </c>
      <c r="M56" s="20" t="n">
        <v>17.133</v>
      </c>
      <c r="N56" s="20" t="n">
        <v>11.079</v>
      </c>
      <c r="O56" s="19" t="n">
        <v>10.025</v>
      </c>
      <c r="P56" s="20" t="n">
        <v>15.957</v>
      </c>
      <c r="Q56" s="20" t="n">
        <v>30.528</v>
      </c>
      <c r="R56" s="20" t="n">
        <v>15.141</v>
      </c>
      <c r="S56" s="20" t="n">
        <v>18.89</v>
      </c>
      <c r="T56" s="20" t="n">
        <v>9.593</v>
      </c>
      <c r="U56" s="20" t="n">
        <v>12.461</v>
      </c>
      <c r="V56" s="20" t="n">
        <v>19.158</v>
      </c>
      <c r="W56" s="20" t="n">
        <v>15.511</v>
      </c>
      <c r="X56" s="20" t="n">
        <v>18.589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450.787</v>
      </c>
      <c r="D58" s="12" t="n">
        <v>577.622</v>
      </c>
      <c r="E58" s="12" t="n">
        <v>513.939</v>
      </c>
      <c r="F58" s="12" t="n">
        <v>294.497</v>
      </c>
      <c r="G58" s="12" t="n">
        <v>353.663</v>
      </c>
      <c r="H58" s="12" t="n">
        <v>363.838</v>
      </c>
      <c r="I58" s="12" t="n">
        <v>514.08</v>
      </c>
      <c r="J58" s="12" t="n">
        <v>382.592</v>
      </c>
      <c r="K58" s="12" t="n">
        <v>485.825</v>
      </c>
      <c r="L58" s="12" t="n">
        <v>257.505</v>
      </c>
      <c r="M58" s="12" t="n">
        <v>393.114</v>
      </c>
      <c r="N58" s="12" t="n">
        <v>535.909</v>
      </c>
      <c r="O58" s="11" t="n">
        <v>1880.706</v>
      </c>
      <c r="P58" s="12" t="n">
        <v>1587.986</v>
      </c>
      <c r="Q58" s="12" t="n">
        <v>1480.109</v>
      </c>
      <c r="R58" s="12" t="n">
        <v>1109.443</v>
      </c>
      <c r="S58" s="12" t="n">
        <v>984.986</v>
      </c>
      <c r="T58" s="12" t="n">
        <v>1069.584</v>
      </c>
      <c r="U58" s="12" t="n">
        <v>1260.5</v>
      </c>
      <c r="V58" s="12" t="n">
        <v>1747.903</v>
      </c>
      <c r="W58" s="12" t="n">
        <v>1525.937</v>
      </c>
      <c r="X58" s="12" t="n">
        <v>1640.002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8" t="inlineStr">
        <is>
          <t>법인세비용(수익)</t>
        </is>
      </c>
      <c r="B59" s="10" t="n"/>
      <c r="C59" s="19" t="n">
        <v>121.23</v>
      </c>
      <c r="D59" s="20" t="n">
        <v>237.506</v>
      </c>
      <c r="E59" s="20" t="n">
        <v>171.181</v>
      </c>
      <c r="F59" s="20" t="n">
        <v>134.46</v>
      </c>
      <c r="G59" s="20" t="n">
        <v>39.976</v>
      </c>
      <c r="H59" s="20" t="n">
        <v>140.62</v>
      </c>
      <c r="I59" s="20" t="n">
        <v>127.066</v>
      </c>
      <c r="J59" s="20" t="n">
        <v>122.725</v>
      </c>
      <c r="K59" s="20" t="n">
        <v>152.266</v>
      </c>
      <c r="L59" s="20" t="n">
        <v>37.016</v>
      </c>
      <c r="M59" s="20" t="n">
        <v>120.49</v>
      </c>
      <c r="N59" s="20" t="n">
        <v>173.209</v>
      </c>
      <c r="O59" s="19" t="n">
        <v>617.244</v>
      </c>
      <c r="P59" s="20" t="n">
        <v>501.429</v>
      </c>
      <c r="Q59" s="20" t="n">
        <v>451.569</v>
      </c>
      <c r="R59" s="20" t="n">
        <v>370.248</v>
      </c>
      <c r="S59" s="20" t="n">
        <v>305.526</v>
      </c>
      <c r="T59" s="20" t="n">
        <v>388.149</v>
      </c>
      <c r="U59" s="20" t="n">
        <v>391.56</v>
      </c>
      <c r="V59" s="20" t="n">
        <v>559.453</v>
      </c>
      <c r="W59" s="20" t="n">
        <v>486.237</v>
      </c>
      <c r="X59" s="20" t="n">
        <v>439.073</v>
      </c>
      <c r="Y59" s="19">
        <f>IF(OR(Y58="",Y60=""),"",IFERROR(MAX(Y58,0)*Y60,""))</f>
        <v/>
      </c>
      <c r="Z59" s="20">
        <f>IF(OR(Z58="",Z60=""),"",IFERROR(MAX(Z58,0)*Z60,""))</f>
        <v/>
      </c>
      <c r="AA59" s="20">
        <f>IF(OR(AA58="",AA60=""),"",IFERROR(MAX(AA58,0)*AA60,""))</f>
        <v/>
      </c>
      <c r="AB59" s="20">
        <f>IF(OR(AB58="",AB60=""),"",IFERROR(MAX(AB58,0)*AB60,""))</f>
        <v/>
      </c>
      <c r="AC59" s="20">
        <f>IF(OR(AC58="",AC60=""),"",IFERROR(MAX(AC58,0)*AC60,""))</f>
        <v/>
      </c>
    </row>
    <row r="60">
      <c r="A60" s="13" t="inlineStr">
        <is>
          <t>법인세율</t>
        </is>
      </c>
      <c r="B60" s="10" t="inlineStr">
        <is>
          <t>MW 기본 30%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0.3</v>
      </c>
      <c r="Z60" s="26" t="n">
        <v>0.3</v>
      </c>
      <c r="AA60" s="26" t="n">
        <v>0.3</v>
      </c>
      <c r="AB60" s="26" t="n">
        <v>0.3</v>
      </c>
      <c r="AC60" s="26" t="n">
        <v>0.3</v>
      </c>
    </row>
    <row r="61">
      <c r="A61" s="9" t="inlineStr">
        <is>
          <t>당기순이익(손실)</t>
        </is>
      </c>
      <c r="B61" s="10" t="n"/>
      <c r="C61" s="11" t="n">
        <v>329.556</v>
      </c>
      <c r="D61" s="12" t="n">
        <v>340.116</v>
      </c>
      <c r="E61" s="12" t="n">
        <v>342.758</v>
      </c>
      <c r="F61" s="12" t="n">
        <v>160.036</v>
      </c>
      <c r="G61" s="12" t="n">
        <v>313.687</v>
      </c>
      <c r="H61" s="12" t="n">
        <v>223.218</v>
      </c>
      <c r="I61" s="12" t="n">
        <v>387.014</v>
      </c>
      <c r="J61" s="12" t="n">
        <v>259.866</v>
      </c>
      <c r="K61" s="12" t="n">
        <v>333.559</v>
      </c>
      <c r="L61" s="12" t="n">
        <v>220.49</v>
      </c>
      <c r="M61" s="12" t="n">
        <v>272.624</v>
      </c>
      <c r="N61" s="12" t="n">
        <v>362.699</v>
      </c>
      <c r="O61" s="11" t="n">
        <v>1263.461</v>
      </c>
      <c r="P61" s="12" t="n">
        <v>1086.557</v>
      </c>
      <c r="Q61" s="12" t="n">
        <v>1028.54</v>
      </c>
      <c r="R61" s="12" t="n">
        <v>739.194</v>
      </c>
      <c r="S61" s="12" t="n">
        <v>679.46</v>
      </c>
      <c r="T61" s="12" t="n">
        <v>681.4349999999999</v>
      </c>
      <c r="U61" s="12" t="n">
        <v>868.9400000000001</v>
      </c>
      <c r="V61" s="12" t="n">
        <v>1188.449</v>
      </c>
      <c r="W61" s="12" t="n">
        <v>1039.699</v>
      </c>
      <c r="X61" s="12" t="n">
        <v>1200.929</v>
      </c>
      <c r="Y61" s="11">
        <f>IF(OR(Y58=""),"",IFERROR(Y58-Y59,""))</f>
        <v/>
      </c>
      <c r="Z61" s="12">
        <f>IF(OR(Z58=""),"",IFERROR(Z58-Z59,""))</f>
        <v/>
      </c>
      <c r="AA61" s="12">
        <f>IF(OR(AA58=""),"",IFERROR(AA58-AA59,""))</f>
        <v/>
      </c>
      <c r="AB61" s="12">
        <f>IF(OR(AB58=""),"",IFERROR(AB58-AB59,""))</f>
        <v/>
      </c>
      <c r="AC61" s="12">
        <f>IF(OR(AC58=""),"",IFERROR(AC58-AC59,""))</f>
        <v/>
      </c>
    </row>
    <row r="62">
      <c r="A62" s="9" t="inlineStr">
        <is>
          <t>지배주주 순이익</t>
        </is>
      </c>
      <c r="B62" s="10" t="n"/>
      <c r="C62" s="11" t="n">
        <v>329.556</v>
      </c>
      <c r="D62" s="12" t="n">
        <v>340.116</v>
      </c>
      <c r="E62" s="12" t="n">
        <v>342.758</v>
      </c>
      <c r="F62" s="12" t="n">
        <v>160.036</v>
      </c>
      <c r="G62" s="12" t="n">
        <v>313.687</v>
      </c>
      <c r="H62" s="12" t="n">
        <v>223.218</v>
      </c>
      <c r="I62" s="12" t="n">
        <v>387.014</v>
      </c>
      <c r="J62" s="12" t="n">
        <v>259.866</v>
      </c>
      <c r="K62" s="12" t="n">
        <v>333.559</v>
      </c>
      <c r="L62" s="12" t="n">
        <v>220.49</v>
      </c>
      <c r="M62" s="12" t="n">
        <v>272.624</v>
      </c>
      <c r="N62" s="12" t="n">
        <v>362.699</v>
      </c>
      <c r="O62" s="11" t="n">
        <v>1263.461</v>
      </c>
      <c r="P62" s="12" t="n">
        <v>1086.557</v>
      </c>
      <c r="Q62" s="12" t="n">
        <v>1028.54</v>
      </c>
      <c r="R62" s="12" t="n">
        <v>739.194</v>
      </c>
      <c r="S62" s="12" t="n">
        <v>679.46</v>
      </c>
      <c r="T62" s="12" t="n">
        <v>681.4349999999999</v>
      </c>
      <c r="U62" s="12" t="n">
        <v>868.9400000000001</v>
      </c>
      <c r="V62" s="12" t="n">
        <v>1188.449</v>
      </c>
      <c r="W62" s="12" t="n">
        <v>1039.699</v>
      </c>
      <c r="X62" s="12" t="n">
        <v>1200.929</v>
      </c>
      <c r="Y62" s="11">
        <f>IF(OR(Y61="",Y63=""),"",IFERROR(Y61*Y63,""))</f>
        <v/>
      </c>
      <c r="Z62" s="12">
        <f>IF(OR(Z61="",Z63=""),"",IFERROR(Z61*Z63,""))</f>
        <v/>
      </c>
      <c r="AA62" s="12">
        <f>IF(OR(AA61="",AA63=""),"",IFERROR(AA61*AA63,""))</f>
        <v/>
      </c>
      <c r="AB62" s="12">
        <f>IF(OR(AB61="",AB63=""),"",IFERROR(AB61*AB63,""))</f>
        <v/>
      </c>
      <c r="AC62" s="12">
        <f>IF(OR(AC61="",AC63=""),"",IFERROR(AC61*AC63,""))</f>
        <v/>
      </c>
    </row>
    <row r="63">
      <c r="A63" s="13" t="inlineStr">
        <is>
          <t>지배주주 순이익률</t>
        </is>
      </c>
      <c r="B63" s="10" t="inlineStr">
        <is>
          <t>MW 기본 100%</t>
        </is>
      </c>
      <c r="C63" s="14">
        <f>IF(OR(C62="",C61=""),"",IFERROR(C62/C61,""))</f>
        <v/>
      </c>
      <c r="D63" s="15">
        <f>IF(OR(D62="",D61=""),"",IFERROR(D62/D61,""))</f>
        <v/>
      </c>
      <c r="E63" s="15">
        <f>IF(OR(E62="",E61=""),"",IFERROR(E62/E61,""))</f>
        <v/>
      </c>
      <c r="F63" s="15">
        <f>IF(OR(F62="",F61=""),"",IFERROR(F62/F61,""))</f>
        <v/>
      </c>
      <c r="G63" s="15">
        <f>IF(OR(G62="",G61=""),"",IFERROR(G62/G61,""))</f>
        <v/>
      </c>
      <c r="H63" s="15">
        <f>IF(OR(H62="",H61=""),"",IFERROR(H62/H61,""))</f>
        <v/>
      </c>
      <c r="I63" s="15">
        <f>IF(OR(I62="",I61=""),"",IFERROR(I62/I61,""))</f>
        <v/>
      </c>
      <c r="J63" s="15">
        <f>IF(OR(J62="",J61=""),"",IFERROR(J62/J61,""))</f>
        <v/>
      </c>
      <c r="K63" s="15">
        <f>IF(OR(K62="",K61=""),"",IFERROR(K62/K61,""))</f>
        <v/>
      </c>
      <c r="L63" s="15">
        <f>IF(OR(L62="",L61=""),"",IFERROR(L62/L61,""))</f>
        <v/>
      </c>
      <c r="M63" s="15">
        <f>IF(OR(M62="",M61=""),"",IFERROR(M62/M61,""))</f>
        <v/>
      </c>
      <c r="N63" s="15">
        <f>IF(OR(N62="",N61=""),"",IFERROR(N62/N61,""))</f>
        <v/>
      </c>
      <c r="O63" s="14">
        <f>IF(OR(O62="",O61=""),"",IFERROR(O62/O61,""))</f>
        <v/>
      </c>
      <c r="P63" s="15">
        <f>IF(OR(P62="",P61=""),"",IFERROR(P62/P61,""))</f>
        <v/>
      </c>
      <c r="Q63" s="15">
        <f>IF(OR(Q62="",Q61=""),"",IFERROR(Q62/Q61,""))</f>
        <v/>
      </c>
      <c r="R63" s="15">
        <f>IF(OR(R62="",R61=""),"",IFERROR(R62/R61,""))</f>
        <v/>
      </c>
      <c r="S63" s="15">
        <f>IF(OR(S62="",S61=""),"",IFERROR(S62/S61,""))</f>
        <v/>
      </c>
      <c r="T63" s="15">
        <f>IF(OR(T62="",T61=""),"",IFERROR(T62/T61,""))</f>
        <v/>
      </c>
      <c r="U63" s="15">
        <f>IF(OR(U62="",U61=""),"",IFERROR(U62/U61,""))</f>
        <v/>
      </c>
      <c r="V63" s="15">
        <f>IF(OR(V62="",V61=""),"",IFERROR(V62/V61,""))</f>
        <v/>
      </c>
      <c r="W63" s="15">
        <f>IF(OR(W62="",W61=""),"",IFERROR(W62/W61,""))</f>
        <v/>
      </c>
      <c r="X63" s="15">
        <f>IF(OR(X62="",X61=""),"",IFERROR(X62/X61,""))</f>
        <v/>
      </c>
      <c r="Y63" s="25" t="n">
        <v>1</v>
      </c>
      <c r="Z63" s="26" t="n">
        <v>1</v>
      </c>
      <c r="AA63" s="26" t="n">
        <v>1</v>
      </c>
      <c r="AB63" s="26" t="n">
        <v>1</v>
      </c>
      <c r="AC63" s="26" t="n">
        <v>1</v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()</t>
        </is>
      </c>
      <c r="B65" s="27" t="n"/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IF(O35="","",O35)</f>
        <v/>
      </c>
      <c r="P68" s="15">
        <f>IF(P35="","",P35)</f>
        <v/>
      </c>
      <c r="Q68" s="15">
        <f>IF(Q35="","",Q35)</f>
        <v/>
      </c>
      <c r="R68" s="15">
        <f>IF(R35="","",R35)</f>
        <v/>
      </c>
      <c r="S68" s="15">
        <f>IF(S35="","",S35)</f>
        <v/>
      </c>
      <c r="T68" s="15">
        <f>IF(T35="","",T35)</f>
        <v/>
      </c>
      <c r="U68" s="15">
        <f>IF(U35="","",U35)</f>
        <v/>
      </c>
      <c r="V68" s="15">
        <f>IF(V35="","",V35)</f>
        <v/>
      </c>
      <c r="W68" s="15">
        <f>IF(W35="","",W35)</f>
        <v/>
      </c>
      <c r="X68" s="15">
        <f>IF(X35="","",X35)</f>
        <v/>
      </c>
      <c r="Y68" s="14">
        <f>IF(Y35="","",Y35)</f>
        <v/>
      </c>
      <c r="Z68" s="15">
        <f>IF(Z35="","",Z35)</f>
        <v/>
      </c>
      <c r="AA68" s="15">
        <f>IF(AA35="","",AA35)</f>
        <v/>
      </c>
      <c r="AB68" s="15">
        <f>IF(AB35="","",AB35)</f>
        <v/>
      </c>
      <c r="AC68" s="15">
        <f>IF(AC35="","",AC35)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IF(OR(P62="",O62=""),"",IFERROR(P62/O62-1,""))</f>
        <v/>
      </c>
      <c r="Q69" s="15">
        <f>IF(OR(Q62="",P62=""),"",IFERROR(Q62/P62-1,""))</f>
        <v/>
      </c>
      <c r="R69" s="15">
        <f>IF(OR(R62="",Q62=""),"",IFERROR(R62/Q62-1,""))</f>
        <v/>
      </c>
      <c r="S69" s="15">
        <f>IF(OR(S62="",R62=""),"",IFERROR(S62/R62-1,""))</f>
        <v/>
      </c>
      <c r="T69" s="15">
        <f>IF(OR(T62="",S62=""),"",IFERROR(T62/S62-1,""))</f>
        <v/>
      </c>
      <c r="U69" s="15">
        <f>IF(OR(U62="",T62=""),"",IFERROR(U62/T62-1,""))</f>
        <v/>
      </c>
      <c r="V69" s="15">
        <f>IF(OR(V62="",U62=""),"",IFERROR(V62/U62-1,""))</f>
        <v/>
      </c>
      <c r="W69" s="15">
        <f>IF(OR(W62="",V62=""),"",IFERROR(W62/V62-1,""))</f>
        <v/>
      </c>
      <c r="X69" s="15">
        <f>IF(OR(X62="",W62=""),"",IFERROR(X62/W62-1,""))</f>
        <v/>
      </c>
      <c r="Y69" s="14">
        <f>IF(OR(Y62="",X62=""),"",IFERROR(Y62/X62-1,""))</f>
        <v/>
      </c>
      <c r="Z69" s="15">
        <f>IF(OR(Z62="",Y62=""),"",IFERROR(Z62/Y62-1,""))</f>
        <v/>
      </c>
      <c r="AA69" s="15">
        <f>IF(OR(AA62="",Z62=""),"",IFERROR(AA62/Z62-1,""))</f>
        <v/>
      </c>
      <c r="AB69" s="15">
        <f>IF(OR(AB62="",AA62=""),"",IFERROR(AB62/AA62-1,""))</f>
        <v/>
      </c>
      <c r="AC69" s="15">
        <f>IF(OR(AC62="",AB62=""),"",IFERROR(AC62/AB62-1,""))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IF(OR($B$67="",X62=""),"",IFERROR($B$67/X62,""))</f>
        <v/>
      </c>
      <c r="Y70" s="30">
        <f>IF(OR($B$67="",Y62=""),"",IFERROR($B$67/Y62,""))</f>
        <v/>
      </c>
      <c r="Z70" s="31">
        <f>IF(OR($B$67="",Z62=""),"",IFERROR($B$67/Z62,""))</f>
        <v/>
      </c>
      <c r="AA70" s="31">
        <f>IF(OR($B$67="",AA62=""),"",IFERROR($B$67/AA62,""))</f>
        <v/>
      </c>
      <c r="AB70" s="31">
        <f>IF(OR($B$67="",AB62=""),"",IFERROR($B$67/AB62,""))</f>
        <v/>
      </c>
      <c r="AC70" s="31">
        <f>IF(OR($B$67="",AC62=""),"",IFERROR($B$67/AC62,""))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IF(OR(O62="",$B$66=""),"",IFERROR(O62*1000000.0/$B$66,""))</f>
        <v/>
      </c>
      <c r="P72" s="29">
        <f>IF(OR(P62="",$B$66=""),"",IFERROR(P62*1000000.0/$B$66,""))</f>
        <v/>
      </c>
      <c r="Q72" s="29">
        <f>IF(OR(Q62="",$B$66=""),"",IFERROR(Q62*1000000.0/$B$66,""))</f>
        <v/>
      </c>
      <c r="R72" s="29">
        <f>IF(OR(R62="",$B$66=""),"",IFERROR(R62*1000000.0/$B$66,""))</f>
        <v/>
      </c>
      <c r="S72" s="29">
        <f>IF(OR(S62="",$B$66=""),"",IFERROR(S62*1000000.0/$B$66,""))</f>
        <v/>
      </c>
      <c r="T72" s="29">
        <f>IF(OR(T62="",$B$66=""),"",IFERROR(T62*1000000.0/$B$66,""))</f>
        <v/>
      </c>
      <c r="U72" s="29">
        <f>IF(OR(U62="",$B$66=""),"",IFERROR(U62*1000000.0/$B$66,""))</f>
        <v/>
      </c>
      <c r="V72" s="29">
        <f>IF(OR(V62="",$B$66=""),"",IFERROR(V62*1000000.0/$B$66,""))</f>
        <v/>
      </c>
      <c r="W72" s="29">
        <f>IF(OR(W62="",$B$66=""),"",IFERROR(W62*1000000.0/$B$66,""))</f>
        <v/>
      </c>
      <c r="X72" s="29">
        <f>IF(OR(X62="",$B$66=""),"",IFERROR(X62*1000000.0/$B$66,""))</f>
        <v/>
      </c>
      <c r="Y72" s="28">
        <f>IF(OR(Y62="",$B$66=""),"",IFERROR(Y62*1000000.0/$B$66,""))</f>
        <v/>
      </c>
      <c r="Z72" s="29">
        <f>IF(OR(Z62="",$B$66=""),"",IFERROR(Z62*1000000.0/$B$66,""))</f>
        <v/>
      </c>
      <c r="AA72" s="29">
        <f>IF(OR(AA62="",$B$66=""),"",IFERROR(AA62*1000000.0/$B$66,""))</f>
        <v/>
      </c>
      <c r="AB72" s="29">
        <f>IF(OR(AB62="",$B$66=""),"",IFERROR(AB62*1000000.0/$B$66,""))</f>
        <v/>
      </c>
      <c r="AC72" s="29">
        <f>IF(OR(AC62="",$B$66=""),"",IFERROR(AC62*1000000.0/$B$66,""))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IF(OR(Y62="",Y71=""),"",IFERROR(Y62*Y71,""))</f>
        <v/>
      </c>
      <c r="Z84" s="20">
        <f>IF(OR(Z62="",Z71=""),"",IFERROR(Z62*Z71,""))</f>
        <v/>
      </c>
      <c r="AA84" s="20">
        <f>IF(OR(AA62="",AA71=""),"",IFERROR(AA62*AA71,""))</f>
        <v/>
      </c>
      <c r="AB84" s="20">
        <f>IF(OR(AB62="",AB71=""),"",IFERROR(AB62*AB71,""))</f>
        <v/>
      </c>
      <c r="AC84" s="20">
        <f>IF(OR(AC62="",AC71=""),"",IFERROR(AC62*AC71,""))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2023.3Q</t>
        </is>
      </c>
      <c r="D95" s="5" t="inlineStr">
        <is>
          <t>2023.4Q</t>
        </is>
      </c>
      <c r="E95" s="5" t="inlineStr">
        <is>
          <t>2024.1Q</t>
        </is>
      </c>
      <c r="F95" s="5" t="inlineStr">
        <is>
          <t>2024.2Q</t>
        </is>
      </c>
      <c r="G95" s="5" t="inlineStr">
        <is>
          <t>2024.3Q</t>
        </is>
      </c>
      <c r="H95" s="5" t="inlineStr">
        <is>
          <t>2024.4Q</t>
        </is>
      </c>
      <c r="I95" s="5" t="inlineStr">
        <is>
          <t>2025.1Q</t>
        </is>
      </c>
      <c r="J95" s="5" t="inlineStr">
        <is>
          <t>2025.2Q</t>
        </is>
      </c>
      <c r="K95" s="5" t="inlineStr">
        <is>
          <t>2025.3Q</t>
        </is>
      </c>
      <c r="L95" s="5" t="inlineStr">
        <is>
          <t>2025.4Q</t>
        </is>
      </c>
      <c r="M95" s="5" t="inlineStr">
        <is>
          <t>2026.1Q</t>
        </is>
      </c>
      <c r="N95" s="5" t="inlineStr">
        <is>
          <t>2026.2Q</t>
        </is>
      </c>
      <c r="O95" s="5" t="inlineStr">
        <is>
          <t>2016</t>
        </is>
      </c>
      <c r="P95" s="5" t="inlineStr">
        <is>
          <t>2017</t>
        </is>
      </c>
      <c r="Q95" s="5" t="inlineStr">
        <is>
          <t>2018</t>
        </is>
      </c>
      <c r="R95" s="5" t="inlineStr">
        <is>
          <t>2019</t>
        </is>
      </c>
      <c r="S95" s="5" t="inlineStr">
        <is>
          <t>2020</t>
        </is>
      </c>
      <c r="T95" s="5" t="inlineStr">
        <is>
          <t>2021</t>
        </is>
      </c>
      <c r="U95" s="5" t="inlineStr">
        <is>
          <t>2022</t>
        </is>
      </c>
      <c r="V95" s="5" t="inlineStr">
        <is>
          <t>2023</t>
        </is>
      </c>
      <c r="W95" s="5" t="inlineStr">
        <is>
          <t>2024</t>
        </is>
      </c>
      <c r="X95" s="5" t="inlineStr">
        <is>
          <t>2025</t>
        </is>
      </c>
      <c r="Y95" s="5" t="inlineStr">
        <is>
          <t>2026(MW)</t>
        </is>
      </c>
      <c r="Z95" s="5" t="inlineStr">
        <is>
          <t>2027(MW)</t>
        </is>
      </c>
      <c r="AA95" s="5" t="inlineStr">
        <is>
          <t>2028(MW)</t>
        </is>
      </c>
      <c r="AB95" s="5" t="inlineStr">
        <is>
          <t>2029(MW)</t>
        </is>
      </c>
      <c r="AC95" s="5" t="inlineStr">
        <is>
          <t>2030(MW)</t>
        </is>
      </c>
    </row>
    <row r="96">
      <c r="A96" s="9" t="inlineStr">
        <is>
          <t>매출액</t>
        </is>
      </c>
      <c r="C96" s="12" t="n">
        <v>3155.434</v>
      </c>
      <c r="D96" s="12" t="n">
        <v>3831.97</v>
      </c>
      <c r="E96" s="12" t="n">
        <v>3172.377</v>
      </c>
      <c r="F96" s="12" t="n">
        <v>2855.8</v>
      </c>
      <c r="G96" s="12" t="n">
        <v>2928.325</v>
      </c>
      <c r="H96" s="12" t="n">
        <v>3426.607</v>
      </c>
      <c r="I96" s="12" t="n">
        <v>3339.623</v>
      </c>
      <c r="J96" s="12" t="n">
        <v>3112.445</v>
      </c>
      <c r="K96" s="12" t="n">
        <v>3348.469</v>
      </c>
      <c r="L96" s="12" t="n">
        <v>3314.455</v>
      </c>
      <c r="M96" s="12" t="n">
        <v>3218.112</v>
      </c>
      <c r="N96" s="12" t="n">
        <v>3420.551</v>
      </c>
      <c r="T96" s="12" t="n">
        <v>2768.4</v>
      </c>
      <c r="U96" s="12" t="n">
        <v>3035.759</v>
      </c>
      <c r="V96" s="12" t="n">
        <v>3831.97</v>
      </c>
      <c r="W96" s="12" t="n">
        <v>3426.607</v>
      </c>
      <c r="X96" s="12" t="n">
        <v>3314.455</v>
      </c>
    </row>
    <row r="97">
      <c r="A97" s="18" t="inlineStr">
        <is>
          <t>매출원가</t>
        </is>
      </c>
      <c r="C97" s="20" t="n">
        <v>1783.206</v>
      </c>
      <c r="D97" s="20" t="n">
        <v>2212.19</v>
      </c>
      <c r="E97" s="20" t="n">
        <v>1867.324</v>
      </c>
      <c r="F97" s="20" t="n">
        <v>1641.42</v>
      </c>
      <c r="G97" s="20" t="n">
        <v>1586.707</v>
      </c>
      <c r="H97" s="20" t="n">
        <v>2082.79</v>
      </c>
      <c r="I97" s="20" t="n">
        <v>1894.1</v>
      </c>
      <c r="J97" s="20" t="n">
        <v>1745.005</v>
      </c>
      <c r="K97" s="20" t="n">
        <v>1914.129</v>
      </c>
      <c r="L97" s="20" t="n">
        <v>2002.592</v>
      </c>
      <c r="M97" s="20" t="n">
        <v>1881.411</v>
      </c>
      <c r="N97" s="20" t="n">
        <v>1928.984</v>
      </c>
      <c r="T97" s="20" t="n">
        <v>1696.95</v>
      </c>
      <c r="U97" s="20" t="n">
        <v>1721.512</v>
      </c>
      <c r="V97" s="20" t="n">
        <v>2212.19</v>
      </c>
      <c r="W97" s="20" t="n">
        <v>2082.79</v>
      </c>
      <c r="X97" s="20" t="n">
        <v>2002.592</v>
      </c>
    </row>
    <row r="98">
      <c r="A98" s="9" t="inlineStr">
        <is>
          <t>매출총이익</t>
        </is>
      </c>
      <c r="C98" s="12" t="n">
        <v>1372.228</v>
      </c>
      <c r="D98" s="12" t="n">
        <v>1619.78</v>
      </c>
      <c r="E98" s="12" t="n">
        <v>1305.053</v>
      </c>
      <c r="F98" s="12" t="n">
        <v>1214.379</v>
      </c>
      <c r="G98" s="12" t="n">
        <v>1341.619</v>
      </c>
      <c r="H98" s="12" t="n">
        <v>1343.817</v>
      </c>
      <c r="I98" s="12" t="n">
        <v>1445.523</v>
      </c>
      <c r="J98" s="12" t="n">
        <v>1367.44</v>
      </c>
      <c r="K98" s="12" t="n">
        <v>1434.34</v>
      </c>
      <c r="L98" s="12" t="n">
        <v>1311.862</v>
      </c>
      <c r="M98" s="12" t="n">
        <v>1336.7</v>
      </c>
      <c r="N98" s="12" t="n">
        <v>1491.568</v>
      </c>
      <c r="T98" s="12" t="n">
        <v>1071.45</v>
      </c>
      <c r="U98" s="12" t="n">
        <v>1314.246</v>
      </c>
      <c r="V98" s="12" t="n">
        <v>1619.78</v>
      </c>
      <c r="W98" s="12" t="n">
        <v>1343.817</v>
      </c>
      <c r="X98" s="12" t="n">
        <v>1311.862</v>
      </c>
    </row>
    <row r="99">
      <c r="A99" s="18" t="inlineStr">
        <is>
          <t>판매비와 관리비</t>
        </is>
      </c>
      <c r="C99" s="20" t="n">
        <v>915.806</v>
      </c>
      <c r="D99" s="20" t="n">
        <v>1071.336</v>
      </c>
      <c r="E99" s="20" t="n">
        <v>910.417</v>
      </c>
      <c r="F99" s="20" t="n">
        <v>966.668</v>
      </c>
      <c r="G99" s="20" t="n">
        <v>949.869</v>
      </c>
      <c r="H99" s="20" t="n">
        <v>988.672</v>
      </c>
      <c r="I99" s="20" t="n">
        <v>937.383</v>
      </c>
      <c r="J99" s="20" t="n">
        <v>982.053</v>
      </c>
      <c r="K99" s="20" t="n">
        <v>974.788</v>
      </c>
      <c r="L99" s="20" t="n">
        <v>1082.138</v>
      </c>
      <c r="M99" s="20" t="n">
        <v>955.8049999999999</v>
      </c>
      <c r="N99" s="20" t="n">
        <v>982.533</v>
      </c>
      <c r="T99" s="20" t="n">
        <v>771.557</v>
      </c>
      <c r="U99" s="20" t="n">
        <v>877.2329999999999</v>
      </c>
      <c r="V99" s="20" t="n">
        <v>1071.336</v>
      </c>
      <c r="W99" s="20" t="n">
        <v>988.672</v>
      </c>
      <c r="X99" s="20" t="n">
        <v>1082.138</v>
      </c>
    </row>
    <row r="100">
      <c r="A100" s="9" t="inlineStr">
        <is>
          <t>영업이익</t>
        </is>
      </c>
      <c r="C100" s="12" t="n">
        <v>456.423</v>
      </c>
      <c r="D100" s="12" t="n">
        <v>548.443</v>
      </c>
      <c r="E100" s="12" t="n">
        <v>394.635</v>
      </c>
      <c r="F100" s="12" t="n">
        <v>247.712</v>
      </c>
      <c r="G100" s="12" t="n">
        <v>391.749</v>
      </c>
      <c r="H100" s="12" t="n">
        <v>355.146</v>
      </c>
      <c r="I100" s="12" t="n">
        <v>508.139</v>
      </c>
      <c r="J100" s="12" t="n">
        <v>385.388</v>
      </c>
      <c r="K100" s="12" t="n">
        <v>459.552</v>
      </c>
      <c r="L100" s="12" t="n">
        <v>229.723</v>
      </c>
      <c r="M100" s="12" t="n">
        <v>380.895</v>
      </c>
      <c r="N100" s="12" t="n">
        <v>509.034</v>
      </c>
      <c r="T100" s="12" t="n">
        <v>299.893</v>
      </c>
      <c r="U100" s="12" t="n">
        <v>437.013</v>
      </c>
      <c r="V100" s="12" t="n">
        <v>548.443</v>
      </c>
      <c r="W100" s="12" t="n">
        <v>355.146</v>
      </c>
      <c r="X100" s="12" t="n">
        <v>229.723</v>
      </c>
    </row>
    <row r="101">
      <c r="A101" s="18" t="inlineStr">
        <is>
          <t>이자수익</t>
        </is>
      </c>
      <c r="C101" s="20" t="n">
        <v>7.945</v>
      </c>
      <c r="D101" s="20" t="n">
        <v>11.446</v>
      </c>
      <c r="E101" s="20" t="n">
        <v>11.869</v>
      </c>
      <c r="F101" s="20" t="n">
        <v>11.654</v>
      </c>
      <c r="G101" s="20" t="n">
        <v>5.697</v>
      </c>
      <c r="H101" s="20" t="n">
        <v>6.288</v>
      </c>
      <c r="I101" s="20" t="n">
        <v>10.016</v>
      </c>
      <c r="J101" s="20" t="n">
        <v>24.098</v>
      </c>
      <c r="K101" s="20" t="n">
        <v>15.947</v>
      </c>
      <c r="L101" s="20" t="n">
        <v>18.862</v>
      </c>
      <c r="M101" s="20" t="n">
        <v>24.313</v>
      </c>
      <c r="N101" s="20" t="n">
        <v>22.93</v>
      </c>
      <c r="T101" s="20" t="n">
        <v>2.792</v>
      </c>
      <c r="U101" s="20" t="n">
        <v>4.869</v>
      </c>
      <c r="V101" s="20" t="n">
        <v>11.446</v>
      </c>
      <c r="W101" s="20" t="n">
        <v>6.288</v>
      </c>
      <c r="X101" s="20" t="n">
        <v>18.862</v>
      </c>
    </row>
    <row r="102">
      <c r="A102" s="18" t="inlineStr">
        <is>
          <t>배당금수익</t>
        </is>
      </c>
      <c r="C102" s="20" t="n">
        <v>0</v>
      </c>
      <c r="D102" s="20" t="n">
        <v>5.904</v>
      </c>
      <c r="G102" s="20" t="n">
        <v>0</v>
      </c>
      <c r="H102" s="20" t="n">
        <v>4.742</v>
      </c>
      <c r="I102" s="20" t="n">
        <v>0</v>
      </c>
      <c r="J102" s="20" t="n">
        <v>7.3</v>
      </c>
      <c r="K102" s="20" t="n">
        <v>0</v>
      </c>
      <c r="L102" s="20" t="n">
        <v>6.043</v>
      </c>
      <c r="M102" s="20" t="n">
        <v>0.013</v>
      </c>
      <c r="N102" s="20" t="n">
        <v>10.145</v>
      </c>
      <c r="T102" s="20" t="n">
        <v>4.165</v>
      </c>
      <c r="U102" s="20" t="n">
        <v>4.912</v>
      </c>
      <c r="V102" s="20" t="n">
        <v>5.904</v>
      </c>
      <c r="W102" s="20" t="n">
        <v>4.742</v>
      </c>
      <c r="X102" s="20" t="n">
        <v>6.043</v>
      </c>
    </row>
    <row r="103">
      <c r="A103" s="18" t="inlineStr">
        <is>
          <t>부동산 임대료</t>
        </is>
      </c>
      <c r="C103" s="20" t="n">
        <v>1.835</v>
      </c>
      <c r="D103" s="20" t="n">
        <v>1.743</v>
      </c>
      <c r="E103" s="20" t="n">
        <v>1.736</v>
      </c>
      <c r="F103" s="20" t="n">
        <v>1.765</v>
      </c>
      <c r="G103" s="20" t="n">
        <v>1.717</v>
      </c>
      <c r="H103" s="20" t="n">
        <v>1.7</v>
      </c>
      <c r="I103" s="20" t="n">
        <v>1.646</v>
      </c>
      <c r="J103" s="20" t="n">
        <v>1.621</v>
      </c>
      <c r="K103" s="20" t="n">
        <v>1.662</v>
      </c>
      <c r="L103" s="20" t="n">
        <v>1.66</v>
      </c>
      <c r="M103" s="20" t="n">
        <v>1.672</v>
      </c>
      <c r="N103" s="20" t="n">
        <v>1.659</v>
      </c>
      <c r="T103" s="20" t="n">
        <v>0.976</v>
      </c>
      <c r="U103" s="20" t="n">
        <v>1.36</v>
      </c>
      <c r="V103" s="20" t="n">
        <v>1.743</v>
      </c>
      <c r="W103" s="20" t="n">
        <v>1.7</v>
      </c>
      <c r="X103" s="20" t="n">
        <v>1.66</v>
      </c>
    </row>
    <row r="104">
      <c r="A104" s="18" t="inlineStr">
        <is>
          <t>외환차익</t>
        </is>
      </c>
      <c r="C104" s="20" t="n">
        <v>-7.4</v>
      </c>
      <c r="D104" s="20" t="n">
        <v>-2.57</v>
      </c>
      <c r="E104" s="20" t="n">
        <v>4.691</v>
      </c>
      <c r="F104" s="20" t="n">
        <v>23.755</v>
      </c>
      <c r="G104" s="20" t="n">
        <v>-28.446</v>
      </c>
      <c r="H104" s="20" t="n">
        <v>0</v>
      </c>
      <c r="I104" s="20" t="n">
        <v>0</v>
      </c>
      <c r="J104" s="20" t="n">
        <v>0</v>
      </c>
      <c r="T104" s="20" t="n">
        <v>9.503</v>
      </c>
      <c r="U104" s="20" t="n">
        <v>2.727</v>
      </c>
      <c r="V104" s="20" t="n">
        <v>-2.57</v>
      </c>
      <c r="W104" s="20" t="n">
        <v>0</v>
      </c>
    </row>
    <row r="105">
      <c r="A105" s="18" t="inlineStr">
        <is>
          <t>Gain On Investments In Partnership NOI</t>
        </is>
      </c>
      <c r="C105" s="20" t="n">
        <v>0</v>
      </c>
      <c r="D105" s="20" t="n">
        <v>1.847</v>
      </c>
      <c r="E105" s="20" t="n">
        <v>13.284</v>
      </c>
      <c r="F105" s="20" t="n">
        <v>5.119</v>
      </c>
      <c r="G105" s="20" t="n">
        <v>-1.518</v>
      </c>
      <c r="H105" s="20" t="n">
        <v>2.277</v>
      </c>
      <c r="I105" s="20" t="n">
        <v>9.430999999999999</v>
      </c>
      <c r="J105" s="20" t="n">
        <v>1.195</v>
      </c>
      <c r="K105" s="20" t="n">
        <v>4.897</v>
      </c>
      <c r="L105" s="20" t="n">
        <v>3.506</v>
      </c>
      <c r="M105" s="20" t="n">
        <v>0</v>
      </c>
      <c r="N105" s="20" t="n">
        <v>2.294</v>
      </c>
      <c r="T105" s="20" t="n">
        <v>1.345</v>
      </c>
      <c r="U105" s="20" t="n">
        <v>2.197</v>
      </c>
      <c r="V105" s="20" t="n">
        <v>1.847</v>
      </c>
      <c r="W105" s="20" t="n">
        <v>2.277</v>
      </c>
      <c r="X105" s="20" t="n">
        <v>3.506</v>
      </c>
    </row>
    <row r="106">
      <c r="A106" s="18" t="inlineStr">
        <is>
          <t>고정자산 매각이익</t>
        </is>
      </c>
      <c r="T106" s="20" t="n">
        <v>0.418</v>
      </c>
      <c r="U106" s="20" t="n">
        <v>0.018</v>
      </c>
    </row>
    <row r="107">
      <c r="A107" s="18" t="inlineStr">
        <is>
          <t>물품 매각이익</t>
        </is>
      </c>
      <c r="C107" s="20" t="n">
        <v>2.505</v>
      </c>
      <c r="D107" s="20" t="n">
        <v>0</v>
      </c>
      <c r="G107" s="20" t="n">
        <v>0</v>
      </c>
      <c r="H107" s="20" t="n">
        <v>0</v>
      </c>
      <c r="U107" s="20" t="n">
        <v>0</v>
      </c>
      <c r="V107" s="20" t="n">
        <v>0</v>
      </c>
      <c r="W107" s="20" t="n">
        <v>0</v>
      </c>
    </row>
    <row r="108">
      <c r="A108" s="18" t="inlineStr">
        <is>
          <t>기타</t>
        </is>
      </c>
      <c r="C108" s="20" t="n">
        <v>-2.046</v>
      </c>
      <c r="D108" s="20" t="n">
        <v>0.723</v>
      </c>
      <c r="E108" s="20" t="n">
        <v>1.292</v>
      </c>
      <c r="F108" s="20" t="n">
        <v>1.037</v>
      </c>
      <c r="G108" s="20" t="n">
        <v>0.397</v>
      </c>
      <c r="H108" s="20" t="n">
        <v>0.551</v>
      </c>
      <c r="I108" s="20" t="n">
        <v>1.435</v>
      </c>
      <c r="J108" s="20" t="n">
        <v>1.507</v>
      </c>
      <c r="K108" s="20" t="n">
        <v>2.325</v>
      </c>
      <c r="L108" s="20" t="n">
        <v>-0.5590000000000001</v>
      </c>
      <c r="M108" s="20" t="n">
        <v>3.352</v>
      </c>
      <c r="N108" s="20" t="n">
        <v>0.927</v>
      </c>
      <c r="T108" s="20" t="n">
        <v>-6.186</v>
      </c>
      <c r="U108" s="20" t="n">
        <v>2.654</v>
      </c>
      <c r="V108" s="20" t="n">
        <v>0.723</v>
      </c>
      <c r="W108" s="20" t="n">
        <v>0.551</v>
      </c>
      <c r="X108" s="20" t="n">
        <v>-0.5590000000000001</v>
      </c>
    </row>
    <row r="109">
      <c r="A109" s="18" t="inlineStr">
        <is>
          <t>영업외수익 합계</t>
        </is>
      </c>
      <c r="C109" s="20" t="n">
        <v>2.838</v>
      </c>
      <c r="D109" s="20" t="n">
        <v>19.245</v>
      </c>
      <c r="E109" s="20" t="n">
        <v>32.874</v>
      </c>
      <c r="F109" s="20" t="n">
        <v>47.665</v>
      </c>
      <c r="G109" s="20" t="n">
        <v>-22.153</v>
      </c>
      <c r="H109" s="20" t="n">
        <v>15.661</v>
      </c>
      <c r="I109" s="20" t="n">
        <v>22.53</v>
      </c>
      <c r="J109" s="20" t="n">
        <v>35.72</v>
      </c>
      <c r="K109" s="20" t="n">
        <v>24.832</v>
      </c>
      <c r="L109" s="20" t="n">
        <v>30.387</v>
      </c>
      <c r="M109" s="20" t="n">
        <v>29.351</v>
      </c>
      <c r="N109" s="20" t="n">
        <v>37.955</v>
      </c>
      <c r="T109" s="20" t="n">
        <v>21.349</v>
      </c>
      <c r="U109" s="20" t="n">
        <v>19.9</v>
      </c>
      <c r="V109" s="20" t="n">
        <v>19.245</v>
      </c>
      <c r="W109" s="20" t="n">
        <v>15.661</v>
      </c>
      <c r="X109" s="20" t="n">
        <v>30.387</v>
      </c>
    </row>
    <row r="110">
      <c r="A110" s="18" t="inlineStr">
        <is>
          <t>이자비용</t>
        </is>
      </c>
      <c r="C110" s="20" t="n">
        <v>1.643</v>
      </c>
      <c r="D110" s="20" t="n">
        <v>0.064</v>
      </c>
      <c r="E110" s="20" t="n">
        <v>0.698</v>
      </c>
      <c r="F110" s="20" t="n">
        <v>0.5649999999999999</v>
      </c>
      <c r="G110" s="20" t="n">
        <v>0.479</v>
      </c>
      <c r="H110" s="20" t="n">
        <v>0.364</v>
      </c>
      <c r="I110" s="20" t="n">
        <v>0.258</v>
      </c>
      <c r="J110" s="20" t="n">
        <v>0.1</v>
      </c>
      <c r="K110" s="20" t="n">
        <v>1.459</v>
      </c>
      <c r="L110" s="20" t="n">
        <v>3.325</v>
      </c>
      <c r="M110" s="20" t="n">
        <v>3.58</v>
      </c>
      <c r="N110" s="20" t="n">
        <v>3.425</v>
      </c>
      <c r="T110" s="20" t="n">
        <v>0.308</v>
      </c>
      <c r="U110" s="20" t="n">
        <v>0.819</v>
      </c>
      <c r="V110" s="20" t="n">
        <v>0.064</v>
      </c>
      <c r="W110" s="20" t="n">
        <v>0.364</v>
      </c>
      <c r="X110" s="20" t="n">
        <v>3.325</v>
      </c>
    </row>
    <row r="111">
      <c r="A111" s="18" t="inlineStr">
        <is>
          <t>부동산 임대원가</t>
        </is>
      </c>
      <c r="C111" s="20" t="n">
        <v>2.671</v>
      </c>
      <c r="D111" s="20" t="n">
        <v>1.029</v>
      </c>
      <c r="E111" s="20" t="n">
        <v>0.868</v>
      </c>
      <c r="F111" s="20" t="n">
        <v>0.785</v>
      </c>
      <c r="G111" s="20" t="n">
        <v>2.724</v>
      </c>
      <c r="H111" s="20" t="n">
        <v>0.993</v>
      </c>
      <c r="I111" s="20" t="n">
        <v>0.839</v>
      </c>
      <c r="J111" s="20" t="n">
        <v>0.694</v>
      </c>
      <c r="K111" s="20" t="n">
        <v>2.609</v>
      </c>
      <c r="L111" s="20" t="n">
        <v>0.88</v>
      </c>
      <c r="M111" s="20" t="n">
        <v>0.886</v>
      </c>
      <c r="N111" s="20" t="n">
        <v>0.6860000000000001</v>
      </c>
      <c r="T111" s="20" t="n">
        <v>0.636</v>
      </c>
      <c r="U111" s="20" t="n">
        <v>0.99</v>
      </c>
      <c r="V111" s="20" t="n">
        <v>1.029</v>
      </c>
      <c r="W111" s="20" t="n">
        <v>0.993</v>
      </c>
      <c r="X111" s="20" t="n">
        <v>0.88</v>
      </c>
    </row>
    <row r="112">
      <c r="A112" s="18" t="inlineStr">
        <is>
          <t>투자조합 운용손실</t>
        </is>
      </c>
      <c r="C112" s="20" t="n">
        <v>0.258</v>
      </c>
      <c r="D112" s="20" t="n">
        <v>0.833</v>
      </c>
      <c r="E112" s="20" t="n">
        <v>0.5639999999999999</v>
      </c>
      <c r="F112" s="20" t="n">
        <v>-0.5639999999999999</v>
      </c>
      <c r="G112" s="20" t="n">
        <v>0</v>
      </c>
      <c r="H112" s="20" t="n">
        <v>0</v>
      </c>
      <c r="I112" s="20" t="n">
        <v>0</v>
      </c>
      <c r="J112" s="20" t="n">
        <v>0</v>
      </c>
      <c r="T112" s="20" t="n">
        <v>0</v>
      </c>
      <c r="U112" s="20" t="n">
        <v>1.493</v>
      </c>
      <c r="V112" s="20" t="n">
        <v>0.833</v>
      </c>
      <c r="W112" s="20" t="n">
        <v>0</v>
      </c>
    </row>
    <row r="113">
      <c r="A113" s="18" t="inlineStr">
        <is>
          <t>외환차손</t>
        </is>
      </c>
      <c r="D113" s="20" t="n">
        <v>0</v>
      </c>
      <c r="E113" s="20" t="n">
        <v>0</v>
      </c>
      <c r="F113" s="20" t="n">
        <v>0</v>
      </c>
      <c r="G113" s="20" t="n">
        <v>11.923</v>
      </c>
      <c r="H113" s="20" t="n">
        <v>-8.33</v>
      </c>
      <c r="I113" s="20" t="n">
        <v>15.313</v>
      </c>
      <c r="J113" s="20" t="n">
        <v>0.136</v>
      </c>
      <c r="K113" s="20" t="n">
        <v>-8.178000000000001</v>
      </c>
      <c r="L113" s="20" t="n">
        <v>-2.566</v>
      </c>
      <c r="M113" s="20" t="n">
        <v>11.874</v>
      </c>
      <c r="N113" s="20" t="n">
        <v>1.633</v>
      </c>
      <c r="V113" s="20" t="n">
        <v>0</v>
      </c>
      <c r="W113" s="20" t="n">
        <v>-8.33</v>
      </c>
      <c r="X113" s="20" t="n">
        <v>-2.566</v>
      </c>
    </row>
    <row r="114">
      <c r="A114" s="18" t="inlineStr">
        <is>
          <t>고정자산 제각손실</t>
        </is>
      </c>
      <c r="T114" s="20" t="n">
        <v>0.049</v>
      </c>
      <c r="U114" s="20" t="n">
        <v>1.552</v>
      </c>
    </row>
    <row r="115">
      <c r="A115" s="18" t="inlineStr">
        <is>
          <t>기타</t>
        </is>
      </c>
      <c r="C115" s="20" t="n">
        <v>3.902</v>
      </c>
      <c r="D115" s="20" t="n">
        <v>-3.555</v>
      </c>
      <c r="E115" s="20" t="n">
        <v>0.07199999999999999</v>
      </c>
      <c r="F115" s="20" t="n">
        <v>0.096</v>
      </c>
      <c r="G115" s="20" t="n">
        <v>0.8080000000000001</v>
      </c>
      <c r="H115" s="20" t="n">
        <v>0.021</v>
      </c>
      <c r="I115" s="20" t="n">
        <v>0.177</v>
      </c>
      <c r="J115" s="20" t="n">
        <v>0.541</v>
      </c>
      <c r="K115" s="20" t="n">
        <v>2.596</v>
      </c>
      <c r="L115" s="20" t="n">
        <v>-0.261</v>
      </c>
      <c r="M115" s="20" t="n">
        <v>0.791</v>
      </c>
      <c r="N115" s="20" t="n">
        <v>2.446</v>
      </c>
      <c r="T115" s="20" t="n">
        <v>0.004</v>
      </c>
      <c r="U115" s="20" t="n">
        <v>-1.218</v>
      </c>
      <c r="V115" s="20" t="n">
        <v>-3.555</v>
      </c>
      <c r="W115" s="20" t="n">
        <v>0.021</v>
      </c>
      <c r="X115" s="20" t="n">
        <v>-0.261</v>
      </c>
    </row>
    <row r="116">
      <c r="A116" s="18" t="inlineStr">
        <is>
          <t>영업외비용 합계</t>
        </is>
      </c>
      <c r="C116" s="20" t="n">
        <v>8.475</v>
      </c>
      <c r="D116" s="20" t="n">
        <v>-1.235</v>
      </c>
      <c r="E116" s="20" t="n">
        <v>2.205</v>
      </c>
      <c r="F116" s="20" t="n">
        <v>0.88</v>
      </c>
      <c r="G116" s="20" t="n">
        <v>15.934</v>
      </c>
      <c r="H116" s="20" t="n">
        <v>-3.508</v>
      </c>
      <c r="I116" s="20" t="n">
        <v>16.589</v>
      </c>
      <c r="J116" s="20" t="n">
        <v>1.47</v>
      </c>
      <c r="K116" s="20" t="n">
        <v>-1.514</v>
      </c>
      <c r="L116" s="20" t="n">
        <v>2.044</v>
      </c>
      <c r="M116" s="20" t="n">
        <v>17.133</v>
      </c>
      <c r="N116" s="20" t="n">
        <v>11.079</v>
      </c>
      <c r="T116" s="20" t="n">
        <v>0.523</v>
      </c>
      <c r="U116" s="20" t="n">
        <v>4.097</v>
      </c>
      <c r="V116" s="20" t="n">
        <v>-1.235</v>
      </c>
      <c r="W116" s="20" t="n">
        <v>-3.508</v>
      </c>
      <c r="X116" s="20" t="n">
        <v>2.044</v>
      </c>
    </row>
    <row r="117">
      <c r="A117" s="9" t="inlineStr">
        <is>
          <t>경상이익</t>
        </is>
      </c>
      <c r="C117" s="12" t="n">
        <v>450.787</v>
      </c>
      <c r="D117" s="12" t="n">
        <v>568.922</v>
      </c>
      <c r="E117" s="12" t="n">
        <v>425.304</v>
      </c>
      <c r="F117" s="12" t="n">
        <v>294.497</v>
      </c>
      <c r="G117" s="12" t="n">
        <v>353.663</v>
      </c>
      <c r="H117" s="12" t="n">
        <v>374.314</v>
      </c>
      <c r="I117" s="12" t="n">
        <v>514.08</v>
      </c>
      <c r="J117" s="12" t="n">
        <v>419.639</v>
      </c>
      <c r="K117" s="12" t="n">
        <v>485.897</v>
      </c>
      <c r="L117" s="12" t="n">
        <v>258.066</v>
      </c>
      <c r="M117" s="12" t="n">
        <v>393.114</v>
      </c>
      <c r="N117" s="12" t="n">
        <v>535.909</v>
      </c>
      <c r="T117" s="12" t="n">
        <v>320.718</v>
      </c>
      <c r="U117" s="12" t="n">
        <v>452.817</v>
      </c>
      <c r="V117" s="12" t="n">
        <v>568.922</v>
      </c>
      <c r="W117" s="12" t="n">
        <v>374.314</v>
      </c>
      <c r="X117" s="12" t="n">
        <v>258.066</v>
      </c>
    </row>
    <row r="118">
      <c r="A118" s="18" t="inlineStr">
        <is>
          <t>투자유가증권 매각이익</t>
        </is>
      </c>
      <c r="C118" s="20" t="n">
        <v>0</v>
      </c>
      <c r="D118" s="20" t="n">
        <v>8.699999999999999</v>
      </c>
      <c r="E118" s="20" t="n">
        <v>88.63500000000001</v>
      </c>
      <c r="F118" s="20" t="n">
        <v>0</v>
      </c>
      <c r="G118" s="20" t="n">
        <v>0</v>
      </c>
      <c r="H118" s="20" t="n">
        <v>0</v>
      </c>
      <c r="I118" s="20" t="n">
        <v>0</v>
      </c>
      <c r="J118" s="20" t="n">
        <v>0</v>
      </c>
      <c r="K118" s="20" t="n">
        <v>0</v>
      </c>
      <c r="L118" s="20" t="n">
        <v>0</v>
      </c>
      <c r="V118" s="20" t="n">
        <v>8.699999999999999</v>
      </c>
      <c r="W118" s="20" t="n">
        <v>0</v>
      </c>
      <c r="X118" s="20" t="n">
        <v>0</v>
      </c>
    </row>
    <row r="119">
      <c r="A119" s="18" t="inlineStr">
        <is>
          <t>특별이익 합계</t>
        </is>
      </c>
      <c r="C119" s="20" t="n">
        <v>0</v>
      </c>
      <c r="D119" s="20" t="n">
        <v>8.699999999999999</v>
      </c>
      <c r="E119" s="20" t="n">
        <v>88.63500000000001</v>
      </c>
      <c r="F119" s="20" t="n">
        <v>0</v>
      </c>
      <c r="G119" s="20" t="n">
        <v>0</v>
      </c>
      <c r="H119" s="20" t="n">
        <v>0</v>
      </c>
      <c r="I119" s="20" t="n">
        <v>0</v>
      </c>
      <c r="J119" s="20" t="n">
        <v>0</v>
      </c>
      <c r="K119" s="20" t="n">
        <v>0</v>
      </c>
      <c r="L119" s="20" t="n">
        <v>0</v>
      </c>
      <c r="V119" s="20" t="n">
        <v>8.699999999999999</v>
      </c>
      <c r="W119" s="20" t="n">
        <v>0</v>
      </c>
      <c r="X119" s="20" t="n">
        <v>0</v>
      </c>
    </row>
    <row r="120">
      <c r="A120" s="18" t="inlineStr">
        <is>
          <t>손상차손</t>
        </is>
      </c>
      <c r="G120" s="20" t="n">
        <v>0</v>
      </c>
      <c r="H120" s="20" t="n">
        <v>0</v>
      </c>
      <c r="K120" s="20" t="n">
        <v>0.073</v>
      </c>
      <c r="L120" s="20" t="n">
        <v>0.5610000000000001</v>
      </c>
      <c r="W120" s="20" t="n">
        <v>0</v>
      </c>
      <c r="X120" s="20" t="n">
        <v>0.5610000000000001</v>
      </c>
    </row>
    <row r="121">
      <c r="A121" s="18" t="inlineStr">
        <is>
          <t>특별손실 합계</t>
        </is>
      </c>
      <c r="G121" s="20" t="n">
        <v>0</v>
      </c>
      <c r="H121" s="20" t="n">
        <v>10.475</v>
      </c>
      <c r="K121" s="20" t="n">
        <v>0.073</v>
      </c>
      <c r="L121" s="20" t="n">
        <v>0.5610000000000001</v>
      </c>
      <c r="W121" s="20" t="n">
        <v>10.475</v>
      </c>
      <c r="X121" s="20" t="n">
        <v>0.5610000000000001</v>
      </c>
    </row>
    <row r="122">
      <c r="A122" s="9" t="inlineStr">
        <is>
          <t>법인세차감전 순이익</t>
        </is>
      </c>
      <c r="C122" s="12" t="n">
        <v>450.787</v>
      </c>
      <c r="D122" s="12" t="n">
        <v>577.622</v>
      </c>
      <c r="E122" s="12" t="n">
        <v>513.939</v>
      </c>
      <c r="F122" s="12" t="n">
        <v>294.497</v>
      </c>
      <c r="G122" s="12" t="n">
        <v>353.663</v>
      </c>
      <c r="H122" s="12" t="n">
        <v>363.838</v>
      </c>
      <c r="I122" s="12" t="n">
        <v>514.08</v>
      </c>
      <c r="J122" s="12" t="n">
        <v>382.592</v>
      </c>
      <c r="K122" s="12" t="n">
        <v>485.825</v>
      </c>
      <c r="L122" s="12" t="n">
        <v>257.505</v>
      </c>
      <c r="M122" s="12" t="n">
        <v>393.114</v>
      </c>
      <c r="N122" s="12" t="n">
        <v>535.909</v>
      </c>
      <c r="T122" s="12" t="n">
        <v>320.718</v>
      </c>
      <c r="U122" s="12" t="n">
        <v>452.817</v>
      </c>
      <c r="V122" s="12" t="n">
        <v>577.622</v>
      </c>
      <c r="W122" s="12" t="n">
        <v>363.838</v>
      </c>
      <c r="X122" s="12" t="n">
        <v>257.505</v>
      </c>
    </row>
    <row r="123">
      <c r="A123" s="18" t="inlineStr">
        <is>
          <t>법인세·주민세·사업세</t>
        </is>
      </c>
      <c r="C123" s="20" t="n">
        <v>164.189</v>
      </c>
      <c r="D123" s="20" t="n">
        <v>162.719</v>
      </c>
      <c r="E123" s="20" t="n">
        <v>190.437</v>
      </c>
      <c r="F123" s="20" t="n">
        <v>100.1</v>
      </c>
      <c r="G123" s="20" t="n">
        <v>131.097</v>
      </c>
      <c r="H123" s="20" t="n">
        <v>106.393</v>
      </c>
      <c r="I123" s="20" t="n">
        <v>199.718</v>
      </c>
      <c r="J123" s="20" t="n">
        <v>105.265</v>
      </c>
      <c r="K123" s="20" t="n">
        <v>173.025</v>
      </c>
      <c r="L123" s="20" t="n">
        <v>54.508</v>
      </c>
      <c r="M123" s="20" t="n">
        <v>120.201</v>
      </c>
      <c r="N123" s="20" t="n">
        <v>134.552</v>
      </c>
      <c r="T123" s="20" t="n">
        <v>74.819</v>
      </c>
      <c r="U123" s="20" t="n">
        <v>100.69</v>
      </c>
      <c r="V123" s="20" t="n">
        <v>162.719</v>
      </c>
      <c r="W123" s="20" t="n">
        <v>106.393</v>
      </c>
      <c r="X123" s="20" t="n">
        <v>54.508</v>
      </c>
    </row>
    <row r="124">
      <c r="A124" s="18" t="inlineStr">
        <is>
          <t>법인세 조정액</t>
        </is>
      </c>
      <c r="C124" s="20" t="n">
        <v>-42.957</v>
      </c>
      <c r="D124" s="20" t="n">
        <v>-1.541</v>
      </c>
      <c r="E124" s="20" t="n">
        <v>-19.256</v>
      </c>
      <c r="F124" s="20" t="n">
        <v>34.36</v>
      </c>
      <c r="G124" s="20" t="n">
        <v>-91.12</v>
      </c>
      <c r="H124" s="20" t="n">
        <v>27.863</v>
      </c>
      <c r="I124" s="20" t="n">
        <v>-72.652</v>
      </c>
      <c r="J124" s="20" t="n">
        <v>17.461</v>
      </c>
      <c r="K124" s="20" t="n">
        <v>-20.76</v>
      </c>
      <c r="L124" s="20" t="n">
        <v>-17.492</v>
      </c>
      <c r="M124" s="20" t="n">
        <v>0.288</v>
      </c>
      <c r="N124" s="20" t="n">
        <v>38.658</v>
      </c>
      <c r="T124" s="20" t="n">
        <v>75.40900000000001</v>
      </c>
      <c r="U124" s="20" t="n">
        <v>21.093</v>
      </c>
      <c r="V124" s="20" t="n">
        <v>-1.541</v>
      </c>
      <c r="W124" s="20" t="n">
        <v>27.863</v>
      </c>
      <c r="X124" s="20" t="n">
        <v>-17.492</v>
      </c>
    </row>
    <row r="125">
      <c r="A125" s="18" t="inlineStr">
        <is>
          <t>법인세 등 합계</t>
        </is>
      </c>
      <c r="C125" s="20" t="n">
        <v>121.23</v>
      </c>
      <c r="D125" s="20" t="n">
        <v>237.506</v>
      </c>
      <c r="E125" s="20" t="n">
        <v>171.181</v>
      </c>
      <c r="F125" s="20" t="n">
        <v>134.46</v>
      </c>
      <c r="G125" s="20" t="n">
        <v>39.976</v>
      </c>
      <c r="H125" s="20" t="n">
        <v>140.62</v>
      </c>
      <c r="I125" s="20" t="n">
        <v>127.066</v>
      </c>
      <c r="J125" s="20" t="n">
        <v>122.725</v>
      </c>
      <c r="K125" s="20" t="n">
        <v>152.266</v>
      </c>
      <c r="L125" s="20" t="n">
        <v>37.016</v>
      </c>
      <c r="M125" s="20" t="n">
        <v>120.49</v>
      </c>
      <c r="N125" s="20" t="n">
        <v>173.209</v>
      </c>
      <c r="T125" s="20" t="n">
        <v>150.228</v>
      </c>
      <c r="U125" s="20" t="n">
        <v>121.783</v>
      </c>
      <c r="V125" s="20" t="n">
        <v>237.506</v>
      </c>
      <c r="W125" s="20" t="n">
        <v>140.62</v>
      </c>
      <c r="X125" s="20" t="n">
        <v>37.016</v>
      </c>
    </row>
    <row r="126">
      <c r="A126" s="9" t="inlineStr">
        <is>
          <t>순이익</t>
        </is>
      </c>
      <c r="C126" s="12" t="n">
        <v>329.556</v>
      </c>
      <c r="D126" s="12" t="n">
        <v>340.116</v>
      </c>
      <c r="E126" s="12" t="n">
        <v>342.758</v>
      </c>
      <c r="F126" s="12" t="n">
        <v>160.036</v>
      </c>
      <c r="G126" s="12" t="n">
        <v>313.687</v>
      </c>
      <c r="H126" s="12" t="n">
        <v>223.218</v>
      </c>
      <c r="I126" s="12" t="n">
        <v>387.014</v>
      </c>
      <c r="J126" s="12" t="n">
        <v>259.866</v>
      </c>
      <c r="K126" s="12" t="n">
        <v>333.559</v>
      </c>
      <c r="L126" s="12" t="n">
        <v>220.49</v>
      </c>
      <c r="M126" s="12" t="n">
        <v>272.624</v>
      </c>
      <c r="N126" s="12" t="n">
        <v>362.699</v>
      </c>
      <c r="T126" s="12" t="n">
        <v>170.491</v>
      </c>
      <c r="U126" s="12" t="n">
        <v>331.034</v>
      </c>
      <c r="V126" s="12" t="n">
        <v>340.116</v>
      </c>
      <c r="W126" s="12" t="n">
        <v>223.218</v>
      </c>
      <c r="X126" s="12" t="n">
        <v>220.49</v>
      </c>
    </row>
    <row r="127">
      <c r="A127" s="9" t="inlineStr">
        <is>
          <t>지배주주 순이익</t>
        </is>
      </c>
      <c r="C127" s="12" t="n">
        <v>329.556</v>
      </c>
      <c r="D127" s="12" t="n">
        <v>340.116</v>
      </c>
      <c r="E127" s="12" t="n">
        <v>342.758</v>
      </c>
      <c r="F127" s="12" t="n">
        <v>160.036</v>
      </c>
      <c r="G127" s="12" t="n">
        <v>313.687</v>
      </c>
      <c r="H127" s="12" t="n">
        <v>223.218</v>
      </c>
      <c r="I127" s="12" t="n">
        <v>387.014</v>
      </c>
      <c r="J127" s="12" t="n">
        <v>259.866</v>
      </c>
      <c r="K127" s="12" t="n">
        <v>333.559</v>
      </c>
      <c r="L127" s="12" t="n">
        <v>220.49</v>
      </c>
      <c r="M127" s="12" t="n">
        <v>272.624</v>
      </c>
      <c r="N127" s="12" t="n">
        <v>362.699</v>
      </c>
      <c r="T127" s="12" t="n">
        <v>170.491</v>
      </c>
      <c r="U127" s="12" t="n">
        <v>331.034</v>
      </c>
      <c r="V127" s="12" t="n">
        <v>340.116</v>
      </c>
      <c r="W127" s="12" t="n">
        <v>223.218</v>
      </c>
      <c r="X127" s="12" t="n">
        <v>220.49</v>
      </c>
    </row>
    <row r="129">
      <c r="A129" s="16" t="inlineStr">
        <is>
          <t>포괄손익 · 전 항목</t>
        </is>
      </c>
      <c r="B129" s="42" t="inlineStr">
        <is>
          <t>분기 = 3개월 단독</t>
        </is>
      </c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2023.3Q</t>
        </is>
      </c>
      <c r="D130" s="5" t="inlineStr">
        <is>
          <t>2023.4Q</t>
        </is>
      </c>
      <c r="E130" s="5" t="inlineStr">
        <is>
          <t>2024.1Q</t>
        </is>
      </c>
      <c r="F130" s="5" t="inlineStr">
        <is>
          <t>2024.2Q</t>
        </is>
      </c>
      <c r="G130" s="5" t="inlineStr">
        <is>
          <t>2024.3Q</t>
        </is>
      </c>
      <c r="H130" s="5" t="inlineStr">
        <is>
          <t>2024.4Q</t>
        </is>
      </c>
      <c r="I130" s="5" t="inlineStr">
        <is>
          <t>2025.1Q</t>
        </is>
      </c>
      <c r="J130" s="5" t="inlineStr">
        <is>
          <t>2025.2Q</t>
        </is>
      </c>
      <c r="K130" s="5" t="inlineStr">
        <is>
          <t>2025.3Q</t>
        </is>
      </c>
      <c r="L130" s="5" t="inlineStr">
        <is>
          <t>2025.4Q</t>
        </is>
      </c>
      <c r="M130" s="5" t="inlineStr">
        <is>
          <t>2026.1Q</t>
        </is>
      </c>
      <c r="N130" s="5" t="inlineStr">
        <is>
          <t>2026.2Q</t>
        </is>
      </c>
      <c r="O130" s="5" t="inlineStr">
        <is>
          <t>2016</t>
        </is>
      </c>
      <c r="P130" s="5" t="inlineStr">
        <is>
          <t>2017</t>
        </is>
      </c>
      <c r="Q130" s="5" t="inlineStr">
        <is>
          <t>2018</t>
        </is>
      </c>
      <c r="R130" s="5" t="inlineStr">
        <is>
          <t>2019</t>
        </is>
      </c>
      <c r="S130" s="5" t="inlineStr">
        <is>
          <t>2020</t>
        </is>
      </c>
      <c r="T130" s="5" t="inlineStr">
        <is>
          <t>2021</t>
        </is>
      </c>
      <c r="U130" s="5" t="inlineStr">
        <is>
          <t>2022</t>
        </is>
      </c>
      <c r="V130" s="5" t="inlineStr">
        <is>
          <t>2023</t>
        </is>
      </c>
      <c r="W130" s="5" t="inlineStr">
        <is>
          <t>2024</t>
        </is>
      </c>
      <c r="X130" s="5" t="inlineStr">
        <is>
          <t>2025</t>
        </is>
      </c>
      <c r="Y130" s="5" t="inlineStr">
        <is>
          <t>2026(MW)</t>
        </is>
      </c>
      <c r="Z130" s="5" t="inlineStr">
        <is>
          <t>2027(MW)</t>
        </is>
      </c>
      <c r="AA130" s="5" t="inlineStr">
        <is>
          <t>2028(MW)</t>
        </is>
      </c>
      <c r="AB130" s="5" t="inlineStr">
        <is>
          <t>2029(MW)</t>
        </is>
      </c>
      <c r="AC130" s="5" t="inlineStr">
        <is>
          <t>2030(MW)</t>
        </is>
      </c>
    </row>
    <row r="131">
      <c r="A131" s="9" t="inlineStr">
        <is>
          <t>순이익</t>
        </is>
      </c>
      <c r="C131" s="12" t="n">
        <v>329.556</v>
      </c>
      <c r="D131" s="12" t="n">
        <v>340.116</v>
      </c>
      <c r="E131" s="12" t="n">
        <v>342.758</v>
      </c>
      <c r="F131" s="12" t="n">
        <v>160.036</v>
      </c>
      <c r="G131" s="12" t="n">
        <v>313.687</v>
      </c>
      <c r="H131" s="12" t="n">
        <v>223.218</v>
      </c>
      <c r="I131" s="12" t="n">
        <v>387.014</v>
      </c>
      <c r="J131" s="12" t="n">
        <v>259.866</v>
      </c>
      <c r="K131" s="12" t="n">
        <v>333.559</v>
      </c>
      <c r="L131" s="12" t="n">
        <v>220.49</v>
      </c>
      <c r="M131" s="12" t="n">
        <v>272.624</v>
      </c>
      <c r="N131" s="12" t="n">
        <v>362.699</v>
      </c>
      <c r="T131" s="12" t="n">
        <v>170.491</v>
      </c>
      <c r="U131" s="12" t="n">
        <v>331.034</v>
      </c>
      <c r="V131" s="12" t="n">
        <v>340.116</v>
      </c>
      <c r="W131" s="12" t="n">
        <v>223.218</v>
      </c>
      <c r="X131" s="12" t="n">
        <v>220.49</v>
      </c>
    </row>
    <row r="132">
      <c r="A132" s="18" t="inlineStr">
        <is>
          <t>기타유가증권 평가차액</t>
        </is>
      </c>
      <c r="C132" s="20" t="n">
        <v>23.303</v>
      </c>
      <c r="D132" s="20" t="n">
        <v>18.837</v>
      </c>
      <c r="E132" s="20" t="n">
        <v>47.865</v>
      </c>
      <c r="F132" s="20" t="n">
        <v>-2.288</v>
      </c>
      <c r="G132" s="20" t="n">
        <v>-25.189</v>
      </c>
      <c r="H132" s="20" t="n">
        <v>41.181</v>
      </c>
      <c r="I132" s="20" t="n">
        <v>16.043</v>
      </c>
      <c r="J132" s="20" t="n">
        <v>56.51</v>
      </c>
      <c r="K132" s="20" t="n">
        <v>52.055</v>
      </c>
      <c r="L132" s="20" t="n">
        <v>14.049</v>
      </c>
      <c r="M132" s="20" t="n">
        <v>-8.032</v>
      </c>
      <c r="N132" s="20" t="n">
        <v>50.636</v>
      </c>
      <c r="T132" s="20" t="n">
        <v>-18.173</v>
      </c>
      <c r="U132" s="20" t="n">
        <v>9.885999999999999</v>
      </c>
      <c r="V132" s="20" t="n">
        <v>18.837</v>
      </c>
      <c r="W132" s="20" t="n">
        <v>41.181</v>
      </c>
      <c r="X132" s="20" t="n">
        <v>14.049</v>
      </c>
    </row>
    <row r="133">
      <c r="A133" s="18" t="inlineStr">
        <is>
          <t>이연헤지손익</t>
        </is>
      </c>
      <c r="C133" s="20" t="n">
        <v>0.441</v>
      </c>
      <c r="D133" s="20" t="n">
        <v>0.87</v>
      </c>
      <c r="E133" s="20" t="n">
        <v>-0.48</v>
      </c>
      <c r="F133" s="20" t="n">
        <v>0.185</v>
      </c>
      <c r="G133" s="20" t="n">
        <v>1.17</v>
      </c>
      <c r="H133" s="20" t="n">
        <v>-1.686</v>
      </c>
      <c r="I133" s="20" t="n">
        <v>0.604</v>
      </c>
      <c r="J133" s="20" t="n">
        <v>0.484</v>
      </c>
      <c r="K133" s="20" t="n">
        <v>-0.417</v>
      </c>
      <c r="L133" s="20" t="n">
        <v>-0.067</v>
      </c>
      <c r="M133" s="20" t="n">
        <v>-0.233</v>
      </c>
      <c r="N133" s="20" t="n">
        <v>-0.362</v>
      </c>
      <c r="T133" s="20" t="n">
        <v>0</v>
      </c>
      <c r="U133" s="20" t="n">
        <v>3.074</v>
      </c>
      <c r="V133" s="20" t="n">
        <v>0.87</v>
      </c>
      <c r="W133" s="20" t="n">
        <v>-1.686</v>
      </c>
      <c r="X133" s="20" t="n">
        <v>-0.067</v>
      </c>
    </row>
    <row r="134">
      <c r="A134" s="18" t="inlineStr">
        <is>
          <t>해외사업환산조정</t>
        </is>
      </c>
      <c r="C134" s="20" t="n">
        <v>96.69199999999999</v>
      </c>
      <c r="D134" s="20" t="n">
        <v>-105.175</v>
      </c>
      <c r="E134" s="20" t="n">
        <v>188.104</v>
      </c>
      <c r="F134" s="20" t="n">
        <v>222.716</v>
      </c>
      <c r="G134" s="20" t="n">
        <v>-352.84</v>
      </c>
      <c r="H134" s="20" t="n">
        <v>211.746</v>
      </c>
      <c r="I134" s="20" t="n">
        <v>-236.577</v>
      </c>
      <c r="J134" s="20" t="n">
        <v>25.614</v>
      </c>
      <c r="K134" s="20" t="n">
        <v>74.38200000000001</v>
      </c>
      <c r="L134" s="20" t="n">
        <v>228.731</v>
      </c>
      <c r="M134" s="20" t="n">
        <v>29.665</v>
      </c>
      <c r="N134" s="20" t="n">
        <v>80.136</v>
      </c>
      <c r="T134" s="20" t="n">
        <v>120.507</v>
      </c>
      <c r="U134" s="20" t="n">
        <v>-165.552</v>
      </c>
      <c r="V134" s="20" t="n">
        <v>-105.175</v>
      </c>
      <c r="W134" s="20" t="n">
        <v>211.746</v>
      </c>
      <c r="X134" s="20" t="n">
        <v>228.731</v>
      </c>
    </row>
    <row r="135">
      <c r="A135" s="18" t="inlineStr">
        <is>
          <t>기타포괄손익 합계</t>
        </is>
      </c>
      <c r="C135" s="20" t="n">
        <v>120.435</v>
      </c>
      <c r="D135" s="20" t="n">
        <v>-85.467</v>
      </c>
      <c r="E135" s="20" t="n">
        <v>235.489</v>
      </c>
      <c r="F135" s="20" t="n">
        <v>220.613</v>
      </c>
      <c r="G135" s="20" t="n">
        <v>-376.858</v>
      </c>
      <c r="H135" s="20" t="n">
        <v>251.24</v>
      </c>
      <c r="I135" s="20" t="n">
        <v>-219.928</v>
      </c>
      <c r="J135" s="20" t="n">
        <v>82.607</v>
      </c>
      <c r="K135" s="20" t="n">
        <v>126.02</v>
      </c>
      <c r="L135" s="20" t="n">
        <v>242.713</v>
      </c>
      <c r="M135" s="20" t="n">
        <v>21.398</v>
      </c>
      <c r="N135" s="20" t="n">
        <v>130.411</v>
      </c>
      <c r="T135" s="20" t="n">
        <v>102.334</v>
      </c>
      <c r="U135" s="20" t="n">
        <v>-152.592</v>
      </c>
      <c r="V135" s="20" t="n">
        <v>-85.467</v>
      </c>
      <c r="W135" s="20" t="n">
        <v>251.24</v>
      </c>
      <c r="X135" s="20" t="n">
        <v>242.713</v>
      </c>
    </row>
    <row r="136">
      <c r="A136" s="9" t="inlineStr">
        <is>
          <t>포괄이익</t>
        </is>
      </c>
      <c r="C136" s="12" t="n">
        <v>449.992</v>
      </c>
      <c r="D136" s="12" t="n">
        <v>254.649</v>
      </c>
      <c r="E136" s="12" t="n">
        <v>578.247</v>
      </c>
      <c r="F136" s="12" t="n">
        <v>380.649</v>
      </c>
      <c r="G136" s="12" t="n">
        <v>-63.171</v>
      </c>
      <c r="H136" s="12" t="n">
        <v>474.459</v>
      </c>
      <c r="I136" s="12" t="n">
        <v>167.086</v>
      </c>
      <c r="J136" s="12" t="n">
        <v>342.473</v>
      </c>
      <c r="K136" s="12" t="n">
        <v>459.579</v>
      </c>
      <c r="L136" s="12" t="n">
        <v>463.204</v>
      </c>
      <c r="M136" s="12" t="n">
        <v>294.023</v>
      </c>
      <c r="N136" s="12" t="n">
        <v>493.11</v>
      </c>
      <c r="T136" s="12" t="n">
        <v>272.824</v>
      </c>
      <c r="U136" s="12" t="n">
        <v>178.443</v>
      </c>
      <c r="V136" s="12" t="n">
        <v>254.649</v>
      </c>
      <c r="W136" s="12" t="n">
        <v>474.459</v>
      </c>
      <c r="X136" s="12" t="n">
        <v>463.204</v>
      </c>
    </row>
    <row r="137">
      <c r="A137" s="9" t="inlineStr">
        <is>
          <t>지배주주 포괄이익</t>
        </is>
      </c>
      <c r="C137" s="12" t="n">
        <v>449.992</v>
      </c>
      <c r="D137" s="12" t="n">
        <v>254.649</v>
      </c>
      <c r="E137" s="12" t="n">
        <v>578.247</v>
      </c>
      <c r="F137" s="12" t="n">
        <v>380.649</v>
      </c>
      <c r="G137" s="12" t="n">
        <v>-63.171</v>
      </c>
      <c r="H137" s="12" t="n">
        <v>474.459</v>
      </c>
      <c r="I137" s="12" t="n">
        <v>167.086</v>
      </c>
      <c r="J137" s="12" t="n">
        <v>342.473</v>
      </c>
      <c r="K137" s="12" t="n">
        <v>459.579</v>
      </c>
      <c r="L137" s="12" t="n">
        <v>463.204</v>
      </c>
      <c r="M137" s="12" t="n">
        <v>294.023</v>
      </c>
      <c r="N137" s="12" t="n">
        <v>493.11</v>
      </c>
      <c r="T137" s="12" t="n">
        <v>272.824</v>
      </c>
      <c r="U137" s="12" t="n">
        <v>178.443</v>
      </c>
      <c r="V137" s="12" t="n">
        <v>254.649</v>
      </c>
      <c r="W137" s="12" t="n">
        <v>474.459</v>
      </c>
      <c r="X137" s="12" t="n">
        <v>463.204</v>
      </c>
    </row>
    <row r="138">
      <c r="A138" s="9" t="inlineStr">
        <is>
          <t>비지배주주 포괄이익</t>
        </is>
      </c>
      <c r="C138" s="12" t="n">
        <v>0</v>
      </c>
      <c r="D138" s="12" t="n">
        <v>0</v>
      </c>
      <c r="E138" s="12" t="n">
        <v>0</v>
      </c>
      <c r="F138" s="12" t="n">
        <v>0</v>
      </c>
      <c r="G138" s="12" t="n">
        <v>0</v>
      </c>
      <c r="H138" s="12" t="n">
        <v>0</v>
      </c>
      <c r="I138" s="12" t="n">
        <v>0</v>
      </c>
      <c r="J138" s="12" t="n">
        <v>0</v>
      </c>
      <c r="K138" s="12" t="n">
        <v>0</v>
      </c>
      <c r="L138" s="12" t="n">
        <v>0</v>
      </c>
      <c r="M138" s="12" t="n">
        <v>0</v>
      </c>
      <c r="N138" s="12" t="n">
        <v>0</v>
      </c>
      <c r="T138" s="12" t="n">
        <v>0</v>
      </c>
      <c r="U138" s="12" t="n">
        <v>0</v>
      </c>
      <c r="V138" s="12" t="n">
        <v>0</v>
      </c>
      <c r="W138" s="12" t="n">
        <v>0</v>
      </c>
      <c r="X138" s="12" t="n">
        <v>0</v>
      </c>
    </row>
    <row r="140">
      <c r="A140" s="16" t="inlineStr">
        <is>
          <t>부문 · 전 항목</t>
        </is>
      </c>
      <c r="B140" s="42" t="inlineStr">
        <is>
          <t>부문 · 항목</t>
        </is>
      </c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</row>
    <row r="141">
      <c r="A141" s="5" t="inlineStr">
        <is>
          <t>항목</t>
        </is>
      </c>
      <c r="B141" s="5" t="inlineStr">
        <is>
          <t>참고</t>
        </is>
      </c>
      <c r="C141" s="5" t="inlineStr">
        <is>
          <t>2023.3Q</t>
        </is>
      </c>
      <c r="D141" s="5" t="inlineStr">
        <is>
          <t>2023.4Q</t>
        </is>
      </c>
      <c r="E141" s="5" t="inlineStr">
        <is>
          <t>2024.1Q</t>
        </is>
      </c>
      <c r="F141" s="5" t="inlineStr">
        <is>
          <t>2024.2Q</t>
        </is>
      </c>
      <c r="G141" s="5" t="inlineStr">
        <is>
          <t>2024.3Q</t>
        </is>
      </c>
      <c r="H141" s="5" t="inlineStr">
        <is>
          <t>2024.4Q</t>
        </is>
      </c>
      <c r="I141" s="5" t="inlineStr">
        <is>
          <t>2025.1Q</t>
        </is>
      </c>
      <c r="J141" s="5" t="inlineStr">
        <is>
          <t>2025.2Q</t>
        </is>
      </c>
      <c r="K141" s="5" t="inlineStr">
        <is>
          <t>2025.3Q</t>
        </is>
      </c>
      <c r="L141" s="5" t="inlineStr">
        <is>
          <t>2025.4Q</t>
        </is>
      </c>
      <c r="M141" s="5" t="inlineStr">
        <is>
          <t>2026.1Q</t>
        </is>
      </c>
      <c r="N141" s="5" t="inlineStr">
        <is>
          <t>2026.2Q</t>
        </is>
      </c>
      <c r="O141" s="5" t="inlineStr">
        <is>
          <t>2016</t>
        </is>
      </c>
      <c r="P141" s="5" t="inlineStr">
        <is>
          <t>2017</t>
        </is>
      </c>
      <c r="Q141" s="5" t="inlineStr">
        <is>
          <t>2018</t>
        </is>
      </c>
      <c r="R141" s="5" t="inlineStr">
        <is>
          <t>2019</t>
        </is>
      </c>
      <c r="S141" s="5" t="inlineStr">
        <is>
          <t>2020</t>
        </is>
      </c>
      <c r="T141" s="5" t="inlineStr">
        <is>
          <t>2021</t>
        </is>
      </c>
      <c r="U141" s="5" t="inlineStr">
        <is>
          <t>2022</t>
        </is>
      </c>
      <c r="V141" s="5" t="inlineStr">
        <is>
          <t>2023</t>
        </is>
      </c>
      <c r="W141" s="5" t="inlineStr">
        <is>
          <t>2024</t>
        </is>
      </c>
      <c r="X141" s="5" t="inlineStr">
        <is>
          <t>2025</t>
        </is>
      </c>
      <c r="Y141" s="5" t="inlineStr">
        <is>
          <t>2026(MW)</t>
        </is>
      </c>
      <c r="Z141" s="5" t="inlineStr">
        <is>
          <t>2027(MW)</t>
        </is>
      </c>
      <c r="AA141" s="5" t="inlineStr">
        <is>
          <t>2028(MW)</t>
        </is>
      </c>
      <c r="AB141" s="5" t="inlineStr">
        <is>
          <t>2029(MW)</t>
        </is>
      </c>
      <c r="AC141" s="5" t="inlineStr">
        <is>
          <t>2030(MW)</t>
        </is>
      </c>
    </row>
    <row r="142">
      <c r="A142" s="18" t="inlineStr">
        <is>
          <t>일본 · 외부 고객 매출</t>
        </is>
      </c>
      <c r="C142" s="20" t="n">
        <v>1609.137</v>
      </c>
      <c r="D142" s="20" t="n">
        <v>1667.75</v>
      </c>
      <c r="E142" s="20" t="n">
        <v>1682.365</v>
      </c>
      <c r="F142" s="20" t="n">
        <v>1420.155</v>
      </c>
      <c r="G142" s="20" t="n">
        <v>1408.494</v>
      </c>
      <c r="H142" s="20" t="n">
        <v>1709.841</v>
      </c>
      <c r="I142" s="20" t="n">
        <v>1917.265</v>
      </c>
      <c r="J142" s="20" t="n">
        <v>1439.107</v>
      </c>
      <c r="K142" s="20" t="n">
        <v>1572.535</v>
      </c>
      <c r="L142" s="20" t="n">
        <v>1546.986</v>
      </c>
      <c r="M142" s="20" t="n">
        <v>1610.933</v>
      </c>
      <c r="N142" s="20" t="n">
        <v>1610.293</v>
      </c>
      <c r="V142" s="20" t="n">
        <v>1667.75</v>
      </c>
      <c r="W142" s="20" t="n">
        <v>1709.841</v>
      </c>
      <c r="X142" s="20" t="n">
        <v>1546.986</v>
      </c>
    </row>
    <row r="143">
      <c r="A143" s="18" t="inlineStr">
        <is>
          <t>부문 · 외부 고객 매출</t>
        </is>
      </c>
      <c r="C143" s="20" t="n">
        <v>439.781</v>
      </c>
      <c r="D143" s="20" t="n">
        <v>376.742</v>
      </c>
      <c r="E143" s="20" t="n">
        <v>400.71</v>
      </c>
      <c r="F143" s="20" t="n">
        <v>383.423</v>
      </c>
      <c r="G143" s="20" t="n">
        <v>427.036</v>
      </c>
      <c r="H143" s="20" t="n">
        <v>358.696</v>
      </c>
      <c r="I143" s="20" t="n">
        <v>409.849</v>
      </c>
      <c r="J143" s="20" t="n">
        <v>426.911</v>
      </c>
      <c r="K143" s="20" t="n">
        <v>452.129</v>
      </c>
      <c r="L143" s="20" t="n">
        <v>375.755</v>
      </c>
      <c r="M143" s="20" t="n">
        <v>423.141</v>
      </c>
      <c r="N143" s="20" t="n">
        <v>554.846</v>
      </c>
      <c r="V143" s="20" t="n">
        <v>376.742</v>
      </c>
      <c r="W143" s="20" t="n">
        <v>358.696</v>
      </c>
      <c r="X143" s="20" t="n">
        <v>375.755</v>
      </c>
    </row>
    <row r="144">
      <c r="A144" s="18" t="inlineStr">
        <is>
          <t>부문 · 외부 고객 매출</t>
        </is>
      </c>
      <c r="C144" s="20" t="n">
        <v>258.683</v>
      </c>
      <c r="D144" s="20" t="n">
        <v>237.808</v>
      </c>
      <c r="E144" s="20" t="n">
        <v>264.256</v>
      </c>
      <c r="F144" s="20" t="n">
        <v>259.358</v>
      </c>
      <c r="G144" s="20" t="n">
        <v>253.141</v>
      </c>
      <c r="H144" s="20" t="n">
        <v>277.772</v>
      </c>
      <c r="I144" s="20" t="n">
        <v>208.896</v>
      </c>
      <c r="J144" s="20" t="n">
        <v>276.852</v>
      </c>
      <c r="K144" s="20" t="n">
        <v>302.21</v>
      </c>
      <c r="L144" s="20" t="n">
        <v>271.892</v>
      </c>
      <c r="M144" s="20" t="n">
        <v>241.231</v>
      </c>
      <c r="N144" s="20" t="n">
        <v>337.924</v>
      </c>
      <c r="V144" s="20" t="n">
        <v>237.808</v>
      </c>
      <c r="W144" s="20" t="n">
        <v>277.772</v>
      </c>
      <c r="X144" s="20" t="n">
        <v>271.892</v>
      </c>
    </row>
    <row r="145">
      <c r="A145" s="18" t="inlineStr">
        <is>
          <t>부문 · 외부 고객 매출</t>
        </is>
      </c>
      <c r="C145" s="20" t="n">
        <v>429.12</v>
      </c>
      <c r="D145" s="20" t="n">
        <v>534.831</v>
      </c>
      <c r="E145" s="20" t="n">
        <v>234.9</v>
      </c>
      <c r="F145" s="20" t="n">
        <v>290.98</v>
      </c>
      <c r="G145" s="20" t="n">
        <v>277.653</v>
      </c>
      <c r="H145" s="20" t="n">
        <v>504.566</v>
      </c>
      <c r="I145" s="20" t="n">
        <v>258.008</v>
      </c>
      <c r="J145" s="20" t="n">
        <v>375.522</v>
      </c>
      <c r="K145" s="20" t="n">
        <v>391.96</v>
      </c>
      <c r="L145" s="20" t="n">
        <v>436.536</v>
      </c>
      <c r="M145" s="20" t="n">
        <v>316.828</v>
      </c>
      <c r="N145" s="20" t="n">
        <v>285.502</v>
      </c>
      <c r="V145" s="20" t="n">
        <v>534.831</v>
      </c>
      <c r="W145" s="20" t="n">
        <v>504.566</v>
      </c>
      <c r="X145" s="20" t="n">
        <v>436.536</v>
      </c>
    </row>
    <row r="146">
      <c r="A146" s="18" t="inlineStr">
        <is>
          <t>부문 · 외부 고객 매출</t>
        </is>
      </c>
      <c r="C146" s="20" t="n">
        <v>22.657</v>
      </c>
      <c r="D146" s="20" t="n">
        <v>603.09</v>
      </c>
      <c r="E146" s="20" t="n">
        <v>25.423</v>
      </c>
      <c r="F146" s="20" t="n">
        <v>40.94</v>
      </c>
      <c r="G146" s="20" t="n">
        <v>47.55</v>
      </c>
      <c r="H146" s="20" t="n">
        <v>32.234</v>
      </c>
      <c r="I146" s="20" t="n">
        <v>27.288</v>
      </c>
      <c r="J146" s="20" t="n">
        <v>32.88</v>
      </c>
      <c r="K146" s="20" t="n">
        <v>22.339</v>
      </c>
      <c r="L146" s="20" t="n">
        <v>33.237</v>
      </c>
      <c r="M146" s="20" t="n">
        <v>32.155</v>
      </c>
      <c r="N146" s="20" t="n">
        <v>33.478</v>
      </c>
      <c r="V146" s="20" t="n">
        <v>603.09</v>
      </c>
      <c r="W146" s="20" t="n">
        <v>32.234</v>
      </c>
      <c r="X146" s="20" t="n">
        <v>33.237</v>
      </c>
    </row>
    <row r="147">
      <c r="A147" s="18" t="inlineStr">
        <is>
          <t>일본 · 부문 간 내부매출·대체</t>
        </is>
      </c>
      <c r="C147" s="20" t="n">
        <v>841.006</v>
      </c>
      <c r="D147" s="20" t="n">
        <v>815.408</v>
      </c>
      <c r="E147" s="20" t="n">
        <v>825.2430000000001</v>
      </c>
      <c r="F147" s="20" t="n">
        <v>833.792</v>
      </c>
      <c r="G147" s="20" t="n">
        <v>848.524</v>
      </c>
      <c r="H147" s="20" t="n">
        <v>903.955</v>
      </c>
      <c r="I147" s="20" t="n">
        <v>896.855</v>
      </c>
      <c r="J147" s="20" t="n">
        <v>958.889</v>
      </c>
      <c r="K147" s="20" t="n">
        <v>1037.203</v>
      </c>
      <c r="L147" s="20" t="n">
        <v>1098.631</v>
      </c>
      <c r="M147" s="20" t="n">
        <v>937.313</v>
      </c>
      <c r="N147" s="20" t="n">
        <v>1116.215</v>
      </c>
      <c r="V147" s="20" t="n">
        <v>815.408</v>
      </c>
      <c r="W147" s="20" t="n">
        <v>903.955</v>
      </c>
      <c r="X147" s="20" t="n">
        <v>1098.631</v>
      </c>
    </row>
    <row r="148">
      <c r="A148" s="18" t="inlineStr">
        <is>
          <t>부문 · 부문 간 내부매출·대체</t>
        </is>
      </c>
      <c r="C148" s="20" t="n">
        <v>0</v>
      </c>
      <c r="D148" s="20" t="n">
        <v>0</v>
      </c>
      <c r="E148" s="20" t="n">
        <v>0</v>
      </c>
      <c r="F148" s="20" t="n">
        <v>0</v>
      </c>
      <c r="G148" s="20" t="n">
        <v>0</v>
      </c>
      <c r="H148" s="20" t="n">
        <v>0.788</v>
      </c>
      <c r="I148" s="20" t="n">
        <v>0</v>
      </c>
      <c r="J148" s="20" t="n">
        <v>0</v>
      </c>
      <c r="K148" s="20" t="n">
        <v>0</v>
      </c>
      <c r="L148" s="20" t="n">
        <v>0</v>
      </c>
      <c r="M148" s="20" t="n">
        <v>0</v>
      </c>
      <c r="N148" s="20" t="n">
        <v>0</v>
      </c>
      <c r="V148" s="20" t="n">
        <v>0</v>
      </c>
      <c r="W148" s="20" t="n">
        <v>0.788</v>
      </c>
      <c r="X148" s="20" t="n">
        <v>0</v>
      </c>
    </row>
    <row r="149">
      <c r="A149" s="18" t="inlineStr">
        <is>
          <t>부문 · 부문 간 내부매출·대체</t>
        </is>
      </c>
      <c r="C149" s="20" t="n">
        <v>0</v>
      </c>
      <c r="D149" s="20" t="n">
        <v>0</v>
      </c>
      <c r="E149" s="20" t="n">
        <v>0</v>
      </c>
      <c r="F149" s="20" t="n">
        <v>0</v>
      </c>
      <c r="G149" s="20" t="n">
        <v>0</v>
      </c>
      <c r="H149" s="20" t="n">
        <v>0</v>
      </c>
      <c r="I149" s="20" t="n">
        <v>0</v>
      </c>
      <c r="J149" s="20" t="n">
        <v>0</v>
      </c>
      <c r="K149" s="20" t="n">
        <v>0</v>
      </c>
      <c r="L149" s="20" t="n">
        <v>0</v>
      </c>
      <c r="M149" s="20" t="n">
        <v>0</v>
      </c>
      <c r="N149" s="20" t="n">
        <v>0</v>
      </c>
      <c r="V149" s="20" t="n">
        <v>0</v>
      </c>
      <c r="W149" s="20" t="n">
        <v>0</v>
      </c>
      <c r="X149" s="20" t="n">
        <v>0</v>
      </c>
    </row>
    <row r="150">
      <c r="A150" s="18" t="inlineStr">
        <is>
          <t>부문 · 부문 간 내부매출·대체</t>
        </is>
      </c>
      <c r="C150" s="20" t="n">
        <v>260.532</v>
      </c>
      <c r="D150" s="20" t="n">
        <v>181.601</v>
      </c>
      <c r="E150" s="20" t="n">
        <v>157.11</v>
      </c>
      <c r="F150" s="20" t="n">
        <v>109.036</v>
      </c>
      <c r="G150" s="20" t="n">
        <v>151.846</v>
      </c>
      <c r="H150" s="20" t="n">
        <v>100.669</v>
      </c>
      <c r="I150" s="20" t="n">
        <v>184.785</v>
      </c>
      <c r="J150" s="20" t="n">
        <v>140.868</v>
      </c>
      <c r="K150" s="20" t="n">
        <v>156.982</v>
      </c>
      <c r="L150" s="20" t="n">
        <v>148.476</v>
      </c>
      <c r="M150" s="20" t="n">
        <v>188.301</v>
      </c>
      <c r="N150" s="20" t="n">
        <v>199.098</v>
      </c>
      <c r="V150" s="20" t="n">
        <v>181.601</v>
      </c>
      <c r="W150" s="20" t="n">
        <v>100.669</v>
      </c>
      <c r="X150" s="20" t="n">
        <v>148.476</v>
      </c>
    </row>
    <row r="151">
      <c r="A151" s="18" t="inlineStr">
        <is>
          <t>부문 · 부문 간 내부매출·대체</t>
        </is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J151" s="20" t="n">
        <v>0</v>
      </c>
      <c r="K151" s="20" t="n">
        <v>0</v>
      </c>
      <c r="L151" s="20" t="n">
        <v>0</v>
      </c>
      <c r="M151" s="20" t="n">
        <v>0</v>
      </c>
      <c r="N151" s="20" t="n">
        <v>0</v>
      </c>
      <c r="V151" s="20" t="n">
        <v>0</v>
      </c>
      <c r="W151" s="20" t="n">
        <v>0</v>
      </c>
      <c r="X151" s="20" t="n">
        <v>0</v>
      </c>
    </row>
    <row r="152">
      <c r="A152" s="18" t="inlineStr">
        <is>
          <t>일본 · 계</t>
        </is>
      </c>
      <c r="C152" s="20" t="n">
        <v>2450.142</v>
      </c>
      <c r="D152" s="20" t="n">
        <v>2483.159</v>
      </c>
      <c r="E152" s="20" t="n">
        <v>2507.609</v>
      </c>
      <c r="F152" s="20" t="n">
        <v>2253.947</v>
      </c>
      <c r="G152" s="20" t="n">
        <v>2257.017</v>
      </c>
      <c r="H152" s="20" t="n">
        <v>2613.797</v>
      </c>
      <c r="I152" s="20" t="n">
        <v>2814.12</v>
      </c>
      <c r="J152" s="20" t="n">
        <v>2397.996</v>
      </c>
      <c r="K152" s="20" t="n">
        <v>2609.739</v>
      </c>
      <c r="L152" s="20" t="n">
        <v>2645.617</v>
      </c>
      <c r="M152" s="20" t="n">
        <v>2548.247</v>
      </c>
      <c r="N152" s="20" t="n">
        <v>2726.507</v>
      </c>
      <c r="V152" s="20" t="n">
        <v>2483.159</v>
      </c>
      <c r="W152" s="20" t="n">
        <v>2613.797</v>
      </c>
      <c r="X152" s="20" t="n">
        <v>2645.617</v>
      </c>
    </row>
    <row r="153">
      <c r="A153" s="18" t="inlineStr">
        <is>
          <t>부문 · 계</t>
        </is>
      </c>
      <c r="C153" s="20" t="n">
        <v>439.781</v>
      </c>
      <c r="D153" s="20" t="n">
        <v>376.742</v>
      </c>
      <c r="E153" s="20" t="n">
        <v>400.71</v>
      </c>
      <c r="F153" s="20" t="n">
        <v>383.423</v>
      </c>
      <c r="G153" s="20" t="n">
        <v>427.036</v>
      </c>
      <c r="H153" s="20" t="n">
        <v>359.485</v>
      </c>
      <c r="I153" s="20" t="n">
        <v>409.849</v>
      </c>
      <c r="J153" s="20" t="n">
        <v>426.911</v>
      </c>
      <c r="K153" s="20" t="n">
        <v>452.129</v>
      </c>
      <c r="L153" s="20" t="n">
        <v>375.755</v>
      </c>
      <c r="M153" s="20" t="n">
        <v>423.141</v>
      </c>
      <c r="N153" s="20" t="n">
        <v>554.846</v>
      </c>
      <c r="V153" s="20" t="n">
        <v>376.742</v>
      </c>
      <c r="W153" s="20" t="n">
        <v>359.485</v>
      </c>
      <c r="X153" s="20" t="n">
        <v>375.755</v>
      </c>
    </row>
    <row r="154">
      <c r="A154" s="18" t="inlineStr">
        <is>
          <t>부문 · 계</t>
        </is>
      </c>
      <c r="C154" s="20" t="n">
        <v>258.683</v>
      </c>
      <c r="D154" s="20" t="n">
        <v>237.808</v>
      </c>
      <c r="E154" s="20" t="n">
        <v>264.256</v>
      </c>
      <c r="F154" s="20" t="n">
        <v>259.358</v>
      </c>
      <c r="G154" s="20" t="n">
        <v>253.141</v>
      </c>
      <c r="H154" s="20" t="n">
        <v>277.772</v>
      </c>
      <c r="I154" s="20" t="n">
        <v>208.896</v>
      </c>
      <c r="J154" s="20" t="n">
        <v>276.852</v>
      </c>
      <c r="K154" s="20" t="n">
        <v>302.21</v>
      </c>
      <c r="L154" s="20" t="n">
        <v>271.892</v>
      </c>
      <c r="M154" s="20" t="n">
        <v>241.231</v>
      </c>
      <c r="N154" s="20" t="n">
        <v>337.924</v>
      </c>
      <c r="V154" s="20" t="n">
        <v>237.808</v>
      </c>
      <c r="W154" s="20" t="n">
        <v>277.772</v>
      </c>
      <c r="X154" s="20" t="n">
        <v>271.892</v>
      </c>
    </row>
    <row r="155">
      <c r="A155" s="18" t="inlineStr">
        <is>
          <t>부문 · 계</t>
        </is>
      </c>
      <c r="C155" s="20" t="n">
        <v>689.652</v>
      </c>
      <c r="D155" s="20" t="n">
        <v>716.431</v>
      </c>
      <c r="E155" s="20" t="n">
        <v>392.011</v>
      </c>
      <c r="F155" s="20" t="n">
        <v>400.015</v>
      </c>
      <c r="G155" s="20" t="n">
        <v>429.499</v>
      </c>
      <c r="H155" s="20" t="n">
        <v>605.236</v>
      </c>
      <c r="I155" s="20" t="n">
        <v>442.794</v>
      </c>
      <c r="J155" s="20" t="n">
        <v>516.39</v>
      </c>
      <c r="K155" s="20" t="n">
        <v>548.941</v>
      </c>
      <c r="L155" s="20" t="n">
        <v>585.013</v>
      </c>
      <c r="M155" s="20" t="n">
        <v>505.129</v>
      </c>
      <c r="N155" s="20" t="n">
        <v>484.601</v>
      </c>
      <c r="V155" s="20" t="n">
        <v>716.431</v>
      </c>
      <c r="W155" s="20" t="n">
        <v>605.236</v>
      </c>
      <c r="X155" s="20" t="n">
        <v>585.013</v>
      </c>
    </row>
    <row r="156">
      <c r="A156" s="18" t="inlineStr">
        <is>
          <t>부문 · 계</t>
        </is>
      </c>
      <c r="C156" s="20" t="n">
        <v>22.657</v>
      </c>
      <c r="D156" s="20" t="n">
        <v>603.09</v>
      </c>
      <c r="E156" s="20" t="n">
        <v>25.423</v>
      </c>
      <c r="F156" s="20" t="n">
        <v>40.94</v>
      </c>
      <c r="G156" s="20" t="n">
        <v>47.55</v>
      </c>
      <c r="H156" s="20" t="n">
        <v>32.234</v>
      </c>
      <c r="I156" s="20" t="n">
        <v>27.288</v>
      </c>
      <c r="J156" s="20" t="n">
        <v>32.88</v>
      </c>
      <c r="K156" s="20" t="n">
        <v>22.339</v>
      </c>
      <c r="L156" s="20" t="n">
        <v>33.237</v>
      </c>
      <c r="M156" s="20" t="n">
        <v>32.155</v>
      </c>
      <c r="N156" s="20" t="n">
        <v>33.478</v>
      </c>
      <c r="V156" s="20" t="n">
        <v>603.09</v>
      </c>
      <c r="W156" s="20" t="n">
        <v>32.234</v>
      </c>
      <c r="X156" s="20" t="n">
        <v>33.237</v>
      </c>
    </row>
    <row r="157">
      <c r="A157" s="18" t="inlineStr">
        <is>
          <t>일본 · 부문 이익(손실)</t>
        </is>
      </c>
      <c r="C157" s="20" t="n">
        <v>202.621</v>
      </c>
      <c r="D157" s="20" t="n">
        <v>93.017</v>
      </c>
      <c r="E157" s="20" t="n">
        <v>222.779</v>
      </c>
      <c r="F157" s="20" t="n">
        <v>104.812</v>
      </c>
      <c r="G157" s="20" t="n">
        <v>212.395</v>
      </c>
      <c r="H157" s="20" t="n">
        <v>199.522</v>
      </c>
      <c r="I157" s="20" t="n">
        <v>459.036</v>
      </c>
      <c r="J157" s="20" t="n">
        <v>279.175</v>
      </c>
      <c r="K157" s="20" t="n">
        <v>338.768</v>
      </c>
      <c r="L157" s="20" t="n">
        <v>188.311</v>
      </c>
      <c r="M157" s="20" t="n">
        <v>336.476</v>
      </c>
      <c r="N157" s="20" t="n">
        <v>258.17</v>
      </c>
      <c r="V157" s="20" t="n">
        <v>93.017</v>
      </c>
      <c r="W157" s="20" t="n">
        <v>199.522</v>
      </c>
      <c r="X157" s="20" t="n">
        <v>188.311</v>
      </c>
    </row>
    <row r="158">
      <c r="A158" s="18" t="inlineStr">
        <is>
          <t>부문 · 부문 이익(손실)</t>
        </is>
      </c>
      <c r="C158" s="20" t="n">
        <v>81.09699999999999</v>
      </c>
      <c r="D158" s="20" t="n">
        <v>47.823</v>
      </c>
      <c r="E158" s="20" t="n">
        <v>52.393</v>
      </c>
      <c r="F158" s="20" t="n">
        <v>38.101</v>
      </c>
      <c r="G158" s="20" t="n">
        <v>53.492</v>
      </c>
      <c r="H158" s="20" t="n">
        <v>23.048</v>
      </c>
      <c r="I158" s="20" t="n">
        <v>28.585</v>
      </c>
      <c r="J158" s="20" t="n">
        <v>-4.615</v>
      </c>
      <c r="K158" s="20" t="n">
        <v>3.641</v>
      </c>
      <c r="L158" s="20" t="n">
        <v>-3.89</v>
      </c>
      <c r="M158" s="20" t="n">
        <v>14.388</v>
      </c>
      <c r="N158" s="20" t="n">
        <v>150.584</v>
      </c>
      <c r="V158" s="20" t="n">
        <v>47.823</v>
      </c>
      <c r="W158" s="20" t="n">
        <v>23.048</v>
      </c>
      <c r="X158" s="20" t="n">
        <v>-3.89</v>
      </c>
    </row>
    <row r="159">
      <c r="A159" s="18" t="inlineStr">
        <is>
          <t>부문 · 부문 이익(손실)</t>
        </is>
      </c>
      <c r="C159" s="20" t="n">
        <v>41.421</v>
      </c>
      <c r="D159" s="20" t="n">
        <v>38.914</v>
      </c>
      <c r="E159" s="20" t="n">
        <v>36.322</v>
      </c>
      <c r="F159" s="20" t="n">
        <v>38.745</v>
      </c>
      <c r="G159" s="20" t="n">
        <v>28.192</v>
      </c>
      <c r="H159" s="20" t="n">
        <v>50.809</v>
      </c>
      <c r="I159" s="20" t="n">
        <v>6.58</v>
      </c>
      <c r="J159" s="20" t="n">
        <v>34.608</v>
      </c>
      <c r="K159" s="20" t="n">
        <v>43.348</v>
      </c>
      <c r="L159" s="20" t="n">
        <v>33.547</v>
      </c>
      <c r="M159" s="20" t="n">
        <v>15.351</v>
      </c>
      <c r="N159" s="20" t="n">
        <v>43.6</v>
      </c>
      <c r="V159" s="20" t="n">
        <v>38.914</v>
      </c>
      <c r="W159" s="20" t="n">
        <v>50.809</v>
      </c>
      <c r="X159" s="20" t="n">
        <v>33.547</v>
      </c>
    </row>
    <row r="160">
      <c r="A160" s="18" t="inlineStr">
        <is>
          <t>부문 · 부문 이익(손실)</t>
        </is>
      </c>
      <c r="C160" s="20" t="n">
        <v>87.93899999999999</v>
      </c>
      <c r="D160" s="20" t="n">
        <v>96.97</v>
      </c>
      <c r="E160" s="20" t="n">
        <v>22.585</v>
      </c>
      <c r="F160" s="20" t="n">
        <v>12.955</v>
      </c>
      <c r="G160" s="20" t="n">
        <v>13.817</v>
      </c>
      <c r="H160" s="20" t="n">
        <v>55.61</v>
      </c>
      <c r="I160" s="20" t="n">
        <v>3.466</v>
      </c>
      <c r="J160" s="20" t="n">
        <v>22.335</v>
      </c>
      <c r="K160" s="20" t="n">
        <v>43.611</v>
      </c>
      <c r="L160" s="20" t="n">
        <v>39.011</v>
      </c>
      <c r="M160" s="20" t="n">
        <v>17.292</v>
      </c>
      <c r="N160" s="20" t="n">
        <v>19.359</v>
      </c>
      <c r="V160" s="20" t="n">
        <v>96.97</v>
      </c>
      <c r="W160" s="20" t="n">
        <v>55.61</v>
      </c>
      <c r="X160" s="20" t="n">
        <v>39.011</v>
      </c>
    </row>
    <row r="161">
      <c r="A161" s="18" t="inlineStr">
        <is>
          <t>부문 · 부문 이익(손실)</t>
        </is>
      </c>
      <c r="C161" s="20" t="n">
        <v>1.288</v>
      </c>
      <c r="D161" s="20" t="n">
        <v>135.065</v>
      </c>
      <c r="E161" s="20" t="n">
        <v>-1.042</v>
      </c>
      <c r="F161" s="20" t="n">
        <v>6.299</v>
      </c>
      <c r="G161" s="20" t="n">
        <v>8.710000000000001</v>
      </c>
      <c r="H161" s="20" t="n">
        <v>24.343</v>
      </c>
      <c r="I161" s="20" t="n">
        <v>1.248</v>
      </c>
      <c r="J161" s="20" t="n">
        <v>1.752</v>
      </c>
      <c r="K161" s="20" t="n">
        <v>0.347</v>
      </c>
      <c r="L161" s="20" t="n">
        <v>3.838</v>
      </c>
      <c r="M161" s="20" t="n">
        <v>3.751</v>
      </c>
      <c r="N161" s="20" t="n">
        <v>4.82</v>
      </c>
      <c r="V161" s="20" t="n">
        <v>135.065</v>
      </c>
      <c r="W161" s="20" t="n">
        <v>24.343</v>
      </c>
      <c r="X161" s="20" t="n">
        <v>3.838</v>
      </c>
    </row>
    <row r="162">
      <c r="A162" s="18" t="inlineStr">
        <is>
          <t>부문 · 외부 고객 매출</t>
        </is>
      </c>
      <c r="C162" s="20" t="n">
        <v>146.236</v>
      </c>
      <c r="D162" s="20" t="n">
        <v>152.449</v>
      </c>
      <c r="E162" s="20" t="n">
        <v>153.195</v>
      </c>
      <c r="F162" s="20" t="n">
        <v>128.419</v>
      </c>
      <c r="G162" s="20" t="n">
        <v>167.977</v>
      </c>
      <c r="H162" s="20" t="n">
        <v>159.622</v>
      </c>
      <c r="I162" s="20" t="n">
        <v>129.41</v>
      </c>
      <c r="J162" s="20" t="n">
        <v>138.753</v>
      </c>
      <c r="K162" s="20" t="n">
        <v>140.76</v>
      </c>
      <c r="L162" s="20" t="n">
        <v>164.444</v>
      </c>
      <c r="M162" s="20" t="n">
        <v>138.409</v>
      </c>
      <c r="N162" s="20" t="n">
        <v>172.714</v>
      </c>
      <c r="V162" s="20" t="n">
        <v>152.449</v>
      </c>
      <c r="W162" s="20" t="n">
        <v>159.622</v>
      </c>
      <c r="X162" s="20" t="n">
        <v>164.444</v>
      </c>
    </row>
    <row r="163">
      <c r="A163" s="18" t="inlineStr">
        <is>
          <t>보고부문 합계 · 외부 고객 매출</t>
        </is>
      </c>
      <c r="C163" s="20" t="n">
        <v>2905.616</v>
      </c>
      <c r="D163" s="20" t="n">
        <v>3572.668</v>
      </c>
      <c r="E163" s="20" t="n">
        <v>2760.852</v>
      </c>
      <c r="F163" s="20" t="n">
        <v>2523.273</v>
      </c>
      <c r="G163" s="20" t="n">
        <v>2581.852</v>
      </c>
      <c r="H163" s="20" t="n">
        <v>3042.732</v>
      </c>
      <c r="I163" s="20" t="n">
        <v>2950.718</v>
      </c>
      <c r="J163" s="20" t="n">
        <v>2690.026</v>
      </c>
      <c r="K163" s="20" t="n">
        <v>2881.934</v>
      </c>
      <c r="L163" s="20" t="n">
        <v>2828.848</v>
      </c>
      <c r="M163" s="20" t="n">
        <v>2762.699</v>
      </c>
      <c r="N163" s="20" t="n">
        <v>2994.756</v>
      </c>
      <c r="V163" s="20" t="n">
        <v>3572.668</v>
      </c>
      <c r="W163" s="20" t="n">
        <v>3042.732</v>
      </c>
      <c r="X163" s="20" t="n">
        <v>2828.848</v>
      </c>
    </row>
    <row r="164">
      <c r="A164" s="18" t="inlineStr">
        <is>
          <t>기타 · 외부 고객 매출</t>
        </is>
      </c>
      <c r="C164" s="20" t="n">
        <v>249.818</v>
      </c>
      <c r="D164" s="20" t="n">
        <v>259.302</v>
      </c>
      <c r="E164" s="20" t="n">
        <v>411.525</v>
      </c>
      <c r="F164" s="20" t="n">
        <v>332.526</v>
      </c>
      <c r="G164" s="20" t="n">
        <v>346.474</v>
      </c>
      <c r="H164" s="20" t="n">
        <v>383.874</v>
      </c>
      <c r="I164" s="20" t="n">
        <v>388.904</v>
      </c>
      <c r="J164" s="20" t="n">
        <v>422.42</v>
      </c>
      <c r="K164" s="20" t="n">
        <v>466.535</v>
      </c>
      <c r="L164" s="20" t="n">
        <v>485.606</v>
      </c>
      <c r="M164" s="20" t="n">
        <v>455.412</v>
      </c>
      <c r="N164" s="20" t="n">
        <v>425.796</v>
      </c>
      <c r="V164" s="20" t="n">
        <v>259.302</v>
      </c>
      <c r="W164" s="20" t="n">
        <v>383.874</v>
      </c>
      <c r="X164" s="20" t="n">
        <v>485.606</v>
      </c>
    </row>
    <row r="165">
      <c r="A165" s="18" t="inlineStr">
        <is>
          <t>합계 · 외부 고객 매출</t>
        </is>
      </c>
      <c r="C165" s="20" t="n">
        <v>3155.434</v>
      </c>
      <c r="D165" s="20" t="n">
        <v>3831.97</v>
      </c>
      <c r="E165" s="20" t="n">
        <v>3172.377</v>
      </c>
      <c r="F165" s="20" t="n">
        <v>2855.8</v>
      </c>
      <c r="G165" s="20" t="n">
        <v>2928.325</v>
      </c>
      <c r="H165" s="20" t="n">
        <v>3426.607</v>
      </c>
      <c r="I165" s="20" t="n">
        <v>3339.623</v>
      </c>
      <c r="J165" s="20" t="n">
        <v>3112.445</v>
      </c>
      <c r="K165" s="20" t="n">
        <v>3348.469</v>
      </c>
      <c r="L165" s="20" t="n">
        <v>3314.455</v>
      </c>
      <c r="M165" s="20" t="n">
        <v>3218.112</v>
      </c>
      <c r="N165" s="20" t="n">
        <v>3420.551</v>
      </c>
      <c r="V165" s="20" t="n">
        <v>3831.97</v>
      </c>
      <c r="W165" s="20" t="n">
        <v>3426.607</v>
      </c>
      <c r="X165" s="20" t="n">
        <v>3314.455</v>
      </c>
    </row>
    <row r="166">
      <c r="A166" s="18" t="inlineStr">
        <is>
          <t>부문 · 부문 간 내부매출·대체</t>
        </is>
      </c>
      <c r="C166" s="20" t="n">
        <v>0.008</v>
      </c>
      <c r="D166" s="20" t="n">
        <v>0.306</v>
      </c>
      <c r="E166" s="20" t="n">
        <v>0</v>
      </c>
      <c r="F166" s="20" t="n">
        <v>0</v>
      </c>
      <c r="G166" s="20" t="n">
        <v>0</v>
      </c>
      <c r="H166" s="20" t="n">
        <v>1.672</v>
      </c>
      <c r="I166" s="20" t="n">
        <v>0</v>
      </c>
      <c r="J166" s="20" t="n">
        <v>0</v>
      </c>
      <c r="K166" s="20" t="n">
        <v>0</v>
      </c>
      <c r="L166" s="20" t="n">
        <v>0</v>
      </c>
      <c r="M166" s="20" t="n">
        <v>0</v>
      </c>
      <c r="N166" s="20" t="n">
        <v>0</v>
      </c>
      <c r="V166" s="20" t="n">
        <v>0.306</v>
      </c>
      <c r="W166" s="20" t="n">
        <v>1.672</v>
      </c>
      <c r="X166" s="20" t="n">
        <v>0</v>
      </c>
    </row>
    <row r="167">
      <c r="A167" s="18" t="inlineStr">
        <is>
          <t>보고부문 합계 · 부문 간 내부매출·대체</t>
        </is>
      </c>
      <c r="C167" s="20" t="n">
        <v>1101.545</v>
      </c>
      <c r="D167" s="20" t="n">
        <v>997.314</v>
      </c>
      <c r="E167" s="20" t="n">
        <v>982.354</v>
      </c>
      <c r="F167" s="20" t="n">
        <v>942.827</v>
      </c>
      <c r="G167" s="20" t="n">
        <v>1000.37</v>
      </c>
      <c r="H167" s="20" t="n">
        <v>1007.085</v>
      </c>
      <c r="I167" s="20" t="n">
        <v>1081.641</v>
      </c>
      <c r="J167" s="20" t="n">
        <v>1099.757</v>
      </c>
      <c r="K167" s="20" t="n">
        <v>1194.184</v>
      </c>
      <c r="L167" s="20" t="n">
        <v>1247.108</v>
      </c>
      <c r="M167" s="20" t="n">
        <v>1125.614</v>
      </c>
      <c r="N167" s="20" t="n">
        <v>1315.314</v>
      </c>
      <c r="V167" s="20" t="n">
        <v>997.314</v>
      </c>
      <c r="W167" s="20" t="n">
        <v>1007.085</v>
      </c>
      <c r="X167" s="20" t="n">
        <v>1247.108</v>
      </c>
    </row>
    <row r="168">
      <c r="A168" s="18" t="inlineStr">
        <is>
          <t>기타 · 부문 간 내부매출·대체</t>
        </is>
      </c>
      <c r="C168" s="20" t="n">
        <v>0.004</v>
      </c>
      <c r="D168" s="20" t="n">
        <v>1.844</v>
      </c>
      <c r="E168" s="20" t="n">
        <v>0.07099999999999999</v>
      </c>
      <c r="F168" s="20" t="n">
        <v>3.925</v>
      </c>
      <c r="G168" s="20" t="n">
        <v>-0.005</v>
      </c>
      <c r="H168" s="20" t="n">
        <v>-0.011</v>
      </c>
      <c r="I168" s="20" t="n">
        <v>3.588</v>
      </c>
      <c r="J168" s="20" t="n">
        <v>2.019</v>
      </c>
      <c r="K168" s="20" t="n">
        <v>5.875</v>
      </c>
      <c r="L168" s="20" t="n">
        <v>9.382</v>
      </c>
      <c r="M168" s="20" t="n">
        <v>6.311</v>
      </c>
      <c r="N168" s="20" t="n">
        <v>3.015</v>
      </c>
      <c r="V168" s="20" t="n">
        <v>1.844</v>
      </c>
      <c r="W168" s="20" t="n">
        <v>-0.011</v>
      </c>
      <c r="X168" s="20" t="n">
        <v>9.382</v>
      </c>
    </row>
    <row r="169">
      <c r="A169" s="18" t="inlineStr">
        <is>
          <t>합계 · 부문 간 내부매출·대체</t>
        </is>
      </c>
      <c r="C169" s="20" t="n">
        <v>1101.55</v>
      </c>
      <c r="D169" s="20" t="n">
        <v>999.158</v>
      </c>
      <c r="E169" s="20" t="n">
        <v>982.425</v>
      </c>
      <c r="F169" s="20" t="n">
        <v>946.753</v>
      </c>
      <c r="G169" s="20" t="n">
        <v>1000.365</v>
      </c>
      <c r="H169" s="20" t="n">
        <v>1007.074</v>
      </c>
      <c r="I169" s="20" t="n">
        <v>1085.23</v>
      </c>
      <c r="J169" s="20" t="n">
        <v>1101.775</v>
      </c>
      <c r="K169" s="20" t="n">
        <v>1200.06</v>
      </c>
      <c r="L169" s="20" t="n">
        <v>1256.489</v>
      </c>
      <c r="M169" s="20" t="n">
        <v>1131.925</v>
      </c>
      <c r="N169" s="20" t="n">
        <v>1318.329</v>
      </c>
      <c r="V169" s="20" t="n">
        <v>999.158</v>
      </c>
      <c r="W169" s="20" t="n">
        <v>1007.074</v>
      </c>
      <c r="X169" s="20" t="n">
        <v>1256.489</v>
      </c>
    </row>
    <row r="170">
      <c r="A170" s="18" t="inlineStr">
        <is>
          <t>부문 · 계</t>
        </is>
      </c>
      <c r="C170" s="20" t="n">
        <v>146.244</v>
      </c>
      <c r="D170" s="20" t="n">
        <v>152.754</v>
      </c>
      <c r="E170" s="20" t="n">
        <v>153.195</v>
      </c>
      <c r="F170" s="20" t="n">
        <v>128.419</v>
      </c>
      <c r="G170" s="20" t="n">
        <v>167.977</v>
      </c>
      <c r="H170" s="20" t="n">
        <v>161.294</v>
      </c>
      <c r="I170" s="20" t="n">
        <v>129.41</v>
      </c>
      <c r="J170" s="20" t="n">
        <v>138.753</v>
      </c>
      <c r="K170" s="20" t="n">
        <v>140.76</v>
      </c>
      <c r="L170" s="20" t="n">
        <v>164.444</v>
      </c>
      <c r="M170" s="20" t="n">
        <v>138.409</v>
      </c>
      <c r="N170" s="20" t="n">
        <v>172.714</v>
      </c>
      <c r="V170" s="20" t="n">
        <v>152.754</v>
      </c>
      <c r="W170" s="20" t="n">
        <v>161.294</v>
      </c>
      <c r="X170" s="20" t="n">
        <v>164.444</v>
      </c>
    </row>
    <row r="171">
      <c r="A171" s="18" t="inlineStr">
        <is>
          <t>보고부문 합계 · 계</t>
        </is>
      </c>
      <c r="C171" s="20" t="n">
        <v>4007.16</v>
      </c>
      <c r="D171" s="20" t="n">
        <v>4569.983</v>
      </c>
      <c r="E171" s="20" t="n">
        <v>3743.206</v>
      </c>
      <c r="F171" s="20" t="n">
        <v>3466.101</v>
      </c>
      <c r="G171" s="20" t="n">
        <v>3582.222</v>
      </c>
      <c r="H171" s="20" t="n">
        <v>4049.817</v>
      </c>
      <c r="I171" s="20" t="n">
        <v>4032.359</v>
      </c>
      <c r="J171" s="20" t="n">
        <v>3789.783</v>
      </c>
      <c r="K171" s="20" t="n">
        <v>4076.119</v>
      </c>
      <c r="L171" s="20" t="n">
        <v>4075.956</v>
      </c>
      <c r="M171" s="20" t="n">
        <v>3888.314</v>
      </c>
      <c r="N171" s="20" t="n">
        <v>4310.07</v>
      </c>
      <c r="V171" s="20" t="n">
        <v>4569.983</v>
      </c>
      <c r="W171" s="20" t="n">
        <v>4049.817</v>
      </c>
      <c r="X171" s="20" t="n">
        <v>4075.956</v>
      </c>
    </row>
    <row r="172">
      <c r="A172" s="18" t="inlineStr">
        <is>
          <t>기타 · 계</t>
        </is>
      </c>
      <c r="C172" s="20" t="n">
        <v>249.823</v>
      </c>
      <c r="D172" s="20" t="n">
        <v>261.145</v>
      </c>
      <c r="E172" s="20" t="n">
        <v>411.596</v>
      </c>
      <c r="F172" s="20" t="n">
        <v>336.451</v>
      </c>
      <c r="G172" s="20" t="n">
        <v>346.469</v>
      </c>
      <c r="H172" s="20" t="n">
        <v>383.864</v>
      </c>
      <c r="I172" s="20" t="n">
        <v>392.493</v>
      </c>
      <c r="J172" s="20" t="n">
        <v>424.438</v>
      </c>
      <c r="K172" s="20" t="n">
        <v>472.41</v>
      </c>
      <c r="L172" s="20" t="n">
        <v>494.989</v>
      </c>
      <c r="M172" s="20" t="n">
        <v>461.723</v>
      </c>
      <c r="N172" s="20" t="n">
        <v>428.811</v>
      </c>
      <c r="V172" s="20" t="n">
        <v>261.145</v>
      </c>
      <c r="W172" s="20" t="n">
        <v>383.864</v>
      </c>
      <c r="X172" s="20" t="n">
        <v>494.989</v>
      </c>
    </row>
    <row r="173">
      <c r="A173" s="18" t="inlineStr">
        <is>
          <t>합계 · 계</t>
        </is>
      </c>
      <c r="C173" s="20" t="n">
        <v>4256.984</v>
      </c>
      <c r="D173" s="20" t="n">
        <v>4831.128</v>
      </c>
      <c r="E173" s="20" t="n">
        <v>4154.803</v>
      </c>
      <c r="F173" s="20" t="n">
        <v>3802.552</v>
      </c>
      <c r="G173" s="20" t="n">
        <v>3928.691</v>
      </c>
      <c r="H173" s="20" t="n">
        <v>4433.681</v>
      </c>
      <c r="I173" s="20" t="n">
        <v>4424.853</v>
      </c>
      <c r="J173" s="20" t="n">
        <v>4214.221</v>
      </c>
      <c r="K173" s="20" t="n">
        <v>4548.528</v>
      </c>
      <c r="L173" s="20" t="n">
        <v>4570.945</v>
      </c>
      <c r="M173" s="20" t="n">
        <v>4350.037</v>
      </c>
      <c r="N173" s="20" t="n">
        <v>4738.881</v>
      </c>
      <c r="V173" s="20" t="n">
        <v>4831.128</v>
      </c>
      <c r="W173" s="20" t="n">
        <v>4433.681</v>
      </c>
      <c r="X173" s="20" t="n">
        <v>4570.945</v>
      </c>
    </row>
    <row r="174">
      <c r="A174" s="18" t="inlineStr">
        <is>
          <t>부문 · 부문 이익(손실)</t>
        </is>
      </c>
      <c r="C174" s="20" t="n">
        <v>24.025</v>
      </c>
      <c r="D174" s="20" t="n">
        <v>28.464</v>
      </c>
      <c r="E174" s="20" t="n">
        <v>26.595</v>
      </c>
      <c r="F174" s="20" t="n">
        <v>9.914</v>
      </c>
      <c r="G174" s="20" t="n">
        <v>24.137</v>
      </c>
      <c r="H174" s="20" t="n">
        <v>22.801</v>
      </c>
      <c r="I174" s="20" t="n">
        <v>8.513</v>
      </c>
      <c r="J174" s="20" t="n">
        <v>5.802</v>
      </c>
      <c r="K174" s="20" t="n">
        <v>4.82</v>
      </c>
      <c r="L174" s="20" t="n">
        <v>21.449</v>
      </c>
      <c r="M174" s="20" t="n">
        <v>13.782</v>
      </c>
      <c r="N174" s="20" t="n">
        <v>13.508</v>
      </c>
      <c r="V174" s="20" t="n">
        <v>28.464</v>
      </c>
      <c r="W174" s="20" t="n">
        <v>22.801</v>
      </c>
      <c r="X174" s="20" t="n">
        <v>21.449</v>
      </c>
    </row>
    <row r="175">
      <c r="A175" s="18" t="inlineStr">
        <is>
          <t>보고부문 합계 · 부문 이익(손실)</t>
        </is>
      </c>
      <c r="C175" s="20" t="n">
        <v>438.39</v>
      </c>
      <c r="D175" s="20" t="n">
        <v>440.254</v>
      </c>
      <c r="E175" s="20" t="n">
        <v>359.633</v>
      </c>
      <c r="F175" s="20" t="n">
        <v>210.829</v>
      </c>
      <c r="G175" s="20" t="n">
        <v>340.741</v>
      </c>
      <c r="H175" s="20" t="n">
        <v>376.134</v>
      </c>
      <c r="I175" s="20" t="n">
        <v>507.431</v>
      </c>
      <c r="J175" s="20" t="n">
        <v>339.057</v>
      </c>
      <c r="K175" s="20" t="n">
        <v>434.533</v>
      </c>
      <c r="L175" s="20" t="n">
        <v>282.267</v>
      </c>
      <c r="M175" s="20" t="n">
        <v>401.042</v>
      </c>
      <c r="N175" s="20" t="n">
        <v>490.043</v>
      </c>
      <c r="V175" s="20" t="n">
        <v>440.254</v>
      </c>
      <c r="W175" s="20" t="n">
        <v>376.134</v>
      </c>
      <c r="X175" s="20" t="n">
        <v>282.267</v>
      </c>
    </row>
    <row r="176">
      <c r="A176" s="18" t="inlineStr">
        <is>
          <t>기타 · 부문 이익(손실)</t>
        </is>
      </c>
      <c r="C176" s="20" t="n">
        <v>25.431</v>
      </c>
      <c r="D176" s="20" t="n">
        <v>43.145</v>
      </c>
      <c r="E176" s="20" t="n">
        <v>72.70999999999999</v>
      </c>
      <c r="F176" s="20" t="n">
        <v>52.642</v>
      </c>
      <c r="G176" s="20" t="n">
        <v>8.659000000000001</v>
      </c>
      <c r="H176" s="20" t="n">
        <v>45.451</v>
      </c>
      <c r="I176" s="20" t="n">
        <v>46.544</v>
      </c>
      <c r="J176" s="20" t="n">
        <v>55.825</v>
      </c>
      <c r="K176" s="20" t="n">
        <v>54.932</v>
      </c>
      <c r="L176" s="20" t="n">
        <v>27.688</v>
      </c>
      <c r="M176" s="20" t="n">
        <v>21.002</v>
      </c>
      <c r="N176" s="20" t="n">
        <v>45.979</v>
      </c>
      <c r="V176" s="20" t="n">
        <v>43.145</v>
      </c>
      <c r="W176" s="20" t="n">
        <v>45.451</v>
      </c>
      <c r="X176" s="20" t="n">
        <v>27.688</v>
      </c>
    </row>
    <row r="177">
      <c r="A177" s="18" t="inlineStr">
        <is>
          <t>합계 · 부문 이익(손실)</t>
        </is>
      </c>
      <c r="C177" s="20" t="n">
        <v>463.821</v>
      </c>
      <c r="D177" s="20" t="n">
        <v>483.4</v>
      </c>
      <c r="E177" s="20" t="n">
        <v>432.343</v>
      </c>
      <c r="F177" s="20" t="n">
        <v>263.471</v>
      </c>
      <c r="G177" s="20" t="n">
        <v>349.401</v>
      </c>
      <c r="H177" s="20" t="n">
        <v>421.584</v>
      </c>
      <c r="I177" s="20" t="n">
        <v>553.975</v>
      </c>
      <c r="J177" s="20" t="n">
        <v>394.883</v>
      </c>
      <c r="K177" s="20" t="n">
        <v>489.465</v>
      </c>
      <c r="L177" s="20" t="n">
        <v>309.955</v>
      </c>
      <c r="M177" s="20" t="n">
        <v>422.045</v>
      </c>
      <c r="N177" s="20" t="n">
        <v>536.022</v>
      </c>
      <c r="V177" s="20" t="n">
        <v>483.4</v>
      </c>
      <c r="W177" s="20" t="n">
        <v>421.584</v>
      </c>
      <c r="X177" s="20" t="n">
        <v>309.955</v>
      </c>
    </row>
    <row r="179">
      <c r="A179" s="16" t="inlineStr">
        <is>
          <t>현금흐름표 · 전 항목</t>
        </is>
      </c>
      <c r="B179" s="42" t="inlineStr">
        <is>
          <t>분기 = 결산기 첫날부터 누계(공시 그대로)</t>
        </is>
      </c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</row>
    <row r="180">
      <c r="A180" s="5" t="inlineStr">
        <is>
          <t>항목</t>
        </is>
      </c>
      <c r="B180" s="5" t="inlineStr">
        <is>
          <t>참고</t>
        </is>
      </c>
      <c r="C180" s="5" t="inlineStr">
        <is>
          <t>2023.3Q</t>
        </is>
      </c>
      <c r="D180" s="5" t="inlineStr">
        <is>
          <t>2023.4Q</t>
        </is>
      </c>
      <c r="E180" s="5" t="inlineStr">
        <is>
          <t>2024.1Q</t>
        </is>
      </c>
      <c r="F180" s="5" t="inlineStr">
        <is>
          <t>2024.2Q</t>
        </is>
      </c>
      <c r="G180" s="5" t="inlineStr">
        <is>
          <t>2024.3Q</t>
        </is>
      </c>
      <c r="H180" s="5" t="inlineStr">
        <is>
          <t>2024.4Q</t>
        </is>
      </c>
      <c r="I180" s="5" t="inlineStr">
        <is>
          <t>2025.1Q</t>
        </is>
      </c>
      <c r="J180" s="5" t="inlineStr">
        <is>
          <t>2025.2Q</t>
        </is>
      </c>
      <c r="K180" s="5" t="inlineStr">
        <is>
          <t>2025.3Q</t>
        </is>
      </c>
      <c r="L180" s="5" t="inlineStr">
        <is>
          <t>2025.4Q</t>
        </is>
      </c>
      <c r="M180" s="5" t="inlineStr">
        <is>
          <t>2026.1Q</t>
        </is>
      </c>
      <c r="N180" s="5" t="inlineStr">
        <is>
          <t>2026.2Q</t>
        </is>
      </c>
      <c r="O180" s="5" t="inlineStr">
        <is>
          <t>2016</t>
        </is>
      </c>
      <c r="P180" s="5" t="inlineStr">
        <is>
          <t>2017</t>
        </is>
      </c>
      <c r="Q180" s="5" t="inlineStr">
        <is>
          <t>2018</t>
        </is>
      </c>
      <c r="R180" s="5" t="inlineStr">
        <is>
          <t>2019</t>
        </is>
      </c>
      <c r="S180" s="5" t="inlineStr">
        <is>
          <t>2020</t>
        </is>
      </c>
      <c r="T180" s="5" t="inlineStr">
        <is>
          <t>2021</t>
        </is>
      </c>
      <c r="U180" s="5" t="inlineStr">
        <is>
          <t>2022</t>
        </is>
      </c>
      <c r="V180" s="5" t="inlineStr">
        <is>
          <t>2023</t>
        </is>
      </c>
      <c r="W180" s="5" t="inlineStr">
        <is>
          <t>2024</t>
        </is>
      </c>
      <c r="X180" s="5" t="inlineStr">
        <is>
          <t>2025</t>
        </is>
      </c>
      <c r="Y180" s="5" t="inlineStr">
        <is>
          <t>2026(MW)</t>
        </is>
      </c>
      <c r="Z180" s="5" t="inlineStr">
        <is>
          <t>2027(MW)</t>
        </is>
      </c>
      <c r="AA180" s="5" t="inlineStr">
        <is>
          <t>2028(MW)</t>
        </is>
      </c>
      <c r="AB180" s="5" t="inlineStr">
        <is>
          <t>2029(MW)</t>
        </is>
      </c>
      <c r="AC180" s="5" t="inlineStr">
        <is>
          <t>2030(MW)</t>
        </is>
      </c>
    </row>
    <row r="181">
      <c r="A181" s="9" t="inlineStr">
        <is>
          <t>법인세차감전 순이익</t>
        </is>
      </c>
      <c r="D181" s="12" t="n">
        <v>1747.903</v>
      </c>
      <c r="H181" s="12" t="n">
        <v>1525.937</v>
      </c>
      <c r="L181" s="12" t="n">
        <v>1640.002</v>
      </c>
      <c r="O181" s="12" t="n">
        <v>1880.706</v>
      </c>
      <c r="P181" s="12" t="n">
        <v>1587.986</v>
      </c>
      <c r="Q181" s="12" t="n">
        <v>1480.109</v>
      </c>
      <c r="R181" s="12" t="n">
        <v>1109.443</v>
      </c>
      <c r="S181" s="12" t="n">
        <v>984.986</v>
      </c>
      <c r="T181" s="12" t="n">
        <v>1069.584</v>
      </c>
      <c r="U181" s="12" t="n">
        <v>1260.5</v>
      </c>
      <c r="V181" s="12" t="n">
        <v>1747.903</v>
      </c>
      <c r="W181" s="12" t="n">
        <v>1525.937</v>
      </c>
      <c r="X181" s="12" t="n">
        <v>1640.002</v>
      </c>
    </row>
    <row r="182">
      <c r="A182" s="18" t="inlineStr">
        <is>
          <t>감가상각비</t>
        </is>
      </c>
      <c r="D182" s="20" t="n">
        <v>245.103</v>
      </c>
      <c r="H182" s="20" t="n">
        <v>234.687</v>
      </c>
      <c r="L182" s="20" t="n">
        <v>226.024</v>
      </c>
      <c r="O182" s="20" t="n">
        <v>87.75700000000001</v>
      </c>
      <c r="P182" s="20" t="n">
        <v>121.004</v>
      </c>
      <c r="Q182" s="20" t="n">
        <v>104.515</v>
      </c>
      <c r="R182" s="20" t="n">
        <v>227.578</v>
      </c>
      <c r="S182" s="20" t="n">
        <v>208.284</v>
      </c>
      <c r="T182" s="20" t="n">
        <v>138.225</v>
      </c>
      <c r="U182" s="20" t="n">
        <v>204.137</v>
      </c>
      <c r="V182" s="20" t="n">
        <v>245.103</v>
      </c>
      <c r="W182" s="20" t="n">
        <v>234.687</v>
      </c>
      <c r="X182" s="20" t="n">
        <v>226.024</v>
      </c>
    </row>
    <row r="183">
      <c r="A183" s="18" t="inlineStr">
        <is>
          <t>손상차손</t>
        </is>
      </c>
      <c r="H183" s="20" t="n">
        <v>0</v>
      </c>
      <c r="L183" s="20" t="n">
        <v>37.68</v>
      </c>
      <c r="Q183" s="20" t="n">
        <v>0</v>
      </c>
      <c r="R183" s="20" t="n">
        <v>82.27</v>
      </c>
      <c r="S183" s="20" t="n">
        <v>0</v>
      </c>
      <c r="W183" s="20" t="n">
        <v>0</v>
      </c>
      <c r="X183" s="20" t="n">
        <v>37.68</v>
      </c>
    </row>
    <row r="184">
      <c r="A184" s="18" t="inlineStr">
        <is>
          <t>대손충당금 증감</t>
        </is>
      </c>
      <c r="D184" s="20" t="n">
        <v>-5.648</v>
      </c>
      <c r="H184" s="20" t="n">
        <v>1.056</v>
      </c>
      <c r="L184" s="20" t="n">
        <v>5.091</v>
      </c>
      <c r="O184" s="20" t="n">
        <v>-0.713</v>
      </c>
      <c r="P184" s="20" t="n">
        <v>2.817</v>
      </c>
      <c r="Q184" s="20" t="n">
        <v>-0.899</v>
      </c>
      <c r="R184" s="20" t="n">
        <v>17.418</v>
      </c>
      <c r="S184" s="20" t="n">
        <v>-0.546</v>
      </c>
      <c r="T184" s="20" t="n">
        <v>1.036</v>
      </c>
      <c r="U184" s="20" t="n">
        <v>-19.309</v>
      </c>
      <c r="V184" s="20" t="n">
        <v>-5.648</v>
      </c>
      <c r="W184" s="20" t="n">
        <v>1.056</v>
      </c>
      <c r="X184" s="20" t="n">
        <v>5.091</v>
      </c>
    </row>
    <row r="185">
      <c r="A185" s="18" t="inlineStr">
        <is>
          <t>제품보증 충당금 증감</t>
        </is>
      </c>
      <c r="D185" s="20" t="n">
        <v>-0.468</v>
      </c>
      <c r="H185" s="20" t="n">
        <v>0</v>
      </c>
      <c r="O185" s="20" t="n">
        <v>15.854</v>
      </c>
      <c r="P185" s="20" t="n">
        <v>-5.658</v>
      </c>
      <c r="Q185" s="20" t="n">
        <v>-14.069</v>
      </c>
      <c r="R185" s="20" t="n">
        <v>14.585</v>
      </c>
      <c r="S185" s="20" t="n">
        <v>-9.951000000000001</v>
      </c>
      <c r="T185" s="20" t="n">
        <v>-0.833</v>
      </c>
      <c r="U185" s="20" t="n">
        <v>-12.988</v>
      </c>
      <c r="V185" s="20" t="n">
        <v>-0.468</v>
      </c>
      <c r="W185" s="20" t="n">
        <v>0</v>
      </c>
    </row>
    <row r="186">
      <c r="A186" s="18" t="inlineStr">
        <is>
          <t>임원 퇴직위로 충당금 증감</t>
        </is>
      </c>
      <c r="D186" s="20" t="n">
        <v>1.602</v>
      </c>
      <c r="H186" s="20" t="n">
        <v>-9.798999999999999</v>
      </c>
      <c r="L186" s="20" t="n">
        <v>24.562</v>
      </c>
      <c r="O186" s="20" t="n">
        <v>-4.916</v>
      </c>
      <c r="P186" s="20" t="n">
        <v>5.772</v>
      </c>
      <c r="Q186" s="20" t="n">
        <v>-7.375</v>
      </c>
      <c r="R186" s="20" t="n">
        <v>6.891</v>
      </c>
      <c r="S186" s="20" t="n">
        <v>-31.733</v>
      </c>
      <c r="T186" s="20" t="n">
        <v>6.106</v>
      </c>
      <c r="U186" s="20" t="n">
        <v>7.4</v>
      </c>
      <c r="V186" s="20" t="n">
        <v>1.602</v>
      </c>
      <c r="W186" s="20" t="n">
        <v>-9.798999999999999</v>
      </c>
      <c r="X186" s="20" t="n">
        <v>24.562</v>
      </c>
    </row>
    <row r="187">
      <c r="A187" s="18" t="inlineStr">
        <is>
          <t>퇴직급여부채 증감</t>
        </is>
      </c>
      <c r="D187" s="20" t="n">
        <v>2.178</v>
      </c>
      <c r="H187" s="20" t="n">
        <v>1.41</v>
      </c>
      <c r="L187" s="20" t="n">
        <v>2.128</v>
      </c>
      <c r="O187" s="20" t="n">
        <v>1.265</v>
      </c>
      <c r="P187" s="20" t="n">
        <v>1.464</v>
      </c>
      <c r="Q187" s="20" t="n">
        <v>-2.543</v>
      </c>
      <c r="R187" s="20" t="n">
        <v>-0.377</v>
      </c>
      <c r="S187" s="20" t="n">
        <v>1.165</v>
      </c>
      <c r="T187" s="20" t="n">
        <v>7.972</v>
      </c>
      <c r="U187" s="20" t="n">
        <v>1.301</v>
      </c>
      <c r="V187" s="20" t="n">
        <v>2.178</v>
      </c>
      <c r="W187" s="20" t="n">
        <v>1.41</v>
      </c>
      <c r="X187" s="20" t="n">
        <v>2.128</v>
      </c>
    </row>
    <row r="188">
      <c r="A188" s="18" t="inlineStr">
        <is>
          <t>이자·배당금 수익</t>
        </is>
      </c>
      <c r="D188" s="20" t="n">
        <v>-53.562</v>
      </c>
      <c r="H188" s="20" t="n">
        <v>-44.587</v>
      </c>
      <c r="L188" s="20" t="n">
        <v>-82.26600000000001</v>
      </c>
      <c r="O188" s="20" t="n">
        <v>-41.386</v>
      </c>
      <c r="P188" s="20" t="n">
        <v>-32.354</v>
      </c>
      <c r="Q188" s="20" t="n">
        <v>-30.78</v>
      </c>
      <c r="R188" s="20" t="n">
        <v>-27.628</v>
      </c>
      <c r="S188" s="20" t="n">
        <v>-32.639</v>
      </c>
      <c r="T188" s="20" t="n">
        <v>-31.563</v>
      </c>
      <c r="U188" s="20" t="n">
        <v>-32.806</v>
      </c>
      <c r="V188" s="20" t="n">
        <v>-53.562</v>
      </c>
      <c r="W188" s="20" t="n">
        <v>-44.587</v>
      </c>
      <c r="X188" s="20" t="n">
        <v>-82.26600000000001</v>
      </c>
    </row>
    <row r="189">
      <c r="A189" s="18" t="inlineStr">
        <is>
          <t>이자비용</t>
        </is>
      </c>
      <c r="D189" s="20" t="n">
        <v>3.761</v>
      </c>
      <c r="H189" s="20" t="n">
        <v>2.106</v>
      </c>
      <c r="L189" s="20" t="n">
        <v>5.142</v>
      </c>
      <c r="Q189" s="20" t="n">
        <v>0</v>
      </c>
      <c r="R189" s="20" t="n">
        <v>1.998</v>
      </c>
      <c r="S189" s="20" t="n">
        <v>1.993</v>
      </c>
      <c r="T189" s="20" t="n">
        <v>1.402</v>
      </c>
      <c r="U189" s="20" t="n">
        <v>2.366</v>
      </c>
      <c r="V189" s="20" t="n">
        <v>3.761</v>
      </c>
      <c r="W189" s="20" t="n">
        <v>2.106</v>
      </c>
      <c r="X189" s="20" t="n">
        <v>5.142</v>
      </c>
    </row>
    <row r="190">
      <c r="A190" s="18" t="inlineStr">
        <is>
          <t>고정자산 매각손익</t>
        </is>
      </c>
      <c r="D190" s="20" t="n">
        <v>-0.079</v>
      </c>
      <c r="H190" s="20" t="n">
        <v>-0.1</v>
      </c>
      <c r="L190" s="20" t="n">
        <v>-0.495</v>
      </c>
      <c r="O190" s="20" t="n">
        <v>-0.038</v>
      </c>
      <c r="P190" s="20" t="n">
        <v>-0.978</v>
      </c>
      <c r="Q190" s="20" t="n">
        <v>0</v>
      </c>
      <c r="R190" s="20" t="n">
        <v>0.003</v>
      </c>
      <c r="S190" s="20" t="n">
        <v>-0.01</v>
      </c>
      <c r="T190" s="20" t="n">
        <v>-0.657</v>
      </c>
      <c r="U190" s="20" t="n">
        <v>-1.179</v>
      </c>
      <c r="V190" s="20" t="n">
        <v>-0.079</v>
      </c>
      <c r="W190" s="20" t="n">
        <v>-0.1</v>
      </c>
      <c r="X190" s="20" t="n">
        <v>-0.495</v>
      </c>
    </row>
    <row r="191">
      <c r="A191" s="18" t="inlineStr">
        <is>
          <t>고정자산 제각손실</t>
        </is>
      </c>
      <c r="D191" s="20" t="n">
        <v>0.068</v>
      </c>
      <c r="H191" s="20" t="n">
        <v>3.176</v>
      </c>
      <c r="L191" s="20" t="n">
        <v>0.36</v>
      </c>
      <c r="O191" s="20" t="n">
        <v>0.336</v>
      </c>
      <c r="P191" s="20" t="n">
        <v>1.936</v>
      </c>
      <c r="Q191" s="20" t="n">
        <v>7.788</v>
      </c>
      <c r="R191" s="20" t="n">
        <v>1.478</v>
      </c>
      <c r="S191" s="20" t="n">
        <v>1.403</v>
      </c>
      <c r="T191" s="20" t="n">
        <v>3.608</v>
      </c>
      <c r="U191" s="20" t="n">
        <v>1.758</v>
      </c>
      <c r="V191" s="20" t="n">
        <v>0.068</v>
      </c>
      <c r="W191" s="20" t="n">
        <v>3.176</v>
      </c>
      <c r="X191" s="20" t="n">
        <v>0.36</v>
      </c>
    </row>
    <row r="192">
      <c r="A192" s="18" t="inlineStr">
        <is>
          <t>투자유가증권 매각손익</t>
        </is>
      </c>
      <c r="O192" s="20" t="n">
        <v>-30.221</v>
      </c>
      <c r="P192" s="20" t="n">
        <v>-85.182</v>
      </c>
      <c r="Q192" s="20" t="n">
        <v>0</v>
      </c>
      <c r="R192" s="20" t="n">
        <v>-2.592</v>
      </c>
      <c r="S192" s="20" t="n">
        <v>0</v>
      </c>
    </row>
    <row r="193">
      <c r="A193" s="18" t="inlineStr">
        <is>
          <t>매출채권 증감</t>
        </is>
      </c>
      <c r="D193" s="20" t="n">
        <v>-228.454</v>
      </c>
      <c r="H193" s="20" t="n">
        <v>207.528</v>
      </c>
      <c r="L193" s="20" t="n">
        <v>97.541</v>
      </c>
      <c r="O193" s="20" t="n">
        <v>-268.783</v>
      </c>
      <c r="P193" s="20" t="n">
        <v>269.737</v>
      </c>
      <c r="Q193" s="20" t="n">
        <v>-275.784</v>
      </c>
      <c r="R193" s="20" t="n">
        <v>130.332</v>
      </c>
      <c r="S193" s="20" t="n">
        <v>159.058</v>
      </c>
      <c r="T193" s="20" t="n">
        <v>142.524</v>
      </c>
      <c r="U193" s="20" t="n">
        <v>-120.922</v>
      </c>
      <c r="V193" s="20" t="n">
        <v>-228.454</v>
      </c>
      <c r="W193" s="20" t="n">
        <v>207.528</v>
      </c>
      <c r="X193" s="20" t="n">
        <v>97.541</v>
      </c>
    </row>
    <row r="194">
      <c r="A194" s="18" t="inlineStr">
        <is>
          <t>재고자산 증감</t>
        </is>
      </c>
      <c r="D194" s="20" t="n">
        <v>-140.541</v>
      </c>
      <c r="H194" s="20" t="n">
        <v>122.813</v>
      </c>
      <c r="L194" s="20" t="n">
        <v>78.072</v>
      </c>
      <c r="O194" s="20" t="n">
        <v>47.838</v>
      </c>
      <c r="P194" s="20" t="n">
        <v>-85.52</v>
      </c>
      <c r="Q194" s="20" t="n">
        <v>-202.912</v>
      </c>
      <c r="R194" s="20" t="n">
        <v>-206.951</v>
      </c>
      <c r="S194" s="20" t="n">
        <v>320.138</v>
      </c>
      <c r="T194" s="20" t="n">
        <v>-430.491</v>
      </c>
      <c r="U194" s="20" t="n">
        <v>-285.955</v>
      </c>
      <c r="V194" s="20" t="n">
        <v>-140.541</v>
      </c>
      <c r="W194" s="20" t="n">
        <v>122.813</v>
      </c>
      <c r="X194" s="20" t="n">
        <v>78.072</v>
      </c>
    </row>
    <row r="195">
      <c r="A195" s="18" t="inlineStr">
        <is>
          <t>매입채무 증감</t>
        </is>
      </c>
      <c r="D195" s="20" t="n">
        <v>19.738</v>
      </c>
      <c r="H195" s="20" t="n">
        <v>-86.16</v>
      </c>
      <c r="L195" s="20" t="n">
        <v>87.684</v>
      </c>
      <c r="O195" s="20" t="n">
        <v>16.467</v>
      </c>
      <c r="P195" s="20" t="n">
        <v>27.918</v>
      </c>
      <c r="Q195" s="20" t="n">
        <v>106.419</v>
      </c>
      <c r="R195" s="20" t="n">
        <v>-148.415</v>
      </c>
      <c r="S195" s="20" t="n">
        <v>-50.583</v>
      </c>
      <c r="T195" s="20" t="n">
        <v>-44.222</v>
      </c>
      <c r="U195" s="20" t="n">
        <v>20.082</v>
      </c>
      <c r="V195" s="20" t="n">
        <v>19.738</v>
      </c>
      <c r="W195" s="20" t="n">
        <v>-86.16</v>
      </c>
      <c r="X195" s="20" t="n">
        <v>87.684</v>
      </c>
    </row>
    <row r="196">
      <c r="A196" s="18" t="inlineStr">
        <is>
          <t>미지급금 증감</t>
        </is>
      </c>
      <c r="D196" s="20" t="n">
        <v>67.092</v>
      </c>
      <c r="H196" s="20" t="n">
        <v>0.391</v>
      </c>
      <c r="L196" s="20" t="n">
        <v>-12.157</v>
      </c>
      <c r="O196" s="20" t="n">
        <v>-15.742</v>
      </c>
      <c r="P196" s="20" t="n">
        <v>-17.146</v>
      </c>
      <c r="Q196" s="20" t="n">
        <v>16.022</v>
      </c>
      <c r="R196" s="20" t="n">
        <v>-18.079</v>
      </c>
      <c r="S196" s="20" t="n">
        <v>-9.164999999999999</v>
      </c>
      <c r="T196" s="20" t="n">
        <v>-22.97</v>
      </c>
      <c r="U196" s="20" t="n">
        <v>34.856</v>
      </c>
      <c r="V196" s="20" t="n">
        <v>67.092</v>
      </c>
      <c r="W196" s="20" t="n">
        <v>0.391</v>
      </c>
      <c r="X196" s="20" t="n">
        <v>-12.157</v>
      </c>
    </row>
    <row r="197">
      <c r="A197" s="18" t="inlineStr">
        <is>
          <t>선수금 증감</t>
        </is>
      </c>
      <c r="D197" s="20" t="n">
        <v>-397.765</v>
      </c>
      <c r="H197" s="20" t="n">
        <v>-5.209</v>
      </c>
      <c r="L197" s="20" t="n">
        <v>3.793</v>
      </c>
      <c r="U197" s="20" t="n">
        <v>140.027</v>
      </c>
      <c r="V197" s="20" t="n">
        <v>-397.765</v>
      </c>
      <c r="W197" s="20" t="n">
        <v>-5.209</v>
      </c>
      <c r="X197" s="20" t="n">
        <v>3.793</v>
      </c>
    </row>
    <row r="198">
      <c r="A198" s="18" t="inlineStr">
        <is>
          <t>미수 소비세 증감</t>
        </is>
      </c>
      <c r="D198" s="20" t="n">
        <v>32.342</v>
      </c>
      <c r="H198" s="20" t="n">
        <v>56.73</v>
      </c>
      <c r="L198" s="20" t="n">
        <v>6.983</v>
      </c>
      <c r="O198" s="20" t="n">
        <v>83.748</v>
      </c>
      <c r="P198" s="20" t="n">
        <v>-40.416</v>
      </c>
      <c r="Q198" s="20" t="n">
        <v>-13.932</v>
      </c>
      <c r="R198" s="20" t="n">
        <v>5.773</v>
      </c>
      <c r="S198" s="20" t="n">
        <v>61.775</v>
      </c>
      <c r="T198" s="20" t="n">
        <v>-125.89</v>
      </c>
      <c r="U198" s="20" t="n">
        <v>-65.31699999999999</v>
      </c>
      <c r="V198" s="20" t="n">
        <v>32.342</v>
      </c>
      <c r="W198" s="20" t="n">
        <v>56.73</v>
      </c>
      <c r="X198" s="20" t="n">
        <v>6.983</v>
      </c>
    </row>
    <row r="199">
      <c r="A199" s="18" t="inlineStr">
        <is>
          <t>미지급 소비세 증감</t>
        </is>
      </c>
      <c r="D199" s="20" t="n">
        <v>23.862</v>
      </c>
      <c r="H199" s="20" t="n">
        <v>-20.893</v>
      </c>
      <c r="L199" s="20" t="n">
        <v>5.046</v>
      </c>
      <c r="O199" s="20" t="n">
        <v>-1.109</v>
      </c>
      <c r="P199" s="20" t="n">
        <v>-8.337</v>
      </c>
      <c r="Q199" s="20" t="n">
        <v>9.492000000000001</v>
      </c>
      <c r="R199" s="20" t="n">
        <v>4.435</v>
      </c>
      <c r="S199" s="20" t="n">
        <v>-1.545</v>
      </c>
      <c r="T199" s="20" t="n">
        <v>-12.766</v>
      </c>
      <c r="U199" s="20" t="n">
        <v>7.035</v>
      </c>
      <c r="V199" s="20" t="n">
        <v>23.862</v>
      </c>
      <c r="W199" s="20" t="n">
        <v>-20.893</v>
      </c>
      <c r="X199" s="20" t="n">
        <v>5.046</v>
      </c>
    </row>
    <row r="200">
      <c r="A200" s="18" t="inlineStr">
        <is>
          <t>기타</t>
        </is>
      </c>
      <c r="D200" s="20" t="n">
        <v>56.626</v>
      </c>
      <c r="H200" s="20" t="n">
        <v>-54.475</v>
      </c>
      <c r="L200" s="20" t="n">
        <v>71.80500000000001</v>
      </c>
      <c r="O200" s="20" t="n">
        <v>26.423</v>
      </c>
      <c r="P200" s="20" t="n">
        <v>0.011</v>
      </c>
      <c r="Q200" s="20" t="n">
        <v>-51.53</v>
      </c>
      <c r="R200" s="20" t="n">
        <v>58.145</v>
      </c>
      <c r="S200" s="20" t="n">
        <v>-51.792</v>
      </c>
      <c r="T200" s="20" t="n">
        <v>45.832</v>
      </c>
      <c r="U200" s="20" t="n">
        <v>19.316</v>
      </c>
      <c r="V200" s="20" t="n">
        <v>56.626</v>
      </c>
      <c r="W200" s="20" t="n">
        <v>-54.475</v>
      </c>
      <c r="X200" s="20" t="n">
        <v>71.80500000000001</v>
      </c>
    </row>
    <row r="201">
      <c r="A201" s="18" t="inlineStr">
        <is>
          <t>소계</t>
        </is>
      </c>
      <c r="D201" s="20" t="n">
        <v>1373.761</v>
      </c>
      <c r="H201" s="20" t="n">
        <v>1934.611</v>
      </c>
      <c r="L201" s="20" t="n">
        <v>2196.999</v>
      </c>
      <c r="O201" s="20" t="n">
        <v>1797.486</v>
      </c>
      <c r="P201" s="20" t="n">
        <v>1743.055</v>
      </c>
      <c r="Q201" s="20" t="n">
        <v>1124.52</v>
      </c>
      <c r="R201" s="20" t="n">
        <v>1256.31</v>
      </c>
      <c r="S201" s="20" t="n">
        <v>1550.838</v>
      </c>
      <c r="T201" s="20" t="n">
        <v>746.895</v>
      </c>
      <c r="U201" s="20" t="n">
        <v>1160.303</v>
      </c>
      <c r="V201" s="20" t="n">
        <v>1373.761</v>
      </c>
      <c r="W201" s="20" t="n">
        <v>1934.611</v>
      </c>
      <c r="X201" s="20" t="n">
        <v>2196.999</v>
      </c>
    </row>
    <row r="202">
      <c r="A202" s="18" t="inlineStr">
        <is>
          <t>이자·배당금 수취</t>
        </is>
      </c>
      <c r="D202" s="20" t="n">
        <v>51.331</v>
      </c>
      <c r="H202" s="20" t="n">
        <v>44.356</v>
      </c>
      <c r="L202" s="20" t="n">
        <v>75.581</v>
      </c>
      <c r="O202" s="20" t="n">
        <v>43.8</v>
      </c>
      <c r="P202" s="20" t="n">
        <v>33.585</v>
      </c>
      <c r="Q202" s="20" t="n">
        <v>30.713</v>
      </c>
      <c r="R202" s="20" t="n">
        <v>29.201</v>
      </c>
      <c r="S202" s="20" t="n">
        <v>24.638</v>
      </c>
      <c r="T202" s="20" t="n">
        <v>31.962</v>
      </c>
      <c r="U202" s="20" t="n">
        <v>28.671</v>
      </c>
      <c r="V202" s="20" t="n">
        <v>51.331</v>
      </c>
      <c r="W202" s="20" t="n">
        <v>44.356</v>
      </c>
      <c r="X202" s="20" t="n">
        <v>75.581</v>
      </c>
    </row>
    <row r="203">
      <c r="A203" s="18" t="inlineStr">
        <is>
          <t>법인세 납부</t>
        </is>
      </c>
      <c r="D203" s="20" t="n">
        <v>-612.539</v>
      </c>
      <c r="H203" s="20" t="n">
        <v>-521.3819999999999</v>
      </c>
      <c r="L203" s="20" t="n">
        <v>-506.899</v>
      </c>
      <c r="O203" s="20" t="n">
        <v>-571.978</v>
      </c>
      <c r="P203" s="20" t="n">
        <v>-694.176</v>
      </c>
      <c r="Q203" s="20" t="n">
        <v>-412.391</v>
      </c>
      <c r="R203" s="20" t="n">
        <v>-454.735</v>
      </c>
      <c r="S203" s="20" t="n">
        <v>-302.326</v>
      </c>
      <c r="T203" s="20" t="n">
        <v>-261.916</v>
      </c>
      <c r="U203" s="20" t="n">
        <v>-350.975</v>
      </c>
      <c r="V203" s="20" t="n">
        <v>-612.539</v>
      </c>
      <c r="W203" s="20" t="n">
        <v>-521.3819999999999</v>
      </c>
      <c r="X203" s="20" t="n">
        <v>-506.899</v>
      </c>
    </row>
    <row r="204">
      <c r="A204" s="18" t="inlineStr">
        <is>
          <t>기타</t>
        </is>
      </c>
      <c r="D204" s="20" t="n">
        <v>-3.761</v>
      </c>
      <c r="H204" s="20" t="n">
        <v>-2.106</v>
      </c>
      <c r="L204" s="20" t="n">
        <v>-5.142</v>
      </c>
      <c r="Q204" s="20" t="n">
        <v>0</v>
      </c>
      <c r="R204" s="20" t="n">
        <v>-1.998</v>
      </c>
      <c r="S204" s="20" t="n">
        <v>-1.993</v>
      </c>
      <c r="T204" s="20" t="n">
        <v>-1.402</v>
      </c>
      <c r="U204" s="20" t="n">
        <v>-2.366</v>
      </c>
      <c r="V204" s="20" t="n">
        <v>-3.761</v>
      </c>
      <c r="W204" s="20" t="n">
        <v>-2.106</v>
      </c>
      <c r="X204" s="20" t="n">
        <v>-5.142</v>
      </c>
    </row>
    <row r="205">
      <c r="A205" s="9" t="inlineStr">
        <is>
          <t>영업활동 현금흐름</t>
        </is>
      </c>
      <c r="D205" s="12" t="n">
        <v>808.79</v>
      </c>
      <c r="H205" s="12" t="n">
        <v>1455.48</v>
      </c>
      <c r="L205" s="12" t="n">
        <v>1760.538</v>
      </c>
      <c r="O205" s="12" t="n">
        <v>1269.309</v>
      </c>
      <c r="P205" s="12" t="n">
        <v>1082.463</v>
      </c>
      <c r="Q205" s="12" t="n">
        <v>742.842</v>
      </c>
      <c r="R205" s="12" t="n">
        <v>828.776</v>
      </c>
      <c r="S205" s="12" t="n">
        <v>1271.155</v>
      </c>
      <c r="T205" s="12" t="n">
        <v>515.538</v>
      </c>
      <c r="U205" s="12" t="n">
        <v>835.6319999999999</v>
      </c>
      <c r="V205" s="12" t="n">
        <v>808.79</v>
      </c>
      <c r="W205" s="12" t="n">
        <v>1455.48</v>
      </c>
      <c r="X205" s="12" t="n">
        <v>1760.538</v>
      </c>
    </row>
    <row r="206">
      <c r="A206" s="18" t="inlineStr">
        <is>
          <t>장기예금 예입</t>
        </is>
      </c>
      <c r="H206" s="20" t="n">
        <v>0</v>
      </c>
      <c r="L206" s="20" t="n">
        <v>-2000</v>
      </c>
      <c r="W206" s="20" t="n">
        <v>0</v>
      </c>
      <c r="X206" s="20" t="n">
        <v>-2000</v>
      </c>
    </row>
    <row r="207">
      <c r="A207" s="18" t="inlineStr">
        <is>
          <t>정기예금 예입</t>
        </is>
      </c>
      <c r="D207" s="20" t="n">
        <v>-1844.812</v>
      </c>
      <c r="H207" s="20" t="n">
        <v>-1378.309</v>
      </c>
      <c r="L207" s="20" t="n">
        <v>-620.456</v>
      </c>
      <c r="O207" s="20" t="n">
        <v>-1242.687</v>
      </c>
      <c r="P207" s="20" t="n">
        <v>-1074.411</v>
      </c>
      <c r="Q207" s="20" t="n">
        <v>-914.889</v>
      </c>
      <c r="R207" s="20" t="n">
        <v>-721.395</v>
      </c>
      <c r="S207" s="20" t="n">
        <v>-899.138</v>
      </c>
      <c r="T207" s="20" t="n">
        <v>-942.046</v>
      </c>
      <c r="U207" s="20" t="n">
        <v>-850.5</v>
      </c>
      <c r="V207" s="20" t="n">
        <v>-1844.812</v>
      </c>
      <c r="W207" s="20" t="n">
        <v>-1378.309</v>
      </c>
      <c r="X207" s="20" t="n">
        <v>-620.456</v>
      </c>
    </row>
    <row r="208">
      <c r="A208" s="18" t="inlineStr">
        <is>
          <t>정기예금 인출</t>
        </is>
      </c>
      <c r="D208" s="20" t="n">
        <v>1215.172</v>
      </c>
      <c r="H208" s="20" t="n">
        <v>1562.992</v>
      </c>
      <c r="L208" s="20" t="n">
        <v>570.4450000000001</v>
      </c>
      <c r="O208" s="20" t="n">
        <v>1492.684</v>
      </c>
      <c r="P208" s="20" t="n">
        <v>1188.079</v>
      </c>
      <c r="Q208" s="20" t="n">
        <v>1133.21</v>
      </c>
      <c r="R208" s="20" t="n">
        <v>840.556</v>
      </c>
      <c r="S208" s="20" t="n">
        <v>780.211</v>
      </c>
      <c r="T208" s="20" t="n">
        <v>833.076</v>
      </c>
      <c r="U208" s="20" t="n">
        <v>857.158</v>
      </c>
      <c r="V208" s="20" t="n">
        <v>1215.172</v>
      </c>
      <c r="W208" s="20" t="n">
        <v>1562.992</v>
      </c>
      <c r="X208" s="20" t="n">
        <v>570.4450000000001</v>
      </c>
    </row>
    <row r="209">
      <c r="A209" s="18" t="inlineStr">
        <is>
          <t>유가증권 상환 수입</t>
        </is>
      </c>
      <c r="O209" s="20" t="n">
        <v>0</v>
      </c>
      <c r="P209" s="20" t="n">
        <v>16.17</v>
      </c>
      <c r="Q209" s="20" t="n">
        <v>0</v>
      </c>
      <c r="R209" s="20" t="n">
        <v>200</v>
      </c>
      <c r="S209" s="20" t="n">
        <v>0</v>
      </c>
      <c r="T209" s="20" t="n">
        <v>42.392</v>
      </c>
      <c r="U209" s="20" t="n">
        <v>0</v>
      </c>
    </row>
    <row r="210">
      <c r="A210" s="18" t="inlineStr">
        <is>
          <t>유형자산 취득(설비투자)</t>
        </is>
      </c>
      <c r="D210" s="20" t="n">
        <v>-84.474</v>
      </c>
      <c r="H210" s="20" t="n">
        <v>-127.293</v>
      </c>
      <c r="L210" s="20" t="n">
        <v>-76.771</v>
      </c>
      <c r="O210" s="20" t="n">
        <v>-72.898</v>
      </c>
      <c r="P210" s="20" t="n">
        <v>-146.547</v>
      </c>
      <c r="Q210" s="20" t="n">
        <v>-258.893</v>
      </c>
      <c r="R210" s="20" t="n">
        <v>-190.408</v>
      </c>
      <c r="S210" s="20" t="n">
        <v>-101.491</v>
      </c>
      <c r="T210" s="20" t="n">
        <v>-54.082</v>
      </c>
      <c r="U210" s="20" t="n">
        <v>-929.477</v>
      </c>
      <c r="V210" s="20" t="n">
        <v>-84.474</v>
      </c>
      <c r="W210" s="20" t="n">
        <v>-127.293</v>
      </c>
      <c r="X210" s="20" t="n">
        <v>-76.771</v>
      </c>
    </row>
    <row r="211">
      <c r="A211" s="18" t="inlineStr">
        <is>
          <t>유형자산 매각</t>
        </is>
      </c>
      <c r="O211" s="20" t="n">
        <v>0.216</v>
      </c>
      <c r="P211" s="20" t="n">
        <v>1.952</v>
      </c>
      <c r="Q211" s="20" t="n">
        <v>0</v>
      </c>
    </row>
    <row r="212">
      <c r="A212" s="18" t="inlineStr">
        <is>
          <t>무형자산 취득</t>
        </is>
      </c>
      <c r="D212" s="20" t="n">
        <v>-8.069000000000001</v>
      </c>
      <c r="H212" s="20" t="n">
        <v>-8.429</v>
      </c>
      <c r="L212" s="20" t="n">
        <v>-17.567</v>
      </c>
      <c r="O212" s="20" t="n">
        <v>-31.017</v>
      </c>
      <c r="P212" s="20" t="n">
        <v>-17.035</v>
      </c>
      <c r="Q212" s="20" t="n">
        <v>-0.478</v>
      </c>
      <c r="R212" s="20" t="n">
        <v>-8.116</v>
      </c>
      <c r="S212" s="20" t="n">
        <v>-15.788</v>
      </c>
      <c r="T212" s="20" t="n">
        <v>-5.369</v>
      </c>
      <c r="U212" s="20" t="n">
        <v>-0.131</v>
      </c>
      <c r="V212" s="20" t="n">
        <v>-8.069000000000001</v>
      </c>
      <c r="W212" s="20" t="n">
        <v>-8.429</v>
      </c>
      <c r="X212" s="20" t="n">
        <v>-17.567</v>
      </c>
    </row>
    <row r="213">
      <c r="A213" s="18" t="inlineStr">
        <is>
          <t>투자유가증권 취득</t>
        </is>
      </c>
      <c r="D213" s="20" t="n">
        <v>-100</v>
      </c>
      <c r="H213" s="20" t="n">
        <v>0</v>
      </c>
      <c r="L213" s="20" t="n">
        <v>-1493.73</v>
      </c>
      <c r="O213" s="20" t="n">
        <v>-100</v>
      </c>
      <c r="P213" s="20" t="n">
        <v>-100.3</v>
      </c>
      <c r="Q213" s="20" t="n">
        <v>-100</v>
      </c>
      <c r="R213" s="20" t="n">
        <v>-211.183</v>
      </c>
      <c r="S213" s="20" t="n">
        <v>0</v>
      </c>
      <c r="U213" s="20" t="n">
        <v>0</v>
      </c>
      <c r="V213" s="20" t="n">
        <v>-100</v>
      </c>
      <c r="W213" s="20" t="n">
        <v>0</v>
      </c>
      <c r="X213" s="20" t="n">
        <v>-1493.73</v>
      </c>
    </row>
    <row r="214">
      <c r="A214" s="18" t="inlineStr">
        <is>
          <t>투자유가증권 매각</t>
        </is>
      </c>
      <c r="D214" s="20" t="n">
        <v>102.84</v>
      </c>
      <c r="H214" s="20" t="n">
        <v>135.758</v>
      </c>
      <c r="L214" s="20" t="n">
        <v>0</v>
      </c>
      <c r="O214" s="20" t="n">
        <v>56.121</v>
      </c>
      <c r="P214" s="20" t="n">
        <v>161.428</v>
      </c>
      <c r="Q214" s="20" t="n">
        <v>0</v>
      </c>
      <c r="R214" s="20" t="n">
        <v>3.8</v>
      </c>
      <c r="S214" s="20" t="n">
        <v>0</v>
      </c>
      <c r="U214" s="20" t="n">
        <v>0</v>
      </c>
      <c r="V214" s="20" t="n">
        <v>102.84</v>
      </c>
      <c r="W214" s="20" t="n">
        <v>135.758</v>
      </c>
      <c r="X214" s="20" t="n">
        <v>0</v>
      </c>
    </row>
    <row r="215">
      <c r="A215" s="18" t="inlineStr">
        <is>
          <t>투자유가증권 상환</t>
        </is>
      </c>
      <c r="D215" s="20" t="n">
        <v>200</v>
      </c>
      <c r="H215" s="20" t="n">
        <v>100.355</v>
      </c>
      <c r="L215" s="20" t="n">
        <v>0</v>
      </c>
      <c r="U215" s="20" t="n">
        <v>0</v>
      </c>
      <c r="V215" s="20" t="n">
        <v>200</v>
      </c>
      <c r="W215" s="20" t="n">
        <v>100.355</v>
      </c>
      <c r="X215" s="20" t="n">
        <v>0</v>
      </c>
    </row>
    <row r="216">
      <c r="A216" s="18" t="inlineStr">
        <is>
          <t>Refund Of Investment Securities Inv CF</t>
        </is>
      </c>
      <c r="D216" s="20" t="n">
        <v>10.098</v>
      </c>
      <c r="H216" s="20" t="n">
        <v>15.161</v>
      </c>
      <c r="L216" s="20" t="n">
        <v>28.588</v>
      </c>
      <c r="O216" s="20" t="n">
        <v>24.171</v>
      </c>
      <c r="P216" s="20" t="n">
        <v>17.27</v>
      </c>
      <c r="Q216" s="20" t="n">
        <v>17.858</v>
      </c>
      <c r="R216" s="20" t="n">
        <v>3.503</v>
      </c>
      <c r="S216" s="20" t="n">
        <v>7.683</v>
      </c>
      <c r="T216" s="20" t="n">
        <v>5.835</v>
      </c>
      <c r="U216" s="20" t="n">
        <v>6.78</v>
      </c>
      <c r="V216" s="20" t="n">
        <v>10.098</v>
      </c>
      <c r="W216" s="20" t="n">
        <v>15.161</v>
      </c>
      <c r="X216" s="20" t="n">
        <v>28.588</v>
      </c>
    </row>
    <row r="217">
      <c r="A217" s="18" t="inlineStr">
        <is>
          <t>자회사 주식 취득</t>
        </is>
      </c>
      <c r="O217" s="20" t="n">
        <v>0</v>
      </c>
      <c r="P217" s="20" t="n">
        <v>-30.67</v>
      </c>
      <c r="Q217" s="20" t="n">
        <v>0</v>
      </c>
    </row>
    <row r="218">
      <c r="A218" s="18" t="inlineStr">
        <is>
          <t>Purchase Of Investments In Capital Of Subsidiaries Inv CF</t>
        </is>
      </c>
      <c r="O218" s="20" t="n">
        <v>-2.87</v>
      </c>
      <c r="P218" s="20" t="n">
        <v>0</v>
      </c>
    </row>
    <row r="219">
      <c r="A219" s="18" t="inlineStr">
        <is>
          <t>보증금 납입</t>
        </is>
      </c>
      <c r="D219" s="20" t="n">
        <v>-52.989</v>
      </c>
      <c r="H219" s="20" t="n">
        <v>-28.86</v>
      </c>
      <c r="L219" s="20" t="n">
        <v>-4.735</v>
      </c>
      <c r="O219" s="20" t="n">
        <v>0</v>
      </c>
      <c r="P219" s="20" t="n">
        <v>-61.445</v>
      </c>
      <c r="R219" s="20" t="n">
        <v>-2.754</v>
      </c>
      <c r="S219" s="20" t="n">
        <v>-33.367</v>
      </c>
      <c r="U219" s="20" t="n">
        <v>0</v>
      </c>
      <c r="V219" s="20" t="n">
        <v>-52.989</v>
      </c>
      <c r="W219" s="20" t="n">
        <v>-28.86</v>
      </c>
      <c r="X219" s="20" t="n">
        <v>-4.735</v>
      </c>
    </row>
    <row r="220">
      <c r="A220" s="18" t="inlineStr">
        <is>
          <t>보증금 회수</t>
        </is>
      </c>
      <c r="R220" s="20" t="n">
        <v>4.646</v>
      </c>
      <c r="S220" s="20" t="n">
        <v>62.079</v>
      </c>
    </row>
    <row r="221">
      <c r="A221" s="18" t="inlineStr">
        <is>
          <t>기타</t>
        </is>
      </c>
      <c r="D221" s="20" t="n">
        <v>1.173</v>
      </c>
      <c r="H221" s="20" t="n">
        <v>46.087</v>
      </c>
      <c r="L221" s="20" t="n">
        <v>4.642</v>
      </c>
      <c r="O221" s="20" t="n">
        <v>-2.974</v>
      </c>
      <c r="P221" s="20" t="n">
        <v>-62.064</v>
      </c>
      <c r="Q221" s="20" t="n">
        <v>6.364</v>
      </c>
      <c r="R221" s="20" t="n">
        <v>-0.821</v>
      </c>
      <c r="S221" s="20" t="n">
        <v>30.687</v>
      </c>
      <c r="T221" s="20" t="n">
        <v>0.223</v>
      </c>
      <c r="U221" s="20" t="n">
        <v>2.456</v>
      </c>
      <c r="V221" s="20" t="n">
        <v>1.173</v>
      </c>
      <c r="W221" s="20" t="n">
        <v>46.087</v>
      </c>
      <c r="X221" s="20" t="n">
        <v>4.642</v>
      </c>
    </row>
    <row r="222">
      <c r="A222" s="9" t="inlineStr">
        <is>
          <t>투자활동 현금흐름</t>
        </is>
      </c>
      <c r="D222" s="12" t="n">
        <v>-561.062</v>
      </c>
      <c r="H222" s="12" t="n">
        <v>317.464</v>
      </c>
      <c r="L222" s="12" t="n">
        <v>-3609.583</v>
      </c>
      <c r="O222" s="12" t="n">
        <v>120.745</v>
      </c>
      <c r="P222" s="12" t="n">
        <v>-46.127</v>
      </c>
      <c r="Q222" s="12" t="n">
        <v>-116.826</v>
      </c>
      <c r="R222" s="12" t="n">
        <v>-82.17400000000001</v>
      </c>
      <c r="S222" s="12" t="n">
        <v>-197.836</v>
      </c>
      <c r="T222" s="12" t="n">
        <v>-119.971</v>
      </c>
      <c r="U222" s="12" t="n">
        <v>-913.7140000000001</v>
      </c>
      <c r="V222" s="12" t="n">
        <v>-561.062</v>
      </c>
      <c r="W222" s="12" t="n">
        <v>317.464</v>
      </c>
      <c r="X222" s="12" t="n">
        <v>-3609.583</v>
      </c>
    </row>
    <row r="223">
      <c r="A223" s="18" t="inlineStr">
        <is>
          <t>자기주식 취득</t>
        </is>
      </c>
      <c r="H223" s="20" t="n">
        <v>0</v>
      </c>
      <c r="L223" s="20" t="n">
        <v>-0.006</v>
      </c>
      <c r="O223" s="20" t="n">
        <v>-0.08599999999999999</v>
      </c>
      <c r="P223" s="20" t="n">
        <v>0</v>
      </c>
      <c r="W223" s="20" t="n">
        <v>0</v>
      </c>
      <c r="X223" s="20" t="n">
        <v>-0.006</v>
      </c>
    </row>
    <row r="224">
      <c r="A224" s="18" t="inlineStr">
        <is>
          <t>배당금 지급</t>
        </is>
      </c>
      <c r="D224" s="20" t="n">
        <v>-291.41</v>
      </c>
      <c r="H224" s="20" t="n">
        <v>-456.086</v>
      </c>
      <c r="L224" s="20" t="n">
        <v>-389.22</v>
      </c>
      <c r="O224" s="20" t="n">
        <v>-296.981</v>
      </c>
      <c r="P224" s="20" t="n">
        <v>-323.978</v>
      </c>
      <c r="Q224" s="20" t="n">
        <v>-323.978</v>
      </c>
      <c r="R224" s="20" t="n">
        <v>-323.978</v>
      </c>
      <c r="S224" s="20" t="n">
        <v>-256.482</v>
      </c>
      <c r="T224" s="20" t="n">
        <v>-188.987</v>
      </c>
      <c r="U224" s="20" t="n">
        <v>-215.985</v>
      </c>
      <c r="V224" s="20" t="n">
        <v>-291.41</v>
      </c>
      <c r="W224" s="20" t="n">
        <v>-456.086</v>
      </c>
      <c r="X224" s="20" t="n">
        <v>-389.22</v>
      </c>
    </row>
    <row r="225">
      <c r="A225" s="18" t="inlineStr">
        <is>
          <t>리스부채 상환</t>
        </is>
      </c>
      <c r="D225" s="20" t="n">
        <v>-77.626</v>
      </c>
      <c r="H225" s="20" t="n">
        <v>-87.435</v>
      </c>
      <c r="L225" s="20" t="n">
        <v>-74.84399999999999</v>
      </c>
      <c r="Q225" s="20" t="n">
        <v>0</v>
      </c>
      <c r="R225" s="20" t="n">
        <v>-40.992</v>
      </c>
      <c r="S225" s="20" t="n">
        <v>-28.015</v>
      </c>
      <c r="T225" s="20" t="n">
        <v>-25.363</v>
      </c>
      <c r="U225" s="20" t="n">
        <v>-74.148</v>
      </c>
      <c r="V225" s="20" t="n">
        <v>-77.626</v>
      </c>
      <c r="W225" s="20" t="n">
        <v>-87.435</v>
      </c>
      <c r="X225" s="20" t="n">
        <v>-74.84399999999999</v>
      </c>
    </row>
    <row r="226">
      <c r="A226" s="9" t="inlineStr">
        <is>
          <t>재무활동 현금흐름</t>
        </is>
      </c>
      <c r="D226" s="12" t="n">
        <v>-369.036</v>
      </c>
      <c r="H226" s="12" t="n">
        <v>-543.521</v>
      </c>
      <c r="L226" s="12" t="n">
        <v>-464.07</v>
      </c>
      <c r="O226" s="12" t="n">
        <v>-297.068</v>
      </c>
      <c r="P226" s="12" t="n">
        <v>-323.978</v>
      </c>
      <c r="Q226" s="12" t="n">
        <v>-323.978</v>
      </c>
      <c r="R226" s="12" t="n">
        <v>-364.97</v>
      </c>
      <c r="S226" s="12" t="n">
        <v>-284.498</v>
      </c>
      <c r="T226" s="12" t="n">
        <v>-214.351</v>
      </c>
      <c r="U226" s="12" t="n">
        <v>-290.133</v>
      </c>
      <c r="V226" s="12" t="n">
        <v>-369.036</v>
      </c>
      <c r="W226" s="12" t="n">
        <v>-543.521</v>
      </c>
      <c r="X226" s="12" t="n">
        <v>-464.07</v>
      </c>
    </row>
    <row r="227">
      <c r="A227" s="18" t="inlineStr">
        <is>
          <t>현금성자산 환산차이</t>
        </is>
      </c>
      <c r="D227" s="20" t="n">
        <v>98.521</v>
      </c>
      <c r="H227" s="20" t="n">
        <v>117.201</v>
      </c>
      <c r="L227" s="20" t="n">
        <v>25.631</v>
      </c>
      <c r="O227" s="20" t="n">
        <v>-74.36499999999999</v>
      </c>
      <c r="P227" s="20" t="n">
        <v>34.901</v>
      </c>
      <c r="Q227" s="20" t="n">
        <v>-51.898</v>
      </c>
      <c r="R227" s="20" t="n">
        <v>-14.445</v>
      </c>
      <c r="S227" s="20" t="n">
        <v>-7.757</v>
      </c>
      <c r="T227" s="20" t="n">
        <v>145.446</v>
      </c>
      <c r="U227" s="20" t="n">
        <v>140.456</v>
      </c>
      <c r="V227" s="20" t="n">
        <v>98.521</v>
      </c>
      <c r="W227" s="20" t="n">
        <v>117.201</v>
      </c>
      <c r="X227" s="20" t="n">
        <v>25.631</v>
      </c>
    </row>
    <row r="228">
      <c r="A228" s="18" t="inlineStr">
        <is>
          <t>현금성자산 증감</t>
        </is>
      </c>
      <c r="D228" s="20" t="n">
        <v>-22.786</v>
      </c>
      <c r="H228" s="20" t="n">
        <v>1346.624</v>
      </c>
      <c r="L228" s="20" t="n">
        <v>-2287.483</v>
      </c>
      <c r="O228" s="20" t="n">
        <v>1018.621</v>
      </c>
      <c r="P228" s="20" t="n">
        <v>747.259</v>
      </c>
      <c r="Q228" s="20" t="n">
        <v>250.138</v>
      </c>
      <c r="R228" s="20" t="n">
        <v>367.187</v>
      </c>
      <c r="S228" s="20" t="n">
        <v>781.063</v>
      </c>
      <c r="T228" s="20" t="n">
        <v>326.663</v>
      </c>
      <c r="U228" s="20" t="n">
        <v>-227.759</v>
      </c>
      <c r="V228" s="20" t="n">
        <v>-22.786</v>
      </c>
      <c r="W228" s="20" t="n">
        <v>1346.624</v>
      </c>
      <c r="X228" s="20" t="n">
        <v>-2287.483</v>
      </c>
    </row>
    <row r="229">
      <c r="A229" s="18" t="inlineStr">
        <is>
          <t>신규 연결 현금성자산 증가</t>
        </is>
      </c>
      <c r="O229" s="20" t="n">
        <v>16.418</v>
      </c>
      <c r="P229" s="20" t="n">
        <v>3.067</v>
      </c>
      <c r="Q229" s="20" t="n">
        <v>34.066</v>
      </c>
      <c r="R229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5819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2025.2Q</t>
        </is>
      </c>
      <c r="D3" s="5" t="inlineStr">
        <is>
          <t>2025.3Q</t>
        </is>
      </c>
      <c r="E3" s="5" t="inlineStr">
        <is>
          <t>2025.4Q</t>
        </is>
      </c>
      <c r="F3" s="5" t="inlineStr">
        <is>
          <t>2026.1Q</t>
        </is>
      </c>
      <c r="G3" s="5" t="inlineStr">
        <is>
          <t>2026.2Q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13907.223</v>
      </c>
      <c r="D5" s="12" t="n">
        <v>13609.676</v>
      </c>
      <c r="E5" s="12" t="n">
        <v>14144.179</v>
      </c>
      <c r="F5" s="12" t="n">
        <v>13673.261</v>
      </c>
      <c r="G5" s="12" t="n">
        <v>13822.485</v>
      </c>
      <c r="H5" s="11" t="n">
        <v>13867.522</v>
      </c>
      <c r="I5" s="12" t="n">
        <v>14437.536</v>
      </c>
      <c r="J5" s="12" t="n">
        <v>15556.783</v>
      </c>
      <c r="K5" s="12" t="n">
        <v>16497.597</v>
      </c>
      <c r="L5" s="12" t="n">
        <v>14144.179</v>
      </c>
    </row>
    <row r="6">
      <c r="A6" s="18" t="inlineStr">
        <is>
          <t>현금및현금성자산</t>
        </is>
      </c>
      <c r="B6" s="10" t="n"/>
      <c r="C6" s="19" t="n">
        <v>9037.641</v>
      </c>
      <c r="D6" s="20" t="n">
        <v>8735.834999999999</v>
      </c>
      <c r="E6" s="20" t="n">
        <v>9266.101000000001</v>
      </c>
      <c r="F6" s="20" t="n">
        <v>8748.933999999999</v>
      </c>
      <c r="G6" s="20" t="n">
        <v>8745.136</v>
      </c>
      <c r="H6" s="19" t="n">
        <v>9782.346</v>
      </c>
      <c r="I6" s="20" t="n">
        <v>9608.272000000001</v>
      </c>
      <c r="J6" s="20" t="n">
        <v>10270.5</v>
      </c>
      <c r="K6" s="20" t="n">
        <v>11475.228</v>
      </c>
      <c r="L6" s="20" t="n">
        <v>9266.101000000001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>
        <v>0</v>
      </c>
      <c r="I7" s="20" t="n">
        <v>99.42</v>
      </c>
      <c r="J7" s="20" t="n">
        <v>0</v>
      </c>
      <c r="K7" s="20" t="n"/>
      <c r="L7" s="20" t="n"/>
    </row>
    <row r="8">
      <c r="A8" s="18" t="inlineStr">
        <is>
          <t>매출채권</t>
        </is>
      </c>
      <c r="B8" s="10" t="n"/>
      <c r="C8" s="19" t="n">
        <v>1395.202</v>
      </c>
      <c r="D8" s="20" t="n">
        <v>1309.619</v>
      </c>
      <c r="E8" s="20" t="n">
        <v>1294.497</v>
      </c>
      <c r="F8" s="20" t="n">
        <v>1263.21</v>
      </c>
      <c r="G8" s="20" t="n">
        <v>1503.737</v>
      </c>
      <c r="H8" s="19" t="n">
        <v>1110.184</v>
      </c>
      <c r="I8" s="20" t="n">
        <v>1273.881</v>
      </c>
      <c r="J8" s="20" t="n">
        <v>1540.506</v>
      </c>
      <c r="K8" s="20" t="n">
        <v>1371.55</v>
      </c>
      <c r="L8" s="20" t="n">
        <v>1294.497</v>
      </c>
    </row>
    <row r="9">
      <c r="A9" s="18" t="inlineStr">
        <is>
          <t>재고자산</t>
        </is>
      </c>
      <c r="B9" s="10" t="n"/>
      <c r="C9" s="19" t="n">
        <v>3076.365</v>
      </c>
      <c r="D9" s="20" t="n">
        <v>3172.058</v>
      </c>
      <c r="E9" s="20" t="n">
        <v>3169.173</v>
      </c>
      <c r="F9" s="20" t="n">
        <v>3291.572</v>
      </c>
      <c r="G9" s="20" t="n">
        <v>3210.457</v>
      </c>
      <c r="H9" s="19" t="n">
        <v>2595.756</v>
      </c>
      <c r="I9" s="20" t="n">
        <v>2994.847</v>
      </c>
      <c r="J9" s="20" t="n">
        <v>3226.308</v>
      </c>
      <c r="K9" s="20" t="n">
        <v>3206.806</v>
      </c>
      <c r="L9" s="20" t="n">
        <v>3169.173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5975.251</v>
      </c>
      <c r="D11" s="12" t="n">
        <v>6882.923</v>
      </c>
      <c r="E11" s="12" t="n">
        <v>6930.973</v>
      </c>
      <c r="F11" s="12" t="n">
        <v>7230.744</v>
      </c>
      <c r="G11" s="12" t="n">
        <v>7456.538</v>
      </c>
      <c r="H11" s="11" t="n">
        <v>2405.488</v>
      </c>
      <c r="I11" s="12" t="n">
        <v>3293.749</v>
      </c>
      <c r="J11" s="12" t="n">
        <v>3352.111</v>
      </c>
      <c r="K11" s="12" t="n">
        <v>3128.898</v>
      </c>
      <c r="L11" s="12" t="n">
        <v>6930.973</v>
      </c>
    </row>
    <row r="12">
      <c r="A12" s="18" t="inlineStr">
        <is>
          <t>유형자산</t>
        </is>
      </c>
      <c r="B12" s="10" t="n"/>
      <c r="C12" s="19" t="n">
        <v>2042.409</v>
      </c>
      <c r="D12" s="20" t="n">
        <v>2189.901</v>
      </c>
      <c r="E12" s="20" t="n">
        <v>2215.642</v>
      </c>
      <c r="F12" s="20" t="n">
        <v>2168.165</v>
      </c>
      <c r="G12" s="20" t="n">
        <v>2139.537</v>
      </c>
      <c r="H12" s="19" t="n">
        <v>1379.84</v>
      </c>
      <c r="I12" s="20" t="n">
        <v>2341.954</v>
      </c>
      <c r="J12" s="20" t="n">
        <v>2259.817</v>
      </c>
      <c r="K12" s="20" t="n">
        <v>2138.595</v>
      </c>
      <c r="L12" s="20" t="n">
        <v>2215.642</v>
      </c>
    </row>
    <row r="13">
      <c r="A13" s="18" t="inlineStr">
        <is>
          <t>무형자산</t>
        </is>
      </c>
      <c r="B13" s="10" t="n"/>
      <c r="C13" s="19" t="n">
        <v>24.663</v>
      </c>
      <c r="D13" s="20" t="n">
        <v>23.023</v>
      </c>
      <c r="E13" s="20" t="n">
        <v>27.251</v>
      </c>
      <c r="F13" s="20" t="n">
        <v>25.671</v>
      </c>
      <c r="G13" s="20" t="n">
        <v>23.872</v>
      </c>
      <c r="H13" s="19" t="n">
        <v>17.902</v>
      </c>
      <c r="I13" s="20" t="n">
        <v>12.731</v>
      </c>
      <c r="J13" s="20" t="n">
        <v>15.235</v>
      </c>
      <c r="K13" s="20" t="n">
        <v>15.958</v>
      </c>
      <c r="L13" s="20" t="n">
        <v>27.251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19882.474</v>
      </c>
      <c r="D16" s="12" t="n">
        <v>20492.6</v>
      </c>
      <c r="E16" s="12" t="n">
        <v>21075.153</v>
      </c>
      <c r="F16" s="12" t="n">
        <v>20904.005</v>
      </c>
      <c r="G16" s="12" t="n">
        <v>21279.023</v>
      </c>
      <c r="H16" s="11" t="n">
        <v>16273.011</v>
      </c>
      <c r="I16" s="12" t="n">
        <v>17731.286</v>
      </c>
      <c r="J16" s="12" t="n">
        <v>18908.894</v>
      </c>
      <c r="K16" s="12" t="n">
        <v>19626.496</v>
      </c>
      <c r="L16" s="12" t="n">
        <v>21075.153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1412.85</v>
      </c>
      <c r="D18" s="12" t="n">
        <v>1601.958</v>
      </c>
      <c r="E18" s="12" t="n">
        <v>1700.822</v>
      </c>
      <c r="F18" s="12" t="n">
        <v>1574.231</v>
      </c>
      <c r="G18" s="12" t="n">
        <v>1386.782</v>
      </c>
      <c r="H18" s="11" t="n">
        <v>1378.606</v>
      </c>
      <c r="I18" s="12" t="n">
        <v>1764.114</v>
      </c>
      <c r="J18" s="12" t="n">
        <v>1651.987</v>
      </c>
      <c r="K18" s="12" t="n">
        <v>1505.83</v>
      </c>
      <c r="L18" s="12" t="n">
        <v>1700.822</v>
      </c>
    </row>
    <row r="19">
      <c r="A19" s="18" t="inlineStr">
        <is>
          <t>매입채무</t>
        </is>
      </c>
      <c r="B19" s="10" t="n"/>
      <c r="C19" s="19" t="n">
        <v>562.575</v>
      </c>
      <c r="D19" s="20" t="n">
        <v>652.282</v>
      </c>
      <c r="E19" s="20" t="n">
        <v>660.463</v>
      </c>
      <c r="F19" s="20" t="n">
        <v>741.587</v>
      </c>
      <c r="G19" s="20" t="n">
        <v>588.8630000000001</v>
      </c>
      <c r="H19" s="19" t="n">
        <v>498.35</v>
      </c>
      <c r="I19" s="20" t="n">
        <v>555.0069999999999</v>
      </c>
      <c r="J19" s="20" t="n">
        <v>604.745</v>
      </c>
      <c r="K19" s="20" t="n">
        <v>548.98</v>
      </c>
      <c r="L19" s="20" t="n">
        <v>660.463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152.029</v>
      </c>
      <c r="D23" s="12" t="n">
        <v>305.023</v>
      </c>
      <c r="E23" s="12" t="n">
        <v>325.509</v>
      </c>
      <c r="F23" s="12" t="n">
        <v>246.891</v>
      </c>
      <c r="G23" s="12" t="n">
        <v>280.77</v>
      </c>
      <c r="H23" s="11" t="n">
        <v>177.803</v>
      </c>
      <c r="I23" s="12" t="n">
        <v>272.627</v>
      </c>
      <c r="J23" s="12" t="n">
        <v>235.541</v>
      </c>
      <c r="K23" s="12" t="n">
        <v>155.152</v>
      </c>
      <c r="L23" s="12" t="n">
        <v>325.509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1564.879</v>
      </c>
      <c r="D27" s="12" t="n">
        <v>1906.982</v>
      </c>
      <c r="E27" s="12" t="n">
        <v>2026.331</v>
      </c>
      <c r="F27" s="12" t="n">
        <v>1821.122</v>
      </c>
      <c r="G27" s="12" t="n">
        <v>1667.552</v>
      </c>
      <c r="H27" s="11" t="n">
        <v>1556.409</v>
      </c>
      <c r="I27" s="12" t="n">
        <v>2036.741</v>
      </c>
      <c r="J27" s="12" t="n">
        <v>1887.528</v>
      </c>
      <c r="K27" s="12" t="n">
        <v>1660.983</v>
      </c>
      <c r="L27" s="12" t="n">
        <v>2026.331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18317.595</v>
      </c>
      <c r="D31" s="12" t="n">
        <v>18585.617</v>
      </c>
      <c r="E31" s="12" t="n">
        <v>19048.821</v>
      </c>
      <c r="F31" s="12" t="n">
        <v>19082.883</v>
      </c>
      <c r="G31" s="12" t="n">
        <v>19611.471</v>
      </c>
      <c r="H31" s="11" t="n">
        <v>14716.601</v>
      </c>
      <c r="I31" s="12" t="n">
        <v>15694.544</v>
      </c>
      <c r="J31" s="12" t="n">
        <v>17021.366</v>
      </c>
      <c r="K31" s="12" t="n">
        <v>17965.513</v>
      </c>
      <c r="L31" s="12" t="n">
        <v>19048.821</v>
      </c>
    </row>
    <row r="32">
      <c r="A32" s="18" t="inlineStr">
        <is>
          <t>자본금</t>
        </is>
      </c>
      <c r="B32" s="10" t="n"/>
      <c r="C32" s="19" t="n">
        <v>1047.542</v>
      </c>
      <c r="D32" s="20" t="n">
        <v>1047.542</v>
      </c>
      <c r="E32" s="20" t="n">
        <v>1047.542</v>
      </c>
      <c r="F32" s="20" t="n">
        <v>1047.542</v>
      </c>
      <c r="G32" s="20" t="n">
        <v>1047.542</v>
      </c>
      <c r="H32" s="19" t="n">
        <v>1047.542</v>
      </c>
      <c r="I32" s="20" t="n">
        <v>1047.542</v>
      </c>
      <c r="J32" s="20" t="n">
        <v>1047.542</v>
      </c>
      <c r="K32" s="20" t="n">
        <v>1047.542</v>
      </c>
      <c r="L32" s="20" t="n">
        <v>1047.542</v>
      </c>
    </row>
    <row r="33">
      <c r="A33" s="18" t="inlineStr">
        <is>
          <t>이익잉여금</t>
        </is>
      </c>
      <c r="B33" s="10" t="n"/>
      <c r="C33" s="19" t="n">
        <v>15215.202</v>
      </c>
      <c r="D33" s="20" t="n">
        <v>15357.205</v>
      </c>
      <c r="E33" s="20" t="n">
        <v>15577.694</v>
      </c>
      <c r="F33" s="20" t="n">
        <v>15590.357</v>
      </c>
      <c r="G33" s="20" t="n">
        <v>15953.056</v>
      </c>
      <c r="H33" s="19" t="n">
        <v>12632.377</v>
      </c>
      <c r="I33" s="20" t="n">
        <v>13285.332</v>
      </c>
      <c r="J33" s="20" t="n">
        <v>14182.372</v>
      </c>
      <c r="K33" s="20" t="n">
        <v>14765.985</v>
      </c>
      <c r="L33" s="20" t="n">
        <v>15577.694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18317.595</v>
      </c>
      <c r="D35" s="12" t="n">
        <v>18585.617</v>
      </c>
      <c r="E35" s="12" t="n">
        <v>19048.821</v>
      </c>
      <c r="F35" s="12" t="n">
        <v>19082.883</v>
      </c>
      <c r="G35" s="12" t="n">
        <v>19611.471</v>
      </c>
      <c r="H35" s="11" t="n">
        <v>14716.601</v>
      </c>
      <c r="I35" s="12" t="n">
        <v>15694.544</v>
      </c>
      <c r="J35" s="12" t="n">
        <v>17021.366</v>
      </c>
      <c r="K35" s="12" t="n">
        <v>17965.513</v>
      </c>
      <c r="L35" s="12" t="n">
        <v>19048.821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1760.538</v>
      </c>
      <c r="F37" s="12" t="n"/>
      <c r="G37" s="12" t="n"/>
      <c r="H37" s="11" t="n">
        <v>515.538</v>
      </c>
      <c r="I37" s="12" t="n">
        <v>835.6319999999999</v>
      </c>
      <c r="J37" s="12" t="n">
        <v>808.79</v>
      </c>
      <c r="K37" s="12" t="n">
        <v>1455.48</v>
      </c>
      <c r="L37" s="12" t="n">
        <v>1760.538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>
        <v>94.33799999999999</v>
      </c>
      <c r="F38" s="20" t="n"/>
      <c r="G38" s="20" t="n"/>
      <c r="H38" s="19" t="n">
        <v>59.451</v>
      </c>
      <c r="I38" s="20" t="n">
        <v>929.6079999999999</v>
      </c>
      <c r="J38" s="20" t="n">
        <v>92.54300000000001</v>
      </c>
      <c r="K38" s="20" t="n">
        <v>135.722</v>
      </c>
      <c r="L38" s="20" t="n">
        <v>94.33799999999999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>
        <v>389.22</v>
      </c>
      <c r="F40" s="20" t="n"/>
      <c r="G40" s="20" t="n"/>
      <c r="H40" s="19" t="n">
        <v>188.987</v>
      </c>
      <c r="I40" s="20" t="n">
        <v>215.985</v>
      </c>
      <c r="J40" s="20" t="n">
        <v>291.41</v>
      </c>
      <c r="K40" s="20" t="n">
        <v>456.086</v>
      </c>
      <c r="L40" s="20" t="n">
        <v>389.22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IFERROR(IF((IF(COUNT('연간'!G62:J62)&lt;4,"",SUM('연간'!G62:J62)))&lt;=0,"적자",C28/(IF(COUNT('연간'!G62:J62)&lt;4,"",SUM('연간'!G62:J62)))),"")</f>
        <v/>
      </c>
      <c r="D49" s="46">
        <f>IFERROR(IF((IF(COUNT('연간'!H62:K62)&lt;4,"",SUM('연간'!H62:K62)))&lt;=0,"적자",D28/(IF(COUNT('연간'!H62:K62)&lt;4,"",SUM('연간'!H62:K62)))),"")</f>
        <v/>
      </c>
      <c r="E49" s="46">
        <f>IFERROR(IF((IF(COUNT('연간'!I62:L62)&lt;4,"",SUM('연간'!I62:L62)))&lt;=0,"적자",E28/(IF(COUNT('연간'!I62:L62)&lt;4,"",SUM('연간'!I62:L62)))),"")</f>
        <v/>
      </c>
      <c r="F49" s="46">
        <f>IFERROR(IF((IF(COUNT('연간'!J62:M62)&lt;4,"",SUM('연간'!J62:M62)))&lt;=0,"적자",F28/(IF(COUNT('연간'!J62:M62)&lt;4,"",SUM('연간'!J62:M62)))),"")</f>
        <v/>
      </c>
      <c r="G49" s="46">
        <f>IFERROR(IF((IF(COUNT('연간'!K62:N62)&lt;4,"",SUM('연간'!K62:N62)))&lt;=0,"적자",G28/(IF(COUNT('연간'!K62:N62)&lt;4,"",SUM('연간'!K62:N62)))),"")</f>
        <v/>
      </c>
      <c r="H49" s="45">
        <f>IFERROR(IF(('연간'!T62)&lt;=0,"적자",H28/('연간'!T62)),"")</f>
        <v/>
      </c>
      <c r="I49" s="46">
        <f>IFERROR(IF(('연간'!U62)&lt;=0,"적자",I28/('연간'!U62)),"")</f>
        <v/>
      </c>
      <c r="J49" s="46">
        <f>IFERROR(IF(('연간'!V62)&lt;=0,"적자",J28/('연간'!V62)),"")</f>
        <v/>
      </c>
      <c r="K49" s="46">
        <f>IFERROR(IF(('연간'!W62)&lt;=0,"적자",K28/('연간'!W62)),"")</f>
        <v/>
      </c>
      <c r="L49" s="46">
        <f>IFERROR(IF(('연간'!X62)&lt;=0,"적자",L28/('연간'!X62)),"")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IFERROR((IF(COUNT('연간'!G62:J62)&lt;4,"",SUM('연간'!G62:J62)))/C31,"")</f>
        <v/>
      </c>
      <c r="D51" s="36">
        <f>IFERROR((IF(COUNT('연간'!H62:K62)&lt;4,"",SUM('연간'!H62:K62)))/D31,"")</f>
        <v/>
      </c>
      <c r="E51" s="36">
        <f>IFERROR((IF(COUNT('연간'!I62:L62)&lt;4,"",SUM('연간'!I62:L62)))/E31,"")</f>
        <v/>
      </c>
      <c r="F51" s="36">
        <f>IFERROR((IF(COUNT('연간'!J62:M62)&lt;4,"",SUM('연간'!J62:M62)))/F31,"")</f>
        <v/>
      </c>
      <c r="G51" s="36">
        <f>IFERROR((IF(COUNT('연간'!K62:N62)&lt;4,"",SUM('연간'!K62:N62)))/G31,"")</f>
        <v/>
      </c>
      <c r="H51" s="35">
        <f>IFERROR(('연간'!T62)/H31,"")</f>
        <v/>
      </c>
      <c r="I51" s="36">
        <f>IFERROR(('연간'!U62)/I31,"")</f>
        <v/>
      </c>
      <c r="J51" s="36">
        <f>IFERROR(('연간'!V62)/J31,"")</f>
        <v/>
      </c>
      <c r="K51" s="36">
        <f>IFERROR(('연간'!W62)/K31,"")</f>
        <v/>
      </c>
      <c r="L51" s="36">
        <f>IFERROR(('연간'!X62)/L31,"")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IFERROR((IF(COUNT('연간'!G61:J61)&lt;4,"",SUM('연간'!G61:J61)))/C16,"")</f>
        <v/>
      </c>
      <c r="D52" s="36">
        <f>IFERROR((IF(COUNT('연간'!H61:K61)&lt;4,"",SUM('연간'!H61:K61)))/D16,"")</f>
        <v/>
      </c>
      <c r="E52" s="36">
        <f>IFERROR((IF(COUNT('연간'!I61:L61)&lt;4,"",SUM('연간'!I61:L61)))/E16,"")</f>
        <v/>
      </c>
      <c r="F52" s="36">
        <f>IFERROR((IF(COUNT('연간'!J61:M61)&lt;4,"",SUM('연간'!J61:M61)))/F16,"")</f>
        <v/>
      </c>
      <c r="G52" s="36">
        <f>IFERROR((IF(COUNT('연간'!K61:N61)&lt;4,"",SUM('연간'!K61:N61)))/G16,"")</f>
        <v/>
      </c>
      <c r="H52" s="35">
        <f>IFERROR(('연간'!T61)/H16,"")</f>
        <v/>
      </c>
      <c r="I52" s="36">
        <f>IFERROR(('연간'!U61)/I16,"")</f>
        <v/>
      </c>
      <c r="J52" s="36">
        <f>IFERROR(('연간'!V61)/J16,"")</f>
        <v/>
      </c>
      <c r="K52" s="36">
        <f>IFERROR(('연간'!W61)/K16,"")</f>
        <v/>
      </c>
      <c r="L52" s="36">
        <f>IFERROR(('연간'!X61)/L16,"")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IFERROR((IF(COUNT('연간'!G30:J30)&lt;4,"",SUM('연간'!G30:J30)))/(IF(COUNT('연간'!G4:J4)&lt;4,"",SUM('연간'!G4:J4))),"")</f>
        <v/>
      </c>
      <c r="D54" s="36">
        <f>IFERROR((IF(COUNT('연간'!H30:K30)&lt;4,"",SUM('연간'!H30:K30)))/(IF(COUNT('연간'!H4:K4)&lt;4,"",SUM('연간'!H4:K4))),"")</f>
        <v/>
      </c>
      <c r="E54" s="36">
        <f>IFERROR((IF(COUNT('연간'!I30:L30)&lt;4,"",SUM('연간'!I30:L30)))/(IF(COUNT('연간'!I4:L4)&lt;4,"",SUM('연간'!I4:L4))),"")</f>
        <v/>
      </c>
      <c r="F54" s="36">
        <f>IFERROR((IF(COUNT('연간'!J30:M30)&lt;4,"",SUM('연간'!J30:M30)))/(IF(COUNT('연간'!J4:M4)&lt;4,"",SUM('연간'!J4:M4))),"")</f>
        <v/>
      </c>
      <c r="G54" s="36">
        <f>IFERROR((IF(COUNT('연간'!K30:N30)&lt;4,"",SUM('연간'!K30:N30)))/(IF(COUNT('연간'!K4:N4)&lt;4,"",SUM('연간'!K4:N4))),"")</f>
        <v/>
      </c>
      <c r="H54" s="35">
        <f>IFERROR(('연간'!T30)/('연간'!T4),"")</f>
        <v/>
      </c>
      <c r="I54" s="36">
        <f>IFERROR(('연간'!U30)/('연간'!U4),"")</f>
        <v/>
      </c>
      <c r="J54" s="36">
        <f>IFERROR(('연간'!V30)/('연간'!V4),"")</f>
        <v/>
      </c>
      <c r="K54" s="36">
        <f>IFERROR(('연간'!W30)/('연간'!W4),"")</f>
        <v/>
      </c>
      <c r="L54" s="36">
        <f>IFERROR(('연간'!X30)/('연간'!X4),"")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IFERROR((IF(COUNT('연간'!G61:J61)&lt;4,"",SUM('연간'!G61:J61)))/(IF(COUNT('연간'!G4:J4)&lt;4,"",SUM('연간'!G4:J4))),"")</f>
        <v/>
      </c>
      <c r="D56" s="36">
        <f>IFERROR((IF(COUNT('연간'!H61:K61)&lt;4,"",SUM('연간'!H61:K61)))/(IF(COUNT('연간'!H4:K4)&lt;4,"",SUM('연간'!H4:K4))),"")</f>
        <v/>
      </c>
      <c r="E56" s="36">
        <f>IFERROR((IF(COUNT('연간'!I61:L61)&lt;4,"",SUM('연간'!I61:L61)))/(IF(COUNT('연간'!I4:L4)&lt;4,"",SUM('연간'!I4:L4))),"")</f>
        <v/>
      </c>
      <c r="F56" s="36">
        <f>IFERROR((IF(COUNT('연간'!J61:M61)&lt;4,"",SUM('연간'!J61:M61)))/(IF(COUNT('연간'!J4:M4)&lt;4,"",SUM('연간'!J4:M4))),"")</f>
        <v/>
      </c>
      <c r="G56" s="36">
        <f>IFERROR((IF(COUNT('연간'!K61:N61)&lt;4,"",SUM('연간'!K61:N61)))/(IF(COUNT('연간'!K4:N4)&lt;4,"",SUM('연간'!K4:N4))),"")</f>
        <v/>
      </c>
      <c r="H56" s="35">
        <f>IFERROR(('연간'!T61)/('연간'!T4),"")</f>
        <v/>
      </c>
      <c r="I56" s="36">
        <f>IFERROR(('연간'!U61)/('연간'!U4),"")</f>
        <v/>
      </c>
      <c r="J56" s="36">
        <f>IFERROR(('연간'!V61)/('연간'!V4),"")</f>
        <v/>
      </c>
      <c r="K56" s="36">
        <f>IFERROR(('연간'!W61)/('연간'!W4),"")</f>
        <v/>
      </c>
      <c r="L56" s="36">
        <f>IFERROR(('연간'!X61)/('연간'!X4),"")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IFERROR(C9/(IF(COUNT('연간'!G29:J29)&lt;4,"",SUM('연간'!G29:J29)))*365,"")</f>
        <v/>
      </c>
      <c r="D60" s="48">
        <f>IFERROR(D9/(IF(COUNT('연간'!H29:K29)&lt;4,"",SUM('연간'!H29:K29)))*365,"")</f>
        <v/>
      </c>
      <c r="E60" s="48">
        <f>IFERROR(E9/(IF(COUNT('연간'!I29:L29)&lt;4,"",SUM('연간'!I29:L29)))*365,"")</f>
        <v/>
      </c>
      <c r="F60" s="48">
        <f>IFERROR(F9/(IF(COUNT('연간'!J29:M29)&lt;4,"",SUM('연간'!J29:M29)))*365,"")</f>
        <v/>
      </c>
      <c r="G60" s="48">
        <f>IFERROR(G9/(IF(COUNT('연간'!K29:N29)&lt;4,"",SUM('연간'!K29:N29)))*365,"")</f>
        <v/>
      </c>
      <c r="H60" s="47">
        <f>IFERROR(H9/('연간'!T29)*365,"")</f>
        <v/>
      </c>
      <c r="I60" s="48">
        <f>IFERROR(I9/('연간'!U29)*365,"")</f>
        <v/>
      </c>
      <c r="J60" s="48">
        <f>IFERROR(J9/('연간'!V29)*365,"")</f>
        <v/>
      </c>
      <c r="K60" s="48">
        <f>IFERROR(K9/('연간'!W29)*365,"")</f>
        <v/>
      </c>
      <c r="L60" s="48">
        <f>IFERROR(L9/('연간'!X29)*365,"")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IFERROR(C19/(IF(COUNT('연간'!G29:J29)&lt;4,"",SUM('연간'!G29:J29)))*365,"")</f>
        <v/>
      </c>
      <c r="D61" s="48">
        <f>IFERROR(D19/(IF(COUNT('연간'!H29:K29)&lt;4,"",SUM('연간'!H29:K29)))*365,"")</f>
        <v/>
      </c>
      <c r="E61" s="48">
        <f>IFERROR(E19/(IF(COUNT('연간'!I29:L29)&lt;4,"",SUM('연간'!I29:L29)))*365,"")</f>
        <v/>
      </c>
      <c r="F61" s="48">
        <f>IFERROR(F19/(IF(COUNT('연간'!J29:M29)&lt;4,"",SUM('연간'!J29:M29)))*365,"")</f>
        <v/>
      </c>
      <c r="G61" s="48">
        <f>IFERROR(G19/(IF(COUNT('연간'!K29:N29)&lt;4,"",SUM('연간'!K29:N29)))*365,"")</f>
        <v/>
      </c>
      <c r="H61" s="47">
        <f>IFERROR(H19/('연간'!T29)*365,"")</f>
        <v/>
      </c>
      <c r="I61" s="48">
        <f>IFERROR(I19/('연간'!U29)*365,"")</f>
        <v/>
      </c>
      <c r="J61" s="48">
        <f>IFERROR(J19/('연간'!V29)*365,"")</f>
        <v/>
      </c>
      <c r="K61" s="48">
        <f>IFERROR(K19/('연간'!W29)*365,"")</f>
        <v/>
      </c>
      <c r="L61" s="48">
        <f>IFERROR(L19/('연간'!X29)*365,"")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IF(C37="","",IFERROR(C37/(IF(COUNT('연간'!G61:J61)&lt;4,"",SUM('연간'!G61:J61))),""))</f>
        <v/>
      </c>
      <c r="D64" s="31">
        <f>IF(D37="","",IFERROR(D37/(IF(COUNT('연간'!H61:K61)&lt;4,"",SUM('연간'!H61:K61))),""))</f>
        <v/>
      </c>
      <c r="E64" s="31">
        <f>IF(E37="","",IFERROR(E37/(IF(COUNT('연간'!I61:L61)&lt;4,"",SUM('연간'!I61:L61))),""))</f>
        <v/>
      </c>
      <c r="F64" s="31">
        <f>IF(F37="","",IFERROR(F37/(IF(COUNT('연간'!J61:M61)&lt;4,"",SUM('연간'!J61:M61))),""))</f>
        <v/>
      </c>
      <c r="G64" s="31">
        <f>IF(G37="","",IFERROR(G37/(IF(COUNT('연간'!K61:N61)&lt;4,"",SUM('연간'!K61:N61))),""))</f>
        <v/>
      </c>
      <c r="H64" s="30">
        <f>IF(H37="","",IFERROR(H37/('연간'!T61),""))</f>
        <v/>
      </c>
      <c r="I64" s="31">
        <f>IF(I37="","",IFERROR(I37/('연간'!U61),""))</f>
        <v/>
      </c>
      <c r="J64" s="31">
        <f>IF(J37="","",IFERROR(J37/('연간'!V61),""))</f>
        <v/>
      </c>
      <c r="K64" s="31">
        <f>IF(K37="","",IFERROR(K37/('연간'!W61),""))</f>
        <v/>
      </c>
      <c r="L64" s="31">
        <f>IF(L37="","",IFERROR(L37/('연간'!X61),""))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IF(C40="","",IFERROR(C40/(IF(COUNT('연간'!G62:J62)&lt;4,"",SUM('연간'!G62:J62))),""))</f>
        <v/>
      </c>
      <c r="D67" s="36">
        <f>IF(D40="","",IFERROR(D40/(IF(COUNT('연간'!H62:K62)&lt;4,"",SUM('연간'!H62:K62))),""))</f>
        <v/>
      </c>
      <c r="E67" s="36">
        <f>IF(E40="","",IFERROR(E40/(IF(COUNT('연간'!I62:L62)&lt;4,"",SUM('연간'!I62:L62))),""))</f>
        <v/>
      </c>
      <c r="F67" s="36">
        <f>IF(F40="","",IFERROR(F40/(IF(COUNT('연간'!J62:M62)&lt;4,"",SUM('연간'!J62:M62))),""))</f>
        <v/>
      </c>
      <c r="G67" s="36">
        <f>IF(G40="","",IFERROR(G40/(IF(COUNT('연간'!K62:N62)&lt;4,"",SUM('연간'!K62:N62))),""))</f>
        <v/>
      </c>
      <c r="H67" s="35">
        <f>IF(H40="","",IFERROR(H40/('연간'!T62),""))</f>
        <v/>
      </c>
      <c r="I67" s="36">
        <f>IF(I40="","",IFERROR(I40/('연간'!U62),""))</f>
        <v/>
      </c>
      <c r="J67" s="36">
        <f>IF(J40="","",IFERROR(J40/('연간'!V62),""))</f>
        <v/>
      </c>
      <c r="K67" s="36">
        <f>IF(K40="","",IFERROR(K40/('연간'!W62),""))</f>
        <v/>
      </c>
      <c r="L67" s="36">
        <f>IF(L40="","",IFERROR(L40/('연간'!X62),""))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2025.2Q</t>
        </is>
      </c>
      <c r="D70" s="5" t="inlineStr">
        <is>
          <t>2025.3Q</t>
        </is>
      </c>
      <c r="E70" s="5" t="inlineStr">
        <is>
          <t>2025.4Q</t>
        </is>
      </c>
      <c r="F70" s="5" t="inlineStr">
        <is>
          <t>2026.1Q</t>
        </is>
      </c>
      <c r="G70" s="5" t="inlineStr">
        <is>
          <t>2026.2Q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9037.641</v>
      </c>
      <c r="D71" s="20" t="n">
        <v>8735.834999999999</v>
      </c>
      <c r="E71" s="20" t="n">
        <v>9266.101000000001</v>
      </c>
      <c r="F71" s="20" t="n">
        <v>8748.933999999999</v>
      </c>
      <c r="G71" s="20" t="n">
        <v>8745.136</v>
      </c>
      <c r="H71" s="20" t="n">
        <v>9782.346</v>
      </c>
      <c r="I71" s="20" t="n">
        <v>9608.272000000001</v>
      </c>
      <c r="J71" s="20" t="n">
        <v>10270.5</v>
      </c>
      <c r="K71" s="20" t="n">
        <v>11475.228</v>
      </c>
      <c r="L71" s="20" t="n">
        <v>9266.101000000001</v>
      </c>
    </row>
    <row r="72">
      <c r="A72" s="18" t="inlineStr">
        <is>
          <t>받을어음·매출채권</t>
        </is>
      </c>
      <c r="C72" s="20" t="n">
        <v>1395.202</v>
      </c>
      <c r="D72" s="20" t="n">
        <v>1309.619</v>
      </c>
      <c r="E72" s="20" t="n">
        <v>1294.497</v>
      </c>
      <c r="F72" s="20" t="n">
        <v>1263.21</v>
      </c>
      <c r="G72" s="20" t="n">
        <v>1503.737</v>
      </c>
      <c r="H72" s="20" t="n">
        <v>1110.184</v>
      </c>
      <c r="I72" s="20" t="n">
        <v>1273.881</v>
      </c>
      <c r="J72" s="20" t="n">
        <v>1540.506</v>
      </c>
      <c r="K72" s="20" t="n">
        <v>1371.55</v>
      </c>
      <c r="L72" s="20" t="n">
        <v>1294.497</v>
      </c>
    </row>
    <row r="73">
      <c r="A73" s="18" t="inlineStr">
        <is>
          <t>유가증권</t>
        </is>
      </c>
      <c r="H73" s="20" t="n">
        <v>0</v>
      </c>
      <c r="I73" s="20" t="n">
        <v>99.42</v>
      </c>
      <c r="J73" s="20" t="n">
        <v>0</v>
      </c>
    </row>
    <row r="74">
      <c r="A74" s="18" t="inlineStr">
        <is>
          <t>상품·제품</t>
        </is>
      </c>
      <c r="C74" s="20" t="n">
        <v>2843.614</v>
      </c>
      <c r="D74" s="20" t="n">
        <v>2922.703</v>
      </c>
      <c r="E74" s="20" t="n">
        <v>2881.465</v>
      </c>
      <c r="F74" s="20" t="n">
        <v>3021.501</v>
      </c>
      <c r="G74" s="20" t="n">
        <v>2957.24</v>
      </c>
      <c r="H74" s="20" t="n">
        <v>2034.263</v>
      </c>
      <c r="I74" s="20" t="n">
        <v>2457.809</v>
      </c>
      <c r="J74" s="20" t="n">
        <v>2974.91</v>
      </c>
      <c r="K74" s="20" t="n">
        <v>2956.84</v>
      </c>
      <c r="L74" s="20" t="n">
        <v>2881.465</v>
      </c>
    </row>
    <row r="75">
      <c r="A75" s="18" t="inlineStr">
        <is>
          <t>재공품</t>
        </is>
      </c>
      <c r="C75" s="20" t="n">
        <v>55.697</v>
      </c>
      <c r="D75" s="20" t="n">
        <v>67.878</v>
      </c>
      <c r="E75" s="20" t="n">
        <v>70.47499999999999</v>
      </c>
      <c r="F75" s="20" t="n">
        <v>69.04000000000001</v>
      </c>
      <c r="G75" s="20" t="n">
        <v>33.49</v>
      </c>
      <c r="H75" s="20" t="n">
        <v>313.399</v>
      </c>
      <c r="I75" s="20" t="n">
        <v>286.386</v>
      </c>
      <c r="J75" s="20" t="n">
        <v>51.853</v>
      </c>
      <c r="K75" s="20" t="n">
        <v>49.402</v>
      </c>
      <c r="L75" s="20" t="n">
        <v>70.47499999999999</v>
      </c>
    </row>
    <row r="76">
      <c r="A76" s="18" t="inlineStr">
        <is>
          <t>원재료·저장품</t>
        </is>
      </c>
      <c r="C76" s="20" t="n">
        <v>177.054</v>
      </c>
      <c r="D76" s="20" t="n">
        <v>181.477</v>
      </c>
      <c r="E76" s="20" t="n">
        <v>217.233</v>
      </c>
      <c r="F76" s="20" t="n">
        <v>201.031</v>
      </c>
      <c r="G76" s="20" t="n">
        <v>219.727</v>
      </c>
      <c r="H76" s="20" t="n">
        <v>248.094</v>
      </c>
      <c r="I76" s="20" t="n">
        <v>250.652</v>
      </c>
      <c r="J76" s="20" t="n">
        <v>199.545</v>
      </c>
      <c r="K76" s="20" t="n">
        <v>200.564</v>
      </c>
      <c r="L76" s="20" t="n">
        <v>217.233</v>
      </c>
    </row>
    <row r="77">
      <c r="A77" s="18" t="inlineStr">
        <is>
          <t>기타</t>
        </is>
      </c>
      <c r="C77" s="20" t="n">
        <v>405.675</v>
      </c>
      <c r="D77" s="20" t="n">
        <v>401.802</v>
      </c>
      <c r="E77" s="20" t="n">
        <v>422.815</v>
      </c>
      <c r="F77" s="20" t="n">
        <v>379.5</v>
      </c>
      <c r="G77" s="20" t="n">
        <v>374.946</v>
      </c>
      <c r="H77" s="20" t="n">
        <v>387.766</v>
      </c>
      <c r="I77" s="20" t="n">
        <v>467.83</v>
      </c>
      <c r="J77" s="20" t="n">
        <v>521.117</v>
      </c>
      <c r="K77" s="20" t="n">
        <v>446.806</v>
      </c>
      <c r="L77" s="20" t="n">
        <v>422.815</v>
      </c>
    </row>
    <row r="78">
      <c r="A78" s="18" t="inlineStr">
        <is>
          <t>대손충당금</t>
        </is>
      </c>
      <c r="C78" s="20" t="n">
        <v>-7.663</v>
      </c>
      <c r="D78" s="20" t="n">
        <v>-9.640000000000001</v>
      </c>
      <c r="E78" s="20" t="n">
        <v>-8.409000000000001</v>
      </c>
      <c r="F78" s="20" t="n">
        <v>-9.958</v>
      </c>
      <c r="G78" s="20" t="n">
        <v>-11.792</v>
      </c>
      <c r="H78" s="20" t="n">
        <v>-8.532</v>
      </c>
      <c r="I78" s="20" t="n">
        <v>-6.715</v>
      </c>
      <c r="J78" s="20" t="n">
        <v>-1.649</v>
      </c>
      <c r="K78" s="20" t="n">
        <v>-2.794</v>
      </c>
      <c r="L78" s="20" t="n">
        <v>-8.409000000000001</v>
      </c>
    </row>
    <row r="79">
      <c r="A79" s="9" t="inlineStr">
        <is>
          <t>유동자산 합계</t>
        </is>
      </c>
      <c r="C79" s="12" t="n">
        <v>13907.223</v>
      </c>
      <c r="D79" s="12" t="n">
        <v>13609.676</v>
      </c>
      <c r="E79" s="12" t="n">
        <v>14144.179</v>
      </c>
      <c r="F79" s="12" t="n">
        <v>13673.261</v>
      </c>
      <c r="G79" s="12" t="n">
        <v>13822.485</v>
      </c>
      <c r="H79" s="12" t="n">
        <v>13867.522</v>
      </c>
      <c r="I79" s="12" t="n">
        <v>14437.536</v>
      </c>
      <c r="J79" s="12" t="n">
        <v>15556.783</v>
      </c>
      <c r="K79" s="12" t="n">
        <v>16497.597</v>
      </c>
      <c r="L79" s="12" t="n">
        <v>14144.179</v>
      </c>
    </row>
    <row r="80">
      <c r="A80" s="18" t="inlineStr">
        <is>
          <t>건물·구축물</t>
        </is>
      </c>
      <c r="E80" s="20" t="n">
        <v>2331.263</v>
      </c>
      <c r="H80" s="20" t="n">
        <v>1466.942</v>
      </c>
      <c r="I80" s="20" t="n">
        <v>2277.59</v>
      </c>
      <c r="J80" s="20" t="n">
        <v>2328.766</v>
      </c>
      <c r="K80" s="20" t="n">
        <v>2316.194</v>
      </c>
      <c r="L80" s="20" t="n">
        <v>2331.263</v>
      </c>
    </row>
    <row r="81">
      <c r="A81" s="18" t="inlineStr">
        <is>
          <t>감가상각누계액</t>
        </is>
      </c>
      <c r="E81" s="20" t="n">
        <v>-1324.557</v>
      </c>
      <c r="H81" s="20" t="n">
        <v>-1094.988</v>
      </c>
      <c r="I81" s="20" t="n">
        <v>-1138.004</v>
      </c>
      <c r="J81" s="20" t="n">
        <v>-1218.936</v>
      </c>
      <c r="K81" s="20" t="n">
        <v>-1254.058</v>
      </c>
      <c r="L81" s="20" t="n">
        <v>-1324.557</v>
      </c>
    </row>
    <row r="82">
      <c r="A82" s="18" t="inlineStr">
        <is>
          <t>건물·구축물(순액)</t>
        </is>
      </c>
      <c r="E82" s="20" t="n">
        <v>1006.705</v>
      </c>
      <c r="H82" s="20" t="n">
        <v>371.953</v>
      </c>
      <c r="I82" s="20" t="n">
        <v>1139.585</v>
      </c>
      <c r="J82" s="20" t="n">
        <v>1109.829</v>
      </c>
      <c r="K82" s="20" t="n">
        <v>1062.135</v>
      </c>
      <c r="L82" s="20" t="n">
        <v>1006.705</v>
      </c>
    </row>
    <row r="83">
      <c r="A83" s="18" t="inlineStr">
        <is>
          <t>기계장치·운반구</t>
        </is>
      </c>
      <c r="E83" s="20" t="n">
        <v>440.822</v>
      </c>
      <c r="H83" s="20" t="n">
        <v>448.268</v>
      </c>
      <c r="I83" s="20" t="n">
        <v>460.297</v>
      </c>
      <c r="J83" s="20" t="n">
        <v>481.66</v>
      </c>
      <c r="K83" s="20" t="n">
        <v>485.032</v>
      </c>
      <c r="L83" s="20" t="n">
        <v>440.822</v>
      </c>
    </row>
    <row r="84">
      <c r="A84" s="18" t="inlineStr">
        <is>
          <t>감가상각누계액</t>
        </is>
      </c>
      <c r="E84" s="20" t="n">
        <v>-426.269</v>
      </c>
      <c r="H84" s="20" t="n">
        <v>-381.274</v>
      </c>
      <c r="I84" s="20" t="n">
        <v>-394.941</v>
      </c>
      <c r="J84" s="20" t="n">
        <v>-418.633</v>
      </c>
      <c r="K84" s="20" t="n">
        <v>-428.965</v>
      </c>
      <c r="L84" s="20" t="n">
        <v>-426.269</v>
      </c>
    </row>
    <row r="85">
      <c r="A85" s="18" t="inlineStr">
        <is>
          <t>기계장치·운반구(순액)</t>
        </is>
      </c>
      <c r="E85" s="20" t="n">
        <v>14.553</v>
      </c>
      <c r="H85" s="20" t="n">
        <v>66.99299999999999</v>
      </c>
      <c r="I85" s="20" t="n">
        <v>65.35599999999999</v>
      </c>
      <c r="J85" s="20" t="n">
        <v>63.026</v>
      </c>
      <c r="K85" s="20" t="n">
        <v>56.066</v>
      </c>
      <c r="L85" s="20" t="n">
        <v>14.553</v>
      </c>
    </row>
    <row r="86">
      <c r="A86" s="18" t="inlineStr">
        <is>
          <t>공구·기구·비품</t>
        </is>
      </c>
      <c r="E86" s="20" t="n">
        <v>1059.485</v>
      </c>
      <c r="H86" s="20" t="n">
        <v>948.898</v>
      </c>
      <c r="I86" s="20" t="n">
        <v>1003.945</v>
      </c>
      <c r="J86" s="20" t="n">
        <v>1017.296</v>
      </c>
      <c r="K86" s="20" t="n">
        <v>1015.949</v>
      </c>
      <c r="L86" s="20" t="n">
        <v>1059.485</v>
      </c>
    </row>
    <row r="87">
      <c r="A87" s="18" t="inlineStr">
        <is>
          <t>감가상각누계액</t>
        </is>
      </c>
      <c r="E87" s="20" t="n">
        <v>-942.995</v>
      </c>
      <c r="H87" s="20" t="n">
        <v>-858.205</v>
      </c>
      <c r="I87" s="20" t="n">
        <v>-888.658</v>
      </c>
      <c r="J87" s="20" t="n">
        <v>-892.426</v>
      </c>
      <c r="K87" s="20" t="n">
        <v>-891.033</v>
      </c>
      <c r="L87" s="20" t="n">
        <v>-942.995</v>
      </c>
    </row>
    <row r="88">
      <c r="A88" s="18" t="inlineStr">
        <is>
          <t>공구·기구·비품(순액)</t>
        </is>
      </c>
      <c r="E88" s="20" t="n">
        <v>116.49</v>
      </c>
      <c r="H88" s="20" t="n">
        <v>90.693</v>
      </c>
      <c r="I88" s="20" t="n">
        <v>115.287</v>
      </c>
      <c r="J88" s="20" t="n">
        <v>124.869</v>
      </c>
      <c r="K88" s="20" t="n">
        <v>124.915</v>
      </c>
      <c r="L88" s="20" t="n">
        <v>116.49</v>
      </c>
    </row>
    <row r="89">
      <c r="A89" s="18" t="inlineStr">
        <is>
          <t>토지</t>
        </is>
      </c>
      <c r="C89" s="20" t="n">
        <v>803.369</v>
      </c>
      <c r="D89" s="20" t="n">
        <v>802.996</v>
      </c>
      <c r="E89" s="20" t="n">
        <v>805.8819999999999</v>
      </c>
      <c r="F89" s="20" t="n">
        <v>801.6</v>
      </c>
      <c r="G89" s="20" t="n">
        <v>801.6</v>
      </c>
      <c r="H89" s="20" t="n">
        <v>781.1180000000001</v>
      </c>
      <c r="I89" s="20" t="n">
        <v>802.252</v>
      </c>
      <c r="J89" s="20" t="n">
        <v>806.9059999999999</v>
      </c>
      <c r="K89" s="20" t="n">
        <v>804.207</v>
      </c>
      <c r="L89" s="20" t="n">
        <v>805.8819999999999</v>
      </c>
    </row>
    <row r="90">
      <c r="A90" s="18" t="inlineStr">
        <is>
          <t>리스자산</t>
        </is>
      </c>
      <c r="E90" s="20" t="n">
        <v>429.088</v>
      </c>
      <c r="H90" s="20" t="n">
        <v>130.789</v>
      </c>
      <c r="I90" s="20" t="n">
        <v>272.55</v>
      </c>
      <c r="J90" s="20" t="n">
        <v>259.782</v>
      </c>
      <c r="K90" s="20" t="n">
        <v>320.107</v>
      </c>
      <c r="L90" s="20" t="n">
        <v>429.088</v>
      </c>
    </row>
    <row r="91">
      <c r="A91" s="18" t="inlineStr">
        <is>
          <t>감가상각누계액</t>
        </is>
      </c>
      <c r="E91" s="20" t="n">
        <v>-157.079</v>
      </c>
      <c r="H91" s="20" t="n">
        <v>-61.708</v>
      </c>
      <c r="I91" s="20" t="n">
        <v>-53.077</v>
      </c>
      <c r="J91" s="20" t="n">
        <v>-104.597</v>
      </c>
      <c r="K91" s="20" t="n">
        <v>-229.646</v>
      </c>
      <c r="L91" s="20" t="n">
        <v>-157.079</v>
      </c>
    </row>
    <row r="92">
      <c r="A92" s="18" t="inlineStr">
        <is>
          <t>리스자산(순액)</t>
        </is>
      </c>
      <c r="E92" s="20" t="n">
        <v>272.009</v>
      </c>
      <c r="H92" s="20" t="n">
        <v>69.081</v>
      </c>
      <c r="I92" s="20" t="n">
        <v>219.472</v>
      </c>
      <c r="J92" s="20" t="n">
        <v>155.184</v>
      </c>
      <c r="K92" s="20" t="n">
        <v>90.45999999999999</v>
      </c>
      <c r="L92" s="20" t="n">
        <v>272.009</v>
      </c>
    </row>
    <row r="93">
      <c r="A93" s="18" t="inlineStr">
        <is>
          <t>기타</t>
        </is>
      </c>
      <c r="C93" s="20" t="n">
        <v>4008.42</v>
      </c>
      <c r="D93" s="20" t="n">
        <v>4190.694</v>
      </c>
      <c r="E93" s="20" t="n">
        <v>4260.66</v>
      </c>
      <c r="F93" s="20" t="n">
        <v>4274.364</v>
      </c>
      <c r="G93" s="20" t="n">
        <v>4311.728</v>
      </c>
      <c r="H93" s="20" t="n">
        <v>2994.899</v>
      </c>
      <c r="I93" s="20" t="n">
        <v>4014.384</v>
      </c>
      <c r="J93" s="20" t="n">
        <v>0</v>
      </c>
      <c r="K93" s="20" t="n">
        <v>0.8100000000000001</v>
      </c>
      <c r="L93" s="20" t="n">
        <v>4260.66</v>
      </c>
    </row>
    <row r="94">
      <c r="A94" s="18" t="inlineStr">
        <is>
          <t>감가상각누계액</t>
        </is>
      </c>
      <c r="H94" s="20" t="n">
        <v>-61.708</v>
      </c>
    </row>
    <row r="95">
      <c r="A95" s="18" t="inlineStr">
        <is>
          <t>기타(순액)</t>
        </is>
      </c>
      <c r="H95" s="20" t="n">
        <v>69.081</v>
      </c>
    </row>
    <row r="96">
      <c r="A96" s="18" t="inlineStr">
        <is>
          <t>감가상각누계액</t>
        </is>
      </c>
      <c r="C96" s="20" t="n">
        <v>-2769.38</v>
      </c>
      <c r="D96" s="20" t="n">
        <v>-2803.79</v>
      </c>
      <c r="E96" s="20" t="n">
        <v>-2850.9</v>
      </c>
      <c r="F96" s="20" t="n">
        <v>-2907.799</v>
      </c>
      <c r="G96" s="20" t="n">
        <v>-2973.791</v>
      </c>
      <c r="H96" s="20" t="n">
        <v>-2396.177</v>
      </c>
      <c r="I96" s="20" t="n">
        <v>-2474.682</v>
      </c>
      <c r="J96" s="20" t="n">
        <v>-2634.594</v>
      </c>
      <c r="K96" s="20" t="n">
        <v>-2803.705</v>
      </c>
      <c r="L96" s="20" t="n">
        <v>-2850.9</v>
      </c>
    </row>
    <row r="97">
      <c r="A97" s="18" t="inlineStr">
        <is>
          <t>유형자산 합계</t>
        </is>
      </c>
      <c r="C97" s="20" t="n">
        <v>2042.409</v>
      </c>
      <c r="D97" s="20" t="n">
        <v>2189.901</v>
      </c>
      <c r="E97" s="20" t="n">
        <v>2215.642</v>
      </c>
      <c r="F97" s="20" t="n">
        <v>2168.165</v>
      </c>
      <c r="G97" s="20" t="n">
        <v>2139.537</v>
      </c>
      <c r="H97" s="20" t="n">
        <v>1379.84</v>
      </c>
      <c r="I97" s="20" t="n">
        <v>2341.954</v>
      </c>
      <c r="J97" s="20" t="n">
        <v>2259.817</v>
      </c>
      <c r="K97" s="20" t="n">
        <v>2138.595</v>
      </c>
      <c r="L97" s="20" t="n">
        <v>2215.642</v>
      </c>
    </row>
    <row r="98">
      <c r="A98" s="18" t="inlineStr">
        <is>
          <t>무형자산</t>
        </is>
      </c>
      <c r="C98" s="20" t="n">
        <v>24.663</v>
      </c>
      <c r="D98" s="20" t="n">
        <v>23.023</v>
      </c>
      <c r="E98" s="20" t="n">
        <v>27.251</v>
      </c>
      <c r="F98" s="20" t="n">
        <v>25.671</v>
      </c>
      <c r="G98" s="20" t="n">
        <v>23.872</v>
      </c>
      <c r="H98" s="20" t="n">
        <v>17.902</v>
      </c>
      <c r="I98" s="20" t="n">
        <v>12.731</v>
      </c>
      <c r="J98" s="20" t="n">
        <v>15.235</v>
      </c>
      <c r="K98" s="20" t="n">
        <v>15.958</v>
      </c>
      <c r="L98" s="20" t="n">
        <v>27.251</v>
      </c>
    </row>
    <row r="99">
      <c r="A99" s="18" t="inlineStr">
        <is>
          <t>투자유가증권</t>
        </is>
      </c>
      <c r="C99" s="20" t="n">
        <v>2137.229</v>
      </c>
      <c r="D99" s="20" t="n">
        <v>2403.528</v>
      </c>
      <c r="E99" s="20" t="n">
        <v>2425.898</v>
      </c>
      <c r="F99" s="20" t="n">
        <v>2820.669</v>
      </c>
      <c r="G99" s="20" t="n">
        <v>2991.978</v>
      </c>
      <c r="H99" s="20" t="n">
        <v>814.533</v>
      </c>
      <c r="I99" s="20" t="n">
        <v>726.641</v>
      </c>
      <c r="J99" s="20" t="n">
        <v>801.9059999999999</v>
      </c>
      <c r="K99" s="20" t="n">
        <v>735.499</v>
      </c>
      <c r="L99" s="20" t="n">
        <v>2425.898</v>
      </c>
    </row>
    <row r="100">
      <c r="A100" s="18" t="inlineStr">
        <is>
          <t>장기예금</t>
        </is>
      </c>
      <c r="E100" s="20" t="n">
        <v>2000</v>
      </c>
      <c r="K100" s="20" t="n">
        <v>0</v>
      </c>
      <c r="L100" s="20" t="n">
        <v>2000</v>
      </c>
    </row>
    <row r="101">
      <c r="A101" s="18" t="inlineStr">
        <is>
          <t>이연법인세자산</t>
        </is>
      </c>
      <c r="E101" s="20" t="n">
        <v>55.641</v>
      </c>
      <c r="H101" s="20" t="n">
        <v>22.001</v>
      </c>
      <c r="I101" s="20" t="n">
        <v>39.288</v>
      </c>
      <c r="J101" s="20" t="n">
        <v>56.615</v>
      </c>
      <c r="K101" s="20" t="n">
        <v>45.56</v>
      </c>
      <c r="L101" s="20" t="n">
        <v>55.641</v>
      </c>
    </row>
    <row r="102">
      <c r="A102" s="18" t="inlineStr">
        <is>
          <t>기타</t>
        </is>
      </c>
      <c r="C102" s="20" t="n">
        <v>1770.948</v>
      </c>
      <c r="D102" s="20" t="n">
        <v>2266.47</v>
      </c>
      <c r="E102" s="20" t="n">
        <v>2262.181</v>
      </c>
      <c r="F102" s="20" t="n">
        <v>2216.237</v>
      </c>
      <c r="G102" s="20" t="n">
        <v>2301.149</v>
      </c>
      <c r="H102" s="20" t="n">
        <v>188.323</v>
      </c>
      <c r="I102" s="20" t="n">
        <v>173.549</v>
      </c>
      <c r="J102" s="20" t="n">
        <v>218.779</v>
      </c>
      <c r="K102" s="20" t="n">
        <v>193.512</v>
      </c>
      <c r="L102" s="20" t="n">
        <v>2262.181</v>
      </c>
    </row>
    <row r="103">
      <c r="A103" s="18" t="inlineStr">
        <is>
          <t>대손충당금</t>
        </is>
      </c>
      <c r="I103" s="20" t="n">
        <v>-0.416</v>
      </c>
    </row>
    <row r="104">
      <c r="A104" s="18" t="inlineStr">
        <is>
          <t>대손충당금</t>
        </is>
      </c>
      <c r="C104" s="20" t="n">
        <v>-0</v>
      </c>
      <c r="D104" s="20" t="n">
        <v>-0</v>
      </c>
      <c r="E104" s="20" t="n">
        <v>0</v>
      </c>
      <c r="H104" s="20" t="n">
        <v>-17.112</v>
      </c>
      <c r="I104" s="20" t="n">
        <v>-0.416</v>
      </c>
      <c r="J104" s="20" t="n">
        <v>-0.242</v>
      </c>
      <c r="K104" s="20" t="n">
        <v>-0.227</v>
      </c>
      <c r="L104" s="20" t="n">
        <v>0</v>
      </c>
    </row>
    <row r="105">
      <c r="A105" s="18" t="inlineStr">
        <is>
          <t>투자 및 기타자산 합계</t>
        </is>
      </c>
      <c r="C105" s="20" t="n">
        <v>3908.178</v>
      </c>
      <c r="D105" s="20" t="n">
        <v>4669.999</v>
      </c>
      <c r="E105" s="20" t="n">
        <v>4688.079</v>
      </c>
      <c r="F105" s="20" t="n">
        <v>5036.906</v>
      </c>
      <c r="G105" s="20" t="n">
        <v>5293.127</v>
      </c>
      <c r="H105" s="20" t="n">
        <v>1007.745</v>
      </c>
      <c r="I105" s="20" t="n">
        <v>939.063</v>
      </c>
      <c r="J105" s="20" t="n">
        <v>1077.058</v>
      </c>
      <c r="K105" s="20" t="n">
        <v>974.3440000000001</v>
      </c>
      <c r="L105" s="20" t="n">
        <v>4688.079</v>
      </c>
    </row>
    <row r="106">
      <c r="A106" s="9" t="inlineStr">
        <is>
          <t>비유동자산 합계</t>
        </is>
      </c>
      <c r="C106" s="12" t="n">
        <v>5975.251</v>
      </c>
      <c r="D106" s="12" t="n">
        <v>6882.923</v>
      </c>
      <c r="E106" s="12" t="n">
        <v>6930.973</v>
      </c>
      <c r="F106" s="12" t="n">
        <v>7230.744</v>
      </c>
      <c r="G106" s="12" t="n">
        <v>7456.538</v>
      </c>
      <c r="H106" s="12" t="n">
        <v>2405.488</v>
      </c>
      <c r="I106" s="12" t="n">
        <v>3293.749</v>
      </c>
      <c r="J106" s="12" t="n">
        <v>3352.111</v>
      </c>
      <c r="K106" s="12" t="n">
        <v>3128.898</v>
      </c>
      <c r="L106" s="12" t="n">
        <v>6930.973</v>
      </c>
    </row>
    <row r="107">
      <c r="A107" s="9" t="inlineStr">
        <is>
          <t>자산 합계</t>
        </is>
      </c>
      <c r="C107" s="12" t="n">
        <v>19882.474</v>
      </c>
      <c r="D107" s="12" t="n">
        <v>20492.6</v>
      </c>
      <c r="E107" s="12" t="n">
        <v>21075.153</v>
      </c>
      <c r="F107" s="12" t="n">
        <v>20904.005</v>
      </c>
      <c r="G107" s="12" t="n">
        <v>21279.023</v>
      </c>
      <c r="H107" s="12" t="n">
        <v>16273.011</v>
      </c>
      <c r="I107" s="12" t="n">
        <v>17731.286</v>
      </c>
      <c r="J107" s="12" t="n">
        <v>18908.894</v>
      </c>
      <c r="K107" s="12" t="n">
        <v>19626.496</v>
      </c>
      <c r="L107" s="12" t="n">
        <v>21075.153</v>
      </c>
    </row>
    <row r="108">
      <c r="A108" s="18" t="inlineStr">
        <is>
          <t>매입채무</t>
        </is>
      </c>
      <c r="C108" s="20" t="n">
        <v>562.575</v>
      </c>
      <c r="D108" s="20" t="n">
        <v>652.282</v>
      </c>
      <c r="E108" s="20" t="n">
        <v>660.463</v>
      </c>
      <c r="F108" s="20" t="n">
        <v>741.587</v>
      </c>
      <c r="G108" s="20" t="n">
        <v>588.8630000000001</v>
      </c>
      <c r="H108" s="20" t="n">
        <v>498.35</v>
      </c>
      <c r="I108" s="20" t="n">
        <v>555.0069999999999</v>
      </c>
      <c r="J108" s="20" t="n">
        <v>604.745</v>
      </c>
      <c r="K108" s="20" t="n">
        <v>548.98</v>
      </c>
      <c r="L108" s="20" t="n">
        <v>660.463</v>
      </c>
    </row>
    <row r="109">
      <c r="A109" s="18" t="inlineStr">
        <is>
          <t>미지급금</t>
        </is>
      </c>
      <c r="E109" s="20" t="n">
        <v>237.359</v>
      </c>
      <c r="H109" s="20" t="n">
        <v>129.637</v>
      </c>
      <c r="I109" s="20" t="n">
        <v>161.068</v>
      </c>
      <c r="J109" s="20" t="n">
        <v>280.339</v>
      </c>
      <c r="K109" s="20" t="n">
        <v>245.578</v>
      </c>
      <c r="L109" s="20" t="n">
        <v>237.359</v>
      </c>
    </row>
    <row r="110">
      <c r="A110" s="18" t="inlineStr">
        <is>
          <t>미지급법인세</t>
        </is>
      </c>
      <c r="C110" s="20" t="n">
        <v>286.387</v>
      </c>
      <c r="D110" s="20" t="n">
        <v>261.097</v>
      </c>
      <c r="E110" s="20" t="n">
        <v>300.155</v>
      </c>
      <c r="F110" s="20" t="n">
        <v>122.746</v>
      </c>
      <c r="G110" s="20" t="n">
        <v>223.373</v>
      </c>
      <c r="H110" s="20" t="n">
        <v>154.92</v>
      </c>
      <c r="I110" s="20" t="n">
        <v>240.425</v>
      </c>
      <c r="J110" s="20" t="n">
        <v>250.07</v>
      </c>
      <c r="K110" s="20" t="n">
        <v>269.189</v>
      </c>
      <c r="L110" s="20" t="n">
        <v>300.155</v>
      </c>
    </row>
    <row r="111">
      <c r="A111" s="18" t="inlineStr">
        <is>
          <t>상여충당금</t>
        </is>
      </c>
      <c r="C111" s="20" t="n">
        <v>95.033</v>
      </c>
      <c r="D111" s="20" t="n">
        <v>193.776</v>
      </c>
      <c r="E111" s="20" t="n">
        <v>86.84399999999999</v>
      </c>
      <c r="F111" s="20" t="n">
        <v>187.776</v>
      </c>
      <c r="G111" s="20" t="n">
        <v>94.913</v>
      </c>
      <c r="H111" s="20" t="n">
        <v>83.544</v>
      </c>
      <c r="I111" s="20" t="n">
        <v>75.006</v>
      </c>
      <c r="J111" s="20" t="n">
        <v>74.759</v>
      </c>
      <c r="K111" s="20" t="n">
        <v>90.021</v>
      </c>
      <c r="L111" s="20" t="n">
        <v>86.84399999999999</v>
      </c>
    </row>
    <row r="112">
      <c r="A112" s="18" t="inlineStr">
        <is>
          <t>임원 상여충당금</t>
        </is>
      </c>
      <c r="C112" s="20" t="n">
        <v>17.366</v>
      </c>
      <c r="D112" s="20" t="n">
        <v>30.426</v>
      </c>
      <c r="E112" s="20" t="n">
        <v>38.666</v>
      </c>
      <c r="F112" s="20" t="n">
        <v>6.67</v>
      </c>
      <c r="G112" s="20" t="n">
        <v>8.898999999999999</v>
      </c>
      <c r="H112" s="20" t="n">
        <v>12.15</v>
      </c>
      <c r="I112" s="20" t="n">
        <v>20.735</v>
      </c>
      <c r="J112" s="20" t="n">
        <v>24.075</v>
      </c>
      <c r="K112" s="20" t="n">
        <v>27.255</v>
      </c>
      <c r="L112" s="20" t="n">
        <v>38.666</v>
      </c>
    </row>
    <row r="113">
      <c r="A113" s="18" t="inlineStr">
        <is>
          <t>기타</t>
        </is>
      </c>
      <c r="C113" s="20" t="n">
        <v>451.487</v>
      </c>
      <c r="D113" s="20" t="n">
        <v>464.376</v>
      </c>
      <c r="E113" s="20" t="n">
        <v>614.693</v>
      </c>
      <c r="F113" s="20" t="n">
        <v>515.449</v>
      </c>
      <c r="G113" s="20" t="n">
        <v>470.731</v>
      </c>
      <c r="H113" s="20" t="n">
        <v>500.003</v>
      </c>
      <c r="I113" s="20" t="n">
        <v>711.872</v>
      </c>
      <c r="J113" s="20" t="n">
        <v>417.996</v>
      </c>
      <c r="K113" s="20" t="n">
        <v>324.805</v>
      </c>
      <c r="L113" s="20" t="n">
        <v>614.693</v>
      </c>
    </row>
    <row r="114">
      <c r="A114" s="9" t="inlineStr">
        <is>
          <t>유동부채 합계</t>
        </is>
      </c>
      <c r="C114" s="12" t="n">
        <v>1412.85</v>
      </c>
      <c r="D114" s="12" t="n">
        <v>1601.958</v>
      </c>
      <c r="E114" s="12" t="n">
        <v>1700.822</v>
      </c>
      <c r="F114" s="12" t="n">
        <v>1574.231</v>
      </c>
      <c r="G114" s="12" t="n">
        <v>1386.782</v>
      </c>
      <c r="H114" s="12" t="n">
        <v>1378.606</v>
      </c>
      <c r="I114" s="12" t="n">
        <v>1764.114</v>
      </c>
      <c r="J114" s="12" t="n">
        <v>1651.987</v>
      </c>
      <c r="K114" s="12" t="n">
        <v>1505.83</v>
      </c>
      <c r="L114" s="12" t="n">
        <v>1700.822</v>
      </c>
    </row>
    <row r="115">
      <c r="A115" s="18" t="inlineStr">
        <is>
          <t>이연법인세부채</t>
        </is>
      </c>
      <c r="E115" s="20" t="n">
        <v>34.563</v>
      </c>
      <c r="H115" s="20" t="n">
        <v>61.065</v>
      </c>
      <c r="I115" s="20" t="n">
        <v>46.459</v>
      </c>
      <c r="J115" s="20" t="n">
        <v>81.925</v>
      </c>
      <c r="K115" s="20" t="n">
        <v>51.7</v>
      </c>
      <c r="L115" s="20" t="n">
        <v>34.563</v>
      </c>
    </row>
    <row r="116">
      <c r="A116" s="18" t="inlineStr">
        <is>
          <t>제품보증 충당금</t>
        </is>
      </c>
      <c r="H116" s="20" t="n">
        <v>13.457</v>
      </c>
      <c r="I116" s="20" t="n">
        <v>0.468</v>
      </c>
      <c r="J116" s="20" t="n">
        <v>0</v>
      </c>
    </row>
    <row r="117">
      <c r="A117" s="18" t="inlineStr">
        <is>
          <t>임원 퇴직위로 충당금</t>
        </is>
      </c>
      <c r="C117" s="20" t="n">
        <v>46.41</v>
      </c>
      <c r="D117" s="20" t="n">
        <v>48.8</v>
      </c>
      <c r="E117" s="20" t="n">
        <v>67.06999999999999</v>
      </c>
      <c r="F117" s="20" t="n">
        <v>16.1</v>
      </c>
      <c r="G117" s="20" t="n">
        <v>18.175</v>
      </c>
      <c r="H117" s="20" t="n">
        <v>43.305</v>
      </c>
      <c r="I117" s="20" t="n">
        <v>50.705</v>
      </c>
      <c r="J117" s="20" t="n">
        <v>52.307</v>
      </c>
      <c r="K117" s="20" t="n">
        <v>42.508</v>
      </c>
      <c r="L117" s="20" t="n">
        <v>67.06999999999999</v>
      </c>
    </row>
    <row r="118">
      <c r="A118" s="18" t="inlineStr">
        <is>
          <t>퇴직급여부채</t>
        </is>
      </c>
      <c r="C118" s="20" t="n">
        <v>28.555</v>
      </c>
      <c r="D118" s="20" t="n">
        <v>28.561</v>
      </c>
      <c r="E118" s="20" t="n">
        <v>29.575</v>
      </c>
      <c r="F118" s="20" t="n">
        <v>29.665</v>
      </c>
      <c r="G118" s="20" t="n">
        <v>29.758</v>
      </c>
      <c r="H118" s="20" t="n">
        <v>19.467</v>
      </c>
      <c r="I118" s="20" t="n">
        <v>21.292</v>
      </c>
      <c r="J118" s="20" t="n">
        <v>24.505</v>
      </c>
      <c r="K118" s="20" t="n">
        <v>26.8</v>
      </c>
      <c r="L118" s="20" t="n">
        <v>29.575</v>
      </c>
    </row>
    <row r="119">
      <c r="A119" s="18" t="inlineStr">
        <is>
          <t>기타</t>
        </is>
      </c>
      <c r="C119" s="20" t="n">
        <v>77.06399999999999</v>
      </c>
      <c r="D119" s="20" t="n">
        <v>227.661</v>
      </c>
      <c r="E119" s="20" t="n">
        <v>228.863</v>
      </c>
      <c r="F119" s="20" t="n">
        <v>201.125</v>
      </c>
      <c r="G119" s="20" t="n">
        <v>232.836</v>
      </c>
      <c r="H119" s="20" t="n">
        <v>40.507</v>
      </c>
      <c r="I119" s="20" t="n">
        <v>153.702</v>
      </c>
      <c r="J119" s="20" t="n">
        <v>76.80200000000001</v>
      </c>
      <c r="K119" s="20" t="n">
        <v>34.143</v>
      </c>
      <c r="L119" s="20" t="n">
        <v>228.863</v>
      </c>
    </row>
    <row r="120">
      <c r="A120" s="9" t="inlineStr">
        <is>
          <t>비유동부채 합계</t>
        </is>
      </c>
      <c r="C120" s="12" t="n">
        <v>152.029</v>
      </c>
      <c r="D120" s="12" t="n">
        <v>305.023</v>
      </c>
      <c r="E120" s="12" t="n">
        <v>325.509</v>
      </c>
      <c r="F120" s="12" t="n">
        <v>246.891</v>
      </c>
      <c r="G120" s="12" t="n">
        <v>280.77</v>
      </c>
      <c r="H120" s="12" t="n">
        <v>177.803</v>
      </c>
      <c r="I120" s="12" t="n">
        <v>272.627</v>
      </c>
      <c r="J120" s="12" t="n">
        <v>235.541</v>
      </c>
      <c r="K120" s="12" t="n">
        <v>155.152</v>
      </c>
      <c r="L120" s="12" t="n">
        <v>325.509</v>
      </c>
    </row>
    <row r="121">
      <c r="A121" s="9" t="inlineStr">
        <is>
          <t>부채 합계</t>
        </is>
      </c>
      <c r="C121" s="12" t="n">
        <v>1564.879</v>
      </c>
      <c r="D121" s="12" t="n">
        <v>1906.982</v>
      </c>
      <c r="E121" s="12" t="n">
        <v>2026.331</v>
      </c>
      <c r="F121" s="12" t="n">
        <v>1821.122</v>
      </c>
      <c r="G121" s="12" t="n">
        <v>1667.552</v>
      </c>
      <c r="H121" s="12" t="n">
        <v>1556.409</v>
      </c>
      <c r="I121" s="12" t="n">
        <v>2036.741</v>
      </c>
      <c r="J121" s="12" t="n">
        <v>1887.528</v>
      </c>
      <c r="K121" s="12" t="n">
        <v>1660.983</v>
      </c>
      <c r="L121" s="12" t="n">
        <v>2026.331</v>
      </c>
    </row>
    <row r="122">
      <c r="A122" s="18" t="inlineStr">
        <is>
          <t>자본금</t>
        </is>
      </c>
      <c r="C122" s="20" t="n">
        <v>1047.542</v>
      </c>
      <c r="D122" s="20" t="n">
        <v>1047.542</v>
      </c>
      <c r="E122" s="20" t="n">
        <v>1047.542</v>
      </c>
      <c r="F122" s="20" t="n">
        <v>1047.542</v>
      </c>
      <c r="G122" s="20" t="n">
        <v>1047.542</v>
      </c>
      <c r="H122" s="20" t="n">
        <v>1047.542</v>
      </c>
      <c r="I122" s="20" t="n">
        <v>1047.542</v>
      </c>
      <c r="J122" s="20" t="n">
        <v>1047.542</v>
      </c>
      <c r="K122" s="20" t="n">
        <v>1047.542</v>
      </c>
      <c r="L122" s="20" t="n">
        <v>1047.542</v>
      </c>
    </row>
    <row r="123">
      <c r="A123" s="18" t="inlineStr">
        <is>
          <t>자본잉여금</t>
        </is>
      </c>
      <c r="C123" s="20" t="n">
        <v>1196.24</v>
      </c>
      <c r="D123" s="20" t="n">
        <v>1196.24</v>
      </c>
      <c r="E123" s="20" t="n">
        <v>1196.24</v>
      </c>
      <c r="F123" s="20" t="n">
        <v>1196.24</v>
      </c>
      <c r="G123" s="20" t="n">
        <v>1208.564</v>
      </c>
      <c r="H123" s="20" t="n">
        <v>1175.21</v>
      </c>
      <c r="I123" s="20" t="n">
        <v>1175.21</v>
      </c>
      <c r="J123" s="20" t="n">
        <v>1177.11</v>
      </c>
      <c r="K123" s="20" t="n">
        <v>1186.225</v>
      </c>
      <c r="L123" s="20" t="n">
        <v>1196.24</v>
      </c>
    </row>
    <row r="124">
      <c r="A124" s="18" t="inlineStr">
        <is>
          <t>이익잉여금</t>
        </is>
      </c>
      <c r="C124" s="20" t="n">
        <v>15215.202</v>
      </c>
      <c r="D124" s="20" t="n">
        <v>15357.205</v>
      </c>
      <c r="E124" s="20" t="n">
        <v>15577.694</v>
      </c>
      <c r="F124" s="20" t="n">
        <v>15590.357</v>
      </c>
      <c r="G124" s="20" t="n">
        <v>15953.056</v>
      </c>
      <c r="H124" s="20" t="n">
        <v>12632.377</v>
      </c>
      <c r="I124" s="20" t="n">
        <v>13285.332</v>
      </c>
      <c r="J124" s="20" t="n">
        <v>14182.372</v>
      </c>
      <c r="K124" s="20" t="n">
        <v>14765.985</v>
      </c>
      <c r="L124" s="20" t="n">
        <v>15577.694</v>
      </c>
    </row>
    <row r="125">
      <c r="A125" s="18" t="inlineStr">
        <is>
          <t>자기주식</t>
        </is>
      </c>
      <c r="C125" s="20" t="n">
        <v>-222.68</v>
      </c>
      <c r="D125" s="20" t="n">
        <v>-222.68</v>
      </c>
      <c r="E125" s="20" t="n">
        <v>-222.68</v>
      </c>
      <c r="F125" s="20" t="n">
        <v>-222.68</v>
      </c>
      <c r="G125" s="20" t="n">
        <v>-199.527</v>
      </c>
      <c r="H125" s="20" t="n">
        <v>-335.601</v>
      </c>
      <c r="I125" s="20" t="n">
        <v>-335.601</v>
      </c>
      <c r="J125" s="20" t="n">
        <v>-273.786</v>
      </c>
      <c r="K125" s="20" t="n">
        <v>-252.852</v>
      </c>
      <c r="L125" s="20" t="n">
        <v>-222.68</v>
      </c>
    </row>
    <row r="126">
      <c r="A126" s="9" t="inlineStr">
        <is>
          <t>주주자본 합계</t>
        </is>
      </c>
      <c r="C126" s="12" t="n">
        <v>17236.304</v>
      </c>
      <c r="D126" s="12" t="n">
        <v>17378.307</v>
      </c>
      <c r="E126" s="12" t="n">
        <v>17598.796</v>
      </c>
      <c r="F126" s="12" t="n">
        <v>17611.459</v>
      </c>
      <c r="G126" s="12" t="n">
        <v>18009.636</v>
      </c>
      <c r="H126" s="12" t="n">
        <v>14519.529</v>
      </c>
      <c r="I126" s="12" t="n">
        <v>15172.484</v>
      </c>
      <c r="J126" s="12" t="n">
        <v>16133.238</v>
      </c>
      <c r="K126" s="12" t="n">
        <v>16746.901</v>
      </c>
      <c r="L126" s="12" t="n">
        <v>17598.796</v>
      </c>
    </row>
    <row r="127">
      <c r="A127" s="18" t="inlineStr">
        <is>
          <t>기타유가증권 평가차액</t>
        </is>
      </c>
      <c r="C127" s="20" t="n">
        <v>304.721</v>
      </c>
      <c r="D127" s="20" t="n">
        <v>356.775</v>
      </c>
      <c r="E127" s="20" t="n">
        <v>370.825</v>
      </c>
      <c r="F127" s="20" t="n">
        <v>362.792</v>
      </c>
      <c r="G127" s="20" t="n">
        <v>413.429</v>
      </c>
      <c r="H127" s="20" t="n">
        <v>32.014</v>
      </c>
      <c r="I127" s="20" t="n">
        <v>43.149</v>
      </c>
      <c r="J127" s="20" t="n">
        <v>170.598</v>
      </c>
      <c r="K127" s="20" t="n">
        <v>232.167</v>
      </c>
      <c r="L127" s="20" t="n">
        <v>370.825</v>
      </c>
    </row>
    <row r="128">
      <c r="A128" s="18" t="inlineStr">
        <is>
          <t>이연헤지손익</t>
        </is>
      </c>
      <c r="C128" s="20" t="n">
        <v>0.483</v>
      </c>
      <c r="D128" s="20" t="n">
        <v>0.066</v>
      </c>
      <c r="E128" s="20" t="n">
        <v>0</v>
      </c>
      <c r="F128" s="20" t="n">
        <v>-0.233</v>
      </c>
      <c r="G128" s="20" t="n">
        <v>-0.595</v>
      </c>
      <c r="H128" s="20" t="n">
        <v>0</v>
      </c>
      <c r="I128" s="20" t="n">
        <v>0.868</v>
      </c>
      <c r="J128" s="20" t="n">
        <v>0.206</v>
      </c>
      <c r="K128" s="20" t="n">
        <v>-0.604</v>
      </c>
      <c r="L128" s="20" t="n">
        <v>0</v>
      </c>
    </row>
    <row r="129">
      <c r="A129" s="18" t="inlineStr">
        <is>
          <t>토지재평가차액금</t>
        </is>
      </c>
      <c r="C129" s="20" t="n">
        <v>-371.051</v>
      </c>
      <c r="D129" s="20" t="n">
        <v>-371.051</v>
      </c>
      <c r="E129" s="20" t="n">
        <v>-371.051</v>
      </c>
      <c r="F129" s="20" t="n">
        <v>-371.051</v>
      </c>
      <c r="G129" s="20" t="n">
        <v>-371.051</v>
      </c>
      <c r="H129" s="20" t="n">
        <v>-371.051</v>
      </c>
      <c r="I129" s="20" t="n">
        <v>-371.051</v>
      </c>
      <c r="J129" s="20" t="n">
        <v>-371.051</v>
      </c>
      <c r="K129" s="20" t="n">
        <v>-371.051</v>
      </c>
      <c r="L129" s="20" t="n">
        <v>-371.051</v>
      </c>
    </row>
    <row r="130">
      <c r="A130" s="18" t="inlineStr">
        <is>
          <t>해외사업환산조정</t>
        </is>
      </c>
      <c r="C130" s="20" t="n">
        <v>1147.136</v>
      </c>
      <c r="D130" s="20" t="n">
        <v>1221.519</v>
      </c>
      <c r="E130" s="20" t="n">
        <v>1450.25</v>
      </c>
      <c r="F130" s="20" t="n">
        <v>1479.916</v>
      </c>
      <c r="G130" s="20" t="n">
        <v>1560.052</v>
      </c>
      <c r="H130" s="20" t="n">
        <v>536.1079999999999</v>
      </c>
      <c r="I130" s="20" t="n">
        <v>849.093</v>
      </c>
      <c r="J130" s="20" t="n">
        <v>1088.373</v>
      </c>
      <c r="K130" s="20" t="n">
        <v>1358.1</v>
      </c>
      <c r="L130" s="20" t="n">
        <v>1450.25</v>
      </c>
    </row>
    <row r="131">
      <c r="A131" s="18" t="inlineStr">
        <is>
          <t>기타포괄손익누계액 합계</t>
        </is>
      </c>
      <c r="C131" s="20" t="n">
        <v>1081.29</v>
      </c>
      <c r="D131" s="20" t="n">
        <v>1207.31</v>
      </c>
      <c r="E131" s="20" t="n">
        <v>1450.024</v>
      </c>
      <c r="F131" s="20" t="n">
        <v>1471.423</v>
      </c>
      <c r="G131" s="20" t="n">
        <v>1601.834</v>
      </c>
      <c r="H131" s="20" t="n">
        <v>197.071</v>
      </c>
      <c r="I131" s="20" t="n">
        <v>522.059</v>
      </c>
      <c r="J131" s="20" t="n">
        <v>888.127</v>
      </c>
      <c r="K131" s="20" t="n">
        <v>1218.612</v>
      </c>
      <c r="L131" s="20" t="n">
        <v>1450.024</v>
      </c>
    </row>
    <row r="132">
      <c r="A132" s="9" t="inlineStr">
        <is>
          <t>순자산 합계</t>
        </is>
      </c>
      <c r="C132" s="12" t="n">
        <v>18317.595</v>
      </c>
      <c r="D132" s="12" t="n">
        <v>18585.617</v>
      </c>
      <c r="E132" s="12" t="n">
        <v>19048.821</v>
      </c>
      <c r="F132" s="12" t="n">
        <v>19082.883</v>
      </c>
      <c r="G132" s="12" t="n">
        <v>19611.471</v>
      </c>
      <c r="H132" s="12" t="n">
        <v>14716.601</v>
      </c>
      <c r="I132" s="12" t="n">
        <v>15694.544</v>
      </c>
      <c r="J132" s="12" t="n">
        <v>17021.366</v>
      </c>
      <c r="K132" s="12" t="n">
        <v>17965.513</v>
      </c>
      <c r="L132" s="12" t="n">
        <v>19048.821</v>
      </c>
    </row>
    <row r="133">
      <c r="A133" s="9" t="inlineStr">
        <is>
          <t>부채·순자산 합계</t>
        </is>
      </c>
      <c r="C133" s="12" t="n">
        <v>19882.474</v>
      </c>
      <c r="D133" s="12" t="n">
        <v>20492.6</v>
      </c>
      <c r="E133" s="12" t="n">
        <v>21075.153</v>
      </c>
      <c r="F133" s="12" t="n">
        <v>20904.005</v>
      </c>
      <c r="G133" s="12" t="n">
        <v>21279.023</v>
      </c>
      <c r="H133" s="12" t="n">
        <v>16273.011</v>
      </c>
      <c r="I133" s="12" t="n">
        <v>17731.286</v>
      </c>
      <c r="J133" s="12" t="n">
        <v>18908.894</v>
      </c>
      <c r="K133" s="12" t="n">
        <v>19626.496</v>
      </c>
      <c r="L133" s="12" t="n">
        <v>21075.153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2026년 12월 결산기 ２분기 결산단신</t>
        </is>
      </c>
      <c r="C4" t="inlineStr">
        <is>
          <t>https://www2.jpx.co.jp/disc/58190/140120260717596179.pdf</t>
        </is>
      </c>
    </row>
    <row r="5">
      <c r="A5" t="inlineStr">
        <is>
          <t>2026-04-28</t>
        </is>
      </c>
      <c r="B5" t="inlineStr">
        <is>
          <t>2026년 12월 결산기 １분기 결산단신</t>
        </is>
      </c>
      <c r="C5" t="inlineStr">
        <is>
          <t>https://www2.jpx.co.jp/disc/58190/140120260417506257.pdf</t>
        </is>
      </c>
    </row>
    <row r="6">
      <c r="A6" t="inlineStr">
        <is>
          <t>2026-01-29</t>
        </is>
      </c>
      <c r="B6" t="inlineStr">
        <is>
          <t>2025년 12월 결산기 연간 결산단신</t>
        </is>
      </c>
      <c r="C6" t="inlineStr">
        <is>
          <t>https://www2.jpx.co.jp/disc/58190/140120260122537310.pdf</t>
        </is>
      </c>
    </row>
    <row r="7">
      <c r="A7" t="inlineStr">
        <is>
          <t>2025-10-30</t>
        </is>
      </c>
      <c r="B7" t="inlineStr">
        <is>
          <t>2025년 12월 결산기 ３분기 결산단신</t>
        </is>
      </c>
      <c r="C7" t="inlineStr">
        <is>
          <t>https://www2.jpx.co.jp/disc/58190/140120251021576381.pdf</t>
        </is>
      </c>
    </row>
    <row r="8">
      <c r="A8" t="inlineStr">
        <is>
          <t>2025-07-30</t>
        </is>
      </c>
      <c r="B8" t="inlineStr">
        <is>
          <t>2025년 12월 결산기 ２분기 결산단신</t>
        </is>
      </c>
      <c r="C8" t="inlineStr">
        <is>
          <t>https://www2.jpx.co.jp/disc/58190/140120250716515503.pdf</t>
        </is>
      </c>
    </row>
    <row r="9">
      <c r="A9" t="inlineStr">
        <is>
          <t>2025-04-25</t>
        </is>
      </c>
      <c r="B9" t="inlineStr">
        <is>
          <t>2025년 12월 결산기 1분기 결산단신</t>
        </is>
      </c>
      <c r="C9" t="inlineStr">
        <is>
          <t>https://www2.jpx.co.jp/disc/58190/140120250421518886.pdf</t>
        </is>
      </c>
    </row>
    <row r="10">
      <c r="A10" t="inlineStr">
        <is>
          <t>2025-01-30</t>
        </is>
      </c>
      <c r="B10" t="inlineStr">
        <is>
          <t>2024년 12월 결산기 연간 결산단신</t>
        </is>
      </c>
      <c r="C10" t="inlineStr">
        <is>
          <t>https://www2.jpx.co.jp/disc/58190/140120250124554589.pdf</t>
        </is>
      </c>
    </row>
    <row r="11">
      <c r="A11" t="inlineStr">
        <is>
          <t>2024-10-30</t>
        </is>
      </c>
      <c r="B11" t="inlineStr">
        <is>
          <t>2024년 12월 결산기 ３분기 결산단신</t>
        </is>
      </c>
      <c r="C11" t="inlineStr">
        <is>
          <t>https://www2.jpx.co.jp/disc/58190/140120241023501366.pdf</t>
        </is>
      </c>
    </row>
    <row r="12">
      <c r="A12" t="inlineStr">
        <is>
          <t>2024-07-30</t>
        </is>
      </c>
      <c r="B12" t="inlineStr">
        <is>
          <t>2024년 12월 결산기 ２분기 결산단신</t>
        </is>
      </c>
      <c r="C12" t="inlineStr">
        <is>
          <t>https://www2.jpx.co.jp/disc/58190/140120240724553946.pdf</t>
        </is>
      </c>
    </row>
    <row r="13">
      <c r="A13" t="inlineStr">
        <is>
          <t>2024-04-26</t>
        </is>
      </c>
      <c r="B13" t="inlineStr">
        <is>
          <t>2024년 12월 결산기 1분기 결산단신</t>
        </is>
      </c>
      <c r="C13" t="inlineStr">
        <is>
          <t>https://www2.jpx.co.jp/disc/58190/140120240419573523.pdf</t>
        </is>
      </c>
    </row>
    <row r="14">
      <c r="A14" t="inlineStr">
        <is>
          <t>2024-01-26</t>
        </is>
      </c>
      <c r="B14" t="inlineStr">
        <is>
          <t>2023년 12월 결산기 연간 결산단신</t>
        </is>
      </c>
      <c r="C14" t="inlineStr">
        <is>
          <t>https://www2.jpx.co.jp/disc/58190/140120240123518266.pdf</t>
        </is>
      </c>
    </row>
    <row r="15">
      <c r="A15" t="inlineStr">
        <is>
          <t>2023-10-27</t>
        </is>
      </c>
      <c r="B15" t="inlineStr">
        <is>
          <t>2023년 12월 결산기 3분기 결산단신</t>
        </is>
      </c>
      <c r="C15" t="inlineStr">
        <is>
          <t>https://www2.jpx.co.jp/disc/58190/140120231025571018.pdf</t>
        </is>
      </c>
    </row>
    <row r="16">
      <c r="A16" t="inlineStr">
        <is>
          <t>2023-07-28</t>
        </is>
      </c>
      <c r="B16" t="inlineStr">
        <is>
          <t>2023년 12월 결산기 2분기 결산단신</t>
        </is>
      </c>
      <c r="C16" t="inlineStr">
        <is>
          <t>https://www2.jpx.co.jp/disc/58190/140120230725526252.pdf</t>
        </is>
      </c>
    </row>
    <row r="17">
      <c r="A17" t="inlineStr">
        <is>
          <t>2023-04-27</t>
        </is>
      </c>
      <c r="B17" t="inlineStr">
        <is>
          <t>2023년 12월 결산기 １분기 결산단신</t>
        </is>
      </c>
      <c r="C17" t="inlineStr">
        <is>
          <t>https://www2.jpx.co.jp/disc/58190/140120230421551046.pdf</t>
        </is>
      </c>
    </row>
    <row r="18">
      <c r="A18" t="inlineStr">
        <is>
          <t>2023-01-27</t>
        </is>
      </c>
      <c r="B18" t="inlineStr">
        <is>
          <t>2022년 12월 결산기 연간 결산단신</t>
        </is>
      </c>
      <c r="C18" t="inlineStr">
        <is>
          <t>https://www2.jpx.co.jp/disc/58190/140120230123592553.pdf</t>
        </is>
      </c>
    </row>
    <row r="19">
      <c r="A19" t="inlineStr">
        <is>
          <t>2022-10-28</t>
        </is>
      </c>
      <c r="B19" t="inlineStr">
        <is>
          <t>2022년 12월 결산기 3분기 결산단신</t>
        </is>
      </c>
      <c r="C19" t="inlineStr">
        <is>
          <t>https://www2.jpx.co.jp/disc/58190/140120221021547721.pdf</t>
        </is>
      </c>
    </row>
    <row r="20">
      <c r="A20" t="inlineStr">
        <is>
          <t>2022-01-27</t>
        </is>
      </c>
      <c r="B20" t="inlineStr">
        <is>
          <t>2021년 12월 결산기 연간 결산단신</t>
        </is>
      </c>
      <c r="C20" t="inlineStr">
        <is>
          <t>https://www2.jpx.co.jp/disc/58190/140120220121570920.pdf</t>
        </is>
      </c>
    </row>
    <row r="21">
      <c r="A21" t="inlineStr">
        <is>
          <t>2021-01-28</t>
        </is>
      </c>
      <c r="B21" t="inlineStr">
        <is>
          <t>2020년 12월 결산기 연간 결산단신</t>
        </is>
      </c>
      <c r="C21" t="inlineStr">
        <is>
          <t>https://www2.jpx.co.jp/disc/58190/140120210125448513.pdf</t>
        </is>
      </c>
    </row>
    <row r="22">
      <c r="A22" t="inlineStr">
        <is>
          <t>2020-01-30</t>
        </is>
      </c>
      <c r="B22" t="inlineStr">
        <is>
          <t>2019년 12월 결산기 연간 결산단신</t>
        </is>
      </c>
      <c r="C22" t="inlineStr">
        <is>
          <t>https://www2.jpx.co.jp/disc/58190/140120200127450960.pdf</t>
        </is>
      </c>
    </row>
    <row r="23">
      <c r="A23" t="inlineStr">
        <is>
          <t>2019-01-30</t>
        </is>
      </c>
      <c r="B23" t="inlineStr">
        <is>
          <t>연간 결산단신</t>
        </is>
      </c>
      <c r="C23" t="inlineStr">
        <is>
          <t>https://www2.jpx.co.jp/disc/58190/140120190128464666.pdf</t>
        </is>
      </c>
    </row>
    <row r="24">
      <c r="A24" t="inlineStr">
        <is>
          <t>2018-01-30</t>
        </is>
      </c>
      <c r="B24" t="inlineStr">
        <is>
          <t>연간 결산단신</t>
        </is>
      </c>
      <c r="C24" t="inlineStr">
        <is>
          <t>https://www2.jpx.co.jp/disc/58190/140120180126457208.pdf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2026-10-25T13:39:51Z</dcterms:created>
  <dcterms:modified xmlns:dcterms="http://purl.org/dc/terms/" xmlns:xsi="http://www.w3.org/2001/XMLSchema-instance" xsi:type="dcterms:W3CDTF">2026-10-25T13:39:51Z</dcterms:modified>
</cp:coreProperties>
</file>