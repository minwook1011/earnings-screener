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8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5819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12월 결산 · 일본 기준 · 2026.2Q = 2026년 12월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2023.3Q</t>
        </is>
      </c>
      <c r="D3" s="5" t="inlineStr">
        <is>
          <t>2023.4Q</t>
        </is>
      </c>
      <c r="E3" s="5" t="inlineStr">
        <is>
          <t>2024.1Q</t>
        </is>
      </c>
      <c r="F3" s="5" t="inlineStr">
        <is>
          <t>2024.2Q</t>
        </is>
      </c>
      <c r="G3" s="5" t="inlineStr">
        <is>
          <t>2024.3Q</t>
        </is>
      </c>
      <c r="H3" s="5" t="inlineStr">
        <is>
          <t>2024.4Q</t>
        </is>
      </c>
      <c r="I3" s="5" t="inlineStr">
        <is>
          <t>2025.1Q</t>
        </is>
      </c>
      <c r="J3" s="5" t="inlineStr">
        <is>
          <t>2025.2Q</t>
        </is>
      </c>
      <c r="K3" s="5" t="inlineStr">
        <is>
          <t>2025.3Q</t>
        </is>
      </c>
      <c r="L3" s="5" t="inlineStr">
        <is>
          <t>2025.4Q</t>
        </is>
      </c>
      <c r="M3" s="5" t="inlineStr">
        <is>
          <t>2026.1Q</t>
        </is>
      </c>
      <c r="N3" s="5" t="inlineStr">
        <is>
          <t>2026.2Q</t>
        </is>
      </c>
      <c r="O3" s="6" t="inlineStr">
        <is>
          <t>2016</t>
        </is>
      </c>
      <c r="P3" s="5" t="inlineStr">
        <is>
          <t>2017</t>
        </is>
      </c>
      <c r="Q3" s="5" t="inlineStr">
        <is>
          <t>2018</t>
        </is>
      </c>
      <c r="R3" s="5" t="inlineStr">
        <is>
          <t>2019</t>
        </is>
      </c>
      <c r="S3" s="5" t="inlineStr">
        <is>
          <t>2020</t>
        </is>
      </c>
      <c r="T3" s="5" t="inlineStr">
        <is>
          <t>2021</t>
        </is>
      </c>
      <c r="U3" s="5" t="inlineStr">
        <is>
          <t>2022</t>
        </is>
      </c>
      <c r="V3" s="5" t="inlineStr">
        <is>
          <t>2023</t>
        </is>
      </c>
      <c r="W3" s="5" t="inlineStr">
        <is>
          <t>2024</t>
        </is>
      </c>
      <c r="X3" s="5" t="inlineStr">
        <is>
          <t>2025</t>
        </is>
      </c>
      <c r="Y3" s="7" t="inlineStr">
        <is>
          <t>2026(MW)</t>
        </is>
      </c>
      <c r="Z3" s="8" t="inlineStr">
        <is>
          <t>2027(MW)</t>
        </is>
      </c>
      <c r="AA3" s="8" t="inlineStr">
        <is>
          <t>2028(MW)</t>
        </is>
      </c>
      <c r="AB3" s="8" t="inlineStr">
        <is>
          <t>2029(MW)</t>
        </is>
      </c>
      <c r="AC3" s="8" t="inlineStr">
        <is>
          <t>2030(MW)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3155.434</v>
      </c>
      <c r="D4" s="12" t="n">
        <v>3831.97</v>
      </c>
      <c r="E4" s="12" t="n">
        <v>3172.377</v>
      </c>
      <c r="F4" s="12" t="n">
        <v>2855.8</v>
      </c>
      <c r="G4" s="12" t="n">
        <v>2928.325</v>
      </c>
      <c r="H4" s="12" t="n">
        <v>3426.607</v>
      </c>
      <c r="I4" s="12" t="n">
        <v>3339.623</v>
      </c>
      <c r="J4" s="12" t="n">
        <v>3112.445</v>
      </c>
      <c r="K4" s="12" t="n">
        <v>3348.469</v>
      </c>
      <c r="L4" s="12" t="n">
        <v>3314.455</v>
      </c>
      <c r="M4" s="12" t="n">
        <v>3218.112</v>
      </c>
      <c r="N4" s="12" t="n">
        <v>3420.551</v>
      </c>
      <c r="O4" s="11" t="n">
        <v>10655.679</v>
      </c>
      <c r="P4" s="12" t="n">
        <v>10456.648</v>
      </c>
      <c r="Q4" s="12" t="n">
        <v>11371.59</v>
      </c>
      <c r="R4" s="12" t="n">
        <v>11429.152</v>
      </c>
      <c r="S4" s="12" t="n">
        <v>9697.799999999999</v>
      </c>
      <c r="T4" s="12" t="n">
        <v>10034.069</v>
      </c>
      <c r="U4" s="12" t="n">
        <v>11167.637</v>
      </c>
      <c r="V4" s="12" t="n">
        <v>12872.437</v>
      </c>
      <c r="W4" s="12" t="n">
        <v>12383.109</v>
      </c>
      <c r="X4" s="12" t="n">
        <v>13114.992</v>
      </c>
      <c r="Y4" s="11">
        <f>IF(COUNT(Y7,Y10,Y13,Y16,Y19,Y22,Y25)=0,"",SUM(Y7,Y10,Y13,Y16,Y19,Y22,Y25))</f>
        <v/>
      </c>
      <c r="Z4" s="12">
        <f>IF(COUNT(Z7,Z10,Z13,Z16,Z19,Z22,Z25)=0,"",SUM(Z7,Z10,Z13,Z16,Z19,Z22,Z25))</f>
        <v/>
      </c>
      <c r="AA4" s="12">
        <f>IF(COUNT(AA7,AA10,AA13,AA16,AA19,AA22,AA25)=0,"",SUM(AA7,AA10,AA13,AA16,AA19,AA22,AA25))</f>
        <v/>
      </c>
      <c r="AB4" s="12">
        <f>IF(COUNT(AB7,AB10,AB13,AB16,AB19,AB22,AB25)=0,"",SUM(AB7,AB10,AB13,AB16,AB19,AB22,AB25))</f>
        <v/>
      </c>
      <c r="AC4" s="12">
        <f>IF(COUNT(AC7,AC10,AC13,AC16,AC19,AC22,AC25)=0,"",SUM(AC7,AC10,AC13,AC16,AC19,AC22,AC25))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일본</t>
        </is>
      </c>
      <c r="B7" s="10" t="n"/>
      <c r="C7" s="19" t="n">
        <v>1609.137</v>
      </c>
      <c r="D7" s="20" t="n">
        <v>1667.75</v>
      </c>
      <c r="E7" s="20" t="n">
        <v>1682.365</v>
      </c>
      <c r="F7" s="20" t="n">
        <v>1420.155</v>
      </c>
      <c r="G7" s="20" t="n">
        <v>1408.494</v>
      </c>
      <c r="H7" s="20" t="n">
        <v>1709.841</v>
      </c>
      <c r="I7" s="20" t="n">
        <v>1917.265</v>
      </c>
      <c r="J7" s="20" t="n">
        <v>1439.107</v>
      </c>
      <c r="K7" s="20" t="n">
        <v>1572.535</v>
      </c>
      <c r="L7" s="20" t="n">
        <v>1546.986</v>
      </c>
      <c r="M7" s="20" t="n">
        <v>1610.933</v>
      </c>
      <c r="N7" s="20" t="n">
        <v>1610.293</v>
      </c>
      <c r="O7" s="19" t="n"/>
      <c r="P7" s="20" t="n"/>
      <c r="Q7" s="20" t="n"/>
      <c r="R7" s="20" t="n"/>
      <c r="S7" s="20" t="n"/>
      <c r="T7" s="20" t="n"/>
      <c r="U7" s="20" t="n"/>
      <c r="V7" s="20" t="n">
        <v>6354.08</v>
      </c>
      <c r="W7" s="20" t="n">
        <v>6220.855</v>
      </c>
      <c r="X7" s="20" t="n">
        <v>6475.893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The United States Of America Reportable Segments</t>
        </is>
      </c>
      <c r="B10" s="10" t="n"/>
      <c r="C10" s="19" t="n">
        <v>439.781</v>
      </c>
      <c r="D10" s="20" t="n">
        <v>376.742</v>
      </c>
      <c r="E10" s="20" t="n">
        <v>400.71</v>
      </c>
      <c r="F10" s="20" t="n">
        <v>383.423</v>
      </c>
      <c r="G10" s="20" t="n">
        <v>427.036</v>
      </c>
      <c r="H10" s="20" t="n">
        <v>358.696</v>
      </c>
      <c r="I10" s="20" t="n">
        <v>409.849</v>
      </c>
      <c r="J10" s="20" t="n">
        <v>426.911</v>
      </c>
      <c r="K10" s="20" t="n">
        <v>452.129</v>
      </c>
      <c r="L10" s="20" t="n">
        <v>375.755</v>
      </c>
      <c r="M10" s="20" t="n">
        <v>423.141</v>
      </c>
      <c r="N10" s="20" t="n">
        <v>554.846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1591.643</v>
      </c>
      <c r="W10" s="20" t="n">
        <v>1569.865</v>
      </c>
      <c r="X10" s="20" t="n">
        <v>1664.644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Korea Reportable Segments</t>
        </is>
      </c>
      <c r="B13" s="10" t="n"/>
      <c r="C13" s="19" t="n">
        <v>258.683</v>
      </c>
      <c r="D13" s="20" t="n">
        <v>237.808</v>
      </c>
      <c r="E13" s="20" t="n">
        <v>264.256</v>
      </c>
      <c r="F13" s="20" t="n">
        <v>259.358</v>
      </c>
      <c r="G13" s="20" t="n">
        <v>253.141</v>
      </c>
      <c r="H13" s="20" t="n">
        <v>277.772</v>
      </c>
      <c r="I13" s="20" t="n">
        <v>208.896</v>
      </c>
      <c r="J13" s="20" t="n">
        <v>276.852</v>
      </c>
      <c r="K13" s="20" t="n">
        <v>302.21</v>
      </c>
      <c r="L13" s="20" t="n">
        <v>271.892</v>
      </c>
      <c r="M13" s="20" t="n">
        <v>241.231</v>
      </c>
      <c r="N13" s="20" t="n">
        <v>337.924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1039.083</v>
      </c>
      <c r="W13" s="20" t="n">
        <v>1054.527</v>
      </c>
      <c r="X13" s="20" t="n">
        <v>1059.85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China Reportable Segments</t>
        </is>
      </c>
      <c r="B16" s="10" t="n"/>
      <c r="C16" s="19" t="n">
        <v>429.12</v>
      </c>
      <c r="D16" s="20" t="n">
        <v>534.831</v>
      </c>
      <c r="E16" s="20" t="n">
        <v>234.9</v>
      </c>
      <c r="F16" s="20" t="n">
        <v>290.98</v>
      </c>
      <c r="G16" s="20" t="n">
        <v>277.653</v>
      </c>
      <c r="H16" s="20" t="n">
        <v>504.566</v>
      </c>
      <c r="I16" s="20" t="n">
        <v>258.008</v>
      </c>
      <c r="J16" s="20" t="n">
        <v>375.522</v>
      </c>
      <c r="K16" s="20" t="n">
        <v>391.96</v>
      </c>
      <c r="L16" s="20" t="n">
        <v>436.536</v>
      </c>
      <c r="M16" s="20" t="n">
        <v>316.828</v>
      </c>
      <c r="N16" s="20" t="n">
        <v>285.502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1565.074</v>
      </c>
      <c r="W16" s="20" t="n">
        <v>1308.099</v>
      </c>
      <c r="X16" s="20" t="n">
        <v>1462.026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Taiwan Reportable Segments</t>
        </is>
      </c>
      <c r="B19" s="10" t="n"/>
      <c r="C19" s="19" t="n">
        <v>22.657</v>
      </c>
      <c r="D19" s="20" t="n">
        <v>603.09</v>
      </c>
      <c r="E19" s="20" t="n">
        <v>25.423</v>
      </c>
      <c r="F19" s="20" t="n">
        <v>40.94</v>
      </c>
      <c r="G19" s="20" t="n">
        <v>47.55</v>
      </c>
      <c r="H19" s="20" t="n">
        <v>32.234</v>
      </c>
      <c r="I19" s="20" t="n">
        <v>27.288</v>
      </c>
      <c r="J19" s="20" t="n">
        <v>32.88</v>
      </c>
      <c r="K19" s="20" t="n">
        <v>22.339</v>
      </c>
      <c r="L19" s="20" t="n">
        <v>33.237</v>
      </c>
      <c r="M19" s="20" t="n">
        <v>32.155</v>
      </c>
      <c r="N19" s="20" t="n">
        <v>33.478</v>
      </c>
      <c r="O19" s="19" t="n"/>
      <c r="P19" s="20" t="n"/>
      <c r="Q19" s="20" t="n"/>
      <c r="R19" s="20" t="n"/>
      <c r="S19" s="20" t="n"/>
      <c r="T19" s="20" t="n"/>
      <c r="U19" s="20" t="n"/>
      <c r="V19" s="20" t="n">
        <v>681.7430000000001</v>
      </c>
      <c r="W19" s="20" t="n">
        <v>146.147</v>
      </c>
      <c r="X19" s="20" t="n">
        <v>115.744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Singapore Reportable Segments</t>
        </is>
      </c>
      <c r="B22" s="10" t="n"/>
      <c r="C22" s="19" t="n">
        <v>146.236</v>
      </c>
      <c r="D22" s="20" t="n">
        <v>152.449</v>
      </c>
      <c r="E22" s="20" t="n">
        <v>153.195</v>
      </c>
      <c r="F22" s="20" t="n">
        <v>128.419</v>
      </c>
      <c r="G22" s="20" t="n">
        <v>167.977</v>
      </c>
      <c r="H22" s="20" t="n">
        <v>159.622</v>
      </c>
      <c r="I22" s="20" t="n">
        <v>129.41</v>
      </c>
      <c r="J22" s="20" t="n">
        <v>138.753</v>
      </c>
      <c r="K22" s="20" t="n">
        <v>140.76</v>
      </c>
      <c r="L22" s="20" t="n">
        <v>164.444</v>
      </c>
      <c r="M22" s="20" t="n">
        <v>138.409</v>
      </c>
      <c r="N22" s="20" t="n">
        <v>172.714</v>
      </c>
      <c r="O22" s="19" t="n"/>
      <c r="P22" s="20" t="n"/>
      <c r="Q22" s="20" t="n"/>
      <c r="R22" s="20" t="n"/>
      <c r="S22" s="20" t="n"/>
      <c r="T22" s="20" t="n"/>
      <c r="U22" s="20" t="n"/>
      <c r="V22" s="20" t="n">
        <v>574.048</v>
      </c>
      <c r="W22" s="20" t="n">
        <v>609.213</v>
      </c>
      <c r="X22" s="20" t="n">
        <v>573.367</v>
      </c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기타</t>
        </is>
      </c>
      <c r="B25" s="10" t="n"/>
      <c r="C25" s="19" t="n">
        <v>249.818</v>
      </c>
      <c r="D25" s="20" t="n">
        <v>259.302</v>
      </c>
      <c r="E25" s="20" t="n">
        <v>411.525</v>
      </c>
      <c r="F25" s="20" t="n">
        <v>332.526</v>
      </c>
      <c r="G25" s="20" t="n">
        <v>346.474</v>
      </c>
      <c r="H25" s="20" t="n">
        <v>383.874</v>
      </c>
      <c r="I25" s="20" t="n">
        <v>388.904</v>
      </c>
      <c r="J25" s="20" t="n">
        <v>422.42</v>
      </c>
      <c r="K25" s="20" t="n">
        <v>466.535</v>
      </c>
      <c r="L25" s="20" t="n">
        <v>485.606</v>
      </c>
      <c r="M25" s="20" t="n">
        <v>455.412</v>
      </c>
      <c r="N25" s="20" t="n">
        <v>425.796</v>
      </c>
      <c r="O25" s="19" t="n"/>
      <c r="P25" s="20" t="n"/>
      <c r="Q25" s="20" t="n"/>
      <c r="R25" s="20" t="n"/>
      <c r="S25" s="20" t="n"/>
      <c r="T25" s="20" t="n"/>
      <c r="U25" s="20" t="n"/>
      <c r="V25" s="20" t="n">
        <v>1066.764</v>
      </c>
      <c r="W25" s="20" t="n">
        <v>1474.399</v>
      </c>
      <c r="X25" s="20" t="n">
        <v>1763.465</v>
      </c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매출원가</t>
        </is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18" t="inlineStr">
        <is>
          <t>전체 매출원가</t>
        </is>
      </c>
      <c r="B29" s="10" t="n"/>
      <c r="C29" s="19" t="n">
        <v>1783.206</v>
      </c>
      <c r="D29" s="20" t="n">
        <v>2212.19</v>
      </c>
      <c r="E29" s="20" t="n">
        <v>1867.324</v>
      </c>
      <c r="F29" s="20" t="n">
        <v>1641.42</v>
      </c>
      <c r="G29" s="20" t="n">
        <v>1586.707</v>
      </c>
      <c r="H29" s="20" t="n">
        <v>2082.79</v>
      </c>
      <c r="I29" s="20" t="n">
        <v>1894.1</v>
      </c>
      <c r="J29" s="20" t="n">
        <v>1745.005</v>
      </c>
      <c r="K29" s="20" t="n">
        <v>1914.129</v>
      </c>
      <c r="L29" s="20" t="n">
        <v>2002.592</v>
      </c>
      <c r="M29" s="20" t="n">
        <v>1881.411</v>
      </c>
      <c r="N29" s="20" t="n">
        <v>1928.984</v>
      </c>
      <c r="O29" s="19" t="n">
        <v>6063.81</v>
      </c>
      <c r="P29" s="20" t="n">
        <v>6073.072</v>
      </c>
      <c r="Q29" s="20" t="n">
        <v>6685.172</v>
      </c>
      <c r="R29" s="20" t="n">
        <v>6835.294</v>
      </c>
      <c r="S29" s="20" t="n">
        <v>5788.615</v>
      </c>
      <c r="T29" s="20" t="n">
        <v>6097.603</v>
      </c>
      <c r="U29" s="20" t="n">
        <v>6735.509</v>
      </c>
      <c r="V29" s="20" t="n">
        <v>7460.815</v>
      </c>
      <c r="W29" s="20" t="n">
        <v>7178.241</v>
      </c>
      <c r="X29" s="20" t="n">
        <v>7555.826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18" t="inlineStr">
        <is>
          <t>매출총이익</t>
        </is>
      </c>
      <c r="B31" s="10" t="n"/>
      <c r="C31" s="19">
        <f>IF(OR(C4="",C29=""),"",IFERROR(C4-C29,""))</f>
        <v/>
      </c>
      <c r="D31" s="20">
        <f>IF(OR(D4="",D29=""),"",IFERROR(D4-D29,""))</f>
        <v/>
      </c>
      <c r="E31" s="20">
        <f>IF(OR(E4="",E29=""),"",IFERROR(E4-E29,""))</f>
        <v/>
      </c>
      <c r="F31" s="20">
        <f>IF(OR(F4="",F29=""),"",IFERROR(F4-F29,""))</f>
        <v/>
      </c>
      <c r="G31" s="20">
        <f>IF(OR(G4="",G29=""),"",IFERROR(G4-G29,""))</f>
        <v/>
      </c>
      <c r="H31" s="20">
        <f>IF(OR(H4="",H29=""),"",IFERROR(H4-H29,""))</f>
        <v/>
      </c>
      <c r="I31" s="20">
        <f>IF(OR(I4="",I29=""),"",IFERROR(I4-I29,""))</f>
        <v/>
      </c>
      <c r="J31" s="20">
        <f>IF(OR(J4="",J29=""),"",IFERROR(J4-J29,""))</f>
        <v/>
      </c>
      <c r="K31" s="20">
        <f>IF(OR(K4="",K29=""),"",IFERROR(K4-K29,""))</f>
        <v/>
      </c>
      <c r="L31" s="20">
        <f>IF(OR(L4="",L29=""),"",IFERROR(L4-L29,""))</f>
        <v/>
      </c>
      <c r="M31" s="20">
        <f>IF(OR(M4="",M29=""),"",IFERROR(M4-M29,""))</f>
        <v/>
      </c>
      <c r="N31" s="20">
        <f>IF(OR(N4="",N29=""),"",IFERROR(N4-N29,""))</f>
        <v/>
      </c>
      <c r="O31" s="19">
        <f>IF(OR(O4="",O29=""),"",IFERROR(O4-O29,""))</f>
        <v/>
      </c>
      <c r="P31" s="20">
        <f>IF(OR(P4="",P29=""),"",IFERROR(P4-P29,""))</f>
        <v/>
      </c>
      <c r="Q31" s="20">
        <f>IF(OR(Q4="",Q29=""),"",IFERROR(Q4-Q29,""))</f>
        <v/>
      </c>
      <c r="R31" s="20">
        <f>IF(OR(R4="",R29=""),"",IFERROR(R4-R29,""))</f>
        <v/>
      </c>
      <c r="S31" s="20">
        <f>IF(OR(S4="",S29=""),"",IFERROR(S4-S29,""))</f>
        <v/>
      </c>
      <c r="T31" s="20">
        <f>IF(OR(T4="",T29=""),"",IFERROR(T4-T29,""))</f>
        <v/>
      </c>
      <c r="U31" s="20">
        <f>IF(OR(U4="",U29=""),"",IFERROR(U4-U29,""))</f>
        <v/>
      </c>
      <c r="V31" s="20">
        <f>IF(OR(V4="",V29=""),"",IFERROR(V4-V29,""))</f>
        <v/>
      </c>
      <c r="W31" s="20">
        <f>IF(OR(W4="",W29=""),"",IFERROR(W4-W29,""))</f>
        <v/>
      </c>
      <c r="X31" s="20">
        <f>IF(OR(X4="",X29=""),"",IFERROR(X4-X29,""))</f>
        <v/>
      </c>
      <c r="Y31" s="19" t="n"/>
      <c r="Z31" s="20" t="n"/>
      <c r="AA31" s="20" t="n"/>
      <c r="AB31" s="20" t="n"/>
      <c r="AC31" s="20" t="n"/>
    </row>
    <row r="32">
      <c r="A32" s="13" t="inlineStr">
        <is>
          <t>GPM</t>
        </is>
      </c>
      <c r="B32" s="10" t="n"/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>
        <f>IF(OR(Y31="",Y4=""),"",IFERROR(Y31/Y4,""))</f>
        <v/>
      </c>
      <c r="Z32" s="15">
        <f>IF(OR(Z31="",Z4=""),"",IFERROR(Z31/Z4,""))</f>
        <v/>
      </c>
      <c r="AA32" s="15">
        <f>IF(OR(AA31="",AA4=""),"",IFERROR(AA31/AA4,""))</f>
        <v/>
      </c>
      <c r="AB32" s="15">
        <f>IF(OR(AB31="",AB4=""),"",IFERROR(AB31/AB4,""))</f>
        <v/>
      </c>
      <c r="AC32" s="15">
        <f>IF(OR(AC31="",AC4=""),"",IFERROR(AC31/AC4,""))</f>
        <v/>
      </c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IF(OR(G31="",C31=""),"",IF(C31&lt;=0,"",IFERROR(G31/C31-1,"")))</f>
        <v/>
      </c>
      <c r="H33" s="15">
        <f>IF(OR(H31="",D31=""),"",IF(D31&lt;=0,"",IFERROR(H31/D31-1,"")))</f>
        <v/>
      </c>
      <c r="I33" s="15">
        <f>IF(OR(I31="",E31=""),"",IF(E31&lt;=0,"",IFERROR(I31/E31-1,"")))</f>
        <v/>
      </c>
      <c r="J33" s="15">
        <f>IF(OR(J31="",F31=""),"",IF(F31&lt;=0,"",IFERROR(J31/F31-1,"")))</f>
        <v/>
      </c>
      <c r="K33" s="15">
        <f>IF(OR(K31="",G31=""),"",IF(G31&lt;=0,"",IFERROR(K31/G31-1,"")))</f>
        <v/>
      </c>
      <c r="L33" s="15">
        <f>IF(OR(L31="",H31=""),"",IF(H31&lt;=0,"",IFERROR(L31/H31-1,"")))</f>
        <v/>
      </c>
      <c r="M33" s="15">
        <f>IF(OR(M31="",I31=""),"",IF(I31&lt;=0,"",IFERROR(M31/I31-1,"")))</f>
        <v/>
      </c>
      <c r="N33" s="15">
        <f>IF(OR(N31="",J31=""),"",IF(J31&lt;=0,"",IFERROR(N31/J31-1,"")))</f>
        <v/>
      </c>
      <c r="O33" s="14" t="n"/>
      <c r="P33" s="15">
        <f>IF(OR(P31="",O31=""),"",IF(O31&lt;=0,"",IFERROR(P31/O31-1,"")))</f>
        <v/>
      </c>
      <c r="Q33" s="15">
        <f>IF(OR(Q31="",P31=""),"",IF(P31&lt;=0,"",IFERROR(Q31/P31-1,"")))</f>
        <v/>
      </c>
      <c r="R33" s="15">
        <f>IF(OR(R31="",Q31=""),"",IF(Q31&lt;=0,"",IFERROR(R31/Q31-1,"")))</f>
        <v/>
      </c>
      <c r="S33" s="15">
        <f>IF(OR(S31="",R31=""),"",IF(R31&lt;=0,"",IFERROR(S31/R31-1,"")))</f>
        <v/>
      </c>
      <c r="T33" s="15">
        <f>IF(OR(T31="",S31=""),"",IF(S31&lt;=0,"",IFERROR(T31/S31-1,"")))</f>
        <v/>
      </c>
      <c r="U33" s="15">
        <f>IF(OR(U31="",T31=""),"",IF(T31&lt;=0,"",IFERROR(U31/T31-1,"")))</f>
        <v/>
      </c>
      <c r="V33" s="15">
        <f>IF(OR(V31="",U31=""),"",IF(U31&lt;=0,"",IFERROR(V31/U31-1,"")))</f>
        <v/>
      </c>
      <c r="W33" s="15">
        <f>IF(OR(W31="",V31=""),"",IF(V31&lt;=0,"",IFERROR(W31/V31-1,"")))</f>
        <v/>
      </c>
      <c r="X33" s="15">
        <f>IF(OR(X31="",W31=""),"",IF(W31&lt;=0,"",IFERROR(X31/W31-1,"")))</f>
        <v/>
      </c>
      <c r="Y33" s="14">
        <f>IF(OR(Y31="",X31=""),"",IF(X31&lt;=0,"",IFERROR(Y31/X31-1,"")))</f>
        <v/>
      </c>
      <c r="Z33" s="15">
        <f>IF(OR(Z31="",Y31=""),"",IF(Y31&lt;=0,"",IFERROR(Z31/Y31-1,"")))</f>
        <v/>
      </c>
      <c r="AA33" s="15">
        <f>IF(OR(AA31="",Z31=""),"",IF(Z31&lt;=0,"",IFERROR(AA31/Z31-1,"")))</f>
        <v/>
      </c>
      <c r="AB33" s="15">
        <f>IF(OR(AB31="",AA31=""),"",IF(AA31&lt;=0,"",IFERROR(AB31/AA31-1,"")))</f>
        <v/>
      </c>
      <c r="AC33" s="15">
        <f>IF(OR(AC31="",AB31=""),"",IF(AB31&lt;=0,"",IFERROR(AC31/AB31-1,"")))</f>
        <v/>
      </c>
    </row>
    <row r="34">
      <c r="A34" s="23" t="inlineStr">
        <is>
          <t>판매관리비</t>
        </is>
      </c>
      <c r="B34" s="23" t="n"/>
      <c r="C34" s="24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4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4" t="n"/>
      <c r="Z34" s="23" t="n"/>
      <c r="AA34" s="23" t="n"/>
      <c r="AB34" s="23" t="n"/>
      <c r="AC34" s="23" t="n"/>
    </row>
    <row r="35">
      <c r="A35" s="18" t="inlineStr">
        <is>
          <t>전체 판관비</t>
        </is>
      </c>
      <c r="B35" s="10" t="n"/>
      <c r="C35" s="19" t="n">
        <v>915.806</v>
      </c>
      <c r="D35" s="20" t="n">
        <v>1071.336</v>
      </c>
      <c r="E35" s="20" t="n">
        <v>910.417</v>
      </c>
      <c r="F35" s="20" t="n">
        <v>966.668</v>
      </c>
      <c r="G35" s="20" t="n">
        <v>949.869</v>
      </c>
      <c r="H35" s="20" t="n">
        <v>988.672</v>
      </c>
      <c r="I35" s="20" t="n">
        <v>937.383</v>
      </c>
      <c r="J35" s="20" t="n">
        <v>982.053</v>
      </c>
      <c r="K35" s="20" t="n">
        <v>974.788</v>
      </c>
      <c r="L35" s="20" t="n">
        <v>1082.138</v>
      </c>
      <c r="M35" s="20" t="n">
        <v>955.8049999999999</v>
      </c>
      <c r="N35" s="20" t="n">
        <v>982.533</v>
      </c>
      <c r="O35" s="19" t="n">
        <v>2795.528</v>
      </c>
      <c r="P35" s="20" t="n">
        <v>2926.002</v>
      </c>
      <c r="Q35" s="20" t="n">
        <v>3223.815</v>
      </c>
      <c r="R35" s="20" t="n">
        <v>3431.443</v>
      </c>
      <c r="S35" s="20" t="n">
        <v>2992.475</v>
      </c>
      <c r="T35" s="20" t="n">
        <v>2926.064</v>
      </c>
      <c r="U35" s="20" t="n">
        <v>3254.395</v>
      </c>
      <c r="V35" s="20" t="n">
        <v>3743.234</v>
      </c>
      <c r="W35" s="20" t="n">
        <v>3815.626</v>
      </c>
      <c r="X35" s="20" t="n">
        <v>3976.362</v>
      </c>
      <c r="Y35" s="19" t="n"/>
      <c r="Z35" s="20" t="n"/>
      <c r="AA35" s="20" t="n"/>
      <c r="AB35" s="20" t="n"/>
      <c r="AC35" s="20" t="n"/>
    </row>
    <row r="36">
      <c r="A36" s="13" t="inlineStr">
        <is>
          <t>YoY</t>
        </is>
      </c>
      <c r="B36" s="10" t="n"/>
      <c r="C36" s="14" t="n"/>
      <c r="D36" s="15" t="n"/>
      <c r="E36" s="15" t="n"/>
      <c r="F36" s="15" t="n"/>
      <c r="G36" s="15">
        <f>IF(OR(G35="",C35=""),"",IF(C35&lt;=0,"",IFERROR(G35/C35-1,"")))</f>
        <v/>
      </c>
      <c r="H36" s="15">
        <f>IF(OR(H35="",D35=""),"",IF(D35&lt;=0,"",IFERROR(H35/D35-1,"")))</f>
        <v/>
      </c>
      <c r="I36" s="15">
        <f>IF(OR(I35="",E35=""),"",IF(E35&lt;=0,"",IFERROR(I35/E35-1,"")))</f>
        <v/>
      </c>
      <c r="J36" s="15">
        <f>IF(OR(J35="",F35=""),"",IF(F35&lt;=0,"",IFERROR(J35/F35-1,"")))</f>
        <v/>
      </c>
      <c r="K36" s="15">
        <f>IF(OR(K35="",G35=""),"",IF(G35&lt;=0,"",IFERROR(K35/G35-1,"")))</f>
        <v/>
      </c>
      <c r="L36" s="15">
        <f>IF(OR(L35="",H35=""),"",IF(H35&lt;=0,"",IFERROR(L35/H35-1,"")))</f>
        <v/>
      </c>
      <c r="M36" s="15">
        <f>IF(OR(M35="",I35=""),"",IF(I35&lt;=0,"",IFERROR(M35/I35-1,"")))</f>
        <v/>
      </c>
      <c r="N36" s="15">
        <f>IF(OR(N35="",J35=""),"",IF(J35&lt;=0,"",IFERROR(N35/J35-1,"")))</f>
        <v/>
      </c>
      <c r="O36" s="14" t="n"/>
      <c r="P36" s="15">
        <f>IF(OR(P35="",O35=""),"",IF(O35&lt;=0,"",IFERROR(P35/O35-1,"")))</f>
        <v/>
      </c>
      <c r="Q36" s="15">
        <f>IF(OR(Q35="",P35=""),"",IF(P35&lt;=0,"",IFERROR(Q35/P35-1,"")))</f>
        <v/>
      </c>
      <c r="R36" s="15">
        <f>IF(OR(R35="",Q35=""),"",IF(Q35&lt;=0,"",IFERROR(R35/Q35-1,"")))</f>
        <v/>
      </c>
      <c r="S36" s="15">
        <f>IF(OR(S35="",R35=""),"",IF(R35&lt;=0,"",IFERROR(S35/R35-1,"")))</f>
        <v/>
      </c>
      <c r="T36" s="15">
        <f>IF(OR(T35="",S35=""),"",IF(S35&lt;=0,"",IFERROR(T35/S35-1,"")))</f>
        <v/>
      </c>
      <c r="U36" s="15">
        <f>IF(OR(U35="",T35=""),"",IF(T35&lt;=0,"",IFERROR(U35/T35-1,"")))</f>
        <v/>
      </c>
      <c r="V36" s="15">
        <f>IF(OR(V35="",U35=""),"",IF(U35&lt;=0,"",IFERROR(V35/U35-1,"")))</f>
        <v/>
      </c>
      <c r="W36" s="15">
        <f>IF(OR(W35="",V35=""),"",IF(V35&lt;=0,"",IFERROR(W35/V35-1,"")))</f>
        <v/>
      </c>
      <c r="X36" s="15">
        <f>IF(OR(X35="",W35=""),"",IF(W35&lt;=0,"",IFERROR(X35/W35-1,"")))</f>
        <v/>
      </c>
      <c r="Y36" s="14">
        <f>IF(OR(Y35="",X35=""),"",IF(X35&lt;=0,"",IFERROR(Y35/X35-1,"")))</f>
        <v/>
      </c>
      <c r="Z36" s="15">
        <f>IF(OR(Z35="",Y35=""),"",IF(Y35&lt;=0,"",IFERROR(Z35/Y35-1,"")))</f>
        <v/>
      </c>
      <c r="AA36" s="15">
        <f>IF(OR(AA35="",Z35=""),"",IF(Z35&lt;=0,"",IFERROR(AA35/Z35-1,"")))</f>
        <v/>
      </c>
      <c r="AB36" s="15">
        <f>IF(OR(AB35="",AA35=""),"",IF(AA35&lt;=0,"",IFERROR(AB35/AA35-1,"")))</f>
        <v/>
      </c>
      <c r="AC36" s="15">
        <f>IF(OR(AC35="",AB35=""),"",IF(AB35&lt;=0,"",IFERROR(AC35/AB35-1,"")))</f>
        <v/>
      </c>
    </row>
    <row r="37">
      <c r="A37" s="9" t="inlineStr">
        <is>
          <t>영업이익</t>
        </is>
      </c>
      <c r="B37" s="10" t="inlineStr">
        <is>
          <t>MW = 매출 × OPM</t>
        </is>
      </c>
      <c r="C37" s="11" t="n">
        <v>456.423</v>
      </c>
      <c r="D37" s="12" t="n">
        <v>548.443</v>
      </c>
      <c r="E37" s="12" t="n">
        <v>394.635</v>
      </c>
      <c r="F37" s="12" t="n">
        <v>247.712</v>
      </c>
      <c r="G37" s="12" t="n">
        <v>391.749</v>
      </c>
      <c r="H37" s="12" t="n">
        <v>355.146</v>
      </c>
      <c r="I37" s="12" t="n">
        <v>508.139</v>
      </c>
      <c r="J37" s="12" t="n">
        <v>385.388</v>
      </c>
      <c r="K37" s="12" t="n">
        <v>459.552</v>
      </c>
      <c r="L37" s="12" t="n">
        <v>229.723</v>
      </c>
      <c r="M37" s="12" t="n">
        <v>380.895</v>
      </c>
      <c r="N37" s="12" t="n">
        <v>509.034</v>
      </c>
      <c r="O37" s="11" t="n">
        <v>1796.34</v>
      </c>
      <c r="P37" s="12" t="n">
        <v>1457.573</v>
      </c>
      <c r="Q37" s="12" t="n">
        <v>1462.602</v>
      </c>
      <c r="R37" s="12" t="n">
        <v>1162.413</v>
      </c>
      <c r="S37" s="12" t="n">
        <v>916.7089999999999</v>
      </c>
      <c r="T37" s="12" t="n">
        <v>1010.402</v>
      </c>
      <c r="U37" s="12" t="n">
        <v>1177.731</v>
      </c>
      <c r="V37" s="12" t="n">
        <v>1668.387</v>
      </c>
      <c r="W37" s="12" t="n">
        <v>1389.242</v>
      </c>
      <c r="X37" s="12" t="n">
        <v>1582.802</v>
      </c>
      <c r="Y37" s="11">
        <f>IF(OR(Y4="",Y38=""),"",IFERROR(Y4*Y38,""))</f>
        <v/>
      </c>
      <c r="Z37" s="12">
        <f>IF(OR(Z4="",Z38=""),"",IFERROR(Z4*Z38,""))</f>
        <v/>
      </c>
      <c r="AA37" s="12">
        <f>IF(OR(AA4="",AA38=""),"",IFERROR(AA4*AA38,""))</f>
        <v/>
      </c>
      <c r="AB37" s="12">
        <f>IF(OR(AB4="",AB38=""),"",IFERROR(AB4*AB38,""))</f>
        <v/>
      </c>
      <c r="AC37" s="12">
        <f>IF(OR(AC4="",AC38=""),"",IFERROR(AC4*AC38,""))</f>
        <v/>
      </c>
    </row>
    <row r="38">
      <c r="A38" s="13" t="inlineStr">
        <is>
          <t>OPM</t>
        </is>
      </c>
      <c r="B38" s="10" t="inlineStr">
        <is>
          <t>MW 입력</t>
        </is>
      </c>
      <c r="C38" s="14">
        <f>IF(OR(C37="",C4=""),"",IFERROR(C37/C4,""))</f>
        <v/>
      </c>
      <c r="D38" s="15">
        <f>IF(OR(D37="",D4=""),"",IFERROR(D37/D4,""))</f>
        <v/>
      </c>
      <c r="E38" s="15">
        <f>IF(OR(E37="",E4=""),"",IFERROR(E37/E4,""))</f>
        <v/>
      </c>
      <c r="F38" s="15">
        <f>IF(OR(F37="",F4=""),"",IFERROR(F37/F4,""))</f>
        <v/>
      </c>
      <c r="G38" s="15">
        <f>IF(OR(G37="",G4=""),"",IFERROR(G37/G4,""))</f>
        <v/>
      </c>
      <c r="H38" s="15">
        <f>IF(OR(H37="",H4=""),"",IFERROR(H37/H4,""))</f>
        <v/>
      </c>
      <c r="I38" s="15">
        <f>IF(OR(I37="",I4=""),"",IFERROR(I37/I4,""))</f>
        <v/>
      </c>
      <c r="J38" s="15">
        <f>IF(OR(J37="",J4=""),"",IFERROR(J37/J4,""))</f>
        <v/>
      </c>
      <c r="K38" s="15">
        <f>IF(OR(K37="",K4=""),"",IFERROR(K37/K4,""))</f>
        <v/>
      </c>
      <c r="L38" s="15">
        <f>IF(OR(L37="",L4=""),"",IFERROR(L37/L4,""))</f>
        <v/>
      </c>
      <c r="M38" s="15">
        <f>IF(OR(M37="",M4=""),"",IFERROR(M37/M4,""))</f>
        <v/>
      </c>
      <c r="N38" s="15">
        <f>IF(OR(N37="",N4=""),"",IFERROR(N37/N4,""))</f>
        <v/>
      </c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25" t="n"/>
      <c r="Z38" s="26" t="n"/>
      <c r="AA38" s="26" t="n"/>
      <c r="AB38" s="26" t="n"/>
      <c r="AC38" s="26" t="n"/>
    </row>
    <row r="39">
      <c r="A39" s="13" t="inlineStr">
        <is>
          <t>증가율</t>
        </is>
      </c>
      <c r="B39" s="10" t="n"/>
      <c r="C39" s="14" t="n"/>
      <c r="D39" s="15" t="n"/>
      <c r="E39" s="15" t="n"/>
      <c r="F39" s="15" t="n"/>
      <c r="G39" s="15">
        <f>IF(OR(G37="",C37=""),"",IFERROR(G37/C37-1,""))</f>
        <v/>
      </c>
      <c r="H39" s="15">
        <f>IF(OR(H37="",D37=""),"",IFERROR(H37/D37-1,""))</f>
        <v/>
      </c>
      <c r="I39" s="15">
        <f>IF(OR(I37="",E37=""),"",IFERROR(I37/E37-1,""))</f>
        <v/>
      </c>
      <c r="J39" s="15">
        <f>IF(OR(J37="",F37=""),"",IFERROR(J37/F37-1,""))</f>
        <v/>
      </c>
      <c r="K39" s="15">
        <f>IF(OR(K37="",G37=""),"",IFERROR(K37/G37-1,""))</f>
        <v/>
      </c>
      <c r="L39" s="15">
        <f>IF(OR(L37="",H37=""),"",IFERROR(L37/H37-1,""))</f>
        <v/>
      </c>
      <c r="M39" s="15">
        <f>IF(OR(M37="",I37=""),"",IFERROR(M37/I37-1,""))</f>
        <v/>
      </c>
      <c r="N39" s="15">
        <f>IF(OR(N37="",J37=""),"",IFERROR(N37/J37-1,""))</f>
        <v/>
      </c>
      <c r="O39" s="14" t="n"/>
      <c r="P39" s="15">
        <f>IF(OR(P37="",O37=""),"",IFERROR(P37/O37-1,""))</f>
        <v/>
      </c>
      <c r="Q39" s="15">
        <f>IF(OR(Q37="",P37=""),"",IFERROR(Q37/P37-1,""))</f>
        <v/>
      </c>
      <c r="R39" s="15">
        <f>IF(OR(R37="",Q37=""),"",IFERROR(R37/Q37-1,""))</f>
        <v/>
      </c>
      <c r="S39" s="15">
        <f>IF(OR(S37="",R37=""),"",IFERROR(S37/R37-1,""))</f>
        <v/>
      </c>
      <c r="T39" s="15">
        <f>IF(OR(T37="",S37=""),"",IFERROR(T37/S37-1,""))</f>
        <v/>
      </c>
      <c r="U39" s="15">
        <f>IF(OR(U37="",T37=""),"",IFERROR(U37/T37-1,""))</f>
        <v/>
      </c>
      <c r="V39" s="15">
        <f>IF(OR(V37="",U37=""),"",IFERROR(V37/U37-1,""))</f>
        <v/>
      </c>
      <c r="W39" s="15">
        <f>IF(OR(W37="",V37=""),"",IFERROR(W37/V37-1,""))</f>
        <v/>
      </c>
      <c r="X39" s="15">
        <f>IF(OR(X37="",W37=""),"",IFERROR(X37/W37-1,""))</f>
        <v/>
      </c>
      <c r="Y39" s="14">
        <f>IF(OR(Y37="",X37=""),"",IFERROR(Y37/X37-1,""))</f>
        <v/>
      </c>
      <c r="Z39" s="15">
        <f>IF(OR(Z37="",Y37=""),"",IFERROR(Z37/Y37-1,""))</f>
        <v/>
      </c>
      <c r="AA39" s="15">
        <f>IF(OR(AA37="",Z37=""),"",IFERROR(AA37/Z37-1,""))</f>
        <v/>
      </c>
      <c r="AB39" s="15">
        <f>IF(OR(AB37="",AA37=""),"",IFERROR(AB37/AA37-1,""))</f>
        <v/>
      </c>
      <c r="AC39" s="15">
        <f>IF(OR(AC37="",AB37=""),"",IFERROR(AC37/AB37-1,""))</f>
        <v/>
      </c>
    </row>
    <row r="40">
      <c r="A40" s="16" t="inlineStr">
        <is>
          <t>비용의 성격별 분류</t>
        </is>
      </c>
      <c r="B40" s="16" t="inlineStr">
        <is>
          <t>참고 데이터</t>
        </is>
      </c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9" t="inlineStr">
        <is>
          <t>총 판관비</t>
        </is>
      </c>
      <c r="B41" s="10" t="n"/>
      <c r="C41" s="11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1">
        <f>IF(O35="","",O35)</f>
        <v/>
      </c>
      <c r="P41" s="12">
        <f>IF(P35="","",P35)</f>
        <v/>
      </c>
      <c r="Q41" s="12">
        <f>IF(Q35="","",Q35)</f>
        <v/>
      </c>
      <c r="R41" s="12">
        <f>IF(R35="","",R35)</f>
        <v/>
      </c>
      <c r="S41" s="12">
        <f>IF(S35="","",S35)</f>
        <v/>
      </c>
      <c r="T41" s="12">
        <f>IF(T35="","",T35)</f>
        <v/>
      </c>
      <c r="U41" s="12">
        <f>IF(U35="","",U35)</f>
        <v/>
      </c>
      <c r="V41" s="12">
        <f>IF(V35="","",V35)</f>
        <v/>
      </c>
      <c r="W41" s="12">
        <f>IF(W35="","",W35)</f>
        <v/>
      </c>
      <c r="X41" s="12">
        <f>IF(X35="","",X35)</f>
        <v/>
      </c>
      <c r="Y41" s="11" t="n"/>
      <c r="Z41" s="12" t="n"/>
      <c r="AA41" s="12" t="n"/>
      <c r="AB41" s="12" t="n"/>
      <c r="AC41" s="12" t="n"/>
    </row>
    <row r="42">
      <c r="A42" s="18" t="inlineStr">
        <is>
          <t>급여</t>
        </is>
      </c>
      <c r="B42" s="10" t="inlineStr">
        <is>
          <t>고정비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감가상각비</t>
        </is>
      </c>
      <c r="B44" s="10" t="inlineStr">
        <is>
          <t>고정비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8" t="inlineStr">
        <is>
          <t>지급수수료</t>
        </is>
      </c>
      <c r="B46" s="10" t="inlineStr">
        <is>
          <t>고정비</t>
        </is>
      </c>
      <c r="C46" s="19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19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19" t="n"/>
      <c r="Z46" s="20" t="n"/>
      <c r="AA46" s="20" t="n"/>
      <c r="AB46" s="20" t="n"/>
      <c r="AC46" s="20" t="n"/>
    </row>
    <row r="47">
      <c r="A47" s="13" t="inlineStr">
        <is>
          <t>% of Sales</t>
        </is>
      </c>
      <c r="B47" s="10" t="n"/>
      <c r="C47" s="14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14" t="n"/>
      <c r="Z47" s="15" t="n"/>
      <c r="AA47" s="15" t="n"/>
      <c r="AB47" s="15" t="n"/>
      <c r="AC47" s="15" t="n"/>
    </row>
    <row r="48">
      <c r="A48" s="18" t="inlineStr">
        <is>
          <t>연구개발비</t>
        </is>
      </c>
      <c r="B48" s="10" t="inlineStr">
        <is>
          <t>변동비</t>
        </is>
      </c>
      <c r="C48" s="19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19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19" t="n"/>
      <c r="Z48" s="20" t="n"/>
      <c r="AA48" s="20" t="n"/>
      <c r="AB48" s="20" t="n"/>
      <c r="AC48" s="20" t="n"/>
    </row>
    <row r="49">
      <c r="A49" s="13" t="inlineStr">
        <is>
          <t>% of Sales</t>
        </is>
      </c>
      <c r="B49" s="10" t="n"/>
      <c r="C49" s="14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14" t="n"/>
      <c r="Z49" s="15" t="n"/>
      <c r="AA49" s="15" t="n"/>
      <c r="AB49" s="15" t="n"/>
      <c r="AC49" s="15" t="n"/>
    </row>
    <row r="50">
      <c r="A50" s="18" t="inlineStr">
        <is>
          <t>기타비용</t>
        </is>
      </c>
      <c r="B50" s="10" t="inlineStr">
        <is>
          <t>변동비</t>
        </is>
      </c>
      <c r="C50" s="19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19">
        <f>IF(OR(O41="",O42="",O44="",O46="",O48=""),"",IFERROR(O41-O42-O44-O46-O48,""))</f>
        <v/>
      </c>
      <c r="P50" s="20">
        <f>IF(OR(P41="",P42="",P44="",P46="",P48=""),"",IFERROR(P41-P42-P44-P46-P48,""))</f>
        <v/>
      </c>
      <c r="Q50" s="20">
        <f>IF(OR(Q41="",Q42="",Q44="",Q46="",Q48=""),"",IFERROR(Q41-Q42-Q44-Q46-Q48,""))</f>
        <v/>
      </c>
      <c r="R50" s="20">
        <f>IF(OR(R41="",R42="",R44="",R46="",R48=""),"",IFERROR(R41-R42-R44-R46-R48,""))</f>
        <v/>
      </c>
      <c r="S50" s="20">
        <f>IF(OR(S41="",S42="",S44="",S46="",S48=""),"",IFERROR(S41-S42-S44-S46-S48,""))</f>
        <v/>
      </c>
      <c r="T50" s="20">
        <f>IF(OR(T41="",T42="",T44="",T46="",T48=""),"",IFERROR(T41-T42-T44-T46-T48,""))</f>
        <v/>
      </c>
      <c r="U50" s="20">
        <f>IF(OR(U41="",U42="",U44="",U46="",U48=""),"",IFERROR(U41-U42-U44-U46-U48,""))</f>
        <v/>
      </c>
      <c r="V50" s="20">
        <f>IF(OR(V41="",V42="",V44="",V46="",V48=""),"",IFERROR(V41-V42-V44-V46-V48,""))</f>
        <v/>
      </c>
      <c r="W50" s="20">
        <f>IF(OR(W41="",W42="",W44="",W46="",W48=""),"",IFERROR(W41-W42-W44-W46-W48,""))</f>
        <v/>
      </c>
      <c r="X50" s="20">
        <f>IF(OR(X41="",X42="",X44="",X46="",X48=""),"",IFERROR(X41-X42-X44-X46-X48,""))</f>
        <v/>
      </c>
      <c r="Y50" s="19" t="n"/>
      <c r="Z50" s="20" t="n"/>
      <c r="AA50" s="20" t="n"/>
      <c r="AB50" s="20" t="n"/>
      <c r="AC50" s="20" t="n"/>
    </row>
    <row r="51">
      <c r="A51" s="13" t="inlineStr">
        <is>
          <t>% of Sales</t>
        </is>
      </c>
      <c r="B51" s="10" t="n"/>
      <c r="C51" s="14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14" t="n"/>
      <c r="Z51" s="15" t="n"/>
      <c r="AA51" s="15" t="n"/>
      <c r="AB51" s="15" t="n"/>
      <c r="AC51" s="15" t="n"/>
    </row>
    <row r="52">
      <c r="A52" s="16" t="inlineStr">
        <is>
          <t>당기순이익 추정</t>
        </is>
      </c>
      <c r="B52" s="16" t="n"/>
      <c r="C52" s="17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7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7" t="n"/>
      <c r="Z52" s="16" t="n"/>
      <c r="AA52" s="16" t="n"/>
      <c r="AB52" s="16" t="n"/>
      <c r="AC52" s="16" t="n"/>
    </row>
    <row r="53">
      <c r="A53" s="18" t="inlineStr">
        <is>
          <t>특별이익</t>
        </is>
      </c>
      <c r="B53" s="10" t="n"/>
      <c r="C53" s="19" t="n">
        <v>0</v>
      </c>
      <c r="D53" s="20" t="n">
        <v>8.699999999999999</v>
      </c>
      <c r="E53" s="20" t="n">
        <v>88.63500000000001</v>
      </c>
      <c r="F53" s="20" t="n">
        <v>0</v>
      </c>
      <c r="G53" s="20" t="n">
        <v>0</v>
      </c>
      <c r="H53" s="20" t="n">
        <v>0</v>
      </c>
      <c r="I53" s="20" t="n">
        <v>0</v>
      </c>
      <c r="J53" s="20" t="n">
        <v>0</v>
      </c>
      <c r="K53" s="20" t="n">
        <v>0</v>
      </c>
      <c r="L53" s="20" t="n">
        <v>0</v>
      </c>
      <c r="M53" s="20" t="n"/>
      <c r="N53" s="20" t="n"/>
      <c r="O53" s="19" t="n">
        <v>30.221</v>
      </c>
      <c r="P53" s="20" t="n">
        <v>85.182</v>
      </c>
      <c r="Q53" s="20" t="n">
        <v>0</v>
      </c>
      <c r="R53" s="20" t="n">
        <v>2.592</v>
      </c>
      <c r="S53" s="20" t="n">
        <v>0</v>
      </c>
      <c r="T53" s="20" t="n"/>
      <c r="U53" s="20" t="n">
        <v>0</v>
      </c>
      <c r="V53" s="20" t="n">
        <v>8.699999999999999</v>
      </c>
      <c r="W53" s="20" t="n">
        <v>88.63500000000001</v>
      </c>
      <c r="X53" s="20" t="n">
        <v>0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inlineStr">
        <is>
          <t>MW = 최근 3년 평균</t>
        </is>
      </c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18" t="inlineStr">
        <is>
          <t>특별손실</t>
        </is>
      </c>
      <c r="B55" s="10" t="n"/>
      <c r="C55" s="19" t="n"/>
      <c r="D55" s="20" t="n"/>
      <c r="E55" s="20" t="n"/>
      <c r="F55" s="20" t="n"/>
      <c r="G55" s="20" t="n">
        <v>0</v>
      </c>
      <c r="H55" s="20" t="n">
        <v>10.475</v>
      </c>
      <c r="I55" s="20" t="n"/>
      <c r="J55" s="20" t="n"/>
      <c r="K55" s="20" t="n">
        <v>0.073</v>
      </c>
      <c r="L55" s="20" t="n">
        <v>0.5610000000000001</v>
      </c>
      <c r="M55" s="20" t="n"/>
      <c r="N55" s="20" t="n"/>
      <c r="O55" s="19" t="n"/>
      <c r="P55" s="20" t="n"/>
      <c r="Q55" s="20" t="n">
        <v>0</v>
      </c>
      <c r="R55" s="20" t="n">
        <v>82.27</v>
      </c>
      <c r="S55" s="20" t="n">
        <v>0</v>
      </c>
      <c r="T55" s="20" t="n"/>
      <c r="U55" s="20" t="n"/>
      <c r="V55" s="20" t="n">
        <v>0</v>
      </c>
      <c r="W55" s="20" t="n">
        <v>10.475</v>
      </c>
      <c r="X55" s="20" t="n">
        <v>37.68</v>
      </c>
      <c r="Y55" s="19">
        <f>IF(OR(Y4="",Y56=""),"",IFERROR(Y4*Y56,""))</f>
        <v/>
      </c>
      <c r="Z55" s="20">
        <f>IF(OR(Z4="",Z56=""),"",IFERROR(Z4*Z56,""))</f>
        <v/>
      </c>
      <c r="AA55" s="20">
        <f>IF(OR(AA4="",AA56=""),"",IFERROR(AA4*AA56,""))</f>
        <v/>
      </c>
      <c r="AB55" s="20">
        <f>IF(OR(AB4="",AB56=""),"",IFERROR(AB4*AB56,""))</f>
        <v/>
      </c>
      <c r="AC55" s="20">
        <f>IF(OR(AC4="",AC56=""),"",IFERROR(AC4*AC56,""))</f>
        <v/>
      </c>
    </row>
    <row r="56">
      <c r="A56" s="13" t="inlineStr">
        <is>
          <t>% of Sales</t>
        </is>
      </c>
      <c r="B56" s="10" t="n"/>
      <c r="C56" s="14">
        <f>IF(OR(C55="",C4=""),"",IFERROR(C55/C4,""))</f>
        <v/>
      </c>
      <c r="D56" s="15">
        <f>IF(OR(D55="",D4=""),"",IFERROR(D55/D4,""))</f>
        <v/>
      </c>
      <c r="E56" s="15">
        <f>IF(OR(E55="",E4=""),"",IFERROR(E55/E4,""))</f>
        <v/>
      </c>
      <c r="F56" s="15">
        <f>IF(OR(F55="",F4=""),"",IFERROR(F55/F4,""))</f>
        <v/>
      </c>
      <c r="G56" s="15">
        <f>IF(OR(G55="",G4=""),"",IFERROR(G55/G4,""))</f>
        <v/>
      </c>
      <c r="H56" s="15">
        <f>IF(OR(H55="",H4=""),"",IFERROR(H55/H4,""))</f>
        <v/>
      </c>
      <c r="I56" s="15">
        <f>IF(OR(I55="",I4=""),"",IFERROR(I55/I4,""))</f>
        <v/>
      </c>
      <c r="J56" s="15">
        <f>IF(OR(J55="",J4=""),"",IFERROR(J55/J4,""))</f>
        <v/>
      </c>
      <c r="K56" s="15">
        <f>IF(OR(K55="",K4=""),"",IFERROR(K55/K4,""))</f>
        <v/>
      </c>
      <c r="L56" s="15">
        <f>IF(OR(L55="",L4=""),"",IFERROR(L55/L4,""))</f>
        <v/>
      </c>
      <c r="M56" s="15">
        <f>IF(OR(M55="",M4=""),"",IFERROR(M55/M4,""))</f>
        <v/>
      </c>
      <c r="N56" s="15">
        <f>IF(OR(N55="",N4=""),"",IFERROR(N55/N4,""))</f>
        <v/>
      </c>
      <c r="O56" s="14">
        <f>IF(OR(O55="",O4=""),"",IFERROR(O55/O4,""))</f>
        <v/>
      </c>
      <c r="P56" s="15">
        <f>IF(OR(P55="",P4=""),"",IFERROR(P55/P4,""))</f>
        <v/>
      </c>
      <c r="Q56" s="15">
        <f>IF(OR(Q55="",Q4=""),"",IFERROR(Q55/Q4,""))</f>
        <v/>
      </c>
      <c r="R56" s="15">
        <f>IF(OR(R55="",R4=""),"",IFERROR(R55/R4,""))</f>
        <v/>
      </c>
      <c r="S56" s="15">
        <f>IF(OR(S55="",S4=""),"",IFERROR(S55/S4,""))</f>
        <v/>
      </c>
      <c r="T56" s="15">
        <f>IF(OR(T55="",T4=""),"",IFERROR(T55/T4,""))</f>
        <v/>
      </c>
      <c r="U56" s="15">
        <f>IF(OR(U55="",U4=""),"",IFERROR(U55/U4,""))</f>
        <v/>
      </c>
      <c r="V56" s="15">
        <f>IF(OR(V55="",V4=""),"",IFERROR(V55/V4,""))</f>
        <v/>
      </c>
      <c r="W56" s="15">
        <f>IF(OR(W55="",W4=""),"",IFERROR(W55/W4,""))</f>
        <v/>
      </c>
      <c r="X56" s="15">
        <f>IF(OR(X55="",X4=""),"",IFERROR(X55/X4,""))</f>
        <v/>
      </c>
      <c r="Y56" s="25">
        <f>IFERROR(AVERAGE(V56,W56,X56),"")</f>
        <v/>
      </c>
      <c r="Z56" s="26">
        <f>Y56</f>
        <v/>
      </c>
      <c r="AA56" s="26">
        <f>Z56</f>
        <v/>
      </c>
      <c r="AB56" s="26">
        <f>AA56</f>
        <v/>
      </c>
      <c r="AC56" s="26">
        <f>AB56</f>
        <v/>
      </c>
    </row>
    <row r="57">
      <c r="A57" s="18" t="inlineStr">
        <is>
          <t>영업외수익</t>
        </is>
      </c>
      <c r="B57" s="10" t="n"/>
      <c r="C57" s="19" t="n">
        <v>2.838</v>
      </c>
      <c r="D57" s="20" t="n">
        <v>19.245</v>
      </c>
      <c r="E57" s="20" t="n">
        <v>32.874</v>
      </c>
      <c r="F57" s="20" t="n">
        <v>47.665</v>
      </c>
      <c r="G57" s="20" t="n">
        <v>-22.153</v>
      </c>
      <c r="H57" s="20" t="n">
        <v>15.661</v>
      </c>
      <c r="I57" s="20" t="n">
        <v>22.53</v>
      </c>
      <c r="J57" s="20" t="n">
        <v>35.72</v>
      </c>
      <c r="K57" s="20" t="n">
        <v>24.832</v>
      </c>
      <c r="L57" s="20" t="n">
        <v>30.387</v>
      </c>
      <c r="M57" s="20" t="n">
        <v>29.351</v>
      </c>
      <c r="N57" s="20" t="n">
        <v>37.955</v>
      </c>
      <c r="O57" s="19" t="n">
        <v>64.17</v>
      </c>
      <c r="P57" s="20" t="n">
        <v>61.188</v>
      </c>
      <c r="Q57" s="20" t="n">
        <v>48.035</v>
      </c>
      <c r="R57" s="20" t="n">
        <v>41.848</v>
      </c>
      <c r="S57" s="20" t="n">
        <v>87.16800000000001</v>
      </c>
      <c r="T57" s="20" t="n">
        <v>68.77500000000001</v>
      </c>
      <c r="U57" s="20" t="n">
        <v>95.229</v>
      </c>
      <c r="V57" s="20" t="n">
        <v>89.974</v>
      </c>
      <c r="W57" s="20" t="n">
        <v>74.047</v>
      </c>
      <c r="X57" s="20" t="n">
        <v>113.469</v>
      </c>
      <c r="Y57" s="19">
        <f>IF(OR(Y4="",Y58=""),"",IFERROR(Y4*Y58,""))</f>
        <v/>
      </c>
      <c r="Z57" s="20">
        <f>IF(OR(Z4="",Z58=""),"",IFERROR(Z4*Z58,""))</f>
        <v/>
      </c>
      <c r="AA57" s="20">
        <f>IF(OR(AA4="",AA58=""),"",IFERROR(AA4*AA58,""))</f>
        <v/>
      </c>
      <c r="AB57" s="20">
        <f>IF(OR(AB4="",AB58=""),"",IFERROR(AB4*AB58,""))</f>
        <v/>
      </c>
      <c r="AC57" s="20">
        <f>IF(OR(AC4="",AC58=""),"",IFERROR(AC4*AC58,""))</f>
        <v/>
      </c>
    </row>
    <row r="58">
      <c r="A58" s="13" t="inlineStr">
        <is>
          <t>% of Sales</t>
        </is>
      </c>
      <c r="B58" s="10" t="n"/>
      <c r="C58" s="14">
        <f>IF(OR(C57="",C4=""),"",IFERROR(C57/C4,""))</f>
        <v/>
      </c>
      <c r="D58" s="15">
        <f>IF(OR(D57="",D4=""),"",IFERROR(D57/D4,""))</f>
        <v/>
      </c>
      <c r="E58" s="15">
        <f>IF(OR(E57="",E4=""),"",IFERROR(E57/E4,""))</f>
        <v/>
      </c>
      <c r="F58" s="15">
        <f>IF(OR(F57="",F4=""),"",IFERROR(F57/F4,""))</f>
        <v/>
      </c>
      <c r="G58" s="15">
        <f>IF(OR(G57="",G4=""),"",IFERROR(G57/G4,""))</f>
        <v/>
      </c>
      <c r="H58" s="15">
        <f>IF(OR(H57="",H4=""),"",IFERROR(H57/H4,""))</f>
        <v/>
      </c>
      <c r="I58" s="15">
        <f>IF(OR(I57="",I4=""),"",IFERROR(I57/I4,""))</f>
        <v/>
      </c>
      <c r="J58" s="15">
        <f>IF(OR(J57="",J4=""),"",IFERROR(J57/J4,""))</f>
        <v/>
      </c>
      <c r="K58" s="15">
        <f>IF(OR(K57="",K4=""),"",IFERROR(K57/K4,""))</f>
        <v/>
      </c>
      <c r="L58" s="15">
        <f>IF(OR(L57="",L4=""),"",IFERROR(L57/L4,""))</f>
        <v/>
      </c>
      <c r="M58" s="15">
        <f>IF(OR(M57="",M4=""),"",IFERROR(M57/M4,""))</f>
        <v/>
      </c>
      <c r="N58" s="15">
        <f>IF(OR(N57="",N4=""),"",IFERROR(N57/N4,""))</f>
        <v/>
      </c>
      <c r="O58" s="14">
        <f>IF(OR(O57="",O4=""),"",IFERROR(O57/O4,""))</f>
        <v/>
      </c>
      <c r="P58" s="15">
        <f>IF(OR(P57="",P4=""),"",IFERROR(P57/P4,""))</f>
        <v/>
      </c>
      <c r="Q58" s="15">
        <f>IF(OR(Q57="",Q4=""),"",IFERROR(Q57/Q4,""))</f>
        <v/>
      </c>
      <c r="R58" s="15">
        <f>IF(OR(R57="",R4=""),"",IFERROR(R57/R4,""))</f>
        <v/>
      </c>
      <c r="S58" s="15">
        <f>IF(OR(S57="",S4=""),"",IFERROR(S57/S4,""))</f>
        <v/>
      </c>
      <c r="T58" s="15">
        <f>IF(OR(T57="",T4=""),"",IFERROR(T57/T4,""))</f>
        <v/>
      </c>
      <c r="U58" s="15">
        <f>IF(OR(U57="",U4=""),"",IFERROR(U57/U4,""))</f>
        <v/>
      </c>
      <c r="V58" s="15">
        <f>IF(OR(V57="",V4=""),"",IFERROR(V57/V4,""))</f>
        <v/>
      </c>
      <c r="W58" s="15">
        <f>IF(OR(W57="",W4=""),"",IFERROR(W57/W4,""))</f>
        <v/>
      </c>
      <c r="X58" s="15">
        <f>IF(OR(X57="",X4=""),"",IFERROR(X57/X4,""))</f>
        <v/>
      </c>
      <c r="Y58" s="25">
        <f>IFERROR(AVERAGE(V58,W58,X58),"")</f>
        <v/>
      </c>
      <c r="Z58" s="26">
        <f>Y58</f>
        <v/>
      </c>
      <c r="AA58" s="26">
        <f>Z58</f>
        <v/>
      </c>
      <c r="AB58" s="26">
        <f>AA58</f>
        <v/>
      </c>
      <c r="AC58" s="26">
        <f>AB58</f>
        <v/>
      </c>
    </row>
    <row r="59">
      <c r="A59" s="18" t="inlineStr">
        <is>
          <t>영업외비용</t>
        </is>
      </c>
      <c r="B59" s="10" t="n"/>
      <c r="C59" s="19" t="n">
        <v>8.475</v>
      </c>
      <c r="D59" s="20" t="n">
        <v>-1.235</v>
      </c>
      <c r="E59" s="20" t="n">
        <v>2.205</v>
      </c>
      <c r="F59" s="20" t="n">
        <v>0.88</v>
      </c>
      <c r="G59" s="20" t="n">
        <v>15.934</v>
      </c>
      <c r="H59" s="20" t="n">
        <v>-3.508</v>
      </c>
      <c r="I59" s="20" t="n">
        <v>16.589</v>
      </c>
      <c r="J59" s="20" t="n">
        <v>1.47</v>
      </c>
      <c r="K59" s="20" t="n">
        <v>-1.514</v>
      </c>
      <c r="L59" s="20" t="n">
        <v>2.044</v>
      </c>
      <c r="M59" s="20" t="n">
        <v>17.133</v>
      </c>
      <c r="N59" s="20" t="n">
        <v>11.079</v>
      </c>
      <c r="O59" s="19" t="n">
        <v>10.025</v>
      </c>
      <c r="P59" s="20" t="n">
        <v>15.957</v>
      </c>
      <c r="Q59" s="20" t="n">
        <v>30.528</v>
      </c>
      <c r="R59" s="20" t="n">
        <v>15.141</v>
      </c>
      <c r="S59" s="20" t="n">
        <v>18.89</v>
      </c>
      <c r="T59" s="20" t="n">
        <v>9.593</v>
      </c>
      <c r="U59" s="20" t="n">
        <v>12.461</v>
      </c>
      <c r="V59" s="20" t="n">
        <v>19.158</v>
      </c>
      <c r="W59" s="20" t="n">
        <v>15.511</v>
      </c>
      <c r="X59" s="20" t="n">
        <v>18.589</v>
      </c>
      <c r="Y59" s="19">
        <f>IF(OR(Y4="",Y60=""),"",IFERROR(Y4*Y60,""))</f>
        <v/>
      </c>
      <c r="Z59" s="20">
        <f>IF(OR(Z4="",Z60=""),"",IFERROR(Z4*Z60,""))</f>
        <v/>
      </c>
      <c r="AA59" s="20">
        <f>IF(OR(AA4="",AA60=""),"",IFERROR(AA4*AA60,""))</f>
        <v/>
      </c>
      <c r="AB59" s="20">
        <f>IF(OR(AB4="",AB60=""),"",IFERROR(AB4*AB60,""))</f>
        <v/>
      </c>
      <c r="AC59" s="20">
        <f>IF(OR(AC4="",AC60=""),"",IFERROR(AC4*AC60,""))</f>
        <v/>
      </c>
    </row>
    <row r="60">
      <c r="A60" s="13" t="inlineStr">
        <is>
          <t>% of Sales</t>
        </is>
      </c>
      <c r="B60" s="10" t="n"/>
      <c r="C60" s="14">
        <f>IF(OR(C59="",C4=""),"",IFERROR(C59/C4,""))</f>
        <v/>
      </c>
      <c r="D60" s="15">
        <f>IF(OR(D59="",D4=""),"",IFERROR(D59/D4,""))</f>
        <v/>
      </c>
      <c r="E60" s="15">
        <f>IF(OR(E59="",E4=""),"",IFERROR(E59/E4,""))</f>
        <v/>
      </c>
      <c r="F60" s="15">
        <f>IF(OR(F59="",F4=""),"",IFERROR(F59/F4,""))</f>
        <v/>
      </c>
      <c r="G60" s="15">
        <f>IF(OR(G59="",G4=""),"",IFERROR(G59/G4,""))</f>
        <v/>
      </c>
      <c r="H60" s="15">
        <f>IF(OR(H59="",H4=""),"",IFERROR(H59/H4,""))</f>
        <v/>
      </c>
      <c r="I60" s="15">
        <f>IF(OR(I59="",I4=""),"",IFERROR(I59/I4,""))</f>
        <v/>
      </c>
      <c r="J60" s="15">
        <f>IF(OR(J59="",J4=""),"",IFERROR(J59/J4,""))</f>
        <v/>
      </c>
      <c r="K60" s="15">
        <f>IF(OR(K59="",K4=""),"",IFERROR(K59/K4,""))</f>
        <v/>
      </c>
      <c r="L60" s="15">
        <f>IF(OR(L59="",L4=""),"",IFERROR(L59/L4,""))</f>
        <v/>
      </c>
      <c r="M60" s="15">
        <f>IF(OR(M59="",M4=""),"",IFERROR(M59/M4,""))</f>
        <v/>
      </c>
      <c r="N60" s="15">
        <f>IF(OR(N59="",N4=""),"",IFERROR(N59/N4,""))</f>
        <v/>
      </c>
      <c r="O60" s="14">
        <f>IF(OR(O59="",O4=""),"",IFERROR(O59/O4,""))</f>
        <v/>
      </c>
      <c r="P60" s="15">
        <f>IF(OR(P59="",P4=""),"",IFERROR(P59/P4,""))</f>
        <v/>
      </c>
      <c r="Q60" s="15">
        <f>IF(OR(Q59="",Q4=""),"",IFERROR(Q59/Q4,""))</f>
        <v/>
      </c>
      <c r="R60" s="15">
        <f>IF(OR(R59="",R4=""),"",IFERROR(R59/R4,""))</f>
        <v/>
      </c>
      <c r="S60" s="15">
        <f>IF(OR(S59="",S4=""),"",IFERROR(S59/S4,""))</f>
        <v/>
      </c>
      <c r="T60" s="15">
        <f>IF(OR(T59="",T4=""),"",IFERROR(T59/T4,""))</f>
        <v/>
      </c>
      <c r="U60" s="15">
        <f>IF(OR(U59="",U4=""),"",IFERROR(U59/U4,""))</f>
        <v/>
      </c>
      <c r="V60" s="15">
        <f>IF(OR(V59="",V4=""),"",IFERROR(V59/V4,""))</f>
        <v/>
      </c>
      <c r="W60" s="15">
        <f>IF(OR(W59="",W4=""),"",IFERROR(W59/W4,""))</f>
        <v/>
      </c>
      <c r="X60" s="15">
        <f>IF(OR(X59="",X4=""),"",IFERROR(X59/X4,""))</f>
        <v/>
      </c>
      <c r="Y60" s="25">
        <f>IFERROR(AVERAGE(V60,W60,X60),"")</f>
        <v/>
      </c>
      <c r="Z60" s="26">
        <f>Y60</f>
        <v/>
      </c>
      <c r="AA60" s="26">
        <f>Z60</f>
        <v/>
      </c>
      <c r="AB60" s="26">
        <f>AA60</f>
        <v/>
      </c>
      <c r="AC60" s="26">
        <f>AB60</f>
        <v/>
      </c>
    </row>
    <row r="61">
      <c r="A61" s="9" t="inlineStr">
        <is>
          <t>법인세비용차감전순이익(손실)</t>
        </is>
      </c>
      <c r="B61" s="10" t="n"/>
      <c r="C61" s="11" t="n">
        <v>450.787</v>
      </c>
      <c r="D61" s="12" t="n">
        <v>577.622</v>
      </c>
      <c r="E61" s="12" t="n">
        <v>513.939</v>
      </c>
      <c r="F61" s="12" t="n">
        <v>294.497</v>
      </c>
      <c r="G61" s="12" t="n">
        <v>353.663</v>
      </c>
      <c r="H61" s="12" t="n">
        <v>363.838</v>
      </c>
      <c r="I61" s="12" t="n">
        <v>514.08</v>
      </c>
      <c r="J61" s="12" t="n">
        <v>382.592</v>
      </c>
      <c r="K61" s="12" t="n">
        <v>485.825</v>
      </c>
      <c r="L61" s="12" t="n">
        <v>257.505</v>
      </c>
      <c r="M61" s="12" t="n">
        <v>393.114</v>
      </c>
      <c r="N61" s="12" t="n">
        <v>535.909</v>
      </c>
      <c r="O61" s="11" t="n">
        <v>1880.706</v>
      </c>
      <c r="P61" s="12" t="n">
        <v>1587.986</v>
      </c>
      <c r="Q61" s="12" t="n">
        <v>1480.109</v>
      </c>
      <c r="R61" s="12" t="n">
        <v>1109.443</v>
      </c>
      <c r="S61" s="12" t="n">
        <v>984.986</v>
      </c>
      <c r="T61" s="12" t="n">
        <v>1069.584</v>
      </c>
      <c r="U61" s="12" t="n">
        <v>1260.5</v>
      </c>
      <c r="V61" s="12" t="n">
        <v>1747.903</v>
      </c>
      <c r="W61" s="12" t="n">
        <v>1525.937</v>
      </c>
      <c r="X61" s="12" t="n">
        <v>1640.002</v>
      </c>
      <c r="Y61" s="11">
        <f>IF(OR(Y37=""),"",IFERROR(Y37+N(Y53)-N(Y55)+N(Y57)-N(Y59),""))</f>
        <v/>
      </c>
      <c r="Z61" s="12">
        <f>IF(OR(Z37=""),"",IFERROR(Z37+N(Z53)-N(Z55)+N(Z57)-N(Z59),""))</f>
        <v/>
      </c>
      <c r="AA61" s="12">
        <f>IF(OR(AA37=""),"",IFERROR(AA37+N(AA53)-N(AA55)+N(AA57)-N(AA59),""))</f>
        <v/>
      </c>
      <c r="AB61" s="12">
        <f>IF(OR(AB37=""),"",IFERROR(AB37+N(AB53)-N(AB55)+N(AB57)-N(AB59),""))</f>
        <v/>
      </c>
      <c r="AC61" s="12">
        <f>IF(OR(AC37=""),"",IFERROR(AC37+N(AC53)-N(AC55)+N(AC57)-N(AC59),""))</f>
        <v/>
      </c>
    </row>
    <row r="62">
      <c r="A62" s="13" t="inlineStr">
        <is>
          <t>YoY</t>
        </is>
      </c>
      <c r="B62" s="10" t="n"/>
      <c r="C62" s="14" t="n"/>
      <c r="D62" s="15" t="n"/>
      <c r="E62" s="15" t="n"/>
      <c r="F62" s="15" t="n"/>
      <c r="G62" s="15">
        <f>IF(OR(G61="",C61=""),"",IF(C61&lt;=0,"",IFERROR(G61/C61-1,"")))</f>
        <v/>
      </c>
      <c r="H62" s="15">
        <f>IF(OR(H61="",D61=""),"",IF(D61&lt;=0,"",IFERROR(H61/D61-1,"")))</f>
        <v/>
      </c>
      <c r="I62" s="15">
        <f>IF(OR(I61="",E61=""),"",IF(E61&lt;=0,"",IFERROR(I61/E61-1,"")))</f>
        <v/>
      </c>
      <c r="J62" s="15">
        <f>IF(OR(J61="",F61=""),"",IF(F61&lt;=0,"",IFERROR(J61/F61-1,"")))</f>
        <v/>
      </c>
      <c r="K62" s="15">
        <f>IF(OR(K61="",G61=""),"",IF(G61&lt;=0,"",IFERROR(K61/G61-1,"")))</f>
        <v/>
      </c>
      <c r="L62" s="15">
        <f>IF(OR(L61="",H61=""),"",IF(H61&lt;=0,"",IFERROR(L61/H61-1,"")))</f>
        <v/>
      </c>
      <c r="M62" s="15">
        <f>IF(OR(M61="",I61=""),"",IF(I61&lt;=0,"",IFERROR(M61/I61-1,"")))</f>
        <v/>
      </c>
      <c r="N62" s="15">
        <f>IF(OR(N61="",J61=""),"",IF(J61&lt;=0,"",IFERROR(N61/J61-1,"")))</f>
        <v/>
      </c>
      <c r="O62" s="14" t="n"/>
      <c r="P62" s="15">
        <f>IF(OR(P61="",O61=""),"",IF(O61&lt;=0,"",IFERROR(P61/O61-1,"")))</f>
        <v/>
      </c>
      <c r="Q62" s="15">
        <f>IF(OR(Q61="",P61=""),"",IF(P61&lt;=0,"",IFERROR(Q61/P61-1,"")))</f>
        <v/>
      </c>
      <c r="R62" s="15">
        <f>IF(OR(R61="",Q61=""),"",IF(Q61&lt;=0,"",IFERROR(R61/Q61-1,"")))</f>
        <v/>
      </c>
      <c r="S62" s="15">
        <f>IF(OR(S61="",R61=""),"",IF(R61&lt;=0,"",IFERROR(S61/R61-1,"")))</f>
        <v/>
      </c>
      <c r="T62" s="15">
        <f>IF(OR(T61="",S61=""),"",IF(S61&lt;=0,"",IFERROR(T61/S61-1,"")))</f>
        <v/>
      </c>
      <c r="U62" s="15">
        <f>IF(OR(U61="",T61=""),"",IF(T61&lt;=0,"",IFERROR(U61/T61-1,"")))</f>
        <v/>
      </c>
      <c r="V62" s="15">
        <f>IF(OR(V61="",U61=""),"",IF(U61&lt;=0,"",IFERROR(V61/U61-1,"")))</f>
        <v/>
      </c>
      <c r="W62" s="15">
        <f>IF(OR(W61="",V61=""),"",IF(V61&lt;=0,"",IFERROR(W61/V61-1,"")))</f>
        <v/>
      </c>
      <c r="X62" s="15">
        <f>IF(OR(X61="",W61=""),"",IF(W61&lt;=0,"",IFERROR(X61/W61-1,"")))</f>
        <v/>
      </c>
      <c r="Y62" s="14">
        <f>IF(OR(Y61="",X61=""),"",IF(X61&lt;=0,"",IFERROR(Y61/X61-1,"")))</f>
        <v/>
      </c>
      <c r="Z62" s="15">
        <f>IF(OR(Z61="",Y61=""),"",IF(Y61&lt;=0,"",IFERROR(Z61/Y61-1,"")))</f>
        <v/>
      </c>
      <c r="AA62" s="15">
        <f>IF(OR(AA61="",Z61=""),"",IF(Z61&lt;=0,"",IFERROR(AA61/Z61-1,"")))</f>
        <v/>
      </c>
      <c r="AB62" s="15">
        <f>IF(OR(AB61="",AA61=""),"",IF(AA61&lt;=0,"",IFERROR(AB61/AA61-1,"")))</f>
        <v/>
      </c>
      <c r="AC62" s="15">
        <f>IF(OR(AC61="",AB61=""),"",IF(AB61&lt;=0,"",IFERROR(AC61/AB61-1,"")))</f>
        <v/>
      </c>
    </row>
    <row r="63">
      <c r="A63" s="18" t="inlineStr">
        <is>
          <t>법인세비용(수익)</t>
        </is>
      </c>
      <c r="B63" s="10" t="n"/>
      <c r="C63" s="19" t="n">
        <v>121.23</v>
      </c>
      <c r="D63" s="20" t="n">
        <v>237.506</v>
      </c>
      <c r="E63" s="20" t="n">
        <v>171.181</v>
      </c>
      <c r="F63" s="20" t="n">
        <v>134.46</v>
      </c>
      <c r="G63" s="20" t="n">
        <v>39.976</v>
      </c>
      <c r="H63" s="20" t="n">
        <v>140.62</v>
      </c>
      <c r="I63" s="20" t="n">
        <v>127.066</v>
      </c>
      <c r="J63" s="20" t="n">
        <v>122.725</v>
      </c>
      <c r="K63" s="20" t="n">
        <v>152.266</v>
      </c>
      <c r="L63" s="20" t="n">
        <v>37.016</v>
      </c>
      <c r="M63" s="20" t="n">
        <v>120.49</v>
      </c>
      <c r="N63" s="20" t="n">
        <v>173.209</v>
      </c>
      <c r="O63" s="19" t="n">
        <v>617.244</v>
      </c>
      <c r="P63" s="20" t="n">
        <v>501.429</v>
      </c>
      <c r="Q63" s="20" t="n">
        <v>451.569</v>
      </c>
      <c r="R63" s="20" t="n">
        <v>370.248</v>
      </c>
      <c r="S63" s="20" t="n">
        <v>305.526</v>
      </c>
      <c r="T63" s="20" t="n">
        <v>388.149</v>
      </c>
      <c r="U63" s="20" t="n">
        <v>391.56</v>
      </c>
      <c r="V63" s="20" t="n">
        <v>559.453</v>
      </c>
      <c r="W63" s="20" t="n">
        <v>486.237</v>
      </c>
      <c r="X63" s="20" t="n">
        <v>439.073</v>
      </c>
      <c r="Y63" s="19">
        <f>IF(OR(Y61="",Y64=""),"",IFERROR(MAX(Y61,0)*Y64,""))</f>
        <v/>
      </c>
      <c r="Z63" s="20">
        <f>IF(OR(Z61="",Z64=""),"",IFERROR(MAX(Z61,0)*Z64,""))</f>
        <v/>
      </c>
      <c r="AA63" s="20">
        <f>IF(OR(AA61="",AA64=""),"",IFERROR(MAX(AA61,0)*AA64,""))</f>
        <v/>
      </c>
      <c r="AB63" s="20">
        <f>IF(OR(AB61="",AB64=""),"",IFERROR(MAX(AB61,0)*AB64,""))</f>
        <v/>
      </c>
      <c r="AC63" s="20">
        <f>IF(OR(AC61="",AC64=""),"",IFERROR(MAX(AC61,0)*AC64,""))</f>
        <v/>
      </c>
    </row>
    <row r="64">
      <c r="A64" s="13" t="inlineStr">
        <is>
          <t>법인세율</t>
        </is>
      </c>
      <c r="B64" s="10" t="inlineStr">
        <is>
          <t>MW 기본 30%</t>
        </is>
      </c>
      <c r="C64" s="14">
        <f>IF(OR(C63="",C61=""),"",IFERROR(C63/C61,""))</f>
        <v/>
      </c>
      <c r="D64" s="15">
        <f>IF(OR(D63="",D61=""),"",IFERROR(D63/D61,""))</f>
        <v/>
      </c>
      <c r="E64" s="15">
        <f>IF(OR(E63="",E61=""),"",IFERROR(E63/E61,""))</f>
        <v/>
      </c>
      <c r="F64" s="15">
        <f>IF(OR(F63="",F61=""),"",IFERROR(F63/F61,""))</f>
        <v/>
      </c>
      <c r="G64" s="15">
        <f>IF(OR(G63="",G61=""),"",IFERROR(G63/G61,""))</f>
        <v/>
      </c>
      <c r="H64" s="15">
        <f>IF(OR(H63="",H61=""),"",IFERROR(H63/H61,""))</f>
        <v/>
      </c>
      <c r="I64" s="15">
        <f>IF(OR(I63="",I61=""),"",IFERROR(I63/I61,""))</f>
        <v/>
      </c>
      <c r="J64" s="15">
        <f>IF(OR(J63="",J61=""),"",IFERROR(J63/J61,""))</f>
        <v/>
      </c>
      <c r="K64" s="15">
        <f>IF(OR(K63="",K61=""),"",IFERROR(K63/K61,""))</f>
        <v/>
      </c>
      <c r="L64" s="15">
        <f>IF(OR(L63="",L61=""),"",IFERROR(L63/L61,""))</f>
        <v/>
      </c>
      <c r="M64" s="15">
        <f>IF(OR(M63="",M61=""),"",IFERROR(M63/M61,""))</f>
        <v/>
      </c>
      <c r="N64" s="15">
        <f>IF(OR(N63="",N61=""),"",IFERROR(N63/N61,""))</f>
        <v/>
      </c>
      <c r="O64" s="14">
        <f>IF(OR(O63="",O61=""),"",IFERROR(O63/O61,""))</f>
        <v/>
      </c>
      <c r="P64" s="15">
        <f>IF(OR(P63="",P61=""),"",IFERROR(P63/P61,""))</f>
        <v/>
      </c>
      <c r="Q64" s="15">
        <f>IF(OR(Q63="",Q61=""),"",IFERROR(Q63/Q61,""))</f>
        <v/>
      </c>
      <c r="R64" s="15">
        <f>IF(OR(R63="",R61=""),"",IFERROR(R63/R61,""))</f>
        <v/>
      </c>
      <c r="S64" s="15">
        <f>IF(OR(S63="",S61=""),"",IFERROR(S63/S61,""))</f>
        <v/>
      </c>
      <c r="T64" s="15">
        <f>IF(OR(T63="",T61=""),"",IFERROR(T63/T61,""))</f>
        <v/>
      </c>
      <c r="U64" s="15">
        <f>IF(OR(U63="",U61=""),"",IFERROR(U63/U61,""))</f>
        <v/>
      </c>
      <c r="V64" s="15">
        <f>IF(OR(V63="",V61=""),"",IFERROR(V63/V61,""))</f>
        <v/>
      </c>
      <c r="W64" s="15">
        <f>IF(OR(W63="",W61=""),"",IFERROR(W63/W61,""))</f>
        <v/>
      </c>
      <c r="X64" s="15">
        <f>IF(OR(X63="",X61=""),"",IFERROR(X63/X61,""))</f>
        <v/>
      </c>
      <c r="Y64" s="25" t="n">
        <v>0.3</v>
      </c>
      <c r="Z64" s="26" t="n">
        <v>0.3</v>
      </c>
      <c r="AA64" s="26" t="n">
        <v>0.3</v>
      </c>
      <c r="AB64" s="26" t="n">
        <v>0.3</v>
      </c>
      <c r="AC64" s="26" t="n">
        <v>0.3</v>
      </c>
    </row>
    <row r="65">
      <c r="A65" s="9" t="inlineStr">
        <is>
          <t>당기순이익(손실)</t>
        </is>
      </c>
      <c r="B65" s="10" t="n"/>
      <c r="C65" s="11" t="n">
        <v>329.556</v>
      </c>
      <c r="D65" s="12" t="n">
        <v>340.116</v>
      </c>
      <c r="E65" s="12" t="n">
        <v>342.758</v>
      </c>
      <c r="F65" s="12" t="n">
        <v>160.036</v>
      </c>
      <c r="G65" s="12" t="n">
        <v>313.687</v>
      </c>
      <c r="H65" s="12" t="n">
        <v>223.218</v>
      </c>
      <c r="I65" s="12" t="n">
        <v>387.014</v>
      </c>
      <c r="J65" s="12" t="n">
        <v>259.866</v>
      </c>
      <c r="K65" s="12" t="n">
        <v>333.559</v>
      </c>
      <c r="L65" s="12" t="n">
        <v>220.49</v>
      </c>
      <c r="M65" s="12" t="n">
        <v>272.624</v>
      </c>
      <c r="N65" s="12" t="n">
        <v>362.699</v>
      </c>
      <c r="O65" s="11" t="n">
        <v>1263.461</v>
      </c>
      <c r="P65" s="12" t="n">
        <v>1086.557</v>
      </c>
      <c r="Q65" s="12" t="n">
        <v>1028.54</v>
      </c>
      <c r="R65" s="12" t="n">
        <v>739.194</v>
      </c>
      <c r="S65" s="12" t="n">
        <v>679.46</v>
      </c>
      <c r="T65" s="12" t="n">
        <v>681.4349999999999</v>
      </c>
      <c r="U65" s="12" t="n">
        <v>868.9400000000001</v>
      </c>
      <c r="V65" s="12" t="n">
        <v>1188.449</v>
      </c>
      <c r="W65" s="12" t="n">
        <v>1039.699</v>
      </c>
      <c r="X65" s="12" t="n">
        <v>1200.929</v>
      </c>
      <c r="Y65" s="11">
        <f>IF(OR(Y61=""),"",IFERROR(Y61-Y63,""))</f>
        <v/>
      </c>
      <c r="Z65" s="12">
        <f>IF(OR(Z61=""),"",IFERROR(Z61-Z63,""))</f>
        <v/>
      </c>
      <c r="AA65" s="12">
        <f>IF(OR(AA61=""),"",IFERROR(AA61-AA63,""))</f>
        <v/>
      </c>
      <c r="AB65" s="12">
        <f>IF(OR(AB61=""),"",IFERROR(AB61-AB63,""))</f>
        <v/>
      </c>
      <c r="AC65" s="12">
        <f>IF(OR(AC61=""),"",IFERROR(AC61-AC63,""))</f>
        <v/>
      </c>
    </row>
    <row r="66">
      <c r="A66" s="13" t="inlineStr">
        <is>
          <t>YoY</t>
        </is>
      </c>
      <c r="B66" s="10" t="n"/>
      <c r="C66" s="14" t="n"/>
      <c r="D66" s="15" t="n"/>
      <c r="E66" s="15" t="n"/>
      <c r="F66" s="15" t="n"/>
      <c r="G66" s="15">
        <f>IF(OR(G65="",C65=""),"",IF(C65&lt;=0,"",IFERROR(G65/C65-1,"")))</f>
        <v/>
      </c>
      <c r="H66" s="15">
        <f>IF(OR(H65="",D65=""),"",IF(D65&lt;=0,"",IFERROR(H65/D65-1,"")))</f>
        <v/>
      </c>
      <c r="I66" s="15">
        <f>IF(OR(I65="",E65=""),"",IF(E65&lt;=0,"",IFERROR(I65/E65-1,"")))</f>
        <v/>
      </c>
      <c r="J66" s="15">
        <f>IF(OR(J65="",F65=""),"",IF(F65&lt;=0,"",IFERROR(J65/F65-1,"")))</f>
        <v/>
      </c>
      <c r="K66" s="15">
        <f>IF(OR(K65="",G65=""),"",IF(G65&lt;=0,"",IFERROR(K65/G65-1,"")))</f>
        <v/>
      </c>
      <c r="L66" s="15">
        <f>IF(OR(L65="",H65=""),"",IF(H65&lt;=0,"",IFERROR(L65/H65-1,"")))</f>
        <v/>
      </c>
      <c r="M66" s="15">
        <f>IF(OR(M65="",I65=""),"",IF(I65&lt;=0,"",IFERROR(M65/I65-1,"")))</f>
        <v/>
      </c>
      <c r="N66" s="15">
        <f>IF(OR(N65="",J65=""),"",IF(J65&lt;=0,"",IFERROR(N65/J65-1,"")))</f>
        <v/>
      </c>
      <c r="O66" s="14" t="n"/>
      <c r="P66" s="15">
        <f>IF(OR(P65="",O65=""),"",IF(O65&lt;=0,"",IFERROR(P65/O65-1,"")))</f>
        <v/>
      </c>
      <c r="Q66" s="15">
        <f>IF(OR(Q65="",P65=""),"",IF(P65&lt;=0,"",IFERROR(Q65/P65-1,"")))</f>
        <v/>
      </c>
      <c r="R66" s="15">
        <f>IF(OR(R65="",Q65=""),"",IF(Q65&lt;=0,"",IFERROR(R65/Q65-1,"")))</f>
        <v/>
      </c>
      <c r="S66" s="15">
        <f>IF(OR(S65="",R65=""),"",IF(R65&lt;=0,"",IFERROR(S65/R65-1,"")))</f>
        <v/>
      </c>
      <c r="T66" s="15">
        <f>IF(OR(T65="",S65=""),"",IF(S65&lt;=0,"",IFERROR(T65/S65-1,"")))</f>
        <v/>
      </c>
      <c r="U66" s="15">
        <f>IF(OR(U65="",T65=""),"",IF(T65&lt;=0,"",IFERROR(U65/T65-1,"")))</f>
        <v/>
      </c>
      <c r="V66" s="15">
        <f>IF(OR(V65="",U65=""),"",IF(U65&lt;=0,"",IFERROR(V65/U65-1,"")))</f>
        <v/>
      </c>
      <c r="W66" s="15">
        <f>IF(OR(W65="",V65=""),"",IF(V65&lt;=0,"",IFERROR(W65/V65-1,"")))</f>
        <v/>
      </c>
      <c r="X66" s="15">
        <f>IF(OR(X65="",W65=""),"",IF(W65&lt;=0,"",IFERROR(X65/W65-1,"")))</f>
        <v/>
      </c>
      <c r="Y66" s="14">
        <f>IF(OR(Y65="",X65=""),"",IF(X65&lt;=0,"",IFERROR(Y65/X65-1,"")))</f>
        <v/>
      </c>
      <c r="Z66" s="15">
        <f>IF(OR(Z65="",Y65=""),"",IF(Y65&lt;=0,"",IFERROR(Z65/Y65-1,"")))</f>
        <v/>
      </c>
      <c r="AA66" s="15">
        <f>IF(OR(AA65="",Z65=""),"",IF(Z65&lt;=0,"",IFERROR(AA65/Z65-1,"")))</f>
        <v/>
      </c>
      <c r="AB66" s="15">
        <f>IF(OR(AB65="",AA65=""),"",IF(AA65&lt;=0,"",IFERROR(AB65/AA65-1,"")))</f>
        <v/>
      </c>
      <c r="AC66" s="15">
        <f>IF(OR(AC65="",AB65=""),"",IF(AB65&lt;=0,"",IFERROR(AC65/AB65-1,"")))</f>
        <v/>
      </c>
    </row>
    <row r="67">
      <c r="A67" s="9" t="inlineStr">
        <is>
          <t>지배주주 순이익</t>
        </is>
      </c>
      <c r="B67" s="10" t="n"/>
      <c r="C67" s="11" t="n">
        <v>329.556</v>
      </c>
      <c r="D67" s="12" t="n">
        <v>340.116</v>
      </c>
      <c r="E67" s="12" t="n">
        <v>342.758</v>
      </c>
      <c r="F67" s="12" t="n">
        <v>160.036</v>
      </c>
      <c r="G67" s="12" t="n">
        <v>313.687</v>
      </c>
      <c r="H67" s="12" t="n">
        <v>223.218</v>
      </c>
      <c r="I67" s="12" t="n">
        <v>387.014</v>
      </c>
      <c r="J67" s="12" t="n">
        <v>259.866</v>
      </c>
      <c r="K67" s="12" t="n">
        <v>333.559</v>
      </c>
      <c r="L67" s="12" t="n">
        <v>220.49</v>
      </c>
      <c r="M67" s="12" t="n">
        <v>272.624</v>
      </c>
      <c r="N67" s="12" t="n">
        <v>362.699</v>
      </c>
      <c r="O67" s="11" t="n">
        <v>1263.461</v>
      </c>
      <c r="P67" s="12" t="n">
        <v>1086.557</v>
      </c>
      <c r="Q67" s="12" t="n">
        <v>1028.54</v>
      </c>
      <c r="R67" s="12" t="n">
        <v>739.194</v>
      </c>
      <c r="S67" s="12" t="n">
        <v>679.46</v>
      </c>
      <c r="T67" s="12" t="n">
        <v>681.4349999999999</v>
      </c>
      <c r="U67" s="12" t="n">
        <v>868.9400000000001</v>
      </c>
      <c r="V67" s="12" t="n">
        <v>1188.449</v>
      </c>
      <c r="W67" s="12" t="n">
        <v>1039.699</v>
      </c>
      <c r="X67" s="12" t="n">
        <v>1200.929</v>
      </c>
      <c r="Y67" s="11">
        <f>IF(OR(Y65="",Y68=""),"",IFERROR(Y65*Y68,""))</f>
        <v/>
      </c>
      <c r="Z67" s="12">
        <f>IF(OR(Z65="",Z68=""),"",IFERROR(Z65*Z68,""))</f>
        <v/>
      </c>
      <c r="AA67" s="12">
        <f>IF(OR(AA65="",AA68=""),"",IFERROR(AA65*AA68,""))</f>
        <v/>
      </c>
      <c r="AB67" s="12">
        <f>IF(OR(AB65="",AB68=""),"",IFERROR(AB65*AB68,""))</f>
        <v/>
      </c>
      <c r="AC67" s="12">
        <f>IF(OR(AC65="",AC68=""),"",IFERROR(AC65*AC68,""))</f>
        <v/>
      </c>
    </row>
    <row r="68">
      <c r="A68" s="13" t="inlineStr">
        <is>
          <t>지배주주 순이익률</t>
        </is>
      </c>
      <c r="B68" s="10" t="inlineStr">
        <is>
          <t>MW 기본 100%</t>
        </is>
      </c>
      <c r="C68" s="14">
        <f>IF(OR(C67="",C65=""),"",IFERROR(C67/C65,""))</f>
        <v/>
      </c>
      <c r="D68" s="15">
        <f>IF(OR(D67="",D65=""),"",IFERROR(D67/D65,""))</f>
        <v/>
      </c>
      <c r="E68" s="15">
        <f>IF(OR(E67="",E65=""),"",IFERROR(E67/E65,""))</f>
        <v/>
      </c>
      <c r="F68" s="15">
        <f>IF(OR(F67="",F65=""),"",IFERROR(F67/F65,""))</f>
        <v/>
      </c>
      <c r="G68" s="15">
        <f>IF(OR(G67="",G65=""),"",IFERROR(G67/G65,""))</f>
        <v/>
      </c>
      <c r="H68" s="15">
        <f>IF(OR(H67="",H65=""),"",IFERROR(H67/H65,""))</f>
        <v/>
      </c>
      <c r="I68" s="15">
        <f>IF(OR(I67="",I65=""),"",IFERROR(I67/I65,""))</f>
        <v/>
      </c>
      <c r="J68" s="15">
        <f>IF(OR(J67="",J65=""),"",IFERROR(J67/J65,""))</f>
        <v/>
      </c>
      <c r="K68" s="15">
        <f>IF(OR(K67="",K65=""),"",IFERROR(K67/K65,""))</f>
        <v/>
      </c>
      <c r="L68" s="15">
        <f>IF(OR(L67="",L65=""),"",IFERROR(L67/L65,""))</f>
        <v/>
      </c>
      <c r="M68" s="15">
        <f>IF(OR(M67="",M65=""),"",IFERROR(M67/M65,""))</f>
        <v/>
      </c>
      <c r="N68" s="15">
        <f>IF(OR(N67="",N65=""),"",IFERROR(N67/N65,""))</f>
        <v/>
      </c>
      <c r="O68" s="14">
        <f>IF(OR(O67="",O65=""),"",IFERROR(O67/O65,""))</f>
        <v/>
      </c>
      <c r="P68" s="15">
        <f>IF(OR(P67="",P65=""),"",IFERROR(P67/P65,""))</f>
        <v/>
      </c>
      <c r="Q68" s="15">
        <f>IF(OR(Q67="",Q65=""),"",IFERROR(Q67/Q65,""))</f>
        <v/>
      </c>
      <c r="R68" s="15">
        <f>IF(OR(R67="",R65=""),"",IFERROR(R67/R65,""))</f>
        <v/>
      </c>
      <c r="S68" s="15">
        <f>IF(OR(S67="",S65=""),"",IFERROR(S67/S65,""))</f>
        <v/>
      </c>
      <c r="T68" s="15">
        <f>IF(OR(T67="",T65=""),"",IFERROR(T67/T65,""))</f>
        <v/>
      </c>
      <c r="U68" s="15">
        <f>IF(OR(U67="",U65=""),"",IFERROR(U67/U65,""))</f>
        <v/>
      </c>
      <c r="V68" s="15">
        <f>IF(OR(V67="",V65=""),"",IFERROR(V67/V65,""))</f>
        <v/>
      </c>
      <c r="W68" s="15">
        <f>IF(OR(W67="",W65=""),"",IFERROR(W67/W65,""))</f>
        <v/>
      </c>
      <c r="X68" s="15">
        <f>IF(OR(X67="",X65=""),"",IFERROR(X67/X65,""))</f>
        <v/>
      </c>
      <c r="Y68" s="25" t="n">
        <v>1</v>
      </c>
      <c r="Z68" s="26" t="n">
        <v>1</v>
      </c>
      <c r="AA68" s="26" t="n">
        <v>1</v>
      </c>
      <c r="AB68" s="26" t="n">
        <v>1</v>
      </c>
      <c r="AC68" s="26" t="n">
        <v>1</v>
      </c>
    </row>
    <row r="69">
      <c r="A69" s="13" t="inlineStr">
        <is>
          <t>지배주주 순이익 YoY</t>
        </is>
      </c>
      <c r="B69" s="10" t="n"/>
      <c r="C69" s="14" t="n"/>
      <c r="D69" s="15" t="n"/>
      <c r="E69" s="15" t="n"/>
      <c r="F69" s="15" t="n"/>
      <c r="G69" s="15">
        <f>IF(OR(G67="",C67=""),"",IF(C67&lt;=0,"",IFERROR(G67/C67-1,"")))</f>
        <v/>
      </c>
      <c r="H69" s="15">
        <f>IF(OR(H67="",D67=""),"",IF(D67&lt;=0,"",IFERROR(H67/D67-1,"")))</f>
        <v/>
      </c>
      <c r="I69" s="15">
        <f>IF(OR(I67="",E67=""),"",IF(E67&lt;=0,"",IFERROR(I67/E67-1,"")))</f>
        <v/>
      </c>
      <c r="J69" s="15">
        <f>IF(OR(J67="",F67=""),"",IF(F67&lt;=0,"",IFERROR(J67/F67-1,"")))</f>
        <v/>
      </c>
      <c r="K69" s="15">
        <f>IF(OR(K67="",G67=""),"",IF(G67&lt;=0,"",IFERROR(K67/G67-1,"")))</f>
        <v/>
      </c>
      <c r="L69" s="15">
        <f>IF(OR(L67="",H67=""),"",IF(H67&lt;=0,"",IFERROR(L67/H67-1,"")))</f>
        <v/>
      </c>
      <c r="M69" s="15">
        <f>IF(OR(M67="",I67=""),"",IF(I67&lt;=0,"",IFERROR(M67/I67-1,"")))</f>
        <v/>
      </c>
      <c r="N69" s="15">
        <f>IF(OR(N67="",J67=""),"",IF(J67&lt;=0,"",IFERROR(N67/J67-1,"")))</f>
        <v/>
      </c>
      <c r="O69" s="14" t="n"/>
      <c r="P69" s="15">
        <f>IF(OR(P67="",O67=""),"",IF(O67&lt;=0,"",IFERROR(P67/O67-1,"")))</f>
        <v/>
      </c>
      <c r="Q69" s="15">
        <f>IF(OR(Q67="",P67=""),"",IF(P67&lt;=0,"",IFERROR(Q67/P67-1,"")))</f>
        <v/>
      </c>
      <c r="R69" s="15">
        <f>IF(OR(R67="",Q67=""),"",IF(Q67&lt;=0,"",IFERROR(R67/Q67-1,"")))</f>
        <v/>
      </c>
      <c r="S69" s="15">
        <f>IF(OR(S67="",R67=""),"",IF(R67&lt;=0,"",IFERROR(S67/R67-1,"")))</f>
        <v/>
      </c>
      <c r="T69" s="15">
        <f>IF(OR(T67="",S67=""),"",IF(S67&lt;=0,"",IFERROR(T67/S67-1,"")))</f>
        <v/>
      </c>
      <c r="U69" s="15">
        <f>IF(OR(U67="",T67=""),"",IF(T67&lt;=0,"",IFERROR(U67/T67-1,"")))</f>
        <v/>
      </c>
      <c r="V69" s="15">
        <f>IF(OR(V67="",U67=""),"",IF(U67&lt;=0,"",IFERROR(V67/U67-1,"")))</f>
        <v/>
      </c>
      <c r="W69" s="15">
        <f>IF(OR(W67="",V67=""),"",IF(V67&lt;=0,"",IFERROR(W67/V67-1,"")))</f>
        <v/>
      </c>
      <c r="X69" s="15">
        <f>IF(OR(X67="",W67=""),"",IF(W67&lt;=0,"",IFERROR(X67/W67-1,"")))</f>
        <v/>
      </c>
      <c r="Y69" s="14">
        <f>IF(OR(Y67="",X67=""),"",IF(X67&lt;=0,"",IFERROR(Y67/X67-1,"")))</f>
        <v/>
      </c>
      <c r="Z69" s="15">
        <f>IF(OR(Z67="",Y67=""),"",IF(Y67&lt;=0,"",IFERROR(Z67/Y67-1,"")))</f>
        <v/>
      </c>
      <c r="AA69" s="15">
        <f>IF(OR(AA67="",Z67=""),"",IF(Z67&lt;=0,"",IFERROR(AA67/Z67-1,"")))</f>
        <v/>
      </c>
      <c r="AB69" s="15">
        <f>IF(OR(AB67="",AA67=""),"",IF(AA67&lt;=0,"",IFERROR(AB67/AA67-1,"")))</f>
        <v/>
      </c>
      <c r="AC69" s="15">
        <f>IF(OR(AC67="",AB67=""),"",IF(AB67&lt;=0,"",IFERROR(AC67/AB67-1,"")))</f>
        <v/>
      </c>
    </row>
    <row r="70">
      <c r="A70" s="16" t="inlineStr">
        <is>
          <t>목표주가 산출</t>
        </is>
      </c>
      <c r="B70" s="16" t="n"/>
      <c r="C70" s="17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7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7" t="n"/>
      <c r="Z70" s="16" t="n"/>
      <c r="AA70" s="16" t="n"/>
      <c r="AB70" s="16" t="n"/>
      <c r="AC70" s="16" t="n"/>
    </row>
    <row r="71">
      <c r="A71" s="18" t="inlineStr">
        <is>
          <t>현재 주가 (2026.10.28)</t>
        </is>
      </c>
      <c r="B71" s="27" t="n">
        <v>1717</v>
      </c>
      <c r="C71" s="28" t="n"/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8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8" t="n"/>
      <c r="Z71" s="29" t="n"/>
      <c r="AA71" s="29" t="n"/>
      <c r="AB71" s="29" t="n"/>
      <c r="AC71" s="29" t="n"/>
    </row>
    <row r="72">
      <c r="A72" s="18" t="inlineStr">
        <is>
          <t>발행주식수 (보통주)</t>
        </is>
      </c>
      <c r="B72" s="27" t="n">
        <v>7028060</v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8" t="n"/>
      <c r="Z72" s="29" t="n"/>
      <c r="AA72" s="29" t="n"/>
      <c r="AB72" s="29" t="n"/>
      <c r="AC72" s="29" t="n"/>
    </row>
    <row r="73">
      <c r="A73" s="18" t="inlineStr">
        <is>
          <t>시가총액 (백만엔)</t>
        </is>
      </c>
      <c r="B73" s="12">
        <f>IF(OR(B71="",B72=""),"",B71*B72/1000000.0)</f>
        <v/>
      </c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19" t="n"/>
      <c r="Z73" s="20" t="n"/>
      <c r="AA73" s="20" t="n"/>
      <c r="AB73" s="20" t="n"/>
      <c r="AC73" s="20" t="n"/>
    </row>
    <row r="74">
      <c r="A74" s="13" t="inlineStr">
        <is>
          <t>OPM</t>
        </is>
      </c>
      <c r="B74" s="10" t="n"/>
      <c r="C74" s="14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4">
        <f>IF(O38="","",O38)</f>
        <v/>
      </c>
      <c r="P74" s="15">
        <f>IF(P38="","",P38)</f>
        <v/>
      </c>
      <c r="Q74" s="15">
        <f>IF(Q38="","",Q38)</f>
        <v/>
      </c>
      <c r="R74" s="15">
        <f>IF(R38="","",R38)</f>
        <v/>
      </c>
      <c r="S74" s="15">
        <f>IF(S38="","",S38)</f>
        <v/>
      </c>
      <c r="T74" s="15">
        <f>IF(T38="","",T38)</f>
        <v/>
      </c>
      <c r="U74" s="15">
        <f>IF(U38="","",U38)</f>
        <v/>
      </c>
      <c r="V74" s="15">
        <f>IF(V38="","",V38)</f>
        <v/>
      </c>
      <c r="W74" s="15">
        <f>IF(W38="","",W38)</f>
        <v/>
      </c>
      <c r="X74" s="15">
        <f>IF(X38="","",X38)</f>
        <v/>
      </c>
      <c r="Y74" s="14">
        <f>IF(Y38="","",Y38)</f>
        <v/>
      </c>
      <c r="Z74" s="15">
        <f>IF(Z38="","",Z38)</f>
        <v/>
      </c>
      <c r="AA74" s="15">
        <f>IF(AA38="","",AA38)</f>
        <v/>
      </c>
      <c r="AB74" s="15">
        <f>IF(AB38="","",AB38)</f>
        <v/>
      </c>
      <c r="AC74" s="15">
        <f>IF(AC38="","",AC38)</f>
        <v/>
      </c>
    </row>
    <row r="75">
      <c r="A75" s="13" t="inlineStr">
        <is>
          <t>지배주주 순이익 증가율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>
        <f>IF(OR(P67="",O67=""),"",IFERROR(P67/O67-1,""))</f>
        <v/>
      </c>
      <c r="Q75" s="15">
        <f>IF(OR(Q67="",P67=""),"",IFERROR(Q67/P67-1,""))</f>
        <v/>
      </c>
      <c r="R75" s="15">
        <f>IF(OR(R67="",Q67=""),"",IFERROR(R67/Q67-1,""))</f>
        <v/>
      </c>
      <c r="S75" s="15">
        <f>IF(OR(S67="",R67=""),"",IFERROR(S67/R67-1,""))</f>
        <v/>
      </c>
      <c r="T75" s="15">
        <f>IF(OR(T67="",S67=""),"",IFERROR(T67/S67-1,""))</f>
        <v/>
      </c>
      <c r="U75" s="15">
        <f>IF(OR(U67="",T67=""),"",IFERROR(U67/T67-1,""))</f>
        <v/>
      </c>
      <c r="V75" s="15">
        <f>IF(OR(V67="",U67=""),"",IFERROR(V67/U67-1,""))</f>
        <v/>
      </c>
      <c r="W75" s="15">
        <f>IF(OR(W67="",V67=""),"",IFERROR(W67/V67-1,""))</f>
        <v/>
      </c>
      <c r="X75" s="15">
        <f>IF(OR(X67="",W67=""),"",IFERROR(X67/W67-1,""))</f>
        <v/>
      </c>
      <c r="Y75" s="14">
        <f>IF(OR(Y67="",X67=""),"",IFERROR(Y67/X67-1,""))</f>
        <v/>
      </c>
      <c r="Z75" s="15">
        <f>IF(OR(Z67="",Y67=""),"",IFERROR(Z67/Y67-1,""))</f>
        <v/>
      </c>
      <c r="AA75" s="15">
        <f>IF(OR(AA67="",Z67=""),"",IFERROR(AA67/Z67-1,""))</f>
        <v/>
      </c>
      <c r="AB75" s="15">
        <f>IF(OR(AB67="",AA67=""),"",IFERROR(AB67/AA67-1,""))</f>
        <v/>
      </c>
      <c r="AC75" s="15">
        <f>IF(OR(AC67="",AB67=""),"",IFERROR(AC67/AB67-1,""))</f>
        <v/>
      </c>
    </row>
    <row r="76">
      <c r="A76" s="18" t="inlineStr">
        <is>
          <t>P/E (현재 주가)</t>
        </is>
      </c>
      <c r="B76" s="10" t="inlineStr">
        <is>
          <t>시총 ÷ 지배순이익</t>
        </is>
      </c>
      <c r="C76" s="30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0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>
        <f>IF(OR($B$73="",X67=""),"",IFERROR($B$73/X67,""))</f>
        <v/>
      </c>
      <c r="Y76" s="30">
        <f>IF(OR($B$73="",Y67=""),"",IFERROR($B$73/Y67,""))</f>
        <v/>
      </c>
      <c r="Z76" s="31">
        <f>IF(OR($B$73="",Z67=""),"",IFERROR($B$73/Z67,""))</f>
        <v/>
      </c>
      <c r="AA76" s="31">
        <f>IF(OR($B$73="",AA67=""),"",IFERROR($B$73/AA67,""))</f>
        <v/>
      </c>
      <c r="AB76" s="31">
        <f>IF(OR($B$73="",AB67=""),"",IFERROR($B$73/AB67,""))</f>
        <v/>
      </c>
      <c r="AC76" s="31">
        <f>IF(OR($B$73="",AC67=""),"",IFERROR($B$73/AC67,""))</f>
        <v/>
      </c>
    </row>
    <row r="77">
      <c r="A77" s="18" t="inlineStr">
        <is>
          <t>Target P/E</t>
        </is>
      </c>
      <c r="B77" s="10" t="inlineStr">
        <is>
          <t>직접 입력</t>
        </is>
      </c>
      <c r="C77" s="30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0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2" t="n"/>
      <c r="Z77" s="33" t="n"/>
      <c r="AA77" s="33" t="n"/>
      <c r="AB77" s="33" t="n"/>
      <c r="AC77" s="33" t="n"/>
    </row>
    <row r="78">
      <c r="A78" s="18" t="inlineStr">
        <is>
          <t>EPS</t>
        </is>
      </c>
      <c r="B78" s="10" t="inlineStr">
        <is>
          <t>지배순이익 ÷ 주식수</t>
        </is>
      </c>
      <c r="C78" s="28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8">
        <f>IF(OR(O67="",$B$72=""),"",IFERROR(O67*1000000.0/$B$72,""))</f>
        <v/>
      </c>
      <c r="P78" s="29">
        <f>IF(OR(P67="",$B$72=""),"",IFERROR(P67*1000000.0/$B$72,""))</f>
        <v/>
      </c>
      <c r="Q78" s="29">
        <f>IF(OR(Q67="",$B$72=""),"",IFERROR(Q67*1000000.0/$B$72,""))</f>
        <v/>
      </c>
      <c r="R78" s="29">
        <f>IF(OR(R67="",$B$72=""),"",IFERROR(R67*1000000.0/$B$72,""))</f>
        <v/>
      </c>
      <c r="S78" s="29">
        <f>IF(OR(S67="",$B$72=""),"",IFERROR(S67*1000000.0/$B$72,""))</f>
        <v/>
      </c>
      <c r="T78" s="29">
        <f>IF(OR(T67="",$B$72=""),"",IFERROR(T67*1000000.0/$B$72,""))</f>
        <v/>
      </c>
      <c r="U78" s="29">
        <f>IF(OR(U67="",$B$72=""),"",IFERROR(U67*1000000.0/$B$72,""))</f>
        <v/>
      </c>
      <c r="V78" s="29">
        <f>IF(OR(V67="",$B$72=""),"",IFERROR(V67*1000000.0/$B$72,""))</f>
        <v/>
      </c>
      <c r="W78" s="29">
        <f>IF(OR(W67="",$B$72=""),"",IFERROR(W67*1000000.0/$B$72,""))</f>
        <v/>
      </c>
      <c r="X78" s="29">
        <f>IF(OR(X67="",$B$72=""),"",IFERROR(X67*1000000.0/$B$72,""))</f>
        <v/>
      </c>
      <c r="Y78" s="28">
        <f>IF(OR(Y67="",$B$72=""),"",IFERROR(Y67*1000000.0/$B$72,""))</f>
        <v/>
      </c>
      <c r="Z78" s="29">
        <f>IF(OR(Z67="",$B$72=""),"",IFERROR(Z67*1000000.0/$B$72,""))</f>
        <v/>
      </c>
      <c r="AA78" s="29">
        <f>IF(OR(AA67="",$B$72=""),"",IFERROR(AA67*1000000.0/$B$72,""))</f>
        <v/>
      </c>
      <c r="AB78" s="29">
        <f>IF(OR(AB67="",$B$72=""),"",IFERROR(AB67*1000000.0/$B$72,""))</f>
        <v/>
      </c>
      <c r="AC78" s="29">
        <f>IF(OR(AC67="",$B$72=""),"",IFERROR(AC67*1000000.0/$B$72,""))</f>
        <v/>
      </c>
    </row>
    <row r="79">
      <c r="A79" s="9" t="inlineStr">
        <is>
          <t>목표주가</t>
        </is>
      </c>
      <c r="B79" s="10" t="n"/>
      <c r="C79" s="34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34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34">
        <f>IF(OR(Y78="",Y77=""),"",IFERROR(Y78*Y77,""))</f>
        <v/>
      </c>
      <c r="Z79" s="27">
        <f>IF(OR(Z78="",Z77=""),"",IFERROR(Z78*Z77,""))</f>
        <v/>
      </c>
      <c r="AA79" s="27">
        <f>IF(OR(AA78="",AA77=""),"",IFERROR(AA78*AA77,""))</f>
        <v/>
      </c>
      <c r="AB79" s="27">
        <f>IF(OR(AB78="",AB77=""),"",IFERROR(AB78*AB77,""))</f>
        <v/>
      </c>
      <c r="AC79" s="27">
        <f>IF(OR(AC78="",AC77=""),"",IFERROR(AC78*AC77,""))</f>
        <v/>
      </c>
    </row>
    <row r="80">
      <c r="A80" s="18" t="inlineStr">
        <is>
          <t>상승여력</t>
        </is>
      </c>
      <c r="B80" s="10" t="n"/>
      <c r="C80" s="35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5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7">
        <f>IF(OR(Y79="",$B$71=""),"",IFERROR(Y79/$B$71-1,""))</f>
        <v/>
      </c>
      <c r="Z80" s="38">
        <f>IF(OR(Z79="",$B$71=""),"",IFERROR(Z79/$B$71-1,""))</f>
        <v/>
      </c>
      <c r="AA80" s="38">
        <f>IF(OR(AA79="",$B$71=""),"",IFERROR(AA79/$B$71-1,""))</f>
        <v/>
      </c>
      <c r="AB80" s="38">
        <f>IF(OR(AB79="",$B$71=""),"",IFERROR(AB79/$B$71-1,""))</f>
        <v/>
      </c>
      <c r="AC80" s="38">
        <f>IF(OR(AC79="",$B$71=""),"",IFERROR(AC79/$B$71-1,""))</f>
        <v/>
      </c>
    </row>
    <row r="81">
      <c r="A81" s="16" t="inlineStr">
        <is>
          <t>자산가치 산출</t>
        </is>
      </c>
      <c r="B81" s="16" t="inlineStr">
        <is>
          <t>최신 분기 BS</t>
        </is>
      </c>
      <c r="C81" s="17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7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7" t="n"/>
      <c r="Z81" s="16" t="n"/>
      <c r="AA81" s="16" t="n"/>
      <c r="AB81" s="16" t="n"/>
      <c r="AC81" s="16" t="n"/>
    </row>
    <row r="82">
      <c r="A82" s="18" t="inlineStr">
        <is>
          <t>현금및현금성자산</t>
        </is>
      </c>
      <c r="B82" s="10" t="n"/>
      <c r="C82" s="19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19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>
        <f>'재무상태표'!G6</f>
        <v/>
      </c>
      <c r="Y82" s="19">
        <f>'재무상태표'!G6</f>
        <v/>
      </c>
      <c r="Z82" s="20">
        <f>'재무상태표'!G6</f>
        <v/>
      </c>
      <c r="AA82" s="20">
        <f>'재무상태표'!G6</f>
        <v/>
      </c>
      <c r="AB82" s="20">
        <f>'재무상태표'!G6</f>
        <v/>
      </c>
      <c r="AC82" s="20">
        <f>'재무상태표'!G6</f>
        <v/>
      </c>
    </row>
    <row r="83">
      <c r="A83" s="18" t="inlineStr">
        <is>
          <t>단기금융상품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>
        <f>'재무상태표'!G7</f>
        <v/>
      </c>
      <c r="Y83" s="19">
        <f>'재무상태표'!G7</f>
        <v/>
      </c>
      <c r="Z83" s="20">
        <f>'재무상태표'!G7</f>
        <v/>
      </c>
      <c r="AA83" s="20">
        <f>'재무상태표'!G7</f>
        <v/>
      </c>
      <c r="AB83" s="20">
        <f>'재무상태표'!G7</f>
        <v/>
      </c>
      <c r="AC83" s="20">
        <f>'재무상태표'!G7</f>
        <v/>
      </c>
    </row>
    <row r="84">
      <c r="A84" s="18" t="inlineStr">
        <is>
          <t>투자부동산</t>
        </is>
      </c>
      <c r="B84" s="10" t="n"/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>
        <f>'재무상태표'!G14</f>
        <v/>
      </c>
      <c r="Y84" s="19">
        <f>'재무상태표'!G14</f>
        <v/>
      </c>
      <c r="Z84" s="20">
        <f>'재무상태표'!G14</f>
        <v/>
      </c>
      <c r="AA84" s="20">
        <f>'재무상태표'!G14</f>
        <v/>
      </c>
      <c r="AB84" s="20">
        <f>'재무상태표'!G14</f>
        <v/>
      </c>
      <c r="AC84" s="20">
        <f>'재무상태표'!G14</f>
        <v/>
      </c>
    </row>
    <row r="85">
      <c r="A85" s="18" t="inlineStr">
        <is>
          <t>지배자본</t>
        </is>
      </c>
      <c r="B85" s="10" t="n"/>
      <c r="C85" s="19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19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>
        <f>'재무상태표'!G31</f>
        <v/>
      </c>
      <c r="Y85" s="19">
        <f>'재무상태표'!G31</f>
        <v/>
      </c>
      <c r="Z85" s="20">
        <f>'재무상태표'!G31</f>
        <v/>
      </c>
      <c r="AA85" s="20">
        <f>'재무상태표'!G31</f>
        <v/>
      </c>
      <c r="AB85" s="20">
        <f>'재무상태표'!G31</f>
        <v/>
      </c>
      <c r="AC85" s="20">
        <f>'재무상태표'!G31</f>
        <v/>
      </c>
    </row>
    <row r="86">
      <c r="A86" s="18" t="inlineStr">
        <is>
          <t>부채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>
        <f>'재무상태표'!G27</f>
        <v/>
      </c>
      <c r="Y86" s="19">
        <f>'재무상태표'!G27</f>
        <v/>
      </c>
      <c r="Z86" s="20">
        <f>'재무상태표'!G27</f>
        <v/>
      </c>
      <c r="AA86" s="20">
        <f>'재무상태표'!G27</f>
        <v/>
      </c>
      <c r="AB86" s="20">
        <f>'재무상태표'!G27</f>
        <v/>
      </c>
      <c r="AC86" s="20">
        <f>'재무상태표'!G27</f>
        <v/>
      </c>
    </row>
    <row r="87">
      <c r="A87" s="13" t="inlineStr">
        <is>
          <t>부채비율</t>
        </is>
      </c>
      <c r="B87" s="10" t="n"/>
      <c r="C87" s="14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4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>
        <f>IF(OR(X86="",X85=""),"",IFERROR(X86/X85,""))</f>
        <v/>
      </c>
      <c r="Y87" s="14">
        <f>IF(OR(Y86="",Y85=""),"",IFERROR(Y86/Y85,""))</f>
        <v/>
      </c>
      <c r="Z87" s="15">
        <f>IF(OR(Z86="",Z85=""),"",IFERROR(Z86/Z85,""))</f>
        <v/>
      </c>
      <c r="AA87" s="15">
        <f>IF(OR(AA86="",AA85=""),"",IFERROR(AA86/AA85,""))</f>
        <v/>
      </c>
      <c r="AB87" s="15">
        <f>IF(OR(AB86="",AB85=""),"",IFERROR(AB86/AB85,""))</f>
        <v/>
      </c>
      <c r="AC87" s="15">
        <f>IF(OR(AC86="",AC85=""),"",IFERROR(AC86/AC85,""))</f>
        <v/>
      </c>
    </row>
    <row r="88">
      <c r="A88" s="9" t="inlineStr">
        <is>
          <t>자산가치</t>
        </is>
      </c>
      <c r="B88" s="10" t="inlineStr">
        <is>
          <t>현금+단기금융+투자부동산</t>
        </is>
      </c>
      <c r="C88" s="11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1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>
        <f>SUM(X82,X83,X84)</f>
        <v/>
      </c>
      <c r="Y88" s="11">
        <f>SUM(Y82,Y83,Y84)</f>
        <v/>
      </c>
      <c r="Z88" s="12">
        <f>SUM(Z82,Z83,Z84)</f>
        <v/>
      </c>
      <c r="AA88" s="12">
        <f>SUM(AA82,AA83,AA84)</f>
        <v/>
      </c>
      <c r="AB88" s="12">
        <f>SUM(AB82,AB83,AB84)</f>
        <v/>
      </c>
      <c r="AC88" s="12">
        <f>SUM(AC82,AC83,AC84)</f>
        <v/>
      </c>
    </row>
    <row r="89">
      <c r="A89" s="16" t="inlineStr">
        <is>
          <t>기업가치 산출</t>
        </is>
      </c>
      <c r="B89" s="16" t="n"/>
      <c r="C89" s="17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7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7" t="n"/>
      <c r="Z89" s="16" t="n"/>
      <c r="AA89" s="16" t="n"/>
      <c r="AB89" s="16" t="n"/>
      <c r="AC89" s="16" t="n"/>
    </row>
    <row r="90">
      <c r="A90" s="18" t="inlineStr">
        <is>
          <t>목표 시가총액 (P/E)</t>
        </is>
      </c>
      <c r="B90" s="10" t="inlineStr">
        <is>
          <t>지배순이익 × Target P/E</t>
        </is>
      </c>
      <c r="C90" s="19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19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19">
        <f>IF(OR(Y67="",Y77=""),"",IFERROR(Y67*Y77,""))</f>
        <v/>
      </c>
      <c r="Z90" s="20">
        <f>IF(OR(Z67="",Z77=""),"",IFERROR(Z67*Z77,""))</f>
        <v/>
      </c>
      <c r="AA90" s="20">
        <f>IF(OR(AA67="",AA77=""),"",IFERROR(AA67*AA77,""))</f>
        <v/>
      </c>
      <c r="AB90" s="20">
        <f>IF(OR(AB67="",AB77=""),"",IFERROR(AB67*AB77,""))</f>
        <v/>
      </c>
      <c r="AC90" s="20">
        <f>IF(OR(AC67="",AC77=""),"",IFERROR(AC67*AC77,""))</f>
        <v/>
      </c>
    </row>
    <row r="91">
      <c r="A91" s="9" t="inlineStr">
        <is>
          <t>기업가치</t>
        </is>
      </c>
      <c r="B91" s="10" t="inlineStr">
        <is>
          <t>목표시총 + 자산가치</t>
        </is>
      </c>
      <c r="C91" s="11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1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1">
        <f>IF(OR(Y90=""),"",IFERROR(Y90+Y88,""))</f>
        <v/>
      </c>
      <c r="Z91" s="12">
        <f>IF(OR(Z90=""),"",IFERROR(Z90+Z88,""))</f>
        <v/>
      </c>
      <c r="AA91" s="12">
        <f>IF(OR(AA90=""),"",IFERROR(AA90+AA88,""))</f>
        <v/>
      </c>
      <c r="AB91" s="12">
        <f>IF(OR(AB90=""),"",IFERROR(AB90+AB88,""))</f>
        <v/>
      </c>
      <c r="AC91" s="12">
        <f>IF(OR(AC90=""),"",IFERROR(AC90+AC88,""))</f>
        <v/>
      </c>
    </row>
    <row r="92">
      <c r="A92" s="18" t="inlineStr">
        <is>
          <t>현재 시가총액</t>
        </is>
      </c>
      <c r="B92" s="10" t="n"/>
      <c r="C92" s="19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19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19">
        <f>$B$73</f>
        <v/>
      </c>
      <c r="Z92" s="20">
        <f>$B$73</f>
        <v/>
      </c>
      <c r="AA92" s="20">
        <f>$B$73</f>
        <v/>
      </c>
      <c r="AB92" s="20">
        <f>$B$73</f>
        <v/>
      </c>
      <c r="AC92" s="20">
        <f>$B$73</f>
        <v/>
      </c>
    </row>
    <row r="93">
      <c r="A93" s="18" t="inlineStr">
        <is>
          <t>상승여력</t>
        </is>
      </c>
      <c r="B93" s="10" t="n"/>
      <c r="C93" s="35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5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7">
        <f>IF(OR(Y91="",Y92=""),"",IFERROR(Y91/Y92-1,""))</f>
        <v/>
      </c>
      <c r="Z93" s="38">
        <f>IF(OR(Z91="",Z92=""),"",IFERROR(Z91/Z92-1,""))</f>
        <v/>
      </c>
      <c r="AA93" s="38">
        <f>IF(OR(AA91="",AA92=""),"",IFERROR(AA91/AA92-1,""))</f>
        <v/>
      </c>
      <c r="AB93" s="38">
        <f>IF(OR(AB91="",AB92=""),"",IFERROR(AB91/AB92-1,""))</f>
        <v/>
      </c>
      <c r="AC93" s="38">
        <f>IF(OR(AC91="",AC92=""),"",IFERROR(AC91/AC92-1,""))</f>
        <v/>
      </c>
    </row>
    <row r="94">
      <c r="C94" s="39" t="n"/>
      <c r="O94" s="39" t="n"/>
      <c r="Y94" s="39" t="n"/>
    </row>
    <row r="95">
      <c r="A95" s="40" t="inlineStr">
        <is>
          <t>출처</t>
        </is>
      </c>
      <c r="C95" s="39" t="n"/>
      <c r="O95" s="39" t="n"/>
      <c r="Y95" s="39" t="n"/>
    </row>
    <row r="96">
      <c r="A96" s="41" t="inlineStr">
        <is>
          <t>결산단신 XBRL(TDnet·JPX 보관소) — 쓴 문서는 '출처' 시트</t>
        </is>
      </c>
      <c r="C96" s="39" t="n"/>
      <c r="O96" s="39" t="n"/>
      <c r="Y96" s="39" t="n"/>
    </row>
    <row r="97">
      <c r="A97" s="41" t="inlineStr">
        <is>
          <t>분기 = 누계에서 앞 분기를 뺀 3개월 값</t>
        </is>
      </c>
      <c r="C97" s="39" t="n"/>
      <c r="O97" s="39" t="n"/>
      <c r="Y97" s="39" t="n"/>
    </row>
    <row r="98">
      <c r="A98" s="41" t="inlineStr">
        <is>
          <t>주가: 야후 파이낸스 일봉 2026.10.28</t>
        </is>
      </c>
      <c r="C98" s="39" t="n"/>
      <c r="O98" s="39" t="n"/>
      <c r="Y98" s="39" t="n"/>
    </row>
    <row r="100">
      <c r="A100" s="16" t="inlineStr">
        <is>
          <t>손익계산서 · 전 항목</t>
        </is>
      </c>
      <c r="B100" s="42" t="inlineStr">
        <is>
          <t>분기 = 3개월 단독</t>
        </is>
      </c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</row>
    <row r="101">
      <c r="A101" s="5" t="inlineStr">
        <is>
          <t>항목</t>
        </is>
      </c>
      <c r="B101" s="5" t="inlineStr">
        <is>
          <t>참고</t>
        </is>
      </c>
      <c r="C101" s="5" t="inlineStr">
        <is>
          <t>2023.3Q</t>
        </is>
      </c>
      <c r="D101" s="5" t="inlineStr">
        <is>
          <t>2023.4Q</t>
        </is>
      </c>
      <c r="E101" s="5" t="inlineStr">
        <is>
          <t>2024.1Q</t>
        </is>
      </c>
      <c r="F101" s="5" t="inlineStr">
        <is>
          <t>2024.2Q</t>
        </is>
      </c>
      <c r="G101" s="5" t="inlineStr">
        <is>
          <t>2024.3Q</t>
        </is>
      </c>
      <c r="H101" s="5" t="inlineStr">
        <is>
          <t>2024.4Q</t>
        </is>
      </c>
      <c r="I101" s="5" t="inlineStr">
        <is>
          <t>2025.1Q</t>
        </is>
      </c>
      <c r="J101" s="5" t="inlineStr">
        <is>
          <t>2025.2Q</t>
        </is>
      </c>
      <c r="K101" s="5" t="inlineStr">
        <is>
          <t>2025.3Q</t>
        </is>
      </c>
      <c r="L101" s="5" t="inlineStr">
        <is>
          <t>2025.4Q</t>
        </is>
      </c>
      <c r="M101" s="5" t="inlineStr">
        <is>
          <t>2026.1Q</t>
        </is>
      </c>
      <c r="N101" s="5" t="inlineStr">
        <is>
          <t>2026.2Q</t>
        </is>
      </c>
      <c r="O101" s="5" t="inlineStr">
        <is>
          <t>2016</t>
        </is>
      </c>
      <c r="P101" s="5" t="inlineStr">
        <is>
          <t>2017</t>
        </is>
      </c>
      <c r="Q101" s="5" t="inlineStr">
        <is>
          <t>2018</t>
        </is>
      </c>
      <c r="R101" s="5" t="inlineStr">
        <is>
          <t>2019</t>
        </is>
      </c>
      <c r="S101" s="5" t="inlineStr">
        <is>
          <t>2020</t>
        </is>
      </c>
      <c r="T101" s="5" t="inlineStr">
        <is>
          <t>2021</t>
        </is>
      </c>
      <c r="U101" s="5" t="inlineStr">
        <is>
          <t>2022</t>
        </is>
      </c>
      <c r="V101" s="5" t="inlineStr">
        <is>
          <t>2023</t>
        </is>
      </c>
      <c r="W101" s="5" t="inlineStr">
        <is>
          <t>2024</t>
        </is>
      </c>
      <c r="X101" s="5" t="inlineStr">
        <is>
          <t>2025</t>
        </is>
      </c>
      <c r="Y101" s="5" t="inlineStr">
        <is>
          <t>2026(MW)</t>
        </is>
      </c>
      <c r="Z101" s="5" t="inlineStr">
        <is>
          <t>2027(MW)</t>
        </is>
      </c>
      <c r="AA101" s="5" t="inlineStr">
        <is>
          <t>2028(MW)</t>
        </is>
      </c>
      <c r="AB101" s="5" t="inlineStr">
        <is>
          <t>2029(MW)</t>
        </is>
      </c>
      <c r="AC101" s="5" t="inlineStr">
        <is>
          <t>2030(MW)</t>
        </is>
      </c>
    </row>
    <row r="102">
      <c r="A102" s="9" t="inlineStr">
        <is>
          <t>매출액</t>
        </is>
      </c>
      <c r="C102" s="12" t="n">
        <v>3155.434</v>
      </c>
      <c r="D102" s="12" t="n">
        <v>3831.97</v>
      </c>
      <c r="E102" s="12" t="n">
        <v>3172.377</v>
      </c>
      <c r="F102" s="12" t="n">
        <v>2855.8</v>
      </c>
      <c r="G102" s="12" t="n">
        <v>2928.325</v>
      </c>
      <c r="H102" s="12" t="n">
        <v>3426.607</v>
      </c>
      <c r="I102" s="12" t="n">
        <v>3339.623</v>
      </c>
      <c r="J102" s="12" t="n">
        <v>3112.445</v>
      </c>
      <c r="K102" s="12" t="n">
        <v>3348.469</v>
      </c>
      <c r="L102" s="12" t="n">
        <v>3314.455</v>
      </c>
      <c r="M102" s="12" t="n">
        <v>3218.112</v>
      </c>
      <c r="N102" s="12" t="n">
        <v>3420.551</v>
      </c>
      <c r="T102" s="12" t="n">
        <v>2768.4</v>
      </c>
      <c r="U102" s="12" t="n">
        <v>3035.759</v>
      </c>
      <c r="V102" s="12" t="n">
        <v>3831.97</v>
      </c>
      <c r="W102" s="12" t="n">
        <v>3426.607</v>
      </c>
      <c r="X102" s="12" t="n">
        <v>3314.455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IF(OR(G102="",C102=""),"",IF(C102&lt;=0,"",IFERROR(G102/C102-1,"")))</f>
        <v/>
      </c>
      <c r="H103" s="15">
        <f>IF(OR(H102="",D102=""),"",IF(D102&lt;=0,"",IFERROR(H102/D102-1,"")))</f>
        <v/>
      </c>
      <c r="I103" s="15">
        <f>IF(OR(I102="",E102=""),"",IF(E102&lt;=0,"",IFERROR(I102/E102-1,"")))</f>
        <v/>
      </c>
      <c r="J103" s="15">
        <f>IF(OR(J102="",F102=""),"",IF(F102&lt;=0,"",IFERROR(J102/F102-1,"")))</f>
        <v/>
      </c>
      <c r="K103" s="15">
        <f>IF(OR(K102="",G102=""),"",IF(G102&lt;=0,"",IFERROR(K102/G102-1,"")))</f>
        <v/>
      </c>
      <c r="L103" s="15">
        <f>IF(OR(L102="",H102=""),"",IF(H102&lt;=0,"",IFERROR(L102/H102-1,"")))</f>
        <v/>
      </c>
      <c r="M103" s="15">
        <f>IF(OR(M102="",I102=""),"",IF(I102&lt;=0,"",IFERROR(M102/I102-1,"")))</f>
        <v/>
      </c>
      <c r="N103" s="15">
        <f>IF(OR(N102="",J102=""),"",IF(J102&lt;=0,"",IFERROR(N102/J102-1,"")))</f>
        <v/>
      </c>
      <c r="T103" s="15">
        <f>IF(OR(T102="",S102=""),"",IF(S102&lt;=0,"",IFERROR(T102/S102-1,"")))</f>
        <v/>
      </c>
      <c r="U103" s="15">
        <f>IF(OR(U102="",T102=""),"",IF(T102&lt;=0,"",IFERROR(U102/T102-1,"")))</f>
        <v/>
      </c>
      <c r="V103" s="15">
        <f>IF(OR(V102="",U102=""),"",IF(U102&lt;=0,"",IFERROR(V102/U102-1,"")))</f>
        <v/>
      </c>
      <c r="W103" s="15">
        <f>IF(OR(W102="",V102=""),"",IF(V102&lt;=0,"",IFERROR(W102/V102-1,"")))</f>
        <v/>
      </c>
      <c r="X103" s="15">
        <f>IF(OR(X102="",W102=""),"",IF(W102&lt;=0,"",IFERROR(X102/W102-1,"")))</f>
        <v/>
      </c>
    </row>
    <row r="104">
      <c r="A104" s="18" t="inlineStr">
        <is>
          <t>매출원가</t>
        </is>
      </c>
      <c r="C104" s="20" t="n">
        <v>1783.206</v>
      </c>
      <c r="D104" s="20" t="n">
        <v>2212.19</v>
      </c>
      <c r="E104" s="20" t="n">
        <v>1867.324</v>
      </c>
      <c r="F104" s="20" t="n">
        <v>1641.42</v>
      </c>
      <c r="G104" s="20" t="n">
        <v>1586.707</v>
      </c>
      <c r="H104" s="20" t="n">
        <v>2082.79</v>
      </c>
      <c r="I104" s="20" t="n">
        <v>1894.1</v>
      </c>
      <c r="J104" s="20" t="n">
        <v>1745.005</v>
      </c>
      <c r="K104" s="20" t="n">
        <v>1914.129</v>
      </c>
      <c r="L104" s="20" t="n">
        <v>2002.592</v>
      </c>
      <c r="M104" s="20" t="n">
        <v>1881.411</v>
      </c>
      <c r="N104" s="20" t="n">
        <v>1928.984</v>
      </c>
      <c r="T104" s="20" t="n">
        <v>1696.95</v>
      </c>
      <c r="U104" s="20" t="n">
        <v>1721.512</v>
      </c>
      <c r="V104" s="20" t="n">
        <v>2212.19</v>
      </c>
      <c r="W104" s="20" t="n">
        <v>2082.79</v>
      </c>
      <c r="X104" s="20" t="n">
        <v>2002.592</v>
      </c>
    </row>
    <row r="105">
      <c r="A105" s="43" t="inlineStr">
        <is>
          <t>YoY</t>
        </is>
      </c>
      <c r="B105" s="3" t="inlineStr">
        <is>
          <t>전년 같은 분기·전년 대비</t>
        </is>
      </c>
      <c r="G105" s="15">
        <f>IF(OR(G104="",C104=""),"",IF(G104*C104&lt;=0,"",IFERROR(G104/C104-1,"")))</f>
        <v/>
      </c>
      <c r="H105" s="15">
        <f>IF(OR(H104="",D104=""),"",IF(H104*D104&lt;=0,"",IFERROR(H104/D104-1,"")))</f>
        <v/>
      </c>
      <c r="I105" s="15">
        <f>IF(OR(I104="",E104=""),"",IF(I104*E104&lt;=0,"",IFERROR(I104/E104-1,"")))</f>
        <v/>
      </c>
      <c r="J105" s="15">
        <f>IF(OR(J104="",F104=""),"",IF(J104*F104&lt;=0,"",IFERROR(J104/F104-1,"")))</f>
        <v/>
      </c>
      <c r="K105" s="15">
        <f>IF(OR(K104="",G104=""),"",IF(K104*G104&lt;=0,"",IFERROR(K104/G104-1,"")))</f>
        <v/>
      </c>
      <c r="L105" s="15">
        <f>IF(OR(L104="",H104=""),"",IF(L104*H104&lt;=0,"",IFERROR(L104/H104-1,"")))</f>
        <v/>
      </c>
      <c r="M105" s="15">
        <f>IF(OR(M104="",I104=""),"",IF(M104*I104&lt;=0,"",IFERROR(M104/I104-1,"")))</f>
        <v/>
      </c>
      <c r="N105" s="15">
        <f>IF(OR(N104="",J104=""),"",IF(N104*J104&lt;=0,"",IFERROR(N104/J104-1,"")))</f>
        <v/>
      </c>
      <c r="T105" s="15">
        <f>IF(OR(T104="",S104=""),"",IF(T104*S104&lt;=0,"",IFERROR(T104/S104-1,"")))</f>
        <v/>
      </c>
      <c r="U105" s="15">
        <f>IF(OR(U104="",T104=""),"",IF(U104*T104&lt;=0,"",IFERROR(U104/T104-1,"")))</f>
        <v/>
      </c>
      <c r="V105" s="15">
        <f>IF(OR(V104="",U104=""),"",IF(V104*U104&lt;=0,"",IFERROR(V104/U104-1,"")))</f>
        <v/>
      </c>
      <c r="W105" s="15">
        <f>IF(OR(W104="",V104=""),"",IF(W104*V104&lt;=0,"",IFERROR(W104/V104-1,"")))</f>
        <v/>
      </c>
      <c r="X105" s="15">
        <f>IF(OR(X104="",W104=""),"",IF(X104*W104&lt;=0,"",IFERROR(X104/W104-1,"")))</f>
        <v/>
      </c>
    </row>
    <row r="106">
      <c r="A106" s="9" t="inlineStr">
        <is>
          <t>매출총이익</t>
        </is>
      </c>
      <c r="C106" s="12" t="n">
        <v>1372.228</v>
      </c>
      <c r="D106" s="12" t="n">
        <v>1619.78</v>
      </c>
      <c r="E106" s="12" t="n">
        <v>1305.053</v>
      </c>
      <c r="F106" s="12" t="n">
        <v>1214.379</v>
      </c>
      <c r="G106" s="12" t="n">
        <v>1341.619</v>
      </c>
      <c r="H106" s="12" t="n">
        <v>1343.817</v>
      </c>
      <c r="I106" s="12" t="n">
        <v>1445.523</v>
      </c>
      <c r="J106" s="12" t="n">
        <v>1367.44</v>
      </c>
      <c r="K106" s="12" t="n">
        <v>1434.34</v>
      </c>
      <c r="L106" s="12" t="n">
        <v>1311.862</v>
      </c>
      <c r="M106" s="12" t="n">
        <v>1336.7</v>
      </c>
      <c r="N106" s="12" t="n">
        <v>1491.568</v>
      </c>
      <c r="T106" s="12" t="n">
        <v>1071.45</v>
      </c>
      <c r="U106" s="12" t="n">
        <v>1314.246</v>
      </c>
      <c r="V106" s="12" t="n">
        <v>1619.78</v>
      </c>
      <c r="W106" s="12" t="n">
        <v>1343.817</v>
      </c>
      <c r="X106" s="12" t="n">
        <v>1311.862</v>
      </c>
    </row>
    <row r="107">
      <c r="A107" s="43" t="inlineStr">
        <is>
          <t>YoY</t>
        </is>
      </c>
      <c r="B107" s="3" t="inlineStr">
        <is>
          <t>전년 같은 분기·전년 대비</t>
        </is>
      </c>
      <c r="G107" s="15">
        <f>IF(OR(G106="",C106=""),"",IF(C106&lt;=0,"",IFERROR(G106/C106-1,"")))</f>
        <v/>
      </c>
      <c r="H107" s="15">
        <f>IF(OR(H106="",D106=""),"",IF(D106&lt;=0,"",IFERROR(H106/D106-1,"")))</f>
        <v/>
      </c>
      <c r="I107" s="15">
        <f>IF(OR(I106="",E106=""),"",IF(E106&lt;=0,"",IFERROR(I106/E106-1,"")))</f>
        <v/>
      </c>
      <c r="J107" s="15">
        <f>IF(OR(J106="",F106=""),"",IF(F106&lt;=0,"",IFERROR(J106/F106-1,"")))</f>
        <v/>
      </c>
      <c r="K107" s="15">
        <f>IF(OR(K106="",G106=""),"",IF(G106&lt;=0,"",IFERROR(K106/G106-1,"")))</f>
        <v/>
      </c>
      <c r="L107" s="15">
        <f>IF(OR(L106="",H106=""),"",IF(H106&lt;=0,"",IFERROR(L106/H106-1,"")))</f>
        <v/>
      </c>
      <c r="M107" s="15">
        <f>IF(OR(M106="",I106=""),"",IF(I106&lt;=0,"",IFERROR(M106/I106-1,"")))</f>
        <v/>
      </c>
      <c r="N107" s="15">
        <f>IF(OR(N106="",J106=""),"",IF(J106&lt;=0,"",IFERROR(N106/J106-1,"")))</f>
        <v/>
      </c>
      <c r="T107" s="15">
        <f>IF(OR(T106="",S106=""),"",IF(S106&lt;=0,"",IFERROR(T106/S106-1,"")))</f>
        <v/>
      </c>
      <c r="U107" s="15">
        <f>IF(OR(U106="",T106=""),"",IF(T106&lt;=0,"",IFERROR(U106/T106-1,"")))</f>
        <v/>
      </c>
      <c r="V107" s="15">
        <f>IF(OR(V106="",U106=""),"",IF(U106&lt;=0,"",IFERROR(V106/U106-1,"")))</f>
        <v/>
      </c>
      <c r="W107" s="15">
        <f>IF(OR(W106="",V106=""),"",IF(V106&lt;=0,"",IFERROR(W106/V106-1,"")))</f>
        <v/>
      </c>
      <c r="X107" s="15">
        <f>IF(OR(X106="",W106=""),"",IF(W106&lt;=0,"",IFERROR(X106/W106-1,"")))</f>
        <v/>
      </c>
    </row>
    <row r="108">
      <c r="A108" s="18" t="inlineStr">
        <is>
          <t>판매비와 관리비</t>
        </is>
      </c>
      <c r="C108" s="20" t="n">
        <v>915.806</v>
      </c>
      <c r="D108" s="20" t="n">
        <v>1071.336</v>
      </c>
      <c r="E108" s="20" t="n">
        <v>910.417</v>
      </c>
      <c r="F108" s="20" t="n">
        <v>966.668</v>
      </c>
      <c r="G108" s="20" t="n">
        <v>949.869</v>
      </c>
      <c r="H108" s="20" t="n">
        <v>988.672</v>
      </c>
      <c r="I108" s="20" t="n">
        <v>937.383</v>
      </c>
      <c r="J108" s="20" t="n">
        <v>982.053</v>
      </c>
      <c r="K108" s="20" t="n">
        <v>974.788</v>
      </c>
      <c r="L108" s="20" t="n">
        <v>1082.138</v>
      </c>
      <c r="M108" s="20" t="n">
        <v>955.8049999999999</v>
      </c>
      <c r="N108" s="20" t="n">
        <v>982.533</v>
      </c>
      <c r="T108" s="20" t="n">
        <v>771.557</v>
      </c>
      <c r="U108" s="20" t="n">
        <v>877.2329999999999</v>
      </c>
      <c r="V108" s="20" t="n">
        <v>1071.336</v>
      </c>
      <c r="W108" s="20" t="n">
        <v>988.672</v>
      </c>
      <c r="X108" s="20" t="n">
        <v>1082.138</v>
      </c>
    </row>
    <row r="109">
      <c r="A109" s="43" t="inlineStr">
        <is>
          <t>YoY</t>
        </is>
      </c>
      <c r="B109" s="3" t="inlineStr">
        <is>
          <t>전년 같은 분기·전년 대비</t>
        </is>
      </c>
      <c r="G109" s="15">
        <f>IF(OR(G108="",C108=""),"",IF(G108*C108&lt;=0,"",IFERROR(G108/C108-1,"")))</f>
        <v/>
      </c>
      <c r="H109" s="15">
        <f>IF(OR(H108="",D108=""),"",IF(H108*D108&lt;=0,"",IFERROR(H108/D108-1,"")))</f>
        <v/>
      </c>
      <c r="I109" s="15">
        <f>IF(OR(I108="",E108=""),"",IF(I108*E108&lt;=0,"",IFERROR(I108/E108-1,"")))</f>
        <v/>
      </c>
      <c r="J109" s="15">
        <f>IF(OR(J108="",F108=""),"",IF(J108*F108&lt;=0,"",IFERROR(J108/F108-1,"")))</f>
        <v/>
      </c>
      <c r="K109" s="15">
        <f>IF(OR(K108="",G108=""),"",IF(K108*G108&lt;=0,"",IFERROR(K108/G108-1,"")))</f>
        <v/>
      </c>
      <c r="L109" s="15">
        <f>IF(OR(L108="",H108=""),"",IF(L108*H108&lt;=0,"",IFERROR(L108/H108-1,"")))</f>
        <v/>
      </c>
      <c r="M109" s="15">
        <f>IF(OR(M108="",I108=""),"",IF(M108*I108&lt;=0,"",IFERROR(M108/I108-1,"")))</f>
        <v/>
      </c>
      <c r="N109" s="15">
        <f>IF(OR(N108="",J108=""),"",IF(N108*J108&lt;=0,"",IFERROR(N108/J108-1,"")))</f>
        <v/>
      </c>
      <c r="T109" s="15">
        <f>IF(OR(T108="",S108=""),"",IF(T108*S108&lt;=0,"",IFERROR(T108/S108-1,"")))</f>
        <v/>
      </c>
      <c r="U109" s="15">
        <f>IF(OR(U108="",T108=""),"",IF(U108*T108&lt;=0,"",IFERROR(U108/T108-1,"")))</f>
        <v/>
      </c>
      <c r="V109" s="15">
        <f>IF(OR(V108="",U108=""),"",IF(V108*U108&lt;=0,"",IFERROR(V108/U108-1,"")))</f>
        <v/>
      </c>
      <c r="W109" s="15">
        <f>IF(OR(W108="",V108=""),"",IF(W108*V108&lt;=0,"",IFERROR(W108/V108-1,"")))</f>
        <v/>
      </c>
      <c r="X109" s="15">
        <f>IF(OR(X108="",W108=""),"",IF(X108*W108&lt;=0,"",IFERROR(X108/W108-1,"")))</f>
        <v/>
      </c>
    </row>
    <row r="110">
      <c r="A110" s="9" t="inlineStr">
        <is>
          <t>영업이익</t>
        </is>
      </c>
      <c r="C110" s="12" t="n">
        <v>456.423</v>
      </c>
      <c r="D110" s="12" t="n">
        <v>548.443</v>
      </c>
      <c r="E110" s="12" t="n">
        <v>394.635</v>
      </c>
      <c r="F110" s="12" t="n">
        <v>247.712</v>
      </c>
      <c r="G110" s="12" t="n">
        <v>391.749</v>
      </c>
      <c r="H110" s="12" t="n">
        <v>355.146</v>
      </c>
      <c r="I110" s="12" t="n">
        <v>508.139</v>
      </c>
      <c r="J110" s="12" t="n">
        <v>385.388</v>
      </c>
      <c r="K110" s="12" t="n">
        <v>459.552</v>
      </c>
      <c r="L110" s="12" t="n">
        <v>229.723</v>
      </c>
      <c r="M110" s="12" t="n">
        <v>380.895</v>
      </c>
      <c r="N110" s="12" t="n">
        <v>509.034</v>
      </c>
      <c r="T110" s="12" t="n">
        <v>299.893</v>
      </c>
      <c r="U110" s="12" t="n">
        <v>437.013</v>
      </c>
      <c r="V110" s="12" t="n">
        <v>548.443</v>
      </c>
      <c r="W110" s="12" t="n">
        <v>355.146</v>
      </c>
      <c r="X110" s="12" t="n">
        <v>229.723</v>
      </c>
    </row>
    <row r="111">
      <c r="A111" s="43" t="inlineStr">
        <is>
          <t>OPM</t>
        </is>
      </c>
      <c r="B111" s="3" t="inlineStr">
        <is>
          <t>영업이익 ÷ 매출</t>
        </is>
      </c>
      <c r="C111" s="15">
        <f>IF(OR(C110="",C102=""),"",IF(C102&lt;=0,"",IFERROR(C110/C102,"")))</f>
        <v/>
      </c>
      <c r="D111" s="15">
        <f>IF(OR(D110="",D102=""),"",IF(D102&lt;=0,"",IFERROR(D110/D102,"")))</f>
        <v/>
      </c>
      <c r="E111" s="15">
        <f>IF(OR(E110="",E102=""),"",IF(E102&lt;=0,"",IFERROR(E110/E102,"")))</f>
        <v/>
      </c>
      <c r="F111" s="15">
        <f>IF(OR(F110="",F102=""),"",IF(F102&lt;=0,"",IFERROR(F110/F102,"")))</f>
        <v/>
      </c>
      <c r="G111" s="15">
        <f>IF(OR(G110="",G102=""),"",IF(G102&lt;=0,"",IFERROR(G110/G102,"")))</f>
        <v/>
      </c>
      <c r="H111" s="15">
        <f>IF(OR(H110="",H102=""),"",IF(H102&lt;=0,"",IFERROR(H110/H102,"")))</f>
        <v/>
      </c>
      <c r="I111" s="15">
        <f>IF(OR(I110="",I102=""),"",IF(I102&lt;=0,"",IFERROR(I110/I102,"")))</f>
        <v/>
      </c>
      <c r="J111" s="15">
        <f>IF(OR(J110="",J102=""),"",IF(J102&lt;=0,"",IFERROR(J110/J102,"")))</f>
        <v/>
      </c>
      <c r="K111" s="15">
        <f>IF(OR(K110="",K102=""),"",IF(K102&lt;=0,"",IFERROR(K110/K102,"")))</f>
        <v/>
      </c>
      <c r="L111" s="15">
        <f>IF(OR(L110="",L102=""),"",IF(L102&lt;=0,"",IFERROR(L110/L102,"")))</f>
        <v/>
      </c>
      <c r="M111" s="15">
        <f>IF(OR(M110="",M102=""),"",IF(M102&lt;=0,"",IFERROR(M110/M102,"")))</f>
        <v/>
      </c>
      <c r="N111" s="15">
        <f>IF(OR(N110="",N102=""),"",IF(N102&lt;=0,"",IFERROR(N110/N102,"")))</f>
        <v/>
      </c>
      <c r="T111" s="15">
        <f>IF(OR(T110="",T102=""),"",IF(T102&lt;=0,"",IFERROR(T110/T102,"")))</f>
        <v/>
      </c>
      <c r="U111" s="15">
        <f>IF(OR(U110="",U102=""),"",IF(U102&lt;=0,"",IFERROR(U110/U102,"")))</f>
        <v/>
      </c>
      <c r="V111" s="15">
        <f>IF(OR(V110="",V102=""),"",IF(V102&lt;=0,"",IFERROR(V110/V102,"")))</f>
        <v/>
      </c>
      <c r="W111" s="15">
        <f>IF(OR(W110="",W102=""),"",IF(W102&lt;=0,"",IFERROR(W110/W102,"")))</f>
        <v/>
      </c>
      <c r="X111" s="15">
        <f>IF(OR(X110="",X102=""),"",IF(X102&lt;=0,"",IFERROR(X110/X102,"")))</f>
        <v/>
      </c>
    </row>
    <row r="112">
      <c r="A112" s="43" t="inlineStr">
        <is>
          <t>YoY</t>
        </is>
      </c>
      <c r="B112" s="3" t="inlineStr">
        <is>
          <t>전년 같은 분기·전년 대비</t>
        </is>
      </c>
      <c r="G112" s="15">
        <f>IF(OR(G110="",C110=""),"",IF(C110&lt;=0,"",IFERROR(G110/C110-1,"")))</f>
        <v/>
      </c>
      <c r="H112" s="15">
        <f>IF(OR(H110="",D110=""),"",IF(D110&lt;=0,"",IFERROR(H110/D110-1,"")))</f>
        <v/>
      </c>
      <c r="I112" s="15">
        <f>IF(OR(I110="",E110=""),"",IF(E110&lt;=0,"",IFERROR(I110/E110-1,"")))</f>
        <v/>
      </c>
      <c r="J112" s="15">
        <f>IF(OR(J110="",F110=""),"",IF(F110&lt;=0,"",IFERROR(J110/F110-1,"")))</f>
        <v/>
      </c>
      <c r="K112" s="15">
        <f>IF(OR(K110="",G110=""),"",IF(G110&lt;=0,"",IFERROR(K110/G110-1,"")))</f>
        <v/>
      </c>
      <c r="L112" s="15">
        <f>IF(OR(L110="",H110=""),"",IF(H110&lt;=0,"",IFERROR(L110/H110-1,"")))</f>
        <v/>
      </c>
      <c r="M112" s="15">
        <f>IF(OR(M110="",I110=""),"",IF(I110&lt;=0,"",IFERROR(M110/I110-1,"")))</f>
        <v/>
      </c>
      <c r="N112" s="15">
        <f>IF(OR(N110="",J110=""),"",IF(J110&lt;=0,"",IFERROR(N110/J110-1,"")))</f>
        <v/>
      </c>
      <c r="T112" s="15">
        <f>IF(OR(T110="",S110=""),"",IF(S110&lt;=0,"",IFERROR(T110/S110-1,"")))</f>
        <v/>
      </c>
      <c r="U112" s="15">
        <f>IF(OR(U110="",T110=""),"",IF(T110&lt;=0,"",IFERROR(U110/T110-1,"")))</f>
        <v/>
      </c>
      <c r="V112" s="15">
        <f>IF(OR(V110="",U110=""),"",IF(U110&lt;=0,"",IFERROR(V110/U110-1,"")))</f>
        <v/>
      </c>
      <c r="W112" s="15">
        <f>IF(OR(W110="",V110=""),"",IF(V110&lt;=0,"",IFERROR(W110/V110-1,"")))</f>
        <v/>
      </c>
      <c r="X112" s="15">
        <f>IF(OR(X110="",W110=""),"",IF(W110&lt;=0,"",IFERROR(X110/W110-1,"")))</f>
        <v/>
      </c>
    </row>
    <row r="113">
      <c r="A113" s="18" t="inlineStr">
        <is>
          <t>이자수익</t>
        </is>
      </c>
      <c r="C113" s="20" t="n">
        <v>7.945</v>
      </c>
      <c r="D113" s="20" t="n">
        <v>11.446</v>
      </c>
      <c r="E113" s="20" t="n">
        <v>11.869</v>
      </c>
      <c r="F113" s="20" t="n">
        <v>11.654</v>
      </c>
      <c r="G113" s="20" t="n">
        <v>5.697</v>
      </c>
      <c r="H113" s="20" t="n">
        <v>6.288</v>
      </c>
      <c r="I113" s="20" t="n">
        <v>10.016</v>
      </c>
      <c r="J113" s="20" t="n">
        <v>24.098</v>
      </c>
      <c r="K113" s="20" t="n">
        <v>15.947</v>
      </c>
      <c r="L113" s="20" t="n">
        <v>18.862</v>
      </c>
      <c r="M113" s="20" t="n">
        <v>24.313</v>
      </c>
      <c r="N113" s="20" t="n">
        <v>22.93</v>
      </c>
      <c r="T113" s="20" t="n">
        <v>2.792</v>
      </c>
      <c r="U113" s="20" t="n">
        <v>4.869</v>
      </c>
      <c r="V113" s="20" t="n">
        <v>11.446</v>
      </c>
      <c r="W113" s="20" t="n">
        <v>6.288</v>
      </c>
      <c r="X113" s="20" t="n">
        <v>18.862</v>
      </c>
    </row>
    <row r="114">
      <c r="A114" s="18" t="inlineStr">
        <is>
          <t>배당금수익</t>
        </is>
      </c>
      <c r="C114" s="20" t="n">
        <v>0</v>
      </c>
      <c r="D114" s="20" t="n">
        <v>5.904</v>
      </c>
      <c r="G114" s="20" t="n">
        <v>0</v>
      </c>
      <c r="H114" s="20" t="n">
        <v>4.742</v>
      </c>
      <c r="I114" s="20" t="n">
        <v>0</v>
      </c>
      <c r="J114" s="20" t="n">
        <v>7.3</v>
      </c>
      <c r="K114" s="20" t="n">
        <v>0</v>
      </c>
      <c r="L114" s="20" t="n">
        <v>6.043</v>
      </c>
      <c r="M114" s="20" t="n">
        <v>0.013</v>
      </c>
      <c r="N114" s="20" t="n">
        <v>10.145</v>
      </c>
      <c r="T114" s="20" t="n">
        <v>4.165</v>
      </c>
      <c r="U114" s="20" t="n">
        <v>4.912</v>
      </c>
      <c r="V114" s="20" t="n">
        <v>5.904</v>
      </c>
      <c r="W114" s="20" t="n">
        <v>4.742</v>
      </c>
      <c r="X114" s="20" t="n">
        <v>6.043</v>
      </c>
    </row>
    <row r="115">
      <c r="A115" s="18" t="inlineStr">
        <is>
          <t>부동산 임대료</t>
        </is>
      </c>
      <c r="C115" s="20" t="n">
        <v>1.835</v>
      </c>
      <c r="D115" s="20" t="n">
        <v>1.743</v>
      </c>
      <c r="E115" s="20" t="n">
        <v>1.736</v>
      </c>
      <c r="F115" s="20" t="n">
        <v>1.765</v>
      </c>
      <c r="G115" s="20" t="n">
        <v>1.717</v>
      </c>
      <c r="H115" s="20" t="n">
        <v>1.7</v>
      </c>
      <c r="I115" s="20" t="n">
        <v>1.646</v>
      </c>
      <c r="J115" s="20" t="n">
        <v>1.621</v>
      </c>
      <c r="K115" s="20" t="n">
        <v>1.662</v>
      </c>
      <c r="L115" s="20" t="n">
        <v>1.66</v>
      </c>
      <c r="M115" s="20" t="n">
        <v>1.672</v>
      </c>
      <c r="N115" s="20" t="n">
        <v>1.659</v>
      </c>
      <c r="T115" s="20" t="n">
        <v>0.976</v>
      </c>
      <c r="U115" s="20" t="n">
        <v>1.36</v>
      </c>
      <c r="V115" s="20" t="n">
        <v>1.743</v>
      </c>
      <c r="W115" s="20" t="n">
        <v>1.7</v>
      </c>
      <c r="X115" s="20" t="n">
        <v>1.66</v>
      </c>
    </row>
    <row r="116">
      <c r="A116" s="18" t="inlineStr">
        <is>
          <t>외환차익</t>
        </is>
      </c>
      <c r="C116" s="20" t="n">
        <v>-7.4</v>
      </c>
      <c r="D116" s="20" t="n">
        <v>-2.57</v>
      </c>
      <c r="E116" s="20" t="n">
        <v>4.691</v>
      </c>
      <c r="F116" s="20" t="n">
        <v>23.755</v>
      </c>
      <c r="G116" s="20" t="n">
        <v>-28.446</v>
      </c>
      <c r="H116" s="20" t="n">
        <v>0</v>
      </c>
      <c r="I116" s="20" t="n">
        <v>0</v>
      </c>
      <c r="J116" s="20" t="n">
        <v>0</v>
      </c>
      <c r="T116" s="20" t="n">
        <v>9.503</v>
      </c>
      <c r="U116" s="20" t="n">
        <v>2.727</v>
      </c>
      <c r="V116" s="20" t="n">
        <v>-2.57</v>
      </c>
      <c r="W116" s="20" t="n">
        <v>0</v>
      </c>
    </row>
    <row r="117">
      <c r="A117" s="18" t="inlineStr">
        <is>
          <t>투자사업조합 운용 이익</t>
        </is>
      </c>
      <c r="C117" s="20" t="n">
        <v>0</v>
      </c>
      <c r="D117" s="20" t="n">
        <v>1.847</v>
      </c>
      <c r="E117" s="20" t="n">
        <v>13.284</v>
      </c>
      <c r="F117" s="20" t="n">
        <v>5.119</v>
      </c>
      <c r="G117" s="20" t="n">
        <v>-1.518</v>
      </c>
      <c r="H117" s="20" t="n">
        <v>2.277</v>
      </c>
      <c r="I117" s="20" t="n">
        <v>9.430999999999999</v>
      </c>
      <c r="J117" s="20" t="n">
        <v>1.195</v>
      </c>
      <c r="K117" s="20" t="n">
        <v>4.897</v>
      </c>
      <c r="L117" s="20" t="n">
        <v>3.506</v>
      </c>
      <c r="M117" s="20" t="n">
        <v>0</v>
      </c>
      <c r="N117" s="20" t="n">
        <v>2.294</v>
      </c>
      <c r="T117" s="20" t="n">
        <v>1.345</v>
      </c>
      <c r="U117" s="20" t="n">
        <v>2.197</v>
      </c>
      <c r="V117" s="20" t="n">
        <v>1.847</v>
      </c>
      <c r="W117" s="20" t="n">
        <v>2.277</v>
      </c>
      <c r="X117" s="20" t="n">
        <v>3.506</v>
      </c>
    </row>
    <row r="118">
      <c r="A118" s="18" t="inlineStr">
        <is>
          <t>고정자산 매각이익</t>
        </is>
      </c>
      <c r="T118" s="20" t="n">
        <v>0.418</v>
      </c>
      <c r="U118" s="20" t="n">
        <v>0.018</v>
      </c>
    </row>
    <row r="119">
      <c r="A119" s="18" t="inlineStr">
        <is>
          <t>물품 매각이익</t>
        </is>
      </c>
      <c r="C119" s="20" t="n">
        <v>2.505</v>
      </c>
      <c r="D119" s="20" t="n">
        <v>0</v>
      </c>
      <c r="G119" s="20" t="n">
        <v>0</v>
      </c>
      <c r="H119" s="20" t="n">
        <v>0</v>
      </c>
      <c r="U119" s="20" t="n">
        <v>0</v>
      </c>
      <c r="V119" s="20" t="n">
        <v>0</v>
      </c>
      <c r="W119" s="20" t="n">
        <v>0</v>
      </c>
    </row>
    <row r="120">
      <c r="A120" s="18" t="inlineStr">
        <is>
          <t>기타</t>
        </is>
      </c>
      <c r="C120" s="20" t="n">
        <v>-2.046</v>
      </c>
      <c r="D120" s="20" t="n">
        <v>0.723</v>
      </c>
      <c r="E120" s="20" t="n">
        <v>1.292</v>
      </c>
      <c r="F120" s="20" t="n">
        <v>1.037</v>
      </c>
      <c r="G120" s="20" t="n">
        <v>0.397</v>
      </c>
      <c r="H120" s="20" t="n">
        <v>0.551</v>
      </c>
      <c r="I120" s="20" t="n">
        <v>1.435</v>
      </c>
      <c r="J120" s="20" t="n">
        <v>1.507</v>
      </c>
      <c r="K120" s="20" t="n">
        <v>2.325</v>
      </c>
      <c r="L120" s="20" t="n">
        <v>-0.5590000000000001</v>
      </c>
      <c r="M120" s="20" t="n">
        <v>3.352</v>
      </c>
      <c r="N120" s="20" t="n">
        <v>0.927</v>
      </c>
      <c r="T120" s="20" t="n">
        <v>-6.186</v>
      </c>
      <c r="U120" s="20" t="n">
        <v>2.654</v>
      </c>
      <c r="V120" s="20" t="n">
        <v>0.723</v>
      </c>
      <c r="W120" s="20" t="n">
        <v>0.551</v>
      </c>
      <c r="X120" s="20" t="n">
        <v>-0.5590000000000001</v>
      </c>
    </row>
    <row r="121">
      <c r="A121" s="18" t="inlineStr">
        <is>
          <t>영업외수익 합계</t>
        </is>
      </c>
      <c r="C121" s="20" t="n">
        <v>2.838</v>
      </c>
      <c r="D121" s="20" t="n">
        <v>19.245</v>
      </c>
      <c r="E121" s="20" t="n">
        <v>32.874</v>
      </c>
      <c r="F121" s="20" t="n">
        <v>47.665</v>
      </c>
      <c r="G121" s="20" t="n">
        <v>-22.153</v>
      </c>
      <c r="H121" s="20" t="n">
        <v>15.661</v>
      </c>
      <c r="I121" s="20" t="n">
        <v>22.53</v>
      </c>
      <c r="J121" s="20" t="n">
        <v>35.72</v>
      </c>
      <c r="K121" s="20" t="n">
        <v>24.832</v>
      </c>
      <c r="L121" s="20" t="n">
        <v>30.387</v>
      </c>
      <c r="M121" s="20" t="n">
        <v>29.351</v>
      </c>
      <c r="N121" s="20" t="n">
        <v>37.955</v>
      </c>
      <c r="T121" s="20" t="n">
        <v>21.349</v>
      </c>
      <c r="U121" s="20" t="n">
        <v>19.9</v>
      </c>
      <c r="V121" s="20" t="n">
        <v>19.245</v>
      </c>
      <c r="W121" s="20" t="n">
        <v>15.661</v>
      </c>
      <c r="X121" s="20" t="n">
        <v>30.387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IF(OR(G121="",C121=""),"",IF(G121*C121&lt;=0,"",IFERROR(G121/C121-1,"")))</f>
        <v/>
      </c>
      <c r="H122" s="15">
        <f>IF(OR(H121="",D121=""),"",IF(H121*D121&lt;=0,"",IFERROR(H121/D121-1,"")))</f>
        <v/>
      </c>
      <c r="I122" s="15">
        <f>IF(OR(I121="",E121=""),"",IF(I121*E121&lt;=0,"",IFERROR(I121/E121-1,"")))</f>
        <v/>
      </c>
      <c r="J122" s="15">
        <f>IF(OR(J121="",F121=""),"",IF(J121*F121&lt;=0,"",IFERROR(J121/F121-1,"")))</f>
        <v/>
      </c>
      <c r="K122" s="15">
        <f>IF(OR(K121="",G121=""),"",IF(K121*G121&lt;=0,"",IFERROR(K121/G121-1,"")))</f>
        <v/>
      </c>
      <c r="L122" s="15">
        <f>IF(OR(L121="",H121=""),"",IF(L121*H121&lt;=0,"",IFERROR(L121/H121-1,"")))</f>
        <v/>
      </c>
      <c r="M122" s="15">
        <f>IF(OR(M121="",I121=""),"",IF(M121*I121&lt;=0,"",IFERROR(M121/I121-1,"")))</f>
        <v/>
      </c>
      <c r="N122" s="15">
        <f>IF(OR(N121="",J121=""),"",IF(N121*J121&lt;=0,"",IFERROR(N121/J121-1,"")))</f>
        <v/>
      </c>
      <c r="T122" s="15">
        <f>IF(OR(T121="",S121=""),"",IF(T121*S121&lt;=0,"",IFERROR(T121/S121-1,"")))</f>
        <v/>
      </c>
      <c r="U122" s="15">
        <f>IF(OR(U121="",T121=""),"",IF(U121*T121&lt;=0,"",IFERROR(U121/T121-1,"")))</f>
        <v/>
      </c>
      <c r="V122" s="15">
        <f>IF(OR(V121="",U121=""),"",IF(V121*U121&lt;=0,"",IFERROR(V121/U121-1,"")))</f>
        <v/>
      </c>
      <c r="W122" s="15">
        <f>IF(OR(W121="",V121=""),"",IF(W121*V121&lt;=0,"",IFERROR(W121/V121-1,"")))</f>
        <v/>
      </c>
      <c r="X122" s="15">
        <f>IF(OR(X121="",W121=""),"",IF(X121*W121&lt;=0,"",IFERROR(X121/W121-1,"")))</f>
        <v/>
      </c>
    </row>
    <row r="123">
      <c r="A123" s="18" t="inlineStr">
        <is>
          <t>이자비용</t>
        </is>
      </c>
      <c r="C123" s="20" t="n">
        <v>1.643</v>
      </c>
      <c r="D123" s="20" t="n">
        <v>0.064</v>
      </c>
      <c r="E123" s="20" t="n">
        <v>0.698</v>
      </c>
      <c r="F123" s="20" t="n">
        <v>0.5649999999999999</v>
      </c>
      <c r="G123" s="20" t="n">
        <v>0.479</v>
      </c>
      <c r="H123" s="20" t="n">
        <v>0.364</v>
      </c>
      <c r="I123" s="20" t="n">
        <v>0.258</v>
      </c>
      <c r="J123" s="20" t="n">
        <v>0.1</v>
      </c>
      <c r="K123" s="20" t="n">
        <v>1.459</v>
      </c>
      <c r="L123" s="20" t="n">
        <v>3.325</v>
      </c>
      <c r="M123" s="20" t="n">
        <v>3.58</v>
      </c>
      <c r="N123" s="20" t="n">
        <v>3.425</v>
      </c>
      <c r="T123" s="20" t="n">
        <v>0.308</v>
      </c>
      <c r="U123" s="20" t="n">
        <v>0.819</v>
      </c>
      <c r="V123" s="20" t="n">
        <v>0.064</v>
      </c>
      <c r="W123" s="20" t="n">
        <v>0.364</v>
      </c>
      <c r="X123" s="20" t="n">
        <v>3.325</v>
      </c>
    </row>
    <row r="124">
      <c r="A124" s="18" t="inlineStr">
        <is>
          <t>부동산 임대원가</t>
        </is>
      </c>
      <c r="C124" s="20" t="n">
        <v>2.671</v>
      </c>
      <c r="D124" s="20" t="n">
        <v>1.029</v>
      </c>
      <c r="E124" s="20" t="n">
        <v>0.868</v>
      </c>
      <c r="F124" s="20" t="n">
        <v>0.785</v>
      </c>
      <c r="G124" s="20" t="n">
        <v>2.724</v>
      </c>
      <c r="H124" s="20" t="n">
        <v>0.993</v>
      </c>
      <c r="I124" s="20" t="n">
        <v>0.839</v>
      </c>
      <c r="J124" s="20" t="n">
        <v>0.694</v>
      </c>
      <c r="K124" s="20" t="n">
        <v>2.609</v>
      </c>
      <c r="L124" s="20" t="n">
        <v>0.88</v>
      </c>
      <c r="M124" s="20" t="n">
        <v>0.886</v>
      </c>
      <c r="N124" s="20" t="n">
        <v>0.6860000000000001</v>
      </c>
      <c r="T124" s="20" t="n">
        <v>0.636</v>
      </c>
      <c r="U124" s="20" t="n">
        <v>0.99</v>
      </c>
      <c r="V124" s="20" t="n">
        <v>1.029</v>
      </c>
      <c r="W124" s="20" t="n">
        <v>0.993</v>
      </c>
      <c r="X124" s="20" t="n">
        <v>0.88</v>
      </c>
    </row>
    <row r="125">
      <c r="A125" s="18" t="inlineStr">
        <is>
          <t>투자조합 운용손실</t>
        </is>
      </c>
      <c r="C125" s="20" t="n">
        <v>0.258</v>
      </c>
      <c r="D125" s="20" t="n">
        <v>0.833</v>
      </c>
      <c r="E125" s="20" t="n">
        <v>0.5639999999999999</v>
      </c>
      <c r="F125" s="20" t="n">
        <v>-0.5639999999999999</v>
      </c>
      <c r="G125" s="20" t="n">
        <v>0</v>
      </c>
      <c r="H125" s="20" t="n">
        <v>0</v>
      </c>
      <c r="I125" s="20" t="n">
        <v>0</v>
      </c>
      <c r="J125" s="20" t="n">
        <v>0</v>
      </c>
      <c r="T125" s="20" t="n">
        <v>0</v>
      </c>
      <c r="U125" s="20" t="n">
        <v>1.493</v>
      </c>
      <c r="V125" s="20" t="n">
        <v>0.833</v>
      </c>
      <c r="W125" s="20" t="n">
        <v>0</v>
      </c>
    </row>
    <row r="126">
      <c r="A126" s="18" t="inlineStr">
        <is>
          <t>외환차손</t>
        </is>
      </c>
      <c r="D126" s="20" t="n">
        <v>0</v>
      </c>
      <c r="E126" s="20" t="n">
        <v>0</v>
      </c>
      <c r="F126" s="20" t="n">
        <v>0</v>
      </c>
      <c r="G126" s="20" t="n">
        <v>11.923</v>
      </c>
      <c r="H126" s="20" t="n">
        <v>-8.33</v>
      </c>
      <c r="I126" s="20" t="n">
        <v>15.313</v>
      </c>
      <c r="J126" s="20" t="n">
        <v>0.136</v>
      </c>
      <c r="K126" s="20" t="n">
        <v>-8.178000000000001</v>
      </c>
      <c r="L126" s="20" t="n">
        <v>-2.566</v>
      </c>
      <c r="M126" s="20" t="n">
        <v>11.874</v>
      </c>
      <c r="N126" s="20" t="n">
        <v>1.633</v>
      </c>
      <c r="V126" s="20" t="n">
        <v>0</v>
      </c>
      <c r="W126" s="20" t="n">
        <v>-8.33</v>
      </c>
      <c r="X126" s="20" t="n">
        <v>-2.566</v>
      </c>
    </row>
    <row r="127">
      <c r="A127" s="18" t="inlineStr">
        <is>
          <t>고정자산 제각손실</t>
        </is>
      </c>
      <c r="T127" s="20" t="n">
        <v>0.049</v>
      </c>
      <c r="U127" s="20" t="n">
        <v>1.552</v>
      </c>
    </row>
    <row r="128">
      <c r="A128" s="18" t="inlineStr">
        <is>
          <t>기타</t>
        </is>
      </c>
      <c r="C128" s="20" t="n">
        <v>3.902</v>
      </c>
      <c r="D128" s="20" t="n">
        <v>-3.555</v>
      </c>
      <c r="E128" s="20" t="n">
        <v>0.07199999999999999</v>
      </c>
      <c r="F128" s="20" t="n">
        <v>0.096</v>
      </c>
      <c r="G128" s="20" t="n">
        <v>0.8080000000000001</v>
      </c>
      <c r="H128" s="20" t="n">
        <v>0.021</v>
      </c>
      <c r="I128" s="20" t="n">
        <v>0.177</v>
      </c>
      <c r="J128" s="20" t="n">
        <v>0.541</v>
      </c>
      <c r="K128" s="20" t="n">
        <v>2.596</v>
      </c>
      <c r="L128" s="20" t="n">
        <v>-0.261</v>
      </c>
      <c r="M128" s="20" t="n">
        <v>0.791</v>
      </c>
      <c r="N128" s="20" t="n">
        <v>2.446</v>
      </c>
      <c r="T128" s="20" t="n">
        <v>0.004</v>
      </c>
      <c r="U128" s="20" t="n">
        <v>-1.218</v>
      </c>
      <c r="V128" s="20" t="n">
        <v>-3.555</v>
      </c>
      <c r="W128" s="20" t="n">
        <v>0.021</v>
      </c>
      <c r="X128" s="20" t="n">
        <v>-0.261</v>
      </c>
    </row>
    <row r="129">
      <c r="A129" s="18" t="inlineStr">
        <is>
          <t>영업외비용 합계</t>
        </is>
      </c>
      <c r="C129" s="20" t="n">
        <v>8.475</v>
      </c>
      <c r="D129" s="20" t="n">
        <v>-1.235</v>
      </c>
      <c r="E129" s="20" t="n">
        <v>2.205</v>
      </c>
      <c r="F129" s="20" t="n">
        <v>0.88</v>
      </c>
      <c r="G129" s="20" t="n">
        <v>15.934</v>
      </c>
      <c r="H129" s="20" t="n">
        <v>-3.508</v>
      </c>
      <c r="I129" s="20" t="n">
        <v>16.589</v>
      </c>
      <c r="J129" s="20" t="n">
        <v>1.47</v>
      </c>
      <c r="K129" s="20" t="n">
        <v>-1.514</v>
      </c>
      <c r="L129" s="20" t="n">
        <v>2.044</v>
      </c>
      <c r="M129" s="20" t="n">
        <v>17.133</v>
      </c>
      <c r="N129" s="20" t="n">
        <v>11.079</v>
      </c>
      <c r="T129" s="20" t="n">
        <v>0.523</v>
      </c>
      <c r="U129" s="20" t="n">
        <v>4.097</v>
      </c>
      <c r="V129" s="20" t="n">
        <v>-1.235</v>
      </c>
      <c r="W129" s="20" t="n">
        <v>-3.508</v>
      </c>
      <c r="X129" s="20" t="n">
        <v>2.044</v>
      </c>
    </row>
    <row r="130">
      <c r="A130" s="43" t="inlineStr">
        <is>
          <t>YoY</t>
        </is>
      </c>
      <c r="B130" s="3" t="inlineStr">
        <is>
          <t>전년 같은 분기·전년 대비</t>
        </is>
      </c>
      <c r="G130" s="15">
        <f>IF(OR(G129="",C129=""),"",IF(G129*C129&lt;=0,"",IFERROR(G129/C129-1,"")))</f>
        <v/>
      </c>
      <c r="H130" s="15">
        <f>IF(OR(H129="",D129=""),"",IF(H129*D129&lt;=0,"",IFERROR(H129/D129-1,"")))</f>
        <v/>
      </c>
      <c r="I130" s="15">
        <f>IF(OR(I129="",E129=""),"",IF(I129*E129&lt;=0,"",IFERROR(I129/E129-1,"")))</f>
        <v/>
      </c>
      <c r="J130" s="15">
        <f>IF(OR(J129="",F129=""),"",IF(J129*F129&lt;=0,"",IFERROR(J129/F129-1,"")))</f>
        <v/>
      </c>
      <c r="K130" s="15">
        <f>IF(OR(K129="",G129=""),"",IF(K129*G129&lt;=0,"",IFERROR(K129/G129-1,"")))</f>
        <v/>
      </c>
      <c r="L130" s="15">
        <f>IF(OR(L129="",H129=""),"",IF(L129*H129&lt;=0,"",IFERROR(L129/H129-1,"")))</f>
        <v/>
      </c>
      <c r="M130" s="15">
        <f>IF(OR(M129="",I129=""),"",IF(M129*I129&lt;=0,"",IFERROR(M129/I129-1,"")))</f>
        <v/>
      </c>
      <c r="N130" s="15">
        <f>IF(OR(N129="",J129=""),"",IF(N129*J129&lt;=0,"",IFERROR(N129/J129-1,"")))</f>
        <v/>
      </c>
      <c r="T130" s="15">
        <f>IF(OR(T129="",S129=""),"",IF(T129*S129&lt;=0,"",IFERROR(T129/S129-1,"")))</f>
        <v/>
      </c>
      <c r="U130" s="15">
        <f>IF(OR(U129="",T129=""),"",IF(U129*T129&lt;=0,"",IFERROR(U129/T129-1,"")))</f>
        <v/>
      </c>
      <c r="V130" s="15">
        <f>IF(OR(V129="",U129=""),"",IF(V129*U129&lt;=0,"",IFERROR(V129/U129-1,"")))</f>
        <v/>
      </c>
      <c r="W130" s="15">
        <f>IF(OR(W129="",V129=""),"",IF(W129*V129&lt;=0,"",IFERROR(W129/V129-1,"")))</f>
        <v/>
      </c>
      <c r="X130" s="15">
        <f>IF(OR(X129="",W129=""),"",IF(X129*W129&lt;=0,"",IFERROR(X129/W129-1,"")))</f>
        <v/>
      </c>
    </row>
    <row r="131">
      <c r="A131" s="9" t="inlineStr">
        <is>
          <t>경상이익</t>
        </is>
      </c>
      <c r="C131" s="12" t="n">
        <v>450.787</v>
      </c>
      <c r="D131" s="12" t="n">
        <v>568.922</v>
      </c>
      <c r="E131" s="12" t="n">
        <v>425.304</v>
      </c>
      <c r="F131" s="12" t="n">
        <v>294.497</v>
      </c>
      <c r="G131" s="12" t="n">
        <v>353.663</v>
      </c>
      <c r="H131" s="12" t="n">
        <v>374.314</v>
      </c>
      <c r="I131" s="12" t="n">
        <v>514.08</v>
      </c>
      <c r="J131" s="12" t="n">
        <v>419.639</v>
      </c>
      <c r="K131" s="12" t="n">
        <v>485.897</v>
      </c>
      <c r="L131" s="12" t="n">
        <v>258.066</v>
      </c>
      <c r="M131" s="12" t="n">
        <v>393.114</v>
      </c>
      <c r="N131" s="12" t="n">
        <v>535.909</v>
      </c>
      <c r="T131" s="12" t="n">
        <v>320.718</v>
      </c>
      <c r="U131" s="12" t="n">
        <v>452.817</v>
      </c>
      <c r="V131" s="12" t="n">
        <v>568.922</v>
      </c>
      <c r="W131" s="12" t="n">
        <v>374.314</v>
      </c>
      <c r="X131" s="12" t="n">
        <v>258.066</v>
      </c>
    </row>
    <row r="132">
      <c r="A132" s="43" t="inlineStr">
        <is>
          <t>YoY</t>
        </is>
      </c>
      <c r="B132" s="3" t="inlineStr">
        <is>
          <t>전년 같은 분기·전년 대비</t>
        </is>
      </c>
      <c r="G132" s="15">
        <f>IF(OR(G131="",C131=""),"",IF(C131&lt;=0,"",IFERROR(G131/C131-1,"")))</f>
        <v/>
      </c>
      <c r="H132" s="15">
        <f>IF(OR(H131="",D131=""),"",IF(D131&lt;=0,"",IFERROR(H131/D131-1,"")))</f>
        <v/>
      </c>
      <c r="I132" s="15">
        <f>IF(OR(I131="",E131=""),"",IF(E131&lt;=0,"",IFERROR(I131/E131-1,"")))</f>
        <v/>
      </c>
      <c r="J132" s="15">
        <f>IF(OR(J131="",F131=""),"",IF(F131&lt;=0,"",IFERROR(J131/F131-1,"")))</f>
        <v/>
      </c>
      <c r="K132" s="15">
        <f>IF(OR(K131="",G131=""),"",IF(G131&lt;=0,"",IFERROR(K131/G131-1,"")))</f>
        <v/>
      </c>
      <c r="L132" s="15">
        <f>IF(OR(L131="",H131=""),"",IF(H131&lt;=0,"",IFERROR(L131/H131-1,"")))</f>
        <v/>
      </c>
      <c r="M132" s="15">
        <f>IF(OR(M131="",I131=""),"",IF(I131&lt;=0,"",IFERROR(M131/I131-1,"")))</f>
        <v/>
      </c>
      <c r="N132" s="15">
        <f>IF(OR(N131="",J131=""),"",IF(J131&lt;=0,"",IFERROR(N131/J131-1,"")))</f>
        <v/>
      </c>
      <c r="T132" s="15">
        <f>IF(OR(T131="",S131=""),"",IF(S131&lt;=0,"",IFERROR(T131/S131-1,"")))</f>
        <v/>
      </c>
      <c r="U132" s="15">
        <f>IF(OR(U131="",T131=""),"",IF(T131&lt;=0,"",IFERROR(U131/T131-1,"")))</f>
        <v/>
      </c>
      <c r="V132" s="15">
        <f>IF(OR(V131="",U131=""),"",IF(U131&lt;=0,"",IFERROR(V131/U131-1,"")))</f>
        <v/>
      </c>
      <c r="W132" s="15">
        <f>IF(OR(W131="",V131=""),"",IF(V131&lt;=0,"",IFERROR(W131/V131-1,"")))</f>
        <v/>
      </c>
      <c r="X132" s="15">
        <f>IF(OR(X131="",W131=""),"",IF(W131&lt;=0,"",IFERROR(X131/W131-1,"")))</f>
        <v/>
      </c>
    </row>
    <row r="133">
      <c r="A133" s="18" t="inlineStr">
        <is>
          <t>투자유가증권 매각이익</t>
        </is>
      </c>
      <c r="C133" s="20" t="n">
        <v>0</v>
      </c>
      <c r="D133" s="20" t="n">
        <v>8.699999999999999</v>
      </c>
      <c r="E133" s="20" t="n">
        <v>88.63500000000001</v>
      </c>
      <c r="F133" s="20" t="n">
        <v>0</v>
      </c>
      <c r="G133" s="20" t="n">
        <v>0</v>
      </c>
      <c r="H133" s="20" t="n">
        <v>0</v>
      </c>
      <c r="I133" s="20" t="n">
        <v>0</v>
      </c>
      <c r="J133" s="20" t="n">
        <v>0</v>
      </c>
      <c r="K133" s="20" t="n">
        <v>0</v>
      </c>
      <c r="L133" s="20" t="n">
        <v>0</v>
      </c>
      <c r="V133" s="20" t="n">
        <v>8.699999999999999</v>
      </c>
      <c r="W133" s="20" t="n">
        <v>0</v>
      </c>
      <c r="X133" s="20" t="n">
        <v>0</v>
      </c>
    </row>
    <row r="134">
      <c r="A134" s="18" t="inlineStr">
        <is>
          <t>특별이익 합계</t>
        </is>
      </c>
      <c r="C134" s="20" t="n">
        <v>0</v>
      </c>
      <c r="D134" s="20" t="n">
        <v>8.699999999999999</v>
      </c>
      <c r="E134" s="20" t="n">
        <v>88.63500000000001</v>
      </c>
      <c r="F134" s="20" t="n">
        <v>0</v>
      </c>
      <c r="G134" s="20" t="n">
        <v>0</v>
      </c>
      <c r="H134" s="20" t="n">
        <v>0</v>
      </c>
      <c r="I134" s="20" t="n">
        <v>0</v>
      </c>
      <c r="J134" s="20" t="n">
        <v>0</v>
      </c>
      <c r="K134" s="20" t="n">
        <v>0</v>
      </c>
      <c r="L134" s="20" t="n">
        <v>0</v>
      </c>
      <c r="V134" s="20" t="n">
        <v>8.699999999999999</v>
      </c>
      <c r="W134" s="20" t="n">
        <v>0</v>
      </c>
      <c r="X134" s="20" t="n">
        <v>0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IF(OR(G134="",C134=""),"",IF(G134*C134&lt;=0,"",IFERROR(G134/C134-1,"")))</f>
        <v/>
      </c>
      <c r="H135" s="15">
        <f>IF(OR(H134="",D134=""),"",IF(H134*D134&lt;=0,"",IFERROR(H134/D134-1,"")))</f>
        <v/>
      </c>
      <c r="I135" s="15">
        <f>IF(OR(I134="",E134=""),"",IF(I134*E134&lt;=0,"",IFERROR(I134/E134-1,"")))</f>
        <v/>
      </c>
      <c r="J135" s="15">
        <f>IF(OR(J134="",F134=""),"",IF(J134*F134&lt;=0,"",IFERROR(J134/F134-1,"")))</f>
        <v/>
      </c>
      <c r="K135" s="15">
        <f>IF(OR(K134="",G134=""),"",IF(K134*G134&lt;=0,"",IFERROR(K134/G134-1,"")))</f>
        <v/>
      </c>
      <c r="L135" s="15">
        <f>IF(OR(L134="",H134=""),"",IF(L134*H134&lt;=0,"",IFERROR(L134/H134-1,"")))</f>
        <v/>
      </c>
      <c r="V135" s="15">
        <f>IF(OR(V134="",U134=""),"",IF(V134*U134&lt;=0,"",IFERROR(V134/U134-1,"")))</f>
        <v/>
      </c>
      <c r="W135" s="15">
        <f>IF(OR(W134="",V134=""),"",IF(W134*V134&lt;=0,"",IFERROR(W134/V134-1,"")))</f>
        <v/>
      </c>
      <c r="X135" s="15">
        <f>IF(OR(X134="",W134=""),"",IF(X134*W134&lt;=0,"",IFERROR(X134/W134-1,"")))</f>
        <v/>
      </c>
    </row>
    <row r="136">
      <c r="A136" s="18" t="inlineStr">
        <is>
          <t>손상차손</t>
        </is>
      </c>
      <c r="G136" s="20" t="n">
        <v>0</v>
      </c>
      <c r="H136" s="20" t="n">
        <v>0</v>
      </c>
      <c r="K136" s="20" t="n">
        <v>0.073</v>
      </c>
      <c r="L136" s="20" t="n">
        <v>0.5610000000000001</v>
      </c>
      <c r="W136" s="20" t="n">
        <v>0</v>
      </c>
      <c r="X136" s="20" t="n">
        <v>0.5610000000000001</v>
      </c>
    </row>
    <row r="137">
      <c r="A137" s="18" t="inlineStr">
        <is>
          <t>특별손실 합계</t>
        </is>
      </c>
      <c r="G137" s="20" t="n">
        <v>0</v>
      </c>
      <c r="H137" s="20" t="n">
        <v>10.475</v>
      </c>
      <c r="K137" s="20" t="n">
        <v>0.073</v>
      </c>
      <c r="L137" s="20" t="n">
        <v>0.5610000000000001</v>
      </c>
      <c r="W137" s="20" t="n">
        <v>10.475</v>
      </c>
      <c r="X137" s="20" t="n">
        <v>0.5610000000000001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G138" s="15">
        <f>IF(OR(G137="",C137=""),"",IF(G137*C137&lt;=0,"",IFERROR(G137/C137-1,"")))</f>
        <v/>
      </c>
      <c r="H138" s="15">
        <f>IF(OR(H137="",D137=""),"",IF(H137*D137&lt;=0,"",IFERROR(H137/D137-1,"")))</f>
        <v/>
      </c>
      <c r="K138" s="15">
        <f>IF(OR(K137="",G137=""),"",IF(K137*G137&lt;=0,"",IFERROR(K137/G137-1,"")))</f>
        <v/>
      </c>
      <c r="L138" s="15">
        <f>IF(OR(L137="",H137=""),"",IF(L137*H137&lt;=0,"",IFERROR(L137/H137-1,"")))</f>
        <v/>
      </c>
      <c r="W138" s="15">
        <f>IF(OR(W137="",V137=""),"",IF(W137*V137&lt;=0,"",IFERROR(W137/V137-1,"")))</f>
        <v/>
      </c>
      <c r="X138" s="15">
        <f>IF(OR(X137="",W137=""),"",IF(X137*W137&lt;=0,"",IFERROR(X137/W137-1,"")))</f>
        <v/>
      </c>
    </row>
    <row r="139">
      <c r="A139" s="9" t="inlineStr">
        <is>
          <t>법인세차감전 순이익</t>
        </is>
      </c>
      <c r="C139" s="12" t="n">
        <v>450.787</v>
      </c>
      <c r="D139" s="12" t="n">
        <v>577.622</v>
      </c>
      <c r="E139" s="12" t="n">
        <v>513.939</v>
      </c>
      <c r="F139" s="12" t="n">
        <v>294.497</v>
      </c>
      <c r="G139" s="12" t="n">
        <v>353.663</v>
      </c>
      <c r="H139" s="12" t="n">
        <v>363.838</v>
      </c>
      <c r="I139" s="12" t="n">
        <v>514.08</v>
      </c>
      <c r="J139" s="12" t="n">
        <v>382.592</v>
      </c>
      <c r="K139" s="12" t="n">
        <v>485.825</v>
      </c>
      <c r="L139" s="12" t="n">
        <v>257.505</v>
      </c>
      <c r="M139" s="12" t="n">
        <v>393.114</v>
      </c>
      <c r="N139" s="12" t="n">
        <v>535.909</v>
      </c>
      <c r="T139" s="12" t="n">
        <v>320.718</v>
      </c>
      <c r="U139" s="12" t="n">
        <v>452.817</v>
      </c>
      <c r="V139" s="12" t="n">
        <v>577.622</v>
      </c>
      <c r="W139" s="12" t="n">
        <v>363.838</v>
      </c>
      <c r="X139" s="12" t="n">
        <v>257.505</v>
      </c>
    </row>
    <row r="140">
      <c r="A140" s="43" t="inlineStr">
        <is>
          <t>YoY</t>
        </is>
      </c>
      <c r="B140" s="3" t="inlineStr">
        <is>
          <t>전년 같은 분기·전년 대비</t>
        </is>
      </c>
      <c r="G140" s="15">
        <f>IF(OR(G139="",C139=""),"",IF(C139&lt;=0,"",IFERROR(G139/C139-1,"")))</f>
        <v/>
      </c>
      <c r="H140" s="15">
        <f>IF(OR(H139="",D139=""),"",IF(D139&lt;=0,"",IFERROR(H139/D139-1,"")))</f>
        <v/>
      </c>
      <c r="I140" s="15">
        <f>IF(OR(I139="",E139=""),"",IF(E139&lt;=0,"",IFERROR(I139/E139-1,"")))</f>
        <v/>
      </c>
      <c r="J140" s="15">
        <f>IF(OR(J139="",F139=""),"",IF(F139&lt;=0,"",IFERROR(J139/F139-1,"")))</f>
        <v/>
      </c>
      <c r="K140" s="15">
        <f>IF(OR(K139="",G139=""),"",IF(G139&lt;=0,"",IFERROR(K139/G139-1,"")))</f>
        <v/>
      </c>
      <c r="L140" s="15">
        <f>IF(OR(L139="",H139=""),"",IF(H139&lt;=0,"",IFERROR(L139/H139-1,"")))</f>
        <v/>
      </c>
      <c r="M140" s="15">
        <f>IF(OR(M139="",I139=""),"",IF(I139&lt;=0,"",IFERROR(M139/I139-1,"")))</f>
        <v/>
      </c>
      <c r="N140" s="15">
        <f>IF(OR(N139="",J139=""),"",IF(J139&lt;=0,"",IFERROR(N139/J139-1,"")))</f>
        <v/>
      </c>
      <c r="T140" s="15">
        <f>IF(OR(T139="",S139=""),"",IF(S139&lt;=0,"",IFERROR(T139/S139-1,"")))</f>
        <v/>
      </c>
      <c r="U140" s="15">
        <f>IF(OR(U139="",T139=""),"",IF(T139&lt;=0,"",IFERROR(U139/T139-1,"")))</f>
        <v/>
      </c>
      <c r="V140" s="15">
        <f>IF(OR(V139="",U139=""),"",IF(U139&lt;=0,"",IFERROR(V139/U139-1,"")))</f>
        <v/>
      </c>
      <c r="W140" s="15">
        <f>IF(OR(W139="",V139=""),"",IF(V139&lt;=0,"",IFERROR(W139/V139-1,"")))</f>
        <v/>
      </c>
      <c r="X140" s="15">
        <f>IF(OR(X139="",W139=""),"",IF(W139&lt;=0,"",IFERROR(X139/W139-1,"")))</f>
        <v/>
      </c>
    </row>
    <row r="141">
      <c r="A141" s="18" t="inlineStr">
        <is>
          <t>법인세·주민세·사업세</t>
        </is>
      </c>
      <c r="C141" s="20" t="n">
        <v>164.189</v>
      </c>
      <c r="D141" s="20" t="n">
        <v>162.719</v>
      </c>
      <c r="E141" s="20" t="n">
        <v>190.437</v>
      </c>
      <c r="F141" s="20" t="n">
        <v>100.1</v>
      </c>
      <c r="G141" s="20" t="n">
        <v>131.097</v>
      </c>
      <c r="H141" s="20" t="n">
        <v>106.393</v>
      </c>
      <c r="I141" s="20" t="n">
        <v>199.718</v>
      </c>
      <c r="J141" s="20" t="n">
        <v>105.265</v>
      </c>
      <c r="K141" s="20" t="n">
        <v>173.025</v>
      </c>
      <c r="L141" s="20" t="n">
        <v>54.508</v>
      </c>
      <c r="M141" s="20" t="n">
        <v>120.201</v>
      </c>
      <c r="N141" s="20" t="n">
        <v>134.552</v>
      </c>
      <c r="T141" s="20" t="n">
        <v>74.819</v>
      </c>
      <c r="U141" s="20" t="n">
        <v>100.69</v>
      </c>
      <c r="V141" s="20" t="n">
        <v>162.719</v>
      </c>
      <c r="W141" s="20" t="n">
        <v>106.393</v>
      </c>
      <c r="X141" s="20" t="n">
        <v>54.508</v>
      </c>
    </row>
    <row r="142">
      <c r="A142" s="18" t="inlineStr">
        <is>
          <t>법인세 조정액</t>
        </is>
      </c>
      <c r="C142" s="20" t="n">
        <v>-42.957</v>
      </c>
      <c r="D142" s="20" t="n">
        <v>-1.541</v>
      </c>
      <c r="E142" s="20" t="n">
        <v>-19.256</v>
      </c>
      <c r="F142" s="20" t="n">
        <v>34.36</v>
      </c>
      <c r="G142" s="20" t="n">
        <v>-91.12</v>
      </c>
      <c r="H142" s="20" t="n">
        <v>27.863</v>
      </c>
      <c r="I142" s="20" t="n">
        <v>-72.652</v>
      </c>
      <c r="J142" s="20" t="n">
        <v>17.461</v>
      </c>
      <c r="K142" s="20" t="n">
        <v>-20.76</v>
      </c>
      <c r="L142" s="20" t="n">
        <v>-17.492</v>
      </c>
      <c r="M142" s="20" t="n">
        <v>0.288</v>
      </c>
      <c r="N142" s="20" t="n">
        <v>38.658</v>
      </c>
      <c r="T142" s="20" t="n">
        <v>75.40900000000001</v>
      </c>
      <c r="U142" s="20" t="n">
        <v>21.093</v>
      </c>
      <c r="V142" s="20" t="n">
        <v>-1.541</v>
      </c>
      <c r="W142" s="20" t="n">
        <v>27.863</v>
      </c>
      <c r="X142" s="20" t="n">
        <v>-17.492</v>
      </c>
    </row>
    <row r="143">
      <c r="A143" s="18" t="inlineStr">
        <is>
          <t>법인세 등 합계</t>
        </is>
      </c>
      <c r="C143" s="20" t="n">
        <v>121.23</v>
      </c>
      <c r="D143" s="20" t="n">
        <v>237.506</v>
      </c>
      <c r="E143" s="20" t="n">
        <v>171.181</v>
      </c>
      <c r="F143" s="20" t="n">
        <v>134.46</v>
      </c>
      <c r="G143" s="20" t="n">
        <v>39.976</v>
      </c>
      <c r="H143" s="20" t="n">
        <v>140.62</v>
      </c>
      <c r="I143" s="20" t="n">
        <v>127.066</v>
      </c>
      <c r="J143" s="20" t="n">
        <v>122.725</v>
      </c>
      <c r="K143" s="20" t="n">
        <v>152.266</v>
      </c>
      <c r="L143" s="20" t="n">
        <v>37.016</v>
      </c>
      <c r="M143" s="20" t="n">
        <v>120.49</v>
      </c>
      <c r="N143" s="20" t="n">
        <v>173.209</v>
      </c>
      <c r="T143" s="20" t="n">
        <v>150.228</v>
      </c>
      <c r="U143" s="20" t="n">
        <v>121.783</v>
      </c>
      <c r="V143" s="20" t="n">
        <v>237.506</v>
      </c>
      <c r="W143" s="20" t="n">
        <v>140.62</v>
      </c>
      <c r="X143" s="20" t="n">
        <v>37.016</v>
      </c>
    </row>
    <row r="144">
      <c r="A144" s="43" t="inlineStr">
        <is>
          <t>YoY</t>
        </is>
      </c>
      <c r="B144" s="3" t="inlineStr">
        <is>
          <t>전년 같은 분기·전년 대비</t>
        </is>
      </c>
      <c r="G144" s="15">
        <f>IF(OR(G143="",C143=""),"",IF(G143*C143&lt;=0,"",IFERROR(G143/C143-1,"")))</f>
        <v/>
      </c>
      <c r="H144" s="15">
        <f>IF(OR(H143="",D143=""),"",IF(H143*D143&lt;=0,"",IFERROR(H143/D143-1,"")))</f>
        <v/>
      </c>
      <c r="I144" s="15">
        <f>IF(OR(I143="",E143=""),"",IF(I143*E143&lt;=0,"",IFERROR(I143/E143-1,"")))</f>
        <v/>
      </c>
      <c r="J144" s="15">
        <f>IF(OR(J143="",F143=""),"",IF(J143*F143&lt;=0,"",IFERROR(J143/F143-1,"")))</f>
        <v/>
      </c>
      <c r="K144" s="15">
        <f>IF(OR(K143="",G143=""),"",IF(K143*G143&lt;=0,"",IFERROR(K143/G143-1,"")))</f>
        <v/>
      </c>
      <c r="L144" s="15">
        <f>IF(OR(L143="",H143=""),"",IF(L143*H143&lt;=0,"",IFERROR(L143/H143-1,"")))</f>
        <v/>
      </c>
      <c r="M144" s="15">
        <f>IF(OR(M143="",I143=""),"",IF(M143*I143&lt;=0,"",IFERROR(M143/I143-1,"")))</f>
        <v/>
      </c>
      <c r="N144" s="15">
        <f>IF(OR(N143="",J143=""),"",IF(N143*J143&lt;=0,"",IFERROR(N143/J143-1,"")))</f>
        <v/>
      </c>
      <c r="T144" s="15">
        <f>IF(OR(T143="",S143=""),"",IF(T143*S143&lt;=0,"",IFERROR(T143/S143-1,"")))</f>
        <v/>
      </c>
      <c r="U144" s="15">
        <f>IF(OR(U143="",T143=""),"",IF(U143*T143&lt;=0,"",IFERROR(U143/T143-1,"")))</f>
        <v/>
      </c>
      <c r="V144" s="15">
        <f>IF(OR(V143="",U143=""),"",IF(V143*U143&lt;=0,"",IFERROR(V143/U143-1,"")))</f>
        <v/>
      </c>
      <c r="W144" s="15">
        <f>IF(OR(W143="",V143=""),"",IF(W143*V143&lt;=0,"",IFERROR(W143/V143-1,"")))</f>
        <v/>
      </c>
      <c r="X144" s="15">
        <f>IF(OR(X143="",W143=""),"",IF(X143*W143&lt;=0,"",IFERROR(X143/W143-1,"")))</f>
        <v/>
      </c>
    </row>
    <row r="145">
      <c r="A145" s="9" t="inlineStr">
        <is>
          <t>순이익</t>
        </is>
      </c>
      <c r="C145" s="12" t="n">
        <v>329.556</v>
      </c>
      <c r="D145" s="12" t="n">
        <v>340.116</v>
      </c>
      <c r="E145" s="12" t="n">
        <v>342.758</v>
      </c>
      <c r="F145" s="12" t="n">
        <v>160.036</v>
      </c>
      <c r="G145" s="12" t="n">
        <v>313.687</v>
      </c>
      <c r="H145" s="12" t="n">
        <v>223.218</v>
      </c>
      <c r="I145" s="12" t="n">
        <v>387.014</v>
      </c>
      <c r="J145" s="12" t="n">
        <v>259.866</v>
      </c>
      <c r="K145" s="12" t="n">
        <v>333.559</v>
      </c>
      <c r="L145" s="12" t="n">
        <v>220.49</v>
      </c>
      <c r="M145" s="12" t="n">
        <v>272.624</v>
      </c>
      <c r="N145" s="12" t="n">
        <v>362.699</v>
      </c>
      <c r="T145" s="12" t="n">
        <v>170.491</v>
      </c>
      <c r="U145" s="12" t="n">
        <v>331.034</v>
      </c>
      <c r="V145" s="12" t="n">
        <v>340.116</v>
      </c>
      <c r="W145" s="12" t="n">
        <v>223.218</v>
      </c>
      <c r="X145" s="12" t="n">
        <v>220.49</v>
      </c>
    </row>
    <row r="146">
      <c r="A146" s="43" t="inlineStr">
        <is>
          <t>YoY</t>
        </is>
      </c>
      <c r="B146" s="3" t="inlineStr">
        <is>
          <t>전년 같은 분기·전년 대비</t>
        </is>
      </c>
      <c r="G146" s="15">
        <f>IF(OR(G145="",C145=""),"",IF(C145&lt;=0,"",IFERROR(G145/C145-1,"")))</f>
        <v/>
      </c>
      <c r="H146" s="15">
        <f>IF(OR(H145="",D145=""),"",IF(D145&lt;=0,"",IFERROR(H145/D145-1,"")))</f>
        <v/>
      </c>
      <c r="I146" s="15">
        <f>IF(OR(I145="",E145=""),"",IF(E145&lt;=0,"",IFERROR(I145/E145-1,"")))</f>
        <v/>
      </c>
      <c r="J146" s="15">
        <f>IF(OR(J145="",F145=""),"",IF(F145&lt;=0,"",IFERROR(J145/F145-1,"")))</f>
        <v/>
      </c>
      <c r="K146" s="15">
        <f>IF(OR(K145="",G145=""),"",IF(G145&lt;=0,"",IFERROR(K145/G145-1,"")))</f>
        <v/>
      </c>
      <c r="L146" s="15">
        <f>IF(OR(L145="",H145=""),"",IF(H145&lt;=0,"",IFERROR(L145/H145-1,"")))</f>
        <v/>
      </c>
      <c r="M146" s="15">
        <f>IF(OR(M145="",I145=""),"",IF(I145&lt;=0,"",IFERROR(M145/I145-1,"")))</f>
        <v/>
      </c>
      <c r="N146" s="15">
        <f>IF(OR(N145="",J145=""),"",IF(J145&lt;=0,"",IFERROR(N145/J145-1,"")))</f>
        <v/>
      </c>
      <c r="T146" s="15">
        <f>IF(OR(T145="",S145=""),"",IF(S145&lt;=0,"",IFERROR(T145/S145-1,"")))</f>
        <v/>
      </c>
      <c r="U146" s="15">
        <f>IF(OR(U145="",T145=""),"",IF(T145&lt;=0,"",IFERROR(U145/T145-1,"")))</f>
        <v/>
      </c>
      <c r="V146" s="15">
        <f>IF(OR(V145="",U145=""),"",IF(U145&lt;=0,"",IFERROR(V145/U145-1,"")))</f>
        <v/>
      </c>
      <c r="W146" s="15">
        <f>IF(OR(W145="",V145=""),"",IF(V145&lt;=0,"",IFERROR(W145/V145-1,"")))</f>
        <v/>
      </c>
      <c r="X146" s="15">
        <f>IF(OR(X145="",W145=""),"",IF(W145&lt;=0,"",IFERROR(X145/W145-1,"")))</f>
        <v/>
      </c>
    </row>
    <row r="147">
      <c r="A147" s="9" t="inlineStr">
        <is>
          <t>지배주주 순이익</t>
        </is>
      </c>
      <c r="C147" s="12" t="n">
        <v>329.556</v>
      </c>
      <c r="D147" s="12" t="n">
        <v>340.116</v>
      </c>
      <c r="E147" s="12" t="n">
        <v>342.758</v>
      </c>
      <c r="F147" s="12" t="n">
        <v>160.036</v>
      </c>
      <c r="G147" s="12" t="n">
        <v>313.687</v>
      </c>
      <c r="H147" s="12" t="n">
        <v>223.218</v>
      </c>
      <c r="I147" s="12" t="n">
        <v>387.014</v>
      </c>
      <c r="J147" s="12" t="n">
        <v>259.866</v>
      </c>
      <c r="K147" s="12" t="n">
        <v>333.559</v>
      </c>
      <c r="L147" s="12" t="n">
        <v>220.49</v>
      </c>
      <c r="M147" s="12" t="n">
        <v>272.624</v>
      </c>
      <c r="N147" s="12" t="n">
        <v>362.699</v>
      </c>
      <c r="T147" s="12" t="n">
        <v>170.491</v>
      </c>
      <c r="U147" s="12" t="n">
        <v>331.034</v>
      </c>
      <c r="V147" s="12" t="n">
        <v>340.116</v>
      </c>
      <c r="W147" s="12" t="n">
        <v>223.218</v>
      </c>
      <c r="X147" s="12" t="n">
        <v>220.49</v>
      </c>
    </row>
    <row r="148">
      <c r="A148" s="43" t="inlineStr">
        <is>
          <t>YoY</t>
        </is>
      </c>
      <c r="B148" s="3" t="inlineStr">
        <is>
          <t>전년 같은 분기·전년 대비</t>
        </is>
      </c>
      <c r="G148" s="15">
        <f>IF(OR(G147="",C147=""),"",IF(C147&lt;=0,"",IFERROR(G147/C147-1,"")))</f>
        <v/>
      </c>
      <c r="H148" s="15">
        <f>IF(OR(H147="",D147=""),"",IF(D147&lt;=0,"",IFERROR(H147/D147-1,"")))</f>
        <v/>
      </c>
      <c r="I148" s="15">
        <f>IF(OR(I147="",E147=""),"",IF(E147&lt;=0,"",IFERROR(I147/E147-1,"")))</f>
        <v/>
      </c>
      <c r="J148" s="15">
        <f>IF(OR(J147="",F147=""),"",IF(F147&lt;=0,"",IFERROR(J147/F147-1,"")))</f>
        <v/>
      </c>
      <c r="K148" s="15">
        <f>IF(OR(K147="",G147=""),"",IF(G147&lt;=0,"",IFERROR(K147/G147-1,"")))</f>
        <v/>
      </c>
      <c r="L148" s="15">
        <f>IF(OR(L147="",H147=""),"",IF(H147&lt;=0,"",IFERROR(L147/H147-1,"")))</f>
        <v/>
      </c>
      <c r="M148" s="15">
        <f>IF(OR(M147="",I147=""),"",IF(I147&lt;=0,"",IFERROR(M147/I147-1,"")))</f>
        <v/>
      </c>
      <c r="N148" s="15">
        <f>IF(OR(N147="",J147=""),"",IF(J147&lt;=0,"",IFERROR(N147/J147-1,"")))</f>
        <v/>
      </c>
      <c r="T148" s="15">
        <f>IF(OR(T147="",S147=""),"",IF(S147&lt;=0,"",IFERROR(T147/S147-1,"")))</f>
        <v/>
      </c>
      <c r="U148" s="15">
        <f>IF(OR(U147="",T147=""),"",IF(T147&lt;=0,"",IFERROR(U147/T147-1,"")))</f>
        <v/>
      </c>
      <c r="V148" s="15">
        <f>IF(OR(V147="",U147=""),"",IF(U147&lt;=0,"",IFERROR(V147/U147-1,"")))</f>
        <v/>
      </c>
      <c r="W148" s="15">
        <f>IF(OR(W147="",V147=""),"",IF(V147&lt;=0,"",IFERROR(W147/V147-1,"")))</f>
        <v/>
      </c>
      <c r="X148" s="15">
        <f>IF(OR(X147="",W147=""),"",IF(W147&lt;=0,"",IFERROR(X147/W147-1,"")))</f>
        <v/>
      </c>
    </row>
    <row r="150">
      <c r="A150" s="16" t="inlineStr">
        <is>
          <t>포괄손익 · 전 항목</t>
        </is>
      </c>
      <c r="B150" s="42" t="inlineStr">
        <is>
          <t>분기 = 3개월 단독</t>
        </is>
      </c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</row>
    <row r="151">
      <c r="A151" s="5" t="inlineStr">
        <is>
          <t>항목</t>
        </is>
      </c>
      <c r="B151" s="5" t="inlineStr">
        <is>
          <t>참고</t>
        </is>
      </c>
      <c r="C151" s="5" t="inlineStr">
        <is>
          <t>2023.3Q</t>
        </is>
      </c>
      <c r="D151" s="5" t="inlineStr">
        <is>
          <t>2023.4Q</t>
        </is>
      </c>
      <c r="E151" s="5" t="inlineStr">
        <is>
          <t>2024.1Q</t>
        </is>
      </c>
      <c r="F151" s="5" t="inlineStr">
        <is>
          <t>2024.2Q</t>
        </is>
      </c>
      <c r="G151" s="5" t="inlineStr">
        <is>
          <t>2024.3Q</t>
        </is>
      </c>
      <c r="H151" s="5" t="inlineStr">
        <is>
          <t>2024.4Q</t>
        </is>
      </c>
      <c r="I151" s="5" t="inlineStr">
        <is>
          <t>2025.1Q</t>
        </is>
      </c>
      <c r="J151" s="5" t="inlineStr">
        <is>
          <t>2025.2Q</t>
        </is>
      </c>
      <c r="K151" s="5" t="inlineStr">
        <is>
          <t>2025.3Q</t>
        </is>
      </c>
      <c r="L151" s="5" t="inlineStr">
        <is>
          <t>2025.4Q</t>
        </is>
      </c>
      <c r="M151" s="5" t="inlineStr">
        <is>
          <t>2026.1Q</t>
        </is>
      </c>
      <c r="N151" s="5" t="inlineStr">
        <is>
          <t>2026.2Q</t>
        </is>
      </c>
      <c r="O151" s="5" t="inlineStr">
        <is>
          <t>2016</t>
        </is>
      </c>
      <c r="P151" s="5" t="inlineStr">
        <is>
          <t>2017</t>
        </is>
      </c>
      <c r="Q151" s="5" t="inlineStr">
        <is>
          <t>2018</t>
        </is>
      </c>
      <c r="R151" s="5" t="inlineStr">
        <is>
          <t>2019</t>
        </is>
      </c>
      <c r="S151" s="5" t="inlineStr">
        <is>
          <t>2020</t>
        </is>
      </c>
      <c r="T151" s="5" t="inlineStr">
        <is>
          <t>2021</t>
        </is>
      </c>
      <c r="U151" s="5" t="inlineStr">
        <is>
          <t>2022</t>
        </is>
      </c>
      <c r="V151" s="5" t="inlineStr">
        <is>
          <t>2023</t>
        </is>
      </c>
      <c r="W151" s="5" t="inlineStr">
        <is>
          <t>2024</t>
        </is>
      </c>
      <c r="X151" s="5" t="inlineStr">
        <is>
          <t>2025</t>
        </is>
      </c>
      <c r="Y151" s="5" t="inlineStr">
        <is>
          <t>2026(MW)</t>
        </is>
      </c>
      <c r="Z151" s="5" t="inlineStr">
        <is>
          <t>2027(MW)</t>
        </is>
      </c>
      <c r="AA151" s="5" t="inlineStr">
        <is>
          <t>2028(MW)</t>
        </is>
      </c>
      <c r="AB151" s="5" t="inlineStr">
        <is>
          <t>2029(MW)</t>
        </is>
      </c>
      <c r="AC151" s="5" t="inlineStr">
        <is>
          <t>2030(MW)</t>
        </is>
      </c>
    </row>
    <row r="152">
      <c r="A152" s="9" t="inlineStr">
        <is>
          <t>순이익</t>
        </is>
      </c>
      <c r="C152" s="12" t="n">
        <v>329.556</v>
      </c>
      <c r="D152" s="12" t="n">
        <v>340.116</v>
      </c>
      <c r="E152" s="12" t="n">
        <v>342.758</v>
      </c>
      <c r="F152" s="12" t="n">
        <v>160.036</v>
      </c>
      <c r="G152" s="12" t="n">
        <v>313.687</v>
      </c>
      <c r="H152" s="12" t="n">
        <v>223.218</v>
      </c>
      <c r="I152" s="12" t="n">
        <v>387.014</v>
      </c>
      <c r="J152" s="12" t="n">
        <v>259.866</v>
      </c>
      <c r="K152" s="12" t="n">
        <v>333.559</v>
      </c>
      <c r="L152" s="12" t="n">
        <v>220.49</v>
      </c>
      <c r="M152" s="12" t="n">
        <v>272.624</v>
      </c>
      <c r="N152" s="12" t="n">
        <v>362.699</v>
      </c>
      <c r="T152" s="12" t="n">
        <v>170.491</v>
      </c>
      <c r="U152" s="12" t="n">
        <v>331.034</v>
      </c>
      <c r="V152" s="12" t="n">
        <v>340.116</v>
      </c>
      <c r="W152" s="12" t="n">
        <v>223.218</v>
      </c>
      <c r="X152" s="12" t="n">
        <v>220.49</v>
      </c>
    </row>
    <row r="153">
      <c r="A153" s="18" t="inlineStr">
        <is>
          <t>기타유가증권 평가차액</t>
        </is>
      </c>
      <c r="C153" s="20" t="n">
        <v>23.303</v>
      </c>
      <c r="D153" s="20" t="n">
        <v>18.837</v>
      </c>
      <c r="E153" s="20" t="n">
        <v>47.865</v>
      </c>
      <c r="F153" s="20" t="n">
        <v>-2.288</v>
      </c>
      <c r="G153" s="20" t="n">
        <v>-25.189</v>
      </c>
      <c r="H153" s="20" t="n">
        <v>41.181</v>
      </c>
      <c r="I153" s="20" t="n">
        <v>16.043</v>
      </c>
      <c r="J153" s="20" t="n">
        <v>56.51</v>
      </c>
      <c r="K153" s="20" t="n">
        <v>52.055</v>
      </c>
      <c r="L153" s="20" t="n">
        <v>14.049</v>
      </c>
      <c r="M153" s="20" t="n">
        <v>-8.032</v>
      </c>
      <c r="N153" s="20" t="n">
        <v>50.636</v>
      </c>
      <c r="T153" s="20" t="n">
        <v>-18.173</v>
      </c>
      <c r="U153" s="20" t="n">
        <v>9.885999999999999</v>
      </c>
      <c r="V153" s="20" t="n">
        <v>18.837</v>
      </c>
      <c r="W153" s="20" t="n">
        <v>41.181</v>
      </c>
      <c r="X153" s="20" t="n">
        <v>14.049</v>
      </c>
    </row>
    <row r="154">
      <c r="A154" s="18" t="inlineStr">
        <is>
          <t>이연헤지손익</t>
        </is>
      </c>
      <c r="C154" s="20" t="n">
        <v>0.441</v>
      </c>
      <c r="D154" s="20" t="n">
        <v>0.87</v>
      </c>
      <c r="E154" s="20" t="n">
        <v>-0.48</v>
      </c>
      <c r="F154" s="20" t="n">
        <v>0.185</v>
      </c>
      <c r="G154" s="20" t="n">
        <v>1.17</v>
      </c>
      <c r="H154" s="20" t="n">
        <v>-1.686</v>
      </c>
      <c r="I154" s="20" t="n">
        <v>0.604</v>
      </c>
      <c r="J154" s="20" t="n">
        <v>0.484</v>
      </c>
      <c r="K154" s="20" t="n">
        <v>-0.417</v>
      </c>
      <c r="L154" s="20" t="n">
        <v>-0.067</v>
      </c>
      <c r="M154" s="20" t="n">
        <v>-0.233</v>
      </c>
      <c r="N154" s="20" t="n">
        <v>-0.362</v>
      </c>
      <c r="T154" s="20" t="n">
        <v>0</v>
      </c>
      <c r="U154" s="20" t="n">
        <v>3.074</v>
      </c>
      <c r="V154" s="20" t="n">
        <v>0.87</v>
      </c>
      <c r="W154" s="20" t="n">
        <v>-1.686</v>
      </c>
      <c r="X154" s="20" t="n">
        <v>-0.067</v>
      </c>
    </row>
    <row r="155">
      <c r="A155" s="18" t="inlineStr">
        <is>
          <t>해외사업환산조정</t>
        </is>
      </c>
      <c r="C155" s="20" t="n">
        <v>96.69199999999999</v>
      </c>
      <c r="D155" s="20" t="n">
        <v>-105.175</v>
      </c>
      <c r="E155" s="20" t="n">
        <v>188.104</v>
      </c>
      <c r="F155" s="20" t="n">
        <v>222.716</v>
      </c>
      <c r="G155" s="20" t="n">
        <v>-352.84</v>
      </c>
      <c r="H155" s="20" t="n">
        <v>211.746</v>
      </c>
      <c r="I155" s="20" t="n">
        <v>-236.577</v>
      </c>
      <c r="J155" s="20" t="n">
        <v>25.614</v>
      </c>
      <c r="K155" s="20" t="n">
        <v>74.38200000000001</v>
      </c>
      <c r="L155" s="20" t="n">
        <v>228.731</v>
      </c>
      <c r="M155" s="20" t="n">
        <v>29.665</v>
      </c>
      <c r="N155" s="20" t="n">
        <v>80.136</v>
      </c>
      <c r="T155" s="20" t="n">
        <v>120.507</v>
      </c>
      <c r="U155" s="20" t="n">
        <v>-165.552</v>
      </c>
      <c r="V155" s="20" t="n">
        <v>-105.175</v>
      </c>
      <c r="W155" s="20" t="n">
        <v>211.746</v>
      </c>
      <c r="X155" s="20" t="n">
        <v>228.731</v>
      </c>
    </row>
    <row r="156">
      <c r="A156" s="18" t="inlineStr">
        <is>
          <t>기타포괄손익 합계</t>
        </is>
      </c>
      <c r="C156" s="20" t="n">
        <v>120.435</v>
      </c>
      <c r="D156" s="20" t="n">
        <v>-85.467</v>
      </c>
      <c r="E156" s="20" t="n">
        <v>235.489</v>
      </c>
      <c r="F156" s="20" t="n">
        <v>220.613</v>
      </c>
      <c r="G156" s="20" t="n">
        <v>-376.858</v>
      </c>
      <c r="H156" s="20" t="n">
        <v>251.24</v>
      </c>
      <c r="I156" s="20" t="n">
        <v>-219.928</v>
      </c>
      <c r="J156" s="20" t="n">
        <v>82.607</v>
      </c>
      <c r="K156" s="20" t="n">
        <v>126.02</v>
      </c>
      <c r="L156" s="20" t="n">
        <v>242.713</v>
      </c>
      <c r="M156" s="20" t="n">
        <v>21.398</v>
      </c>
      <c r="N156" s="20" t="n">
        <v>130.411</v>
      </c>
      <c r="T156" s="20" t="n">
        <v>102.334</v>
      </c>
      <c r="U156" s="20" t="n">
        <v>-152.592</v>
      </c>
      <c r="V156" s="20" t="n">
        <v>-85.467</v>
      </c>
      <c r="W156" s="20" t="n">
        <v>251.24</v>
      </c>
      <c r="X156" s="20" t="n">
        <v>242.713</v>
      </c>
    </row>
    <row r="157">
      <c r="A157" s="9" t="inlineStr">
        <is>
          <t>포괄이익</t>
        </is>
      </c>
      <c r="C157" s="12" t="n">
        <v>449.992</v>
      </c>
      <c r="D157" s="12" t="n">
        <v>254.649</v>
      </c>
      <c r="E157" s="12" t="n">
        <v>578.247</v>
      </c>
      <c r="F157" s="12" t="n">
        <v>380.649</v>
      </c>
      <c r="G157" s="12" t="n">
        <v>-63.171</v>
      </c>
      <c r="H157" s="12" t="n">
        <v>474.459</v>
      </c>
      <c r="I157" s="12" t="n">
        <v>167.086</v>
      </c>
      <c r="J157" s="12" t="n">
        <v>342.473</v>
      </c>
      <c r="K157" s="12" t="n">
        <v>459.579</v>
      </c>
      <c r="L157" s="12" t="n">
        <v>463.204</v>
      </c>
      <c r="M157" s="12" t="n">
        <v>294.023</v>
      </c>
      <c r="N157" s="12" t="n">
        <v>493.11</v>
      </c>
      <c r="T157" s="12" t="n">
        <v>272.824</v>
      </c>
      <c r="U157" s="12" t="n">
        <v>178.443</v>
      </c>
      <c r="V157" s="12" t="n">
        <v>254.649</v>
      </c>
      <c r="W157" s="12" t="n">
        <v>474.459</v>
      </c>
      <c r="X157" s="12" t="n">
        <v>463.204</v>
      </c>
    </row>
    <row r="158">
      <c r="A158" s="9" t="inlineStr">
        <is>
          <t>지배주주 포괄이익</t>
        </is>
      </c>
      <c r="C158" s="12" t="n">
        <v>449.992</v>
      </c>
      <c r="D158" s="12" t="n">
        <v>254.649</v>
      </c>
      <c r="E158" s="12" t="n">
        <v>578.247</v>
      </c>
      <c r="F158" s="12" t="n">
        <v>380.649</v>
      </c>
      <c r="G158" s="12" t="n">
        <v>-63.171</v>
      </c>
      <c r="H158" s="12" t="n">
        <v>474.459</v>
      </c>
      <c r="I158" s="12" t="n">
        <v>167.086</v>
      </c>
      <c r="J158" s="12" t="n">
        <v>342.473</v>
      </c>
      <c r="K158" s="12" t="n">
        <v>459.579</v>
      </c>
      <c r="L158" s="12" t="n">
        <v>463.204</v>
      </c>
      <c r="M158" s="12" t="n">
        <v>294.023</v>
      </c>
      <c r="N158" s="12" t="n">
        <v>493.11</v>
      </c>
      <c r="T158" s="12" t="n">
        <v>272.824</v>
      </c>
      <c r="U158" s="12" t="n">
        <v>178.443</v>
      </c>
      <c r="V158" s="12" t="n">
        <v>254.649</v>
      </c>
      <c r="W158" s="12" t="n">
        <v>474.459</v>
      </c>
      <c r="X158" s="12" t="n">
        <v>463.204</v>
      </c>
    </row>
    <row r="159">
      <c r="A159" s="9" t="inlineStr">
        <is>
          <t>비지배주주 포괄이익</t>
        </is>
      </c>
      <c r="C159" s="12" t="n">
        <v>0</v>
      </c>
      <c r="D159" s="12" t="n">
        <v>0</v>
      </c>
      <c r="E159" s="12" t="n">
        <v>0</v>
      </c>
      <c r="F159" s="12" t="n">
        <v>0</v>
      </c>
      <c r="G159" s="12" t="n">
        <v>0</v>
      </c>
      <c r="H159" s="12" t="n">
        <v>0</v>
      </c>
      <c r="I159" s="12" t="n">
        <v>0</v>
      </c>
      <c r="J159" s="12" t="n">
        <v>0</v>
      </c>
      <c r="K159" s="12" t="n">
        <v>0</v>
      </c>
      <c r="L159" s="12" t="n">
        <v>0</v>
      </c>
      <c r="M159" s="12" t="n">
        <v>0</v>
      </c>
      <c r="N159" s="12" t="n">
        <v>0</v>
      </c>
      <c r="T159" s="12" t="n">
        <v>0</v>
      </c>
      <c r="U159" s="12" t="n">
        <v>0</v>
      </c>
      <c r="V159" s="12" t="n">
        <v>0</v>
      </c>
      <c r="W159" s="12" t="n">
        <v>0</v>
      </c>
      <c r="X159" s="12" t="n">
        <v>0</v>
      </c>
    </row>
    <row r="161">
      <c r="A161" s="16" t="inlineStr">
        <is>
          <t>부문 · 전 항목</t>
        </is>
      </c>
      <c r="B161" s="42" t="inlineStr">
        <is>
          <t>부문 · 항목</t>
        </is>
      </c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</row>
    <row r="162">
      <c r="A162" s="5" t="inlineStr">
        <is>
          <t>항목</t>
        </is>
      </c>
      <c r="B162" s="5" t="inlineStr">
        <is>
          <t>참고</t>
        </is>
      </c>
      <c r="C162" s="5" t="inlineStr">
        <is>
          <t>2023.3Q</t>
        </is>
      </c>
      <c r="D162" s="5" t="inlineStr">
        <is>
          <t>2023.4Q</t>
        </is>
      </c>
      <c r="E162" s="5" t="inlineStr">
        <is>
          <t>2024.1Q</t>
        </is>
      </c>
      <c r="F162" s="5" t="inlineStr">
        <is>
          <t>2024.2Q</t>
        </is>
      </c>
      <c r="G162" s="5" t="inlineStr">
        <is>
          <t>2024.3Q</t>
        </is>
      </c>
      <c r="H162" s="5" t="inlineStr">
        <is>
          <t>2024.4Q</t>
        </is>
      </c>
      <c r="I162" s="5" t="inlineStr">
        <is>
          <t>2025.1Q</t>
        </is>
      </c>
      <c r="J162" s="5" t="inlineStr">
        <is>
          <t>2025.2Q</t>
        </is>
      </c>
      <c r="K162" s="5" t="inlineStr">
        <is>
          <t>2025.3Q</t>
        </is>
      </c>
      <c r="L162" s="5" t="inlineStr">
        <is>
          <t>2025.4Q</t>
        </is>
      </c>
      <c r="M162" s="5" t="inlineStr">
        <is>
          <t>2026.1Q</t>
        </is>
      </c>
      <c r="N162" s="5" t="inlineStr">
        <is>
          <t>2026.2Q</t>
        </is>
      </c>
      <c r="O162" s="5" t="inlineStr">
        <is>
          <t>2016</t>
        </is>
      </c>
      <c r="P162" s="5" t="inlineStr">
        <is>
          <t>2017</t>
        </is>
      </c>
      <c r="Q162" s="5" t="inlineStr">
        <is>
          <t>2018</t>
        </is>
      </c>
      <c r="R162" s="5" t="inlineStr">
        <is>
          <t>2019</t>
        </is>
      </c>
      <c r="S162" s="5" t="inlineStr">
        <is>
          <t>2020</t>
        </is>
      </c>
      <c r="T162" s="5" t="inlineStr">
        <is>
          <t>2021</t>
        </is>
      </c>
      <c r="U162" s="5" t="inlineStr">
        <is>
          <t>2022</t>
        </is>
      </c>
      <c r="V162" s="5" t="inlineStr">
        <is>
          <t>2023</t>
        </is>
      </c>
      <c r="W162" s="5" t="inlineStr">
        <is>
          <t>2024</t>
        </is>
      </c>
      <c r="X162" s="5" t="inlineStr">
        <is>
          <t>2025</t>
        </is>
      </c>
      <c r="Y162" s="5" t="inlineStr">
        <is>
          <t>2026(MW)</t>
        </is>
      </c>
      <c r="Z162" s="5" t="inlineStr">
        <is>
          <t>2027(MW)</t>
        </is>
      </c>
      <c r="AA162" s="5" t="inlineStr">
        <is>
          <t>2028(MW)</t>
        </is>
      </c>
      <c r="AB162" s="5" t="inlineStr">
        <is>
          <t>2029(MW)</t>
        </is>
      </c>
      <c r="AC162" s="5" t="inlineStr">
        <is>
          <t>2030(MW)</t>
        </is>
      </c>
    </row>
    <row r="163">
      <c r="A163" s="18" t="inlineStr">
        <is>
          <t>일본 · 외부 고객 매출</t>
        </is>
      </c>
      <c r="C163" s="20" t="n">
        <v>1609.137</v>
      </c>
      <c r="D163" s="20" t="n">
        <v>1667.75</v>
      </c>
      <c r="E163" s="20" t="n">
        <v>1682.365</v>
      </c>
      <c r="F163" s="20" t="n">
        <v>1420.155</v>
      </c>
      <c r="G163" s="20" t="n">
        <v>1408.494</v>
      </c>
      <c r="H163" s="20" t="n">
        <v>1709.841</v>
      </c>
      <c r="I163" s="20" t="n">
        <v>1917.265</v>
      </c>
      <c r="J163" s="20" t="n">
        <v>1439.107</v>
      </c>
      <c r="K163" s="20" t="n">
        <v>1572.535</v>
      </c>
      <c r="L163" s="20" t="n">
        <v>1546.986</v>
      </c>
      <c r="M163" s="20" t="n">
        <v>1610.933</v>
      </c>
      <c r="N163" s="20" t="n">
        <v>1610.293</v>
      </c>
      <c r="V163" s="20" t="n">
        <v>1667.75</v>
      </c>
      <c r="W163" s="20" t="n">
        <v>1709.841</v>
      </c>
      <c r="X163" s="20" t="n">
        <v>1546.986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IF(OR(G163="",C163=""),"",IF(C163&lt;=0,"",IFERROR(G163/C163-1,"")))</f>
        <v/>
      </c>
      <c r="H164" s="15">
        <f>IF(OR(H163="",D163=""),"",IF(D163&lt;=0,"",IFERROR(H163/D163-1,"")))</f>
        <v/>
      </c>
      <c r="I164" s="15">
        <f>IF(OR(I163="",E163=""),"",IF(E163&lt;=0,"",IFERROR(I163/E163-1,"")))</f>
        <v/>
      </c>
      <c r="J164" s="15">
        <f>IF(OR(J163="",F163=""),"",IF(F163&lt;=0,"",IFERROR(J163/F163-1,"")))</f>
        <v/>
      </c>
      <c r="K164" s="15">
        <f>IF(OR(K163="",G163=""),"",IF(G163&lt;=0,"",IFERROR(K163/G163-1,"")))</f>
        <v/>
      </c>
      <c r="L164" s="15">
        <f>IF(OR(L163="",H163=""),"",IF(H163&lt;=0,"",IFERROR(L163/H163-1,"")))</f>
        <v/>
      </c>
      <c r="M164" s="15">
        <f>IF(OR(M163="",I163=""),"",IF(I163&lt;=0,"",IFERROR(M163/I163-1,"")))</f>
        <v/>
      </c>
      <c r="N164" s="15">
        <f>IF(OR(N163="",J163=""),"",IF(J163&lt;=0,"",IFERROR(N163/J163-1,"")))</f>
        <v/>
      </c>
      <c r="V164" s="15">
        <f>IF(OR(V163="",U163=""),"",IF(U163&lt;=0,"",IFERROR(V163/U163-1,"")))</f>
        <v/>
      </c>
      <c r="W164" s="15">
        <f>IF(OR(W163="",V163=""),"",IF(V163&lt;=0,"",IFERROR(W163/V163-1,"")))</f>
        <v/>
      </c>
      <c r="X164" s="15">
        <f>IF(OR(X163="",W163=""),"",IF(W163&lt;=0,"",IFERROR(X163/W163-1,"")))</f>
        <v/>
      </c>
    </row>
    <row r="165">
      <c r="A165" s="18" t="inlineStr">
        <is>
          <t>부문 · 외부 고객 매출</t>
        </is>
      </c>
      <c r="C165" s="20" t="n">
        <v>439.781</v>
      </c>
      <c r="D165" s="20" t="n">
        <v>376.742</v>
      </c>
      <c r="E165" s="20" t="n">
        <v>400.71</v>
      </c>
      <c r="F165" s="20" t="n">
        <v>383.423</v>
      </c>
      <c r="G165" s="20" t="n">
        <v>427.036</v>
      </c>
      <c r="H165" s="20" t="n">
        <v>358.696</v>
      </c>
      <c r="I165" s="20" t="n">
        <v>409.849</v>
      </c>
      <c r="J165" s="20" t="n">
        <v>426.911</v>
      </c>
      <c r="K165" s="20" t="n">
        <v>452.129</v>
      </c>
      <c r="L165" s="20" t="n">
        <v>375.755</v>
      </c>
      <c r="M165" s="20" t="n">
        <v>423.141</v>
      </c>
      <c r="N165" s="20" t="n">
        <v>554.846</v>
      </c>
      <c r="V165" s="20" t="n">
        <v>376.742</v>
      </c>
      <c r="W165" s="20" t="n">
        <v>358.696</v>
      </c>
      <c r="X165" s="20" t="n">
        <v>375.755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IF(OR(G165="",C165=""),"",IF(C165&lt;=0,"",IFERROR(G165/C165-1,"")))</f>
        <v/>
      </c>
      <c r="H166" s="15">
        <f>IF(OR(H165="",D165=""),"",IF(D165&lt;=0,"",IFERROR(H165/D165-1,"")))</f>
        <v/>
      </c>
      <c r="I166" s="15">
        <f>IF(OR(I165="",E165=""),"",IF(E165&lt;=0,"",IFERROR(I165/E165-1,"")))</f>
        <v/>
      </c>
      <c r="J166" s="15">
        <f>IF(OR(J165="",F165=""),"",IF(F165&lt;=0,"",IFERROR(J165/F165-1,"")))</f>
        <v/>
      </c>
      <c r="K166" s="15">
        <f>IF(OR(K165="",G165=""),"",IF(G165&lt;=0,"",IFERROR(K165/G165-1,"")))</f>
        <v/>
      </c>
      <c r="L166" s="15">
        <f>IF(OR(L165="",H165=""),"",IF(H165&lt;=0,"",IFERROR(L165/H165-1,"")))</f>
        <v/>
      </c>
      <c r="M166" s="15">
        <f>IF(OR(M165="",I165=""),"",IF(I165&lt;=0,"",IFERROR(M165/I165-1,"")))</f>
        <v/>
      </c>
      <c r="N166" s="15">
        <f>IF(OR(N165="",J165=""),"",IF(J165&lt;=0,"",IFERROR(N165/J165-1,"")))</f>
        <v/>
      </c>
      <c r="V166" s="15">
        <f>IF(OR(V165="",U165=""),"",IF(U165&lt;=0,"",IFERROR(V165/U165-1,"")))</f>
        <v/>
      </c>
      <c r="W166" s="15">
        <f>IF(OR(W165="",V165=""),"",IF(V165&lt;=0,"",IFERROR(W165/V165-1,"")))</f>
        <v/>
      </c>
      <c r="X166" s="15">
        <f>IF(OR(X165="",W165=""),"",IF(W165&lt;=0,"",IFERROR(X165/W165-1,"")))</f>
        <v/>
      </c>
    </row>
    <row r="167">
      <c r="A167" s="18" t="inlineStr">
        <is>
          <t>부문 · 외부 고객 매출</t>
        </is>
      </c>
      <c r="C167" s="20" t="n">
        <v>258.683</v>
      </c>
      <c r="D167" s="20" t="n">
        <v>237.808</v>
      </c>
      <c r="E167" s="20" t="n">
        <v>264.256</v>
      </c>
      <c r="F167" s="20" t="n">
        <v>259.358</v>
      </c>
      <c r="G167" s="20" t="n">
        <v>253.141</v>
      </c>
      <c r="H167" s="20" t="n">
        <v>277.772</v>
      </c>
      <c r="I167" s="20" t="n">
        <v>208.896</v>
      </c>
      <c r="J167" s="20" t="n">
        <v>276.852</v>
      </c>
      <c r="K167" s="20" t="n">
        <v>302.21</v>
      </c>
      <c r="L167" s="20" t="n">
        <v>271.892</v>
      </c>
      <c r="M167" s="20" t="n">
        <v>241.231</v>
      </c>
      <c r="N167" s="20" t="n">
        <v>337.924</v>
      </c>
      <c r="V167" s="20" t="n">
        <v>237.808</v>
      </c>
      <c r="W167" s="20" t="n">
        <v>277.772</v>
      </c>
      <c r="X167" s="20" t="n">
        <v>271.892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IF(OR(G167="",C167=""),"",IF(C167&lt;=0,"",IFERROR(G167/C167-1,"")))</f>
        <v/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J168" s="15">
        <f>IF(OR(J167="",F167=""),"",IF(F167&lt;=0,"",IFERROR(J167/F167-1,"")))</f>
        <v/>
      </c>
      <c r="K168" s="15">
        <f>IF(OR(K167="",G167=""),"",IF(G167&lt;=0,"",IFERROR(K167/G167-1,"")))</f>
        <v/>
      </c>
      <c r="L168" s="15">
        <f>IF(OR(L167="",H167=""),"",IF(H167&lt;=0,"",IFERROR(L167/H167-1,"")))</f>
        <v/>
      </c>
      <c r="M168" s="15">
        <f>IF(OR(M167="",I167=""),"",IF(I167&lt;=0,"",IFERROR(M167/I167-1,"")))</f>
        <v/>
      </c>
      <c r="N168" s="15">
        <f>IF(OR(N167="",J167=""),"",IF(J167&lt;=0,"",IFERROR(N167/J167-1,"")))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69">
      <c r="A169" s="18" t="inlineStr">
        <is>
          <t>부문 · 외부 고객 매출</t>
        </is>
      </c>
      <c r="C169" s="20" t="n">
        <v>429.12</v>
      </c>
      <c r="D169" s="20" t="n">
        <v>534.831</v>
      </c>
      <c r="E169" s="20" t="n">
        <v>234.9</v>
      </c>
      <c r="F169" s="20" t="n">
        <v>290.98</v>
      </c>
      <c r="G169" s="20" t="n">
        <v>277.653</v>
      </c>
      <c r="H169" s="20" t="n">
        <v>504.566</v>
      </c>
      <c r="I169" s="20" t="n">
        <v>258.008</v>
      </c>
      <c r="J169" s="20" t="n">
        <v>375.522</v>
      </c>
      <c r="K169" s="20" t="n">
        <v>391.96</v>
      </c>
      <c r="L169" s="20" t="n">
        <v>436.536</v>
      </c>
      <c r="M169" s="20" t="n">
        <v>316.828</v>
      </c>
      <c r="N169" s="20" t="n">
        <v>285.502</v>
      </c>
      <c r="V169" s="20" t="n">
        <v>534.831</v>
      </c>
      <c r="W169" s="20" t="n">
        <v>504.566</v>
      </c>
      <c r="X169" s="20" t="n">
        <v>436.536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IF(OR(G169="",C169=""),"",IF(C169&lt;=0,"",IFERROR(G169/C169-1,"")))</f>
        <v/>
      </c>
      <c r="H170" s="15">
        <f>IF(OR(H169="",D169=""),"",IF(D169&lt;=0,"",IFERROR(H169/D169-1,"")))</f>
        <v/>
      </c>
      <c r="I170" s="15">
        <f>IF(OR(I169="",E169=""),"",IF(E169&lt;=0,"",IFERROR(I169/E169-1,"")))</f>
        <v/>
      </c>
      <c r="J170" s="15">
        <f>IF(OR(J169="",F169=""),"",IF(F169&lt;=0,"",IFERROR(J169/F169-1,"")))</f>
        <v/>
      </c>
      <c r="K170" s="15">
        <f>IF(OR(K169="",G169=""),"",IF(G169&lt;=0,"",IFERROR(K169/G169-1,"")))</f>
        <v/>
      </c>
      <c r="L170" s="15">
        <f>IF(OR(L169="",H169=""),"",IF(H169&lt;=0,"",IFERROR(L169/H169-1,"")))</f>
        <v/>
      </c>
      <c r="M170" s="15">
        <f>IF(OR(M169="",I169=""),"",IF(I169&lt;=0,"",IFERROR(M169/I169-1,"")))</f>
        <v/>
      </c>
      <c r="N170" s="15">
        <f>IF(OR(N169="",J169=""),"",IF(J169&lt;=0,"",IFERROR(N169/J169-1,"")))</f>
        <v/>
      </c>
      <c r="V170" s="15">
        <f>IF(OR(V169="",U169=""),"",IF(U169&lt;=0,"",IFERROR(V169/U169-1,"")))</f>
        <v/>
      </c>
      <c r="W170" s="15">
        <f>IF(OR(W169="",V169=""),"",IF(V169&lt;=0,"",IFERROR(W169/V169-1,"")))</f>
        <v/>
      </c>
      <c r="X170" s="15">
        <f>IF(OR(X169="",W169=""),"",IF(W169&lt;=0,"",IFERROR(X169/W169-1,"")))</f>
        <v/>
      </c>
    </row>
    <row r="171">
      <c r="A171" s="18" t="inlineStr">
        <is>
          <t>부문 · 외부 고객 매출</t>
        </is>
      </c>
      <c r="C171" s="20" t="n">
        <v>22.657</v>
      </c>
      <c r="D171" s="20" t="n">
        <v>603.09</v>
      </c>
      <c r="E171" s="20" t="n">
        <v>25.423</v>
      </c>
      <c r="F171" s="20" t="n">
        <v>40.94</v>
      </c>
      <c r="G171" s="20" t="n">
        <v>47.55</v>
      </c>
      <c r="H171" s="20" t="n">
        <v>32.234</v>
      </c>
      <c r="I171" s="20" t="n">
        <v>27.288</v>
      </c>
      <c r="J171" s="20" t="n">
        <v>32.88</v>
      </c>
      <c r="K171" s="20" t="n">
        <v>22.339</v>
      </c>
      <c r="L171" s="20" t="n">
        <v>33.237</v>
      </c>
      <c r="M171" s="20" t="n">
        <v>32.155</v>
      </c>
      <c r="N171" s="20" t="n">
        <v>33.478</v>
      </c>
      <c r="V171" s="20" t="n">
        <v>603.09</v>
      </c>
      <c r="W171" s="20" t="n">
        <v>32.234</v>
      </c>
      <c r="X171" s="20" t="n">
        <v>33.237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G172" s="15">
        <f>IF(OR(G171="",C171=""),"",IF(C171&lt;=0,"",IFERROR(G171/C171-1,"")))</f>
        <v/>
      </c>
      <c r="H172" s="15">
        <f>IF(OR(H171="",D171=""),"",IF(D171&lt;=0,"",IFERROR(H171/D171-1,"")))</f>
        <v/>
      </c>
      <c r="I172" s="15">
        <f>IF(OR(I171="",E171=""),"",IF(E171&lt;=0,"",IFERROR(I171/E171-1,"")))</f>
        <v/>
      </c>
      <c r="J172" s="15">
        <f>IF(OR(J171="",F171=""),"",IF(F171&lt;=0,"",IFERROR(J171/F171-1,"")))</f>
        <v/>
      </c>
      <c r="K172" s="15">
        <f>IF(OR(K171="",G171=""),"",IF(G171&lt;=0,"",IFERROR(K171/G171-1,"")))</f>
        <v/>
      </c>
      <c r="L172" s="15">
        <f>IF(OR(L171="",H171=""),"",IF(H171&lt;=0,"",IFERROR(L171/H171-1,"")))</f>
        <v/>
      </c>
      <c r="M172" s="15">
        <f>IF(OR(M171="",I171=""),"",IF(I171&lt;=0,"",IFERROR(M171/I171-1,"")))</f>
        <v/>
      </c>
      <c r="N172" s="15">
        <f>IF(OR(N171="",J171=""),"",IF(J171&lt;=0,"",IFERROR(N171/J171-1,"")))</f>
        <v/>
      </c>
      <c r="V172" s="15">
        <f>IF(OR(V171="",U171=""),"",IF(U171&lt;=0,"",IFERROR(V171/U171-1,"")))</f>
        <v/>
      </c>
      <c r="W172" s="15">
        <f>IF(OR(W171="",V171=""),"",IF(V171&lt;=0,"",IFERROR(W171/V171-1,"")))</f>
        <v/>
      </c>
      <c r="X172" s="15">
        <f>IF(OR(X171="",W171=""),"",IF(W171&lt;=0,"",IFERROR(X171/W171-1,"")))</f>
        <v/>
      </c>
    </row>
    <row r="173">
      <c r="A173" s="18" t="inlineStr">
        <is>
          <t>일본 · 부문 간 내부매출·대체</t>
        </is>
      </c>
      <c r="C173" s="20" t="n">
        <v>841.006</v>
      </c>
      <c r="D173" s="20" t="n">
        <v>815.408</v>
      </c>
      <c r="E173" s="20" t="n">
        <v>825.2430000000001</v>
      </c>
      <c r="F173" s="20" t="n">
        <v>833.792</v>
      </c>
      <c r="G173" s="20" t="n">
        <v>848.524</v>
      </c>
      <c r="H173" s="20" t="n">
        <v>903.955</v>
      </c>
      <c r="I173" s="20" t="n">
        <v>896.855</v>
      </c>
      <c r="J173" s="20" t="n">
        <v>958.889</v>
      </c>
      <c r="K173" s="20" t="n">
        <v>1037.203</v>
      </c>
      <c r="L173" s="20" t="n">
        <v>1098.631</v>
      </c>
      <c r="M173" s="20" t="n">
        <v>937.313</v>
      </c>
      <c r="N173" s="20" t="n">
        <v>1116.215</v>
      </c>
      <c r="V173" s="20" t="n">
        <v>815.408</v>
      </c>
      <c r="W173" s="20" t="n">
        <v>903.955</v>
      </c>
      <c r="X173" s="20" t="n">
        <v>1098.631</v>
      </c>
    </row>
    <row r="174">
      <c r="A174" s="18" t="inlineStr">
        <is>
          <t>부문 · 부문 간 내부매출·대체</t>
        </is>
      </c>
      <c r="C174" s="20" t="n">
        <v>0</v>
      </c>
      <c r="D174" s="20" t="n">
        <v>0</v>
      </c>
      <c r="E174" s="20" t="n">
        <v>0</v>
      </c>
      <c r="F174" s="20" t="n">
        <v>0</v>
      </c>
      <c r="G174" s="20" t="n">
        <v>0</v>
      </c>
      <c r="H174" s="20" t="n">
        <v>0.788</v>
      </c>
      <c r="I174" s="20" t="n">
        <v>0</v>
      </c>
      <c r="J174" s="20" t="n">
        <v>0</v>
      </c>
      <c r="K174" s="20" t="n">
        <v>0</v>
      </c>
      <c r="L174" s="20" t="n">
        <v>0</v>
      </c>
      <c r="M174" s="20" t="n">
        <v>0</v>
      </c>
      <c r="N174" s="20" t="n">
        <v>0</v>
      </c>
      <c r="V174" s="20" t="n">
        <v>0</v>
      </c>
      <c r="W174" s="20" t="n">
        <v>0.788</v>
      </c>
      <c r="X174" s="20" t="n">
        <v>0</v>
      </c>
    </row>
    <row r="175">
      <c r="A175" s="18" t="inlineStr">
        <is>
          <t>부문 · 부문 간 내부매출·대체</t>
        </is>
      </c>
      <c r="C175" s="20" t="n">
        <v>0</v>
      </c>
      <c r="D175" s="20" t="n">
        <v>0</v>
      </c>
      <c r="E175" s="20" t="n">
        <v>0</v>
      </c>
      <c r="F175" s="20" t="n">
        <v>0</v>
      </c>
      <c r="G175" s="20" t="n">
        <v>0</v>
      </c>
      <c r="H175" s="20" t="n">
        <v>0</v>
      </c>
      <c r="I175" s="20" t="n">
        <v>0</v>
      </c>
      <c r="J175" s="20" t="n">
        <v>0</v>
      </c>
      <c r="K175" s="20" t="n">
        <v>0</v>
      </c>
      <c r="L175" s="20" t="n">
        <v>0</v>
      </c>
      <c r="M175" s="20" t="n">
        <v>0</v>
      </c>
      <c r="N175" s="20" t="n">
        <v>0</v>
      </c>
      <c r="V175" s="20" t="n">
        <v>0</v>
      </c>
      <c r="W175" s="20" t="n">
        <v>0</v>
      </c>
      <c r="X175" s="20" t="n">
        <v>0</v>
      </c>
    </row>
    <row r="176">
      <c r="A176" s="18" t="inlineStr">
        <is>
          <t>부문 · 부문 간 내부매출·대체</t>
        </is>
      </c>
      <c r="C176" s="20" t="n">
        <v>260.532</v>
      </c>
      <c r="D176" s="20" t="n">
        <v>181.601</v>
      </c>
      <c r="E176" s="20" t="n">
        <v>157.11</v>
      </c>
      <c r="F176" s="20" t="n">
        <v>109.036</v>
      </c>
      <c r="G176" s="20" t="n">
        <v>151.846</v>
      </c>
      <c r="H176" s="20" t="n">
        <v>100.669</v>
      </c>
      <c r="I176" s="20" t="n">
        <v>184.785</v>
      </c>
      <c r="J176" s="20" t="n">
        <v>140.868</v>
      </c>
      <c r="K176" s="20" t="n">
        <v>156.982</v>
      </c>
      <c r="L176" s="20" t="n">
        <v>148.476</v>
      </c>
      <c r="M176" s="20" t="n">
        <v>188.301</v>
      </c>
      <c r="N176" s="20" t="n">
        <v>199.098</v>
      </c>
      <c r="V176" s="20" t="n">
        <v>181.601</v>
      </c>
      <c r="W176" s="20" t="n">
        <v>100.669</v>
      </c>
      <c r="X176" s="20" t="n">
        <v>148.476</v>
      </c>
    </row>
    <row r="177">
      <c r="A177" s="18" t="inlineStr">
        <is>
          <t>부문 · 부문 간 내부매출·대체</t>
        </is>
      </c>
      <c r="C177" s="20" t="n">
        <v>0</v>
      </c>
      <c r="D177" s="20" t="n">
        <v>0</v>
      </c>
      <c r="E177" s="20" t="n">
        <v>0</v>
      </c>
      <c r="F177" s="20" t="n">
        <v>0</v>
      </c>
      <c r="G177" s="20" t="n">
        <v>0</v>
      </c>
      <c r="H177" s="20" t="n">
        <v>0</v>
      </c>
      <c r="I177" s="20" t="n">
        <v>0</v>
      </c>
      <c r="J177" s="20" t="n">
        <v>0</v>
      </c>
      <c r="K177" s="20" t="n">
        <v>0</v>
      </c>
      <c r="L177" s="20" t="n">
        <v>0</v>
      </c>
      <c r="M177" s="20" t="n">
        <v>0</v>
      </c>
      <c r="N177" s="20" t="n">
        <v>0</v>
      </c>
      <c r="V177" s="20" t="n">
        <v>0</v>
      </c>
      <c r="W177" s="20" t="n">
        <v>0</v>
      </c>
      <c r="X177" s="20" t="n">
        <v>0</v>
      </c>
    </row>
    <row r="178">
      <c r="A178" s="18" t="inlineStr">
        <is>
          <t>일본 · 계</t>
        </is>
      </c>
      <c r="C178" s="20" t="n">
        <v>2450.142</v>
      </c>
      <c r="D178" s="20" t="n">
        <v>2483.159</v>
      </c>
      <c r="E178" s="20" t="n">
        <v>2507.609</v>
      </c>
      <c r="F178" s="20" t="n">
        <v>2253.947</v>
      </c>
      <c r="G178" s="20" t="n">
        <v>2257.017</v>
      </c>
      <c r="H178" s="20" t="n">
        <v>2613.797</v>
      </c>
      <c r="I178" s="20" t="n">
        <v>2814.12</v>
      </c>
      <c r="J178" s="20" t="n">
        <v>2397.996</v>
      </c>
      <c r="K178" s="20" t="n">
        <v>2609.739</v>
      </c>
      <c r="L178" s="20" t="n">
        <v>2645.617</v>
      </c>
      <c r="M178" s="20" t="n">
        <v>2548.247</v>
      </c>
      <c r="N178" s="20" t="n">
        <v>2726.507</v>
      </c>
      <c r="V178" s="20" t="n">
        <v>2483.159</v>
      </c>
      <c r="W178" s="20" t="n">
        <v>2613.797</v>
      </c>
      <c r="X178" s="20" t="n">
        <v>2645.617</v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G179" s="15">
        <f>IF(OR(G178="",C178=""),"",IF(C178&lt;=0,"",IFERROR(G178/C178-1,"")))</f>
        <v/>
      </c>
      <c r="H179" s="15">
        <f>IF(OR(H178="",D178=""),"",IF(D178&lt;=0,"",IFERROR(H178/D178-1,"")))</f>
        <v/>
      </c>
      <c r="I179" s="15">
        <f>IF(OR(I178="",E178=""),"",IF(E178&lt;=0,"",IFERROR(I178/E178-1,"")))</f>
        <v/>
      </c>
      <c r="J179" s="15">
        <f>IF(OR(J178="",F178=""),"",IF(F178&lt;=0,"",IFERROR(J178/F178-1,"")))</f>
        <v/>
      </c>
      <c r="K179" s="15">
        <f>IF(OR(K178="",G178=""),"",IF(G178&lt;=0,"",IFERROR(K178/G178-1,"")))</f>
        <v/>
      </c>
      <c r="L179" s="15">
        <f>IF(OR(L178="",H178=""),"",IF(H178&lt;=0,"",IFERROR(L178/H178-1,"")))</f>
        <v/>
      </c>
      <c r="M179" s="15">
        <f>IF(OR(M178="",I178=""),"",IF(I178&lt;=0,"",IFERROR(M178/I178-1,"")))</f>
        <v/>
      </c>
      <c r="N179" s="15">
        <f>IF(OR(N178="",J178=""),"",IF(J178&lt;=0,"",IFERROR(N178/J178-1,"")))</f>
        <v/>
      </c>
      <c r="V179" s="15">
        <f>IF(OR(V178="",U178=""),"",IF(U178&lt;=0,"",IFERROR(V178/U178-1,"")))</f>
        <v/>
      </c>
      <c r="W179" s="15">
        <f>IF(OR(W178="",V178=""),"",IF(V178&lt;=0,"",IFERROR(W178/V178-1,"")))</f>
        <v/>
      </c>
      <c r="X179" s="15">
        <f>IF(OR(X178="",W178=""),"",IF(W178&lt;=0,"",IFERROR(X178/W178-1,"")))</f>
        <v/>
      </c>
    </row>
    <row r="180">
      <c r="A180" s="18" t="inlineStr">
        <is>
          <t>부문 · 계</t>
        </is>
      </c>
      <c r="C180" s="20" t="n">
        <v>439.781</v>
      </c>
      <c r="D180" s="20" t="n">
        <v>376.742</v>
      </c>
      <c r="E180" s="20" t="n">
        <v>400.71</v>
      </c>
      <c r="F180" s="20" t="n">
        <v>383.423</v>
      </c>
      <c r="G180" s="20" t="n">
        <v>427.036</v>
      </c>
      <c r="H180" s="20" t="n">
        <v>359.485</v>
      </c>
      <c r="I180" s="20" t="n">
        <v>409.849</v>
      </c>
      <c r="J180" s="20" t="n">
        <v>426.911</v>
      </c>
      <c r="K180" s="20" t="n">
        <v>452.129</v>
      </c>
      <c r="L180" s="20" t="n">
        <v>375.755</v>
      </c>
      <c r="M180" s="20" t="n">
        <v>423.141</v>
      </c>
      <c r="N180" s="20" t="n">
        <v>554.846</v>
      </c>
      <c r="V180" s="20" t="n">
        <v>376.742</v>
      </c>
      <c r="W180" s="20" t="n">
        <v>359.485</v>
      </c>
      <c r="X180" s="20" t="n">
        <v>375.755</v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G181" s="15">
        <f>IF(OR(G180="",C180=""),"",IF(C180&lt;=0,"",IFERROR(G180/C180-1,"")))</f>
        <v/>
      </c>
      <c r="H181" s="15">
        <f>IF(OR(H180="",D180=""),"",IF(D180&lt;=0,"",IFERROR(H180/D180-1,"")))</f>
        <v/>
      </c>
      <c r="I181" s="15">
        <f>IF(OR(I180="",E180=""),"",IF(E180&lt;=0,"",IFERROR(I180/E180-1,"")))</f>
        <v/>
      </c>
      <c r="J181" s="15">
        <f>IF(OR(J180="",F180=""),"",IF(F180&lt;=0,"",IFERROR(J180/F180-1,"")))</f>
        <v/>
      </c>
      <c r="K181" s="15">
        <f>IF(OR(K180="",G180=""),"",IF(G180&lt;=0,"",IFERROR(K180/G180-1,"")))</f>
        <v/>
      </c>
      <c r="L181" s="15">
        <f>IF(OR(L180="",H180=""),"",IF(H180&lt;=0,"",IFERROR(L180/H180-1,"")))</f>
        <v/>
      </c>
      <c r="M181" s="15">
        <f>IF(OR(M180="",I180=""),"",IF(I180&lt;=0,"",IFERROR(M180/I180-1,"")))</f>
        <v/>
      </c>
      <c r="N181" s="15">
        <f>IF(OR(N180="",J180=""),"",IF(J180&lt;=0,"",IFERROR(N180/J180-1,"")))</f>
        <v/>
      </c>
      <c r="V181" s="15">
        <f>IF(OR(V180="",U180=""),"",IF(U180&lt;=0,"",IFERROR(V180/U180-1,"")))</f>
        <v/>
      </c>
      <c r="W181" s="15">
        <f>IF(OR(W180="",V180=""),"",IF(V180&lt;=0,"",IFERROR(W180/V180-1,"")))</f>
        <v/>
      </c>
      <c r="X181" s="15">
        <f>IF(OR(X180="",W180=""),"",IF(W180&lt;=0,"",IFERROR(X180/W180-1,"")))</f>
        <v/>
      </c>
    </row>
    <row r="182">
      <c r="A182" s="18" t="inlineStr">
        <is>
          <t>부문 · 계</t>
        </is>
      </c>
      <c r="C182" s="20" t="n">
        <v>258.683</v>
      </c>
      <c r="D182" s="20" t="n">
        <v>237.808</v>
      </c>
      <c r="E182" s="20" t="n">
        <v>264.256</v>
      </c>
      <c r="F182" s="20" t="n">
        <v>259.358</v>
      </c>
      <c r="G182" s="20" t="n">
        <v>253.141</v>
      </c>
      <c r="H182" s="20" t="n">
        <v>277.772</v>
      </c>
      <c r="I182" s="20" t="n">
        <v>208.896</v>
      </c>
      <c r="J182" s="20" t="n">
        <v>276.852</v>
      </c>
      <c r="K182" s="20" t="n">
        <v>302.21</v>
      </c>
      <c r="L182" s="20" t="n">
        <v>271.892</v>
      </c>
      <c r="M182" s="20" t="n">
        <v>241.231</v>
      </c>
      <c r="N182" s="20" t="n">
        <v>337.924</v>
      </c>
      <c r="V182" s="20" t="n">
        <v>237.808</v>
      </c>
      <c r="W182" s="20" t="n">
        <v>277.772</v>
      </c>
      <c r="X182" s="20" t="n">
        <v>271.892</v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G183" s="15">
        <f>IF(OR(G182="",C182=""),"",IF(C182&lt;=0,"",IFERROR(G182/C182-1,"")))</f>
        <v/>
      </c>
      <c r="H183" s="15">
        <f>IF(OR(H182="",D182=""),"",IF(D182&lt;=0,"",IFERROR(H182/D182-1,"")))</f>
        <v/>
      </c>
      <c r="I183" s="15">
        <f>IF(OR(I182="",E182=""),"",IF(E182&lt;=0,"",IFERROR(I182/E182-1,"")))</f>
        <v/>
      </c>
      <c r="J183" s="15">
        <f>IF(OR(J182="",F182=""),"",IF(F182&lt;=0,"",IFERROR(J182/F182-1,"")))</f>
        <v/>
      </c>
      <c r="K183" s="15">
        <f>IF(OR(K182="",G182=""),"",IF(G182&lt;=0,"",IFERROR(K182/G182-1,"")))</f>
        <v/>
      </c>
      <c r="L183" s="15">
        <f>IF(OR(L182="",H182=""),"",IF(H182&lt;=0,"",IFERROR(L182/H182-1,"")))</f>
        <v/>
      </c>
      <c r="M183" s="15">
        <f>IF(OR(M182="",I182=""),"",IF(I182&lt;=0,"",IFERROR(M182/I182-1,"")))</f>
        <v/>
      </c>
      <c r="N183" s="15">
        <f>IF(OR(N182="",J182=""),"",IF(J182&lt;=0,"",IFERROR(N182/J182-1,"")))</f>
        <v/>
      </c>
      <c r="V183" s="15">
        <f>IF(OR(V182="",U182=""),"",IF(U182&lt;=0,"",IFERROR(V182/U182-1,"")))</f>
        <v/>
      </c>
      <c r="W183" s="15">
        <f>IF(OR(W182="",V182=""),"",IF(V182&lt;=0,"",IFERROR(W182/V182-1,"")))</f>
        <v/>
      </c>
      <c r="X183" s="15">
        <f>IF(OR(X182="",W182=""),"",IF(W182&lt;=0,"",IFERROR(X182/W182-1,"")))</f>
        <v/>
      </c>
    </row>
    <row r="184">
      <c r="A184" s="18" t="inlineStr">
        <is>
          <t>부문 · 계</t>
        </is>
      </c>
      <c r="C184" s="20" t="n">
        <v>689.652</v>
      </c>
      <c r="D184" s="20" t="n">
        <v>716.431</v>
      </c>
      <c r="E184" s="20" t="n">
        <v>392.011</v>
      </c>
      <c r="F184" s="20" t="n">
        <v>400.015</v>
      </c>
      <c r="G184" s="20" t="n">
        <v>429.499</v>
      </c>
      <c r="H184" s="20" t="n">
        <v>605.236</v>
      </c>
      <c r="I184" s="20" t="n">
        <v>442.794</v>
      </c>
      <c r="J184" s="20" t="n">
        <v>516.39</v>
      </c>
      <c r="K184" s="20" t="n">
        <v>548.941</v>
      </c>
      <c r="L184" s="20" t="n">
        <v>585.013</v>
      </c>
      <c r="M184" s="20" t="n">
        <v>505.129</v>
      </c>
      <c r="N184" s="20" t="n">
        <v>484.601</v>
      </c>
      <c r="V184" s="20" t="n">
        <v>716.431</v>
      </c>
      <c r="W184" s="20" t="n">
        <v>605.236</v>
      </c>
      <c r="X184" s="20" t="n">
        <v>585.013</v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G185" s="15">
        <f>IF(OR(G184="",C184=""),"",IF(C184&lt;=0,"",IFERROR(G184/C184-1,"")))</f>
        <v/>
      </c>
      <c r="H185" s="15">
        <f>IF(OR(H184="",D184=""),"",IF(D184&lt;=0,"",IFERROR(H184/D184-1,"")))</f>
        <v/>
      </c>
      <c r="I185" s="15">
        <f>IF(OR(I184="",E184=""),"",IF(E184&lt;=0,"",IFERROR(I184/E184-1,"")))</f>
        <v/>
      </c>
      <c r="J185" s="15">
        <f>IF(OR(J184="",F184=""),"",IF(F184&lt;=0,"",IFERROR(J184/F184-1,"")))</f>
        <v/>
      </c>
      <c r="K185" s="15">
        <f>IF(OR(K184="",G184=""),"",IF(G184&lt;=0,"",IFERROR(K184/G184-1,"")))</f>
        <v/>
      </c>
      <c r="L185" s="15">
        <f>IF(OR(L184="",H184=""),"",IF(H184&lt;=0,"",IFERROR(L184/H184-1,"")))</f>
        <v/>
      </c>
      <c r="M185" s="15">
        <f>IF(OR(M184="",I184=""),"",IF(I184&lt;=0,"",IFERROR(M184/I184-1,"")))</f>
        <v/>
      </c>
      <c r="N185" s="15">
        <f>IF(OR(N184="",J184=""),"",IF(J184&lt;=0,"",IFERROR(N184/J184-1,"")))</f>
        <v/>
      </c>
      <c r="V185" s="15">
        <f>IF(OR(V184="",U184=""),"",IF(U184&lt;=0,"",IFERROR(V184/U184-1,"")))</f>
        <v/>
      </c>
      <c r="W185" s="15">
        <f>IF(OR(W184="",V184=""),"",IF(V184&lt;=0,"",IFERROR(W184/V184-1,"")))</f>
        <v/>
      </c>
      <c r="X185" s="15">
        <f>IF(OR(X184="",W184=""),"",IF(W184&lt;=0,"",IFERROR(X184/W184-1,"")))</f>
        <v/>
      </c>
    </row>
    <row r="186">
      <c r="A186" s="18" t="inlineStr">
        <is>
          <t>부문 · 계</t>
        </is>
      </c>
      <c r="C186" s="20" t="n">
        <v>22.657</v>
      </c>
      <c r="D186" s="20" t="n">
        <v>603.09</v>
      </c>
      <c r="E186" s="20" t="n">
        <v>25.423</v>
      </c>
      <c r="F186" s="20" t="n">
        <v>40.94</v>
      </c>
      <c r="G186" s="20" t="n">
        <v>47.55</v>
      </c>
      <c r="H186" s="20" t="n">
        <v>32.234</v>
      </c>
      <c r="I186" s="20" t="n">
        <v>27.288</v>
      </c>
      <c r="J186" s="20" t="n">
        <v>32.88</v>
      </c>
      <c r="K186" s="20" t="n">
        <v>22.339</v>
      </c>
      <c r="L186" s="20" t="n">
        <v>33.237</v>
      </c>
      <c r="M186" s="20" t="n">
        <v>32.155</v>
      </c>
      <c r="N186" s="20" t="n">
        <v>33.478</v>
      </c>
      <c r="V186" s="20" t="n">
        <v>603.09</v>
      </c>
      <c r="W186" s="20" t="n">
        <v>32.234</v>
      </c>
      <c r="X186" s="20" t="n">
        <v>33.237</v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IF(OR(G186="",C186=""),"",IF(C186&lt;=0,"",IFERROR(G186/C186-1,"")))</f>
        <v/>
      </c>
      <c r="H187" s="15">
        <f>IF(OR(H186="",D186=""),"",IF(D186&lt;=0,"",IFERROR(H186/D186-1,"")))</f>
        <v/>
      </c>
      <c r="I187" s="15">
        <f>IF(OR(I186="",E186=""),"",IF(E186&lt;=0,"",IFERROR(I186/E186-1,"")))</f>
        <v/>
      </c>
      <c r="J187" s="15">
        <f>IF(OR(J186="",F186=""),"",IF(F186&lt;=0,"",IFERROR(J186/F186-1,"")))</f>
        <v/>
      </c>
      <c r="K187" s="15">
        <f>IF(OR(K186="",G186=""),"",IF(G186&lt;=0,"",IFERROR(K186/G186-1,"")))</f>
        <v/>
      </c>
      <c r="L187" s="15">
        <f>IF(OR(L186="",H186=""),"",IF(H186&lt;=0,"",IFERROR(L186/H186-1,"")))</f>
        <v/>
      </c>
      <c r="M187" s="15">
        <f>IF(OR(M186="",I186=""),"",IF(I186&lt;=0,"",IFERROR(M186/I186-1,"")))</f>
        <v/>
      </c>
      <c r="N187" s="15">
        <f>IF(OR(N186="",J186=""),"",IF(J186&lt;=0,"",IFERROR(N186/J186-1,"")))</f>
        <v/>
      </c>
      <c r="V187" s="15">
        <f>IF(OR(V186="",U186=""),"",IF(U186&lt;=0,"",IFERROR(V186/U186-1,"")))</f>
        <v/>
      </c>
      <c r="W187" s="15">
        <f>IF(OR(W186="",V186=""),"",IF(V186&lt;=0,"",IFERROR(W186/V186-1,"")))</f>
        <v/>
      </c>
      <c r="X187" s="15">
        <f>IF(OR(X186="",W186=""),"",IF(W186&lt;=0,"",IFERROR(X186/W186-1,"")))</f>
        <v/>
      </c>
    </row>
    <row r="188">
      <c r="A188" s="18" t="inlineStr">
        <is>
          <t>일본 · 부문 이익(손실)</t>
        </is>
      </c>
      <c r="C188" s="20" t="n">
        <v>202.621</v>
      </c>
      <c r="D188" s="20" t="n">
        <v>93.017</v>
      </c>
      <c r="E188" s="20" t="n">
        <v>222.779</v>
      </c>
      <c r="F188" s="20" t="n">
        <v>104.812</v>
      </c>
      <c r="G188" s="20" t="n">
        <v>212.395</v>
      </c>
      <c r="H188" s="20" t="n">
        <v>199.522</v>
      </c>
      <c r="I188" s="20" t="n">
        <v>459.036</v>
      </c>
      <c r="J188" s="20" t="n">
        <v>279.175</v>
      </c>
      <c r="K188" s="20" t="n">
        <v>338.768</v>
      </c>
      <c r="L188" s="20" t="n">
        <v>188.311</v>
      </c>
      <c r="M188" s="20" t="n">
        <v>336.476</v>
      </c>
      <c r="N188" s="20" t="n">
        <v>258.17</v>
      </c>
      <c r="V188" s="20" t="n">
        <v>93.017</v>
      </c>
      <c r="W188" s="20" t="n">
        <v>199.522</v>
      </c>
      <c r="X188" s="20" t="n">
        <v>188.311</v>
      </c>
    </row>
    <row r="189">
      <c r="A189" s="43" t="inlineStr">
        <is>
          <t>OPM</t>
        </is>
      </c>
      <c r="B189" s="3" t="inlineStr">
        <is>
          <t>영업이익 ÷ 매출</t>
        </is>
      </c>
      <c r="C189" s="15">
        <f>IF(OR(C188="",C178=""),"",IF(C178&lt;=0,"",IFERROR(C188/C178,"")))</f>
        <v/>
      </c>
      <c r="D189" s="15">
        <f>IF(OR(D188="",D178=""),"",IF(D178&lt;=0,"",IFERROR(D188/D178,"")))</f>
        <v/>
      </c>
      <c r="E189" s="15">
        <f>IF(OR(E188="",E178=""),"",IF(E178&lt;=0,"",IFERROR(E188/E178,"")))</f>
        <v/>
      </c>
      <c r="F189" s="15">
        <f>IF(OR(F188="",F178=""),"",IF(F178&lt;=0,"",IFERROR(F188/F178,"")))</f>
        <v/>
      </c>
      <c r="G189" s="15">
        <f>IF(OR(G188="",G178=""),"",IF(G178&lt;=0,"",IFERROR(G188/G178,"")))</f>
        <v/>
      </c>
      <c r="H189" s="15">
        <f>IF(OR(H188="",H178=""),"",IF(H178&lt;=0,"",IFERROR(H188/H178,"")))</f>
        <v/>
      </c>
      <c r="I189" s="15">
        <f>IF(OR(I188="",I178=""),"",IF(I178&lt;=0,"",IFERROR(I188/I178,"")))</f>
        <v/>
      </c>
      <c r="J189" s="15">
        <f>IF(OR(J188="",J178=""),"",IF(J178&lt;=0,"",IFERROR(J188/J178,"")))</f>
        <v/>
      </c>
      <c r="K189" s="15">
        <f>IF(OR(K188="",K178=""),"",IF(K178&lt;=0,"",IFERROR(K188/K178,"")))</f>
        <v/>
      </c>
      <c r="L189" s="15">
        <f>IF(OR(L188="",L178=""),"",IF(L178&lt;=0,"",IFERROR(L188/L178,"")))</f>
        <v/>
      </c>
      <c r="M189" s="15">
        <f>IF(OR(M188="",M178=""),"",IF(M178&lt;=0,"",IFERROR(M188/M178,"")))</f>
        <v/>
      </c>
      <c r="N189" s="15">
        <f>IF(OR(N188="",N178=""),"",IF(N178&lt;=0,"",IFERROR(N188/N178,"")))</f>
        <v/>
      </c>
      <c r="V189" s="15">
        <f>IF(OR(V188="",V178=""),"",IF(V178&lt;=0,"",IFERROR(V188/V178,"")))</f>
        <v/>
      </c>
      <c r="W189" s="15">
        <f>IF(OR(W188="",W178=""),"",IF(W178&lt;=0,"",IFERROR(W188/W178,"")))</f>
        <v/>
      </c>
      <c r="X189" s="15">
        <f>IF(OR(X188="",X178=""),"",IF(X178&lt;=0,"",IFERROR(X188/X178,"")))</f>
        <v/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G190" s="15">
        <f>IF(OR(G188="",C188=""),"",IF(C188&lt;=0,"",IFERROR(G188/C188-1,"")))</f>
        <v/>
      </c>
      <c r="H190" s="15">
        <f>IF(OR(H188="",D188=""),"",IF(D188&lt;=0,"",IFERROR(H188/D188-1,"")))</f>
        <v/>
      </c>
      <c r="I190" s="15">
        <f>IF(OR(I188="",E188=""),"",IF(E188&lt;=0,"",IFERROR(I188/E188-1,"")))</f>
        <v/>
      </c>
      <c r="J190" s="15">
        <f>IF(OR(J188="",F188=""),"",IF(F188&lt;=0,"",IFERROR(J188/F188-1,"")))</f>
        <v/>
      </c>
      <c r="K190" s="15">
        <f>IF(OR(K188="",G188=""),"",IF(G188&lt;=0,"",IFERROR(K188/G188-1,"")))</f>
        <v/>
      </c>
      <c r="L190" s="15">
        <f>IF(OR(L188="",H188=""),"",IF(H188&lt;=0,"",IFERROR(L188/H188-1,"")))</f>
        <v/>
      </c>
      <c r="M190" s="15">
        <f>IF(OR(M188="",I188=""),"",IF(I188&lt;=0,"",IFERROR(M188/I188-1,"")))</f>
        <v/>
      </c>
      <c r="N190" s="15">
        <f>IF(OR(N188="",J188=""),"",IF(J188&lt;=0,"",IFERROR(N188/J188-1,"")))</f>
        <v/>
      </c>
      <c r="V190" s="15">
        <f>IF(OR(V188="",U188=""),"",IF(U188&lt;=0,"",IFERROR(V188/U188-1,"")))</f>
        <v/>
      </c>
      <c r="W190" s="15">
        <f>IF(OR(W188="",V188=""),"",IF(V188&lt;=0,"",IFERROR(W188/V188-1,"")))</f>
        <v/>
      </c>
      <c r="X190" s="15">
        <f>IF(OR(X188="",W188=""),"",IF(W188&lt;=0,"",IFERROR(X188/W188-1,"")))</f>
        <v/>
      </c>
    </row>
    <row r="191">
      <c r="A191" s="18" t="inlineStr">
        <is>
          <t>부문 · 부문 이익(손실)</t>
        </is>
      </c>
      <c r="C191" s="20" t="n">
        <v>81.09699999999999</v>
      </c>
      <c r="D191" s="20" t="n">
        <v>47.823</v>
      </c>
      <c r="E191" s="20" t="n">
        <v>52.393</v>
      </c>
      <c r="F191" s="20" t="n">
        <v>38.101</v>
      </c>
      <c r="G191" s="20" t="n">
        <v>53.492</v>
      </c>
      <c r="H191" s="20" t="n">
        <v>23.048</v>
      </c>
      <c r="I191" s="20" t="n">
        <v>28.585</v>
      </c>
      <c r="J191" s="20" t="n">
        <v>-4.615</v>
      </c>
      <c r="K191" s="20" t="n">
        <v>3.641</v>
      </c>
      <c r="L191" s="20" t="n">
        <v>-3.89</v>
      </c>
      <c r="M191" s="20" t="n">
        <v>14.388</v>
      </c>
      <c r="N191" s="20" t="n">
        <v>150.584</v>
      </c>
      <c r="V191" s="20" t="n">
        <v>47.823</v>
      </c>
      <c r="W191" s="20" t="n">
        <v>23.048</v>
      </c>
      <c r="X191" s="20" t="n">
        <v>-3.89</v>
      </c>
    </row>
    <row r="192">
      <c r="A192" s="43" t="inlineStr">
        <is>
          <t>OPM</t>
        </is>
      </c>
      <c r="B192" s="3" t="inlineStr">
        <is>
          <t>영업이익 ÷ 매출</t>
        </is>
      </c>
      <c r="C192" s="15">
        <f>IF(OR(C191="",C180=""),"",IF(C180&lt;=0,"",IFERROR(C191/C180,"")))</f>
        <v/>
      </c>
      <c r="D192" s="15">
        <f>IF(OR(D191="",D180=""),"",IF(D180&lt;=0,"",IFERROR(D191/D180,"")))</f>
        <v/>
      </c>
      <c r="E192" s="15">
        <f>IF(OR(E191="",E180=""),"",IF(E180&lt;=0,"",IFERROR(E191/E180,"")))</f>
        <v/>
      </c>
      <c r="F192" s="15">
        <f>IF(OR(F191="",F180=""),"",IF(F180&lt;=0,"",IFERROR(F191/F180,"")))</f>
        <v/>
      </c>
      <c r="G192" s="15">
        <f>IF(OR(G191="",G180=""),"",IF(G180&lt;=0,"",IFERROR(G191/G180,"")))</f>
        <v/>
      </c>
      <c r="H192" s="15">
        <f>IF(OR(H191="",H180=""),"",IF(H180&lt;=0,"",IFERROR(H191/H180,"")))</f>
        <v/>
      </c>
      <c r="I192" s="15">
        <f>IF(OR(I191="",I180=""),"",IF(I180&lt;=0,"",IFERROR(I191/I180,"")))</f>
        <v/>
      </c>
      <c r="J192" s="15">
        <f>IF(OR(J191="",J180=""),"",IF(J180&lt;=0,"",IFERROR(J191/J180,"")))</f>
        <v/>
      </c>
      <c r="K192" s="15">
        <f>IF(OR(K191="",K180=""),"",IF(K180&lt;=0,"",IFERROR(K191/K180,"")))</f>
        <v/>
      </c>
      <c r="L192" s="15">
        <f>IF(OR(L191="",L180=""),"",IF(L180&lt;=0,"",IFERROR(L191/L180,"")))</f>
        <v/>
      </c>
      <c r="M192" s="15">
        <f>IF(OR(M191="",M180=""),"",IF(M180&lt;=0,"",IFERROR(M191/M180,"")))</f>
        <v/>
      </c>
      <c r="N192" s="15">
        <f>IF(OR(N191="",N180=""),"",IF(N180&lt;=0,"",IFERROR(N191/N180,"")))</f>
        <v/>
      </c>
      <c r="V192" s="15">
        <f>IF(OR(V191="",V180=""),"",IF(V180&lt;=0,"",IFERROR(V191/V180,"")))</f>
        <v/>
      </c>
      <c r="W192" s="15">
        <f>IF(OR(W191="",W180=""),"",IF(W180&lt;=0,"",IFERROR(W191/W180,"")))</f>
        <v/>
      </c>
      <c r="X192" s="15">
        <f>IF(OR(X191="",X180=""),"",IF(X180&lt;=0,"",IFERROR(X191/X180,"")))</f>
        <v/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G193" s="15">
        <f>IF(OR(G191="",C191=""),"",IF(C191&lt;=0,"",IFERROR(G191/C191-1,"")))</f>
        <v/>
      </c>
      <c r="H193" s="15">
        <f>IF(OR(H191="",D191=""),"",IF(D191&lt;=0,"",IFERROR(H191/D191-1,"")))</f>
        <v/>
      </c>
      <c r="I193" s="15">
        <f>IF(OR(I191="",E191=""),"",IF(E191&lt;=0,"",IFERROR(I191/E191-1,"")))</f>
        <v/>
      </c>
      <c r="J193" s="15">
        <f>IF(OR(J191="",F191=""),"",IF(F191&lt;=0,"",IFERROR(J191/F191-1,"")))</f>
        <v/>
      </c>
      <c r="K193" s="15">
        <f>IF(OR(K191="",G191=""),"",IF(G191&lt;=0,"",IFERROR(K191/G191-1,"")))</f>
        <v/>
      </c>
      <c r="L193" s="15">
        <f>IF(OR(L191="",H191=""),"",IF(H191&lt;=0,"",IFERROR(L191/H191-1,"")))</f>
        <v/>
      </c>
      <c r="M193" s="15">
        <f>IF(OR(M191="",I191=""),"",IF(I191&lt;=0,"",IFERROR(M191/I191-1,"")))</f>
        <v/>
      </c>
      <c r="N193" s="15">
        <f>IF(OR(N191="",J191=""),"",IF(J191&lt;=0,"",IFERROR(N191/J191-1,"")))</f>
        <v/>
      </c>
      <c r="V193" s="15">
        <f>IF(OR(V191="",U191=""),"",IF(U191&lt;=0,"",IFERROR(V191/U191-1,"")))</f>
        <v/>
      </c>
      <c r="W193" s="15">
        <f>IF(OR(W191="",V191=""),"",IF(V191&lt;=0,"",IFERROR(W191/V191-1,"")))</f>
        <v/>
      </c>
      <c r="X193" s="15">
        <f>IF(OR(X191="",W191=""),"",IF(W191&lt;=0,"",IFERROR(X191/W191-1,"")))</f>
        <v/>
      </c>
    </row>
    <row r="194">
      <c r="A194" s="18" t="inlineStr">
        <is>
          <t>부문 · 부문 이익(손실)</t>
        </is>
      </c>
      <c r="C194" s="20" t="n">
        <v>41.421</v>
      </c>
      <c r="D194" s="20" t="n">
        <v>38.914</v>
      </c>
      <c r="E194" s="20" t="n">
        <v>36.322</v>
      </c>
      <c r="F194" s="20" t="n">
        <v>38.745</v>
      </c>
      <c r="G194" s="20" t="n">
        <v>28.192</v>
      </c>
      <c r="H194" s="20" t="n">
        <v>50.809</v>
      </c>
      <c r="I194" s="20" t="n">
        <v>6.58</v>
      </c>
      <c r="J194" s="20" t="n">
        <v>34.608</v>
      </c>
      <c r="K194" s="20" t="n">
        <v>43.348</v>
      </c>
      <c r="L194" s="20" t="n">
        <v>33.547</v>
      </c>
      <c r="M194" s="20" t="n">
        <v>15.351</v>
      </c>
      <c r="N194" s="20" t="n">
        <v>43.6</v>
      </c>
      <c r="V194" s="20" t="n">
        <v>38.914</v>
      </c>
      <c r="W194" s="20" t="n">
        <v>50.809</v>
      </c>
      <c r="X194" s="20" t="n">
        <v>33.547</v>
      </c>
    </row>
    <row r="195">
      <c r="A195" s="43" t="inlineStr">
        <is>
          <t>OPM</t>
        </is>
      </c>
      <c r="B195" s="3" t="inlineStr">
        <is>
          <t>영업이익 ÷ 매출</t>
        </is>
      </c>
      <c r="C195" s="15">
        <f>IF(OR(C194="",C182=""),"",IF(C182&lt;=0,"",IFERROR(C194/C182,"")))</f>
        <v/>
      </c>
      <c r="D195" s="15">
        <f>IF(OR(D194="",D182=""),"",IF(D182&lt;=0,"",IFERROR(D194/D182,"")))</f>
        <v/>
      </c>
      <c r="E195" s="15">
        <f>IF(OR(E194="",E182=""),"",IF(E182&lt;=0,"",IFERROR(E194/E182,"")))</f>
        <v/>
      </c>
      <c r="F195" s="15">
        <f>IF(OR(F194="",F182=""),"",IF(F182&lt;=0,"",IFERROR(F194/F182,"")))</f>
        <v/>
      </c>
      <c r="G195" s="15">
        <f>IF(OR(G194="",G182=""),"",IF(G182&lt;=0,"",IFERROR(G194/G182,"")))</f>
        <v/>
      </c>
      <c r="H195" s="15">
        <f>IF(OR(H194="",H182=""),"",IF(H182&lt;=0,"",IFERROR(H194/H182,"")))</f>
        <v/>
      </c>
      <c r="I195" s="15">
        <f>IF(OR(I194="",I182=""),"",IF(I182&lt;=0,"",IFERROR(I194/I182,"")))</f>
        <v/>
      </c>
      <c r="J195" s="15">
        <f>IF(OR(J194="",J182=""),"",IF(J182&lt;=0,"",IFERROR(J194/J182,"")))</f>
        <v/>
      </c>
      <c r="K195" s="15">
        <f>IF(OR(K194="",K182=""),"",IF(K182&lt;=0,"",IFERROR(K194/K182,"")))</f>
        <v/>
      </c>
      <c r="L195" s="15">
        <f>IF(OR(L194="",L182=""),"",IF(L182&lt;=0,"",IFERROR(L194/L182,"")))</f>
        <v/>
      </c>
      <c r="M195" s="15">
        <f>IF(OR(M194="",M182=""),"",IF(M182&lt;=0,"",IFERROR(M194/M182,"")))</f>
        <v/>
      </c>
      <c r="N195" s="15">
        <f>IF(OR(N194="",N182=""),"",IF(N182&lt;=0,"",IFERROR(N194/N182,"")))</f>
        <v/>
      </c>
      <c r="V195" s="15">
        <f>IF(OR(V194="",V182=""),"",IF(V182&lt;=0,"",IFERROR(V194/V182,"")))</f>
        <v/>
      </c>
      <c r="W195" s="15">
        <f>IF(OR(W194="",W182=""),"",IF(W182&lt;=0,"",IFERROR(W194/W182,"")))</f>
        <v/>
      </c>
      <c r="X195" s="15">
        <f>IF(OR(X194="",X182=""),"",IF(X182&lt;=0,"",IFERROR(X194/X182,"")))</f>
        <v/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G196" s="15">
        <f>IF(OR(G194="",C194=""),"",IF(C194&lt;=0,"",IFERROR(G194/C194-1,"")))</f>
        <v/>
      </c>
      <c r="H196" s="15">
        <f>IF(OR(H194="",D194=""),"",IF(D194&lt;=0,"",IFERROR(H194/D194-1,"")))</f>
        <v/>
      </c>
      <c r="I196" s="15">
        <f>IF(OR(I194="",E194=""),"",IF(E194&lt;=0,"",IFERROR(I194/E194-1,"")))</f>
        <v/>
      </c>
      <c r="J196" s="15">
        <f>IF(OR(J194="",F194=""),"",IF(F194&lt;=0,"",IFERROR(J194/F194-1,"")))</f>
        <v/>
      </c>
      <c r="K196" s="15">
        <f>IF(OR(K194="",G194=""),"",IF(G194&lt;=0,"",IFERROR(K194/G194-1,"")))</f>
        <v/>
      </c>
      <c r="L196" s="15">
        <f>IF(OR(L194="",H194=""),"",IF(H194&lt;=0,"",IFERROR(L194/H194-1,"")))</f>
        <v/>
      </c>
      <c r="M196" s="15">
        <f>IF(OR(M194="",I194=""),"",IF(I194&lt;=0,"",IFERROR(M194/I194-1,"")))</f>
        <v/>
      </c>
      <c r="N196" s="15">
        <f>IF(OR(N194="",J194=""),"",IF(J194&lt;=0,"",IFERROR(N194/J194-1,"")))</f>
        <v/>
      </c>
      <c r="V196" s="15">
        <f>IF(OR(V194="",U194=""),"",IF(U194&lt;=0,"",IFERROR(V194/U194-1,"")))</f>
        <v/>
      </c>
      <c r="W196" s="15">
        <f>IF(OR(W194="",V194=""),"",IF(V194&lt;=0,"",IFERROR(W194/V194-1,"")))</f>
        <v/>
      </c>
      <c r="X196" s="15">
        <f>IF(OR(X194="",W194=""),"",IF(W194&lt;=0,"",IFERROR(X194/W194-1,"")))</f>
        <v/>
      </c>
    </row>
    <row r="197">
      <c r="A197" s="18" t="inlineStr">
        <is>
          <t>부문 · 부문 이익(손실)</t>
        </is>
      </c>
      <c r="C197" s="20" t="n">
        <v>87.93899999999999</v>
      </c>
      <c r="D197" s="20" t="n">
        <v>96.97</v>
      </c>
      <c r="E197" s="20" t="n">
        <v>22.585</v>
      </c>
      <c r="F197" s="20" t="n">
        <v>12.955</v>
      </c>
      <c r="G197" s="20" t="n">
        <v>13.817</v>
      </c>
      <c r="H197" s="20" t="n">
        <v>55.61</v>
      </c>
      <c r="I197" s="20" t="n">
        <v>3.466</v>
      </c>
      <c r="J197" s="20" t="n">
        <v>22.335</v>
      </c>
      <c r="K197" s="20" t="n">
        <v>43.611</v>
      </c>
      <c r="L197" s="20" t="n">
        <v>39.011</v>
      </c>
      <c r="M197" s="20" t="n">
        <v>17.292</v>
      </c>
      <c r="N197" s="20" t="n">
        <v>19.359</v>
      </c>
      <c r="V197" s="20" t="n">
        <v>96.97</v>
      </c>
      <c r="W197" s="20" t="n">
        <v>55.61</v>
      </c>
      <c r="X197" s="20" t="n">
        <v>39.011</v>
      </c>
    </row>
    <row r="198">
      <c r="A198" s="43" t="inlineStr">
        <is>
          <t>OPM</t>
        </is>
      </c>
      <c r="B198" s="3" t="inlineStr">
        <is>
          <t>영업이익 ÷ 매출</t>
        </is>
      </c>
      <c r="C198" s="15">
        <f>IF(OR(C197="",C184=""),"",IF(C184&lt;=0,"",IFERROR(C197/C184,"")))</f>
        <v/>
      </c>
      <c r="D198" s="15">
        <f>IF(OR(D197="",D184=""),"",IF(D184&lt;=0,"",IFERROR(D197/D184,"")))</f>
        <v/>
      </c>
      <c r="E198" s="15">
        <f>IF(OR(E197="",E184=""),"",IF(E184&lt;=0,"",IFERROR(E197/E184,"")))</f>
        <v/>
      </c>
      <c r="F198" s="15">
        <f>IF(OR(F197="",F184=""),"",IF(F184&lt;=0,"",IFERROR(F197/F184,"")))</f>
        <v/>
      </c>
      <c r="G198" s="15">
        <f>IF(OR(G197="",G184=""),"",IF(G184&lt;=0,"",IFERROR(G197/G184,"")))</f>
        <v/>
      </c>
      <c r="H198" s="15">
        <f>IF(OR(H197="",H184=""),"",IF(H184&lt;=0,"",IFERROR(H197/H184,"")))</f>
        <v/>
      </c>
      <c r="I198" s="15">
        <f>IF(OR(I197="",I184=""),"",IF(I184&lt;=0,"",IFERROR(I197/I184,"")))</f>
        <v/>
      </c>
      <c r="J198" s="15">
        <f>IF(OR(J197="",J184=""),"",IF(J184&lt;=0,"",IFERROR(J197/J184,"")))</f>
        <v/>
      </c>
      <c r="K198" s="15">
        <f>IF(OR(K197="",K184=""),"",IF(K184&lt;=0,"",IFERROR(K197/K184,"")))</f>
        <v/>
      </c>
      <c r="L198" s="15">
        <f>IF(OR(L197="",L184=""),"",IF(L184&lt;=0,"",IFERROR(L197/L184,"")))</f>
        <v/>
      </c>
      <c r="M198" s="15">
        <f>IF(OR(M197="",M184=""),"",IF(M184&lt;=0,"",IFERROR(M197/M184,"")))</f>
        <v/>
      </c>
      <c r="N198" s="15">
        <f>IF(OR(N197="",N184=""),"",IF(N184&lt;=0,"",IFERROR(N197/N184,"")))</f>
        <v/>
      </c>
      <c r="V198" s="15">
        <f>IF(OR(V197="",V184=""),"",IF(V184&lt;=0,"",IFERROR(V197/V184,"")))</f>
        <v/>
      </c>
      <c r="W198" s="15">
        <f>IF(OR(W197="",W184=""),"",IF(W184&lt;=0,"",IFERROR(W197/W184,"")))</f>
        <v/>
      </c>
      <c r="X198" s="15">
        <f>IF(OR(X197="",X184=""),"",IF(X184&lt;=0,"",IFERROR(X197/X184,"")))</f>
        <v/>
      </c>
    </row>
    <row r="199">
      <c r="A199" s="43" t="inlineStr">
        <is>
          <t>YoY</t>
        </is>
      </c>
      <c r="B199" s="3" t="inlineStr">
        <is>
          <t>전년 같은 분기·전년 대비</t>
        </is>
      </c>
      <c r="G199" s="15">
        <f>IF(OR(G197="",C197=""),"",IF(C197&lt;=0,"",IFERROR(G197/C197-1,"")))</f>
        <v/>
      </c>
      <c r="H199" s="15">
        <f>IF(OR(H197="",D197=""),"",IF(D197&lt;=0,"",IFERROR(H197/D197-1,"")))</f>
        <v/>
      </c>
      <c r="I199" s="15">
        <f>IF(OR(I197="",E197=""),"",IF(E197&lt;=0,"",IFERROR(I197/E197-1,"")))</f>
        <v/>
      </c>
      <c r="J199" s="15">
        <f>IF(OR(J197="",F197=""),"",IF(F197&lt;=0,"",IFERROR(J197/F197-1,"")))</f>
        <v/>
      </c>
      <c r="K199" s="15">
        <f>IF(OR(K197="",G197=""),"",IF(G197&lt;=0,"",IFERROR(K197/G197-1,"")))</f>
        <v/>
      </c>
      <c r="L199" s="15">
        <f>IF(OR(L197="",H197=""),"",IF(H197&lt;=0,"",IFERROR(L197/H197-1,"")))</f>
        <v/>
      </c>
      <c r="M199" s="15">
        <f>IF(OR(M197="",I197=""),"",IF(I197&lt;=0,"",IFERROR(M197/I197-1,"")))</f>
        <v/>
      </c>
      <c r="N199" s="15">
        <f>IF(OR(N197="",J197=""),"",IF(J197&lt;=0,"",IFERROR(N197/J197-1,"")))</f>
        <v/>
      </c>
      <c r="V199" s="15">
        <f>IF(OR(V197="",U197=""),"",IF(U197&lt;=0,"",IFERROR(V197/U197-1,"")))</f>
        <v/>
      </c>
      <c r="W199" s="15">
        <f>IF(OR(W197="",V197=""),"",IF(V197&lt;=0,"",IFERROR(W197/V197-1,"")))</f>
        <v/>
      </c>
      <c r="X199" s="15">
        <f>IF(OR(X197="",W197=""),"",IF(W197&lt;=0,"",IFERROR(X197/W197-1,"")))</f>
        <v/>
      </c>
    </row>
    <row r="200">
      <c r="A200" s="18" t="inlineStr">
        <is>
          <t>부문 · 부문 이익(손실)</t>
        </is>
      </c>
      <c r="C200" s="20" t="n">
        <v>1.288</v>
      </c>
      <c r="D200" s="20" t="n">
        <v>135.065</v>
      </c>
      <c r="E200" s="20" t="n">
        <v>-1.042</v>
      </c>
      <c r="F200" s="20" t="n">
        <v>6.299</v>
      </c>
      <c r="G200" s="20" t="n">
        <v>8.710000000000001</v>
      </c>
      <c r="H200" s="20" t="n">
        <v>24.343</v>
      </c>
      <c r="I200" s="20" t="n">
        <v>1.248</v>
      </c>
      <c r="J200" s="20" t="n">
        <v>1.752</v>
      </c>
      <c r="K200" s="20" t="n">
        <v>0.347</v>
      </c>
      <c r="L200" s="20" t="n">
        <v>3.838</v>
      </c>
      <c r="M200" s="20" t="n">
        <v>3.751</v>
      </c>
      <c r="N200" s="20" t="n">
        <v>4.82</v>
      </c>
      <c r="V200" s="20" t="n">
        <v>135.065</v>
      </c>
      <c r="W200" s="20" t="n">
        <v>24.343</v>
      </c>
      <c r="X200" s="20" t="n">
        <v>3.838</v>
      </c>
    </row>
    <row r="201">
      <c r="A201" s="43" t="inlineStr">
        <is>
          <t>OPM</t>
        </is>
      </c>
      <c r="B201" s="3" t="inlineStr">
        <is>
          <t>영업이익 ÷ 매출</t>
        </is>
      </c>
      <c r="C201" s="15">
        <f>IF(OR(C200="",C186=""),"",IF(C186&lt;=0,"",IFERROR(C200/C186,"")))</f>
        <v/>
      </c>
      <c r="D201" s="15">
        <f>IF(OR(D200="",D186=""),"",IF(D186&lt;=0,"",IFERROR(D200/D186,"")))</f>
        <v/>
      </c>
      <c r="E201" s="15">
        <f>IF(OR(E200="",E186=""),"",IF(E186&lt;=0,"",IFERROR(E200/E186,"")))</f>
        <v/>
      </c>
      <c r="F201" s="15">
        <f>IF(OR(F200="",F186=""),"",IF(F186&lt;=0,"",IFERROR(F200/F186,"")))</f>
        <v/>
      </c>
      <c r="G201" s="15">
        <f>IF(OR(G200="",G186=""),"",IF(G186&lt;=0,"",IFERROR(G200/G186,"")))</f>
        <v/>
      </c>
      <c r="H201" s="15">
        <f>IF(OR(H200="",H186=""),"",IF(H186&lt;=0,"",IFERROR(H200/H186,"")))</f>
        <v/>
      </c>
      <c r="I201" s="15">
        <f>IF(OR(I200="",I186=""),"",IF(I186&lt;=0,"",IFERROR(I200/I186,"")))</f>
        <v/>
      </c>
      <c r="J201" s="15">
        <f>IF(OR(J200="",J186=""),"",IF(J186&lt;=0,"",IFERROR(J200/J186,"")))</f>
        <v/>
      </c>
      <c r="K201" s="15">
        <f>IF(OR(K200="",K186=""),"",IF(K186&lt;=0,"",IFERROR(K200/K186,"")))</f>
        <v/>
      </c>
      <c r="L201" s="15">
        <f>IF(OR(L200="",L186=""),"",IF(L186&lt;=0,"",IFERROR(L200/L186,"")))</f>
        <v/>
      </c>
      <c r="M201" s="15">
        <f>IF(OR(M200="",M186=""),"",IF(M186&lt;=0,"",IFERROR(M200/M186,"")))</f>
        <v/>
      </c>
      <c r="N201" s="15">
        <f>IF(OR(N200="",N186=""),"",IF(N186&lt;=0,"",IFERROR(N200/N186,"")))</f>
        <v/>
      </c>
      <c r="V201" s="15">
        <f>IF(OR(V200="",V186=""),"",IF(V186&lt;=0,"",IFERROR(V200/V186,"")))</f>
        <v/>
      </c>
      <c r="W201" s="15">
        <f>IF(OR(W200="",W186=""),"",IF(W186&lt;=0,"",IFERROR(W200/W186,"")))</f>
        <v/>
      </c>
      <c r="X201" s="15">
        <f>IF(OR(X200="",X186=""),"",IF(X186&lt;=0,"",IFERROR(X200/X186,"")))</f>
        <v/>
      </c>
    </row>
    <row r="202">
      <c r="A202" s="43" t="inlineStr">
        <is>
          <t>YoY</t>
        </is>
      </c>
      <c r="B202" s="3" t="inlineStr">
        <is>
          <t>전년 같은 분기·전년 대비</t>
        </is>
      </c>
      <c r="G202" s="15">
        <f>IF(OR(G200="",C200=""),"",IF(C200&lt;=0,"",IFERROR(G200/C200-1,"")))</f>
        <v/>
      </c>
      <c r="H202" s="15">
        <f>IF(OR(H200="",D200=""),"",IF(D200&lt;=0,"",IFERROR(H200/D200-1,"")))</f>
        <v/>
      </c>
      <c r="I202" s="15">
        <f>IF(OR(I200="",E200=""),"",IF(E200&lt;=0,"",IFERROR(I200/E200-1,"")))</f>
        <v/>
      </c>
      <c r="J202" s="15">
        <f>IF(OR(J200="",F200=""),"",IF(F200&lt;=0,"",IFERROR(J200/F200-1,"")))</f>
        <v/>
      </c>
      <c r="K202" s="15">
        <f>IF(OR(K200="",G200=""),"",IF(G200&lt;=0,"",IFERROR(K200/G200-1,"")))</f>
        <v/>
      </c>
      <c r="L202" s="15">
        <f>IF(OR(L200="",H200=""),"",IF(H200&lt;=0,"",IFERROR(L200/H200-1,"")))</f>
        <v/>
      </c>
      <c r="M202" s="15">
        <f>IF(OR(M200="",I200=""),"",IF(I200&lt;=0,"",IFERROR(M200/I200-1,"")))</f>
        <v/>
      </c>
      <c r="N202" s="15">
        <f>IF(OR(N200="",J200=""),"",IF(J200&lt;=0,"",IFERROR(N200/J200-1,"")))</f>
        <v/>
      </c>
      <c r="V202" s="15">
        <f>IF(OR(V200="",U200=""),"",IF(U200&lt;=0,"",IFERROR(V200/U200-1,"")))</f>
        <v/>
      </c>
      <c r="W202" s="15">
        <f>IF(OR(W200="",V200=""),"",IF(V200&lt;=0,"",IFERROR(W200/V200-1,"")))</f>
        <v/>
      </c>
      <c r="X202" s="15">
        <f>IF(OR(X200="",W200=""),"",IF(W200&lt;=0,"",IFERROR(X200/W200-1,"")))</f>
        <v/>
      </c>
    </row>
    <row r="203">
      <c r="A203" s="18" t="inlineStr">
        <is>
          <t>부문 · 외부 고객 매출</t>
        </is>
      </c>
      <c r="C203" s="20" t="n">
        <v>146.236</v>
      </c>
      <c r="D203" s="20" t="n">
        <v>152.449</v>
      </c>
      <c r="E203" s="20" t="n">
        <v>153.195</v>
      </c>
      <c r="F203" s="20" t="n">
        <v>128.419</v>
      </c>
      <c r="G203" s="20" t="n">
        <v>167.977</v>
      </c>
      <c r="H203" s="20" t="n">
        <v>159.622</v>
      </c>
      <c r="I203" s="20" t="n">
        <v>129.41</v>
      </c>
      <c r="J203" s="20" t="n">
        <v>138.753</v>
      </c>
      <c r="K203" s="20" t="n">
        <v>140.76</v>
      </c>
      <c r="L203" s="20" t="n">
        <v>164.444</v>
      </c>
      <c r="M203" s="20" t="n">
        <v>138.409</v>
      </c>
      <c r="N203" s="20" t="n">
        <v>172.714</v>
      </c>
      <c r="V203" s="20" t="n">
        <v>152.449</v>
      </c>
      <c r="W203" s="20" t="n">
        <v>159.622</v>
      </c>
      <c r="X203" s="20" t="n">
        <v>164.444</v>
      </c>
    </row>
    <row r="204">
      <c r="A204" s="43" t="inlineStr">
        <is>
          <t>YoY</t>
        </is>
      </c>
      <c r="B204" s="3" t="inlineStr">
        <is>
          <t>전년 같은 분기·전년 대비</t>
        </is>
      </c>
      <c r="G204" s="15">
        <f>IF(OR(G203="",C203=""),"",IF(C203&lt;=0,"",IFERROR(G203/C203-1,"")))</f>
        <v/>
      </c>
      <c r="H204" s="15">
        <f>IF(OR(H203="",D203=""),"",IF(D203&lt;=0,"",IFERROR(H203/D203-1,"")))</f>
        <v/>
      </c>
      <c r="I204" s="15">
        <f>IF(OR(I203="",E203=""),"",IF(E203&lt;=0,"",IFERROR(I203/E203-1,"")))</f>
        <v/>
      </c>
      <c r="J204" s="15">
        <f>IF(OR(J203="",F203=""),"",IF(F203&lt;=0,"",IFERROR(J203/F203-1,"")))</f>
        <v/>
      </c>
      <c r="K204" s="15">
        <f>IF(OR(K203="",G203=""),"",IF(G203&lt;=0,"",IFERROR(K203/G203-1,"")))</f>
        <v/>
      </c>
      <c r="L204" s="15">
        <f>IF(OR(L203="",H203=""),"",IF(H203&lt;=0,"",IFERROR(L203/H203-1,"")))</f>
        <v/>
      </c>
      <c r="M204" s="15">
        <f>IF(OR(M203="",I203=""),"",IF(I203&lt;=0,"",IFERROR(M203/I203-1,"")))</f>
        <v/>
      </c>
      <c r="N204" s="15">
        <f>IF(OR(N203="",J203=""),"",IF(J203&lt;=0,"",IFERROR(N203/J203-1,"")))</f>
        <v/>
      </c>
      <c r="V204" s="15">
        <f>IF(OR(V203="",U203=""),"",IF(U203&lt;=0,"",IFERROR(V203/U203-1,"")))</f>
        <v/>
      </c>
      <c r="W204" s="15">
        <f>IF(OR(W203="",V203=""),"",IF(V203&lt;=0,"",IFERROR(W203/V203-1,"")))</f>
        <v/>
      </c>
      <c r="X204" s="15">
        <f>IF(OR(X203="",W203=""),"",IF(W203&lt;=0,"",IFERROR(X203/W203-1,"")))</f>
        <v/>
      </c>
    </row>
    <row r="205">
      <c r="A205" s="18" t="inlineStr">
        <is>
          <t>보고부문 합계 · 외부 고객 매출</t>
        </is>
      </c>
      <c r="C205" s="20" t="n">
        <v>2905.616</v>
      </c>
      <c r="D205" s="20" t="n">
        <v>3572.668</v>
      </c>
      <c r="E205" s="20" t="n">
        <v>2760.852</v>
      </c>
      <c r="F205" s="20" t="n">
        <v>2523.273</v>
      </c>
      <c r="G205" s="20" t="n">
        <v>2581.852</v>
      </c>
      <c r="H205" s="20" t="n">
        <v>3042.732</v>
      </c>
      <c r="I205" s="20" t="n">
        <v>2950.718</v>
      </c>
      <c r="J205" s="20" t="n">
        <v>2690.026</v>
      </c>
      <c r="K205" s="20" t="n">
        <v>2881.934</v>
      </c>
      <c r="L205" s="20" t="n">
        <v>2828.848</v>
      </c>
      <c r="M205" s="20" t="n">
        <v>2762.699</v>
      </c>
      <c r="N205" s="20" t="n">
        <v>2994.756</v>
      </c>
      <c r="V205" s="20" t="n">
        <v>3572.668</v>
      </c>
      <c r="W205" s="20" t="n">
        <v>3042.732</v>
      </c>
      <c r="X205" s="20" t="n">
        <v>2828.848</v>
      </c>
    </row>
    <row r="206">
      <c r="A206" s="43" t="inlineStr">
        <is>
          <t>YoY</t>
        </is>
      </c>
      <c r="B206" s="3" t="inlineStr">
        <is>
          <t>전년 같은 분기·전년 대비</t>
        </is>
      </c>
      <c r="G206" s="15">
        <f>IF(OR(G205="",C205=""),"",IF(C205&lt;=0,"",IFERROR(G205/C205-1,"")))</f>
        <v/>
      </c>
      <c r="H206" s="15">
        <f>IF(OR(H205="",D205=""),"",IF(D205&lt;=0,"",IFERROR(H205/D205-1,"")))</f>
        <v/>
      </c>
      <c r="I206" s="15">
        <f>IF(OR(I205="",E205=""),"",IF(E205&lt;=0,"",IFERROR(I205/E205-1,"")))</f>
        <v/>
      </c>
      <c r="J206" s="15">
        <f>IF(OR(J205="",F205=""),"",IF(F205&lt;=0,"",IFERROR(J205/F205-1,"")))</f>
        <v/>
      </c>
      <c r="K206" s="15">
        <f>IF(OR(K205="",G205=""),"",IF(G205&lt;=0,"",IFERROR(K205/G205-1,"")))</f>
        <v/>
      </c>
      <c r="L206" s="15">
        <f>IF(OR(L205="",H205=""),"",IF(H205&lt;=0,"",IFERROR(L205/H205-1,"")))</f>
        <v/>
      </c>
      <c r="M206" s="15">
        <f>IF(OR(M205="",I205=""),"",IF(I205&lt;=0,"",IFERROR(M205/I205-1,"")))</f>
        <v/>
      </c>
      <c r="N206" s="15">
        <f>IF(OR(N205="",J205=""),"",IF(J205&lt;=0,"",IFERROR(N205/J205-1,"")))</f>
        <v/>
      </c>
      <c r="V206" s="15">
        <f>IF(OR(V205="",U205=""),"",IF(U205&lt;=0,"",IFERROR(V205/U205-1,"")))</f>
        <v/>
      </c>
      <c r="W206" s="15">
        <f>IF(OR(W205="",V205=""),"",IF(V205&lt;=0,"",IFERROR(W205/V205-1,"")))</f>
        <v/>
      </c>
      <c r="X206" s="15">
        <f>IF(OR(X205="",W205=""),"",IF(W205&lt;=0,"",IFERROR(X205/W205-1,"")))</f>
        <v/>
      </c>
    </row>
    <row r="207">
      <c r="A207" s="18" t="inlineStr">
        <is>
          <t>기타 · 외부 고객 매출</t>
        </is>
      </c>
      <c r="C207" s="20" t="n">
        <v>249.818</v>
      </c>
      <c r="D207" s="20" t="n">
        <v>259.302</v>
      </c>
      <c r="E207" s="20" t="n">
        <v>411.525</v>
      </c>
      <c r="F207" s="20" t="n">
        <v>332.526</v>
      </c>
      <c r="G207" s="20" t="n">
        <v>346.474</v>
      </c>
      <c r="H207" s="20" t="n">
        <v>383.874</v>
      </c>
      <c r="I207" s="20" t="n">
        <v>388.904</v>
      </c>
      <c r="J207" s="20" t="n">
        <v>422.42</v>
      </c>
      <c r="K207" s="20" t="n">
        <v>466.535</v>
      </c>
      <c r="L207" s="20" t="n">
        <v>485.606</v>
      </c>
      <c r="M207" s="20" t="n">
        <v>455.412</v>
      </c>
      <c r="N207" s="20" t="n">
        <v>425.796</v>
      </c>
      <c r="V207" s="20" t="n">
        <v>259.302</v>
      </c>
      <c r="W207" s="20" t="n">
        <v>383.874</v>
      </c>
      <c r="X207" s="20" t="n">
        <v>485.606</v>
      </c>
    </row>
    <row r="208">
      <c r="A208" s="43" t="inlineStr">
        <is>
          <t>YoY</t>
        </is>
      </c>
      <c r="B208" s="3" t="inlineStr">
        <is>
          <t>전년 같은 분기·전년 대비</t>
        </is>
      </c>
      <c r="G208" s="15">
        <f>IF(OR(G207="",C207=""),"",IF(C207&lt;=0,"",IFERROR(G207/C207-1,"")))</f>
        <v/>
      </c>
      <c r="H208" s="15">
        <f>IF(OR(H207="",D207=""),"",IF(D207&lt;=0,"",IFERROR(H207/D207-1,"")))</f>
        <v/>
      </c>
      <c r="I208" s="15">
        <f>IF(OR(I207="",E207=""),"",IF(E207&lt;=0,"",IFERROR(I207/E207-1,"")))</f>
        <v/>
      </c>
      <c r="J208" s="15">
        <f>IF(OR(J207="",F207=""),"",IF(F207&lt;=0,"",IFERROR(J207/F207-1,"")))</f>
        <v/>
      </c>
      <c r="K208" s="15">
        <f>IF(OR(K207="",G207=""),"",IF(G207&lt;=0,"",IFERROR(K207/G207-1,"")))</f>
        <v/>
      </c>
      <c r="L208" s="15">
        <f>IF(OR(L207="",H207=""),"",IF(H207&lt;=0,"",IFERROR(L207/H207-1,"")))</f>
        <v/>
      </c>
      <c r="M208" s="15">
        <f>IF(OR(M207="",I207=""),"",IF(I207&lt;=0,"",IFERROR(M207/I207-1,"")))</f>
        <v/>
      </c>
      <c r="N208" s="15">
        <f>IF(OR(N207="",J207=""),"",IF(J207&lt;=0,"",IFERROR(N207/J207-1,"")))</f>
        <v/>
      </c>
      <c r="V208" s="15">
        <f>IF(OR(V207="",U207=""),"",IF(U207&lt;=0,"",IFERROR(V207/U207-1,"")))</f>
        <v/>
      </c>
      <c r="W208" s="15">
        <f>IF(OR(W207="",V207=""),"",IF(V207&lt;=0,"",IFERROR(W207/V207-1,"")))</f>
        <v/>
      </c>
      <c r="X208" s="15">
        <f>IF(OR(X207="",W207=""),"",IF(W207&lt;=0,"",IFERROR(X207/W207-1,"")))</f>
        <v/>
      </c>
    </row>
    <row r="209">
      <c r="A209" s="18" t="inlineStr">
        <is>
          <t>합계 · 외부 고객 매출</t>
        </is>
      </c>
      <c r="C209" s="20" t="n">
        <v>3155.434</v>
      </c>
      <c r="D209" s="20" t="n">
        <v>3831.97</v>
      </c>
      <c r="E209" s="20" t="n">
        <v>3172.377</v>
      </c>
      <c r="F209" s="20" t="n">
        <v>2855.8</v>
      </c>
      <c r="G209" s="20" t="n">
        <v>2928.325</v>
      </c>
      <c r="H209" s="20" t="n">
        <v>3426.607</v>
      </c>
      <c r="I209" s="20" t="n">
        <v>3339.623</v>
      </c>
      <c r="J209" s="20" t="n">
        <v>3112.445</v>
      </c>
      <c r="K209" s="20" t="n">
        <v>3348.469</v>
      </c>
      <c r="L209" s="20" t="n">
        <v>3314.455</v>
      </c>
      <c r="M209" s="20" t="n">
        <v>3218.112</v>
      </c>
      <c r="N209" s="20" t="n">
        <v>3420.551</v>
      </c>
      <c r="V209" s="20" t="n">
        <v>3831.97</v>
      </c>
      <c r="W209" s="20" t="n">
        <v>3426.607</v>
      </c>
      <c r="X209" s="20" t="n">
        <v>3314.455</v>
      </c>
    </row>
    <row r="210">
      <c r="A210" s="43" t="inlineStr">
        <is>
          <t>YoY</t>
        </is>
      </c>
      <c r="B210" s="3" t="inlineStr">
        <is>
          <t>전년 같은 분기·전년 대비</t>
        </is>
      </c>
      <c r="G210" s="15">
        <f>IF(OR(G209="",C209=""),"",IF(C209&lt;=0,"",IFERROR(G209/C209-1,"")))</f>
        <v/>
      </c>
      <c r="H210" s="15">
        <f>IF(OR(H209="",D209=""),"",IF(D209&lt;=0,"",IFERROR(H209/D209-1,"")))</f>
        <v/>
      </c>
      <c r="I210" s="15">
        <f>IF(OR(I209="",E209=""),"",IF(E209&lt;=0,"",IFERROR(I209/E209-1,"")))</f>
        <v/>
      </c>
      <c r="J210" s="15">
        <f>IF(OR(J209="",F209=""),"",IF(F209&lt;=0,"",IFERROR(J209/F209-1,"")))</f>
        <v/>
      </c>
      <c r="K210" s="15">
        <f>IF(OR(K209="",G209=""),"",IF(G209&lt;=0,"",IFERROR(K209/G209-1,"")))</f>
        <v/>
      </c>
      <c r="L210" s="15">
        <f>IF(OR(L209="",H209=""),"",IF(H209&lt;=0,"",IFERROR(L209/H209-1,"")))</f>
        <v/>
      </c>
      <c r="M210" s="15">
        <f>IF(OR(M209="",I209=""),"",IF(I209&lt;=0,"",IFERROR(M209/I209-1,"")))</f>
        <v/>
      </c>
      <c r="N210" s="15">
        <f>IF(OR(N209="",J209=""),"",IF(J209&lt;=0,"",IFERROR(N209/J209-1,"")))</f>
        <v/>
      </c>
      <c r="V210" s="15">
        <f>IF(OR(V209="",U209=""),"",IF(U209&lt;=0,"",IFERROR(V209/U209-1,"")))</f>
        <v/>
      </c>
      <c r="W210" s="15">
        <f>IF(OR(W209="",V209=""),"",IF(V209&lt;=0,"",IFERROR(W209/V209-1,"")))</f>
        <v/>
      </c>
      <c r="X210" s="15">
        <f>IF(OR(X209="",W209=""),"",IF(W209&lt;=0,"",IFERROR(X209/W209-1,"")))</f>
        <v/>
      </c>
    </row>
    <row r="211">
      <c r="A211" s="18" t="inlineStr">
        <is>
          <t>부문 · 부문 간 내부매출·대체</t>
        </is>
      </c>
      <c r="C211" s="20" t="n">
        <v>0.008</v>
      </c>
      <c r="D211" s="20" t="n">
        <v>0.306</v>
      </c>
      <c r="E211" s="20" t="n">
        <v>0</v>
      </c>
      <c r="F211" s="20" t="n">
        <v>0</v>
      </c>
      <c r="G211" s="20" t="n">
        <v>0</v>
      </c>
      <c r="H211" s="20" t="n">
        <v>1.672</v>
      </c>
      <c r="I211" s="20" t="n">
        <v>0</v>
      </c>
      <c r="J211" s="20" t="n">
        <v>0</v>
      </c>
      <c r="K211" s="20" t="n">
        <v>0</v>
      </c>
      <c r="L211" s="20" t="n">
        <v>0</v>
      </c>
      <c r="M211" s="20" t="n">
        <v>0</v>
      </c>
      <c r="N211" s="20" t="n">
        <v>0</v>
      </c>
      <c r="V211" s="20" t="n">
        <v>0.306</v>
      </c>
      <c r="W211" s="20" t="n">
        <v>1.672</v>
      </c>
      <c r="X211" s="20" t="n">
        <v>0</v>
      </c>
    </row>
    <row r="212">
      <c r="A212" s="18" t="inlineStr">
        <is>
          <t>보고부문 합계 · 부문 간 내부매출·대체</t>
        </is>
      </c>
      <c r="C212" s="20" t="n">
        <v>1101.545</v>
      </c>
      <c r="D212" s="20" t="n">
        <v>997.314</v>
      </c>
      <c r="E212" s="20" t="n">
        <v>982.354</v>
      </c>
      <c r="F212" s="20" t="n">
        <v>942.827</v>
      </c>
      <c r="G212" s="20" t="n">
        <v>1000.37</v>
      </c>
      <c r="H212" s="20" t="n">
        <v>1007.085</v>
      </c>
      <c r="I212" s="20" t="n">
        <v>1081.641</v>
      </c>
      <c r="J212" s="20" t="n">
        <v>1099.757</v>
      </c>
      <c r="K212" s="20" t="n">
        <v>1194.184</v>
      </c>
      <c r="L212" s="20" t="n">
        <v>1247.108</v>
      </c>
      <c r="M212" s="20" t="n">
        <v>1125.614</v>
      </c>
      <c r="N212" s="20" t="n">
        <v>1315.314</v>
      </c>
      <c r="V212" s="20" t="n">
        <v>997.314</v>
      </c>
      <c r="W212" s="20" t="n">
        <v>1007.085</v>
      </c>
      <c r="X212" s="20" t="n">
        <v>1247.108</v>
      </c>
    </row>
    <row r="213">
      <c r="A213" s="18" t="inlineStr">
        <is>
          <t>기타 · 부문 간 내부매출·대체</t>
        </is>
      </c>
      <c r="C213" s="20" t="n">
        <v>0.004</v>
      </c>
      <c r="D213" s="20" t="n">
        <v>1.844</v>
      </c>
      <c r="E213" s="20" t="n">
        <v>0.07099999999999999</v>
      </c>
      <c r="F213" s="20" t="n">
        <v>3.925</v>
      </c>
      <c r="G213" s="20" t="n">
        <v>-0.005</v>
      </c>
      <c r="H213" s="20" t="n">
        <v>-0.011</v>
      </c>
      <c r="I213" s="20" t="n">
        <v>3.588</v>
      </c>
      <c r="J213" s="20" t="n">
        <v>2.019</v>
      </c>
      <c r="K213" s="20" t="n">
        <v>5.875</v>
      </c>
      <c r="L213" s="20" t="n">
        <v>9.382</v>
      </c>
      <c r="M213" s="20" t="n">
        <v>6.311</v>
      </c>
      <c r="N213" s="20" t="n">
        <v>3.015</v>
      </c>
      <c r="V213" s="20" t="n">
        <v>1.844</v>
      </c>
      <c r="W213" s="20" t="n">
        <v>-0.011</v>
      </c>
      <c r="X213" s="20" t="n">
        <v>9.382</v>
      </c>
    </row>
    <row r="214">
      <c r="A214" s="18" t="inlineStr">
        <is>
          <t>합계 · 부문 간 내부매출·대체</t>
        </is>
      </c>
      <c r="C214" s="20" t="n">
        <v>1101.55</v>
      </c>
      <c r="D214" s="20" t="n">
        <v>999.158</v>
      </c>
      <c r="E214" s="20" t="n">
        <v>982.425</v>
      </c>
      <c r="F214" s="20" t="n">
        <v>946.753</v>
      </c>
      <c r="G214" s="20" t="n">
        <v>1000.365</v>
      </c>
      <c r="H214" s="20" t="n">
        <v>1007.074</v>
      </c>
      <c r="I214" s="20" t="n">
        <v>1085.23</v>
      </c>
      <c r="J214" s="20" t="n">
        <v>1101.775</v>
      </c>
      <c r="K214" s="20" t="n">
        <v>1200.06</v>
      </c>
      <c r="L214" s="20" t="n">
        <v>1256.489</v>
      </c>
      <c r="M214" s="20" t="n">
        <v>1131.925</v>
      </c>
      <c r="N214" s="20" t="n">
        <v>1318.329</v>
      </c>
      <c r="V214" s="20" t="n">
        <v>999.158</v>
      </c>
      <c r="W214" s="20" t="n">
        <v>1007.074</v>
      </c>
      <c r="X214" s="20" t="n">
        <v>1256.489</v>
      </c>
    </row>
    <row r="215">
      <c r="A215" s="18" t="inlineStr">
        <is>
          <t>부문 · 계</t>
        </is>
      </c>
      <c r="C215" s="20" t="n">
        <v>146.244</v>
      </c>
      <c r="D215" s="20" t="n">
        <v>152.754</v>
      </c>
      <c r="E215" s="20" t="n">
        <v>153.195</v>
      </c>
      <c r="F215" s="20" t="n">
        <v>128.419</v>
      </c>
      <c r="G215" s="20" t="n">
        <v>167.977</v>
      </c>
      <c r="H215" s="20" t="n">
        <v>161.294</v>
      </c>
      <c r="I215" s="20" t="n">
        <v>129.41</v>
      </c>
      <c r="J215" s="20" t="n">
        <v>138.753</v>
      </c>
      <c r="K215" s="20" t="n">
        <v>140.76</v>
      </c>
      <c r="L215" s="20" t="n">
        <v>164.444</v>
      </c>
      <c r="M215" s="20" t="n">
        <v>138.409</v>
      </c>
      <c r="N215" s="20" t="n">
        <v>172.714</v>
      </c>
      <c r="V215" s="20" t="n">
        <v>152.754</v>
      </c>
      <c r="W215" s="20" t="n">
        <v>161.294</v>
      </c>
      <c r="X215" s="20" t="n">
        <v>164.444</v>
      </c>
    </row>
    <row r="216">
      <c r="A216" s="43" t="inlineStr">
        <is>
          <t>YoY</t>
        </is>
      </c>
      <c r="B216" s="3" t="inlineStr">
        <is>
          <t>전년 같은 분기·전년 대비</t>
        </is>
      </c>
      <c r="G216" s="15">
        <f>IF(OR(G215="",C215=""),"",IF(C215&lt;=0,"",IFERROR(G215/C215-1,"")))</f>
        <v/>
      </c>
      <c r="H216" s="15">
        <f>IF(OR(H215="",D215=""),"",IF(D215&lt;=0,"",IFERROR(H215/D215-1,"")))</f>
        <v/>
      </c>
      <c r="I216" s="15">
        <f>IF(OR(I215="",E215=""),"",IF(E215&lt;=0,"",IFERROR(I215/E215-1,"")))</f>
        <v/>
      </c>
      <c r="J216" s="15">
        <f>IF(OR(J215="",F215=""),"",IF(F215&lt;=0,"",IFERROR(J215/F215-1,"")))</f>
        <v/>
      </c>
      <c r="K216" s="15">
        <f>IF(OR(K215="",G215=""),"",IF(G215&lt;=0,"",IFERROR(K215/G215-1,"")))</f>
        <v/>
      </c>
      <c r="L216" s="15">
        <f>IF(OR(L215="",H215=""),"",IF(H215&lt;=0,"",IFERROR(L215/H215-1,"")))</f>
        <v/>
      </c>
      <c r="M216" s="15">
        <f>IF(OR(M215="",I215=""),"",IF(I215&lt;=0,"",IFERROR(M215/I215-1,"")))</f>
        <v/>
      </c>
      <c r="N216" s="15">
        <f>IF(OR(N215="",J215=""),"",IF(J215&lt;=0,"",IFERROR(N215/J215-1,"")))</f>
        <v/>
      </c>
      <c r="V216" s="15">
        <f>IF(OR(V215="",U215=""),"",IF(U215&lt;=0,"",IFERROR(V215/U215-1,"")))</f>
        <v/>
      </c>
      <c r="W216" s="15">
        <f>IF(OR(W215="",V215=""),"",IF(V215&lt;=0,"",IFERROR(W215/V215-1,"")))</f>
        <v/>
      </c>
      <c r="X216" s="15">
        <f>IF(OR(X215="",W215=""),"",IF(W215&lt;=0,"",IFERROR(X215/W215-1,"")))</f>
        <v/>
      </c>
    </row>
    <row r="217">
      <c r="A217" s="18" t="inlineStr">
        <is>
          <t>보고부문 합계 · 계</t>
        </is>
      </c>
      <c r="C217" s="20" t="n">
        <v>4007.16</v>
      </c>
      <c r="D217" s="20" t="n">
        <v>4569.983</v>
      </c>
      <c r="E217" s="20" t="n">
        <v>3743.206</v>
      </c>
      <c r="F217" s="20" t="n">
        <v>3466.101</v>
      </c>
      <c r="G217" s="20" t="n">
        <v>3582.222</v>
      </c>
      <c r="H217" s="20" t="n">
        <v>4049.817</v>
      </c>
      <c r="I217" s="20" t="n">
        <v>4032.359</v>
      </c>
      <c r="J217" s="20" t="n">
        <v>3789.783</v>
      </c>
      <c r="K217" s="20" t="n">
        <v>4076.119</v>
      </c>
      <c r="L217" s="20" t="n">
        <v>4075.956</v>
      </c>
      <c r="M217" s="20" t="n">
        <v>3888.314</v>
      </c>
      <c r="N217" s="20" t="n">
        <v>4310.07</v>
      </c>
      <c r="V217" s="20" t="n">
        <v>4569.983</v>
      </c>
      <c r="W217" s="20" t="n">
        <v>4049.817</v>
      </c>
      <c r="X217" s="20" t="n">
        <v>4075.956</v>
      </c>
    </row>
    <row r="218">
      <c r="A218" s="43" t="inlineStr">
        <is>
          <t>YoY</t>
        </is>
      </c>
      <c r="B218" s="3" t="inlineStr">
        <is>
          <t>전년 같은 분기·전년 대비</t>
        </is>
      </c>
      <c r="G218" s="15">
        <f>IF(OR(G217="",C217=""),"",IF(C217&lt;=0,"",IFERROR(G217/C217-1,"")))</f>
        <v/>
      </c>
      <c r="H218" s="15">
        <f>IF(OR(H217="",D217=""),"",IF(D217&lt;=0,"",IFERROR(H217/D217-1,"")))</f>
        <v/>
      </c>
      <c r="I218" s="15">
        <f>IF(OR(I217="",E217=""),"",IF(E217&lt;=0,"",IFERROR(I217/E217-1,"")))</f>
        <v/>
      </c>
      <c r="J218" s="15">
        <f>IF(OR(J217="",F217=""),"",IF(F217&lt;=0,"",IFERROR(J217/F217-1,"")))</f>
        <v/>
      </c>
      <c r="K218" s="15">
        <f>IF(OR(K217="",G217=""),"",IF(G217&lt;=0,"",IFERROR(K217/G217-1,"")))</f>
        <v/>
      </c>
      <c r="L218" s="15">
        <f>IF(OR(L217="",H217=""),"",IF(H217&lt;=0,"",IFERROR(L217/H217-1,"")))</f>
        <v/>
      </c>
      <c r="M218" s="15">
        <f>IF(OR(M217="",I217=""),"",IF(I217&lt;=0,"",IFERROR(M217/I217-1,"")))</f>
        <v/>
      </c>
      <c r="N218" s="15">
        <f>IF(OR(N217="",J217=""),"",IF(J217&lt;=0,"",IFERROR(N217/J217-1,"")))</f>
        <v/>
      </c>
      <c r="V218" s="15">
        <f>IF(OR(V217="",U217=""),"",IF(U217&lt;=0,"",IFERROR(V217/U217-1,"")))</f>
        <v/>
      </c>
      <c r="W218" s="15">
        <f>IF(OR(W217="",V217=""),"",IF(V217&lt;=0,"",IFERROR(W217/V217-1,"")))</f>
        <v/>
      </c>
      <c r="X218" s="15">
        <f>IF(OR(X217="",W217=""),"",IF(W217&lt;=0,"",IFERROR(X217/W217-1,"")))</f>
        <v/>
      </c>
    </row>
    <row r="219">
      <c r="A219" s="18" t="inlineStr">
        <is>
          <t>기타 · 계</t>
        </is>
      </c>
      <c r="C219" s="20" t="n">
        <v>249.823</v>
      </c>
      <c r="D219" s="20" t="n">
        <v>261.145</v>
      </c>
      <c r="E219" s="20" t="n">
        <v>411.596</v>
      </c>
      <c r="F219" s="20" t="n">
        <v>336.451</v>
      </c>
      <c r="G219" s="20" t="n">
        <v>346.469</v>
      </c>
      <c r="H219" s="20" t="n">
        <v>383.864</v>
      </c>
      <c r="I219" s="20" t="n">
        <v>392.493</v>
      </c>
      <c r="J219" s="20" t="n">
        <v>424.438</v>
      </c>
      <c r="K219" s="20" t="n">
        <v>472.41</v>
      </c>
      <c r="L219" s="20" t="n">
        <v>494.989</v>
      </c>
      <c r="M219" s="20" t="n">
        <v>461.723</v>
      </c>
      <c r="N219" s="20" t="n">
        <v>428.811</v>
      </c>
      <c r="V219" s="20" t="n">
        <v>261.145</v>
      </c>
      <c r="W219" s="20" t="n">
        <v>383.864</v>
      </c>
      <c r="X219" s="20" t="n">
        <v>494.989</v>
      </c>
    </row>
    <row r="220">
      <c r="A220" s="43" t="inlineStr">
        <is>
          <t>YoY</t>
        </is>
      </c>
      <c r="B220" s="3" t="inlineStr">
        <is>
          <t>전년 같은 분기·전년 대비</t>
        </is>
      </c>
      <c r="G220" s="15">
        <f>IF(OR(G219="",C219=""),"",IF(C219&lt;=0,"",IFERROR(G219/C219-1,"")))</f>
        <v/>
      </c>
      <c r="H220" s="15">
        <f>IF(OR(H219="",D219=""),"",IF(D219&lt;=0,"",IFERROR(H219/D219-1,"")))</f>
        <v/>
      </c>
      <c r="I220" s="15">
        <f>IF(OR(I219="",E219=""),"",IF(E219&lt;=0,"",IFERROR(I219/E219-1,"")))</f>
        <v/>
      </c>
      <c r="J220" s="15">
        <f>IF(OR(J219="",F219=""),"",IF(F219&lt;=0,"",IFERROR(J219/F219-1,"")))</f>
        <v/>
      </c>
      <c r="K220" s="15">
        <f>IF(OR(K219="",G219=""),"",IF(G219&lt;=0,"",IFERROR(K219/G219-1,"")))</f>
        <v/>
      </c>
      <c r="L220" s="15">
        <f>IF(OR(L219="",H219=""),"",IF(H219&lt;=0,"",IFERROR(L219/H219-1,"")))</f>
        <v/>
      </c>
      <c r="M220" s="15">
        <f>IF(OR(M219="",I219=""),"",IF(I219&lt;=0,"",IFERROR(M219/I219-1,"")))</f>
        <v/>
      </c>
      <c r="N220" s="15">
        <f>IF(OR(N219="",J219=""),"",IF(J219&lt;=0,"",IFERROR(N219/J219-1,"")))</f>
        <v/>
      </c>
      <c r="V220" s="15">
        <f>IF(OR(V219="",U219=""),"",IF(U219&lt;=0,"",IFERROR(V219/U219-1,"")))</f>
        <v/>
      </c>
      <c r="W220" s="15">
        <f>IF(OR(W219="",V219=""),"",IF(V219&lt;=0,"",IFERROR(W219/V219-1,"")))</f>
        <v/>
      </c>
      <c r="X220" s="15">
        <f>IF(OR(X219="",W219=""),"",IF(W219&lt;=0,"",IFERROR(X219/W219-1,"")))</f>
        <v/>
      </c>
    </row>
    <row r="221">
      <c r="A221" s="18" t="inlineStr">
        <is>
          <t>합계 · 계</t>
        </is>
      </c>
      <c r="C221" s="20" t="n">
        <v>4256.984</v>
      </c>
      <c r="D221" s="20" t="n">
        <v>4831.128</v>
      </c>
      <c r="E221" s="20" t="n">
        <v>4154.803</v>
      </c>
      <c r="F221" s="20" t="n">
        <v>3802.552</v>
      </c>
      <c r="G221" s="20" t="n">
        <v>3928.691</v>
      </c>
      <c r="H221" s="20" t="n">
        <v>4433.681</v>
      </c>
      <c r="I221" s="20" t="n">
        <v>4424.853</v>
      </c>
      <c r="J221" s="20" t="n">
        <v>4214.221</v>
      </c>
      <c r="K221" s="20" t="n">
        <v>4548.528</v>
      </c>
      <c r="L221" s="20" t="n">
        <v>4570.945</v>
      </c>
      <c r="M221" s="20" t="n">
        <v>4350.037</v>
      </c>
      <c r="N221" s="20" t="n">
        <v>4738.881</v>
      </c>
      <c r="V221" s="20" t="n">
        <v>4831.128</v>
      </c>
      <c r="W221" s="20" t="n">
        <v>4433.681</v>
      </c>
      <c r="X221" s="20" t="n">
        <v>4570.945</v>
      </c>
    </row>
    <row r="222">
      <c r="A222" s="43" t="inlineStr">
        <is>
          <t>YoY</t>
        </is>
      </c>
      <c r="B222" s="3" t="inlineStr">
        <is>
          <t>전년 같은 분기·전년 대비</t>
        </is>
      </c>
      <c r="G222" s="15">
        <f>IF(OR(G221="",C221=""),"",IF(C221&lt;=0,"",IFERROR(G221/C221-1,"")))</f>
        <v/>
      </c>
      <c r="H222" s="15">
        <f>IF(OR(H221="",D221=""),"",IF(D221&lt;=0,"",IFERROR(H221/D221-1,"")))</f>
        <v/>
      </c>
      <c r="I222" s="15">
        <f>IF(OR(I221="",E221=""),"",IF(E221&lt;=0,"",IFERROR(I221/E221-1,"")))</f>
        <v/>
      </c>
      <c r="J222" s="15">
        <f>IF(OR(J221="",F221=""),"",IF(F221&lt;=0,"",IFERROR(J221/F221-1,"")))</f>
        <v/>
      </c>
      <c r="K222" s="15">
        <f>IF(OR(K221="",G221=""),"",IF(G221&lt;=0,"",IFERROR(K221/G221-1,"")))</f>
        <v/>
      </c>
      <c r="L222" s="15">
        <f>IF(OR(L221="",H221=""),"",IF(H221&lt;=0,"",IFERROR(L221/H221-1,"")))</f>
        <v/>
      </c>
      <c r="M222" s="15">
        <f>IF(OR(M221="",I221=""),"",IF(I221&lt;=0,"",IFERROR(M221/I221-1,"")))</f>
        <v/>
      </c>
      <c r="N222" s="15">
        <f>IF(OR(N221="",J221=""),"",IF(J221&lt;=0,"",IFERROR(N221/J221-1,"")))</f>
        <v/>
      </c>
      <c r="V222" s="15">
        <f>IF(OR(V221="",U221=""),"",IF(U221&lt;=0,"",IFERROR(V221/U221-1,"")))</f>
        <v/>
      </c>
      <c r="W222" s="15">
        <f>IF(OR(W221="",V221=""),"",IF(V221&lt;=0,"",IFERROR(W221/V221-1,"")))</f>
        <v/>
      </c>
      <c r="X222" s="15">
        <f>IF(OR(X221="",W221=""),"",IF(W221&lt;=0,"",IFERROR(X221/W221-1,"")))</f>
        <v/>
      </c>
    </row>
    <row r="223">
      <c r="A223" s="18" t="inlineStr">
        <is>
          <t>부문 · 부문 이익(손실)</t>
        </is>
      </c>
      <c r="C223" s="20" t="n">
        <v>24.025</v>
      </c>
      <c r="D223" s="20" t="n">
        <v>28.464</v>
      </c>
      <c r="E223" s="20" t="n">
        <v>26.595</v>
      </c>
      <c r="F223" s="20" t="n">
        <v>9.914</v>
      </c>
      <c r="G223" s="20" t="n">
        <v>24.137</v>
      </c>
      <c r="H223" s="20" t="n">
        <v>22.801</v>
      </c>
      <c r="I223" s="20" t="n">
        <v>8.513</v>
      </c>
      <c r="J223" s="20" t="n">
        <v>5.802</v>
      </c>
      <c r="K223" s="20" t="n">
        <v>4.82</v>
      </c>
      <c r="L223" s="20" t="n">
        <v>21.449</v>
      </c>
      <c r="M223" s="20" t="n">
        <v>13.782</v>
      </c>
      <c r="N223" s="20" t="n">
        <v>13.508</v>
      </c>
      <c r="V223" s="20" t="n">
        <v>28.464</v>
      </c>
      <c r="W223" s="20" t="n">
        <v>22.801</v>
      </c>
      <c r="X223" s="20" t="n">
        <v>21.449</v>
      </c>
    </row>
    <row r="224">
      <c r="A224" s="43" t="inlineStr">
        <is>
          <t>OPM</t>
        </is>
      </c>
      <c r="B224" s="3" t="inlineStr">
        <is>
          <t>영업이익 ÷ 매출</t>
        </is>
      </c>
      <c r="C224" s="15">
        <f>IF(OR(C223="",C215=""),"",IF(C215&lt;=0,"",IFERROR(C223/C215,"")))</f>
        <v/>
      </c>
      <c r="D224" s="15">
        <f>IF(OR(D223="",D215=""),"",IF(D215&lt;=0,"",IFERROR(D223/D215,"")))</f>
        <v/>
      </c>
      <c r="E224" s="15">
        <f>IF(OR(E223="",E215=""),"",IF(E215&lt;=0,"",IFERROR(E223/E215,"")))</f>
        <v/>
      </c>
      <c r="F224" s="15">
        <f>IF(OR(F223="",F215=""),"",IF(F215&lt;=0,"",IFERROR(F223/F215,"")))</f>
        <v/>
      </c>
      <c r="G224" s="15">
        <f>IF(OR(G223="",G215=""),"",IF(G215&lt;=0,"",IFERROR(G223/G215,"")))</f>
        <v/>
      </c>
      <c r="H224" s="15">
        <f>IF(OR(H223="",H215=""),"",IF(H215&lt;=0,"",IFERROR(H223/H215,"")))</f>
        <v/>
      </c>
      <c r="I224" s="15">
        <f>IF(OR(I223="",I215=""),"",IF(I215&lt;=0,"",IFERROR(I223/I215,"")))</f>
        <v/>
      </c>
      <c r="J224" s="15">
        <f>IF(OR(J223="",J215=""),"",IF(J215&lt;=0,"",IFERROR(J223/J215,"")))</f>
        <v/>
      </c>
      <c r="K224" s="15">
        <f>IF(OR(K223="",K215=""),"",IF(K215&lt;=0,"",IFERROR(K223/K215,"")))</f>
        <v/>
      </c>
      <c r="L224" s="15">
        <f>IF(OR(L223="",L215=""),"",IF(L215&lt;=0,"",IFERROR(L223/L215,"")))</f>
        <v/>
      </c>
      <c r="M224" s="15">
        <f>IF(OR(M223="",M215=""),"",IF(M215&lt;=0,"",IFERROR(M223/M215,"")))</f>
        <v/>
      </c>
      <c r="N224" s="15">
        <f>IF(OR(N223="",N215=""),"",IF(N215&lt;=0,"",IFERROR(N223/N215,"")))</f>
        <v/>
      </c>
      <c r="V224" s="15">
        <f>IF(OR(V223="",V215=""),"",IF(V215&lt;=0,"",IFERROR(V223/V215,"")))</f>
        <v/>
      </c>
      <c r="W224" s="15">
        <f>IF(OR(W223="",W215=""),"",IF(W215&lt;=0,"",IFERROR(W223/W215,"")))</f>
        <v/>
      </c>
      <c r="X224" s="15">
        <f>IF(OR(X223="",X215=""),"",IF(X215&lt;=0,"",IFERROR(X223/X215,"")))</f>
        <v/>
      </c>
    </row>
    <row r="225">
      <c r="A225" s="43" t="inlineStr">
        <is>
          <t>YoY</t>
        </is>
      </c>
      <c r="B225" s="3" t="inlineStr">
        <is>
          <t>전년 같은 분기·전년 대비</t>
        </is>
      </c>
      <c r="G225" s="15">
        <f>IF(OR(G223="",C223=""),"",IF(C223&lt;=0,"",IFERROR(G223/C223-1,"")))</f>
        <v/>
      </c>
      <c r="H225" s="15">
        <f>IF(OR(H223="",D223=""),"",IF(D223&lt;=0,"",IFERROR(H223/D223-1,"")))</f>
        <v/>
      </c>
      <c r="I225" s="15">
        <f>IF(OR(I223="",E223=""),"",IF(E223&lt;=0,"",IFERROR(I223/E223-1,"")))</f>
        <v/>
      </c>
      <c r="J225" s="15">
        <f>IF(OR(J223="",F223=""),"",IF(F223&lt;=0,"",IFERROR(J223/F223-1,"")))</f>
        <v/>
      </c>
      <c r="K225" s="15">
        <f>IF(OR(K223="",G223=""),"",IF(G223&lt;=0,"",IFERROR(K223/G223-1,"")))</f>
        <v/>
      </c>
      <c r="L225" s="15">
        <f>IF(OR(L223="",H223=""),"",IF(H223&lt;=0,"",IFERROR(L223/H223-1,"")))</f>
        <v/>
      </c>
      <c r="M225" s="15">
        <f>IF(OR(M223="",I223=""),"",IF(I223&lt;=0,"",IFERROR(M223/I223-1,"")))</f>
        <v/>
      </c>
      <c r="N225" s="15">
        <f>IF(OR(N223="",J223=""),"",IF(J223&lt;=0,"",IFERROR(N223/J223-1,"")))</f>
        <v/>
      </c>
      <c r="V225" s="15">
        <f>IF(OR(V223="",U223=""),"",IF(U223&lt;=0,"",IFERROR(V223/U223-1,"")))</f>
        <v/>
      </c>
      <c r="W225" s="15">
        <f>IF(OR(W223="",V223=""),"",IF(V223&lt;=0,"",IFERROR(W223/V223-1,"")))</f>
        <v/>
      </c>
      <c r="X225" s="15">
        <f>IF(OR(X223="",W223=""),"",IF(W223&lt;=0,"",IFERROR(X223/W223-1,"")))</f>
        <v/>
      </c>
    </row>
    <row r="226">
      <c r="A226" s="18" t="inlineStr">
        <is>
          <t>보고부문 합계 · 부문 이익(손실)</t>
        </is>
      </c>
      <c r="C226" s="20" t="n">
        <v>438.39</v>
      </c>
      <c r="D226" s="20" t="n">
        <v>440.254</v>
      </c>
      <c r="E226" s="20" t="n">
        <v>359.633</v>
      </c>
      <c r="F226" s="20" t="n">
        <v>210.829</v>
      </c>
      <c r="G226" s="20" t="n">
        <v>340.741</v>
      </c>
      <c r="H226" s="20" t="n">
        <v>376.134</v>
      </c>
      <c r="I226" s="20" t="n">
        <v>507.431</v>
      </c>
      <c r="J226" s="20" t="n">
        <v>339.057</v>
      </c>
      <c r="K226" s="20" t="n">
        <v>434.533</v>
      </c>
      <c r="L226" s="20" t="n">
        <v>282.267</v>
      </c>
      <c r="M226" s="20" t="n">
        <v>401.042</v>
      </c>
      <c r="N226" s="20" t="n">
        <v>490.043</v>
      </c>
      <c r="V226" s="20" t="n">
        <v>440.254</v>
      </c>
      <c r="W226" s="20" t="n">
        <v>376.134</v>
      </c>
      <c r="X226" s="20" t="n">
        <v>282.267</v>
      </c>
    </row>
    <row r="227">
      <c r="A227" s="43" t="inlineStr">
        <is>
          <t>OPM</t>
        </is>
      </c>
      <c r="B227" s="3" t="inlineStr">
        <is>
          <t>영업이익 ÷ 매출</t>
        </is>
      </c>
      <c r="C227" s="15">
        <f>IF(OR(C226="",C217=""),"",IF(C217&lt;=0,"",IFERROR(C226/C217,"")))</f>
        <v/>
      </c>
      <c r="D227" s="15">
        <f>IF(OR(D226="",D217=""),"",IF(D217&lt;=0,"",IFERROR(D226/D217,"")))</f>
        <v/>
      </c>
      <c r="E227" s="15">
        <f>IF(OR(E226="",E217=""),"",IF(E217&lt;=0,"",IFERROR(E226/E217,"")))</f>
        <v/>
      </c>
      <c r="F227" s="15">
        <f>IF(OR(F226="",F217=""),"",IF(F217&lt;=0,"",IFERROR(F226/F217,"")))</f>
        <v/>
      </c>
      <c r="G227" s="15">
        <f>IF(OR(G226="",G217=""),"",IF(G217&lt;=0,"",IFERROR(G226/G217,"")))</f>
        <v/>
      </c>
      <c r="H227" s="15">
        <f>IF(OR(H226="",H217=""),"",IF(H217&lt;=0,"",IFERROR(H226/H217,"")))</f>
        <v/>
      </c>
      <c r="I227" s="15">
        <f>IF(OR(I226="",I217=""),"",IF(I217&lt;=0,"",IFERROR(I226/I217,"")))</f>
        <v/>
      </c>
      <c r="J227" s="15">
        <f>IF(OR(J226="",J217=""),"",IF(J217&lt;=0,"",IFERROR(J226/J217,"")))</f>
        <v/>
      </c>
      <c r="K227" s="15">
        <f>IF(OR(K226="",K217=""),"",IF(K217&lt;=0,"",IFERROR(K226/K217,"")))</f>
        <v/>
      </c>
      <c r="L227" s="15">
        <f>IF(OR(L226="",L217=""),"",IF(L217&lt;=0,"",IFERROR(L226/L217,"")))</f>
        <v/>
      </c>
      <c r="M227" s="15">
        <f>IF(OR(M226="",M217=""),"",IF(M217&lt;=0,"",IFERROR(M226/M217,"")))</f>
        <v/>
      </c>
      <c r="N227" s="15">
        <f>IF(OR(N226="",N217=""),"",IF(N217&lt;=0,"",IFERROR(N226/N217,"")))</f>
        <v/>
      </c>
      <c r="V227" s="15">
        <f>IF(OR(V226="",V217=""),"",IF(V217&lt;=0,"",IFERROR(V226/V217,"")))</f>
        <v/>
      </c>
      <c r="W227" s="15">
        <f>IF(OR(W226="",W217=""),"",IF(W217&lt;=0,"",IFERROR(W226/W217,"")))</f>
        <v/>
      </c>
      <c r="X227" s="15">
        <f>IF(OR(X226="",X217=""),"",IF(X217&lt;=0,"",IFERROR(X226/X217,"")))</f>
        <v/>
      </c>
    </row>
    <row r="228">
      <c r="A228" s="43" t="inlineStr">
        <is>
          <t>YoY</t>
        </is>
      </c>
      <c r="B228" s="3" t="inlineStr">
        <is>
          <t>전년 같은 분기·전년 대비</t>
        </is>
      </c>
      <c r="G228" s="15">
        <f>IF(OR(G226="",C226=""),"",IF(C226&lt;=0,"",IFERROR(G226/C226-1,"")))</f>
        <v/>
      </c>
      <c r="H228" s="15">
        <f>IF(OR(H226="",D226=""),"",IF(D226&lt;=0,"",IFERROR(H226/D226-1,"")))</f>
        <v/>
      </c>
      <c r="I228" s="15">
        <f>IF(OR(I226="",E226=""),"",IF(E226&lt;=0,"",IFERROR(I226/E226-1,"")))</f>
        <v/>
      </c>
      <c r="J228" s="15">
        <f>IF(OR(J226="",F226=""),"",IF(F226&lt;=0,"",IFERROR(J226/F226-1,"")))</f>
        <v/>
      </c>
      <c r="K228" s="15">
        <f>IF(OR(K226="",G226=""),"",IF(G226&lt;=0,"",IFERROR(K226/G226-1,"")))</f>
        <v/>
      </c>
      <c r="L228" s="15">
        <f>IF(OR(L226="",H226=""),"",IF(H226&lt;=0,"",IFERROR(L226/H226-1,"")))</f>
        <v/>
      </c>
      <c r="M228" s="15">
        <f>IF(OR(M226="",I226=""),"",IF(I226&lt;=0,"",IFERROR(M226/I226-1,"")))</f>
        <v/>
      </c>
      <c r="N228" s="15">
        <f>IF(OR(N226="",J226=""),"",IF(J226&lt;=0,"",IFERROR(N226/J226-1,"")))</f>
        <v/>
      </c>
      <c r="V228" s="15">
        <f>IF(OR(V226="",U226=""),"",IF(U226&lt;=0,"",IFERROR(V226/U226-1,"")))</f>
        <v/>
      </c>
      <c r="W228" s="15">
        <f>IF(OR(W226="",V226=""),"",IF(V226&lt;=0,"",IFERROR(W226/V226-1,"")))</f>
        <v/>
      </c>
      <c r="X228" s="15">
        <f>IF(OR(X226="",W226=""),"",IF(W226&lt;=0,"",IFERROR(X226/W226-1,"")))</f>
        <v/>
      </c>
    </row>
    <row r="229">
      <c r="A229" s="18" t="inlineStr">
        <is>
          <t>기타 · 부문 이익(손실)</t>
        </is>
      </c>
      <c r="C229" s="20" t="n">
        <v>25.431</v>
      </c>
      <c r="D229" s="20" t="n">
        <v>43.145</v>
      </c>
      <c r="E229" s="20" t="n">
        <v>72.70999999999999</v>
      </c>
      <c r="F229" s="20" t="n">
        <v>52.642</v>
      </c>
      <c r="G229" s="20" t="n">
        <v>8.659000000000001</v>
      </c>
      <c r="H229" s="20" t="n">
        <v>45.451</v>
      </c>
      <c r="I229" s="20" t="n">
        <v>46.544</v>
      </c>
      <c r="J229" s="20" t="n">
        <v>55.825</v>
      </c>
      <c r="K229" s="20" t="n">
        <v>54.932</v>
      </c>
      <c r="L229" s="20" t="n">
        <v>27.688</v>
      </c>
      <c r="M229" s="20" t="n">
        <v>21.002</v>
      </c>
      <c r="N229" s="20" t="n">
        <v>45.979</v>
      </c>
      <c r="V229" s="20" t="n">
        <v>43.145</v>
      </c>
      <c r="W229" s="20" t="n">
        <v>45.451</v>
      </c>
      <c r="X229" s="20" t="n">
        <v>27.688</v>
      </c>
    </row>
    <row r="230">
      <c r="A230" s="43" t="inlineStr">
        <is>
          <t>OPM</t>
        </is>
      </c>
      <c r="B230" s="3" t="inlineStr">
        <is>
          <t>영업이익 ÷ 매출</t>
        </is>
      </c>
      <c r="C230" s="15">
        <f>IF(OR(C229="",C219=""),"",IF(C219&lt;=0,"",IFERROR(C229/C219,"")))</f>
        <v/>
      </c>
      <c r="D230" s="15">
        <f>IF(OR(D229="",D219=""),"",IF(D219&lt;=0,"",IFERROR(D229/D219,"")))</f>
        <v/>
      </c>
      <c r="E230" s="15">
        <f>IF(OR(E229="",E219=""),"",IF(E219&lt;=0,"",IFERROR(E229/E219,"")))</f>
        <v/>
      </c>
      <c r="F230" s="15">
        <f>IF(OR(F229="",F219=""),"",IF(F219&lt;=0,"",IFERROR(F229/F219,"")))</f>
        <v/>
      </c>
      <c r="G230" s="15">
        <f>IF(OR(G229="",G219=""),"",IF(G219&lt;=0,"",IFERROR(G229/G219,"")))</f>
        <v/>
      </c>
      <c r="H230" s="15">
        <f>IF(OR(H229="",H219=""),"",IF(H219&lt;=0,"",IFERROR(H229/H219,"")))</f>
        <v/>
      </c>
      <c r="I230" s="15">
        <f>IF(OR(I229="",I219=""),"",IF(I219&lt;=0,"",IFERROR(I229/I219,"")))</f>
        <v/>
      </c>
      <c r="J230" s="15">
        <f>IF(OR(J229="",J219=""),"",IF(J219&lt;=0,"",IFERROR(J229/J219,"")))</f>
        <v/>
      </c>
      <c r="K230" s="15">
        <f>IF(OR(K229="",K219=""),"",IF(K219&lt;=0,"",IFERROR(K229/K219,"")))</f>
        <v/>
      </c>
      <c r="L230" s="15">
        <f>IF(OR(L229="",L219=""),"",IF(L219&lt;=0,"",IFERROR(L229/L219,"")))</f>
        <v/>
      </c>
      <c r="M230" s="15">
        <f>IF(OR(M229="",M219=""),"",IF(M219&lt;=0,"",IFERROR(M229/M219,"")))</f>
        <v/>
      </c>
      <c r="N230" s="15">
        <f>IF(OR(N229="",N219=""),"",IF(N219&lt;=0,"",IFERROR(N229/N219,"")))</f>
        <v/>
      </c>
      <c r="V230" s="15">
        <f>IF(OR(V229="",V219=""),"",IF(V219&lt;=0,"",IFERROR(V229/V219,"")))</f>
        <v/>
      </c>
      <c r="W230" s="15">
        <f>IF(OR(W229="",W219=""),"",IF(W219&lt;=0,"",IFERROR(W229/W219,"")))</f>
        <v/>
      </c>
      <c r="X230" s="15">
        <f>IF(OR(X229="",X219=""),"",IF(X219&lt;=0,"",IFERROR(X229/X219,"")))</f>
        <v/>
      </c>
    </row>
    <row r="231">
      <c r="A231" s="43" t="inlineStr">
        <is>
          <t>YoY</t>
        </is>
      </c>
      <c r="B231" s="3" t="inlineStr">
        <is>
          <t>전년 같은 분기·전년 대비</t>
        </is>
      </c>
      <c r="G231" s="15">
        <f>IF(OR(G229="",C229=""),"",IF(C229&lt;=0,"",IFERROR(G229/C229-1,"")))</f>
        <v/>
      </c>
      <c r="H231" s="15">
        <f>IF(OR(H229="",D229=""),"",IF(D229&lt;=0,"",IFERROR(H229/D229-1,"")))</f>
        <v/>
      </c>
      <c r="I231" s="15">
        <f>IF(OR(I229="",E229=""),"",IF(E229&lt;=0,"",IFERROR(I229/E229-1,"")))</f>
        <v/>
      </c>
      <c r="J231" s="15">
        <f>IF(OR(J229="",F229=""),"",IF(F229&lt;=0,"",IFERROR(J229/F229-1,"")))</f>
        <v/>
      </c>
      <c r="K231" s="15">
        <f>IF(OR(K229="",G229=""),"",IF(G229&lt;=0,"",IFERROR(K229/G229-1,"")))</f>
        <v/>
      </c>
      <c r="L231" s="15">
        <f>IF(OR(L229="",H229=""),"",IF(H229&lt;=0,"",IFERROR(L229/H229-1,"")))</f>
        <v/>
      </c>
      <c r="M231" s="15">
        <f>IF(OR(M229="",I229=""),"",IF(I229&lt;=0,"",IFERROR(M229/I229-1,"")))</f>
        <v/>
      </c>
      <c r="N231" s="15">
        <f>IF(OR(N229="",J229=""),"",IF(J229&lt;=0,"",IFERROR(N229/J229-1,"")))</f>
        <v/>
      </c>
      <c r="V231" s="15">
        <f>IF(OR(V229="",U229=""),"",IF(U229&lt;=0,"",IFERROR(V229/U229-1,"")))</f>
        <v/>
      </c>
      <c r="W231" s="15">
        <f>IF(OR(W229="",V229=""),"",IF(V229&lt;=0,"",IFERROR(W229/V229-1,"")))</f>
        <v/>
      </c>
      <c r="X231" s="15">
        <f>IF(OR(X229="",W229=""),"",IF(W229&lt;=0,"",IFERROR(X229/W229-1,"")))</f>
        <v/>
      </c>
    </row>
    <row r="232">
      <c r="A232" s="18" t="inlineStr">
        <is>
          <t>합계 · 부문 이익(손실)</t>
        </is>
      </c>
      <c r="C232" s="20" t="n">
        <v>463.821</v>
      </c>
      <c r="D232" s="20" t="n">
        <v>483.4</v>
      </c>
      <c r="E232" s="20" t="n">
        <v>432.343</v>
      </c>
      <c r="F232" s="20" t="n">
        <v>263.471</v>
      </c>
      <c r="G232" s="20" t="n">
        <v>349.401</v>
      </c>
      <c r="H232" s="20" t="n">
        <v>421.584</v>
      </c>
      <c r="I232" s="20" t="n">
        <v>553.975</v>
      </c>
      <c r="J232" s="20" t="n">
        <v>394.883</v>
      </c>
      <c r="K232" s="20" t="n">
        <v>489.465</v>
      </c>
      <c r="L232" s="20" t="n">
        <v>309.955</v>
      </c>
      <c r="M232" s="20" t="n">
        <v>422.045</v>
      </c>
      <c r="N232" s="20" t="n">
        <v>536.022</v>
      </c>
      <c r="V232" s="20" t="n">
        <v>483.4</v>
      </c>
      <c r="W232" s="20" t="n">
        <v>421.584</v>
      </c>
      <c r="X232" s="20" t="n">
        <v>309.955</v>
      </c>
    </row>
    <row r="233">
      <c r="A233" s="43" t="inlineStr">
        <is>
          <t>OPM</t>
        </is>
      </c>
      <c r="B233" s="3" t="inlineStr">
        <is>
          <t>영업이익 ÷ 매출</t>
        </is>
      </c>
      <c r="C233" s="15">
        <f>IF(OR(C232="",C221=""),"",IF(C221&lt;=0,"",IFERROR(C232/C221,"")))</f>
        <v/>
      </c>
      <c r="D233" s="15">
        <f>IF(OR(D232="",D221=""),"",IF(D221&lt;=0,"",IFERROR(D232/D221,"")))</f>
        <v/>
      </c>
      <c r="E233" s="15">
        <f>IF(OR(E232="",E221=""),"",IF(E221&lt;=0,"",IFERROR(E232/E221,"")))</f>
        <v/>
      </c>
      <c r="F233" s="15">
        <f>IF(OR(F232="",F221=""),"",IF(F221&lt;=0,"",IFERROR(F232/F221,"")))</f>
        <v/>
      </c>
      <c r="G233" s="15">
        <f>IF(OR(G232="",G221=""),"",IF(G221&lt;=0,"",IFERROR(G232/G221,"")))</f>
        <v/>
      </c>
      <c r="H233" s="15">
        <f>IF(OR(H232="",H221=""),"",IF(H221&lt;=0,"",IFERROR(H232/H221,"")))</f>
        <v/>
      </c>
      <c r="I233" s="15">
        <f>IF(OR(I232="",I221=""),"",IF(I221&lt;=0,"",IFERROR(I232/I221,"")))</f>
        <v/>
      </c>
      <c r="J233" s="15">
        <f>IF(OR(J232="",J221=""),"",IF(J221&lt;=0,"",IFERROR(J232/J221,"")))</f>
        <v/>
      </c>
      <c r="K233" s="15">
        <f>IF(OR(K232="",K221=""),"",IF(K221&lt;=0,"",IFERROR(K232/K221,"")))</f>
        <v/>
      </c>
      <c r="L233" s="15">
        <f>IF(OR(L232="",L221=""),"",IF(L221&lt;=0,"",IFERROR(L232/L221,"")))</f>
        <v/>
      </c>
      <c r="M233" s="15">
        <f>IF(OR(M232="",M221=""),"",IF(M221&lt;=0,"",IFERROR(M232/M221,"")))</f>
        <v/>
      </c>
      <c r="N233" s="15">
        <f>IF(OR(N232="",N221=""),"",IF(N221&lt;=0,"",IFERROR(N232/N221,"")))</f>
        <v/>
      </c>
      <c r="V233" s="15">
        <f>IF(OR(V232="",V221=""),"",IF(V221&lt;=0,"",IFERROR(V232/V221,"")))</f>
        <v/>
      </c>
      <c r="W233" s="15">
        <f>IF(OR(W232="",W221=""),"",IF(W221&lt;=0,"",IFERROR(W232/W221,"")))</f>
        <v/>
      </c>
      <c r="X233" s="15">
        <f>IF(OR(X232="",X221=""),"",IF(X221&lt;=0,"",IFERROR(X232/X221,"")))</f>
        <v/>
      </c>
    </row>
    <row r="234">
      <c r="A234" s="43" t="inlineStr">
        <is>
          <t>YoY</t>
        </is>
      </c>
      <c r="B234" s="3" t="inlineStr">
        <is>
          <t>전년 같은 분기·전년 대비</t>
        </is>
      </c>
      <c r="G234" s="15">
        <f>IF(OR(G232="",C232=""),"",IF(C232&lt;=0,"",IFERROR(G232/C232-1,"")))</f>
        <v/>
      </c>
      <c r="H234" s="15">
        <f>IF(OR(H232="",D232=""),"",IF(D232&lt;=0,"",IFERROR(H232/D232-1,"")))</f>
        <v/>
      </c>
      <c r="I234" s="15">
        <f>IF(OR(I232="",E232=""),"",IF(E232&lt;=0,"",IFERROR(I232/E232-1,"")))</f>
        <v/>
      </c>
      <c r="J234" s="15">
        <f>IF(OR(J232="",F232=""),"",IF(F232&lt;=0,"",IFERROR(J232/F232-1,"")))</f>
        <v/>
      </c>
      <c r="K234" s="15">
        <f>IF(OR(K232="",G232=""),"",IF(G232&lt;=0,"",IFERROR(K232/G232-1,"")))</f>
        <v/>
      </c>
      <c r="L234" s="15">
        <f>IF(OR(L232="",H232=""),"",IF(H232&lt;=0,"",IFERROR(L232/H232-1,"")))</f>
        <v/>
      </c>
      <c r="M234" s="15">
        <f>IF(OR(M232="",I232=""),"",IF(I232&lt;=0,"",IFERROR(M232/I232-1,"")))</f>
        <v/>
      </c>
      <c r="N234" s="15">
        <f>IF(OR(N232="",J232=""),"",IF(J232&lt;=0,"",IFERROR(N232/J232-1,"")))</f>
        <v/>
      </c>
      <c r="V234" s="15">
        <f>IF(OR(V232="",U232=""),"",IF(U232&lt;=0,"",IFERROR(V232/U232-1,"")))</f>
        <v/>
      </c>
      <c r="W234" s="15">
        <f>IF(OR(W232="",V232=""),"",IF(V232&lt;=0,"",IFERROR(W232/V232-1,"")))</f>
        <v/>
      </c>
      <c r="X234" s="15">
        <f>IF(OR(X232="",W232=""),"",IF(W232&lt;=0,"",IFERROR(X232/W232-1,"")))</f>
        <v/>
      </c>
    </row>
    <row r="236">
      <c r="A236" s="16" t="inlineStr">
        <is>
          <t>현금흐름표 · 전 항목</t>
        </is>
      </c>
      <c r="B236" s="42" t="inlineStr">
        <is>
          <t>분기 = 결산기 첫날부터 누계(공시 그대로)</t>
        </is>
      </c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</row>
    <row r="237">
      <c r="A237" s="5" t="inlineStr">
        <is>
          <t>항목</t>
        </is>
      </c>
      <c r="B237" s="5" t="inlineStr">
        <is>
          <t>참고</t>
        </is>
      </c>
      <c r="C237" s="5" t="inlineStr">
        <is>
          <t>2023.3Q</t>
        </is>
      </c>
      <c r="D237" s="5" t="inlineStr">
        <is>
          <t>2023.4Q</t>
        </is>
      </c>
      <c r="E237" s="5" t="inlineStr">
        <is>
          <t>2024.1Q</t>
        </is>
      </c>
      <c r="F237" s="5" t="inlineStr">
        <is>
          <t>2024.2Q</t>
        </is>
      </c>
      <c r="G237" s="5" t="inlineStr">
        <is>
          <t>2024.3Q</t>
        </is>
      </c>
      <c r="H237" s="5" t="inlineStr">
        <is>
          <t>2024.4Q</t>
        </is>
      </c>
      <c r="I237" s="5" t="inlineStr">
        <is>
          <t>2025.1Q</t>
        </is>
      </c>
      <c r="J237" s="5" t="inlineStr">
        <is>
          <t>2025.2Q</t>
        </is>
      </c>
      <c r="K237" s="5" t="inlineStr">
        <is>
          <t>2025.3Q</t>
        </is>
      </c>
      <c r="L237" s="5" t="inlineStr">
        <is>
          <t>2025.4Q</t>
        </is>
      </c>
      <c r="M237" s="5" t="inlineStr">
        <is>
          <t>2026.1Q</t>
        </is>
      </c>
      <c r="N237" s="5" t="inlineStr">
        <is>
          <t>2026.2Q</t>
        </is>
      </c>
      <c r="O237" s="5" t="inlineStr">
        <is>
          <t>2016</t>
        </is>
      </c>
      <c r="P237" s="5" t="inlineStr">
        <is>
          <t>2017</t>
        </is>
      </c>
      <c r="Q237" s="5" t="inlineStr">
        <is>
          <t>2018</t>
        </is>
      </c>
      <c r="R237" s="5" t="inlineStr">
        <is>
          <t>2019</t>
        </is>
      </c>
      <c r="S237" s="5" t="inlineStr">
        <is>
          <t>2020</t>
        </is>
      </c>
      <c r="T237" s="5" t="inlineStr">
        <is>
          <t>2021</t>
        </is>
      </c>
      <c r="U237" s="5" t="inlineStr">
        <is>
          <t>2022</t>
        </is>
      </c>
      <c r="V237" s="5" t="inlineStr">
        <is>
          <t>2023</t>
        </is>
      </c>
      <c r="W237" s="5" t="inlineStr">
        <is>
          <t>2024</t>
        </is>
      </c>
      <c r="X237" s="5" t="inlineStr">
        <is>
          <t>2025</t>
        </is>
      </c>
      <c r="Y237" s="5" t="inlineStr">
        <is>
          <t>2026(MW)</t>
        </is>
      </c>
      <c r="Z237" s="5" t="inlineStr">
        <is>
          <t>2027(MW)</t>
        </is>
      </c>
      <c r="AA237" s="5" t="inlineStr">
        <is>
          <t>2028(MW)</t>
        </is>
      </c>
      <c r="AB237" s="5" t="inlineStr">
        <is>
          <t>2029(MW)</t>
        </is>
      </c>
      <c r="AC237" s="5" t="inlineStr">
        <is>
          <t>2030(MW)</t>
        </is>
      </c>
    </row>
    <row r="238">
      <c r="A238" s="9" t="inlineStr">
        <is>
          <t>법인세차감전 순이익</t>
        </is>
      </c>
      <c r="D238" s="12" t="n">
        <v>1747.903</v>
      </c>
      <c r="H238" s="12" t="n">
        <v>1525.937</v>
      </c>
      <c r="L238" s="12" t="n">
        <v>1640.002</v>
      </c>
      <c r="O238" s="12" t="n">
        <v>1880.706</v>
      </c>
      <c r="P238" s="12" t="n">
        <v>1587.986</v>
      </c>
      <c r="Q238" s="12" t="n">
        <v>1480.109</v>
      </c>
      <c r="R238" s="12" t="n">
        <v>1109.443</v>
      </c>
      <c r="S238" s="12" t="n">
        <v>984.986</v>
      </c>
      <c r="T238" s="12" t="n">
        <v>1069.584</v>
      </c>
      <c r="U238" s="12" t="n">
        <v>1260.5</v>
      </c>
      <c r="V238" s="12" t="n">
        <v>1747.903</v>
      </c>
      <c r="W238" s="12" t="n">
        <v>1525.937</v>
      </c>
      <c r="X238" s="12" t="n">
        <v>1640.002</v>
      </c>
    </row>
    <row r="239">
      <c r="A239" s="18" t="inlineStr">
        <is>
          <t>감가상각비</t>
        </is>
      </c>
      <c r="D239" s="20" t="n">
        <v>245.103</v>
      </c>
      <c r="H239" s="20" t="n">
        <v>234.687</v>
      </c>
      <c r="L239" s="20" t="n">
        <v>226.024</v>
      </c>
      <c r="O239" s="20" t="n">
        <v>87.75700000000001</v>
      </c>
      <c r="P239" s="20" t="n">
        <v>121.004</v>
      </c>
      <c r="Q239" s="20" t="n">
        <v>104.515</v>
      </c>
      <c r="R239" s="20" t="n">
        <v>227.578</v>
      </c>
      <c r="S239" s="20" t="n">
        <v>208.284</v>
      </c>
      <c r="T239" s="20" t="n">
        <v>138.225</v>
      </c>
      <c r="U239" s="20" t="n">
        <v>204.137</v>
      </c>
      <c r="V239" s="20" t="n">
        <v>245.103</v>
      </c>
      <c r="W239" s="20" t="n">
        <v>234.687</v>
      </c>
      <c r="X239" s="20" t="n">
        <v>226.024</v>
      </c>
    </row>
    <row r="240">
      <c r="A240" s="18" t="inlineStr">
        <is>
          <t>손상차손</t>
        </is>
      </c>
      <c r="H240" s="20" t="n">
        <v>0</v>
      </c>
      <c r="L240" s="20" t="n">
        <v>37.68</v>
      </c>
      <c r="Q240" s="20" t="n">
        <v>0</v>
      </c>
      <c r="R240" s="20" t="n">
        <v>82.27</v>
      </c>
      <c r="S240" s="20" t="n">
        <v>0</v>
      </c>
      <c r="W240" s="20" t="n">
        <v>0</v>
      </c>
      <c r="X240" s="20" t="n">
        <v>37.68</v>
      </c>
    </row>
    <row r="241">
      <c r="A241" s="18" t="inlineStr">
        <is>
          <t>대손충당금 증감</t>
        </is>
      </c>
      <c r="D241" s="20" t="n">
        <v>-5.648</v>
      </c>
      <c r="H241" s="20" t="n">
        <v>1.056</v>
      </c>
      <c r="L241" s="20" t="n">
        <v>5.091</v>
      </c>
      <c r="O241" s="20" t="n">
        <v>-0.713</v>
      </c>
      <c r="P241" s="20" t="n">
        <v>2.817</v>
      </c>
      <c r="Q241" s="20" t="n">
        <v>-0.899</v>
      </c>
      <c r="R241" s="20" t="n">
        <v>17.418</v>
      </c>
      <c r="S241" s="20" t="n">
        <v>-0.546</v>
      </c>
      <c r="T241" s="20" t="n">
        <v>1.036</v>
      </c>
      <c r="U241" s="20" t="n">
        <v>-19.309</v>
      </c>
      <c r="V241" s="20" t="n">
        <v>-5.648</v>
      </c>
      <c r="W241" s="20" t="n">
        <v>1.056</v>
      </c>
      <c r="X241" s="20" t="n">
        <v>5.091</v>
      </c>
    </row>
    <row r="242">
      <c r="A242" s="18" t="inlineStr">
        <is>
          <t>제품보증 충당금 증감</t>
        </is>
      </c>
      <c r="D242" s="20" t="n">
        <v>-0.468</v>
      </c>
      <c r="H242" s="20" t="n">
        <v>0</v>
      </c>
      <c r="O242" s="20" t="n">
        <v>15.854</v>
      </c>
      <c r="P242" s="20" t="n">
        <v>-5.658</v>
      </c>
      <c r="Q242" s="20" t="n">
        <v>-14.069</v>
      </c>
      <c r="R242" s="20" t="n">
        <v>14.585</v>
      </c>
      <c r="S242" s="20" t="n">
        <v>-9.951000000000001</v>
      </c>
      <c r="T242" s="20" t="n">
        <v>-0.833</v>
      </c>
      <c r="U242" s="20" t="n">
        <v>-12.988</v>
      </c>
      <c r="V242" s="20" t="n">
        <v>-0.468</v>
      </c>
      <c r="W242" s="20" t="n">
        <v>0</v>
      </c>
    </row>
    <row r="243">
      <c r="A243" s="18" t="inlineStr">
        <is>
          <t>임원 퇴직위로 충당금 증감</t>
        </is>
      </c>
      <c r="D243" s="20" t="n">
        <v>1.602</v>
      </c>
      <c r="H243" s="20" t="n">
        <v>-9.798999999999999</v>
      </c>
      <c r="L243" s="20" t="n">
        <v>24.562</v>
      </c>
      <c r="O243" s="20" t="n">
        <v>-4.916</v>
      </c>
      <c r="P243" s="20" t="n">
        <v>5.772</v>
      </c>
      <c r="Q243" s="20" t="n">
        <v>-7.375</v>
      </c>
      <c r="R243" s="20" t="n">
        <v>6.891</v>
      </c>
      <c r="S243" s="20" t="n">
        <v>-31.733</v>
      </c>
      <c r="T243" s="20" t="n">
        <v>6.106</v>
      </c>
      <c r="U243" s="20" t="n">
        <v>7.4</v>
      </c>
      <c r="V243" s="20" t="n">
        <v>1.602</v>
      </c>
      <c r="W243" s="20" t="n">
        <v>-9.798999999999999</v>
      </c>
      <c r="X243" s="20" t="n">
        <v>24.562</v>
      </c>
    </row>
    <row r="244">
      <c r="A244" s="18" t="inlineStr">
        <is>
          <t>퇴직급여부채 증감</t>
        </is>
      </c>
      <c r="D244" s="20" t="n">
        <v>2.178</v>
      </c>
      <c r="H244" s="20" t="n">
        <v>1.41</v>
      </c>
      <c r="L244" s="20" t="n">
        <v>2.128</v>
      </c>
      <c r="O244" s="20" t="n">
        <v>1.265</v>
      </c>
      <c r="P244" s="20" t="n">
        <v>1.464</v>
      </c>
      <c r="Q244" s="20" t="n">
        <v>-2.543</v>
      </c>
      <c r="R244" s="20" t="n">
        <v>-0.377</v>
      </c>
      <c r="S244" s="20" t="n">
        <v>1.165</v>
      </c>
      <c r="T244" s="20" t="n">
        <v>7.972</v>
      </c>
      <c r="U244" s="20" t="n">
        <v>1.301</v>
      </c>
      <c r="V244" s="20" t="n">
        <v>2.178</v>
      </c>
      <c r="W244" s="20" t="n">
        <v>1.41</v>
      </c>
      <c r="X244" s="20" t="n">
        <v>2.128</v>
      </c>
    </row>
    <row r="245">
      <c r="A245" s="18" t="inlineStr">
        <is>
          <t>이자·배당금 수익</t>
        </is>
      </c>
      <c r="D245" s="20" t="n">
        <v>-53.562</v>
      </c>
      <c r="H245" s="20" t="n">
        <v>-44.587</v>
      </c>
      <c r="L245" s="20" t="n">
        <v>-82.26600000000001</v>
      </c>
      <c r="O245" s="20" t="n">
        <v>-41.386</v>
      </c>
      <c r="P245" s="20" t="n">
        <v>-32.354</v>
      </c>
      <c r="Q245" s="20" t="n">
        <v>-30.78</v>
      </c>
      <c r="R245" s="20" t="n">
        <v>-27.628</v>
      </c>
      <c r="S245" s="20" t="n">
        <v>-32.639</v>
      </c>
      <c r="T245" s="20" t="n">
        <v>-31.563</v>
      </c>
      <c r="U245" s="20" t="n">
        <v>-32.806</v>
      </c>
      <c r="V245" s="20" t="n">
        <v>-53.562</v>
      </c>
      <c r="W245" s="20" t="n">
        <v>-44.587</v>
      </c>
      <c r="X245" s="20" t="n">
        <v>-82.26600000000001</v>
      </c>
    </row>
    <row r="246">
      <c r="A246" s="18" t="inlineStr">
        <is>
          <t>이자비용</t>
        </is>
      </c>
      <c r="D246" s="20" t="n">
        <v>3.761</v>
      </c>
      <c r="H246" s="20" t="n">
        <v>2.106</v>
      </c>
      <c r="L246" s="20" t="n">
        <v>5.142</v>
      </c>
      <c r="Q246" s="20" t="n">
        <v>0</v>
      </c>
      <c r="R246" s="20" t="n">
        <v>1.998</v>
      </c>
      <c r="S246" s="20" t="n">
        <v>1.993</v>
      </c>
      <c r="T246" s="20" t="n">
        <v>1.402</v>
      </c>
      <c r="U246" s="20" t="n">
        <v>2.366</v>
      </c>
      <c r="V246" s="20" t="n">
        <v>3.761</v>
      </c>
      <c r="W246" s="20" t="n">
        <v>2.106</v>
      </c>
      <c r="X246" s="20" t="n">
        <v>5.142</v>
      </c>
    </row>
    <row r="247">
      <c r="A247" s="18" t="inlineStr">
        <is>
          <t>고정자산 매각손익</t>
        </is>
      </c>
      <c r="D247" s="20" t="n">
        <v>-0.079</v>
      </c>
      <c r="H247" s="20" t="n">
        <v>-0.1</v>
      </c>
      <c r="L247" s="20" t="n">
        <v>-0.495</v>
      </c>
      <c r="O247" s="20" t="n">
        <v>-0.038</v>
      </c>
      <c r="P247" s="20" t="n">
        <v>-0.978</v>
      </c>
      <c r="Q247" s="20" t="n">
        <v>0</v>
      </c>
      <c r="R247" s="20" t="n">
        <v>0.003</v>
      </c>
      <c r="S247" s="20" t="n">
        <v>-0.01</v>
      </c>
      <c r="T247" s="20" t="n">
        <v>-0.657</v>
      </c>
      <c r="U247" s="20" t="n">
        <v>-1.179</v>
      </c>
      <c r="V247" s="20" t="n">
        <v>-0.079</v>
      </c>
      <c r="W247" s="20" t="n">
        <v>-0.1</v>
      </c>
      <c r="X247" s="20" t="n">
        <v>-0.495</v>
      </c>
    </row>
    <row r="248">
      <c r="A248" s="18" t="inlineStr">
        <is>
          <t>고정자산 제각손실</t>
        </is>
      </c>
      <c r="D248" s="20" t="n">
        <v>0.068</v>
      </c>
      <c r="H248" s="20" t="n">
        <v>3.176</v>
      </c>
      <c r="L248" s="20" t="n">
        <v>0.36</v>
      </c>
      <c r="O248" s="20" t="n">
        <v>0.336</v>
      </c>
      <c r="P248" s="20" t="n">
        <v>1.936</v>
      </c>
      <c r="Q248" s="20" t="n">
        <v>7.788</v>
      </c>
      <c r="R248" s="20" t="n">
        <v>1.478</v>
      </c>
      <c r="S248" s="20" t="n">
        <v>1.403</v>
      </c>
      <c r="T248" s="20" t="n">
        <v>3.608</v>
      </c>
      <c r="U248" s="20" t="n">
        <v>1.758</v>
      </c>
      <c r="V248" s="20" t="n">
        <v>0.068</v>
      </c>
      <c r="W248" s="20" t="n">
        <v>3.176</v>
      </c>
      <c r="X248" s="20" t="n">
        <v>0.36</v>
      </c>
    </row>
    <row r="249">
      <c r="A249" s="18" t="inlineStr">
        <is>
          <t>투자유가증권 매각손익</t>
        </is>
      </c>
      <c r="O249" s="20" t="n">
        <v>-30.221</v>
      </c>
      <c r="P249" s="20" t="n">
        <v>-85.182</v>
      </c>
      <c r="Q249" s="20" t="n">
        <v>0</v>
      </c>
      <c r="R249" s="20" t="n">
        <v>-2.592</v>
      </c>
      <c r="S249" s="20" t="n">
        <v>0</v>
      </c>
    </row>
    <row r="250">
      <c r="A250" s="18" t="inlineStr">
        <is>
          <t>매출채권 증감</t>
        </is>
      </c>
      <c r="D250" s="20" t="n">
        <v>-228.454</v>
      </c>
      <c r="H250" s="20" t="n">
        <v>207.528</v>
      </c>
      <c r="L250" s="20" t="n">
        <v>97.541</v>
      </c>
      <c r="O250" s="20" t="n">
        <v>-268.783</v>
      </c>
      <c r="P250" s="20" t="n">
        <v>269.737</v>
      </c>
      <c r="Q250" s="20" t="n">
        <v>-275.784</v>
      </c>
      <c r="R250" s="20" t="n">
        <v>130.332</v>
      </c>
      <c r="S250" s="20" t="n">
        <v>159.058</v>
      </c>
      <c r="T250" s="20" t="n">
        <v>142.524</v>
      </c>
      <c r="U250" s="20" t="n">
        <v>-120.922</v>
      </c>
      <c r="V250" s="20" t="n">
        <v>-228.454</v>
      </c>
      <c r="W250" s="20" t="n">
        <v>207.528</v>
      </c>
      <c r="X250" s="20" t="n">
        <v>97.541</v>
      </c>
    </row>
    <row r="251">
      <c r="A251" s="18" t="inlineStr">
        <is>
          <t>재고자산 증감</t>
        </is>
      </c>
      <c r="D251" s="20" t="n">
        <v>-140.541</v>
      </c>
      <c r="H251" s="20" t="n">
        <v>122.813</v>
      </c>
      <c r="L251" s="20" t="n">
        <v>78.072</v>
      </c>
      <c r="O251" s="20" t="n">
        <v>47.838</v>
      </c>
      <c r="P251" s="20" t="n">
        <v>-85.52</v>
      </c>
      <c r="Q251" s="20" t="n">
        <v>-202.912</v>
      </c>
      <c r="R251" s="20" t="n">
        <v>-206.951</v>
      </c>
      <c r="S251" s="20" t="n">
        <v>320.138</v>
      </c>
      <c r="T251" s="20" t="n">
        <v>-430.491</v>
      </c>
      <c r="U251" s="20" t="n">
        <v>-285.955</v>
      </c>
      <c r="V251" s="20" t="n">
        <v>-140.541</v>
      </c>
      <c r="W251" s="20" t="n">
        <v>122.813</v>
      </c>
      <c r="X251" s="20" t="n">
        <v>78.072</v>
      </c>
    </row>
    <row r="252">
      <c r="A252" s="18" t="inlineStr">
        <is>
          <t>매입채무 증감</t>
        </is>
      </c>
      <c r="D252" s="20" t="n">
        <v>19.738</v>
      </c>
      <c r="H252" s="20" t="n">
        <v>-86.16</v>
      </c>
      <c r="L252" s="20" t="n">
        <v>87.684</v>
      </c>
      <c r="O252" s="20" t="n">
        <v>16.467</v>
      </c>
      <c r="P252" s="20" t="n">
        <v>27.918</v>
      </c>
      <c r="Q252" s="20" t="n">
        <v>106.419</v>
      </c>
      <c r="R252" s="20" t="n">
        <v>-148.415</v>
      </c>
      <c r="S252" s="20" t="n">
        <v>-50.583</v>
      </c>
      <c r="T252" s="20" t="n">
        <v>-44.222</v>
      </c>
      <c r="U252" s="20" t="n">
        <v>20.082</v>
      </c>
      <c r="V252" s="20" t="n">
        <v>19.738</v>
      </c>
      <c r="W252" s="20" t="n">
        <v>-86.16</v>
      </c>
      <c r="X252" s="20" t="n">
        <v>87.684</v>
      </c>
    </row>
    <row r="253">
      <c r="A253" s="18" t="inlineStr">
        <is>
          <t>미지급금 증감</t>
        </is>
      </c>
      <c r="D253" s="20" t="n">
        <v>67.092</v>
      </c>
      <c r="H253" s="20" t="n">
        <v>0.391</v>
      </c>
      <c r="L253" s="20" t="n">
        <v>-12.157</v>
      </c>
      <c r="O253" s="20" t="n">
        <v>-15.742</v>
      </c>
      <c r="P253" s="20" t="n">
        <v>-17.146</v>
      </c>
      <c r="Q253" s="20" t="n">
        <v>16.022</v>
      </c>
      <c r="R253" s="20" t="n">
        <v>-18.079</v>
      </c>
      <c r="S253" s="20" t="n">
        <v>-9.164999999999999</v>
      </c>
      <c r="T253" s="20" t="n">
        <v>-22.97</v>
      </c>
      <c r="U253" s="20" t="n">
        <v>34.856</v>
      </c>
      <c r="V253" s="20" t="n">
        <v>67.092</v>
      </c>
      <c r="W253" s="20" t="n">
        <v>0.391</v>
      </c>
      <c r="X253" s="20" t="n">
        <v>-12.157</v>
      </c>
    </row>
    <row r="254">
      <c r="A254" s="18" t="inlineStr">
        <is>
          <t>선수금 증감</t>
        </is>
      </c>
      <c r="D254" s="20" t="n">
        <v>-397.765</v>
      </c>
      <c r="H254" s="20" t="n">
        <v>-5.209</v>
      </c>
      <c r="L254" s="20" t="n">
        <v>3.793</v>
      </c>
      <c r="U254" s="20" t="n">
        <v>140.027</v>
      </c>
      <c r="V254" s="20" t="n">
        <v>-397.765</v>
      </c>
      <c r="W254" s="20" t="n">
        <v>-5.209</v>
      </c>
      <c r="X254" s="20" t="n">
        <v>3.793</v>
      </c>
    </row>
    <row r="255">
      <c r="A255" s="18" t="inlineStr">
        <is>
          <t>미수 소비세 증감</t>
        </is>
      </c>
      <c r="D255" s="20" t="n">
        <v>32.342</v>
      </c>
      <c r="H255" s="20" t="n">
        <v>56.73</v>
      </c>
      <c r="L255" s="20" t="n">
        <v>6.983</v>
      </c>
      <c r="O255" s="20" t="n">
        <v>83.748</v>
      </c>
      <c r="P255" s="20" t="n">
        <v>-40.416</v>
      </c>
      <c r="Q255" s="20" t="n">
        <v>-13.932</v>
      </c>
      <c r="R255" s="20" t="n">
        <v>5.773</v>
      </c>
      <c r="S255" s="20" t="n">
        <v>61.775</v>
      </c>
      <c r="T255" s="20" t="n">
        <v>-125.89</v>
      </c>
      <c r="U255" s="20" t="n">
        <v>-65.31699999999999</v>
      </c>
      <c r="V255" s="20" t="n">
        <v>32.342</v>
      </c>
      <c r="W255" s="20" t="n">
        <v>56.73</v>
      </c>
      <c r="X255" s="20" t="n">
        <v>6.983</v>
      </c>
    </row>
    <row r="256">
      <c r="A256" s="18" t="inlineStr">
        <is>
          <t>미지급 소비세 증감</t>
        </is>
      </c>
      <c r="D256" s="20" t="n">
        <v>23.862</v>
      </c>
      <c r="H256" s="20" t="n">
        <v>-20.893</v>
      </c>
      <c r="L256" s="20" t="n">
        <v>5.046</v>
      </c>
      <c r="O256" s="20" t="n">
        <v>-1.109</v>
      </c>
      <c r="P256" s="20" t="n">
        <v>-8.337</v>
      </c>
      <c r="Q256" s="20" t="n">
        <v>9.492000000000001</v>
      </c>
      <c r="R256" s="20" t="n">
        <v>4.435</v>
      </c>
      <c r="S256" s="20" t="n">
        <v>-1.545</v>
      </c>
      <c r="T256" s="20" t="n">
        <v>-12.766</v>
      </c>
      <c r="U256" s="20" t="n">
        <v>7.035</v>
      </c>
      <c r="V256" s="20" t="n">
        <v>23.862</v>
      </c>
      <c r="W256" s="20" t="n">
        <v>-20.893</v>
      </c>
      <c r="X256" s="20" t="n">
        <v>5.046</v>
      </c>
    </row>
    <row r="257">
      <c r="A257" s="18" t="inlineStr">
        <is>
          <t>기타</t>
        </is>
      </c>
      <c r="D257" s="20" t="n">
        <v>56.626</v>
      </c>
      <c r="H257" s="20" t="n">
        <v>-54.475</v>
      </c>
      <c r="L257" s="20" t="n">
        <v>71.80500000000001</v>
      </c>
      <c r="O257" s="20" t="n">
        <v>26.423</v>
      </c>
      <c r="P257" s="20" t="n">
        <v>0.011</v>
      </c>
      <c r="Q257" s="20" t="n">
        <v>-51.53</v>
      </c>
      <c r="R257" s="20" t="n">
        <v>58.145</v>
      </c>
      <c r="S257" s="20" t="n">
        <v>-51.792</v>
      </c>
      <c r="T257" s="20" t="n">
        <v>45.832</v>
      </c>
      <c r="U257" s="20" t="n">
        <v>19.316</v>
      </c>
      <c r="V257" s="20" t="n">
        <v>56.626</v>
      </c>
      <c r="W257" s="20" t="n">
        <v>-54.475</v>
      </c>
      <c r="X257" s="20" t="n">
        <v>71.80500000000001</v>
      </c>
    </row>
    <row r="258">
      <c r="A258" s="18" t="inlineStr">
        <is>
          <t>소계</t>
        </is>
      </c>
      <c r="D258" s="20" t="n">
        <v>1373.761</v>
      </c>
      <c r="H258" s="20" t="n">
        <v>1934.611</v>
      </c>
      <c r="L258" s="20" t="n">
        <v>2196.999</v>
      </c>
      <c r="O258" s="20" t="n">
        <v>1797.486</v>
      </c>
      <c r="P258" s="20" t="n">
        <v>1743.055</v>
      </c>
      <c r="Q258" s="20" t="n">
        <v>1124.52</v>
      </c>
      <c r="R258" s="20" t="n">
        <v>1256.31</v>
      </c>
      <c r="S258" s="20" t="n">
        <v>1550.838</v>
      </c>
      <c r="T258" s="20" t="n">
        <v>746.895</v>
      </c>
      <c r="U258" s="20" t="n">
        <v>1160.303</v>
      </c>
      <c r="V258" s="20" t="n">
        <v>1373.761</v>
      </c>
      <c r="W258" s="20" t="n">
        <v>1934.611</v>
      </c>
      <c r="X258" s="20" t="n">
        <v>2196.999</v>
      </c>
    </row>
    <row r="259">
      <c r="A259" s="18" t="inlineStr">
        <is>
          <t>이자·배당금 수취</t>
        </is>
      </c>
      <c r="D259" s="20" t="n">
        <v>51.331</v>
      </c>
      <c r="H259" s="20" t="n">
        <v>44.356</v>
      </c>
      <c r="L259" s="20" t="n">
        <v>75.581</v>
      </c>
      <c r="O259" s="20" t="n">
        <v>43.8</v>
      </c>
      <c r="P259" s="20" t="n">
        <v>33.585</v>
      </c>
      <c r="Q259" s="20" t="n">
        <v>30.713</v>
      </c>
      <c r="R259" s="20" t="n">
        <v>29.201</v>
      </c>
      <c r="S259" s="20" t="n">
        <v>24.638</v>
      </c>
      <c r="T259" s="20" t="n">
        <v>31.962</v>
      </c>
      <c r="U259" s="20" t="n">
        <v>28.671</v>
      </c>
      <c r="V259" s="20" t="n">
        <v>51.331</v>
      </c>
      <c r="W259" s="20" t="n">
        <v>44.356</v>
      </c>
      <c r="X259" s="20" t="n">
        <v>75.581</v>
      </c>
    </row>
    <row r="260">
      <c r="A260" s="18" t="inlineStr">
        <is>
          <t>법인세 납부</t>
        </is>
      </c>
      <c r="D260" s="20" t="n">
        <v>-612.539</v>
      </c>
      <c r="H260" s="20" t="n">
        <v>-521.3819999999999</v>
      </c>
      <c r="L260" s="20" t="n">
        <v>-506.899</v>
      </c>
      <c r="O260" s="20" t="n">
        <v>-571.978</v>
      </c>
      <c r="P260" s="20" t="n">
        <v>-694.176</v>
      </c>
      <c r="Q260" s="20" t="n">
        <v>-412.391</v>
      </c>
      <c r="R260" s="20" t="n">
        <v>-454.735</v>
      </c>
      <c r="S260" s="20" t="n">
        <v>-302.326</v>
      </c>
      <c r="T260" s="20" t="n">
        <v>-261.916</v>
      </c>
      <c r="U260" s="20" t="n">
        <v>-350.975</v>
      </c>
      <c r="V260" s="20" t="n">
        <v>-612.539</v>
      </c>
      <c r="W260" s="20" t="n">
        <v>-521.3819999999999</v>
      </c>
      <c r="X260" s="20" t="n">
        <v>-506.899</v>
      </c>
    </row>
    <row r="261">
      <c r="A261" s="18" t="inlineStr">
        <is>
          <t>기타</t>
        </is>
      </c>
      <c r="D261" s="20" t="n">
        <v>-3.761</v>
      </c>
      <c r="H261" s="20" t="n">
        <v>-2.106</v>
      </c>
      <c r="L261" s="20" t="n">
        <v>-5.142</v>
      </c>
      <c r="Q261" s="20" t="n">
        <v>0</v>
      </c>
      <c r="R261" s="20" t="n">
        <v>-1.998</v>
      </c>
      <c r="S261" s="20" t="n">
        <v>-1.993</v>
      </c>
      <c r="T261" s="20" t="n">
        <v>-1.402</v>
      </c>
      <c r="U261" s="20" t="n">
        <v>-2.366</v>
      </c>
      <c r="V261" s="20" t="n">
        <v>-3.761</v>
      </c>
      <c r="W261" s="20" t="n">
        <v>-2.106</v>
      </c>
      <c r="X261" s="20" t="n">
        <v>-5.142</v>
      </c>
    </row>
    <row r="262">
      <c r="A262" s="9" t="inlineStr">
        <is>
          <t>영업활동 현금흐름</t>
        </is>
      </c>
      <c r="D262" s="12" t="n">
        <v>808.79</v>
      </c>
      <c r="H262" s="12" t="n">
        <v>1455.48</v>
      </c>
      <c r="L262" s="12" t="n">
        <v>1760.538</v>
      </c>
      <c r="O262" s="12" t="n">
        <v>1269.309</v>
      </c>
      <c r="P262" s="12" t="n">
        <v>1082.463</v>
      </c>
      <c r="Q262" s="12" t="n">
        <v>742.842</v>
      </c>
      <c r="R262" s="12" t="n">
        <v>828.776</v>
      </c>
      <c r="S262" s="12" t="n">
        <v>1271.155</v>
      </c>
      <c r="T262" s="12" t="n">
        <v>515.538</v>
      </c>
      <c r="U262" s="12" t="n">
        <v>835.6319999999999</v>
      </c>
      <c r="V262" s="12" t="n">
        <v>808.79</v>
      </c>
      <c r="W262" s="12" t="n">
        <v>1455.48</v>
      </c>
      <c r="X262" s="12" t="n">
        <v>1760.538</v>
      </c>
    </row>
    <row r="263">
      <c r="A263" s="18" t="inlineStr">
        <is>
          <t>장기예금 예입</t>
        </is>
      </c>
      <c r="H263" s="20" t="n">
        <v>0</v>
      </c>
      <c r="L263" s="20" t="n">
        <v>-2000</v>
      </c>
      <c r="W263" s="20" t="n">
        <v>0</v>
      </c>
      <c r="X263" s="20" t="n">
        <v>-2000</v>
      </c>
    </row>
    <row r="264">
      <c r="A264" s="18" t="inlineStr">
        <is>
          <t>정기예금 예입</t>
        </is>
      </c>
      <c r="D264" s="20" t="n">
        <v>-1844.812</v>
      </c>
      <c r="H264" s="20" t="n">
        <v>-1378.309</v>
      </c>
      <c r="L264" s="20" t="n">
        <v>-620.456</v>
      </c>
      <c r="O264" s="20" t="n">
        <v>-1242.687</v>
      </c>
      <c r="P264" s="20" t="n">
        <v>-1074.411</v>
      </c>
      <c r="Q264" s="20" t="n">
        <v>-914.889</v>
      </c>
      <c r="R264" s="20" t="n">
        <v>-721.395</v>
      </c>
      <c r="S264" s="20" t="n">
        <v>-899.138</v>
      </c>
      <c r="T264" s="20" t="n">
        <v>-942.046</v>
      </c>
      <c r="U264" s="20" t="n">
        <v>-850.5</v>
      </c>
      <c r="V264" s="20" t="n">
        <v>-1844.812</v>
      </c>
      <c r="W264" s="20" t="n">
        <v>-1378.309</v>
      </c>
      <c r="X264" s="20" t="n">
        <v>-620.456</v>
      </c>
    </row>
    <row r="265">
      <c r="A265" s="18" t="inlineStr">
        <is>
          <t>정기예금 인출</t>
        </is>
      </c>
      <c r="D265" s="20" t="n">
        <v>1215.172</v>
      </c>
      <c r="H265" s="20" t="n">
        <v>1562.992</v>
      </c>
      <c r="L265" s="20" t="n">
        <v>570.4450000000001</v>
      </c>
      <c r="O265" s="20" t="n">
        <v>1492.684</v>
      </c>
      <c r="P265" s="20" t="n">
        <v>1188.079</v>
      </c>
      <c r="Q265" s="20" t="n">
        <v>1133.21</v>
      </c>
      <c r="R265" s="20" t="n">
        <v>840.556</v>
      </c>
      <c r="S265" s="20" t="n">
        <v>780.211</v>
      </c>
      <c r="T265" s="20" t="n">
        <v>833.076</v>
      </c>
      <c r="U265" s="20" t="n">
        <v>857.158</v>
      </c>
      <c r="V265" s="20" t="n">
        <v>1215.172</v>
      </c>
      <c r="W265" s="20" t="n">
        <v>1562.992</v>
      </c>
      <c r="X265" s="20" t="n">
        <v>570.4450000000001</v>
      </c>
    </row>
    <row r="266">
      <c r="A266" s="18" t="inlineStr">
        <is>
          <t>유가증권 상환 수입</t>
        </is>
      </c>
      <c r="O266" s="20" t="n">
        <v>0</v>
      </c>
      <c r="P266" s="20" t="n">
        <v>16.17</v>
      </c>
      <c r="Q266" s="20" t="n">
        <v>0</v>
      </c>
      <c r="R266" s="20" t="n">
        <v>200</v>
      </c>
      <c r="S266" s="20" t="n">
        <v>0</v>
      </c>
      <c r="T266" s="20" t="n">
        <v>42.392</v>
      </c>
      <c r="U266" s="20" t="n">
        <v>0</v>
      </c>
    </row>
    <row r="267">
      <c r="A267" s="18" t="inlineStr">
        <is>
          <t>유형자산 취득(설비투자)</t>
        </is>
      </c>
      <c r="D267" s="20" t="n">
        <v>-84.474</v>
      </c>
      <c r="H267" s="20" t="n">
        <v>-127.293</v>
      </c>
      <c r="L267" s="20" t="n">
        <v>-76.771</v>
      </c>
      <c r="O267" s="20" t="n">
        <v>-72.898</v>
      </c>
      <c r="P267" s="20" t="n">
        <v>-146.547</v>
      </c>
      <c r="Q267" s="20" t="n">
        <v>-258.893</v>
      </c>
      <c r="R267" s="20" t="n">
        <v>-190.408</v>
      </c>
      <c r="S267" s="20" t="n">
        <v>-101.491</v>
      </c>
      <c r="T267" s="20" t="n">
        <v>-54.082</v>
      </c>
      <c r="U267" s="20" t="n">
        <v>-929.477</v>
      </c>
      <c r="V267" s="20" t="n">
        <v>-84.474</v>
      </c>
      <c r="W267" s="20" t="n">
        <v>-127.293</v>
      </c>
      <c r="X267" s="20" t="n">
        <v>-76.771</v>
      </c>
    </row>
    <row r="268">
      <c r="A268" s="18" t="inlineStr">
        <is>
          <t>유형자산 매각</t>
        </is>
      </c>
      <c r="O268" s="20" t="n">
        <v>0.216</v>
      </c>
      <c r="P268" s="20" t="n">
        <v>1.952</v>
      </c>
      <c r="Q268" s="20" t="n">
        <v>0</v>
      </c>
    </row>
    <row r="269">
      <c r="A269" s="18" t="inlineStr">
        <is>
          <t>무형자산 취득</t>
        </is>
      </c>
      <c r="D269" s="20" t="n">
        <v>-8.069000000000001</v>
      </c>
      <c r="H269" s="20" t="n">
        <v>-8.429</v>
      </c>
      <c r="L269" s="20" t="n">
        <v>-17.567</v>
      </c>
      <c r="O269" s="20" t="n">
        <v>-31.017</v>
      </c>
      <c r="P269" s="20" t="n">
        <v>-17.035</v>
      </c>
      <c r="Q269" s="20" t="n">
        <v>-0.478</v>
      </c>
      <c r="R269" s="20" t="n">
        <v>-8.116</v>
      </c>
      <c r="S269" s="20" t="n">
        <v>-15.788</v>
      </c>
      <c r="T269" s="20" t="n">
        <v>-5.369</v>
      </c>
      <c r="U269" s="20" t="n">
        <v>-0.131</v>
      </c>
      <c r="V269" s="20" t="n">
        <v>-8.069000000000001</v>
      </c>
      <c r="W269" s="20" t="n">
        <v>-8.429</v>
      </c>
      <c r="X269" s="20" t="n">
        <v>-17.567</v>
      </c>
    </row>
    <row r="270">
      <c r="A270" s="18" t="inlineStr">
        <is>
          <t>투자유가증권 취득</t>
        </is>
      </c>
      <c r="D270" s="20" t="n">
        <v>-100</v>
      </c>
      <c r="H270" s="20" t="n">
        <v>0</v>
      </c>
      <c r="L270" s="20" t="n">
        <v>-1493.73</v>
      </c>
      <c r="O270" s="20" t="n">
        <v>-100</v>
      </c>
      <c r="P270" s="20" t="n">
        <v>-100.3</v>
      </c>
      <c r="Q270" s="20" t="n">
        <v>-100</v>
      </c>
      <c r="R270" s="20" t="n">
        <v>-211.183</v>
      </c>
      <c r="S270" s="20" t="n">
        <v>0</v>
      </c>
      <c r="U270" s="20" t="n">
        <v>0</v>
      </c>
      <c r="V270" s="20" t="n">
        <v>-100</v>
      </c>
      <c r="W270" s="20" t="n">
        <v>0</v>
      </c>
      <c r="X270" s="20" t="n">
        <v>-1493.73</v>
      </c>
    </row>
    <row r="271">
      <c r="A271" s="18" t="inlineStr">
        <is>
          <t>투자유가증권 매각</t>
        </is>
      </c>
      <c r="D271" s="20" t="n">
        <v>102.84</v>
      </c>
      <c r="H271" s="20" t="n">
        <v>135.758</v>
      </c>
      <c r="L271" s="20" t="n">
        <v>0</v>
      </c>
      <c r="O271" s="20" t="n">
        <v>56.121</v>
      </c>
      <c r="P271" s="20" t="n">
        <v>161.428</v>
      </c>
      <c r="Q271" s="20" t="n">
        <v>0</v>
      </c>
      <c r="R271" s="20" t="n">
        <v>3.8</v>
      </c>
      <c r="S271" s="20" t="n">
        <v>0</v>
      </c>
      <c r="U271" s="20" t="n">
        <v>0</v>
      </c>
      <c r="V271" s="20" t="n">
        <v>102.84</v>
      </c>
      <c r="W271" s="20" t="n">
        <v>135.758</v>
      </c>
      <c r="X271" s="20" t="n">
        <v>0</v>
      </c>
    </row>
    <row r="272">
      <c r="A272" s="18" t="inlineStr">
        <is>
          <t>투자유가증권 상환</t>
        </is>
      </c>
      <c r="D272" s="20" t="n">
        <v>200</v>
      </c>
      <c r="H272" s="20" t="n">
        <v>100.355</v>
      </c>
      <c r="L272" s="20" t="n">
        <v>0</v>
      </c>
      <c r="U272" s="20" t="n">
        <v>0</v>
      </c>
      <c r="V272" s="20" t="n">
        <v>200</v>
      </c>
      <c r="W272" s="20" t="n">
        <v>100.355</v>
      </c>
      <c r="X272" s="20" t="n">
        <v>0</v>
      </c>
    </row>
    <row r="273">
      <c r="A273" s="18" t="inlineStr">
        <is>
          <t>투자유가증권 환급 수입</t>
        </is>
      </c>
      <c r="D273" s="20" t="n">
        <v>10.098</v>
      </c>
      <c r="H273" s="20" t="n">
        <v>15.161</v>
      </c>
      <c r="L273" s="20" t="n">
        <v>28.588</v>
      </c>
      <c r="O273" s="20" t="n">
        <v>24.171</v>
      </c>
      <c r="P273" s="20" t="n">
        <v>17.27</v>
      </c>
      <c r="Q273" s="20" t="n">
        <v>17.858</v>
      </c>
      <c r="R273" s="20" t="n">
        <v>3.503</v>
      </c>
      <c r="S273" s="20" t="n">
        <v>7.683</v>
      </c>
      <c r="T273" s="20" t="n">
        <v>5.835</v>
      </c>
      <c r="U273" s="20" t="n">
        <v>6.78</v>
      </c>
      <c r="V273" s="20" t="n">
        <v>10.098</v>
      </c>
      <c r="W273" s="20" t="n">
        <v>15.161</v>
      </c>
      <c r="X273" s="20" t="n">
        <v>28.588</v>
      </c>
    </row>
    <row r="274">
      <c r="A274" s="18" t="inlineStr">
        <is>
          <t>자회사 주식 취득</t>
        </is>
      </c>
      <c r="O274" s="20" t="n">
        <v>0</v>
      </c>
      <c r="P274" s="20" t="n">
        <v>-30.67</v>
      </c>
      <c r="Q274" s="20" t="n">
        <v>0</v>
      </c>
    </row>
    <row r="275">
      <c r="A275" s="18" t="inlineStr">
        <is>
          <t>자회사 출자금 취득 지출</t>
        </is>
      </c>
      <c r="O275" s="20" t="n">
        <v>-2.87</v>
      </c>
      <c r="P275" s="20" t="n">
        <v>0</v>
      </c>
    </row>
    <row r="276">
      <c r="A276" s="18" t="inlineStr">
        <is>
          <t>보증금 납입</t>
        </is>
      </c>
      <c r="D276" s="20" t="n">
        <v>-52.989</v>
      </c>
      <c r="H276" s="20" t="n">
        <v>-28.86</v>
      </c>
      <c r="L276" s="20" t="n">
        <v>-4.735</v>
      </c>
      <c r="O276" s="20" t="n">
        <v>0</v>
      </c>
      <c r="P276" s="20" t="n">
        <v>-61.445</v>
      </c>
      <c r="R276" s="20" t="n">
        <v>-2.754</v>
      </c>
      <c r="S276" s="20" t="n">
        <v>-33.367</v>
      </c>
      <c r="U276" s="20" t="n">
        <v>0</v>
      </c>
      <c r="V276" s="20" t="n">
        <v>-52.989</v>
      </c>
      <c r="W276" s="20" t="n">
        <v>-28.86</v>
      </c>
      <c r="X276" s="20" t="n">
        <v>-4.735</v>
      </c>
    </row>
    <row r="277">
      <c r="A277" s="18" t="inlineStr">
        <is>
          <t>보증금 회수</t>
        </is>
      </c>
      <c r="R277" s="20" t="n">
        <v>4.646</v>
      </c>
      <c r="S277" s="20" t="n">
        <v>62.079</v>
      </c>
    </row>
    <row r="278">
      <c r="A278" s="18" t="inlineStr">
        <is>
          <t>기타</t>
        </is>
      </c>
      <c r="D278" s="20" t="n">
        <v>1.173</v>
      </c>
      <c r="H278" s="20" t="n">
        <v>46.087</v>
      </c>
      <c r="L278" s="20" t="n">
        <v>4.642</v>
      </c>
      <c r="O278" s="20" t="n">
        <v>-2.974</v>
      </c>
      <c r="P278" s="20" t="n">
        <v>-62.064</v>
      </c>
      <c r="Q278" s="20" t="n">
        <v>6.364</v>
      </c>
      <c r="R278" s="20" t="n">
        <v>-0.821</v>
      </c>
      <c r="S278" s="20" t="n">
        <v>30.687</v>
      </c>
      <c r="T278" s="20" t="n">
        <v>0.223</v>
      </c>
      <c r="U278" s="20" t="n">
        <v>2.456</v>
      </c>
      <c r="V278" s="20" t="n">
        <v>1.173</v>
      </c>
      <c r="W278" s="20" t="n">
        <v>46.087</v>
      </c>
      <c r="X278" s="20" t="n">
        <v>4.642</v>
      </c>
    </row>
    <row r="279">
      <c r="A279" s="9" t="inlineStr">
        <is>
          <t>투자활동 현금흐름</t>
        </is>
      </c>
      <c r="D279" s="12" t="n">
        <v>-561.062</v>
      </c>
      <c r="H279" s="12" t="n">
        <v>317.464</v>
      </c>
      <c r="L279" s="12" t="n">
        <v>-3609.583</v>
      </c>
      <c r="O279" s="12" t="n">
        <v>120.745</v>
      </c>
      <c r="P279" s="12" t="n">
        <v>-46.127</v>
      </c>
      <c r="Q279" s="12" t="n">
        <v>-116.826</v>
      </c>
      <c r="R279" s="12" t="n">
        <v>-82.17400000000001</v>
      </c>
      <c r="S279" s="12" t="n">
        <v>-197.836</v>
      </c>
      <c r="T279" s="12" t="n">
        <v>-119.971</v>
      </c>
      <c r="U279" s="12" t="n">
        <v>-913.7140000000001</v>
      </c>
      <c r="V279" s="12" t="n">
        <v>-561.062</v>
      </c>
      <c r="W279" s="12" t="n">
        <v>317.464</v>
      </c>
      <c r="X279" s="12" t="n">
        <v>-3609.583</v>
      </c>
    </row>
    <row r="280">
      <c r="A280" s="18" t="inlineStr">
        <is>
          <t>자기주식 취득</t>
        </is>
      </c>
      <c r="H280" s="20" t="n">
        <v>0</v>
      </c>
      <c r="L280" s="20" t="n">
        <v>-0.006</v>
      </c>
      <c r="O280" s="20" t="n">
        <v>-0.08599999999999999</v>
      </c>
      <c r="P280" s="20" t="n">
        <v>0</v>
      </c>
      <c r="W280" s="20" t="n">
        <v>0</v>
      </c>
      <c r="X280" s="20" t="n">
        <v>-0.006</v>
      </c>
    </row>
    <row r="281">
      <c r="A281" s="18" t="inlineStr">
        <is>
          <t>배당금 지급</t>
        </is>
      </c>
      <c r="D281" s="20" t="n">
        <v>-291.41</v>
      </c>
      <c r="H281" s="20" t="n">
        <v>-456.086</v>
      </c>
      <c r="L281" s="20" t="n">
        <v>-389.22</v>
      </c>
      <c r="O281" s="20" t="n">
        <v>-296.981</v>
      </c>
      <c r="P281" s="20" t="n">
        <v>-323.978</v>
      </c>
      <c r="Q281" s="20" t="n">
        <v>-323.978</v>
      </c>
      <c r="R281" s="20" t="n">
        <v>-323.978</v>
      </c>
      <c r="S281" s="20" t="n">
        <v>-256.482</v>
      </c>
      <c r="T281" s="20" t="n">
        <v>-188.987</v>
      </c>
      <c r="U281" s="20" t="n">
        <v>-215.985</v>
      </c>
      <c r="V281" s="20" t="n">
        <v>-291.41</v>
      </c>
      <c r="W281" s="20" t="n">
        <v>-456.086</v>
      </c>
      <c r="X281" s="20" t="n">
        <v>-389.22</v>
      </c>
    </row>
    <row r="282">
      <c r="A282" s="18" t="inlineStr">
        <is>
          <t>리스부채 상환</t>
        </is>
      </c>
      <c r="D282" s="20" t="n">
        <v>-77.626</v>
      </c>
      <c r="H282" s="20" t="n">
        <v>-87.435</v>
      </c>
      <c r="L282" s="20" t="n">
        <v>-74.84399999999999</v>
      </c>
      <c r="Q282" s="20" t="n">
        <v>0</v>
      </c>
      <c r="R282" s="20" t="n">
        <v>-40.992</v>
      </c>
      <c r="S282" s="20" t="n">
        <v>-28.015</v>
      </c>
      <c r="T282" s="20" t="n">
        <v>-25.363</v>
      </c>
      <c r="U282" s="20" t="n">
        <v>-74.148</v>
      </c>
      <c r="V282" s="20" t="n">
        <v>-77.626</v>
      </c>
      <c r="W282" s="20" t="n">
        <v>-87.435</v>
      </c>
      <c r="X282" s="20" t="n">
        <v>-74.84399999999999</v>
      </c>
    </row>
    <row r="283">
      <c r="A283" s="9" t="inlineStr">
        <is>
          <t>재무활동 현금흐름</t>
        </is>
      </c>
      <c r="D283" s="12" t="n">
        <v>-369.036</v>
      </c>
      <c r="H283" s="12" t="n">
        <v>-543.521</v>
      </c>
      <c r="L283" s="12" t="n">
        <v>-464.07</v>
      </c>
      <c r="O283" s="12" t="n">
        <v>-297.068</v>
      </c>
      <c r="P283" s="12" t="n">
        <v>-323.978</v>
      </c>
      <c r="Q283" s="12" t="n">
        <v>-323.978</v>
      </c>
      <c r="R283" s="12" t="n">
        <v>-364.97</v>
      </c>
      <c r="S283" s="12" t="n">
        <v>-284.498</v>
      </c>
      <c r="T283" s="12" t="n">
        <v>-214.351</v>
      </c>
      <c r="U283" s="12" t="n">
        <v>-290.133</v>
      </c>
      <c r="V283" s="12" t="n">
        <v>-369.036</v>
      </c>
      <c r="W283" s="12" t="n">
        <v>-543.521</v>
      </c>
      <c r="X283" s="12" t="n">
        <v>-464.07</v>
      </c>
    </row>
    <row r="284">
      <c r="A284" s="18" t="inlineStr">
        <is>
          <t>현금성자산 환산차이</t>
        </is>
      </c>
      <c r="D284" s="20" t="n">
        <v>98.521</v>
      </c>
      <c r="H284" s="20" t="n">
        <v>117.201</v>
      </c>
      <c r="L284" s="20" t="n">
        <v>25.631</v>
      </c>
      <c r="O284" s="20" t="n">
        <v>-74.36499999999999</v>
      </c>
      <c r="P284" s="20" t="n">
        <v>34.901</v>
      </c>
      <c r="Q284" s="20" t="n">
        <v>-51.898</v>
      </c>
      <c r="R284" s="20" t="n">
        <v>-14.445</v>
      </c>
      <c r="S284" s="20" t="n">
        <v>-7.757</v>
      </c>
      <c r="T284" s="20" t="n">
        <v>145.446</v>
      </c>
      <c r="U284" s="20" t="n">
        <v>140.456</v>
      </c>
      <c r="V284" s="20" t="n">
        <v>98.521</v>
      </c>
      <c r="W284" s="20" t="n">
        <v>117.201</v>
      </c>
      <c r="X284" s="20" t="n">
        <v>25.631</v>
      </c>
    </row>
    <row r="285">
      <c r="A285" s="18" t="inlineStr">
        <is>
          <t>현금성자산 증감</t>
        </is>
      </c>
      <c r="D285" s="20" t="n">
        <v>-22.786</v>
      </c>
      <c r="H285" s="20" t="n">
        <v>1346.624</v>
      </c>
      <c r="L285" s="20" t="n">
        <v>-2287.483</v>
      </c>
      <c r="O285" s="20" t="n">
        <v>1018.621</v>
      </c>
      <c r="P285" s="20" t="n">
        <v>747.259</v>
      </c>
      <c r="Q285" s="20" t="n">
        <v>250.138</v>
      </c>
      <c r="R285" s="20" t="n">
        <v>367.187</v>
      </c>
      <c r="S285" s="20" t="n">
        <v>781.063</v>
      </c>
      <c r="T285" s="20" t="n">
        <v>326.663</v>
      </c>
      <c r="U285" s="20" t="n">
        <v>-227.759</v>
      </c>
      <c r="V285" s="20" t="n">
        <v>-22.786</v>
      </c>
      <c r="W285" s="20" t="n">
        <v>1346.624</v>
      </c>
      <c r="X285" s="20" t="n">
        <v>-2287.483</v>
      </c>
    </row>
    <row r="286">
      <c r="A286" s="18" t="inlineStr">
        <is>
          <t>신규 연결 현금성자산 증가</t>
        </is>
      </c>
      <c r="O286" s="20" t="n">
        <v>16.418</v>
      </c>
      <c r="P286" s="20" t="n">
        <v>3.067</v>
      </c>
      <c r="Q286" s="20" t="n">
        <v>34.066</v>
      </c>
      <c r="R286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5819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2025.2Q</t>
        </is>
      </c>
      <c r="D3" s="5" t="inlineStr">
        <is>
          <t>2025.3Q</t>
        </is>
      </c>
      <c r="E3" s="5" t="inlineStr">
        <is>
          <t>2025.4Q</t>
        </is>
      </c>
      <c r="F3" s="5" t="inlineStr">
        <is>
          <t>2026.1Q</t>
        </is>
      </c>
      <c r="G3" s="5" t="inlineStr">
        <is>
          <t>2026.2Q</t>
        </is>
      </c>
      <c r="H3" s="6" t="inlineStr">
        <is>
          <t>2021</t>
        </is>
      </c>
      <c r="I3" s="5" t="inlineStr">
        <is>
          <t>2022</t>
        </is>
      </c>
      <c r="J3" s="5" t="inlineStr">
        <is>
          <t>2023</t>
        </is>
      </c>
      <c r="K3" s="5" t="inlineStr">
        <is>
          <t>2024</t>
        </is>
      </c>
      <c r="L3" s="5" t="inlineStr">
        <is>
          <t>2025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13907.223</v>
      </c>
      <c r="D5" s="12" t="n">
        <v>13609.676</v>
      </c>
      <c r="E5" s="12" t="n">
        <v>14144.179</v>
      </c>
      <c r="F5" s="12" t="n">
        <v>13673.261</v>
      </c>
      <c r="G5" s="12" t="n">
        <v>13822.485</v>
      </c>
      <c r="H5" s="11" t="n">
        <v>13867.522</v>
      </c>
      <c r="I5" s="12" t="n">
        <v>14437.536</v>
      </c>
      <c r="J5" s="12" t="n">
        <v>15556.783</v>
      </c>
      <c r="K5" s="12" t="n">
        <v>16497.597</v>
      </c>
      <c r="L5" s="12" t="n">
        <v>14144.179</v>
      </c>
    </row>
    <row r="6">
      <c r="A6" s="18" t="inlineStr">
        <is>
          <t>현금및현금성자산</t>
        </is>
      </c>
      <c r="B6" s="10" t="n"/>
      <c r="C6" s="19" t="n">
        <v>9037.641</v>
      </c>
      <c r="D6" s="20" t="n">
        <v>8735.834999999999</v>
      </c>
      <c r="E6" s="20" t="n">
        <v>9266.101000000001</v>
      </c>
      <c r="F6" s="20" t="n">
        <v>8748.933999999999</v>
      </c>
      <c r="G6" s="20" t="n">
        <v>8745.136</v>
      </c>
      <c r="H6" s="19" t="n">
        <v>9782.346</v>
      </c>
      <c r="I6" s="20" t="n">
        <v>9608.272000000001</v>
      </c>
      <c r="J6" s="20" t="n">
        <v>10270.5</v>
      </c>
      <c r="K6" s="20" t="n">
        <v>11475.228</v>
      </c>
      <c r="L6" s="20" t="n">
        <v>9266.101000000001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>
        <v>0</v>
      </c>
      <c r="I7" s="20" t="n">
        <v>99.42</v>
      </c>
      <c r="J7" s="20" t="n">
        <v>0</v>
      </c>
      <c r="K7" s="20" t="n"/>
      <c r="L7" s="20" t="n"/>
    </row>
    <row r="8">
      <c r="A8" s="18" t="inlineStr">
        <is>
          <t>매출채권</t>
        </is>
      </c>
      <c r="B8" s="10" t="n"/>
      <c r="C8" s="19" t="n">
        <v>1395.202</v>
      </c>
      <c r="D8" s="20" t="n">
        <v>1309.619</v>
      </c>
      <c r="E8" s="20" t="n">
        <v>1294.497</v>
      </c>
      <c r="F8" s="20" t="n">
        <v>1263.21</v>
      </c>
      <c r="G8" s="20" t="n">
        <v>1503.737</v>
      </c>
      <c r="H8" s="19" t="n">
        <v>1110.184</v>
      </c>
      <c r="I8" s="20" t="n">
        <v>1273.881</v>
      </c>
      <c r="J8" s="20" t="n">
        <v>1540.506</v>
      </c>
      <c r="K8" s="20" t="n">
        <v>1371.55</v>
      </c>
      <c r="L8" s="20" t="n">
        <v>1294.497</v>
      </c>
    </row>
    <row r="9">
      <c r="A9" s="18" t="inlineStr">
        <is>
          <t>재고자산</t>
        </is>
      </c>
      <c r="B9" s="10" t="n"/>
      <c r="C9" s="19" t="n">
        <v>3076.365</v>
      </c>
      <c r="D9" s="20" t="n">
        <v>3172.058</v>
      </c>
      <c r="E9" s="20" t="n">
        <v>3169.173</v>
      </c>
      <c r="F9" s="20" t="n">
        <v>3291.572</v>
      </c>
      <c r="G9" s="20" t="n">
        <v>3210.457</v>
      </c>
      <c r="H9" s="19" t="n">
        <v>2595.756</v>
      </c>
      <c r="I9" s="20" t="n">
        <v>2994.847</v>
      </c>
      <c r="J9" s="20" t="n">
        <v>3226.308</v>
      </c>
      <c r="K9" s="20" t="n">
        <v>3206.806</v>
      </c>
      <c r="L9" s="20" t="n">
        <v>3169.173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5975.251</v>
      </c>
      <c r="D11" s="12" t="n">
        <v>6882.923</v>
      </c>
      <c r="E11" s="12" t="n">
        <v>6930.973</v>
      </c>
      <c r="F11" s="12" t="n">
        <v>7230.744</v>
      </c>
      <c r="G11" s="12" t="n">
        <v>7456.538</v>
      </c>
      <c r="H11" s="11" t="n">
        <v>2405.488</v>
      </c>
      <c r="I11" s="12" t="n">
        <v>3293.749</v>
      </c>
      <c r="J11" s="12" t="n">
        <v>3352.111</v>
      </c>
      <c r="K11" s="12" t="n">
        <v>3128.898</v>
      </c>
      <c r="L11" s="12" t="n">
        <v>6930.973</v>
      </c>
    </row>
    <row r="12">
      <c r="A12" s="18" t="inlineStr">
        <is>
          <t>유형자산</t>
        </is>
      </c>
      <c r="B12" s="10" t="n"/>
      <c r="C12" s="19" t="n">
        <v>2042.409</v>
      </c>
      <c r="D12" s="20" t="n">
        <v>2189.901</v>
      </c>
      <c r="E12" s="20" t="n">
        <v>2215.642</v>
      </c>
      <c r="F12" s="20" t="n">
        <v>2168.165</v>
      </c>
      <c r="G12" s="20" t="n">
        <v>2139.537</v>
      </c>
      <c r="H12" s="19" t="n">
        <v>1379.84</v>
      </c>
      <c r="I12" s="20" t="n">
        <v>2341.954</v>
      </c>
      <c r="J12" s="20" t="n">
        <v>2259.817</v>
      </c>
      <c r="K12" s="20" t="n">
        <v>2138.595</v>
      </c>
      <c r="L12" s="20" t="n">
        <v>2215.642</v>
      </c>
    </row>
    <row r="13">
      <c r="A13" s="18" t="inlineStr">
        <is>
          <t>무형자산</t>
        </is>
      </c>
      <c r="B13" s="10" t="n"/>
      <c r="C13" s="19" t="n">
        <v>24.663</v>
      </c>
      <c r="D13" s="20" t="n">
        <v>23.023</v>
      </c>
      <c r="E13" s="20" t="n">
        <v>27.251</v>
      </c>
      <c r="F13" s="20" t="n">
        <v>25.671</v>
      </c>
      <c r="G13" s="20" t="n">
        <v>23.872</v>
      </c>
      <c r="H13" s="19" t="n">
        <v>17.902</v>
      </c>
      <c r="I13" s="20" t="n">
        <v>12.731</v>
      </c>
      <c r="J13" s="20" t="n">
        <v>15.235</v>
      </c>
      <c r="K13" s="20" t="n">
        <v>15.958</v>
      </c>
      <c r="L13" s="20" t="n">
        <v>27.251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19882.474</v>
      </c>
      <c r="D16" s="12" t="n">
        <v>20492.6</v>
      </c>
      <c r="E16" s="12" t="n">
        <v>21075.153</v>
      </c>
      <c r="F16" s="12" t="n">
        <v>20904.005</v>
      </c>
      <c r="G16" s="12" t="n">
        <v>21279.023</v>
      </c>
      <c r="H16" s="11" t="n">
        <v>16273.011</v>
      </c>
      <c r="I16" s="12" t="n">
        <v>17731.286</v>
      </c>
      <c r="J16" s="12" t="n">
        <v>18908.894</v>
      </c>
      <c r="K16" s="12" t="n">
        <v>19626.496</v>
      </c>
      <c r="L16" s="12" t="n">
        <v>21075.153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1412.85</v>
      </c>
      <c r="D18" s="12" t="n">
        <v>1601.958</v>
      </c>
      <c r="E18" s="12" t="n">
        <v>1700.822</v>
      </c>
      <c r="F18" s="12" t="n">
        <v>1574.231</v>
      </c>
      <c r="G18" s="12" t="n">
        <v>1386.782</v>
      </c>
      <c r="H18" s="11" t="n">
        <v>1378.606</v>
      </c>
      <c r="I18" s="12" t="n">
        <v>1764.114</v>
      </c>
      <c r="J18" s="12" t="n">
        <v>1651.987</v>
      </c>
      <c r="K18" s="12" t="n">
        <v>1505.83</v>
      </c>
      <c r="L18" s="12" t="n">
        <v>1700.822</v>
      </c>
    </row>
    <row r="19">
      <c r="A19" s="18" t="inlineStr">
        <is>
          <t>매입채무</t>
        </is>
      </c>
      <c r="B19" s="10" t="n"/>
      <c r="C19" s="19" t="n">
        <v>562.575</v>
      </c>
      <c r="D19" s="20" t="n">
        <v>652.282</v>
      </c>
      <c r="E19" s="20" t="n">
        <v>660.463</v>
      </c>
      <c r="F19" s="20" t="n">
        <v>741.587</v>
      </c>
      <c r="G19" s="20" t="n">
        <v>588.8630000000001</v>
      </c>
      <c r="H19" s="19" t="n">
        <v>498.35</v>
      </c>
      <c r="I19" s="20" t="n">
        <v>555.0069999999999</v>
      </c>
      <c r="J19" s="20" t="n">
        <v>604.745</v>
      </c>
      <c r="K19" s="20" t="n">
        <v>548.98</v>
      </c>
      <c r="L19" s="20" t="n">
        <v>660.463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152.029</v>
      </c>
      <c r="D23" s="12" t="n">
        <v>305.023</v>
      </c>
      <c r="E23" s="12" t="n">
        <v>325.509</v>
      </c>
      <c r="F23" s="12" t="n">
        <v>246.891</v>
      </c>
      <c r="G23" s="12" t="n">
        <v>280.77</v>
      </c>
      <c r="H23" s="11" t="n">
        <v>177.803</v>
      </c>
      <c r="I23" s="12" t="n">
        <v>272.627</v>
      </c>
      <c r="J23" s="12" t="n">
        <v>235.541</v>
      </c>
      <c r="K23" s="12" t="n">
        <v>155.152</v>
      </c>
      <c r="L23" s="12" t="n">
        <v>325.509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/>
      <c r="I24" s="20" t="n"/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1564.879</v>
      </c>
      <c r="D27" s="12" t="n">
        <v>1906.982</v>
      </c>
      <c r="E27" s="12" t="n">
        <v>2026.331</v>
      </c>
      <c r="F27" s="12" t="n">
        <v>1821.122</v>
      </c>
      <c r="G27" s="12" t="n">
        <v>1667.552</v>
      </c>
      <c r="H27" s="11" t="n">
        <v>1556.409</v>
      </c>
      <c r="I27" s="12" t="n">
        <v>2036.741</v>
      </c>
      <c r="J27" s="12" t="n">
        <v>1887.528</v>
      </c>
      <c r="K27" s="12" t="n">
        <v>1660.983</v>
      </c>
      <c r="L27" s="12" t="n">
        <v>2026.331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18317.595</v>
      </c>
      <c r="D31" s="12" t="n">
        <v>18585.617</v>
      </c>
      <c r="E31" s="12" t="n">
        <v>19048.821</v>
      </c>
      <c r="F31" s="12" t="n">
        <v>19082.883</v>
      </c>
      <c r="G31" s="12" t="n">
        <v>19611.471</v>
      </c>
      <c r="H31" s="11" t="n">
        <v>14716.601</v>
      </c>
      <c r="I31" s="12" t="n">
        <v>15694.544</v>
      </c>
      <c r="J31" s="12" t="n">
        <v>17021.366</v>
      </c>
      <c r="K31" s="12" t="n">
        <v>17965.513</v>
      </c>
      <c r="L31" s="12" t="n">
        <v>19048.821</v>
      </c>
    </row>
    <row r="32">
      <c r="A32" s="18" t="inlineStr">
        <is>
          <t>자본금</t>
        </is>
      </c>
      <c r="B32" s="10" t="n"/>
      <c r="C32" s="19" t="n">
        <v>1047.542</v>
      </c>
      <c r="D32" s="20" t="n">
        <v>1047.542</v>
      </c>
      <c r="E32" s="20" t="n">
        <v>1047.542</v>
      </c>
      <c r="F32" s="20" t="n">
        <v>1047.542</v>
      </c>
      <c r="G32" s="20" t="n">
        <v>1047.542</v>
      </c>
      <c r="H32" s="19" t="n">
        <v>1047.542</v>
      </c>
      <c r="I32" s="20" t="n">
        <v>1047.542</v>
      </c>
      <c r="J32" s="20" t="n">
        <v>1047.542</v>
      </c>
      <c r="K32" s="20" t="n">
        <v>1047.542</v>
      </c>
      <c r="L32" s="20" t="n">
        <v>1047.542</v>
      </c>
    </row>
    <row r="33">
      <c r="A33" s="18" t="inlineStr">
        <is>
          <t>이익잉여금</t>
        </is>
      </c>
      <c r="B33" s="10" t="n"/>
      <c r="C33" s="19" t="n">
        <v>15215.202</v>
      </c>
      <c r="D33" s="20" t="n">
        <v>15357.205</v>
      </c>
      <c r="E33" s="20" t="n">
        <v>15577.694</v>
      </c>
      <c r="F33" s="20" t="n">
        <v>15590.357</v>
      </c>
      <c r="G33" s="20" t="n">
        <v>15953.056</v>
      </c>
      <c r="H33" s="19" t="n">
        <v>12632.377</v>
      </c>
      <c r="I33" s="20" t="n">
        <v>13285.332</v>
      </c>
      <c r="J33" s="20" t="n">
        <v>14182.372</v>
      </c>
      <c r="K33" s="20" t="n">
        <v>14765.985</v>
      </c>
      <c r="L33" s="20" t="n">
        <v>15577.694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18317.595</v>
      </c>
      <c r="D35" s="12" t="n">
        <v>18585.617</v>
      </c>
      <c r="E35" s="12" t="n">
        <v>19048.821</v>
      </c>
      <c r="F35" s="12" t="n">
        <v>19082.883</v>
      </c>
      <c r="G35" s="12" t="n">
        <v>19611.471</v>
      </c>
      <c r="H35" s="11" t="n">
        <v>14716.601</v>
      </c>
      <c r="I35" s="12" t="n">
        <v>15694.544</v>
      </c>
      <c r="J35" s="12" t="n">
        <v>17021.366</v>
      </c>
      <c r="K35" s="12" t="n">
        <v>17965.513</v>
      </c>
      <c r="L35" s="12" t="n">
        <v>19048.821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>
        <v>1760.538</v>
      </c>
      <c r="F37" s="12" t="n"/>
      <c r="G37" s="12" t="n"/>
      <c r="H37" s="11" t="n">
        <v>515.538</v>
      </c>
      <c r="I37" s="12" t="n">
        <v>835.6319999999999</v>
      </c>
      <c r="J37" s="12" t="n">
        <v>808.79</v>
      </c>
      <c r="K37" s="12" t="n">
        <v>1455.48</v>
      </c>
      <c r="L37" s="12" t="n">
        <v>1760.538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>
        <v>94.33799999999999</v>
      </c>
      <c r="F38" s="20" t="n"/>
      <c r="G38" s="20" t="n"/>
      <c r="H38" s="19" t="n">
        <v>59.451</v>
      </c>
      <c r="I38" s="20" t="n">
        <v>929.6079999999999</v>
      </c>
      <c r="J38" s="20" t="n">
        <v>92.54300000000001</v>
      </c>
      <c r="K38" s="20" t="n">
        <v>135.722</v>
      </c>
      <c r="L38" s="20" t="n">
        <v>94.33799999999999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>
        <v>389.22</v>
      </c>
      <c r="F40" s="20" t="n"/>
      <c r="G40" s="20" t="n"/>
      <c r="H40" s="19" t="n">
        <v>188.987</v>
      </c>
      <c r="I40" s="20" t="n">
        <v>215.985</v>
      </c>
      <c r="J40" s="20" t="n">
        <v>291.41</v>
      </c>
      <c r="K40" s="20" t="n">
        <v>456.086</v>
      </c>
      <c r="L40" s="20" t="n">
        <v>389.22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IFERROR((IF(COUNT('연간'!G37:J37)&lt;4,"",SUM('연간'!G37:J37)))/(IF(COUNT('연간'!G59:J59)&lt;4,"",SUM('연간'!G59:J59))),"")</f>
        <v/>
      </c>
      <c r="D48" s="31">
        <f>IFERROR((IF(COUNT('연간'!H37:K37)&lt;4,"",SUM('연간'!H37:K37)))/(IF(COUNT('연간'!H59:K59)&lt;4,"",SUM('연간'!H59:K59))),"")</f>
        <v/>
      </c>
      <c r="E48" s="31">
        <f>IFERROR((IF(COUNT('연간'!I37:L37)&lt;4,"",SUM('연간'!I37:L37)))/(IF(COUNT('연간'!I59:L59)&lt;4,"",SUM('연간'!I59:L59))),"")</f>
        <v/>
      </c>
      <c r="F48" s="31">
        <f>IFERROR((IF(COUNT('연간'!J37:M37)&lt;4,"",SUM('연간'!J37:M37)))/(IF(COUNT('연간'!J59:M59)&lt;4,"",SUM('연간'!J59:M59))),"")</f>
        <v/>
      </c>
      <c r="G48" s="31">
        <f>IFERROR((IF(COUNT('연간'!K37:N37)&lt;4,"",SUM('연간'!K37:N37)))/(IF(COUNT('연간'!K59:N59)&lt;4,"",SUM('연간'!K59:N59))),"")</f>
        <v/>
      </c>
      <c r="H48" s="30">
        <f>IFERROR(('연간'!T37)/('연간'!T59),"")</f>
        <v/>
      </c>
      <c r="I48" s="31">
        <f>IFERROR(('연간'!U37)/('연간'!U59),"")</f>
        <v/>
      </c>
      <c r="J48" s="31">
        <f>IFERROR(('연간'!V37)/('연간'!V59),"")</f>
        <v/>
      </c>
      <c r="K48" s="31">
        <f>IFERROR(('연간'!W37)/('연간'!W59),"")</f>
        <v/>
      </c>
      <c r="L48" s="31">
        <f>IFERROR(('연간'!X37)/('연간'!X59),"")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IFERROR(IF((IF(COUNT('연간'!G67:J67)&lt;4,"",SUM('연간'!G67:J67)))&lt;=0,"적자",C28/(IF(COUNT('연간'!G67:J67)&lt;4,"",SUM('연간'!G67:J67)))),"")</f>
        <v/>
      </c>
      <c r="D49" s="47">
        <f>IFERROR(IF((IF(COUNT('연간'!H67:K67)&lt;4,"",SUM('연간'!H67:K67)))&lt;=0,"적자",D28/(IF(COUNT('연간'!H67:K67)&lt;4,"",SUM('연간'!H67:K67)))),"")</f>
        <v/>
      </c>
      <c r="E49" s="47">
        <f>IFERROR(IF((IF(COUNT('연간'!I67:L67)&lt;4,"",SUM('연간'!I67:L67)))&lt;=0,"적자",E28/(IF(COUNT('연간'!I67:L67)&lt;4,"",SUM('연간'!I67:L67)))),"")</f>
        <v/>
      </c>
      <c r="F49" s="47">
        <f>IFERROR(IF((IF(COUNT('연간'!J67:M67)&lt;4,"",SUM('연간'!J67:M67)))&lt;=0,"적자",F28/(IF(COUNT('연간'!J67:M67)&lt;4,"",SUM('연간'!J67:M67)))),"")</f>
        <v/>
      </c>
      <c r="G49" s="47">
        <f>IFERROR(IF((IF(COUNT('연간'!K67:N67)&lt;4,"",SUM('연간'!K67:N67)))&lt;=0,"적자",G28/(IF(COUNT('연간'!K67:N67)&lt;4,"",SUM('연간'!K67:N67)))),"")</f>
        <v/>
      </c>
      <c r="H49" s="46">
        <f>IFERROR(IF(('연간'!T67)&lt;=0,"적자",H28/('연간'!T67)),"")</f>
        <v/>
      </c>
      <c r="I49" s="47">
        <f>IFERROR(IF(('연간'!U67)&lt;=0,"적자",I28/('연간'!U67)),"")</f>
        <v/>
      </c>
      <c r="J49" s="47">
        <f>IFERROR(IF(('연간'!V67)&lt;=0,"적자",J28/('연간'!V67)),"")</f>
        <v/>
      </c>
      <c r="K49" s="47">
        <f>IFERROR(IF(('연간'!W67)&lt;=0,"적자",K28/('연간'!W67)),"")</f>
        <v/>
      </c>
      <c r="L49" s="47">
        <f>IFERROR(IF(('연간'!X67)&lt;=0,"적자",L28/('연간'!X67)),"")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IFERROR((IF(COUNT('연간'!G67:J67)&lt;4,"",SUM('연간'!G67:J67)))/C31,"")</f>
        <v/>
      </c>
      <c r="D51" s="36">
        <f>IFERROR((IF(COUNT('연간'!H67:K67)&lt;4,"",SUM('연간'!H67:K67)))/D31,"")</f>
        <v/>
      </c>
      <c r="E51" s="36">
        <f>IFERROR((IF(COUNT('연간'!I67:L67)&lt;4,"",SUM('연간'!I67:L67)))/E31,"")</f>
        <v/>
      </c>
      <c r="F51" s="36">
        <f>IFERROR((IF(COUNT('연간'!J67:M67)&lt;4,"",SUM('연간'!J67:M67)))/F31,"")</f>
        <v/>
      </c>
      <c r="G51" s="36">
        <f>IFERROR((IF(COUNT('연간'!K67:N67)&lt;4,"",SUM('연간'!K67:N67)))/G31,"")</f>
        <v/>
      </c>
      <c r="H51" s="35">
        <f>IFERROR(('연간'!T67)/H31,"")</f>
        <v/>
      </c>
      <c r="I51" s="36">
        <f>IFERROR(('연간'!U67)/I31,"")</f>
        <v/>
      </c>
      <c r="J51" s="36">
        <f>IFERROR(('연간'!V67)/J31,"")</f>
        <v/>
      </c>
      <c r="K51" s="36">
        <f>IFERROR(('연간'!W67)/K31,"")</f>
        <v/>
      </c>
      <c r="L51" s="36">
        <f>IFERROR(('연간'!X67)/L31,"")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IFERROR((IF(COUNT('연간'!G65:J65)&lt;4,"",SUM('연간'!G65:J65)))/C16,"")</f>
        <v/>
      </c>
      <c r="D52" s="36">
        <f>IFERROR((IF(COUNT('연간'!H65:K65)&lt;4,"",SUM('연간'!H65:K65)))/D16,"")</f>
        <v/>
      </c>
      <c r="E52" s="36">
        <f>IFERROR((IF(COUNT('연간'!I65:L65)&lt;4,"",SUM('연간'!I65:L65)))/E16,"")</f>
        <v/>
      </c>
      <c r="F52" s="36">
        <f>IFERROR((IF(COUNT('연간'!J65:M65)&lt;4,"",SUM('연간'!J65:M65)))/F16,"")</f>
        <v/>
      </c>
      <c r="G52" s="36">
        <f>IFERROR((IF(COUNT('연간'!K65:N65)&lt;4,"",SUM('연간'!K65:N65)))/G16,"")</f>
        <v/>
      </c>
      <c r="H52" s="35">
        <f>IFERROR(('연간'!T65)/H16,"")</f>
        <v/>
      </c>
      <c r="I52" s="36">
        <f>IFERROR(('연간'!U65)/I16,"")</f>
        <v/>
      </c>
      <c r="J52" s="36">
        <f>IFERROR(('연간'!V65)/J16,"")</f>
        <v/>
      </c>
      <c r="K52" s="36">
        <f>IFERROR(('연간'!W65)/K16,"")</f>
        <v/>
      </c>
      <c r="L52" s="36">
        <f>IFERROR(('연간'!X65)/L16,"")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IFERROR((IF(COUNT('연간'!G37:J37)&lt;4,"",SUM('연간'!G37:J37)))*(1-0.3)/(C35+C29),"")</f>
        <v/>
      </c>
      <c r="D53" s="36">
        <f>IFERROR((IF(COUNT('연간'!H37:K37)&lt;4,"",SUM('연간'!H37:K37)))*(1-0.3)/(D35+D29),"")</f>
        <v/>
      </c>
      <c r="E53" s="36">
        <f>IFERROR((IF(COUNT('연간'!I37:L37)&lt;4,"",SUM('연간'!I37:L37)))*(1-0.3)/(E35+E29),"")</f>
        <v/>
      </c>
      <c r="F53" s="36">
        <f>IFERROR((IF(COUNT('연간'!J37:M37)&lt;4,"",SUM('연간'!J37:M37)))*(1-0.3)/(F35+F29),"")</f>
        <v/>
      </c>
      <c r="G53" s="36">
        <f>IFERROR((IF(COUNT('연간'!K37:N37)&lt;4,"",SUM('연간'!K37:N37)))*(1-0.3)/(G35+G29),"")</f>
        <v/>
      </c>
      <c r="H53" s="35">
        <f>IFERROR(('연간'!T37)*(1-0.3)/(H35+H29),"")</f>
        <v/>
      </c>
      <c r="I53" s="36">
        <f>IFERROR(('연간'!U37)*(1-0.3)/(I35+I29),"")</f>
        <v/>
      </c>
      <c r="J53" s="36">
        <f>IFERROR(('연간'!V37)*(1-0.3)/(J35+J29),"")</f>
        <v/>
      </c>
      <c r="K53" s="36">
        <f>IFERROR(('연간'!W37)*(1-0.3)/(K35+K29),"")</f>
        <v/>
      </c>
      <c r="L53" s="36">
        <f>IFERROR(('연간'!X37)*(1-0.3)/(L35+L29),"")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IFERROR((IF(COUNT('연간'!G31:J31)&lt;4,"",SUM('연간'!G31:J31)))/(IF(COUNT('연간'!G4:J4)&lt;4,"",SUM('연간'!G4:J4))),"")</f>
        <v/>
      </c>
      <c r="D54" s="36">
        <f>IFERROR((IF(COUNT('연간'!H31:K31)&lt;4,"",SUM('연간'!H31:K31)))/(IF(COUNT('연간'!H4:K4)&lt;4,"",SUM('연간'!H4:K4))),"")</f>
        <v/>
      </c>
      <c r="E54" s="36">
        <f>IFERROR((IF(COUNT('연간'!I31:L31)&lt;4,"",SUM('연간'!I31:L31)))/(IF(COUNT('연간'!I4:L4)&lt;4,"",SUM('연간'!I4:L4))),"")</f>
        <v/>
      </c>
      <c r="F54" s="36">
        <f>IFERROR((IF(COUNT('연간'!J31:M31)&lt;4,"",SUM('연간'!J31:M31)))/(IF(COUNT('연간'!J4:M4)&lt;4,"",SUM('연간'!J4:M4))),"")</f>
        <v/>
      </c>
      <c r="G54" s="36">
        <f>IFERROR((IF(COUNT('연간'!K31:N31)&lt;4,"",SUM('연간'!K31:N31)))/(IF(COUNT('연간'!K4:N4)&lt;4,"",SUM('연간'!K4:N4))),"")</f>
        <v/>
      </c>
      <c r="H54" s="35">
        <f>IFERROR(('연간'!T31)/('연간'!T4),"")</f>
        <v/>
      </c>
      <c r="I54" s="36">
        <f>IFERROR(('연간'!U31)/('연간'!U4),"")</f>
        <v/>
      </c>
      <c r="J54" s="36">
        <f>IFERROR(('연간'!V31)/('연간'!V4),"")</f>
        <v/>
      </c>
      <c r="K54" s="36">
        <f>IFERROR(('연간'!W31)/('연간'!W4),"")</f>
        <v/>
      </c>
      <c r="L54" s="36">
        <f>IFERROR(('연간'!X31)/('연간'!X4),"")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IFERROR((IF(COUNT('연간'!G37:J37)&lt;4,"",SUM('연간'!G37:J37)))/(IF(COUNT('연간'!G4:J4)&lt;4,"",SUM('연간'!G4:J4))),"")</f>
        <v/>
      </c>
      <c r="D55" s="36">
        <f>IFERROR((IF(COUNT('연간'!H37:K37)&lt;4,"",SUM('연간'!H37:K37)))/(IF(COUNT('연간'!H4:K4)&lt;4,"",SUM('연간'!H4:K4))),"")</f>
        <v/>
      </c>
      <c r="E55" s="36">
        <f>IFERROR((IF(COUNT('연간'!I37:L37)&lt;4,"",SUM('연간'!I37:L37)))/(IF(COUNT('연간'!I4:L4)&lt;4,"",SUM('연간'!I4:L4))),"")</f>
        <v/>
      </c>
      <c r="F55" s="36">
        <f>IFERROR((IF(COUNT('연간'!J37:M37)&lt;4,"",SUM('연간'!J37:M37)))/(IF(COUNT('연간'!J4:M4)&lt;4,"",SUM('연간'!J4:M4))),"")</f>
        <v/>
      </c>
      <c r="G55" s="36">
        <f>IFERROR((IF(COUNT('연간'!K37:N37)&lt;4,"",SUM('연간'!K37:N37)))/(IF(COUNT('연간'!K4:N4)&lt;4,"",SUM('연간'!K4:N4))),"")</f>
        <v/>
      </c>
      <c r="H55" s="35">
        <f>IFERROR(('연간'!T37)/('연간'!T4),"")</f>
        <v/>
      </c>
      <c r="I55" s="36">
        <f>IFERROR(('연간'!U37)/('연간'!U4),"")</f>
        <v/>
      </c>
      <c r="J55" s="36">
        <f>IFERROR(('연간'!V37)/('연간'!V4),"")</f>
        <v/>
      </c>
      <c r="K55" s="36">
        <f>IFERROR(('연간'!W37)/('연간'!W4),"")</f>
        <v/>
      </c>
      <c r="L55" s="36">
        <f>IFERROR(('연간'!X37)/('연간'!X4),"")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IFERROR((IF(COUNT('연간'!G65:J65)&lt;4,"",SUM('연간'!G65:J65)))/(IF(COUNT('연간'!G4:J4)&lt;4,"",SUM('연간'!G4:J4))),"")</f>
        <v/>
      </c>
      <c r="D56" s="36">
        <f>IFERROR((IF(COUNT('연간'!H65:K65)&lt;4,"",SUM('연간'!H65:K65)))/(IF(COUNT('연간'!H4:K4)&lt;4,"",SUM('연간'!H4:K4))),"")</f>
        <v/>
      </c>
      <c r="E56" s="36">
        <f>IFERROR((IF(COUNT('연간'!I65:L65)&lt;4,"",SUM('연간'!I65:L65)))/(IF(COUNT('연간'!I4:L4)&lt;4,"",SUM('연간'!I4:L4))),"")</f>
        <v/>
      </c>
      <c r="F56" s="36">
        <f>IFERROR((IF(COUNT('연간'!J65:M65)&lt;4,"",SUM('연간'!J65:M65)))/(IF(COUNT('연간'!J4:M4)&lt;4,"",SUM('연간'!J4:M4))),"")</f>
        <v/>
      </c>
      <c r="G56" s="36">
        <f>IFERROR((IF(COUNT('연간'!K65:N65)&lt;4,"",SUM('연간'!K65:N65)))/(IF(COUNT('연간'!K4:N4)&lt;4,"",SUM('연간'!K4:N4))),"")</f>
        <v/>
      </c>
      <c r="H56" s="35">
        <f>IFERROR(('연간'!T65)/('연간'!T4),"")</f>
        <v/>
      </c>
      <c r="I56" s="36">
        <f>IFERROR(('연간'!U65)/('연간'!U4),"")</f>
        <v/>
      </c>
      <c r="J56" s="36">
        <f>IFERROR(('연간'!V65)/('연간'!V4),"")</f>
        <v/>
      </c>
      <c r="K56" s="36">
        <f>IFERROR(('연간'!W65)/('연간'!W4),"")</f>
        <v/>
      </c>
      <c r="L56" s="36">
        <f>IFERROR(('연간'!X65)/('연간'!X4),"")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IFERROR(C9/(IF(COUNT('연간'!G29:J29)&lt;4,"",SUM('연간'!G29:J29)))*365,"")</f>
        <v/>
      </c>
      <c r="D60" s="49">
        <f>IFERROR(D9/(IF(COUNT('연간'!H29:K29)&lt;4,"",SUM('연간'!H29:K29)))*365,"")</f>
        <v/>
      </c>
      <c r="E60" s="49">
        <f>IFERROR(E9/(IF(COUNT('연간'!I29:L29)&lt;4,"",SUM('연간'!I29:L29)))*365,"")</f>
        <v/>
      </c>
      <c r="F60" s="49">
        <f>IFERROR(F9/(IF(COUNT('연간'!J29:M29)&lt;4,"",SUM('연간'!J29:M29)))*365,"")</f>
        <v/>
      </c>
      <c r="G60" s="49">
        <f>IFERROR(G9/(IF(COUNT('연간'!K29:N29)&lt;4,"",SUM('연간'!K29:N29)))*365,"")</f>
        <v/>
      </c>
      <c r="H60" s="48">
        <f>IFERROR(H9/('연간'!T29)*365,"")</f>
        <v/>
      </c>
      <c r="I60" s="49">
        <f>IFERROR(I9/('연간'!U29)*365,"")</f>
        <v/>
      </c>
      <c r="J60" s="49">
        <f>IFERROR(J9/('연간'!V29)*365,"")</f>
        <v/>
      </c>
      <c r="K60" s="49">
        <f>IFERROR(K9/('연간'!W29)*365,"")</f>
        <v/>
      </c>
      <c r="L60" s="49">
        <f>IFERROR(L9/('연간'!X29)*365,"")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IFERROR(C19/(IF(COUNT('연간'!G29:J29)&lt;4,"",SUM('연간'!G29:J29)))*365,"")</f>
        <v/>
      </c>
      <c r="D61" s="49">
        <f>IFERROR(D19/(IF(COUNT('연간'!H29:K29)&lt;4,"",SUM('연간'!H29:K29)))*365,"")</f>
        <v/>
      </c>
      <c r="E61" s="49">
        <f>IFERROR(E19/(IF(COUNT('연간'!I29:L29)&lt;4,"",SUM('연간'!I29:L29)))*365,"")</f>
        <v/>
      </c>
      <c r="F61" s="49">
        <f>IFERROR(F19/(IF(COUNT('연간'!J29:M29)&lt;4,"",SUM('연간'!J29:M29)))*365,"")</f>
        <v/>
      </c>
      <c r="G61" s="49">
        <f>IFERROR(G19/(IF(COUNT('연간'!K29:N29)&lt;4,"",SUM('연간'!K29:N29)))*365,"")</f>
        <v/>
      </c>
      <c r="H61" s="48">
        <f>IFERROR(H19/('연간'!T29)*365,"")</f>
        <v/>
      </c>
      <c r="I61" s="49">
        <f>IFERROR(I19/('연간'!U29)*365,"")</f>
        <v/>
      </c>
      <c r="J61" s="49">
        <f>IFERROR(J19/('연간'!V29)*365,"")</f>
        <v/>
      </c>
      <c r="K61" s="49">
        <f>IFERROR(K19/('연간'!W29)*365,"")</f>
        <v/>
      </c>
      <c r="L61" s="49">
        <f>IFERROR(L19/('연간'!X29)*365,"")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IF(C37="","",IFERROR(C37/(IF(COUNT('연간'!G65:J65)&lt;4,"",SUM('연간'!G65:J65))),""))</f>
        <v/>
      </c>
      <c r="D64" s="31">
        <f>IF(D37="","",IFERROR(D37/(IF(COUNT('연간'!H65:K65)&lt;4,"",SUM('연간'!H65:K65))),""))</f>
        <v/>
      </c>
      <c r="E64" s="31">
        <f>IF(E37="","",IFERROR(E37/(IF(COUNT('연간'!I65:L65)&lt;4,"",SUM('연간'!I65:L65))),""))</f>
        <v/>
      </c>
      <c r="F64" s="31">
        <f>IF(F37="","",IFERROR(F37/(IF(COUNT('연간'!J65:M65)&lt;4,"",SUM('연간'!J65:M65))),""))</f>
        <v/>
      </c>
      <c r="G64" s="31">
        <f>IF(G37="","",IFERROR(G37/(IF(COUNT('연간'!K65:N65)&lt;4,"",SUM('연간'!K65:N65))),""))</f>
        <v/>
      </c>
      <c r="H64" s="30">
        <f>IF(H37="","",IFERROR(H37/('연간'!T65),""))</f>
        <v/>
      </c>
      <c r="I64" s="31">
        <f>IF(I37="","",IFERROR(I37/('연간'!U65),""))</f>
        <v/>
      </c>
      <c r="J64" s="31">
        <f>IF(J37="","",IFERROR(J37/('연간'!V65),""))</f>
        <v/>
      </c>
      <c r="K64" s="31">
        <f>IF(K37="","",IFERROR(K37/('연간'!W65),""))</f>
        <v/>
      </c>
      <c r="L64" s="31">
        <f>IF(L37="","",IFERROR(L37/('연간'!X65),""))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IF(C40="","",IFERROR(C40/(IF(COUNT('연간'!G67:J67)&lt;4,"",SUM('연간'!G67:J67))),""))</f>
        <v/>
      </c>
      <c r="D67" s="36">
        <f>IF(D40="","",IFERROR(D40/(IF(COUNT('연간'!H67:K67)&lt;4,"",SUM('연간'!H67:K67))),""))</f>
        <v/>
      </c>
      <c r="E67" s="36">
        <f>IF(E40="","",IFERROR(E40/(IF(COUNT('연간'!I67:L67)&lt;4,"",SUM('연간'!I67:L67))),""))</f>
        <v/>
      </c>
      <c r="F67" s="36">
        <f>IF(F40="","",IFERROR(F40/(IF(COUNT('연간'!J67:M67)&lt;4,"",SUM('연간'!J67:M67))),""))</f>
        <v/>
      </c>
      <c r="G67" s="36">
        <f>IF(G40="","",IFERROR(G40/(IF(COUNT('연간'!K67:N67)&lt;4,"",SUM('연간'!K67:N67))),""))</f>
        <v/>
      </c>
      <c r="H67" s="35">
        <f>IF(H40="","",IFERROR(H40/('연간'!T67),""))</f>
        <v/>
      </c>
      <c r="I67" s="36">
        <f>IF(I40="","",IFERROR(I40/('연간'!U67),""))</f>
        <v/>
      </c>
      <c r="J67" s="36">
        <f>IF(J40="","",IFERROR(J40/('연간'!V67),""))</f>
        <v/>
      </c>
      <c r="K67" s="36">
        <f>IF(K40="","",IFERROR(K40/('연간'!W67),""))</f>
        <v/>
      </c>
      <c r="L67" s="36">
        <f>IF(L40="","",IFERROR(L40/('연간'!X67),""))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2025.2Q</t>
        </is>
      </c>
      <c r="D70" s="5" t="inlineStr">
        <is>
          <t>2025.3Q</t>
        </is>
      </c>
      <c r="E70" s="5" t="inlineStr">
        <is>
          <t>2025.4Q</t>
        </is>
      </c>
      <c r="F70" s="5" t="inlineStr">
        <is>
          <t>2026.1Q</t>
        </is>
      </c>
      <c r="G70" s="5" t="inlineStr">
        <is>
          <t>2026.2Q</t>
        </is>
      </c>
      <c r="H70" s="5" t="inlineStr">
        <is>
          <t>2021</t>
        </is>
      </c>
      <c r="I70" s="5" t="inlineStr">
        <is>
          <t>2022</t>
        </is>
      </c>
      <c r="J70" s="5" t="inlineStr">
        <is>
          <t>2023</t>
        </is>
      </c>
      <c r="K70" s="5" t="inlineStr">
        <is>
          <t>2024</t>
        </is>
      </c>
      <c r="L70" s="5" t="inlineStr">
        <is>
          <t>2025</t>
        </is>
      </c>
    </row>
    <row r="71">
      <c r="A71" s="18" t="inlineStr">
        <is>
          <t>현금 및 예금</t>
        </is>
      </c>
      <c r="C71" s="20" t="n">
        <v>9037.641</v>
      </c>
      <c r="D71" s="20" t="n">
        <v>8735.834999999999</v>
      </c>
      <c r="E71" s="20" t="n">
        <v>9266.101000000001</v>
      </c>
      <c r="F71" s="20" t="n">
        <v>8748.933999999999</v>
      </c>
      <c r="G71" s="20" t="n">
        <v>8745.136</v>
      </c>
      <c r="H71" s="20" t="n">
        <v>9782.346</v>
      </c>
      <c r="I71" s="20" t="n">
        <v>9608.272000000001</v>
      </c>
      <c r="J71" s="20" t="n">
        <v>10270.5</v>
      </c>
      <c r="K71" s="20" t="n">
        <v>11475.228</v>
      </c>
      <c r="L71" s="20" t="n">
        <v>9266.101000000001</v>
      </c>
    </row>
    <row r="72">
      <c r="A72" s="18" t="inlineStr">
        <is>
          <t>받을어음·매출채권</t>
        </is>
      </c>
      <c r="C72" s="20" t="n">
        <v>1395.202</v>
      </c>
      <c r="D72" s="20" t="n">
        <v>1309.619</v>
      </c>
      <c r="E72" s="20" t="n">
        <v>1294.497</v>
      </c>
      <c r="F72" s="20" t="n">
        <v>1263.21</v>
      </c>
      <c r="G72" s="20" t="n">
        <v>1503.737</v>
      </c>
      <c r="H72" s="20" t="n">
        <v>1110.184</v>
      </c>
      <c r="I72" s="20" t="n">
        <v>1273.881</v>
      </c>
      <c r="J72" s="20" t="n">
        <v>1540.506</v>
      </c>
      <c r="K72" s="20" t="n">
        <v>1371.55</v>
      </c>
      <c r="L72" s="20" t="n">
        <v>1294.497</v>
      </c>
    </row>
    <row r="73">
      <c r="A73" s="18" t="inlineStr">
        <is>
          <t>유가증권</t>
        </is>
      </c>
      <c r="H73" s="20" t="n">
        <v>0</v>
      </c>
      <c r="I73" s="20" t="n">
        <v>99.42</v>
      </c>
      <c r="J73" s="20" t="n">
        <v>0</v>
      </c>
    </row>
    <row r="74">
      <c r="A74" s="18" t="inlineStr">
        <is>
          <t>상품·제품</t>
        </is>
      </c>
      <c r="C74" s="20" t="n">
        <v>2843.614</v>
      </c>
      <c r="D74" s="20" t="n">
        <v>2922.703</v>
      </c>
      <c r="E74" s="20" t="n">
        <v>2881.465</v>
      </c>
      <c r="F74" s="20" t="n">
        <v>3021.501</v>
      </c>
      <c r="G74" s="20" t="n">
        <v>2957.24</v>
      </c>
      <c r="H74" s="20" t="n">
        <v>2034.263</v>
      </c>
      <c r="I74" s="20" t="n">
        <v>2457.809</v>
      </c>
      <c r="J74" s="20" t="n">
        <v>2974.91</v>
      </c>
      <c r="K74" s="20" t="n">
        <v>2956.84</v>
      </c>
      <c r="L74" s="20" t="n">
        <v>2881.465</v>
      </c>
    </row>
    <row r="75">
      <c r="A75" s="18" t="inlineStr">
        <is>
          <t>재공품</t>
        </is>
      </c>
      <c r="C75" s="20" t="n">
        <v>55.697</v>
      </c>
      <c r="D75" s="20" t="n">
        <v>67.878</v>
      </c>
      <c r="E75" s="20" t="n">
        <v>70.47499999999999</v>
      </c>
      <c r="F75" s="20" t="n">
        <v>69.04000000000001</v>
      </c>
      <c r="G75" s="20" t="n">
        <v>33.49</v>
      </c>
      <c r="H75" s="20" t="n">
        <v>313.399</v>
      </c>
      <c r="I75" s="20" t="n">
        <v>286.386</v>
      </c>
      <c r="J75" s="20" t="n">
        <v>51.853</v>
      </c>
      <c r="K75" s="20" t="n">
        <v>49.402</v>
      </c>
      <c r="L75" s="20" t="n">
        <v>70.47499999999999</v>
      </c>
    </row>
    <row r="76">
      <c r="A76" s="18" t="inlineStr">
        <is>
          <t>원재료·저장품</t>
        </is>
      </c>
      <c r="C76" s="20" t="n">
        <v>177.054</v>
      </c>
      <c r="D76" s="20" t="n">
        <v>181.477</v>
      </c>
      <c r="E76" s="20" t="n">
        <v>217.233</v>
      </c>
      <c r="F76" s="20" t="n">
        <v>201.031</v>
      </c>
      <c r="G76" s="20" t="n">
        <v>219.727</v>
      </c>
      <c r="H76" s="20" t="n">
        <v>248.094</v>
      </c>
      <c r="I76" s="20" t="n">
        <v>250.652</v>
      </c>
      <c r="J76" s="20" t="n">
        <v>199.545</v>
      </c>
      <c r="K76" s="20" t="n">
        <v>200.564</v>
      </c>
      <c r="L76" s="20" t="n">
        <v>217.233</v>
      </c>
    </row>
    <row r="77">
      <c r="A77" s="18" t="inlineStr">
        <is>
          <t>기타</t>
        </is>
      </c>
      <c r="C77" s="20" t="n">
        <v>405.675</v>
      </c>
      <c r="D77" s="20" t="n">
        <v>401.802</v>
      </c>
      <c r="E77" s="20" t="n">
        <v>422.815</v>
      </c>
      <c r="F77" s="20" t="n">
        <v>379.5</v>
      </c>
      <c r="G77" s="20" t="n">
        <v>374.946</v>
      </c>
      <c r="H77" s="20" t="n">
        <v>387.766</v>
      </c>
      <c r="I77" s="20" t="n">
        <v>467.83</v>
      </c>
      <c r="J77" s="20" t="n">
        <v>521.117</v>
      </c>
      <c r="K77" s="20" t="n">
        <v>446.806</v>
      </c>
      <c r="L77" s="20" t="n">
        <v>422.815</v>
      </c>
    </row>
    <row r="78">
      <c r="A78" s="18" t="inlineStr">
        <is>
          <t>대손충당금</t>
        </is>
      </c>
      <c r="C78" s="20" t="n">
        <v>-7.663</v>
      </c>
      <c r="D78" s="20" t="n">
        <v>-9.640000000000001</v>
      </c>
      <c r="E78" s="20" t="n">
        <v>-8.409000000000001</v>
      </c>
      <c r="F78" s="20" t="n">
        <v>-9.958</v>
      </c>
      <c r="G78" s="20" t="n">
        <v>-11.792</v>
      </c>
      <c r="H78" s="20" t="n">
        <v>-8.532</v>
      </c>
      <c r="I78" s="20" t="n">
        <v>-6.715</v>
      </c>
      <c r="J78" s="20" t="n">
        <v>-1.649</v>
      </c>
      <c r="K78" s="20" t="n">
        <v>-2.794</v>
      </c>
      <c r="L78" s="20" t="n">
        <v>-8.409000000000001</v>
      </c>
    </row>
    <row r="79">
      <c r="A79" s="9" t="inlineStr">
        <is>
          <t>유동자산 합계</t>
        </is>
      </c>
      <c r="C79" s="12" t="n">
        <v>13907.223</v>
      </c>
      <c r="D79" s="12" t="n">
        <v>13609.676</v>
      </c>
      <c r="E79" s="12" t="n">
        <v>14144.179</v>
      </c>
      <c r="F79" s="12" t="n">
        <v>13673.261</v>
      </c>
      <c r="G79" s="12" t="n">
        <v>13822.485</v>
      </c>
      <c r="H79" s="12" t="n">
        <v>13867.522</v>
      </c>
      <c r="I79" s="12" t="n">
        <v>14437.536</v>
      </c>
      <c r="J79" s="12" t="n">
        <v>15556.783</v>
      </c>
      <c r="K79" s="12" t="n">
        <v>16497.597</v>
      </c>
      <c r="L79" s="12" t="n">
        <v>14144.179</v>
      </c>
    </row>
    <row r="80">
      <c r="A80" s="18" t="inlineStr">
        <is>
          <t>건물·구축물</t>
        </is>
      </c>
      <c r="E80" s="20" t="n">
        <v>2331.263</v>
      </c>
      <c r="H80" s="20" t="n">
        <v>1466.942</v>
      </c>
      <c r="I80" s="20" t="n">
        <v>2277.59</v>
      </c>
      <c r="J80" s="20" t="n">
        <v>2328.766</v>
      </c>
      <c r="K80" s="20" t="n">
        <v>2316.194</v>
      </c>
      <c r="L80" s="20" t="n">
        <v>2331.263</v>
      </c>
    </row>
    <row r="81">
      <c r="A81" s="18" t="inlineStr">
        <is>
          <t>감가상각누계액</t>
        </is>
      </c>
      <c r="E81" s="20" t="n">
        <v>-1324.557</v>
      </c>
      <c r="H81" s="20" t="n">
        <v>-1094.988</v>
      </c>
      <c r="I81" s="20" t="n">
        <v>-1138.004</v>
      </c>
      <c r="J81" s="20" t="n">
        <v>-1218.936</v>
      </c>
      <c r="K81" s="20" t="n">
        <v>-1254.058</v>
      </c>
      <c r="L81" s="20" t="n">
        <v>-1324.557</v>
      </c>
    </row>
    <row r="82">
      <c r="A82" s="18" t="inlineStr">
        <is>
          <t>건물·구축물(순액)</t>
        </is>
      </c>
      <c r="E82" s="20" t="n">
        <v>1006.705</v>
      </c>
      <c r="H82" s="20" t="n">
        <v>371.953</v>
      </c>
      <c r="I82" s="20" t="n">
        <v>1139.585</v>
      </c>
      <c r="J82" s="20" t="n">
        <v>1109.829</v>
      </c>
      <c r="K82" s="20" t="n">
        <v>1062.135</v>
      </c>
      <c r="L82" s="20" t="n">
        <v>1006.705</v>
      </c>
    </row>
    <row r="83">
      <c r="A83" s="18" t="inlineStr">
        <is>
          <t>기계장치·운반구</t>
        </is>
      </c>
      <c r="E83" s="20" t="n">
        <v>440.822</v>
      </c>
      <c r="H83" s="20" t="n">
        <v>448.268</v>
      </c>
      <c r="I83" s="20" t="n">
        <v>460.297</v>
      </c>
      <c r="J83" s="20" t="n">
        <v>481.66</v>
      </c>
      <c r="K83" s="20" t="n">
        <v>485.032</v>
      </c>
      <c r="L83" s="20" t="n">
        <v>440.822</v>
      </c>
    </row>
    <row r="84">
      <c r="A84" s="18" t="inlineStr">
        <is>
          <t>감가상각누계액</t>
        </is>
      </c>
      <c r="E84" s="20" t="n">
        <v>-426.269</v>
      </c>
      <c r="H84" s="20" t="n">
        <v>-381.274</v>
      </c>
      <c r="I84" s="20" t="n">
        <v>-394.941</v>
      </c>
      <c r="J84" s="20" t="n">
        <v>-418.633</v>
      </c>
      <c r="K84" s="20" t="n">
        <v>-428.965</v>
      </c>
      <c r="L84" s="20" t="n">
        <v>-426.269</v>
      </c>
    </row>
    <row r="85">
      <c r="A85" s="18" t="inlineStr">
        <is>
          <t>기계장치·운반구(순액)</t>
        </is>
      </c>
      <c r="E85" s="20" t="n">
        <v>14.553</v>
      </c>
      <c r="H85" s="20" t="n">
        <v>66.99299999999999</v>
      </c>
      <c r="I85" s="20" t="n">
        <v>65.35599999999999</v>
      </c>
      <c r="J85" s="20" t="n">
        <v>63.026</v>
      </c>
      <c r="K85" s="20" t="n">
        <v>56.066</v>
      </c>
      <c r="L85" s="20" t="n">
        <v>14.553</v>
      </c>
    </row>
    <row r="86">
      <c r="A86" s="18" t="inlineStr">
        <is>
          <t>공구·기구·비품</t>
        </is>
      </c>
      <c r="E86" s="20" t="n">
        <v>1059.485</v>
      </c>
      <c r="H86" s="20" t="n">
        <v>948.898</v>
      </c>
      <c r="I86" s="20" t="n">
        <v>1003.945</v>
      </c>
      <c r="J86" s="20" t="n">
        <v>1017.296</v>
      </c>
      <c r="K86" s="20" t="n">
        <v>1015.949</v>
      </c>
      <c r="L86" s="20" t="n">
        <v>1059.485</v>
      </c>
    </row>
    <row r="87">
      <c r="A87" s="18" t="inlineStr">
        <is>
          <t>감가상각누계액</t>
        </is>
      </c>
      <c r="E87" s="20" t="n">
        <v>-942.995</v>
      </c>
      <c r="H87" s="20" t="n">
        <v>-858.205</v>
      </c>
      <c r="I87" s="20" t="n">
        <v>-888.658</v>
      </c>
      <c r="J87" s="20" t="n">
        <v>-892.426</v>
      </c>
      <c r="K87" s="20" t="n">
        <v>-891.033</v>
      </c>
      <c r="L87" s="20" t="n">
        <v>-942.995</v>
      </c>
    </row>
    <row r="88">
      <c r="A88" s="18" t="inlineStr">
        <is>
          <t>공구·기구·비품(순액)</t>
        </is>
      </c>
      <c r="E88" s="20" t="n">
        <v>116.49</v>
      </c>
      <c r="H88" s="20" t="n">
        <v>90.693</v>
      </c>
      <c r="I88" s="20" t="n">
        <v>115.287</v>
      </c>
      <c r="J88" s="20" t="n">
        <v>124.869</v>
      </c>
      <c r="K88" s="20" t="n">
        <v>124.915</v>
      </c>
      <c r="L88" s="20" t="n">
        <v>116.49</v>
      </c>
    </row>
    <row r="89">
      <c r="A89" s="18" t="inlineStr">
        <is>
          <t>토지</t>
        </is>
      </c>
      <c r="C89" s="20" t="n">
        <v>803.369</v>
      </c>
      <c r="D89" s="20" t="n">
        <v>802.996</v>
      </c>
      <c r="E89" s="20" t="n">
        <v>805.8819999999999</v>
      </c>
      <c r="F89" s="20" t="n">
        <v>801.6</v>
      </c>
      <c r="G89" s="20" t="n">
        <v>801.6</v>
      </c>
      <c r="H89" s="20" t="n">
        <v>781.1180000000001</v>
      </c>
      <c r="I89" s="20" t="n">
        <v>802.252</v>
      </c>
      <c r="J89" s="20" t="n">
        <v>806.9059999999999</v>
      </c>
      <c r="K89" s="20" t="n">
        <v>804.207</v>
      </c>
      <c r="L89" s="20" t="n">
        <v>805.8819999999999</v>
      </c>
    </row>
    <row r="90">
      <c r="A90" s="18" t="inlineStr">
        <is>
          <t>리스자산</t>
        </is>
      </c>
      <c r="E90" s="20" t="n">
        <v>429.088</v>
      </c>
      <c r="H90" s="20" t="n">
        <v>130.789</v>
      </c>
      <c r="I90" s="20" t="n">
        <v>272.55</v>
      </c>
      <c r="J90" s="20" t="n">
        <v>259.782</v>
      </c>
      <c r="K90" s="20" t="n">
        <v>320.107</v>
      </c>
      <c r="L90" s="20" t="n">
        <v>429.088</v>
      </c>
    </row>
    <row r="91">
      <c r="A91" s="18" t="inlineStr">
        <is>
          <t>감가상각누계액</t>
        </is>
      </c>
      <c r="E91" s="20" t="n">
        <v>-157.079</v>
      </c>
      <c r="H91" s="20" t="n">
        <v>-61.708</v>
      </c>
      <c r="I91" s="20" t="n">
        <v>-53.077</v>
      </c>
      <c r="J91" s="20" t="n">
        <v>-104.597</v>
      </c>
      <c r="K91" s="20" t="n">
        <v>-229.646</v>
      </c>
      <c r="L91" s="20" t="n">
        <v>-157.079</v>
      </c>
    </row>
    <row r="92">
      <c r="A92" s="18" t="inlineStr">
        <is>
          <t>리스자산(순액)</t>
        </is>
      </c>
      <c r="E92" s="20" t="n">
        <v>272.009</v>
      </c>
      <c r="H92" s="20" t="n">
        <v>69.081</v>
      </c>
      <c r="I92" s="20" t="n">
        <v>219.472</v>
      </c>
      <c r="J92" s="20" t="n">
        <v>155.184</v>
      </c>
      <c r="K92" s="20" t="n">
        <v>90.45999999999999</v>
      </c>
      <c r="L92" s="20" t="n">
        <v>272.009</v>
      </c>
    </row>
    <row r="93">
      <c r="A93" s="18" t="inlineStr">
        <is>
          <t>기타</t>
        </is>
      </c>
      <c r="C93" s="20" t="n">
        <v>4008.42</v>
      </c>
      <c r="D93" s="20" t="n">
        <v>4190.694</v>
      </c>
      <c r="E93" s="20" t="n">
        <v>4260.66</v>
      </c>
      <c r="F93" s="20" t="n">
        <v>4274.364</v>
      </c>
      <c r="G93" s="20" t="n">
        <v>4311.728</v>
      </c>
      <c r="H93" s="20" t="n">
        <v>2994.899</v>
      </c>
      <c r="I93" s="20" t="n">
        <v>4014.384</v>
      </c>
      <c r="J93" s="20" t="n">
        <v>0</v>
      </c>
      <c r="K93" s="20" t="n">
        <v>0.8100000000000001</v>
      </c>
      <c r="L93" s="20" t="n">
        <v>4260.66</v>
      </c>
    </row>
    <row r="94">
      <c r="A94" s="18" t="inlineStr">
        <is>
          <t>감가상각누계액</t>
        </is>
      </c>
      <c r="H94" s="20" t="n">
        <v>-61.708</v>
      </c>
    </row>
    <row r="95">
      <c r="A95" s="18" t="inlineStr">
        <is>
          <t>기타(순액)</t>
        </is>
      </c>
      <c r="H95" s="20" t="n">
        <v>69.081</v>
      </c>
    </row>
    <row r="96">
      <c r="A96" s="18" t="inlineStr">
        <is>
          <t>감가상각누계액</t>
        </is>
      </c>
      <c r="C96" s="20" t="n">
        <v>-2769.38</v>
      </c>
      <c r="D96" s="20" t="n">
        <v>-2803.79</v>
      </c>
      <c r="E96" s="20" t="n">
        <v>-2850.9</v>
      </c>
      <c r="F96" s="20" t="n">
        <v>-2907.799</v>
      </c>
      <c r="G96" s="20" t="n">
        <v>-2973.791</v>
      </c>
      <c r="H96" s="20" t="n">
        <v>-2396.177</v>
      </c>
      <c r="I96" s="20" t="n">
        <v>-2474.682</v>
      </c>
      <c r="J96" s="20" t="n">
        <v>-2634.594</v>
      </c>
      <c r="K96" s="20" t="n">
        <v>-2803.705</v>
      </c>
      <c r="L96" s="20" t="n">
        <v>-2850.9</v>
      </c>
    </row>
    <row r="97">
      <c r="A97" s="18" t="inlineStr">
        <is>
          <t>유형자산 합계</t>
        </is>
      </c>
      <c r="C97" s="20" t="n">
        <v>2042.409</v>
      </c>
      <c r="D97" s="20" t="n">
        <v>2189.901</v>
      </c>
      <c r="E97" s="20" t="n">
        <v>2215.642</v>
      </c>
      <c r="F97" s="20" t="n">
        <v>2168.165</v>
      </c>
      <c r="G97" s="20" t="n">
        <v>2139.537</v>
      </c>
      <c r="H97" s="20" t="n">
        <v>1379.84</v>
      </c>
      <c r="I97" s="20" t="n">
        <v>2341.954</v>
      </c>
      <c r="J97" s="20" t="n">
        <v>2259.817</v>
      </c>
      <c r="K97" s="20" t="n">
        <v>2138.595</v>
      </c>
      <c r="L97" s="20" t="n">
        <v>2215.642</v>
      </c>
    </row>
    <row r="98">
      <c r="A98" s="18" t="inlineStr">
        <is>
          <t>무형자산</t>
        </is>
      </c>
      <c r="C98" s="20" t="n">
        <v>24.663</v>
      </c>
      <c r="D98" s="20" t="n">
        <v>23.023</v>
      </c>
      <c r="E98" s="20" t="n">
        <v>27.251</v>
      </c>
      <c r="F98" s="20" t="n">
        <v>25.671</v>
      </c>
      <c r="G98" s="20" t="n">
        <v>23.872</v>
      </c>
      <c r="H98" s="20" t="n">
        <v>17.902</v>
      </c>
      <c r="I98" s="20" t="n">
        <v>12.731</v>
      </c>
      <c r="J98" s="20" t="n">
        <v>15.235</v>
      </c>
      <c r="K98" s="20" t="n">
        <v>15.958</v>
      </c>
      <c r="L98" s="20" t="n">
        <v>27.251</v>
      </c>
    </row>
    <row r="99">
      <c r="A99" s="18" t="inlineStr">
        <is>
          <t>투자유가증권</t>
        </is>
      </c>
      <c r="C99" s="20" t="n">
        <v>2137.229</v>
      </c>
      <c r="D99" s="20" t="n">
        <v>2403.528</v>
      </c>
      <c r="E99" s="20" t="n">
        <v>2425.898</v>
      </c>
      <c r="F99" s="20" t="n">
        <v>2820.669</v>
      </c>
      <c r="G99" s="20" t="n">
        <v>2991.978</v>
      </c>
      <c r="H99" s="20" t="n">
        <v>814.533</v>
      </c>
      <c r="I99" s="20" t="n">
        <v>726.641</v>
      </c>
      <c r="J99" s="20" t="n">
        <v>801.9059999999999</v>
      </c>
      <c r="K99" s="20" t="n">
        <v>735.499</v>
      </c>
      <c r="L99" s="20" t="n">
        <v>2425.898</v>
      </c>
    </row>
    <row r="100">
      <c r="A100" s="18" t="inlineStr">
        <is>
          <t>장기예금</t>
        </is>
      </c>
      <c r="E100" s="20" t="n">
        <v>2000</v>
      </c>
      <c r="K100" s="20" t="n">
        <v>0</v>
      </c>
      <c r="L100" s="20" t="n">
        <v>2000</v>
      </c>
    </row>
    <row r="101">
      <c r="A101" s="18" t="inlineStr">
        <is>
          <t>이연법인세자산</t>
        </is>
      </c>
      <c r="E101" s="20" t="n">
        <v>55.641</v>
      </c>
      <c r="H101" s="20" t="n">
        <v>22.001</v>
      </c>
      <c r="I101" s="20" t="n">
        <v>39.288</v>
      </c>
      <c r="J101" s="20" t="n">
        <v>56.615</v>
      </c>
      <c r="K101" s="20" t="n">
        <v>45.56</v>
      </c>
      <c r="L101" s="20" t="n">
        <v>55.641</v>
      </c>
    </row>
    <row r="102">
      <c r="A102" s="18" t="inlineStr">
        <is>
          <t>기타</t>
        </is>
      </c>
      <c r="C102" s="20" t="n">
        <v>1770.948</v>
      </c>
      <c r="D102" s="20" t="n">
        <v>2266.47</v>
      </c>
      <c r="E102" s="20" t="n">
        <v>2262.181</v>
      </c>
      <c r="F102" s="20" t="n">
        <v>2216.237</v>
      </c>
      <c r="G102" s="20" t="n">
        <v>2301.149</v>
      </c>
      <c r="H102" s="20" t="n">
        <v>188.323</v>
      </c>
      <c r="I102" s="20" t="n">
        <v>173.549</v>
      </c>
      <c r="J102" s="20" t="n">
        <v>218.779</v>
      </c>
      <c r="K102" s="20" t="n">
        <v>193.512</v>
      </c>
      <c r="L102" s="20" t="n">
        <v>2262.181</v>
      </c>
    </row>
    <row r="103">
      <c r="A103" s="18" t="inlineStr">
        <is>
          <t>대손충당금</t>
        </is>
      </c>
      <c r="I103" s="20" t="n">
        <v>-0.416</v>
      </c>
    </row>
    <row r="104">
      <c r="A104" s="18" t="inlineStr">
        <is>
          <t>대손충당금</t>
        </is>
      </c>
      <c r="C104" s="20" t="n">
        <v>-0</v>
      </c>
      <c r="D104" s="20" t="n">
        <v>-0</v>
      </c>
      <c r="E104" s="20" t="n">
        <v>0</v>
      </c>
      <c r="H104" s="20" t="n">
        <v>-17.112</v>
      </c>
      <c r="I104" s="20" t="n">
        <v>-0.416</v>
      </c>
      <c r="J104" s="20" t="n">
        <v>-0.242</v>
      </c>
      <c r="K104" s="20" t="n">
        <v>-0.227</v>
      </c>
      <c r="L104" s="20" t="n">
        <v>0</v>
      </c>
    </row>
    <row r="105">
      <c r="A105" s="18" t="inlineStr">
        <is>
          <t>투자 및 기타자산 합계</t>
        </is>
      </c>
      <c r="C105" s="20" t="n">
        <v>3908.178</v>
      </c>
      <c r="D105" s="20" t="n">
        <v>4669.999</v>
      </c>
      <c r="E105" s="20" t="n">
        <v>4688.079</v>
      </c>
      <c r="F105" s="20" t="n">
        <v>5036.906</v>
      </c>
      <c r="G105" s="20" t="n">
        <v>5293.127</v>
      </c>
      <c r="H105" s="20" t="n">
        <v>1007.745</v>
      </c>
      <c r="I105" s="20" t="n">
        <v>939.063</v>
      </c>
      <c r="J105" s="20" t="n">
        <v>1077.058</v>
      </c>
      <c r="K105" s="20" t="n">
        <v>974.3440000000001</v>
      </c>
      <c r="L105" s="20" t="n">
        <v>4688.079</v>
      </c>
    </row>
    <row r="106">
      <c r="A106" s="9" t="inlineStr">
        <is>
          <t>비유동자산 합계</t>
        </is>
      </c>
      <c r="C106" s="12" t="n">
        <v>5975.251</v>
      </c>
      <c r="D106" s="12" t="n">
        <v>6882.923</v>
      </c>
      <c r="E106" s="12" t="n">
        <v>6930.973</v>
      </c>
      <c r="F106" s="12" t="n">
        <v>7230.744</v>
      </c>
      <c r="G106" s="12" t="n">
        <v>7456.538</v>
      </c>
      <c r="H106" s="12" t="n">
        <v>2405.488</v>
      </c>
      <c r="I106" s="12" t="n">
        <v>3293.749</v>
      </c>
      <c r="J106" s="12" t="n">
        <v>3352.111</v>
      </c>
      <c r="K106" s="12" t="n">
        <v>3128.898</v>
      </c>
      <c r="L106" s="12" t="n">
        <v>6930.973</v>
      </c>
    </row>
    <row r="107">
      <c r="A107" s="9" t="inlineStr">
        <is>
          <t>자산 합계</t>
        </is>
      </c>
      <c r="C107" s="12" t="n">
        <v>19882.474</v>
      </c>
      <c r="D107" s="12" t="n">
        <v>20492.6</v>
      </c>
      <c r="E107" s="12" t="n">
        <v>21075.153</v>
      </c>
      <c r="F107" s="12" t="n">
        <v>20904.005</v>
      </c>
      <c r="G107" s="12" t="n">
        <v>21279.023</v>
      </c>
      <c r="H107" s="12" t="n">
        <v>16273.011</v>
      </c>
      <c r="I107" s="12" t="n">
        <v>17731.286</v>
      </c>
      <c r="J107" s="12" t="n">
        <v>18908.894</v>
      </c>
      <c r="K107" s="12" t="n">
        <v>19626.496</v>
      </c>
      <c r="L107" s="12" t="n">
        <v>21075.153</v>
      </c>
    </row>
    <row r="108">
      <c r="A108" s="18" t="inlineStr">
        <is>
          <t>매입채무</t>
        </is>
      </c>
      <c r="C108" s="20" t="n">
        <v>562.575</v>
      </c>
      <c r="D108" s="20" t="n">
        <v>652.282</v>
      </c>
      <c r="E108" s="20" t="n">
        <v>660.463</v>
      </c>
      <c r="F108" s="20" t="n">
        <v>741.587</v>
      </c>
      <c r="G108" s="20" t="n">
        <v>588.8630000000001</v>
      </c>
      <c r="H108" s="20" t="n">
        <v>498.35</v>
      </c>
      <c r="I108" s="20" t="n">
        <v>555.0069999999999</v>
      </c>
      <c r="J108" s="20" t="n">
        <v>604.745</v>
      </c>
      <c r="K108" s="20" t="n">
        <v>548.98</v>
      </c>
      <c r="L108" s="20" t="n">
        <v>660.463</v>
      </c>
    </row>
    <row r="109">
      <c r="A109" s="18" t="inlineStr">
        <is>
          <t>미지급금</t>
        </is>
      </c>
      <c r="E109" s="20" t="n">
        <v>237.359</v>
      </c>
      <c r="H109" s="20" t="n">
        <v>129.637</v>
      </c>
      <c r="I109" s="20" t="n">
        <v>161.068</v>
      </c>
      <c r="J109" s="20" t="n">
        <v>280.339</v>
      </c>
      <c r="K109" s="20" t="n">
        <v>245.578</v>
      </c>
      <c r="L109" s="20" t="n">
        <v>237.359</v>
      </c>
    </row>
    <row r="110">
      <c r="A110" s="18" t="inlineStr">
        <is>
          <t>미지급법인세</t>
        </is>
      </c>
      <c r="C110" s="20" t="n">
        <v>286.387</v>
      </c>
      <c r="D110" s="20" t="n">
        <v>261.097</v>
      </c>
      <c r="E110" s="20" t="n">
        <v>300.155</v>
      </c>
      <c r="F110" s="20" t="n">
        <v>122.746</v>
      </c>
      <c r="G110" s="20" t="n">
        <v>223.373</v>
      </c>
      <c r="H110" s="20" t="n">
        <v>154.92</v>
      </c>
      <c r="I110" s="20" t="n">
        <v>240.425</v>
      </c>
      <c r="J110" s="20" t="n">
        <v>250.07</v>
      </c>
      <c r="K110" s="20" t="n">
        <v>269.189</v>
      </c>
      <c r="L110" s="20" t="n">
        <v>300.155</v>
      </c>
    </row>
    <row r="111">
      <c r="A111" s="18" t="inlineStr">
        <is>
          <t>상여충당금</t>
        </is>
      </c>
      <c r="C111" s="20" t="n">
        <v>95.033</v>
      </c>
      <c r="D111" s="20" t="n">
        <v>193.776</v>
      </c>
      <c r="E111" s="20" t="n">
        <v>86.84399999999999</v>
      </c>
      <c r="F111" s="20" t="n">
        <v>187.776</v>
      </c>
      <c r="G111" s="20" t="n">
        <v>94.913</v>
      </c>
      <c r="H111" s="20" t="n">
        <v>83.544</v>
      </c>
      <c r="I111" s="20" t="n">
        <v>75.006</v>
      </c>
      <c r="J111" s="20" t="n">
        <v>74.759</v>
      </c>
      <c r="K111" s="20" t="n">
        <v>90.021</v>
      </c>
      <c r="L111" s="20" t="n">
        <v>86.84399999999999</v>
      </c>
    </row>
    <row r="112">
      <c r="A112" s="18" t="inlineStr">
        <is>
          <t>임원 상여충당금</t>
        </is>
      </c>
      <c r="C112" s="20" t="n">
        <v>17.366</v>
      </c>
      <c r="D112" s="20" t="n">
        <v>30.426</v>
      </c>
      <c r="E112" s="20" t="n">
        <v>38.666</v>
      </c>
      <c r="F112" s="20" t="n">
        <v>6.67</v>
      </c>
      <c r="G112" s="20" t="n">
        <v>8.898999999999999</v>
      </c>
      <c r="H112" s="20" t="n">
        <v>12.15</v>
      </c>
      <c r="I112" s="20" t="n">
        <v>20.735</v>
      </c>
      <c r="J112" s="20" t="n">
        <v>24.075</v>
      </c>
      <c r="K112" s="20" t="n">
        <v>27.255</v>
      </c>
      <c r="L112" s="20" t="n">
        <v>38.666</v>
      </c>
    </row>
    <row r="113">
      <c r="A113" s="18" t="inlineStr">
        <is>
          <t>기타</t>
        </is>
      </c>
      <c r="C113" s="20" t="n">
        <v>451.487</v>
      </c>
      <c r="D113" s="20" t="n">
        <v>464.376</v>
      </c>
      <c r="E113" s="20" t="n">
        <v>614.693</v>
      </c>
      <c r="F113" s="20" t="n">
        <v>515.449</v>
      </c>
      <c r="G113" s="20" t="n">
        <v>470.731</v>
      </c>
      <c r="H113" s="20" t="n">
        <v>500.003</v>
      </c>
      <c r="I113" s="20" t="n">
        <v>711.872</v>
      </c>
      <c r="J113" s="20" t="n">
        <v>417.996</v>
      </c>
      <c r="K113" s="20" t="n">
        <v>324.805</v>
      </c>
      <c r="L113" s="20" t="n">
        <v>614.693</v>
      </c>
    </row>
    <row r="114">
      <c r="A114" s="9" t="inlineStr">
        <is>
          <t>유동부채 합계</t>
        </is>
      </c>
      <c r="C114" s="12" t="n">
        <v>1412.85</v>
      </c>
      <c r="D114" s="12" t="n">
        <v>1601.958</v>
      </c>
      <c r="E114" s="12" t="n">
        <v>1700.822</v>
      </c>
      <c r="F114" s="12" t="n">
        <v>1574.231</v>
      </c>
      <c r="G114" s="12" t="n">
        <v>1386.782</v>
      </c>
      <c r="H114" s="12" t="n">
        <v>1378.606</v>
      </c>
      <c r="I114" s="12" t="n">
        <v>1764.114</v>
      </c>
      <c r="J114" s="12" t="n">
        <v>1651.987</v>
      </c>
      <c r="K114" s="12" t="n">
        <v>1505.83</v>
      </c>
      <c r="L114" s="12" t="n">
        <v>1700.822</v>
      </c>
    </row>
    <row r="115">
      <c r="A115" s="18" t="inlineStr">
        <is>
          <t>이연법인세부채</t>
        </is>
      </c>
      <c r="E115" s="20" t="n">
        <v>34.563</v>
      </c>
      <c r="H115" s="20" t="n">
        <v>61.065</v>
      </c>
      <c r="I115" s="20" t="n">
        <v>46.459</v>
      </c>
      <c r="J115" s="20" t="n">
        <v>81.925</v>
      </c>
      <c r="K115" s="20" t="n">
        <v>51.7</v>
      </c>
      <c r="L115" s="20" t="n">
        <v>34.563</v>
      </c>
    </row>
    <row r="116">
      <c r="A116" s="18" t="inlineStr">
        <is>
          <t>제품보증 충당금</t>
        </is>
      </c>
      <c r="H116" s="20" t="n">
        <v>13.457</v>
      </c>
      <c r="I116" s="20" t="n">
        <v>0.468</v>
      </c>
      <c r="J116" s="20" t="n">
        <v>0</v>
      </c>
    </row>
    <row r="117">
      <c r="A117" s="18" t="inlineStr">
        <is>
          <t>임원 퇴직위로 충당금</t>
        </is>
      </c>
      <c r="C117" s="20" t="n">
        <v>46.41</v>
      </c>
      <c r="D117" s="20" t="n">
        <v>48.8</v>
      </c>
      <c r="E117" s="20" t="n">
        <v>67.06999999999999</v>
      </c>
      <c r="F117" s="20" t="n">
        <v>16.1</v>
      </c>
      <c r="G117" s="20" t="n">
        <v>18.175</v>
      </c>
      <c r="H117" s="20" t="n">
        <v>43.305</v>
      </c>
      <c r="I117" s="20" t="n">
        <v>50.705</v>
      </c>
      <c r="J117" s="20" t="n">
        <v>52.307</v>
      </c>
      <c r="K117" s="20" t="n">
        <v>42.508</v>
      </c>
      <c r="L117" s="20" t="n">
        <v>67.06999999999999</v>
      </c>
    </row>
    <row r="118">
      <c r="A118" s="18" t="inlineStr">
        <is>
          <t>퇴직급여부채</t>
        </is>
      </c>
      <c r="C118" s="20" t="n">
        <v>28.555</v>
      </c>
      <c r="D118" s="20" t="n">
        <v>28.561</v>
      </c>
      <c r="E118" s="20" t="n">
        <v>29.575</v>
      </c>
      <c r="F118" s="20" t="n">
        <v>29.665</v>
      </c>
      <c r="G118" s="20" t="n">
        <v>29.758</v>
      </c>
      <c r="H118" s="20" t="n">
        <v>19.467</v>
      </c>
      <c r="I118" s="20" t="n">
        <v>21.292</v>
      </c>
      <c r="J118" s="20" t="n">
        <v>24.505</v>
      </c>
      <c r="K118" s="20" t="n">
        <v>26.8</v>
      </c>
      <c r="L118" s="20" t="n">
        <v>29.575</v>
      </c>
    </row>
    <row r="119">
      <c r="A119" s="18" t="inlineStr">
        <is>
          <t>기타</t>
        </is>
      </c>
      <c r="C119" s="20" t="n">
        <v>77.06399999999999</v>
      </c>
      <c r="D119" s="20" t="n">
        <v>227.661</v>
      </c>
      <c r="E119" s="20" t="n">
        <v>228.863</v>
      </c>
      <c r="F119" s="20" t="n">
        <v>201.125</v>
      </c>
      <c r="G119" s="20" t="n">
        <v>232.836</v>
      </c>
      <c r="H119" s="20" t="n">
        <v>40.507</v>
      </c>
      <c r="I119" s="20" t="n">
        <v>153.702</v>
      </c>
      <c r="J119" s="20" t="n">
        <v>76.80200000000001</v>
      </c>
      <c r="K119" s="20" t="n">
        <v>34.143</v>
      </c>
      <c r="L119" s="20" t="n">
        <v>228.863</v>
      </c>
    </row>
    <row r="120">
      <c r="A120" s="9" t="inlineStr">
        <is>
          <t>비유동부채 합계</t>
        </is>
      </c>
      <c r="C120" s="12" t="n">
        <v>152.029</v>
      </c>
      <c r="D120" s="12" t="n">
        <v>305.023</v>
      </c>
      <c r="E120" s="12" t="n">
        <v>325.509</v>
      </c>
      <c r="F120" s="12" t="n">
        <v>246.891</v>
      </c>
      <c r="G120" s="12" t="n">
        <v>280.77</v>
      </c>
      <c r="H120" s="12" t="n">
        <v>177.803</v>
      </c>
      <c r="I120" s="12" t="n">
        <v>272.627</v>
      </c>
      <c r="J120" s="12" t="n">
        <v>235.541</v>
      </c>
      <c r="K120" s="12" t="n">
        <v>155.152</v>
      </c>
      <c r="L120" s="12" t="n">
        <v>325.509</v>
      </c>
    </row>
    <row r="121">
      <c r="A121" s="9" t="inlineStr">
        <is>
          <t>부채 합계</t>
        </is>
      </c>
      <c r="C121" s="12" t="n">
        <v>1564.879</v>
      </c>
      <c r="D121" s="12" t="n">
        <v>1906.982</v>
      </c>
      <c r="E121" s="12" t="n">
        <v>2026.331</v>
      </c>
      <c r="F121" s="12" t="n">
        <v>1821.122</v>
      </c>
      <c r="G121" s="12" t="n">
        <v>1667.552</v>
      </c>
      <c r="H121" s="12" t="n">
        <v>1556.409</v>
      </c>
      <c r="I121" s="12" t="n">
        <v>2036.741</v>
      </c>
      <c r="J121" s="12" t="n">
        <v>1887.528</v>
      </c>
      <c r="K121" s="12" t="n">
        <v>1660.983</v>
      </c>
      <c r="L121" s="12" t="n">
        <v>2026.331</v>
      </c>
    </row>
    <row r="122">
      <c r="A122" s="18" t="inlineStr">
        <is>
          <t>자본금</t>
        </is>
      </c>
      <c r="C122" s="20" t="n">
        <v>1047.542</v>
      </c>
      <c r="D122" s="20" t="n">
        <v>1047.542</v>
      </c>
      <c r="E122" s="20" t="n">
        <v>1047.542</v>
      </c>
      <c r="F122" s="20" t="n">
        <v>1047.542</v>
      </c>
      <c r="G122" s="20" t="n">
        <v>1047.542</v>
      </c>
      <c r="H122" s="20" t="n">
        <v>1047.542</v>
      </c>
      <c r="I122" s="20" t="n">
        <v>1047.542</v>
      </c>
      <c r="J122" s="20" t="n">
        <v>1047.542</v>
      </c>
      <c r="K122" s="20" t="n">
        <v>1047.542</v>
      </c>
      <c r="L122" s="20" t="n">
        <v>1047.542</v>
      </c>
    </row>
    <row r="123">
      <c r="A123" s="18" t="inlineStr">
        <is>
          <t>자본잉여금</t>
        </is>
      </c>
      <c r="C123" s="20" t="n">
        <v>1196.24</v>
      </c>
      <c r="D123" s="20" t="n">
        <v>1196.24</v>
      </c>
      <c r="E123" s="20" t="n">
        <v>1196.24</v>
      </c>
      <c r="F123" s="20" t="n">
        <v>1196.24</v>
      </c>
      <c r="G123" s="20" t="n">
        <v>1208.564</v>
      </c>
      <c r="H123" s="20" t="n">
        <v>1175.21</v>
      </c>
      <c r="I123" s="20" t="n">
        <v>1175.21</v>
      </c>
      <c r="J123" s="20" t="n">
        <v>1177.11</v>
      </c>
      <c r="K123" s="20" t="n">
        <v>1186.225</v>
      </c>
      <c r="L123" s="20" t="n">
        <v>1196.24</v>
      </c>
    </row>
    <row r="124">
      <c r="A124" s="18" t="inlineStr">
        <is>
          <t>이익잉여금</t>
        </is>
      </c>
      <c r="C124" s="20" t="n">
        <v>15215.202</v>
      </c>
      <c r="D124" s="20" t="n">
        <v>15357.205</v>
      </c>
      <c r="E124" s="20" t="n">
        <v>15577.694</v>
      </c>
      <c r="F124" s="20" t="n">
        <v>15590.357</v>
      </c>
      <c r="G124" s="20" t="n">
        <v>15953.056</v>
      </c>
      <c r="H124" s="20" t="n">
        <v>12632.377</v>
      </c>
      <c r="I124" s="20" t="n">
        <v>13285.332</v>
      </c>
      <c r="J124" s="20" t="n">
        <v>14182.372</v>
      </c>
      <c r="K124" s="20" t="n">
        <v>14765.985</v>
      </c>
      <c r="L124" s="20" t="n">
        <v>15577.694</v>
      </c>
    </row>
    <row r="125">
      <c r="A125" s="18" t="inlineStr">
        <is>
          <t>자기주식</t>
        </is>
      </c>
      <c r="C125" s="20" t="n">
        <v>-222.68</v>
      </c>
      <c r="D125" s="20" t="n">
        <v>-222.68</v>
      </c>
      <c r="E125" s="20" t="n">
        <v>-222.68</v>
      </c>
      <c r="F125" s="20" t="n">
        <v>-222.68</v>
      </c>
      <c r="G125" s="20" t="n">
        <v>-199.527</v>
      </c>
      <c r="H125" s="20" t="n">
        <v>-335.601</v>
      </c>
      <c r="I125" s="20" t="n">
        <v>-335.601</v>
      </c>
      <c r="J125" s="20" t="n">
        <v>-273.786</v>
      </c>
      <c r="K125" s="20" t="n">
        <v>-252.852</v>
      </c>
      <c r="L125" s="20" t="n">
        <v>-222.68</v>
      </c>
    </row>
    <row r="126">
      <c r="A126" s="9" t="inlineStr">
        <is>
          <t>주주자본 합계</t>
        </is>
      </c>
      <c r="C126" s="12" t="n">
        <v>17236.304</v>
      </c>
      <c r="D126" s="12" t="n">
        <v>17378.307</v>
      </c>
      <c r="E126" s="12" t="n">
        <v>17598.796</v>
      </c>
      <c r="F126" s="12" t="n">
        <v>17611.459</v>
      </c>
      <c r="G126" s="12" t="n">
        <v>18009.636</v>
      </c>
      <c r="H126" s="12" t="n">
        <v>14519.529</v>
      </c>
      <c r="I126" s="12" t="n">
        <v>15172.484</v>
      </c>
      <c r="J126" s="12" t="n">
        <v>16133.238</v>
      </c>
      <c r="K126" s="12" t="n">
        <v>16746.901</v>
      </c>
      <c r="L126" s="12" t="n">
        <v>17598.796</v>
      </c>
    </row>
    <row r="127">
      <c r="A127" s="18" t="inlineStr">
        <is>
          <t>기타유가증권 평가차액</t>
        </is>
      </c>
      <c r="C127" s="20" t="n">
        <v>304.721</v>
      </c>
      <c r="D127" s="20" t="n">
        <v>356.775</v>
      </c>
      <c r="E127" s="20" t="n">
        <v>370.825</v>
      </c>
      <c r="F127" s="20" t="n">
        <v>362.792</v>
      </c>
      <c r="G127" s="20" t="n">
        <v>413.429</v>
      </c>
      <c r="H127" s="20" t="n">
        <v>32.014</v>
      </c>
      <c r="I127" s="20" t="n">
        <v>43.149</v>
      </c>
      <c r="J127" s="20" t="n">
        <v>170.598</v>
      </c>
      <c r="K127" s="20" t="n">
        <v>232.167</v>
      </c>
      <c r="L127" s="20" t="n">
        <v>370.825</v>
      </c>
    </row>
    <row r="128">
      <c r="A128" s="18" t="inlineStr">
        <is>
          <t>이연헤지손익</t>
        </is>
      </c>
      <c r="C128" s="20" t="n">
        <v>0.483</v>
      </c>
      <c r="D128" s="20" t="n">
        <v>0.066</v>
      </c>
      <c r="E128" s="20" t="n">
        <v>0</v>
      </c>
      <c r="F128" s="20" t="n">
        <v>-0.233</v>
      </c>
      <c r="G128" s="20" t="n">
        <v>-0.595</v>
      </c>
      <c r="H128" s="20" t="n">
        <v>0</v>
      </c>
      <c r="I128" s="20" t="n">
        <v>0.868</v>
      </c>
      <c r="J128" s="20" t="n">
        <v>0.206</v>
      </c>
      <c r="K128" s="20" t="n">
        <v>-0.604</v>
      </c>
      <c r="L128" s="20" t="n">
        <v>0</v>
      </c>
    </row>
    <row r="129">
      <c r="A129" s="18" t="inlineStr">
        <is>
          <t>토지재평가차액금</t>
        </is>
      </c>
      <c r="C129" s="20" t="n">
        <v>-371.051</v>
      </c>
      <c r="D129" s="20" t="n">
        <v>-371.051</v>
      </c>
      <c r="E129" s="20" t="n">
        <v>-371.051</v>
      </c>
      <c r="F129" s="20" t="n">
        <v>-371.051</v>
      </c>
      <c r="G129" s="20" t="n">
        <v>-371.051</v>
      </c>
      <c r="H129" s="20" t="n">
        <v>-371.051</v>
      </c>
      <c r="I129" s="20" t="n">
        <v>-371.051</v>
      </c>
      <c r="J129" s="20" t="n">
        <v>-371.051</v>
      </c>
      <c r="K129" s="20" t="n">
        <v>-371.051</v>
      </c>
      <c r="L129" s="20" t="n">
        <v>-371.051</v>
      </c>
    </row>
    <row r="130">
      <c r="A130" s="18" t="inlineStr">
        <is>
          <t>해외사업환산조정</t>
        </is>
      </c>
      <c r="C130" s="20" t="n">
        <v>1147.136</v>
      </c>
      <c r="D130" s="20" t="n">
        <v>1221.519</v>
      </c>
      <c r="E130" s="20" t="n">
        <v>1450.25</v>
      </c>
      <c r="F130" s="20" t="n">
        <v>1479.916</v>
      </c>
      <c r="G130" s="20" t="n">
        <v>1560.052</v>
      </c>
      <c r="H130" s="20" t="n">
        <v>536.1079999999999</v>
      </c>
      <c r="I130" s="20" t="n">
        <v>849.093</v>
      </c>
      <c r="J130" s="20" t="n">
        <v>1088.373</v>
      </c>
      <c r="K130" s="20" t="n">
        <v>1358.1</v>
      </c>
      <c r="L130" s="20" t="n">
        <v>1450.25</v>
      </c>
    </row>
    <row r="131">
      <c r="A131" s="18" t="inlineStr">
        <is>
          <t>기타포괄손익누계액 합계</t>
        </is>
      </c>
      <c r="C131" s="20" t="n">
        <v>1081.29</v>
      </c>
      <c r="D131" s="20" t="n">
        <v>1207.31</v>
      </c>
      <c r="E131" s="20" t="n">
        <v>1450.024</v>
      </c>
      <c r="F131" s="20" t="n">
        <v>1471.423</v>
      </c>
      <c r="G131" s="20" t="n">
        <v>1601.834</v>
      </c>
      <c r="H131" s="20" t="n">
        <v>197.071</v>
      </c>
      <c r="I131" s="20" t="n">
        <v>522.059</v>
      </c>
      <c r="J131" s="20" t="n">
        <v>888.127</v>
      </c>
      <c r="K131" s="20" t="n">
        <v>1218.612</v>
      </c>
      <c r="L131" s="20" t="n">
        <v>1450.024</v>
      </c>
    </row>
    <row r="132">
      <c r="A132" s="9" t="inlineStr">
        <is>
          <t>순자산 합계</t>
        </is>
      </c>
      <c r="C132" s="12" t="n">
        <v>18317.595</v>
      </c>
      <c r="D132" s="12" t="n">
        <v>18585.617</v>
      </c>
      <c r="E132" s="12" t="n">
        <v>19048.821</v>
      </c>
      <c r="F132" s="12" t="n">
        <v>19082.883</v>
      </c>
      <c r="G132" s="12" t="n">
        <v>19611.471</v>
      </c>
      <c r="H132" s="12" t="n">
        <v>14716.601</v>
      </c>
      <c r="I132" s="12" t="n">
        <v>15694.544</v>
      </c>
      <c r="J132" s="12" t="n">
        <v>17021.366</v>
      </c>
      <c r="K132" s="12" t="n">
        <v>17965.513</v>
      </c>
      <c r="L132" s="12" t="n">
        <v>19048.821</v>
      </c>
    </row>
    <row r="133">
      <c r="A133" s="9" t="inlineStr">
        <is>
          <t>부채·순자산 합계</t>
        </is>
      </c>
      <c r="C133" s="12" t="n">
        <v>19882.474</v>
      </c>
      <c r="D133" s="12" t="n">
        <v>20492.6</v>
      </c>
      <c r="E133" s="12" t="n">
        <v>21075.153</v>
      </c>
      <c r="F133" s="12" t="n">
        <v>20904.005</v>
      </c>
      <c r="G133" s="12" t="n">
        <v>21279.023</v>
      </c>
      <c r="H133" s="12" t="n">
        <v>16273.011</v>
      </c>
      <c r="I133" s="12" t="n">
        <v>17731.286</v>
      </c>
      <c r="J133" s="12" t="n">
        <v>18908.894</v>
      </c>
      <c r="K133" s="12" t="n">
        <v>19626.496</v>
      </c>
      <c r="L133" s="12" t="n">
        <v>21075.153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2026-07-30</t>
        </is>
      </c>
      <c r="B4" t="inlineStr">
        <is>
          <t>2026년 12월 결산기 ２분기 결산단신</t>
        </is>
      </c>
      <c r="C4" t="inlineStr">
        <is>
          <t>https://www2.jpx.co.jp/disc/58190/140120260717596179.pdf</t>
        </is>
      </c>
    </row>
    <row r="5">
      <c r="A5" t="inlineStr">
        <is>
          <t>2026-04-28</t>
        </is>
      </c>
      <c r="B5" t="inlineStr">
        <is>
          <t>2026년 12월 결산기 １분기 결산단신</t>
        </is>
      </c>
      <c r="C5" t="inlineStr">
        <is>
          <t>https://www2.jpx.co.jp/disc/58190/140120260417506257.pdf</t>
        </is>
      </c>
    </row>
    <row r="6">
      <c r="A6" t="inlineStr">
        <is>
          <t>2026-01-29</t>
        </is>
      </c>
      <c r="B6" t="inlineStr">
        <is>
          <t>2025년 12월 결산기 연간 결산단신</t>
        </is>
      </c>
      <c r="C6" t="inlineStr">
        <is>
          <t>https://www2.jpx.co.jp/disc/58190/140120260122537310.pdf</t>
        </is>
      </c>
    </row>
    <row r="7">
      <c r="A7" t="inlineStr">
        <is>
          <t>2025-10-30</t>
        </is>
      </c>
      <c r="B7" t="inlineStr">
        <is>
          <t>2025년 12월 결산기 ３분기 결산단신</t>
        </is>
      </c>
      <c r="C7" t="inlineStr">
        <is>
          <t>https://www2.jpx.co.jp/disc/58190/140120251021576381.pdf</t>
        </is>
      </c>
    </row>
    <row r="8">
      <c r="A8" t="inlineStr">
        <is>
          <t>2025-07-30</t>
        </is>
      </c>
      <c r="B8" t="inlineStr">
        <is>
          <t>2025년 12월 결산기 ２분기 결산단신</t>
        </is>
      </c>
      <c r="C8" t="inlineStr">
        <is>
          <t>https://www2.jpx.co.jp/disc/58190/140120250716515503.pdf</t>
        </is>
      </c>
    </row>
    <row r="9">
      <c r="A9" t="inlineStr">
        <is>
          <t>2025-04-25</t>
        </is>
      </c>
      <c r="B9" t="inlineStr">
        <is>
          <t>2025년 12월 결산기 1분기 결산단신</t>
        </is>
      </c>
      <c r="C9" t="inlineStr">
        <is>
          <t>https://www2.jpx.co.jp/disc/58190/140120250421518886.pdf</t>
        </is>
      </c>
    </row>
    <row r="10">
      <c r="A10" t="inlineStr">
        <is>
          <t>2025-01-30</t>
        </is>
      </c>
      <c r="B10" t="inlineStr">
        <is>
          <t>2024년 12월 결산기 연간 결산단신</t>
        </is>
      </c>
      <c r="C10" t="inlineStr">
        <is>
          <t>https://www2.jpx.co.jp/disc/58190/140120250124554589.pdf</t>
        </is>
      </c>
    </row>
    <row r="11">
      <c r="A11" t="inlineStr">
        <is>
          <t>2024-10-30</t>
        </is>
      </c>
      <c r="B11" t="inlineStr">
        <is>
          <t>2024년 12월 결산기 ３분기 결산단신</t>
        </is>
      </c>
      <c r="C11" t="inlineStr">
        <is>
          <t>https://www2.jpx.co.jp/disc/58190/140120241023501366.pdf</t>
        </is>
      </c>
    </row>
    <row r="12">
      <c r="A12" t="inlineStr">
        <is>
          <t>2024-07-30</t>
        </is>
      </c>
      <c r="B12" t="inlineStr">
        <is>
          <t>2024년 12월 결산기 ２분기 결산단신</t>
        </is>
      </c>
      <c r="C12" t="inlineStr">
        <is>
          <t>https://www2.jpx.co.jp/disc/58190/140120240724553946.pdf</t>
        </is>
      </c>
    </row>
    <row r="13">
      <c r="A13" t="inlineStr">
        <is>
          <t>2024-04-26</t>
        </is>
      </c>
      <c r="B13" t="inlineStr">
        <is>
          <t>2024년 12월 결산기 1분기 결산단신</t>
        </is>
      </c>
      <c r="C13" t="inlineStr">
        <is>
          <t>https://www2.jpx.co.jp/disc/58190/140120240419573523.pdf</t>
        </is>
      </c>
    </row>
    <row r="14">
      <c r="A14" t="inlineStr">
        <is>
          <t>2024-01-26</t>
        </is>
      </c>
      <c r="B14" t="inlineStr">
        <is>
          <t>2023년 12월 결산기 연간 결산단신</t>
        </is>
      </c>
      <c r="C14" t="inlineStr">
        <is>
          <t>https://www2.jpx.co.jp/disc/58190/140120240123518266.pdf</t>
        </is>
      </c>
    </row>
    <row r="15">
      <c r="A15" t="inlineStr">
        <is>
          <t>2023-10-27</t>
        </is>
      </c>
      <c r="B15" t="inlineStr">
        <is>
          <t>2023년 12월 결산기 3분기 결산단신</t>
        </is>
      </c>
      <c r="C15" t="inlineStr">
        <is>
          <t>https://www2.jpx.co.jp/disc/58190/140120231025571018.pdf</t>
        </is>
      </c>
    </row>
    <row r="16">
      <c r="A16" t="inlineStr">
        <is>
          <t>2023-07-28</t>
        </is>
      </c>
      <c r="B16" t="inlineStr">
        <is>
          <t>2023년 12월 결산기 2분기 결산단신</t>
        </is>
      </c>
      <c r="C16" t="inlineStr">
        <is>
          <t>https://www2.jpx.co.jp/disc/58190/140120230725526252.pdf</t>
        </is>
      </c>
    </row>
    <row r="17">
      <c r="A17" t="inlineStr">
        <is>
          <t>2023-04-27</t>
        </is>
      </c>
      <c r="B17" t="inlineStr">
        <is>
          <t>2023년 12월 결산기 １분기 결산단신</t>
        </is>
      </c>
      <c r="C17" t="inlineStr">
        <is>
          <t>https://www2.jpx.co.jp/disc/58190/140120230421551046.pdf</t>
        </is>
      </c>
    </row>
    <row r="18">
      <c r="A18" t="inlineStr">
        <is>
          <t>2023-01-27</t>
        </is>
      </c>
      <c r="B18" t="inlineStr">
        <is>
          <t>2022년 12월 결산기 연간 결산단신</t>
        </is>
      </c>
      <c r="C18" t="inlineStr">
        <is>
          <t>https://www2.jpx.co.jp/disc/58190/140120230123592553.pdf</t>
        </is>
      </c>
    </row>
    <row r="19">
      <c r="A19" t="inlineStr">
        <is>
          <t>2022-10-28</t>
        </is>
      </c>
      <c r="B19" t="inlineStr">
        <is>
          <t>2022년 12월 결산기 3분기 결산단신</t>
        </is>
      </c>
      <c r="C19" t="inlineStr">
        <is>
          <t>https://www2.jpx.co.jp/disc/58190/140120221021547721.pdf</t>
        </is>
      </c>
    </row>
    <row r="20">
      <c r="A20" t="inlineStr">
        <is>
          <t>2022-01-27</t>
        </is>
      </c>
      <c r="B20" t="inlineStr">
        <is>
          <t>2021년 12월 결산기 연간 결산단신</t>
        </is>
      </c>
      <c r="C20" t="inlineStr">
        <is>
          <t>https://www2.jpx.co.jp/disc/58190/140120220121570920.pdf</t>
        </is>
      </c>
    </row>
    <row r="21">
      <c r="A21" t="inlineStr">
        <is>
          <t>2021-01-28</t>
        </is>
      </c>
      <c r="B21" t="inlineStr">
        <is>
          <t>2020년 12월 결산기 연간 결산단신</t>
        </is>
      </c>
      <c r="C21" t="inlineStr">
        <is>
          <t>https://www2.jpx.co.jp/disc/58190/140120210125448513.pdf</t>
        </is>
      </c>
    </row>
    <row r="22">
      <c r="A22" t="inlineStr">
        <is>
          <t>2020-01-30</t>
        </is>
      </c>
      <c r="B22" t="inlineStr">
        <is>
          <t>2019년 12월 결산기 연간 결산단신</t>
        </is>
      </c>
      <c r="C22" t="inlineStr">
        <is>
          <t>https://www2.jpx.co.jp/disc/58190/140120200127450960.pdf</t>
        </is>
      </c>
    </row>
    <row r="23">
      <c r="A23" t="inlineStr">
        <is>
          <t>2019-01-30</t>
        </is>
      </c>
      <c r="B23" t="inlineStr">
        <is>
          <t>연간 결산단신</t>
        </is>
      </c>
      <c r="C23" t="inlineStr">
        <is>
          <t>https://www2.jpx.co.jp/disc/58190/140120190128464666.pdf</t>
        </is>
      </c>
    </row>
    <row r="24">
      <c r="A24" t="inlineStr">
        <is>
          <t>2018-01-30</t>
        </is>
      </c>
      <c r="B24" t="inlineStr">
        <is>
          <t>연간 결산단신</t>
        </is>
      </c>
      <c r="C24" t="inlineStr">
        <is>
          <t>https://www2.jpx.co.jp/disc/58190/140120180126457208.pdf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2026-10-28T07:03:50Z</dcterms:created>
  <dcterms:modified xmlns:dcterms="http://purl.org/dc/terms/" xmlns:xsi="http://www.w3.org/2001/XMLSchema-instance" xsi:type="dcterms:W3CDTF">2026-10-28T07:03:50Z</dcterms:modified>
</cp:coreProperties>
</file>