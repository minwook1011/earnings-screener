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8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9206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10608</v>
      </c>
      <c r="D4" s="12" t="n">
        <v>10406</v>
      </c>
      <c r="E4" s="12" t="n">
        <v>10068</v>
      </c>
      <c r="F4" s="12" t="n">
        <v>10805</v>
      </c>
      <c r="G4" s="12" t="n">
        <v>11183</v>
      </c>
      <c r="H4" s="12" t="n">
        <v>10844</v>
      </c>
      <c r="I4" s="12" t="n">
        <v>10391</v>
      </c>
      <c r="J4" s="12" t="n">
        <v>11060</v>
      </c>
      <c r="K4" s="12" t="n">
        <v>11723</v>
      </c>
      <c r="L4" s="12" t="n">
        <v>11621</v>
      </c>
      <c r="M4" s="12" t="n">
        <v>11033</v>
      </c>
      <c r="N4" s="12" t="n">
        <v>12346</v>
      </c>
      <c r="O4" s="11" t="n">
        <v>34886</v>
      </c>
      <c r="P4" s="12" t="n">
        <v>38095</v>
      </c>
      <c r="Q4" s="12" t="n">
        <v>39937</v>
      </c>
      <c r="R4" s="12" t="n">
        <v>40416</v>
      </c>
      <c r="S4" s="12" t="n">
        <v>18295</v>
      </c>
      <c r="T4" s="12" t="n">
        <v>21131</v>
      </c>
      <c r="U4" s="12" t="n">
        <v>32275</v>
      </c>
      <c r="V4" s="12" t="n">
        <v>40019</v>
      </c>
      <c r="W4" s="12" t="n">
        <v>42900</v>
      </c>
      <c r="X4" s="12" t="n">
        <v>44795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1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805</v>
      </c>
      <c r="D17" s="22" t="n">
        <v>884</v>
      </c>
      <c r="E17" s="22" t="n">
        <v>816</v>
      </c>
      <c r="F17" s="22" t="n">
        <v>787</v>
      </c>
      <c r="G17" s="22" t="n">
        <v>883</v>
      </c>
      <c r="H17" s="22" t="n">
        <v>801</v>
      </c>
      <c r="I17" s="22" t="n">
        <v>846</v>
      </c>
      <c r="J17" s="22" t="n">
        <v>875</v>
      </c>
      <c r="K17" s="22" t="n">
        <v>1003</v>
      </c>
      <c r="L17" s="22" t="n">
        <v>1002</v>
      </c>
      <c r="M17" s="22" t="n">
        <v>971</v>
      </c>
      <c r="N17" s="22" t="n">
        <v>1158</v>
      </c>
      <c r="O17" s="21" t="n">
        <v>3549</v>
      </c>
      <c r="P17" s="22" t="n">
        <v>4381</v>
      </c>
      <c r="Q17" s="22" t="n">
        <v>4744</v>
      </c>
      <c r="R17" s="22" t="n">
        <v>4555</v>
      </c>
      <c r="S17" s="22" t="n">
        <v>2672</v>
      </c>
      <c r="T17" s="22" t="n">
        <v>2487</v>
      </c>
      <c r="U17" s="22" t="n">
        <v>2537</v>
      </c>
      <c r="V17" s="22" t="n">
        <v>3162</v>
      </c>
      <c r="W17" s="22" t="n">
        <v>3287</v>
      </c>
      <c r="X17" s="22" t="n">
        <v>3726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1455</v>
      </c>
      <c r="D19" s="12" t="n">
        <v>344</v>
      </c>
      <c r="E19" s="12" t="n">
        <v>-854</v>
      </c>
      <c r="F19" s="12" t="n">
        <v>1166</v>
      </c>
      <c r="G19" s="12" t="n">
        <v>1110</v>
      </c>
      <c r="H19" s="12" t="n">
        <v>-192</v>
      </c>
      <c r="I19" s="12" t="n">
        <v>-40</v>
      </c>
      <c r="J19" s="12" t="n">
        <v>-67</v>
      </c>
      <c r="K19" s="12" t="n">
        <v>526</v>
      </c>
      <c r="L19" s="12" t="n">
        <v>970</v>
      </c>
      <c r="M19" s="12" t="n">
        <v>-1120</v>
      </c>
      <c r="N19" s="12" t="n">
        <v>1610</v>
      </c>
      <c r="O19" s="11" t="n">
        <v>3058</v>
      </c>
      <c r="P19" s="12" t="n">
        <v>2870</v>
      </c>
      <c r="Q19" s="12" t="n">
        <v>1264</v>
      </c>
      <c r="R19" s="12" t="n">
        <v>3</v>
      </c>
      <c r="S19" s="12" t="n">
        <v>-11239</v>
      </c>
      <c r="T19" s="12" t="n">
        <v>-6465</v>
      </c>
      <c r="U19" s="12" t="n">
        <v>-1317</v>
      </c>
      <c r="V19" s="12" t="n">
        <v>90</v>
      </c>
      <c r="W19" s="12" t="n">
        <v>1230</v>
      </c>
      <c r="X19" s="12" t="n">
        <v>1389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0</v>
      </c>
      <c r="D35" s="22" t="n">
        <v>0</v>
      </c>
      <c r="E35" s="22" t="n">
        <v>0</v>
      </c>
      <c r="F35" s="22" t="n">
        <v>22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10</v>
      </c>
      <c r="M35" s="22" t="n"/>
      <c r="N35" s="22" t="n"/>
      <c r="O35" s="21" t="n"/>
      <c r="P35" s="22" t="n"/>
      <c r="Q35" s="22" t="n"/>
      <c r="R35" s="22" t="n">
        <v>0</v>
      </c>
      <c r="S35" s="22" t="n">
        <v>1605</v>
      </c>
      <c r="T35" s="22" t="n">
        <v>2614</v>
      </c>
      <c r="U35" s="22" t="n">
        <v>118</v>
      </c>
      <c r="V35" s="22" t="n">
        <v>1</v>
      </c>
      <c r="W35" s="22" t="n">
        <v>22</v>
      </c>
      <c r="X35" s="22" t="n">
        <v>10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>
        <v>17</v>
      </c>
      <c r="P37" s="22" t="n">
        <v>0</v>
      </c>
      <c r="Q37" s="22" t="n"/>
      <c r="R37" s="22" t="n"/>
      <c r="S37" s="22" t="n">
        <v>0</v>
      </c>
      <c r="T37" s="22" t="n">
        <v>1533</v>
      </c>
      <c r="U37" s="22" t="n">
        <v>0</v>
      </c>
      <c r="V37" s="22" t="n"/>
      <c r="W37" s="22" t="n"/>
      <c r="X37" s="22" t="n"/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177</v>
      </c>
      <c r="D39" s="22" t="n">
        <v>423</v>
      </c>
      <c r="E39" s="22" t="n">
        <v>424</v>
      </c>
      <c r="F39" s="22" t="n">
        <v>-49</v>
      </c>
      <c r="G39" s="22" t="n">
        <v>401</v>
      </c>
      <c r="H39" s="22" t="n">
        <v>23</v>
      </c>
      <c r="I39" s="22" t="n">
        <v>8</v>
      </c>
      <c r="J39" s="22" t="n">
        <v>10</v>
      </c>
      <c r="K39" s="22" t="n">
        <v>3</v>
      </c>
      <c r="L39" s="22" t="n">
        <v>36</v>
      </c>
      <c r="M39" s="22" t="n">
        <v>66</v>
      </c>
      <c r="N39" s="22" t="n">
        <v>170</v>
      </c>
      <c r="O39" s="21" t="n">
        <v>143</v>
      </c>
      <c r="P39" s="22" t="n">
        <v>105</v>
      </c>
      <c r="Q39" s="22" t="n">
        <v>203</v>
      </c>
      <c r="R39" s="22" t="n">
        <v>234</v>
      </c>
      <c r="S39" s="22" t="n">
        <v>95</v>
      </c>
      <c r="T39" s="22" t="n">
        <v>532</v>
      </c>
      <c r="U39" s="22" t="n">
        <v>696</v>
      </c>
      <c r="V39" s="22" t="n">
        <v>1056</v>
      </c>
      <c r="W39" s="22" t="n">
        <v>799</v>
      </c>
      <c r="X39" s="22" t="n">
        <v>57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15</v>
      </c>
      <c r="D41" s="22" t="n">
        <v>14</v>
      </c>
      <c r="E41" s="22" t="n">
        <v>12</v>
      </c>
      <c r="F41" s="22" t="n">
        <v>34</v>
      </c>
      <c r="G41" s="22" t="n">
        <v>38</v>
      </c>
      <c r="H41" s="22" t="n">
        <v>12</v>
      </c>
      <c r="I41" s="22" t="n">
        <v>42</v>
      </c>
      <c r="J41" s="22" t="n">
        <v>239</v>
      </c>
      <c r="K41" s="22" t="n">
        <v>419</v>
      </c>
      <c r="L41" s="22" t="n">
        <v>62</v>
      </c>
      <c r="M41" s="22" t="n">
        <v>69</v>
      </c>
      <c r="N41" s="22" t="n">
        <v>67</v>
      </c>
      <c r="O41" s="21" t="n">
        <v>216</v>
      </c>
      <c r="P41" s="22" t="n">
        <v>242</v>
      </c>
      <c r="Q41" s="22" t="n">
        <v>216</v>
      </c>
      <c r="R41" s="22" t="n">
        <v>191</v>
      </c>
      <c r="S41" s="22" t="n">
        <v>213</v>
      </c>
      <c r="T41" s="22" t="n">
        <v>121</v>
      </c>
      <c r="U41" s="22" t="n">
        <v>83</v>
      </c>
      <c r="V41" s="22" t="n">
        <v>86</v>
      </c>
      <c r="W41" s="22" t="n">
        <v>96</v>
      </c>
      <c r="X41" s="22" t="n">
        <v>762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1617</v>
      </c>
      <c r="D43" s="12" t="n">
        <v>754</v>
      </c>
      <c r="E43" s="12" t="n">
        <v>-441</v>
      </c>
      <c r="F43" s="12" t="n">
        <v>1104</v>
      </c>
      <c r="G43" s="12" t="n">
        <v>1473</v>
      </c>
      <c r="H43" s="12" t="n">
        <v>-181</v>
      </c>
      <c r="I43" s="12" t="n">
        <v>-74</v>
      </c>
      <c r="J43" s="12" t="n">
        <v>-296</v>
      </c>
      <c r="K43" s="12" t="n">
        <v>111</v>
      </c>
      <c r="L43" s="12" t="n">
        <v>954</v>
      </c>
      <c r="M43" s="12" t="n">
        <v>-1123</v>
      </c>
      <c r="N43" s="12" t="n">
        <v>1714</v>
      </c>
      <c r="O43" s="11" t="n">
        <v>2967</v>
      </c>
      <c r="P43" s="12" t="n">
        <v>2733</v>
      </c>
      <c r="Q43" s="12" t="n">
        <v>1250</v>
      </c>
      <c r="R43" s="12" t="n">
        <v>46</v>
      </c>
      <c r="S43" s="12" t="n">
        <v>-9751</v>
      </c>
      <c r="T43" s="12" t="n">
        <v>-4973</v>
      </c>
      <c r="U43" s="12" t="n">
        <v>-586</v>
      </c>
      <c r="V43" s="12" t="n">
        <v>1062</v>
      </c>
      <c r="W43" s="12" t="n">
        <v>1955</v>
      </c>
      <c r="X43" s="12" t="n">
        <v>695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227</v>
      </c>
      <c r="D45" s="22" t="n">
        <v>-41</v>
      </c>
      <c r="E45" s="22" t="n">
        <v>156</v>
      </c>
      <c r="F45" s="22" t="n">
        <v>-157</v>
      </c>
      <c r="G45" s="22" t="n">
        <v>114</v>
      </c>
      <c r="H45" s="22" t="n">
        <v>-81</v>
      </c>
      <c r="I45" s="22" t="n">
        <v>-172</v>
      </c>
      <c r="J45" s="22" t="n">
        <v>-97</v>
      </c>
      <c r="K45" s="22" t="n">
        <v>101</v>
      </c>
      <c r="L45" s="22" t="n">
        <v>429</v>
      </c>
      <c r="M45" s="22" t="n">
        <v>-313</v>
      </c>
      <c r="N45" s="22" t="n">
        <v>267</v>
      </c>
      <c r="O45" s="21" t="n">
        <v>1036</v>
      </c>
      <c r="P45" s="22" t="n">
        <v>854</v>
      </c>
      <c r="Q45" s="22" t="n">
        <v>737</v>
      </c>
      <c r="R45" s="22" t="n">
        <v>447</v>
      </c>
      <c r="S45" s="22" t="n">
        <v>316</v>
      </c>
      <c r="T45" s="22" t="n">
        <v>12</v>
      </c>
      <c r="U45" s="22" t="n">
        <v>-659</v>
      </c>
      <c r="V45" s="22" t="n">
        <v>149</v>
      </c>
      <c r="W45" s="22" t="n">
        <v>32</v>
      </c>
      <c r="X45" s="22" t="n">
        <v>261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1389</v>
      </c>
      <c r="D47" s="12" t="n">
        <v>794</v>
      </c>
      <c r="E47" s="12" t="n">
        <v>-598</v>
      </c>
      <c r="F47" s="12" t="n">
        <v>1262</v>
      </c>
      <c r="G47" s="12" t="n">
        <v>1358</v>
      </c>
      <c r="H47" s="12" t="n">
        <v>-99</v>
      </c>
      <c r="I47" s="12" t="n">
        <v>98</v>
      </c>
      <c r="J47" s="12" t="n">
        <v>-198</v>
      </c>
      <c r="K47" s="12" t="n">
        <v>10</v>
      </c>
      <c r="L47" s="12" t="n">
        <v>524</v>
      </c>
      <c r="M47" s="12" t="n">
        <v>-810</v>
      </c>
      <c r="N47" s="12" t="n">
        <v>1447</v>
      </c>
      <c r="O47" s="11" t="n">
        <v>1931</v>
      </c>
      <c r="P47" s="12" t="n">
        <v>1878</v>
      </c>
      <c r="Q47" s="12" t="n">
        <v>513</v>
      </c>
      <c r="R47" s="12" t="n">
        <v>-400</v>
      </c>
      <c r="S47" s="12" t="n">
        <v>-10067</v>
      </c>
      <c r="T47" s="12" t="n">
        <v>-4986</v>
      </c>
      <c r="U47" s="12" t="n">
        <v>73</v>
      </c>
      <c r="V47" s="12" t="n">
        <v>912</v>
      </c>
      <c r="W47" s="12" t="n">
        <v>1923</v>
      </c>
      <c r="X47" s="12" t="n">
        <v>434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1389</v>
      </c>
      <c r="D49" s="12" t="n">
        <v>794</v>
      </c>
      <c r="E49" s="12" t="n">
        <v>-598</v>
      </c>
      <c r="F49" s="12" t="n">
        <v>1262</v>
      </c>
      <c r="G49" s="12" t="n">
        <v>1358</v>
      </c>
      <c r="H49" s="12" t="n">
        <v>-99</v>
      </c>
      <c r="I49" s="12" t="n">
        <v>98</v>
      </c>
      <c r="J49" s="12" t="n">
        <v>-198</v>
      </c>
      <c r="K49" s="12" t="n">
        <v>10</v>
      </c>
      <c r="L49" s="12" t="n">
        <v>524</v>
      </c>
      <c r="M49" s="12" t="n">
        <v>-810</v>
      </c>
      <c r="N49" s="12" t="n">
        <v>1447</v>
      </c>
      <c r="O49" s="11" t="n">
        <v>1931</v>
      </c>
      <c r="P49" s="12" t="n">
        <v>1878</v>
      </c>
      <c r="Q49" s="12" t="n">
        <v>513</v>
      </c>
      <c r="R49" s="12" t="n">
        <v>-400</v>
      </c>
      <c r="S49" s="12" t="n">
        <v>-10067</v>
      </c>
      <c r="T49" s="12" t="n">
        <v>-4986</v>
      </c>
      <c r="U49" s="12" t="n">
        <v>73</v>
      </c>
      <c r="V49" s="12" t="n">
        <v>912</v>
      </c>
      <c r="W49" s="12" t="n">
        <v>1923</v>
      </c>
      <c r="X49" s="12" t="n">
        <v>434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20" t="inlineStr">
        <is>
          <t>영업수입</t>
        </is>
      </c>
      <c r="C84" s="22" t="n">
        <v>10608</v>
      </c>
      <c r="D84" s="22" t="n">
        <v>10406</v>
      </c>
      <c r="E84" s="22" t="n">
        <v>10068</v>
      </c>
      <c r="F84" s="22" t="n">
        <v>10805</v>
      </c>
      <c r="G84" s="22" t="n">
        <v>11183</v>
      </c>
      <c r="H84" s="22" t="n">
        <v>10844</v>
      </c>
      <c r="I84" s="22" t="n">
        <v>10391</v>
      </c>
      <c r="J84" s="22" t="n">
        <v>11060</v>
      </c>
      <c r="K84" s="22" t="n">
        <v>11723</v>
      </c>
      <c r="L84" s="22" t="n">
        <v>11621</v>
      </c>
      <c r="M84" s="22" t="n">
        <v>11033</v>
      </c>
      <c r="N84" s="22" t="n">
        <v>12346</v>
      </c>
      <c r="T84" s="22" t="n">
        <v>5744</v>
      </c>
      <c r="U84" s="22" t="n">
        <v>8879</v>
      </c>
      <c r="V84" s="22" t="n">
        <v>10406</v>
      </c>
      <c r="W84" s="22" t="n">
        <v>10844</v>
      </c>
      <c r="X84" s="22" t="n">
        <v>11621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Business Expenses COSExp OA</t>
        </is>
      </c>
      <c r="D86" s="22" t="n">
        <v>9178</v>
      </c>
      <c r="E86" s="22" t="n">
        <v>10106</v>
      </c>
      <c r="H86" s="22" t="n">
        <v>10235</v>
      </c>
      <c r="I86" s="22" t="n">
        <v>9585</v>
      </c>
      <c r="L86" s="22" t="n">
        <v>9649</v>
      </c>
      <c r="M86" s="22" t="n">
        <v>11182</v>
      </c>
      <c r="T86" s="22" t="n">
        <v>7270</v>
      </c>
      <c r="U86" s="22" t="n">
        <v>8075</v>
      </c>
      <c r="V86" s="22" t="n">
        <v>9178</v>
      </c>
      <c r="W86" s="22" t="n">
        <v>10235</v>
      </c>
      <c r="X86" s="22" t="n">
        <v>9649</v>
      </c>
    </row>
    <row r="87">
      <c r="A87" s="20" t="inlineStr">
        <is>
          <t>영업총이익</t>
        </is>
      </c>
      <c r="C87" s="22" t="n">
        <v>2259</v>
      </c>
      <c r="D87" s="22" t="n">
        <v>1229</v>
      </c>
      <c r="E87" s="22" t="n">
        <v>-37</v>
      </c>
      <c r="F87" s="22" t="n">
        <v>1952</v>
      </c>
      <c r="G87" s="22" t="n">
        <v>1993</v>
      </c>
      <c r="H87" s="22" t="n">
        <v>609</v>
      </c>
      <c r="I87" s="22" t="n">
        <v>805</v>
      </c>
      <c r="J87" s="22" t="n">
        <v>809</v>
      </c>
      <c r="K87" s="22" t="n">
        <v>1529</v>
      </c>
      <c r="L87" s="22" t="n">
        <v>1972</v>
      </c>
      <c r="M87" s="22" t="n">
        <v>-149</v>
      </c>
      <c r="N87" s="22" t="n">
        <v>2769</v>
      </c>
      <c r="T87" s="22" t="n">
        <v>-1526</v>
      </c>
      <c r="U87" s="22" t="n">
        <v>805</v>
      </c>
      <c r="V87" s="22" t="n">
        <v>1229</v>
      </c>
      <c r="W87" s="22" t="n">
        <v>609</v>
      </c>
      <c r="X87" s="22" t="n">
        <v>1972</v>
      </c>
    </row>
    <row r="88">
      <c r="A88" s="20" t="inlineStr">
        <is>
          <t>판매비와 관리비</t>
        </is>
      </c>
      <c r="C88" s="22" t="n">
        <v>805</v>
      </c>
      <c r="D88" s="22" t="n">
        <v>884</v>
      </c>
      <c r="E88" s="22" t="n">
        <v>816</v>
      </c>
      <c r="F88" s="22" t="n">
        <v>787</v>
      </c>
      <c r="G88" s="22" t="n">
        <v>883</v>
      </c>
      <c r="H88" s="22" t="n">
        <v>801</v>
      </c>
      <c r="I88" s="22" t="n">
        <v>846</v>
      </c>
      <c r="J88" s="22" t="n">
        <v>875</v>
      </c>
      <c r="K88" s="22" t="n">
        <v>1003</v>
      </c>
      <c r="L88" s="22" t="n">
        <v>1002</v>
      </c>
      <c r="M88" s="22" t="n">
        <v>971</v>
      </c>
      <c r="N88" s="22" t="n">
        <v>1158</v>
      </c>
      <c r="T88" s="22" t="n">
        <v>744</v>
      </c>
      <c r="U88" s="22" t="n">
        <v>697</v>
      </c>
      <c r="V88" s="22" t="n">
        <v>884</v>
      </c>
      <c r="W88" s="22" t="n">
        <v>801</v>
      </c>
      <c r="X88" s="22" t="n">
        <v>1002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IF(OR(G88="",C88=""),"",IF(G88*C88&lt;=0,"",IFERROR(G88/C88-1,"")))</f>
        <v/>
      </c>
      <c r="H89" s="17">
        <f>IF(OR(H88="",D88=""),"",IF(H88*D88&lt;=0,"",IFERROR(H88/D88-1,"")))</f>
        <v/>
      </c>
      <c r="I89" s="17">
        <f>IF(OR(I88="",E88=""),"",IF(I88*E88&lt;=0,"",IFERROR(I88/E88-1,"")))</f>
        <v/>
      </c>
      <c r="J89" s="17">
        <f>IF(OR(J88="",F88=""),"",IF(J88*F88&lt;=0,"",IFERROR(J88/F88-1,"")))</f>
        <v/>
      </c>
      <c r="K89" s="17">
        <f>IF(OR(K88="",G88=""),"",IF(K88*G88&lt;=0,"",IFERROR(K88/G88-1,"")))</f>
        <v/>
      </c>
      <c r="L89" s="17">
        <f>IF(OR(L88="",H88=""),"",IF(L88*H88&lt;=0,"",IFERROR(L88/H88-1,"")))</f>
        <v/>
      </c>
      <c r="M89" s="17">
        <f>IF(OR(M88="",I88=""),"",IF(M88*I88&lt;=0,"",IFERROR(M88/I88-1,"")))</f>
        <v/>
      </c>
      <c r="N89" s="17">
        <f>IF(OR(N88="",J88=""),"",IF(N88*J88&lt;=0,"",IFERROR(N88/J88-1,"")))</f>
        <v/>
      </c>
      <c r="T89" s="17">
        <f>IF(OR(T88="",S88=""),"",IF(T88*S88&lt;=0,"",IFERROR(T88/S88-1,"")))</f>
        <v/>
      </c>
      <c r="U89" s="17">
        <f>IF(OR(U88="",T88=""),"",IF(U88*T88&lt;=0,"",IFERROR(U88/T88-1,"")))</f>
        <v/>
      </c>
      <c r="V89" s="17">
        <f>IF(OR(V88="",U88=""),"",IF(V88*U88&lt;=0,"",IFERROR(V88/U88-1,"")))</f>
        <v/>
      </c>
      <c r="W89" s="17">
        <f>IF(OR(W88="",V88=""),"",IF(W88*V88&lt;=0,"",IFERROR(W88/V88-1,"")))</f>
        <v/>
      </c>
      <c r="X89" s="17">
        <f>IF(OR(X88="",W88=""),"",IF(X88*W88&lt;=0,"",IFERROR(X88/W88-1,"")))</f>
        <v/>
      </c>
    </row>
    <row r="90">
      <c r="A90" s="9" t="inlineStr">
        <is>
          <t>영업이익(손실)</t>
        </is>
      </c>
      <c r="C90" s="12" t="n">
        <v>1455</v>
      </c>
      <c r="D90" s="12" t="n">
        <v>344</v>
      </c>
      <c r="E90" s="12" t="n">
        <v>-854</v>
      </c>
      <c r="F90" s="12" t="n">
        <v>1166</v>
      </c>
      <c r="G90" s="12" t="n">
        <v>1110</v>
      </c>
      <c r="H90" s="12" t="n">
        <v>-192</v>
      </c>
      <c r="I90" s="12" t="n">
        <v>-40</v>
      </c>
      <c r="J90" s="12" t="n">
        <v>-67</v>
      </c>
      <c r="K90" s="12" t="n">
        <v>526</v>
      </c>
      <c r="L90" s="12" t="n">
        <v>970</v>
      </c>
      <c r="M90" s="12" t="n">
        <v>-1120</v>
      </c>
      <c r="N90" s="12" t="n">
        <v>1610</v>
      </c>
      <c r="T90" s="12" t="n">
        <v>-2271</v>
      </c>
      <c r="U90" s="12" t="n">
        <v>107</v>
      </c>
      <c r="V90" s="12" t="n">
        <v>344</v>
      </c>
      <c r="W90" s="12" t="n">
        <v>-192</v>
      </c>
      <c r="X90" s="12" t="n">
        <v>970</v>
      </c>
    </row>
    <row r="91">
      <c r="A91" s="45" t="inlineStr">
        <is>
          <t>OPM</t>
        </is>
      </c>
      <c r="B91" s="3" t="inlineStr">
        <is>
          <t>영업이익 ÷ 매출</t>
        </is>
      </c>
      <c r="C91" s="17">
        <f>IF(OR(C90="",C84=""),"",IF(C84&lt;=0,"",IFERROR(C90/C84,"")))</f>
        <v/>
      </c>
      <c r="D91" s="17">
        <f>IF(OR(D90="",D84=""),"",IF(D84&lt;=0,"",IFERROR(D90/D84,"")))</f>
        <v/>
      </c>
      <c r="E91" s="17">
        <f>IF(OR(E90="",E84=""),"",IF(E84&lt;=0,"",IFERROR(E90/E84,"")))</f>
        <v/>
      </c>
      <c r="F91" s="17">
        <f>IF(OR(F90="",F84=""),"",IF(F84&lt;=0,"",IFERROR(F90/F84,"")))</f>
        <v/>
      </c>
      <c r="G91" s="17">
        <f>IF(OR(G90="",G84=""),"",IF(G84&lt;=0,"",IFERROR(G90/G84,"")))</f>
        <v/>
      </c>
      <c r="H91" s="17">
        <f>IF(OR(H90="",H84=""),"",IF(H84&lt;=0,"",IFERROR(H90/H84,"")))</f>
        <v/>
      </c>
      <c r="I91" s="17">
        <f>IF(OR(I90="",I84=""),"",IF(I84&lt;=0,"",IFERROR(I90/I84,"")))</f>
        <v/>
      </c>
      <c r="J91" s="17">
        <f>IF(OR(J90="",J84=""),"",IF(J84&lt;=0,"",IFERROR(J90/J84,"")))</f>
        <v/>
      </c>
      <c r="K91" s="17">
        <f>IF(OR(K90="",K84=""),"",IF(K84&lt;=0,"",IFERROR(K90/K84,"")))</f>
        <v/>
      </c>
      <c r="L91" s="17">
        <f>IF(OR(L90="",L84=""),"",IF(L84&lt;=0,"",IFERROR(L90/L84,"")))</f>
        <v/>
      </c>
      <c r="M91" s="17">
        <f>IF(OR(M90="",M84=""),"",IF(M84&lt;=0,"",IFERROR(M90/M84,"")))</f>
        <v/>
      </c>
      <c r="N91" s="17">
        <f>IF(OR(N90="",N84=""),"",IF(N84&lt;=0,"",IFERROR(N90/N84,"")))</f>
        <v/>
      </c>
      <c r="T91" s="17">
        <f>IF(OR(T90="",T84=""),"",IF(T84&lt;=0,"",IFERROR(T90/T84,"")))</f>
        <v/>
      </c>
      <c r="U91" s="17">
        <f>IF(OR(U90="",U84=""),"",IF(U84&lt;=0,"",IFERROR(U90/U84,"")))</f>
        <v/>
      </c>
      <c r="V91" s="17">
        <f>IF(OR(V90="",V84=""),"",IF(V84&lt;=0,"",IFERROR(V90/V84,"")))</f>
        <v/>
      </c>
      <c r="W91" s="17">
        <f>IF(OR(W90="",W84=""),"",IF(W84&lt;=0,"",IFERROR(W90/W84,"")))</f>
        <v/>
      </c>
      <c r="X91" s="17">
        <f>IF(OR(X90="",X84=""),"",IF(X84&lt;=0,"",IFERROR(X90/X84,"")))</f>
        <v/>
      </c>
    </row>
    <row r="92">
      <c r="A92" s="45" t="inlineStr">
        <is>
          <t>YoY</t>
        </is>
      </c>
      <c r="B92" s="3" t="inlineStr">
        <is>
          <t>전년 같은 분기·전년 대비</t>
        </is>
      </c>
      <c r="G92" s="17">
        <f>IF(OR(G90="",C90=""),"",IF(C90&lt;=0,"",IFERROR(G90/C90-1,"")))</f>
        <v/>
      </c>
      <c r="H92" s="17">
        <f>IF(OR(H90="",D90=""),"",IF(D90&lt;=0,"",IFERROR(H90/D90-1,"")))</f>
        <v/>
      </c>
      <c r="I92" s="17">
        <f>IF(OR(I90="",E90=""),"",IF(E90&lt;=0,"",IFERROR(I90/E90-1,"")))</f>
        <v/>
      </c>
      <c r="J92" s="17">
        <f>IF(OR(J90="",F90=""),"",IF(F90&lt;=0,"",IFERROR(J90/F90-1,"")))</f>
        <v/>
      </c>
      <c r="K92" s="17">
        <f>IF(OR(K90="",G90=""),"",IF(G90&lt;=0,"",IFERROR(K90/G90-1,"")))</f>
        <v/>
      </c>
      <c r="L92" s="17">
        <f>IF(OR(L90="",H90=""),"",IF(H90&lt;=0,"",IFERROR(L90/H90-1,"")))</f>
        <v/>
      </c>
      <c r="M92" s="17">
        <f>IF(OR(M90="",I90=""),"",IF(I90&lt;=0,"",IFERROR(M90/I90-1,"")))</f>
        <v/>
      </c>
      <c r="N92" s="17">
        <f>IF(OR(N90="",J90=""),"",IF(J90&lt;=0,"",IFERROR(N90/J90-1,"")))</f>
        <v/>
      </c>
      <c r="T92" s="17">
        <f>IF(OR(T90="",S90=""),"",IF(S90&lt;=0,"",IFERROR(T90/S90-1,"")))</f>
        <v/>
      </c>
      <c r="U92" s="17">
        <f>IF(OR(U90="",T90=""),"",IF(T90&lt;=0,"",IFERROR(U90/T90-1,"")))</f>
        <v/>
      </c>
      <c r="V92" s="17">
        <f>IF(OR(V90="",U90=""),"",IF(U90&lt;=0,"",IFERROR(V90/U90-1,"")))</f>
        <v/>
      </c>
      <c r="W92" s="17">
        <f>IF(OR(W90="",V90=""),"",IF(V90&lt;=0,"",IFERROR(W90/V90-1,"")))</f>
        <v/>
      </c>
      <c r="X92" s="17">
        <f>IF(OR(X90="",W90=""),"",IF(W90&lt;=0,"",IFERROR(X90/W90-1,"")))</f>
        <v/>
      </c>
    </row>
    <row r="93">
      <c r="A93" s="20" t="inlineStr">
        <is>
          <t>이자·배당금 수익</t>
        </is>
      </c>
      <c r="C93" s="22" t="n">
        <v>1</v>
      </c>
      <c r="D93" s="22" t="n">
        <v>3</v>
      </c>
      <c r="E93" s="22" t="n">
        <v>14</v>
      </c>
      <c r="F93" s="22" t="n">
        <v>1</v>
      </c>
      <c r="G93" s="22" t="n">
        <v>3</v>
      </c>
      <c r="H93" s="22" t="n">
        <v>7</v>
      </c>
      <c r="I93" s="22" t="n">
        <v>6</v>
      </c>
      <c r="J93" s="22" t="n">
        <v>8</v>
      </c>
      <c r="K93" s="22" t="n">
        <v>2</v>
      </c>
      <c r="L93" s="22" t="n">
        <v>17</v>
      </c>
      <c r="M93" s="22" t="n">
        <v>2</v>
      </c>
      <c r="N93" s="22" t="n">
        <v>15</v>
      </c>
      <c r="T93" s="22" t="n">
        <v>0</v>
      </c>
      <c r="U93" s="22" t="n">
        <v>1</v>
      </c>
      <c r="V93" s="22" t="n">
        <v>3</v>
      </c>
      <c r="W93" s="22" t="n">
        <v>7</v>
      </c>
      <c r="X93" s="22" t="n">
        <v>17</v>
      </c>
    </row>
    <row r="94">
      <c r="A94" s="20" t="inlineStr">
        <is>
          <t>외환차익</t>
        </is>
      </c>
      <c r="C94" s="22" t="n">
        <v>150</v>
      </c>
      <c r="D94" s="22" t="n">
        <v>377</v>
      </c>
      <c r="E94" s="22" t="n">
        <v>396</v>
      </c>
      <c r="F94" s="22" t="n">
        <v>-70</v>
      </c>
      <c r="G94" s="22" t="n">
        <v>397</v>
      </c>
      <c r="H94" s="22" t="n">
        <v>-12</v>
      </c>
      <c r="I94" s="22" t="n">
        <v>0</v>
      </c>
      <c r="J94" s="22" t="n">
        <v>0</v>
      </c>
      <c r="K94" s="22" t="n">
        <v>0</v>
      </c>
      <c r="L94" s="22" t="n">
        <v>0</v>
      </c>
      <c r="M94" s="22" t="n">
        <v>60</v>
      </c>
      <c r="N94" s="22" t="n">
        <v>153</v>
      </c>
      <c r="T94" s="22" t="n">
        <v>219</v>
      </c>
      <c r="U94" s="22" t="n">
        <v>34</v>
      </c>
      <c r="V94" s="22" t="n">
        <v>377</v>
      </c>
      <c r="W94" s="22" t="n">
        <v>-12</v>
      </c>
      <c r="X94" s="22" t="n">
        <v>0</v>
      </c>
    </row>
    <row r="95">
      <c r="A95" s="20" t="inlineStr">
        <is>
          <t>업무수탁료</t>
        </is>
      </c>
      <c r="C95" s="22" t="n">
        <v>0</v>
      </c>
    </row>
    <row r="96">
      <c r="A96" s="20" t="inlineStr">
        <is>
          <t>Proceeds From Sales Of Goods NOI</t>
        </is>
      </c>
      <c r="C96" s="22" t="n">
        <v>18</v>
      </c>
      <c r="D96" s="22" t="n">
        <v>0</v>
      </c>
      <c r="E96" s="22" t="n">
        <v>2</v>
      </c>
      <c r="F96" s="22" t="n">
        <v>2</v>
      </c>
      <c r="G96" s="22" t="n">
        <v>0</v>
      </c>
      <c r="H96" s="22" t="n">
        <v>1</v>
      </c>
      <c r="I96" s="22" t="n">
        <v>2</v>
      </c>
      <c r="J96" s="22" t="n">
        <v>0</v>
      </c>
      <c r="K96" s="22" t="n">
        <v>1</v>
      </c>
      <c r="L96" s="22" t="n">
        <v>1</v>
      </c>
      <c r="M96" s="22" t="n">
        <v>0</v>
      </c>
      <c r="N96" s="22" t="n">
        <v>2</v>
      </c>
      <c r="T96" s="22" t="n">
        <v>0</v>
      </c>
      <c r="U96" s="22" t="n">
        <v>0</v>
      </c>
      <c r="V96" s="22" t="n">
        <v>0</v>
      </c>
      <c r="W96" s="22" t="n">
        <v>1</v>
      </c>
      <c r="X96" s="22" t="n">
        <v>1</v>
      </c>
    </row>
    <row r="97">
      <c r="A97" s="20" t="inlineStr">
        <is>
          <t>보조금 수입</t>
        </is>
      </c>
      <c r="C97" s="22" t="n">
        <v>7</v>
      </c>
      <c r="D97" s="22" t="n">
        <v>37</v>
      </c>
      <c r="E97" s="22" t="n">
        <v>10</v>
      </c>
      <c r="F97" s="22" t="n">
        <v>2</v>
      </c>
      <c r="G97" s="22" t="n">
        <v>0</v>
      </c>
      <c r="H97" s="22" t="n">
        <v>12</v>
      </c>
      <c r="I97" s="22" t="n">
        <v>0</v>
      </c>
      <c r="J97" s="22" t="n">
        <v>0</v>
      </c>
      <c r="K97" s="22" t="n">
        <v>0</v>
      </c>
      <c r="L97" s="22" t="n">
        <v>17</v>
      </c>
      <c r="M97" s="22" t="n">
        <v>0</v>
      </c>
      <c r="N97" s="22" t="n">
        <v>0</v>
      </c>
      <c r="T97" s="22" t="n">
        <v>62</v>
      </c>
      <c r="U97" s="22" t="n">
        <v>-1</v>
      </c>
      <c r="V97" s="22" t="n">
        <v>37</v>
      </c>
      <c r="W97" s="22" t="n">
        <v>12</v>
      </c>
      <c r="X97" s="22" t="n">
        <v>17</v>
      </c>
    </row>
    <row r="98">
      <c r="A98" s="20" t="inlineStr">
        <is>
          <t>기타</t>
        </is>
      </c>
      <c r="C98" s="22" t="n">
        <v>2</v>
      </c>
      <c r="D98" s="22" t="n">
        <v>5</v>
      </c>
      <c r="E98" s="22" t="n">
        <v>0</v>
      </c>
      <c r="F98" s="22" t="n">
        <v>17</v>
      </c>
      <c r="G98" s="22" t="n">
        <v>1</v>
      </c>
      <c r="H98" s="22" t="n">
        <v>15</v>
      </c>
      <c r="I98" s="22" t="n">
        <v>0</v>
      </c>
      <c r="J98" s="22" t="n">
        <v>1</v>
      </c>
      <c r="K98" s="22" t="n">
        <v>0</v>
      </c>
      <c r="L98" s="22" t="n">
        <v>2</v>
      </c>
      <c r="M98" s="22" t="n">
        <v>1</v>
      </c>
      <c r="N98" s="22" t="n">
        <v>1</v>
      </c>
      <c r="T98" s="22" t="n">
        <v>11</v>
      </c>
      <c r="U98" s="22" t="n">
        <v>5</v>
      </c>
      <c r="V98" s="22" t="n">
        <v>5</v>
      </c>
      <c r="W98" s="22" t="n">
        <v>15</v>
      </c>
      <c r="X98" s="22" t="n">
        <v>2</v>
      </c>
    </row>
    <row r="99">
      <c r="A99" s="20" t="inlineStr">
        <is>
          <t>영업외수익 합계</t>
        </is>
      </c>
      <c r="C99" s="22" t="n">
        <v>177</v>
      </c>
      <c r="D99" s="22" t="n">
        <v>423</v>
      </c>
      <c r="E99" s="22" t="n">
        <v>424</v>
      </c>
      <c r="F99" s="22" t="n">
        <v>-49</v>
      </c>
      <c r="G99" s="22" t="n">
        <v>401</v>
      </c>
      <c r="H99" s="22" t="n">
        <v>23</v>
      </c>
      <c r="I99" s="22" t="n">
        <v>8</v>
      </c>
      <c r="J99" s="22" t="n">
        <v>10</v>
      </c>
      <c r="K99" s="22" t="n">
        <v>3</v>
      </c>
      <c r="L99" s="22" t="n">
        <v>36</v>
      </c>
      <c r="M99" s="22" t="n">
        <v>66</v>
      </c>
      <c r="N99" s="22" t="n">
        <v>170</v>
      </c>
      <c r="T99" s="22" t="n">
        <v>292</v>
      </c>
      <c r="U99" s="22" t="n">
        <v>39</v>
      </c>
      <c r="V99" s="22" t="n">
        <v>423</v>
      </c>
      <c r="W99" s="22" t="n">
        <v>23</v>
      </c>
      <c r="X99" s="22" t="n">
        <v>36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IF(OR(G99="",C99=""),"",IF(G99*C99&lt;=0,"",IFERROR(G99/C99-1,"")))</f>
        <v/>
      </c>
      <c r="H100" s="17">
        <f>IF(OR(H99="",D99=""),"",IF(H99*D99&lt;=0,"",IFERROR(H99/D99-1,"")))</f>
        <v/>
      </c>
      <c r="I100" s="17">
        <f>IF(OR(I99="",E99=""),"",IF(I99*E99&lt;=0,"",IFERROR(I99/E99-1,"")))</f>
        <v/>
      </c>
      <c r="J100" s="17">
        <f>IF(OR(J99="",F99=""),"",IF(J99*F99&lt;=0,"",IFERROR(J99/F99-1,"")))</f>
        <v/>
      </c>
      <c r="K100" s="17">
        <f>IF(OR(K99="",G99=""),"",IF(K99*G99&lt;=0,"",IFERROR(K99/G99-1,"")))</f>
        <v/>
      </c>
      <c r="L100" s="17">
        <f>IF(OR(L99="",H99=""),"",IF(L99*H99&lt;=0,"",IFERROR(L99/H99-1,"")))</f>
        <v/>
      </c>
      <c r="M100" s="17">
        <f>IF(OR(M99="",I99=""),"",IF(M99*I99&lt;=0,"",IFERROR(M99/I99-1,"")))</f>
        <v/>
      </c>
      <c r="N100" s="17">
        <f>IF(OR(N99="",J99=""),"",IF(N99*J99&lt;=0,"",IFERROR(N99/J99-1,"")))</f>
        <v/>
      </c>
      <c r="T100" s="17">
        <f>IF(OR(T99="",S99=""),"",IF(T99*S99&lt;=0,"",IFERROR(T99/S99-1,"")))</f>
        <v/>
      </c>
      <c r="U100" s="17">
        <f>IF(OR(U99="",T99=""),"",IF(U99*T99&lt;=0,"",IFERROR(U99/T99-1,"")))</f>
        <v/>
      </c>
      <c r="V100" s="17">
        <f>IF(OR(V99="",U99=""),"",IF(V99*U99&lt;=0,"",IFERROR(V99/U99-1,"")))</f>
        <v/>
      </c>
      <c r="W100" s="17">
        <f>IF(OR(W99="",V99=""),"",IF(W99*V99&lt;=0,"",IFERROR(W99/V99-1,"")))</f>
        <v/>
      </c>
      <c r="X100" s="17">
        <f>IF(OR(X99="",W99=""),"",IF(X99*W99&lt;=0,"",IFERROR(X99/W99-1,"")))</f>
        <v/>
      </c>
    </row>
    <row r="101">
      <c r="A101" s="20" t="inlineStr">
        <is>
          <t>이자비용</t>
        </is>
      </c>
      <c r="C101" s="22" t="n">
        <v>13</v>
      </c>
      <c r="D101" s="22" t="n">
        <v>11</v>
      </c>
      <c r="E101" s="22" t="n">
        <v>12</v>
      </c>
      <c r="F101" s="22" t="n">
        <v>12</v>
      </c>
      <c r="G101" s="22" t="n">
        <v>11</v>
      </c>
      <c r="H101" s="22" t="n">
        <v>11</v>
      </c>
      <c r="I101" s="22" t="n">
        <v>11</v>
      </c>
      <c r="J101" s="22" t="n">
        <v>52</v>
      </c>
      <c r="K101" s="22" t="n">
        <v>65</v>
      </c>
      <c r="L101" s="22" t="n">
        <v>68</v>
      </c>
      <c r="M101" s="22" t="n">
        <v>66</v>
      </c>
      <c r="N101" s="22" t="n">
        <v>67</v>
      </c>
      <c r="T101" s="22" t="n">
        <v>13</v>
      </c>
      <c r="U101" s="22" t="n">
        <v>11</v>
      </c>
      <c r="V101" s="22" t="n">
        <v>11</v>
      </c>
      <c r="W101" s="22" t="n">
        <v>11</v>
      </c>
      <c r="X101" s="22" t="n">
        <v>68</v>
      </c>
    </row>
    <row r="102">
      <c r="A102" s="20" t="inlineStr">
        <is>
          <t>지급수수료</t>
        </is>
      </c>
      <c r="C102" s="22" t="n">
        <v>1</v>
      </c>
      <c r="D102" s="22" t="n">
        <v>2</v>
      </c>
      <c r="E102" s="22" t="n">
        <v>0</v>
      </c>
      <c r="F102" s="22" t="n">
        <v>0</v>
      </c>
      <c r="G102" s="22" t="n">
        <v>27</v>
      </c>
      <c r="H102" s="22" t="n">
        <v>0</v>
      </c>
      <c r="I102" s="22" t="n">
        <v>2</v>
      </c>
      <c r="J102" s="22" t="n">
        <v>0</v>
      </c>
      <c r="K102" s="22" t="n">
        <v>15</v>
      </c>
      <c r="L102" s="22" t="n">
        <v>0</v>
      </c>
      <c r="M102" s="22" t="n">
        <v>2</v>
      </c>
      <c r="N102" s="22" t="n">
        <v>0</v>
      </c>
      <c r="T102" s="22" t="n">
        <v>2</v>
      </c>
      <c r="U102" s="22" t="n">
        <v>2</v>
      </c>
      <c r="V102" s="22" t="n">
        <v>2</v>
      </c>
      <c r="W102" s="22" t="n">
        <v>0</v>
      </c>
      <c r="X102" s="22" t="n">
        <v>0</v>
      </c>
    </row>
    <row r="103">
      <c r="A103" s="20" t="inlineStr">
        <is>
          <t>외환차손</t>
        </is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26</v>
      </c>
      <c r="J103" s="22" t="n">
        <v>187</v>
      </c>
      <c r="K103" s="22" t="n">
        <v>334</v>
      </c>
      <c r="L103" s="22" t="n">
        <v>-21</v>
      </c>
      <c r="M103" s="22" t="n">
        <v>0</v>
      </c>
      <c r="N103" s="22" t="n">
        <v>0</v>
      </c>
      <c r="W103" s="22" t="n">
        <v>0</v>
      </c>
      <c r="X103" s="22" t="n">
        <v>-21</v>
      </c>
    </row>
    <row r="104">
      <c r="A104" s="20" t="inlineStr">
        <is>
          <t>고정자산 제각손실</t>
        </is>
      </c>
      <c r="C104" s="22" t="n">
        <v>2</v>
      </c>
      <c r="D104" s="22" t="n">
        <v>0</v>
      </c>
      <c r="E104" s="22" t="n">
        <v>0</v>
      </c>
      <c r="F104" s="22" t="n">
        <v>0</v>
      </c>
      <c r="G104" s="22" t="n">
        <v>0</v>
      </c>
      <c r="H104" s="22" t="n">
        <v>0</v>
      </c>
      <c r="I104" s="22" t="n">
        <v>2</v>
      </c>
      <c r="J104" s="22" t="n">
        <v>0</v>
      </c>
      <c r="K104" s="22" t="n">
        <v>4</v>
      </c>
      <c r="L104" s="22" t="n">
        <v>0</v>
      </c>
      <c r="M104" s="22" t="n">
        <v>0</v>
      </c>
      <c r="N104" s="22" t="n">
        <v>0</v>
      </c>
      <c r="T104" s="22" t="n">
        <v>1</v>
      </c>
      <c r="U104" s="22" t="n">
        <v>0</v>
      </c>
      <c r="V104" s="22" t="n">
        <v>0</v>
      </c>
      <c r="W104" s="22" t="n">
        <v>0</v>
      </c>
      <c r="X104" s="22" t="n">
        <v>0</v>
      </c>
    </row>
    <row r="105">
      <c r="A105" s="20" t="inlineStr">
        <is>
          <t>Loss On Sales Of Supplies NOE</t>
        </is>
      </c>
      <c r="C105" s="22" t="n">
        <v>0</v>
      </c>
      <c r="G105" s="22" t="n">
        <v>0</v>
      </c>
      <c r="K105" s="22" t="n">
        <v>0</v>
      </c>
    </row>
    <row r="106">
      <c r="A106" s="20" t="inlineStr">
        <is>
          <t>기타</t>
        </is>
      </c>
      <c r="C106" s="22" t="n">
        <v>0</v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0</v>
      </c>
      <c r="K106" s="22" t="n">
        <v>0</v>
      </c>
      <c r="L106" s="22" t="n">
        <v>15</v>
      </c>
      <c r="M106" s="22" t="n">
        <v>0</v>
      </c>
      <c r="N106" s="22" t="n">
        <v>0</v>
      </c>
      <c r="T106" s="22" t="n">
        <v>2</v>
      </c>
      <c r="U106" s="22" t="n">
        <v>0</v>
      </c>
      <c r="V106" s="22" t="n">
        <v>0</v>
      </c>
      <c r="W106" s="22" t="n">
        <v>0</v>
      </c>
      <c r="X106" s="22" t="n">
        <v>15</v>
      </c>
    </row>
    <row r="107">
      <c r="A107" s="20" t="inlineStr">
        <is>
          <t>영업외비용 합계</t>
        </is>
      </c>
      <c r="C107" s="22" t="n">
        <v>15</v>
      </c>
      <c r="D107" s="22" t="n">
        <v>14</v>
      </c>
      <c r="E107" s="22" t="n">
        <v>12</v>
      </c>
      <c r="F107" s="22" t="n">
        <v>34</v>
      </c>
      <c r="G107" s="22" t="n">
        <v>38</v>
      </c>
      <c r="H107" s="22" t="n">
        <v>12</v>
      </c>
      <c r="I107" s="22" t="n">
        <v>42</v>
      </c>
      <c r="J107" s="22" t="n">
        <v>239</v>
      </c>
      <c r="K107" s="22" t="n">
        <v>419</v>
      </c>
      <c r="L107" s="22" t="n">
        <v>62</v>
      </c>
      <c r="M107" s="22" t="n">
        <v>69</v>
      </c>
      <c r="N107" s="22" t="n">
        <v>67</v>
      </c>
      <c r="T107" s="22" t="n">
        <v>19</v>
      </c>
      <c r="U107" s="22" t="n">
        <v>13</v>
      </c>
      <c r="V107" s="22" t="n">
        <v>14</v>
      </c>
      <c r="W107" s="22" t="n">
        <v>12</v>
      </c>
      <c r="X107" s="22" t="n">
        <v>62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IF(OR(G107="",C107=""),"",IF(G107*C107&lt;=0,"",IFERROR(G107/C107-1,"")))</f>
        <v/>
      </c>
      <c r="H108" s="17">
        <f>IF(OR(H107="",D107=""),"",IF(H107*D107&lt;=0,"",IFERROR(H107/D107-1,"")))</f>
        <v/>
      </c>
      <c r="I108" s="17">
        <f>IF(OR(I107="",E107=""),"",IF(I107*E107&lt;=0,"",IFERROR(I107/E107-1,"")))</f>
        <v/>
      </c>
      <c r="J108" s="17">
        <f>IF(OR(J107="",F107=""),"",IF(J107*F107&lt;=0,"",IFERROR(J107/F107-1,"")))</f>
        <v/>
      </c>
      <c r="K108" s="17">
        <f>IF(OR(K107="",G107=""),"",IF(K107*G107&lt;=0,"",IFERROR(K107/G107-1,"")))</f>
        <v/>
      </c>
      <c r="L108" s="17">
        <f>IF(OR(L107="",H107=""),"",IF(L107*H107&lt;=0,"",IFERROR(L107/H107-1,"")))</f>
        <v/>
      </c>
      <c r="M108" s="17">
        <f>IF(OR(M107="",I107=""),"",IF(M107*I107&lt;=0,"",IFERROR(M107/I107-1,"")))</f>
        <v/>
      </c>
      <c r="N108" s="17">
        <f>IF(OR(N107="",J107=""),"",IF(N107*J107&lt;=0,"",IFERROR(N107/J107-1,"")))</f>
        <v/>
      </c>
      <c r="T108" s="17">
        <f>IF(OR(T107="",S107=""),"",IF(T107*S107&lt;=0,"",IFERROR(T107/S107-1,"")))</f>
        <v/>
      </c>
      <c r="U108" s="17">
        <f>IF(OR(U107="",T107=""),"",IF(U107*T107&lt;=0,"",IFERROR(U107/T107-1,"")))</f>
        <v/>
      </c>
      <c r="V108" s="17">
        <f>IF(OR(V107="",U107=""),"",IF(V107*U107&lt;=0,"",IFERROR(V107/U107-1,"")))</f>
        <v/>
      </c>
      <c r="W108" s="17">
        <f>IF(OR(W107="",V107=""),"",IF(W107*V107&lt;=0,"",IFERROR(W107/V107-1,"")))</f>
        <v/>
      </c>
      <c r="X108" s="17">
        <f>IF(OR(X107="",W107=""),"",IF(X107*W107&lt;=0,"",IFERROR(X107/W107-1,"")))</f>
        <v/>
      </c>
    </row>
    <row r="109">
      <c r="A109" s="9" t="inlineStr">
        <is>
          <t>경상이익(손실)</t>
        </is>
      </c>
      <c r="C109" s="12" t="n">
        <v>1616</v>
      </c>
      <c r="D109" s="12" t="n">
        <v>754</v>
      </c>
      <c r="E109" s="12" t="n">
        <v>-441</v>
      </c>
      <c r="F109" s="12" t="n">
        <v>1082</v>
      </c>
      <c r="G109" s="12" t="n">
        <v>1473</v>
      </c>
      <c r="H109" s="12" t="n">
        <v>-181</v>
      </c>
      <c r="I109" s="12" t="n">
        <v>-74</v>
      </c>
      <c r="J109" s="12" t="n">
        <v>-296</v>
      </c>
      <c r="K109" s="12" t="n">
        <v>111</v>
      </c>
      <c r="L109" s="12" t="n">
        <v>943</v>
      </c>
      <c r="M109" s="12" t="n">
        <v>-1123</v>
      </c>
      <c r="N109" s="12" t="n">
        <v>1714</v>
      </c>
      <c r="T109" s="12" t="n">
        <v>-1998</v>
      </c>
      <c r="U109" s="12" t="n">
        <v>133</v>
      </c>
      <c r="V109" s="12" t="n">
        <v>754</v>
      </c>
      <c r="W109" s="12" t="n">
        <v>-181</v>
      </c>
      <c r="X109" s="12" t="n">
        <v>943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G110" s="17">
        <f>IF(OR(G109="",C109=""),"",IF(C109&lt;=0,"",IFERROR(G109/C109-1,"")))</f>
        <v/>
      </c>
      <c r="H110" s="17">
        <f>IF(OR(H109="",D109=""),"",IF(D109&lt;=0,"",IFERROR(H109/D109-1,"")))</f>
        <v/>
      </c>
      <c r="I110" s="17">
        <f>IF(OR(I109="",E109=""),"",IF(E109&lt;=0,"",IFERROR(I109/E109-1,"")))</f>
        <v/>
      </c>
      <c r="J110" s="17">
        <f>IF(OR(J109="",F109=""),"",IF(F109&lt;=0,"",IFERROR(J109/F109-1,"")))</f>
        <v/>
      </c>
      <c r="K110" s="17">
        <f>IF(OR(K109="",G109=""),"",IF(G109&lt;=0,"",IFERROR(K109/G109-1,"")))</f>
        <v/>
      </c>
      <c r="L110" s="17">
        <f>IF(OR(L109="",H109=""),"",IF(H109&lt;=0,"",IFERROR(L109/H109-1,"")))</f>
        <v/>
      </c>
      <c r="M110" s="17">
        <f>IF(OR(M109="",I109=""),"",IF(I109&lt;=0,"",IFERROR(M109/I109-1,"")))</f>
        <v/>
      </c>
      <c r="N110" s="17">
        <f>IF(OR(N109="",J109=""),"",IF(J109&lt;=0,"",IFERROR(N109/J109-1,"")))</f>
        <v/>
      </c>
      <c r="T110" s="17">
        <f>IF(OR(T109="",S109=""),"",IF(S109&lt;=0,"",IFERROR(T109/S109-1,"")))</f>
        <v/>
      </c>
      <c r="U110" s="17">
        <f>IF(OR(U109="",T109=""),"",IF(T109&lt;=0,"",IFERROR(U109/T109-1,"")))</f>
        <v/>
      </c>
      <c r="V110" s="17">
        <f>IF(OR(V109="",U109=""),"",IF(U109&lt;=0,"",IFERROR(V109/U109-1,"")))</f>
        <v/>
      </c>
      <c r="W110" s="17">
        <f>IF(OR(W109="",V109=""),"",IF(V109&lt;=0,"",IFERROR(W109/V109-1,"")))</f>
        <v/>
      </c>
      <c r="X110" s="17">
        <f>IF(OR(X109="",W109=""),"",IF(W109&lt;=0,"",IFERROR(X109/W109-1,"")))</f>
        <v/>
      </c>
    </row>
    <row r="111">
      <c r="A111" s="20" t="inlineStr">
        <is>
          <t>보조금 수입</t>
        </is>
      </c>
      <c r="C111" s="22" t="n">
        <v>0</v>
      </c>
      <c r="D111" s="22" t="n">
        <v>0</v>
      </c>
      <c r="E111" s="22" t="n">
        <v>0</v>
      </c>
      <c r="F111" s="22" t="n">
        <v>0</v>
      </c>
      <c r="G111" s="22" t="n">
        <v>0</v>
      </c>
      <c r="H111" s="22" t="n">
        <v>0</v>
      </c>
      <c r="I111" s="22" t="n">
        <v>0</v>
      </c>
      <c r="J111" s="22" t="n">
        <v>0</v>
      </c>
      <c r="K111" s="22" t="n">
        <v>0</v>
      </c>
      <c r="L111" s="22" t="n">
        <v>0</v>
      </c>
      <c r="T111" s="22" t="n">
        <v>89</v>
      </c>
      <c r="U111" s="22" t="n">
        <v>26</v>
      </c>
      <c r="V111" s="22" t="n">
        <v>0</v>
      </c>
      <c r="W111" s="22" t="n">
        <v>0</v>
      </c>
      <c r="X111" s="22" t="n">
        <v>0</v>
      </c>
    </row>
    <row r="112">
      <c r="A112" s="20" t="inlineStr">
        <is>
          <t>Reversal Of Reserve For Scheduled Maintenance Costs EI</t>
        </is>
      </c>
      <c r="T112" s="22" t="n">
        <v>0</v>
      </c>
      <c r="U112" s="22" t="n">
        <v>0</v>
      </c>
    </row>
    <row r="113">
      <c r="A113" s="20" t="inlineStr">
        <is>
          <t>고정자산 수증이익</t>
        </is>
      </c>
      <c r="C113" s="22" t="n">
        <v>0</v>
      </c>
      <c r="D113" s="22" t="n">
        <v>0</v>
      </c>
      <c r="G113" s="22" t="n">
        <v>0</v>
      </c>
      <c r="H113" s="22" t="n">
        <v>0</v>
      </c>
      <c r="K113" s="22" t="n">
        <v>0</v>
      </c>
      <c r="L113" s="22" t="n">
        <v>0</v>
      </c>
      <c r="V113" s="22" t="n">
        <v>0</v>
      </c>
      <c r="W113" s="22" t="n">
        <v>0</v>
      </c>
      <c r="X113" s="22" t="n">
        <v>0</v>
      </c>
    </row>
    <row r="114">
      <c r="A114" s="20" t="inlineStr">
        <is>
          <t>특별이익 합계</t>
        </is>
      </c>
      <c r="C114" s="22" t="n">
        <v>0</v>
      </c>
      <c r="D114" s="22" t="n">
        <v>0</v>
      </c>
      <c r="E114" s="22" t="n">
        <v>0</v>
      </c>
      <c r="F114" s="22" t="n">
        <v>22</v>
      </c>
      <c r="G114" s="22" t="n">
        <v>0</v>
      </c>
      <c r="H114" s="22" t="n">
        <v>0</v>
      </c>
      <c r="I114" s="22" t="n">
        <v>0</v>
      </c>
      <c r="J114" s="22" t="n">
        <v>0</v>
      </c>
      <c r="K114" s="22" t="n">
        <v>0</v>
      </c>
      <c r="L114" s="22" t="n">
        <v>10</v>
      </c>
      <c r="T114" s="22" t="n">
        <v>89</v>
      </c>
      <c r="U114" s="22" t="n">
        <v>26</v>
      </c>
      <c r="V114" s="22" t="n">
        <v>0</v>
      </c>
      <c r="W114" s="22" t="n">
        <v>0</v>
      </c>
      <c r="X114" s="22" t="n">
        <v>10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IF(OR(G114="",C114=""),"",IF(G114*C114&lt;=0,"",IFERROR(G114/C114-1,"")))</f>
        <v/>
      </c>
      <c r="H115" s="17">
        <f>IF(OR(H114="",D114=""),"",IF(H114*D114&lt;=0,"",IFERROR(H114/D114-1,"")))</f>
        <v/>
      </c>
      <c r="I115" s="17">
        <f>IF(OR(I114="",E114=""),"",IF(I114*E114&lt;=0,"",IFERROR(I114/E114-1,"")))</f>
        <v/>
      </c>
      <c r="J115" s="17">
        <f>IF(OR(J114="",F114=""),"",IF(J114*F114&lt;=0,"",IFERROR(J114/F114-1,"")))</f>
        <v/>
      </c>
      <c r="K115" s="17">
        <f>IF(OR(K114="",G114=""),"",IF(K114*G114&lt;=0,"",IFERROR(K114/G114-1,"")))</f>
        <v/>
      </c>
      <c r="L115" s="17">
        <f>IF(OR(L114="",H114=""),"",IF(L114*H114&lt;=0,"",IFERROR(L114/H114-1,"")))</f>
        <v/>
      </c>
      <c r="T115" s="17">
        <f>IF(OR(T114="",S114=""),"",IF(T114*S114&lt;=0,"",IFERROR(T114/S114-1,"")))</f>
        <v/>
      </c>
      <c r="U115" s="17">
        <f>IF(OR(U114="",T114=""),"",IF(U114*T114&lt;=0,"",IFERROR(U114/T114-1,"")))</f>
        <v/>
      </c>
      <c r="V115" s="17">
        <f>IF(OR(V114="",U114=""),"",IF(V114*U114&lt;=0,"",IFERROR(V114/U114-1,"")))</f>
        <v/>
      </c>
      <c r="W115" s="17">
        <f>IF(OR(W114="",V114=""),"",IF(W114*V114&lt;=0,"",IFERROR(W114/V114-1,"")))</f>
        <v/>
      </c>
      <c r="X115" s="17">
        <f>IF(OR(X114="",W114=""),"",IF(X114*W114&lt;=0,"",IFERROR(X114/W114-1,"")))</f>
        <v/>
      </c>
    </row>
    <row r="116">
      <c r="A116" s="20" t="inlineStr">
        <is>
          <t>손상차손</t>
        </is>
      </c>
      <c r="T116" s="22" t="n">
        <v>0</v>
      </c>
      <c r="U116" s="22" t="n">
        <v>0</v>
      </c>
    </row>
    <row r="117">
      <c r="A117" s="20" t="inlineStr">
        <is>
          <t>투자유가증권 평가손실</t>
        </is>
      </c>
      <c r="T117" s="22" t="n">
        <v>0</v>
      </c>
      <c r="U117" s="22" t="n">
        <v>0</v>
      </c>
    </row>
    <row r="118">
      <c r="A118" s="20" t="inlineStr">
        <is>
          <t>기타</t>
        </is>
      </c>
      <c r="T118" s="22" t="n">
        <v>4</v>
      </c>
      <c r="U118" s="22" t="n">
        <v>0</v>
      </c>
    </row>
    <row r="119">
      <c r="A119" s="20" t="inlineStr">
        <is>
          <t>특별손실 합계</t>
        </is>
      </c>
      <c r="T119" s="22" t="n">
        <v>4</v>
      </c>
      <c r="U119" s="22" t="n">
        <v>0</v>
      </c>
    </row>
    <row r="120">
      <c r="A120" s="45" t="inlineStr">
        <is>
          <t>YoY</t>
        </is>
      </c>
      <c r="B120" s="3" t="inlineStr">
        <is>
          <t>전년 같은 분기·전년 대비</t>
        </is>
      </c>
      <c r="T120" s="17">
        <f>IF(OR(T119="",S119=""),"",IF(T119*S119&lt;=0,"",IFERROR(T119/S119-1,"")))</f>
        <v/>
      </c>
      <c r="U120" s="17">
        <f>IF(OR(U119="",T119=""),"",IF(U119*T119&lt;=0,"",IFERROR(U119/T119-1,"")))</f>
        <v/>
      </c>
    </row>
    <row r="121">
      <c r="A121" s="9" t="inlineStr">
        <is>
          <t>Income Before Income Taxes</t>
        </is>
      </c>
      <c r="C121" s="12" t="n">
        <v>1617</v>
      </c>
      <c r="D121" s="12" t="n">
        <v>754</v>
      </c>
      <c r="E121" s="12" t="n">
        <v>-441</v>
      </c>
      <c r="F121" s="12" t="n">
        <v>1104</v>
      </c>
      <c r="G121" s="12" t="n">
        <v>1473</v>
      </c>
      <c r="H121" s="12" t="n">
        <v>-181</v>
      </c>
      <c r="I121" s="12" t="n">
        <v>-74</v>
      </c>
      <c r="J121" s="12" t="n">
        <v>-296</v>
      </c>
      <c r="K121" s="12" t="n">
        <v>111</v>
      </c>
      <c r="L121" s="12" t="n">
        <v>954</v>
      </c>
      <c r="M121" s="12" t="n">
        <v>-1123</v>
      </c>
      <c r="N121" s="12" t="n">
        <v>1714</v>
      </c>
      <c r="T121" s="12" t="n">
        <v>-1913</v>
      </c>
      <c r="U121" s="12" t="n">
        <v>159</v>
      </c>
      <c r="V121" s="12" t="n">
        <v>754</v>
      </c>
      <c r="W121" s="12" t="n">
        <v>-181</v>
      </c>
      <c r="X121" s="12" t="n">
        <v>954</v>
      </c>
    </row>
    <row r="122">
      <c r="A122" s="45" t="inlineStr">
        <is>
          <t>YoY</t>
        </is>
      </c>
      <c r="B122" s="3" t="inlineStr">
        <is>
          <t>전년 같은 분기·전년 대비</t>
        </is>
      </c>
      <c r="G122" s="17">
        <f>IF(OR(G121="",C121=""),"",IF(C121&lt;=0,"",IFERROR(G121/C121-1,"")))</f>
        <v/>
      </c>
      <c r="H122" s="17">
        <f>IF(OR(H121="",D121=""),"",IF(D121&lt;=0,"",IFERROR(H121/D121-1,"")))</f>
        <v/>
      </c>
      <c r="I122" s="17">
        <f>IF(OR(I121="",E121=""),"",IF(E121&lt;=0,"",IFERROR(I121/E121-1,"")))</f>
        <v/>
      </c>
      <c r="J122" s="17">
        <f>IF(OR(J121="",F121=""),"",IF(F121&lt;=0,"",IFERROR(J121/F121-1,"")))</f>
        <v/>
      </c>
      <c r="K122" s="17">
        <f>IF(OR(K121="",G121=""),"",IF(G121&lt;=0,"",IFERROR(K121/G121-1,"")))</f>
        <v/>
      </c>
      <c r="L122" s="17">
        <f>IF(OR(L121="",H121=""),"",IF(H121&lt;=0,"",IFERROR(L121/H121-1,"")))</f>
        <v/>
      </c>
      <c r="M122" s="17">
        <f>IF(OR(M121="",I121=""),"",IF(I121&lt;=0,"",IFERROR(M121/I121-1,"")))</f>
        <v/>
      </c>
      <c r="N122" s="17">
        <f>IF(OR(N121="",J121=""),"",IF(J121&lt;=0,"",IFERROR(N121/J121-1,"")))</f>
        <v/>
      </c>
      <c r="T122" s="17">
        <f>IF(OR(T121="",S121=""),"",IF(S121&lt;=0,"",IFERROR(T121/S121-1,"")))</f>
        <v/>
      </c>
      <c r="U122" s="17">
        <f>IF(OR(U121="",T121=""),"",IF(T121&lt;=0,"",IFERROR(U121/T121-1,"")))</f>
        <v/>
      </c>
      <c r="V122" s="17">
        <f>IF(OR(V121="",U121=""),"",IF(U121&lt;=0,"",IFERROR(V121/U121-1,"")))</f>
        <v/>
      </c>
      <c r="W122" s="17">
        <f>IF(OR(W121="",V121=""),"",IF(V121&lt;=0,"",IFERROR(W121/V121-1,"")))</f>
        <v/>
      </c>
      <c r="X122" s="17">
        <f>IF(OR(X121="",W121=""),"",IF(W121&lt;=0,"",IFERROR(X121/W121-1,"")))</f>
        <v/>
      </c>
    </row>
    <row r="123">
      <c r="A123" s="20" t="inlineStr">
        <is>
          <t>법인세·주민세·사업세</t>
        </is>
      </c>
      <c r="C123" s="22" t="n">
        <v>3</v>
      </c>
      <c r="D123" s="22" t="n">
        <v>4</v>
      </c>
      <c r="E123" s="22" t="n">
        <v>132</v>
      </c>
      <c r="F123" s="22" t="n">
        <v>-35</v>
      </c>
      <c r="G123" s="22" t="n">
        <v>273</v>
      </c>
      <c r="H123" s="22" t="n">
        <v>-28</v>
      </c>
      <c r="I123" s="22" t="n">
        <v>50</v>
      </c>
      <c r="J123" s="22" t="n">
        <v>77</v>
      </c>
      <c r="K123" s="22" t="n">
        <v>12</v>
      </c>
      <c r="L123" s="22" t="n">
        <v>235</v>
      </c>
      <c r="M123" s="22" t="n">
        <v>10</v>
      </c>
      <c r="N123" s="22" t="n">
        <v>246</v>
      </c>
      <c r="T123" s="22" t="n">
        <v>4</v>
      </c>
      <c r="U123" s="22" t="n">
        <v>25</v>
      </c>
      <c r="V123" s="22" t="n">
        <v>4</v>
      </c>
      <c r="W123" s="22" t="n">
        <v>-28</v>
      </c>
      <c r="X123" s="22" t="n">
        <v>235</v>
      </c>
    </row>
    <row r="124">
      <c r="A124" s="20" t="inlineStr">
        <is>
          <t>법인세 조정액</t>
        </is>
      </c>
      <c r="C124" s="22" t="n">
        <v>224</v>
      </c>
      <c r="D124" s="22" t="n">
        <v>-44</v>
      </c>
      <c r="E124" s="22" t="n">
        <v>24</v>
      </c>
      <c r="F124" s="22" t="n">
        <v>-123</v>
      </c>
      <c r="G124" s="22" t="n">
        <v>-158</v>
      </c>
      <c r="H124" s="22" t="n">
        <v>-53</v>
      </c>
      <c r="I124" s="22" t="n">
        <v>-222</v>
      </c>
      <c r="J124" s="22" t="n">
        <v>-175</v>
      </c>
      <c r="K124" s="22" t="n">
        <v>90</v>
      </c>
      <c r="L124" s="22" t="n">
        <v>194</v>
      </c>
      <c r="M124" s="22" t="n">
        <v>-324</v>
      </c>
      <c r="N124" s="22" t="n">
        <v>21</v>
      </c>
      <c r="T124" s="22" t="n">
        <v>0</v>
      </c>
      <c r="U124" s="22" t="n">
        <v>-774</v>
      </c>
      <c r="V124" s="22" t="n">
        <v>-44</v>
      </c>
      <c r="W124" s="22" t="n">
        <v>-53</v>
      </c>
      <c r="X124" s="22" t="n">
        <v>194</v>
      </c>
    </row>
    <row r="125">
      <c r="A125" s="20" t="inlineStr">
        <is>
          <t>법인세 등 합계</t>
        </is>
      </c>
      <c r="C125" s="22" t="n">
        <v>227</v>
      </c>
      <c r="D125" s="22" t="n">
        <v>-41</v>
      </c>
      <c r="E125" s="22" t="n">
        <v>156</v>
      </c>
      <c r="F125" s="22" t="n">
        <v>-157</v>
      </c>
      <c r="G125" s="22" t="n">
        <v>114</v>
      </c>
      <c r="H125" s="22" t="n">
        <v>-81</v>
      </c>
      <c r="I125" s="22" t="n">
        <v>-172</v>
      </c>
      <c r="J125" s="22" t="n">
        <v>-97</v>
      </c>
      <c r="K125" s="22" t="n">
        <v>101</v>
      </c>
      <c r="L125" s="22" t="n">
        <v>429</v>
      </c>
      <c r="M125" s="22" t="n">
        <v>-313</v>
      </c>
      <c r="N125" s="22" t="n">
        <v>267</v>
      </c>
      <c r="T125" s="22" t="n">
        <v>3</v>
      </c>
      <c r="U125" s="22" t="n">
        <v>-749</v>
      </c>
      <c r="V125" s="22" t="n">
        <v>-41</v>
      </c>
      <c r="W125" s="22" t="n">
        <v>-81</v>
      </c>
      <c r="X125" s="22" t="n">
        <v>429</v>
      </c>
    </row>
    <row r="126">
      <c r="A126" s="45" t="inlineStr">
        <is>
          <t>YoY</t>
        </is>
      </c>
      <c r="B126" s="3" t="inlineStr">
        <is>
          <t>전년 같은 분기·전년 대비</t>
        </is>
      </c>
      <c r="G126" s="17">
        <f>IF(OR(G125="",C125=""),"",IF(G125*C125&lt;=0,"",IFERROR(G125/C125-1,"")))</f>
        <v/>
      </c>
      <c r="H126" s="17">
        <f>IF(OR(H125="",D125=""),"",IF(H125*D125&lt;=0,"",IFERROR(H125/D125-1,"")))</f>
        <v/>
      </c>
      <c r="I126" s="17">
        <f>IF(OR(I125="",E125=""),"",IF(I125*E125&lt;=0,"",IFERROR(I125/E125-1,"")))</f>
        <v/>
      </c>
      <c r="J126" s="17">
        <f>IF(OR(J125="",F125=""),"",IF(J125*F125&lt;=0,"",IFERROR(J125/F125-1,"")))</f>
        <v/>
      </c>
      <c r="K126" s="17">
        <f>IF(OR(K125="",G125=""),"",IF(K125*G125&lt;=0,"",IFERROR(K125/G125-1,"")))</f>
        <v/>
      </c>
      <c r="L126" s="17">
        <f>IF(OR(L125="",H125=""),"",IF(L125*H125&lt;=0,"",IFERROR(L125/H125-1,"")))</f>
        <v/>
      </c>
      <c r="M126" s="17">
        <f>IF(OR(M125="",I125=""),"",IF(M125*I125&lt;=0,"",IFERROR(M125/I125-1,"")))</f>
        <v/>
      </c>
      <c r="N126" s="17">
        <f>IF(OR(N125="",J125=""),"",IF(N125*J125&lt;=0,"",IFERROR(N125/J125-1,"")))</f>
        <v/>
      </c>
      <c r="T126" s="17">
        <f>IF(OR(T125="",S125=""),"",IF(T125*S125&lt;=0,"",IFERROR(T125/S125-1,"")))</f>
        <v/>
      </c>
      <c r="U126" s="17">
        <f>IF(OR(U125="",T125=""),"",IF(U125*T125&lt;=0,"",IFERROR(U125/T125-1,"")))</f>
        <v/>
      </c>
      <c r="V126" s="17">
        <f>IF(OR(V125="",U125=""),"",IF(V125*U125&lt;=0,"",IFERROR(V125/U125-1,"")))</f>
        <v/>
      </c>
      <c r="W126" s="17">
        <f>IF(OR(W125="",V125=""),"",IF(W125*V125&lt;=0,"",IFERROR(W125/V125-1,"")))</f>
        <v/>
      </c>
      <c r="X126" s="17">
        <f>IF(OR(X125="",W125=""),"",IF(X125*W125&lt;=0,"",IFERROR(X125/W125-1,"")))</f>
        <v/>
      </c>
    </row>
    <row r="127">
      <c r="A127" s="9" t="inlineStr">
        <is>
          <t>중간순이익(손실)</t>
        </is>
      </c>
      <c r="C127" s="12" t="n">
        <v>1389</v>
      </c>
      <c r="D127" s="12" t="n">
        <v>794</v>
      </c>
      <c r="E127" s="12" t="n">
        <v>-598</v>
      </c>
      <c r="F127" s="12" t="n">
        <v>1262</v>
      </c>
      <c r="G127" s="12" t="n">
        <v>1358</v>
      </c>
      <c r="H127" s="12" t="n">
        <v>-99</v>
      </c>
      <c r="I127" s="12" t="n">
        <v>98</v>
      </c>
      <c r="J127" s="12" t="n">
        <v>-198</v>
      </c>
      <c r="K127" s="12" t="n">
        <v>10</v>
      </c>
      <c r="L127" s="12" t="n">
        <v>524</v>
      </c>
      <c r="M127" s="12" t="n">
        <v>-810</v>
      </c>
      <c r="N127" s="12" t="n">
        <v>1447</v>
      </c>
      <c r="T127" s="12" t="n">
        <v>-1917</v>
      </c>
      <c r="U127" s="12" t="n">
        <v>908</v>
      </c>
      <c r="V127" s="12" t="n">
        <v>794</v>
      </c>
      <c r="W127" s="12" t="n">
        <v>-99</v>
      </c>
      <c r="X127" s="12" t="n">
        <v>524</v>
      </c>
    </row>
    <row r="128">
      <c r="A128" s="45" t="inlineStr">
        <is>
          <t>YoY</t>
        </is>
      </c>
      <c r="B128" s="3" t="inlineStr">
        <is>
          <t>전년 같은 분기·전년 대비</t>
        </is>
      </c>
      <c r="G128" s="17">
        <f>IF(OR(G127="",C127=""),"",IF(C127&lt;=0,"",IFERROR(G127/C127-1,"")))</f>
        <v/>
      </c>
      <c r="H128" s="17">
        <f>IF(OR(H127="",D127=""),"",IF(D127&lt;=0,"",IFERROR(H127/D127-1,"")))</f>
        <v/>
      </c>
      <c r="I128" s="17">
        <f>IF(OR(I127="",E127=""),"",IF(E127&lt;=0,"",IFERROR(I127/E127-1,"")))</f>
        <v/>
      </c>
      <c r="J128" s="17">
        <f>IF(OR(J127="",F127=""),"",IF(F127&lt;=0,"",IFERROR(J127/F127-1,"")))</f>
        <v/>
      </c>
      <c r="K128" s="17">
        <f>IF(OR(K127="",G127=""),"",IF(G127&lt;=0,"",IFERROR(K127/G127-1,"")))</f>
        <v/>
      </c>
      <c r="L128" s="17">
        <f>IF(OR(L127="",H127=""),"",IF(H127&lt;=0,"",IFERROR(L127/H127-1,"")))</f>
        <v/>
      </c>
      <c r="M128" s="17">
        <f>IF(OR(M127="",I127=""),"",IF(I127&lt;=0,"",IFERROR(M127/I127-1,"")))</f>
        <v/>
      </c>
      <c r="N128" s="17">
        <f>IF(OR(N127="",J127=""),"",IF(J127&lt;=0,"",IFERROR(N127/J127-1,"")))</f>
        <v/>
      </c>
      <c r="T128" s="17">
        <f>IF(OR(T127="",S127=""),"",IF(S127&lt;=0,"",IFERROR(T127/S127-1,"")))</f>
        <v/>
      </c>
      <c r="U128" s="17">
        <f>IF(OR(U127="",T127=""),"",IF(T127&lt;=0,"",IFERROR(U127/T127-1,"")))</f>
        <v/>
      </c>
      <c r="V128" s="17">
        <f>IF(OR(V127="",U127=""),"",IF(U127&lt;=0,"",IFERROR(V127/U127-1,"")))</f>
        <v/>
      </c>
      <c r="W128" s="17">
        <f>IF(OR(W127="",V127=""),"",IF(V127&lt;=0,"",IFERROR(W127/V127-1,"")))</f>
        <v/>
      </c>
      <c r="X128" s="17">
        <f>IF(OR(X127="",W127=""),"",IF(W127&lt;=0,"",IFERROR(X127/W127-1,"")))</f>
        <v/>
      </c>
    </row>
    <row r="130">
      <c r="A130" s="18" t="inlineStr">
        <is>
          <t>현금흐름표 · 전 항목</t>
        </is>
      </c>
      <c r="B130" s="44" t="inlineStr">
        <is>
          <t>분기 = 결산기 첫날부터 누계(공시 그대로)</t>
        </is>
      </c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</row>
    <row r="131">
      <c r="A131" s="5" t="inlineStr">
        <is>
          <t>항목</t>
        </is>
      </c>
      <c r="B131" s="5" t="inlineStr">
        <is>
          <t>참고</t>
        </is>
      </c>
      <c r="C131" s="5" t="inlineStr">
        <is>
          <t>2024.3Q</t>
        </is>
      </c>
      <c r="D131" s="5" t="inlineStr">
        <is>
          <t>2024.4Q</t>
        </is>
      </c>
      <c r="E131" s="5" t="inlineStr">
        <is>
          <t>2025.1Q</t>
        </is>
      </c>
      <c r="F131" s="5" t="inlineStr">
        <is>
          <t>2025.2Q</t>
        </is>
      </c>
      <c r="G131" s="5" t="inlineStr">
        <is>
          <t>2025.3Q</t>
        </is>
      </c>
      <c r="H131" s="5" t="inlineStr">
        <is>
          <t>2025.4Q</t>
        </is>
      </c>
      <c r="I131" s="5" t="inlineStr">
        <is>
          <t>2026.1Q</t>
        </is>
      </c>
      <c r="J131" s="5" t="inlineStr">
        <is>
          <t>2026.2Q</t>
        </is>
      </c>
      <c r="K131" s="5" t="inlineStr">
        <is>
          <t>2026.3Q</t>
        </is>
      </c>
      <c r="L131" s="5" t="inlineStr">
        <is>
          <t>2026.4Q</t>
        </is>
      </c>
      <c r="M131" s="5" t="inlineStr">
        <is>
          <t>2027.1Q</t>
        </is>
      </c>
      <c r="N131" s="5" t="inlineStr">
        <is>
          <t>2027.2Q</t>
        </is>
      </c>
      <c r="O131" s="5" t="inlineStr">
        <is>
          <t>2017</t>
        </is>
      </c>
      <c r="P131" s="5" t="inlineStr">
        <is>
          <t>2018</t>
        </is>
      </c>
      <c r="Q131" s="5" t="inlineStr">
        <is>
          <t>2019</t>
        </is>
      </c>
      <c r="R131" s="5" t="inlineStr">
        <is>
          <t>2020</t>
        </is>
      </c>
      <c r="S131" s="5" t="inlineStr">
        <is>
          <t>2021</t>
        </is>
      </c>
      <c r="T131" s="5" t="inlineStr">
        <is>
          <t>2022</t>
        </is>
      </c>
      <c r="U131" s="5" t="inlineStr">
        <is>
          <t>2023</t>
        </is>
      </c>
      <c r="V131" s="5" t="inlineStr">
        <is>
          <t>2024</t>
        </is>
      </c>
      <c r="W131" s="5" t="inlineStr">
        <is>
          <t>2025</t>
        </is>
      </c>
      <c r="X131" s="5" t="inlineStr">
        <is>
          <t>2026</t>
        </is>
      </c>
      <c r="Y131" s="5" t="inlineStr">
        <is>
          <t>2027(MW)</t>
        </is>
      </c>
      <c r="Z131" s="5" t="inlineStr">
        <is>
          <t>2028(MW)</t>
        </is>
      </c>
      <c r="AA131" s="5" t="inlineStr">
        <is>
          <t>2029(MW)</t>
        </is>
      </c>
      <c r="AB131" s="5" t="inlineStr">
        <is>
          <t>2030(MW)</t>
        </is>
      </c>
      <c r="AC131" s="5" t="inlineStr">
        <is>
          <t>2031(MW)</t>
        </is>
      </c>
    </row>
    <row r="132">
      <c r="A132" s="9" t="inlineStr">
        <is>
          <t>Income Before Income Taxes</t>
        </is>
      </c>
      <c r="D132" s="12" t="n">
        <v>1062</v>
      </c>
      <c r="F132" s="12" t="n">
        <v>663</v>
      </c>
      <c r="H132" s="12" t="n">
        <v>1955</v>
      </c>
      <c r="J132" s="12" t="n">
        <v>-370</v>
      </c>
      <c r="L132" s="12" t="n">
        <v>695</v>
      </c>
      <c r="N132" s="12" t="n">
        <v>591</v>
      </c>
      <c r="O132" s="12" t="n">
        <v>2967</v>
      </c>
      <c r="P132" s="12" t="n">
        <v>2733</v>
      </c>
      <c r="Q132" s="12" t="n">
        <v>1250</v>
      </c>
      <c r="R132" s="12" t="n">
        <v>46</v>
      </c>
      <c r="S132" s="12" t="n">
        <v>-9751</v>
      </c>
      <c r="T132" s="12" t="n">
        <v>-4973</v>
      </c>
      <c r="U132" s="12" t="n">
        <v>-586</v>
      </c>
      <c r="V132" s="12" t="n">
        <v>1062</v>
      </c>
      <c r="W132" s="12" t="n">
        <v>1955</v>
      </c>
      <c r="X132" s="12" t="n">
        <v>695</v>
      </c>
    </row>
    <row r="133">
      <c r="A133" s="20" t="inlineStr">
        <is>
          <t>감가상각비</t>
        </is>
      </c>
      <c r="D133" s="22" t="n">
        <v>787</v>
      </c>
      <c r="F133" s="22" t="n">
        <v>376</v>
      </c>
      <c r="H133" s="22" t="n">
        <v>753</v>
      </c>
      <c r="J133" s="22" t="n">
        <v>510</v>
      </c>
      <c r="L133" s="22" t="n">
        <v>1208</v>
      </c>
      <c r="N133" s="22" t="n">
        <v>761</v>
      </c>
      <c r="O133" s="22" t="n">
        <v>1365</v>
      </c>
      <c r="P133" s="22" t="n">
        <v>1426</v>
      </c>
      <c r="Q133" s="22" t="n">
        <v>1702</v>
      </c>
      <c r="R133" s="22" t="n">
        <v>1808</v>
      </c>
      <c r="S133" s="22" t="n">
        <v>1756</v>
      </c>
      <c r="T133" s="22" t="n">
        <v>1177</v>
      </c>
      <c r="U133" s="22" t="n">
        <v>820</v>
      </c>
      <c r="V133" s="22" t="n">
        <v>787</v>
      </c>
      <c r="W133" s="22" t="n">
        <v>753</v>
      </c>
      <c r="X133" s="22" t="n">
        <v>1208</v>
      </c>
    </row>
    <row r="134">
      <c r="A134" s="20" t="inlineStr">
        <is>
          <t>대손충당금 증감</t>
        </is>
      </c>
      <c r="D134" s="22" t="n">
        <v>0</v>
      </c>
      <c r="F134" s="22" t="n">
        <v>-0</v>
      </c>
      <c r="H134" s="22" t="n">
        <v>-0</v>
      </c>
      <c r="J134" s="22" t="n">
        <v>-0</v>
      </c>
      <c r="L134" s="22" t="n">
        <v>0</v>
      </c>
      <c r="N134" s="22" t="n">
        <v>-0</v>
      </c>
      <c r="O134" s="22" t="n">
        <v>-19</v>
      </c>
      <c r="P134" s="22" t="n">
        <v>0</v>
      </c>
      <c r="Q134" s="22" t="n">
        <v>-0</v>
      </c>
      <c r="R134" s="22" t="n">
        <v>-0</v>
      </c>
      <c r="S134" s="22" t="n">
        <v>-0</v>
      </c>
      <c r="T134" s="22" t="n">
        <v>0</v>
      </c>
      <c r="U134" s="22" t="n">
        <v>0</v>
      </c>
      <c r="V134" s="22" t="n">
        <v>0</v>
      </c>
      <c r="W134" s="22" t="n">
        <v>-0</v>
      </c>
      <c r="X134" s="22" t="n">
        <v>0</v>
      </c>
    </row>
    <row r="135">
      <c r="A135" s="20" t="inlineStr">
        <is>
          <t>Increase Decrease In Reserve For Scheduled Maintenance Costs Ope CF</t>
        </is>
      </c>
      <c r="D135" s="22" t="n">
        <v>-1384</v>
      </c>
      <c r="H135" s="22" t="n">
        <v>75</v>
      </c>
      <c r="L135" s="22" t="n">
        <v>2274</v>
      </c>
      <c r="O135" s="22" t="n">
        <v>826</v>
      </c>
      <c r="P135" s="22" t="n">
        <v>919</v>
      </c>
      <c r="Q135" s="22" t="n">
        <v>1276</v>
      </c>
      <c r="R135" s="22" t="n">
        <v>1571</v>
      </c>
      <c r="S135" s="22" t="n">
        <v>2272</v>
      </c>
      <c r="T135" s="22" t="n">
        <v>1151</v>
      </c>
      <c r="U135" s="22" t="n">
        <v>1240</v>
      </c>
      <c r="V135" s="22" t="n">
        <v>-1384</v>
      </c>
      <c r="W135" s="22" t="n">
        <v>75</v>
      </c>
      <c r="X135" s="22" t="n">
        <v>2274</v>
      </c>
    </row>
    <row r="136">
      <c r="A136" s="20" t="inlineStr">
        <is>
          <t>포인트 충당금 증감</t>
        </is>
      </c>
      <c r="O136" s="22" t="n">
        <v>9</v>
      </c>
      <c r="P136" s="22" t="n">
        <v>3</v>
      </c>
      <c r="Q136" s="22" t="n">
        <v>5</v>
      </c>
      <c r="R136" s="22" t="n">
        <v>9</v>
      </c>
      <c r="S136" s="22" t="n">
        <v>-26</v>
      </c>
      <c r="T136" s="22" t="n">
        <v>0</v>
      </c>
    </row>
    <row r="137">
      <c r="A137" s="20" t="inlineStr">
        <is>
          <t>Increase Decrease In Provision For Scheduled Maintenance Costs Ope CF</t>
        </is>
      </c>
      <c r="F137" s="22" t="n">
        <v>-355</v>
      </c>
      <c r="J137" s="22" t="n">
        <v>1136</v>
      </c>
      <c r="N137" s="22" t="n">
        <v>31</v>
      </c>
    </row>
    <row r="138">
      <c r="A138" s="20" t="inlineStr">
        <is>
          <t>이자·배당금 수익</t>
        </is>
      </c>
      <c r="D138" s="22" t="n">
        <v>-4</v>
      </c>
      <c r="F138" s="22" t="n">
        <v>-15</v>
      </c>
      <c r="H138" s="22" t="n">
        <v>-25</v>
      </c>
      <c r="J138" s="22" t="n">
        <v>-14</v>
      </c>
      <c r="L138" s="22" t="n">
        <v>-33</v>
      </c>
      <c r="N138" s="22" t="n">
        <v>-17</v>
      </c>
      <c r="O138" s="22" t="n">
        <v>-5</v>
      </c>
      <c r="P138" s="22" t="n">
        <v>-6</v>
      </c>
      <c r="Q138" s="22" t="n">
        <v>-4</v>
      </c>
      <c r="R138" s="22" t="n">
        <v>-11</v>
      </c>
      <c r="S138" s="22" t="n">
        <v>-10</v>
      </c>
      <c r="T138" s="22" t="n">
        <v>-0</v>
      </c>
      <c r="U138" s="22" t="n">
        <v>-1</v>
      </c>
      <c r="V138" s="22" t="n">
        <v>-4</v>
      </c>
      <c r="W138" s="22" t="n">
        <v>-25</v>
      </c>
      <c r="X138" s="22" t="n">
        <v>-33</v>
      </c>
    </row>
    <row r="139">
      <c r="A139" s="20" t="inlineStr">
        <is>
          <t>이자비용</t>
        </is>
      </c>
      <c r="D139" s="22" t="n">
        <v>47</v>
      </c>
      <c r="F139" s="22" t="n">
        <v>24</v>
      </c>
      <c r="H139" s="22" t="n">
        <v>46</v>
      </c>
      <c r="J139" s="22" t="n">
        <v>63</v>
      </c>
      <c r="L139" s="22" t="n">
        <v>196</v>
      </c>
      <c r="N139" s="22" t="n">
        <v>133</v>
      </c>
      <c r="O139" s="22" t="n">
        <v>195</v>
      </c>
      <c r="P139" s="22" t="n">
        <v>169</v>
      </c>
      <c r="Q139" s="22" t="n">
        <v>159</v>
      </c>
      <c r="R139" s="22" t="n">
        <v>133</v>
      </c>
      <c r="S139" s="22" t="n">
        <v>139</v>
      </c>
      <c r="T139" s="22" t="n">
        <v>83</v>
      </c>
      <c r="U139" s="22" t="n">
        <v>45</v>
      </c>
      <c r="V139" s="22" t="n">
        <v>47</v>
      </c>
      <c r="W139" s="22" t="n">
        <v>46</v>
      </c>
      <c r="X139" s="22" t="n">
        <v>196</v>
      </c>
    </row>
    <row r="140">
      <c r="A140" s="20" t="inlineStr">
        <is>
          <t>외환차손익</t>
        </is>
      </c>
      <c r="D140" s="22" t="n">
        <v>-248</v>
      </c>
      <c r="F140" s="22" t="n">
        <v>157</v>
      </c>
      <c r="H140" s="22" t="n">
        <v>53</v>
      </c>
      <c r="J140" s="22" t="n">
        <v>255</v>
      </c>
      <c r="L140" s="22" t="n">
        <v>479</v>
      </c>
      <c r="N140" s="22" t="n">
        <v>-15</v>
      </c>
      <c r="O140" s="22" t="n">
        <v>-3</v>
      </c>
      <c r="P140" s="22" t="n">
        <v>113</v>
      </c>
      <c r="Q140" s="22" t="n">
        <v>-92</v>
      </c>
      <c r="R140" s="22" t="n">
        <v>50</v>
      </c>
      <c r="S140" s="22" t="n">
        <v>-44</v>
      </c>
      <c r="T140" s="22" t="n">
        <v>-158</v>
      </c>
      <c r="U140" s="22" t="n">
        <v>-194</v>
      </c>
      <c r="V140" s="22" t="n">
        <v>-248</v>
      </c>
      <c r="W140" s="22" t="n">
        <v>53</v>
      </c>
      <c r="X140" s="22" t="n">
        <v>479</v>
      </c>
    </row>
    <row r="141">
      <c r="A141" s="20" t="inlineStr">
        <is>
          <t>보조금 수입</t>
        </is>
      </c>
      <c r="D141" s="22" t="n">
        <v>-46</v>
      </c>
      <c r="F141" s="22" t="n">
        <v>-12</v>
      </c>
      <c r="H141" s="22" t="n">
        <v>-24</v>
      </c>
      <c r="J141" s="22" t="n">
        <v>0</v>
      </c>
      <c r="L141" s="22" t="n">
        <v>-17</v>
      </c>
      <c r="N141" s="22" t="n">
        <v>-0</v>
      </c>
      <c r="Q141" s="22" t="n">
        <v>-71</v>
      </c>
      <c r="R141" s="22" t="n">
        <v>-124</v>
      </c>
      <c r="S141" s="22" t="n">
        <v>-1646</v>
      </c>
      <c r="T141" s="22" t="n">
        <v>-552</v>
      </c>
      <c r="U141" s="22" t="n">
        <v>-187</v>
      </c>
      <c r="V141" s="22" t="n">
        <v>-46</v>
      </c>
      <c r="W141" s="22" t="n">
        <v>-24</v>
      </c>
      <c r="X141" s="22" t="n">
        <v>-17</v>
      </c>
    </row>
    <row r="142">
      <c r="A142" s="20" t="inlineStr">
        <is>
          <t>고정자산 제각손실</t>
        </is>
      </c>
      <c r="D142" s="22" t="n">
        <v>6</v>
      </c>
      <c r="F142" s="22" t="n">
        <v>0</v>
      </c>
      <c r="H142" s="22" t="n">
        <v>0</v>
      </c>
      <c r="J142" s="22" t="n">
        <v>2</v>
      </c>
      <c r="L142" s="22" t="n">
        <v>6</v>
      </c>
      <c r="N142" s="22" t="n">
        <v>0</v>
      </c>
      <c r="O142" s="22" t="n">
        <v>17</v>
      </c>
      <c r="P142" s="22" t="n">
        <v>37</v>
      </c>
      <c r="Q142" s="22" t="n">
        <v>15</v>
      </c>
      <c r="R142" s="22" t="n">
        <v>24</v>
      </c>
      <c r="S142" s="22" t="n">
        <v>7</v>
      </c>
      <c r="T142" s="22" t="n">
        <v>7</v>
      </c>
      <c r="U142" s="22" t="n">
        <v>7</v>
      </c>
      <c r="V142" s="22" t="n">
        <v>6</v>
      </c>
      <c r="W142" s="22" t="n">
        <v>0</v>
      </c>
      <c r="X142" s="22" t="n">
        <v>6</v>
      </c>
    </row>
    <row r="143">
      <c r="A143" s="20" t="inlineStr">
        <is>
          <t>주식교부비</t>
        </is>
      </c>
      <c r="R143" s="22" t="n">
        <v>0</v>
      </c>
      <c r="S143" s="22" t="n">
        <v>41</v>
      </c>
      <c r="T143" s="22" t="n">
        <v>0</v>
      </c>
    </row>
    <row r="144">
      <c r="A144" s="20" t="inlineStr">
        <is>
          <t>손상차손</t>
        </is>
      </c>
      <c r="S144" s="22" t="n">
        <v>0</v>
      </c>
      <c r="T144" s="22" t="n">
        <v>1433</v>
      </c>
      <c r="U144" s="22" t="n">
        <v>0</v>
      </c>
    </row>
    <row r="145">
      <c r="A145" s="20" t="inlineStr">
        <is>
          <t>투자유가증권 평가손익</t>
        </is>
      </c>
      <c r="S145" s="22" t="n">
        <v>0</v>
      </c>
      <c r="T145" s="22" t="n">
        <v>42</v>
      </c>
      <c r="U145" s="22" t="n">
        <v>0</v>
      </c>
    </row>
    <row r="146">
      <c r="A146" s="20" t="inlineStr">
        <is>
          <t>신주예약권 환입이익</t>
        </is>
      </c>
      <c r="H146" s="22" t="n">
        <v>0</v>
      </c>
      <c r="L146" s="22" t="n">
        <v>-10</v>
      </c>
      <c r="W146" s="22" t="n">
        <v>0</v>
      </c>
      <c r="X146" s="22" t="n">
        <v>-10</v>
      </c>
    </row>
    <row r="147">
      <c r="A147" s="20" t="inlineStr">
        <is>
          <t>매출채권 증감</t>
        </is>
      </c>
      <c r="D147" s="22" t="n">
        <v>-377</v>
      </c>
      <c r="F147" s="22" t="n">
        <v>416</v>
      </c>
      <c r="H147" s="22" t="n">
        <v>118</v>
      </c>
      <c r="J147" s="22" t="n">
        <v>448</v>
      </c>
      <c r="L147" s="22" t="n">
        <v>-271</v>
      </c>
      <c r="N147" s="22" t="n">
        <v>318</v>
      </c>
      <c r="O147" s="22" t="n">
        <v>-183</v>
      </c>
      <c r="P147" s="22" t="n">
        <v>14</v>
      </c>
      <c r="Q147" s="22" t="n">
        <v>-113</v>
      </c>
      <c r="R147" s="22" t="n">
        <v>1137</v>
      </c>
      <c r="S147" s="22" t="n">
        <v>301</v>
      </c>
      <c r="T147" s="22" t="n">
        <v>-409</v>
      </c>
      <c r="U147" s="22" t="n">
        <v>-723</v>
      </c>
      <c r="V147" s="22" t="n">
        <v>-377</v>
      </c>
      <c r="W147" s="22" t="n">
        <v>118</v>
      </c>
      <c r="X147" s="22" t="n">
        <v>-271</v>
      </c>
    </row>
    <row r="148">
      <c r="A148" s="20" t="inlineStr">
        <is>
          <t>재고자산 증감</t>
        </is>
      </c>
      <c r="D148" s="22" t="n">
        <v>-41</v>
      </c>
      <c r="F148" s="22" t="n">
        <v>-67</v>
      </c>
      <c r="H148" s="22" t="n">
        <v>-66</v>
      </c>
      <c r="J148" s="22" t="n">
        <v>-194</v>
      </c>
      <c r="L148" s="22" t="n">
        <v>-205</v>
      </c>
      <c r="N148" s="22" t="n">
        <v>-6</v>
      </c>
      <c r="O148" s="22" t="n">
        <v>-22</v>
      </c>
      <c r="P148" s="22" t="n">
        <v>-74</v>
      </c>
      <c r="Q148" s="22" t="n">
        <v>-32</v>
      </c>
      <c r="R148" s="22" t="n">
        <v>-61</v>
      </c>
      <c r="S148" s="22" t="n">
        <v>-48</v>
      </c>
      <c r="T148" s="22" t="n">
        <v>-28</v>
      </c>
      <c r="U148" s="22" t="n">
        <v>52</v>
      </c>
      <c r="V148" s="22" t="n">
        <v>-41</v>
      </c>
      <c r="W148" s="22" t="n">
        <v>-66</v>
      </c>
      <c r="X148" s="22" t="n">
        <v>-205</v>
      </c>
    </row>
    <row r="149">
      <c r="A149" s="20" t="inlineStr">
        <is>
          <t>선급금 증감</t>
        </is>
      </c>
      <c r="O149" s="22" t="n">
        <v>-1</v>
      </c>
      <c r="P149" s="22" t="n">
        <v>0</v>
      </c>
      <c r="Q149" s="22" t="n">
        <v>-49</v>
      </c>
      <c r="R149" s="22" t="n">
        <v>-82</v>
      </c>
      <c r="S149" s="22" t="n">
        <v>82</v>
      </c>
      <c r="T149" s="22" t="n">
        <v>-216</v>
      </c>
      <c r="U149" s="22" t="n">
        <v>267</v>
      </c>
    </row>
    <row r="150">
      <c r="A150" s="20" t="inlineStr">
        <is>
          <t>선급비용 증감</t>
        </is>
      </c>
      <c r="D150" s="22" t="n">
        <v>282</v>
      </c>
      <c r="F150" s="22" t="n">
        <v>642</v>
      </c>
      <c r="H150" s="22" t="n">
        <v>417</v>
      </c>
      <c r="J150" s="22" t="n">
        <v>50</v>
      </c>
      <c r="L150" s="22" t="n">
        <v>-146</v>
      </c>
      <c r="N150" s="22" t="n">
        <v>-1641</v>
      </c>
      <c r="O150" s="22" t="n">
        <v>-2</v>
      </c>
      <c r="P150" s="22" t="n">
        <v>-30</v>
      </c>
      <c r="Q150" s="22" t="n">
        <v>-12</v>
      </c>
      <c r="R150" s="22" t="n">
        <v>-630</v>
      </c>
      <c r="S150" s="22" t="n">
        <v>718</v>
      </c>
      <c r="T150" s="22" t="n">
        <v>-634</v>
      </c>
      <c r="U150" s="22" t="n">
        <v>-421</v>
      </c>
      <c r="V150" s="22" t="n">
        <v>282</v>
      </c>
      <c r="W150" s="22" t="n">
        <v>417</v>
      </c>
      <c r="X150" s="22" t="n">
        <v>-146</v>
      </c>
    </row>
    <row r="151">
      <c r="A151" s="20" t="inlineStr">
        <is>
          <t>미수금 증감</t>
        </is>
      </c>
      <c r="D151" s="22" t="n">
        <v>858</v>
      </c>
      <c r="F151" s="22" t="n">
        <v>-195</v>
      </c>
      <c r="H151" s="22" t="n">
        <v>-284</v>
      </c>
      <c r="J151" s="22" t="n">
        <v>-14</v>
      </c>
      <c r="L151" s="22" t="n">
        <v>-404</v>
      </c>
      <c r="N151" s="22" t="n">
        <v>155</v>
      </c>
      <c r="O151" s="22" t="n">
        <v>104</v>
      </c>
      <c r="P151" s="22" t="n">
        <v>-210</v>
      </c>
      <c r="Q151" s="22" t="n">
        <v>-956</v>
      </c>
      <c r="R151" s="22" t="n">
        <v>1187</v>
      </c>
      <c r="S151" s="22" t="n">
        <v>209</v>
      </c>
      <c r="T151" s="22" t="n">
        <v>-149</v>
      </c>
      <c r="U151" s="22" t="n">
        <v>-1120</v>
      </c>
      <c r="V151" s="22" t="n">
        <v>858</v>
      </c>
      <c r="W151" s="22" t="n">
        <v>-284</v>
      </c>
      <c r="X151" s="22" t="n">
        <v>-404</v>
      </c>
    </row>
    <row r="152">
      <c r="A152" s="20" t="inlineStr">
        <is>
          <t>미수 소비세 증감</t>
        </is>
      </c>
      <c r="D152" s="22" t="n">
        <v>-458</v>
      </c>
      <c r="F152" s="22" t="n">
        <v>458</v>
      </c>
      <c r="H152" s="22" t="n">
        <v>458</v>
      </c>
      <c r="J152" s="22" t="n">
        <v>-1332</v>
      </c>
      <c r="L152" s="22" t="n">
        <v>-1592</v>
      </c>
      <c r="N152" s="22" t="n">
        <v>1592</v>
      </c>
      <c r="O152" s="22" t="n">
        <v>-285</v>
      </c>
      <c r="P152" s="22" t="n">
        <v>285</v>
      </c>
      <c r="Q152" s="22" t="n">
        <v>-1014</v>
      </c>
      <c r="R152" s="22" t="n">
        <v>1014</v>
      </c>
      <c r="S152" s="22" t="n">
        <v>-162</v>
      </c>
      <c r="T152" s="22" t="n">
        <v>162</v>
      </c>
      <c r="U152" s="22" t="n">
        <v>0</v>
      </c>
      <c r="V152" s="22" t="n">
        <v>-458</v>
      </c>
      <c r="W152" s="22" t="n">
        <v>458</v>
      </c>
      <c r="X152" s="22" t="n">
        <v>-1592</v>
      </c>
    </row>
    <row r="153">
      <c r="A153" s="20" t="inlineStr">
        <is>
          <t>매입채무 증감</t>
        </is>
      </c>
      <c r="D153" s="22" t="n">
        <v>348</v>
      </c>
      <c r="F153" s="22" t="n">
        <v>484</v>
      </c>
      <c r="H153" s="22" t="n">
        <v>1115</v>
      </c>
      <c r="J153" s="22" t="n">
        <v>-312</v>
      </c>
      <c r="L153" s="22" t="n">
        <v>-486</v>
      </c>
      <c r="N153" s="22" t="n">
        <v>-283</v>
      </c>
      <c r="O153" s="22" t="n">
        <v>-118</v>
      </c>
      <c r="P153" s="22" t="n">
        <v>143</v>
      </c>
      <c r="Q153" s="22" t="n">
        <v>172</v>
      </c>
      <c r="R153" s="22" t="n">
        <v>-284</v>
      </c>
      <c r="S153" s="22" t="n">
        <v>1185</v>
      </c>
      <c r="T153" s="22" t="n">
        <v>-1781</v>
      </c>
      <c r="U153" s="22" t="n">
        <v>676</v>
      </c>
      <c r="V153" s="22" t="n">
        <v>348</v>
      </c>
      <c r="W153" s="22" t="n">
        <v>1115</v>
      </c>
      <c r="X153" s="22" t="n">
        <v>-486</v>
      </c>
    </row>
    <row r="154">
      <c r="A154" s="20" t="inlineStr">
        <is>
          <t>미지급금 증감</t>
        </is>
      </c>
      <c r="D154" s="22" t="n">
        <v>309</v>
      </c>
      <c r="F154" s="22" t="n">
        <v>-156</v>
      </c>
      <c r="H154" s="22" t="n">
        <v>-50</v>
      </c>
      <c r="J154" s="22" t="n">
        <v>-21</v>
      </c>
      <c r="L154" s="22" t="n">
        <v>-117</v>
      </c>
      <c r="N154" s="22" t="n">
        <v>360</v>
      </c>
      <c r="O154" s="22" t="n">
        <v>469</v>
      </c>
      <c r="P154" s="22" t="n">
        <v>132</v>
      </c>
      <c r="Q154" s="22" t="n">
        <v>-255</v>
      </c>
      <c r="R154" s="22" t="n">
        <v>-562</v>
      </c>
      <c r="S154" s="22" t="n">
        <v>650</v>
      </c>
      <c r="T154" s="22" t="n">
        <v>-1202</v>
      </c>
      <c r="U154" s="22" t="n">
        <v>54</v>
      </c>
      <c r="V154" s="22" t="n">
        <v>309</v>
      </c>
      <c r="W154" s="22" t="n">
        <v>-50</v>
      </c>
      <c r="X154" s="22" t="n">
        <v>-117</v>
      </c>
    </row>
    <row r="155">
      <c r="A155" s="20" t="inlineStr">
        <is>
          <t>미지급 소비세 증감</t>
        </is>
      </c>
      <c r="D155" s="22" t="n">
        <v>-225</v>
      </c>
      <c r="F155" s="22" t="n">
        <v>520</v>
      </c>
      <c r="H155" s="22" t="n">
        <v>195</v>
      </c>
      <c r="J155" s="22" t="n">
        <v>766</v>
      </c>
      <c r="L155" s="22" t="n">
        <v>792</v>
      </c>
      <c r="N155" s="22" t="n">
        <v>593</v>
      </c>
      <c r="O155" s="22" t="n">
        <v>-207</v>
      </c>
      <c r="P155" s="22" t="n">
        <v>578</v>
      </c>
      <c r="Q155" s="22" t="n">
        <v>-578</v>
      </c>
      <c r="R155" s="22" t="n">
        <v>118</v>
      </c>
      <c r="S155" s="22" t="n">
        <v>-20</v>
      </c>
      <c r="T155" s="22" t="n">
        <v>-12</v>
      </c>
      <c r="U155" s="22" t="n">
        <v>140</v>
      </c>
      <c r="V155" s="22" t="n">
        <v>-225</v>
      </c>
      <c r="W155" s="22" t="n">
        <v>195</v>
      </c>
      <c r="X155" s="22" t="n">
        <v>792</v>
      </c>
    </row>
    <row r="156">
      <c r="A156" s="20" t="inlineStr">
        <is>
          <t>선수금 증감</t>
        </is>
      </c>
      <c r="O156" s="22" t="n">
        <v>15</v>
      </c>
      <c r="P156" s="22" t="n">
        <v>7</v>
      </c>
      <c r="Q156" s="22" t="n">
        <v>230</v>
      </c>
      <c r="R156" s="22" t="n">
        <v>66</v>
      </c>
      <c r="S156" s="22" t="n">
        <v>186</v>
      </c>
      <c r="T156" s="22" t="n">
        <v>-281</v>
      </c>
    </row>
    <row r="157">
      <c r="A157" s="20" t="inlineStr">
        <is>
          <t>계약부채 증감</t>
        </is>
      </c>
      <c r="S157" s="22" t="n">
        <v>0</v>
      </c>
      <c r="T157" s="22" t="n">
        <v>-216</v>
      </c>
      <c r="U157" s="22" t="n">
        <v>-110</v>
      </c>
    </row>
    <row r="158">
      <c r="A158" s="20" t="inlineStr">
        <is>
          <t>계약부채 증감</t>
        </is>
      </c>
      <c r="D158" s="22" t="n">
        <v>169</v>
      </c>
      <c r="F158" s="22" t="n">
        <v>20</v>
      </c>
      <c r="H158" s="22" t="n">
        <v>85</v>
      </c>
      <c r="J158" s="22" t="n">
        <v>42</v>
      </c>
      <c r="L158" s="22" t="n">
        <v>87</v>
      </c>
      <c r="N158" s="22" t="n">
        <v>383</v>
      </c>
      <c r="U158" s="22" t="n">
        <v>-110</v>
      </c>
      <c r="V158" s="22" t="n">
        <v>169</v>
      </c>
      <c r="W158" s="22" t="n">
        <v>85</v>
      </c>
      <c r="X158" s="22" t="n">
        <v>87</v>
      </c>
    </row>
    <row r="159">
      <c r="A159" s="20" t="inlineStr">
        <is>
          <t>기타</t>
        </is>
      </c>
      <c r="D159" s="22" t="n">
        <v>-382</v>
      </c>
      <c r="F159" s="22" t="n">
        <v>243</v>
      </c>
      <c r="H159" s="22" t="n">
        <v>393</v>
      </c>
      <c r="J159" s="22" t="n">
        <v>-42</v>
      </c>
      <c r="L159" s="22" t="n">
        <v>-232</v>
      </c>
      <c r="N159" s="22" t="n">
        <v>652</v>
      </c>
      <c r="O159" s="22" t="n">
        <v>-4</v>
      </c>
      <c r="P159" s="22" t="n">
        <v>207</v>
      </c>
      <c r="Q159" s="22" t="n">
        <v>-40</v>
      </c>
      <c r="R159" s="22" t="n">
        <v>-221</v>
      </c>
      <c r="S159" s="22" t="n">
        <v>33</v>
      </c>
      <c r="T159" s="22" t="n">
        <v>-309</v>
      </c>
      <c r="U159" s="22" t="n">
        <v>172</v>
      </c>
      <c r="V159" s="22" t="n">
        <v>-382</v>
      </c>
      <c r="W159" s="22" t="n">
        <v>393</v>
      </c>
      <c r="X159" s="22" t="n">
        <v>-232</v>
      </c>
    </row>
    <row r="160">
      <c r="A160" s="20" t="inlineStr">
        <is>
          <t>소계</t>
        </is>
      </c>
      <c r="D160" s="22" t="n">
        <v>700</v>
      </c>
      <c r="F160" s="22" t="n">
        <v>3206</v>
      </c>
      <c r="H160" s="22" t="n">
        <v>5221</v>
      </c>
      <c r="J160" s="22" t="n">
        <v>973</v>
      </c>
      <c r="L160" s="22" t="n">
        <v>2224</v>
      </c>
      <c r="N160" s="22" t="n">
        <v>3607</v>
      </c>
      <c r="O160" s="22" t="n">
        <v>5117</v>
      </c>
      <c r="P160" s="22" t="n">
        <v>6449</v>
      </c>
      <c r="Q160" s="22" t="n">
        <v>1592</v>
      </c>
      <c r="R160" s="22" t="n">
        <v>5189</v>
      </c>
      <c r="S160" s="22" t="n">
        <v>-4127</v>
      </c>
      <c r="T160" s="22" t="n">
        <v>-6586</v>
      </c>
      <c r="U160" s="22" t="n">
        <v>-134</v>
      </c>
      <c r="V160" s="22" t="n">
        <v>700</v>
      </c>
      <c r="W160" s="22" t="n">
        <v>5221</v>
      </c>
      <c r="X160" s="22" t="n">
        <v>2224</v>
      </c>
    </row>
    <row r="161">
      <c r="A161" s="20" t="inlineStr">
        <is>
          <t>이자·배당금 수취</t>
        </is>
      </c>
      <c r="D161" s="22" t="n">
        <v>4</v>
      </c>
      <c r="F161" s="22" t="n">
        <v>15</v>
      </c>
      <c r="H161" s="22" t="n">
        <v>25</v>
      </c>
      <c r="J161" s="22" t="n">
        <v>14</v>
      </c>
      <c r="L161" s="22" t="n">
        <v>33</v>
      </c>
      <c r="N161" s="22" t="n">
        <v>17</v>
      </c>
      <c r="O161" s="22" t="n">
        <v>5</v>
      </c>
      <c r="P161" s="22" t="n">
        <v>5</v>
      </c>
      <c r="Q161" s="22" t="n">
        <v>5</v>
      </c>
      <c r="R161" s="22" t="n">
        <v>11</v>
      </c>
      <c r="S161" s="22" t="n">
        <v>10</v>
      </c>
      <c r="T161" s="22" t="n">
        <v>0</v>
      </c>
      <c r="U161" s="22" t="n">
        <v>1</v>
      </c>
      <c r="V161" s="22" t="n">
        <v>4</v>
      </c>
      <c r="W161" s="22" t="n">
        <v>25</v>
      </c>
      <c r="X161" s="22" t="n">
        <v>33</v>
      </c>
    </row>
    <row r="162">
      <c r="A162" s="20" t="inlineStr">
        <is>
          <t>이자 지급</t>
        </is>
      </c>
      <c r="D162" s="22" t="n">
        <v>-47</v>
      </c>
      <c r="F162" s="22" t="n">
        <v>-24</v>
      </c>
      <c r="H162" s="22" t="n">
        <v>-47</v>
      </c>
      <c r="J162" s="22" t="n">
        <v>-76</v>
      </c>
      <c r="L162" s="22" t="n">
        <v>-209</v>
      </c>
      <c r="N162" s="22" t="n">
        <v>-133</v>
      </c>
      <c r="O162" s="22" t="n">
        <v>-195</v>
      </c>
      <c r="P162" s="22" t="n">
        <v>-169</v>
      </c>
      <c r="Q162" s="22" t="n">
        <v>-159</v>
      </c>
      <c r="R162" s="22" t="n">
        <v>-134</v>
      </c>
      <c r="S162" s="22" t="n">
        <v>-139</v>
      </c>
      <c r="T162" s="22" t="n">
        <v>-83</v>
      </c>
      <c r="U162" s="22" t="n">
        <v>-44</v>
      </c>
      <c r="V162" s="22" t="n">
        <v>-47</v>
      </c>
      <c r="W162" s="22" t="n">
        <v>-47</v>
      </c>
      <c r="X162" s="22" t="n">
        <v>-209</v>
      </c>
    </row>
    <row r="163">
      <c r="A163" s="20" t="inlineStr">
        <is>
          <t>보조금 수취</t>
        </is>
      </c>
      <c r="D163" s="22" t="n">
        <v>36</v>
      </c>
      <c r="F163" s="22" t="n">
        <v>28</v>
      </c>
      <c r="H163" s="22" t="n">
        <v>30</v>
      </c>
      <c r="J163" s="22" t="n">
        <v>12</v>
      </c>
      <c r="L163" s="22" t="n">
        <v>24</v>
      </c>
      <c r="N163" s="22" t="n">
        <v>8</v>
      </c>
      <c r="Q163" s="22" t="n">
        <v>13</v>
      </c>
      <c r="R163" s="22" t="n">
        <v>117</v>
      </c>
      <c r="S163" s="22" t="n">
        <v>593</v>
      </c>
      <c r="T163" s="22" t="n">
        <v>1501</v>
      </c>
      <c r="U163" s="22" t="n">
        <v>313</v>
      </c>
      <c r="V163" s="22" t="n">
        <v>36</v>
      </c>
      <c r="W163" s="22" t="n">
        <v>30</v>
      </c>
      <c r="X163" s="22" t="n">
        <v>24</v>
      </c>
    </row>
    <row r="164">
      <c r="A164" s="20" t="inlineStr">
        <is>
          <t>법인세 납부·환급</t>
        </is>
      </c>
      <c r="D164" s="22" t="n">
        <v>-165</v>
      </c>
      <c r="F164" s="22" t="n">
        <v>44</v>
      </c>
      <c r="H164" s="22" t="n">
        <v>42</v>
      </c>
      <c r="J164" s="22" t="n">
        <v>-339</v>
      </c>
      <c r="L164" s="22" t="n">
        <v>-512</v>
      </c>
      <c r="N164" s="22" t="n">
        <v>-212</v>
      </c>
      <c r="O164" s="22" t="n">
        <v>-449</v>
      </c>
      <c r="P164" s="22" t="n">
        <v>-1353</v>
      </c>
      <c r="Q164" s="22" t="n">
        <v>-1186</v>
      </c>
      <c r="R164" s="22" t="n">
        <v>-289</v>
      </c>
      <c r="S164" s="22" t="n">
        <v>-57</v>
      </c>
      <c r="T164" s="22" t="n">
        <v>-62</v>
      </c>
      <c r="U164" s="22" t="n">
        <v>-13</v>
      </c>
      <c r="V164" s="22" t="n">
        <v>-165</v>
      </c>
      <c r="W164" s="22" t="n">
        <v>42</v>
      </c>
      <c r="X164" s="22" t="n">
        <v>-512</v>
      </c>
    </row>
    <row r="165">
      <c r="A165" s="9" t="inlineStr">
        <is>
          <t>영업활동 현금흐름</t>
        </is>
      </c>
      <c r="D165" s="12" t="n">
        <v>529</v>
      </c>
      <c r="F165" s="12" t="n">
        <v>3269</v>
      </c>
      <c r="H165" s="12" t="n">
        <v>5272</v>
      </c>
      <c r="J165" s="12" t="n">
        <v>584</v>
      </c>
      <c r="L165" s="12" t="n">
        <v>1559</v>
      </c>
      <c r="N165" s="12" t="n">
        <v>3288</v>
      </c>
      <c r="O165" s="12" t="n">
        <v>4477</v>
      </c>
      <c r="P165" s="12" t="n">
        <v>4932</v>
      </c>
      <c r="Q165" s="12" t="n">
        <v>265</v>
      </c>
      <c r="R165" s="12" t="n">
        <v>4895</v>
      </c>
      <c r="S165" s="12" t="n">
        <v>-3720</v>
      </c>
      <c r="T165" s="12" t="n">
        <v>-5229</v>
      </c>
      <c r="U165" s="12" t="n">
        <v>122</v>
      </c>
      <c r="V165" s="12" t="n">
        <v>529</v>
      </c>
      <c r="W165" s="12" t="n">
        <v>5272</v>
      </c>
      <c r="X165" s="12" t="n">
        <v>1559</v>
      </c>
    </row>
    <row r="166">
      <c r="A166" s="20" t="inlineStr">
        <is>
          <t>정기예금 예입</t>
        </is>
      </c>
      <c r="D166" s="22" t="n">
        <v>-426</v>
      </c>
      <c r="F166" s="22" t="n">
        <v>-153</v>
      </c>
      <c r="H166" s="22" t="n">
        <v>-620</v>
      </c>
      <c r="J166" s="22" t="n">
        <v>-144</v>
      </c>
      <c r="L166" s="22" t="n">
        <v>-609</v>
      </c>
      <c r="N166" s="22" t="n">
        <v>-483</v>
      </c>
      <c r="O166" s="22" t="n">
        <v>-113</v>
      </c>
      <c r="P166" s="22" t="n">
        <v>-447</v>
      </c>
      <c r="Q166" s="22" t="n">
        <v>-331</v>
      </c>
      <c r="R166" s="22" t="n">
        <v>-1338</v>
      </c>
      <c r="S166" s="22" t="n">
        <v>-463</v>
      </c>
      <c r="T166" s="22" t="n">
        <v>-538</v>
      </c>
      <c r="U166" s="22" t="n">
        <v>-386</v>
      </c>
      <c r="V166" s="22" t="n">
        <v>-426</v>
      </c>
      <c r="W166" s="22" t="n">
        <v>-620</v>
      </c>
      <c r="X166" s="22" t="n">
        <v>-609</v>
      </c>
    </row>
    <row r="167">
      <c r="A167" s="20" t="inlineStr">
        <is>
          <t>정기예금 인출</t>
        </is>
      </c>
      <c r="D167" s="22" t="n">
        <v>426</v>
      </c>
      <c r="F167" s="22" t="n">
        <v>153</v>
      </c>
      <c r="H167" s="22" t="n">
        <v>620</v>
      </c>
      <c r="J167" s="22" t="n">
        <v>144</v>
      </c>
      <c r="L167" s="22" t="n">
        <v>609</v>
      </c>
      <c r="N167" s="22" t="n">
        <v>483</v>
      </c>
      <c r="O167" s="22" t="n">
        <v>0</v>
      </c>
      <c r="P167" s="22" t="n">
        <v>218</v>
      </c>
      <c r="Q167" s="22" t="n">
        <v>220</v>
      </c>
      <c r="R167" s="22" t="n">
        <v>457</v>
      </c>
      <c r="S167" s="22" t="n">
        <v>1304</v>
      </c>
      <c r="T167" s="22" t="n">
        <v>338</v>
      </c>
      <c r="U167" s="22" t="n">
        <v>386</v>
      </c>
      <c r="V167" s="22" t="n">
        <v>426</v>
      </c>
      <c r="W167" s="22" t="n">
        <v>620</v>
      </c>
      <c r="X167" s="22" t="n">
        <v>609</v>
      </c>
    </row>
    <row r="168">
      <c r="A168" s="20" t="inlineStr">
        <is>
          <t>유형자산 취득(설비투자)</t>
        </is>
      </c>
      <c r="D168" s="22" t="n">
        <v>-120</v>
      </c>
      <c r="F168" s="22" t="n">
        <v>-51</v>
      </c>
      <c r="H168" s="22" t="n">
        <v>-116</v>
      </c>
      <c r="J168" s="22" t="n">
        <v>-19</v>
      </c>
      <c r="L168" s="22" t="n">
        <v>-91</v>
      </c>
      <c r="N168" s="22" t="n">
        <v>-86</v>
      </c>
      <c r="O168" s="22" t="n">
        <v>-1583</v>
      </c>
      <c r="P168" s="22" t="n">
        <v>-972</v>
      </c>
      <c r="Q168" s="22" t="n">
        <v>-4319</v>
      </c>
      <c r="R168" s="22" t="n">
        <v>-618</v>
      </c>
      <c r="S168" s="22" t="n">
        <v>-102</v>
      </c>
      <c r="T168" s="22" t="n">
        <v>-21</v>
      </c>
      <c r="U168" s="22" t="n">
        <v>-58</v>
      </c>
      <c r="V168" s="22" t="n">
        <v>-120</v>
      </c>
      <c r="W168" s="22" t="n">
        <v>-116</v>
      </c>
      <c r="X168" s="22" t="n">
        <v>-91</v>
      </c>
    </row>
    <row r="169">
      <c r="A169" s="20" t="inlineStr">
        <is>
          <t>무형자산 취득</t>
        </is>
      </c>
      <c r="D169" s="22" t="n">
        <v>-235</v>
      </c>
      <c r="F169" s="22" t="n">
        <v>-91</v>
      </c>
      <c r="H169" s="22" t="n">
        <v>-322</v>
      </c>
      <c r="J169" s="22" t="n">
        <v>-259</v>
      </c>
      <c r="L169" s="22" t="n">
        <v>-553</v>
      </c>
      <c r="N169" s="22" t="n">
        <v>-159</v>
      </c>
      <c r="O169" s="22" t="n">
        <v>-179</v>
      </c>
      <c r="P169" s="22" t="n">
        <v>-232</v>
      </c>
      <c r="Q169" s="22" t="n">
        <v>-415</v>
      </c>
      <c r="R169" s="22" t="n">
        <v>-188</v>
      </c>
      <c r="S169" s="22" t="n">
        <v>-305</v>
      </c>
      <c r="T169" s="22" t="n">
        <v>-23</v>
      </c>
      <c r="U169" s="22" t="n">
        <v>-138</v>
      </c>
      <c r="V169" s="22" t="n">
        <v>-235</v>
      </c>
      <c r="W169" s="22" t="n">
        <v>-322</v>
      </c>
      <c r="X169" s="22" t="n">
        <v>-553</v>
      </c>
    </row>
    <row r="170">
      <c r="A170" s="20" t="inlineStr">
        <is>
          <t>유형자산 매각</t>
        </is>
      </c>
      <c r="S170" s="22" t="n">
        <v>0</v>
      </c>
      <c r="T170" s="22" t="n">
        <v>1264</v>
      </c>
      <c r="U170" s="22" t="n">
        <v>0</v>
      </c>
    </row>
    <row r="171">
      <c r="A171" s="20" t="inlineStr">
        <is>
          <t>보증금 납입</t>
        </is>
      </c>
      <c r="D171" s="22" t="n">
        <v>-94</v>
      </c>
      <c r="F171" s="22" t="n">
        <v>-22</v>
      </c>
      <c r="H171" s="22" t="n">
        <v>-31</v>
      </c>
      <c r="J171" s="22" t="n">
        <v>-202</v>
      </c>
      <c r="L171" s="22" t="n">
        <v>-1249</v>
      </c>
      <c r="N171" s="22" t="n">
        <v>-912</v>
      </c>
      <c r="O171" s="22" t="n">
        <v>-21</v>
      </c>
      <c r="P171" s="22" t="n">
        <v>-10</v>
      </c>
      <c r="Q171" s="22" t="n">
        <v>-42</v>
      </c>
      <c r="R171" s="22" t="n">
        <v>-188</v>
      </c>
      <c r="S171" s="22" t="n">
        <v>-155</v>
      </c>
      <c r="T171" s="22" t="n">
        <v>-35</v>
      </c>
      <c r="U171" s="22" t="n">
        <v>-0</v>
      </c>
      <c r="V171" s="22" t="n">
        <v>-94</v>
      </c>
      <c r="W171" s="22" t="n">
        <v>-31</v>
      </c>
      <c r="X171" s="22" t="n">
        <v>-1249</v>
      </c>
    </row>
    <row r="172">
      <c r="A172" s="20" t="inlineStr">
        <is>
          <t>Proceeds From Restoration Of Guarantee Deposits Inv CF</t>
        </is>
      </c>
      <c r="D172" s="22" t="n">
        <v>181</v>
      </c>
      <c r="F172" s="22" t="n">
        <v>0</v>
      </c>
      <c r="H172" s="22" t="n">
        <v>42</v>
      </c>
      <c r="J172" s="22" t="n">
        <v>198</v>
      </c>
      <c r="L172" s="22" t="n">
        <v>385</v>
      </c>
      <c r="N172" s="22" t="n">
        <v>152</v>
      </c>
      <c r="O172" s="22" t="n">
        <v>1</v>
      </c>
      <c r="P172" s="22" t="n">
        <v>5</v>
      </c>
      <c r="Q172" s="22" t="n">
        <v>36</v>
      </c>
      <c r="R172" s="22" t="n">
        <v>38</v>
      </c>
      <c r="S172" s="22" t="n">
        <v>238</v>
      </c>
      <c r="T172" s="22" t="n">
        <v>84</v>
      </c>
      <c r="U172" s="22" t="n">
        <v>37</v>
      </c>
      <c r="V172" s="22" t="n">
        <v>181</v>
      </c>
      <c r="W172" s="22" t="n">
        <v>42</v>
      </c>
      <c r="X172" s="22" t="n">
        <v>385</v>
      </c>
    </row>
    <row r="173">
      <c r="A173" s="20" t="inlineStr">
        <is>
          <t>기타</t>
        </is>
      </c>
      <c r="J173" s="22" t="n">
        <v>0</v>
      </c>
      <c r="N173" s="22" t="n">
        <v>-18</v>
      </c>
      <c r="O173" s="22" t="n">
        <v>-11</v>
      </c>
      <c r="P173" s="22" t="n">
        <v>-0</v>
      </c>
      <c r="Q173" s="22" t="n">
        <v>6</v>
      </c>
      <c r="R173" s="22" t="n">
        <v>-77</v>
      </c>
      <c r="S173" s="22" t="n">
        <v>4</v>
      </c>
      <c r="T173" s="22" t="n">
        <v>7</v>
      </c>
      <c r="U173" s="22" t="n">
        <v>0</v>
      </c>
    </row>
    <row r="174">
      <c r="A174" s="9" t="inlineStr">
        <is>
          <t>투자활동 현금흐름</t>
        </is>
      </c>
      <c r="D174" s="12" t="n">
        <v>-267</v>
      </c>
      <c r="F174" s="12" t="n">
        <v>-165</v>
      </c>
      <c r="H174" s="12" t="n">
        <v>-427</v>
      </c>
      <c r="J174" s="12" t="n">
        <v>-281</v>
      </c>
      <c r="L174" s="12" t="n">
        <v>-1509</v>
      </c>
      <c r="N174" s="12" t="n">
        <v>-1023</v>
      </c>
      <c r="O174" s="12" t="n">
        <v>-1907</v>
      </c>
      <c r="P174" s="12" t="n">
        <v>-1438</v>
      </c>
      <c r="Q174" s="12" t="n">
        <v>-4845</v>
      </c>
      <c r="R174" s="12" t="n">
        <v>-1915</v>
      </c>
      <c r="S174" s="12" t="n">
        <v>520</v>
      </c>
      <c r="T174" s="12" t="n">
        <v>1075</v>
      </c>
      <c r="U174" s="12" t="n">
        <v>-159</v>
      </c>
      <c r="V174" s="12" t="n">
        <v>-267</v>
      </c>
      <c r="W174" s="12" t="n">
        <v>-427</v>
      </c>
      <c r="X174" s="12" t="n">
        <v>-1509</v>
      </c>
    </row>
    <row r="175">
      <c r="A175" s="20" t="inlineStr">
        <is>
          <t>단기차입금 순증감</t>
        </is>
      </c>
      <c r="D175" s="22" t="n">
        <v>800</v>
      </c>
      <c r="F175" s="22" t="n">
        <v>-800</v>
      </c>
      <c r="H175" s="22" t="n">
        <v>-800</v>
      </c>
      <c r="J175" s="22" t="n">
        <v>0</v>
      </c>
      <c r="L175" s="22" t="n">
        <v>0</v>
      </c>
      <c r="P175" s="22" t="n">
        <v>0</v>
      </c>
      <c r="Q175" s="22" t="n">
        <v>350</v>
      </c>
      <c r="R175" s="22" t="n">
        <v>-350</v>
      </c>
      <c r="S175" s="22" t="n">
        <v>2000</v>
      </c>
      <c r="T175" s="22" t="n">
        <v>-2000</v>
      </c>
      <c r="U175" s="22" t="n">
        <v>0</v>
      </c>
      <c r="V175" s="22" t="n">
        <v>800</v>
      </c>
      <c r="W175" s="22" t="n">
        <v>-800</v>
      </c>
      <c r="X175" s="22" t="n">
        <v>0</v>
      </c>
    </row>
    <row r="176">
      <c r="A176" s="20" t="inlineStr">
        <is>
          <t>장기차입</t>
        </is>
      </c>
      <c r="D176" s="22" t="n">
        <v>2900</v>
      </c>
      <c r="F176" s="22" t="n">
        <v>0</v>
      </c>
      <c r="H176" s="22" t="n">
        <v>0</v>
      </c>
      <c r="O176" s="22" t="n">
        <v>0</v>
      </c>
      <c r="P176" s="22" t="n">
        <v>350</v>
      </c>
      <c r="Q176" s="22" t="n">
        <v>3800</v>
      </c>
      <c r="R176" s="22" t="n">
        <v>3100</v>
      </c>
      <c r="S176" s="22" t="n">
        <v>1000</v>
      </c>
      <c r="T176" s="22" t="n">
        <v>0</v>
      </c>
      <c r="U176" s="22" t="n">
        <v>300</v>
      </c>
      <c r="V176" s="22" t="n">
        <v>2900</v>
      </c>
      <c r="W176" s="22" t="n">
        <v>0</v>
      </c>
    </row>
    <row r="177">
      <c r="A177" s="20" t="inlineStr">
        <is>
          <t>장기차입금 상환</t>
        </is>
      </c>
      <c r="D177" s="22" t="n">
        <v>-1436</v>
      </c>
      <c r="F177" s="22" t="n">
        <v>-930</v>
      </c>
      <c r="H177" s="22" t="n">
        <v>-1802</v>
      </c>
      <c r="J177" s="22" t="n">
        <v>-425</v>
      </c>
      <c r="L177" s="22" t="n">
        <v>-850</v>
      </c>
      <c r="N177" s="22" t="n">
        <v>-346</v>
      </c>
      <c r="O177" s="22" t="n">
        <v>-736</v>
      </c>
      <c r="P177" s="22" t="n">
        <v>-565</v>
      </c>
      <c r="Q177" s="22" t="n">
        <v>-609</v>
      </c>
      <c r="R177" s="22" t="n">
        <v>-770</v>
      </c>
      <c r="S177" s="22" t="n">
        <v>-1270</v>
      </c>
      <c r="T177" s="22" t="n">
        <v>-1512</v>
      </c>
      <c r="U177" s="22" t="n">
        <v>-1512</v>
      </c>
      <c r="V177" s="22" t="n">
        <v>-1436</v>
      </c>
      <c r="W177" s="22" t="n">
        <v>-1802</v>
      </c>
      <c r="X177" s="22" t="n">
        <v>-850</v>
      </c>
    </row>
    <row r="178">
      <c r="A178" s="20" t="inlineStr">
        <is>
          <t>주식 발행</t>
        </is>
      </c>
      <c r="R178" s="22" t="n">
        <v>0</v>
      </c>
      <c r="S178" s="22" t="n">
        <v>8000</v>
      </c>
      <c r="T178" s="22" t="n">
        <v>0</v>
      </c>
    </row>
    <row r="179">
      <c r="A179" s="20" t="inlineStr">
        <is>
          <t>신주예약권 발행</t>
        </is>
      </c>
      <c r="R179" s="22" t="n">
        <v>0</v>
      </c>
      <c r="S179" s="22" t="n">
        <v>22</v>
      </c>
      <c r="T179" s="22" t="n">
        <v>0</v>
      </c>
    </row>
    <row r="180">
      <c r="A180" s="20" t="inlineStr">
        <is>
          <t>신주예약권 행사에 따른 주식 발행</t>
        </is>
      </c>
      <c r="D180" s="22" t="n">
        <v>0</v>
      </c>
      <c r="F180" s="22" t="n">
        <v>0</v>
      </c>
      <c r="H180" s="22" t="n">
        <v>0</v>
      </c>
      <c r="J180" s="22" t="n">
        <v>356</v>
      </c>
      <c r="L180" s="22" t="n">
        <v>356</v>
      </c>
      <c r="N180" s="22" t="n">
        <v>0</v>
      </c>
      <c r="S180" s="22" t="n">
        <v>0</v>
      </c>
      <c r="T180" s="22" t="n">
        <v>283</v>
      </c>
      <c r="U180" s="22" t="n">
        <v>991</v>
      </c>
      <c r="V180" s="22" t="n">
        <v>0</v>
      </c>
      <c r="W180" s="22" t="n">
        <v>0</v>
      </c>
      <c r="X180" s="22" t="n">
        <v>356</v>
      </c>
    </row>
    <row r="181">
      <c r="A181" s="20" t="inlineStr">
        <is>
          <t>리스부채 상환</t>
        </is>
      </c>
      <c r="D181" s="22" t="n">
        <v>-95</v>
      </c>
      <c r="F181" s="22" t="n">
        <v>-23</v>
      </c>
      <c r="H181" s="22" t="n">
        <v>-46</v>
      </c>
      <c r="J181" s="22" t="n">
        <v>-169</v>
      </c>
      <c r="L181" s="22" t="n">
        <v>-504</v>
      </c>
      <c r="N181" s="22" t="n">
        <v>-351</v>
      </c>
      <c r="O181" s="22" t="n">
        <v>-796</v>
      </c>
      <c r="P181" s="22" t="n">
        <v>-765</v>
      </c>
      <c r="Q181" s="22" t="n">
        <v>-756</v>
      </c>
      <c r="R181" s="22" t="n">
        <v>-719</v>
      </c>
      <c r="S181" s="22" t="n">
        <v>-686</v>
      </c>
      <c r="T181" s="22" t="n">
        <v>-2474</v>
      </c>
      <c r="U181" s="22" t="n">
        <v>-134</v>
      </c>
      <c r="V181" s="22" t="n">
        <v>-95</v>
      </c>
      <c r="W181" s="22" t="n">
        <v>-46</v>
      </c>
      <c r="X181" s="22" t="n">
        <v>-504</v>
      </c>
    </row>
    <row r="182">
      <c r="A182" s="20" t="inlineStr">
        <is>
          <t>기타</t>
        </is>
      </c>
      <c r="D182" s="22" t="n">
        <v>-0</v>
      </c>
      <c r="F182" s="22" t="n">
        <v>0</v>
      </c>
      <c r="H182" s="22" t="n">
        <v>-0</v>
      </c>
      <c r="L182" s="22" t="n">
        <v>0</v>
      </c>
      <c r="O182" s="22" t="n">
        <v>0</v>
      </c>
      <c r="P182" s="22" t="n">
        <v>-0</v>
      </c>
      <c r="Q182" s="22" t="n">
        <v>-0</v>
      </c>
      <c r="R182" s="22" t="n">
        <v>-0</v>
      </c>
      <c r="S182" s="22" t="n">
        <v>-29</v>
      </c>
      <c r="T182" s="22" t="n">
        <v>0</v>
      </c>
      <c r="U182" s="22" t="n">
        <v>0</v>
      </c>
      <c r="V182" s="22" t="n">
        <v>-0</v>
      </c>
      <c r="W182" s="22" t="n">
        <v>-0</v>
      </c>
      <c r="X182" s="22" t="n">
        <v>0</v>
      </c>
    </row>
    <row r="183">
      <c r="A183" s="20" t="inlineStr">
        <is>
          <t>배당금 지급</t>
        </is>
      </c>
      <c r="J183" s="22" t="n">
        <v>0</v>
      </c>
      <c r="N183" s="22" t="n">
        <v>-1637</v>
      </c>
      <c r="O183" s="22" t="n">
        <v>-57</v>
      </c>
      <c r="P183" s="22" t="n">
        <v>-57</v>
      </c>
      <c r="Q183" s="22" t="n">
        <v>-57</v>
      </c>
      <c r="R183" s="22" t="n">
        <v>-28</v>
      </c>
      <c r="S183" s="22" t="n">
        <v>0</v>
      </c>
      <c r="T183" s="22" t="n">
        <v>-18</v>
      </c>
      <c r="U183" s="22" t="n">
        <v>0</v>
      </c>
    </row>
    <row r="184">
      <c r="A184" s="9" t="inlineStr">
        <is>
          <t>재무활동 현금흐름</t>
        </is>
      </c>
      <c r="D184" s="12" t="n">
        <v>2168</v>
      </c>
      <c r="F184" s="12" t="n">
        <v>-1753</v>
      </c>
      <c r="H184" s="12" t="n">
        <v>-2648</v>
      </c>
      <c r="J184" s="12" t="n">
        <v>-238</v>
      </c>
      <c r="L184" s="12" t="n">
        <v>-998</v>
      </c>
      <c r="N184" s="12" t="n">
        <v>-2335</v>
      </c>
      <c r="O184" s="12" t="n">
        <v>-1589</v>
      </c>
      <c r="P184" s="12" t="n">
        <v>-1038</v>
      </c>
      <c r="Q184" s="12" t="n">
        <v>2726</v>
      </c>
      <c r="R184" s="12" t="n">
        <v>1231</v>
      </c>
      <c r="S184" s="12" t="n">
        <v>9035</v>
      </c>
      <c r="T184" s="12" t="n">
        <v>-5722</v>
      </c>
      <c r="U184" s="12" t="n">
        <v>-356</v>
      </c>
      <c r="V184" s="12" t="n">
        <v>2168</v>
      </c>
      <c r="W184" s="12" t="n">
        <v>-2648</v>
      </c>
      <c r="X184" s="12" t="n">
        <v>-998</v>
      </c>
    </row>
    <row r="185">
      <c r="A185" s="20" t="inlineStr">
        <is>
          <t>현금성자산 환산차이</t>
        </is>
      </c>
      <c r="D185" s="22" t="n">
        <v>34</v>
      </c>
      <c r="F185" s="22" t="n">
        <v>-56</v>
      </c>
      <c r="H185" s="22" t="n">
        <v>-34</v>
      </c>
      <c r="J185" s="22" t="n">
        <v>-3</v>
      </c>
      <c r="L185" s="22" t="n">
        <v>155</v>
      </c>
      <c r="N185" s="22" t="n">
        <v>-39</v>
      </c>
      <c r="O185" s="22" t="n">
        <v>7</v>
      </c>
      <c r="P185" s="22" t="n">
        <v>-44</v>
      </c>
      <c r="Q185" s="22" t="n">
        <v>40</v>
      </c>
      <c r="R185" s="22" t="n">
        <v>-23</v>
      </c>
      <c r="S185" s="22" t="n">
        <v>30</v>
      </c>
      <c r="T185" s="22" t="n">
        <v>14</v>
      </c>
      <c r="U185" s="22" t="n">
        <v>58</v>
      </c>
      <c r="V185" s="22" t="n">
        <v>34</v>
      </c>
      <c r="W185" s="22" t="n">
        <v>-34</v>
      </c>
      <c r="X185" s="22" t="n">
        <v>155</v>
      </c>
    </row>
    <row r="186">
      <c r="A186" s="20" t="inlineStr">
        <is>
          <t>현금성자산 증감</t>
        </is>
      </c>
      <c r="D186" s="22" t="n">
        <v>2463</v>
      </c>
      <c r="F186" s="22" t="n">
        <v>1293</v>
      </c>
      <c r="H186" s="22" t="n">
        <v>2161</v>
      </c>
      <c r="J186" s="22" t="n">
        <v>61</v>
      </c>
      <c r="L186" s="22" t="n">
        <v>-793</v>
      </c>
      <c r="N186" s="22" t="n">
        <v>-110</v>
      </c>
      <c r="O186" s="22" t="n">
        <v>988</v>
      </c>
      <c r="P186" s="22" t="n">
        <v>2411</v>
      </c>
      <c r="Q186" s="22" t="n">
        <v>-1813</v>
      </c>
      <c r="R186" s="22" t="n">
        <v>4188</v>
      </c>
      <c r="S186" s="22" t="n">
        <v>5867</v>
      </c>
      <c r="T186" s="22" t="n">
        <v>-9861</v>
      </c>
      <c r="U186" s="22" t="n">
        <v>-334</v>
      </c>
      <c r="V186" s="22" t="n">
        <v>2463</v>
      </c>
      <c r="W186" s="22" t="n">
        <v>2161</v>
      </c>
      <c r="X186" s="22" t="n">
        <v>-793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9206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17479</v>
      </c>
      <c r="D5" s="12" t="n">
        <v>18375</v>
      </c>
      <c r="E5" s="12" t="n">
        <v>20568</v>
      </c>
      <c r="F5" s="12" t="n">
        <v>16768</v>
      </c>
      <c r="G5" s="12" t="n">
        <v>19253</v>
      </c>
      <c r="H5" s="11" t="n">
        <v>11414</v>
      </c>
      <c r="I5" s="12" t="n">
        <v>12638</v>
      </c>
      <c r="J5" s="12" t="n">
        <v>15406</v>
      </c>
      <c r="K5" s="12" t="n">
        <v>16326</v>
      </c>
      <c r="L5" s="12" t="n">
        <v>20568</v>
      </c>
    </row>
    <row r="6">
      <c r="A6" s="20" t="inlineStr">
        <is>
          <t>현금및현금성자산</t>
        </is>
      </c>
      <c r="B6" s="10" t="n"/>
      <c r="C6" s="21" t="n">
        <v>10869</v>
      </c>
      <c r="D6" s="22" t="n">
        <v>10270</v>
      </c>
      <c r="E6" s="22" t="n">
        <v>10048</v>
      </c>
      <c r="F6" s="22" t="n">
        <v>10500</v>
      </c>
      <c r="G6" s="22" t="n">
        <v>9930</v>
      </c>
      <c r="H6" s="21" t="n">
        <v>6438</v>
      </c>
      <c r="I6" s="22" t="n">
        <v>6137</v>
      </c>
      <c r="J6" s="22" t="n">
        <v>8654</v>
      </c>
      <c r="K6" s="22" t="n">
        <v>10810</v>
      </c>
      <c r="L6" s="22" t="n">
        <v>10048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/>
      <c r="D8" s="22" t="n"/>
      <c r="E8" s="22" t="n"/>
      <c r="F8" s="22" t="n"/>
      <c r="G8" s="22" t="n"/>
      <c r="H8" s="21" t="n"/>
      <c r="I8" s="22" t="n"/>
      <c r="J8" s="22" t="n"/>
      <c r="K8" s="22" t="n"/>
      <c r="L8" s="22" t="n"/>
    </row>
    <row r="9">
      <c r="A9" s="20" t="inlineStr">
        <is>
          <t>재고자산</t>
        </is>
      </c>
      <c r="B9" s="10" t="n"/>
      <c r="C9" s="21" t="n">
        <v>883</v>
      </c>
      <c r="D9" s="22" t="n">
        <v>903</v>
      </c>
      <c r="E9" s="22" t="n">
        <v>893</v>
      </c>
      <c r="F9" s="22" t="n">
        <v>912</v>
      </c>
      <c r="G9" s="22" t="n">
        <v>900</v>
      </c>
      <c r="H9" s="21" t="n">
        <v>632</v>
      </c>
      <c r="I9" s="22" t="n">
        <v>579</v>
      </c>
      <c r="J9" s="22" t="n">
        <v>622</v>
      </c>
      <c r="K9" s="22" t="n">
        <v>689</v>
      </c>
      <c r="L9" s="22" t="n">
        <v>893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16456</v>
      </c>
      <c r="D11" s="12" t="n">
        <v>16149</v>
      </c>
      <c r="E11" s="12" t="n">
        <v>16327</v>
      </c>
      <c r="F11" s="12" t="n">
        <v>17247</v>
      </c>
      <c r="G11" s="12" t="n">
        <v>17139</v>
      </c>
      <c r="H11" s="11" t="n">
        <v>8674</v>
      </c>
      <c r="I11" s="12" t="n">
        <v>8732</v>
      </c>
      <c r="J11" s="12" t="n">
        <v>8147</v>
      </c>
      <c r="K11" s="12" t="n">
        <v>8205</v>
      </c>
      <c r="L11" s="12" t="n">
        <v>16327</v>
      </c>
    </row>
    <row r="12">
      <c r="A12" s="20" t="inlineStr">
        <is>
          <t>유형자산</t>
        </is>
      </c>
      <c r="B12" s="10" t="n"/>
      <c r="C12" s="21" t="n">
        <v>13180</v>
      </c>
      <c r="D12" s="22" t="n">
        <v>12938</v>
      </c>
      <c r="E12" s="22" t="n">
        <v>12680</v>
      </c>
      <c r="F12" s="22" t="n">
        <v>12396</v>
      </c>
      <c r="G12" s="22" t="n">
        <v>12137</v>
      </c>
      <c r="H12" s="21" t="n">
        <v>6939</v>
      </c>
      <c r="I12" s="22" t="n">
        <v>6379</v>
      </c>
      <c r="J12" s="22" t="n">
        <v>5904</v>
      </c>
      <c r="K12" s="22" t="n">
        <v>5452</v>
      </c>
      <c r="L12" s="22" t="n">
        <v>12680</v>
      </c>
    </row>
    <row r="13">
      <c r="A13" s="20" t="inlineStr">
        <is>
          <t>무형자산</t>
        </is>
      </c>
      <c r="B13" s="10" t="n"/>
      <c r="C13" s="21" t="n">
        <v>874</v>
      </c>
      <c r="D13" s="22" t="n">
        <v>961</v>
      </c>
      <c r="E13" s="22" t="n">
        <v>1100</v>
      </c>
      <c r="F13" s="22" t="n">
        <v>1116</v>
      </c>
      <c r="G13" s="22" t="n">
        <v>1063</v>
      </c>
      <c r="H13" s="21" t="n">
        <v>477</v>
      </c>
      <c r="I13" s="22" t="n">
        <v>459</v>
      </c>
      <c r="J13" s="22" t="n">
        <v>467</v>
      </c>
      <c r="K13" s="22" t="n">
        <v>751</v>
      </c>
      <c r="L13" s="22" t="n">
        <v>1100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33935</v>
      </c>
      <c r="D16" s="12" t="n">
        <v>34525</v>
      </c>
      <c r="E16" s="12" t="n">
        <v>36896</v>
      </c>
      <c r="F16" s="12" t="n">
        <v>34016</v>
      </c>
      <c r="G16" s="12" t="n">
        <v>36392</v>
      </c>
      <c r="H16" s="11" t="n">
        <v>20089</v>
      </c>
      <c r="I16" s="12" t="n">
        <v>21370</v>
      </c>
      <c r="J16" s="12" t="n">
        <v>23553</v>
      </c>
      <c r="K16" s="12" t="n">
        <v>24531</v>
      </c>
      <c r="L16" s="12" t="n">
        <v>36896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7474</v>
      </c>
      <c r="D18" s="12" t="n">
        <v>7505</v>
      </c>
      <c r="E18" s="12" t="n">
        <v>6570</v>
      </c>
      <c r="F18" s="12" t="n">
        <v>7569</v>
      </c>
      <c r="G18" s="12" t="n">
        <v>8294</v>
      </c>
      <c r="H18" s="11" t="n">
        <v>4681</v>
      </c>
      <c r="I18" s="12" t="n">
        <v>5659</v>
      </c>
      <c r="J18" s="12" t="n">
        <v>6925</v>
      </c>
      <c r="K18" s="12" t="n">
        <v>7662</v>
      </c>
      <c r="L18" s="12" t="n">
        <v>6570</v>
      </c>
    </row>
    <row r="19">
      <c r="A19" s="20" t="inlineStr">
        <is>
          <t>매입채무</t>
        </is>
      </c>
      <c r="B19" s="10" t="n"/>
      <c r="C19" s="21" t="n"/>
      <c r="D19" s="22" t="n"/>
      <c r="E19" s="22" t="n"/>
      <c r="F19" s="22" t="n"/>
      <c r="G19" s="22" t="n"/>
      <c r="H19" s="21" t="n"/>
      <c r="I19" s="22" t="n"/>
      <c r="J19" s="22" t="n"/>
      <c r="K19" s="22" t="n"/>
      <c r="L19" s="22" t="n"/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>
        <v>0</v>
      </c>
      <c r="I20" s="22" t="n">
        <v>0</v>
      </c>
      <c r="J20" s="22" t="n">
        <v>800</v>
      </c>
      <c r="K20" s="22" t="n">
        <v>0</v>
      </c>
      <c r="L20" s="22" t="n"/>
    </row>
    <row r="21">
      <c r="A21" s="20" t="inlineStr">
        <is>
          <t>유동성장기부채</t>
        </is>
      </c>
      <c r="B21" s="10" t="n"/>
      <c r="C21" s="21" t="n">
        <v>771</v>
      </c>
      <c r="D21" s="22" t="n">
        <v>729</v>
      </c>
      <c r="E21" s="22" t="n">
        <v>613</v>
      </c>
      <c r="F21" s="22" t="n">
        <v>534</v>
      </c>
      <c r="G21" s="22" t="n">
        <v>534</v>
      </c>
      <c r="H21" s="21" t="n">
        <v>1512</v>
      </c>
      <c r="I21" s="22" t="n">
        <v>1211</v>
      </c>
      <c r="J21" s="22" t="n">
        <v>1802</v>
      </c>
      <c r="K21" s="22" t="n">
        <v>850</v>
      </c>
      <c r="L21" s="22" t="n">
        <v>613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21952</v>
      </c>
      <c r="D23" s="12" t="n">
        <v>22287</v>
      </c>
      <c r="E23" s="12" t="n">
        <v>23103</v>
      </c>
      <c r="F23" s="12" t="n">
        <v>22820</v>
      </c>
      <c r="G23" s="12" t="n">
        <v>22322</v>
      </c>
      <c r="H23" s="11" t="n">
        <v>14051</v>
      </c>
      <c r="I23" s="12" t="n">
        <v>13951</v>
      </c>
      <c r="J23" s="12" t="n">
        <v>13407</v>
      </c>
      <c r="K23" s="12" t="n">
        <v>12575</v>
      </c>
      <c r="L23" s="12" t="n">
        <v>23103</v>
      </c>
    </row>
    <row r="24">
      <c r="A24" s="20" t="inlineStr">
        <is>
          <t>장기차입금</t>
        </is>
      </c>
      <c r="B24" s="10" t="n"/>
      <c r="C24" s="21" t="n">
        <v>1409</v>
      </c>
      <c r="D24" s="22" t="n">
        <v>1288</v>
      </c>
      <c r="E24" s="22" t="n">
        <v>1141</v>
      </c>
      <c r="F24" s="22" t="n">
        <v>1008</v>
      </c>
      <c r="G24" s="22" t="n">
        <v>874</v>
      </c>
      <c r="H24" s="21" t="n">
        <v>2644</v>
      </c>
      <c r="I24" s="22" t="n">
        <v>1733</v>
      </c>
      <c r="J24" s="22" t="n">
        <v>2606</v>
      </c>
      <c r="K24" s="22" t="n">
        <v>1755</v>
      </c>
      <c r="L24" s="22" t="n">
        <v>1141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29426</v>
      </c>
      <c r="D27" s="12" t="n">
        <v>29793</v>
      </c>
      <c r="E27" s="12" t="n">
        <v>29673</v>
      </c>
      <c r="F27" s="12" t="n">
        <v>30389</v>
      </c>
      <c r="G27" s="12" t="n">
        <v>30617</v>
      </c>
      <c r="H27" s="11" t="n">
        <v>18732</v>
      </c>
      <c r="I27" s="12" t="n">
        <v>19610</v>
      </c>
      <c r="J27" s="12" t="n">
        <v>20333</v>
      </c>
      <c r="K27" s="12" t="n">
        <v>20238</v>
      </c>
      <c r="L27" s="12" t="n">
        <v>29673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4499</v>
      </c>
      <c r="D31" s="12" t="n">
        <v>4722</v>
      </c>
      <c r="E31" s="12" t="n">
        <v>7222</v>
      </c>
      <c r="F31" s="12" t="n">
        <v>3626</v>
      </c>
      <c r="G31" s="12" t="n">
        <v>5775</v>
      </c>
      <c r="H31" s="11" t="n">
        <v>1337</v>
      </c>
      <c r="I31" s="12" t="n">
        <v>1746</v>
      </c>
      <c r="J31" s="12" t="n">
        <v>3206</v>
      </c>
      <c r="K31" s="12" t="n">
        <v>4280</v>
      </c>
      <c r="L31" s="12" t="n">
        <v>7222</v>
      </c>
    </row>
    <row r="32">
      <c r="A32" s="20" t="inlineStr">
        <is>
          <t>자본금</t>
        </is>
      </c>
      <c r="B32" s="10" t="n"/>
      <c r="C32" s="21" t="n">
        <v>2079</v>
      </c>
      <c r="D32" s="22" t="n">
        <v>2079</v>
      </c>
      <c r="E32" s="22" t="n">
        <v>2079</v>
      </c>
      <c r="F32" s="22" t="n">
        <v>2079</v>
      </c>
      <c r="G32" s="22" t="n">
        <v>2083</v>
      </c>
      <c r="H32" s="21" t="n">
        <v>1393</v>
      </c>
      <c r="I32" s="22" t="n">
        <v>1892</v>
      </c>
      <c r="J32" s="22" t="n">
        <v>1892</v>
      </c>
      <c r="K32" s="22" t="n">
        <v>1895</v>
      </c>
      <c r="L32" s="22" t="n">
        <v>2079</v>
      </c>
    </row>
    <row r="33">
      <c r="A33" s="20" t="inlineStr">
        <is>
          <t>이익잉여금</t>
        </is>
      </c>
      <c r="B33" s="10" t="n"/>
      <c r="C33" s="21" t="n">
        <v>-100</v>
      </c>
      <c r="D33" s="22" t="n">
        <v>-90</v>
      </c>
      <c r="E33" s="22" t="n">
        <v>434</v>
      </c>
      <c r="F33" s="22" t="n">
        <v>-774</v>
      </c>
      <c r="G33" s="22" t="n">
        <v>673</v>
      </c>
      <c r="H33" s="21" t="n">
        <v>-5583</v>
      </c>
      <c r="I33" s="22" t="n">
        <v>-5510</v>
      </c>
      <c r="J33" s="22" t="n">
        <v>-4598</v>
      </c>
      <c r="K33" s="22" t="n">
        <v>-2674</v>
      </c>
      <c r="L33" s="22" t="n">
        <v>434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4509</v>
      </c>
      <c r="D35" s="12" t="n">
        <v>4732</v>
      </c>
      <c r="E35" s="12" t="n">
        <v>7222</v>
      </c>
      <c r="F35" s="12" t="n">
        <v>3626</v>
      </c>
      <c r="G35" s="12" t="n">
        <v>5775</v>
      </c>
      <c r="H35" s="11" t="n">
        <v>1357</v>
      </c>
      <c r="I35" s="12" t="n">
        <v>1759</v>
      </c>
      <c r="J35" s="12" t="n">
        <v>3219</v>
      </c>
      <c r="K35" s="12" t="n">
        <v>4293</v>
      </c>
      <c r="L35" s="12" t="n">
        <v>7222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2587</v>
      </c>
      <c r="D37" s="12" t="n"/>
      <c r="E37" s="12" t="n">
        <v>1559</v>
      </c>
      <c r="F37" s="12" t="n"/>
      <c r="G37" s="12" t="n">
        <v>4263</v>
      </c>
      <c r="H37" s="11" t="n">
        <v>-5229</v>
      </c>
      <c r="I37" s="12" t="n">
        <v>122</v>
      </c>
      <c r="J37" s="12" t="n">
        <v>529</v>
      </c>
      <c r="K37" s="12" t="n">
        <v>5272</v>
      </c>
      <c r="L37" s="12" t="n">
        <v>1559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574</v>
      </c>
      <c r="D38" s="22" t="n"/>
      <c r="E38" s="22" t="n">
        <v>644</v>
      </c>
      <c r="F38" s="22" t="n"/>
      <c r="G38" s="22" t="n">
        <v>611</v>
      </c>
      <c r="H38" s="21" t="n">
        <v>44</v>
      </c>
      <c r="I38" s="22" t="n">
        <v>196</v>
      </c>
      <c r="J38" s="22" t="n">
        <v>355</v>
      </c>
      <c r="K38" s="22" t="n">
        <v>438</v>
      </c>
      <c r="L38" s="22" t="n">
        <v>644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>
        <v>18</v>
      </c>
      <c r="I40" s="22" t="n">
        <v>0</v>
      </c>
      <c r="J40" s="22" t="n"/>
      <c r="K40" s="22" t="n"/>
      <c r="L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10869</v>
      </c>
      <c r="D71" s="22" t="n">
        <v>10270</v>
      </c>
      <c r="E71" s="22" t="n">
        <v>10048</v>
      </c>
      <c r="F71" s="22" t="n">
        <v>10500</v>
      </c>
      <c r="G71" s="22" t="n">
        <v>9930</v>
      </c>
      <c r="H71" s="22" t="n">
        <v>6438</v>
      </c>
      <c r="I71" s="22" t="n">
        <v>6137</v>
      </c>
      <c r="J71" s="22" t="n">
        <v>8654</v>
      </c>
      <c r="K71" s="22" t="n">
        <v>10810</v>
      </c>
      <c r="L71" s="22" t="n">
        <v>10048</v>
      </c>
    </row>
    <row r="72">
      <c r="A72" s="20" t="inlineStr">
        <is>
          <t>영업미수금</t>
        </is>
      </c>
      <c r="C72" s="22" t="n">
        <v>1728</v>
      </c>
      <c r="D72" s="22" t="n">
        <v>2074</v>
      </c>
      <c r="E72" s="22" t="n">
        <v>2449</v>
      </c>
      <c r="F72" s="22" t="n">
        <v>1572</v>
      </c>
      <c r="G72" s="22" t="n">
        <v>2131</v>
      </c>
      <c r="H72" s="22" t="n">
        <v>1196</v>
      </c>
      <c r="I72" s="22" t="n">
        <v>1919</v>
      </c>
      <c r="J72" s="22" t="n">
        <v>2296</v>
      </c>
      <c r="K72" s="22" t="n">
        <v>2177</v>
      </c>
      <c r="L72" s="22" t="n">
        <v>2449</v>
      </c>
    </row>
    <row r="73">
      <c r="A73" s="20" t="inlineStr">
        <is>
          <t>상품</t>
        </is>
      </c>
      <c r="C73" s="22" t="n">
        <v>3</v>
      </c>
      <c r="D73" s="22" t="n">
        <v>2</v>
      </c>
      <c r="E73" s="22" t="n">
        <v>3</v>
      </c>
      <c r="F73" s="22" t="n">
        <v>5</v>
      </c>
      <c r="G73" s="22" t="n">
        <v>3</v>
      </c>
      <c r="H73" s="22" t="n">
        <v>23</v>
      </c>
      <c r="I73" s="22" t="n">
        <v>12</v>
      </c>
      <c r="J73" s="22" t="n">
        <v>1</v>
      </c>
      <c r="K73" s="22" t="n">
        <v>1</v>
      </c>
      <c r="L73" s="22" t="n">
        <v>3</v>
      </c>
    </row>
    <row r="74">
      <c r="A74" s="20" t="inlineStr">
        <is>
          <t>저장품</t>
        </is>
      </c>
      <c r="C74" s="22" t="n">
        <v>880</v>
      </c>
      <c r="D74" s="22" t="n">
        <v>901</v>
      </c>
      <c r="E74" s="22" t="n">
        <v>890</v>
      </c>
      <c r="F74" s="22" t="n">
        <v>907</v>
      </c>
      <c r="G74" s="22" t="n">
        <v>897</v>
      </c>
      <c r="H74" s="22" t="n">
        <v>609</v>
      </c>
      <c r="I74" s="22" t="n">
        <v>567</v>
      </c>
      <c r="J74" s="22" t="n">
        <v>621</v>
      </c>
      <c r="K74" s="22" t="n">
        <v>688</v>
      </c>
      <c r="L74" s="22" t="n">
        <v>890</v>
      </c>
    </row>
    <row r="75">
      <c r="A75" s="20" t="inlineStr">
        <is>
          <t>선급비용</t>
        </is>
      </c>
      <c r="E75" s="22" t="n">
        <v>922</v>
      </c>
      <c r="G75" s="22" t="n">
        <v>2563</v>
      </c>
      <c r="H75" s="22" t="n">
        <v>1040</v>
      </c>
      <c r="I75" s="22" t="n">
        <v>1461</v>
      </c>
      <c r="J75" s="22" t="n">
        <v>1179</v>
      </c>
      <c r="K75" s="22" t="n">
        <v>762</v>
      </c>
      <c r="L75" s="22" t="n">
        <v>922</v>
      </c>
    </row>
    <row r="76">
      <c r="A76" s="20" t="inlineStr">
        <is>
          <t>미수금</t>
        </is>
      </c>
      <c r="C76" s="22" t="n">
        <v>1298</v>
      </c>
      <c r="D76" s="22" t="n">
        <v>1786</v>
      </c>
      <c r="E76" s="22" t="n">
        <v>1493</v>
      </c>
      <c r="F76" s="22" t="n">
        <v>1206</v>
      </c>
      <c r="G76" s="22" t="n">
        <v>1330</v>
      </c>
      <c r="H76" s="22" t="n">
        <v>671</v>
      </c>
      <c r="I76" s="22" t="n">
        <v>1666</v>
      </c>
      <c r="J76" s="22" t="n">
        <v>868</v>
      </c>
      <c r="K76" s="22" t="n">
        <v>1297</v>
      </c>
      <c r="L76" s="22" t="n">
        <v>1493</v>
      </c>
    </row>
    <row r="77">
      <c r="A77" s="20" t="inlineStr">
        <is>
          <t>미수 소비세</t>
        </is>
      </c>
      <c r="E77" s="22" t="n">
        <v>1592</v>
      </c>
      <c r="K77" s="22" t="n">
        <v>0</v>
      </c>
      <c r="L77" s="22" t="n">
        <v>1592</v>
      </c>
    </row>
    <row r="78">
      <c r="A78" s="20" t="inlineStr">
        <is>
          <t>Derivatives CA</t>
        </is>
      </c>
      <c r="E78" s="22" t="n">
        <v>2844</v>
      </c>
      <c r="F78" s="22" t="n">
        <v>1393</v>
      </c>
      <c r="G78" s="22" t="n">
        <v>2189</v>
      </c>
      <c r="H78" s="22" t="n">
        <v>1037</v>
      </c>
      <c r="I78" s="22" t="n">
        <v>620</v>
      </c>
      <c r="J78" s="22" t="n">
        <v>873</v>
      </c>
      <c r="K78" s="22" t="n">
        <v>86</v>
      </c>
      <c r="L78" s="22" t="n">
        <v>2844</v>
      </c>
    </row>
    <row r="79">
      <c r="A79" s="20" t="inlineStr">
        <is>
          <t>기타</t>
        </is>
      </c>
      <c r="C79" s="22" t="n">
        <v>2697</v>
      </c>
      <c r="D79" s="22" t="n">
        <v>3340</v>
      </c>
      <c r="E79" s="22" t="n">
        <v>1916</v>
      </c>
      <c r="F79" s="22" t="n">
        <v>1182</v>
      </c>
      <c r="G79" s="22" t="n">
        <v>207</v>
      </c>
      <c r="H79" s="22" t="n">
        <v>396</v>
      </c>
      <c r="I79" s="22" t="n">
        <v>252</v>
      </c>
      <c r="J79" s="22" t="n">
        <v>910</v>
      </c>
      <c r="K79" s="22" t="n">
        <v>503</v>
      </c>
      <c r="L79" s="22" t="n">
        <v>1916</v>
      </c>
    </row>
    <row r="80">
      <c r="A80" s="20" t="inlineStr">
        <is>
          <t>대손충당금</t>
        </is>
      </c>
      <c r="C80" s="22" t="n">
        <v>-0</v>
      </c>
      <c r="D80" s="22" t="n">
        <v>-0</v>
      </c>
      <c r="E80" s="22" t="n">
        <v>-0</v>
      </c>
      <c r="F80" s="22" t="n">
        <v>-0</v>
      </c>
      <c r="G80" s="22" t="n">
        <v>-0</v>
      </c>
      <c r="H80" s="22" t="n">
        <v>-0</v>
      </c>
      <c r="I80" s="22" t="n">
        <v>-0</v>
      </c>
      <c r="J80" s="22" t="n">
        <v>-0</v>
      </c>
      <c r="K80" s="22" t="n">
        <v>-0</v>
      </c>
      <c r="L80" s="22" t="n">
        <v>-0</v>
      </c>
    </row>
    <row r="81">
      <c r="A81" s="9" t="inlineStr">
        <is>
          <t>유동자산 합계</t>
        </is>
      </c>
      <c r="C81" s="12" t="n">
        <v>17479</v>
      </c>
      <c r="D81" s="12" t="n">
        <v>18375</v>
      </c>
      <c r="E81" s="12" t="n">
        <v>20568</v>
      </c>
      <c r="F81" s="12" t="n">
        <v>16768</v>
      </c>
      <c r="G81" s="12" t="n">
        <v>19253</v>
      </c>
      <c r="H81" s="12" t="n">
        <v>11414</v>
      </c>
      <c r="I81" s="12" t="n">
        <v>12638</v>
      </c>
      <c r="J81" s="12" t="n">
        <v>15406</v>
      </c>
      <c r="K81" s="12" t="n">
        <v>16326</v>
      </c>
      <c r="L81" s="12" t="n">
        <v>20568</v>
      </c>
    </row>
    <row r="82">
      <c r="A82" s="20" t="inlineStr">
        <is>
          <t>건물</t>
        </is>
      </c>
      <c r="E82" s="22" t="n">
        <v>1060</v>
      </c>
      <c r="H82" s="22" t="n">
        <v>621</v>
      </c>
      <c r="I82" s="22" t="n">
        <v>618</v>
      </c>
      <c r="J82" s="22" t="n">
        <v>1029</v>
      </c>
      <c r="K82" s="22" t="n">
        <v>1056</v>
      </c>
      <c r="L82" s="22" t="n">
        <v>1060</v>
      </c>
    </row>
    <row r="83">
      <c r="A83" s="20" t="inlineStr">
        <is>
          <t>감가상각누계액</t>
        </is>
      </c>
      <c r="E83" s="22" t="n">
        <v>-516</v>
      </c>
      <c r="H83" s="22" t="n">
        <v>-290</v>
      </c>
      <c r="I83" s="22" t="n">
        <v>-333</v>
      </c>
      <c r="J83" s="22" t="n">
        <v>-384</v>
      </c>
      <c r="K83" s="22" t="n">
        <v>-451</v>
      </c>
      <c r="L83" s="22" t="n">
        <v>-516</v>
      </c>
    </row>
    <row r="84">
      <c r="A84" s="20" t="inlineStr">
        <is>
          <t>건물(순액)</t>
        </is>
      </c>
      <c r="E84" s="22" t="n">
        <v>544</v>
      </c>
      <c r="H84" s="22" t="n">
        <v>330</v>
      </c>
      <c r="I84" s="22" t="n">
        <v>285</v>
      </c>
      <c r="J84" s="22" t="n">
        <v>644</v>
      </c>
      <c r="K84" s="22" t="n">
        <v>605</v>
      </c>
      <c r="L84" s="22" t="n">
        <v>544</v>
      </c>
    </row>
    <row r="85">
      <c r="A85" s="20" t="inlineStr">
        <is>
          <t>구축물</t>
        </is>
      </c>
      <c r="E85" s="22" t="n">
        <v>80</v>
      </c>
      <c r="H85" s="22" t="n">
        <v>31</v>
      </c>
      <c r="I85" s="22" t="n">
        <v>31</v>
      </c>
      <c r="J85" s="22" t="n">
        <v>80</v>
      </c>
      <c r="K85" s="22" t="n">
        <v>80</v>
      </c>
      <c r="L85" s="22" t="n">
        <v>80</v>
      </c>
    </row>
    <row r="86">
      <c r="A86" s="20" t="inlineStr">
        <is>
          <t>감가상각누계액</t>
        </is>
      </c>
      <c r="E86" s="22" t="n">
        <v>-54</v>
      </c>
      <c r="H86" s="22" t="n">
        <v>-21</v>
      </c>
      <c r="I86" s="22" t="n">
        <v>-24</v>
      </c>
      <c r="J86" s="22" t="n">
        <v>-30</v>
      </c>
      <c r="K86" s="22" t="n">
        <v>-44</v>
      </c>
      <c r="L86" s="22" t="n">
        <v>-54</v>
      </c>
    </row>
    <row r="87">
      <c r="A87" s="20" t="inlineStr">
        <is>
          <t>구축물(순액)</t>
        </is>
      </c>
      <c r="E87" s="22" t="n">
        <v>25</v>
      </c>
      <c r="H87" s="22" t="n">
        <v>10</v>
      </c>
      <c r="I87" s="22" t="n">
        <v>7</v>
      </c>
      <c r="J87" s="22" t="n">
        <v>49</v>
      </c>
      <c r="K87" s="22" t="n">
        <v>35</v>
      </c>
      <c r="L87" s="22" t="n">
        <v>25</v>
      </c>
    </row>
    <row r="88">
      <c r="A88" s="20" t="inlineStr">
        <is>
          <t>Aircraft Parts PPE</t>
        </is>
      </c>
      <c r="E88" s="22" t="n">
        <v>7745</v>
      </c>
      <c r="H88" s="22" t="n">
        <v>7691</v>
      </c>
      <c r="I88" s="22" t="n">
        <v>7730</v>
      </c>
      <c r="J88" s="22" t="n">
        <v>7701</v>
      </c>
      <c r="K88" s="22" t="n">
        <v>7733</v>
      </c>
      <c r="L88" s="22" t="n">
        <v>7745</v>
      </c>
    </row>
    <row r="89">
      <c r="A89" s="20" t="inlineStr">
        <is>
          <t>감가상각누계액</t>
        </is>
      </c>
      <c r="E89" s="22" t="n">
        <v>-4079</v>
      </c>
      <c r="H89" s="22" t="n">
        <v>-2667</v>
      </c>
      <c r="I89" s="22" t="n">
        <v>-3065</v>
      </c>
      <c r="J89" s="22" t="n">
        <v>-3361</v>
      </c>
      <c r="K89" s="22" t="n">
        <v>-3737</v>
      </c>
      <c r="L89" s="22" t="n">
        <v>-4079</v>
      </c>
    </row>
    <row r="90">
      <c r="A90" s="20" t="inlineStr">
        <is>
          <t>Aircraft Parts Net PPE</t>
        </is>
      </c>
      <c r="E90" s="22" t="n">
        <v>3665</v>
      </c>
      <c r="H90" s="22" t="n">
        <v>5024</v>
      </c>
      <c r="I90" s="22" t="n">
        <v>4664</v>
      </c>
      <c r="J90" s="22" t="n">
        <v>4340</v>
      </c>
      <c r="K90" s="22" t="n">
        <v>3995</v>
      </c>
      <c r="L90" s="22" t="n">
        <v>3665</v>
      </c>
    </row>
    <row r="91">
      <c r="A91" s="20" t="inlineStr">
        <is>
          <t>기계장치</t>
        </is>
      </c>
      <c r="E91" s="22" t="n">
        <v>280</v>
      </c>
      <c r="H91" s="22" t="n">
        <v>297</v>
      </c>
      <c r="I91" s="22" t="n">
        <v>303</v>
      </c>
      <c r="J91" s="22" t="n">
        <v>303</v>
      </c>
      <c r="K91" s="22" t="n">
        <v>280</v>
      </c>
      <c r="L91" s="22" t="n">
        <v>280</v>
      </c>
    </row>
    <row r="92">
      <c r="A92" s="20" t="inlineStr">
        <is>
          <t>감가상각누계액</t>
        </is>
      </c>
      <c r="E92" s="22" t="n">
        <v>-254</v>
      </c>
      <c r="H92" s="22" t="n">
        <v>-168</v>
      </c>
      <c r="I92" s="22" t="n">
        <v>-201</v>
      </c>
      <c r="J92" s="22" t="n">
        <v>-227</v>
      </c>
      <c r="K92" s="22" t="n">
        <v>-229</v>
      </c>
      <c r="L92" s="22" t="n">
        <v>-254</v>
      </c>
    </row>
    <row r="93">
      <c r="A93" s="20" t="inlineStr">
        <is>
          <t>기계장치(순액)</t>
        </is>
      </c>
      <c r="E93" s="22" t="n">
        <v>25</v>
      </c>
      <c r="H93" s="22" t="n">
        <v>128</v>
      </c>
      <c r="I93" s="22" t="n">
        <v>101</v>
      </c>
      <c r="J93" s="22" t="n">
        <v>75</v>
      </c>
      <c r="K93" s="22" t="n">
        <v>50</v>
      </c>
      <c r="L93" s="22" t="n">
        <v>25</v>
      </c>
    </row>
    <row r="94">
      <c r="A94" s="20" t="inlineStr">
        <is>
          <t>차량운반구</t>
        </is>
      </c>
      <c r="E94" s="22" t="n">
        <v>112</v>
      </c>
      <c r="H94" s="22" t="n">
        <v>111</v>
      </c>
      <c r="I94" s="22" t="n">
        <v>111</v>
      </c>
      <c r="J94" s="22" t="n">
        <v>111</v>
      </c>
      <c r="K94" s="22" t="n">
        <v>112</v>
      </c>
      <c r="L94" s="22" t="n">
        <v>112</v>
      </c>
    </row>
    <row r="95">
      <c r="A95" s="20" t="inlineStr">
        <is>
          <t>감가상각누계액</t>
        </is>
      </c>
      <c r="E95" s="22" t="n">
        <v>-108</v>
      </c>
      <c r="H95" s="22" t="n">
        <v>-103</v>
      </c>
      <c r="I95" s="22" t="n">
        <v>-105</v>
      </c>
      <c r="J95" s="22" t="n">
        <v>-108</v>
      </c>
      <c r="K95" s="22" t="n">
        <v>-107</v>
      </c>
      <c r="L95" s="22" t="n">
        <v>-108</v>
      </c>
    </row>
    <row r="96">
      <c r="A96" s="20" t="inlineStr">
        <is>
          <t>차량운반구(순액)</t>
        </is>
      </c>
      <c r="E96" s="22" t="n">
        <v>3</v>
      </c>
      <c r="H96" s="22" t="n">
        <v>7</v>
      </c>
      <c r="I96" s="22" t="n">
        <v>5</v>
      </c>
      <c r="J96" s="22" t="n">
        <v>2</v>
      </c>
      <c r="K96" s="22" t="n">
        <v>4</v>
      </c>
      <c r="L96" s="22" t="n">
        <v>3</v>
      </c>
    </row>
    <row r="97">
      <c r="A97" s="20" t="inlineStr">
        <is>
          <t>공구·기구·비품</t>
        </is>
      </c>
      <c r="E97" s="22" t="n">
        <v>770</v>
      </c>
      <c r="H97" s="22" t="n">
        <v>669</v>
      </c>
      <c r="I97" s="22" t="n">
        <v>680</v>
      </c>
      <c r="J97" s="22" t="n">
        <v>693</v>
      </c>
      <c r="K97" s="22" t="n">
        <v>750</v>
      </c>
      <c r="L97" s="22" t="n">
        <v>770</v>
      </c>
    </row>
    <row r="98">
      <c r="A98" s="20" t="inlineStr">
        <is>
          <t>감가상각누계액</t>
        </is>
      </c>
      <c r="E98" s="22" t="n">
        <v>-689</v>
      </c>
      <c r="H98" s="22" t="n">
        <v>-584</v>
      </c>
      <c r="I98" s="22" t="n">
        <v>-613</v>
      </c>
      <c r="J98" s="22" t="n">
        <v>-639</v>
      </c>
      <c r="K98" s="22" t="n">
        <v>-678</v>
      </c>
      <c r="L98" s="22" t="n">
        <v>-689</v>
      </c>
    </row>
    <row r="99">
      <c r="A99" s="20" t="inlineStr">
        <is>
          <t>공구·기구·비품(순액)</t>
        </is>
      </c>
      <c r="E99" s="22" t="n">
        <v>80</v>
      </c>
      <c r="H99" s="22" t="n">
        <v>84</v>
      </c>
      <c r="I99" s="22" t="n">
        <v>66</v>
      </c>
      <c r="J99" s="22" t="n">
        <v>53</v>
      </c>
      <c r="K99" s="22" t="n">
        <v>72</v>
      </c>
      <c r="L99" s="22" t="n">
        <v>80</v>
      </c>
    </row>
    <row r="100">
      <c r="A100" s="20" t="inlineStr">
        <is>
          <t>토지</t>
        </is>
      </c>
      <c r="E100" s="22" t="n">
        <v>237</v>
      </c>
      <c r="H100" s="22" t="n">
        <v>237</v>
      </c>
      <c r="I100" s="22" t="n">
        <v>237</v>
      </c>
      <c r="J100" s="22" t="n">
        <v>237</v>
      </c>
      <c r="K100" s="22" t="n">
        <v>237</v>
      </c>
      <c r="L100" s="22" t="n">
        <v>237</v>
      </c>
    </row>
    <row r="101">
      <c r="A101" s="20" t="inlineStr">
        <is>
          <t>리스자산</t>
        </is>
      </c>
      <c r="E101" s="22" t="n">
        <v>9235</v>
      </c>
      <c r="H101" s="22" t="n">
        <v>2016</v>
      </c>
      <c r="I101" s="22" t="n">
        <v>1912</v>
      </c>
      <c r="J101" s="22" t="n">
        <v>1030</v>
      </c>
      <c r="K101" s="22" t="n">
        <v>1030</v>
      </c>
      <c r="L101" s="22" t="n">
        <v>9235</v>
      </c>
    </row>
    <row r="102">
      <c r="A102" s="20" t="inlineStr">
        <is>
          <t>감가상각누계액</t>
        </is>
      </c>
      <c r="E102" s="22" t="n">
        <v>-1138</v>
      </c>
      <c r="H102" s="22" t="n">
        <v>-901</v>
      </c>
      <c r="I102" s="22" t="n">
        <v>-901</v>
      </c>
      <c r="J102" s="22" t="n">
        <v>-529</v>
      </c>
      <c r="K102" s="22" t="n">
        <v>-578</v>
      </c>
      <c r="L102" s="22" t="n">
        <v>-1138</v>
      </c>
    </row>
    <row r="103">
      <c r="A103" s="20" t="inlineStr">
        <is>
          <t>Aircraft Net</t>
        </is>
      </c>
      <c r="C103" s="22" t="n">
        <v>3822</v>
      </c>
      <c r="D103" s="22" t="n">
        <v>3751</v>
      </c>
      <c r="E103" s="22" t="n">
        <v>3665</v>
      </c>
      <c r="F103" s="22" t="n">
        <v>3590</v>
      </c>
      <c r="G103" s="22" t="n">
        <v>3513</v>
      </c>
      <c r="H103" s="22" t="n">
        <v>5024</v>
      </c>
      <c r="I103" s="22" t="n">
        <v>4664</v>
      </c>
      <c r="J103" s="22" t="n">
        <v>4340</v>
      </c>
      <c r="K103" s="22" t="n">
        <v>3995</v>
      </c>
      <c r="L103" s="22" t="n">
        <v>3665</v>
      </c>
    </row>
    <row r="104">
      <c r="A104" s="20" t="inlineStr">
        <is>
          <t>리스자산(순액)</t>
        </is>
      </c>
      <c r="C104" s="22" t="n">
        <v>8416</v>
      </c>
      <c r="D104" s="22" t="n">
        <v>8279</v>
      </c>
      <c r="E104" s="22" t="n">
        <v>8096</v>
      </c>
      <c r="F104" s="22" t="n">
        <v>7914</v>
      </c>
      <c r="G104" s="22" t="n">
        <v>7732</v>
      </c>
      <c r="H104" s="22" t="n">
        <v>1115</v>
      </c>
      <c r="I104" s="22" t="n">
        <v>1010</v>
      </c>
      <c r="J104" s="22" t="n">
        <v>500</v>
      </c>
      <c r="K104" s="22" t="n">
        <v>451</v>
      </c>
      <c r="L104" s="22" t="n">
        <v>8096</v>
      </c>
    </row>
    <row r="105">
      <c r="A105" s="20" t="inlineStr">
        <is>
          <t>기타</t>
        </is>
      </c>
      <c r="C105" s="22" t="n">
        <v>940</v>
      </c>
      <c r="D105" s="22" t="n">
        <v>907</v>
      </c>
      <c r="E105" s="22" t="n">
        <v>917</v>
      </c>
      <c r="F105" s="22" t="n">
        <v>892</v>
      </c>
      <c r="G105" s="22" t="n">
        <v>892</v>
      </c>
      <c r="H105" s="22" t="n">
        <v>800</v>
      </c>
      <c r="I105" s="22" t="n">
        <v>704</v>
      </c>
      <c r="J105" s="22" t="n">
        <v>1063</v>
      </c>
      <c r="K105" s="22" t="n">
        <v>1006</v>
      </c>
      <c r="L105" s="22" t="n">
        <v>917</v>
      </c>
    </row>
    <row r="106">
      <c r="A106" s="20" t="inlineStr">
        <is>
          <t>유형자산 합계</t>
        </is>
      </c>
      <c r="C106" s="22" t="n">
        <v>13180</v>
      </c>
      <c r="D106" s="22" t="n">
        <v>12938</v>
      </c>
      <c r="E106" s="22" t="n">
        <v>12680</v>
      </c>
      <c r="F106" s="22" t="n">
        <v>12396</v>
      </c>
      <c r="G106" s="22" t="n">
        <v>12137</v>
      </c>
      <c r="H106" s="22" t="n">
        <v>6939</v>
      </c>
      <c r="I106" s="22" t="n">
        <v>6379</v>
      </c>
      <c r="J106" s="22" t="n">
        <v>5904</v>
      </c>
      <c r="K106" s="22" t="n">
        <v>5452</v>
      </c>
      <c r="L106" s="22" t="n">
        <v>12680</v>
      </c>
    </row>
    <row r="107">
      <c r="A107" s="20" t="inlineStr">
        <is>
          <t>소프트웨어</t>
        </is>
      </c>
      <c r="E107" s="22" t="n">
        <v>964</v>
      </c>
      <c r="H107" s="22" t="n">
        <v>422</v>
      </c>
      <c r="I107" s="22" t="n">
        <v>412</v>
      </c>
      <c r="J107" s="22" t="n">
        <v>440</v>
      </c>
      <c r="K107" s="22" t="n">
        <v>300</v>
      </c>
      <c r="L107" s="22" t="n">
        <v>964</v>
      </c>
    </row>
    <row r="108">
      <c r="A108" s="20" t="inlineStr">
        <is>
          <t>기타</t>
        </is>
      </c>
      <c r="E108" s="22" t="n">
        <v>136</v>
      </c>
      <c r="H108" s="22" t="n">
        <v>55</v>
      </c>
      <c r="I108" s="22" t="n">
        <v>47</v>
      </c>
      <c r="J108" s="22" t="n">
        <v>26</v>
      </c>
      <c r="K108" s="22" t="n">
        <v>450</v>
      </c>
      <c r="L108" s="22" t="n">
        <v>136</v>
      </c>
    </row>
    <row r="109">
      <c r="A109" s="20" t="inlineStr">
        <is>
          <t>무형자산</t>
        </is>
      </c>
      <c r="C109" s="22" t="n">
        <v>874</v>
      </c>
      <c r="D109" s="22" t="n">
        <v>961</v>
      </c>
      <c r="E109" s="22" t="n">
        <v>1100</v>
      </c>
      <c r="F109" s="22" t="n">
        <v>1116</v>
      </c>
      <c r="G109" s="22" t="n">
        <v>1063</v>
      </c>
      <c r="H109" s="22" t="n">
        <v>477</v>
      </c>
      <c r="I109" s="22" t="n">
        <v>459</v>
      </c>
      <c r="J109" s="22" t="n">
        <v>467</v>
      </c>
      <c r="K109" s="22" t="n">
        <v>751</v>
      </c>
      <c r="L109" s="22" t="n">
        <v>1100</v>
      </c>
    </row>
    <row r="110">
      <c r="A110" s="20" t="inlineStr">
        <is>
          <t>투자 및 기타자산</t>
        </is>
      </c>
      <c r="J110" s="22" t="n">
        <v>1774</v>
      </c>
    </row>
    <row r="111">
      <c r="A111" s="20" t="inlineStr">
        <is>
          <t>투자유가증권</t>
        </is>
      </c>
      <c r="E111" s="22" t="n">
        <v>37</v>
      </c>
      <c r="H111" s="22" t="n">
        <v>37</v>
      </c>
      <c r="I111" s="22" t="n">
        <v>37</v>
      </c>
      <c r="J111" s="22" t="n">
        <v>37</v>
      </c>
      <c r="K111" s="22" t="n">
        <v>37</v>
      </c>
      <c r="L111" s="22" t="n">
        <v>37</v>
      </c>
    </row>
    <row r="112">
      <c r="A112" s="20" t="inlineStr">
        <is>
          <t>관계회사 주식</t>
        </is>
      </c>
      <c r="E112" s="22" t="n">
        <v>9</v>
      </c>
      <c r="H112" s="22" t="n">
        <v>9</v>
      </c>
      <c r="I112" s="22" t="n">
        <v>9</v>
      </c>
      <c r="J112" s="22" t="n">
        <v>9</v>
      </c>
      <c r="K112" s="22" t="n">
        <v>9</v>
      </c>
      <c r="L112" s="22" t="n">
        <v>9</v>
      </c>
    </row>
    <row r="113">
      <c r="A113" s="20" t="inlineStr">
        <is>
          <t>출자금</t>
        </is>
      </c>
      <c r="E113" s="22" t="n">
        <v>0</v>
      </c>
      <c r="H113" s="22" t="n">
        <v>0</v>
      </c>
      <c r="I113" s="22" t="n">
        <v>0</v>
      </c>
      <c r="J113" s="22" t="n">
        <v>0</v>
      </c>
      <c r="K113" s="22" t="n">
        <v>0</v>
      </c>
      <c r="L113" s="22" t="n">
        <v>0</v>
      </c>
    </row>
    <row r="114">
      <c r="A114" s="20" t="inlineStr">
        <is>
          <t>장기선급비용</t>
        </is>
      </c>
      <c r="E114" s="22" t="n">
        <v>144</v>
      </c>
      <c r="H114" s="22" t="n">
        <v>0</v>
      </c>
      <c r="I114" s="22" t="n">
        <v>0</v>
      </c>
      <c r="J114" s="22" t="n">
        <v>180</v>
      </c>
      <c r="K114" s="22" t="n">
        <v>162</v>
      </c>
      <c r="L114" s="22" t="n">
        <v>144</v>
      </c>
    </row>
    <row r="115">
      <c r="A115" s="20" t="inlineStr">
        <is>
          <t>이연법인세자산</t>
        </is>
      </c>
      <c r="E115" s="22" t="n">
        <v>183</v>
      </c>
      <c r="H115" s="22" t="n">
        <v>0</v>
      </c>
      <c r="I115" s="22" t="n">
        <v>682</v>
      </c>
      <c r="J115" s="22" t="n">
        <v>364</v>
      </c>
      <c r="K115" s="22" t="n">
        <v>962</v>
      </c>
      <c r="L115" s="22" t="n">
        <v>183</v>
      </c>
    </row>
    <row r="116">
      <c r="A116" s="20" t="inlineStr">
        <is>
          <t>보증금</t>
        </is>
      </c>
      <c r="E116" s="22" t="n">
        <v>2171</v>
      </c>
      <c r="F116" s="22" t="n">
        <v>2489</v>
      </c>
      <c r="G116" s="22" t="n">
        <v>3035</v>
      </c>
      <c r="H116" s="22" t="n">
        <v>1210</v>
      </c>
      <c r="I116" s="22" t="n">
        <v>1163</v>
      </c>
      <c r="J116" s="22" t="n">
        <v>1182</v>
      </c>
      <c r="K116" s="22" t="n">
        <v>829</v>
      </c>
      <c r="L116" s="22" t="n">
        <v>2171</v>
      </c>
    </row>
    <row r="117">
      <c r="A117" s="20" t="inlineStr">
        <is>
          <t>기타</t>
        </is>
      </c>
      <c r="E117" s="22" t="n">
        <v>375</v>
      </c>
      <c r="F117" s="22" t="n">
        <v>1244</v>
      </c>
      <c r="G117" s="22" t="n">
        <v>903</v>
      </c>
      <c r="L117" s="22" t="n">
        <v>375</v>
      </c>
    </row>
    <row r="118">
      <c r="A118" s="20" t="inlineStr">
        <is>
          <t>투자 및 기타자산 합계</t>
        </is>
      </c>
      <c r="C118" s="22" t="n">
        <v>2401</v>
      </c>
      <c r="D118" s="22" t="n">
        <v>2250</v>
      </c>
      <c r="E118" s="22" t="n">
        <v>2546</v>
      </c>
      <c r="F118" s="22" t="n">
        <v>3734</v>
      </c>
      <c r="G118" s="22" t="n">
        <v>3938</v>
      </c>
      <c r="H118" s="22" t="n">
        <v>1257</v>
      </c>
      <c r="I118" s="22" t="n">
        <v>1892</v>
      </c>
      <c r="J118" s="22" t="n">
        <v>1774</v>
      </c>
      <c r="K118" s="22" t="n">
        <v>2001</v>
      </c>
      <c r="L118" s="22" t="n">
        <v>2546</v>
      </c>
    </row>
    <row r="119">
      <c r="A119" s="9" t="inlineStr">
        <is>
          <t>비유동자산 합계</t>
        </is>
      </c>
      <c r="C119" s="12" t="n">
        <v>16456</v>
      </c>
      <c r="D119" s="12" t="n">
        <v>16149</v>
      </c>
      <c r="E119" s="12" t="n">
        <v>16327</v>
      </c>
      <c r="F119" s="12" t="n">
        <v>17247</v>
      </c>
      <c r="G119" s="12" t="n">
        <v>17139</v>
      </c>
      <c r="H119" s="12" t="n">
        <v>8674</v>
      </c>
      <c r="I119" s="12" t="n">
        <v>8732</v>
      </c>
      <c r="J119" s="12" t="n">
        <v>8147</v>
      </c>
      <c r="K119" s="12" t="n">
        <v>8205</v>
      </c>
      <c r="L119" s="12" t="n">
        <v>16327</v>
      </c>
    </row>
    <row r="120">
      <c r="A120" s="9" t="inlineStr">
        <is>
          <t>자산 합계</t>
        </is>
      </c>
      <c r="C120" s="12" t="n">
        <v>33935</v>
      </c>
      <c r="D120" s="12" t="n">
        <v>34525</v>
      </c>
      <c r="E120" s="12" t="n">
        <v>36896</v>
      </c>
      <c r="F120" s="12" t="n">
        <v>34016</v>
      </c>
      <c r="G120" s="12" t="n">
        <v>36392</v>
      </c>
      <c r="H120" s="12" t="n">
        <v>20089</v>
      </c>
      <c r="I120" s="12" t="n">
        <v>21370</v>
      </c>
      <c r="J120" s="12" t="n">
        <v>23553</v>
      </c>
      <c r="K120" s="12" t="n">
        <v>24531</v>
      </c>
      <c r="L120" s="12" t="n">
        <v>36896</v>
      </c>
    </row>
    <row r="121">
      <c r="A121" s="20" t="inlineStr">
        <is>
          <t>영업미지급금</t>
        </is>
      </c>
      <c r="C121" s="22" t="n">
        <v>3283</v>
      </c>
      <c r="D121" s="22" t="n">
        <v>3563</v>
      </c>
      <c r="E121" s="22" t="n">
        <v>3109</v>
      </c>
      <c r="F121" s="22" t="n">
        <v>3376</v>
      </c>
      <c r="G121" s="22" t="n">
        <v>2826</v>
      </c>
      <c r="H121" s="22" t="n">
        <v>1454</v>
      </c>
      <c r="I121" s="22" t="n">
        <v>2131</v>
      </c>
      <c r="J121" s="22" t="n">
        <v>2479</v>
      </c>
      <c r="K121" s="22" t="n">
        <v>3595</v>
      </c>
      <c r="L121" s="22" t="n">
        <v>3109</v>
      </c>
    </row>
    <row r="122">
      <c r="A122" s="20" t="inlineStr">
        <is>
          <t>단기차입금</t>
        </is>
      </c>
      <c r="H122" s="22" t="n">
        <v>0</v>
      </c>
      <c r="I122" s="22" t="n">
        <v>0</v>
      </c>
      <c r="J122" s="22" t="n">
        <v>800</v>
      </c>
      <c r="K122" s="22" t="n">
        <v>0</v>
      </c>
    </row>
    <row r="123">
      <c r="A123" s="20" t="inlineStr">
        <is>
          <t>1년 내 상환 장기차입금</t>
        </is>
      </c>
      <c r="C123" s="22" t="n">
        <v>771</v>
      </c>
      <c r="D123" s="22" t="n">
        <v>729</v>
      </c>
      <c r="E123" s="22" t="n">
        <v>613</v>
      </c>
      <c r="F123" s="22" t="n">
        <v>534</v>
      </c>
      <c r="G123" s="22" t="n">
        <v>534</v>
      </c>
      <c r="H123" s="22" t="n">
        <v>1512</v>
      </c>
      <c r="I123" s="22" t="n">
        <v>1211</v>
      </c>
      <c r="J123" s="22" t="n">
        <v>1802</v>
      </c>
      <c r="K123" s="22" t="n">
        <v>850</v>
      </c>
      <c r="L123" s="22" t="n">
        <v>613</v>
      </c>
    </row>
    <row r="124">
      <c r="A124" s="20" t="inlineStr">
        <is>
          <t>리스부채</t>
        </is>
      </c>
      <c r="C124" s="22" t="n">
        <v>651</v>
      </c>
      <c r="D124" s="22" t="n">
        <v>689</v>
      </c>
      <c r="E124" s="22" t="n">
        <v>708</v>
      </c>
      <c r="F124" s="22" t="n">
        <v>723</v>
      </c>
      <c r="G124" s="22" t="n">
        <v>707</v>
      </c>
      <c r="H124" s="22" t="n">
        <v>140</v>
      </c>
      <c r="I124" s="22" t="n">
        <v>94</v>
      </c>
      <c r="J124" s="22" t="n">
        <v>46</v>
      </c>
      <c r="K124" s="22" t="n">
        <v>45</v>
      </c>
      <c r="L124" s="22" t="n">
        <v>708</v>
      </c>
    </row>
    <row r="125">
      <c r="A125" s="20" t="inlineStr">
        <is>
          <t>미지급금</t>
        </is>
      </c>
      <c r="C125" s="22" t="n">
        <v>1121</v>
      </c>
      <c r="D125" s="22" t="n">
        <v>1187</v>
      </c>
      <c r="E125" s="22" t="n">
        <v>1042</v>
      </c>
      <c r="F125" s="22" t="n">
        <v>1241</v>
      </c>
      <c r="G125" s="22" t="n">
        <v>1340</v>
      </c>
      <c r="H125" s="22" t="n">
        <v>776</v>
      </c>
      <c r="I125" s="22" t="n">
        <v>889</v>
      </c>
      <c r="J125" s="22" t="n">
        <v>1144</v>
      </c>
      <c r="K125" s="22" t="n">
        <v>1218</v>
      </c>
      <c r="L125" s="22" t="n">
        <v>1042</v>
      </c>
    </row>
    <row r="126">
      <c r="A126" s="20" t="inlineStr">
        <is>
          <t>미지급비용</t>
        </is>
      </c>
      <c r="E126" s="22" t="n">
        <v>7</v>
      </c>
      <c r="J126" s="22" t="n">
        <v>0</v>
      </c>
      <c r="K126" s="22" t="n">
        <v>269</v>
      </c>
      <c r="L126" s="22" t="n">
        <v>7</v>
      </c>
    </row>
    <row r="127">
      <c r="A127" s="20" t="inlineStr">
        <is>
          <t>미지급법인세</t>
        </is>
      </c>
      <c r="C127" s="22" t="n">
        <v>186</v>
      </c>
      <c r="D127" s="22" t="n">
        <v>0</v>
      </c>
      <c r="E127" s="22" t="n">
        <v>275</v>
      </c>
      <c r="F127" s="22" t="n">
        <v>13</v>
      </c>
      <c r="G127" s="22" t="n">
        <v>313</v>
      </c>
      <c r="H127" s="22" t="n">
        <v>18</v>
      </c>
      <c r="I127" s="22" t="n">
        <v>189</v>
      </c>
      <c r="J127" s="22" t="n">
        <v>43</v>
      </c>
      <c r="K127" s="22" t="n">
        <v>413</v>
      </c>
      <c r="L127" s="22" t="n">
        <v>275</v>
      </c>
    </row>
    <row r="128">
      <c r="A128" s="20" t="inlineStr">
        <is>
          <t>미지급 소비세</t>
        </is>
      </c>
      <c r="C128" s="22" t="n">
        <v>0</v>
      </c>
      <c r="D128" s="22" t="n">
        <v>0</v>
      </c>
      <c r="E128" s="22" t="n">
        <v>0</v>
      </c>
      <c r="F128" s="22" t="n">
        <v>240</v>
      </c>
      <c r="G128" s="22" t="n">
        <v>654</v>
      </c>
      <c r="H128" s="22" t="n">
        <v>84</v>
      </c>
      <c r="I128" s="22" t="n">
        <v>225</v>
      </c>
      <c r="J128" s="22" t="n">
        <v>0</v>
      </c>
      <c r="K128" s="22" t="n">
        <v>195</v>
      </c>
      <c r="L128" s="22" t="n">
        <v>0</v>
      </c>
    </row>
    <row r="129">
      <c r="A129" s="20" t="inlineStr">
        <is>
          <t>포인트 충당금</t>
        </is>
      </c>
      <c r="H129" s="22" t="n">
        <v>0</v>
      </c>
    </row>
    <row r="130">
      <c r="A130" s="20" t="inlineStr">
        <is>
          <t>계약부채</t>
        </is>
      </c>
      <c r="C130" s="22" t="n">
        <v>588</v>
      </c>
      <c r="D130" s="22" t="n">
        <v>652</v>
      </c>
      <c r="E130" s="22" t="n">
        <v>633</v>
      </c>
      <c r="F130" s="22" t="n">
        <v>813</v>
      </c>
      <c r="G130" s="22" t="n">
        <v>1017</v>
      </c>
      <c r="H130" s="22" t="n">
        <v>402</v>
      </c>
      <c r="I130" s="22" t="n">
        <v>291</v>
      </c>
      <c r="J130" s="22" t="n">
        <v>461</v>
      </c>
      <c r="K130" s="22" t="n">
        <v>546</v>
      </c>
      <c r="L130" s="22" t="n">
        <v>633</v>
      </c>
    </row>
    <row r="131">
      <c r="A131" s="20" t="inlineStr">
        <is>
          <t>Derivatives Liabilities CL</t>
        </is>
      </c>
      <c r="H131" s="22" t="n">
        <v>0</v>
      </c>
    </row>
    <row r="132">
      <c r="A132" s="20" t="inlineStr">
        <is>
          <t>상여충당금</t>
        </is>
      </c>
      <c r="D132" s="22" t="n">
        <v>54</v>
      </c>
      <c r="E132" s="22" t="n">
        <v>0</v>
      </c>
      <c r="F132" s="22" t="n">
        <v>247</v>
      </c>
      <c r="J132" s="22" t="n">
        <v>0</v>
      </c>
      <c r="K132" s="22" t="n">
        <v>0</v>
      </c>
      <c r="L132" s="22" t="n">
        <v>0</v>
      </c>
    </row>
    <row r="133">
      <c r="A133" s="20" t="inlineStr">
        <is>
          <t>기타</t>
        </is>
      </c>
      <c r="C133" s="22" t="n">
        <v>871</v>
      </c>
      <c r="D133" s="22" t="n">
        <v>628</v>
      </c>
      <c r="E133" s="22" t="n">
        <v>186</v>
      </c>
      <c r="F133" s="22" t="n">
        <v>377</v>
      </c>
      <c r="G133" s="22" t="n">
        <v>900</v>
      </c>
      <c r="H133" s="22" t="n">
        <v>291</v>
      </c>
      <c r="I133" s="22" t="n">
        <v>625</v>
      </c>
      <c r="J133" s="22" t="n">
        <v>147</v>
      </c>
      <c r="K133" s="22" t="n">
        <v>526</v>
      </c>
      <c r="L133" s="22" t="n">
        <v>186</v>
      </c>
    </row>
    <row r="134">
      <c r="A134" s="9" t="inlineStr">
        <is>
          <t>유동부채 합계</t>
        </is>
      </c>
      <c r="C134" s="12" t="n">
        <v>7474</v>
      </c>
      <c r="D134" s="12" t="n">
        <v>7505</v>
      </c>
      <c r="E134" s="12" t="n">
        <v>6570</v>
      </c>
      <c r="F134" s="12" t="n">
        <v>7569</v>
      </c>
      <c r="G134" s="12" t="n">
        <v>8294</v>
      </c>
      <c r="H134" s="12" t="n">
        <v>4681</v>
      </c>
      <c r="I134" s="12" t="n">
        <v>5659</v>
      </c>
      <c r="J134" s="12" t="n">
        <v>6925</v>
      </c>
      <c r="K134" s="12" t="n">
        <v>7662</v>
      </c>
      <c r="L134" s="12" t="n">
        <v>6570</v>
      </c>
    </row>
    <row r="135">
      <c r="A135" s="20" t="inlineStr">
        <is>
          <t>장기차입금</t>
        </is>
      </c>
      <c r="C135" s="22" t="n">
        <v>1409</v>
      </c>
      <c r="D135" s="22" t="n">
        <v>1288</v>
      </c>
      <c r="E135" s="22" t="n">
        <v>1141</v>
      </c>
      <c r="F135" s="22" t="n">
        <v>1008</v>
      </c>
      <c r="G135" s="22" t="n">
        <v>874</v>
      </c>
      <c r="H135" s="22" t="n">
        <v>2644</v>
      </c>
      <c r="I135" s="22" t="n">
        <v>1733</v>
      </c>
      <c r="J135" s="22" t="n">
        <v>2606</v>
      </c>
      <c r="K135" s="22" t="n">
        <v>1755</v>
      </c>
      <c r="L135" s="22" t="n">
        <v>1141</v>
      </c>
    </row>
    <row r="136">
      <c r="A136" s="20" t="inlineStr">
        <is>
          <t>리스부채</t>
        </is>
      </c>
      <c r="C136" s="22" t="n">
        <v>8104</v>
      </c>
      <c r="D136" s="22" t="n">
        <v>8365</v>
      </c>
      <c r="E136" s="22" t="n">
        <v>8357</v>
      </c>
      <c r="F136" s="22" t="n">
        <v>8298</v>
      </c>
      <c r="G136" s="22" t="n">
        <v>7872</v>
      </c>
      <c r="H136" s="22" t="n">
        <v>639</v>
      </c>
      <c r="I136" s="22" t="n">
        <v>544</v>
      </c>
      <c r="J136" s="22" t="n">
        <v>522</v>
      </c>
      <c r="K136" s="22" t="n">
        <v>476</v>
      </c>
      <c r="L136" s="22" t="n">
        <v>8357</v>
      </c>
    </row>
    <row r="137">
      <c r="A137" s="20" t="inlineStr">
        <is>
          <t>Reserve For Scheduled Maintenance Costs NCL</t>
        </is>
      </c>
      <c r="D137" s="22" t="n">
        <v>11537</v>
      </c>
      <c r="E137" s="22" t="n">
        <v>12509</v>
      </c>
      <c r="F137" s="22" t="n">
        <v>12425</v>
      </c>
      <c r="H137" s="22" t="n">
        <v>10302</v>
      </c>
      <c r="I137" s="22" t="n">
        <v>11543</v>
      </c>
      <c r="J137" s="22" t="n">
        <v>10158</v>
      </c>
      <c r="K137" s="22" t="n">
        <v>10234</v>
      </c>
      <c r="L137" s="22" t="n">
        <v>12509</v>
      </c>
    </row>
    <row r="138">
      <c r="A138" s="20" t="inlineStr">
        <is>
          <t>자산복구부채</t>
        </is>
      </c>
      <c r="E138" s="22" t="n">
        <v>62</v>
      </c>
      <c r="H138" s="22" t="n">
        <v>58</v>
      </c>
      <c r="I138" s="22" t="n">
        <v>59</v>
      </c>
      <c r="J138" s="22" t="n">
        <v>60</v>
      </c>
      <c r="K138" s="22" t="n">
        <v>61</v>
      </c>
      <c r="L138" s="22" t="n">
        <v>62</v>
      </c>
    </row>
    <row r="139">
      <c r="A139" s="20" t="inlineStr">
        <is>
          <t>Provision For Scheduled Maintenance Costs NCL</t>
        </is>
      </c>
      <c r="C139" s="22" t="n">
        <v>11370</v>
      </c>
      <c r="E139" s="22" t="n">
        <v>12509</v>
      </c>
      <c r="G139" s="22" t="n">
        <v>12540</v>
      </c>
      <c r="I139" s="22" t="n">
        <v>11543</v>
      </c>
      <c r="J139" s="22" t="n">
        <v>10158</v>
      </c>
      <c r="K139" s="22" t="n">
        <v>10234</v>
      </c>
      <c r="L139" s="22" t="n">
        <v>12509</v>
      </c>
    </row>
    <row r="140">
      <c r="A140" s="20" t="inlineStr">
        <is>
          <t>기타</t>
        </is>
      </c>
      <c r="C140" s="22" t="n">
        <v>1068</v>
      </c>
      <c r="D140" s="22" t="n">
        <v>1096</v>
      </c>
      <c r="E140" s="22" t="n">
        <v>1095</v>
      </c>
      <c r="F140" s="22" t="n">
        <v>1087</v>
      </c>
      <c r="G140" s="22" t="n">
        <v>1034</v>
      </c>
      <c r="H140" s="22" t="n">
        <v>406</v>
      </c>
      <c r="I140" s="22" t="n">
        <v>71</v>
      </c>
      <c r="J140" s="22" t="n">
        <v>60</v>
      </c>
      <c r="K140" s="22" t="n">
        <v>48</v>
      </c>
      <c r="L140" s="22" t="n">
        <v>1095</v>
      </c>
    </row>
    <row r="141">
      <c r="A141" s="9" t="inlineStr">
        <is>
          <t>비유동부채 합계</t>
        </is>
      </c>
      <c r="C141" s="12" t="n">
        <v>21952</v>
      </c>
      <c r="D141" s="12" t="n">
        <v>22287</v>
      </c>
      <c r="E141" s="12" t="n">
        <v>23103</v>
      </c>
      <c r="F141" s="12" t="n">
        <v>22820</v>
      </c>
      <c r="G141" s="12" t="n">
        <v>22322</v>
      </c>
      <c r="H141" s="12" t="n">
        <v>14051</v>
      </c>
      <c r="I141" s="12" t="n">
        <v>13951</v>
      </c>
      <c r="J141" s="12" t="n">
        <v>13407</v>
      </c>
      <c r="K141" s="12" t="n">
        <v>12575</v>
      </c>
      <c r="L141" s="12" t="n">
        <v>23103</v>
      </c>
    </row>
    <row r="142">
      <c r="A142" s="9" t="inlineStr">
        <is>
          <t>부채 합계</t>
        </is>
      </c>
      <c r="C142" s="12" t="n">
        <v>29426</v>
      </c>
      <c r="D142" s="12" t="n">
        <v>29793</v>
      </c>
      <c r="E142" s="12" t="n">
        <v>29673</v>
      </c>
      <c r="F142" s="12" t="n">
        <v>30389</v>
      </c>
      <c r="G142" s="12" t="n">
        <v>30617</v>
      </c>
      <c r="H142" s="12" t="n">
        <v>18732</v>
      </c>
      <c r="I142" s="12" t="n">
        <v>19610</v>
      </c>
      <c r="J142" s="12" t="n">
        <v>20333</v>
      </c>
      <c r="K142" s="12" t="n">
        <v>20238</v>
      </c>
      <c r="L142" s="12" t="n">
        <v>29673</v>
      </c>
    </row>
    <row r="143">
      <c r="A143" s="20" t="inlineStr">
        <is>
          <t>자본금</t>
        </is>
      </c>
      <c r="C143" s="22" t="n">
        <v>2079</v>
      </c>
      <c r="D143" s="22" t="n">
        <v>2079</v>
      </c>
      <c r="E143" s="22" t="n">
        <v>2079</v>
      </c>
      <c r="F143" s="22" t="n">
        <v>2079</v>
      </c>
      <c r="G143" s="22" t="n">
        <v>2083</v>
      </c>
      <c r="H143" s="22" t="n">
        <v>1393</v>
      </c>
      <c r="I143" s="22" t="n">
        <v>1892</v>
      </c>
      <c r="J143" s="22" t="n">
        <v>1892</v>
      </c>
      <c r="K143" s="22" t="n">
        <v>1895</v>
      </c>
      <c r="L143" s="22" t="n">
        <v>2079</v>
      </c>
    </row>
    <row r="144">
      <c r="A144" s="20" t="inlineStr">
        <is>
          <t>자본준비금</t>
        </is>
      </c>
      <c r="E144" s="22" t="n">
        <v>1579</v>
      </c>
      <c r="H144" s="22" t="n">
        <v>893</v>
      </c>
      <c r="I144" s="22" t="n">
        <v>1392</v>
      </c>
      <c r="J144" s="22" t="n">
        <v>1392</v>
      </c>
      <c r="K144" s="22" t="n">
        <v>1395</v>
      </c>
      <c r="L144" s="22" t="n">
        <v>1579</v>
      </c>
    </row>
    <row r="145">
      <c r="A145" s="20" t="inlineStr">
        <is>
          <t>기타자본잉여금</t>
        </is>
      </c>
      <c r="E145" s="22" t="n">
        <v>1239</v>
      </c>
      <c r="H145" s="22" t="n">
        <v>3913</v>
      </c>
      <c r="I145" s="22" t="n">
        <v>3913</v>
      </c>
      <c r="J145" s="22" t="n">
        <v>3913</v>
      </c>
      <c r="K145" s="22" t="n">
        <v>3913</v>
      </c>
      <c r="L145" s="22" t="n">
        <v>1239</v>
      </c>
    </row>
    <row r="146">
      <c r="A146" s="20" t="inlineStr">
        <is>
          <t>자본잉여금</t>
        </is>
      </c>
      <c r="C146" s="22" t="n">
        <v>2818</v>
      </c>
      <c r="D146" s="22" t="n">
        <v>2818</v>
      </c>
      <c r="E146" s="22" t="n">
        <v>2818</v>
      </c>
      <c r="F146" s="22" t="n">
        <v>1579</v>
      </c>
      <c r="G146" s="22" t="n">
        <v>1583</v>
      </c>
      <c r="H146" s="22" t="n">
        <v>4806</v>
      </c>
      <c r="I146" s="22" t="n">
        <v>5305</v>
      </c>
      <c r="J146" s="22" t="n">
        <v>5305</v>
      </c>
      <c r="K146" s="22" t="n">
        <v>5308</v>
      </c>
      <c r="L146" s="22" t="n">
        <v>2818</v>
      </c>
    </row>
    <row r="147">
      <c r="A147" s="20" t="inlineStr">
        <is>
          <t>이월이익잉여금</t>
        </is>
      </c>
      <c r="E147" s="22" t="n">
        <v>434</v>
      </c>
      <c r="H147" s="22" t="n">
        <v>-5583</v>
      </c>
      <c r="I147" s="22" t="n">
        <v>-5510</v>
      </c>
      <c r="J147" s="22" t="n">
        <v>-4598</v>
      </c>
      <c r="K147" s="22" t="n">
        <v>-2674</v>
      </c>
      <c r="L147" s="22" t="n">
        <v>434</v>
      </c>
    </row>
    <row r="148">
      <c r="A148" s="20" t="inlineStr">
        <is>
          <t>이익잉여금</t>
        </is>
      </c>
      <c r="C148" s="22" t="n">
        <v>-100</v>
      </c>
      <c r="D148" s="22" t="n">
        <v>-90</v>
      </c>
      <c r="E148" s="22" t="n">
        <v>434</v>
      </c>
      <c r="F148" s="22" t="n">
        <v>-774</v>
      </c>
      <c r="G148" s="22" t="n">
        <v>673</v>
      </c>
      <c r="H148" s="22" t="n">
        <v>-5583</v>
      </c>
      <c r="I148" s="22" t="n">
        <v>-5510</v>
      </c>
      <c r="J148" s="22" t="n">
        <v>-4598</v>
      </c>
      <c r="K148" s="22" t="n">
        <v>-2674</v>
      </c>
      <c r="L148" s="22" t="n">
        <v>434</v>
      </c>
    </row>
    <row r="149">
      <c r="A149" s="20" t="inlineStr">
        <is>
          <t>자기주식</t>
        </is>
      </c>
      <c r="C149" s="22" t="n">
        <v>-1</v>
      </c>
      <c r="D149" s="22" t="n">
        <v>-1</v>
      </c>
      <c r="E149" s="22" t="n">
        <v>-1</v>
      </c>
      <c r="F149" s="22" t="n">
        <v>-1</v>
      </c>
      <c r="G149" s="22" t="n">
        <v>-1</v>
      </c>
      <c r="H149" s="22" t="n">
        <v>-1</v>
      </c>
      <c r="I149" s="22" t="n">
        <v>-1</v>
      </c>
      <c r="J149" s="22" t="n">
        <v>-1</v>
      </c>
      <c r="K149" s="22" t="n">
        <v>-1</v>
      </c>
      <c r="L149" s="22" t="n">
        <v>-1</v>
      </c>
    </row>
    <row r="150">
      <c r="A150" s="9" t="inlineStr">
        <is>
          <t>주주자본 합계</t>
        </is>
      </c>
      <c r="C150" s="12" t="n">
        <v>4795</v>
      </c>
      <c r="D150" s="12" t="n">
        <v>4805</v>
      </c>
      <c r="E150" s="12" t="n">
        <v>5330</v>
      </c>
      <c r="F150" s="12" t="n">
        <v>2882</v>
      </c>
      <c r="G150" s="12" t="n">
        <v>4338</v>
      </c>
      <c r="H150" s="12" t="n">
        <v>614</v>
      </c>
      <c r="I150" s="12" t="n">
        <v>1686</v>
      </c>
      <c r="J150" s="12" t="n">
        <v>2598</v>
      </c>
      <c r="K150" s="12" t="n">
        <v>4528</v>
      </c>
      <c r="L150" s="12" t="n">
        <v>5330</v>
      </c>
    </row>
    <row r="151">
      <c r="A151" s="20" t="inlineStr">
        <is>
          <t>이연헤지손익</t>
        </is>
      </c>
      <c r="C151" s="22" t="n">
        <v>-296</v>
      </c>
      <c r="D151" s="22" t="n">
        <v>-83</v>
      </c>
      <c r="E151" s="22" t="n">
        <v>1892</v>
      </c>
      <c r="F151" s="22" t="n">
        <v>743</v>
      </c>
      <c r="G151" s="22" t="n">
        <v>1437</v>
      </c>
      <c r="H151" s="22" t="n">
        <v>722</v>
      </c>
      <c r="I151" s="22" t="n">
        <v>60</v>
      </c>
      <c r="J151" s="22" t="n">
        <v>607</v>
      </c>
      <c r="K151" s="22" t="n">
        <v>-248</v>
      </c>
      <c r="L151" s="22" t="n">
        <v>1892</v>
      </c>
    </row>
    <row r="152">
      <c r="A152" s="20" t="inlineStr">
        <is>
          <t>평가·환산차액 합계</t>
        </is>
      </c>
      <c r="C152" s="22" t="n">
        <v>-296</v>
      </c>
      <c r="D152" s="22" t="n">
        <v>-83</v>
      </c>
      <c r="E152" s="22" t="n">
        <v>1892</v>
      </c>
      <c r="F152" s="22" t="n">
        <v>743</v>
      </c>
      <c r="G152" s="22" t="n">
        <v>1437</v>
      </c>
      <c r="H152" s="22" t="n">
        <v>722</v>
      </c>
      <c r="I152" s="22" t="n">
        <v>60</v>
      </c>
      <c r="J152" s="22" t="n">
        <v>607</v>
      </c>
      <c r="K152" s="22" t="n">
        <v>-248</v>
      </c>
      <c r="L152" s="22" t="n">
        <v>1892</v>
      </c>
    </row>
    <row r="153">
      <c r="A153" s="20" t="inlineStr">
        <is>
          <t>신주예약권</t>
        </is>
      </c>
      <c r="C153" s="22" t="n">
        <v>10</v>
      </c>
      <c r="D153" s="22" t="n">
        <v>10</v>
      </c>
      <c r="E153" s="22" t="n">
        <v>0</v>
      </c>
      <c r="H153" s="22" t="n">
        <v>20</v>
      </c>
      <c r="I153" s="22" t="n">
        <v>13</v>
      </c>
      <c r="J153" s="22" t="n">
        <v>13</v>
      </c>
      <c r="K153" s="22" t="n">
        <v>13</v>
      </c>
      <c r="L153" s="22" t="n">
        <v>0</v>
      </c>
    </row>
    <row r="154">
      <c r="A154" s="9" t="inlineStr">
        <is>
          <t>순자산 합계</t>
        </is>
      </c>
      <c r="C154" s="12" t="n">
        <v>4509</v>
      </c>
      <c r="D154" s="12" t="n">
        <v>4732</v>
      </c>
      <c r="E154" s="12" t="n">
        <v>7222</v>
      </c>
      <c r="F154" s="12" t="n">
        <v>3626</v>
      </c>
      <c r="G154" s="12" t="n">
        <v>5775</v>
      </c>
      <c r="H154" s="12" t="n">
        <v>1357</v>
      </c>
      <c r="I154" s="12" t="n">
        <v>1759</v>
      </c>
      <c r="J154" s="12" t="n">
        <v>3219</v>
      </c>
      <c r="K154" s="12" t="n">
        <v>4293</v>
      </c>
      <c r="L154" s="12" t="n">
        <v>7222</v>
      </c>
    </row>
    <row r="155">
      <c r="A155" s="9" t="inlineStr">
        <is>
          <t>부채·순자산 합계</t>
        </is>
      </c>
      <c r="C155" s="12" t="n">
        <v>33935</v>
      </c>
      <c r="D155" s="12" t="n">
        <v>34525</v>
      </c>
      <c r="E155" s="12" t="n">
        <v>36896</v>
      </c>
      <c r="F155" s="12" t="n">
        <v>34016</v>
      </c>
      <c r="G155" s="12" t="n">
        <v>36392</v>
      </c>
      <c r="H155" s="12" t="n">
        <v>20089</v>
      </c>
      <c r="I155" s="12" t="n">
        <v>21370</v>
      </c>
      <c r="J155" s="12" t="n">
        <v>23553</v>
      </c>
      <c r="K155" s="12" t="n">
        <v>24531</v>
      </c>
      <c r="L155" s="12" t="n">
        <v>36896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2" t="inlineStr">
        <is>
          <t>9206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results · 상반기</t>
        </is>
      </c>
      <c r="B4" s="54" t="n"/>
      <c r="C4" s="54" t="n"/>
      <c r="D4" s="54" t="n"/>
      <c r="E4" s="54" t="n"/>
      <c r="F4" s="54" t="n"/>
      <c r="G4" s="54" t="n"/>
    </row>
    <row r="5">
      <c r="A5" s="55" t="inlineStr">
        <is>
          <t>항목</t>
        </is>
      </c>
      <c r="B5" s="55" t="inlineStr">
        <is>
          <t>값</t>
        </is>
      </c>
      <c r="G5" s="55" t="inlineStr">
        <is>
          <t>출처</t>
        </is>
      </c>
    </row>
    <row r="6">
      <c r="A6" s="56" t="inlineStr">
        <is>
          <t>매출</t>
        </is>
      </c>
      <c r="B6" s="57" t="n">
        <v>233.79</v>
      </c>
      <c r="G6" s="58" t="inlineStr">
        <is>
          <t>2단계 보고서 자료(회사 설명회 자료·공시)</t>
        </is>
      </c>
    </row>
    <row r="7">
      <c r="A7" s="56" t="inlineStr">
        <is>
          <t>매출 YoY</t>
        </is>
      </c>
      <c r="B7" s="57" t="n">
        <v>9</v>
      </c>
    </row>
    <row r="8">
      <c r="A8" s="56" t="inlineStr">
        <is>
          <t>air 매출</t>
        </is>
      </c>
      <c r="B8" s="57" t="n">
        <v>233.4</v>
      </c>
    </row>
    <row r="9">
      <c r="A9" s="56" t="inlineStr">
        <is>
          <t>air YoY</t>
        </is>
      </c>
      <c r="B9" s="57" t="n">
        <v>9</v>
      </c>
    </row>
    <row r="10">
      <c r="A10" s="56" t="inlineStr">
        <is>
          <t>other 매출</t>
        </is>
      </c>
      <c r="B10" s="57" t="n">
        <v>0.38</v>
      </c>
    </row>
    <row r="11">
      <c r="A11" s="56" t="inlineStr">
        <is>
          <t>cost of ops</t>
        </is>
      </c>
      <c r="B11" s="57" t="n">
        <v>207.58</v>
      </c>
    </row>
    <row r="12">
      <c r="A12" s="56" t="inlineStr">
        <is>
          <t>gp</t>
        </is>
      </c>
      <c r="B12" s="57" t="n">
        <v>26.2</v>
      </c>
    </row>
    <row r="13">
      <c r="A13" s="56" t="inlineStr">
        <is>
          <t>sga</t>
        </is>
      </c>
      <c r="B13" s="57" t="n">
        <v>21.29</v>
      </c>
    </row>
    <row r="14">
      <c r="A14" s="56" t="inlineStr">
        <is>
          <t>영업이익</t>
        </is>
      </c>
      <c r="B14" s="57" t="n">
        <v>4.9</v>
      </c>
    </row>
    <row r="15">
      <c r="A15" s="56" t="inlineStr">
        <is>
          <t>영업이익 직전</t>
        </is>
      </c>
      <c r="B15" s="57" t="n">
        <v>-1.07</v>
      </c>
    </row>
    <row r="16">
      <c r="A16" s="56" t="inlineStr">
        <is>
          <t>nonop inc</t>
        </is>
      </c>
      <c r="B16" s="57" t="n">
        <v>2.36</v>
      </c>
    </row>
    <row r="17">
      <c r="A17" s="56" t="inlineStr">
        <is>
          <t>nonop exp</t>
        </is>
      </c>
      <c r="B17" s="57" t="n">
        <v>1.36</v>
      </c>
    </row>
    <row r="18">
      <c r="A18" s="56" t="inlineStr">
        <is>
          <t>ordinary</t>
        </is>
      </c>
      <c r="B18" s="57" t="n">
        <v>5.91</v>
      </c>
    </row>
    <row r="19">
      <c r="A19" s="56" t="inlineStr">
        <is>
          <t>ordinary 직전</t>
        </is>
      </c>
      <c r="B19" s="57" t="n">
        <v>-3.7</v>
      </c>
    </row>
    <row r="20">
      <c r="A20" s="56" t="inlineStr">
        <is>
          <t>pbt</t>
        </is>
      </c>
      <c r="B20" s="57" t="n">
        <v>5.91</v>
      </c>
    </row>
    <row r="21">
      <c r="A21" s="56" t="inlineStr">
        <is>
          <t>tax</t>
        </is>
      </c>
      <c r="B21" s="57" t="n">
        <v>-0.46</v>
      </c>
    </row>
    <row r="22">
      <c r="A22" s="56" t="inlineStr">
        <is>
          <t>순이익</t>
        </is>
      </c>
      <c r="B22" s="57" t="n">
        <v>6.37</v>
      </c>
    </row>
    <row r="23">
      <c r="A23" s="56" t="inlineStr">
        <is>
          <t>순이익 직전</t>
        </is>
      </c>
      <c r="B23" s="57" t="n">
        <v>-1</v>
      </c>
    </row>
    <row r="24">
      <c r="A24" s="56" t="inlineStr">
        <is>
          <t>EPS</t>
        </is>
      </c>
      <c r="B24" s="57" t="n">
        <v>128.98</v>
      </c>
    </row>
    <row r="25">
      <c r="A25" s="56" t="inlineStr">
        <is>
          <t>EPS 직전</t>
        </is>
      </c>
      <c r="B25" s="57" t="n">
        <v>-26.7</v>
      </c>
    </row>
    <row r="26">
      <c r="A26" s="56" t="inlineStr">
        <is>
          <t>opex 합계</t>
        </is>
      </c>
      <c r="B26" s="57" t="n">
        <v>228.88</v>
      </c>
    </row>
    <row r="27">
      <c r="A27" s="56" t="inlineStr">
        <is>
          <t>opex YoY</t>
        </is>
      </c>
      <c r="B27" s="57" t="n">
        <v>6.2</v>
      </c>
    </row>
    <row r="29">
      <c r="A29" s="54" t="inlineStr">
        <is>
          <t>this results · 2Q standalone calc</t>
        </is>
      </c>
      <c r="B29" s="54" t="n"/>
      <c r="C29" s="54" t="n"/>
      <c r="D29" s="54" t="n"/>
      <c r="E29" s="54" t="n"/>
      <c r="F29" s="54" t="n"/>
      <c r="G29" s="54" t="n"/>
    </row>
    <row r="30">
      <c r="A30" s="55" t="inlineStr">
        <is>
          <t>항목</t>
        </is>
      </c>
      <c r="B30" s="55" t="inlineStr">
        <is>
          <t>값</t>
        </is>
      </c>
      <c r="G30" s="55" t="inlineStr">
        <is>
          <t>출처</t>
        </is>
      </c>
    </row>
    <row r="31">
      <c r="A31" s="56" t="inlineStr">
        <is>
          <t>매출</t>
        </is>
      </c>
      <c r="B31" s="57" t="n">
        <v>123.5</v>
      </c>
      <c r="G31" s="58" t="inlineStr">
        <is>
          <t>2단계 보고서 자료(회사 설명회 자료·공시)</t>
        </is>
      </c>
    </row>
    <row r="32">
      <c r="A32" s="56" t="inlineStr">
        <is>
          <t>매출 직전</t>
        </is>
      </c>
      <c r="B32" s="57" t="n">
        <v>110.6</v>
      </c>
    </row>
    <row r="33">
      <c r="A33" s="56" t="inlineStr">
        <is>
          <t>gp</t>
        </is>
      </c>
      <c r="B33" s="57" t="n">
        <v>27.7</v>
      </c>
    </row>
    <row r="34">
      <c r="A34" s="56" t="inlineStr">
        <is>
          <t>sga</t>
        </is>
      </c>
      <c r="B34" s="57" t="n">
        <v>11.6</v>
      </c>
    </row>
    <row r="35">
      <c r="A35" s="56" t="inlineStr">
        <is>
          <t>영업이익</t>
        </is>
      </c>
      <c r="B35" s="57" t="n">
        <v>16.1</v>
      </c>
    </row>
    <row r="36">
      <c r="A36" s="56" t="inlineStr">
        <is>
          <t>영업이익 직전</t>
        </is>
      </c>
      <c r="B36" s="57" t="n">
        <v>-0.7</v>
      </c>
    </row>
    <row r="37">
      <c r="A37" s="56" t="inlineStr">
        <is>
          <t>pbt</t>
        </is>
      </c>
      <c r="B37" s="57" t="n">
        <v>17.1</v>
      </c>
    </row>
    <row r="38">
      <c r="A38" s="56" t="inlineStr">
        <is>
          <t>순이익</t>
        </is>
      </c>
      <c r="B38" s="57" t="n">
        <v>14.5</v>
      </c>
    </row>
    <row r="40">
      <c r="A40" s="54" t="inlineStr">
        <is>
          <t>this results · 1Q</t>
        </is>
      </c>
      <c r="B40" s="54" t="n"/>
      <c r="C40" s="54" t="n"/>
      <c r="D40" s="54" t="n"/>
      <c r="E40" s="54" t="n"/>
      <c r="F40" s="54" t="n"/>
      <c r="G40" s="54" t="n"/>
    </row>
    <row r="41">
      <c r="A41" s="55" t="inlineStr">
        <is>
          <t>항목</t>
        </is>
      </c>
      <c r="B41" s="55" t="inlineStr">
        <is>
          <t>값</t>
        </is>
      </c>
      <c r="G41" s="55" t="inlineStr">
        <is>
          <t>출처</t>
        </is>
      </c>
    </row>
    <row r="42">
      <c r="A42" s="56" t="inlineStr">
        <is>
          <t>매출</t>
        </is>
      </c>
      <c r="B42" s="57" t="n">
        <v>110.3</v>
      </c>
      <c r="G42" s="58" t="inlineStr">
        <is>
          <t>2단계 보고서 자료(회사 설명회 자료·공시)</t>
        </is>
      </c>
    </row>
    <row r="43">
      <c r="A43" s="56" t="inlineStr">
        <is>
          <t>영업이익</t>
        </is>
      </c>
      <c r="B43" s="57" t="n">
        <v>-11.2</v>
      </c>
    </row>
    <row r="44">
      <c r="A44" s="56" t="inlineStr">
        <is>
          <t>순이익</t>
        </is>
      </c>
      <c r="B44" s="57" t="n">
        <v>-8.1</v>
      </c>
    </row>
    <row r="46">
      <c r="A46" s="54" t="inlineStr">
        <is>
          <t>this results · bs</t>
        </is>
      </c>
      <c r="B46" s="54" t="n"/>
      <c r="C46" s="54" t="n"/>
      <c r="D46" s="54" t="n"/>
      <c r="E46" s="54" t="n"/>
      <c r="F46" s="54" t="n"/>
      <c r="G46" s="54" t="n"/>
    </row>
    <row r="47">
      <c r="A47" s="55" t="inlineStr">
        <is>
          <t>항목</t>
        </is>
      </c>
      <c r="B47" s="55" t="inlineStr">
        <is>
          <t>값</t>
        </is>
      </c>
      <c r="G47" s="55" t="inlineStr">
        <is>
          <t>출처</t>
        </is>
      </c>
    </row>
    <row r="48">
      <c r="A48" s="56" t="inlineStr">
        <is>
          <t>합계 assets</t>
        </is>
      </c>
      <c r="B48" s="57" t="n">
        <v>363.92</v>
      </c>
      <c r="G48" s="58" t="inlineStr">
        <is>
          <t>2단계 보고서 자료(회사 설명회 자료·공시)</t>
        </is>
      </c>
    </row>
    <row r="49">
      <c r="A49" s="56" t="inlineStr">
        <is>
          <t>net assets</t>
        </is>
      </c>
      <c r="B49" s="57" t="n">
        <v>57.75</v>
      </c>
    </row>
    <row r="50">
      <c r="A50" s="56" t="inlineStr">
        <is>
          <t>equity ratio</t>
        </is>
      </c>
      <c r="B50" s="57" t="n">
        <v>15.9</v>
      </c>
    </row>
    <row r="51">
      <c r="A51" s="56" t="inlineStr">
        <is>
          <t>cash</t>
        </is>
      </c>
      <c r="B51" s="57" t="n">
        <v>99.3</v>
      </c>
    </row>
    <row r="52">
      <c r="A52" s="56" t="inlineStr">
        <is>
          <t>interest bearing debt</t>
        </is>
      </c>
      <c r="B52" s="57" t="n">
        <v>99.89</v>
      </c>
    </row>
    <row r="53">
      <c r="A53" s="56" t="inlineStr">
        <is>
          <t>maintenance reserve</t>
        </is>
      </c>
      <c r="B53" s="57" t="n">
        <v>125.4</v>
      </c>
    </row>
    <row r="54">
      <c r="A54" s="56" t="inlineStr">
        <is>
          <t>contract liab</t>
        </is>
      </c>
      <c r="B54" s="57" t="n">
        <v>10.17</v>
      </c>
    </row>
    <row r="55">
      <c r="A55" s="56" t="inlineStr">
        <is>
          <t>contract liab 직전</t>
        </is>
      </c>
      <c r="B55" s="57" t="n">
        <v>6.33</v>
      </c>
    </row>
    <row r="56">
      <c r="A56" s="56" t="inlineStr">
        <is>
          <t>deriv asset</t>
        </is>
      </c>
      <c r="B56" s="57" t="n">
        <v>21.89</v>
      </c>
    </row>
    <row r="57">
      <c r="A57" s="56" t="inlineStr">
        <is>
          <t>deferred hedge</t>
        </is>
      </c>
      <c r="B57" s="57" t="n">
        <v>14.37</v>
      </c>
    </row>
    <row r="59">
      <c r="A59" s="54" t="inlineStr">
        <is>
          <t>this results · cf 상반기</t>
        </is>
      </c>
      <c r="B59" s="54" t="n"/>
      <c r="C59" s="54" t="n"/>
      <c r="D59" s="54" t="n"/>
      <c r="E59" s="54" t="n"/>
      <c r="F59" s="54" t="n"/>
      <c r="G59" s="54" t="n"/>
    </row>
    <row r="60">
      <c r="A60" s="55" t="inlineStr">
        <is>
          <t>항목</t>
        </is>
      </c>
      <c r="B60" s="55" t="inlineStr">
        <is>
          <t>값</t>
        </is>
      </c>
      <c r="G60" s="55" t="inlineStr">
        <is>
          <t>출처</t>
        </is>
      </c>
    </row>
    <row r="61">
      <c r="A61" s="56" t="inlineStr">
        <is>
          <t>ocf</t>
        </is>
      </c>
      <c r="B61" s="57" t="n">
        <v>32.88</v>
      </c>
      <c r="G61" s="58" t="inlineStr">
        <is>
          <t>2단계 보고서 자료(회사 설명회 자료·공시)</t>
        </is>
      </c>
    </row>
    <row r="62">
      <c r="A62" s="56" t="inlineStr">
        <is>
          <t>ocf 직전</t>
        </is>
      </c>
      <c r="B62" s="57" t="n">
        <v>5.84</v>
      </c>
    </row>
    <row r="63">
      <c r="A63" s="56" t="inlineStr">
        <is>
          <t>icf</t>
        </is>
      </c>
      <c r="B63" s="57" t="n">
        <v>-10.23</v>
      </c>
    </row>
    <row r="64">
      <c r="A64" s="56" t="inlineStr">
        <is>
          <t>fin</t>
        </is>
      </c>
      <c r="B64" s="57" t="n">
        <v>-23.35</v>
      </c>
    </row>
    <row r="65">
      <c r="A65" s="56" t="inlineStr">
        <is>
          <t>dividends paid</t>
        </is>
      </c>
      <c r="B65" s="57" t="n">
        <v>-16.37</v>
      </c>
    </row>
    <row r="66">
      <c r="A66" s="56" t="inlineStr">
        <is>
          <t>dep</t>
        </is>
      </c>
      <c r="B66" s="57" t="n">
        <v>7.61</v>
      </c>
    </row>
    <row r="67">
      <c r="A67" s="56" t="inlineStr">
        <is>
          <t>dep 직전</t>
        </is>
      </c>
      <c r="B67" s="57" t="n">
        <v>5.1</v>
      </c>
    </row>
    <row r="69">
      <c r="A69" s="54" t="inlineStr">
        <is>
          <t>this results · 가이던스 fy27</t>
        </is>
      </c>
      <c r="B69" s="54" t="n"/>
      <c r="C69" s="54" t="n"/>
      <c r="D69" s="54" t="n"/>
      <c r="E69" s="54" t="n"/>
      <c r="F69" s="54" t="n"/>
      <c r="G69" s="54" t="n"/>
    </row>
    <row r="70">
      <c r="A70" s="55" t="inlineStr">
        <is>
          <t>항목</t>
        </is>
      </c>
      <c r="B70" s="55" t="inlineStr">
        <is>
          <t>값</t>
        </is>
      </c>
      <c r="G70" s="55" t="inlineStr">
        <is>
          <t>출처</t>
        </is>
      </c>
    </row>
    <row r="71">
      <c r="A71" s="56" t="inlineStr">
        <is>
          <t>매출</t>
        </is>
      </c>
      <c r="B71" s="57" t="n">
        <v>478.6</v>
      </c>
      <c r="G71" s="58" t="inlineStr">
        <is>
          <t>2단계 보고서 자료(회사 설명회 자료·공시)</t>
        </is>
      </c>
    </row>
    <row r="72">
      <c r="A72" s="56" t="inlineStr">
        <is>
          <t>매출 YoY</t>
        </is>
      </c>
      <c r="B72" s="57" t="n">
        <v>6.8</v>
      </c>
    </row>
    <row r="73">
      <c r="A73" s="56" t="inlineStr">
        <is>
          <t>영업이익</t>
        </is>
      </c>
      <c r="B73" s="57" t="n">
        <v>6.6</v>
      </c>
    </row>
    <row r="74">
      <c r="A74" s="56" t="inlineStr">
        <is>
          <t>영업이익 YoY</t>
        </is>
      </c>
      <c r="B74" s="57" t="n">
        <v>-52.5</v>
      </c>
    </row>
    <row r="75">
      <c r="A75" s="56" t="inlineStr">
        <is>
          <t>ordinary</t>
        </is>
      </c>
      <c r="B75" s="57" t="n">
        <v>6.1</v>
      </c>
    </row>
    <row r="76">
      <c r="A76" s="56" t="inlineStr">
        <is>
          <t>순이익</t>
        </is>
      </c>
      <c r="B76" s="57" t="n">
        <v>6</v>
      </c>
    </row>
    <row r="77">
      <c r="A77" s="56" t="inlineStr">
        <is>
          <t>순이익 YoY</t>
        </is>
      </c>
      <c r="B77" s="57" t="n">
        <v>38.2</v>
      </c>
    </row>
    <row r="78">
      <c r="A78" s="56" t="inlineStr">
        <is>
          <t>EPS</t>
        </is>
      </c>
      <c r="B78" s="57" t="n">
        <v>79.78</v>
      </c>
    </row>
    <row r="79">
      <c r="A79" s="56" t="inlineStr">
        <is>
          <t>dps</t>
        </is>
      </c>
      <c r="B79" s="59" t="n">
        <v>0</v>
      </c>
    </row>
    <row r="80">
      <c r="A80" s="56" t="inlineStr">
        <is>
          <t>revised</t>
        </is>
      </c>
      <c r="B80" s="59" t="b">
        <v>0</v>
      </c>
    </row>
    <row r="81">
      <c r="A81" s="56" t="inlineStr">
        <is>
          <t>progress 영업이익 %</t>
        </is>
      </c>
      <c r="B81" s="57" t="n">
        <v>74.2</v>
      </c>
    </row>
    <row r="83">
      <c r="A83" s="54" t="inlineStr">
        <is>
          <t>this results · shares</t>
        </is>
      </c>
      <c r="B83" s="54" t="n"/>
      <c r="C83" s="54" t="n"/>
      <c r="D83" s="54" t="n"/>
      <c r="E83" s="54" t="n"/>
      <c r="F83" s="54" t="n"/>
      <c r="G83" s="54" t="n"/>
    </row>
    <row r="84">
      <c r="A84" s="55" t="inlineStr">
        <is>
          <t>항목</t>
        </is>
      </c>
      <c r="B84" s="55" t="inlineStr">
        <is>
          <t>값</t>
        </is>
      </c>
      <c r="G84" s="55" t="inlineStr">
        <is>
          <t>출처</t>
        </is>
      </c>
    </row>
    <row r="85">
      <c r="A85" s="56" t="inlineStr">
        <is>
          <t>issued</t>
        </is>
      </c>
      <c r="B85" s="59" t="n">
        <v>3788242</v>
      </c>
      <c r="G85" s="58" t="inlineStr">
        <is>
          <t>2단계 보고서 자료(회사 설명회 자료·공시)</t>
        </is>
      </c>
    </row>
    <row r="86">
      <c r="A86" s="56" t="inlineStr">
        <is>
          <t>treasury</t>
        </is>
      </c>
      <c r="B86" s="59" t="n">
        <v>443</v>
      </c>
    </row>
    <row r="87">
      <c r="A87" s="56" t="inlineStr">
        <is>
          <t>avg 1h</t>
        </is>
      </c>
      <c r="B87" s="59" t="n">
        <v>3785181</v>
      </c>
    </row>
    <row r="89">
      <c r="A89" s="54" t="inlineStr">
        <is>
          <t>bs annual</t>
        </is>
      </c>
      <c r="B89" s="54" t="n"/>
      <c r="C89" s="54" t="n"/>
      <c r="D89" s="54" t="n"/>
      <c r="E89" s="54" t="n"/>
      <c r="F89" s="54" t="n"/>
      <c r="G89" s="54" t="n"/>
    </row>
    <row r="90">
      <c r="A90" s="55" t="inlineStr">
        <is>
          <t>항목</t>
        </is>
      </c>
      <c r="B90" s="55" t="inlineStr">
        <is>
          <t>2022</t>
        </is>
      </c>
      <c r="C90" s="55" t="inlineStr">
        <is>
          <t>2023</t>
        </is>
      </c>
      <c r="D90" s="55" t="inlineStr">
        <is>
          <t>2024</t>
        </is>
      </c>
      <c r="E90" s="55" t="inlineStr">
        <is>
          <t>2025</t>
        </is>
      </c>
      <c r="F90" s="55" t="inlineStr">
        <is>
          <t>2026</t>
        </is>
      </c>
      <c r="G90" s="55" t="inlineStr">
        <is>
          <t>출처</t>
        </is>
      </c>
    </row>
    <row r="91">
      <c r="A91" s="56" t="inlineStr">
        <is>
          <t>labels</t>
        </is>
      </c>
      <c r="B91" s="59" t="n">
        <v>2022</v>
      </c>
      <c r="C91" s="59" t="n">
        <v>2023</v>
      </c>
      <c r="D91" s="59" t="n">
        <v>2024</v>
      </c>
      <c r="E91" s="59" t="n">
        <v>2025</v>
      </c>
      <c r="F91" s="59" t="n">
        <v>2026</v>
      </c>
      <c r="G91" s="58" t="inlineStr">
        <is>
          <t>2단계 보고서 자료(회사 설명회 자료·공시)</t>
        </is>
      </c>
    </row>
    <row r="92">
      <c r="A92" s="56" t="inlineStr">
        <is>
          <t>current assets</t>
        </is>
      </c>
      <c r="B92" s="57" t="n">
        <v>114.1</v>
      </c>
      <c r="C92" s="57" t="n">
        <v>126.4</v>
      </c>
      <c r="D92" s="57" t="n">
        <v>154.1</v>
      </c>
      <c r="E92" s="57" t="n">
        <v>163.3</v>
      </c>
      <c r="F92" s="57" t="n">
        <v>205.7</v>
      </c>
    </row>
    <row r="93">
      <c r="A93" s="56" t="inlineStr">
        <is>
          <t>cash</t>
        </is>
      </c>
      <c r="B93" s="57" t="n">
        <v>64.40000000000001</v>
      </c>
      <c r="C93" s="57" t="n">
        <v>61.4</v>
      </c>
      <c r="D93" s="57" t="n">
        <v>86.5</v>
      </c>
      <c r="E93" s="57" t="n">
        <v>108.1</v>
      </c>
      <c r="F93" s="57" t="n">
        <v>100.5</v>
      </c>
    </row>
    <row r="94">
      <c r="A94" s="56" t="inlineStr">
        <is>
          <t>st fin</t>
        </is>
      </c>
      <c r="B94" s="60" t="n"/>
      <c r="C94" s="60" t="n"/>
      <c r="D94" s="60" t="n"/>
      <c r="E94" s="60" t="n"/>
      <c r="F94" s="60" t="n"/>
    </row>
    <row r="95">
      <c r="A95" s="56" t="inlineStr">
        <is>
          <t>receivables</t>
        </is>
      </c>
      <c r="B95" s="60" t="n"/>
      <c r="C95" s="60" t="n"/>
      <c r="D95" s="60" t="n"/>
      <c r="E95" s="60" t="n"/>
      <c r="F95" s="60" t="n"/>
    </row>
    <row r="96">
      <c r="A96" s="56" t="inlineStr">
        <is>
          <t>inventory</t>
        </is>
      </c>
      <c r="B96" s="57" t="n">
        <v>6.3</v>
      </c>
      <c r="C96" s="57" t="n">
        <v>5.8</v>
      </c>
      <c r="D96" s="57" t="n">
        <v>6.2</v>
      </c>
      <c r="E96" s="57" t="n">
        <v>6.9</v>
      </c>
      <c r="F96" s="57" t="n">
        <v>8.9</v>
      </c>
    </row>
    <row r="97">
      <c r="A97" s="56" t="inlineStr">
        <is>
          <t>noncurrent assets</t>
        </is>
      </c>
      <c r="B97" s="57" t="n">
        <v>86.7</v>
      </c>
      <c r="C97" s="57" t="n">
        <v>87.3</v>
      </c>
      <c r="D97" s="57" t="n">
        <v>81.5</v>
      </c>
      <c r="E97" s="57" t="n">
        <v>82</v>
      </c>
      <c r="F97" s="57" t="n">
        <v>163.3</v>
      </c>
    </row>
    <row r="98">
      <c r="A98" s="56" t="inlineStr">
        <is>
          <t>ppe</t>
        </is>
      </c>
      <c r="B98" s="57" t="n">
        <v>69.40000000000001</v>
      </c>
      <c r="C98" s="57" t="n">
        <v>63.8</v>
      </c>
      <c r="D98" s="57" t="n">
        <v>59</v>
      </c>
      <c r="E98" s="57" t="n">
        <v>54.5</v>
      </c>
      <c r="F98" s="57" t="n">
        <v>126.8</v>
      </c>
    </row>
    <row r="99">
      <c r="A99" s="56" t="inlineStr">
        <is>
          <t>intangibles</t>
        </is>
      </c>
      <c r="B99" s="57" t="n">
        <v>4.8</v>
      </c>
      <c r="C99" s="57" t="n">
        <v>4.6</v>
      </c>
      <c r="D99" s="57" t="n">
        <v>4.7</v>
      </c>
      <c r="E99" s="57" t="n">
        <v>7.5</v>
      </c>
      <c r="F99" s="57" t="n">
        <v>11</v>
      </c>
    </row>
    <row r="100">
      <c r="A100" s="56" t="inlineStr">
        <is>
          <t>inv property</t>
        </is>
      </c>
      <c r="B100" s="60" t="n"/>
      <c r="C100" s="60" t="n"/>
      <c r="D100" s="60" t="n"/>
      <c r="E100" s="60" t="n"/>
      <c r="F100" s="60" t="n"/>
    </row>
    <row r="101">
      <c r="A101" s="56" t="inlineStr">
        <is>
          <t>합계 assets</t>
        </is>
      </c>
      <c r="B101" s="57" t="n">
        <v>200.9</v>
      </c>
      <c r="C101" s="57" t="n">
        <v>213.7</v>
      </c>
      <c r="D101" s="57" t="n">
        <v>235.5</v>
      </c>
      <c r="E101" s="57" t="n">
        <v>245.3</v>
      </c>
      <c r="F101" s="57" t="n">
        <v>369</v>
      </c>
    </row>
    <row r="102">
      <c r="A102" s="56" t="inlineStr">
        <is>
          <t>current liab</t>
        </is>
      </c>
      <c r="B102" s="57" t="n">
        <v>46.8</v>
      </c>
      <c r="C102" s="57" t="n">
        <v>56.6</v>
      </c>
      <c r="D102" s="57" t="n">
        <v>69.2</v>
      </c>
      <c r="E102" s="57" t="n">
        <v>76.59999999999999</v>
      </c>
      <c r="F102" s="57" t="n">
        <v>65.7</v>
      </c>
    </row>
    <row r="103">
      <c r="A103" s="56" t="inlineStr">
        <is>
          <t>payables</t>
        </is>
      </c>
      <c r="B103" s="60" t="n"/>
      <c r="C103" s="60" t="n"/>
      <c r="D103" s="60" t="n"/>
      <c r="E103" s="60" t="n"/>
      <c r="F103" s="60" t="n"/>
    </row>
    <row r="104">
      <c r="A104" s="56" t="inlineStr">
        <is>
          <t>st debt</t>
        </is>
      </c>
      <c r="B104" s="57" t="n">
        <v>0</v>
      </c>
      <c r="C104" s="57" t="n">
        <v>0</v>
      </c>
      <c r="D104" s="57" t="n">
        <v>8</v>
      </c>
      <c r="E104" s="57" t="n">
        <v>0</v>
      </c>
      <c r="F104" s="60" t="n"/>
    </row>
    <row r="105">
      <c r="A105" s="56" t="inlineStr">
        <is>
          <t>noncurrent liab</t>
        </is>
      </c>
      <c r="B105" s="57" t="n">
        <v>140.5</v>
      </c>
      <c r="C105" s="57" t="n">
        <v>139.5</v>
      </c>
      <c r="D105" s="57" t="n">
        <v>134.1</v>
      </c>
      <c r="E105" s="57" t="n">
        <v>125.8</v>
      </c>
      <c r="F105" s="57" t="n">
        <v>231</v>
      </c>
    </row>
    <row r="106">
      <c r="A106" s="56" t="inlineStr">
        <is>
          <t>lt debt</t>
        </is>
      </c>
      <c r="B106" s="57" t="n">
        <v>26.4</v>
      </c>
      <c r="C106" s="57" t="n">
        <v>17.3</v>
      </c>
      <c r="D106" s="57" t="n">
        <v>26.1</v>
      </c>
      <c r="E106" s="57" t="n">
        <v>17.6</v>
      </c>
      <c r="F106" s="57" t="n">
        <v>11.4</v>
      </c>
    </row>
    <row r="107">
      <c r="A107" s="56" t="inlineStr">
        <is>
          <t>bonds</t>
        </is>
      </c>
      <c r="B107" s="60" t="n"/>
      <c r="C107" s="60" t="n"/>
      <c r="D107" s="60" t="n"/>
      <c r="E107" s="60" t="n"/>
      <c r="F107" s="60" t="n"/>
    </row>
    <row r="108">
      <c r="A108" s="56" t="inlineStr">
        <is>
          <t>합계 liab</t>
        </is>
      </c>
      <c r="B108" s="57" t="n">
        <v>187.3</v>
      </c>
      <c r="C108" s="57" t="n">
        <v>196.1</v>
      </c>
      <c r="D108" s="57" t="n">
        <v>203.3</v>
      </c>
      <c r="E108" s="57" t="n">
        <v>202.4</v>
      </c>
      <c r="F108" s="57" t="n">
        <v>296.7</v>
      </c>
    </row>
    <row r="109">
      <c r="A109" s="56" t="inlineStr">
        <is>
          <t>capital stock</t>
        </is>
      </c>
      <c r="B109" s="57" t="n">
        <v>13.9</v>
      </c>
      <c r="C109" s="57" t="n">
        <v>18.9</v>
      </c>
      <c r="D109" s="57" t="n">
        <v>18.9</v>
      </c>
      <c r="E109" s="57" t="n">
        <v>18.9</v>
      </c>
      <c r="F109" s="57" t="n">
        <v>20.8</v>
      </c>
    </row>
    <row r="110">
      <c r="A110" s="56" t="inlineStr">
        <is>
          <t>retained</t>
        </is>
      </c>
      <c r="B110" s="57" t="n">
        <v>-55.8</v>
      </c>
      <c r="C110" s="57" t="n">
        <v>-55.1</v>
      </c>
      <c r="D110" s="57" t="n">
        <v>-46</v>
      </c>
      <c r="E110" s="57" t="n">
        <v>-26.7</v>
      </c>
      <c r="F110" s="57" t="n">
        <v>4.3</v>
      </c>
    </row>
    <row r="111">
      <c r="A111" s="56" t="inlineStr">
        <is>
          <t>nci</t>
        </is>
      </c>
      <c r="B111" s="60" t="n"/>
      <c r="C111" s="60" t="n"/>
      <c r="D111" s="60" t="n"/>
      <c r="E111" s="60" t="n"/>
      <c r="F111" s="60" t="n"/>
    </row>
    <row r="112">
      <c r="A112" s="56" t="inlineStr">
        <is>
          <t>합계 equity</t>
        </is>
      </c>
      <c r="B112" s="57" t="n">
        <v>13.6</v>
      </c>
      <c r="C112" s="57" t="n">
        <v>17.6</v>
      </c>
      <c r="D112" s="57" t="n">
        <v>32.2</v>
      </c>
      <c r="E112" s="57" t="n">
        <v>42.9</v>
      </c>
      <c r="F112" s="57" t="n">
        <v>72.2</v>
      </c>
    </row>
    <row r="113">
      <c r="A113" s="56" t="inlineStr">
        <is>
          <t>current ltd</t>
        </is>
      </c>
      <c r="B113" s="57" t="n">
        <v>15.1</v>
      </c>
      <c r="C113" s="57" t="n">
        <v>12.1</v>
      </c>
      <c r="D113" s="57" t="n">
        <v>18</v>
      </c>
      <c r="E113" s="57" t="n">
        <v>8.5</v>
      </c>
      <c r="F113" s="57" t="n">
        <v>6.1</v>
      </c>
    </row>
    <row r="114">
      <c r="A114" s="56" t="inlineStr">
        <is>
          <t>equity owner</t>
        </is>
      </c>
      <c r="B114" s="57" t="n">
        <v>13.4</v>
      </c>
      <c r="C114" s="57" t="n">
        <v>17.5</v>
      </c>
      <c r="D114" s="57" t="n">
        <v>32.1</v>
      </c>
      <c r="E114" s="57" t="n">
        <v>42.8</v>
      </c>
      <c r="F114" s="57" t="n">
        <v>72.2</v>
      </c>
    </row>
    <row r="116">
      <c r="A116" s="54" t="inlineStr">
        <is>
          <t>cf annual</t>
        </is>
      </c>
      <c r="B116" s="54" t="n"/>
      <c r="C116" s="54" t="n"/>
      <c r="D116" s="54" t="n"/>
      <c r="E116" s="54" t="n"/>
      <c r="F116" s="54" t="n"/>
      <c r="G116" s="54" t="n"/>
    </row>
    <row r="117">
      <c r="A117" s="55" t="inlineStr">
        <is>
          <t>항목</t>
        </is>
      </c>
      <c r="B117" s="55" t="inlineStr">
        <is>
          <t>2022</t>
        </is>
      </c>
      <c r="C117" s="55" t="inlineStr">
        <is>
          <t>2023</t>
        </is>
      </c>
      <c r="D117" s="55" t="inlineStr">
        <is>
          <t>2024</t>
        </is>
      </c>
      <c r="E117" s="55" t="inlineStr">
        <is>
          <t>2025</t>
        </is>
      </c>
      <c r="F117" s="55" t="inlineStr">
        <is>
          <t>2026</t>
        </is>
      </c>
      <c r="G117" s="55" t="inlineStr">
        <is>
          <t>출처</t>
        </is>
      </c>
    </row>
    <row r="118">
      <c r="A118" s="56" t="inlineStr">
        <is>
          <t>labels</t>
        </is>
      </c>
      <c r="B118" s="59" t="n">
        <v>2022</v>
      </c>
      <c r="C118" s="59" t="n">
        <v>2023</v>
      </c>
      <c r="D118" s="59" t="n">
        <v>2024</v>
      </c>
      <c r="E118" s="59" t="n">
        <v>2025</v>
      </c>
      <c r="F118" s="59" t="n">
        <v>2026</v>
      </c>
      <c r="G118" s="58" t="inlineStr">
        <is>
          <t>2단계 보고서 자료(회사 설명회 자료·공시)</t>
        </is>
      </c>
    </row>
    <row r="119">
      <c r="A119" s="56" t="inlineStr">
        <is>
          <t>ocf</t>
        </is>
      </c>
      <c r="B119" s="57" t="n">
        <v>-52.3</v>
      </c>
      <c r="C119" s="57" t="n">
        <v>1.2</v>
      </c>
      <c r="D119" s="57" t="n">
        <v>5.3</v>
      </c>
      <c r="E119" s="57" t="n">
        <v>52.7</v>
      </c>
      <c r="F119" s="57" t="n">
        <v>15.6</v>
      </c>
    </row>
    <row r="120">
      <c r="A120" s="56" t="inlineStr">
        <is>
          <t>설비투자</t>
        </is>
      </c>
      <c r="B120" s="57" t="n">
        <v>0.4</v>
      </c>
      <c r="C120" s="57" t="n">
        <v>2</v>
      </c>
      <c r="D120" s="57" t="n">
        <v>3.5</v>
      </c>
      <c r="E120" s="57" t="n">
        <v>4.4</v>
      </c>
      <c r="F120" s="57" t="n">
        <v>6.4</v>
      </c>
    </row>
    <row r="121">
      <c r="A121" s="56" t="inlineStr">
        <is>
          <t>dividends</t>
        </is>
      </c>
      <c r="B121" s="57" t="n">
        <v>0.2</v>
      </c>
      <c r="C121" s="57" t="n">
        <v>0</v>
      </c>
      <c r="D121" s="60" t="n"/>
      <c r="E121" s="60" t="n"/>
      <c r="F121" s="60" t="n"/>
    </row>
    <row r="123">
      <c r="A123" s="54" t="inlineStr">
        <is>
          <t>가격 1y stats</t>
        </is>
      </c>
      <c r="B123" s="54" t="n"/>
      <c r="C123" s="54" t="n"/>
      <c r="D123" s="54" t="n"/>
      <c r="E123" s="54" t="n"/>
      <c r="F123" s="54" t="n"/>
      <c r="G123" s="54" t="n"/>
    </row>
    <row r="124">
      <c r="A124" s="55" t="inlineStr">
        <is>
          <t>항목</t>
        </is>
      </c>
      <c r="B124" s="55" t="inlineStr">
        <is>
          <t>값</t>
        </is>
      </c>
      <c r="G124" s="55" t="inlineStr">
        <is>
          <t>출처</t>
        </is>
      </c>
    </row>
    <row r="125">
      <c r="A125" s="56" t="inlineStr">
        <is>
          <t>chg 1y</t>
        </is>
      </c>
      <c r="B125" s="57" t="n">
        <v>-17.7</v>
      </c>
      <c r="G125" s="58" t="inlineStr">
        <is>
          <t>2단계 보고서 자료(회사 설명회 자료·공시)</t>
        </is>
      </c>
    </row>
    <row r="126">
      <c r="A126" s="56" t="inlineStr">
        <is>
          <t>ytd</t>
        </is>
      </c>
      <c r="B126" s="57" t="n">
        <v>-7.1</v>
      </c>
    </row>
    <row r="128">
      <c r="A128" s="54" t="inlineStr">
        <is>
          <t>비교 기업 · 가격 1y close last</t>
        </is>
      </c>
      <c r="B128" s="54" t="n"/>
      <c r="C128" s="54" t="n"/>
      <c r="D128" s="54" t="n"/>
      <c r="E128" s="54" t="n"/>
      <c r="F128" s="54" t="n"/>
      <c r="G128" s="54" t="n"/>
    </row>
    <row r="129">
      <c r="A129" s="55" t="inlineStr">
        <is>
          <t>항목</t>
        </is>
      </c>
      <c r="B129" s="55" t="inlineStr">
        <is>
          <t>값</t>
        </is>
      </c>
      <c r="G129" s="55" t="inlineStr">
        <is>
          <t>출처</t>
        </is>
      </c>
    </row>
    <row r="130">
      <c r="A130" s="56" t="inlineStr">
        <is>
          <t>9204</t>
        </is>
      </c>
      <c r="B130" s="59" t="n">
        <v>430</v>
      </c>
      <c r="G130" s="58" t="inlineStr">
        <is>
          <t>3사 모두 3월 결산. JAL은 IFRS(영업이익 칸 없음 — EBIT 별도 확인 필요). 스카이마크 일부 분기 매출 결측. ANA는 26.10.29 2Q 발표, 스카이마크 11.9, JAL 11.2 예정</t>
        </is>
      </c>
    </row>
    <row r="131">
      <c r="A131" s="56" t="inlineStr">
        <is>
          <t>9202</t>
        </is>
      </c>
      <c r="B131" s="59" t="n">
        <v>3043</v>
      </c>
    </row>
    <row r="132">
      <c r="A132" s="56" t="inlineStr">
        <is>
          <t>9201</t>
        </is>
      </c>
      <c r="B132" s="59" t="n">
        <v>3090</v>
      </c>
    </row>
    <row r="134">
      <c r="A134" s="54" t="inlineStr">
        <is>
          <t>filings</t>
        </is>
      </c>
      <c r="B134" s="54" t="n"/>
      <c r="C134" s="54" t="n"/>
      <c r="D134" s="54" t="n"/>
      <c r="E134" s="54" t="n"/>
      <c r="F134" s="54" t="n"/>
      <c r="G134" s="54" t="n"/>
    </row>
    <row r="135">
      <c r="A135" s="55" t="inlineStr">
        <is>
          <t>항목</t>
        </is>
      </c>
      <c r="B135" s="55" t="inlineStr">
        <is>
          <t>title</t>
        </is>
      </c>
      <c r="C135" s="55" t="inlineStr">
        <is>
          <t>doc</t>
        </is>
      </c>
      <c r="G135" s="55" t="inlineStr">
        <is>
          <t>출처</t>
        </is>
      </c>
    </row>
    <row r="136">
      <c r="A136" s="56" t="inlineStr">
        <is>
          <t>2026-10-30</t>
        </is>
      </c>
      <c r="B136" s="60" t="inlineStr">
        <is>
          <t>2027年３月期 第２四半期（中間期）決算短信〔日本基準〕(非連結)</t>
        </is>
      </c>
      <c r="C136" s="60" t="inlineStr">
        <is>
          <t>140120261029559707</t>
        </is>
      </c>
      <c r="G136" s="58" t="inlineStr">
        <is>
          <t>2단계 보고서 자료(회사 설명회 자료·공시)</t>
        </is>
      </c>
    </row>
    <row r="137">
      <c r="A137" s="56" t="inlineStr">
        <is>
          <t>2026-07-31</t>
        </is>
      </c>
      <c r="B137" s="60" t="inlineStr">
        <is>
          <t>2027年３月期 第１四半期決算短信〔日本基準〕(非連結)</t>
        </is>
      </c>
      <c r="C137" s="60" t="inlineStr">
        <is>
          <t>140120260730503495</t>
        </is>
      </c>
    </row>
    <row r="138">
      <c r="A138" s="56" t="inlineStr">
        <is>
          <t>2026-04-30</t>
        </is>
      </c>
      <c r="B138" s="60" t="inlineStr">
        <is>
          <t>2026年３月期 決算短信〔日本基準〕（非連結）</t>
        </is>
      </c>
      <c r="C138" s="60" t="inlineStr">
        <is>
          <t>140120260430514534</t>
        </is>
      </c>
    </row>
    <row r="139">
      <c r="A139" s="56" t="inlineStr">
        <is>
          <t>2026-01-30</t>
        </is>
      </c>
      <c r="B139" s="60" t="inlineStr">
        <is>
          <t>2026年３月期 第３四半期決算短信〔日本基準〕(非連結)</t>
        </is>
      </c>
      <c r="C139" s="60" t="inlineStr">
        <is>
          <t>140120260129541606</t>
        </is>
      </c>
    </row>
    <row r="140">
      <c r="A140" s="56" t="inlineStr">
        <is>
          <t>2025-10-31</t>
        </is>
      </c>
      <c r="B140" s="60" t="inlineStr">
        <is>
          <t>2026年３月期 第２四半期（中間期）決算短信〔日本基準〕(非連結)</t>
        </is>
      </c>
      <c r="C140" s="60" t="inlineStr">
        <is>
          <t>140120251030583198</t>
        </is>
      </c>
    </row>
    <row r="141">
      <c r="A141" s="56" t="inlineStr">
        <is>
          <t>2025-07-31</t>
        </is>
      </c>
      <c r="B141" s="60" t="inlineStr">
        <is>
          <t>2026年３月期 第１四半期決算短信〔日本基準〕(非連結)</t>
        </is>
      </c>
      <c r="C141" s="60" t="inlineStr">
        <is>
          <t>140120250730524223</t>
        </is>
      </c>
    </row>
    <row r="142">
      <c r="A142" s="56" t="inlineStr">
        <is>
          <t>2025-04-30</t>
        </is>
      </c>
      <c r="B142" s="60" t="inlineStr">
        <is>
          <t>2025年３月期 決算短信〔日本基準〕（非連結）</t>
        </is>
      </c>
      <c r="C142" s="60" t="inlineStr">
        <is>
          <t>140120250428526285</t>
        </is>
      </c>
    </row>
    <row r="143">
      <c r="A143" s="56" t="inlineStr">
        <is>
          <t>2025-01-31</t>
        </is>
      </c>
      <c r="B143" s="60" t="inlineStr">
        <is>
          <t>2025年３月期 第３四半期決算短信〔日本基準〕(非連結)</t>
        </is>
      </c>
      <c r="C143" s="60" t="inlineStr">
        <is>
          <t>140120250130558566</t>
        </is>
      </c>
    </row>
    <row r="144">
      <c r="A144" s="56" t="inlineStr">
        <is>
          <t>2024-10-31</t>
        </is>
      </c>
      <c r="B144" s="60" t="inlineStr">
        <is>
          <t>2025年３月期 第２四半期決算短信〔日本基準〕(非連結)</t>
        </is>
      </c>
      <c r="C144" s="60" t="inlineStr">
        <is>
          <t>140120241030506687</t>
        </is>
      </c>
    </row>
    <row r="145">
      <c r="A145" s="56" t="inlineStr">
        <is>
          <t>2024-07-31</t>
        </is>
      </c>
      <c r="B145" s="60" t="inlineStr">
        <is>
          <t>2025年３月期 第１四半期決算短信〔日本基準〕(非連結)</t>
        </is>
      </c>
      <c r="C145" s="60" t="inlineStr">
        <is>
          <t>140120240730558070</t>
        </is>
      </c>
    </row>
    <row r="146">
      <c r="A146" s="56" t="inlineStr">
        <is>
          <t>2024-04-30</t>
        </is>
      </c>
      <c r="B146" s="60" t="inlineStr">
        <is>
          <t>2024年３月期 決算短信〔日本基準〕(非連結)</t>
        </is>
      </c>
      <c r="C146" s="60" t="inlineStr">
        <is>
          <t>140120240426578794</t>
        </is>
      </c>
    </row>
    <row r="147">
      <c r="A147" s="56" t="inlineStr">
        <is>
          <t>2024-01-31</t>
        </is>
      </c>
      <c r="B147" s="60" t="inlineStr">
        <is>
          <t>2024年３月期 第３四半期決算短信〔日本基準〕(非連結)</t>
        </is>
      </c>
      <c r="C147" s="60" t="inlineStr">
        <is>
          <t>140120240130522243</t>
        </is>
      </c>
    </row>
    <row r="148">
      <c r="A148" s="56" t="inlineStr">
        <is>
          <t>2023-10-31</t>
        </is>
      </c>
      <c r="B148" s="60" t="inlineStr">
        <is>
          <t>2024年３月期 第２四半期決算短信〔日本基準〕(非連結)</t>
        </is>
      </c>
      <c r="C148" s="60" t="inlineStr">
        <is>
          <t>140120231030574948</t>
        </is>
      </c>
    </row>
    <row r="149">
      <c r="A149" s="56" t="inlineStr">
        <is>
          <t>2023-07-31</t>
        </is>
      </c>
      <c r="B149" s="60" t="inlineStr">
        <is>
          <t>2024年３月期 第１四半期決算短信〔日本基準〕(非連結)</t>
        </is>
      </c>
      <c r="C149" s="60" t="inlineStr">
        <is>
          <t>140120230724526030</t>
        </is>
      </c>
    </row>
    <row r="150">
      <c r="A150" s="56" t="inlineStr">
        <is>
          <t>2023-04-28</t>
        </is>
      </c>
      <c r="B150" s="60" t="inlineStr">
        <is>
          <t>2023年３月期 決算短信〔日本基準〕(非連結)</t>
        </is>
      </c>
      <c r="C150" s="60" t="inlineStr">
        <is>
          <t>140120230427555091</t>
        </is>
      </c>
    </row>
    <row r="151">
      <c r="A151" s="56" t="inlineStr">
        <is>
          <t>2023-01-31</t>
        </is>
      </c>
      <c r="B151" s="60" t="inlineStr">
        <is>
          <t>2023年３月期 第３四半期決算短信〔日本基準〕(非連結)</t>
        </is>
      </c>
      <c r="C151" s="60" t="inlineStr">
        <is>
          <t>140120230130596371</t>
        </is>
      </c>
    </row>
    <row r="152">
      <c r="A152" s="56" t="inlineStr">
        <is>
          <t>2022-04-28</t>
        </is>
      </c>
      <c r="B152" s="60" t="inlineStr">
        <is>
          <t>2022年３月期 決算短信〔日本基準〕(非連結)</t>
        </is>
      </c>
      <c r="C152" s="60" t="inlineStr">
        <is>
          <t>140120220427529808</t>
        </is>
      </c>
    </row>
    <row r="153">
      <c r="A153" s="56" t="inlineStr">
        <is>
          <t>2021-04-30</t>
        </is>
      </c>
      <c r="B153" s="60" t="inlineStr">
        <is>
          <t>2021年３月期 決算短信〔日本基準〕(非連結)</t>
        </is>
      </c>
      <c r="C153" s="60" t="inlineStr">
        <is>
          <t>140120210430404024</t>
        </is>
      </c>
    </row>
    <row r="154">
      <c r="A154" s="56" t="inlineStr">
        <is>
          <t>2020-04-30</t>
        </is>
      </c>
      <c r="B154" s="60" t="inlineStr">
        <is>
          <t>2020年３月期 決算短信〔日本基準〕(非連結)</t>
        </is>
      </c>
      <c r="C154" s="60" t="inlineStr">
        <is>
          <t>140120200428402049</t>
        </is>
      </c>
    </row>
    <row r="155">
      <c r="A155" s="56" t="inlineStr">
        <is>
          <t>2019-05-08</t>
        </is>
      </c>
      <c r="B155" s="60" t="inlineStr">
        <is>
          <t>2019年３月期 決算短信〔日本基準〕(非連結)</t>
        </is>
      </c>
      <c r="C155" s="60" t="inlineStr">
        <is>
          <t>140120190507416153</t>
        </is>
      </c>
    </row>
    <row r="156">
      <c r="A156" s="56" t="inlineStr">
        <is>
          <t>2018-04-27</t>
        </is>
      </c>
      <c r="B156" s="60" t="inlineStr">
        <is>
          <t>2018年３月期 決算短信〔日本基準〕(非連結)</t>
        </is>
      </c>
      <c r="C156" s="60" t="inlineStr">
        <is>
          <t>140120180427423376</t>
        </is>
      </c>
    </row>
    <row r="158">
      <c r="A158" s="54" t="inlineStr">
        <is>
          <t>reactions next day</t>
        </is>
      </c>
      <c r="B158" s="54" t="n"/>
      <c r="C158" s="54" t="n"/>
      <c r="D158" s="54" t="n"/>
      <c r="E158" s="54" t="n"/>
      <c r="F158" s="54" t="n"/>
      <c r="G158" s="54" t="n"/>
    </row>
    <row r="159">
      <c r="A159" s="55" t="inlineStr">
        <is>
          <t>항목</t>
        </is>
      </c>
      <c r="B159" s="55" t="inlineStr">
        <is>
          <t>기준일</t>
        </is>
      </c>
      <c r="C159" s="55" t="inlineStr">
        <is>
          <t>다음날</t>
        </is>
      </c>
      <c r="D159" s="55" t="inlineStr">
        <is>
          <t>등락%</t>
        </is>
      </c>
      <c r="G159" s="55" t="inlineStr">
        <is>
          <t>출처</t>
        </is>
      </c>
    </row>
    <row r="160">
      <c r="A160" s="56" t="inlineStr">
        <is>
          <t>2025-01-31</t>
        </is>
      </c>
      <c r="B160" s="60" t="inlineStr">
        <is>
          <t>2025-01-31</t>
        </is>
      </c>
      <c r="C160" s="60" t="inlineStr">
        <is>
          <t>2025-02-03</t>
        </is>
      </c>
      <c r="D160" s="57" t="n">
        <v>5.1</v>
      </c>
      <c r="G160" s="58" t="inlineStr">
        <is>
          <t>2단계 보고서 자료(회사 설명회 자료·공시)</t>
        </is>
      </c>
    </row>
    <row r="161">
      <c r="A161" s="56" t="inlineStr">
        <is>
          <t>2025-04-30</t>
        </is>
      </c>
      <c r="B161" s="60" t="inlineStr">
        <is>
          <t>2025-04-30</t>
        </is>
      </c>
      <c r="C161" s="60" t="inlineStr">
        <is>
          <t>2025-05-01</t>
        </is>
      </c>
      <c r="D161" s="57" t="n">
        <v>-5.7</v>
      </c>
    </row>
    <row r="162">
      <c r="A162" s="56" t="inlineStr">
        <is>
          <t>2025-07-31</t>
        </is>
      </c>
      <c r="B162" s="60" t="inlineStr">
        <is>
          <t>2025-07-31</t>
        </is>
      </c>
      <c r="C162" s="60" t="inlineStr">
        <is>
          <t>2025-08-01</t>
        </is>
      </c>
      <c r="D162" s="57" t="n">
        <v>-2.3</v>
      </c>
    </row>
    <row r="163">
      <c r="A163" s="56" t="inlineStr">
        <is>
          <t>2025-10-31</t>
        </is>
      </c>
      <c r="B163" s="60" t="inlineStr">
        <is>
          <t>2025-10-31</t>
        </is>
      </c>
      <c r="C163" s="60" t="inlineStr">
        <is>
          <t>2025-11-04</t>
        </is>
      </c>
      <c r="D163" s="57" t="n">
        <v>-8.800000000000001</v>
      </c>
    </row>
    <row r="164">
      <c r="A164" s="56" t="inlineStr">
        <is>
          <t>2026-01-30</t>
        </is>
      </c>
      <c r="B164" s="60" t="inlineStr">
        <is>
          <t>2026-01-30</t>
        </is>
      </c>
      <c r="C164" s="60" t="inlineStr">
        <is>
          <t>2026-02-02</t>
        </is>
      </c>
      <c r="D164" s="57" t="n">
        <v>-3.6</v>
      </c>
    </row>
    <row r="165">
      <c r="A165" s="56" t="inlineStr">
        <is>
          <t>2026-04-30</t>
        </is>
      </c>
      <c r="B165" s="60" t="inlineStr">
        <is>
          <t>2026-04-30</t>
        </is>
      </c>
      <c r="C165" s="60" t="inlineStr">
        <is>
          <t>2026-05-01</t>
        </is>
      </c>
      <c r="D165" s="57" t="n">
        <v>-0.3</v>
      </c>
    </row>
    <row r="166">
      <c r="A166" s="56" t="inlineStr">
        <is>
          <t>2026-07-31</t>
        </is>
      </c>
      <c r="B166" s="60" t="inlineStr">
        <is>
          <t>2026-07-31</t>
        </is>
      </c>
      <c r="C166" s="60" t="inlineStr">
        <is>
          <t>2026-08-03</t>
        </is>
      </c>
      <c r="D166" s="5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https://www2.jpx.co.jp/disc/92060/140120261029559707.pdf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https://www2.jpx.co.jp/disc/92060/140120260730503495.pdf</t>
        </is>
      </c>
    </row>
    <row r="6">
      <c r="A6" t="inlineStr">
        <is>
          <t>2026-04-30</t>
        </is>
      </c>
      <c r="B6" t="inlineStr">
        <is>
          <t>2026년 3월 결산기 연간 결산단신</t>
        </is>
      </c>
      <c r="C6" t="inlineStr">
        <is>
          <t>https://www2.jpx.co.jp/disc/92060/140120260430514534.pdf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https://www2.jpx.co.jp/disc/92060/140120260129541606.pdf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https://www2.jpx.co.jp/disc/92060/140120251030583198.pdf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https://www2.jpx.co.jp/disc/92060/140120250730524223.pdf</t>
        </is>
      </c>
    </row>
    <row r="10">
      <c r="A10" t="inlineStr">
        <is>
          <t>2025-04-30</t>
        </is>
      </c>
      <c r="B10" t="inlineStr">
        <is>
          <t>2025년 3월 결산기 연간 결산단신</t>
        </is>
      </c>
      <c r="C10" t="inlineStr">
        <is>
          <t>https://www2.jpx.co.jp/disc/92060/140120250428526285.pdf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https://www2.jpx.co.jp/disc/92060/140120250130558566.pdf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https://www2.jpx.co.jp/disc/92060/140120241030506687.pdf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https://www2.jpx.co.jp/disc/92060/140120240730558070.pdf</t>
        </is>
      </c>
    </row>
    <row r="14">
      <c r="A14" t="inlineStr">
        <is>
          <t>2024-04-30</t>
        </is>
      </c>
      <c r="B14" t="inlineStr">
        <is>
          <t>2024년 3월 결산기 연간 결산단신</t>
        </is>
      </c>
      <c r="C14" t="inlineStr">
        <is>
          <t>https://www2.jpx.co.jp/disc/92060/140120240426578794.pdf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https://www2.jpx.co.jp/disc/92060/140120240130522243.pdf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https://www2.jpx.co.jp/disc/92060/140120231030574948.pdf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https://www2.jpx.co.jp/disc/92060/140120230724526030.pdf</t>
        </is>
      </c>
    </row>
    <row r="18">
      <c r="A18" t="inlineStr">
        <is>
          <t>2023-04-28</t>
        </is>
      </c>
      <c r="B18" t="inlineStr">
        <is>
          <t>2023년 3월 결산기 연간 결산단신</t>
        </is>
      </c>
      <c r="C18" t="inlineStr">
        <is>
          <t>https://www2.jpx.co.jp/disc/92060/140120230427555091.pdf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https://www2.jpx.co.jp/disc/92060/140120230130596371.pdf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https://www2.jpx.co.jp/disc/92060/140120220427529808.pdf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https://www2.jpx.co.jp/disc/92060/140120210430404024.pdf</t>
        </is>
      </c>
    </row>
    <row r="22">
      <c r="A22" t="inlineStr">
        <is>
          <t>2020-04-30</t>
        </is>
      </c>
      <c r="B22" t="inlineStr">
        <is>
          <t>2020년 3월 결산기 연간 결산단신</t>
        </is>
      </c>
      <c r="C22" t="inlineStr">
        <is>
          <t>https://www2.jpx.co.jp/disc/92060/140120200428402049.pdf</t>
        </is>
      </c>
    </row>
    <row r="23">
      <c r="A23" t="inlineStr">
        <is>
          <t>2019-05-08</t>
        </is>
      </c>
      <c r="B23" t="inlineStr">
        <is>
          <t>2019년 3월 결산기 연간 결산단신</t>
        </is>
      </c>
      <c r="C23" t="inlineStr">
        <is>
          <t>https://www2.jpx.co.jp/disc/92060/140120190507416153.pdf</t>
        </is>
      </c>
    </row>
    <row r="24">
      <c r="A24" t="inlineStr">
        <is>
          <t>2018-04-27</t>
        </is>
      </c>
      <c r="B24" t="inlineStr">
        <is>
          <t>2018년 3월 결산기 연간 결산단신</t>
        </is>
      </c>
      <c r="C24" t="inlineStr">
        <is>
          <t>https://www2.jpx.co.jp/disc/92060/140120180427423376.pdf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9206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4Q16</t>
        </is>
      </c>
      <c r="C4" s="65" t="inlineStr">
        <is>
          <t>1Q17</t>
        </is>
      </c>
      <c r="D4" s="65" t="inlineStr">
        <is>
          <t>2Q17</t>
        </is>
      </c>
      <c r="E4" s="65" t="inlineStr">
        <is>
          <t>3Q17</t>
        </is>
      </c>
      <c r="F4" s="65" t="inlineStr">
        <is>
          <t>4Q17</t>
        </is>
      </c>
      <c r="G4" s="65" t="inlineStr">
        <is>
          <t>1Q18</t>
        </is>
      </c>
      <c r="H4" s="65" t="inlineStr">
        <is>
          <t>2Q18</t>
        </is>
      </c>
      <c r="I4" s="65" t="inlineStr">
        <is>
          <t>3Q18</t>
        </is>
      </c>
      <c r="J4" s="65" t="inlineStr">
        <is>
          <t>4Q18</t>
        </is>
      </c>
      <c r="K4" s="65" t="inlineStr">
        <is>
          <t>1Q19</t>
        </is>
      </c>
      <c r="L4" s="65" t="inlineStr">
        <is>
          <t>2Q19</t>
        </is>
      </c>
      <c r="M4" s="65" t="inlineStr">
        <is>
          <t>3Q19</t>
        </is>
      </c>
      <c r="N4" s="65" t="inlineStr">
        <is>
          <t>4Q19</t>
        </is>
      </c>
      <c r="O4" s="65" t="inlineStr">
        <is>
          <t>1Q20</t>
        </is>
      </c>
      <c r="P4" s="65" t="inlineStr">
        <is>
          <t>2Q20</t>
        </is>
      </c>
      <c r="Q4" s="65" t="inlineStr">
        <is>
          <t>3Q20</t>
        </is>
      </c>
      <c r="R4" s="65" t="inlineStr">
        <is>
          <t>4Q20</t>
        </is>
      </c>
      <c r="S4" s="65" t="inlineStr">
        <is>
          <t>1Q21</t>
        </is>
      </c>
      <c r="T4" s="65" t="inlineStr">
        <is>
          <t>2Q21</t>
        </is>
      </c>
      <c r="U4" s="65" t="inlineStr">
        <is>
          <t>3Q21</t>
        </is>
      </c>
      <c r="V4" s="65" t="inlineStr">
        <is>
          <t>4Q21</t>
        </is>
      </c>
      <c r="W4" s="65" t="inlineStr">
        <is>
          <t>1Q22</t>
        </is>
      </c>
      <c r="X4" s="65" t="inlineStr">
        <is>
          <t>2Q22</t>
        </is>
      </c>
      <c r="Y4" s="65" t="inlineStr">
        <is>
          <t>3Q22</t>
        </is>
      </c>
      <c r="Z4" s="65" t="inlineStr">
        <is>
          <t>4Q22</t>
        </is>
      </c>
      <c r="AA4" s="65" t="inlineStr">
        <is>
          <t>1Q23</t>
        </is>
      </c>
      <c r="AB4" s="65" t="inlineStr">
        <is>
          <t>2Q23</t>
        </is>
      </c>
      <c r="AC4" s="65" t="inlineStr">
        <is>
          <t>3Q23</t>
        </is>
      </c>
      <c r="AD4" s="65" t="inlineStr">
        <is>
          <t>4Q23</t>
        </is>
      </c>
      <c r="AE4" s="65" t="inlineStr">
        <is>
          <t>1Q24</t>
        </is>
      </c>
      <c r="AF4" s="65" t="inlineStr">
        <is>
          <t>2Q24</t>
        </is>
      </c>
      <c r="AG4" s="65" t="inlineStr">
        <is>
          <t>3Q24</t>
        </is>
      </c>
      <c r="AH4" s="65" t="inlineStr">
        <is>
          <t>4Q24</t>
        </is>
      </c>
      <c r="AI4" s="65" t="inlineStr">
        <is>
          <t>1Q25</t>
        </is>
      </c>
      <c r="AJ4" s="65" t="inlineStr">
        <is>
          <t>2Q25</t>
        </is>
      </c>
      <c r="AK4" s="65" t="inlineStr">
        <is>
          <t>3Q25</t>
        </is>
      </c>
      <c r="AL4" s="65" t="inlineStr">
        <is>
          <t>4Q25</t>
        </is>
      </c>
      <c r="AM4" s="65" t="inlineStr">
        <is>
          <t>1Q26</t>
        </is>
      </c>
      <c r="AN4" s="65" t="inlineStr">
        <is>
          <t>2Q26</t>
        </is>
      </c>
      <c r="AO4" s="65" t="inlineStr">
        <is>
          <t>3Q26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/>
      <c r="C5" s="67" t="n">
        <v>89.8</v>
      </c>
      <c r="D5" s="67" t="n">
        <v>88.7</v>
      </c>
      <c r="E5" s="67" t="n">
        <v>100.9</v>
      </c>
      <c r="F5" s="67" t="n">
        <v>97.7</v>
      </c>
      <c r="G5" s="67" t="n">
        <v>93.7</v>
      </c>
      <c r="H5" s="67" t="n">
        <v>89.7</v>
      </c>
      <c r="I5" s="67" t="n">
        <v>105.4</v>
      </c>
      <c r="J5" s="67" t="n">
        <v>103</v>
      </c>
      <c r="K5" s="67" t="n">
        <v>101.3</v>
      </c>
      <c r="L5" s="67" t="n">
        <v>96.8</v>
      </c>
      <c r="M5" s="67" t="n">
        <v>105.7</v>
      </c>
      <c r="N5" s="67" t="n">
        <v>108.7</v>
      </c>
      <c r="O5" s="67" t="n">
        <v>93</v>
      </c>
      <c r="P5" s="67" t="n">
        <v>31.8</v>
      </c>
      <c r="Q5" s="67" t="n">
        <v>46.7</v>
      </c>
      <c r="R5" s="67" t="n">
        <v>60.3</v>
      </c>
      <c r="S5" s="67" t="n">
        <v>44.1</v>
      </c>
      <c r="T5" s="67" t="n">
        <v>42.3</v>
      </c>
      <c r="U5" s="67" t="n">
        <v>49.2</v>
      </c>
      <c r="V5" s="67" t="n">
        <v>62.4</v>
      </c>
      <c r="W5" s="67" t="n">
        <v>57.4</v>
      </c>
      <c r="X5" s="67" t="n">
        <v>67.90000000000001</v>
      </c>
      <c r="Y5" s="67" t="n">
        <v>79.5</v>
      </c>
      <c r="Z5" s="67" t="n">
        <v>86.5</v>
      </c>
      <c r="AA5" s="67" t="n">
        <v>88.8</v>
      </c>
      <c r="AB5" s="67" t="n">
        <v>88.40000000000001</v>
      </c>
      <c r="AC5" s="67" t="n">
        <v>101.6</v>
      </c>
      <c r="AD5" s="67" t="n">
        <v>106.1</v>
      </c>
      <c r="AE5" s="67" t="n">
        <v>104.1</v>
      </c>
      <c r="AF5" s="67" t="n">
        <v>100.7</v>
      </c>
      <c r="AG5" s="67" t="n">
        <v>108</v>
      </c>
      <c r="AH5" s="67" t="n">
        <v>111.8</v>
      </c>
      <c r="AI5" s="67" t="n">
        <v>108.4</v>
      </c>
      <c r="AJ5" s="67" t="n">
        <v>103.9</v>
      </c>
      <c r="AK5" s="67" t="n">
        <v>110.6</v>
      </c>
      <c r="AL5" s="67" t="n">
        <v>117.2</v>
      </c>
      <c r="AM5" s="67" t="n">
        <v>116.2</v>
      </c>
      <c r="AN5" s="67" t="n">
        <v>110.3</v>
      </c>
      <c r="AO5" s="67" t="n">
        <v>123.5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/>
      <c r="G6" s="68" t="n">
        <v>4.3</v>
      </c>
      <c r="H6" s="68" t="n">
        <v>1.1</v>
      </c>
      <c r="I6" s="68" t="n">
        <v>4.5</v>
      </c>
      <c r="J6" s="68" t="n">
        <v>5.4</v>
      </c>
      <c r="K6" s="68" t="n">
        <v>8.1</v>
      </c>
      <c r="L6" s="68" t="n">
        <v>7.9</v>
      </c>
      <c r="M6" s="68" t="n">
        <v>0.3</v>
      </c>
      <c r="N6" s="68" t="n">
        <v>5.5</v>
      </c>
      <c r="O6" s="68" t="n">
        <v>-8.199999999999999</v>
      </c>
      <c r="P6" s="68" t="n">
        <v>-67.09999999999999</v>
      </c>
      <c r="Q6" s="68" t="n">
        <v>-55.8</v>
      </c>
      <c r="R6" s="68" t="n">
        <v>-44.5</v>
      </c>
      <c r="S6" s="68" t="n">
        <v>-52.6</v>
      </c>
      <c r="T6" s="68" t="n">
        <v>33</v>
      </c>
      <c r="U6" s="68" t="n">
        <v>5.4</v>
      </c>
      <c r="V6" s="68" t="n">
        <v>3.5</v>
      </c>
      <c r="W6" s="68" t="n">
        <v>30.2</v>
      </c>
      <c r="X6" s="68" t="n">
        <v>60.5</v>
      </c>
      <c r="Y6" s="68" t="n">
        <v>61.6</v>
      </c>
      <c r="Z6" s="68" t="n">
        <v>38.6</v>
      </c>
      <c r="AA6" s="68" t="n">
        <v>54.7</v>
      </c>
      <c r="AB6" s="68" t="n">
        <v>30.2</v>
      </c>
      <c r="AC6" s="68" t="n">
        <v>27.8</v>
      </c>
      <c r="AD6" s="68" t="n">
        <v>22.7</v>
      </c>
      <c r="AE6" s="68" t="n">
        <v>17.2</v>
      </c>
      <c r="AF6" s="68" t="n">
        <v>13.9</v>
      </c>
      <c r="AG6" s="68" t="n">
        <v>6.3</v>
      </c>
      <c r="AH6" s="68" t="n">
        <v>5.4</v>
      </c>
      <c r="AI6" s="68" t="n">
        <v>4.1</v>
      </c>
      <c r="AJ6" s="68" t="n">
        <v>3.2</v>
      </c>
      <c r="AK6" s="68" t="n">
        <v>2.4</v>
      </c>
      <c r="AL6" s="68" t="n">
        <v>4.8</v>
      </c>
      <c r="AM6" s="68" t="n">
        <v>7.2</v>
      </c>
      <c r="AN6" s="68" t="n">
        <v>6.2</v>
      </c>
      <c r="AO6" s="68" t="n">
        <v>11.7</v>
      </c>
    </row>
    <row r="7">
      <c r="A7" s="66" t="inlineStr">
        <is>
          <t>영업이익</t>
        </is>
      </c>
      <c r="B7" s="67" t="n"/>
      <c r="C7" s="67" t="n">
        <v>2.8</v>
      </c>
      <c r="D7" s="67" t="n">
        <v>5.6</v>
      </c>
      <c r="E7" s="67" t="n">
        <v>13.7</v>
      </c>
      <c r="F7" s="67" t="n">
        <v>8.5</v>
      </c>
      <c r="G7" s="67" t="n">
        <v>0.9</v>
      </c>
      <c r="H7" s="67" t="n">
        <v>-0.6</v>
      </c>
      <c r="I7" s="67" t="n">
        <v>10.2</v>
      </c>
      <c r="J7" s="67" t="n">
        <v>3.5</v>
      </c>
      <c r="K7" s="67" t="n">
        <v>-0.5</v>
      </c>
      <c r="L7" s="67" t="n">
        <v>1.2</v>
      </c>
      <c r="M7" s="67" t="n">
        <v>6.3</v>
      </c>
      <c r="N7" s="67" t="n">
        <v>-0.6</v>
      </c>
      <c r="O7" s="67" t="n">
        <v>-6.8</v>
      </c>
      <c r="P7" s="67" t="n">
        <v>-36.4</v>
      </c>
      <c r="Q7" s="67" t="n">
        <v>-27.1</v>
      </c>
      <c r="R7" s="67" t="n">
        <v>-12.1</v>
      </c>
      <c r="S7" s="67" t="n">
        <v>-36.8</v>
      </c>
      <c r="T7" s="67" t="n">
        <v>-19.2</v>
      </c>
      <c r="U7" s="67" t="n">
        <v>-17.4</v>
      </c>
      <c r="V7" s="67" t="n">
        <v>-5.3</v>
      </c>
      <c r="W7" s="67" t="n">
        <v>-22.7</v>
      </c>
      <c r="X7" s="67" t="n">
        <v>-17.1</v>
      </c>
      <c r="Y7" s="67" t="n">
        <v>-10.2</v>
      </c>
      <c r="Z7" s="67" t="n">
        <v>13.1</v>
      </c>
      <c r="AA7" s="67" t="n">
        <v>1.1</v>
      </c>
      <c r="AB7" s="67" t="n">
        <v>-21.5</v>
      </c>
      <c r="AC7" s="67" t="n">
        <v>4.4</v>
      </c>
      <c r="AD7" s="67" t="n">
        <v>14.6</v>
      </c>
      <c r="AE7" s="67" t="n">
        <v>3.4</v>
      </c>
      <c r="AF7" s="67" t="n">
        <v>-8.5</v>
      </c>
      <c r="AG7" s="67" t="n">
        <v>11.7</v>
      </c>
      <c r="AH7" s="67" t="n">
        <v>11.1</v>
      </c>
      <c r="AI7" s="67" t="n">
        <v>-1.9</v>
      </c>
      <c r="AJ7" s="67" t="n">
        <v>-0.4</v>
      </c>
      <c r="AK7" s="67" t="n">
        <v>-0.7</v>
      </c>
      <c r="AL7" s="67" t="n">
        <v>5.3</v>
      </c>
      <c r="AM7" s="67" t="n">
        <v>9.699999999999999</v>
      </c>
      <c r="AN7" s="67" t="n">
        <v>-11.2</v>
      </c>
      <c r="AO7" s="67" t="n">
        <v>16.1</v>
      </c>
    </row>
    <row r="8">
      <c r="A8" s="66" t="inlineStr">
        <is>
          <t>영업이익률</t>
        </is>
      </c>
      <c r="B8" s="68" t="n"/>
      <c r="C8" s="68" t="n">
        <v>3.1</v>
      </c>
      <c r="D8" s="68" t="n">
        <v>6.3</v>
      </c>
      <c r="E8" s="68" t="n">
        <v>13.6</v>
      </c>
      <c r="F8" s="68" t="n">
        <v>8.699999999999999</v>
      </c>
      <c r="G8" s="68" t="n">
        <v>1</v>
      </c>
      <c r="H8" s="68" t="n">
        <v>-0.7</v>
      </c>
      <c r="I8" s="68" t="n">
        <v>9.699999999999999</v>
      </c>
      <c r="J8" s="68" t="n">
        <v>3.4</v>
      </c>
      <c r="K8" s="68" t="n">
        <v>-0.5</v>
      </c>
      <c r="L8" s="68" t="n">
        <v>1.2</v>
      </c>
      <c r="M8" s="68" t="n">
        <v>6</v>
      </c>
      <c r="N8" s="68" t="n">
        <v>-0.6</v>
      </c>
      <c r="O8" s="68" t="n">
        <v>-7.3</v>
      </c>
      <c r="P8" s="68" t="n">
        <v>-114.5</v>
      </c>
      <c r="Q8" s="68" t="n">
        <v>-58</v>
      </c>
      <c r="R8" s="68" t="n">
        <v>-20.1</v>
      </c>
      <c r="S8" s="68" t="n">
        <v>-83.40000000000001</v>
      </c>
      <c r="T8" s="68" t="n">
        <v>-45.4</v>
      </c>
      <c r="U8" s="68" t="n">
        <v>-35.4</v>
      </c>
      <c r="V8" s="68" t="n">
        <v>-8.5</v>
      </c>
      <c r="W8" s="68" t="n">
        <v>-39.5</v>
      </c>
      <c r="X8" s="68" t="n">
        <v>-25.2</v>
      </c>
      <c r="Y8" s="68" t="n">
        <v>-12.8</v>
      </c>
      <c r="Z8" s="68" t="n">
        <v>15.1</v>
      </c>
      <c r="AA8" s="68" t="n">
        <v>1.2</v>
      </c>
      <c r="AB8" s="68" t="n">
        <v>-24.3</v>
      </c>
      <c r="AC8" s="68" t="n">
        <v>4.3</v>
      </c>
      <c r="AD8" s="68" t="n">
        <v>13.8</v>
      </c>
      <c r="AE8" s="68" t="n">
        <v>3.3</v>
      </c>
      <c r="AF8" s="68" t="n">
        <v>-8.4</v>
      </c>
      <c r="AG8" s="68" t="n">
        <v>10.8</v>
      </c>
      <c r="AH8" s="68" t="n">
        <v>9.9</v>
      </c>
      <c r="AI8" s="68" t="n">
        <v>-1.8</v>
      </c>
      <c r="AJ8" s="68" t="n">
        <v>-0.4</v>
      </c>
      <c r="AK8" s="68" t="n">
        <v>-0.6</v>
      </c>
      <c r="AL8" s="68" t="n">
        <v>4.5</v>
      </c>
      <c r="AM8" s="68" t="n">
        <v>8.300000000000001</v>
      </c>
      <c r="AN8" s="68" t="n">
        <v>-10.2</v>
      </c>
      <c r="AO8" s="68" t="n">
        <v>13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/>
      <c r="G9" s="68" t="n">
        <v>-67.90000000000001</v>
      </c>
      <c r="H9" s="68" t="n">
        <v>-110.7</v>
      </c>
      <c r="I9" s="68" t="n">
        <v>-25.5</v>
      </c>
      <c r="J9" s="68" t="n">
        <v>-58.8</v>
      </c>
      <c r="K9" s="68" t="n">
        <v>-155.6</v>
      </c>
      <c r="L9" s="68" t="n"/>
      <c r="M9" s="68" t="n">
        <v>-38.2</v>
      </c>
      <c r="N9" s="68" t="n">
        <v>-117.1</v>
      </c>
      <c r="O9" s="68" t="n"/>
      <c r="P9" s="68" t="n">
        <v>-3133.3</v>
      </c>
      <c r="Q9" s="68" t="n">
        <v>-530.2</v>
      </c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>
        <v>11.5</v>
      </c>
      <c r="AE9" s="68" t="n">
        <v>209.1</v>
      </c>
      <c r="AF9" s="68" t="n"/>
      <c r="AG9" s="68" t="n">
        <v>165.9</v>
      </c>
      <c r="AH9" s="68" t="n">
        <v>-24</v>
      </c>
      <c r="AI9" s="68" t="n">
        <v>-155.9</v>
      </c>
      <c r="AJ9" s="68" t="n"/>
      <c r="AK9" s="68" t="n">
        <v>-106</v>
      </c>
      <c r="AL9" s="68" t="n">
        <v>-52.3</v>
      </c>
      <c r="AM9" s="68" t="n"/>
      <c r="AN9" s="68" t="n"/>
      <c r="AO9" s="68" t="n"/>
    </row>
    <row r="10">
      <c r="A10" s="66" t="inlineStr">
        <is>
          <t>유동자산</t>
        </is>
      </c>
      <c r="B10" s="67" t="n"/>
      <c r="C10" s="67" t="n">
        <v>95.3</v>
      </c>
      <c r="D10" s="67" t="n"/>
      <c r="E10" s="67" t="n"/>
      <c r="F10" s="67" t="n">
        <v>111.4</v>
      </c>
      <c r="G10" s="67" t="n">
        <v>122.1</v>
      </c>
      <c r="H10" s="67" t="n">
        <v>110.4</v>
      </c>
      <c r="I10" s="67" t="n">
        <v>131.3</v>
      </c>
      <c r="J10" s="67" t="n">
        <v>115.9</v>
      </c>
      <c r="K10" s="67" t="n">
        <v>126.3</v>
      </c>
      <c r="L10" s="67" t="n">
        <v>116.6</v>
      </c>
      <c r="M10" s="67" t="n">
        <v>127.2</v>
      </c>
      <c r="N10" s="67" t="n">
        <v>130.3</v>
      </c>
      <c r="O10" s="67" t="n">
        <v>150.8</v>
      </c>
      <c r="P10" s="67" t="n">
        <v>127.3</v>
      </c>
      <c r="Q10" s="67" t="n">
        <v>141.3</v>
      </c>
      <c r="R10" s="67" t="n">
        <v>139.7</v>
      </c>
      <c r="S10" s="67" t="n">
        <v>202.3</v>
      </c>
      <c r="T10" s="67" t="n">
        <v>156.5</v>
      </c>
      <c r="U10" s="67" t="n">
        <v>137.8</v>
      </c>
      <c r="V10" s="67" t="n">
        <v>119.4</v>
      </c>
      <c r="W10" s="67" t="n">
        <v>114.1</v>
      </c>
      <c r="X10" s="67" t="n">
        <v>125.2</v>
      </c>
      <c r="Y10" s="67" t="n">
        <v>133.2</v>
      </c>
      <c r="Z10" s="67" t="n">
        <v>123.7</v>
      </c>
      <c r="AA10" s="67" t="n">
        <v>126.4</v>
      </c>
      <c r="AB10" s="67" t="n">
        <v>118.5</v>
      </c>
      <c r="AC10" s="67" t="n">
        <v>133.6</v>
      </c>
      <c r="AD10" s="67" t="n">
        <v>128.1</v>
      </c>
      <c r="AE10" s="67" t="n">
        <v>154.1</v>
      </c>
      <c r="AF10" s="67" t="n">
        <v>162.1</v>
      </c>
      <c r="AG10" s="67" t="n">
        <v>148.3</v>
      </c>
      <c r="AH10" s="67" t="n">
        <v>157.5</v>
      </c>
      <c r="AI10" s="67" t="n">
        <v>163.3</v>
      </c>
      <c r="AJ10" s="67" t="n">
        <v>164</v>
      </c>
      <c r="AK10" s="67" t="n">
        <v>174.8</v>
      </c>
      <c r="AL10" s="67" t="n">
        <v>183.8</v>
      </c>
      <c r="AM10" s="67" t="n">
        <v>205.7</v>
      </c>
      <c r="AN10" s="67" t="n">
        <v>167.7</v>
      </c>
      <c r="AO10" s="67" t="n">
        <v>192.5</v>
      </c>
    </row>
    <row r="11">
      <c r="A11" s="66" t="inlineStr">
        <is>
          <t>유동부채</t>
        </is>
      </c>
      <c r="B11" s="67" t="n"/>
      <c r="C11" s="67" t="n">
        <v>66</v>
      </c>
      <c r="D11" s="67" t="n"/>
      <c r="E11" s="67" t="n"/>
      <c r="F11" s="67" t="n">
        <v>59</v>
      </c>
      <c r="G11" s="67" t="n">
        <v>72.59999999999999</v>
      </c>
      <c r="H11" s="67" t="n">
        <v>59.6</v>
      </c>
      <c r="I11" s="67" t="n">
        <v>72.3</v>
      </c>
      <c r="J11" s="67" t="n">
        <v>69.90000000000001</v>
      </c>
      <c r="K11" s="67" t="n">
        <v>72.8</v>
      </c>
      <c r="L11" s="67" t="n">
        <v>65.2</v>
      </c>
      <c r="M11" s="67" t="n">
        <v>71.09999999999999</v>
      </c>
      <c r="N11" s="67" t="n">
        <v>64.3</v>
      </c>
      <c r="O11" s="67" t="n">
        <v>76.09999999999999</v>
      </c>
      <c r="P11" s="67" t="n">
        <v>71.7</v>
      </c>
      <c r="Q11" s="67" t="n">
        <v>109</v>
      </c>
      <c r="R11" s="67" t="n">
        <v>119.2</v>
      </c>
      <c r="S11" s="67" t="n">
        <v>121</v>
      </c>
      <c r="T11" s="67" t="n">
        <v>92.3</v>
      </c>
      <c r="U11" s="67" t="n">
        <v>80.8</v>
      </c>
      <c r="V11" s="67" t="n">
        <v>54.5</v>
      </c>
      <c r="W11" s="67" t="n">
        <v>46.8</v>
      </c>
      <c r="X11" s="67" t="n">
        <v>44.4</v>
      </c>
      <c r="Y11" s="67" t="n">
        <v>50.7</v>
      </c>
      <c r="Z11" s="67" t="n">
        <v>56.1</v>
      </c>
      <c r="AA11" s="67" t="n">
        <v>56.6</v>
      </c>
      <c r="AB11" s="67" t="n">
        <v>67.7</v>
      </c>
      <c r="AC11" s="67" t="n">
        <v>65.59999999999999</v>
      </c>
      <c r="AD11" s="67" t="n">
        <v>65.40000000000001</v>
      </c>
      <c r="AE11" s="67" t="n">
        <v>69.2</v>
      </c>
      <c r="AF11" s="67" t="n">
        <v>72</v>
      </c>
      <c r="AG11" s="67" t="n">
        <v>74.3</v>
      </c>
      <c r="AH11" s="67" t="n">
        <v>64.40000000000001</v>
      </c>
      <c r="AI11" s="67" t="n">
        <v>76.59999999999999</v>
      </c>
      <c r="AJ11" s="67" t="n">
        <v>78.8</v>
      </c>
      <c r="AK11" s="67" t="n">
        <v>74.7</v>
      </c>
      <c r="AL11" s="67" t="n">
        <v>75</v>
      </c>
      <c r="AM11" s="67" t="n">
        <v>65.7</v>
      </c>
      <c r="AN11" s="67" t="n">
        <v>75.7</v>
      </c>
      <c r="AO11" s="67" t="n">
        <v>82.90000000000001</v>
      </c>
    </row>
    <row r="12">
      <c r="A12" s="66" t="inlineStr">
        <is>
          <t>부채총계</t>
        </is>
      </c>
      <c r="B12" s="67" t="n"/>
      <c r="C12" s="67" t="n">
        <v>157.1</v>
      </c>
      <c r="D12" s="67" t="n"/>
      <c r="E12" s="67" t="n"/>
      <c r="F12" s="67" t="n">
        <v>151.7</v>
      </c>
      <c r="G12" s="67" t="n">
        <v>166.7</v>
      </c>
      <c r="H12" s="67" t="n">
        <v>181.2</v>
      </c>
      <c r="I12" s="67" t="n">
        <v>195.4</v>
      </c>
      <c r="J12" s="67" t="n">
        <v>192.6</v>
      </c>
      <c r="K12" s="67" t="n">
        <v>195.5</v>
      </c>
      <c r="L12" s="67" t="n">
        <v>184.8</v>
      </c>
      <c r="M12" s="67" t="n">
        <v>190.6</v>
      </c>
      <c r="N12" s="67" t="n">
        <v>186.9</v>
      </c>
      <c r="O12" s="67" t="n">
        <v>227.2</v>
      </c>
      <c r="P12" s="67" t="n">
        <v>229.7</v>
      </c>
      <c r="Q12" s="67" t="n">
        <v>265.5</v>
      </c>
      <c r="R12" s="67" t="n">
        <v>267.6</v>
      </c>
      <c r="S12" s="67" t="n">
        <v>264.9</v>
      </c>
      <c r="T12" s="67" t="n">
        <v>226.8</v>
      </c>
      <c r="U12" s="67" t="n">
        <v>206.7</v>
      </c>
      <c r="V12" s="67" t="n">
        <v>181.9</v>
      </c>
      <c r="W12" s="67" t="n">
        <v>187.3</v>
      </c>
      <c r="X12" s="67" t="n">
        <v>199.3</v>
      </c>
      <c r="Y12" s="67" t="n">
        <v>211.7</v>
      </c>
      <c r="Z12" s="67" t="n">
        <v>198.7</v>
      </c>
      <c r="AA12" s="67" t="n">
        <v>196.1</v>
      </c>
      <c r="AB12" s="67" t="n">
        <v>202.5</v>
      </c>
      <c r="AC12" s="67" t="n">
        <v>204.9</v>
      </c>
      <c r="AD12" s="67" t="n">
        <v>191.3</v>
      </c>
      <c r="AE12" s="67" t="n">
        <v>203.3</v>
      </c>
      <c r="AF12" s="67" t="n">
        <v>216</v>
      </c>
      <c r="AG12" s="67" t="n">
        <v>200.2</v>
      </c>
      <c r="AH12" s="67" t="n">
        <v>190.3</v>
      </c>
      <c r="AI12" s="67" t="n">
        <v>202.4</v>
      </c>
      <c r="AJ12" s="67" t="n">
        <v>205.3</v>
      </c>
      <c r="AK12" s="67" t="n">
        <v>294.3</v>
      </c>
      <c r="AL12" s="67" t="n">
        <v>297.9</v>
      </c>
      <c r="AM12" s="67" t="n">
        <v>296.7</v>
      </c>
      <c r="AN12" s="67" t="n">
        <v>303.9</v>
      </c>
      <c r="AO12" s="67" t="n">
        <v>306.2</v>
      </c>
    </row>
    <row r="13">
      <c r="A13" s="66" t="inlineStr">
        <is>
          <t>자기자본</t>
        </is>
      </c>
      <c r="B13" s="68" t="n"/>
      <c r="C13" s="68" t="n">
        <v>62.9</v>
      </c>
      <c r="D13" s="68" t="n"/>
      <c r="E13" s="68" t="n"/>
      <c r="F13" s="68" t="n">
        <v>84.09999999999999</v>
      </c>
      <c r="G13" s="68" t="n">
        <v>81.2</v>
      </c>
      <c r="H13" s="68" t="n">
        <v>83.5</v>
      </c>
      <c r="I13" s="68" t="n">
        <v>91.09999999999999</v>
      </c>
      <c r="J13" s="68" t="n">
        <v>81.7</v>
      </c>
      <c r="K13" s="68" t="n">
        <v>85.40000000000001</v>
      </c>
      <c r="L13" s="68" t="n">
        <v>82.2</v>
      </c>
      <c r="M13" s="68" t="n">
        <v>88.90000000000001</v>
      </c>
      <c r="N13" s="68" t="n">
        <v>89.5</v>
      </c>
      <c r="O13" s="68" t="n">
        <v>67.5</v>
      </c>
      <c r="P13" s="68" t="n">
        <v>32.6</v>
      </c>
      <c r="Q13" s="68" t="n">
        <v>7.8</v>
      </c>
      <c r="R13" s="68" t="n">
        <v>0.9</v>
      </c>
      <c r="S13" s="68" t="n">
        <v>62.8</v>
      </c>
      <c r="T13" s="68" t="n">
        <v>42.2</v>
      </c>
      <c r="U13" s="68" t="n">
        <v>30.4</v>
      </c>
      <c r="V13" s="68" t="n">
        <v>25.5</v>
      </c>
      <c r="W13" s="68" t="n">
        <v>13.6</v>
      </c>
      <c r="X13" s="68" t="n">
        <v>12</v>
      </c>
      <c r="Y13" s="68" t="n">
        <v>4.8</v>
      </c>
      <c r="Z13" s="68" t="n">
        <v>6.5</v>
      </c>
      <c r="AA13" s="68" t="n">
        <v>17.6</v>
      </c>
      <c r="AB13" s="68" t="n">
        <v>4.5</v>
      </c>
      <c r="AC13" s="68" t="n">
        <v>14.3</v>
      </c>
      <c r="AD13" s="68" t="n">
        <v>21.2</v>
      </c>
      <c r="AE13" s="68" t="n">
        <v>32.2</v>
      </c>
      <c r="AF13" s="68" t="n">
        <v>26.8</v>
      </c>
      <c r="AG13" s="68" t="n">
        <v>29.4</v>
      </c>
      <c r="AH13" s="68" t="n">
        <v>48.7</v>
      </c>
      <c r="AI13" s="68" t="n">
        <v>42.9</v>
      </c>
      <c r="AJ13" s="68" t="n">
        <v>42.9</v>
      </c>
      <c r="AK13" s="68" t="n">
        <v>45.1</v>
      </c>
      <c r="AL13" s="68" t="n">
        <v>47.3</v>
      </c>
      <c r="AM13" s="68" t="n">
        <v>72.2</v>
      </c>
      <c r="AN13" s="68" t="n">
        <v>36.3</v>
      </c>
      <c r="AO13" s="68" t="n">
        <v>57.8</v>
      </c>
    </row>
    <row r="14">
      <c r="A14" s="66" t="inlineStr">
        <is>
          <t>유동비율</t>
        </is>
      </c>
      <c r="B14" s="68" t="n"/>
      <c r="C14" s="68" t="n">
        <v>144.4</v>
      </c>
      <c r="D14" s="68" t="n"/>
      <c r="E14" s="68" t="n"/>
      <c r="F14" s="68" t="n">
        <v>188.8</v>
      </c>
      <c r="G14" s="68" t="n">
        <v>168.2</v>
      </c>
      <c r="H14" s="68" t="n">
        <v>185.2</v>
      </c>
      <c r="I14" s="68" t="n">
        <v>181.6</v>
      </c>
      <c r="J14" s="68" t="n">
        <v>165.8</v>
      </c>
      <c r="K14" s="68" t="n">
        <v>173.5</v>
      </c>
      <c r="L14" s="68" t="n">
        <v>178.8</v>
      </c>
      <c r="M14" s="68" t="n">
        <v>178.9</v>
      </c>
      <c r="N14" s="68" t="n">
        <v>202.6</v>
      </c>
      <c r="O14" s="68" t="n">
        <v>198.2</v>
      </c>
      <c r="P14" s="68" t="n">
        <v>177.5</v>
      </c>
      <c r="Q14" s="68" t="n">
        <v>129.6</v>
      </c>
      <c r="R14" s="68" t="n">
        <v>117.2</v>
      </c>
      <c r="S14" s="68" t="n">
        <v>167.2</v>
      </c>
      <c r="T14" s="68" t="n">
        <v>169.6</v>
      </c>
      <c r="U14" s="68" t="n">
        <v>170.5</v>
      </c>
      <c r="V14" s="68" t="n">
        <v>219.1</v>
      </c>
      <c r="W14" s="68" t="n">
        <v>243.8</v>
      </c>
      <c r="X14" s="68" t="n">
        <v>282</v>
      </c>
      <c r="Y14" s="68" t="n">
        <v>262.7</v>
      </c>
      <c r="Z14" s="68" t="n">
        <v>220.5</v>
      </c>
      <c r="AA14" s="68" t="n">
        <v>223.3</v>
      </c>
      <c r="AB14" s="68" t="n">
        <v>175</v>
      </c>
      <c r="AC14" s="68" t="n">
        <v>203.7</v>
      </c>
      <c r="AD14" s="68" t="n">
        <v>195.9</v>
      </c>
      <c r="AE14" s="68" t="n">
        <v>222.7</v>
      </c>
      <c r="AF14" s="68" t="n">
        <v>225.1</v>
      </c>
      <c r="AG14" s="68" t="n">
        <v>199.6</v>
      </c>
      <c r="AH14" s="68" t="n">
        <v>244.6</v>
      </c>
      <c r="AI14" s="68" t="n">
        <v>213.2</v>
      </c>
      <c r="AJ14" s="68" t="n">
        <v>208.1</v>
      </c>
      <c r="AK14" s="68" t="n">
        <v>234</v>
      </c>
      <c r="AL14" s="68" t="n">
        <v>245.1</v>
      </c>
      <c r="AM14" s="68" t="n">
        <v>313.1</v>
      </c>
      <c r="AN14" s="68" t="n">
        <v>221.5</v>
      </c>
      <c r="AO14" s="68" t="n">
        <v>232.2</v>
      </c>
    </row>
    <row r="15">
      <c r="A15" s="66" t="inlineStr">
        <is>
          <t>부채비율</t>
        </is>
      </c>
      <c r="B15" s="68" t="n"/>
      <c r="C15" s="68" t="n">
        <v>249.8</v>
      </c>
      <c r="D15" s="68" t="n"/>
      <c r="E15" s="68" t="n"/>
      <c r="F15" s="68" t="n">
        <v>180.4</v>
      </c>
      <c r="G15" s="68" t="n">
        <v>205.3</v>
      </c>
      <c r="H15" s="68" t="n">
        <v>217</v>
      </c>
      <c r="I15" s="68" t="n">
        <v>214.5</v>
      </c>
      <c r="J15" s="68" t="n">
        <v>235.7</v>
      </c>
      <c r="K15" s="68" t="n">
        <v>228.9</v>
      </c>
      <c r="L15" s="68" t="n">
        <v>224.8</v>
      </c>
      <c r="M15" s="68" t="n">
        <v>214.4</v>
      </c>
      <c r="N15" s="68" t="n">
        <v>208.8</v>
      </c>
      <c r="O15" s="68" t="n">
        <v>336.6</v>
      </c>
      <c r="P15" s="68" t="n">
        <v>704.6</v>
      </c>
      <c r="Q15" s="68" t="n">
        <v>3403.8</v>
      </c>
      <c r="R15" s="68" t="n">
        <v>29733.3</v>
      </c>
      <c r="S15" s="68" t="n">
        <v>421.8</v>
      </c>
      <c r="T15" s="68" t="n">
        <v>537.4</v>
      </c>
      <c r="U15" s="68" t="n">
        <v>679.9</v>
      </c>
      <c r="V15" s="68" t="n">
        <v>713.3</v>
      </c>
      <c r="W15" s="68" t="n">
        <v>1377.2</v>
      </c>
      <c r="X15" s="68" t="n">
        <v>1660.8</v>
      </c>
      <c r="Y15" s="68" t="n">
        <v>4410.4</v>
      </c>
      <c r="Z15" s="68" t="n">
        <v>3056.9</v>
      </c>
      <c r="AA15" s="68" t="n">
        <v>1114.2</v>
      </c>
      <c r="AB15" s="68" t="n">
        <v>4500</v>
      </c>
      <c r="AC15" s="68" t="n">
        <v>1432.9</v>
      </c>
      <c r="AD15" s="68" t="n">
        <v>902.4</v>
      </c>
      <c r="AE15" s="68" t="n">
        <v>631.4</v>
      </c>
      <c r="AF15" s="68" t="n">
        <v>806</v>
      </c>
      <c r="AG15" s="68" t="n">
        <v>681</v>
      </c>
      <c r="AH15" s="68" t="n">
        <v>390.8</v>
      </c>
      <c r="AI15" s="68" t="n">
        <v>471.8</v>
      </c>
      <c r="AJ15" s="68" t="n">
        <v>478.6</v>
      </c>
      <c r="AK15" s="68" t="n">
        <v>652.5</v>
      </c>
      <c r="AL15" s="68" t="n">
        <v>629.8</v>
      </c>
      <c r="AM15" s="68" t="n">
        <v>410.9</v>
      </c>
      <c r="AN15" s="68" t="n">
        <v>837.2</v>
      </c>
      <c r="AO15" s="68" t="n">
        <v>529.8</v>
      </c>
    </row>
    <row r="16">
      <c r="A16" s="66" t="inlineStr">
        <is>
          <t>순차입금/자기자본</t>
        </is>
      </c>
      <c r="B16" s="68" t="n"/>
      <c r="C16" s="68" t="n">
        <v>32</v>
      </c>
      <c r="D16" s="68" t="n"/>
      <c r="E16" s="68" t="n"/>
      <c r="F16" s="68" t="n">
        <v>-10.1</v>
      </c>
      <c r="G16" s="68" t="n">
        <v>-19.6</v>
      </c>
      <c r="H16" s="68" t="n">
        <v>40.8</v>
      </c>
      <c r="I16" s="68" t="n">
        <v>31.4</v>
      </c>
      <c r="J16" s="68" t="n">
        <v>49.2</v>
      </c>
      <c r="K16" s="68" t="n">
        <v>33.8</v>
      </c>
      <c r="L16" s="68" t="n">
        <v>14.2</v>
      </c>
      <c r="M16" s="68" t="n">
        <v>2.9</v>
      </c>
      <c r="N16" s="68" t="n">
        <v>-8.6</v>
      </c>
      <c r="O16" s="68" t="n">
        <v>-17.5</v>
      </c>
      <c r="P16" s="68" t="n">
        <v>25.8</v>
      </c>
      <c r="Q16" s="68" t="n">
        <v>243.6</v>
      </c>
      <c r="R16" s="68" t="n">
        <v>2100</v>
      </c>
      <c r="S16" s="68" t="n">
        <v>-82.2</v>
      </c>
      <c r="T16" s="68" t="n">
        <v>-103.1</v>
      </c>
      <c r="U16" s="68" t="n">
        <v>-104.6</v>
      </c>
      <c r="V16" s="68" t="n">
        <v>-100.4</v>
      </c>
      <c r="W16" s="68" t="n">
        <v>-111</v>
      </c>
      <c r="X16" s="68" t="n">
        <v>-188.3</v>
      </c>
      <c r="Y16" s="68" t="n">
        <v>-554.2</v>
      </c>
      <c r="Z16" s="68" t="n">
        <v>-446.2</v>
      </c>
      <c r="AA16" s="68" t="n">
        <v>-146</v>
      </c>
      <c r="AB16" s="68" t="n">
        <v>140</v>
      </c>
      <c r="AC16" s="68" t="n">
        <v>0.7</v>
      </c>
      <c r="AD16" s="68" t="n">
        <v>-69.3</v>
      </c>
      <c r="AE16" s="68" t="n">
        <v>-89.09999999999999</v>
      </c>
      <c r="AF16" s="68" t="n">
        <v>-159.3</v>
      </c>
      <c r="AG16" s="68" t="n">
        <v>-200.3</v>
      </c>
      <c r="AH16" s="68" t="n">
        <v>-129</v>
      </c>
      <c r="AI16" s="68" t="n">
        <v>-178.8</v>
      </c>
      <c r="AJ16" s="68" t="n">
        <v>-203.3</v>
      </c>
      <c r="AK16" s="68" t="n">
        <v>1.3</v>
      </c>
      <c r="AL16" s="68" t="n">
        <v>17.1</v>
      </c>
      <c r="AM16" s="68" t="n">
        <v>10.7</v>
      </c>
      <c r="AN16" s="68" t="n">
        <v>1.7</v>
      </c>
      <c r="AO16" s="68" t="n">
        <v>0.9</v>
      </c>
    </row>
    <row r="17">
      <c r="A17" s="66" t="inlineStr">
        <is>
          <t>재고자산</t>
        </is>
      </c>
      <c r="B17" s="67" t="n"/>
      <c r="C17" s="67" t="n">
        <v>3.8</v>
      </c>
      <c r="D17" s="67" t="n"/>
      <c r="E17" s="67" t="n"/>
      <c r="F17" s="67" t="n">
        <v>4.1</v>
      </c>
      <c r="G17" s="67" t="n">
        <v>4.6</v>
      </c>
      <c r="H17" s="67" t="n">
        <v>4.7</v>
      </c>
      <c r="I17" s="67" t="n">
        <v>4.9</v>
      </c>
      <c r="J17" s="67" t="n">
        <v>5.1</v>
      </c>
      <c r="K17" s="67" t="n">
        <v>4.9</v>
      </c>
      <c r="L17" s="67" t="n">
        <v>5</v>
      </c>
      <c r="M17" s="67" t="n">
        <v>5.2</v>
      </c>
      <c r="N17" s="67" t="n">
        <v>5.5</v>
      </c>
      <c r="O17" s="67" t="n">
        <v>5.6</v>
      </c>
      <c r="P17" s="67" t="n">
        <v>5.6</v>
      </c>
      <c r="Q17" s="67" t="n">
        <v>5.7</v>
      </c>
      <c r="R17" s="67" t="n">
        <v>6</v>
      </c>
      <c r="S17" s="67" t="n">
        <v>6</v>
      </c>
      <c r="T17" s="67" t="n">
        <v>5.8</v>
      </c>
      <c r="U17" s="67" t="n">
        <v>6.1</v>
      </c>
      <c r="V17" s="67" t="n">
        <v>6.4</v>
      </c>
      <c r="W17" s="67" t="n">
        <v>6.3</v>
      </c>
      <c r="X17" s="67" t="n">
        <v>5.9</v>
      </c>
      <c r="Y17" s="67" t="n">
        <v>5.9</v>
      </c>
      <c r="Z17" s="67" t="n">
        <v>5.8</v>
      </c>
      <c r="AA17" s="67" t="n">
        <v>5.8</v>
      </c>
      <c r="AB17" s="67" t="n">
        <v>5.8</v>
      </c>
      <c r="AC17" s="67" t="n">
        <v>6.2</v>
      </c>
      <c r="AD17" s="67" t="n">
        <v>6.2</v>
      </c>
      <c r="AE17" s="67" t="n">
        <v>6.2</v>
      </c>
      <c r="AF17" s="67" t="n">
        <v>6.6</v>
      </c>
      <c r="AG17" s="67" t="n">
        <v>6.9</v>
      </c>
      <c r="AH17" s="67" t="n">
        <v>8.4</v>
      </c>
      <c r="AI17" s="67" t="n">
        <v>6.9</v>
      </c>
      <c r="AJ17" s="67" t="n">
        <v>7.4</v>
      </c>
      <c r="AK17" s="67" t="n">
        <v>8.800000000000001</v>
      </c>
      <c r="AL17" s="67" t="n">
        <v>9</v>
      </c>
      <c r="AM17" s="67" t="n">
        <v>8.9</v>
      </c>
      <c r="AN17" s="67" t="n">
        <v>9.199999999999999</v>
      </c>
      <c r="AO17" s="67" t="n">
        <v>9</v>
      </c>
    </row>
    <row r="18">
      <c r="A18" s="66" t="inlineStr">
        <is>
          <t>재고자산 회전일수</t>
        </is>
      </c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  <c r="AA18" s="67" t="n"/>
      <c r="AB18" s="67" t="n"/>
      <c r="AC18" s="67" t="n"/>
      <c r="AD18" s="67" t="n"/>
      <c r="AE18" s="67" t="n"/>
      <c r="AF18" s="67" t="n"/>
      <c r="AG18" s="67" t="n"/>
      <c r="AH18" s="67" t="n"/>
      <c r="AI18" s="67" t="n"/>
      <c r="AJ18" s="67" t="n"/>
      <c r="AK18" s="67" t="n"/>
      <c r="AL18" s="67" t="n"/>
      <c r="AM18" s="67" t="n"/>
      <c r="AN18" s="67" t="n"/>
      <c r="AO18" s="67" t="n"/>
    </row>
    <row r="19">
      <c r="A19" s="66" t="inlineStr">
        <is>
          <t>매출채권 회전일수</t>
        </is>
      </c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7" t="n"/>
    </row>
    <row r="20">
      <c r="A20" s="66" t="inlineStr">
        <is>
          <t>매입채무 회전일수</t>
        </is>
      </c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67" t="n"/>
      <c r="AA20" s="67" t="n"/>
      <c r="AB20" s="67" t="n"/>
      <c r="AC20" s="67" t="n"/>
      <c r="AD20" s="67" t="n"/>
      <c r="AE20" s="67" t="n"/>
      <c r="AF20" s="67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7" t="n"/>
    </row>
    <row r="21">
      <c r="A21" s="66" t="inlineStr">
        <is>
          <t>현금전환주기(CCC)</t>
        </is>
      </c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</row>
    <row r="22">
      <c r="A22" s="66" t="inlineStr">
        <is>
          <t>총 차입금</t>
        </is>
      </c>
      <c r="B22" s="67" t="n"/>
      <c r="C22" s="67" t="n">
        <v>70.59999999999999</v>
      </c>
      <c r="D22" s="67" t="n"/>
      <c r="E22" s="67" t="n"/>
      <c r="F22" s="67" t="n">
        <v>60.3</v>
      </c>
      <c r="G22" s="67" t="n">
        <v>60.8</v>
      </c>
      <c r="H22" s="67" t="n">
        <v>89.59999999999999</v>
      </c>
      <c r="I22" s="67" t="n">
        <v>96</v>
      </c>
      <c r="J22" s="67" t="n">
        <v>92.3</v>
      </c>
      <c r="K22" s="67" t="n">
        <v>88.7</v>
      </c>
      <c r="L22" s="67" t="n">
        <v>81.59999999999999</v>
      </c>
      <c r="M22" s="67" t="n">
        <v>74.60000000000001</v>
      </c>
      <c r="N22" s="67" t="n">
        <v>71.5</v>
      </c>
      <c r="O22" s="67" t="n">
        <v>98.59999999999999</v>
      </c>
      <c r="P22" s="67" t="n">
        <v>104.7</v>
      </c>
      <c r="Q22" s="67" t="n">
        <v>130</v>
      </c>
      <c r="R22" s="67" t="n">
        <v>125.3</v>
      </c>
      <c r="S22" s="67" t="n">
        <v>109</v>
      </c>
      <c r="T22" s="67" t="n">
        <v>81.8</v>
      </c>
      <c r="U22" s="67" t="n">
        <v>71.90000000000001</v>
      </c>
      <c r="V22" s="67" t="n">
        <v>54.1</v>
      </c>
      <c r="W22" s="67" t="n">
        <v>49.3</v>
      </c>
      <c r="X22" s="67" t="n">
        <v>45.3</v>
      </c>
      <c r="Y22" s="67" t="n">
        <v>41.2</v>
      </c>
      <c r="Z22" s="67" t="n">
        <v>37.5</v>
      </c>
      <c r="AA22" s="67" t="n">
        <v>35.7</v>
      </c>
      <c r="AB22" s="67" t="n">
        <v>44.2</v>
      </c>
      <c r="AC22" s="67" t="n">
        <v>57.9</v>
      </c>
      <c r="AD22" s="67" t="n">
        <v>56.7</v>
      </c>
      <c r="AE22" s="67" t="n">
        <v>57.8</v>
      </c>
      <c r="AF22" s="67" t="n">
        <v>53.3</v>
      </c>
      <c r="AG22" s="67" t="n">
        <v>40.3</v>
      </c>
      <c r="AH22" s="67" t="n">
        <v>36.5</v>
      </c>
      <c r="AI22" s="67" t="n">
        <v>31.4</v>
      </c>
      <c r="AJ22" s="67" t="n">
        <v>29.1</v>
      </c>
      <c r="AK22" s="67" t="n">
        <v>109.3</v>
      </c>
      <c r="AL22" s="67" t="n">
        <v>110.8</v>
      </c>
      <c r="AM22" s="67" t="n">
        <v>108.2</v>
      </c>
      <c r="AN22" s="67" t="n">
        <v>105.6</v>
      </c>
      <c r="AO22" s="67" t="n">
        <v>99.8</v>
      </c>
    </row>
    <row r="23">
      <c r="A23" s="66" t="inlineStr">
        <is>
          <t>현금</t>
        </is>
      </c>
      <c r="B23" s="67" t="n"/>
      <c r="C23" s="67" t="n">
        <v>50.5</v>
      </c>
      <c r="D23" s="67" t="n"/>
      <c r="E23" s="67" t="n"/>
      <c r="F23" s="67" t="n">
        <v>68.8</v>
      </c>
      <c r="G23" s="67" t="n">
        <v>76.7</v>
      </c>
      <c r="H23" s="67" t="n">
        <v>55.5</v>
      </c>
      <c r="I23" s="67" t="n">
        <v>67.40000000000001</v>
      </c>
      <c r="J23" s="67" t="n">
        <v>52.1</v>
      </c>
      <c r="K23" s="67" t="n">
        <v>59.8</v>
      </c>
      <c r="L23" s="67" t="n">
        <v>69.90000000000001</v>
      </c>
      <c r="M23" s="67" t="n">
        <v>72</v>
      </c>
      <c r="N23" s="67" t="n">
        <v>79.2</v>
      </c>
      <c r="O23" s="67" t="n">
        <v>110.4</v>
      </c>
      <c r="P23" s="67" t="n">
        <v>96.3</v>
      </c>
      <c r="Q23" s="67" t="n">
        <v>111</v>
      </c>
      <c r="R23" s="67" t="n">
        <v>106.4</v>
      </c>
      <c r="S23" s="67" t="n">
        <v>160.6</v>
      </c>
      <c r="T23" s="67" t="n">
        <v>125.3</v>
      </c>
      <c r="U23" s="67" t="n">
        <v>103.7</v>
      </c>
      <c r="V23" s="67" t="n">
        <v>79.7</v>
      </c>
      <c r="W23" s="67" t="n">
        <v>64.40000000000001</v>
      </c>
      <c r="X23" s="67" t="n">
        <v>67.90000000000001</v>
      </c>
      <c r="Y23" s="67" t="n">
        <v>67.8</v>
      </c>
      <c r="Z23" s="67" t="n">
        <v>66.5</v>
      </c>
      <c r="AA23" s="67" t="n">
        <v>61.4</v>
      </c>
      <c r="AB23" s="67" t="n">
        <v>37.9</v>
      </c>
      <c r="AC23" s="67" t="n">
        <v>57.8</v>
      </c>
      <c r="AD23" s="67" t="n">
        <v>71.40000000000001</v>
      </c>
      <c r="AE23" s="67" t="n">
        <v>86.5</v>
      </c>
      <c r="AF23" s="67" t="n">
        <v>96</v>
      </c>
      <c r="AG23" s="67" t="n">
        <v>99.2</v>
      </c>
      <c r="AH23" s="67" t="n">
        <v>99.3</v>
      </c>
      <c r="AI23" s="67" t="n">
        <v>108.1</v>
      </c>
      <c r="AJ23" s="67" t="n">
        <v>116.3</v>
      </c>
      <c r="AK23" s="67" t="n">
        <v>108.7</v>
      </c>
      <c r="AL23" s="67" t="n">
        <v>102.7</v>
      </c>
      <c r="AM23" s="67" t="n">
        <v>100.5</v>
      </c>
      <c r="AN23" s="67" t="n">
        <v>105</v>
      </c>
      <c r="AO23" s="67" t="n">
        <v>99.3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2026-10-30T11:18:21Z</dcterms:created>
  <dcterms:modified xmlns:dcterms="http://purl.org/dc/terms/" xmlns:xsi="http://www.w3.org/2001/XMLSchema-instance" xsi:type="dcterms:W3CDTF">2026-10-30T11:19:31Z</dcterms:modified>
</cp:coreProperties>
</file>