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2594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18261</v>
      </c>
      <c r="D4" s="12" t="n">
        <v>19416</v>
      </c>
      <c r="E4" s="12" t="n">
        <v>16904</v>
      </c>
      <c r="F4" s="12" t="n">
        <v>19073</v>
      </c>
      <c r="G4" s="12" t="n">
        <v>19662</v>
      </c>
      <c r="H4" s="12" t="n">
        <v>21660</v>
      </c>
      <c r="I4" s="12" t="n">
        <v>17388</v>
      </c>
      <c r="J4" s="12" t="n">
        <v>20669</v>
      </c>
      <c r="K4" s="12" t="n">
        <v>23186</v>
      </c>
      <c r="L4" s="12" t="n">
        <v>26473</v>
      </c>
      <c r="M4" s="12" t="n">
        <v>22739</v>
      </c>
      <c r="N4" s="12" t="n">
        <v>24118</v>
      </c>
      <c r="O4" s="11" t="n">
        <v>62996</v>
      </c>
      <c r="P4" s="12" t="n">
        <v>63027</v>
      </c>
      <c r="Q4" s="12" t="n">
        <v>63605</v>
      </c>
      <c r="R4" s="12" t="n">
        <v>62664</v>
      </c>
      <c r="S4" s="12" t="n">
        <v>52602</v>
      </c>
      <c r="T4" s="12" t="n">
        <v>55680</v>
      </c>
      <c r="U4" s="12" t="n">
        <v>63298</v>
      </c>
      <c r="V4" s="12" t="n">
        <v>73800</v>
      </c>
      <c r="W4" s="12" t="n">
        <v>77783</v>
      </c>
      <c r="X4" s="12" t="n">
        <v>93067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CoffeeRelatedReportableSegmentsMember</t>
        </is>
      </c>
      <c r="B7" s="10" t="n"/>
      <c r="C7" s="19" t="n"/>
      <c r="D7" s="20" t="n"/>
      <c r="E7" s="20" t="n">
        <v>14922</v>
      </c>
      <c r="F7" s="20" t="n">
        <v>16948</v>
      </c>
      <c r="G7" s="20" t="n">
        <v>17683</v>
      </c>
      <c r="H7" s="20" t="n">
        <v>19853</v>
      </c>
      <c r="I7" s="20" t="n">
        <v>15399</v>
      </c>
      <c r="J7" s="20" t="n">
        <v>18490</v>
      </c>
      <c r="K7" s="20" t="n">
        <v>20850</v>
      </c>
      <c r="L7" s="20" t="n">
        <v>24193</v>
      </c>
      <c r="M7" s="20" t="n">
        <v>20069</v>
      </c>
      <c r="N7" s="20" t="n">
        <v>21180</v>
      </c>
      <c r="O7" s="19" t="n"/>
      <c r="P7" s="20" t="n"/>
      <c r="Q7" s="20" t="n"/>
      <c r="R7" s="20" t="n"/>
      <c r="S7" s="20" t="n"/>
      <c r="T7" s="20" t="n"/>
      <c r="U7" s="20" t="n"/>
      <c r="V7" s="20" t="n">
        <v>65690</v>
      </c>
      <c r="W7" s="20" t="n">
        <v>69883</v>
      </c>
      <c r="X7" s="20" t="n">
        <v>83602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FoodAndBeverageRelatedReportableSegmentsMember</t>
        </is>
      </c>
      <c r="B10" s="10" t="n"/>
      <c r="C10" s="19" t="n"/>
      <c r="D10" s="20" t="n"/>
      <c r="E10" s="20" t="n">
        <v>1113</v>
      </c>
      <c r="F10" s="20" t="n">
        <v>1046</v>
      </c>
      <c r="G10" s="20" t="n">
        <v>1017</v>
      </c>
      <c r="H10" s="20" t="n">
        <v>995</v>
      </c>
      <c r="I10" s="20" t="n">
        <v>1113</v>
      </c>
      <c r="J10" s="20" t="n">
        <v>1045</v>
      </c>
      <c r="K10" s="20" t="n">
        <v>1398</v>
      </c>
      <c r="L10" s="20" t="n">
        <v>1394</v>
      </c>
      <c r="M10" s="20" t="n">
        <v>1757</v>
      </c>
      <c r="N10" s="20" t="n">
        <v>1686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4232</v>
      </c>
      <c r="W10" s="20" t="n">
        <v>4171</v>
      </c>
      <c r="X10" s="20" t="n">
        <v>5594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/>
      <c r="D13" s="20" t="n"/>
      <c r="E13" s="20" t="n">
        <v>868</v>
      </c>
      <c r="F13" s="20" t="n">
        <v>1077</v>
      </c>
      <c r="G13" s="20" t="n">
        <v>963</v>
      </c>
      <c r="H13" s="20" t="n">
        <v>812</v>
      </c>
      <c r="I13" s="20" t="n">
        <v>877</v>
      </c>
      <c r="J13" s="20" t="n">
        <v>1132</v>
      </c>
      <c r="K13" s="20" t="n">
        <v>940</v>
      </c>
      <c r="L13" s="20" t="n">
        <v>885</v>
      </c>
      <c r="M13" s="20" t="n">
        <v>913</v>
      </c>
      <c r="N13" s="20" t="n">
        <v>1251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3876</v>
      </c>
      <c r="W13" s="20" t="n">
        <v>3729</v>
      </c>
      <c r="X13" s="20" t="n">
        <v>3870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19073</v>
      </c>
      <c r="G16" s="20" t="n"/>
      <c r="H16" s="20" t="n"/>
      <c r="I16" s="20" t="n"/>
      <c r="J16" s="20" t="n">
        <v>20669</v>
      </c>
      <c r="K16" s="20" t="n"/>
      <c r="L16" s="20" t="n"/>
      <c r="M16" s="20" t="n"/>
      <c r="N16" s="20" t="n">
        <v>24118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14293</v>
      </c>
      <c r="D20" s="20" t="n">
        <v>15488</v>
      </c>
      <c r="E20" s="20" t="n">
        <v>13904</v>
      </c>
      <c r="F20" s="20" t="n">
        <v>14933</v>
      </c>
      <c r="G20" s="20" t="n">
        <v>16196</v>
      </c>
      <c r="H20" s="20" t="n">
        <v>17122</v>
      </c>
      <c r="I20" s="20" t="n">
        <v>15004</v>
      </c>
      <c r="J20" s="20" t="n">
        <v>16681</v>
      </c>
      <c r="K20" s="20" t="n">
        <v>18819</v>
      </c>
      <c r="L20" s="20" t="n">
        <v>22000</v>
      </c>
      <c r="M20" s="20" t="n">
        <v>18948</v>
      </c>
      <c r="N20" s="20" t="n">
        <v>19236</v>
      </c>
      <c r="O20" s="19" t="n">
        <v>45710</v>
      </c>
      <c r="P20" s="20" t="n">
        <v>46873</v>
      </c>
      <c r="Q20" s="20" t="n">
        <v>47051</v>
      </c>
      <c r="R20" s="20" t="n">
        <v>46028</v>
      </c>
      <c r="S20" s="20" t="n">
        <v>39699</v>
      </c>
      <c r="T20" s="20" t="n">
        <v>41395</v>
      </c>
      <c r="U20" s="20" t="n">
        <v>49077</v>
      </c>
      <c r="V20" s="20" t="n">
        <v>58575</v>
      </c>
      <c r="W20" s="20" t="n">
        <v>63255</v>
      </c>
      <c r="X20" s="20" t="n">
        <v>76448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3679</v>
      </c>
      <c r="D26" s="20" t="n">
        <v>3627</v>
      </c>
      <c r="E26" s="20" t="n">
        <v>3579</v>
      </c>
      <c r="F26" s="20" t="n">
        <v>3475</v>
      </c>
      <c r="G26" s="20" t="n">
        <v>3579</v>
      </c>
      <c r="H26" s="20" t="n">
        <v>3618</v>
      </c>
      <c r="I26" s="20" t="n">
        <v>3369</v>
      </c>
      <c r="J26" s="20" t="n">
        <v>3587</v>
      </c>
      <c r="K26" s="20" t="n">
        <v>4055</v>
      </c>
      <c r="L26" s="20" t="n">
        <v>3902</v>
      </c>
      <c r="M26" s="20" t="n">
        <v>3997</v>
      </c>
      <c r="N26" s="20" t="n">
        <v>4099</v>
      </c>
      <c r="O26" s="19" t="n">
        <v>15908</v>
      </c>
      <c r="P26" s="20" t="n">
        <v>15833</v>
      </c>
      <c r="Q26" s="20" t="n">
        <v>16057</v>
      </c>
      <c r="R26" s="20" t="n">
        <v>16104</v>
      </c>
      <c r="S26" s="20" t="n">
        <v>15373</v>
      </c>
      <c r="T26" s="20" t="n">
        <v>13879</v>
      </c>
      <c r="U26" s="20" t="n">
        <v>13975</v>
      </c>
      <c r="V26" s="20" t="n">
        <v>14460</v>
      </c>
      <c r="W26" s="20" t="n">
        <v>14041</v>
      </c>
      <c r="X26" s="20" t="n">
        <v>15541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287</v>
      </c>
      <c r="D28" s="12" t="n">
        <v>302</v>
      </c>
      <c r="E28" s="12" t="n">
        <v>-579</v>
      </c>
      <c r="F28" s="12" t="n">
        <v>665</v>
      </c>
      <c r="G28" s="12" t="n">
        <v>-115</v>
      </c>
      <c r="H28" s="12" t="n">
        <v>921</v>
      </c>
      <c r="I28" s="12" t="n">
        <v>-985</v>
      </c>
      <c r="J28" s="12" t="n">
        <v>400</v>
      </c>
      <c r="K28" s="12" t="n">
        <v>312</v>
      </c>
      <c r="L28" s="12" t="n">
        <v>571</v>
      </c>
      <c r="M28" s="12" t="n">
        <v>-206</v>
      </c>
      <c r="N28" s="12" t="n">
        <v>781</v>
      </c>
      <c r="O28" s="11" t="n">
        <v>1377</v>
      </c>
      <c r="P28" s="12" t="n">
        <v>319</v>
      </c>
      <c r="Q28" s="12" t="n">
        <v>495</v>
      </c>
      <c r="R28" s="12" t="n">
        <v>531</v>
      </c>
      <c r="S28" s="12" t="n">
        <v>-2470</v>
      </c>
      <c r="T28" s="12" t="n">
        <v>405</v>
      </c>
      <c r="U28" s="12" t="n">
        <v>244</v>
      </c>
      <c r="V28" s="12" t="n">
        <v>764</v>
      </c>
      <c r="W28" s="12" t="n">
        <v>486</v>
      </c>
      <c r="X28" s="12" t="n">
        <v>1077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>
        <v>365</v>
      </c>
      <c r="P35" s="20" t="n">
        <v>344</v>
      </c>
      <c r="Q35" s="20" t="n">
        <v>342</v>
      </c>
      <c r="R35" s="20" t="n">
        <v>350</v>
      </c>
      <c r="S35" s="20" t="n">
        <v>443</v>
      </c>
      <c r="T35" s="20" t="n">
        <v>320</v>
      </c>
      <c r="U35" s="20" t="n">
        <v>296</v>
      </c>
      <c r="V35" s="20" t="n">
        <v>297</v>
      </c>
      <c r="W35" s="20" t="n">
        <v>334</v>
      </c>
      <c r="X35" s="20" t="n">
        <v>395</v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>
        <v>268</v>
      </c>
      <c r="P39" s="20" t="n">
        <v>259</v>
      </c>
      <c r="Q39" s="20" t="n">
        <v>234</v>
      </c>
      <c r="R39" s="20" t="n">
        <v>233</v>
      </c>
      <c r="S39" s="20" t="n">
        <v>188</v>
      </c>
      <c r="T39" s="20" t="n">
        <v>177</v>
      </c>
      <c r="U39" s="20" t="n">
        <v>199</v>
      </c>
      <c r="V39" s="20" t="n">
        <v>225</v>
      </c>
      <c r="W39" s="20" t="n">
        <v>190</v>
      </c>
      <c r="X39" s="20" t="n">
        <v>213</v>
      </c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/>
      <c r="D44" s="20" t="n"/>
      <c r="E44" s="20" t="n">
        <v>0</v>
      </c>
      <c r="F44" s="20" t="n"/>
      <c r="G44" s="20" t="n"/>
      <c r="H44" s="20" t="n"/>
      <c r="I44" s="20" t="n">
        <v>0</v>
      </c>
      <c r="J44" s="20" t="n"/>
      <c r="K44" s="20" t="n"/>
      <c r="L44" s="20" t="n"/>
      <c r="M44" s="20" t="n">
        <v>0</v>
      </c>
      <c r="N44" s="20" t="n"/>
      <c r="O44" s="19" t="n">
        <v>420</v>
      </c>
      <c r="P44" s="20" t="n">
        <v>585</v>
      </c>
      <c r="Q44" s="20" t="n">
        <v>5</v>
      </c>
      <c r="R44" s="20" t="n">
        <v>843</v>
      </c>
      <c r="S44" s="20" t="n">
        <v>88</v>
      </c>
      <c r="T44" s="20" t="n">
        <v>58</v>
      </c>
      <c r="U44" s="20" t="n">
        <v>0</v>
      </c>
      <c r="V44" s="20" t="n">
        <v>5</v>
      </c>
      <c r="W44" s="20" t="n">
        <v>3</v>
      </c>
      <c r="X44" s="20" t="n">
        <v>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/>
      <c r="D46" s="20" t="n">
        <v>0</v>
      </c>
      <c r="E46" s="20" t="n">
        <v>367</v>
      </c>
      <c r="F46" s="20" t="n"/>
      <c r="G46" s="20" t="n"/>
      <c r="H46" s="20" t="n">
        <v>1</v>
      </c>
      <c r="I46" s="20" t="n">
        <v>92</v>
      </c>
      <c r="J46" s="20" t="n"/>
      <c r="K46" s="20" t="n"/>
      <c r="L46" s="20" t="n"/>
      <c r="M46" s="20" t="n">
        <v>9</v>
      </c>
      <c r="N46" s="20" t="n"/>
      <c r="O46" s="19" t="n">
        <v>344</v>
      </c>
      <c r="P46" s="20" t="n">
        <v>544</v>
      </c>
      <c r="Q46" s="20" t="n">
        <v>180</v>
      </c>
      <c r="R46" s="20" t="n">
        <v>287</v>
      </c>
      <c r="S46" s="20" t="n">
        <v>824</v>
      </c>
      <c r="T46" s="20" t="n">
        <v>46</v>
      </c>
      <c r="U46" s="20" t="n">
        <v>40</v>
      </c>
      <c r="V46" s="20" t="n">
        <v>384</v>
      </c>
      <c r="W46" s="20" t="n">
        <v>93</v>
      </c>
      <c r="X46" s="20" t="n">
        <v>9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69</v>
      </c>
      <c r="D48" s="20" t="n">
        <v>58</v>
      </c>
      <c r="E48" s="20" t="n">
        <v>6</v>
      </c>
      <c r="F48" s="20" t="n">
        <v>65</v>
      </c>
      <c r="G48" s="20" t="n">
        <v>39</v>
      </c>
      <c r="H48" s="20" t="n">
        <v>83</v>
      </c>
      <c r="I48" s="20" t="n">
        <v>50</v>
      </c>
      <c r="J48" s="20" t="n">
        <v>132</v>
      </c>
      <c r="K48" s="20" t="n">
        <v>109</v>
      </c>
      <c r="L48" s="20" t="n">
        <v>107</v>
      </c>
      <c r="M48" s="20" t="n">
        <v>68</v>
      </c>
      <c r="N48" s="20" t="n">
        <v>215</v>
      </c>
      <c r="O48" s="19" t="n">
        <v>240</v>
      </c>
      <c r="P48" s="20" t="n">
        <v>194</v>
      </c>
      <c r="Q48" s="20" t="n">
        <v>173</v>
      </c>
      <c r="R48" s="20" t="n">
        <v>238</v>
      </c>
      <c r="S48" s="20" t="n">
        <v>211</v>
      </c>
      <c r="T48" s="20" t="n">
        <v>649</v>
      </c>
      <c r="U48" s="20" t="n">
        <v>221</v>
      </c>
      <c r="V48" s="20" t="n">
        <v>175</v>
      </c>
      <c r="W48" s="20" t="n">
        <v>237</v>
      </c>
      <c r="X48" s="20" t="n">
        <v>416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18</v>
      </c>
      <c r="D50" s="20" t="n">
        <v>21</v>
      </c>
      <c r="E50" s="20" t="n">
        <v>19</v>
      </c>
      <c r="F50" s="20" t="n">
        <v>13</v>
      </c>
      <c r="G50" s="20" t="n">
        <v>23</v>
      </c>
      <c r="H50" s="20" t="n">
        <v>26</v>
      </c>
      <c r="I50" s="20" t="n">
        <v>26</v>
      </c>
      <c r="J50" s="20" t="n">
        <v>25</v>
      </c>
      <c r="K50" s="20" t="n">
        <v>43</v>
      </c>
      <c r="L50" s="20" t="n">
        <v>51</v>
      </c>
      <c r="M50" s="20" t="n">
        <v>55</v>
      </c>
      <c r="N50" s="20" t="n">
        <v>68</v>
      </c>
      <c r="O50" s="19" t="n">
        <v>58</v>
      </c>
      <c r="P50" s="20" t="n">
        <v>39</v>
      </c>
      <c r="Q50" s="20" t="n">
        <v>26</v>
      </c>
      <c r="R50" s="20" t="n">
        <v>34</v>
      </c>
      <c r="S50" s="20" t="n">
        <v>900</v>
      </c>
      <c r="T50" s="20" t="n">
        <v>32</v>
      </c>
      <c r="U50" s="20" t="n">
        <v>116</v>
      </c>
      <c r="V50" s="20" t="n">
        <v>72</v>
      </c>
      <c r="W50" s="20" t="n">
        <v>88</v>
      </c>
      <c r="X50" s="20" t="n">
        <v>174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321</v>
      </c>
      <c r="D52" s="12" t="n">
        <v>344</v>
      </c>
      <c r="E52" s="12" t="n">
        <v>-959</v>
      </c>
      <c r="F52" s="12" t="n">
        <v>716</v>
      </c>
      <c r="G52" s="12" t="n">
        <v>-99</v>
      </c>
      <c r="H52" s="12" t="n">
        <v>982</v>
      </c>
      <c r="I52" s="12" t="n">
        <v>-1053</v>
      </c>
      <c r="J52" s="12" t="n">
        <v>506</v>
      </c>
      <c r="K52" s="12" t="n">
        <v>379</v>
      </c>
      <c r="L52" s="12" t="n">
        <v>626</v>
      </c>
      <c r="M52" s="12" t="n">
        <v>-203</v>
      </c>
      <c r="N52" s="12" t="n">
        <v>928</v>
      </c>
      <c r="O52" s="11" t="n">
        <v>1636</v>
      </c>
      <c r="P52" s="12" t="n">
        <v>515</v>
      </c>
      <c r="Q52" s="12" t="n">
        <v>468</v>
      </c>
      <c r="R52" s="12" t="n">
        <v>1290</v>
      </c>
      <c r="S52" s="12" t="n">
        <v>-3895</v>
      </c>
      <c r="T52" s="12" t="n">
        <v>1033</v>
      </c>
      <c r="U52" s="12" t="n">
        <v>308</v>
      </c>
      <c r="V52" s="12" t="n">
        <v>488</v>
      </c>
      <c r="W52" s="12" t="n">
        <v>546</v>
      </c>
      <c r="X52" s="12" t="n">
        <v>1308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125</v>
      </c>
      <c r="D54" s="20" t="n">
        <v>107</v>
      </c>
      <c r="E54" s="20" t="n">
        <v>-109</v>
      </c>
      <c r="F54" s="20" t="n">
        <v>239</v>
      </c>
      <c r="G54" s="20" t="n">
        <v>-8</v>
      </c>
      <c r="H54" s="20" t="n">
        <v>191</v>
      </c>
      <c r="I54" s="20" t="n">
        <v>-105</v>
      </c>
      <c r="J54" s="20" t="n">
        <v>169</v>
      </c>
      <c r="K54" s="20" t="n">
        <v>93</v>
      </c>
      <c r="L54" s="20" t="n">
        <v>88</v>
      </c>
      <c r="M54" s="20" t="n">
        <v>-50</v>
      </c>
      <c r="N54" s="20" t="n">
        <v>283</v>
      </c>
      <c r="O54" s="19" t="n">
        <v>693</v>
      </c>
      <c r="P54" s="20" t="n">
        <v>396</v>
      </c>
      <c r="Q54" s="20" t="n">
        <v>378</v>
      </c>
      <c r="R54" s="20" t="n">
        <v>600</v>
      </c>
      <c r="S54" s="20" t="n">
        <v>213</v>
      </c>
      <c r="T54" s="20" t="n">
        <v>279</v>
      </c>
      <c r="U54" s="20" t="n">
        <v>134</v>
      </c>
      <c r="V54" s="20" t="n">
        <v>288</v>
      </c>
      <c r="W54" s="20" t="n">
        <v>317</v>
      </c>
      <c r="X54" s="20" t="n">
        <v>300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197</v>
      </c>
      <c r="D56" s="12" t="n">
        <v>236</v>
      </c>
      <c r="E56" s="12" t="n">
        <v>-850</v>
      </c>
      <c r="F56" s="12" t="n">
        <v>477</v>
      </c>
      <c r="G56" s="12" t="n">
        <v>-91</v>
      </c>
      <c r="H56" s="12" t="n">
        <v>791</v>
      </c>
      <c r="I56" s="12" t="n">
        <v>-948</v>
      </c>
      <c r="J56" s="12" t="n">
        <v>336</v>
      </c>
      <c r="K56" s="12" t="n">
        <v>287</v>
      </c>
      <c r="L56" s="12" t="n">
        <v>538</v>
      </c>
      <c r="M56" s="12" t="n">
        <v>-153</v>
      </c>
      <c r="N56" s="12" t="n">
        <v>644</v>
      </c>
      <c r="O56" s="11" t="n">
        <v>943</v>
      </c>
      <c r="P56" s="12" t="n">
        <v>119</v>
      </c>
      <c r="Q56" s="12" t="n">
        <v>90</v>
      </c>
      <c r="R56" s="12" t="n">
        <v>690</v>
      </c>
      <c r="S56" s="12" t="n">
        <v>-4109</v>
      </c>
      <c r="T56" s="12" t="n">
        <v>753</v>
      </c>
      <c r="U56" s="12" t="n">
        <v>174</v>
      </c>
      <c r="V56" s="12" t="n">
        <v>199</v>
      </c>
      <c r="W56" s="12" t="n">
        <v>229</v>
      </c>
      <c r="X56" s="12" t="n">
        <v>1008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195</v>
      </c>
      <c r="D58" s="12" t="n">
        <v>242</v>
      </c>
      <c r="E58" s="12" t="n">
        <v>-848</v>
      </c>
      <c r="F58" s="12" t="n">
        <v>462</v>
      </c>
      <c r="G58" s="12" t="n">
        <v>-99</v>
      </c>
      <c r="H58" s="12" t="n">
        <v>793</v>
      </c>
      <c r="I58" s="12" t="n">
        <v>-942</v>
      </c>
      <c r="J58" s="12" t="n">
        <v>321</v>
      </c>
      <c r="K58" s="12" t="n">
        <v>281</v>
      </c>
      <c r="L58" s="12" t="n">
        <v>536</v>
      </c>
      <c r="M58" s="12" t="n">
        <v>-150</v>
      </c>
      <c r="N58" s="12" t="n">
        <v>627</v>
      </c>
      <c r="O58" s="11" t="n">
        <v>1134</v>
      </c>
      <c r="P58" s="12" t="n">
        <v>319</v>
      </c>
      <c r="Q58" s="12" t="n">
        <v>234</v>
      </c>
      <c r="R58" s="12" t="n">
        <v>725</v>
      </c>
      <c r="S58" s="12" t="n">
        <v>-4084</v>
      </c>
      <c r="T58" s="12" t="n">
        <v>742</v>
      </c>
      <c r="U58" s="12" t="n">
        <v>173</v>
      </c>
      <c r="V58" s="12" t="n">
        <v>180</v>
      </c>
      <c r="W58" s="12" t="n">
        <v>214</v>
      </c>
      <c r="X58" s="12" t="n">
        <v>988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1967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22689000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18261</v>
      </c>
      <c r="D93" s="12" t="n">
        <v>19416</v>
      </c>
      <c r="E93" s="12" t="n">
        <v>16904</v>
      </c>
      <c r="F93" s="12" t="n">
        <v>19073</v>
      </c>
      <c r="G93" s="12" t="n">
        <v>19662</v>
      </c>
      <c r="H93" s="12" t="n">
        <v>21660</v>
      </c>
      <c r="I93" s="12" t="n">
        <v>17388</v>
      </c>
      <c r="J93" s="12" t="n">
        <v>20669</v>
      </c>
      <c r="K93" s="12" t="n">
        <v>23186</v>
      </c>
      <c r="L93" s="12" t="n">
        <v>26473</v>
      </c>
      <c r="M93" s="12" t="n">
        <v>22739</v>
      </c>
      <c r="N93" s="12" t="n">
        <v>24118</v>
      </c>
      <c r="T93" s="12" t="n">
        <v>13059</v>
      </c>
      <c r="U93" s="12" t="n">
        <v>15936</v>
      </c>
      <c r="V93" s="12" t="n">
        <v>16904</v>
      </c>
      <c r="W93" s="12" t="n">
        <v>17388</v>
      </c>
      <c r="X93" s="12" t="n">
        <v>22739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14293</v>
      </c>
      <c r="D95" s="20" t="n">
        <v>15488</v>
      </c>
      <c r="E95" s="20" t="n">
        <v>13904</v>
      </c>
      <c r="F95" s="20" t="n">
        <v>14933</v>
      </c>
      <c r="G95" s="20" t="n">
        <v>16196</v>
      </c>
      <c r="H95" s="20" t="n">
        <v>17122</v>
      </c>
      <c r="I95" s="20" t="n">
        <v>15004</v>
      </c>
      <c r="J95" s="20" t="n">
        <v>16681</v>
      </c>
      <c r="K95" s="20" t="n">
        <v>18819</v>
      </c>
      <c r="L95" s="20" t="n">
        <v>22000</v>
      </c>
      <c r="M95" s="20" t="n">
        <v>18948</v>
      </c>
      <c r="N95" s="20" t="n">
        <v>19236</v>
      </c>
      <c r="T95" s="20" t="n">
        <v>10215</v>
      </c>
      <c r="U95" s="20" t="n">
        <v>13163</v>
      </c>
      <c r="V95" s="20" t="n">
        <v>13904</v>
      </c>
      <c r="W95" s="20" t="n">
        <v>15004</v>
      </c>
      <c r="X95" s="20" t="n">
        <v>18948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3967</v>
      </c>
      <c r="D97" s="12" t="n">
        <v>3928</v>
      </c>
      <c r="E97" s="12" t="n">
        <v>3000</v>
      </c>
      <c r="F97" s="12" t="n">
        <v>4140</v>
      </c>
      <c r="G97" s="12" t="n">
        <v>3465</v>
      </c>
      <c r="H97" s="12" t="n">
        <v>4539</v>
      </c>
      <c r="I97" s="12" t="n">
        <v>2384</v>
      </c>
      <c r="J97" s="12" t="n">
        <v>3987</v>
      </c>
      <c r="K97" s="12" t="n">
        <v>4368</v>
      </c>
      <c r="L97" s="12" t="n">
        <v>4473</v>
      </c>
      <c r="M97" s="12" t="n">
        <v>3790</v>
      </c>
      <c r="N97" s="12" t="n">
        <v>4881</v>
      </c>
      <c r="T97" s="12" t="n">
        <v>2844</v>
      </c>
      <c r="U97" s="12" t="n">
        <v>2773</v>
      </c>
      <c r="V97" s="12" t="n">
        <v>3000</v>
      </c>
      <c r="W97" s="12" t="n">
        <v>2384</v>
      </c>
      <c r="X97" s="12" t="n">
        <v>3790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Advertising And Sample Expense SGA</t>
        </is>
      </c>
      <c r="C99" s="20" t="n">
        <v>408</v>
      </c>
      <c r="D99" s="20" t="n">
        <v>403</v>
      </c>
      <c r="E99" s="20" t="n">
        <v>371</v>
      </c>
      <c r="F99" s="20" t="n">
        <v>319</v>
      </c>
      <c r="G99" s="20" t="n">
        <v>331</v>
      </c>
      <c r="H99" s="20" t="n">
        <v>429</v>
      </c>
      <c r="I99" s="20" t="n">
        <v>282</v>
      </c>
      <c r="J99" s="20" t="n">
        <v>307</v>
      </c>
      <c r="K99" s="20" t="n">
        <v>395</v>
      </c>
      <c r="L99" s="20" t="n">
        <v>368</v>
      </c>
      <c r="M99" s="20" t="n">
        <v>316</v>
      </c>
      <c r="N99" s="20" t="n">
        <v>243</v>
      </c>
      <c r="T99" s="20" t="n">
        <v>369</v>
      </c>
      <c r="U99" s="20" t="n">
        <v>353</v>
      </c>
      <c r="V99" s="20" t="n">
        <v>371</v>
      </c>
      <c r="W99" s="20" t="n">
        <v>282</v>
      </c>
      <c r="X99" s="20" t="n">
        <v>316</v>
      </c>
    </row>
    <row r="100">
      <c r="A100" s="18" t="inlineStr">
        <is>
          <t>포장·운반비</t>
        </is>
      </c>
      <c r="C100" s="20" t="n">
        <v>596</v>
      </c>
      <c r="D100" s="20" t="n">
        <v>543</v>
      </c>
      <c r="E100" s="20" t="n">
        <v>451</v>
      </c>
      <c r="F100" s="20" t="n">
        <v>626</v>
      </c>
      <c r="G100" s="20" t="n">
        <v>595</v>
      </c>
      <c r="H100" s="20" t="n">
        <v>512</v>
      </c>
      <c r="I100" s="20" t="n">
        <v>415</v>
      </c>
      <c r="J100" s="20" t="n">
        <v>551</v>
      </c>
      <c r="K100" s="20" t="n">
        <v>585</v>
      </c>
      <c r="L100" s="20" t="n">
        <v>598</v>
      </c>
      <c r="M100" s="20" t="n">
        <v>491</v>
      </c>
      <c r="N100" s="20" t="n">
        <v>633</v>
      </c>
      <c r="T100" s="20" t="n">
        <v>470</v>
      </c>
      <c r="U100" s="20" t="n">
        <v>444</v>
      </c>
      <c r="V100" s="20" t="n">
        <v>451</v>
      </c>
      <c r="W100" s="20" t="n">
        <v>415</v>
      </c>
      <c r="X100" s="20" t="n">
        <v>491</v>
      </c>
    </row>
    <row r="101">
      <c r="A101" s="18" t="inlineStr">
        <is>
          <t>Vehicle Expenses SGA</t>
        </is>
      </c>
      <c r="C101" s="20" t="n">
        <v>107</v>
      </c>
      <c r="D101" s="20" t="n">
        <v>103</v>
      </c>
      <c r="E101" s="20" t="n">
        <v>93</v>
      </c>
      <c r="F101" s="20" t="n">
        <v>97</v>
      </c>
      <c r="G101" s="20" t="n">
        <v>99</v>
      </c>
      <c r="H101" s="20" t="n">
        <v>98</v>
      </c>
      <c r="I101" s="20" t="n">
        <v>106</v>
      </c>
      <c r="J101" s="20" t="n">
        <v>91</v>
      </c>
      <c r="K101" s="20" t="n">
        <v>106</v>
      </c>
      <c r="L101" s="20" t="n">
        <v>97</v>
      </c>
      <c r="M101" s="20" t="n">
        <v>88</v>
      </c>
      <c r="N101" s="20" t="n">
        <v>102</v>
      </c>
      <c r="T101" s="20" t="n">
        <v>99</v>
      </c>
      <c r="U101" s="20" t="n">
        <v>93</v>
      </c>
      <c r="V101" s="20" t="n">
        <v>93</v>
      </c>
      <c r="W101" s="20" t="n">
        <v>106</v>
      </c>
      <c r="X101" s="20" t="n">
        <v>88</v>
      </c>
    </row>
    <row r="102">
      <c r="A102" s="18" t="inlineStr">
        <is>
          <t>대손충당금 전입</t>
        </is>
      </c>
      <c r="C102" s="20" t="n">
        <v>10</v>
      </c>
      <c r="D102" s="20" t="n">
        <v>8</v>
      </c>
      <c r="E102" s="20" t="n">
        <v>-12</v>
      </c>
      <c r="F102" s="20" t="n">
        <v>3</v>
      </c>
      <c r="G102" s="20" t="n">
        <v>6</v>
      </c>
      <c r="H102" s="20" t="n">
        <v>10</v>
      </c>
      <c r="I102" s="20" t="n">
        <v>7</v>
      </c>
      <c r="J102" s="20" t="n">
        <v>4</v>
      </c>
      <c r="K102" s="20" t="n">
        <v>6</v>
      </c>
      <c r="L102" s="20" t="n">
        <v>8</v>
      </c>
      <c r="M102" s="20" t="n">
        <v>5</v>
      </c>
      <c r="N102" s="20" t="n">
        <v>6</v>
      </c>
      <c r="T102" s="20" t="n">
        <v>-3</v>
      </c>
      <c r="U102" s="20" t="n">
        <v>3</v>
      </c>
      <c r="V102" s="20" t="n">
        <v>-12</v>
      </c>
      <c r="W102" s="20" t="n">
        <v>7</v>
      </c>
      <c r="X102" s="20" t="n">
        <v>5</v>
      </c>
    </row>
    <row r="103">
      <c r="A103" s="18" t="inlineStr">
        <is>
          <t>임원 보수</t>
        </is>
      </c>
      <c r="C103" s="20" t="n">
        <v>64</v>
      </c>
      <c r="D103" s="20" t="n">
        <v>64</v>
      </c>
      <c r="E103" s="20" t="n">
        <v>63</v>
      </c>
      <c r="F103" s="20" t="n">
        <v>63</v>
      </c>
      <c r="G103" s="20" t="n">
        <v>63</v>
      </c>
      <c r="H103" s="20" t="n">
        <v>66</v>
      </c>
      <c r="I103" s="20" t="n">
        <v>63</v>
      </c>
      <c r="J103" s="20" t="n">
        <v>64</v>
      </c>
      <c r="K103" s="20" t="n">
        <v>54</v>
      </c>
      <c r="L103" s="20" t="n">
        <v>84</v>
      </c>
      <c r="M103" s="20" t="n">
        <v>70</v>
      </c>
      <c r="N103" s="20" t="n">
        <v>71</v>
      </c>
      <c r="T103" s="20" t="n">
        <v>63</v>
      </c>
      <c r="U103" s="20" t="n">
        <v>61</v>
      </c>
      <c r="V103" s="20" t="n">
        <v>63</v>
      </c>
      <c r="W103" s="20" t="n">
        <v>63</v>
      </c>
      <c r="X103" s="20" t="n">
        <v>70</v>
      </c>
    </row>
    <row r="104">
      <c r="A104" s="18" t="inlineStr">
        <is>
          <t>Salaries And Bonuses SGA</t>
        </is>
      </c>
      <c r="C104" s="20" t="n">
        <v>1097</v>
      </c>
      <c r="D104" s="20" t="n">
        <v>1404</v>
      </c>
      <c r="E104" s="20" t="n">
        <v>1096</v>
      </c>
      <c r="F104" s="20" t="n">
        <v>1118</v>
      </c>
      <c r="G104" s="20" t="n">
        <v>1109</v>
      </c>
      <c r="H104" s="20" t="n">
        <v>1259</v>
      </c>
      <c r="I104" s="20" t="n">
        <v>1113</v>
      </c>
      <c r="J104" s="20" t="n">
        <v>1120</v>
      </c>
      <c r="K104" s="20" t="n">
        <v>1234</v>
      </c>
      <c r="L104" s="20" t="n">
        <v>1412</v>
      </c>
      <c r="M104" s="20" t="n">
        <v>1270</v>
      </c>
      <c r="N104" s="20" t="n">
        <v>1307</v>
      </c>
      <c r="T104" s="20" t="n">
        <v>1091</v>
      </c>
      <c r="U104" s="20" t="n">
        <v>1107</v>
      </c>
      <c r="V104" s="20" t="n">
        <v>1096</v>
      </c>
      <c r="W104" s="20" t="n">
        <v>1113</v>
      </c>
      <c r="X104" s="20" t="n">
        <v>1270</v>
      </c>
    </row>
    <row r="105">
      <c r="A105" s="18" t="inlineStr">
        <is>
          <t>상여충당금 전입</t>
        </is>
      </c>
      <c r="C105" s="20" t="n">
        <v>157</v>
      </c>
      <c r="D105" s="20" t="n">
        <v>-161</v>
      </c>
      <c r="E105" s="20" t="n">
        <v>167</v>
      </c>
      <c r="F105" s="20" t="n">
        <v>39</v>
      </c>
      <c r="G105" s="20" t="n">
        <v>118</v>
      </c>
      <c r="H105" s="20" t="n">
        <v>15</v>
      </c>
      <c r="I105" s="20" t="n">
        <v>83</v>
      </c>
      <c r="J105" s="20" t="n">
        <v>113</v>
      </c>
      <c r="K105" s="20" t="n">
        <v>130</v>
      </c>
      <c r="L105" s="20" t="n">
        <v>-74</v>
      </c>
      <c r="M105" s="20" t="n">
        <v>277</v>
      </c>
      <c r="N105" s="20" t="n">
        <v>152</v>
      </c>
      <c r="T105" s="20" t="n">
        <v>47</v>
      </c>
      <c r="U105" s="20" t="n">
        <v>90</v>
      </c>
      <c r="V105" s="20" t="n">
        <v>167</v>
      </c>
      <c r="W105" s="20" t="n">
        <v>83</v>
      </c>
      <c r="X105" s="20" t="n">
        <v>277</v>
      </c>
    </row>
    <row r="106">
      <c r="A106" s="18" t="inlineStr">
        <is>
          <t>퇴직급여비용</t>
        </is>
      </c>
      <c r="C106" s="20" t="n">
        <v>16</v>
      </c>
      <c r="D106" s="20" t="n">
        <v>17</v>
      </c>
      <c r="E106" s="20" t="n">
        <v>-50</v>
      </c>
      <c r="F106" s="20" t="n">
        <v>-17</v>
      </c>
      <c r="G106" s="20" t="n">
        <v>-19</v>
      </c>
      <c r="H106" s="20" t="n">
        <v>-17</v>
      </c>
      <c r="I106" s="20" t="n">
        <v>-55</v>
      </c>
      <c r="J106" s="20" t="n">
        <v>-5</v>
      </c>
      <c r="K106" s="20" t="n">
        <v>-7</v>
      </c>
      <c r="L106" s="20" t="n">
        <v>-13</v>
      </c>
      <c r="M106" s="20" t="n">
        <v>-43</v>
      </c>
      <c r="N106" s="20" t="n">
        <v>-9</v>
      </c>
      <c r="T106" s="20" t="n">
        <v>18</v>
      </c>
      <c r="U106" s="20" t="n">
        <v>37</v>
      </c>
      <c r="V106" s="20" t="n">
        <v>-50</v>
      </c>
      <c r="W106" s="20" t="n">
        <v>-55</v>
      </c>
      <c r="X106" s="20" t="n">
        <v>-43</v>
      </c>
    </row>
    <row r="107">
      <c r="A107" s="18" t="inlineStr">
        <is>
          <t>복리후생비</t>
        </is>
      </c>
      <c r="C107" s="20" t="n">
        <v>214</v>
      </c>
      <c r="D107" s="20" t="n">
        <v>209</v>
      </c>
      <c r="E107" s="20" t="n">
        <v>208</v>
      </c>
      <c r="F107" s="20" t="n">
        <v>181</v>
      </c>
      <c r="G107" s="20" t="n">
        <v>207</v>
      </c>
      <c r="H107" s="20" t="n">
        <v>215</v>
      </c>
      <c r="I107" s="20" t="n">
        <v>238</v>
      </c>
      <c r="J107" s="20" t="n">
        <v>220</v>
      </c>
      <c r="K107" s="20" t="n">
        <v>225</v>
      </c>
      <c r="L107" s="20" t="n">
        <v>224</v>
      </c>
      <c r="M107" s="20" t="n">
        <v>240</v>
      </c>
      <c r="N107" s="20" t="n">
        <v>235</v>
      </c>
      <c r="T107" s="20" t="n">
        <v>187</v>
      </c>
      <c r="U107" s="20" t="n">
        <v>201</v>
      </c>
      <c r="V107" s="20" t="n">
        <v>208</v>
      </c>
      <c r="W107" s="20" t="n">
        <v>238</v>
      </c>
      <c r="X107" s="20" t="n">
        <v>240</v>
      </c>
    </row>
    <row r="108">
      <c r="A108" s="18" t="inlineStr">
        <is>
          <t>Rent Expenses SGA</t>
        </is>
      </c>
      <c r="C108" s="20" t="n">
        <v>179</v>
      </c>
      <c r="D108" s="20" t="n">
        <v>181</v>
      </c>
      <c r="E108" s="20" t="n">
        <v>184</v>
      </c>
      <c r="F108" s="20" t="n">
        <v>192</v>
      </c>
      <c r="G108" s="20" t="n">
        <v>190</v>
      </c>
      <c r="H108" s="20" t="n">
        <v>187</v>
      </c>
      <c r="I108" s="20" t="n">
        <v>196</v>
      </c>
      <c r="J108" s="20" t="n">
        <v>201</v>
      </c>
      <c r="K108" s="20" t="n">
        <v>223</v>
      </c>
      <c r="L108" s="20" t="n">
        <v>213</v>
      </c>
      <c r="M108" s="20" t="n">
        <v>226</v>
      </c>
      <c r="N108" s="20" t="n">
        <v>243</v>
      </c>
      <c r="T108" s="20" t="n">
        <v>227</v>
      </c>
      <c r="U108" s="20" t="n">
        <v>189</v>
      </c>
      <c r="V108" s="20" t="n">
        <v>184</v>
      </c>
      <c r="W108" s="20" t="n">
        <v>196</v>
      </c>
      <c r="X108" s="20" t="n">
        <v>226</v>
      </c>
    </row>
    <row r="109">
      <c r="A109" s="18" t="inlineStr">
        <is>
          <t>감가상각비</t>
        </is>
      </c>
      <c r="C109" s="20" t="n">
        <v>75</v>
      </c>
      <c r="D109" s="20" t="n">
        <v>77</v>
      </c>
      <c r="E109" s="20" t="n">
        <v>79</v>
      </c>
      <c r="F109" s="20" t="n">
        <v>73</v>
      </c>
      <c r="G109" s="20" t="n">
        <v>78</v>
      </c>
      <c r="H109" s="20" t="n">
        <v>75</v>
      </c>
      <c r="I109" s="20" t="n">
        <v>108</v>
      </c>
      <c r="J109" s="20" t="n">
        <v>86</v>
      </c>
      <c r="K109" s="20" t="n">
        <v>92</v>
      </c>
      <c r="L109" s="20" t="n">
        <v>103</v>
      </c>
      <c r="M109" s="20" t="n">
        <v>114</v>
      </c>
      <c r="N109" s="20" t="n">
        <v>101</v>
      </c>
      <c r="T109" s="20" t="n">
        <v>77</v>
      </c>
      <c r="U109" s="20" t="n">
        <v>85</v>
      </c>
      <c r="V109" s="20" t="n">
        <v>79</v>
      </c>
      <c r="W109" s="20" t="n">
        <v>108</v>
      </c>
      <c r="X109" s="20" t="n">
        <v>114</v>
      </c>
    </row>
    <row r="110">
      <c r="A110" s="18" t="inlineStr">
        <is>
          <t>Supplies Expenses SGA</t>
        </is>
      </c>
      <c r="C110" s="20" t="n">
        <v>50</v>
      </c>
      <c r="D110" s="20" t="n">
        <v>55</v>
      </c>
      <c r="E110" s="20" t="n">
        <v>56</v>
      </c>
      <c r="F110" s="20" t="n">
        <v>53</v>
      </c>
      <c r="G110" s="20" t="n">
        <v>58</v>
      </c>
      <c r="H110" s="20" t="n">
        <v>50</v>
      </c>
      <c r="I110" s="20" t="n">
        <v>51</v>
      </c>
      <c r="J110" s="20" t="n">
        <v>53</v>
      </c>
      <c r="K110" s="20" t="n">
        <v>54</v>
      </c>
      <c r="L110" s="20" t="n">
        <v>53</v>
      </c>
      <c r="M110" s="20" t="n">
        <v>60</v>
      </c>
      <c r="N110" s="20" t="n">
        <v>61</v>
      </c>
      <c r="T110" s="20" t="n">
        <v>42</v>
      </c>
      <c r="U110" s="20" t="n">
        <v>46</v>
      </c>
      <c r="V110" s="20" t="n">
        <v>56</v>
      </c>
      <c r="W110" s="20" t="n">
        <v>51</v>
      </c>
      <c r="X110" s="20" t="n">
        <v>60</v>
      </c>
    </row>
    <row r="111">
      <c r="A111" s="18" t="inlineStr">
        <is>
          <t>연구개발비</t>
        </is>
      </c>
      <c r="C111" s="20" t="n">
        <v>54</v>
      </c>
      <c r="D111" s="20" t="n">
        <v>57</v>
      </c>
      <c r="E111" s="20" t="n">
        <v>60</v>
      </c>
      <c r="F111" s="20" t="n">
        <v>43</v>
      </c>
      <c r="G111" s="20" t="n">
        <v>49</v>
      </c>
      <c r="H111" s="20" t="n">
        <v>47</v>
      </c>
      <c r="I111" s="20" t="n">
        <v>51</v>
      </c>
      <c r="J111" s="20" t="n">
        <v>51</v>
      </c>
      <c r="K111" s="20" t="n">
        <v>45</v>
      </c>
      <c r="L111" s="20" t="n">
        <v>58</v>
      </c>
      <c r="M111" s="20" t="n">
        <v>59</v>
      </c>
      <c r="N111" s="20" t="n">
        <v>61</v>
      </c>
      <c r="T111" s="20" t="n">
        <v>39</v>
      </c>
      <c r="U111" s="20" t="n">
        <v>63</v>
      </c>
      <c r="V111" s="20" t="n">
        <v>60</v>
      </c>
      <c r="W111" s="20" t="n">
        <v>51</v>
      </c>
      <c r="X111" s="20" t="n">
        <v>59</v>
      </c>
    </row>
    <row r="112">
      <c r="A112" s="18" t="inlineStr">
        <is>
          <t>기타</t>
        </is>
      </c>
      <c r="C112" s="20" t="n">
        <v>652</v>
      </c>
      <c r="D112" s="20" t="n">
        <v>668</v>
      </c>
      <c r="E112" s="20" t="n">
        <v>813</v>
      </c>
      <c r="F112" s="20" t="n">
        <v>679</v>
      </c>
      <c r="G112" s="20" t="n">
        <v>697</v>
      </c>
      <c r="H112" s="20" t="n">
        <v>669</v>
      </c>
      <c r="I112" s="20" t="n">
        <v>712</v>
      </c>
      <c r="J112" s="20" t="n">
        <v>727</v>
      </c>
      <c r="K112" s="20" t="n">
        <v>912</v>
      </c>
      <c r="L112" s="20" t="n">
        <v>769</v>
      </c>
      <c r="M112" s="20" t="n">
        <v>826</v>
      </c>
      <c r="N112" s="20" t="n">
        <v>890</v>
      </c>
      <c r="T112" s="20" t="n">
        <v>582</v>
      </c>
      <c r="U112" s="20" t="n">
        <v>622</v>
      </c>
      <c r="V112" s="20" t="n">
        <v>813</v>
      </c>
      <c r="W112" s="20" t="n">
        <v>712</v>
      </c>
      <c r="X112" s="20" t="n">
        <v>826</v>
      </c>
    </row>
    <row r="113">
      <c r="A113" s="18" t="inlineStr">
        <is>
          <t>판매비와 관리비 합계</t>
        </is>
      </c>
      <c r="C113" s="20" t="n">
        <v>3679</v>
      </c>
      <c r="D113" s="20" t="n">
        <v>3627</v>
      </c>
      <c r="E113" s="20" t="n">
        <v>3579</v>
      </c>
      <c r="F113" s="20" t="n">
        <v>3475</v>
      </c>
      <c r="G113" s="20" t="n">
        <v>3579</v>
      </c>
      <c r="H113" s="20" t="n">
        <v>3618</v>
      </c>
      <c r="I113" s="20" t="n">
        <v>3369</v>
      </c>
      <c r="J113" s="20" t="n">
        <v>3587</v>
      </c>
      <c r="K113" s="20" t="n">
        <v>4055</v>
      </c>
      <c r="L113" s="20" t="n">
        <v>3902</v>
      </c>
      <c r="M113" s="20" t="n">
        <v>3997</v>
      </c>
      <c r="N113" s="20" t="n">
        <v>4099</v>
      </c>
      <c r="T113" s="20" t="n">
        <v>3307</v>
      </c>
      <c r="U113" s="20" t="n">
        <v>3395</v>
      </c>
      <c r="V113" s="20" t="n">
        <v>3579</v>
      </c>
      <c r="W113" s="20" t="n">
        <v>3369</v>
      </c>
      <c r="X113" s="20" t="n">
        <v>3997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영업이익</t>
        </is>
      </c>
      <c r="C115" s="12" t="n">
        <v>287</v>
      </c>
      <c r="D115" s="12" t="n">
        <v>302</v>
      </c>
      <c r="E115" s="12" t="n">
        <v>-579</v>
      </c>
      <c r="F115" s="12" t="n">
        <v>665</v>
      </c>
      <c r="G115" s="12" t="n">
        <v>-115</v>
      </c>
      <c r="H115" s="12" t="n">
        <v>921</v>
      </c>
      <c r="I115" s="12" t="n">
        <v>-985</v>
      </c>
      <c r="J115" s="12" t="n">
        <v>400</v>
      </c>
      <c r="K115" s="12" t="n">
        <v>312</v>
      </c>
      <c r="L115" s="12" t="n">
        <v>571</v>
      </c>
      <c r="M115" s="12" t="n">
        <v>-206</v>
      </c>
      <c r="N115" s="12" t="n">
        <v>781</v>
      </c>
      <c r="T115" s="12" t="n">
        <v>-464</v>
      </c>
      <c r="U115" s="12" t="n">
        <v>-622</v>
      </c>
      <c r="V115" s="12" t="n">
        <v>-579</v>
      </c>
      <c r="W115" s="12" t="n">
        <v>-985</v>
      </c>
      <c r="X115" s="12" t="n">
        <v>-206</v>
      </c>
    </row>
    <row r="116">
      <c r="A116" s="43" t="inlineStr">
        <is>
          <t>OPM</t>
        </is>
      </c>
      <c r="B116" s="3" t="inlineStr">
        <is>
          <t>영업이익 ÷ 매출</t>
        </is>
      </c>
      <c r="C116" s="15">
        <f>IF(OR(C115="",C93=""),"",IF(C93&lt;=0,"",IFERROR(C115/C93,"")))</f>
        <v/>
      </c>
      <c r="D116" s="15">
        <f>IF(OR(D115="",D93=""),"",IF(D93&lt;=0,"",IFERROR(D115/D93,"")))</f>
        <v/>
      </c>
      <c r="E116" s="15">
        <f>IF(OR(E115="",E93=""),"",IF(E93&lt;=0,"",IFERROR(E115/E93,"")))</f>
        <v/>
      </c>
      <c r="F116" s="15">
        <f>IF(OR(F115="",F93=""),"",IF(F93&lt;=0,"",IFERROR(F115/F93,"")))</f>
        <v/>
      </c>
      <c r="G116" s="15">
        <f>IF(OR(G115="",G93=""),"",IF(G93&lt;=0,"",IFERROR(G115/G93,"")))</f>
        <v/>
      </c>
      <c r="H116" s="15">
        <f>IF(OR(H115="",H93=""),"",IF(H93&lt;=0,"",IFERROR(H115/H93,"")))</f>
        <v/>
      </c>
      <c r="I116" s="15">
        <f>IF(OR(I115="",I93=""),"",IF(I93&lt;=0,"",IFERROR(I115/I93,"")))</f>
        <v/>
      </c>
      <c r="J116" s="15">
        <f>IF(OR(J115="",J93=""),"",IF(J93&lt;=0,"",IFERROR(J115/J93,"")))</f>
        <v/>
      </c>
      <c r="K116" s="15">
        <f>IF(OR(K115="",K93=""),"",IF(K93&lt;=0,"",IFERROR(K115/K93,"")))</f>
        <v/>
      </c>
      <c r="L116" s="15">
        <f>IF(OR(L115="",L93=""),"",IF(L93&lt;=0,"",IFERROR(L115/L93,"")))</f>
        <v/>
      </c>
      <c r="M116" s="15">
        <f>IF(OR(M115="",M93=""),"",IF(M93&lt;=0,"",IFERROR(M115/M93,"")))</f>
        <v/>
      </c>
      <c r="N116" s="15">
        <f>IF(OR(N115="",N93=""),"",IF(N93&lt;=0,"",IFERROR(N115/N93,"")))</f>
        <v/>
      </c>
      <c r="T116" s="15">
        <f>IF(OR(T115="",T93=""),"",IF(T93&lt;=0,"",IFERROR(T115/T93,"")))</f>
        <v/>
      </c>
      <c r="U116" s="15">
        <f>IF(OR(U115="",U93=""),"",IF(U93&lt;=0,"",IFERROR(U115/U93,"")))</f>
        <v/>
      </c>
      <c r="V116" s="15">
        <f>IF(OR(V115="",V93=""),"",IF(V93&lt;=0,"",IFERROR(V115/V93,"")))</f>
        <v/>
      </c>
      <c r="W116" s="15">
        <f>IF(OR(W115="",W93=""),"",IF(W93&lt;=0,"",IFERROR(W115/W93,"")))</f>
        <v/>
      </c>
      <c r="X116" s="15">
        <f>IF(OR(X115="",X93=""),"",IF(X93&lt;=0,"",IFERROR(X115/X93,"")))</f>
        <v/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IF(OR(G115="",C115=""),"",IF(C115&lt;=0,"",IFERROR(G115/C115-1,"")))</f>
        <v/>
      </c>
      <c r="H117" s="15">
        <f>IF(OR(H115="",D115=""),"",IF(D115&lt;=0,"",IFERROR(H115/D115-1,"")))</f>
        <v/>
      </c>
      <c r="I117" s="15">
        <f>IF(OR(I115="",E115=""),"",IF(E115&lt;=0,"",IFERROR(I115/E115-1,"")))</f>
        <v/>
      </c>
      <c r="J117" s="15">
        <f>IF(OR(J115="",F115=""),"",IF(F115&lt;=0,"",IFERROR(J115/F115-1,"")))</f>
        <v/>
      </c>
      <c r="K117" s="15">
        <f>IF(OR(K115="",G115=""),"",IF(G115&lt;=0,"",IFERROR(K115/G115-1,"")))</f>
        <v/>
      </c>
      <c r="L117" s="15">
        <f>IF(OR(L115="",H115=""),"",IF(H115&lt;=0,"",IFERROR(L115/H115-1,"")))</f>
        <v/>
      </c>
      <c r="M117" s="15">
        <f>IF(OR(M115="",I115=""),"",IF(I115&lt;=0,"",IFERROR(M115/I115-1,"")))</f>
        <v/>
      </c>
      <c r="N117" s="15">
        <f>IF(OR(N115="",J115=""),"",IF(J115&lt;=0,"",IFERROR(N115/J115-1,"")))</f>
        <v/>
      </c>
      <c r="T117" s="15">
        <f>IF(OR(T115="",S115=""),"",IF(S115&lt;=0,"",IFERROR(T115/S115-1,"")))</f>
        <v/>
      </c>
      <c r="U117" s="15">
        <f>IF(OR(U115="",T115=""),"",IF(T115&lt;=0,"",IFERROR(U115/T115-1,"")))</f>
        <v/>
      </c>
      <c r="V117" s="15">
        <f>IF(OR(V115="",U115=""),"",IF(U115&lt;=0,"",IFERROR(V115/U115-1,"")))</f>
        <v/>
      </c>
      <c r="W117" s="15">
        <f>IF(OR(W115="",V115=""),"",IF(V115&lt;=0,"",IFERROR(W115/V115-1,"")))</f>
        <v/>
      </c>
      <c r="X117" s="15">
        <f>IF(OR(X115="",W115=""),"",IF(W115&lt;=0,"",IFERROR(X115/W115-1,"")))</f>
        <v/>
      </c>
    </row>
    <row r="118">
      <c r="A118" s="18" t="inlineStr">
        <is>
          <t>이자수익</t>
        </is>
      </c>
      <c r="C118" s="20" t="n">
        <v>1</v>
      </c>
      <c r="D118" s="20" t="n">
        <v>0</v>
      </c>
      <c r="E118" s="20" t="n">
        <v>0</v>
      </c>
      <c r="F118" s="20" t="n">
        <v>0</v>
      </c>
      <c r="G118" s="20" t="n">
        <v>0</v>
      </c>
      <c r="H118" s="20" t="n">
        <v>1</v>
      </c>
      <c r="I118" s="20" t="n">
        <v>0</v>
      </c>
      <c r="J118" s="20" t="n">
        <v>0</v>
      </c>
      <c r="K118" s="20" t="n">
        <v>1</v>
      </c>
      <c r="L118" s="20" t="n">
        <v>7</v>
      </c>
      <c r="M118" s="20" t="n">
        <v>-6</v>
      </c>
      <c r="N118" s="20" t="n">
        <v>0</v>
      </c>
      <c r="T118" s="20" t="n">
        <v>1</v>
      </c>
      <c r="U118" s="20" t="n">
        <v>1</v>
      </c>
      <c r="V118" s="20" t="n">
        <v>0</v>
      </c>
      <c r="W118" s="20" t="n">
        <v>0</v>
      </c>
      <c r="X118" s="20" t="n">
        <v>-6</v>
      </c>
    </row>
    <row r="119">
      <c r="A119" s="18" t="inlineStr">
        <is>
          <t>배당금수익</t>
        </is>
      </c>
      <c r="C119" s="20" t="n">
        <v>4</v>
      </c>
      <c r="D119" s="20" t="n">
        <v>8</v>
      </c>
      <c r="E119" s="20" t="n">
        <v>5</v>
      </c>
      <c r="F119" s="20" t="n">
        <v>13</v>
      </c>
      <c r="G119" s="20" t="n">
        <v>5</v>
      </c>
      <c r="H119" s="20" t="n">
        <v>11</v>
      </c>
      <c r="I119" s="20" t="n">
        <v>5</v>
      </c>
      <c r="J119" s="20" t="n">
        <v>16</v>
      </c>
      <c r="K119" s="20" t="n">
        <v>6</v>
      </c>
      <c r="L119" s="20" t="n">
        <v>12</v>
      </c>
      <c r="M119" s="20" t="n">
        <v>7</v>
      </c>
      <c r="N119" s="20" t="n">
        <v>19</v>
      </c>
      <c r="T119" s="20" t="n">
        <v>5</v>
      </c>
      <c r="U119" s="20" t="n">
        <v>5</v>
      </c>
      <c r="V119" s="20" t="n">
        <v>5</v>
      </c>
      <c r="W119" s="20" t="n">
        <v>5</v>
      </c>
      <c r="X119" s="20" t="n">
        <v>7</v>
      </c>
    </row>
    <row r="120">
      <c r="A120" s="18" t="inlineStr">
        <is>
          <t>지분법이익</t>
        </is>
      </c>
      <c r="C120" s="20" t="n">
        <v>20</v>
      </c>
      <c r="D120" s="20" t="n">
        <v>18</v>
      </c>
      <c r="E120" s="20" t="n">
        <v>-33</v>
      </c>
      <c r="F120" s="20" t="n">
        <v>20</v>
      </c>
      <c r="G120" s="20" t="n">
        <v>4</v>
      </c>
      <c r="H120" s="20" t="n">
        <v>33</v>
      </c>
      <c r="I120" s="20" t="n">
        <v>-6</v>
      </c>
      <c r="J120" s="20" t="n">
        <v>81</v>
      </c>
      <c r="K120" s="20" t="n">
        <v>33</v>
      </c>
      <c r="L120" s="20" t="n">
        <v>62</v>
      </c>
      <c r="M120" s="20" t="n">
        <v>20</v>
      </c>
      <c r="N120" s="20" t="n">
        <v>158</v>
      </c>
      <c r="T120" s="20" t="n">
        <v>9</v>
      </c>
      <c r="U120" s="20" t="n">
        <v>0</v>
      </c>
      <c r="V120" s="20" t="n">
        <v>-33</v>
      </c>
      <c r="W120" s="20" t="n">
        <v>-6</v>
      </c>
      <c r="X120" s="20" t="n">
        <v>20</v>
      </c>
    </row>
    <row r="121">
      <c r="A121" s="18" t="inlineStr">
        <is>
          <t>외환차익</t>
        </is>
      </c>
      <c r="C121" s="20" t="n">
        <v>-1</v>
      </c>
      <c r="D121" s="20" t="n">
        <v>0</v>
      </c>
      <c r="F121" s="20" t="n">
        <v>0</v>
      </c>
      <c r="G121" s="20" t="n">
        <v>0</v>
      </c>
      <c r="H121" s="20" t="n">
        <v>2</v>
      </c>
      <c r="L121" s="20" t="n">
        <v>1</v>
      </c>
      <c r="T121" s="20" t="n">
        <v>10</v>
      </c>
      <c r="U121" s="20" t="n">
        <v>0</v>
      </c>
    </row>
    <row r="122">
      <c r="A122" s="18" t="inlineStr">
        <is>
          <t>부동산 임대료</t>
        </is>
      </c>
      <c r="C122" s="20" t="n">
        <v>20</v>
      </c>
      <c r="D122" s="20" t="n">
        <v>21</v>
      </c>
      <c r="E122" s="20" t="n">
        <v>16</v>
      </c>
      <c r="F122" s="20" t="n">
        <v>17</v>
      </c>
      <c r="G122" s="20" t="n">
        <v>17</v>
      </c>
      <c r="H122" s="20" t="n">
        <v>19</v>
      </c>
      <c r="I122" s="20" t="n">
        <v>20</v>
      </c>
      <c r="J122" s="20" t="n">
        <v>18</v>
      </c>
      <c r="K122" s="20" t="n">
        <v>22</v>
      </c>
      <c r="L122" s="20" t="n">
        <v>20</v>
      </c>
      <c r="M122" s="20" t="n">
        <v>21</v>
      </c>
      <c r="N122" s="20" t="n">
        <v>19</v>
      </c>
      <c r="T122" s="20" t="n">
        <v>16</v>
      </c>
      <c r="U122" s="20" t="n">
        <v>22</v>
      </c>
      <c r="V122" s="20" t="n">
        <v>16</v>
      </c>
      <c r="W122" s="20" t="n">
        <v>20</v>
      </c>
      <c r="X122" s="20" t="n">
        <v>21</v>
      </c>
    </row>
    <row r="123">
      <c r="A123" s="18" t="inlineStr">
        <is>
          <t>보조금 수입</t>
        </is>
      </c>
      <c r="T123" s="20" t="n">
        <v>38</v>
      </c>
      <c r="U123" s="20" t="n">
        <v>2</v>
      </c>
    </row>
    <row r="124">
      <c r="A124" s="18" t="inlineStr">
        <is>
          <t>기타</t>
        </is>
      </c>
      <c r="C124" s="20" t="n">
        <v>26</v>
      </c>
      <c r="D124" s="20" t="n">
        <v>10</v>
      </c>
      <c r="E124" s="20" t="n">
        <v>18</v>
      </c>
      <c r="F124" s="20" t="n">
        <v>13</v>
      </c>
      <c r="G124" s="20" t="n">
        <v>13</v>
      </c>
      <c r="H124" s="20" t="n">
        <v>17</v>
      </c>
      <c r="I124" s="20" t="n">
        <v>28</v>
      </c>
      <c r="J124" s="20" t="n">
        <v>14</v>
      </c>
      <c r="K124" s="20" t="n">
        <v>45</v>
      </c>
      <c r="L124" s="20" t="n">
        <v>5</v>
      </c>
      <c r="M124" s="20" t="n">
        <v>27</v>
      </c>
      <c r="N124" s="20" t="n">
        <v>16</v>
      </c>
      <c r="T124" s="20" t="n">
        <v>13</v>
      </c>
      <c r="U124" s="20" t="n">
        <v>-52</v>
      </c>
      <c r="V124" s="20" t="n">
        <v>18</v>
      </c>
      <c r="W124" s="20" t="n">
        <v>28</v>
      </c>
      <c r="X124" s="20" t="n">
        <v>27</v>
      </c>
    </row>
    <row r="125">
      <c r="A125" s="18" t="inlineStr">
        <is>
          <t>영업외수익 합계</t>
        </is>
      </c>
      <c r="C125" s="20" t="n">
        <v>69</v>
      </c>
      <c r="D125" s="20" t="n">
        <v>58</v>
      </c>
      <c r="E125" s="20" t="n">
        <v>6</v>
      </c>
      <c r="F125" s="20" t="n">
        <v>65</v>
      </c>
      <c r="G125" s="20" t="n">
        <v>39</v>
      </c>
      <c r="H125" s="20" t="n">
        <v>83</v>
      </c>
      <c r="I125" s="20" t="n">
        <v>50</v>
      </c>
      <c r="J125" s="20" t="n">
        <v>132</v>
      </c>
      <c r="K125" s="20" t="n">
        <v>109</v>
      </c>
      <c r="L125" s="20" t="n">
        <v>107</v>
      </c>
      <c r="M125" s="20" t="n">
        <v>68</v>
      </c>
      <c r="N125" s="20" t="n">
        <v>215</v>
      </c>
      <c r="T125" s="20" t="n">
        <v>89</v>
      </c>
      <c r="U125" s="20" t="n">
        <v>39</v>
      </c>
      <c r="V125" s="20" t="n">
        <v>6</v>
      </c>
      <c r="W125" s="20" t="n">
        <v>50</v>
      </c>
      <c r="X125" s="20" t="n">
        <v>68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IF(OR(G125="",C125=""),"",IF(G125*C125&lt;=0,"",IFERROR(G125/C125-1,"")))</f>
        <v/>
      </c>
      <c r="H126" s="15">
        <f>IF(OR(H125="",D125=""),"",IF(H125*D125&lt;=0,"",IFERROR(H125/D125-1,"")))</f>
        <v/>
      </c>
      <c r="I126" s="15">
        <f>IF(OR(I125="",E125=""),"",IF(I125*E125&lt;=0,"",IFERROR(I125/E125-1,"")))</f>
        <v/>
      </c>
      <c r="J126" s="15">
        <f>IF(OR(J125="",F125=""),"",IF(J125*F125&lt;=0,"",IFERROR(J125/F125-1,"")))</f>
        <v/>
      </c>
      <c r="K126" s="15">
        <f>IF(OR(K125="",G125=""),"",IF(K125*G125&lt;=0,"",IFERROR(K125/G125-1,"")))</f>
        <v/>
      </c>
      <c r="L126" s="15">
        <f>IF(OR(L125="",H125=""),"",IF(L125*H125&lt;=0,"",IFERROR(L125/H125-1,"")))</f>
        <v/>
      </c>
      <c r="M126" s="15">
        <f>IF(OR(M125="",I125=""),"",IF(M125*I125&lt;=0,"",IFERROR(M125/I125-1,"")))</f>
        <v/>
      </c>
      <c r="N126" s="15">
        <f>IF(OR(N125="",J125=""),"",IF(N125*J125&lt;=0,"",IFERROR(N125/J125-1,"")))</f>
        <v/>
      </c>
      <c r="T126" s="15">
        <f>IF(OR(T125="",S125=""),"",IF(T125*S125&lt;=0,"",IFERROR(T125/S125-1,"")))</f>
        <v/>
      </c>
      <c r="U126" s="15">
        <f>IF(OR(U125="",T125=""),"",IF(U125*T125&lt;=0,"",IFERROR(U125/T125-1,"")))</f>
        <v/>
      </c>
      <c r="V126" s="15">
        <f>IF(OR(V125="",U125=""),"",IF(V125*U125&lt;=0,"",IFERROR(V125/U125-1,"")))</f>
        <v/>
      </c>
      <c r="W126" s="15">
        <f>IF(OR(W125="",V125=""),"",IF(W125*V125&lt;=0,"",IFERROR(W125/V125-1,"")))</f>
        <v/>
      </c>
      <c r="X126" s="15">
        <f>IF(OR(X125="",W125=""),"",IF(X125*W125&lt;=0,"",IFERROR(X125/W125-1,"")))</f>
        <v/>
      </c>
    </row>
    <row r="127">
      <c r="A127" s="18" t="inlineStr">
        <is>
          <t>이자비용</t>
        </is>
      </c>
      <c r="C127" s="20" t="n">
        <v>11</v>
      </c>
      <c r="D127" s="20" t="n">
        <v>11</v>
      </c>
      <c r="E127" s="20" t="n">
        <v>11</v>
      </c>
      <c r="F127" s="20" t="n">
        <v>10</v>
      </c>
      <c r="G127" s="20" t="n">
        <v>16</v>
      </c>
      <c r="H127" s="20" t="n">
        <v>19</v>
      </c>
      <c r="I127" s="20" t="n">
        <v>23</v>
      </c>
      <c r="J127" s="20" t="n">
        <v>20</v>
      </c>
      <c r="K127" s="20" t="n">
        <v>34</v>
      </c>
      <c r="L127" s="20" t="n">
        <v>48</v>
      </c>
      <c r="M127" s="20" t="n">
        <v>46</v>
      </c>
      <c r="N127" s="20" t="n">
        <v>63</v>
      </c>
      <c r="T127" s="20" t="n">
        <v>2</v>
      </c>
      <c r="U127" s="20" t="n">
        <v>7</v>
      </c>
      <c r="V127" s="20" t="n">
        <v>11</v>
      </c>
      <c r="W127" s="20" t="n">
        <v>23</v>
      </c>
      <c r="X127" s="20" t="n">
        <v>46</v>
      </c>
    </row>
    <row r="128">
      <c r="A128" s="18" t="inlineStr">
        <is>
          <t>지분법손실</t>
        </is>
      </c>
      <c r="C128" s="20" t="n">
        <v>0</v>
      </c>
      <c r="D128" s="20" t="n">
        <v>0</v>
      </c>
      <c r="E128" s="20" t="n">
        <v>0</v>
      </c>
      <c r="F128" s="20" t="n">
        <v>0</v>
      </c>
      <c r="T128" s="20" t="n">
        <v>0</v>
      </c>
      <c r="U128" s="20" t="n">
        <v>56</v>
      </c>
      <c r="V128" s="20" t="n">
        <v>0</v>
      </c>
    </row>
    <row r="129">
      <c r="A129" s="18" t="inlineStr">
        <is>
          <t>외환차손</t>
        </is>
      </c>
      <c r="C129" s="20" t="n">
        <v>0</v>
      </c>
      <c r="D129" s="20" t="n">
        <v>3</v>
      </c>
      <c r="F129" s="20" t="n">
        <v>0</v>
      </c>
      <c r="G129" s="20" t="n">
        <v>3</v>
      </c>
      <c r="H129" s="20" t="n">
        <v>-3</v>
      </c>
      <c r="J129" s="20" t="n">
        <v>1</v>
      </c>
      <c r="K129" s="20" t="n">
        <v>-1</v>
      </c>
      <c r="N129" s="20" t="n">
        <v>1</v>
      </c>
    </row>
    <row r="130">
      <c r="A130" s="18" t="inlineStr">
        <is>
          <t>Rent Expenses On Real Estates NOE</t>
        </is>
      </c>
      <c r="C130" s="20" t="n">
        <v>5</v>
      </c>
      <c r="D130" s="20" t="n">
        <v>4</v>
      </c>
      <c r="E130" s="20" t="n">
        <v>4</v>
      </c>
      <c r="F130" s="20" t="n">
        <v>2</v>
      </c>
      <c r="G130" s="20" t="n">
        <v>2</v>
      </c>
      <c r="H130" s="20" t="n">
        <v>3</v>
      </c>
      <c r="I130" s="20" t="n">
        <v>1</v>
      </c>
      <c r="J130" s="20" t="n">
        <v>2</v>
      </c>
      <c r="K130" s="20" t="n">
        <v>2</v>
      </c>
      <c r="L130" s="20" t="n">
        <v>2</v>
      </c>
      <c r="M130" s="20" t="n">
        <v>2</v>
      </c>
      <c r="N130" s="20" t="n">
        <v>2</v>
      </c>
      <c r="T130" s="20" t="n">
        <v>4</v>
      </c>
      <c r="U130" s="20" t="n">
        <v>4</v>
      </c>
      <c r="V130" s="20" t="n">
        <v>4</v>
      </c>
      <c r="W130" s="20" t="n">
        <v>1</v>
      </c>
      <c r="X130" s="20" t="n">
        <v>2</v>
      </c>
    </row>
    <row r="131">
      <c r="A131" s="18" t="inlineStr">
        <is>
          <t>기타</t>
        </is>
      </c>
      <c r="C131" s="20" t="n">
        <v>3</v>
      </c>
      <c r="D131" s="20" t="n">
        <v>2</v>
      </c>
      <c r="E131" s="20" t="n">
        <v>5</v>
      </c>
      <c r="F131" s="20" t="n">
        <v>0</v>
      </c>
      <c r="G131" s="20" t="n">
        <v>2</v>
      </c>
      <c r="H131" s="20" t="n">
        <v>6</v>
      </c>
      <c r="I131" s="20" t="n">
        <v>3</v>
      </c>
      <c r="J131" s="20" t="n">
        <v>1</v>
      </c>
      <c r="K131" s="20" t="n">
        <v>8</v>
      </c>
      <c r="L131" s="20" t="n">
        <v>1</v>
      </c>
      <c r="M131" s="20" t="n">
        <v>7</v>
      </c>
      <c r="N131" s="20" t="n">
        <v>1</v>
      </c>
      <c r="T131" s="20" t="n">
        <v>-5</v>
      </c>
      <c r="U131" s="20" t="n">
        <v>1</v>
      </c>
      <c r="V131" s="20" t="n">
        <v>5</v>
      </c>
      <c r="W131" s="20" t="n">
        <v>3</v>
      </c>
      <c r="X131" s="20" t="n">
        <v>7</v>
      </c>
    </row>
    <row r="132">
      <c r="A132" s="18" t="inlineStr">
        <is>
          <t>영업외비용 합계</t>
        </is>
      </c>
      <c r="C132" s="20" t="n">
        <v>18</v>
      </c>
      <c r="D132" s="20" t="n">
        <v>21</v>
      </c>
      <c r="E132" s="20" t="n">
        <v>19</v>
      </c>
      <c r="F132" s="20" t="n">
        <v>13</v>
      </c>
      <c r="G132" s="20" t="n">
        <v>23</v>
      </c>
      <c r="H132" s="20" t="n">
        <v>26</v>
      </c>
      <c r="I132" s="20" t="n">
        <v>26</v>
      </c>
      <c r="J132" s="20" t="n">
        <v>25</v>
      </c>
      <c r="K132" s="20" t="n">
        <v>43</v>
      </c>
      <c r="L132" s="20" t="n">
        <v>51</v>
      </c>
      <c r="M132" s="20" t="n">
        <v>55</v>
      </c>
      <c r="N132" s="20" t="n">
        <v>68</v>
      </c>
      <c r="T132" s="20" t="n">
        <v>4</v>
      </c>
      <c r="U132" s="20" t="n">
        <v>65</v>
      </c>
      <c r="V132" s="20" t="n">
        <v>19</v>
      </c>
      <c r="W132" s="20" t="n">
        <v>26</v>
      </c>
      <c r="X132" s="20" t="n">
        <v>55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경상이익</t>
        </is>
      </c>
      <c r="C134" s="12" t="n">
        <v>339</v>
      </c>
      <c r="D134" s="12" t="n">
        <v>338</v>
      </c>
      <c r="E134" s="12" t="n">
        <v>-592</v>
      </c>
      <c r="F134" s="12" t="n">
        <v>716</v>
      </c>
      <c r="G134" s="12" t="n">
        <v>-99</v>
      </c>
      <c r="H134" s="12" t="n">
        <v>980</v>
      </c>
      <c r="I134" s="12" t="n">
        <v>-961</v>
      </c>
      <c r="J134" s="12" t="n">
        <v>506</v>
      </c>
      <c r="K134" s="12" t="n">
        <v>379</v>
      </c>
      <c r="L134" s="12" t="n">
        <v>626</v>
      </c>
      <c r="M134" s="12" t="n">
        <v>-193</v>
      </c>
      <c r="N134" s="12" t="n">
        <v>928</v>
      </c>
      <c r="T134" s="12" t="n">
        <v>-379</v>
      </c>
      <c r="U134" s="12" t="n">
        <v>-649</v>
      </c>
      <c r="V134" s="12" t="n">
        <v>-592</v>
      </c>
      <c r="W134" s="12" t="n">
        <v>-961</v>
      </c>
      <c r="X134" s="12" t="n">
        <v>-193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투자유가증권 매각이익</t>
        </is>
      </c>
      <c r="E136" s="20" t="n">
        <v>0</v>
      </c>
      <c r="I136" s="20" t="n">
        <v>0</v>
      </c>
      <c r="M136" s="20" t="n">
        <v>0</v>
      </c>
      <c r="T136" s="20" t="n">
        <v>30</v>
      </c>
      <c r="U136" s="20" t="n">
        <v>0</v>
      </c>
      <c r="V136" s="20" t="n">
        <v>0</v>
      </c>
      <c r="W136" s="20" t="n">
        <v>0</v>
      </c>
      <c r="X136" s="20" t="n">
        <v>0</v>
      </c>
    </row>
    <row r="137">
      <c r="A137" s="18" t="inlineStr">
        <is>
          <t>특별이익 합계</t>
        </is>
      </c>
      <c r="E137" s="20" t="n">
        <v>0</v>
      </c>
      <c r="I137" s="20" t="n">
        <v>0</v>
      </c>
      <c r="M137" s="20" t="n">
        <v>0</v>
      </c>
      <c r="T137" s="20" t="n">
        <v>30</v>
      </c>
      <c r="U137" s="20" t="n">
        <v>0</v>
      </c>
      <c r="V137" s="20" t="n">
        <v>0</v>
      </c>
      <c r="W137" s="20" t="n">
        <v>0</v>
      </c>
      <c r="X137" s="20" t="n">
        <v>0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I138" s="15">
        <f>IF(OR(I137="",E137=""),"",IF(I137*E137&lt;=0,"",IFERROR(I137/E137-1,"")))</f>
        <v/>
      </c>
      <c r="M138" s="15">
        <f>IF(OR(M137="",I137=""),"",IF(M137*I137&lt;=0,"",IFERROR(M137/I137-1,"")))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18" t="inlineStr">
        <is>
          <t>손상차손</t>
        </is>
      </c>
      <c r="D139" s="20" t="n">
        <v>0</v>
      </c>
      <c r="E139" s="20" t="n">
        <v>367</v>
      </c>
      <c r="H139" s="20" t="n">
        <v>1</v>
      </c>
      <c r="I139" s="20" t="n">
        <v>92</v>
      </c>
      <c r="M139" s="20" t="n">
        <v>9</v>
      </c>
      <c r="T139" s="20" t="n">
        <v>33</v>
      </c>
      <c r="U139" s="20" t="n">
        <v>40</v>
      </c>
      <c r="V139" s="20" t="n">
        <v>367</v>
      </c>
      <c r="W139" s="20" t="n">
        <v>92</v>
      </c>
      <c r="X139" s="20" t="n">
        <v>9</v>
      </c>
    </row>
    <row r="140">
      <c r="A140" s="18" t="inlineStr">
        <is>
          <t>특별손실 합계</t>
        </is>
      </c>
      <c r="D140" s="20" t="n">
        <v>0</v>
      </c>
      <c r="E140" s="20" t="n">
        <v>367</v>
      </c>
      <c r="H140" s="20" t="n">
        <v>1</v>
      </c>
      <c r="I140" s="20" t="n">
        <v>92</v>
      </c>
      <c r="M140" s="20" t="n">
        <v>9</v>
      </c>
      <c r="T140" s="20" t="n">
        <v>33</v>
      </c>
      <c r="U140" s="20" t="n">
        <v>40</v>
      </c>
      <c r="V140" s="20" t="n">
        <v>367</v>
      </c>
      <c r="W140" s="20" t="n">
        <v>92</v>
      </c>
      <c r="X140" s="20" t="n">
        <v>9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H141" s="15">
        <f>IF(OR(H140="",D140=""),"",IF(H140*D140&lt;=0,"",IFERROR(H140/D140-1,"")))</f>
        <v/>
      </c>
      <c r="I141" s="15">
        <f>IF(OR(I140="",E140=""),"",IF(I140*E140&lt;=0,"",IFERROR(I140/E140-1,"")))</f>
        <v/>
      </c>
      <c r="M141" s="15">
        <f>IF(OR(M140="",I140=""),"",IF(M140*I140&lt;=0,"",IFERROR(M140/I140-1,"")))</f>
        <v/>
      </c>
      <c r="T141" s="15">
        <f>IF(OR(T140="",S140=""),"",IF(T140*S140&lt;=0,"",IFERROR(T140/S140-1,"")))</f>
        <v/>
      </c>
      <c r="U141" s="15">
        <f>IF(OR(U140="",T140=""),"",IF(U140*T140&lt;=0,"",IFERROR(U140/T140-1,"")))</f>
        <v/>
      </c>
      <c r="V141" s="15">
        <f>IF(OR(V140="",U140=""),"",IF(V140*U140&lt;=0,"",IFERROR(V140/U140-1,"")))</f>
        <v/>
      </c>
      <c r="W141" s="15">
        <f>IF(OR(W140="",V140=""),"",IF(W140*V140&lt;=0,"",IFERROR(W140/V140-1,"")))</f>
        <v/>
      </c>
      <c r="X141" s="15">
        <f>IF(OR(X140="",W140=""),"",IF(X140*W140&lt;=0,"",IFERROR(X140/W140-1,"")))</f>
        <v/>
      </c>
    </row>
    <row r="142">
      <c r="A142" s="9" t="inlineStr">
        <is>
          <t>법인세차감전 순이익</t>
        </is>
      </c>
      <c r="C142" s="12" t="n">
        <v>321</v>
      </c>
      <c r="D142" s="12" t="n">
        <v>344</v>
      </c>
      <c r="E142" s="12" t="n">
        <v>-959</v>
      </c>
      <c r="F142" s="12" t="n">
        <v>716</v>
      </c>
      <c r="G142" s="12" t="n">
        <v>-99</v>
      </c>
      <c r="H142" s="12" t="n">
        <v>982</v>
      </c>
      <c r="I142" s="12" t="n">
        <v>-1053</v>
      </c>
      <c r="J142" s="12" t="n">
        <v>506</v>
      </c>
      <c r="K142" s="12" t="n">
        <v>379</v>
      </c>
      <c r="L142" s="12" t="n">
        <v>626</v>
      </c>
      <c r="M142" s="12" t="n">
        <v>-203</v>
      </c>
      <c r="N142" s="12" t="n">
        <v>928</v>
      </c>
      <c r="T142" s="12" t="n">
        <v>-383</v>
      </c>
      <c r="U142" s="12" t="n">
        <v>-690</v>
      </c>
      <c r="V142" s="12" t="n">
        <v>-959</v>
      </c>
      <c r="W142" s="12" t="n">
        <v>-1053</v>
      </c>
      <c r="X142" s="12" t="n">
        <v>-203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법인세·주민세·사업세</t>
        </is>
      </c>
      <c r="C144" s="20" t="n">
        <v>117</v>
      </c>
      <c r="D144" s="20" t="n">
        <v>34</v>
      </c>
      <c r="E144" s="20" t="n">
        <v>-76</v>
      </c>
      <c r="F144" s="20" t="n">
        <v>126</v>
      </c>
      <c r="G144" s="20" t="n">
        <v>27</v>
      </c>
      <c r="H144" s="20" t="n">
        <v>158</v>
      </c>
      <c r="I144" s="20" t="n">
        <v>-127</v>
      </c>
      <c r="J144" s="20" t="n">
        <v>95</v>
      </c>
      <c r="K144" s="20" t="n">
        <v>119</v>
      </c>
      <c r="L144" s="20" t="n">
        <v>120</v>
      </c>
      <c r="M144" s="20" t="n">
        <v>16</v>
      </c>
      <c r="N144" s="20" t="n">
        <v>151</v>
      </c>
      <c r="T144" s="20" t="n">
        <v>-10</v>
      </c>
      <c r="U144" s="20" t="n">
        <v>-39</v>
      </c>
      <c r="V144" s="20" t="n">
        <v>-76</v>
      </c>
      <c r="W144" s="20" t="n">
        <v>-127</v>
      </c>
      <c r="X144" s="20" t="n">
        <v>16</v>
      </c>
    </row>
    <row r="145">
      <c r="A145" s="18" t="inlineStr">
        <is>
          <t>법인세 조정액</t>
        </is>
      </c>
      <c r="C145" s="20" t="n">
        <v>7</v>
      </c>
      <c r="D145" s="20" t="n">
        <v>74</v>
      </c>
      <c r="E145" s="20" t="n">
        <v>-33</v>
      </c>
      <c r="F145" s="20" t="n">
        <v>113</v>
      </c>
      <c r="G145" s="20" t="n">
        <v>-35</v>
      </c>
      <c r="H145" s="20" t="n">
        <v>33</v>
      </c>
      <c r="I145" s="20" t="n">
        <v>21</v>
      </c>
      <c r="J145" s="20" t="n">
        <v>74</v>
      </c>
      <c r="K145" s="20" t="n">
        <v>-26</v>
      </c>
      <c r="L145" s="20" t="n">
        <v>-32</v>
      </c>
      <c r="M145" s="20" t="n">
        <v>-65</v>
      </c>
      <c r="N145" s="20" t="n">
        <v>131</v>
      </c>
      <c r="T145" s="20" t="n">
        <v>-63</v>
      </c>
      <c r="U145" s="20" t="n">
        <v>-93</v>
      </c>
      <c r="V145" s="20" t="n">
        <v>-33</v>
      </c>
      <c r="W145" s="20" t="n">
        <v>21</v>
      </c>
      <c r="X145" s="20" t="n">
        <v>-65</v>
      </c>
    </row>
    <row r="146">
      <c r="A146" s="18" t="inlineStr">
        <is>
          <t>법인세 등 합계</t>
        </is>
      </c>
      <c r="C146" s="20" t="n">
        <v>125</v>
      </c>
      <c r="D146" s="20" t="n">
        <v>107</v>
      </c>
      <c r="E146" s="20" t="n">
        <v>-109</v>
      </c>
      <c r="F146" s="20" t="n">
        <v>239</v>
      </c>
      <c r="G146" s="20" t="n">
        <v>-8</v>
      </c>
      <c r="H146" s="20" t="n">
        <v>191</v>
      </c>
      <c r="I146" s="20" t="n">
        <v>-105</v>
      </c>
      <c r="J146" s="20" t="n">
        <v>169</v>
      </c>
      <c r="K146" s="20" t="n">
        <v>93</v>
      </c>
      <c r="L146" s="20" t="n">
        <v>88</v>
      </c>
      <c r="M146" s="20" t="n">
        <v>-50</v>
      </c>
      <c r="N146" s="20" t="n">
        <v>283</v>
      </c>
      <c r="T146" s="20" t="n">
        <v>-73</v>
      </c>
      <c r="U146" s="20" t="n">
        <v>-134</v>
      </c>
      <c r="V146" s="20" t="n">
        <v>-109</v>
      </c>
      <c r="W146" s="20" t="n">
        <v>-105</v>
      </c>
      <c r="X146" s="20" t="n">
        <v>-50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IF(OR(G146="",C146=""),"",IF(G146*C146&lt;=0,"",IFERROR(G146/C146-1,"")))</f>
        <v/>
      </c>
      <c r="H147" s="15">
        <f>IF(OR(H146="",D146=""),"",IF(H146*D146&lt;=0,"",IFERROR(H146/D146-1,"")))</f>
        <v/>
      </c>
      <c r="I147" s="15">
        <f>IF(OR(I146="",E146=""),"",IF(I146*E146&lt;=0,"",IFERROR(I146/E146-1,"")))</f>
        <v/>
      </c>
      <c r="J147" s="15">
        <f>IF(OR(J146="",F146=""),"",IF(J146*F146&lt;=0,"",IFERROR(J146/F146-1,"")))</f>
        <v/>
      </c>
      <c r="K147" s="15">
        <f>IF(OR(K146="",G146=""),"",IF(K146*G146&lt;=0,"",IFERROR(K146/G146-1,"")))</f>
        <v/>
      </c>
      <c r="L147" s="15">
        <f>IF(OR(L146="",H146=""),"",IF(L146*H146&lt;=0,"",IFERROR(L146/H146-1,"")))</f>
        <v/>
      </c>
      <c r="M147" s="15">
        <f>IF(OR(M146="",I146=""),"",IF(M146*I146&lt;=0,"",IFERROR(M146/I146-1,"")))</f>
        <v/>
      </c>
      <c r="N147" s="15">
        <f>IF(OR(N146="",J146=""),"",IF(N146*J146&lt;=0,"",IFERROR(N146/J146-1,"")))</f>
        <v/>
      </c>
      <c r="T147" s="15">
        <f>IF(OR(T146="",S146=""),"",IF(T146*S146&lt;=0,"",IFERROR(T146/S146-1,"")))</f>
        <v/>
      </c>
      <c r="U147" s="15">
        <f>IF(OR(U146="",T146=""),"",IF(U146*T146&lt;=0,"",IFERROR(U146/T146-1,"")))</f>
        <v/>
      </c>
      <c r="V147" s="15">
        <f>IF(OR(V146="",U146=""),"",IF(V146*U146&lt;=0,"",IFERROR(V146/U146-1,"")))</f>
        <v/>
      </c>
      <c r="W147" s="15">
        <f>IF(OR(W146="",V146=""),"",IF(W146*V146&lt;=0,"",IFERROR(W146/V146-1,"")))</f>
        <v/>
      </c>
      <c r="X147" s="15">
        <f>IF(OR(X146="",W146=""),"",IF(X146*W146&lt;=0,"",IFERROR(X146/W146-1,"")))</f>
        <v/>
      </c>
    </row>
    <row r="148">
      <c r="A148" s="9" t="inlineStr">
        <is>
          <t>순이익</t>
        </is>
      </c>
      <c r="C148" s="12" t="n">
        <v>197</v>
      </c>
      <c r="D148" s="12" t="n">
        <v>236</v>
      </c>
      <c r="E148" s="12" t="n">
        <v>-850</v>
      </c>
      <c r="F148" s="12" t="n">
        <v>477</v>
      </c>
      <c r="G148" s="12" t="n">
        <v>-91</v>
      </c>
      <c r="H148" s="12" t="n">
        <v>791</v>
      </c>
      <c r="I148" s="12" t="n">
        <v>-948</v>
      </c>
      <c r="J148" s="12" t="n">
        <v>336</v>
      </c>
      <c r="K148" s="12" t="n">
        <v>287</v>
      </c>
      <c r="L148" s="12" t="n">
        <v>538</v>
      </c>
      <c r="M148" s="12" t="n">
        <v>-153</v>
      </c>
      <c r="N148" s="12" t="n">
        <v>644</v>
      </c>
      <c r="T148" s="12" t="n">
        <v>-310</v>
      </c>
      <c r="U148" s="12" t="n">
        <v>-556</v>
      </c>
      <c r="V148" s="12" t="n">
        <v>-850</v>
      </c>
      <c r="W148" s="12" t="n">
        <v>-948</v>
      </c>
      <c r="X148" s="12" t="n">
        <v>-153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9" t="inlineStr">
        <is>
          <t>비지배주주 순이익</t>
        </is>
      </c>
      <c r="C150" s="12" t="n">
        <v>2</v>
      </c>
      <c r="D150" s="12" t="n">
        <v>-6</v>
      </c>
      <c r="E150" s="12" t="n">
        <v>-3</v>
      </c>
      <c r="F150" s="12" t="n">
        <v>14</v>
      </c>
      <c r="G150" s="12" t="n">
        <v>8</v>
      </c>
      <c r="H150" s="12" t="n">
        <v>-2</v>
      </c>
      <c r="I150" s="12" t="n">
        <v>-5</v>
      </c>
      <c r="J150" s="12" t="n">
        <v>15</v>
      </c>
      <c r="K150" s="12" t="n">
        <v>5</v>
      </c>
      <c r="L150" s="12" t="n">
        <v>2</v>
      </c>
      <c r="M150" s="12" t="n">
        <v>-3</v>
      </c>
      <c r="N150" s="12" t="n">
        <v>17</v>
      </c>
      <c r="T150" s="12" t="n">
        <v>-8</v>
      </c>
      <c r="U150" s="12" t="n">
        <v>-9</v>
      </c>
      <c r="V150" s="12" t="n">
        <v>-3</v>
      </c>
      <c r="W150" s="12" t="n">
        <v>-5</v>
      </c>
      <c r="X150" s="12" t="n">
        <v>-3</v>
      </c>
    </row>
    <row r="151">
      <c r="A151" s="9" t="inlineStr">
        <is>
          <t>지배주주 순이익</t>
        </is>
      </c>
      <c r="C151" s="12" t="n">
        <v>195</v>
      </c>
      <c r="D151" s="12" t="n">
        <v>242</v>
      </c>
      <c r="E151" s="12" t="n">
        <v>-848</v>
      </c>
      <c r="F151" s="12" t="n">
        <v>462</v>
      </c>
      <c r="G151" s="12" t="n">
        <v>-99</v>
      </c>
      <c r="H151" s="12" t="n">
        <v>793</v>
      </c>
      <c r="I151" s="12" t="n">
        <v>-942</v>
      </c>
      <c r="J151" s="12" t="n">
        <v>321</v>
      </c>
      <c r="K151" s="12" t="n">
        <v>281</v>
      </c>
      <c r="L151" s="12" t="n">
        <v>536</v>
      </c>
      <c r="M151" s="12" t="n">
        <v>-150</v>
      </c>
      <c r="N151" s="12" t="n">
        <v>627</v>
      </c>
      <c r="T151" s="12" t="n">
        <v>-302</v>
      </c>
      <c r="U151" s="12" t="n">
        <v>-546</v>
      </c>
      <c r="V151" s="12" t="n">
        <v>-848</v>
      </c>
      <c r="W151" s="12" t="n">
        <v>-942</v>
      </c>
      <c r="X151" s="12" t="n">
        <v>-150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T152" s="15">
        <f>IF(OR(T151="",S151=""),"",IF(S151&lt;=0,"",IFERROR(T151/S151-1,"")))</f>
        <v/>
      </c>
      <c r="U152" s="15">
        <f>IF(OR(U151="",T151=""),"",IF(T151&lt;=0,"",IFERROR(U151/T151-1,"")))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4">
      <c r="A154" s="16" t="inlineStr">
        <is>
          <t>포괄손익 · 전 항목</t>
        </is>
      </c>
      <c r="B154" s="42" t="inlineStr">
        <is>
          <t>분기 = 3개월 단독</t>
        </is>
      </c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</row>
    <row r="155">
      <c r="A155" s="5" t="inlineStr">
        <is>
          <t>항목</t>
        </is>
      </c>
      <c r="B155" s="5" t="inlineStr">
        <is>
          <t>참고</t>
        </is>
      </c>
      <c r="C155" s="5" t="inlineStr">
        <is>
          <t>2024.2Q</t>
        </is>
      </c>
      <c r="D155" s="5" t="inlineStr">
        <is>
          <t>2024.3Q</t>
        </is>
      </c>
      <c r="E155" s="5" t="inlineStr">
        <is>
          <t>2024.4Q</t>
        </is>
      </c>
      <c r="F155" s="5" t="inlineStr">
        <is>
          <t>2025.1Q</t>
        </is>
      </c>
      <c r="G155" s="5" t="inlineStr">
        <is>
          <t>2025.2Q</t>
        </is>
      </c>
      <c r="H155" s="5" t="inlineStr">
        <is>
          <t>2025.3Q</t>
        </is>
      </c>
      <c r="I155" s="5" t="inlineStr">
        <is>
          <t>2025.4Q</t>
        </is>
      </c>
      <c r="J155" s="5" t="inlineStr">
        <is>
          <t>2026.1Q</t>
        </is>
      </c>
      <c r="K155" s="5" t="inlineStr">
        <is>
          <t>2026.2Q</t>
        </is>
      </c>
      <c r="L155" s="5" t="inlineStr">
        <is>
          <t>2026.3Q</t>
        </is>
      </c>
      <c r="M155" s="5" t="inlineStr">
        <is>
          <t>2026.4Q</t>
        </is>
      </c>
      <c r="N155" s="5" t="inlineStr">
        <is>
          <t>2027.1Q</t>
        </is>
      </c>
      <c r="O155" s="5" t="inlineStr">
        <is>
          <t>2017</t>
        </is>
      </c>
      <c r="P155" s="5" t="inlineStr">
        <is>
          <t>2018</t>
        </is>
      </c>
      <c r="Q155" s="5" t="inlineStr">
        <is>
          <t>2019</t>
        </is>
      </c>
      <c r="R155" s="5" t="inlineStr">
        <is>
          <t>2020</t>
        </is>
      </c>
      <c r="S155" s="5" t="inlineStr">
        <is>
          <t>2021</t>
        </is>
      </c>
      <c r="T155" s="5" t="inlineStr">
        <is>
          <t>2022</t>
        </is>
      </c>
      <c r="U155" s="5" t="inlineStr">
        <is>
          <t>2023</t>
        </is>
      </c>
      <c r="V155" s="5" t="inlineStr">
        <is>
          <t>2024</t>
        </is>
      </c>
      <c r="W155" s="5" t="inlineStr">
        <is>
          <t>2025</t>
        </is>
      </c>
      <c r="X155" s="5" t="inlineStr">
        <is>
          <t>2026</t>
        </is>
      </c>
      <c r="Y155" s="5" t="inlineStr">
        <is>
          <t>2027(MW)</t>
        </is>
      </c>
      <c r="Z155" s="5" t="inlineStr">
        <is>
          <t>2028(MW)</t>
        </is>
      </c>
      <c r="AA155" s="5" t="inlineStr">
        <is>
          <t>2029(MW)</t>
        </is>
      </c>
      <c r="AB155" s="5" t="inlineStr">
        <is>
          <t>2030(MW)</t>
        </is>
      </c>
      <c r="AC155" s="5" t="inlineStr">
        <is>
          <t>2031(MW)</t>
        </is>
      </c>
    </row>
    <row r="156">
      <c r="A156" s="9" t="inlineStr">
        <is>
          <t>순이익</t>
        </is>
      </c>
      <c r="C156" s="12" t="n">
        <v>197</v>
      </c>
      <c r="D156" s="12" t="n">
        <v>236</v>
      </c>
      <c r="E156" s="12" t="n">
        <v>-850</v>
      </c>
      <c r="F156" s="12" t="n">
        <v>477</v>
      </c>
      <c r="G156" s="12" t="n">
        <v>-91</v>
      </c>
      <c r="H156" s="12" t="n">
        <v>791</v>
      </c>
      <c r="I156" s="12" t="n">
        <v>-948</v>
      </c>
      <c r="J156" s="12" t="n">
        <v>336</v>
      </c>
      <c r="K156" s="12" t="n">
        <v>287</v>
      </c>
      <c r="L156" s="12" t="n">
        <v>538</v>
      </c>
      <c r="M156" s="12" t="n">
        <v>-153</v>
      </c>
      <c r="N156" s="12" t="n">
        <v>644</v>
      </c>
      <c r="T156" s="12" t="n">
        <v>-310</v>
      </c>
      <c r="U156" s="12" t="n">
        <v>-556</v>
      </c>
      <c r="V156" s="12" t="n">
        <v>-850</v>
      </c>
      <c r="W156" s="12" t="n">
        <v>-948</v>
      </c>
      <c r="X156" s="12" t="n">
        <v>-153</v>
      </c>
    </row>
    <row r="157">
      <c r="A157" s="18" t="inlineStr">
        <is>
          <t>기타유가증권 평가차액</t>
        </is>
      </c>
      <c r="C157" s="20" t="n">
        <v>53</v>
      </c>
      <c r="D157" s="20" t="n">
        <v>-1</v>
      </c>
      <c r="E157" s="20" t="n">
        <v>201</v>
      </c>
      <c r="F157" s="20" t="n">
        <v>-4</v>
      </c>
      <c r="G157" s="20" t="n">
        <v>-29</v>
      </c>
      <c r="H157" s="20" t="n">
        <v>12</v>
      </c>
      <c r="I157" s="20" t="n">
        <v>-70</v>
      </c>
      <c r="J157" s="20" t="n">
        <v>79</v>
      </c>
      <c r="K157" s="20" t="n">
        <v>104</v>
      </c>
      <c r="L157" s="20" t="n">
        <v>135</v>
      </c>
      <c r="M157" s="20" t="n">
        <v>67</v>
      </c>
      <c r="N157" s="20" t="n">
        <v>-37</v>
      </c>
      <c r="T157" s="20" t="n">
        <v>-5</v>
      </c>
      <c r="U157" s="20" t="n">
        <v>2</v>
      </c>
      <c r="V157" s="20" t="n">
        <v>201</v>
      </c>
      <c r="W157" s="20" t="n">
        <v>-70</v>
      </c>
      <c r="X157" s="20" t="n">
        <v>67</v>
      </c>
    </row>
    <row r="158">
      <c r="A158" s="18" t="inlineStr">
        <is>
          <t>해외사업환산조정</t>
        </is>
      </c>
      <c r="C158" s="20" t="n">
        <v>21</v>
      </c>
      <c r="D158" s="20" t="n">
        <v>-1</v>
      </c>
      <c r="E158" s="20" t="n">
        <v>-10</v>
      </c>
      <c r="F158" s="20" t="n">
        <v>10</v>
      </c>
      <c r="G158" s="20" t="n">
        <v>10</v>
      </c>
      <c r="H158" s="20" t="n">
        <v>-26</v>
      </c>
      <c r="I158" s="20" t="n">
        <v>13</v>
      </c>
      <c r="J158" s="20" t="n">
        <v>-29</v>
      </c>
      <c r="K158" s="20" t="n">
        <v>10</v>
      </c>
      <c r="L158" s="20" t="n">
        <v>-2</v>
      </c>
      <c r="M158" s="20" t="n">
        <v>14</v>
      </c>
      <c r="N158" s="20" t="n">
        <v>-0</v>
      </c>
      <c r="T158" s="20" t="n">
        <v>3</v>
      </c>
      <c r="U158" s="20" t="n">
        <v>-24</v>
      </c>
      <c r="V158" s="20" t="n">
        <v>-10</v>
      </c>
      <c r="W158" s="20" t="n">
        <v>13</v>
      </c>
      <c r="X158" s="20" t="n">
        <v>14</v>
      </c>
    </row>
    <row r="159">
      <c r="A159" s="18" t="inlineStr">
        <is>
          <t>퇴직급여 조정액</t>
        </is>
      </c>
      <c r="C159" s="20" t="n">
        <v>-4</v>
      </c>
      <c r="D159" s="20" t="n">
        <v>-6</v>
      </c>
      <c r="E159" s="20" t="n">
        <v>189</v>
      </c>
      <c r="F159" s="20" t="n">
        <v>-31</v>
      </c>
      <c r="G159" s="20" t="n">
        <v>-29</v>
      </c>
      <c r="H159" s="20" t="n">
        <v>-32</v>
      </c>
      <c r="I159" s="20" t="n">
        <v>186</v>
      </c>
      <c r="J159" s="20" t="n">
        <v>-30</v>
      </c>
      <c r="K159" s="20" t="n">
        <v>-30</v>
      </c>
      <c r="L159" s="20" t="n">
        <v>-29</v>
      </c>
      <c r="M159" s="20" t="n">
        <v>78</v>
      </c>
      <c r="N159" s="20" t="n">
        <v>-31</v>
      </c>
      <c r="T159" s="20" t="n">
        <v>65</v>
      </c>
      <c r="U159" s="20" t="n">
        <v>-25</v>
      </c>
      <c r="V159" s="20" t="n">
        <v>189</v>
      </c>
      <c r="W159" s="20" t="n">
        <v>186</v>
      </c>
      <c r="X159" s="20" t="n">
        <v>78</v>
      </c>
    </row>
    <row r="160">
      <c r="A160" s="18" t="inlineStr">
        <is>
          <t>지분법 적용회사 지분 해당액</t>
        </is>
      </c>
      <c r="C160" s="20" t="n">
        <v>0</v>
      </c>
      <c r="D160" s="20" t="n">
        <v>4</v>
      </c>
      <c r="E160" s="20" t="n">
        <v>3</v>
      </c>
      <c r="F160" s="20" t="n">
        <v>-2</v>
      </c>
      <c r="G160" s="20" t="n">
        <v>3</v>
      </c>
      <c r="H160" s="20" t="n">
        <v>3</v>
      </c>
      <c r="I160" s="20" t="n">
        <v>-4</v>
      </c>
      <c r="J160" s="20" t="n">
        <v>-2</v>
      </c>
      <c r="K160" s="20" t="n">
        <v>-1</v>
      </c>
      <c r="L160" s="20" t="n">
        <v>0</v>
      </c>
      <c r="M160" s="20" t="n">
        <v>1</v>
      </c>
      <c r="N160" s="20" t="n">
        <v>0</v>
      </c>
      <c r="T160" s="20" t="n">
        <v>-2</v>
      </c>
      <c r="U160" s="20" t="n">
        <v>1</v>
      </c>
      <c r="V160" s="20" t="n">
        <v>3</v>
      </c>
      <c r="W160" s="20" t="n">
        <v>-4</v>
      </c>
      <c r="X160" s="20" t="n">
        <v>1</v>
      </c>
    </row>
    <row r="161">
      <c r="A161" s="18" t="inlineStr">
        <is>
          <t>기타포괄손익 합계</t>
        </is>
      </c>
      <c r="C161" s="20" t="n">
        <v>69</v>
      </c>
      <c r="D161" s="20" t="n">
        <v>-3</v>
      </c>
      <c r="E161" s="20" t="n">
        <v>384</v>
      </c>
      <c r="F161" s="20" t="n">
        <v>-28</v>
      </c>
      <c r="G161" s="20" t="n">
        <v>-43</v>
      </c>
      <c r="H161" s="20" t="n">
        <v>-43</v>
      </c>
      <c r="I161" s="20" t="n">
        <v>111</v>
      </c>
      <c r="J161" s="20" t="n">
        <v>17</v>
      </c>
      <c r="K161" s="20" t="n">
        <v>82</v>
      </c>
      <c r="L161" s="20" t="n">
        <v>105</v>
      </c>
      <c r="M161" s="20" t="n">
        <v>159</v>
      </c>
      <c r="N161" s="20" t="n">
        <v>-69</v>
      </c>
      <c r="T161" s="20" t="n">
        <v>61</v>
      </c>
      <c r="U161" s="20" t="n">
        <v>-43</v>
      </c>
      <c r="V161" s="20" t="n">
        <v>384</v>
      </c>
      <c r="W161" s="20" t="n">
        <v>111</v>
      </c>
      <c r="X161" s="20" t="n">
        <v>159</v>
      </c>
    </row>
    <row r="162">
      <c r="A162" s="9" t="inlineStr">
        <is>
          <t>포괄이익</t>
        </is>
      </c>
      <c r="C162" s="12" t="n">
        <v>266</v>
      </c>
      <c r="D162" s="12" t="n">
        <v>233</v>
      </c>
      <c r="E162" s="12" t="n">
        <v>-467</v>
      </c>
      <c r="F162" s="12" t="n">
        <v>448</v>
      </c>
      <c r="G162" s="12" t="n">
        <v>-133</v>
      </c>
      <c r="H162" s="12" t="n">
        <v>747</v>
      </c>
      <c r="I162" s="12" t="n">
        <v>-837</v>
      </c>
      <c r="J162" s="12" t="n">
        <v>354</v>
      </c>
      <c r="K162" s="12" t="n">
        <v>369</v>
      </c>
      <c r="L162" s="12" t="n">
        <v>642</v>
      </c>
      <c r="M162" s="12" t="n">
        <v>6</v>
      </c>
      <c r="N162" s="12" t="n">
        <v>575</v>
      </c>
      <c r="T162" s="12" t="n">
        <v>-249</v>
      </c>
      <c r="U162" s="12" t="n">
        <v>-599</v>
      </c>
      <c r="V162" s="12" t="n">
        <v>-467</v>
      </c>
      <c r="W162" s="12" t="n">
        <v>-837</v>
      </c>
      <c r="X162" s="12" t="n">
        <v>6</v>
      </c>
    </row>
    <row r="163">
      <c r="A163" s="9" t="inlineStr">
        <is>
          <t>지배주주 포괄이익</t>
        </is>
      </c>
      <c r="C163" s="12" t="n">
        <v>262</v>
      </c>
      <c r="D163" s="12" t="n">
        <v>239</v>
      </c>
      <c r="E163" s="12" t="n">
        <v>-463</v>
      </c>
      <c r="F163" s="12" t="n">
        <v>432</v>
      </c>
      <c r="G163" s="12" t="n">
        <v>-142</v>
      </c>
      <c r="H163" s="12" t="n">
        <v>754</v>
      </c>
      <c r="I163" s="12" t="n">
        <v>-833</v>
      </c>
      <c r="J163" s="12" t="n">
        <v>343</v>
      </c>
      <c r="K163" s="12" t="n">
        <v>362</v>
      </c>
      <c r="L163" s="12" t="n">
        <v>641</v>
      </c>
      <c r="M163" s="12" t="n">
        <v>8</v>
      </c>
      <c r="N163" s="12" t="n">
        <v>558</v>
      </c>
      <c r="T163" s="12" t="n">
        <v>-241</v>
      </c>
      <c r="U163" s="12" t="n">
        <v>-588</v>
      </c>
      <c r="V163" s="12" t="n">
        <v>-463</v>
      </c>
      <c r="W163" s="12" t="n">
        <v>-833</v>
      </c>
      <c r="X163" s="12" t="n">
        <v>8</v>
      </c>
    </row>
    <row r="164">
      <c r="A164" s="9" t="inlineStr">
        <is>
          <t>비지배주주 포괄이익</t>
        </is>
      </c>
      <c r="C164" s="12" t="n">
        <v>3</v>
      </c>
      <c r="D164" s="12" t="n">
        <v>-6</v>
      </c>
      <c r="E164" s="12" t="n">
        <v>-3</v>
      </c>
      <c r="F164" s="12" t="n">
        <v>15</v>
      </c>
      <c r="G164" s="12" t="n">
        <v>9</v>
      </c>
      <c r="H164" s="12" t="n">
        <v>-6</v>
      </c>
      <c r="I164" s="12" t="n">
        <v>-4</v>
      </c>
      <c r="J164" s="12" t="n">
        <v>11</v>
      </c>
      <c r="K164" s="12" t="n">
        <v>6</v>
      </c>
      <c r="L164" s="12" t="n">
        <v>2</v>
      </c>
      <c r="M164" s="12" t="n">
        <v>-3</v>
      </c>
      <c r="N164" s="12" t="n">
        <v>17</v>
      </c>
      <c r="T164" s="12" t="n">
        <v>-7</v>
      </c>
      <c r="U164" s="12" t="n">
        <v>-11</v>
      </c>
      <c r="V164" s="12" t="n">
        <v>-3</v>
      </c>
      <c r="W164" s="12" t="n">
        <v>-4</v>
      </c>
      <c r="X164" s="12" t="n">
        <v>-3</v>
      </c>
    </row>
    <row r="166">
      <c r="A166" s="16" t="inlineStr">
        <is>
          <t>부문 · 전 항목</t>
        </is>
      </c>
      <c r="B166" s="42" t="inlineStr">
        <is>
          <t>부문 · 항목</t>
        </is>
      </c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</row>
    <row r="167">
      <c r="A167" s="5" t="inlineStr">
        <is>
          <t>항목</t>
        </is>
      </c>
      <c r="B167" s="5" t="inlineStr">
        <is>
          <t>참고</t>
        </is>
      </c>
      <c r="C167" s="5" t="inlineStr">
        <is>
          <t>2024.2Q</t>
        </is>
      </c>
      <c r="D167" s="5" t="inlineStr">
        <is>
          <t>2024.3Q</t>
        </is>
      </c>
      <c r="E167" s="5" t="inlineStr">
        <is>
          <t>2024.4Q</t>
        </is>
      </c>
      <c r="F167" s="5" t="inlineStr">
        <is>
          <t>2025.1Q</t>
        </is>
      </c>
      <c r="G167" s="5" t="inlineStr">
        <is>
          <t>2025.2Q</t>
        </is>
      </c>
      <c r="H167" s="5" t="inlineStr">
        <is>
          <t>2025.3Q</t>
        </is>
      </c>
      <c r="I167" s="5" t="inlineStr">
        <is>
          <t>2025.4Q</t>
        </is>
      </c>
      <c r="J167" s="5" t="inlineStr">
        <is>
          <t>2026.1Q</t>
        </is>
      </c>
      <c r="K167" s="5" t="inlineStr">
        <is>
          <t>2026.2Q</t>
        </is>
      </c>
      <c r="L167" s="5" t="inlineStr">
        <is>
          <t>2026.3Q</t>
        </is>
      </c>
      <c r="M167" s="5" t="inlineStr">
        <is>
          <t>2026.4Q</t>
        </is>
      </c>
      <c r="N167" s="5" t="inlineStr">
        <is>
          <t>2027.1Q</t>
        </is>
      </c>
      <c r="O167" s="5" t="inlineStr">
        <is>
          <t>2017</t>
        </is>
      </c>
      <c r="P167" s="5" t="inlineStr">
        <is>
          <t>2018</t>
        </is>
      </c>
      <c r="Q167" s="5" t="inlineStr">
        <is>
          <t>2019</t>
        </is>
      </c>
      <c r="R167" s="5" t="inlineStr">
        <is>
          <t>2020</t>
        </is>
      </c>
      <c r="S167" s="5" t="inlineStr">
        <is>
          <t>2021</t>
        </is>
      </c>
      <c r="T167" s="5" t="inlineStr">
        <is>
          <t>2022</t>
        </is>
      </c>
      <c r="U167" s="5" t="inlineStr">
        <is>
          <t>2023</t>
        </is>
      </c>
      <c r="V167" s="5" t="inlineStr">
        <is>
          <t>2024</t>
        </is>
      </c>
      <c r="W167" s="5" t="inlineStr">
        <is>
          <t>2025</t>
        </is>
      </c>
      <c r="X167" s="5" t="inlineStr">
        <is>
          <t>2026</t>
        </is>
      </c>
      <c r="Y167" s="5" t="inlineStr">
        <is>
          <t>2027(MW)</t>
        </is>
      </c>
      <c r="Z167" s="5" t="inlineStr">
        <is>
          <t>2028(MW)</t>
        </is>
      </c>
      <c r="AA167" s="5" t="inlineStr">
        <is>
          <t>2029(MW)</t>
        </is>
      </c>
      <c r="AB167" s="5" t="inlineStr">
        <is>
          <t>2030(MW)</t>
        </is>
      </c>
      <c r="AC167" s="5" t="inlineStr">
        <is>
          <t>2031(MW)</t>
        </is>
      </c>
    </row>
    <row r="168">
      <c r="A168" s="18" t="inlineStr">
        <is>
          <t>CoffeeRelatedReportableSegmentsMember · 외부 고객 매출</t>
        </is>
      </c>
      <c r="E168" s="20" t="n">
        <v>14922</v>
      </c>
      <c r="F168" s="20" t="n">
        <v>16948</v>
      </c>
      <c r="G168" s="20" t="n">
        <v>17683</v>
      </c>
      <c r="H168" s="20" t="n">
        <v>19853</v>
      </c>
      <c r="I168" s="20" t="n">
        <v>15399</v>
      </c>
      <c r="J168" s="20" t="n">
        <v>18490</v>
      </c>
      <c r="K168" s="20" t="n">
        <v>20850</v>
      </c>
      <c r="L168" s="20" t="n">
        <v>24193</v>
      </c>
      <c r="M168" s="20" t="n">
        <v>20069</v>
      </c>
      <c r="N168" s="20" t="n">
        <v>21180</v>
      </c>
      <c r="V168" s="20" t="n">
        <v>14922</v>
      </c>
      <c r="W168" s="20" t="n">
        <v>15399</v>
      </c>
      <c r="X168" s="20" t="n">
        <v>20069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FoodAndBeverageRelatedReportableSegmentsMember · 외부 고객 매출</t>
        </is>
      </c>
      <c r="E170" s="20" t="n">
        <v>1113</v>
      </c>
      <c r="F170" s="20" t="n">
        <v>1046</v>
      </c>
      <c r="G170" s="20" t="n">
        <v>1017</v>
      </c>
      <c r="H170" s="20" t="n">
        <v>995</v>
      </c>
      <c r="I170" s="20" t="n">
        <v>1113</v>
      </c>
      <c r="J170" s="20" t="n">
        <v>1045</v>
      </c>
      <c r="K170" s="20" t="n">
        <v>1398</v>
      </c>
      <c r="L170" s="20" t="n">
        <v>1394</v>
      </c>
      <c r="M170" s="20" t="n">
        <v>1757</v>
      </c>
      <c r="N170" s="20" t="n">
        <v>1686</v>
      </c>
      <c r="V170" s="20" t="n">
        <v>1113</v>
      </c>
      <c r="W170" s="20" t="n">
        <v>1113</v>
      </c>
      <c r="X170" s="20" t="n">
        <v>1757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보고부문 합계 · 외부 고객 매출</t>
        </is>
      </c>
      <c r="E172" s="20" t="n">
        <v>16036</v>
      </c>
      <c r="F172" s="20" t="n">
        <v>17995</v>
      </c>
      <c r="G172" s="20" t="n">
        <v>18700</v>
      </c>
      <c r="H172" s="20" t="n">
        <v>20847</v>
      </c>
      <c r="I172" s="20" t="n">
        <v>16512</v>
      </c>
      <c r="J172" s="20" t="n">
        <v>19536</v>
      </c>
      <c r="K172" s="20" t="n">
        <v>22247</v>
      </c>
      <c r="L172" s="20" t="n">
        <v>25588</v>
      </c>
      <c r="M172" s="20" t="n">
        <v>21825</v>
      </c>
      <c r="N172" s="20" t="n">
        <v>22866</v>
      </c>
      <c r="V172" s="20" t="n">
        <v>16036</v>
      </c>
      <c r="W172" s="20" t="n">
        <v>16512</v>
      </c>
      <c r="X172" s="20" t="n">
        <v>21825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기타 · 외부 고객 매출</t>
        </is>
      </c>
      <c r="E174" s="20" t="n">
        <v>868</v>
      </c>
      <c r="F174" s="20" t="n">
        <v>1077</v>
      </c>
      <c r="G174" s="20" t="n">
        <v>963</v>
      </c>
      <c r="H174" s="20" t="n">
        <v>812</v>
      </c>
      <c r="I174" s="20" t="n">
        <v>877</v>
      </c>
      <c r="J174" s="20" t="n">
        <v>1132</v>
      </c>
      <c r="K174" s="20" t="n">
        <v>940</v>
      </c>
      <c r="L174" s="20" t="n">
        <v>885</v>
      </c>
      <c r="M174" s="20" t="n">
        <v>913</v>
      </c>
      <c r="N174" s="20" t="n">
        <v>1251</v>
      </c>
      <c r="V174" s="20" t="n">
        <v>868</v>
      </c>
      <c r="W174" s="20" t="n">
        <v>877</v>
      </c>
      <c r="X174" s="20" t="n">
        <v>913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합계 · 외부 고객 매출</t>
        </is>
      </c>
      <c r="E176" s="20" t="n">
        <v>16904</v>
      </c>
      <c r="F176" s="20" t="n">
        <v>19073</v>
      </c>
      <c r="G176" s="20" t="n">
        <v>19662</v>
      </c>
      <c r="H176" s="20" t="n">
        <v>21660</v>
      </c>
      <c r="I176" s="20" t="n">
        <v>17388</v>
      </c>
      <c r="J176" s="20" t="n">
        <v>20669</v>
      </c>
      <c r="K176" s="20" t="n">
        <v>23186</v>
      </c>
      <c r="L176" s="20" t="n">
        <v>26473</v>
      </c>
      <c r="M176" s="20" t="n">
        <v>22739</v>
      </c>
      <c r="N176" s="20" t="n">
        <v>24118</v>
      </c>
      <c r="V176" s="20" t="n">
        <v>16904</v>
      </c>
      <c r="W176" s="20" t="n">
        <v>17388</v>
      </c>
      <c r="X176" s="20" t="n">
        <v>22739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조정액 · 외부 고객 매출</t>
        </is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9" t="inlineStr">
        <is>
          <t>외부 고객 매출</t>
        </is>
      </c>
      <c r="E179" s="12" t="n">
        <v>16904</v>
      </c>
      <c r="F179" s="12" t="n">
        <v>19073</v>
      </c>
      <c r="G179" s="12" t="n">
        <v>19662</v>
      </c>
      <c r="H179" s="12" t="n">
        <v>21660</v>
      </c>
      <c r="I179" s="12" t="n">
        <v>17388</v>
      </c>
      <c r="V179" s="12" t="n">
        <v>16904</v>
      </c>
      <c r="W179" s="12" t="n">
        <v>17388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</row>
    <row r="181">
      <c r="A181" s="18" t="inlineStr">
        <is>
          <t>EntityTotalMember · 외부 고객 매출</t>
        </is>
      </c>
      <c r="F181" s="20" t="n">
        <v>19073</v>
      </c>
      <c r="J181" s="20" t="n">
        <v>20669</v>
      </c>
      <c r="N181" s="20" t="n">
        <v>24118</v>
      </c>
    </row>
    <row r="182">
      <c r="A182" s="18" t="inlineStr">
        <is>
          <t>CoffeeRelatedReportableSegmentsMember · 부문 간 내부매출·대체</t>
        </is>
      </c>
      <c r="E182" s="20" t="n">
        <v>179</v>
      </c>
      <c r="F182" s="20" t="n">
        <v>178</v>
      </c>
      <c r="G182" s="20" t="n">
        <v>163</v>
      </c>
      <c r="H182" s="20" t="n">
        <v>192</v>
      </c>
      <c r="I182" s="20" t="n">
        <v>171</v>
      </c>
      <c r="J182" s="20" t="n">
        <v>179</v>
      </c>
      <c r="K182" s="20" t="n">
        <v>174</v>
      </c>
      <c r="L182" s="20" t="n">
        <v>191</v>
      </c>
      <c r="M182" s="20" t="n">
        <v>150</v>
      </c>
      <c r="N182" s="20" t="n">
        <v>187</v>
      </c>
      <c r="V182" s="20" t="n">
        <v>179</v>
      </c>
      <c r="W182" s="20" t="n">
        <v>171</v>
      </c>
      <c r="X182" s="20" t="n">
        <v>150</v>
      </c>
    </row>
    <row r="183">
      <c r="A183" s="18" t="inlineStr">
        <is>
          <t>FoodAndBeverageRelatedReportableSegmentsMember · 부문 간 내부매출·대체</t>
        </is>
      </c>
      <c r="E183" s="20" t="n">
        <v>9</v>
      </c>
      <c r="F183" s="20" t="n">
        <v>5</v>
      </c>
      <c r="G183" s="20" t="n">
        <v>13</v>
      </c>
      <c r="H183" s="20" t="n">
        <v>12</v>
      </c>
      <c r="I183" s="20" t="n">
        <v>15</v>
      </c>
      <c r="J183" s="20" t="n">
        <v>10</v>
      </c>
      <c r="K183" s="20" t="n">
        <v>14</v>
      </c>
      <c r="L183" s="20" t="n">
        <v>27</v>
      </c>
      <c r="M183" s="20" t="n">
        <v>7</v>
      </c>
      <c r="N183" s="20" t="n">
        <v>15</v>
      </c>
      <c r="V183" s="20" t="n">
        <v>9</v>
      </c>
      <c r="W183" s="20" t="n">
        <v>15</v>
      </c>
      <c r="X183" s="20" t="n">
        <v>7</v>
      </c>
    </row>
    <row r="184">
      <c r="A184" s="18" t="inlineStr">
        <is>
          <t>보고부문 합계 · 부문 간 내부매출·대체</t>
        </is>
      </c>
      <c r="E184" s="20" t="n">
        <v>188</v>
      </c>
      <c r="F184" s="20" t="n">
        <v>183</v>
      </c>
      <c r="G184" s="20" t="n">
        <v>177</v>
      </c>
      <c r="H184" s="20" t="n">
        <v>203</v>
      </c>
      <c r="I184" s="20" t="n">
        <v>186</v>
      </c>
      <c r="J184" s="20" t="n">
        <v>190</v>
      </c>
      <c r="K184" s="20" t="n">
        <v>188</v>
      </c>
      <c r="L184" s="20" t="n">
        <v>217</v>
      </c>
      <c r="M184" s="20" t="n">
        <v>157</v>
      </c>
      <c r="N184" s="20" t="n">
        <v>202</v>
      </c>
      <c r="V184" s="20" t="n">
        <v>188</v>
      </c>
      <c r="W184" s="20" t="n">
        <v>186</v>
      </c>
      <c r="X184" s="20" t="n">
        <v>157</v>
      </c>
    </row>
    <row r="185">
      <c r="A185" s="18" t="inlineStr">
        <is>
          <t>기타 · 부문 간 내부매출·대체</t>
        </is>
      </c>
      <c r="E185" s="20" t="n">
        <v>380</v>
      </c>
      <c r="F185" s="20" t="n">
        <v>409</v>
      </c>
      <c r="G185" s="20" t="n">
        <v>638</v>
      </c>
      <c r="H185" s="20" t="n">
        <v>454</v>
      </c>
      <c r="I185" s="20" t="n">
        <v>333</v>
      </c>
      <c r="J185" s="20" t="n">
        <v>403</v>
      </c>
      <c r="K185" s="20" t="n">
        <v>476</v>
      </c>
      <c r="L185" s="20" t="n">
        <v>514</v>
      </c>
      <c r="M185" s="20" t="n">
        <v>514</v>
      </c>
      <c r="N185" s="20" t="n">
        <v>488</v>
      </c>
      <c r="V185" s="20" t="n">
        <v>380</v>
      </c>
      <c r="W185" s="20" t="n">
        <v>333</v>
      </c>
      <c r="X185" s="20" t="n">
        <v>514</v>
      </c>
    </row>
    <row r="186">
      <c r="A186" s="18" t="inlineStr">
        <is>
          <t>합계 · 부문 간 내부매출·대체</t>
        </is>
      </c>
      <c r="E186" s="20" t="n">
        <v>568</v>
      </c>
      <c r="F186" s="20" t="n">
        <v>593</v>
      </c>
      <c r="G186" s="20" t="n">
        <v>815</v>
      </c>
      <c r="H186" s="20" t="n">
        <v>657</v>
      </c>
      <c r="I186" s="20" t="n">
        <v>519</v>
      </c>
      <c r="J186" s="20" t="n">
        <v>593</v>
      </c>
      <c r="K186" s="20" t="n">
        <v>664</v>
      </c>
      <c r="L186" s="20" t="n">
        <v>732</v>
      </c>
      <c r="M186" s="20" t="n">
        <v>671</v>
      </c>
      <c r="N186" s="20" t="n">
        <v>691</v>
      </c>
      <c r="V186" s="20" t="n">
        <v>568</v>
      </c>
      <c r="W186" s="20" t="n">
        <v>519</v>
      </c>
      <c r="X186" s="20" t="n">
        <v>671</v>
      </c>
    </row>
    <row r="187">
      <c r="A187" s="18" t="inlineStr">
        <is>
          <t>조정액 · 부문 간 내부매출·대체</t>
        </is>
      </c>
      <c r="E187" s="20" t="n">
        <v>-568</v>
      </c>
      <c r="F187" s="20" t="n">
        <v>-593</v>
      </c>
      <c r="G187" s="20" t="n">
        <v>-815</v>
      </c>
      <c r="H187" s="20" t="n">
        <v>-657</v>
      </c>
      <c r="I187" s="20" t="n">
        <v>-519</v>
      </c>
      <c r="J187" s="20" t="n">
        <v>-593</v>
      </c>
      <c r="K187" s="20" t="n">
        <v>-664</v>
      </c>
      <c r="L187" s="20" t="n">
        <v>-732</v>
      </c>
      <c r="M187" s="20" t="n">
        <v>-671</v>
      </c>
      <c r="N187" s="20" t="n">
        <v>-691</v>
      </c>
      <c r="V187" s="20" t="n">
        <v>-568</v>
      </c>
      <c r="W187" s="20" t="n">
        <v>-519</v>
      </c>
      <c r="X187" s="20" t="n">
        <v>-671</v>
      </c>
    </row>
    <row r="188">
      <c r="A188" s="18" t="inlineStr">
        <is>
          <t>부문 간 내부매출·대체</t>
        </is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V188" s="20" t="n">
        <v>0</v>
      </c>
      <c r="W188" s="20" t="n">
        <v>0</v>
      </c>
    </row>
    <row r="189">
      <c r="A189" s="18" t="inlineStr">
        <is>
          <t>EntityTotalMember · 부문 간 내부매출·대체</t>
        </is>
      </c>
      <c r="F189" s="20" t="n">
        <v>0</v>
      </c>
      <c r="J189" s="20" t="n">
        <v>0</v>
      </c>
      <c r="N189" s="20" t="n">
        <v>0</v>
      </c>
    </row>
    <row r="190">
      <c r="A190" s="18" t="inlineStr">
        <is>
          <t>CoffeeRelatedReportableSegmentsMember · 계</t>
        </is>
      </c>
      <c r="E190" s="20" t="n">
        <v>15102</v>
      </c>
      <c r="F190" s="20" t="n">
        <v>17127</v>
      </c>
      <c r="G190" s="20" t="n">
        <v>17846</v>
      </c>
      <c r="H190" s="20" t="n">
        <v>20045</v>
      </c>
      <c r="I190" s="20" t="n">
        <v>15569</v>
      </c>
      <c r="J190" s="20" t="n">
        <v>18670</v>
      </c>
      <c r="K190" s="20" t="n">
        <v>21023</v>
      </c>
      <c r="L190" s="20" t="n">
        <v>24385</v>
      </c>
      <c r="M190" s="20" t="n">
        <v>20218</v>
      </c>
      <c r="N190" s="20" t="n">
        <v>21368</v>
      </c>
      <c r="V190" s="20" t="n">
        <v>15102</v>
      </c>
      <c r="W190" s="20" t="n">
        <v>15569</v>
      </c>
      <c r="X190" s="20" t="n">
        <v>20218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FoodAndBeverageRelatedReportableSegmentsMember · 계</t>
        </is>
      </c>
      <c r="E192" s="20" t="n">
        <v>1122</v>
      </c>
      <c r="F192" s="20" t="n">
        <v>1052</v>
      </c>
      <c r="G192" s="20" t="n">
        <v>1029</v>
      </c>
      <c r="H192" s="20" t="n">
        <v>1007</v>
      </c>
      <c r="I192" s="20" t="n">
        <v>1128</v>
      </c>
      <c r="J192" s="20" t="n">
        <v>1056</v>
      </c>
      <c r="K192" s="20" t="n">
        <v>1411</v>
      </c>
      <c r="L192" s="20" t="n">
        <v>1421</v>
      </c>
      <c r="M192" s="20" t="n">
        <v>1764</v>
      </c>
      <c r="N192" s="20" t="n">
        <v>1701</v>
      </c>
      <c r="V192" s="20" t="n">
        <v>1122</v>
      </c>
      <c r="W192" s="20" t="n">
        <v>1128</v>
      </c>
      <c r="X192" s="20" t="n">
        <v>1764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보고부문 합계 · 계</t>
        </is>
      </c>
      <c r="E194" s="20" t="n">
        <v>16224</v>
      </c>
      <c r="F194" s="20" t="n">
        <v>18179</v>
      </c>
      <c r="G194" s="20" t="n">
        <v>18876</v>
      </c>
      <c r="H194" s="20" t="n">
        <v>21051</v>
      </c>
      <c r="I194" s="20" t="n">
        <v>16698</v>
      </c>
      <c r="J194" s="20" t="n">
        <v>19727</v>
      </c>
      <c r="K194" s="20" t="n">
        <v>22434</v>
      </c>
      <c r="L194" s="20" t="n">
        <v>25806</v>
      </c>
      <c r="M194" s="20" t="n">
        <v>21982</v>
      </c>
      <c r="N194" s="20" t="n">
        <v>23069</v>
      </c>
      <c r="V194" s="20" t="n">
        <v>16224</v>
      </c>
      <c r="W194" s="20" t="n">
        <v>16698</v>
      </c>
      <c r="X194" s="20" t="n">
        <v>21982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기타 · 계</t>
        </is>
      </c>
      <c r="E196" s="20" t="n">
        <v>1248</v>
      </c>
      <c r="F196" s="20" t="n">
        <v>1487</v>
      </c>
      <c r="G196" s="20" t="n">
        <v>1601</v>
      </c>
      <c r="H196" s="20" t="n">
        <v>1266</v>
      </c>
      <c r="I196" s="20" t="n">
        <v>1209</v>
      </c>
      <c r="J196" s="20" t="n">
        <v>1535</v>
      </c>
      <c r="K196" s="20" t="n">
        <v>1417</v>
      </c>
      <c r="L196" s="20" t="n">
        <v>1398</v>
      </c>
      <c r="M196" s="20" t="n">
        <v>1428</v>
      </c>
      <c r="N196" s="20" t="n">
        <v>1740</v>
      </c>
      <c r="V196" s="20" t="n">
        <v>1248</v>
      </c>
      <c r="W196" s="20" t="n">
        <v>1209</v>
      </c>
      <c r="X196" s="20" t="n">
        <v>1428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H197" s="15">
        <f>IF(OR(H196="",D196=""),"",IF(D196&lt;=0,"",IFERROR(H196/D196-1,"")))</f>
        <v/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L197" s="15">
        <f>IF(OR(L196="",H196=""),"",IF(H196&lt;=0,"",IFERROR(L196/H196-1,"")))</f>
        <v/>
      </c>
      <c r="M197" s="15">
        <f>IF(OR(M196="",I196=""),"",IF(I196&lt;=0,"",IFERROR(M196/I196-1,"")))</f>
        <v/>
      </c>
      <c r="N197" s="15">
        <f>IF(OR(N196="",J196=""),"",IF(J196&lt;=0,"",IFERROR(N196/J196-1,"")))</f>
        <v/>
      </c>
      <c r="V197" s="15">
        <f>IF(OR(V196="",U196=""),"",IF(U196&lt;=0,"",IFERROR(V196/U196-1,"")))</f>
        <v/>
      </c>
      <c r="W197" s="15">
        <f>IF(OR(W196="",V196=""),"",IF(V196&lt;=0,"",IFERROR(W196/V196-1,"")))</f>
        <v/>
      </c>
      <c r="X197" s="15">
        <f>IF(OR(X196="",W196=""),"",IF(W196&lt;=0,"",IFERROR(X196/W196-1,"")))</f>
        <v/>
      </c>
    </row>
    <row r="198">
      <c r="A198" s="18" t="inlineStr">
        <is>
          <t>합계 · 계</t>
        </is>
      </c>
      <c r="E198" s="20" t="n">
        <v>17472</v>
      </c>
      <c r="F198" s="20" t="n">
        <v>19667</v>
      </c>
      <c r="G198" s="20" t="n">
        <v>20476</v>
      </c>
      <c r="H198" s="20" t="n">
        <v>22318</v>
      </c>
      <c r="I198" s="20" t="n">
        <v>17907</v>
      </c>
      <c r="J198" s="20" t="n">
        <v>21263</v>
      </c>
      <c r="K198" s="20" t="n">
        <v>23850</v>
      </c>
      <c r="L198" s="20" t="n">
        <v>27204</v>
      </c>
      <c r="M198" s="20" t="n">
        <v>23411</v>
      </c>
      <c r="N198" s="20" t="n">
        <v>24810</v>
      </c>
      <c r="V198" s="20" t="n">
        <v>17472</v>
      </c>
      <c r="W198" s="20" t="n">
        <v>17907</v>
      </c>
      <c r="X198" s="20" t="n">
        <v>23411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조정액 · 계</t>
        </is>
      </c>
      <c r="E200" s="20" t="n">
        <v>-568</v>
      </c>
      <c r="F200" s="20" t="n">
        <v>-593</v>
      </c>
      <c r="G200" s="20" t="n">
        <v>-815</v>
      </c>
      <c r="H200" s="20" t="n">
        <v>-657</v>
      </c>
      <c r="I200" s="20" t="n">
        <v>-519</v>
      </c>
      <c r="J200" s="20" t="n">
        <v>-593</v>
      </c>
      <c r="K200" s="20" t="n">
        <v>-664</v>
      </c>
      <c r="L200" s="20" t="n">
        <v>-732</v>
      </c>
      <c r="M200" s="20" t="n">
        <v>-671</v>
      </c>
      <c r="N200" s="20" t="n">
        <v>-691</v>
      </c>
      <c r="V200" s="20" t="n">
        <v>-568</v>
      </c>
      <c r="W200" s="20" t="n">
        <v>-519</v>
      </c>
      <c r="X200" s="20" t="n">
        <v>-671</v>
      </c>
    </row>
    <row r="201">
      <c r="A201" s="9" t="inlineStr">
        <is>
          <t>계</t>
        </is>
      </c>
      <c r="E201" s="12" t="n">
        <v>16904</v>
      </c>
      <c r="F201" s="12" t="n">
        <v>19073</v>
      </c>
      <c r="G201" s="12" t="n">
        <v>19662</v>
      </c>
      <c r="H201" s="12" t="n">
        <v>21660</v>
      </c>
      <c r="I201" s="12" t="n">
        <v>17388</v>
      </c>
      <c r="V201" s="12" t="n">
        <v>16904</v>
      </c>
      <c r="W201" s="12" t="n">
        <v>17388</v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IF(OR(G201="",C201=""),"",IF(C201&lt;=0,"",IFERROR(G201/C201-1,"")))</f>
        <v/>
      </c>
      <c r="H202" s="15">
        <f>IF(OR(H201="",D201=""),"",IF(D201&lt;=0,"",IFERROR(H201/D201-1,"")))</f>
        <v/>
      </c>
      <c r="I202" s="15">
        <f>IF(OR(I201="",E201=""),"",IF(E201&lt;=0,"",IFERROR(I201/E201-1,"")))</f>
        <v/>
      </c>
      <c r="V202" s="15">
        <f>IF(OR(V201="",U201=""),"",IF(U201&lt;=0,"",IFERROR(V201/U201-1,"")))</f>
        <v/>
      </c>
      <c r="W202" s="15">
        <f>IF(OR(W201="",V201=""),"",IF(V201&lt;=0,"",IFERROR(W201/V201-1,"")))</f>
        <v/>
      </c>
    </row>
    <row r="203">
      <c r="A203" s="18" t="inlineStr">
        <is>
          <t>EntityTotalMember · 계</t>
        </is>
      </c>
      <c r="F203" s="20" t="n">
        <v>19073</v>
      </c>
      <c r="J203" s="20" t="n">
        <v>20669</v>
      </c>
      <c r="N203" s="20" t="n">
        <v>24118</v>
      </c>
    </row>
    <row r="204">
      <c r="A204" s="18" t="inlineStr">
        <is>
          <t>CoffeeRelatedReportableSegmentsMember · 부문 이익</t>
        </is>
      </c>
      <c r="E204" s="20" t="n">
        <v>-396</v>
      </c>
      <c r="F204" s="20" t="n">
        <v>634</v>
      </c>
      <c r="G204" s="20" t="n">
        <v>-63</v>
      </c>
      <c r="H204" s="20" t="n">
        <v>1024</v>
      </c>
      <c r="I204" s="20" t="n">
        <v>-712</v>
      </c>
      <c r="J204" s="20" t="n">
        <v>363</v>
      </c>
      <c r="K204" s="20" t="n">
        <v>376</v>
      </c>
      <c r="L204" s="20" t="n">
        <v>819</v>
      </c>
      <c r="M204" s="20" t="n">
        <v>16</v>
      </c>
      <c r="N204" s="20" t="n">
        <v>744</v>
      </c>
      <c r="V204" s="20" t="n">
        <v>-396</v>
      </c>
      <c r="W204" s="20" t="n">
        <v>-712</v>
      </c>
      <c r="X204" s="20" t="n">
        <v>16</v>
      </c>
    </row>
    <row r="205">
      <c r="A205" s="43" t="inlineStr">
        <is>
          <t>OPM</t>
        </is>
      </c>
      <c r="B205" s="3" t="inlineStr">
        <is>
          <t>영업이익 ÷ 매출</t>
        </is>
      </c>
      <c r="E205" s="15">
        <f>IF(OR(E204="",E190=""),"",IF(E190&lt;=0,"",IFERROR(E204/E190,"")))</f>
        <v/>
      </c>
      <c r="F205" s="15">
        <f>IF(OR(F204="",F190=""),"",IF(F190&lt;=0,"",IFERROR(F204/F190,"")))</f>
        <v/>
      </c>
      <c r="G205" s="15">
        <f>IF(OR(G204="",G190=""),"",IF(G190&lt;=0,"",IFERROR(G204/G190,"")))</f>
        <v/>
      </c>
      <c r="H205" s="15">
        <f>IF(OR(H204="",H190=""),"",IF(H190&lt;=0,"",IFERROR(H204/H190,"")))</f>
        <v/>
      </c>
      <c r="I205" s="15">
        <f>IF(OR(I204="",I190=""),"",IF(I190&lt;=0,"",IFERROR(I204/I190,"")))</f>
        <v/>
      </c>
      <c r="J205" s="15">
        <f>IF(OR(J204="",J190=""),"",IF(J190&lt;=0,"",IFERROR(J204/J190,"")))</f>
        <v/>
      </c>
      <c r="K205" s="15">
        <f>IF(OR(K204="",K190=""),"",IF(K190&lt;=0,"",IFERROR(K204/K190,"")))</f>
        <v/>
      </c>
      <c r="L205" s="15">
        <f>IF(OR(L204="",L190=""),"",IF(L190&lt;=0,"",IFERROR(L204/L190,"")))</f>
        <v/>
      </c>
      <c r="M205" s="15">
        <f>IF(OR(M204="",M190=""),"",IF(M190&lt;=0,"",IFERROR(M204/M190,"")))</f>
        <v/>
      </c>
      <c r="N205" s="15">
        <f>IF(OR(N204="",N190=""),"",IF(N190&lt;=0,"",IFERROR(N204/N190,"")))</f>
        <v/>
      </c>
      <c r="V205" s="15">
        <f>IF(OR(V204="",V190=""),"",IF(V190&lt;=0,"",IFERROR(V204/V190,"")))</f>
        <v/>
      </c>
      <c r="W205" s="15">
        <f>IF(OR(W204="",W190=""),"",IF(W190&lt;=0,"",IFERROR(W204/W190,"")))</f>
        <v/>
      </c>
      <c r="X205" s="15">
        <f>IF(OR(X204="",X190=""),"",IF(X190&lt;=0,"",IFERROR(X204/X190,"")))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FoodAndBeverageRelatedReportableSegmentsMember · 부문 이익</t>
        </is>
      </c>
      <c r="E207" s="20" t="n">
        <v>22</v>
      </c>
      <c r="F207" s="20" t="n">
        <v>9</v>
      </c>
      <c r="G207" s="20" t="n">
        <v>-6</v>
      </c>
      <c r="H207" s="20" t="n">
        <v>4</v>
      </c>
      <c r="I207" s="20" t="n">
        <v>19</v>
      </c>
      <c r="J207" s="20" t="n">
        <v>29</v>
      </c>
      <c r="K207" s="20" t="n">
        <v>23</v>
      </c>
      <c r="L207" s="20" t="n">
        <v>10</v>
      </c>
      <c r="M207" s="20" t="n">
        <v>-3</v>
      </c>
      <c r="N207" s="20" t="n">
        <v>50</v>
      </c>
      <c r="V207" s="20" t="n">
        <v>22</v>
      </c>
      <c r="W207" s="20" t="n">
        <v>19</v>
      </c>
      <c r="X207" s="20" t="n">
        <v>-3</v>
      </c>
    </row>
    <row r="208">
      <c r="A208" s="43" t="inlineStr">
        <is>
          <t>OPM</t>
        </is>
      </c>
      <c r="B208" s="3" t="inlineStr">
        <is>
          <t>영업이익 ÷ 매출</t>
        </is>
      </c>
      <c r="E208" s="15">
        <f>IF(OR(E207="",E192=""),"",IF(E192&lt;=0,"",IFERROR(E207/E192,"")))</f>
        <v/>
      </c>
      <c r="F208" s="15">
        <f>IF(OR(F207="",F192=""),"",IF(F192&lt;=0,"",IFERROR(F207/F192,"")))</f>
        <v/>
      </c>
      <c r="G208" s="15">
        <f>IF(OR(G207="",G192=""),"",IF(G192&lt;=0,"",IFERROR(G207/G192,"")))</f>
        <v/>
      </c>
      <c r="H208" s="15">
        <f>IF(OR(H207="",H192=""),"",IF(H192&lt;=0,"",IFERROR(H207/H192,"")))</f>
        <v/>
      </c>
      <c r="I208" s="15">
        <f>IF(OR(I207="",I192=""),"",IF(I192&lt;=0,"",IFERROR(I207/I192,"")))</f>
        <v/>
      </c>
      <c r="J208" s="15">
        <f>IF(OR(J207="",J192=""),"",IF(J192&lt;=0,"",IFERROR(J207/J192,"")))</f>
        <v/>
      </c>
      <c r="K208" s="15">
        <f>IF(OR(K207="",K192=""),"",IF(K192&lt;=0,"",IFERROR(K207/K192,"")))</f>
        <v/>
      </c>
      <c r="L208" s="15">
        <f>IF(OR(L207="",L192=""),"",IF(L192&lt;=0,"",IFERROR(L207/L192,"")))</f>
        <v/>
      </c>
      <c r="M208" s="15">
        <f>IF(OR(M207="",M192=""),"",IF(M192&lt;=0,"",IFERROR(M207/M192,"")))</f>
        <v/>
      </c>
      <c r="N208" s="15">
        <f>IF(OR(N207="",N192=""),"",IF(N192&lt;=0,"",IFERROR(N207/N192,"")))</f>
        <v/>
      </c>
      <c r="V208" s="15">
        <f>IF(OR(V207="",V192=""),"",IF(V192&lt;=0,"",IFERROR(V207/V192,"")))</f>
        <v/>
      </c>
      <c r="W208" s="15">
        <f>IF(OR(W207="",W192=""),"",IF(W192&lt;=0,"",IFERROR(W207/W192,"")))</f>
        <v/>
      </c>
      <c r="X208" s="15">
        <f>IF(OR(X207="",X192=""),"",IF(X192&lt;=0,"",IFERROR(X207/X192,"")))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0">
      <c r="A210" s="18" t="inlineStr">
        <is>
          <t>보고부문 합계 · 부문 이익</t>
        </is>
      </c>
      <c r="E210" s="20" t="n">
        <v>-375</v>
      </c>
      <c r="F210" s="20" t="n">
        <v>643</v>
      </c>
      <c r="G210" s="20" t="n">
        <v>-68</v>
      </c>
      <c r="H210" s="20" t="n">
        <v>1027</v>
      </c>
      <c r="I210" s="20" t="n">
        <v>-693</v>
      </c>
      <c r="J210" s="20" t="n">
        <v>392</v>
      </c>
      <c r="K210" s="20" t="n">
        <v>400</v>
      </c>
      <c r="L210" s="20" t="n">
        <v>829</v>
      </c>
      <c r="M210" s="20" t="n">
        <v>13</v>
      </c>
      <c r="N210" s="20" t="n">
        <v>795</v>
      </c>
      <c r="V210" s="20" t="n">
        <v>-375</v>
      </c>
      <c r="W210" s="20" t="n">
        <v>-693</v>
      </c>
      <c r="X210" s="20" t="n">
        <v>13</v>
      </c>
    </row>
    <row r="211">
      <c r="A211" s="43" t="inlineStr">
        <is>
          <t>OPM</t>
        </is>
      </c>
      <c r="B211" s="3" t="inlineStr">
        <is>
          <t>영업이익 ÷ 매출</t>
        </is>
      </c>
      <c r="E211" s="15">
        <f>IF(OR(E210="",E194=""),"",IF(E194&lt;=0,"",IFERROR(E210/E194,"")))</f>
        <v/>
      </c>
      <c r="F211" s="15">
        <f>IF(OR(F210="",F194=""),"",IF(F194&lt;=0,"",IFERROR(F210/F194,"")))</f>
        <v/>
      </c>
      <c r="G211" s="15">
        <f>IF(OR(G210="",G194=""),"",IF(G194&lt;=0,"",IFERROR(G210/G194,"")))</f>
        <v/>
      </c>
      <c r="H211" s="15">
        <f>IF(OR(H210="",H194=""),"",IF(H194&lt;=0,"",IFERROR(H210/H194,"")))</f>
        <v/>
      </c>
      <c r="I211" s="15">
        <f>IF(OR(I210="",I194=""),"",IF(I194&lt;=0,"",IFERROR(I210/I194,"")))</f>
        <v/>
      </c>
      <c r="J211" s="15">
        <f>IF(OR(J210="",J194=""),"",IF(J194&lt;=0,"",IFERROR(J210/J194,"")))</f>
        <v/>
      </c>
      <c r="K211" s="15">
        <f>IF(OR(K210="",K194=""),"",IF(K194&lt;=0,"",IFERROR(K210/K194,"")))</f>
        <v/>
      </c>
      <c r="L211" s="15">
        <f>IF(OR(L210="",L194=""),"",IF(L194&lt;=0,"",IFERROR(L210/L194,"")))</f>
        <v/>
      </c>
      <c r="M211" s="15">
        <f>IF(OR(M210="",M194=""),"",IF(M194&lt;=0,"",IFERROR(M210/M194,"")))</f>
        <v/>
      </c>
      <c r="N211" s="15">
        <f>IF(OR(N210="",N194=""),"",IF(N194&lt;=0,"",IFERROR(N210/N194,"")))</f>
        <v/>
      </c>
      <c r="V211" s="15">
        <f>IF(OR(V210="",V194=""),"",IF(V194&lt;=0,"",IFERROR(V210/V194,"")))</f>
        <v/>
      </c>
      <c r="W211" s="15">
        <f>IF(OR(W210="",W194=""),"",IF(W194&lt;=0,"",IFERROR(W210/W194,"")))</f>
        <v/>
      </c>
      <c r="X211" s="15">
        <f>IF(OR(X210="",X194=""),"",IF(X194&lt;=0,"",IFERROR(X210/X194,"")))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H212" s="15">
        <f>IF(OR(H210="",D210=""),"",IF(D210&lt;=0,"",IFERROR(H210/D210-1,"")))</f>
        <v/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K212" s="15">
        <f>IF(OR(K210="",G210=""),"",IF(G210&lt;=0,"",IFERROR(K210/G210-1,"")))</f>
        <v/>
      </c>
      <c r="L212" s="15">
        <f>IF(OR(L210="",H210=""),"",IF(H210&lt;=0,"",IFERROR(L210/H210-1,"")))</f>
        <v/>
      </c>
      <c r="M212" s="15">
        <f>IF(OR(M210="",I210=""),"",IF(I210&lt;=0,"",IFERROR(M210/I210-1,"")))</f>
        <v/>
      </c>
      <c r="N212" s="15">
        <f>IF(OR(N210="",J210=""),"",IF(J210&lt;=0,"",IFERROR(N210/J210-1,"")))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  <c r="X212" s="15">
        <f>IF(OR(X210="",W210=""),"",IF(W210&lt;=0,"",IFERROR(X210/W210-1,"")))</f>
        <v/>
      </c>
    </row>
    <row r="213">
      <c r="A213" s="18" t="inlineStr">
        <is>
          <t>기타 · 부문 이익</t>
        </is>
      </c>
      <c r="E213" s="20" t="n">
        <v>0</v>
      </c>
      <c r="F213" s="20" t="n">
        <v>169</v>
      </c>
      <c r="G213" s="20" t="n">
        <v>102</v>
      </c>
      <c r="H213" s="20" t="n">
        <v>107</v>
      </c>
      <c r="I213" s="20" t="n">
        <v>-119</v>
      </c>
      <c r="J213" s="20" t="n">
        <v>194</v>
      </c>
      <c r="K213" s="20" t="n">
        <v>65</v>
      </c>
      <c r="L213" s="20" t="n">
        <v>65</v>
      </c>
      <c r="M213" s="20" t="n">
        <v>-68</v>
      </c>
      <c r="N213" s="20" t="n">
        <v>220</v>
      </c>
      <c r="V213" s="20" t="n">
        <v>0</v>
      </c>
      <c r="W213" s="20" t="n">
        <v>-119</v>
      </c>
      <c r="X213" s="20" t="n">
        <v>-68</v>
      </c>
    </row>
    <row r="214">
      <c r="A214" s="43" t="inlineStr">
        <is>
          <t>OPM</t>
        </is>
      </c>
      <c r="B214" s="3" t="inlineStr">
        <is>
          <t>영업이익 ÷ 매출</t>
        </is>
      </c>
      <c r="E214" s="15">
        <f>IF(OR(E213="",E196=""),"",IF(E196&lt;=0,"",IFERROR(E213/E196,"")))</f>
        <v/>
      </c>
      <c r="F214" s="15">
        <f>IF(OR(F213="",F196=""),"",IF(F196&lt;=0,"",IFERROR(F213/F196,"")))</f>
        <v/>
      </c>
      <c r="G214" s="15">
        <f>IF(OR(G213="",G196=""),"",IF(G196&lt;=0,"",IFERROR(G213/G196,"")))</f>
        <v/>
      </c>
      <c r="H214" s="15">
        <f>IF(OR(H213="",H196=""),"",IF(H196&lt;=0,"",IFERROR(H213/H196,"")))</f>
        <v/>
      </c>
      <c r="I214" s="15">
        <f>IF(OR(I213="",I196=""),"",IF(I196&lt;=0,"",IFERROR(I213/I196,"")))</f>
        <v/>
      </c>
      <c r="J214" s="15">
        <f>IF(OR(J213="",J196=""),"",IF(J196&lt;=0,"",IFERROR(J213/J196,"")))</f>
        <v/>
      </c>
      <c r="K214" s="15">
        <f>IF(OR(K213="",K196=""),"",IF(K196&lt;=0,"",IFERROR(K213/K196,"")))</f>
        <v/>
      </c>
      <c r="L214" s="15">
        <f>IF(OR(L213="",L196=""),"",IF(L196&lt;=0,"",IFERROR(L213/L196,"")))</f>
        <v/>
      </c>
      <c r="M214" s="15">
        <f>IF(OR(M213="",M196=""),"",IF(M196&lt;=0,"",IFERROR(M213/M196,"")))</f>
        <v/>
      </c>
      <c r="N214" s="15">
        <f>IF(OR(N213="",N196=""),"",IF(N196&lt;=0,"",IFERROR(N213/N196,"")))</f>
        <v/>
      </c>
      <c r="V214" s="15">
        <f>IF(OR(V213="",V196=""),"",IF(V196&lt;=0,"",IFERROR(V213/V196,"")))</f>
        <v/>
      </c>
      <c r="W214" s="15">
        <f>IF(OR(W213="",W196=""),"",IF(W196&lt;=0,"",IFERROR(W213/W196,"")))</f>
        <v/>
      </c>
      <c r="X214" s="15">
        <f>IF(OR(X213="",X196=""),"",IF(X196&lt;=0,"",IFERROR(X213/X196,"")))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H215" s="15">
        <f>IF(OR(H213="",D213=""),"",IF(D213&lt;=0,"",IFERROR(H213/D213-1,"")))</f>
        <v/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  <c r="K215" s="15">
        <f>IF(OR(K213="",G213=""),"",IF(G213&lt;=0,"",IFERROR(K213/G213-1,"")))</f>
        <v/>
      </c>
      <c r="L215" s="15">
        <f>IF(OR(L213="",H213=""),"",IF(H213&lt;=0,"",IFERROR(L213/H213-1,"")))</f>
        <v/>
      </c>
      <c r="M215" s="15">
        <f>IF(OR(M213="",I213=""),"",IF(I213&lt;=0,"",IFERROR(M213/I213-1,"")))</f>
        <v/>
      </c>
      <c r="N215" s="15">
        <f>IF(OR(N213="",J213=""),"",IF(J213&lt;=0,"",IFERROR(N213/J213-1,"")))</f>
        <v/>
      </c>
      <c r="V215" s="15">
        <f>IF(OR(V213="",U213=""),"",IF(U213&lt;=0,"",IFERROR(V213/U213-1,"")))</f>
        <v/>
      </c>
      <c r="W215" s="15">
        <f>IF(OR(W213="",V213=""),"",IF(V213&lt;=0,"",IFERROR(W213/V213-1,"")))</f>
        <v/>
      </c>
      <c r="X215" s="15">
        <f>IF(OR(X213="",W213=""),"",IF(W213&lt;=0,"",IFERROR(X213/W213-1,"")))</f>
        <v/>
      </c>
    </row>
    <row r="216">
      <c r="A216" s="18" t="inlineStr">
        <is>
          <t>합계 · 부문 이익</t>
        </is>
      </c>
      <c r="E216" s="20" t="n">
        <v>-375</v>
      </c>
      <c r="F216" s="20" t="n">
        <v>813</v>
      </c>
      <c r="G216" s="20" t="n">
        <v>34</v>
      </c>
      <c r="H216" s="20" t="n">
        <v>1134</v>
      </c>
      <c r="I216" s="20" t="n">
        <v>-812</v>
      </c>
      <c r="J216" s="20" t="n">
        <v>586</v>
      </c>
      <c r="K216" s="20" t="n">
        <v>465</v>
      </c>
      <c r="L216" s="20" t="n">
        <v>895</v>
      </c>
      <c r="M216" s="20" t="n">
        <v>-56</v>
      </c>
      <c r="N216" s="20" t="n">
        <v>1016</v>
      </c>
      <c r="V216" s="20" t="n">
        <v>-375</v>
      </c>
      <c r="W216" s="20" t="n">
        <v>-812</v>
      </c>
      <c r="X216" s="20" t="n">
        <v>-56</v>
      </c>
    </row>
    <row r="217">
      <c r="A217" s="43" t="inlineStr">
        <is>
          <t>OPM</t>
        </is>
      </c>
      <c r="B217" s="3" t="inlineStr">
        <is>
          <t>영업이익 ÷ 매출</t>
        </is>
      </c>
      <c r="E217" s="15">
        <f>IF(OR(E216="",E198=""),"",IF(E198&lt;=0,"",IFERROR(E216/E198,"")))</f>
        <v/>
      </c>
      <c r="F217" s="15">
        <f>IF(OR(F216="",F198=""),"",IF(F198&lt;=0,"",IFERROR(F216/F198,"")))</f>
        <v/>
      </c>
      <c r="G217" s="15">
        <f>IF(OR(G216="",G198=""),"",IF(G198&lt;=0,"",IFERROR(G216/G198,"")))</f>
        <v/>
      </c>
      <c r="H217" s="15">
        <f>IF(OR(H216="",H198=""),"",IF(H198&lt;=0,"",IFERROR(H216/H198,"")))</f>
        <v/>
      </c>
      <c r="I217" s="15">
        <f>IF(OR(I216="",I198=""),"",IF(I198&lt;=0,"",IFERROR(I216/I198,"")))</f>
        <v/>
      </c>
      <c r="J217" s="15">
        <f>IF(OR(J216="",J198=""),"",IF(J198&lt;=0,"",IFERROR(J216/J198,"")))</f>
        <v/>
      </c>
      <c r="K217" s="15">
        <f>IF(OR(K216="",K198=""),"",IF(K198&lt;=0,"",IFERROR(K216/K198,"")))</f>
        <v/>
      </c>
      <c r="L217" s="15">
        <f>IF(OR(L216="",L198=""),"",IF(L198&lt;=0,"",IFERROR(L216/L198,"")))</f>
        <v/>
      </c>
      <c r="M217" s="15">
        <f>IF(OR(M216="",M198=""),"",IF(M198&lt;=0,"",IFERROR(M216/M198,"")))</f>
        <v/>
      </c>
      <c r="N217" s="15">
        <f>IF(OR(N216="",N198=""),"",IF(N198&lt;=0,"",IFERROR(N216/N198,"")))</f>
        <v/>
      </c>
      <c r="V217" s="15">
        <f>IF(OR(V216="",V198=""),"",IF(V198&lt;=0,"",IFERROR(V216/V198,"")))</f>
        <v/>
      </c>
      <c r="W217" s="15">
        <f>IF(OR(W216="",W198=""),"",IF(W198&lt;=0,"",IFERROR(W216/W198,"")))</f>
        <v/>
      </c>
      <c r="X217" s="15">
        <f>IF(OR(X216="",X198=""),"",IF(X198&lt;=0,"",IFERROR(X216/X198,"")))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IF(OR(G216="",C216=""),"",IF(C216&lt;=0,"",IFERROR(G216/C216-1,"")))</f>
        <v/>
      </c>
      <c r="H218" s="15">
        <f>IF(OR(H216="",D216=""),"",IF(D216&lt;=0,"",IFERROR(H216/D216-1,"")))</f>
        <v/>
      </c>
      <c r="I218" s="15">
        <f>IF(OR(I216="",E216=""),"",IF(E216&lt;=0,"",IFERROR(I216/E216-1,"")))</f>
        <v/>
      </c>
      <c r="J218" s="15">
        <f>IF(OR(J216="",F216=""),"",IF(F216&lt;=0,"",IFERROR(J216/F216-1,"")))</f>
        <v/>
      </c>
      <c r="K218" s="15">
        <f>IF(OR(K216="",G216=""),"",IF(G216&lt;=0,"",IFERROR(K216/G216-1,"")))</f>
        <v/>
      </c>
      <c r="L218" s="15">
        <f>IF(OR(L216="",H216=""),"",IF(H216&lt;=0,"",IFERROR(L216/H216-1,"")))</f>
        <v/>
      </c>
      <c r="M218" s="15">
        <f>IF(OR(M216="",I216=""),"",IF(I216&lt;=0,"",IFERROR(M216/I216-1,"")))</f>
        <v/>
      </c>
      <c r="N218" s="15">
        <f>IF(OR(N216="",J216=""),"",IF(J216&lt;=0,"",IFERROR(N216/J216-1,"")))</f>
        <v/>
      </c>
      <c r="V218" s="15">
        <f>IF(OR(V216="",U216=""),"",IF(U216&lt;=0,"",IFERROR(V216/U216-1,"")))</f>
        <v/>
      </c>
      <c r="W218" s="15">
        <f>IF(OR(W216="",V216=""),"",IF(V216&lt;=0,"",IFERROR(W216/V216-1,"")))</f>
        <v/>
      </c>
      <c r="X218" s="15">
        <f>IF(OR(X216="",W216=""),"",IF(W216&lt;=0,"",IFERROR(X216/W216-1,"")))</f>
        <v/>
      </c>
    </row>
    <row r="219">
      <c r="A219" s="18" t="inlineStr">
        <is>
          <t>조정액 · 부문 이익</t>
        </is>
      </c>
      <c r="E219" s="20" t="n">
        <v>-203</v>
      </c>
      <c r="F219" s="20" t="n">
        <v>-148</v>
      </c>
      <c r="G219" s="20" t="n">
        <v>-148</v>
      </c>
      <c r="H219" s="20" t="n">
        <v>-213</v>
      </c>
      <c r="I219" s="20" t="n">
        <v>-173</v>
      </c>
      <c r="J219" s="20" t="n">
        <v>-186</v>
      </c>
      <c r="K219" s="20" t="n">
        <v>-152</v>
      </c>
      <c r="L219" s="20" t="n">
        <v>-324</v>
      </c>
      <c r="M219" s="20" t="n">
        <v>-151</v>
      </c>
      <c r="N219" s="20" t="n">
        <v>-234</v>
      </c>
      <c r="V219" s="20" t="n">
        <v>-203</v>
      </c>
      <c r="W219" s="20" t="n">
        <v>-173</v>
      </c>
      <c r="X219" s="20" t="n">
        <v>-151</v>
      </c>
    </row>
    <row r="220">
      <c r="A220" s="9" t="inlineStr">
        <is>
          <t>부문 이익</t>
        </is>
      </c>
      <c r="E220" s="12" t="n">
        <v>-579</v>
      </c>
      <c r="F220" s="12" t="n">
        <v>665</v>
      </c>
      <c r="G220" s="12" t="n">
        <v>-115</v>
      </c>
      <c r="H220" s="12" t="n">
        <v>921</v>
      </c>
      <c r="I220" s="12" t="n">
        <v>-985</v>
      </c>
      <c r="V220" s="12" t="n">
        <v>-579</v>
      </c>
      <c r="W220" s="12" t="n">
        <v>-985</v>
      </c>
    </row>
    <row r="221">
      <c r="A221" s="43" t="inlineStr">
        <is>
          <t>OPM</t>
        </is>
      </c>
      <c r="B221" s="3" t="inlineStr">
        <is>
          <t>영업이익 ÷ 매출</t>
        </is>
      </c>
      <c r="E221" s="15">
        <f>IF(OR(E220="",E179=""),"",IF(E179&lt;=0,"",IFERROR(E220/E179,"")))</f>
        <v/>
      </c>
      <c r="F221" s="15">
        <f>IF(OR(F220="",F179=""),"",IF(F179&lt;=0,"",IFERROR(F220/F179,"")))</f>
        <v/>
      </c>
      <c r="G221" s="15">
        <f>IF(OR(G220="",G179=""),"",IF(G179&lt;=0,"",IFERROR(G220/G179,"")))</f>
        <v/>
      </c>
      <c r="H221" s="15">
        <f>IF(OR(H220="",H179=""),"",IF(H179&lt;=0,"",IFERROR(H220/H179,"")))</f>
        <v/>
      </c>
      <c r="I221" s="15">
        <f>IF(OR(I220="",I179=""),"",IF(I179&lt;=0,"",IFERROR(I220/I179,"")))</f>
        <v/>
      </c>
      <c r="V221" s="15">
        <f>IF(OR(V220="",V179=""),"",IF(V179&lt;=0,"",IFERROR(V220/V179,"")))</f>
        <v/>
      </c>
      <c r="W221" s="15">
        <f>IF(OR(W220="",W179=""),"",IF(W179&lt;=0,"",IFERROR(W220/W179,"")))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I222" s="15">
        <f>IF(OR(I220="",E220=""),"",IF(E220&lt;=0,"",IFERROR(I220/E220-1,"")))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</row>
    <row r="223">
      <c r="A223" s="18" t="inlineStr">
        <is>
          <t>EntityTotalMember · 부문 이익</t>
        </is>
      </c>
      <c r="F223" s="20" t="n">
        <v>665</v>
      </c>
      <c r="J223" s="20" t="n">
        <v>400</v>
      </c>
      <c r="N223" s="20" t="n">
        <v>781</v>
      </c>
    </row>
    <row r="225">
      <c r="A225" s="16" t="inlineStr">
        <is>
          <t>현금흐름표 · 전 항목</t>
        </is>
      </c>
      <c r="B225" s="42" t="inlineStr">
        <is>
          <t>분기 = 결산기 첫날부터 누계(공시 그대로)</t>
        </is>
      </c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</row>
    <row r="226">
      <c r="A226" s="5" t="inlineStr">
        <is>
          <t>항목</t>
        </is>
      </c>
      <c r="B226" s="5" t="inlineStr">
        <is>
          <t>참고</t>
        </is>
      </c>
      <c r="C226" s="5" t="inlineStr">
        <is>
          <t>2024.2Q</t>
        </is>
      </c>
      <c r="D226" s="5" t="inlineStr">
        <is>
          <t>2024.3Q</t>
        </is>
      </c>
      <c r="E226" s="5" t="inlineStr">
        <is>
          <t>2024.4Q</t>
        </is>
      </c>
      <c r="F226" s="5" t="inlineStr">
        <is>
          <t>2025.1Q</t>
        </is>
      </c>
      <c r="G226" s="5" t="inlineStr">
        <is>
          <t>2025.2Q</t>
        </is>
      </c>
      <c r="H226" s="5" t="inlineStr">
        <is>
          <t>2025.3Q</t>
        </is>
      </c>
      <c r="I226" s="5" t="inlineStr">
        <is>
          <t>2025.4Q</t>
        </is>
      </c>
      <c r="J226" s="5" t="inlineStr">
        <is>
          <t>2026.1Q</t>
        </is>
      </c>
      <c r="K226" s="5" t="inlineStr">
        <is>
          <t>2026.2Q</t>
        </is>
      </c>
      <c r="L226" s="5" t="inlineStr">
        <is>
          <t>2026.3Q</t>
        </is>
      </c>
      <c r="M226" s="5" t="inlineStr">
        <is>
          <t>2026.4Q</t>
        </is>
      </c>
      <c r="N226" s="5" t="inlineStr">
        <is>
          <t>2027.1Q</t>
        </is>
      </c>
      <c r="O226" s="5" t="inlineStr">
        <is>
          <t>2017</t>
        </is>
      </c>
      <c r="P226" s="5" t="inlineStr">
        <is>
          <t>2018</t>
        </is>
      </c>
      <c r="Q226" s="5" t="inlineStr">
        <is>
          <t>2019</t>
        </is>
      </c>
      <c r="R226" s="5" t="inlineStr">
        <is>
          <t>2020</t>
        </is>
      </c>
      <c r="S226" s="5" t="inlineStr">
        <is>
          <t>2021</t>
        </is>
      </c>
      <c r="T226" s="5" t="inlineStr">
        <is>
          <t>2022</t>
        </is>
      </c>
      <c r="U226" s="5" t="inlineStr">
        <is>
          <t>2023</t>
        </is>
      </c>
      <c r="V226" s="5" t="inlineStr">
        <is>
          <t>2024</t>
        </is>
      </c>
      <c r="W226" s="5" t="inlineStr">
        <is>
          <t>2025</t>
        </is>
      </c>
      <c r="X226" s="5" t="inlineStr">
        <is>
          <t>2026</t>
        </is>
      </c>
      <c r="Y226" s="5" t="inlineStr">
        <is>
          <t>2027(MW)</t>
        </is>
      </c>
      <c r="Z226" s="5" t="inlineStr">
        <is>
          <t>2028(MW)</t>
        </is>
      </c>
      <c r="AA226" s="5" t="inlineStr">
        <is>
          <t>2029(MW)</t>
        </is>
      </c>
      <c r="AB226" s="5" t="inlineStr">
        <is>
          <t>2030(MW)</t>
        </is>
      </c>
      <c r="AC226" s="5" t="inlineStr">
        <is>
          <t>2031(MW)</t>
        </is>
      </c>
    </row>
    <row r="227">
      <c r="A227" s="9" t="inlineStr">
        <is>
          <t>법인세차감전 순이익</t>
        </is>
      </c>
      <c r="E227" s="12" t="n">
        <v>488</v>
      </c>
      <c r="I227" s="12" t="n">
        <v>546</v>
      </c>
      <c r="M227" s="12" t="n">
        <v>1308</v>
      </c>
      <c r="O227" s="12" t="n">
        <v>1636</v>
      </c>
      <c r="P227" s="12" t="n">
        <v>515</v>
      </c>
      <c r="Q227" s="12" t="n">
        <v>468</v>
      </c>
      <c r="R227" s="12" t="n">
        <v>1290</v>
      </c>
      <c r="S227" s="12" t="n">
        <v>-3895</v>
      </c>
      <c r="T227" s="12" t="n">
        <v>1033</v>
      </c>
      <c r="U227" s="12" t="n">
        <v>308</v>
      </c>
      <c r="V227" s="12" t="n">
        <v>488</v>
      </c>
      <c r="W227" s="12" t="n">
        <v>546</v>
      </c>
      <c r="X227" s="12" t="n">
        <v>1308</v>
      </c>
    </row>
    <row r="228">
      <c r="A228" s="18" t="inlineStr">
        <is>
          <t>감가상각비</t>
        </is>
      </c>
      <c r="E228" s="20" t="n">
        <v>975</v>
      </c>
      <c r="I228" s="20" t="n">
        <v>1031</v>
      </c>
      <c r="M228" s="20" t="n">
        <v>1116</v>
      </c>
      <c r="O228" s="20" t="n">
        <v>1237</v>
      </c>
      <c r="P228" s="20" t="n">
        <v>1228</v>
      </c>
      <c r="Q228" s="20" t="n">
        <v>1167</v>
      </c>
      <c r="R228" s="20" t="n">
        <v>1114</v>
      </c>
      <c r="S228" s="20" t="n">
        <v>1211</v>
      </c>
      <c r="T228" s="20" t="n">
        <v>965</v>
      </c>
      <c r="U228" s="20" t="n">
        <v>956</v>
      </c>
      <c r="V228" s="20" t="n">
        <v>975</v>
      </c>
      <c r="W228" s="20" t="n">
        <v>1031</v>
      </c>
      <c r="X228" s="20" t="n">
        <v>1116</v>
      </c>
    </row>
    <row r="229">
      <c r="A229" s="18" t="inlineStr">
        <is>
          <t>손상차손</t>
        </is>
      </c>
      <c r="E229" s="20" t="n">
        <v>384</v>
      </c>
      <c r="I229" s="20" t="n">
        <v>93</v>
      </c>
      <c r="M229" s="20" t="n">
        <v>9</v>
      </c>
      <c r="O229" s="20" t="n">
        <v>334</v>
      </c>
      <c r="P229" s="20" t="n">
        <v>528</v>
      </c>
      <c r="Q229" s="20" t="n">
        <v>173</v>
      </c>
      <c r="R229" s="20" t="n">
        <v>140</v>
      </c>
      <c r="S229" s="20" t="n">
        <v>197</v>
      </c>
      <c r="T229" s="20" t="n">
        <v>46</v>
      </c>
      <c r="U229" s="20" t="n">
        <v>40</v>
      </c>
      <c r="V229" s="20" t="n">
        <v>384</v>
      </c>
      <c r="W229" s="20" t="n">
        <v>93</v>
      </c>
      <c r="X229" s="20" t="n">
        <v>9</v>
      </c>
    </row>
    <row r="230">
      <c r="A230" s="18" t="inlineStr">
        <is>
          <t>보조금 수입</t>
        </is>
      </c>
      <c r="E230" s="20" t="n">
        <v>0</v>
      </c>
      <c r="S230" s="20" t="n">
        <v>-54</v>
      </c>
      <c r="T230" s="20" t="n">
        <v>-369</v>
      </c>
      <c r="U230" s="20" t="n">
        <v>-63</v>
      </c>
      <c r="V230" s="20" t="n">
        <v>0</v>
      </c>
    </row>
    <row r="231">
      <c r="A231" s="18" t="inlineStr">
        <is>
          <t>Restructuring Expenses Ope CF</t>
        </is>
      </c>
      <c r="R231" s="20" t="n">
        <v>0</v>
      </c>
      <c r="S231" s="20" t="n">
        <v>593</v>
      </c>
      <c r="T231" s="20" t="n">
        <v>0</v>
      </c>
    </row>
    <row r="232">
      <c r="A232" s="18" t="inlineStr">
        <is>
          <t>고정자산 매각손익</t>
        </is>
      </c>
      <c r="O232" s="20" t="n">
        <v>-22</v>
      </c>
      <c r="P232" s="20" t="n">
        <v>0</v>
      </c>
      <c r="Q232" s="20" t="n">
        <v>-5</v>
      </c>
      <c r="R232" s="20" t="n">
        <v>-833</v>
      </c>
      <c r="S232" s="20" t="n">
        <v>0</v>
      </c>
    </row>
    <row r="233">
      <c r="A233" s="18" t="inlineStr">
        <is>
          <t>단계적 취득 차손익</t>
        </is>
      </c>
      <c r="O233" s="20" t="n">
        <v>0</v>
      </c>
      <c r="P233" s="20" t="n">
        <v>-21</v>
      </c>
      <c r="Q233" s="20" t="n">
        <v>0</v>
      </c>
    </row>
    <row r="234">
      <c r="A234" s="18" t="inlineStr">
        <is>
          <t>영업권 상각</t>
        </is>
      </c>
      <c r="I234" s="20" t="n">
        <v>17</v>
      </c>
      <c r="M234" s="20" t="n">
        <v>53</v>
      </c>
      <c r="W234" s="20" t="n">
        <v>17</v>
      </c>
      <c r="X234" s="20" t="n">
        <v>53</v>
      </c>
    </row>
    <row r="235">
      <c r="A235" s="18" t="inlineStr">
        <is>
          <t>투자유가증권 매각손익</t>
        </is>
      </c>
      <c r="E235" s="20" t="n">
        <v>-5</v>
      </c>
      <c r="I235" s="20" t="n">
        <v>-3</v>
      </c>
      <c r="M235" s="20" t="n">
        <v>0</v>
      </c>
      <c r="O235" s="20" t="n">
        <v>-365</v>
      </c>
      <c r="P235" s="20" t="n">
        <v>-548</v>
      </c>
      <c r="Q235" s="20" t="n">
        <v>4</v>
      </c>
      <c r="R235" s="20" t="n">
        <v>99</v>
      </c>
      <c r="S235" s="20" t="n">
        <v>-88</v>
      </c>
      <c r="T235" s="20" t="n">
        <v>-58</v>
      </c>
      <c r="U235" s="20" t="n">
        <v>0</v>
      </c>
      <c r="V235" s="20" t="n">
        <v>-5</v>
      </c>
      <c r="W235" s="20" t="n">
        <v>-3</v>
      </c>
      <c r="X235" s="20" t="n">
        <v>0</v>
      </c>
    </row>
    <row r="236">
      <c r="A236" s="18" t="inlineStr">
        <is>
          <t>국고보조금</t>
        </is>
      </c>
      <c r="O236" s="20" t="n">
        <v>-33</v>
      </c>
      <c r="P236" s="20" t="n">
        <v>0</v>
      </c>
    </row>
    <row r="237">
      <c r="A237" s="18" t="inlineStr">
        <is>
          <t>재해손실</t>
        </is>
      </c>
      <c r="O237" s="20" t="n">
        <v>4</v>
      </c>
      <c r="P237" s="20" t="n">
        <v>0</v>
      </c>
      <c r="Q237" s="20" t="n">
        <v>2</v>
      </c>
    </row>
    <row r="238">
      <c r="A238" s="18" t="inlineStr">
        <is>
          <t>투자유가증권 평가손익</t>
        </is>
      </c>
      <c r="Q238" s="20" t="n">
        <v>0</v>
      </c>
      <c r="R238" s="20" t="n">
        <v>28</v>
      </c>
      <c r="S238" s="20" t="n">
        <v>33</v>
      </c>
      <c r="T238" s="20" t="n">
        <v>0</v>
      </c>
    </row>
    <row r="239">
      <c r="A239" s="18" t="inlineStr">
        <is>
          <t>재해 손실</t>
        </is>
      </c>
      <c r="Q239" s="20" t="n">
        <v>2</v>
      </c>
      <c r="R239" s="20" t="n">
        <v>7</v>
      </c>
      <c r="S239" s="20" t="n">
        <v>0</v>
      </c>
    </row>
    <row r="240">
      <c r="A240" s="18" t="inlineStr">
        <is>
          <t>Compensation Received Ope CF</t>
        </is>
      </c>
      <c r="R240" s="20" t="n">
        <v>-39</v>
      </c>
      <c r="S240" s="20" t="n">
        <v>0</v>
      </c>
    </row>
    <row r="241">
      <c r="A241" s="18" t="inlineStr">
        <is>
          <t>대손충당금 증감</t>
        </is>
      </c>
      <c r="E241" s="20" t="n">
        <v>-5</v>
      </c>
      <c r="I241" s="20" t="n">
        <v>26</v>
      </c>
      <c r="M241" s="20" t="n">
        <v>14</v>
      </c>
      <c r="O241" s="20" t="n">
        <v>-48</v>
      </c>
      <c r="P241" s="20" t="n">
        <v>29</v>
      </c>
      <c r="Q241" s="20" t="n">
        <v>37</v>
      </c>
      <c r="R241" s="20" t="n">
        <v>-4</v>
      </c>
      <c r="S241" s="20" t="n">
        <v>6</v>
      </c>
      <c r="T241" s="20" t="n">
        <v>-31</v>
      </c>
      <c r="U241" s="20" t="n">
        <v>2</v>
      </c>
      <c r="V241" s="20" t="n">
        <v>-5</v>
      </c>
      <c r="W241" s="20" t="n">
        <v>26</v>
      </c>
      <c r="X241" s="20" t="n">
        <v>14</v>
      </c>
    </row>
    <row r="242">
      <c r="A242" s="18" t="inlineStr">
        <is>
          <t>상여충당금 증감</t>
        </is>
      </c>
      <c r="E242" s="20" t="n">
        <v>120</v>
      </c>
      <c r="I242" s="20" t="n">
        <v>-85</v>
      </c>
      <c r="M242" s="20" t="n">
        <v>176</v>
      </c>
      <c r="O242" s="20" t="n">
        <v>24</v>
      </c>
      <c r="P242" s="20" t="n">
        <v>-314</v>
      </c>
      <c r="Q242" s="20" t="n">
        <v>153</v>
      </c>
      <c r="R242" s="20" t="n">
        <v>-99</v>
      </c>
      <c r="S242" s="20" t="n">
        <v>-36</v>
      </c>
      <c r="T242" s="20" t="n">
        <v>20</v>
      </c>
      <c r="U242" s="20" t="n">
        <v>-29</v>
      </c>
      <c r="V242" s="20" t="n">
        <v>120</v>
      </c>
      <c r="W242" s="20" t="n">
        <v>-85</v>
      </c>
      <c r="X242" s="20" t="n">
        <v>176</v>
      </c>
    </row>
    <row r="243">
      <c r="A243" s="18" t="inlineStr">
        <is>
          <t>주식급여 충당금 증감</t>
        </is>
      </c>
      <c r="P243" s="20" t="n">
        <v>0</v>
      </c>
      <c r="Q243" s="20" t="n">
        <v>21</v>
      </c>
    </row>
    <row r="244">
      <c r="A244" s="18" t="inlineStr">
        <is>
          <t>수주손실 충당금 증감</t>
        </is>
      </c>
      <c r="E244" s="20" t="n">
        <v>0</v>
      </c>
      <c r="I244" s="20" t="n">
        <v>32</v>
      </c>
      <c r="M244" s="20" t="n">
        <v>-32</v>
      </c>
      <c r="V244" s="20" t="n">
        <v>0</v>
      </c>
      <c r="W244" s="20" t="n">
        <v>32</v>
      </c>
      <c r="X244" s="20" t="n">
        <v>-32</v>
      </c>
    </row>
    <row r="245">
      <c r="A245" s="18" t="inlineStr">
        <is>
          <t>퇴직급여부채 증감</t>
        </is>
      </c>
      <c r="E245" s="20" t="n">
        <v>86</v>
      </c>
      <c r="I245" s="20" t="n">
        <v>8</v>
      </c>
      <c r="M245" s="20" t="n">
        <v>-20</v>
      </c>
      <c r="O245" s="20" t="n">
        <v>-123</v>
      </c>
      <c r="P245" s="20" t="n">
        <v>-87</v>
      </c>
      <c r="Q245" s="20" t="n">
        <v>-116</v>
      </c>
      <c r="R245" s="20" t="n">
        <v>-48</v>
      </c>
      <c r="S245" s="20" t="n">
        <v>-207</v>
      </c>
      <c r="T245" s="20" t="n">
        <v>-147</v>
      </c>
      <c r="U245" s="20" t="n">
        <v>-163</v>
      </c>
      <c r="V245" s="20" t="n">
        <v>86</v>
      </c>
      <c r="W245" s="20" t="n">
        <v>8</v>
      </c>
      <c r="X245" s="20" t="n">
        <v>-20</v>
      </c>
    </row>
    <row r="246">
      <c r="A246" s="18" t="inlineStr">
        <is>
          <t>퇴직급여자산 증감</t>
        </is>
      </c>
      <c r="E246" s="20" t="n">
        <v>-284</v>
      </c>
      <c r="I246" s="20" t="n">
        <v>-120</v>
      </c>
      <c r="M246" s="20" t="n">
        <v>-85</v>
      </c>
      <c r="V246" s="20" t="n">
        <v>-284</v>
      </c>
      <c r="W246" s="20" t="n">
        <v>-120</v>
      </c>
      <c r="X246" s="20" t="n">
        <v>-85</v>
      </c>
    </row>
    <row r="247">
      <c r="A247" s="18" t="inlineStr">
        <is>
          <t>퇴직급여비용</t>
        </is>
      </c>
      <c r="E247" s="20" t="n">
        <v>-110</v>
      </c>
      <c r="I247" s="20" t="n">
        <v>-222</v>
      </c>
      <c r="M247" s="20" t="n">
        <v>-205</v>
      </c>
      <c r="V247" s="20" t="n">
        <v>-110</v>
      </c>
      <c r="W247" s="20" t="n">
        <v>-222</v>
      </c>
      <c r="X247" s="20" t="n">
        <v>-205</v>
      </c>
    </row>
    <row r="248">
      <c r="A248" s="18" t="inlineStr">
        <is>
          <t>주식급여 충당금 증감</t>
        </is>
      </c>
      <c r="E248" s="20" t="n">
        <v>20</v>
      </c>
      <c r="I248" s="20" t="n">
        <v>22</v>
      </c>
      <c r="M248" s="20" t="n">
        <v>10</v>
      </c>
      <c r="Q248" s="20" t="n">
        <v>21</v>
      </c>
      <c r="R248" s="20" t="n">
        <v>21</v>
      </c>
      <c r="S248" s="20" t="n">
        <v>2</v>
      </c>
      <c r="T248" s="20" t="n">
        <v>2</v>
      </c>
      <c r="U248" s="20" t="n">
        <v>19</v>
      </c>
      <c r="V248" s="20" t="n">
        <v>20</v>
      </c>
      <c r="W248" s="20" t="n">
        <v>22</v>
      </c>
      <c r="X248" s="20" t="n">
        <v>10</v>
      </c>
    </row>
    <row r="249">
      <c r="A249" s="18" t="inlineStr">
        <is>
          <t>이자·배당금 수익</t>
        </is>
      </c>
      <c r="E249" s="20" t="n">
        <v>-29</v>
      </c>
      <c r="I249" s="20" t="n">
        <v>-36</v>
      </c>
      <c r="M249" s="20" t="n">
        <v>-44</v>
      </c>
      <c r="O249" s="20" t="n">
        <v>-87</v>
      </c>
      <c r="P249" s="20" t="n">
        <v>-46</v>
      </c>
      <c r="Q249" s="20" t="n">
        <v>-34</v>
      </c>
      <c r="R249" s="20" t="n">
        <v>-38</v>
      </c>
      <c r="S249" s="20" t="n">
        <v>-24</v>
      </c>
      <c r="T249" s="20" t="n">
        <v>-24</v>
      </c>
      <c r="U249" s="20" t="n">
        <v>-25</v>
      </c>
      <c r="V249" s="20" t="n">
        <v>-29</v>
      </c>
      <c r="W249" s="20" t="n">
        <v>-36</v>
      </c>
      <c r="X249" s="20" t="n">
        <v>-44</v>
      </c>
    </row>
    <row r="250">
      <c r="A250" s="18" t="inlineStr">
        <is>
          <t>이자비용</t>
        </is>
      </c>
      <c r="E250" s="20" t="n">
        <v>41</v>
      </c>
      <c r="I250" s="20" t="n">
        <v>68</v>
      </c>
      <c r="M250" s="20" t="n">
        <v>148</v>
      </c>
      <c r="O250" s="20" t="n">
        <v>7</v>
      </c>
      <c r="P250" s="20" t="n">
        <v>11</v>
      </c>
      <c r="Q250" s="20" t="n">
        <v>18</v>
      </c>
      <c r="R250" s="20" t="n">
        <v>15</v>
      </c>
      <c r="S250" s="20" t="n">
        <v>9</v>
      </c>
      <c r="T250" s="20" t="n">
        <v>7</v>
      </c>
      <c r="U250" s="20" t="n">
        <v>12</v>
      </c>
      <c r="V250" s="20" t="n">
        <v>41</v>
      </c>
      <c r="W250" s="20" t="n">
        <v>68</v>
      </c>
      <c r="X250" s="20" t="n">
        <v>148</v>
      </c>
    </row>
    <row r="251">
      <c r="A251" s="18" t="inlineStr">
        <is>
          <t>지분법손익</t>
        </is>
      </c>
      <c r="E251" s="20" t="n">
        <v>-5</v>
      </c>
      <c r="I251" s="20" t="n">
        <v>-51</v>
      </c>
      <c r="M251" s="20" t="n">
        <v>-196</v>
      </c>
      <c r="O251" s="20" t="n">
        <v>-49</v>
      </c>
      <c r="P251" s="20" t="n">
        <v>-37</v>
      </c>
      <c r="Q251" s="20" t="n">
        <v>-49</v>
      </c>
      <c r="R251" s="20" t="n">
        <v>-16</v>
      </c>
      <c r="S251" s="20" t="n">
        <v>835</v>
      </c>
      <c r="T251" s="20" t="n">
        <v>-108</v>
      </c>
      <c r="U251" s="20" t="n">
        <v>82</v>
      </c>
      <c r="V251" s="20" t="n">
        <v>-5</v>
      </c>
      <c r="W251" s="20" t="n">
        <v>-51</v>
      </c>
      <c r="X251" s="20" t="n">
        <v>-196</v>
      </c>
    </row>
    <row r="252">
      <c r="A252" s="18" t="inlineStr">
        <is>
          <t>지분변동손익</t>
        </is>
      </c>
      <c r="O252" s="20" t="n">
        <v>4</v>
      </c>
      <c r="P252" s="20" t="n">
        <v>0</v>
      </c>
    </row>
    <row r="253">
      <c r="A253" s="18" t="inlineStr">
        <is>
          <t>매출채권 증감</t>
        </is>
      </c>
      <c r="E253" s="20" t="n">
        <v>-1588</v>
      </c>
      <c r="I253" s="20" t="n">
        <v>-646</v>
      </c>
      <c r="M253" s="20" t="n">
        <v>-6516</v>
      </c>
      <c r="O253" s="20" t="n">
        <v>-231</v>
      </c>
      <c r="P253" s="20" t="n">
        <v>-345</v>
      </c>
      <c r="Q253" s="20" t="n">
        <v>257</v>
      </c>
      <c r="R253" s="20" t="n">
        <v>-728</v>
      </c>
      <c r="S253" s="20" t="n">
        <v>821</v>
      </c>
      <c r="T253" s="20" t="n">
        <v>-544</v>
      </c>
      <c r="U253" s="20" t="n">
        <v>-2472</v>
      </c>
      <c r="V253" s="20" t="n">
        <v>-1588</v>
      </c>
      <c r="W253" s="20" t="n">
        <v>-646</v>
      </c>
      <c r="X253" s="20" t="n">
        <v>-6516</v>
      </c>
    </row>
    <row r="254">
      <c r="A254" s="18" t="inlineStr">
        <is>
          <t>재고자산 증감</t>
        </is>
      </c>
      <c r="E254" s="20" t="n">
        <v>-428</v>
      </c>
      <c r="I254" s="20" t="n">
        <v>-1606</v>
      </c>
      <c r="M254" s="20" t="n">
        <v>-5513</v>
      </c>
      <c r="O254" s="20" t="n">
        <v>-610</v>
      </c>
      <c r="P254" s="20" t="n">
        <v>902</v>
      </c>
      <c r="Q254" s="20" t="n">
        <v>-358</v>
      </c>
      <c r="R254" s="20" t="n">
        <v>-213</v>
      </c>
      <c r="S254" s="20" t="n">
        <v>-482</v>
      </c>
      <c r="T254" s="20" t="n">
        <v>102</v>
      </c>
      <c r="U254" s="20" t="n">
        <v>-6323</v>
      </c>
      <c r="V254" s="20" t="n">
        <v>-428</v>
      </c>
      <c r="W254" s="20" t="n">
        <v>-1606</v>
      </c>
      <c r="X254" s="20" t="n">
        <v>-5513</v>
      </c>
    </row>
    <row r="255">
      <c r="A255" s="18" t="inlineStr">
        <is>
          <t>미수 소비세 증감</t>
        </is>
      </c>
      <c r="E255" s="20" t="n">
        <v>540</v>
      </c>
      <c r="O255" s="20" t="n">
        <v>140</v>
      </c>
      <c r="P255" s="20" t="n">
        <v>-12</v>
      </c>
      <c r="Q255" s="20" t="n">
        <v>12</v>
      </c>
      <c r="R255" s="20" t="n">
        <v>0</v>
      </c>
      <c r="T255" s="20" t="n">
        <v>0</v>
      </c>
      <c r="U255" s="20" t="n">
        <v>-534</v>
      </c>
      <c r="V255" s="20" t="n">
        <v>540</v>
      </c>
    </row>
    <row r="256">
      <c r="A256" s="18" t="inlineStr">
        <is>
          <t>미수금 증감</t>
        </is>
      </c>
      <c r="E256" s="20" t="n">
        <v>540</v>
      </c>
      <c r="I256" s="20" t="n">
        <v>-334</v>
      </c>
      <c r="M256" s="20" t="n">
        <v>-143</v>
      </c>
      <c r="V256" s="20" t="n">
        <v>540</v>
      </c>
      <c r="W256" s="20" t="n">
        <v>-334</v>
      </c>
      <c r="X256" s="20" t="n">
        <v>-143</v>
      </c>
    </row>
    <row r="257">
      <c r="A257" s="18" t="inlineStr">
        <is>
          <t>매입채무 증감</t>
        </is>
      </c>
      <c r="E257" s="20" t="n">
        <v>-403</v>
      </c>
      <c r="I257" s="20" t="n">
        <v>366</v>
      </c>
      <c r="M257" s="20" t="n">
        <v>6525</v>
      </c>
      <c r="O257" s="20" t="n">
        <v>1706</v>
      </c>
      <c r="P257" s="20" t="n">
        <v>-2044</v>
      </c>
      <c r="Q257" s="20" t="n">
        <v>1370</v>
      </c>
      <c r="R257" s="20" t="n">
        <v>-89</v>
      </c>
      <c r="S257" s="20" t="n">
        <v>-506</v>
      </c>
      <c r="T257" s="20" t="n">
        <v>349</v>
      </c>
      <c r="U257" s="20" t="n">
        <v>5744</v>
      </c>
      <c r="V257" s="20" t="n">
        <v>-403</v>
      </c>
      <c r="W257" s="20" t="n">
        <v>366</v>
      </c>
      <c r="X257" s="20" t="n">
        <v>6525</v>
      </c>
    </row>
    <row r="258">
      <c r="A258" s="18" t="inlineStr">
        <is>
          <t>미지급금 증감</t>
        </is>
      </c>
      <c r="E258" s="20" t="n">
        <v>437</v>
      </c>
      <c r="I258" s="20" t="n">
        <v>-84</v>
      </c>
      <c r="M258" s="20" t="n">
        <v>202</v>
      </c>
      <c r="O258" s="20" t="n">
        <v>152</v>
      </c>
      <c r="P258" s="20" t="n">
        <v>44</v>
      </c>
      <c r="Q258" s="20" t="n">
        <v>3</v>
      </c>
      <c r="R258" s="20" t="n">
        <v>219</v>
      </c>
      <c r="S258" s="20" t="n">
        <v>673</v>
      </c>
      <c r="T258" s="20" t="n">
        <v>-636</v>
      </c>
      <c r="U258" s="20" t="n">
        <v>-175</v>
      </c>
      <c r="V258" s="20" t="n">
        <v>437</v>
      </c>
      <c r="W258" s="20" t="n">
        <v>-84</v>
      </c>
      <c r="X258" s="20" t="n">
        <v>202</v>
      </c>
    </row>
    <row r="259">
      <c r="A259" s="18" t="inlineStr">
        <is>
          <t>미지급 소비세 증감</t>
        </is>
      </c>
      <c r="E259" s="20" t="n">
        <v>333</v>
      </c>
      <c r="I259" s="20" t="n">
        <v>-348</v>
      </c>
      <c r="M259" s="20" t="n">
        <v>13</v>
      </c>
      <c r="O259" s="20" t="n">
        <v>353</v>
      </c>
      <c r="P259" s="20" t="n">
        <v>-222</v>
      </c>
      <c r="Q259" s="20" t="n">
        <v>-26</v>
      </c>
      <c r="R259" s="20" t="n">
        <v>-48</v>
      </c>
      <c r="S259" s="20" t="n">
        <v>106</v>
      </c>
      <c r="T259" s="20" t="n">
        <v>0</v>
      </c>
      <c r="U259" s="20" t="n">
        <v>-187</v>
      </c>
      <c r="V259" s="20" t="n">
        <v>333</v>
      </c>
      <c r="W259" s="20" t="n">
        <v>-348</v>
      </c>
      <c r="X259" s="20" t="n">
        <v>13</v>
      </c>
    </row>
    <row r="260">
      <c r="A260" s="18" t="inlineStr">
        <is>
          <t>기타</t>
        </is>
      </c>
      <c r="E260" s="20" t="n">
        <v>381</v>
      </c>
      <c r="I260" s="20" t="n">
        <v>265</v>
      </c>
      <c r="M260" s="20" t="n">
        <v>136</v>
      </c>
      <c r="O260" s="20" t="n">
        <v>94</v>
      </c>
      <c r="P260" s="20" t="n">
        <v>-47</v>
      </c>
      <c r="Q260" s="20" t="n">
        <v>218</v>
      </c>
      <c r="R260" s="20" t="n">
        <v>54</v>
      </c>
      <c r="S260" s="20" t="n">
        <v>-136</v>
      </c>
      <c r="T260" s="20" t="n">
        <v>-15</v>
      </c>
      <c r="U260" s="20" t="n">
        <v>-87</v>
      </c>
      <c r="V260" s="20" t="n">
        <v>381</v>
      </c>
      <c r="W260" s="20" t="n">
        <v>265</v>
      </c>
      <c r="X260" s="20" t="n">
        <v>136</v>
      </c>
    </row>
    <row r="261">
      <c r="A261" s="18" t="inlineStr">
        <is>
          <t>소계</t>
        </is>
      </c>
      <c r="E261" s="20" t="n">
        <v>615</v>
      </c>
      <c r="I261" s="20" t="n">
        <v>-1060</v>
      </c>
      <c r="M261" s="20" t="n">
        <v>-3040</v>
      </c>
      <c r="O261" s="20" t="n">
        <v>4127</v>
      </c>
      <c r="P261" s="20" t="n">
        <v>-466</v>
      </c>
      <c r="Q261" s="20" t="n">
        <v>3319</v>
      </c>
      <c r="R261" s="20" t="n">
        <v>833</v>
      </c>
      <c r="S261" s="20" t="n">
        <v>-1046</v>
      </c>
      <c r="T261" s="20" t="n">
        <v>592</v>
      </c>
      <c r="U261" s="20" t="n">
        <v>-2897</v>
      </c>
      <c r="V261" s="20" t="n">
        <v>615</v>
      </c>
      <c r="W261" s="20" t="n">
        <v>-1060</v>
      </c>
      <c r="X261" s="20" t="n">
        <v>-3040</v>
      </c>
    </row>
    <row r="262">
      <c r="A262" s="18" t="inlineStr">
        <is>
          <t>이자·배당금 수취</t>
        </is>
      </c>
      <c r="E262" s="20" t="n">
        <v>24</v>
      </c>
      <c r="I262" s="20" t="n">
        <v>30</v>
      </c>
      <c r="M262" s="20" t="n">
        <v>34</v>
      </c>
      <c r="O262" s="20" t="n">
        <v>78</v>
      </c>
      <c r="P262" s="20" t="n">
        <v>35</v>
      </c>
      <c r="Q262" s="20" t="n">
        <v>28</v>
      </c>
      <c r="R262" s="20" t="n">
        <v>33</v>
      </c>
      <c r="S262" s="20" t="n">
        <v>20</v>
      </c>
      <c r="T262" s="20" t="n">
        <v>20</v>
      </c>
      <c r="U262" s="20" t="n">
        <v>25</v>
      </c>
      <c r="V262" s="20" t="n">
        <v>24</v>
      </c>
      <c r="W262" s="20" t="n">
        <v>30</v>
      </c>
      <c r="X262" s="20" t="n">
        <v>34</v>
      </c>
    </row>
    <row r="263">
      <c r="A263" s="18" t="inlineStr">
        <is>
          <t>Gains From Compensation Ope CF</t>
        </is>
      </c>
      <c r="Q263" s="20" t="n">
        <v>0</v>
      </c>
      <c r="R263" s="20" t="n">
        <v>39</v>
      </c>
      <c r="S263" s="20" t="n">
        <v>0</v>
      </c>
    </row>
    <row r="264">
      <c r="A264" s="18" t="inlineStr">
        <is>
          <t>보조금 수취</t>
        </is>
      </c>
      <c r="E264" s="20" t="n">
        <v>0</v>
      </c>
      <c r="S264" s="20" t="n">
        <v>54</v>
      </c>
      <c r="T264" s="20" t="n">
        <v>369</v>
      </c>
      <c r="U264" s="20" t="n">
        <v>63</v>
      </c>
      <c r="V264" s="20" t="n">
        <v>0</v>
      </c>
    </row>
    <row r="265">
      <c r="A265" s="18" t="inlineStr">
        <is>
          <t>지분법 적용 회사로부터의 배당금 수령액</t>
        </is>
      </c>
      <c r="E265" s="20" t="n">
        <v>11</v>
      </c>
      <c r="I265" s="20" t="n">
        <v>6</v>
      </c>
      <c r="M265" s="20" t="n">
        <v>14</v>
      </c>
      <c r="O265" s="20" t="n">
        <v>17</v>
      </c>
      <c r="P265" s="20" t="n">
        <v>18</v>
      </c>
      <c r="Q265" s="20" t="n">
        <v>29</v>
      </c>
      <c r="R265" s="20" t="n">
        <v>29</v>
      </c>
      <c r="S265" s="20" t="n">
        <v>29</v>
      </c>
      <c r="T265" s="20" t="n">
        <v>0</v>
      </c>
      <c r="U265" s="20" t="n">
        <v>6</v>
      </c>
      <c r="V265" s="20" t="n">
        <v>11</v>
      </c>
      <c r="W265" s="20" t="n">
        <v>6</v>
      </c>
      <c r="X265" s="20" t="n">
        <v>14</v>
      </c>
    </row>
    <row r="266">
      <c r="A266" s="18" t="inlineStr">
        <is>
          <t>이자 지급</t>
        </is>
      </c>
      <c r="E266" s="20" t="n">
        <v>-42</v>
      </c>
      <c r="I266" s="20" t="n">
        <v>-68</v>
      </c>
      <c r="M266" s="20" t="n">
        <v>-144</v>
      </c>
      <c r="O266" s="20" t="n">
        <v>-7</v>
      </c>
      <c r="P266" s="20" t="n">
        <v>-11</v>
      </c>
      <c r="Q266" s="20" t="n">
        <v>-17</v>
      </c>
      <c r="R266" s="20" t="n">
        <v>-13</v>
      </c>
      <c r="S266" s="20" t="n">
        <v>-7</v>
      </c>
      <c r="T266" s="20" t="n">
        <v>-7</v>
      </c>
      <c r="U266" s="20" t="n">
        <v>-12</v>
      </c>
      <c r="V266" s="20" t="n">
        <v>-42</v>
      </c>
      <c r="W266" s="20" t="n">
        <v>-68</v>
      </c>
      <c r="X266" s="20" t="n">
        <v>-144</v>
      </c>
    </row>
    <row r="267">
      <c r="A267" s="18" t="inlineStr">
        <is>
          <t>보조금 수취</t>
        </is>
      </c>
      <c r="O267" s="20" t="n">
        <v>33</v>
      </c>
      <c r="P267" s="20" t="n">
        <v>0</v>
      </c>
    </row>
    <row r="268">
      <c r="A268" s="18" t="inlineStr">
        <is>
          <t>Payment Of Cancellation Penalty Free Ope CF</t>
        </is>
      </c>
      <c r="R268" s="20" t="n">
        <v>0</v>
      </c>
      <c r="S268" s="20" t="n">
        <v>-9</v>
      </c>
      <c r="T268" s="20" t="n">
        <v>-4</v>
      </c>
      <c r="U268" s="20" t="n">
        <v>0</v>
      </c>
    </row>
    <row r="269">
      <c r="A269" s="18" t="inlineStr">
        <is>
          <t>재해손실 지급</t>
        </is>
      </c>
      <c r="O269" s="20" t="n">
        <v>-4</v>
      </c>
      <c r="P269" s="20" t="n">
        <v>0</v>
      </c>
      <c r="Q269" s="20" t="n">
        <v>-2</v>
      </c>
      <c r="R269" s="20" t="n">
        <v>-7</v>
      </c>
      <c r="S269" s="20" t="n">
        <v>0</v>
      </c>
    </row>
    <row r="270">
      <c r="A270" s="18" t="inlineStr">
        <is>
          <t>법인세 납부</t>
        </is>
      </c>
      <c r="E270" s="20" t="n">
        <v>-140</v>
      </c>
      <c r="I270" s="20" t="n">
        <v>-261</v>
      </c>
      <c r="M270" s="20" t="n">
        <v>-252</v>
      </c>
      <c r="O270" s="20" t="n">
        <v>-890</v>
      </c>
      <c r="P270" s="20" t="n">
        <v>-619</v>
      </c>
      <c r="Q270" s="20" t="n">
        <v>-201</v>
      </c>
      <c r="R270" s="20" t="n">
        <v>-424</v>
      </c>
      <c r="S270" s="20" t="n">
        <v>-222</v>
      </c>
      <c r="T270" s="20" t="n">
        <v>-232</v>
      </c>
      <c r="U270" s="20" t="n">
        <v>-282</v>
      </c>
      <c r="V270" s="20" t="n">
        <v>-140</v>
      </c>
      <c r="W270" s="20" t="n">
        <v>-261</v>
      </c>
      <c r="X270" s="20" t="n">
        <v>-252</v>
      </c>
    </row>
    <row r="271">
      <c r="A271" s="18" t="inlineStr">
        <is>
          <t>법인세 환급</t>
        </is>
      </c>
      <c r="E271" s="20" t="n">
        <v>12</v>
      </c>
      <c r="I271" s="20" t="n">
        <v>0</v>
      </c>
      <c r="M271" s="20" t="n">
        <v>5</v>
      </c>
      <c r="O271" s="20" t="n">
        <v>10</v>
      </c>
      <c r="P271" s="20" t="n">
        <v>2</v>
      </c>
      <c r="Q271" s="20" t="n">
        <v>102</v>
      </c>
      <c r="R271" s="20" t="n">
        <v>20</v>
      </c>
      <c r="S271" s="20" t="n">
        <v>-11</v>
      </c>
      <c r="T271" s="20" t="n">
        <v>124</v>
      </c>
      <c r="U271" s="20" t="n">
        <v>0</v>
      </c>
      <c r="V271" s="20" t="n">
        <v>12</v>
      </c>
      <c r="W271" s="20" t="n">
        <v>0</v>
      </c>
      <c r="X271" s="20" t="n">
        <v>5</v>
      </c>
    </row>
    <row r="272">
      <c r="A272" s="18" t="inlineStr">
        <is>
          <t>기타</t>
        </is>
      </c>
      <c r="I272" s="20" t="n">
        <v>0</v>
      </c>
      <c r="M272" s="20" t="n">
        <v>2</v>
      </c>
      <c r="W272" s="20" t="n">
        <v>0</v>
      </c>
      <c r="X272" s="20" t="n">
        <v>2</v>
      </c>
    </row>
    <row r="273">
      <c r="A273" s="9" t="inlineStr">
        <is>
          <t>영업활동 현금흐름</t>
        </is>
      </c>
      <c r="E273" s="12" t="n">
        <v>481</v>
      </c>
      <c r="I273" s="12" t="n">
        <v>-1353</v>
      </c>
      <c r="M273" s="12" t="n">
        <v>-3380</v>
      </c>
      <c r="O273" s="12" t="n">
        <v>3363</v>
      </c>
      <c r="P273" s="12" t="n">
        <v>-1041</v>
      </c>
      <c r="Q273" s="12" t="n">
        <v>3257</v>
      </c>
      <c r="R273" s="12" t="n">
        <v>510</v>
      </c>
      <c r="S273" s="12" t="n">
        <v>-1193</v>
      </c>
      <c r="T273" s="12" t="n">
        <v>861</v>
      </c>
      <c r="U273" s="12" t="n">
        <v>-3095</v>
      </c>
      <c r="V273" s="12" t="n">
        <v>481</v>
      </c>
      <c r="W273" s="12" t="n">
        <v>-1353</v>
      </c>
      <c r="X273" s="12" t="n">
        <v>-3380</v>
      </c>
    </row>
    <row r="274">
      <c r="A274" s="18" t="inlineStr">
        <is>
          <t>유가증권 취득</t>
        </is>
      </c>
      <c r="O274" s="20" t="n">
        <v>-4000</v>
      </c>
      <c r="P274" s="20" t="n">
        <v>-2000</v>
      </c>
      <c r="Q274" s="20" t="n">
        <v>0</v>
      </c>
    </row>
    <row r="275">
      <c r="A275" s="18" t="inlineStr">
        <is>
          <t>유가증권 상환 수입</t>
        </is>
      </c>
      <c r="O275" s="20" t="n">
        <v>2300</v>
      </c>
      <c r="P275" s="20" t="n">
        <v>4000</v>
      </c>
      <c r="Q275" s="20" t="n">
        <v>0</v>
      </c>
    </row>
    <row r="276">
      <c r="A276" s="18" t="inlineStr">
        <is>
          <t>투자유가증권 취득</t>
        </is>
      </c>
      <c r="E276" s="20" t="n">
        <v>-626</v>
      </c>
      <c r="I276" s="20" t="n">
        <v>-21</v>
      </c>
      <c r="M276" s="20" t="n">
        <v>-127</v>
      </c>
      <c r="O276" s="20" t="n">
        <v>-38</v>
      </c>
      <c r="P276" s="20" t="n">
        <v>-41</v>
      </c>
      <c r="Q276" s="20" t="n">
        <v>-354</v>
      </c>
      <c r="R276" s="20" t="n">
        <v>-136</v>
      </c>
      <c r="S276" s="20" t="n">
        <v>-14</v>
      </c>
      <c r="T276" s="20" t="n">
        <v>0</v>
      </c>
      <c r="U276" s="20" t="n">
        <v>0</v>
      </c>
      <c r="V276" s="20" t="n">
        <v>-626</v>
      </c>
      <c r="W276" s="20" t="n">
        <v>-21</v>
      </c>
      <c r="X276" s="20" t="n">
        <v>-127</v>
      </c>
    </row>
    <row r="277">
      <c r="A277" s="18" t="inlineStr">
        <is>
          <t>투자유가증권 매각·상환 수입</t>
        </is>
      </c>
      <c r="E277" s="20" t="n">
        <v>14</v>
      </c>
      <c r="I277" s="20" t="n">
        <v>13</v>
      </c>
      <c r="M277" s="20" t="n">
        <v>0</v>
      </c>
      <c r="O277" s="20" t="n">
        <v>670</v>
      </c>
      <c r="P277" s="20" t="n">
        <v>899</v>
      </c>
      <c r="Q277" s="20" t="n">
        <v>838</v>
      </c>
      <c r="R277" s="20" t="n">
        <v>956</v>
      </c>
      <c r="S277" s="20" t="n">
        <v>155</v>
      </c>
      <c r="T277" s="20" t="n">
        <v>93</v>
      </c>
      <c r="U277" s="20" t="n">
        <v>0</v>
      </c>
      <c r="V277" s="20" t="n">
        <v>14</v>
      </c>
      <c r="W277" s="20" t="n">
        <v>13</v>
      </c>
      <c r="X277" s="20" t="n">
        <v>0</v>
      </c>
    </row>
    <row r="278">
      <c r="A278" s="18" t="inlineStr">
        <is>
          <t>유형자산 취득(설비투자)</t>
        </is>
      </c>
      <c r="E278" s="20" t="n">
        <v>-970</v>
      </c>
      <c r="I278" s="20" t="n">
        <v>-848</v>
      </c>
      <c r="M278" s="20" t="n">
        <v>-1665</v>
      </c>
      <c r="O278" s="20" t="n">
        <v>-1107</v>
      </c>
      <c r="P278" s="20" t="n">
        <v>-726</v>
      </c>
      <c r="Q278" s="20" t="n">
        <v>-810</v>
      </c>
      <c r="R278" s="20" t="n">
        <v>-470</v>
      </c>
      <c r="S278" s="20" t="n">
        <v>-448</v>
      </c>
      <c r="T278" s="20" t="n">
        <v>-460</v>
      </c>
      <c r="U278" s="20" t="n">
        <v>-774</v>
      </c>
      <c r="V278" s="20" t="n">
        <v>-970</v>
      </c>
      <c r="W278" s="20" t="n">
        <v>-848</v>
      </c>
      <c r="X278" s="20" t="n">
        <v>-1665</v>
      </c>
    </row>
    <row r="279">
      <c r="A279" s="18" t="inlineStr">
        <is>
          <t>유형자산 매각</t>
        </is>
      </c>
      <c r="E279" s="20" t="n">
        <v>87</v>
      </c>
      <c r="I279" s="20" t="n">
        <v>0</v>
      </c>
      <c r="O279" s="20" t="n">
        <v>54</v>
      </c>
      <c r="P279" s="20" t="n">
        <v>5</v>
      </c>
      <c r="Q279" s="20" t="n">
        <v>102</v>
      </c>
      <c r="R279" s="20" t="n">
        <v>832</v>
      </c>
      <c r="S279" s="20" t="n">
        <v>0</v>
      </c>
      <c r="T279" s="20" t="n">
        <v>14</v>
      </c>
      <c r="U279" s="20" t="n">
        <v>22</v>
      </c>
      <c r="V279" s="20" t="n">
        <v>87</v>
      </c>
      <c r="W279" s="20" t="n">
        <v>0</v>
      </c>
    </row>
    <row r="280">
      <c r="A280" s="18" t="inlineStr">
        <is>
          <t>무형자산 취득</t>
        </is>
      </c>
      <c r="E280" s="20" t="n">
        <v>-195</v>
      </c>
      <c r="I280" s="20" t="n">
        <v>-202</v>
      </c>
      <c r="M280" s="20" t="n">
        <v>-75</v>
      </c>
      <c r="O280" s="20" t="n">
        <v>-62</v>
      </c>
      <c r="P280" s="20" t="n">
        <v>-43</v>
      </c>
      <c r="Q280" s="20" t="n">
        <v>-95</v>
      </c>
      <c r="R280" s="20" t="n">
        <v>-72</v>
      </c>
      <c r="S280" s="20" t="n">
        <v>-16</v>
      </c>
      <c r="T280" s="20" t="n">
        <v>-469</v>
      </c>
      <c r="U280" s="20" t="n">
        <v>-267</v>
      </c>
      <c r="V280" s="20" t="n">
        <v>-195</v>
      </c>
      <c r="W280" s="20" t="n">
        <v>-202</v>
      </c>
      <c r="X280" s="20" t="n">
        <v>-75</v>
      </c>
    </row>
    <row r="281">
      <c r="A281" s="18" t="inlineStr">
        <is>
          <t>연결범위 변경 자회사 주식 취득</t>
        </is>
      </c>
      <c r="I281" s="20" t="n">
        <v>0</v>
      </c>
      <c r="M281" s="20" t="n">
        <v>-3549</v>
      </c>
      <c r="P281" s="20" t="n">
        <v>0</v>
      </c>
      <c r="Q281" s="20" t="n">
        <v>-389</v>
      </c>
      <c r="R281" s="20" t="n">
        <v>0</v>
      </c>
      <c r="W281" s="20" t="n">
        <v>0</v>
      </c>
      <c r="X281" s="20" t="n">
        <v>-3549</v>
      </c>
    </row>
    <row r="282">
      <c r="A282" s="18" t="inlineStr">
        <is>
          <t>관계회사 주식 취득</t>
        </is>
      </c>
      <c r="O282" s="20" t="n">
        <v>0</v>
      </c>
      <c r="P282" s="20" t="n">
        <v>-671</v>
      </c>
      <c r="Q282" s="20" t="n">
        <v>-9</v>
      </c>
      <c r="R282" s="20" t="n">
        <v>0</v>
      </c>
    </row>
    <row r="283">
      <c r="A283" s="18" t="inlineStr">
        <is>
          <t>보조금 수취</t>
        </is>
      </c>
      <c r="I283" s="20" t="n">
        <v>0</v>
      </c>
      <c r="M283" s="20" t="n">
        <v>218</v>
      </c>
      <c r="W283" s="20" t="n">
        <v>0</v>
      </c>
      <c r="X283" s="20" t="n">
        <v>218</v>
      </c>
    </row>
    <row r="284">
      <c r="A284" s="18" t="inlineStr">
        <is>
          <t>기타</t>
        </is>
      </c>
      <c r="E284" s="20" t="n">
        <v>2</v>
      </c>
      <c r="I284" s="20" t="n">
        <v>-12</v>
      </c>
      <c r="M284" s="20" t="n">
        <v>-58</v>
      </c>
      <c r="O284" s="20" t="n">
        <v>-3</v>
      </c>
      <c r="P284" s="20" t="n">
        <v>48</v>
      </c>
      <c r="Q284" s="20" t="n">
        <v>-93</v>
      </c>
      <c r="R284" s="20" t="n">
        <v>88</v>
      </c>
      <c r="S284" s="20" t="n">
        <v>-72</v>
      </c>
      <c r="T284" s="20" t="n">
        <v>95</v>
      </c>
      <c r="U284" s="20" t="n">
        <v>45</v>
      </c>
      <c r="V284" s="20" t="n">
        <v>2</v>
      </c>
      <c r="W284" s="20" t="n">
        <v>-12</v>
      </c>
      <c r="X284" s="20" t="n">
        <v>-58</v>
      </c>
    </row>
    <row r="285">
      <c r="A285" s="9" t="inlineStr">
        <is>
          <t>투자활동 현금흐름</t>
        </is>
      </c>
      <c r="E285" s="12" t="n">
        <v>-1689</v>
      </c>
      <c r="I285" s="12" t="n">
        <v>-1070</v>
      </c>
      <c r="M285" s="12" t="n">
        <v>-5258</v>
      </c>
      <c r="O285" s="12" t="n">
        <v>-2186</v>
      </c>
      <c r="P285" s="12" t="n">
        <v>1470</v>
      </c>
      <c r="Q285" s="12" t="n">
        <v>-810</v>
      </c>
      <c r="R285" s="12" t="n">
        <v>1198</v>
      </c>
      <c r="S285" s="12" t="n">
        <v>-396</v>
      </c>
      <c r="T285" s="12" t="n">
        <v>-727</v>
      </c>
      <c r="U285" s="12" t="n">
        <v>-973</v>
      </c>
      <c r="V285" s="12" t="n">
        <v>-1689</v>
      </c>
      <c r="W285" s="12" t="n">
        <v>-1070</v>
      </c>
      <c r="X285" s="12" t="n">
        <v>-5258</v>
      </c>
    </row>
    <row r="286">
      <c r="A286" s="18" t="inlineStr">
        <is>
          <t>단기차입</t>
        </is>
      </c>
      <c r="O286" s="20" t="n">
        <v>244</v>
      </c>
      <c r="P286" s="20" t="n">
        <v>230</v>
      </c>
      <c r="Q286" s="20" t="n">
        <v>429</v>
      </c>
    </row>
    <row r="287">
      <c r="A287" s="18" t="inlineStr">
        <is>
          <t>단기차입금 상환</t>
        </is>
      </c>
      <c r="O287" s="20" t="n">
        <v>-159</v>
      </c>
      <c r="P287" s="20" t="n">
        <v>-201</v>
      </c>
      <c r="Q287" s="20" t="n">
        <v>-177</v>
      </c>
    </row>
    <row r="288">
      <c r="A288" s="18" t="inlineStr">
        <is>
          <t>장기차입</t>
        </is>
      </c>
      <c r="O288" s="20" t="n">
        <v>200</v>
      </c>
      <c r="P288" s="20" t="n">
        <v>400</v>
      </c>
      <c r="Q288" s="20" t="n">
        <v>0</v>
      </c>
    </row>
    <row r="289">
      <c r="A289" s="18" t="inlineStr">
        <is>
          <t>단기차입금 순증감</t>
        </is>
      </c>
      <c r="E289" s="20" t="n">
        <v>2147</v>
      </c>
      <c r="I289" s="20" t="n">
        <v>2874</v>
      </c>
      <c r="M289" s="20" t="n">
        <v>8996</v>
      </c>
      <c r="Q289" s="20" t="n">
        <v>251</v>
      </c>
      <c r="R289" s="20" t="n">
        <v>14</v>
      </c>
      <c r="S289" s="20" t="n">
        <v>-325</v>
      </c>
      <c r="T289" s="20" t="n">
        <v>-9</v>
      </c>
      <c r="U289" s="20" t="n">
        <v>3141</v>
      </c>
      <c r="V289" s="20" t="n">
        <v>2147</v>
      </c>
      <c r="W289" s="20" t="n">
        <v>2874</v>
      </c>
      <c r="X289" s="20" t="n">
        <v>8996</v>
      </c>
    </row>
    <row r="290">
      <c r="A290" s="18" t="inlineStr">
        <is>
          <t>장기차입금 상환</t>
        </is>
      </c>
      <c r="E290" s="20" t="n">
        <v>0</v>
      </c>
      <c r="I290" s="20" t="n">
        <v>0</v>
      </c>
      <c r="M290" s="20" t="n">
        <v>-27</v>
      </c>
      <c r="O290" s="20" t="n">
        <v>-69</v>
      </c>
      <c r="P290" s="20" t="n">
        <v>-166</v>
      </c>
      <c r="Q290" s="20" t="n">
        <v>-150</v>
      </c>
      <c r="R290" s="20" t="n">
        <v>-139</v>
      </c>
      <c r="S290" s="20" t="n">
        <v>-137</v>
      </c>
      <c r="T290" s="20" t="n">
        <v>-98</v>
      </c>
      <c r="U290" s="20" t="n">
        <v>-38</v>
      </c>
      <c r="V290" s="20" t="n">
        <v>0</v>
      </c>
      <c r="W290" s="20" t="n">
        <v>0</v>
      </c>
      <c r="X290" s="20" t="n">
        <v>-27</v>
      </c>
    </row>
    <row r="291">
      <c r="A291" s="18" t="inlineStr">
        <is>
          <t>자기주식 취득</t>
        </is>
      </c>
      <c r="O291" s="20" t="n">
        <v>-0</v>
      </c>
      <c r="P291" s="20" t="n">
        <v>-1632</v>
      </c>
      <c r="Q291" s="20" t="n">
        <v>-588</v>
      </c>
      <c r="R291" s="20" t="n">
        <v>-0</v>
      </c>
      <c r="S291" s="20" t="n">
        <v>-0</v>
      </c>
      <c r="T291" s="20" t="n">
        <v>0</v>
      </c>
      <c r="U291" s="20" t="n">
        <v>2</v>
      </c>
    </row>
    <row r="292">
      <c r="A292" s="18" t="inlineStr">
        <is>
          <t>자기주식 처분</t>
        </is>
      </c>
      <c r="P292" s="20" t="n">
        <v>0</v>
      </c>
      <c r="Q292" s="20" t="n">
        <v>588</v>
      </c>
      <c r="R292" s="20" t="n">
        <v>0</v>
      </c>
      <c r="S292" s="20" t="n">
        <v>0</v>
      </c>
    </row>
    <row r="293">
      <c r="A293" s="18" t="inlineStr">
        <is>
          <t>배당금 지급</t>
        </is>
      </c>
      <c r="E293" s="20" t="n">
        <v>-260</v>
      </c>
      <c r="I293" s="20" t="n">
        <v>-238</v>
      </c>
      <c r="M293" s="20" t="n">
        <v>-260</v>
      </c>
      <c r="O293" s="20" t="n">
        <v>-400</v>
      </c>
      <c r="P293" s="20" t="n">
        <v>-402</v>
      </c>
      <c r="Q293" s="20" t="n">
        <v>-387</v>
      </c>
      <c r="R293" s="20" t="n">
        <v>-390</v>
      </c>
      <c r="S293" s="20" t="n">
        <v>-238</v>
      </c>
      <c r="T293" s="20" t="n">
        <v>-216</v>
      </c>
      <c r="U293" s="20" t="n">
        <v>-217</v>
      </c>
      <c r="V293" s="20" t="n">
        <v>-260</v>
      </c>
      <c r="W293" s="20" t="n">
        <v>-238</v>
      </c>
      <c r="X293" s="20" t="n">
        <v>-260</v>
      </c>
    </row>
    <row r="294">
      <c r="A294" s="18" t="inlineStr">
        <is>
          <t>연결범위 변경 없는 자회사 주식 취득</t>
        </is>
      </c>
      <c r="E294" s="20" t="n">
        <v>-23</v>
      </c>
      <c r="U294" s="20" t="n">
        <v>0</v>
      </c>
      <c r="V294" s="20" t="n">
        <v>-23</v>
      </c>
    </row>
    <row r="295">
      <c r="A295" s="18" t="inlineStr">
        <is>
          <t>리스부채 상환</t>
        </is>
      </c>
      <c r="E295" s="20" t="n">
        <v>-124</v>
      </c>
      <c r="I295" s="20" t="n">
        <v>-85</v>
      </c>
      <c r="M295" s="20" t="n">
        <v>-132</v>
      </c>
      <c r="P295" s="20" t="n">
        <v>-76</v>
      </c>
      <c r="Q295" s="20" t="n">
        <v>-180</v>
      </c>
      <c r="R295" s="20" t="n">
        <v>-160</v>
      </c>
      <c r="S295" s="20" t="n">
        <v>-207</v>
      </c>
      <c r="T295" s="20" t="n">
        <v>-155</v>
      </c>
      <c r="U295" s="20" t="n">
        <v>-119</v>
      </c>
      <c r="V295" s="20" t="n">
        <v>-124</v>
      </c>
      <c r="W295" s="20" t="n">
        <v>-85</v>
      </c>
      <c r="X295" s="20" t="n">
        <v>-132</v>
      </c>
    </row>
    <row r="296">
      <c r="A296" s="18" t="inlineStr">
        <is>
          <t>세일앤리스백 수입</t>
        </is>
      </c>
      <c r="E296" s="20" t="n">
        <v>0</v>
      </c>
      <c r="I296" s="20" t="n">
        <v>277</v>
      </c>
      <c r="M296" s="20" t="n">
        <v>261</v>
      </c>
      <c r="V296" s="20" t="n">
        <v>0</v>
      </c>
      <c r="W296" s="20" t="n">
        <v>277</v>
      </c>
      <c r="X296" s="20" t="n">
        <v>261</v>
      </c>
    </row>
    <row r="297">
      <c r="A297" s="18" t="inlineStr">
        <is>
          <t>기타</t>
        </is>
      </c>
      <c r="E297" s="20" t="n">
        <v>-21</v>
      </c>
      <c r="I297" s="20" t="n">
        <v>-0</v>
      </c>
      <c r="M297" s="20" t="n">
        <v>-3</v>
      </c>
      <c r="O297" s="20" t="n">
        <v>-85</v>
      </c>
      <c r="P297" s="20" t="n">
        <v>-10</v>
      </c>
      <c r="Q297" s="20" t="n">
        <v>-24</v>
      </c>
      <c r="R297" s="20" t="n">
        <v>0</v>
      </c>
      <c r="S297" s="20" t="n">
        <v>0</v>
      </c>
      <c r="T297" s="20" t="n">
        <v>12</v>
      </c>
      <c r="U297" s="20" t="n">
        <v>-9</v>
      </c>
      <c r="V297" s="20" t="n">
        <v>-21</v>
      </c>
      <c r="W297" s="20" t="n">
        <v>-0</v>
      </c>
      <c r="X297" s="20" t="n">
        <v>-3</v>
      </c>
    </row>
    <row r="298">
      <c r="A298" s="9" t="inlineStr">
        <is>
          <t>재무활동 현금흐름</t>
        </is>
      </c>
      <c r="E298" s="12" t="n">
        <v>1741</v>
      </c>
      <c r="I298" s="12" t="n">
        <v>2827</v>
      </c>
      <c r="M298" s="12" t="n">
        <v>8834</v>
      </c>
      <c r="O298" s="12" t="n">
        <v>-270</v>
      </c>
      <c r="P298" s="12" t="n">
        <v>-1858</v>
      </c>
      <c r="Q298" s="12" t="n">
        <v>-492</v>
      </c>
      <c r="R298" s="12" t="n">
        <v>-674</v>
      </c>
      <c r="S298" s="12" t="n">
        <v>-908</v>
      </c>
      <c r="T298" s="12" t="n">
        <v>-466</v>
      </c>
      <c r="U298" s="12" t="n">
        <v>2757</v>
      </c>
      <c r="V298" s="12" t="n">
        <v>1741</v>
      </c>
      <c r="W298" s="12" t="n">
        <v>2827</v>
      </c>
      <c r="X298" s="12" t="n">
        <v>8834</v>
      </c>
    </row>
    <row r="299">
      <c r="A299" s="18" t="inlineStr">
        <is>
          <t>현금성자산 환산차이</t>
        </is>
      </c>
      <c r="E299" s="20" t="n">
        <v>13</v>
      </c>
      <c r="I299" s="20" t="n">
        <v>8</v>
      </c>
      <c r="M299" s="20" t="n">
        <v>4</v>
      </c>
      <c r="O299" s="20" t="n">
        <v>-2</v>
      </c>
      <c r="P299" s="20" t="n">
        <v>-0</v>
      </c>
      <c r="Q299" s="20" t="n">
        <v>-6</v>
      </c>
      <c r="R299" s="20" t="n">
        <v>1</v>
      </c>
      <c r="S299" s="20" t="n">
        <v>-5</v>
      </c>
      <c r="T299" s="20" t="n">
        <v>18</v>
      </c>
      <c r="U299" s="20" t="n">
        <v>-10</v>
      </c>
      <c r="V299" s="20" t="n">
        <v>13</v>
      </c>
      <c r="W299" s="20" t="n">
        <v>8</v>
      </c>
      <c r="X299" s="20" t="n">
        <v>4</v>
      </c>
    </row>
    <row r="300">
      <c r="A300" s="18" t="inlineStr">
        <is>
          <t>현금성자산 증감</t>
        </is>
      </c>
      <c r="E300" s="20" t="n">
        <v>547</v>
      </c>
      <c r="I300" s="20" t="n">
        <v>412</v>
      </c>
      <c r="M300" s="20" t="n">
        <v>199</v>
      </c>
      <c r="O300" s="20" t="n">
        <v>904</v>
      </c>
      <c r="P300" s="20" t="n">
        <v>-1430</v>
      </c>
      <c r="Q300" s="20" t="n">
        <v>1948</v>
      </c>
      <c r="R300" s="20" t="n">
        <v>1034</v>
      </c>
      <c r="S300" s="20" t="n">
        <v>-2504</v>
      </c>
      <c r="T300" s="20" t="n">
        <v>-313</v>
      </c>
      <c r="U300" s="20" t="n">
        <v>-1322</v>
      </c>
      <c r="V300" s="20" t="n">
        <v>547</v>
      </c>
      <c r="W300" s="20" t="n">
        <v>412</v>
      </c>
      <c r="X300" s="20" t="n">
        <v>199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2594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44575</v>
      </c>
      <c r="D5" s="12" t="n">
        <v>45311</v>
      </c>
      <c r="E5" s="12" t="n">
        <v>53922</v>
      </c>
      <c r="F5" s="12" t="n">
        <v>52255</v>
      </c>
      <c r="G5" s="12" t="n">
        <v>53106</v>
      </c>
      <c r="H5" s="11" t="n">
        <v>26393</v>
      </c>
      <c r="I5" s="12" t="n">
        <v>34503</v>
      </c>
      <c r="J5" s="12" t="n">
        <v>36473</v>
      </c>
      <c r="K5" s="12" t="n">
        <v>39467</v>
      </c>
      <c r="L5" s="12" t="n">
        <v>52255</v>
      </c>
    </row>
    <row r="6">
      <c r="A6" s="18" t="inlineStr">
        <is>
          <t>현금및현금성자산</t>
        </is>
      </c>
      <c r="B6" s="10" t="n"/>
      <c r="C6" s="19" t="n">
        <v>7127</v>
      </c>
      <c r="D6" s="20" t="n">
        <v>6372</v>
      </c>
      <c r="E6" s="20" t="n">
        <v>5116</v>
      </c>
      <c r="F6" s="20" t="n">
        <v>5279</v>
      </c>
      <c r="G6" s="20" t="n">
        <v>6467</v>
      </c>
      <c r="H6" s="19" t="n">
        <v>5443</v>
      </c>
      <c r="I6" s="20" t="n">
        <v>4120</v>
      </c>
      <c r="J6" s="20" t="n">
        <v>4667</v>
      </c>
      <c r="K6" s="20" t="n">
        <v>5080</v>
      </c>
      <c r="L6" s="20" t="n">
        <v>5279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17794</v>
      </c>
      <c r="D8" s="20" t="n">
        <v>20953</v>
      </c>
      <c r="E8" s="20" t="n">
        <v>25842</v>
      </c>
      <c r="F8" s="20" t="n">
        <v>22998</v>
      </c>
      <c r="G8" s="20" t="n">
        <v>20863</v>
      </c>
      <c r="H8" s="19" t="n">
        <v>11625</v>
      </c>
      <c r="I8" s="20" t="n">
        <v>14103</v>
      </c>
      <c r="J8" s="20" t="n">
        <v>15694</v>
      </c>
      <c r="K8" s="20" t="n">
        <v>16341</v>
      </c>
      <c r="L8" s="20" t="n">
        <v>22998</v>
      </c>
    </row>
    <row r="9">
      <c r="A9" s="18" t="inlineStr">
        <is>
          <t>재고자산</t>
        </is>
      </c>
      <c r="B9" s="10" t="n"/>
      <c r="C9" s="19" t="n">
        <v>18664</v>
      </c>
      <c r="D9" s="20" t="n">
        <v>17110</v>
      </c>
      <c r="E9" s="20" t="n">
        <v>21740</v>
      </c>
      <c r="F9" s="20" t="n">
        <v>22628</v>
      </c>
      <c r="G9" s="20" t="n">
        <v>24499</v>
      </c>
      <c r="H9" s="19" t="n">
        <v>8644</v>
      </c>
      <c r="I9" s="20" t="n">
        <v>14972</v>
      </c>
      <c r="J9" s="20" t="n">
        <v>15411</v>
      </c>
      <c r="K9" s="20" t="n">
        <v>17019</v>
      </c>
      <c r="L9" s="20" t="n">
        <v>22628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18880</v>
      </c>
      <c r="D11" s="12" t="n">
        <v>25311</v>
      </c>
      <c r="E11" s="12" t="n">
        <v>25670</v>
      </c>
      <c r="F11" s="12" t="n">
        <v>26269</v>
      </c>
      <c r="G11" s="12" t="n">
        <v>26270</v>
      </c>
      <c r="H11" s="11" t="n">
        <v>17036</v>
      </c>
      <c r="I11" s="12" t="n">
        <v>17264</v>
      </c>
      <c r="J11" s="12" t="n">
        <v>18359</v>
      </c>
      <c r="K11" s="12" t="n">
        <v>18768</v>
      </c>
      <c r="L11" s="12" t="n">
        <v>26269</v>
      </c>
    </row>
    <row r="12">
      <c r="A12" s="18" t="inlineStr">
        <is>
          <t>유형자산</t>
        </is>
      </c>
      <c r="B12" s="10" t="n"/>
      <c r="C12" s="19" t="n">
        <v>12409</v>
      </c>
      <c r="D12" s="20" t="n">
        <v>17735</v>
      </c>
      <c r="E12" s="20" t="n">
        <v>17702</v>
      </c>
      <c r="F12" s="20" t="n">
        <v>18107</v>
      </c>
      <c r="G12" s="20" t="n">
        <v>18001</v>
      </c>
      <c r="H12" s="19" t="n">
        <v>12530</v>
      </c>
      <c r="I12" s="20" t="n">
        <v>12509</v>
      </c>
      <c r="J12" s="20" t="n">
        <v>12597</v>
      </c>
      <c r="K12" s="20" t="n">
        <v>12566</v>
      </c>
      <c r="L12" s="20" t="n">
        <v>18107</v>
      </c>
    </row>
    <row r="13">
      <c r="A13" s="18" t="inlineStr">
        <is>
          <t>무형자산</t>
        </is>
      </c>
      <c r="B13" s="10" t="n"/>
      <c r="C13" s="19" t="n">
        <v>706</v>
      </c>
      <c r="D13" s="20" t="n">
        <v>1288</v>
      </c>
      <c r="E13" s="20" t="n">
        <v>1278</v>
      </c>
      <c r="F13" s="20" t="n">
        <v>1224</v>
      </c>
      <c r="G13" s="20" t="n">
        <v>1230</v>
      </c>
      <c r="H13" s="19" t="n">
        <v>655</v>
      </c>
      <c r="I13" s="20" t="n">
        <v>851</v>
      </c>
      <c r="J13" s="20" t="n">
        <v>609</v>
      </c>
      <c r="K13" s="20" t="n">
        <v>717</v>
      </c>
      <c r="L13" s="20" t="n">
        <v>1224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63455</v>
      </c>
      <c r="D16" s="12" t="n">
        <v>70622</v>
      </c>
      <c r="E16" s="12" t="n">
        <v>79592</v>
      </c>
      <c r="F16" s="12" t="n">
        <v>78524</v>
      </c>
      <c r="G16" s="12" t="n">
        <v>79376</v>
      </c>
      <c r="H16" s="11" t="n">
        <v>43429</v>
      </c>
      <c r="I16" s="12" t="n">
        <v>51768</v>
      </c>
      <c r="J16" s="12" t="n">
        <v>54832</v>
      </c>
      <c r="K16" s="12" t="n">
        <v>58235</v>
      </c>
      <c r="L16" s="12" t="n">
        <v>78524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29856</v>
      </c>
      <c r="D18" s="12" t="n">
        <v>34458</v>
      </c>
      <c r="E18" s="12" t="n">
        <v>42681</v>
      </c>
      <c r="F18" s="12" t="n">
        <v>41520</v>
      </c>
      <c r="G18" s="12" t="n">
        <v>41786</v>
      </c>
      <c r="H18" s="11" t="n">
        <v>10966</v>
      </c>
      <c r="I18" s="12" t="n">
        <v>19385</v>
      </c>
      <c r="J18" s="12" t="n">
        <v>21968</v>
      </c>
      <c r="K18" s="12" t="n">
        <v>24925</v>
      </c>
      <c r="L18" s="12" t="n">
        <v>41520</v>
      </c>
    </row>
    <row r="19">
      <c r="A19" s="18" t="inlineStr">
        <is>
          <t>매입채무</t>
        </is>
      </c>
      <c r="B19" s="10" t="n"/>
      <c r="C19" s="19" t="n">
        <v>16191</v>
      </c>
      <c r="D19" s="20" t="n">
        <v>15687</v>
      </c>
      <c r="E19" s="20" t="n">
        <v>23519</v>
      </c>
      <c r="F19" s="20" t="n">
        <v>19286</v>
      </c>
      <c r="G19" s="20" t="n">
        <v>19171</v>
      </c>
      <c r="H19" s="19" t="n">
        <v>6972</v>
      </c>
      <c r="I19" s="20" t="n">
        <v>12719</v>
      </c>
      <c r="J19" s="20" t="n">
        <v>12323</v>
      </c>
      <c r="K19" s="20" t="n">
        <v>12690</v>
      </c>
      <c r="L19" s="20" t="n">
        <v>19286</v>
      </c>
    </row>
    <row r="20">
      <c r="A20" s="18" t="inlineStr">
        <is>
          <t>단기차입금</t>
        </is>
      </c>
      <c r="B20" s="10" t="n"/>
      <c r="C20" s="19" t="n">
        <v>10267</v>
      </c>
      <c r="D20" s="20" t="n">
        <v>14715</v>
      </c>
      <c r="E20" s="20" t="n">
        <v>14539</v>
      </c>
      <c r="F20" s="20" t="n">
        <v>17320</v>
      </c>
      <c r="G20" s="20" t="n">
        <v>18804</v>
      </c>
      <c r="H20" s="19" t="n">
        <v>82</v>
      </c>
      <c r="I20" s="20" t="n">
        <v>3187</v>
      </c>
      <c r="J20" s="20" t="n">
        <v>5343</v>
      </c>
      <c r="K20" s="20" t="n">
        <v>8223</v>
      </c>
      <c r="L20" s="20" t="n">
        <v>17320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>
        <v>46</v>
      </c>
      <c r="G21" s="20" t="n">
        <v>46</v>
      </c>
      <c r="H21" s="19" t="n"/>
      <c r="I21" s="20" t="n"/>
      <c r="J21" s="20" t="n"/>
      <c r="K21" s="20" t="n">
        <v>0</v>
      </c>
      <c r="L21" s="20" t="n">
        <v>46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2443</v>
      </c>
      <c r="D23" s="12" t="n">
        <v>4426</v>
      </c>
      <c r="E23" s="12" t="n">
        <v>4659</v>
      </c>
      <c r="F23" s="12" t="n">
        <v>4747</v>
      </c>
      <c r="G23" s="12" t="n">
        <v>4887</v>
      </c>
      <c r="H23" s="11" t="n">
        <v>1981</v>
      </c>
      <c r="I23" s="12" t="n">
        <v>1853</v>
      </c>
      <c r="J23" s="12" t="n">
        <v>1892</v>
      </c>
      <c r="K23" s="12" t="n">
        <v>2352</v>
      </c>
      <c r="L23" s="12" t="n">
        <v>4747</v>
      </c>
    </row>
    <row r="24">
      <c r="A24" s="18" t="inlineStr">
        <is>
          <t>장기차입금</t>
        </is>
      </c>
      <c r="B24" s="10" t="n"/>
      <c r="C24" s="19" t="n"/>
      <c r="D24" s="20" t="n">
        <v>553</v>
      </c>
      <c r="E24" s="20" t="n">
        <v>546</v>
      </c>
      <c r="F24" s="20" t="n">
        <v>534</v>
      </c>
      <c r="G24" s="20" t="n">
        <v>522</v>
      </c>
      <c r="H24" s="19" t="n">
        <v>0</v>
      </c>
      <c r="I24" s="20" t="n"/>
      <c r="J24" s="20" t="n"/>
      <c r="K24" s="20" t="n">
        <v>0</v>
      </c>
      <c r="L24" s="20" t="n">
        <v>534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32300</v>
      </c>
      <c r="D27" s="12" t="n">
        <v>38884</v>
      </c>
      <c r="E27" s="12" t="n">
        <v>47341</v>
      </c>
      <c r="F27" s="12" t="n">
        <v>46267</v>
      </c>
      <c r="G27" s="12" t="n">
        <v>46673</v>
      </c>
      <c r="H27" s="11" t="n">
        <v>12948</v>
      </c>
      <c r="I27" s="12" t="n">
        <v>21238</v>
      </c>
      <c r="J27" s="12" t="n">
        <v>23861</v>
      </c>
      <c r="K27" s="12" t="n">
        <v>27277</v>
      </c>
      <c r="L27" s="12" t="n">
        <v>46267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30865</v>
      </c>
      <c r="D31" s="12" t="n">
        <v>31246</v>
      </c>
      <c r="E31" s="12" t="n">
        <v>31757</v>
      </c>
      <c r="F31" s="12" t="n">
        <v>31765</v>
      </c>
      <c r="G31" s="12" t="n">
        <v>32193</v>
      </c>
      <c r="H31" s="11" t="n">
        <v>30205</v>
      </c>
      <c r="I31" s="12" t="n">
        <v>30251</v>
      </c>
      <c r="J31" s="12" t="n">
        <v>30671</v>
      </c>
      <c r="K31" s="12" t="n">
        <v>30644</v>
      </c>
      <c r="L31" s="12" t="n">
        <v>31765</v>
      </c>
    </row>
    <row r="32">
      <c r="A32" s="18" t="inlineStr">
        <is>
          <t>자본금</t>
        </is>
      </c>
      <c r="B32" s="10" t="n"/>
      <c r="C32" s="19" t="n">
        <v>4628</v>
      </c>
      <c r="D32" s="20" t="n">
        <v>4628</v>
      </c>
      <c r="E32" s="20" t="n">
        <v>4628</v>
      </c>
      <c r="F32" s="20" t="n">
        <v>4628</v>
      </c>
      <c r="G32" s="20" t="n">
        <v>4628</v>
      </c>
      <c r="H32" s="19" t="n">
        <v>4628</v>
      </c>
      <c r="I32" s="20" t="n">
        <v>4628</v>
      </c>
      <c r="J32" s="20" t="n">
        <v>4628</v>
      </c>
      <c r="K32" s="20" t="n">
        <v>4628</v>
      </c>
      <c r="L32" s="20" t="n">
        <v>4628</v>
      </c>
    </row>
    <row r="33">
      <c r="A33" s="18" t="inlineStr">
        <is>
          <t>이익잉여금</t>
        </is>
      </c>
      <c r="B33" s="10" t="n"/>
      <c r="C33" s="19" t="n">
        <v>25361</v>
      </c>
      <c r="D33" s="20" t="n">
        <v>25642</v>
      </c>
      <c r="E33" s="20" t="n">
        <v>26048</v>
      </c>
      <c r="F33" s="20" t="n">
        <v>25898</v>
      </c>
      <c r="G33" s="20" t="n">
        <v>26396</v>
      </c>
      <c r="H33" s="19" t="n">
        <v>25317</v>
      </c>
      <c r="I33" s="20" t="n">
        <v>25274</v>
      </c>
      <c r="J33" s="20" t="n">
        <v>25194</v>
      </c>
      <c r="K33" s="20" t="n">
        <v>25170</v>
      </c>
      <c r="L33" s="20" t="n">
        <v>25898</v>
      </c>
    </row>
    <row r="34">
      <c r="A34" s="18" t="inlineStr">
        <is>
          <t>비지배지분</t>
        </is>
      </c>
      <c r="B34" s="10" t="n"/>
      <c r="C34" s="19" t="n">
        <v>290</v>
      </c>
      <c r="D34" s="20" t="n">
        <v>492</v>
      </c>
      <c r="E34" s="20" t="n">
        <v>494</v>
      </c>
      <c r="F34" s="20" t="n">
        <v>491</v>
      </c>
      <c r="G34" s="20" t="n">
        <v>509</v>
      </c>
      <c r="H34" s="19" t="n">
        <v>276</v>
      </c>
      <c r="I34" s="20" t="n">
        <v>279</v>
      </c>
      <c r="J34" s="20" t="n">
        <v>300</v>
      </c>
      <c r="K34" s="20" t="n">
        <v>314</v>
      </c>
      <c r="L34" s="20" t="n">
        <v>491</v>
      </c>
    </row>
    <row r="35">
      <c r="A35" s="9" t="inlineStr">
        <is>
          <t>자본총계</t>
        </is>
      </c>
      <c r="B35" s="10" t="n"/>
      <c r="C35" s="11" t="n">
        <v>31155</v>
      </c>
      <c r="D35" s="12" t="n">
        <v>31738</v>
      </c>
      <c r="E35" s="12" t="n">
        <v>32251</v>
      </c>
      <c r="F35" s="12" t="n">
        <v>32256</v>
      </c>
      <c r="G35" s="12" t="n">
        <v>32702</v>
      </c>
      <c r="H35" s="11" t="n">
        <v>30481</v>
      </c>
      <c r="I35" s="12" t="n">
        <v>30530</v>
      </c>
      <c r="J35" s="12" t="n">
        <v>30971</v>
      </c>
      <c r="K35" s="12" t="n">
        <v>30958</v>
      </c>
      <c r="L35" s="12" t="n">
        <v>32256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-3380</v>
      </c>
      <c r="G37" s="12" t="n"/>
      <c r="H37" s="11" t="n">
        <v>861</v>
      </c>
      <c r="I37" s="12" t="n">
        <v>-3095</v>
      </c>
      <c r="J37" s="12" t="n">
        <v>481</v>
      </c>
      <c r="K37" s="12" t="n">
        <v>-1353</v>
      </c>
      <c r="L37" s="12" t="n">
        <v>-3380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1740</v>
      </c>
      <c r="G38" s="20" t="n"/>
      <c r="H38" s="19" t="n">
        <v>929</v>
      </c>
      <c r="I38" s="20" t="n">
        <v>1041</v>
      </c>
      <c r="J38" s="20" t="n">
        <v>1165</v>
      </c>
      <c r="K38" s="20" t="n">
        <v>1050</v>
      </c>
      <c r="L38" s="20" t="n">
        <v>1740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260</v>
      </c>
      <c r="G40" s="20" t="n"/>
      <c r="H40" s="19" t="n">
        <v>216</v>
      </c>
      <c r="I40" s="20" t="n">
        <v>217</v>
      </c>
      <c r="J40" s="20" t="n">
        <v>260</v>
      </c>
      <c r="K40" s="20" t="n">
        <v>238</v>
      </c>
      <c r="L40" s="20" t="n">
        <v>260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7127</v>
      </c>
      <c r="D71" s="20" t="n">
        <v>6372</v>
      </c>
      <c r="E71" s="20" t="n">
        <v>5116</v>
      </c>
      <c r="F71" s="20" t="n">
        <v>5279</v>
      </c>
      <c r="G71" s="20" t="n">
        <v>6467</v>
      </c>
      <c r="H71" s="20" t="n">
        <v>5443</v>
      </c>
      <c r="I71" s="20" t="n">
        <v>4120</v>
      </c>
      <c r="J71" s="20" t="n">
        <v>4667</v>
      </c>
      <c r="K71" s="20" t="n">
        <v>5080</v>
      </c>
      <c r="L71" s="20" t="n">
        <v>5279</v>
      </c>
    </row>
    <row r="72">
      <c r="A72" s="18" t="inlineStr">
        <is>
          <t>받을어음</t>
        </is>
      </c>
      <c r="F72" s="20" t="n">
        <v>428</v>
      </c>
      <c r="H72" s="20" t="n">
        <v>46</v>
      </c>
      <c r="I72" s="20" t="n">
        <v>47</v>
      </c>
      <c r="J72" s="20" t="n">
        <v>126</v>
      </c>
      <c r="K72" s="20" t="n">
        <v>226</v>
      </c>
      <c r="L72" s="20" t="n">
        <v>428</v>
      </c>
    </row>
    <row r="73">
      <c r="A73" s="18" t="inlineStr">
        <is>
          <t>매출채권</t>
        </is>
      </c>
      <c r="F73" s="20" t="n">
        <v>22569</v>
      </c>
      <c r="H73" s="20" t="n">
        <v>11578</v>
      </c>
      <c r="I73" s="20" t="n">
        <v>14056</v>
      </c>
      <c r="J73" s="20" t="n">
        <v>15567</v>
      </c>
      <c r="K73" s="20" t="n">
        <v>16115</v>
      </c>
      <c r="L73" s="20" t="n">
        <v>22569</v>
      </c>
    </row>
    <row r="74">
      <c r="A74" s="18" t="inlineStr">
        <is>
          <t>받을어음·매출채권</t>
        </is>
      </c>
      <c r="C74" s="20" t="n">
        <v>17794</v>
      </c>
      <c r="D74" s="20" t="n">
        <v>20953</v>
      </c>
      <c r="E74" s="20" t="n">
        <v>25842</v>
      </c>
      <c r="F74" s="20" t="n">
        <v>22998</v>
      </c>
      <c r="G74" s="20" t="n">
        <v>20863</v>
      </c>
      <c r="H74" s="20" t="n">
        <v>11625</v>
      </c>
      <c r="I74" s="20" t="n">
        <v>14103</v>
      </c>
      <c r="J74" s="20" t="n">
        <v>15694</v>
      </c>
      <c r="K74" s="20" t="n">
        <v>16341</v>
      </c>
      <c r="L74" s="20" t="n">
        <v>22998</v>
      </c>
    </row>
    <row r="75">
      <c r="A75" s="18" t="inlineStr">
        <is>
          <t>상품·제품</t>
        </is>
      </c>
      <c r="C75" s="20" t="n">
        <v>4843</v>
      </c>
      <c r="D75" s="20" t="n">
        <v>4796</v>
      </c>
      <c r="E75" s="20" t="n">
        <v>4316</v>
      </c>
      <c r="F75" s="20" t="n">
        <v>4957</v>
      </c>
      <c r="G75" s="20" t="n">
        <v>5739</v>
      </c>
      <c r="H75" s="20" t="n">
        <v>2474</v>
      </c>
      <c r="I75" s="20" t="n">
        <v>3437</v>
      </c>
      <c r="J75" s="20" t="n">
        <v>3204</v>
      </c>
      <c r="K75" s="20" t="n">
        <v>4259</v>
      </c>
      <c r="L75" s="20" t="n">
        <v>4957</v>
      </c>
    </row>
    <row r="76">
      <c r="A76" s="18" t="inlineStr">
        <is>
          <t>재공품</t>
        </is>
      </c>
      <c r="C76" s="20" t="n">
        <v>420</v>
      </c>
      <c r="D76" s="20" t="n">
        <v>368</v>
      </c>
      <c r="E76" s="20" t="n">
        <v>464</v>
      </c>
      <c r="F76" s="20" t="n">
        <v>504</v>
      </c>
      <c r="G76" s="20" t="n">
        <v>595</v>
      </c>
      <c r="H76" s="20" t="n">
        <v>194</v>
      </c>
      <c r="I76" s="20" t="n">
        <v>261</v>
      </c>
      <c r="J76" s="20" t="n">
        <v>265</v>
      </c>
      <c r="K76" s="20" t="n">
        <v>371</v>
      </c>
      <c r="L76" s="20" t="n">
        <v>504</v>
      </c>
    </row>
    <row r="77">
      <c r="A77" s="18" t="inlineStr">
        <is>
          <t>원재료·저장품</t>
        </is>
      </c>
      <c r="C77" s="20" t="n">
        <v>13401</v>
      </c>
      <c r="D77" s="20" t="n">
        <v>11946</v>
      </c>
      <c r="E77" s="20" t="n">
        <v>16960</v>
      </c>
      <c r="F77" s="20" t="n">
        <v>17167</v>
      </c>
      <c r="G77" s="20" t="n">
        <v>18165</v>
      </c>
      <c r="H77" s="20" t="n">
        <v>5976</v>
      </c>
      <c r="I77" s="20" t="n">
        <v>11274</v>
      </c>
      <c r="J77" s="20" t="n">
        <v>11942</v>
      </c>
      <c r="K77" s="20" t="n">
        <v>12389</v>
      </c>
      <c r="L77" s="20" t="n">
        <v>17167</v>
      </c>
    </row>
    <row r="78">
      <c r="A78" s="18" t="inlineStr">
        <is>
          <t>기타</t>
        </is>
      </c>
      <c r="C78" s="20" t="n">
        <v>1114</v>
      </c>
      <c r="D78" s="20" t="n">
        <v>1006</v>
      </c>
      <c r="E78" s="20" t="n">
        <v>1364</v>
      </c>
      <c r="F78" s="20" t="n">
        <v>1496</v>
      </c>
      <c r="G78" s="20" t="n">
        <v>1429</v>
      </c>
      <c r="H78" s="20" t="n">
        <v>758</v>
      </c>
      <c r="I78" s="20" t="n">
        <v>1401</v>
      </c>
      <c r="J78" s="20" t="n">
        <v>800</v>
      </c>
      <c r="K78" s="20" t="n">
        <v>1145</v>
      </c>
      <c r="L78" s="20" t="n">
        <v>1496</v>
      </c>
    </row>
    <row r="79">
      <c r="A79" s="18" t="inlineStr">
        <is>
          <t>대손충당금</t>
        </is>
      </c>
      <c r="C79" s="20" t="n">
        <v>-126</v>
      </c>
      <c r="D79" s="20" t="n">
        <v>-133</v>
      </c>
      <c r="E79" s="20" t="n">
        <v>-141</v>
      </c>
      <c r="F79" s="20" t="n">
        <v>-147</v>
      </c>
      <c r="G79" s="20" t="n">
        <v>-154</v>
      </c>
      <c r="H79" s="20" t="n">
        <v>-79</v>
      </c>
      <c r="I79" s="20" t="n">
        <v>-95</v>
      </c>
      <c r="J79" s="20" t="n">
        <v>-102</v>
      </c>
      <c r="K79" s="20" t="n">
        <v>-121</v>
      </c>
      <c r="L79" s="20" t="n">
        <v>-147</v>
      </c>
    </row>
    <row r="80">
      <c r="A80" s="9" t="inlineStr">
        <is>
          <t>유동자산 합계</t>
        </is>
      </c>
      <c r="C80" s="12" t="n">
        <v>44575</v>
      </c>
      <c r="D80" s="12" t="n">
        <v>45311</v>
      </c>
      <c r="E80" s="12" t="n">
        <v>53922</v>
      </c>
      <c r="F80" s="12" t="n">
        <v>52255</v>
      </c>
      <c r="G80" s="12" t="n">
        <v>53106</v>
      </c>
      <c r="H80" s="12" t="n">
        <v>26393</v>
      </c>
      <c r="I80" s="12" t="n">
        <v>34503</v>
      </c>
      <c r="J80" s="12" t="n">
        <v>36473</v>
      </c>
      <c r="K80" s="12" t="n">
        <v>39467</v>
      </c>
      <c r="L80" s="12" t="n">
        <v>52255</v>
      </c>
    </row>
    <row r="81">
      <c r="A81" s="18" t="inlineStr">
        <is>
          <t>건물·구축물</t>
        </is>
      </c>
      <c r="F81" s="20" t="n">
        <v>17362</v>
      </c>
      <c r="H81" s="20" t="n">
        <v>15883</v>
      </c>
      <c r="I81" s="20" t="n">
        <v>15922</v>
      </c>
      <c r="J81" s="20" t="n">
        <v>15789</v>
      </c>
      <c r="K81" s="20" t="n">
        <v>15850</v>
      </c>
      <c r="L81" s="20" t="n">
        <v>17362</v>
      </c>
    </row>
    <row r="82">
      <c r="A82" s="18" t="inlineStr">
        <is>
          <t>감가상각누계액</t>
        </is>
      </c>
      <c r="F82" s="20" t="n">
        <v>-13074</v>
      </c>
      <c r="H82" s="20" t="n">
        <v>-11783</v>
      </c>
      <c r="I82" s="20" t="n">
        <v>-11898</v>
      </c>
      <c r="J82" s="20" t="n">
        <v>-11895</v>
      </c>
      <c r="K82" s="20" t="n">
        <v>-12094</v>
      </c>
      <c r="L82" s="20" t="n">
        <v>-13074</v>
      </c>
    </row>
    <row r="83">
      <c r="A83" s="18" t="inlineStr">
        <is>
          <t>건물·구축물(순액)</t>
        </is>
      </c>
      <c r="C83" s="20" t="n">
        <v>3704</v>
      </c>
      <c r="D83" s="20" t="n">
        <v>4404</v>
      </c>
      <c r="E83" s="20" t="n">
        <v>4360</v>
      </c>
      <c r="F83" s="20" t="n">
        <v>4287</v>
      </c>
      <c r="G83" s="20" t="n">
        <v>4245</v>
      </c>
      <c r="H83" s="20" t="n">
        <v>4099</v>
      </c>
      <c r="I83" s="20" t="n">
        <v>4024</v>
      </c>
      <c r="J83" s="20" t="n">
        <v>3893</v>
      </c>
      <c r="K83" s="20" t="n">
        <v>3755</v>
      </c>
      <c r="L83" s="20" t="n">
        <v>4287</v>
      </c>
    </row>
    <row r="84">
      <c r="A84" s="18" t="inlineStr">
        <is>
          <t>기계장치·운반구</t>
        </is>
      </c>
      <c r="F84" s="20" t="n">
        <v>13152</v>
      </c>
      <c r="H84" s="20" t="n">
        <v>11913</v>
      </c>
      <c r="I84" s="20" t="n">
        <v>11903</v>
      </c>
      <c r="J84" s="20" t="n">
        <v>12399</v>
      </c>
      <c r="K84" s="20" t="n">
        <v>12846</v>
      </c>
      <c r="L84" s="20" t="n">
        <v>13152</v>
      </c>
    </row>
    <row r="85">
      <c r="A85" s="18" t="inlineStr">
        <is>
          <t>감가상각누계액</t>
        </is>
      </c>
      <c r="F85" s="20" t="n">
        <v>-11187</v>
      </c>
      <c r="H85" s="20" t="n">
        <v>-10643</v>
      </c>
      <c r="I85" s="20" t="n">
        <v>-10557</v>
      </c>
      <c r="J85" s="20" t="n">
        <v>-10708</v>
      </c>
      <c r="K85" s="20" t="n">
        <v>-11019</v>
      </c>
      <c r="L85" s="20" t="n">
        <v>-11187</v>
      </c>
    </row>
    <row r="86">
      <c r="A86" s="18" t="inlineStr">
        <is>
          <t>기계장치·운반구(순액)</t>
        </is>
      </c>
      <c r="C86" s="20" t="n">
        <v>1726</v>
      </c>
      <c r="D86" s="20" t="n">
        <v>1718</v>
      </c>
      <c r="E86" s="20" t="n">
        <v>1690</v>
      </c>
      <c r="F86" s="20" t="n">
        <v>1964</v>
      </c>
      <c r="G86" s="20" t="n">
        <v>1864</v>
      </c>
      <c r="H86" s="20" t="n">
        <v>1269</v>
      </c>
      <c r="I86" s="20" t="n">
        <v>1346</v>
      </c>
      <c r="J86" s="20" t="n">
        <v>1691</v>
      </c>
      <c r="K86" s="20" t="n">
        <v>1826</v>
      </c>
      <c r="L86" s="20" t="n">
        <v>1964</v>
      </c>
    </row>
    <row r="87">
      <c r="A87" s="18" t="inlineStr">
        <is>
          <t>토지</t>
        </is>
      </c>
      <c r="C87" s="20" t="n">
        <v>6428</v>
      </c>
      <c r="D87" s="20" t="n">
        <v>10627</v>
      </c>
      <c r="E87" s="20" t="n">
        <v>10627</v>
      </c>
      <c r="F87" s="20" t="n">
        <v>10627</v>
      </c>
      <c r="G87" s="20" t="n">
        <v>10627</v>
      </c>
      <c r="H87" s="20" t="n">
        <v>6570</v>
      </c>
      <c r="I87" s="20" t="n">
        <v>6570</v>
      </c>
      <c r="J87" s="20" t="n">
        <v>6428</v>
      </c>
      <c r="K87" s="20" t="n">
        <v>6428</v>
      </c>
      <c r="L87" s="20" t="n">
        <v>10627</v>
      </c>
    </row>
    <row r="88">
      <c r="A88" s="18" t="inlineStr">
        <is>
          <t>기타</t>
        </is>
      </c>
      <c r="F88" s="20" t="n">
        <v>4446</v>
      </c>
      <c r="H88" s="20" t="n">
        <v>3516</v>
      </c>
      <c r="I88" s="20" t="n">
        <v>3515</v>
      </c>
      <c r="J88" s="20" t="n">
        <v>3648</v>
      </c>
      <c r="K88" s="20" t="n">
        <v>3529</v>
      </c>
      <c r="L88" s="20" t="n">
        <v>4446</v>
      </c>
    </row>
    <row r="89">
      <c r="A89" s="18" t="inlineStr">
        <is>
          <t>감가상각누계액</t>
        </is>
      </c>
      <c r="F89" s="20" t="n">
        <v>-3217</v>
      </c>
      <c r="H89" s="20" t="n">
        <v>-2926</v>
      </c>
      <c r="I89" s="20" t="n">
        <v>-2947</v>
      </c>
      <c r="J89" s="20" t="n">
        <v>-3063</v>
      </c>
      <c r="K89" s="20" t="n">
        <v>-2973</v>
      </c>
      <c r="L89" s="20" t="n">
        <v>-3217</v>
      </c>
    </row>
    <row r="90">
      <c r="A90" s="18" t="inlineStr">
        <is>
          <t>기타(순액)</t>
        </is>
      </c>
      <c r="C90" s="20" t="n">
        <v>549</v>
      </c>
      <c r="D90" s="20" t="n">
        <v>985</v>
      </c>
      <c r="E90" s="20" t="n">
        <v>1024</v>
      </c>
      <c r="F90" s="20" t="n">
        <v>1228</v>
      </c>
      <c r="G90" s="20" t="n">
        <v>1264</v>
      </c>
      <c r="H90" s="20" t="n">
        <v>590</v>
      </c>
      <c r="I90" s="20" t="n">
        <v>568</v>
      </c>
      <c r="J90" s="20" t="n">
        <v>584</v>
      </c>
      <c r="K90" s="20" t="n">
        <v>555</v>
      </c>
      <c r="L90" s="20" t="n">
        <v>1228</v>
      </c>
    </row>
    <row r="91">
      <c r="A91" s="18" t="inlineStr">
        <is>
          <t>유형자산 합계</t>
        </is>
      </c>
      <c r="C91" s="20" t="n">
        <v>12409</v>
      </c>
      <c r="D91" s="20" t="n">
        <v>17735</v>
      </c>
      <c r="E91" s="20" t="n">
        <v>17702</v>
      </c>
      <c r="F91" s="20" t="n">
        <v>18107</v>
      </c>
      <c r="G91" s="20" t="n">
        <v>18001</v>
      </c>
      <c r="H91" s="20" t="n">
        <v>12530</v>
      </c>
      <c r="I91" s="20" t="n">
        <v>12509</v>
      </c>
      <c r="J91" s="20" t="n">
        <v>12597</v>
      </c>
      <c r="K91" s="20" t="n">
        <v>12566</v>
      </c>
      <c r="L91" s="20" t="n">
        <v>18107</v>
      </c>
    </row>
    <row r="92">
      <c r="A92" s="18" t="inlineStr">
        <is>
          <t>영업권</t>
        </is>
      </c>
      <c r="C92" s="20" t="n">
        <v>97</v>
      </c>
      <c r="D92" s="20" t="n">
        <v>690</v>
      </c>
      <c r="E92" s="20" t="n">
        <v>677</v>
      </c>
      <c r="F92" s="20" t="n">
        <v>483</v>
      </c>
      <c r="G92" s="20" t="n">
        <v>524</v>
      </c>
      <c r="H92" s="20" t="n">
        <v>115</v>
      </c>
      <c r="I92" s="20" t="n">
        <v>137</v>
      </c>
      <c r="J92" s="20" t="n">
        <v>119</v>
      </c>
      <c r="K92" s="20" t="n">
        <v>101</v>
      </c>
      <c r="L92" s="20" t="n">
        <v>483</v>
      </c>
    </row>
    <row r="93">
      <c r="A93" s="18" t="inlineStr">
        <is>
          <t>기타</t>
        </is>
      </c>
      <c r="C93" s="20" t="n">
        <v>609</v>
      </c>
      <c r="D93" s="20" t="n">
        <v>598</v>
      </c>
      <c r="E93" s="20" t="n">
        <v>600</v>
      </c>
      <c r="F93" s="20" t="n">
        <v>741</v>
      </c>
      <c r="G93" s="20" t="n">
        <v>705</v>
      </c>
      <c r="H93" s="20" t="n">
        <v>539</v>
      </c>
      <c r="I93" s="20" t="n">
        <v>713</v>
      </c>
      <c r="J93" s="20" t="n">
        <v>490</v>
      </c>
      <c r="K93" s="20" t="n">
        <v>615</v>
      </c>
      <c r="L93" s="20" t="n">
        <v>741</v>
      </c>
    </row>
    <row r="94">
      <c r="A94" s="18" t="inlineStr">
        <is>
          <t>무형자산 합계</t>
        </is>
      </c>
      <c r="C94" s="20" t="n">
        <v>706</v>
      </c>
      <c r="D94" s="20" t="n">
        <v>1288</v>
      </c>
      <c r="E94" s="20" t="n">
        <v>1278</v>
      </c>
      <c r="F94" s="20" t="n">
        <v>1224</v>
      </c>
      <c r="G94" s="20" t="n">
        <v>1230</v>
      </c>
      <c r="H94" s="20" t="n">
        <v>655</v>
      </c>
      <c r="I94" s="20" t="n">
        <v>851</v>
      </c>
      <c r="J94" s="20" t="n">
        <v>609</v>
      </c>
      <c r="K94" s="20" t="n">
        <v>717</v>
      </c>
      <c r="L94" s="20" t="n">
        <v>1224</v>
      </c>
    </row>
    <row r="95">
      <c r="A95" s="18" t="inlineStr">
        <is>
          <t>투자유가증권</t>
        </is>
      </c>
      <c r="C95" s="20" t="n">
        <v>3968</v>
      </c>
      <c r="D95" s="20" t="n">
        <v>4160</v>
      </c>
      <c r="E95" s="20" t="n">
        <v>4533</v>
      </c>
      <c r="F95" s="20" t="n">
        <v>4656</v>
      </c>
      <c r="G95" s="20" t="n">
        <v>4724</v>
      </c>
      <c r="H95" s="20" t="n">
        <v>2716</v>
      </c>
      <c r="I95" s="20" t="n">
        <v>2761</v>
      </c>
      <c r="J95" s="20" t="n">
        <v>3843</v>
      </c>
      <c r="K95" s="20" t="n">
        <v>3782</v>
      </c>
      <c r="L95" s="20" t="n">
        <v>4656</v>
      </c>
    </row>
    <row r="96">
      <c r="A96" s="18" t="inlineStr">
        <is>
          <t>장기대여금</t>
        </is>
      </c>
      <c r="C96" s="20" t="n">
        <v>21</v>
      </c>
      <c r="D96" s="20" t="n">
        <v>20</v>
      </c>
      <c r="E96" s="20" t="n">
        <v>19</v>
      </c>
      <c r="F96" s="20" t="n">
        <v>18</v>
      </c>
      <c r="G96" s="20" t="n">
        <v>18</v>
      </c>
      <c r="H96" s="20" t="n">
        <v>37</v>
      </c>
      <c r="I96" s="20" t="n">
        <v>32</v>
      </c>
      <c r="J96" s="20" t="n">
        <v>28</v>
      </c>
      <c r="K96" s="20" t="n">
        <v>23</v>
      </c>
      <c r="L96" s="20" t="n">
        <v>18</v>
      </c>
    </row>
    <row r="97">
      <c r="A97" s="18" t="inlineStr">
        <is>
          <t>이연법인세자산</t>
        </is>
      </c>
      <c r="C97" s="20" t="n">
        <v>90</v>
      </c>
      <c r="D97" s="20" t="n">
        <v>179</v>
      </c>
      <c r="E97" s="20" t="n">
        <v>187</v>
      </c>
      <c r="F97" s="20" t="n">
        <v>104</v>
      </c>
      <c r="G97" s="20" t="n">
        <v>110</v>
      </c>
      <c r="H97" s="20" t="n">
        <v>109</v>
      </c>
      <c r="I97" s="20" t="n">
        <v>108</v>
      </c>
      <c r="J97" s="20" t="n">
        <v>91</v>
      </c>
      <c r="K97" s="20" t="n">
        <v>90</v>
      </c>
      <c r="L97" s="20" t="n">
        <v>104</v>
      </c>
    </row>
    <row r="98">
      <c r="A98" s="18" t="inlineStr">
        <is>
          <t>퇴직급여자산</t>
        </is>
      </c>
      <c r="D98" s="20" t="n">
        <v>812</v>
      </c>
      <c r="E98" s="20" t="n">
        <v>836</v>
      </c>
      <c r="F98" s="20" t="n">
        <v>1055</v>
      </c>
      <c r="G98" s="20" t="n">
        <v>1065</v>
      </c>
      <c r="H98" s="20" t="n">
        <v>20</v>
      </c>
      <c r="I98" s="20" t="n">
        <v>14</v>
      </c>
      <c r="J98" s="20" t="n">
        <v>299</v>
      </c>
      <c r="K98" s="20" t="n">
        <v>772</v>
      </c>
      <c r="L98" s="20" t="n">
        <v>1055</v>
      </c>
    </row>
    <row r="99">
      <c r="A99" s="18" t="inlineStr">
        <is>
          <t>보증금</t>
        </is>
      </c>
      <c r="C99" s="20" t="n">
        <v>751</v>
      </c>
      <c r="D99" s="20" t="n">
        <v>788</v>
      </c>
      <c r="E99" s="20" t="n">
        <v>794</v>
      </c>
      <c r="F99" s="20" t="n">
        <v>787</v>
      </c>
      <c r="G99" s="20" t="n">
        <v>787</v>
      </c>
      <c r="H99" s="20" t="n">
        <v>767</v>
      </c>
      <c r="I99" s="20" t="n">
        <v>761</v>
      </c>
      <c r="J99" s="20" t="n">
        <v>740</v>
      </c>
      <c r="K99" s="20" t="n">
        <v>710</v>
      </c>
      <c r="L99" s="20" t="n">
        <v>787</v>
      </c>
    </row>
    <row r="100">
      <c r="A100" s="18" t="inlineStr">
        <is>
          <t>기타</t>
        </is>
      </c>
      <c r="C100" s="20" t="n">
        <v>1077</v>
      </c>
      <c r="D100" s="20" t="n">
        <v>468</v>
      </c>
      <c r="E100" s="20" t="n">
        <v>459</v>
      </c>
      <c r="F100" s="20" t="n">
        <v>448</v>
      </c>
      <c r="G100" s="20" t="n">
        <v>467</v>
      </c>
      <c r="H100" s="20" t="n">
        <v>364</v>
      </c>
      <c r="I100" s="20" t="n">
        <v>376</v>
      </c>
      <c r="J100" s="20" t="n">
        <v>286</v>
      </c>
      <c r="K100" s="20" t="n">
        <v>252</v>
      </c>
      <c r="L100" s="20" t="n">
        <v>448</v>
      </c>
    </row>
    <row r="101">
      <c r="A101" s="18" t="inlineStr">
        <is>
          <t>대손충당금</t>
        </is>
      </c>
      <c r="C101" s="20" t="n">
        <v>-144</v>
      </c>
      <c r="D101" s="20" t="n">
        <v>-143</v>
      </c>
      <c r="E101" s="20" t="n">
        <v>-141</v>
      </c>
      <c r="F101" s="20" t="n">
        <v>-135</v>
      </c>
      <c r="G101" s="20" t="n">
        <v>-134</v>
      </c>
      <c r="H101" s="20" t="n">
        <v>-165</v>
      </c>
      <c r="I101" s="20" t="n">
        <v>-151</v>
      </c>
      <c r="J101" s="20" t="n">
        <v>-137</v>
      </c>
      <c r="K101" s="20" t="n">
        <v>-145</v>
      </c>
      <c r="L101" s="20" t="n">
        <v>-135</v>
      </c>
    </row>
    <row r="102">
      <c r="A102" s="18" t="inlineStr">
        <is>
          <t>투자 및 기타자산 합계</t>
        </is>
      </c>
      <c r="C102" s="20" t="n">
        <v>5764</v>
      </c>
      <c r="D102" s="20" t="n">
        <v>6286</v>
      </c>
      <c r="E102" s="20" t="n">
        <v>6689</v>
      </c>
      <c r="F102" s="20" t="n">
        <v>6936</v>
      </c>
      <c r="G102" s="20" t="n">
        <v>7038</v>
      </c>
      <c r="H102" s="20" t="n">
        <v>3850</v>
      </c>
      <c r="I102" s="20" t="n">
        <v>3903</v>
      </c>
      <c r="J102" s="20" t="n">
        <v>5151</v>
      </c>
      <c r="K102" s="20" t="n">
        <v>5485</v>
      </c>
      <c r="L102" s="20" t="n">
        <v>6936</v>
      </c>
    </row>
    <row r="103">
      <c r="A103" s="9" t="inlineStr">
        <is>
          <t>비유동자산 합계</t>
        </is>
      </c>
      <c r="C103" s="12" t="n">
        <v>18880</v>
      </c>
      <c r="D103" s="12" t="n">
        <v>25311</v>
      </c>
      <c r="E103" s="12" t="n">
        <v>25670</v>
      </c>
      <c r="F103" s="12" t="n">
        <v>26269</v>
      </c>
      <c r="G103" s="12" t="n">
        <v>26270</v>
      </c>
      <c r="H103" s="12" t="n">
        <v>17036</v>
      </c>
      <c r="I103" s="12" t="n">
        <v>17264</v>
      </c>
      <c r="J103" s="12" t="n">
        <v>18359</v>
      </c>
      <c r="K103" s="12" t="n">
        <v>18768</v>
      </c>
      <c r="L103" s="12" t="n">
        <v>26269</v>
      </c>
    </row>
    <row r="104">
      <c r="A104" s="9" t="inlineStr">
        <is>
          <t>자산 합계</t>
        </is>
      </c>
      <c r="C104" s="12" t="n">
        <v>63455</v>
      </c>
      <c r="D104" s="12" t="n">
        <v>70622</v>
      </c>
      <c r="E104" s="12" t="n">
        <v>79592</v>
      </c>
      <c r="F104" s="12" t="n">
        <v>78524</v>
      </c>
      <c r="G104" s="12" t="n">
        <v>79376</v>
      </c>
      <c r="H104" s="12" t="n">
        <v>43429</v>
      </c>
      <c r="I104" s="12" t="n">
        <v>51768</v>
      </c>
      <c r="J104" s="12" t="n">
        <v>54832</v>
      </c>
      <c r="K104" s="12" t="n">
        <v>58235</v>
      </c>
      <c r="L104" s="12" t="n">
        <v>78524</v>
      </c>
    </row>
    <row r="105">
      <c r="A105" s="18" t="inlineStr">
        <is>
          <t>지급어음·매입채무</t>
        </is>
      </c>
      <c r="C105" s="20" t="n">
        <v>16191</v>
      </c>
      <c r="D105" s="20" t="n">
        <v>15687</v>
      </c>
      <c r="E105" s="20" t="n">
        <v>23519</v>
      </c>
      <c r="F105" s="20" t="n">
        <v>19286</v>
      </c>
      <c r="G105" s="20" t="n">
        <v>19171</v>
      </c>
      <c r="H105" s="20" t="n">
        <v>6972</v>
      </c>
      <c r="I105" s="20" t="n">
        <v>12719</v>
      </c>
      <c r="J105" s="20" t="n">
        <v>12323</v>
      </c>
      <c r="K105" s="20" t="n">
        <v>12690</v>
      </c>
      <c r="L105" s="20" t="n">
        <v>19286</v>
      </c>
    </row>
    <row r="106">
      <c r="A106" s="18" t="inlineStr">
        <is>
          <t>단기차입금</t>
        </is>
      </c>
      <c r="C106" s="20" t="n">
        <v>10267</v>
      </c>
      <c r="D106" s="20" t="n">
        <v>14715</v>
      </c>
      <c r="E106" s="20" t="n">
        <v>14539</v>
      </c>
      <c r="F106" s="20" t="n">
        <v>17320</v>
      </c>
      <c r="G106" s="20" t="n">
        <v>18804</v>
      </c>
      <c r="H106" s="20" t="n">
        <v>82</v>
      </c>
      <c r="I106" s="20" t="n">
        <v>3187</v>
      </c>
      <c r="J106" s="20" t="n">
        <v>5343</v>
      </c>
      <c r="K106" s="20" t="n">
        <v>8223</v>
      </c>
      <c r="L106" s="20" t="n">
        <v>17320</v>
      </c>
    </row>
    <row r="107">
      <c r="A107" s="18" t="inlineStr">
        <is>
          <t>1년 내 상환 장기차입금</t>
        </is>
      </c>
      <c r="F107" s="20" t="n">
        <v>46</v>
      </c>
      <c r="G107" s="20" t="n">
        <v>46</v>
      </c>
      <c r="K107" s="20" t="n">
        <v>0</v>
      </c>
      <c r="L107" s="20" t="n">
        <v>46</v>
      </c>
    </row>
    <row r="108">
      <c r="A108" s="18" t="inlineStr">
        <is>
          <t>미지급금</t>
        </is>
      </c>
      <c r="C108" s="20" t="n">
        <v>1567</v>
      </c>
      <c r="D108" s="20" t="n">
        <v>1794</v>
      </c>
      <c r="E108" s="20" t="n">
        <v>2312</v>
      </c>
      <c r="F108" s="20" t="n">
        <v>2286</v>
      </c>
      <c r="G108" s="20" t="n">
        <v>1466</v>
      </c>
      <c r="H108" s="20" t="n">
        <v>2185</v>
      </c>
      <c r="I108" s="20" t="n">
        <v>2093</v>
      </c>
      <c r="J108" s="20" t="n">
        <v>2266</v>
      </c>
      <c r="K108" s="20" t="n">
        <v>2200</v>
      </c>
      <c r="L108" s="20" t="n">
        <v>2286</v>
      </c>
    </row>
    <row r="109">
      <c r="A109" s="18" t="inlineStr">
        <is>
          <t>미지급법인세</t>
        </is>
      </c>
      <c r="C109" s="20" t="n">
        <v>136</v>
      </c>
      <c r="D109" s="20" t="n">
        <v>273</v>
      </c>
      <c r="E109" s="20" t="n">
        <v>263</v>
      </c>
      <c r="F109" s="20" t="n">
        <v>324</v>
      </c>
      <c r="G109" s="20" t="n">
        <v>181</v>
      </c>
      <c r="H109" s="20" t="n">
        <v>259</v>
      </c>
      <c r="I109" s="20" t="n">
        <v>113</v>
      </c>
      <c r="J109" s="20" t="n">
        <v>211</v>
      </c>
      <c r="K109" s="20" t="n">
        <v>155</v>
      </c>
      <c r="L109" s="20" t="n">
        <v>324</v>
      </c>
    </row>
    <row r="110">
      <c r="A110" s="18" t="inlineStr">
        <is>
          <t>계약부채</t>
        </is>
      </c>
      <c r="D110" s="20" t="n">
        <v>31</v>
      </c>
      <c r="E110" s="20" t="n">
        <v>46</v>
      </c>
      <c r="F110" s="20" t="n">
        <v>67</v>
      </c>
      <c r="G110" s="20" t="n">
        <v>67</v>
      </c>
      <c r="I110" s="20" t="n">
        <v>35</v>
      </c>
      <c r="J110" s="20" t="n">
        <v>31</v>
      </c>
      <c r="K110" s="20" t="n">
        <v>37</v>
      </c>
      <c r="L110" s="20" t="n">
        <v>67</v>
      </c>
    </row>
    <row r="111">
      <c r="A111" s="18" t="inlineStr">
        <is>
          <t>상여충당금</t>
        </is>
      </c>
      <c r="C111" s="20" t="n">
        <v>201</v>
      </c>
      <c r="D111" s="20" t="n">
        <v>347</v>
      </c>
      <c r="E111" s="20" t="n">
        <v>254</v>
      </c>
      <c r="F111" s="20" t="n">
        <v>534</v>
      </c>
      <c r="G111" s="20" t="n">
        <v>286</v>
      </c>
      <c r="H111" s="20" t="n">
        <v>321</v>
      </c>
      <c r="I111" s="20" t="n">
        <v>292</v>
      </c>
      <c r="J111" s="20" t="n">
        <v>412</v>
      </c>
      <c r="K111" s="20" t="n">
        <v>326</v>
      </c>
      <c r="L111" s="20" t="n">
        <v>534</v>
      </c>
    </row>
    <row r="112">
      <c r="A112" s="18" t="inlineStr">
        <is>
          <t>기타 충당금</t>
        </is>
      </c>
      <c r="H112" s="20" t="n">
        <v>0</v>
      </c>
    </row>
    <row r="113">
      <c r="A113" s="18" t="inlineStr">
        <is>
          <t>수주손실 충당금</t>
        </is>
      </c>
      <c r="C113" s="20" t="n">
        <v>10</v>
      </c>
      <c r="D113" s="20" t="n">
        <v>4</v>
      </c>
      <c r="E113" s="20" t="n">
        <v>0</v>
      </c>
      <c r="F113" s="20" t="n">
        <v>0</v>
      </c>
      <c r="J113" s="20" t="n">
        <v>0</v>
      </c>
      <c r="K113" s="20" t="n">
        <v>32</v>
      </c>
      <c r="L113" s="20" t="n">
        <v>0</v>
      </c>
    </row>
    <row r="114">
      <c r="A114" s="18" t="inlineStr">
        <is>
          <t>기타</t>
        </is>
      </c>
      <c r="C114" s="20" t="n">
        <v>1480</v>
      </c>
      <c r="D114" s="20" t="n">
        <v>1602</v>
      </c>
      <c r="E114" s="20" t="n">
        <v>1745</v>
      </c>
      <c r="F114" s="20" t="n">
        <v>1652</v>
      </c>
      <c r="G114" s="20" t="n">
        <v>1761</v>
      </c>
      <c r="H114" s="20" t="n">
        <v>1145</v>
      </c>
      <c r="I114" s="20" t="n">
        <v>943</v>
      </c>
      <c r="J114" s="20" t="n">
        <v>1379</v>
      </c>
      <c r="K114" s="20" t="n">
        <v>1259</v>
      </c>
      <c r="L114" s="20" t="n">
        <v>1652</v>
      </c>
    </row>
    <row r="115">
      <c r="A115" s="9" t="inlineStr">
        <is>
          <t>유동부채 합계</t>
        </is>
      </c>
      <c r="C115" s="12" t="n">
        <v>29856</v>
      </c>
      <c r="D115" s="12" t="n">
        <v>34458</v>
      </c>
      <c r="E115" s="12" t="n">
        <v>42681</v>
      </c>
      <c r="F115" s="12" t="n">
        <v>41520</v>
      </c>
      <c r="G115" s="12" t="n">
        <v>41786</v>
      </c>
      <c r="H115" s="12" t="n">
        <v>10966</v>
      </c>
      <c r="I115" s="12" t="n">
        <v>19385</v>
      </c>
      <c r="J115" s="12" t="n">
        <v>21968</v>
      </c>
      <c r="K115" s="12" t="n">
        <v>24925</v>
      </c>
      <c r="L115" s="12" t="n">
        <v>41520</v>
      </c>
    </row>
    <row r="116">
      <c r="A116" s="18" t="inlineStr">
        <is>
          <t>장기차입금</t>
        </is>
      </c>
      <c r="D116" s="20" t="n">
        <v>553</v>
      </c>
      <c r="E116" s="20" t="n">
        <v>546</v>
      </c>
      <c r="F116" s="20" t="n">
        <v>534</v>
      </c>
      <c r="G116" s="20" t="n">
        <v>522</v>
      </c>
      <c r="H116" s="20" t="n">
        <v>0</v>
      </c>
      <c r="K116" s="20" t="n">
        <v>0</v>
      </c>
      <c r="L116" s="20" t="n">
        <v>534</v>
      </c>
    </row>
    <row r="117">
      <c r="A117" s="18" t="inlineStr">
        <is>
          <t>이연법인세부채</t>
        </is>
      </c>
      <c r="C117" s="20" t="n">
        <v>668</v>
      </c>
      <c r="D117" s="20" t="n">
        <v>1892</v>
      </c>
      <c r="E117" s="20" t="n">
        <v>1918</v>
      </c>
      <c r="F117" s="20" t="n">
        <v>1831</v>
      </c>
      <c r="G117" s="20" t="n">
        <v>2012</v>
      </c>
      <c r="H117" s="20" t="n">
        <v>141</v>
      </c>
      <c r="I117" s="20" t="n">
        <v>156</v>
      </c>
      <c r="J117" s="20" t="n">
        <v>416</v>
      </c>
      <c r="K117" s="20" t="n">
        <v>568</v>
      </c>
      <c r="L117" s="20" t="n">
        <v>1831</v>
      </c>
    </row>
    <row r="118">
      <c r="A118" s="18" t="inlineStr">
        <is>
          <t>재평가 관련 이연법인세부채</t>
        </is>
      </c>
      <c r="C118" s="20" t="n">
        <v>492</v>
      </c>
      <c r="D118" s="20" t="n">
        <v>492</v>
      </c>
      <c r="E118" s="20" t="n">
        <v>492</v>
      </c>
      <c r="F118" s="20" t="n">
        <v>492</v>
      </c>
      <c r="G118" s="20" t="n">
        <v>492</v>
      </c>
      <c r="H118" s="20" t="n">
        <v>478</v>
      </c>
      <c r="I118" s="20" t="n">
        <v>478</v>
      </c>
      <c r="J118" s="20" t="n">
        <v>478</v>
      </c>
      <c r="K118" s="20" t="n">
        <v>492</v>
      </c>
      <c r="L118" s="20" t="n">
        <v>492</v>
      </c>
    </row>
    <row r="119">
      <c r="A119" s="18" t="inlineStr">
        <is>
          <t>주식급여 충당금</t>
        </is>
      </c>
      <c r="C119" s="20" t="n">
        <v>105</v>
      </c>
      <c r="D119" s="20" t="n">
        <v>99</v>
      </c>
      <c r="E119" s="20" t="n">
        <v>104</v>
      </c>
      <c r="F119" s="20" t="n">
        <v>120</v>
      </c>
      <c r="G119" s="20" t="n">
        <v>126</v>
      </c>
      <c r="H119" s="20" t="n">
        <v>47</v>
      </c>
      <c r="I119" s="20" t="n">
        <v>66</v>
      </c>
      <c r="J119" s="20" t="n">
        <v>86</v>
      </c>
      <c r="K119" s="20" t="n">
        <v>109</v>
      </c>
      <c r="L119" s="20" t="n">
        <v>120</v>
      </c>
    </row>
    <row r="120">
      <c r="A120" s="18" t="inlineStr">
        <is>
          <t>기타 충당금</t>
        </is>
      </c>
      <c r="C120" s="20" t="n">
        <v>6</v>
      </c>
      <c r="D120" s="20" t="n">
        <v>12</v>
      </c>
      <c r="E120" s="20" t="n">
        <v>12</v>
      </c>
      <c r="F120" s="20" t="n">
        <v>13</v>
      </c>
      <c r="G120" s="20" t="n">
        <v>14</v>
      </c>
      <c r="H120" s="20" t="n">
        <v>3</v>
      </c>
      <c r="I120" s="20" t="n">
        <v>4</v>
      </c>
      <c r="J120" s="20" t="n">
        <v>4</v>
      </c>
      <c r="K120" s="20" t="n">
        <v>6</v>
      </c>
      <c r="L120" s="20" t="n">
        <v>13</v>
      </c>
    </row>
    <row r="121">
      <c r="A121" s="18" t="inlineStr">
        <is>
          <t>퇴직급여부채</t>
        </is>
      </c>
      <c r="C121" s="20" t="n">
        <v>166</v>
      </c>
      <c r="D121" s="20" t="n">
        <v>302</v>
      </c>
      <c r="E121" s="20" t="n">
        <v>305</v>
      </c>
      <c r="F121" s="20" t="n">
        <v>308</v>
      </c>
      <c r="G121" s="20" t="n">
        <v>313</v>
      </c>
      <c r="H121" s="20" t="n">
        <v>486</v>
      </c>
      <c r="I121" s="20" t="n">
        <v>368</v>
      </c>
      <c r="J121" s="20" t="n">
        <v>176</v>
      </c>
      <c r="K121" s="20" t="n">
        <v>180</v>
      </c>
      <c r="L121" s="20" t="n">
        <v>308</v>
      </c>
    </row>
    <row r="122">
      <c r="A122" s="18" t="inlineStr">
        <is>
          <t>자산복구부채</t>
        </is>
      </c>
      <c r="C122" s="20" t="n">
        <v>420</v>
      </c>
      <c r="D122" s="20" t="n">
        <v>492</v>
      </c>
      <c r="E122" s="20" t="n">
        <v>495</v>
      </c>
      <c r="F122" s="20" t="n">
        <v>489</v>
      </c>
      <c r="G122" s="20" t="n">
        <v>481</v>
      </c>
      <c r="H122" s="20" t="n">
        <v>434</v>
      </c>
      <c r="I122" s="20" t="n">
        <v>446</v>
      </c>
      <c r="J122" s="20" t="n">
        <v>417</v>
      </c>
      <c r="K122" s="20" t="n">
        <v>418</v>
      </c>
      <c r="L122" s="20" t="n">
        <v>489</v>
      </c>
    </row>
    <row r="123">
      <c r="A123" s="18" t="inlineStr">
        <is>
          <t>기타</t>
        </is>
      </c>
      <c r="C123" s="20" t="n">
        <v>584</v>
      </c>
      <c r="D123" s="20" t="n">
        <v>580</v>
      </c>
      <c r="E123" s="20" t="n">
        <v>783</v>
      </c>
      <c r="F123" s="20" t="n">
        <v>957</v>
      </c>
      <c r="G123" s="20" t="n">
        <v>923</v>
      </c>
      <c r="H123" s="20" t="n">
        <v>389</v>
      </c>
      <c r="I123" s="20" t="n">
        <v>332</v>
      </c>
      <c r="J123" s="20" t="n">
        <v>311</v>
      </c>
      <c r="K123" s="20" t="n">
        <v>574</v>
      </c>
      <c r="L123" s="20" t="n">
        <v>957</v>
      </c>
    </row>
    <row r="124">
      <c r="A124" s="9" t="inlineStr">
        <is>
          <t>비유동부채 합계</t>
        </is>
      </c>
      <c r="C124" s="12" t="n">
        <v>2443</v>
      </c>
      <c r="D124" s="12" t="n">
        <v>4426</v>
      </c>
      <c r="E124" s="12" t="n">
        <v>4659</v>
      </c>
      <c r="F124" s="12" t="n">
        <v>4747</v>
      </c>
      <c r="G124" s="12" t="n">
        <v>4887</v>
      </c>
      <c r="H124" s="12" t="n">
        <v>1981</v>
      </c>
      <c r="I124" s="12" t="n">
        <v>1853</v>
      </c>
      <c r="J124" s="12" t="n">
        <v>1892</v>
      </c>
      <c r="K124" s="12" t="n">
        <v>2352</v>
      </c>
      <c r="L124" s="12" t="n">
        <v>4747</v>
      </c>
    </row>
    <row r="125">
      <c r="A125" s="9" t="inlineStr">
        <is>
          <t>부채 합계</t>
        </is>
      </c>
      <c r="C125" s="12" t="n">
        <v>32300</v>
      </c>
      <c r="D125" s="12" t="n">
        <v>38884</v>
      </c>
      <c r="E125" s="12" t="n">
        <v>47341</v>
      </c>
      <c r="F125" s="12" t="n">
        <v>46267</v>
      </c>
      <c r="G125" s="12" t="n">
        <v>46673</v>
      </c>
      <c r="H125" s="12" t="n">
        <v>12948</v>
      </c>
      <c r="I125" s="12" t="n">
        <v>21238</v>
      </c>
      <c r="J125" s="12" t="n">
        <v>23861</v>
      </c>
      <c r="K125" s="12" t="n">
        <v>27277</v>
      </c>
      <c r="L125" s="12" t="n">
        <v>46267</v>
      </c>
    </row>
    <row r="126">
      <c r="A126" s="18" t="inlineStr">
        <is>
          <t>자본금</t>
        </is>
      </c>
      <c r="C126" s="20" t="n">
        <v>4628</v>
      </c>
      <c r="D126" s="20" t="n">
        <v>4628</v>
      </c>
      <c r="E126" s="20" t="n">
        <v>4628</v>
      </c>
      <c r="F126" s="20" t="n">
        <v>4628</v>
      </c>
      <c r="G126" s="20" t="n">
        <v>4628</v>
      </c>
      <c r="H126" s="20" t="n">
        <v>4628</v>
      </c>
      <c r="I126" s="20" t="n">
        <v>4628</v>
      </c>
      <c r="J126" s="20" t="n">
        <v>4628</v>
      </c>
      <c r="K126" s="20" t="n">
        <v>4628</v>
      </c>
      <c r="L126" s="20" t="n">
        <v>4628</v>
      </c>
    </row>
    <row r="127">
      <c r="A127" s="18" t="inlineStr">
        <is>
          <t>자본잉여금</t>
        </is>
      </c>
      <c r="C127" s="20" t="n">
        <v>5069</v>
      </c>
      <c r="D127" s="20" t="n">
        <v>5076</v>
      </c>
      <c r="E127" s="20" t="n">
        <v>5076</v>
      </c>
      <c r="F127" s="20" t="n">
        <v>5076</v>
      </c>
      <c r="G127" s="20" t="n">
        <v>5076</v>
      </c>
      <c r="H127" s="20" t="n">
        <v>5106</v>
      </c>
      <c r="I127" s="20" t="n">
        <v>5094</v>
      </c>
      <c r="J127" s="20" t="n">
        <v>5071</v>
      </c>
      <c r="K127" s="20" t="n">
        <v>5071</v>
      </c>
      <c r="L127" s="20" t="n">
        <v>5076</v>
      </c>
    </row>
    <row r="128">
      <c r="A128" s="18" t="inlineStr">
        <is>
          <t>이익잉여금</t>
        </is>
      </c>
      <c r="C128" s="20" t="n">
        <v>25361</v>
      </c>
      <c r="D128" s="20" t="n">
        <v>25642</v>
      </c>
      <c r="E128" s="20" t="n">
        <v>26048</v>
      </c>
      <c r="F128" s="20" t="n">
        <v>25898</v>
      </c>
      <c r="G128" s="20" t="n">
        <v>26396</v>
      </c>
      <c r="H128" s="20" t="n">
        <v>25317</v>
      </c>
      <c r="I128" s="20" t="n">
        <v>25274</v>
      </c>
      <c r="J128" s="20" t="n">
        <v>25194</v>
      </c>
      <c r="K128" s="20" t="n">
        <v>25170</v>
      </c>
      <c r="L128" s="20" t="n">
        <v>25898</v>
      </c>
    </row>
    <row r="129">
      <c r="A129" s="18" t="inlineStr">
        <is>
          <t>자기주식</t>
        </is>
      </c>
      <c r="C129" s="20" t="n">
        <v>-2529</v>
      </c>
      <c r="D129" s="20" t="n">
        <v>-2517</v>
      </c>
      <c r="E129" s="20" t="n">
        <v>-2517</v>
      </c>
      <c r="F129" s="20" t="n">
        <v>-2517</v>
      </c>
      <c r="G129" s="20" t="n">
        <v>-2517</v>
      </c>
      <c r="H129" s="20" t="n">
        <v>-2543</v>
      </c>
      <c r="I129" s="20" t="n">
        <v>-2541</v>
      </c>
      <c r="J129" s="20" t="n">
        <v>-2539</v>
      </c>
      <c r="K129" s="20" t="n">
        <v>-2539</v>
      </c>
      <c r="L129" s="20" t="n">
        <v>-2517</v>
      </c>
    </row>
    <row r="130">
      <c r="A130" s="9" t="inlineStr">
        <is>
          <t>주주자본 합계</t>
        </is>
      </c>
      <c r="C130" s="12" t="n">
        <v>32531</v>
      </c>
      <c r="D130" s="12" t="n">
        <v>32830</v>
      </c>
      <c r="E130" s="12" t="n">
        <v>33236</v>
      </c>
      <c r="F130" s="12" t="n">
        <v>33086</v>
      </c>
      <c r="G130" s="12" t="n">
        <v>33584</v>
      </c>
      <c r="H130" s="12" t="n">
        <v>32509</v>
      </c>
      <c r="I130" s="12" t="n">
        <v>32456</v>
      </c>
      <c r="J130" s="12" t="n">
        <v>32355</v>
      </c>
      <c r="K130" s="12" t="n">
        <v>32331</v>
      </c>
      <c r="L130" s="12" t="n">
        <v>33086</v>
      </c>
    </row>
    <row r="131">
      <c r="A131" s="18" t="inlineStr">
        <is>
          <t>기타유가증권 평가차액</t>
        </is>
      </c>
      <c r="C131" s="20" t="n">
        <v>738</v>
      </c>
      <c r="D131" s="20" t="n">
        <v>840</v>
      </c>
      <c r="E131" s="20" t="n">
        <v>976</v>
      </c>
      <c r="F131" s="20" t="n">
        <v>1043</v>
      </c>
      <c r="G131" s="20" t="n">
        <v>1006</v>
      </c>
      <c r="H131" s="20" t="n">
        <v>342</v>
      </c>
      <c r="I131" s="20" t="n">
        <v>424</v>
      </c>
      <c r="J131" s="20" t="n">
        <v>753</v>
      </c>
      <c r="K131" s="20" t="n">
        <v>661</v>
      </c>
      <c r="L131" s="20" t="n">
        <v>1043</v>
      </c>
    </row>
    <row r="132">
      <c r="A132" s="18" t="inlineStr">
        <is>
          <t>토지재평가차액금</t>
        </is>
      </c>
      <c r="C132" s="20" t="n">
        <v>-2751</v>
      </c>
      <c r="D132" s="20" t="n">
        <v>-2751</v>
      </c>
      <c r="E132" s="20" t="n">
        <v>-2751</v>
      </c>
      <c r="F132" s="20" t="n">
        <v>-2751</v>
      </c>
      <c r="G132" s="20" t="n">
        <v>-2751</v>
      </c>
      <c r="H132" s="20" t="n">
        <v>-2736</v>
      </c>
      <c r="I132" s="20" t="n">
        <v>-2736</v>
      </c>
      <c r="J132" s="20" t="n">
        <v>-2736</v>
      </c>
      <c r="K132" s="20" t="n">
        <v>-2751</v>
      </c>
      <c r="L132" s="20" t="n">
        <v>-2751</v>
      </c>
    </row>
    <row r="133">
      <c r="A133" s="18" t="inlineStr">
        <is>
          <t>해외사업환산조정</t>
        </is>
      </c>
      <c r="C133" s="20" t="n">
        <v>0</v>
      </c>
      <c r="D133" s="20" t="n">
        <v>9</v>
      </c>
      <c r="E133" s="20" t="n">
        <v>7</v>
      </c>
      <c r="F133" s="20" t="n">
        <v>20</v>
      </c>
      <c r="G133" s="20" t="n">
        <v>20</v>
      </c>
      <c r="H133" s="20" t="n">
        <v>-9</v>
      </c>
      <c r="I133" s="20" t="n">
        <v>0</v>
      </c>
      <c r="J133" s="20" t="n">
        <v>17</v>
      </c>
      <c r="K133" s="20" t="n">
        <v>26</v>
      </c>
      <c r="L133" s="20" t="n">
        <v>20</v>
      </c>
    </row>
    <row r="134">
      <c r="A134" s="18" t="inlineStr">
        <is>
          <t>퇴직급여 조정누계액</t>
        </is>
      </c>
      <c r="C134" s="20" t="n">
        <v>346</v>
      </c>
      <c r="D134" s="20" t="n">
        <v>316</v>
      </c>
      <c r="E134" s="20" t="n">
        <v>287</v>
      </c>
      <c r="F134" s="20" t="n">
        <v>365</v>
      </c>
      <c r="G134" s="20" t="n">
        <v>333</v>
      </c>
      <c r="H134" s="20" t="n">
        <v>98</v>
      </c>
      <c r="I134" s="20" t="n">
        <v>105</v>
      </c>
      <c r="J134" s="20" t="n">
        <v>282</v>
      </c>
      <c r="K134" s="20" t="n">
        <v>376</v>
      </c>
      <c r="L134" s="20" t="n">
        <v>365</v>
      </c>
    </row>
    <row r="135">
      <c r="A135" s="18" t="inlineStr">
        <is>
          <t>기타포괄손익누계액 합계</t>
        </is>
      </c>
      <c r="C135" s="20" t="n">
        <v>-1666</v>
      </c>
      <c r="D135" s="20" t="n">
        <v>-1584</v>
      </c>
      <c r="E135" s="20" t="n">
        <v>-1479</v>
      </c>
      <c r="F135" s="20" t="n">
        <v>-1321</v>
      </c>
      <c r="G135" s="20" t="n">
        <v>-1390</v>
      </c>
      <c r="H135" s="20" t="n">
        <v>-2304</v>
      </c>
      <c r="I135" s="20" t="n">
        <v>-2206</v>
      </c>
      <c r="J135" s="20" t="n">
        <v>-1684</v>
      </c>
      <c r="K135" s="20" t="n">
        <v>-1687</v>
      </c>
      <c r="L135" s="20" t="n">
        <v>-1321</v>
      </c>
    </row>
    <row r="136">
      <c r="A136" s="18" t="inlineStr">
        <is>
          <t>비지배지분</t>
        </is>
      </c>
      <c r="C136" s="20" t="n">
        <v>290</v>
      </c>
      <c r="D136" s="20" t="n">
        <v>492</v>
      </c>
      <c r="E136" s="20" t="n">
        <v>494</v>
      </c>
      <c r="F136" s="20" t="n">
        <v>491</v>
      </c>
      <c r="G136" s="20" t="n">
        <v>509</v>
      </c>
      <c r="H136" s="20" t="n">
        <v>276</v>
      </c>
      <c r="I136" s="20" t="n">
        <v>279</v>
      </c>
      <c r="J136" s="20" t="n">
        <v>300</v>
      </c>
      <c r="K136" s="20" t="n">
        <v>314</v>
      </c>
      <c r="L136" s="20" t="n">
        <v>491</v>
      </c>
    </row>
    <row r="137">
      <c r="A137" s="9" t="inlineStr">
        <is>
          <t>순자산 합계</t>
        </is>
      </c>
      <c r="C137" s="12" t="n">
        <v>31155</v>
      </c>
      <c r="D137" s="12" t="n">
        <v>31738</v>
      </c>
      <c r="E137" s="12" t="n">
        <v>32251</v>
      </c>
      <c r="F137" s="12" t="n">
        <v>32256</v>
      </c>
      <c r="G137" s="12" t="n">
        <v>32702</v>
      </c>
      <c r="H137" s="12" t="n">
        <v>30481</v>
      </c>
      <c r="I137" s="12" t="n">
        <v>30530</v>
      </c>
      <c r="J137" s="12" t="n">
        <v>30971</v>
      </c>
      <c r="K137" s="12" t="n">
        <v>30958</v>
      </c>
      <c r="L137" s="12" t="n">
        <v>32256</v>
      </c>
    </row>
    <row r="138">
      <c r="A138" s="9" t="inlineStr">
        <is>
          <t>부채·순자산 합계</t>
        </is>
      </c>
      <c r="C138" s="12" t="n">
        <v>63455</v>
      </c>
      <c r="D138" s="12" t="n">
        <v>70622</v>
      </c>
      <c r="E138" s="12" t="n">
        <v>79592</v>
      </c>
      <c r="F138" s="12" t="n">
        <v>78524</v>
      </c>
      <c r="G138" s="12" t="n">
        <v>79376</v>
      </c>
      <c r="H138" s="12" t="n">
        <v>43429</v>
      </c>
      <c r="I138" s="12" t="n">
        <v>51768</v>
      </c>
      <c r="J138" s="12" t="n">
        <v>54832</v>
      </c>
      <c r="K138" s="12" t="n">
        <v>58235</v>
      </c>
      <c r="L138" s="12" t="n">
        <v>78524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https://www2.jpx.co.jp/disc/25940/140120260730503901.pdf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https://www2.jpx.co.jp/disc/25940/140120260515536412.pdf</t>
        </is>
      </c>
    </row>
    <row r="6">
      <c r="A6" t="inlineStr">
        <is>
          <t>2026-02-16</t>
        </is>
      </c>
      <c r="B6" t="inlineStr">
        <is>
          <t>2026년 3월 결산기 ３분기 결산단신</t>
        </is>
      </c>
      <c r="C6" t="inlineStr">
        <is>
          <t>https://www2.jpx.co.jp/disc/25940/140120260213561202.pdf</t>
        </is>
      </c>
    </row>
    <row r="7">
      <c r="A7" t="inlineStr">
        <is>
          <t>2025-11-14</t>
        </is>
      </c>
      <c r="B7" t="inlineStr">
        <is>
          <t>2026년 3월 결산기 ２분기 결산단신</t>
        </is>
      </c>
      <c r="C7" t="inlineStr">
        <is>
          <t>https://www2.jpx.co.jp/disc/25940/140120251114502741.pdf</t>
        </is>
      </c>
    </row>
    <row r="8">
      <c r="A8" t="inlineStr">
        <is>
          <t>2025-09-30</t>
        </is>
      </c>
      <c r="B8" t="inlineStr">
        <is>
          <t>2026년 3월 결산기 １분기 결산단신</t>
        </is>
      </c>
      <c r="C8" t="inlineStr">
        <is>
          <t>https://www2.jpx.co.jp/disc/25940/140120250930565000.pdf</t>
        </is>
      </c>
    </row>
    <row r="9">
      <c r="A9" t="inlineStr">
        <is>
          <t>2025-05-15</t>
        </is>
      </c>
      <c r="B9" t="inlineStr">
        <is>
          <t>2025년 3월 결산기 연간 결산단신</t>
        </is>
      </c>
      <c r="C9" t="inlineStr">
        <is>
          <t>https://www2.jpx.co.jp/disc/25940/140120250513547453.pdf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https://www2.jpx.co.jp/disc/25940/140120250130558459.pdf</t>
        </is>
      </c>
    </row>
    <row r="11">
      <c r="A11" t="inlineStr">
        <is>
          <t>2024-10-28</t>
        </is>
      </c>
      <c r="B11" t="inlineStr">
        <is>
          <t>2025년 3월 결산기 ２분기 결산단신</t>
        </is>
      </c>
      <c r="C11" t="inlineStr">
        <is>
          <t>https://www2.jpx.co.jp/disc/25940/140120241025503114.pdf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https://www2.jpx.co.jp/disc/25940/140120240726555693.pdf</t>
        </is>
      </c>
    </row>
    <row r="13">
      <c r="A13" t="inlineStr">
        <is>
          <t>2024-05-13</t>
        </is>
      </c>
      <c r="B13" t="inlineStr">
        <is>
          <t>2024년 3월 결산기 연간 결산단신</t>
        </is>
      </c>
      <c r="C13" t="inlineStr">
        <is>
          <t>https://www2.jpx.co.jp/disc/25940/140120240510588307.pdf</t>
        </is>
      </c>
    </row>
    <row r="14">
      <c r="A14" t="inlineStr">
        <is>
          <t>2024-01-29</t>
        </is>
      </c>
      <c r="B14" t="inlineStr">
        <is>
          <t>2024년 3월 결산기 ３분기 결산단신</t>
        </is>
      </c>
      <c r="C14" t="inlineStr">
        <is>
          <t>https://www2.jpx.co.jp/disc/25940/140120240126520072.pdf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https://www2.jpx.co.jp/disc/25940/140120231027573005.pdf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https://www2.jpx.co.jp/disc/25940/140120230727528472.pdf</t>
        </is>
      </c>
    </row>
    <row r="17">
      <c r="A17" t="inlineStr">
        <is>
          <t>2023-05-15</t>
        </is>
      </c>
      <c r="B17" t="inlineStr">
        <is>
          <t>2023년 3월 결산기 연간 결산단신</t>
        </is>
      </c>
      <c r="C17" t="inlineStr">
        <is>
          <t>https://www2.jpx.co.jp/disc/25940/140120230515571694.pdf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https://www2.jpx.co.jp/disc/25940/140120230127595064.pdf</t>
        </is>
      </c>
    </row>
    <row r="19">
      <c r="A19" t="inlineStr">
        <is>
          <t>2022-11-14</t>
        </is>
      </c>
      <c r="B19" t="inlineStr">
        <is>
          <t>2023년 3월 결산기 ２분기 결산단신</t>
        </is>
      </c>
      <c r="C19" t="inlineStr">
        <is>
          <t>https://www2.jpx.co.jp/disc/25940/140120221111563478.pdf</t>
        </is>
      </c>
    </row>
    <row r="20">
      <c r="A20" t="inlineStr">
        <is>
          <t>2022-05-16</t>
        </is>
      </c>
      <c r="B20" t="inlineStr">
        <is>
          <t>2022년 3월 결산기 연간 결산단신</t>
        </is>
      </c>
      <c r="C20" t="inlineStr">
        <is>
          <t>https://www2.jpx.co.jp/disc/25940/140120220513548082.pdf</t>
        </is>
      </c>
    </row>
    <row r="21">
      <c r="A21" t="inlineStr">
        <is>
          <t>2021-05-17</t>
        </is>
      </c>
      <c r="B21" t="inlineStr">
        <is>
          <t>2021년 3월 결산기 연간 결산단신</t>
        </is>
      </c>
      <c r="C21" t="inlineStr">
        <is>
          <t>https://www2.jpx.co.jp/disc/25940/140120210514420543.pdf</t>
        </is>
      </c>
    </row>
    <row r="22">
      <c r="A22" t="inlineStr">
        <is>
          <t>2020-05-19</t>
        </is>
      </c>
      <c r="B22" t="inlineStr">
        <is>
          <t>2020년 3월 결산기 연간 결산단신</t>
        </is>
      </c>
      <c r="C22" t="inlineStr">
        <is>
          <t>https://www2.jpx.co.jp/disc/25940/140120200519417952.pdf</t>
        </is>
      </c>
    </row>
    <row r="23">
      <c r="A23" t="inlineStr">
        <is>
          <t>2019-05-13</t>
        </is>
      </c>
      <c r="B23" t="inlineStr">
        <is>
          <t>2019년 3월 결산기 연간 결산단신</t>
        </is>
      </c>
      <c r="C23" t="inlineStr">
        <is>
          <t>https://www2.jpx.co.jp/disc/25940/140120190510421504.pdf</t>
        </is>
      </c>
    </row>
    <row r="24">
      <c r="A24" t="inlineStr">
        <is>
          <t>2018-05-09</t>
        </is>
      </c>
      <c r="B24" t="inlineStr">
        <is>
          <t>연간 결산단신</t>
        </is>
      </c>
      <c r="C24" t="inlineStr">
        <is>
          <t>https://www2.jpx.co.jp/disc/25940/140120180508429493.pdf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2026-10-28T07:01:44Z</dcterms:created>
  <dcterms:modified xmlns:dcterms="http://purl.org/dc/terms/" xmlns:xsi="http://www.w3.org/2001/XMLSchema-instance" xsi:type="dcterms:W3CDTF">2026-10-28T07:01:45Z</dcterms:modified>
</cp:coreProperties>
</file>